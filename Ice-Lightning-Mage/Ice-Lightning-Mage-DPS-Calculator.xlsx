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added on top of Inputs: Inputs!buff_duration_increase_pct already includes it (confirmed by the user). Informational row only.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row r="24">
      <c r="A24" t="inlineStr">
        <is>
          <t>NIMBLE_FEET</t>
        </is>
      </c>
      <c r="B24" t="inlineStr">
        <is>
          <t>Nimble Feet</t>
        </is>
      </c>
      <c r="C24" t="n">
        <v>1</v>
      </c>
      <c r="D24" t="n">
        <v>60</v>
      </c>
      <c r="E24" t="b">
        <v>1</v>
      </c>
      <c r="F24" t="n">
        <v>1</v>
      </c>
      <c r="G24" t="n">
        <v>0</v>
      </c>
      <c r="H24" t="n">
        <v>0</v>
      </c>
      <c r="I24" t="n">
        <v>100</v>
      </c>
      <c r="J24" t="n">
        <v>1</v>
      </c>
      <c r="K24" t="n">
        <v>150</v>
      </c>
      <c r="L24" t="n">
        <v>0</v>
      </c>
      <c r="M24" t="b">
        <v>0</v>
      </c>
      <c r="N24" t="n">
        <v>0</v>
      </c>
      <c r="O24" t="n">
        <v>0</v>
      </c>
      <c r="P24" t="n">
        <v>0</v>
      </c>
      <c r="Q24" t="n">
        <v>1</v>
      </c>
      <c r="R24" t="inlineStr">
        <is>
          <t>ATTACK_SPEED</t>
        </is>
      </c>
      <c r="S24" t="n">
        <v>15</v>
      </c>
      <c r="T24" t="inlineStr"/>
      <c r="U24" t="inlineStr"/>
      <c r="V24" t="inlineStr"/>
      <c r="W24"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$21)&lt;=0,1,MAX(0,IF(Inputs!$B$38="pvp",15,Inputs!$B$43)-MAX(5,Summary!$B$21))/(IF(Inputs!$B$38="pvp",15,Inputs!$B$43)-(Summary!$B$21))))*IF(AND(ArtifactsInput!$M$42,B4&lt;100),CHOOSE(ArtifactsInput!$N$42+1,30,36,42,48,54,60),0)</f>
        <v/>
      </c>
    </row>
    <row r="6">
      <c r="A6" t="inlineStr">
        <is>
          <t>Ring of Cycles — Skill Damage (if threshold &gt;= 100%)</t>
        </is>
      </c>
      <c r="B6">
        <f>IF(AND(Inputs!$B$38&lt;&gt;"pvp",Inputs!$B$43=0),1,IF(IF(Inputs!$B$38="pvp",15,Inputs!$B$43)-(Summary!$B$21)&lt;=0,1,MAX(0,IF(Inputs!$B$38="pvp",15,Inputs!$B$43)-MAX(5,Summary!$B$21))/(IF(Inputs!$B$38="pvp",15,Inputs!$B$43)-(Summary!$B$21))))*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$21)&lt;=0,1,MAX(0,IF(Inputs!$B$38="pvp",15,Inputs!$B$43)-MAX(5,Summary!$B$21))/(IF(Inputs!$B$38="pvp",15,Inputs!$B$43)-(Summary!$B$21))))*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IFERROR(1/(IF(Inputs!$B$38="pvp",15,MAX(0.1,Skills!D2-IF(Skills!E2=TRUE,Inputs!$B$32,0)))*(1-IF(AND(ArtifactsInput!$M$27,Inputs!$B$4="Chapter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IFERROR(1/(IF(Inputs!$B$38="pvp",15,MAX(0.1,Skills!D3-IF(Skills!E3=TRUE,Inputs!$B$32,0)))*(1-IF(AND(ArtifactsInput!$M$27,Inputs!$B$4="Chapter Hunt"),CHOOSE(ArtifactsInput!$N$27+1,20,24,28,32,36,40),0)/100)),0)</f>
        <v/>
      </c>
      <c r="R3">
        <f>IF(AND(Inputs!$B$38&lt;&gt;"pvp",Inputs!$B$43&gt;0),IF(Inputs!$B$43&lt;=0,0,(INT(Inputs!$B$43/(IF(Inputs!$B$38="pvp",15,MAX(0.1,Skills!D3-IF(Skills!E3=TRUE,Inputs!$B$32,0)))*(1-IF(AND(ArtifactsInput!$M$27,Inputs!$B$4="Chapter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IFERROR(1/(IF(Inputs!$B$38="pvp",15,MAX(0.1,Skills!D4-IF(Skills!E4=TRUE,Inputs!$B$32,0)))*(1-IF(AND(ArtifactsInput!$M$27,Inputs!$B$4="Chapter Hunt"),CHOOSE(ArtifactsInput!$N$27+1,20,24,28,32,36,40),0)/100)),0)</f>
        <v/>
      </c>
      <c r="R4">
        <f>IF(AND(Inputs!$B$38&lt;&gt;"pvp",Inputs!$B$43&gt;0),IF(Inputs!$B$43&lt;=0,0,(INT(Inputs!$B$43/(IF(Inputs!$B$38="pvp",15,MAX(0.1,Skills!D4-IF(Skills!E4=TRUE,Inputs!$B$32,0)))*(1-IF(AND(ArtifactsInput!$M$27,Inputs!$B$4="Chapter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IFERROR(1/(IF(Inputs!$B$38="pvp",15,MAX(0.1,Skills!D5-IF(Skills!E5=TRUE,Inputs!$B$32,0)))*(1-IF(AND(ArtifactsInput!$M$27,Inputs!$B$4="Chapter Hunt"),CHOOSE(ArtifactsInput!$N$27+1,20,24,28,32,36,40),0)/100)),0)</f>
        <v/>
      </c>
      <c r="R5">
        <f>IF(AND(Inputs!$B$38&lt;&gt;"pvp",Inputs!$B$43&gt;0),IF(MAX(0,Inputs!$B$43-Summary!$B$21)&lt;=0,0,(INT(MAX(0,Inputs!$B$43-Summary!$B$21)/(IF(Inputs!$B$38="pvp",15,MAX(0.1,Skills!D5-IF(Skills!E5=TRUE,Inputs!$B$32,0)))*(1-IF(AND(ArtifactsInput!$M$27,Inputs!$B$4="Chapter Hunt"),CHOOSE(ArtifactsInput!$N$27+1,20,24,28,32,36,40),0)/100)))+1)),0)</f>
        <v/>
      </c>
      <c r="S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IFERROR(1/(IF(Inputs!$B$38="pvp",15,MAX(0.1,Skills!D6-IF(Skills!E6=TRUE,Inputs!$B$32,0)))*(1-IF(AND(ArtifactsInput!$M$27,Inputs!$B$4="Chapter Hunt"),CHOOSE(ArtifactsInput!$N$27+1,20,24,28,32,36,40),0)/100)),0)</f>
        <v/>
      </c>
      <c r="R6">
        <f>IF(AND(Inputs!$B$38&lt;&gt;"pvp",Inputs!$B$43&gt;0),IF(MAX(0,Inputs!$B$43-Summary!$B$21)&lt;=0,0,(INT(MAX(0,Inputs!$B$43-Summary!$B$21)/(IF(Inputs!$B$38="pvp",15,MAX(0.1,Skills!D6-IF(Skills!E6=TRUE,Inputs!$B$32,0)))*(1-IF(AND(ArtifactsInput!$M$27,Inputs!$B$4="Chapter Hunt"),CHOOSE(ArtifactsInput!$N$27+1,20,24,28,32,36,40),0)/100)))+1)),0)</f>
        <v/>
      </c>
      <c r="S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IFERROR(1/(IF(Inputs!$B$38="pvp",15,MAX(0.1,Skills!D7-IF(Skills!E7=TRUE,Inputs!$B$32,0)))*(1-IF(AND(ArtifactsInput!$M$27,Inputs!$B$4="Chapter Hunt"),CHOOSE(ArtifactsInput!$N$27+1,20,24,28,32,36,40),0)/100)),0)</f>
        <v/>
      </c>
      <c r="R7">
        <f>IF(AND(Inputs!$B$38&lt;&gt;"pvp",Inputs!$B$43&gt;0),IF(MAX(0,Inputs!$B$43-Summary!$B$21)&lt;=0,0,(INT(MAX(0,Inputs!$B$43-Summary!$B$21)/(IF(Inputs!$B$38="pvp",15,MAX(0.1,Skills!D7-IF(Skills!E7=TRUE,Inputs!$B$32,0)))*(1-IF(AND(ArtifactsInput!$M$27,Inputs!$B$4="Chapter Hunt"),CHOOSE(ArtifactsInput!$N$27+1,20,24,28,32,36,40),0)/100)))+1)),0)</f>
        <v/>
      </c>
      <c r="S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IFERROR(1/(IF(Inputs!$B$38="pvp",15,MAX(0.1,Skills!D8-IF(Skills!E8=TRUE,Inputs!$B$32,0)))*(1-IF(AND(ArtifactsInput!$M$27,Inputs!$B$4="Chapter Hunt"),CHOOSE(ArtifactsInput!$N$27+1,20,24,28,32,36,40),0)/100)),0)</f>
        <v/>
      </c>
      <c r="R8">
        <f>IF(AND(Inputs!$B$38&lt;&gt;"pvp",Inputs!$B$43&gt;0),IF(MAX(0,Inputs!$B$43-Summary!$B$21)&lt;=0,0,(INT(MAX(0,Inputs!$B$43-Summary!$B$21)/(IF(Inputs!$B$38="pvp",15,MAX(0.1,Skills!D8-IF(Skills!E8=TRUE,Inputs!$B$32,0)))*(1-IF(AND(ArtifactsInput!$M$27,Inputs!$B$4="Chapter Hunt"),CHOOSE(ArtifactsInput!$N$27+1,20,24,28,32,36,40),0)/100)))+1)),0)</f>
        <v/>
      </c>
      <c r="S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IFERROR(1/(IF(Inputs!$B$38="pvp",15,MAX(0.1,Skills!D9-IF(Skills!E9=TRUE,Inputs!$B$32,0)))*(1-IF(AND(ArtifactsInput!$M$27,Inputs!$B$4="Chapter Hunt"),CHOOSE(ArtifactsInput!$N$27+1,20,24,28,32,36,40),0)/100)),0)</f>
        <v/>
      </c>
      <c r="R9">
        <f>IF(AND(Inputs!$B$38&lt;&gt;"pvp",Inputs!$B$43&gt;0),IF(MAX(0,Inputs!$B$43-Summary!$B$21)&lt;=0,0,(INT(MAX(0,Inputs!$B$43-Summary!$B$21)/(IF(Inputs!$B$38="pvp",15,MAX(0.1,Skills!D9-IF(Skills!E9=TRUE,Inputs!$B$32,0)))*(1-IF(AND(ArtifactsInput!$M$27,Inputs!$B$4="Chapter Hunt"),CHOOSE(ArtifactsInput!$N$27+1,20,24,28,32,36,40),0)/100)))+1)),0)</f>
        <v/>
      </c>
      <c r="S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IFERROR(1/(IF(Inputs!$B$38="pvp",15,MAX(0.1,Skills!D10-IF(Skills!E9=TRUE,Inputs!$B$32,0)))*(1-IF(AND(ArtifactsInput!$M$27,Inputs!$B$4="Chapter Hunt"),CHOOSE(ArtifactsInput!$N$27+1,20,24,28,32,36,40),0)/100)),0)</f>
        <v/>
      </c>
      <c r="R10">
        <f>IF(AND(Inputs!$B$38&lt;&gt;"pvp",Inputs!$B$43&gt;0),IF(MAX(0,Inputs!$B$43-Summary!$B$21)&lt;=0,0,(INT(MAX(0,Inputs!$B$43-Summary!$B$21)/(IF(Inputs!$B$38="pvp",15,MAX(0.1,Skills!D10-IF(Skills!E9=TRUE,Inputs!$B$32,0)))*(1-IF(AND(ArtifactsInput!$M$27,Inputs!$B$4="Chapter Hunt"),CHOOSE(ArtifactsInput!$N$27+1,20,24,28,32,36,40),0)/100)))+1)),0)</f>
        <v/>
      </c>
      <c r="S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IFERROR(1/(IF(Inputs!$B$38="pvp",15,MAX(0.1,Skills!D11-IF(Skills!E11=TRUE,Inputs!$B$32,0)))*(1-IF(AND(ArtifactsInput!$M$27,Inputs!$B$4="Chapter Hunt"),CHOOSE(ArtifactsInput!$N$27+1,20,24,28,32,36,40),0)/100)),0)</f>
        <v/>
      </c>
      <c r="R11">
        <f>IF(AND(Inputs!$B$38&lt;&gt;"pvp",Inputs!$B$43&gt;0),IF(MAX(0,Inputs!$B$43-Summary!$B$21)&lt;=0,0,(INT(MAX(0,Inputs!$B$43-Summary!$B$21)/(IF(Inputs!$B$38="pvp",15,MAX(0.1,Skills!D11-IF(Skills!E11=TRUE,Inputs!$B$32,0)))*(1-IF(AND(ArtifactsInput!$M$27,Inputs!$B$4="Chapter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IFERROR(1/(IF(Inputs!$B$38="pvp",15,MAX(0.1,Skills!D12-IF(Skills!E12=TRUE,Inputs!$B$32,0)))*(1-IF(AND(ArtifactsInput!$M$27,Inputs!$B$4="Chapter Hunt"),CHOOSE(ArtifactsInput!$N$27+1,20,24,28,32,36,40),0)/100)),0)</f>
        <v/>
      </c>
      <c r="R12">
        <f>IF(AND(Inputs!$B$38&lt;&gt;"pvp",Inputs!$B$43&gt;0),IF(MAX(0,Inputs!$B$43-Summary!$B$21)&lt;=0,0,(INT(MAX(0,Inputs!$B$43-Summary!$B$21)/(IF(Inputs!$B$38="pvp",15,MAX(0.1,Skills!D12-IF(Skills!E12=TRUE,Inputs!$B$32,0)))*(1-IF(AND(ArtifactsInput!$M$27,Inputs!$B$4="Chapter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IFERROR(1/(IF(Inputs!$B$38="pvp",15,MAX(0.1,Skills!D13-IF(Skills!E13=TRUE,Inputs!$B$32,0)))*(1-IF(AND(ArtifactsInput!$M$27,Inputs!$B$4="Chapter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IFERROR(1/(IF(Inputs!$B$38="pvp",15,MAX(0.1,Skills!D14-IF(Skills!E14=TRUE,Inputs!$B$32,0)))*(1-IF(AND(ArtifactsInput!$M$27,Inputs!$B$4="Chapter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IFERROR(1/(IF(Inputs!$B$38="pvp",15,MAX(0.1,Skills!D15-IF(Skills!E15=TRUE,Inputs!$B$32,0)))*(1-IF(AND(ArtifactsInput!$M$27,Inputs!$B$4="Chapter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IFERROR(1/(IF(Inputs!$B$38="pvp",15,MAX(0.1,Skills!D17-IF(Skills!E17=TRUE,Inputs!$B$32,0)))*(1-IF(AND(ArtifactsInput!$M$27,Inputs!$B$4="Chapter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IFERROR(1/(IF(Inputs!$B$38="pvp",15,MAX(0.1,Skills!D18-IF(Skills!E18=TRUE,Inputs!$B$32,0)))*(1-IF(AND(ArtifactsInput!$M$27,Inputs!$B$4="Chapter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IFERROR(1/(IF(Inputs!$B$38="pvp",15,MAX(0.1,Skills!D19-IF(Skills!E19=TRUE,Inputs!$B$32,0)))*(1-IF(AND(ArtifactsInput!$M$27,Inputs!$B$4="Chapter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IFERROR(1/(IF(Inputs!$B$38="pvp",15,MAX(0.1,Skills!D20-IF(Skills!E20=TRUE,Inputs!$B$32,0)))*(1-IF(AND(ArtifactsInput!$M$27,Inputs!$B$4="Chapter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IFERROR(1/(IF(Inputs!$B$38="pvp",15,MAX(0.1,Skills!D21-IF(Skills!E21=TRUE,Inputs!$B$32,0)))*(1-IF(AND(ArtifactsInput!$M$27,Inputs!$B$4="Chapter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IFERROR(1/(IF(Inputs!$B$38="pvp",15,MAX(0.1,Skills!D22-IF(Skills!E22=TRUE,Inputs!$B$32,0)))*(1-IF(AND(ArtifactsInput!$M$27,Inputs!$B$4="Chapter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IFERROR(1/(IF(Inputs!$B$38="pvp",15,MAX(0.1,Skills!D23-IF(Skills!E23=TRUE,Inputs!$B$32,0)))*(1-IF(AND(ArtifactsInput!$M$27,Inputs!$B$4="Chapter Hunt"),CHOOSE(ArtifactsInput!$N$27+1,20,24,28,32,36,40),0)/100)),0)</f>
        <v/>
      </c>
      <c r="R23" t="n">
        <v>0</v>
      </c>
      <c r="S23" t="n">
        <v>0</v>
      </c>
      <c r="U23" t="n">
        <v>0</v>
      </c>
    </row>
    <row r="24">
      <c r="A24">
        <f>Skills!A24</f>
        <v/>
      </c>
      <c r="B24">
        <f>Skills!B24</f>
        <v/>
      </c>
      <c r="C24">
        <f>TRUE</f>
        <v/>
      </c>
      <c r="D24">
        <f>IF(Skills!C24=1,60+Inputs!$B$25+Inputs!$B$29,IF(Skills!C24=2,90+Inputs!$B$26+Inputs!$B$29,IF(Skills!C24=3,120+Inputs!$B$27+Inputs!$B$29,MAX(0,(Inputs!$B$3-100)*3)+Inputs!$B$28+Inputs!$B$29)))</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IFERROR(1/(IF(Inputs!$B$38="pvp",15,MAX(0.1,Skills!D24-IF(Skills!E24=TRUE,Inputs!$B$32,0)))*(1-IF(AND(ArtifactsInput!$M$27,Inputs!$B$4="Chapter Hunt"),CHOOSE(ArtifactsInput!$N$27+1,20,24,28,32,36,40),0)/100)),0)</f>
        <v/>
      </c>
      <c r="R24">
        <f>IF(AND(Inputs!$B$38&lt;&gt;"pvp",Inputs!$B$43&gt;0),IF(Inputs!$B$43&lt;=0,0,(INT(Inputs!$B$43/(IF(Inputs!$B$38="pvp",15,MAX(0.1,Skills!D24-IF(Skills!E24=TRUE,Inputs!$B$32,0)))*(1-IF(AND(ArtifactsInput!$M$27,Inputs!$B$4="Chapter Hunt"),CHOOSE(ArtifactsInput!$N$27+1,20,24,28,32,36,40),0)/100)))+1)),0)</f>
        <v/>
      </c>
      <c r="S24" t="n">
        <v>0</v>
      </c>
      <c r="U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Skills!S3*(1+(Inputs!$B$34)/100))+MIN((Skills!S3*(1+(Inputs!$B$34)/100)),MAX(0,Inputs!$B$43-((Calc!R3-1)*Skills!D3))))/Inputs!$B$43),IF(Inputs!$B$38="pvp",MIN((Skills!S3*(1+(Inputs!$B$34)/100)),15)/15,(Skills!S3*(1+(Inputs!$B$34)/100))/Skills!D3)),0)+IF(Calc!C4=TRUE,Calc!F4*IF(AND(Inputs!$B$38&lt;&gt;"pvp",Inputs!$B$43&gt;0),(((Calc!R4-1)*(Skills!S4*(1+(Inputs!$B$34)/100))+MIN((Skills!S4*(1+(Inputs!$B$34)/100)),MAX(0,Inputs!$B$43-((Calc!R4-1)*Skills!D4))))/Inputs!$B$43),IF(Inputs!$B$38="pvp",MIN((Skills!S4*(1+(Inputs!$B$34)/100)),15)/15,(Skills!S4*(1+(Inputs!$B$34)/100))/Skills!D4)),0)+Artifacts!$B$52)/100)*IF(Calc!C16=TRUE,(1+Calc!F16*IF(AND(Inputs!$B$38&lt;&gt;"pvp",Inputs!$B$43&gt;0),(((Calc!R16-1)*(Skills!S16*(1+(Inputs!$B$34)/100))+MIN((Skills!S16*(1+(Inputs!$B$34)/100)),MAX(0,Inputs!$B$43-((Calc!R16-1)*Skills!D16))))/Inputs!$B$43),IF(Inputs!$B$38="pvp",MIN((Skills!S16*(1+(Inputs!$B$34)/100)),15)/15,(Skills!S16*(1+(Inputs!$B$34)/100))/Skills!D16))/100),1)</f>
        <v/>
      </c>
    </row>
    <row r="14">
      <c r="A14" t="inlineStr">
        <is>
          <t>Monster Damage Taken Bonus % (Freezing Breath - Weaken + Elemental Reset + Artifact Enemy Damage Taken, summed)</t>
        </is>
      </c>
      <c r="B14">
        <f>IF(Inputs!$B$3&gt;=118,15*IF(Inputs!$B$38="pvp",MIN((30*(1+(Inputs!$B$34)/100)),15)/15,(30*(1+(Inputs!$B$34)/100))/Skills!D8),0)+IF(Calc!C14=TRUE,Calc!F14,0)+Artifacts!$B$36</f>
        <v/>
      </c>
    </row>
    <row r="15">
      <c r="A15" t="inlineStr">
        <is>
          <t>Damage % Bonus (Frozen Break + Frost Clutch, flat)</t>
        </is>
      </c>
      <c r="B15">
        <f>IF(Inputs!$B$3&gt;=66,15,0)+IF(Inputs!$B$3&gt;=98,10,0)+IF(Inputs!$B$3&gt;=125,20,0)</f>
        <v/>
      </c>
    </row>
    <row r="16">
      <c r="A16" t="inlineStr">
        <is>
          <t>Attack Speed Bonus % (MP Eater - MP Boost, always-on + Nimble Feet, duty-cycle averaged)</t>
        </is>
      </c>
      <c r="B16">
        <f>IF(Calc!C13=TRUE,Calc!F13,0)+((Calc!C24=TRUE)*Calc!F24*IF(AND(Inputs!$B$38&lt;&gt;"pvp",Inputs!$B$43&gt;0),(((Calc!R24-1)*(Skills!S24*(1+(Inputs!$B$34)/100))+MIN((Skills!S24*(1+(Inputs!$B$34)/100)),MAX(0,Inputs!$B$43-((Calc!R24-1)*Skills!D24))))/Inputs!$B$43),IF(Inputs!$B$38="pvp",MIN((Skills!S24*(1+(Inputs!$B$34)/100)),15)/15,(Skills!S24*(1+(Inputs!$B$34)/100))/Skills!D24)))</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IF(AND(Inputs!$B$38&lt;&gt;"pvp",Inputs!$B$43&gt;0),SUMPRODUCT((Skills!E2:E24=TRUE)*(Calc!C2:C24=TRUE)*Calc!R2:R24)/Inputs!$B$43,SUMPRODUCT((Skills!E2:E24=TRUE)*(Calc!C2:C24=TRUE)*Calc!Q2:Q24))</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IF(AND(Inputs!$B$38&lt;&gt;"pvp",Inputs!$B$43&gt;0),SUMPRODUCT((Skills!S2:S24&gt;0)*(Skills!E2:E24=TRUE)*(Calc!C2:C24=TRUE))/B17,0)</f>
        <v/>
      </c>
    </row>
    <row r="22">
      <c r="A22" t="inlineStr">
        <is>
          <t>Boss-Only Total DPS (Sensitivity baseline)</t>
        </is>
      </c>
      <c r="B22">
        <f>SUM(Calc!S2:S24)</f>
        <v/>
      </c>
    </row>
    <row r="23">
      <c r="A23" t="inlineStr">
        <is>
          <t>Normal-Only Total DPS (Sensitivity baseline)</t>
        </is>
      </c>
      <c r="B23">
        <f>SUM(Calc!U2:U24)</f>
        <v/>
      </c>
    </row>
    <row r="25">
      <c r="A25" s="9" t="inlineStr">
        <is>
          <t>Per-Skill DPS Breakdown</t>
        </is>
      </c>
    </row>
    <row r="26">
      <c r="A26" s="5" t="inlineStr">
        <is>
          <t>Skill</t>
        </is>
      </c>
      <c r="B26" s="5" t="inlineStr">
        <is>
          <t>DPS</t>
        </is>
      </c>
      <c r="C26" s="5" t="inlineStr">
        <is>
          <t>% of Total</t>
        </is>
      </c>
    </row>
    <row r="27">
      <c r="A27">
        <f>Calc!B2</f>
        <v/>
      </c>
      <c r="B27">
        <f>Calc!O2</f>
        <v/>
      </c>
      <c r="C27">
        <f>Calc!P2*100</f>
        <v/>
      </c>
    </row>
    <row r="28">
      <c r="A28">
        <f>Calc!B5</f>
        <v/>
      </c>
      <c r="B28">
        <f>Calc!O5</f>
        <v/>
      </c>
      <c r="C28">
        <f>Calc!P5*100</f>
        <v/>
      </c>
    </row>
    <row r="29">
      <c r="A29">
        <f>Calc!B6</f>
        <v/>
      </c>
      <c r="B29">
        <f>Calc!O6</f>
        <v/>
      </c>
      <c r="C29">
        <f>Calc!P6*100</f>
        <v/>
      </c>
    </row>
    <row r="30">
      <c r="A30">
        <f>Calc!B7</f>
        <v/>
      </c>
      <c r="B30">
        <f>Calc!O7</f>
        <v/>
      </c>
      <c r="C30">
        <f>Calc!P7*100</f>
        <v/>
      </c>
    </row>
    <row r="31">
      <c r="A31">
        <f>Calc!B8</f>
        <v/>
      </c>
      <c r="B31">
        <f>Calc!O8</f>
        <v/>
      </c>
      <c r="C31">
        <f>Calc!P8*100</f>
        <v/>
      </c>
    </row>
    <row r="32">
      <c r="A32">
        <f>Calc!B9</f>
        <v/>
      </c>
      <c r="B32">
        <f>Calc!O9</f>
        <v/>
      </c>
      <c r="C32">
        <f>Calc!P9*100</f>
        <v/>
      </c>
    </row>
    <row r="33">
      <c r="A33">
        <f>Calc!B10</f>
        <v/>
      </c>
      <c r="B33">
        <f>Calc!O10</f>
        <v/>
      </c>
      <c r="C33">
        <f>Calc!P10*100</f>
        <v/>
      </c>
    </row>
    <row r="34">
      <c r="A34">
        <f>Calc!B11</f>
        <v/>
      </c>
      <c r="B34">
        <f>Calc!O11</f>
        <v/>
      </c>
      <c r="C34">
        <f>Calc!P11*100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2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B107</f>
        <v/>
      </c>
      <c r="H5">
        <f>Summary!$B$3*(((1-Summary!$B$11)*IFERROR(B105/Summary!$B$22,1)+Summary!$B$11*IFERROR(B106/Summary!$B$23,1))-1)</f>
        <v/>
      </c>
      <c r="I5">
        <f>((1-Summary!$B$11)*IFERROR(B105/Summary!$B$22,1)+Summary!$B$11*IFERROR(B106/Summary!$B$23,1))*100</f>
        <v/>
      </c>
    </row>
    <row r="6">
      <c r="A6" t="inlineStr">
        <is>
          <t>INT %</t>
        </is>
      </c>
      <c r="B6">
        <f>IFERROR(1/(I6-100),"n/a")</f>
        <v/>
      </c>
      <c r="C6" t="inlineStr">
        <is>
          <t>pct</t>
        </is>
      </c>
      <c r="D6">
        <f>Inputs!$B$13</f>
        <v/>
      </c>
      <c r="E6">
        <f>(Inputs!$B$13+1)</f>
        <v/>
      </c>
      <c r="F6">
        <f>Summary!$B$3</f>
        <v/>
      </c>
      <c r="G6">
        <f>B147</f>
        <v/>
      </c>
      <c r="H6">
        <f>Summary!$B$3*(((1-Summary!$B$11)*IFERROR(B145/Summary!$B$22,1)+Summary!$B$11*IFERROR(B146/Summary!$B$23,1))-1)</f>
        <v/>
      </c>
      <c r="I6">
        <f>((1-Summary!$B$11)*IFERROR(B145/Summary!$B$22,1)+Summary!$B$11*IFERROR(B146/Summary!$B$23,1))*100</f>
        <v/>
      </c>
    </row>
    <row r="7">
      <c r="A7" t="inlineStr">
        <is>
          <t>DAMAGE %</t>
        </is>
      </c>
      <c r="B7">
        <f>IFERROR(1/(I7-100),"n/a")</f>
        <v/>
      </c>
      <c r="C7" t="inlineStr">
        <is>
          <t>pct</t>
        </is>
      </c>
      <c r="D7">
        <f>Inputs!$B$15</f>
        <v/>
      </c>
      <c r="E7">
        <f>(Inputs!$B$15+1)</f>
        <v/>
      </c>
      <c r="F7">
        <f>Summary!$B$3</f>
        <v/>
      </c>
      <c r="G7">
        <f>B187</f>
        <v/>
      </c>
      <c r="H7">
        <f>Summary!$B$3*(((1-Summary!$B$11)*IFERROR(B185/Summary!$B$22,1)+Summary!$B$11*IFERROR(B186/Summary!$B$23,1))-1)</f>
        <v/>
      </c>
      <c r="I7">
        <f>((1-Summary!$B$11)*IFERROR(B185/Summary!$B$22,1)+Summary!$B$11*IFERROR(B186/Summary!$B$23,1))*100</f>
        <v/>
      </c>
    </row>
    <row r="8">
      <c r="A8" t="inlineStr">
        <is>
          <t>DAMAGE_AMP %</t>
        </is>
      </c>
      <c r="B8">
        <f>IFERROR(1/(I8-100),"n/a")</f>
        <v/>
      </c>
      <c r="C8" t="inlineStr">
        <is>
          <t>pct</t>
        </is>
      </c>
      <c r="D8">
        <f>Inputs!$B$16</f>
        <v/>
      </c>
      <c r="E8">
        <f>(Inputs!$B$16+1)</f>
        <v/>
      </c>
      <c r="F8">
        <f>Summary!$B$3</f>
        <v/>
      </c>
      <c r="G8">
        <f>B227</f>
        <v/>
      </c>
      <c r="H8">
        <f>Summary!$B$3*(((1-Summary!$B$11)*IFERROR(B225/Summary!$B$22,1)+Summary!$B$11*IFERROR(B226/Summary!$B$23,1))-1)</f>
        <v/>
      </c>
      <c r="I8">
        <f>((1-Summary!$B$11)*IFERROR(B225/Summary!$B$22,1)+Summary!$B$11*IFERROR(B226/Summary!$B$23,1))*100</f>
        <v/>
      </c>
    </row>
    <row r="9">
      <c r="A9" t="inlineStr">
        <is>
          <t>BOSS_DAMAGE %</t>
        </is>
      </c>
      <c r="B9">
        <f>IFERROR(1/(I9-100),"n/a")</f>
        <v/>
      </c>
      <c r="C9" t="inlineStr">
        <is>
          <t>pct</t>
        </is>
      </c>
      <c r="D9">
        <f>Inputs!$B$20</f>
        <v/>
      </c>
      <c r="E9">
        <f>(Inputs!$B$20+1)</f>
        <v/>
      </c>
      <c r="F9">
        <f>Summary!$B$3</f>
        <v/>
      </c>
      <c r="G9">
        <f>B267</f>
        <v/>
      </c>
      <c r="H9">
        <f>Summary!$B$3*(((1-Summary!$B$11)*IFERROR(B265/Summary!$B$22,1)+Summary!$B$11*IFERROR(B266/Summary!$B$23,1))-1)</f>
        <v/>
      </c>
      <c r="I9">
        <f>((1-Summary!$B$11)*IFERROR(B265/Summary!$B$22,1)+Summary!$B$11*IFERROR(B266/Summary!$B$23,1))*100</f>
        <v/>
      </c>
    </row>
    <row r="10">
      <c r="A10" t="inlineStr">
        <is>
          <t>NORMAL_DAMAGE %</t>
        </is>
      </c>
      <c r="B10">
        <f>IFERROR(1/(I10-100),"n/a")</f>
        <v/>
      </c>
      <c r="C10" t="inlineStr">
        <is>
          <t>pct</t>
        </is>
      </c>
      <c r="D10">
        <f>Inputs!$B$21</f>
        <v/>
      </c>
      <c r="E10">
        <f>(Inputs!$B$21+1)</f>
        <v/>
      </c>
      <c r="F10">
        <f>Summary!$B$3</f>
        <v/>
      </c>
      <c r="G10">
        <f>B307</f>
        <v/>
      </c>
      <c r="H10">
        <f>Summary!$B$3*(((1-Summary!$B$11)*IFERROR(B305/Summary!$B$22,1)+Summary!$B$11*IFERROR(B306/Summary!$B$23,1))-1)</f>
        <v/>
      </c>
      <c r="I10">
        <f>((1-Summary!$B$11)*IFERROR(B305/Summary!$B$22,1)+Summary!$B$11*IFERROR(B306/Summary!$B$23,1))*100</f>
        <v/>
      </c>
    </row>
    <row r="11">
      <c r="A11" t="inlineStr">
        <is>
          <t>FINAL_DAMAGE % (multiplicative source)</t>
        </is>
      </c>
      <c r="B11">
        <f>IFERROR(1/(I11-100),"n/a")</f>
        <v/>
      </c>
      <c r="C11" t="inlineStr">
        <is>
          <t>mult</t>
        </is>
      </c>
      <c r="D11">
        <f>Inputs!$B$24</f>
        <v/>
      </c>
      <c r="E11">
        <f>((((1+Inputs!$B$24/100)*(1.01))-1)*100)</f>
        <v/>
      </c>
      <c r="F11">
        <f>Summary!$B$3</f>
        <v/>
      </c>
      <c r="G11">
        <f>B347</f>
        <v/>
      </c>
      <c r="H11">
        <f>Summary!$B$3*(((1-Summary!$B$11)*IFERROR(B345/Summary!$B$22,1)+Summary!$B$11*IFERROR(B346/Summary!$B$23,1))-1)</f>
        <v/>
      </c>
      <c r="I11">
        <f>((1-Summary!$B$11)*IFERROR(B345/Summary!$B$22,1)+Summary!$B$11*IFERROR(B346/Summary!$B$23,1))*100</f>
        <v/>
      </c>
    </row>
    <row r="12">
      <c r="A12" t="inlineStr">
        <is>
          <t>MIN_DAMAGE %</t>
        </is>
      </c>
      <c r="B12">
        <f>IFERROR(1/(I12-100),"n/a")</f>
        <v/>
      </c>
      <c r="C12" t="inlineStr">
        <is>
          <t>pct</t>
        </is>
      </c>
      <c r="D12">
        <f>Inputs!$B$22</f>
        <v/>
      </c>
      <c r="E12">
        <f>(Inputs!$B$22+1)</f>
        <v/>
      </c>
      <c r="F12">
        <f>Summary!$B$3</f>
        <v/>
      </c>
      <c r="G12">
        <f>B387</f>
        <v/>
      </c>
      <c r="H12">
        <f>Summary!$B$3*(((1-Summary!$B$11)*IFERROR(B385/Summary!$B$22,1)+Summary!$B$11*IFERROR(B386/Summary!$B$23,1))-1)</f>
        <v/>
      </c>
      <c r="I12">
        <f>((1-Summary!$B$11)*IFERROR(B385/Summary!$B$22,1)+Summary!$B$11*IFERROR(B386/Summary!$B$23,1))*100</f>
        <v/>
      </c>
    </row>
    <row r="13">
      <c r="A13" t="inlineStr">
        <is>
          <t>MAX_DAMAGE %</t>
        </is>
      </c>
      <c r="B13">
        <f>IFERROR(1/(I13-100),"n/a")</f>
        <v/>
      </c>
      <c r="C13" t="inlineStr">
        <is>
          <t>pct</t>
        </is>
      </c>
      <c r="D13">
        <f>Inputs!$B$23</f>
        <v/>
      </c>
      <c r="E13">
        <f>(Inputs!$B$23+1)</f>
        <v/>
      </c>
      <c r="F13">
        <f>Summary!$B$3</f>
        <v/>
      </c>
      <c r="G13">
        <f>B427</f>
        <v/>
      </c>
      <c r="H13">
        <f>Summary!$B$3*(((1-Summary!$B$11)*IFERROR(B425/Summary!$B$22,1)+Summary!$B$11*IFERROR(B426/Summary!$B$23,1))-1)</f>
        <v/>
      </c>
      <c r="I13">
        <f>((1-Summary!$B$11)*IFERROR(B425/Summary!$B$22,1)+Summary!$B$11*IFERROR(B426/Summary!$B$23,1))*100</f>
        <v/>
      </c>
    </row>
    <row r="14">
      <c r="A14" t="inlineStr">
        <is>
          <t>CRIT_RATE %</t>
        </is>
      </c>
      <c r="B14">
        <f>IFERROR(1/(I14-100),"n/a")</f>
        <v/>
      </c>
      <c r="C14" t="inlineStr">
        <is>
          <t>pct</t>
        </is>
      </c>
      <c r="D14">
        <f>Inputs!$B$9</f>
        <v/>
      </c>
      <c r="E14">
        <f>(Inputs!$B$9+1)</f>
        <v/>
      </c>
      <c r="F14">
        <f>Summary!$B$3</f>
        <v/>
      </c>
      <c r="G14">
        <f>B467</f>
        <v/>
      </c>
      <c r="H14">
        <f>Summary!$B$3*(((1-Summary!$B$11)*IFERROR(B465/Summary!$B$22,1)+Summary!$B$11*IFERROR(B466/Summary!$B$23,1))-1)</f>
        <v/>
      </c>
      <c r="I14">
        <f>((1-Summary!$B$11)*IFERROR(B465/Summary!$B$22,1)+Summary!$B$11*IFERROR(B466/Summary!$B$23,1))*100</f>
        <v/>
      </c>
    </row>
    <row r="15">
      <c r="A15" t="inlineStr">
        <is>
          <t>CRIT_DAMAGE %</t>
        </is>
      </c>
      <c r="B15">
        <f>IFERROR(1/(I15-100),"n/a")</f>
        <v/>
      </c>
      <c r="C15" t="inlineStr">
        <is>
          <t>pct</t>
        </is>
      </c>
      <c r="D15">
        <f>Inputs!$B$10</f>
        <v/>
      </c>
      <c r="E15">
        <f>(Inputs!$B$10+1)</f>
        <v/>
      </c>
      <c r="F15">
        <f>Summary!$B$3</f>
        <v/>
      </c>
      <c r="G15">
        <f>B507</f>
        <v/>
      </c>
      <c r="H15">
        <f>Summary!$B$3*(((1-Summary!$B$11)*IFERROR(B505/Summary!$B$22,1)+Summary!$B$11*IFERROR(B506/Summary!$B$23,1))-1)</f>
        <v/>
      </c>
      <c r="I15">
        <f>((1-Summary!$B$11)*IFERROR(B505/Summary!$B$22,1)+Summary!$B$11*IFERROR(B506/Summary!$B$23,1))*100</f>
        <v/>
      </c>
    </row>
    <row r="16">
      <c r="A16" t="inlineStr">
        <is>
          <t>ATTACK_SPEED % (diminishing returns, factor 150)</t>
        </is>
      </c>
      <c r="B16">
        <f>IFERROR(1/(I16-100),"n/a")</f>
        <v/>
      </c>
      <c r="C16" t="inlineStr">
        <is>
          <t>dr150</t>
        </is>
      </c>
      <c r="D16">
        <f>Inputs!$B$11</f>
        <v/>
      </c>
      <c r="E16">
        <f>((1-(1-Inputs!$B$11/150)*(1-1/150))*150)</f>
        <v/>
      </c>
      <c r="F16">
        <f>Summary!$B$3</f>
        <v/>
      </c>
      <c r="G16">
        <f>B547</f>
        <v/>
      </c>
      <c r="H16">
        <f>Summary!$B$3*(((1-Summary!$B$11)*IFERROR(B545/Summary!$B$22,1)+Summary!$B$11*IFERROR(B546/Summary!$B$23,1))-1)</f>
        <v/>
      </c>
      <c r="I16">
        <f>((1-Summary!$B$11)*IFERROR(B545/Summary!$B$22,1)+Summary!$B$11*IFERROR(B546/Summary!$B$23,1))*100</f>
        <v/>
      </c>
    </row>
    <row r="17">
      <c r="A17" t="inlineStr">
        <is>
          <t>DEF_PEN % (diminishing returns, factor 100)</t>
        </is>
      </c>
      <c r="B17">
        <f>IFERROR(1/(I17-100),"n/a")</f>
        <v/>
      </c>
      <c r="C17" t="inlineStr">
        <is>
          <t>dr100</t>
        </is>
      </c>
      <c r="D17">
        <f>Inputs!$B$19</f>
        <v/>
      </c>
      <c r="E17">
        <f>((1-(1-Inputs!$B$19/100)*(1-1/100))*100)</f>
        <v/>
      </c>
      <c r="F17">
        <f>Summary!$B$3</f>
        <v/>
      </c>
      <c r="G17">
        <f>B587</f>
        <v/>
      </c>
      <c r="H17">
        <f>Summary!$B$3*(((1-Summary!$B$11)*IFERROR(B585/Summary!$B$22,1)+Summary!$B$11*IFERROR(B586/Summary!$B$23,1))-1)</f>
        <v/>
      </c>
      <c r="I17">
        <f>((1-Summary!$B$11)*IFERROR(B585/Summary!$B$22,1)+Summary!$B$11*IFERROR(B586/Summary!$B$23,1))*100</f>
        <v/>
      </c>
    </row>
    <row r="18">
      <c r="A18" t="inlineStr">
        <is>
          <t>BASIC_ATTACK_DAMAGE %</t>
        </is>
      </c>
      <c r="B18">
        <f>IFERROR(1/(I18-100),"n/a")</f>
        <v/>
      </c>
      <c r="C18" t="inlineStr">
        <is>
          <t>pct</t>
        </is>
      </c>
      <c r="D18">
        <f>Inputs!$B$17</f>
        <v/>
      </c>
      <c r="E18">
        <f>(Inputs!$B$17+1)</f>
        <v/>
      </c>
      <c r="F18">
        <f>Summary!$B$3</f>
        <v/>
      </c>
      <c r="G18">
        <f>B627</f>
        <v/>
      </c>
      <c r="H18">
        <f>Summary!$B$3*(((1-Summary!$B$11)*IFERROR(B625/Summary!$B$22,1)+Summary!$B$11*IFERROR(B626/Summary!$B$23,1))-1)</f>
        <v/>
      </c>
      <c r="I18">
        <f>((1-Summary!$B$11)*IFERROR(B625/Summary!$B$22,1)+Summary!$B$11*IFERROR(B626/Summary!$B$23,1))*100</f>
        <v/>
      </c>
    </row>
    <row r="19">
      <c r="A19" t="inlineStr">
        <is>
          <t>SKILL_DAMAGE %</t>
        </is>
      </c>
      <c r="B19">
        <f>IFERROR(1/(I19-100),"n/a")</f>
        <v/>
      </c>
      <c r="C19" t="inlineStr">
        <is>
          <t>pct</t>
        </is>
      </c>
      <c r="D19">
        <f>Inputs!$B$18</f>
        <v/>
      </c>
      <c r="E19">
        <f>(Inputs!$B$18+1)</f>
        <v/>
      </c>
      <c r="F19">
        <f>Summary!$B$3</f>
        <v/>
      </c>
      <c r="G19">
        <f>B667</f>
        <v/>
      </c>
      <c r="H19">
        <f>Summary!$B$3*(((1-Summary!$B$11)*IFERROR(B665/Summary!$B$22,1)+Summary!$B$11*IFERROR(B666/Summary!$B$23,1))-1)</f>
        <v/>
      </c>
      <c r="I19">
        <f>((1-Summary!$B$11)*IFERROR(B665/Summary!$B$22,1)+Summary!$B$11*IFERROR(B666/Summary!$B$23,1))*100</f>
        <v/>
      </c>
    </row>
    <row r="20">
      <c r="A20" t="inlineStr">
        <is>
          <t>Skill Level Bonus — 1st Job</t>
        </is>
      </c>
      <c r="B20">
        <f>IFERROR(1/(I20-100),"n/a")</f>
        <v/>
      </c>
      <c r="C20" t="inlineStr">
        <is>
          <t>level</t>
        </is>
      </c>
      <c r="D20">
        <f>Inputs!$B$25</f>
        <v/>
      </c>
      <c r="E20">
        <f>(Inputs!$B$25+1)</f>
        <v/>
      </c>
      <c r="F20">
        <f>Summary!$B$3</f>
        <v/>
      </c>
      <c r="G20">
        <f>B707</f>
        <v/>
      </c>
      <c r="H20">
        <f>Summary!$B$3*(((1-Summary!$B$11)*IFERROR(B705/Summary!$B$22,1)+Summary!$B$11*IFERROR(B706/Summary!$B$23,1))-1)</f>
        <v/>
      </c>
      <c r="I20">
        <f>((1-Summary!$B$11)*IFERROR(B705/Summary!$B$22,1)+Summary!$B$11*IFERROR(B706/Summary!$B$23,1))*100</f>
        <v/>
      </c>
    </row>
    <row r="21">
      <c r="A21" t="inlineStr">
        <is>
          <t>Skill Level Bonus — 2nd Job</t>
        </is>
      </c>
      <c r="B21">
        <f>IFERROR(1/(I21-100),"n/a")</f>
        <v/>
      </c>
      <c r="C21" t="inlineStr">
        <is>
          <t>level</t>
        </is>
      </c>
      <c r="D21">
        <f>Inputs!$B$26</f>
        <v/>
      </c>
      <c r="E21">
        <f>(Inputs!$B$26+1)</f>
        <v/>
      </c>
      <c r="F21">
        <f>Summary!$B$3</f>
        <v/>
      </c>
      <c r="G21">
        <f>B747</f>
        <v/>
      </c>
      <c r="H21">
        <f>Summary!$B$3*(((1-Summary!$B$11)*IFERROR(B745/Summary!$B$22,1)+Summary!$B$11*IFERROR(B746/Summary!$B$23,1))-1)</f>
        <v/>
      </c>
      <c r="I21">
        <f>((1-Summary!$B$11)*IFERROR(B745/Summary!$B$22,1)+Summary!$B$11*IFERROR(B746/Summary!$B$23,1))*100</f>
        <v/>
      </c>
    </row>
    <row r="22">
      <c r="A22" t="inlineStr">
        <is>
          <t>Skill Level Bonus — 3rd Job</t>
        </is>
      </c>
      <c r="B22">
        <f>IFERROR(1/(I22-100),"n/a")</f>
        <v/>
      </c>
      <c r="C22" t="inlineStr">
        <is>
          <t>level</t>
        </is>
      </c>
      <c r="D22">
        <f>Inputs!$B$27</f>
        <v/>
      </c>
      <c r="E22">
        <f>(Inputs!$B$27+1)</f>
        <v/>
      </c>
      <c r="F22">
        <f>Summary!$B$3</f>
        <v/>
      </c>
      <c r="G22">
        <f>B787</f>
        <v/>
      </c>
      <c r="H22">
        <f>Summary!$B$3*(((1-Summary!$B$11)*IFERROR(B785/Summary!$B$22,1)+Summary!$B$11*IFERROR(B786/Summary!$B$23,1))-1)</f>
        <v/>
      </c>
      <c r="I22">
        <f>((1-Summary!$B$11)*IFERROR(B785/Summary!$B$22,1)+Summary!$B$11*IFERROR(B786/Summary!$B$23,1))*100</f>
        <v/>
      </c>
    </row>
    <row r="23">
      <c r="A23" t="inlineStr">
        <is>
          <t>Skill Level Bonus — 4th Job</t>
        </is>
      </c>
      <c r="B23">
        <f>IFERROR(1/(I23-100),"n/a")</f>
        <v/>
      </c>
      <c r="C23" t="inlineStr">
        <is>
          <t>level</t>
        </is>
      </c>
      <c r="D23">
        <f>Inputs!$B$28</f>
        <v/>
      </c>
      <c r="E23">
        <f>(Inputs!$B$28+1)</f>
        <v/>
      </c>
      <c r="F23">
        <f>Summary!$B$3</f>
        <v/>
      </c>
      <c r="G23">
        <f>B827</f>
        <v/>
      </c>
      <c r="H23">
        <f>Summary!$B$3*(((1-Summary!$B$11)*IFERROR(B825/Summary!$B$22,1)+Summary!$B$11*IFERROR(B826/Summary!$B$23,1))-1)</f>
        <v/>
      </c>
      <c r="I23">
        <f>((1-Summary!$B$11)*IFERROR(B825/Summary!$B$22,1)+Summary!$B$11*IFERROR(B826/Summary!$B$23,1))*100</f>
        <v/>
      </c>
    </row>
    <row r="24">
      <c r="A24" t="inlineStr">
        <is>
          <t>Skill Level Bonus — All Skills</t>
        </is>
      </c>
      <c r="B24">
        <f>IFERROR(1/(I24-100),"n/a")</f>
        <v/>
      </c>
      <c r="C24" t="inlineStr">
        <is>
          <t>level</t>
        </is>
      </c>
      <c r="D24">
        <f>Inputs!$B$29</f>
        <v/>
      </c>
      <c r="E24">
        <f>(Inputs!$B$29+1)</f>
        <v/>
      </c>
      <c r="F24">
        <f>Summary!$B$3</f>
        <v/>
      </c>
      <c r="G24">
        <f>B867</f>
        <v/>
      </c>
      <c r="H24">
        <f>Summary!$B$3*(((1-Summary!$B$11)*IFERROR(B865/Summary!$B$22,1)+Summary!$B$11*IFERROR(B866/Summary!$B$23,1))-1)</f>
        <v/>
      </c>
      <c r="I24">
        <f>((1-Summary!$B$11)*IFERROR(B865/Summary!$B$22,1)+Summary!$B$11*IFERROR(B866/Summary!$B$23,1))*100</f>
        <v/>
      </c>
    </row>
    <row r="25">
      <c r="A25" t="inlineStr">
        <is>
          <t>Flat ATTACK</t>
        </is>
      </c>
      <c r="B25">
        <f>IFERROR(1/(I25-100),"n/a")</f>
        <v/>
      </c>
      <c r="C25" t="inlineStr">
        <is>
          <t>flat</t>
        </is>
      </c>
      <c r="D25">
        <f>Inputs!$B$6</f>
        <v/>
      </c>
      <c r="E25">
        <f>(Inputs!$B$6+1)</f>
        <v/>
      </c>
      <c r="F25">
        <f>Summary!$B$3</f>
        <v/>
      </c>
      <c r="G25">
        <f>B907</f>
        <v/>
      </c>
      <c r="H25">
        <f>Summary!$B$3*(((1-Summary!$B$11)*IFERROR(B905/Summary!$B$22,1)+Summary!$B$11*IFERROR(B906/Summary!$B$23,1))-1)</f>
        <v/>
      </c>
      <c r="I25">
        <f>((1-Summary!$B$11)*IFERROR(B905/Summary!$B$22,1)+Summary!$B$11*IFERROR(B906/Summary!$B$23,1))*100</f>
        <v/>
      </c>
    </row>
    <row r="26">
      <c r="A26" t="inlineStr">
        <is>
          <t>ATTACK %</t>
        </is>
      </c>
      <c r="B26">
        <f>IFERROR(1/(I26-100),"n/a")</f>
        <v/>
      </c>
      <c r="C26" t="inlineStr">
        <is>
          <t>pct</t>
        </is>
      </c>
      <c r="D26">
        <f>Inputs!$B$7</f>
        <v/>
      </c>
      <c r="E26">
        <f>(Inputs!$B$7+1)</f>
        <v/>
      </c>
      <c r="F26">
        <f>Summary!$B$3</f>
        <v/>
      </c>
      <c r="G26">
        <f>B947</f>
        <v/>
      </c>
      <c r="H26">
        <f>Summary!$B$3*(((1-Summary!$B$11)*IFERROR(B945/Summary!$B$22,1)+Summary!$B$11*IFERROR(B946/Summary!$B$23,1))-1)</f>
        <v/>
      </c>
      <c r="I26">
        <f>((1-Summary!$B$11)*IFERROR(B945/Summary!$B$22,1)+Summary!$B$11*IFERROR(B946/Summary!$B$23,1))*100</f>
        <v/>
      </c>
    </row>
    <row r="27">
      <c r="A27" t="inlineStr">
        <is>
          <t>Skill Cooldown Decrease (seconds)</t>
        </is>
      </c>
      <c r="B27">
        <f>IFERROR(1/(I27-100),"n/a")</f>
        <v/>
      </c>
      <c r="C27" t="inlineStr">
        <is>
          <t>flat</t>
        </is>
      </c>
      <c r="D27">
        <f>Inputs!$B$32</f>
        <v/>
      </c>
      <c r="E27">
        <f>(Inputs!$B$32+1)</f>
        <v/>
      </c>
      <c r="F27">
        <f>Summary!$B$3</f>
        <v/>
      </c>
      <c r="G27">
        <f>B987</f>
        <v/>
      </c>
      <c r="H27">
        <f>Summary!$B$3*(((1-Summary!$B$11)*IFERROR(B985/Summary!$B$22,1)+Summary!$B$11*IFERROR(B986/Summary!$B$23,1))-1)</f>
        <v/>
      </c>
      <c r="I27">
        <f>((1-Summary!$B$11)*IFERROR(B985/Summary!$B$22,1)+Summary!$B$11*IFERROR(B986/Summary!$B$23,1))*100</f>
        <v/>
      </c>
    </row>
    <row r="28">
      <c r="A28" t="inlineStr">
        <is>
          <t>Basic Attack Target Increase (flat)</t>
        </is>
      </c>
      <c r="B28">
        <f>IFERROR(1/(I28-100),"n/a")</f>
        <v/>
      </c>
      <c r="C28" t="inlineStr">
        <is>
          <t>flat</t>
        </is>
      </c>
      <c r="D28">
        <f>Inputs!$B$33</f>
        <v/>
      </c>
      <c r="E28">
        <f>(Inputs!$B$33+1)</f>
        <v/>
      </c>
      <c r="F28">
        <f>Summary!$B$3</f>
        <v/>
      </c>
      <c r="G28">
        <f>B1027</f>
        <v/>
      </c>
      <c r="H28">
        <f>Summary!$B$3*(((1-Summary!$B$11)*IFERROR(B1025/Summary!$B$22,1)+Summary!$B$11*IFERROR(B1026/Summary!$B$23,1))-1)</f>
        <v/>
      </c>
      <c r="I28">
        <f>((1-Summary!$B$11)*IFERROR(B1025/Summary!$B$22,1)+Summary!$B$11*IFERROR(B1026/Summary!$B$23,1))*100</f>
        <v/>
      </c>
    </row>
    <row r="29">
      <c r="A29" t="inlineStr">
        <is>
          <t>Buff Duration Increase %</t>
        </is>
      </c>
      <c r="B29">
        <f>IFERROR(1/(I29-100),"n/a")</f>
        <v/>
      </c>
      <c r="C29" t="inlineStr">
        <is>
          <t>pct</t>
        </is>
      </c>
      <c r="D29">
        <f>Inputs!$B$34</f>
        <v/>
      </c>
      <c r="E29">
        <f>(Inputs!$B$34+1)</f>
        <v/>
      </c>
      <c r="F29">
        <f>Summary!$B$3</f>
        <v/>
      </c>
      <c r="G29">
        <f>B1067</f>
        <v/>
      </c>
      <c r="H29">
        <f>Summary!$B$3*(((1-Summary!$B$11)*IFERROR(B1065/Summary!$B$22,1)+Summary!$B$11*IFERROR(B1066/Summary!$B$23,1))-1)</f>
        <v/>
      </c>
      <c r="I29">
        <f>((1-Summary!$B$11)*IFERROR(B1065/Summary!$B$22,1)+Summary!$B$11*IFERROR(B1066/Summary!$B$23,1))*100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(IF(ArtifactsInput!$M$5,-1,1)*Summary!$B$3*(((1-Summary!$B$11)*IFERROR(B1105/Summary!$B$22,1)+Summary!$B$11*IFERROR(B1106/Summary!$B$23,1))-1)+ArtifactsInput!$L$5)</f>
        <v/>
      </c>
      <c r="AC32">
        <f>IF(ArtifactsInput!$M$5,Summary!$B$3/(Summary!$B$3-(IF(ArtifactsInput!$M$5,-1,1)*Summary!$B$3*(((1-Summary!$B$11)*IFERROR(B1105/Summary!$B$22,1)+Summary!$B$11*IFERROR(B1106/Summary!$B$23,1))-1)+ArtifactsInput!$L$5))*100,(Summary!$B$3+(IF(ArtifactsInput!$M$5,-1,1)*Summary!$B$3*(((1-Summary!$B$11)*IFERROR(B1105/Summary!$B$22,1)+Summary!$B$11*IFERROR(B1106/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(IF(ArtifactsInput!$M$6,-1,1)*Summary!$B$3*(((1-Summary!$B$11)*IFERROR(B1145/Summary!$B$22,1)+Summary!$B$11*IFERROR(B1146/Summary!$B$23,1))-1)+ArtifactsInput!$L$6)</f>
        <v/>
      </c>
      <c r="AC33">
        <f>IF(ArtifactsInput!$M$6,Summary!$B$3/(Summary!$B$3-(IF(ArtifactsInput!$M$6,-1,1)*Summary!$B$3*(((1-Summary!$B$11)*IFERROR(B1145/Summary!$B$22,1)+Summary!$B$11*IFERROR(B1146/Summary!$B$23,1))-1)+ArtifactsInput!$L$6))*100,(Summary!$B$3+(IF(ArtifactsInput!$M$6,-1,1)*Summary!$B$3*(((1-Summary!$B$11)*IFERROR(B1145/Summary!$B$22,1)+Summary!$B$11*IFERROR(B1146/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(IF(ArtifactsInput!$M$7,-1,1)*Summary!$B$3*(((1-Summary!$B$11)*IFERROR(B1185/Summary!$B$22,1)+Summary!$B$11*IFERROR(B1186/Summary!$B$23,1))-1)+ArtifactsInput!$L$7)</f>
        <v/>
      </c>
      <c r="AC34">
        <f>IF(ArtifactsInput!$M$7,Summary!$B$3/(Summary!$B$3-(IF(ArtifactsInput!$M$7,-1,1)*Summary!$B$3*(((1-Summary!$B$11)*IFERROR(B1185/Summary!$B$22,1)+Summary!$B$11*IFERROR(B1186/Summary!$B$23,1))-1)+ArtifactsInput!$L$7))*100,(Summary!$B$3+(IF(ArtifactsInput!$M$7,-1,1)*Summary!$B$3*(((1-Summary!$B$11)*IFERROR(B1185/Summary!$B$22,1)+Summary!$B$11*IFERROR(B1186/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(IF(ArtifactsInput!$M$8,-1,1)*Summary!$B$3*(((1-Summary!$B$11)*IFERROR(B1225/Summary!$B$22,1)+Summary!$B$11*IFERROR(B1226/Summary!$B$23,1))-1)+ArtifactsInput!$L$8)</f>
        <v/>
      </c>
      <c r="AC35">
        <f>IF(ArtifactsInput!$M$8,Summary!$B$3/(Summary!$B$3-(IF(ArtifactsInput!$M$8,-1,1)*Summary!$B$3*(((1-Summary!$B$11)*IFERROR(B1225/Summary!$B$22,1)+Summary!$B$11*IFERROR(B1226/Summary!$B$23,1))-1)+ArtifactsInput!$L$8))*100,(Summary!$B$3+(IF(ArtifactsInput!$M$8,-1,1)*Summary!$B$3*(((1-Summary!$B$11)*IFERROR(B1225/Summary!$B$22,1)+Summary!$B$11*IFERROR(B1226/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(IF(ArtifactsInput!$M$10,-1,1)*Summary!$B$3*(((1-Summary!$B$11)*IFERROR(B1265/Summary!$B$22,1)+Summary!$B$11*IFERROR(B1266/Summary!$B$23,1))-1)+ArtifactsInput!$L$10)</f>
        <v/>
      </c>
      <c r="AC36">
        <f>IF(ArtifactsInput!$M$10,Summary!$B$3/(Summary!$B$3-(IF(ArtifactsInput!$M$10,-1,1)*Summary!$B$3*(((1-Summary!$B$11)*IFERROR(B1265/Summary!$B$22,1)+Summary!$B$11*IFERROR(B1266/Summary!$B$23,1))-1)+ArtifactsInput!$L$10))*100,(Summary!$B$3+(IF(ArtifactsInput!$M$10,-1,1)*Summary!$B$3*(((1-Summary!$B$11)*IFERROR(B1265/Summary!$B$22,1)+Summary!$B$11*IFERROR(B1266/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(IF(ArtifactsInput!$M$11,-1,1)*Summary!$B$3*(((1-Summary!$B$11)*IFERROR(B1305/Summary!$B$22,1)+Summary!$B$11*IFERROR(B1306/Summary!$B$23,1))-1)+ArtifactsInput!$L$11)</f>
        <v/>
      </c>
      <c r="AC37">
        <f>IF(ArtifactsInput!$M$11,Summary!$B$3/(Summary!$B$3-(IF(ArtifactsInput!$M$11,-1,1)*Summary!$B$3*(((1-Summary!$B$11)*IFERROR(B1305/Summary!$B$22,1)+Summary!$B$11*IFERROR(B1306/Summary!$B$23,1))-1)+ArtifactsInput!$L$11))*100,(Summary!$B$3+(IF(ArtifactsInput!$M$11,-1,1)*Summary!$B$3*(((1-Summary!$B$11)*IFERROR(B1305/Summary!$B$22,1)+Summary!$B$11*IFERROR(B1306/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(IF(ArtifactsInput!$M$12,-1,1)*Summary!$B$3*(((1-Summary!$B$11)*IFERROR(B1345/Summary!$B$22,1)+Summary!$B$11*IFERROR(B1346/Summary!$B$23,1))-1)+ArtifactsInput!$L$12)</f>
        <v/>
      </c>
      <c r="AC38">
        <f>IF(ArtifactsInput!$M$12,Summary!$B$3/(Summary!$B$3-(IF(ArtifactsInput!$M$12,-1,1)*Summary!$B$3*(((1-Summary!$B$11)*IFERROR(B1345/Summary!$B$22,1)+Summary!$B$11*IFERROR(B1346/Summary!$B$23,1))-1)+ArtifactsInput!$L$12))*100,(Summary!$B$3+(IF(ArtifactsInput!$M$12,-1,1)*Summary!$B$3*(((1-Summary!$B$11)*IFERROR(B1345/Summary!$B$22,1)+Summary!$B$11*IFERROR(B1346/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(IF(ArtifactsInput!$M$13,-1,1)*Summary!$B$3*(((1-Summary!$B$11)*IFERROR(B1385/Summary!$B$22,1)+Summary!$B$11*IFERROR(B1386/Summary!$B$23,1))-1)+ArtifactsInput!$L$13)</f>
        <v/>
      </c>
      <c r="AC39">
        <f>IF(ArtifactsInput!$M$13,Summary!$B$3/(Summary!$B$3-(IF(ArtifactsInput!$M$13,-1,1)*Summary!$B$3*(((1-Summary!$B$11)*IFERROR(B1385/Summary!$B$22,1)+Summary!$B$11*IFERROR(B1386/Summary!$B$23,1))-1)+ArtifactsInput!$L$13))*100,(Summary!$B$3+(IF(ArtifactsInput!$M$13,-1,1)*Summary!$B$3*(((1-Summary!$B$11)*IFERROR(B1385/Summary!$B$22,1)+Summary!$B$11*IFERROR(B1386/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(IF(ArtifactsInput!$M$14,-1,1)*Summary!$B$3*(((1-Summary!$B$11)*IFERROR(B1425/Summary!$B$22,1)+Summary!$B$11*IFERROR(B1426/Summary!$B$23,1))-1)+ArtifactsInput!$L$14)</f>
        <v/>
      </c>
      <c r="AC40">
        <f>IF(ArtifactsInput!$M$14,Summary!$B$3/(Summary!$B$3-(IF(ArtifactsInput!$M$14,-1,1)*Summary!$B$3*(((1-Summary!$B$11)*IFERROR(B1425/Summary!$B$22,1)+Summary!$B$11*IFERROR(B1426/Summary!$B$23,1))-1)+ArtifactsInput!$L$14))*100,(Summary!$B$3+(IF(ArtifactsInput!$M$14,-1,1)*Summary!$B$3*(((1-Summary!$B$11)*IFERROR(B1425/Summary!$B$22,1)+Summary!$B$11*IFERROR(B1426/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(IF(ArtifactsInput!$M$15,-1,1)*Summary!$B$3*(((1-Summary!$B$11)*IFERROR(B1465/Summary!$B$22,1)+Summary!$B$11*IFERROR(B1466/Summary!$B$23,1))-1)+ArtifactsInput!$L$15)</f>
        <v/>
      </c>
      <c r="AC41">
        <f>IF(ArtifactsInput!$M$15,Summary!$B$3/(Summary!$B$3-(IF(ArtifactsInput!$M$15,-1,1)*Summary!$B$3*(((1-Summary!$B$11)*IFERROR(B1465/Summary!$B$22,1)+Summary!$B$11*IFERROR(B1466/Summary!$B$23,1))-1)+ArtifactsInput!$L$15))*100,(Summary!$B$3+(IF(ArtifactsInput!$M$15,-1,1)*Summary!$B$3*(((1-Summary!$B$11)*IFERROR(B1465/Summary!$B$22,1)+Summary!$B$11*IFERROR(B1466/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(IF(ArtifactsInput!$M$16,-1,1)*Summary!$B$3*(((1-Summary!$B$11)*IFERROR(B1505/Summary!$B$22,1)+Summary!$B$11*IFERROR(B1506/Summary!$B$23,1))-1)+ArtifactsInput!$L$16)</f>
        <v/>
      </c>
      <c r="AC42">
        <f>IF(ArtifactsInput!$M$16,Summary!$B$3/(Summary!$B$3-(IF(ArtifactsInput!$M$16,-1,1)*Summary!$B$3*(((1-Summary!$B$11)*IFERROR(B1505/Summary!$B$22,1)+Summary!$B$11*IFERROR(B1506/Summary!$B$23,1))-1)+ArtifactsInput!$L$16))*100,(Summary!$B$3+(IF(ArtifactsInput!$M$16,-1,1)*Summary!$B$3*(((1-Summary!$B$11)*IFERROR(B1505/Summary!$B$22,1)+Summary!$B$11*IFERROR(B1506/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(IF(ArtifactsInput!$M$17,-1,1)*Summary!$B$3*(((1-Summary!$B$11)*IFERROR(B1545/Summary!$B$22,1)+Summary!$B$11*IFERROR(B1546/Summary!$B$23,1))-1)+ArtifactsInput!$L$17)</f>
        <v/>
      </c>
      <c r="AC43">
        <f>IF(ArtifactsInput!$M$17,Summary!$B$3/(Summary!$B$3-(IF(ArtifactsInput!$M$17,-1,1)*Summary!$B$3*(((1-Summary!$B$11)*IFERROR(B1545/Summary!$B$22,1)+Summary!$B$11*IFERROR(B1546/Summary!$B$23,1))-1)+ArtifactsInput!$L$17))*100,(Summary!$B$3+(IF(ArtifactsInput!$M$17,-1,1)*Summary!$B$3*(((1-Summary!$B$11)*IFERROR(B1545/Summary!$B$22,1)+Summary!$B$11*IFERROR(B1546/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(IF(ArtifactsInput!$M$18,-1,1)*Summary!$B$3*(((1-Summary!$B$11)*IFERROR(B1585/Summary!$B$22,1)+Summary!$B$11*IFERROR(B1586/Summary!$B$23,1))-1)+ArtifactsInput!$L$18)</f>
        <v/>
      </c>
      <c r="AC44">
        <f>IF(ArtifactsInput!$M$18,Summary!$B$3/(Summary!$B$3-(IF(ArtifactsInput!$M$18,-1,1)*Summary!$B$3*(((1-Summary!$B$11)*IFERROR(B1585/Summary!$B$22,1)+Summary!$B$11*IFERROR(B1586/Summary!$B$23,1))-1)+ArtifactsInput!$L$18))*100,(Summary!$B$3+(IF(ArtifactsInput!$M$18,-1,1)*Summary!$B$3*(((1-Summary!$B$11)*IFERROR(B1585/Summary!$B$22,1)+Summary!$B$11*IFERROR(B1586/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(IF(ArtifactsInput!$M$20,-1,1)*Summary!$B$3*(((1-Summary!$B$11)*IFERROR(B1625/Summary!$B$22,1)+Summary!$B$11*IFERROR(B1626/Summary!$B$23,1))-1)+ArtifactsInput!$L$20)</f>
        <v/>
      </c>
      <c r="AC45">
        <f>IF(ArtifactsInput!$M$20,Summary!$B$3/(Summary!$B$3-(IF(ArtifactsInput!$M$20,-1,1)*Summary!$B$3*(((1-Summary!$B$11)*IFERROR(B1625/Summary!$B$22,1)+Summary!$B$11*IFERROR(B1626/Summary!$B$23,1))-1)+ArtifactsInput!$L$20))*100,(Summary!$B$3+(IF(ArtifactsInput!$M$20,-1,1)*Summary!$B$3*(((1-Summary!$B$11)*IFERROR(B1625/Summary!$B$22,1)+Summary!$B$11*IFERROR(B1626/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(IF(ArtifactsInput!$M$21,-1,1)*Summary!$B$3*(((1-Summary!$B$11)*IFERROR(B1665/Summary!$B$22,1)+Summary!$B$11*IFERROR(B1666/Summary!$B$23,1))-1)+ArtifactsInput!$L$21)</f>
        <v/>
      </c>
      <c r="AC46">
        <f>IF(ArtifactsInput!$M$21,Summary!$B$3/(Summary!$B$3-(IF(ArtifactsInput!$M$21,-1,1)*Summary!$B$3*(((1-Summary!$B$11)*IFERROR(B1665/Summary!$B$22,1)+Summary!$B$11*IFERROR(B1666/Summary!$B$23,1))-1)+ArtifactsInput!$L$21))*100,(Summary!$B$3+(IF(ArtifactsInput!$M$21,-1,1)*Summary!$B$3*(((1-Summary!$B$11)*IFERROR(B1665/Summary!$B$22,1)+Summary!$B$11*IFERROR(B1666/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(IF(ArtifactsInput!$M$22,-1,1)*Summary!$B$3*(((1-Summary!$B$11)*IFERROR(B1705/Summary!$B$22,1)+Summary!$B$11*IFERROR(B1706/Summary!$B$23,1))-1)+ArtifactsInput!$L$22)</f>
        <v/>
      </c>
      <c r="AC47">
        <f>IF(ArtifactsInput!$M$22,Summary!$B$3/(Summary!$B$3-(IF(ArtifactsInput!$M$22,-1,1)*Summary!$B$3*(((1-Summary!$B$11)*IFERROR(B1705/Summary!$B$22,1)+Summary!$B$11*IFERROR(B1706/Summary!$B$23,1))-1)+ArtifactsInput!$L$22))*100,(Summary!$B$3+(IF(ArtifactsInput!$M$22,-1,1)*Summary!$B$3*(((1-Summary!$B$11)*IFERROR(B1705/Summary!$B$22,1)+Summary!$B$11*IFERROR(B1706/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(IF(ArtifactsInput!$M$23,-1,1)*Summary!$B$3*(((1-Summary!$B$11)*IFERROR(B1745/Summary!$B$22,1)+Summary!$B$11*IFERROR(B1746/Summary!$B$23,1))-1)+ArtifactsInput!$L$23)</f>
        <v/>
      </c>
      <c r="AC48">
        <f>IF(ArtifactsInput!$M$23,Summary!$B$3/(Summary!$B$3-(IF(ArtifactsInput!$M$23,-1,1)*Summary!$B$3*(((1-Summary!$B$11)*IFERROR(B1745/Summary!$B$22,1)+Summary!$B$11*IFERROR(B1746/Summary!$B$23,1))-1)+ArtifactsInput!$L$23))*100,(Summary!$B$3+(IF(ArtifactsInput!$M$23,-1,1)*Summary!$B$3*(((1-Summary!$B$11)*IFERROR(B1745/Summary!$B$22,1)+Summary!$B$11*IFERROR(B1746/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(IF(ArtifactsInput!$M$24,-1,1)*Summary!$B$3*(((1-Summary!$B$11)*IFERROR(B1785/Summary!$B$22,1)+Summary!$B$11*IFERROR(B1786/Summary!$B$23,1))-1)+ArtifactsInput!$L$24)</f>
        <v/>
      </c>
      <c r="AC49">
        <f>IF(ArtifactsInput!$M$24,Summary!$B$3/(Summary!$B$3-(IF(ArtifactsInput!$M$24,-1,1)*Summary!$B$3*(((1-Summary!$B$11)*IFERROR(B1785/Summary!$B$22,1)+Summary!$B$11*IFERROR(B1786/Summary!$B$23,1))-1)+ArtifactsInput!$L$24))*100,(Summary!$B$3+(IF(ArtifactsInput!$M$24,-1,1)*Summary!$B$3*(((1-Summary!$B$11)*IFERROR(B1785/Summary!$B$22,1)+Summary!$B$11*IFERROR(B1786/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(IF(ArtifactsInput!$M$25,-1,1)*Summary!$B$3*(((1-Summary!$B$11)*IFERROR(B1825/Summary!$B$22,1)+Summary!$B$11*IFERROR(B1826/Summary!$B$23,1))-1)+ArtifactsInput!$L$25)</f>
        <v/>
      </c>
      <c r="AC50">
        <f>IF(ArtifactsInput!$M$25,Summary!$B$3/(Summary!$B$3-(IF(ArtifactsInput!$M$25,-1,1)*Summary!$B$3*(((1-Summary!$B$11)*IFERROR(B1825/Summary!$B$22,1)+Summary!$B$11*IFERROR(B1826/Summary!$B$23,1))-1)+ArtifactsInput!$L$25))*100,(Summary!$B$3+(IF(ArtifactsInput!$M$25,-1,1)*Summary!$B$3*(((1-Summary!$B$11)*IFERROR(B1825/Summary!$B$22,1)+Summary!$B$11*IFERROR(B1826/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(IF(ArtifactsInput!$M$26,-1,1)*Summary!$B$3*(((1-Summary!$B$11)*IFERROR(B1865/Summary!$B$22,1)+Summary!$B$11*IFERROR(B1866/Summary!$B$23,1))-1)+ArtifactsInput!$L$26)</f>
        <v/>
      </c>
      <c r="AC51">
        <f>IF(ArtifactsInput!$M$26,Summary!$B$3/(Summary!$B$3-(IF(ArtifactsInput!$M$26,-1,1)*Summary!$B$3*(((1-Summary!$B$11)*IFERROR(B1865/Summary!$B$22,1)+Summary!$B$11*IFERROR(B1866/Summary!$B$23,1))-1)+ArtifactsInput!$L$26))*100,(Summary!$B$3+(IF(ArtifactsInput!$M$26,-1,1)*Summary!$B$3*(((1-Summary!$B$11)*IFERROR(B1865/Summary!$B$22,1)+Summary!$B$11*IFERROR(B1866/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(IF(ArtifactsInput!$M$27,-1,1)*Summary!$B$3*(((1-Summary!$B$11)*IFERROR(B1905/Summary!$B$22,1)+Summary!$B$11*IFERROR(B1906/Summary!$B$23,1))-1)+ArtifactsInput!$L$27)</f>
        <v/>
      </c>
      <c r="AC52">
        <f>IF(ArtifactsInput!$M$27,Summary!$B$3/(Summary!$B$3-(IF(ArtifactsInput!$M$27,-1,1)*Summary!$B$3*(((1-Summary!$B$11)*IFERROR(B1905/Summary!$B$22,1)+Summary!$B$11*IFERROR(B1906/Summary!$B$23,1))-1)+ArtifactsInput!$L$27))*100,(Summary!$B$3+(IF(ArtifactsInput!$M$27,-1,1)*Summary!$B$3*(((1-Summary!$B$11)*IFERROR(B1905/Summary!$B$22,1)+Summary!$B$11*IFERROR(B1906/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(IF(ArtifactsInput!$M$28,-1,1)*Summary!$B$3*(((1-Summary!$B$11)*IFERROR(B1945/Summary!$B$22,1)+Summary!$B$11*IFERROR(B1946/Summary!$B$23,1))-1)+ArtifactsInput!$L$28)</f>
        <v/>
      </c>
      <c r="AC53">
        <f>IF(ArtifactsInput!$M$28,Summary!$B$3/(Summary!$B$3-(IF(ArtifactsInput!$M$28,-1,1)*Summary!$B$3*(((1-Summary!$B$11)*IFERROR(B1945/Summary!$B$22,1)+Summary!$B$11*IFERROR(B1946/Summary!$B$23,1))-1)+ArtifactsInput!$L$28))*100,(Summary!$B$3+(IF(ArtifactsInput!$M$28,-1,1)*Summary!$B$3*(((1-Summary!$B$11)*IFERROR(B1945/Summary!$B$22,1)+Summary!$B$11*IFERROR(B1946/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(IF(ArtifactsInput!$M$29,-1,1)*Summary!$B$3*(((1-Summary!$B$11)*IFERROR(B1985/Summary!$B$22,1)+Summary!$B$11*IFERROR(B1986/Summary!$B$23,1))-1)+ArtifactsInput!$L$29)</f>
        <v/>
      </c>
      <c r="AC54">
        <f>IF(ArtifactsInput!$M$29,Summary!$B$3/(Summary!$B$3-(IF(ArtifactsInput!$M$29,-1,1)*Summary!$B$3*(((1-Summary!$B$11)*IFERROR(B1985/Summary!$B$22,1)+Summary!$B$11*IFERROR(B1986/Summary!$B$23,1))-1)+ArtifactsInput!$L$29))*100,(Summary!$B$3+(IF(ArtifactsInput!$M$29,-1,1)*Summary!$B$3*(((1-Summary!$B$11)*IFERROR(B1985/Summary!$B$22,1)+Summary!$B$11*IFERROR(B1986/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(IF(ArtifactsInput!$M$30,-1,1)*Summary!$B$3*(((1-Summary!$B$11)*IFERROR(B2025/Summary!$B$22,1)+Summary!$B$11*IFERROR(B2026/Summary!$B$23,1))-1)+ArtifactsInput!$L$30)</f>
        <v/>
      </c>
      <c r="AC55">
        <f>IF(ArtifactsInput!$M$30,Summary!$B$3/(Summary!$B$3-(IF(ArtifactsInput!$M$30,-1,1)*Summary!$B$3*(((1-Summary!$B$11)*IFERROR(B2025/Summary!$B$22,1)+Summary!$B$11*IFERROR(B2026/Summary!$B$23,1))-1)+ArtifactsInput!$L$30))*100,(Summary!$B$3+(IF(ArtifactsInput!$M$30,-1,1)*Summary!$B$3*(((1-Summary!$B$11)*IFERROR(B2025/Summary!$B$22,1)+Summary!$B$11*IFERROR(B2026/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(IF(ArtifactsInput!$M$31,-1,1)*Summary!$B$3*(((1-Summary!$B$11)*IFERROR(B2065/Summary!$B$22,1)+Summary!$B$11*IFERROR(B2066/Summary!$B$23,1))-1)+ArtifactsInput!$L$31)</f>
        <v/>
      </c>
      <c r="AC56">
        <f>IF(ArtifactsInput!$M$31,Summary!$B$3/(Summary!$B$3-(IF(ArtifactsInput!$M$31,-1,1)*Summary!$B$3*(((1-Summary!$B$11)*IFERROR(B2065/Summary!$B$22,1)+Summary!$B$11*IFERROR(B2066/Summary!$B$23,1))-1)+ArtifactsInput!$L$31))*100,(Summary!$B$3+(IF(ArtifactsInput!$M$31,-1,1)*Summary!$B$3*(((1-Summary!$B$11)*IFERROR(B2065/Summary!$B$22,1)+Summary!$B$11*IFERROR(B2066/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(IF(ArtifactsInput!$M$32,-1,1)*Summary!$B$3*(((1-Summary!$B$11)*IFERROR(B2105/Summary!$B$22,1)+Summary!$B$11*IFERROR(B2106/Summary!$B$23,1))-1)+ArtifactsInput!$L$32)</f>
        <v/>
      </c>
      <c r="AC57">
        <f>IF(ArtifactsInput!$M$32,Summary!$B$3/(Summary!$B$3-(IF(ArtifactsInput!$M$32,-1,1)*Summary!$B$3*(((1-Summary!$B$11)*IFERROR(B2105/Summary!$B$22,1)+Summary!$B$11*IFERROR(B2106/Summary!$B$23,1))-1)+ArtifactsInput!$L$32))*100,(Summary!$B$3+(IF(ArtifactsInput!$M$32,-1,1)*Summary!$B$3*(((1-Summary!$B$11)*IFERROR(B2105/Summary!$B$22,1)+Summary!$B$11*IFERROR(B2106/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(IF(ArtifactsInput!$M$33,-1,1)*Summary!$B$3*(((1-Summary!$B$11)*IFERROR(B2145/Summary!$B$22,1)+Summary!$B$11*IFERROR(B2146/Summary!$B$23,1))-1)+ArtifactsInput!$L$33)</f>
        <v/>
      </c>
      <c r="AC58">
        <f>IF(ArtifactsInput!$M$33,Summary!$B$3/(Summary!$B$3-(IF(ArtifactsInput!$M$33,-1,1)*Summary!$B$3*(((1-Summary!$B$11)*IFERROR(B2145/Summary!$B$22,1)+Summary!$B$11*IFERROR(B2146/Summary!$B$23,1))-1)+ArtifactsInput!$L$33))*100,(Summary!$B$3+(IF(ArtifactsInput!$M$33,-1,1)*Summary!$B$3*(((1-Summary!$B$11)*IFERROR(B2145/Summary!$B$22,1)+Summary!$B$11*IFERROR(B2146/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(IF(ArtifactsInput!$M$34,-1,1)*Summary!$B$3*(((1-Summary!$B$11)*IFERROR(B2185/Summary!$B$22,1)+Summary!$B$11*IFERROR(B2186/Summary!$B$23,1))-1)+ArtifactsInput!$L$34)</f>
        <v/>
      </c>
      <c r="AC59">
        <f>IF(ArtifactsInput!$M$34,Summary!$B$3/(Summary!$B$3-(IF(ArtifactsInput!$M$34,-1,1)*Summary!$B$3*(((1-Summary!$B$11)*IFERROR(B2185/Summary!$B$22,1)+Summary!$B$11*IFERROR(B2186/Summary!$B$23,1))-1)+ArtifactsInput!$L$34))*100,(Summary!$B$3+(IF(ArtifactsInput!$M$34,-1,1)*Summary!$B$3*(((1-Summary!$B$11)*IFERROR(B2185/Summary!$B$22,1)+Summary!$B$11*IFERROR(B2186/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(IF(ArtifactsInput!$M$35,-1,1)*Summary!$B$3*(((1-Summary!$B$11)*IFERROR(B2225/Summary!$B$22,1)+Summary!$B$11*IFERROR(B2226/Summary!$B$23,1))-1)+ArtifactsInput!$L$35)</f>
        <v/>
      </c>
      <c r="AC60">
        <f>IF(ArtifactsInput!$M$35,Summary!$B$3/(Summary!$B$3-(IF(ArtifactsInput!$M$35,-1,1)*Summary!$B$3*(((1-Summary!$B$11)*IFERROR(B2225/Summary!$B$22,1)+Summary!$B$11*IFERROR(B2226/Summary!$B$23,1))-1)+ArtifactsInput!$L$35))*100,(Summary!$B$3+(IF(ArtifactsInput!$M$35,-1,1)*Summary!$B$3*(((1-Summary!$B$11)*IFERROR(B2225/Summary!$B$22,1)+Summary!$B$11*IFERROR(B2226/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(IF(ArtifactsInput!$M$36,-1,1)*Summary!$B$3*(((1-Summary!$B$11)*IFERROR(B2265/Summary!$B$22,1)+Summary!$B$11*IFERROR(B2266/Summary!$B$23,1))-1)+ArtifactsInput!$L$36)</f>
        <v/>
      </c>
      <c r="AC61">
        <f>IF(ArtifactsInput!$M$36,Summary!$B$3/(Summary!$B$3-(IF(ArtifactsInput!$M$36,-1,1)*Summary!$B$3*(((1-Summary!$B$11)*IFERROR(B2265/Summary!$B$22,1)+Summary!$B$11*IFERROR(B2266/Summary!$B$23,1))-1)+ArtifactsInput!$L$36))*100,(Summary!$B$3+(IF(ArtifactsInput!$M$36,-1,1)*Summary!$B$3*(((1-Summary!$B$11)*IFERROR(B2265/Summary!$B$22,1)+Summary!$B$11*IFERROR(B2266/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(IF(ArtifactsInput!$M$37,-1,1)*Summary!$B$3*(((1-Summary!$B$11)*IFERROR(B2305/Summary!$B$22,1)+Summary!$B$11*IFERROR(B2306/Summary!$B$23,1))-1)+ArtifactsInput!$L$37)</f>
        <v/>
      </c>
      <c r="AC62">
        <f>IF(ArtifactsInput!$M$37,Summary!$B$3/(Summary!$B$3-(IF(ArtifactsInput!$M$37,-1,1)*Summary!$B$3*(((1-Summary!$B$11)*IFERROR(B2305/Summary!$B$22,1)+Summary!$B$11*IFERROR(B2306/Summary!$B$23,1))-1)+ArtifactsInput!$L$37))*100,(Summary!$B$3+(IF(ArtifactsInput!$M$37,-1,1)*Summary!$B$3*(((1-Summary!$B$11)*IFERROR(B2305/Summary!$B$22,1)+Summary!$B$11*IFERROR(B2306/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(IF(ArtifactsInput!$M$38,-1,1)*Summary!$B$3*(((1-Summary!$B$11)*IFERROR(B2345/Summary!$B$22,1)+Summary!$B$11*IFERROR(B2346/Summary!$B$23,1))-1)+ArtifactsInput!$L$38)</f>
        <v/>
      </c>
      <c r="AC63">
        <f>IF(ArtifactsInput!$M$38,Summary!$B$3/(Summary!$B$3-(IF(ArtifactsInput!$M$38,-1,1)*Summary!$B$3*(((1-Summary!$B$11)*IFERROR(B2345/Summary!$B$22,1)+Summary!$B$11*IFERROR(B2346/Summary!$B$23,1))-1)+ArtifactsInput!$L$38))*100,(Summary!$B$3+(IF(ArtifactsInput!$M$38,-1,1)*Summary!$B$3*(((1-Summary!$B$11)*IFERROR(B2345/Summary!$B$22,1)+Summary!$B$11*IFERROR(B2346/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(IF(ArtifactsInput!$M$39,-1,1)*Summary!$B$3*(((1-Summary!$B$11)*IFERROR(B2385/Summary!$B$22,1)+Summary!$B$11*IFERROR(B2386/Summary!$B$23,1))-1)+ArtifactsInput!$L$39)</f>
        <v/>
      </c>
      <c r="AC64">
        <f>IF(ArtifactsInput!$M$39,Summary!$B$3/(Summary!$B$3-(IF(ArtifactsInput!$M$39,-1,1)*Summary!$B$3*(((1-Summary!$B$11)*IFERROR(B2385/Summary!$B$22,1)+Summary!$B$11*IFERROR(B2386/Summary!$B$23,1))-1)+ArtifactsInput!$L$39))*100,(Summary!$B$3+(IF(ArtifactsInput!$M$39,-1,1)*Summary!$B$3*(((1-Summary!$B$11)*IFERROR(B2385/Summary!$B$22,1)+Summary!$B$11*IFERROR(B2386/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(IF(ArtifactsInput!$M$40,-1,1)*Summary!$B$3*(((1-Summary!$B$11)*IFERROR(B2425/Summary!$B$22,1)+Summary!$B$11*IFERROR(B2426/Summary!$B$23,1))-1)+ArtifactsInput!$L$40)</f>
        <v/>
      </c>
      <c r="AC65">
        <f>IF(ArtifactsInput!$M$40,Summary!$B$3/(Summary!$B$3-(IF(ArtifactsInput!$M$40,-1,1)*Summary!$B$3*(((1-Summary!$B$11)*IFERROR(B2425/Summary!$B$22,1)+Summary!$B$11*IFERROR(B2426/Summary!$B$23,1))-1)+ArtifactsInput!$L$40))*100,(Summary!$B$3+(IF(ArtifactsInput!$M$40,-1,1)*Summary!$B$3*(((1-Summary!$B$11)*IFERROR(B2425/Summary!$B$22,1)+Summary!$B$11*IFERROR(B2426/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(IF(ArtifactsInput!$M$41,-1,1)*Summary!$B$3*(((1-Summary!$B$11)*IFERROR(B2465/Summary!$B$22,1)+Summary!$B$11*IFERROR(B2466/Summary!$B$23,1))-1)+ArtifactsInput!$L$41)</f>
        <v/>
      </c>
      <c r="AC66">
        <f>IF(ArtifactsInput!$M$41,Summary!$B$3/(Summary!$B$3-(IF(ArtifactsInput!$M$41,-1,1)*Summary!$B$3*(((1-Summary!$B$11)*IFERROR(B2465/Summary!$B$22,1)+Summary!$B$11*IFERROR(B2466/Summary!$B$23,1))-1)+ArtifactsInput!$L$41))*100,(Summary!$B$3+(IF(ArtifactsInput!$M$41,-1,1)*Summary!$B$3*(((1-Summary!$B$11)*IFERROR(B2465/Summary!$B$22,1)+Summary!$B$11*IFERROR(B2466/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(IF(ArtifactsInput!$M$42,-1,1)*Summary!$B$3*(((1-Summary!$B$11)*IFERROR(B2505/Summary!$B$22,1)+Summary!$B$11*IFERROR(B2506/Summary!$B$23,1))-1)+ArtifactsInput!$L$42)</f>
        <v/>
      </c>
      <c r="AC67">
        <f>IF(ArtifactsInput!$M$42,Summary!$B$3/(Summary!$B$3-(IF(ArtifactsInput!$M$42,-1,1)*Summary!$B$3*(((1-Summary!$B$11)*IFERROR(B2505/Summary!$B$22,1)+Summary!$B$11*IFERROR(B2506/Summary!$B$23,1))-1)+ArtifactsInput!$L$42))*100,(Summary!$B$3+(IF(ArtifactsInput!$M$42,-1,1)*Summary!$B$3*(((1-Summary!$B$11)*IFERROR(B2505/Summary!$B$22,1)+Summary!$B$11*IFERROR(B2506/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IF(B107=0,0,O72/B107)</f>
        <v/>
      </c>
      <c r="Q72">
        <f>IFERROR(1/IF(Inputs!$B$38="pvp",15,MAX(0.1,Skills!D2-IF(Skills!E2=TRUE,Inputs!$B$32,0))),0)</f>
        <v/>
      </c>
      <c r="R72" t="n">
        <v>0</v>
      </c>
      <c r="S72">
        <f>IF(C72,(Skills!F2*N72*B103)*IF(Inputs!$B$38="pvp",1,1+(Inputs!$B$20+Skills!O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103)*IF(Inputs!$B$38="pvp",1,(1+(Inputs!$B$21+Skills!P2+B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IF(B107=0,0,O73/B107)</f>
        <v/>
      </c>
      <c r="Q73">
        <f>IFERROR(1/IF(Inputs!$B$38="pvp",15,MAX(0.1,Skills!D3-IF(Skills!E3=TRUE,Inputs!$B$32,0))),0)</f>
        <v/>
      </c>
      <c r="R73">
        <f>IF(AND(Inputs!$B$38&lt;&gt;"pvp",Inputs!$B$43&gt;0),IF(Inputs!$B$43&lt;=0,0,(INT(Inputs!$B$43/IF(Inputs!$B$38="pvp",15,MAX(0.1,Skills!D3-IF(Skills!E3=TRUE,Inputs!$B$32,0))))+1)),0)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IF(B107=0,0,O74/B107)</f>
        <v/>
      </c>
      <c r="Q74">
        <f>IFERROR(1/IF(Inputs!$B$38="pvp",15,MAX(0.1,Skills!D4-IF(Skills!E4=TRUE,Inputs!$B$32,0))),0)</f>
        <v/>
      </c>
      <c r="R74">
        <f>IF(AND(Inputs!$B$38&lt;&gt;"pvp",Inputs!$B$43&gt;0),IF(Inputs!$B$43&lt;=0,0,(INT(Inputs!$B$43/IF(Inputs!$B$38="pvp",15,MAX(0.1,Skills!D4-IF(Skills!E4=TRUE,Inputs!$B$32,0))))+1)),0)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IF(B107=0,0,O75/B107)</f>
        <v/>
      </c>
      <c r="Q75">
        <f>IFERROR(1/IF(Inputs!$B$38="pvp",15,MAX(0.1,Skills!D5-IF(Skills!E5=TRUE,Inputs!$B$32,0))),0)</f>
        <v/>
      </c>
      <c r="R75">
        <f>IF(AND(Inputs!$B$38&lt;&gt;"pvp",Inputs!$B$43&gt;0),IF(MAX(0,Inputs!$B$43-B104)&lt;=0,0,(INT(MAX(0,Inputs!$B$43-B104)/IF(Inputs!$B$38="pvp",15,MAX(0.1,Skills!D5-IF(Skills!E5=TRUE,Inputs!$B$32,0))))+1)),0)</f>
        <v/>
      </c>
      <c r="S75">
        <f>IF(C75,(H75*N75*IF(AND(Inputs!$B$38&lt;&gt;"pvp",Inputs!$B$43&gt;0),((Skills!F5*((R75-1)*IF(Skills!G5&gt;0,Skills!H5/Skills!G5,1)+IF(Skills!G5&gt;0,MIN(Skills!H5,MAX(0,MAX(0,Inputs!$B$43-B104)-((R75-1)*IF(Inputs!$B$38="pvp",15,MAX(0.1,Skills!D5-IF(Skills!E5=TRUE,Inputs!$B$32,0))))))/Skills!G5,1)))/Inputs!$B$43),G75*Q75))*IF(Inputs!$B$38="pvp",1,1+(Inputs!$B$20+Skills!O5+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104)-((R75-1)*IF(Inputs!$B$38="pvp",15,MAX(0.1,Skills!D5-IF(Skills!E5=TRUE,Inputs!$B$32,0))))))/Skills!G5,1)))/Inputs!$B$43),G75*Q75))*IF(Inputs!$B$38="pvp",1,(1+(Inputs!$B$21+Skills!P5+B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IF(B107=0,0,O76/B107)</f>
        <v/>
      </c>
      <c r="Q76">
        <f>IFERROR(1/IF(Inputs!$B$38="pvp",15,MAX(0.1,Skills!D6-IF(Skills!E6=TRUE,Inputs!$B$32,0))),0)</f>
        <v/>
      </c>
      <c r="R76">
        <f>IF(AND(Inputs!$B$38&lt;&gt;"pvp",Inputs!$B$43&gt;0),IF(MAX(0,Inputs!$B$43-B104)&lt;=0,0,(INT(MAX(0,Inputs!$B$43-B104)/IF(Inputs!$B$38="pvp",15,MAX(0.1,Skills!D6-IF(Skills!E6=TRUE,Inputs!$B$32,0))))+1)),0)</f>
        <v/>
      </c>
      <c r="S76">
        <f>IF(C76,(H76*N76*IF(AND(Inputs!$B$38&lt;&gt;"pvp",Inputs!$B$43&gt;0),((Skills!F6*((R76-1)*IF(Skills!G6&gt;0,Skills!H6/Skills!G6,1)+IF(Skills!G6&gt;0,MIN(Skills!H6,MAX(0,MAX(0,Inputs!$B$43-B104)-((R76-1)*IF(Inputs!$B$38="pvp",15,MAX(0.1,Skills!D6-IF(Skills!E6=TRUE,Inputs!$B$32,0))))))/Skills!G6,1)))/Inputs!$B$43),G76*Q76))*IF(Inputs!$B$38="pvp",1,1+(Inputs!$B$20+Skills!O6+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104)-((R76-1)*IF(Inputs!$B$38="pvp",15,MAX(0.1,Skills!D6-IF(Skills!E6=TRUE,Inputs!$B$32,0))))))/Skills!G6,1)))/Inputs!$B$43),G76*Q76))*IF(Inputs!$B$38="pvp",1,(1+(Inputs!$B$21+Skills!P6+B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IF(B107=0,0,O77/B107)</f>
        <v/>
      </c>
      <c r="Q77">
        <f>IFERROR(1/IF(Inputs!$B$38="pvp",15,MAX(0.1,Skills!D7-IF(Skills!E7=TRUE,Inputs!$B$32,0))),0)</f>
        <v/>
      </c>
      <c r="R77">
        <f>IF(AND(Inputs!$B$38&lt;&gt;"pvp",Inputs!$B$43&gt;0),IF(MAX(0,Inputs!$B$43-B104)&lt;=0,0,(INT(MAX(0,Inputs!$B$43-B104)/IF(Inputs!$B$38="pvp",15,MAX(0.1,Skills!D7-IF(Skills!E7=TRUE,Inputs!$B$32,0))))+1)),0)</f>
        <v/>
      </c>
      <c r="S77">
        <f>IF(C77,(H77*N77*IF(AND(Inputs!$B$38&lt;&gt;"pvp",Inputs!$B$43&gt;0),((Skills!F7*((R77-1)*IF(Skills!G7&gt;0,Skills!H7/Skills!G7,1)+IF(Skills!G7&gt;0,MIN(Skills!H7,MAX(0,MAX(0,Inputs!$B$43-B104)-((R77-1)*IF(Inputs!$B$38="pvp",15,MAX(0.1,Skills!D7-IF(Skills!E7=TRUE,Inputs!$B$32,0))))))/Skills!G7,1)))/Inputs!$B$43),G77*Q77))*IF(Inputs!$B$38="pvp",1,1+(Inputs!$B$20+Skills!O7+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104)-((R77-1)*IF(Inputs!$B$38="pvp",15,MAX(0.1,Skills!D7-IF(Skills!E7=TRUE,Inputs!$B$32,0))))))/Skills!G7,1)))/Inputs!$B$43),G77*Q77))*IF(Inputs!$B$38="pvp",1,(1+(Inputs!$B$21+Skills!P7+B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IF(B107=0,0,O78/B107)</f>
        <v/>
      </c>
      <c r="Q78">
        <f>IFERROR(1/IF(Inputs!$B$38="pvp",15,MAX(0.1,Skills!D8-IF(Skills!E8=TRUE,Inputs!$B$32,0))),0)</f>
        <v/>
      </c>
      <c r="R78">
        <f>IF(AND(Inputs!$B$38&lt;&gt;"pvp",Inputs!$B$43&gt;0),IF(MAX(0,Inputs!$B$43-B104)&lt;=0,0,(INT(MAX(0,Inputs!$B$43-B104)/IF(Inputs!$B$38="pvp",15,MAX(0.1,Skills!D8-IF(Skills!E8=TRUE,Inputs!$B$32,0))))+1)),0)</f>
        <v/>
      </c>
      <c r="S78">
        <f>IF(C78,(H78*N78*IF(AND(Inputs!$B$38&lt;&gt;"pvp",Inputs!$B$43&gt;0),((Skills!F8*((R78-1)*IF(Skills!G8&gt;0,Skills!H8/Skills!G8,1)+IF(Skills!G8&gt;0,MIN(Skills!H8,MAX(0,MAX(0,Inputs!$B$43-B104)-((R78-1)*IF(Inputs!$B$38="pvp",15,MAX(0.1,Skills!D8-IF(Skills!E8=TRUE,Inputs!$B$32,0))))))/Skills!G8,1)))/Inputs!$B$43),G78*Q78))*IF(Inputs!$B$38="pvp",1,1+(Inputs!$B$20+Skills!O8+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104)-((R78-1)*IF(Inputs!$B$38="pvp",15,MAX(0.1,Skills!D8-IF(Skills!E8=TRUE,Inputs!$B$32,0))))))/Skills!G8,1)))/Inputs!$B$43),G78*Q78))*IF(Inputs!$B$38="pvp",1,(1+(Inputs!$B$21+Skills!P8+B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IF(B107=0,0,O79/B107)</f>
        <v/>
      </c>
      <c r="Q79">
        <f>IFERROR(1/IF(Inputs!$B$38="pvp",15,MAX(0.1,Skills!D9-IF(Skills!E9=TRUE,Inputs!$B$32,0))),0)</f>
        <v/>
      </c>
      <c r="R79">
        <f>IF(AND(Inputs!$B$38&lt;&gt;"pvp",Inputs!$B$43&gt;0),IF(MAX(0,Inputs!$B$43-B104)&lt;=0,0,(INT(MAX(0,Inputs!$B$43-B104)/IF(Inputs!$B$38="pvp",15,MAX(0.1,Skills!D9-IF(Skills!E9=TRUE,Inputs!$B$32,0))))+1)),0)</f>
        <v/>
      </c>
      <c r="S79">
        <f>IF(C79,(H79*N79*IF(AND(Inputs!$B$38&lt;&gt;"pvp",Inputs!$B$43&gt;0),((Skills!F9*((R79-1)*IF(Skills!G9&gt;0,Skills!H9/Skills!G9,1)+IF(Skills!G9&gt;0,MIN(Skills!H9,MAX(0,MAX(0,Inputs!$B$43-B104)-((R79-1)*IF(Inputs!$B$38="pvp",15,MAX(0.1,Skills!D9-IF(Skills!E9=TRUE,Inputs!$B$32,0))))))/Skills!G9,1)))/Inputs!$B$43),G79*Q79))*IF(Inputs!$B$38="pvp",1,1+(Inputs!$B$20+Skills!O9+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104)-((R79-1)*IF(Inputs!$B$38="pvp",15,MAX(0.1,Skills!D9-IF(Skills!E9=TRUE,Inputs!$B$32,0))))))/Skills!G9,1)))/Inputs!$B$43),G79*Q79))*IF(Inputs!$B$38="pvp",1,(1+(Inputs!$B$21+Skills!P9+B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IF(B107=0,0,O80/B107)</f>
        <v/>
      </c>
      <c r="Q80">
        <f>IFERROR(1/IF(Inputs!$B$38="pvp",15,MAX(0.1,Skills!D10-IF(Skills!E9=TRUE,Inputs!$B$32,0))),0)</f>
        <v/>
      </c>
      <c r="R80">
        <f>IF(AND(Inputs!$B$38&lt;&gt;"pvp",Inputs!$B$43&gt;0),IF(MAX(0,Inputs!$B$43-B104)&lt;=0,0,(INT(MAX(0,Inputs!$B$43-B104)/IF(Inputs!$B$38="pvp",15,MAX(0.1,Skills!D10-IF(Skills!E9=TRUE,Inputs!$B$32,0))))+1)),0)</f>
        <v/>
      </c>
      <c r="S80">
        <f>IF(C80,(H80*N80*IF(AND(Inputs!$B$38&lt;&gt;"pvp",Inputs!$B$43&gt;0),((Skills!F10*((R80-1)*IF(Skills!G10&gt;0,Skills!H10/Skills!G10,1)+IF(Skills!G10&gt;0,MIN(Skills!H10,MAX(0,MAX(0,Inputs!$B$43-B104)-((R80-1)*IF(Inputs!$B$38="pvp",15,MAX(0.1,Skills!D10-IF(Skills!E9=TRUE,Inputs!$B$32,0))))))/Skills!G10,1)))/Inputs!$B$43),G80*Q80))*IF(Inputs!$B$38="pvp",1,1+(Inputs!$B$20+Skills!O10+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F10*((R80-1)*IF(Skills!G10&gt;0,Skills!H10/Skills!G10,1)+IF(Skills!G10&gt;0,MIN(Skills!H10,MAX(0,MAX(0,Inputs!$B$43-B104)-((R80-1)*IF(Inputs!$B$38="pvp",15,MAX(0.1,Skills!D10-IF(Skills!E9=TRUE,Inputs!$B$32,0))))))/Skills!G10,1)))/Inputs!$B$43),G80*Q80))*IF(Inputs!$B$38="pvp",1,(1+(Inputs!$B$21+Skills!P10+B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IF(B107=0,0,O81/B107)</f>
        <v/>
      </c>
      <c r="Q81">
        <f>IFERROR(1/IF(Inputs!$B$38="pvp",15,MAX(0.1,Skills!D11-IF(Skills!E11=TRUE,Inputs!$B$32,0))),0)</f>
        <v/>
      </c>
      <c r="R81">
        <f>IF(AND(Inputs!$B$38&lt;&gt;"pvp",Inputs!$B$43&gt;0),IF(MAX(0,Inputs!$B$43-B104)&lt;=0,0,(INT(MAX(0,Inputs!$B$43-B104)/IF(Inputs!$B$38="pvp",15,MAX(0.1,Skills!D11-IF(Skills!E11=TRUE,Inputs!$B$32,0))))+1)),0)</f>
        <v/>
      </c>
      <c r="S81">
        <f>IF(C81,H81*N81*IF(AND(Inputs!$B$38&lt;&gt;"pvp",Inputs!$B$43&gt;0),((Skills!F11*((R81-1)*IF(Skills!G11&gt;0,Skills!H11/Skills!G11,1)+IF(Skills!G11&gt;0,MIN(Skills!H11,MAX(0,MAX(0,Inputs!$B$43-B104)-((R81-1)*IF(Inputs!$B$38="pvp",15,MAX(0.1,Skills!D11-IF(Skills!E11=TRUE,Inputs!$B$32,0))))))/Skills!G11,1)))/Inputs!$B$43),G81*Q81)*0.5*IF(Inputs!$B$38="pvp",1,1+(Inputs!$B$20+Skills!O11+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104)-((R81-1)*IF(Inputs!$B$38="pvp",15,MAX(0.1,Skills!D11-IF(Skills!E11=TRUE,Inputs!$B$32,0))))))/Skills!G11,1)))/Inputs!$B$43),G81*Q81)*1*IF(Inputs!$B$38="pvp",1,(1+(Inputs!$B$21+Skills!P11+B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IF(B107=0,0,O82/B107)</f>
        <v/>
      </c>
      <c r="Q82">
        <f>IFERROR(1/IF(Inputs!$B$38="pvp",15,MAX(0.1,Skills!D12-IF(Skills!E12=TRUE,Inputs!$B$32,0))),0)</f>
        <v/>
      </c>
      <c r="R82">
        <f>IF(AND(Inputs!$B$38&lt;&gt;"pvp",Inputs!$B$43&gt;0),IF(MAX(0,Inputs!$B$43-B104)&lt;=0,0,(INT(MAX(0,Inputs!$B$43-B104)/IF(Inputs!$B$38="pvp",15,MAX(0.1,Skills!D12-IF(Skills!E12=TRUE,Inputs!$B$32,0))))+1)),0)</f>
        <v/>
      </c>
      <c r="S82">
        <f>IF(C82,(H82*N82*IF(AND(Inputs!$B$38&lt;&gt;"pvp",Inputs!$B$43&gt;0),((Skills!F12*((R82-1)*IF(Skills!G12&gt;0,Skills!H12/Skills!G12,1)+IF(Skills!G12&gt;0,MIN(Skills!H12,MAX(0,MAX(0,Inputs!$B$43-B104)-((R82-1)*IF(Inputs!$B$38="pvp",15,MAX(0.1,Skills!D12-IF(Skills!E12=TRUE,Inputs!$B$32,0))))))/Skills!G12,1)))/Inputs!$B$43),G82*Q82))*IF(Inputs!$B$38="pvp",1,1+(Inputs!$B$20+Skills!O12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104)-((R82-1)*IF(Inputs!$B$38="pvp",15,MAX(0.1,Skills!D12-IF(Skills!E12=TRUE,Inputs!$B$32,0))))))/Skills!G12,1)))/Inputs!$B$43),G82*Q82))*IF(Inputs!$B$38="pvp",1,(1+(Inputs!$B$21+Skills!P12+B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IF(B107=0,0,O83/B107)</f>
        <v/>
      </c>
      <c r="Q83">
        <f>IFERROR(1/IF(Inputs!$B$38="pvp",15,MAX(0.1,Skills!D13-IF(Skills!E13=TRUE,Inputs!$B$32,0))),0)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IF(B107=0,0,O84/B107)</f>
        <v/>
      </c>
      <c r="Q84">
        <f>IFERROR(1/IF(Inputs!$B$38="pvp",15,MAX(0.1,Skills!D14-IF(Skills!E14=TRUE,Inputs!$B$32,0))),0)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IF(B107=0,0,O85/B107)</f>
        <v/>
      </c>
      <c r="Q85">
        <f>IFERROR(1/IF(Inputs!$B$38="pvp",15,MAX(0.1,Skills!D15-IF(Skills!E15=TRUE,Inputs!$B$32,0))),0)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IF(B107=0,0,O86/B107)</f>
        <v/>
      </c>
      <c r="Q86">
        <f>IFERROR(1/IF(Inputs!$B$38="pvp",15,MAX(0.1,Skills!D16-IF(Skills!E16=TRUE,Inputs!$B$32,0))),0)</f>
        <v/>
      </c>
      <c r="R86">
        <f>IF(AND(Inputs!$B$38&lt;&gt;"pvp",Inputs!$B$43&gt;0),IF(Inputs!$B$43&lt;=0,0,(INT(Inputs!$B$43/IF(Inputs!$B$38="pvp",15,MAX(0.1,Skills!D16-IF(Skills!E16=TRUE,Inputs!$B$32,0))))+1)),0)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IF(B107=0,0,O87/B107)</f>
        <v/>
      </c>
      <c r="Q87">
        <f>IFERROR(1/IF(Inputs!$B$38="pvp",15,MAX(0.1,Skills!D17-IF(Skills!E17=TRUE,Inputs!$B$32,0))),0)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IF(B107=0,0,O88/B107)</f>
        <v/>
      </c>
      <c r="Q88">
        <f>IFERROR(1/IF(Inputs!$B$38="pvp",15,MAX(0.1,Skills!D18-IF(Skills!E18=TRUE,Inputs!$B$32,0))),0)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IF(B107=0,0,O89/B107)</f>
        <v/>
      </c>
      <c r="Q89">
        <f>IFERROR(1/IF(Inputs!$B$38="pvp",15,MAX(0.1,Skills!D19-IF(Skills!E19=TRUE,Inputs!$B$32,0))),0)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IF(B107=0,0,O90/B107)</f>
        <v/>
      </c>
      <c r="Q90">
        <f>IFERROR(1/IF(Inputs!$B$38="pvp",15,MAX(0.1,Skills!D20-IF(Skills!E20=TRUE,Inputs!$B$32,0))),0)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IF(B107=0,0,O91/B107)</f>
        <v/>
      </c>
      <c r="Q91">
        <f>IFERROR(1/IF(Inputs!$B$38="pvp",15,MAX(0.1,Skills!D21-IF(Skills!E21=TRUE,Inputs!$B$32,0))),0)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IF(B107=0,0,O92/B107)</f>
        <v/>
      </c>
      <c r="Q92">
        <f>IFERROR(1/IF(Inputs!$B$38="pvp",15,MAX(0.1,Skills!D22-IF(Skills!E22=TRUE,Inputs!$B$32,0))),0)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IF(B107=0,0,O93/B107)</f>
        <v/>
      </c>
      <c r="Q93">
        <f>IFERROR(1/IF(Inputs!$B$38="pvp",15,MAX(0.1,Skills!D23-IF(Skills!E23=TRUE,Inputs!$B$32,0))),0)</f>
        <v/>
      </c>
      <c r="R93" t="n">
        <v>0</v>
      </c>
      <c r="S93" t="n">
        <v>0</v>
      </c>
      <c r="U93" t="n">
        <v>0</v>
      </c>
    </row>
    <row r="94">
      <c r="A94">
        <f>Skills!A24</f>
        <v/>
      </c>
      <c r="B94">
        <f>Skills!B24</f>
        <v/>
      </c>
      <c r="C94">
        <f>TRUE</f>
        <v/>
      </c>
      <c r="D94">
        <f>IF(Skills!C24=1,60+Inputs!$B$25+Inputs!$B$29,IF(Skills!C24=2,90+Inputs!$B$26+Inputs!$B$29,IF(Skills!C24=3,120+Inputs!$B$27+Inputs!$B$29,MAX(0,(Inputs!$B$3-100)*3)+Inputs!$B$28+Inputs!$B$29)))</f>
        <v/>
      </c>
      <c r="E94">
        <f>INDEX(FactorTable!$B$2:$Y$301, MATCH(ROUND(MIN(300,MAX(1,D94)),0), FactorTable!$A$2:$A$301,0), Skills!L24+1)</f>
        <v/>
      </c>
      <c r="F94">
        <f>IF(Skills!M24=TRUE,(Skills!K24/10)*(E94/1000),Skills!K24/10)+Skills!N24</f>
        <v/>
      </c>
      <c r="G94">
        <f>Calc!G24</f>
        <v/>
      </c>
      <c r="H94">
        <f>Calc!H24</f>
        <v/>
      </c>
      <c r="I94">
        <f>IF(Skills!T24&lt;&gt;"",1+(Skills!T24/10)*(Z73/1000)/100,1)</f>
        <v/>
      </c>
      <c r="J94" t="inlineStr"/>
      <c r="K94" t="inlineStr"/>
      <c r="L94" t="inlineStr"/>
      <c r="M94" t="inlineStr"/>
      <c r="N94" t="inlineStr"/>
      <c r="O94">
        <f>(1-Summary!$B$11)*S94+Summary!$B$11*U94</f>
        <v/>
      </c>
      <c r="P94">
        <f>IF(B107=0,0,O94/B107)</f>
        <v/>
      </c>
      <c r="Q94">
        <f>IFERROR(1/IF(Inputs!$B$38="pvp",15,MAX(0.1,Skills!D24-IF(Skills!E24=TRUE,Inputs!$B$32,0))),0)</f>
        <v/>
      </c>
      <c r="R94">
        <f>IF(AND(Inputs!$B$38&lt;&gt;"pvp",Inputs!$B$43&gt;0),IF(Inputs!$B$43&lt;=0,0,(INT(Inputs!$B$43/IF(Inputs!$B$38="pvp",15,MAX(0.1,Skills!D24-IF(Skills!E24=TRUE,Inputs!$B$32,0))))+1)),0)</f>
        <v/>
      </c>
      <c r="S94" t="n">
        <v>0</v>
      </c>
      <c r="U94" t="n">
        <v>0</v>
      </c>
    </row>
    <row r="97">
      <c r="A97" t="inlineStr">
        <is>
          <t>Average Buff Multiplier (Magic Guard + Meditation + Artifact Attack%, summed; then Infinity)</t>
        </is>
      </c>
      <c r="B97">
        <f>(1+(IF(C73=TRUE,F73*IF(AND(Inputs!$B$38&lt;&gt;"pvp",Inputs!$B$43&gt;0),(((R73-1)*(Skills!S3*(1+(Inputs!$B$34)/100))+MIN((Skills!S3*(1+(Inputs!$B$34)/100)),MAX(0,Inputs!$B$43-((R73-1)*Skills!D3))))/Inputs!$B$43),IF(Inputs!$B$38="pvp",MIN((Skills!S3*(1+(Inputs!$B$34)/100)),15)/15,(Skills!S3*(1+(Inputs!$B$34)/100))/Skills!D3)),0)+IF(C74=TRUE,F74*IF(AND(Inputs!$B$38&lt;&gt;"pvp",Inputs!$B$43&gt;0),(((R74-1)*(Skills!S4*(1+(Inputs!$B$34)/100))+MIN((Skills!S4*(1+(Inputs!$B$34)/100)),MAX(0,Inputs!$B$43-((R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Skills!S16*(1+(Inputs!$B$34)/100))+MIN((Skills!S16*(1+(Inputs!$B$34)/100)),MAX(0,Inputs!$B$43-((R86-1)*Skills!D16))))/Inputs!$B$43),IF(Inputs!$B$38="pvp",MIN((Skills!S16*(1+(Inputs!$B$34)/100)),15)/15,(Skills!S16*(1+(Inputs!$B$34)/100))/Skills!D16))/100),1)</f>
        <v/>
      </c>
    </row>
    <row r="98">
      <c r="A98" t="inlineStr">
        <is>
          <t>Monster Damage Taken Bonus % (Freezing Breath - Weaken + Elemental Reset + Artifact Enemy Damage Taken, summed)</t>
        </is>
      </c>
      <c r="B98">
        <f>IF(Inputs!$B$3&gt;=118,15*IF(Inputs!$B$38="pvp",MIN((30*(1+(Inputs!$B$34)/100)),15)/15,(30*(1+(Inputs!$B$34)/100))/Skills!D8),0)+IF(C84=TRUE,F84,0)+(IF(AND(ArtifactsInput!$M$35,Inputs!$B$4&lt;&gt;"Chapter Hunt"),CHOOSE(ArtifactsInput!$N$35+1,15,18,21,24,27,30)*(1-EXP(-(0.2*B101)*5)),0)+IF(AND(ArtifactsInput!$M$22,Inputs!$B$4&lt;&gt;"Chapter Hunt"),CHOOSE(ArtifactsInput!$N$22+1,10,12,14,16,18,20)*((0*(((0.15*B101*5))^0/1)+1*(((0.15*B101*5))^1/1)+2*(((0.15*B101*5))^2/2)+3*(((0.15*B101*5))^3/6)+4*(((0.15*B101*5))^4/24)+5*(((0.15*B101*5))^5/120))/((((0.15*B101*5))^0/1)+(((0.15*B101*5))^1/1)+(((0.15*B101*5))^2/2)+(((0.15*B101*5))^3/6)+(((0.15*B101*5))^4/24)+(((0.15*B101*5))^5/120))),0))</f>
        <v/>
      </c>
    </row>
    <row r="99">
      <c r="A99" t="inlineStr">
        <is>
          <t>Damage % Bonus (Frozen Break + Frost Clutch, flat)</t>
        </is>
      </c>
      <c r="B99">
        <f>IF(Inputs!$B$3&gt;=66,15,0)+IF(Inputs!$B$3&gt;=98,10,0)+IF(Inputs!$B$3&gt;=125,20,0)</f>
        <v/>
      </c>
    </row>
    <row r="100">
      <c r="A100" t="inlineStr">
        <is>
          <t>Attack Speed Bonus % (MP Eater - MP Boost, always-on + Nimble Feet, duty-cycle averaged)</t>
        </is>
      </c>
      <c r="B100">
        <f>IF(C83=TRUE,F83+(F87-Calc!F17),0)+((C94=TRUE)*F94*IF(AND(Inputs!$B$38&lt;&gt;"pvp",Inputs!$B$43&gt;0),(((R94-1)*(Skills!S24*(1+(Inputs!$B$34)/100))+MIN((Skills!S24*(1+(Inputs!$B$34)/100)),MAX(0,Inputs!$B$43-((R94-1)*Skills!D24))))/Inputs!$B$43),IF(Inputs!$B$38="pvp",MIN((Skills!S24*(1+(Inputs!$B$34)/100)),15)/15,(Skills!S24*(1+(Inputs!$B$34)/100))/Skills!D24)))</f>
        <v/>
      </c>
    </row>
    <row r="101">
      <c r="A101" t="inlineStr">
        <is>
          <t>Actions Per Second</t>
        </is>
      </c>
      <c r="B101">
        <f>1+MIN(150,150*(1-(1-(Inputs!$B$11+(ArtifactsInput!$M$15-ArtifactsInput!$M$15)*CHOOSE(ArtifactsInput!$N$15+1,8,9.6,11.2,12.8,14.4,16))/150)*(1-B100/150)))/100</f>
        <v/>
      </c>
    </row>
    <row r="102">
      <c r="A102" t="inlineStr">
        <is>
          <t>Skill + Buff Cast Rate</t>
        </is>
      </c>
      <c r="B102">
        <f>IF(AND(Inputs!$B$38&lt;&gt;"pvp",Inputs!$B$43&gt;0),SUMPRODUCT((Skills!E2:E24=TRUE)*(C72:C94=TRUE)*R72:R94)/Inputs!$B$43,SUMPRODUCT((Skills!E2:E24=TRUE)*(C72:C94=TRUE)*Q72:Q94))</f>
        <v/>
      </c>
    </row>
    <row r="103">
      <c r="A103" t="inlineStr">
        <is>
          <t>Chain Lightning Casts Per Second</t>
        </is>
      </c>
      <c r="B103">
        <f>MAX(0,B101-B102)</f>
        <v/>
      </c>
    </row>
    <row r="104">
      <c r="A104" t="inlineStr">
        <is>
          <t>Buff-Casting Startup Delay (s, fixed-duration only)</t>
        </is>
      </c>
      <c r="B104">
        <f>IF(AND(Inputs!$B$38&lt;&gt;"pvp",Inputs!$B$43&gt;0),SUMPRODUCT((Skills!S2:S24&gt;0)*(Skills!E2:E24=TRUE)*(C72:C94=TRUE))/B101,0)</f>
        <v/>
      </c>
    </row>
    <row r="105">
      <c r="A105" t="inlineStr">
        <is>
          <t>Boss-Only Total DPS (this block's swept value)</t>
        </is>
      </c>
      <c r="B105">
        <f>SUM(S72:S94)</f>
        <v/>
      </c>
    </row>
    <row r="106">
      <c r="A106" t="inlineStr">
        <is>
          <t>Normal-Only Total DPS (this block's swept value)</t>
        </is>
      </c>
      <c r="B106">
        <f>SUM(U72:U94)</f>
        <v/>
      </c>
    </row>
    <row r="107">
      <c r="A107" s="6" t="inlineStr">
        <is>
          <t>TOTAL DPS</t>
        </is>
      </c>
      <c r="B107" s="6">
        <f>SUM(O72:O94)</f>
        <v/>
      </c>
    </row>
    <row r="110">
      <c r="A110" s="6" t="inlineStr">
        <is>
          <t>Stat: INT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R111" t="inlineStr">
        <is>
          <t>helpers</t>
        </is>
      </c>
    </row>
    <row r="112">
      <c r="A112">
        <f>Skills!A2</f>
        <v/>
      </c>
      <c r="B112">
        <f>Skills!B2</f>
        <v/>
      </c>
      <c r="C112">
        <f>Inputs!$B$3&gt;=100</f>
        <v/>
      </c>
      <c r="D112" t="inlineStr"/>
      <c r="E112" t="inlineStr"/>
      <c r="F112">
        <f>T114+Skills!N2</f>
        <v/>
      </c>
      <c r="G112">
        <f>Calc!G2</f>
        <v/>
      </c>
      <c r="H112">
        <f>Calc!H2</f>
        <v/>
      </c>
      <c r="I112">
        <f>IF(Skills!T2&lt;&gt;"",1+(Skills!T2/10)*(Z113/1000)/100,1)</f>
        <v/>
      </c>
      <c r="J112">
        <f>((Inputs!$B$6*(1+Inputs!$B$7/100))+(((Inputs!$B$12*(1+(Inputs!$B$13+1)/100))-(Inputs!$B$12*(1+Inputs!$B$13/100)))+0.25*(Inputs!$B$14-Inputs!$B$14))*(1+Inputs!$B$7/100))*(F112/100)</f>
        <v/>
      </c>
      <c r="K112">
        <f>J112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2="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F128-Calc!F18),(Inputs!$B$23+(IF(ArtifactsInput!$M$15,CHOOSE(ArtifactsInput!$N$15+1,25,30,35,40,45,50)/100*(Inputs!$B$11-Inputs!$B$11),0))))/100+(Inputs!$B$23+(IF(ArtifactsInput!$M$15,CHOOSE(ArtifactsInput!$N$15+1,25,30,35,40,45,50)/100*(Inputs!$B$11-Inputs!$B$11),0)))/100)/2</f>
        <v/>
      </c>
      <c r="M112">
        <f>L112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(1-Summary!$B$11)*S112+Summary!$B$11*U112</f>
        <v/>
      </c>
      <c r="P112">
        <f>IF(B147=0,0,O112/B147)</f>
        <v/>
      </c>
      <c r="Q112">
        <f>IFERROR(1/IF(Inputs!$B$38="pvp",15,MAX(0.1,Skills!D2-IF(Skills!E2=TRUE,Inputs!$B$32,0))),0)</f>
        <v/>
      </c>
      <c r="R112" t="n">
        <v>0</v>
      </c>
      <c r="S112">
        <f>IF(C112,(Skills!F2*N112*B143)*IF(Inputs!$B$38="pvp",1,1+(Inputs!$B$20+Skills!O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
        <f>MAX(0,(Inputs!$B$3-100)*3)+Inputs!$B$28+Inputs!$B$29</f>
        <v/>
      </c>
      <c r="U112">
        <f>IF(C112,(Skills!F2*N112*B143)*IF(Inputs!$B$38="pvp",1,(1+(Inputs!$B$21+Skills!P2+B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
        <f>MAX(0,(Inputs!$B$3-100)*3)+Inputs!$B$28+Inputs!$B$29</f>
        <v/>
      </c>
    </row>
    <row r="113">
      <c r="A113">
        <f>Skills!A3</f>
        <v/>
      </c>
      <c r="B113">
        <f>Skills!B3</f>
        <v/>
      </c>
      <c r="C113">
        <f>Inputs!$B$3&gt;=15</f>
        <v/>
      </c>
      <c r="D113">
        <f>IF(Skills!C3=1,60+Inputs!$B$25+Inputs!$B$29,IF(Skills!C3=2,90+Inputs!$B$26+Inputs!$B$29,IF(Skills!C3=3,120+Inputs!$B$27+Inputs!$B$29,MAX(0,(Inputs!$B$3-100)*3)+Inputs!$B$28+Inputs!$B$29)))</f>
        <v/>
      </c>
      <c r="E113">
        <f>INDEX(FactorTable!$B$2:$Y$301, MATCH(ROUND(MIN(300,MAX(1,D113)),0), FactorTable!$A$2:$A$301,0), Skills!L3+1)</f>
        <v/>
      </c>
      <c r="F113">
        <f>IF(Skills!M3=TRUE,(Skills!K3/10)*(E113/1000),Skills!K3/10)+Skills!N3</f>
        <v/>
      </c>
      <c r="G113">
        <f>Calc!G3</f>
        <v/>
      </c>
      <c r="H113">
        <f>Calc!H3</f>
        <v/>
      </c>
      <c r="I113">
        <f>IF(Skills!T3&lt;&gt;"",1+(Skills!T3/10)*(Z113/1000)/100,1)</f>
        <v/>
      </c>
      <c r="J113" t="inlineStr"/>
      <c r="K113" t="inlineStr"/>
      <c r="L113" t="inlineStr"/>
      <c r="M113" t="inlineStr"/>
      <c r="N113" t="inlineStr"/>
      <c r="O113">
        <f>(1-Summary!$B$11)*S113+Summary!$B$11*U113</f>
        <v/>
      </c>
      <c r="P113">
        <f>IF(B147=0,0,O113/B147)</f>
        <v/>
      </c>
      <c r="Q113">
        <f>IFERROR(1/IF(Inputs!$B$38="pvp",15,MAX(0.1,Skills!D3-IF(Skills!E3=TRUE,Inputs!$B$32,0))),0)</f>
        <v/>
      </c>
      <c r="R113">
        <f>IF(AND(Inputs!$B$38&lt;&gt;"pvp",Inputs!$B$43&gt;0),IF(Inputs!$B$43&lt;=0,0,(INT(Inputs!$B$43/IF(Inputs!$B$38="pvp",15,MAX(0.1,Skills!D3-IF(Skills!E3=TRUE,Inputs!$B$32,0))))+1)),0)</f>
        <v/>
      </c>
      <c r="S113" t="n">
        <v>0</v>
      </c>
      <c r="T113">
        <f>INDEX(FactorTable!$B$2:$Y$301, MATCH(ROUND(MIN(300,MAX(1,T112)),0), FactorTable!$A$2:$A$301,0), 22)</f>
        <v/>
      </c>
      <c r="U113" t="n">
        <v>0</v>
      </c>
      <c r="Z113">
        <f>INDEX(FactorTable!$B$2:$Y$301, MATCH(ROUND(MIN(300,MAX(1,Z112)),0), FactorTable!$A$2:$A$301,0), 24)</f>
        <v/>
      </c>
    </row>
    <row r="114">
      <c r="A114">
        <f>Skills!A4</f>
        <v/>
      </c>
      <c r="B114">
        <f>Skills!B4</f>
        <v/>
      </c>
      <c r="C114">
        <f>Inputs!$B$3&gt;=40</f>
        <v/>
      </c>
      <c r="D114">
        <f>IF(Skills!C4=1,60+Inputs!$B$25+Inputs!$B$29,IF(Skills!C4=2,90+Inputs!$B$26+Inputs!$B$29,IF(Skills!C4=3,120+Inputs!$B$27+Inputs!$B$29,MAX(0,(Inputs!$B$3-100)*3)+Inputs!$B$28+Inputs!$B$29)))</f>
        <v/>
      </c>
      <c r="E114">
        <f>INDEX(FactorTable!$B$2:$Y$301, MATCH(ROUND(MIN(300,MAX(1,D114)),0), FactorTable!$A$2:$A$301,0), Skills!L4+1)</f>
        <v/>
      </c>
      <c r="F114">
        <f>IF(Skills!M4=TRUE,(Skills!K4/10)*(E114/1000),Skills!K4/10)+Skills!N4</f>
        <v/>
      </c>
      <c r="G114">
        <f>Calc!G4</f>
        <v/>
      </c>
      <c r="H114">
        <f>Calc!H4</f>
        <v/>
      </c>
      <c r="I114">
        <f>IF(Skills!T4&lt;&gt;"",1+(Skills!T4/10)*(Z113/1000)/100,1)</f>
        <v/>
      </c>
      <c r="J114" t="inlineStr"/>
      <c r="K114" t="inlineStr"/>
      <c r="L114" t="inlineStr"/>
      <c r="M114" t="inlineStr"/>
      <c r="N114" t="inlineStr"/>
      <c r="O114">
        <f>(1-Summary!$B$11)*S114+Summary!$B$11*U114</f>
        <v/>
      </c>
      <c r="P114">
        <f>IF(B147=0,0,O114/B147)</f>
        <v/>
      </c>
      <c r="Q114">
        <f>IFERROR(1/IF(Inputs!$B$38="pvp",15,MAX(0.1,Skills!D4-IF(Skills!E4=TRUE,Inputs!$B$32,0))),0)</f>
        <v/>
      </c>
      <c r="R114">
        <f>IF(AND(Inputs!$B$38&lt;&gt;"pvp",Inputs!$B$43&gt;0),IF(Inputs!$B$43&lt;=0,0,(INT(Inputs!$B$43/IF(Inputs!$B$38="pvp",15,MAX(0.1,Skills!D4-IF(Skills!E4=TRUE,Inputs!$B$32,0))))+1)),0)</f>
        <v/>
      </c>
      <c r="S114" t="n">
        <v>0</v>
      </c>
      <c r="T114">
        <f>290*T113/1000</f>
        <v/>
      </c>
      <c r="U114" t="n">
        <v>0</v>
      </c>
    </row>
    <row r="115">
      <c r="A115">
        <f>Skills!A5</f>
        <v/>
      </c>
      <c r="B115">
        <f>Skills!B5</f>
        <v/>
      </c>
      <c r="C115">
        <f>Inputs!$B$3&gt;=38</f>
        <v/>
      </c>
      <c r="D115">
        <f>IF(Skills!C5=1,60+Inputs!$B$25+Inputs!$B$29,IF(Skills!C5=2,90+Inputs!$B$26+Inputs!$B$29,IF(Skills!C5=3,120+Inputs!$B$27+Inputs!$B$29,MAX(0,(Inputs!$B$3-100)*3)+Inputs!$B$28+Inputs!$B$29)))</f>
        <v/>
      </c>
      <c r="E115">
        <f>INDEX(FactorTable!$B$2:$Y$301, MATCH(ROUND(MIN(300,MAX(1,D115)),0), FactorTable!$A$2:$A$301,0), Skills!L5+1)</f>
        <v/>
      </c>
      <c r="F115">
        <f>IF(Skills!M5=TRUE,(Skills!K5/10)*(E115/1000),Skills!K5/10)+Skills!N5</f>
        <v/>
      </c>
      <c r="G115">
        <f>Calc!G5</f>
        <v/>
      </c>
      <c r="H115">
        <f>Calc!H5</f>
        <v/>
      </c>
      <c r="I115">
        <f>IF(Skills!T5&lt;&gt;"",1+(Skills!T5/10)*(Z113/1000)/100,1)</f>
        <v/>
      </c>
      <c r="J115">
        <f>((Inputs!$B$6*(1+Inputs!$B$7/100))+(((Inputs!$B$12*(1+(Inputs!$B$13+1)/100))-(Inputs!$B$12*(1+Inputs!$B$13/100)))+0.25*(Inputs!$B$14-Inputs!$B$14))*(1+Inputs!$B$7/100))*(F115/100)</f>
        <v/>
      </c>
      <c r="K115">
        <f>J115*(1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5="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F128-Calc!F18),(Inputs!$B$23+(IF(ArtifactsInput!$M$15,CHOOSE(ArtifactsInput!$N$15+1,25,30,35,40,45,50)/100*(Inputs!$B$11-Inputs!$B$11),0))))/100+(Inputs!$B$23+(IF(ArtifactsInput!$M$15,CHOOSE(ArtifactsInput!$N$15+1,25,30,35,40,45,50)/100*(Inputs!$B$11-Inputs!$B$11),0)))/100)/2</f>
        <v/>
      </c>
      <c r="M115">
        <f>L115*(1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(1-Summary!$B$11)*S115+Summary!$B$11*U115</f>
        <v/>
      </c>
      <c r="P115">
        <f>IF(B147=0,0,O115/B147)</f>
        <v/>
      </c>
      <c r="Q115">
        <f>IFERROR(1/IF(Inputs!$B$38="pvp",15,MAX(0.1,Skills!D5-IF(Skills!E5=TRUE,Inputs!$B$32,0))),0)</f>
        <v/>
      </c>
      <c r="R115">
        <f>IF(AND(Inputs!$B$38&lt;&gt;"pvp",Inputs!$B$43&gt;0),IF(MAX(0,Inputs!$B$43-B144)&lt;=0,0,(INT(MAX(0,Inputs!$B$43-B144)/IF(Inputs!$B$38="pvp",15,MAX(0.1,Skills!D5-IF(Skills!E5=TRUE,Inputs!$B$32,0))))+1)),0)</f>
        <v/>
      </c>
      <c r="S115">
        <f>IF(C115,(H115*N115*IF(AND(Inputs!$B$38&lt;&gt;"pvp",Inputs!$B$43&gt;0),((Skills!F5*((R115-1)*IF(Skills!G5&gt;0,Skills!H5/Skills!G5,1)+IF(Skills!G5&gt;0,MIN(Skills!H5,MAX(0,MAX(0,Inputs!$B$43-B144)-((R115-1)*IF(Inputs!$B$38="pvp",15,MAX(0.1,Skills!D5-IF(Skills!E5=TRUE,Inputs!$B$32,0))))))/Skills!G5,1)))/Inputs!$B$43),G115*Q115))*IF(Inputs!$B$38="pvp",1,1+(Inputs!$B$20+Skills!O5+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IF(C115,(H115*N115*IF(AND(Inputs!$B$38&lt;&gt;"pvp",Inputs!$B$43&gt;0),((Skills!F5*((R115-1)*IF(Skills!G5&gt;0,Skills!H5/Skills!G5,1)+IF(Skills!G5&gt;0,MIN(Skills!H5,MAX(0,MAX(0,Inputs!$B$43-B144)-((R115-1)*IF(Inputs!$B$38="pvp",15,MAX(0.1,Skills!D5-IF(Skills!E5=TRUE,Inputs!$B$32,0))))))/Skills!G5,1)))/Inputs!$B$43),G115*Q115))*IF(Inputs!$B$38="pvp",1,(1+(Inputs!$B$21+Skills!P5+B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Skills!L6+1)</f>
        <v/>
      </c>
      <c r="F116">
        <f>IF(Skills!M6=TRUE,(Skills!K6/10)*(E116/1000),Skills!K6/10)+Skills!N6</f>
        <v/>
      </c>
      <c r="G116">
        <f>Calc!G6</f>
        <v/>
      </c>
      <c r="H116">
        <f>Calc!H6</f>
        <v/>
      </c>
      <c r="I116">
        <f>IF(Skills!T6&lt;&gt;"",1+(Skills!T6/10)*(Z113/1000)/100,1)</f>
        <v/>
      </c>
      <c r="J116">
        <f>((Inputs!$B$6*(1+Inputs!$B$7/100))+(((Inputs!$B$12*(1+(Inputs!$B$13+1)/100))-(Inputs!$B$12*(1+Inputs!$B$13/100)))+0.25*(Inputs!$B$14-Inputs!$B$14))*(1+Inputs!$B$7/100))*(F116/100)</f>
        <v/>
      </c>
      <c r="K116">
        <f>J116*(1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6="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128-Calc!F18),(Inputs!$B$23+(IF(ArtifactsInput!$M$15,CHOOSE(ArtifactsInput!$N$15+1,25,30,35,40,45,50)/100*(Inputs!$B$11-Inputs!$B$11),0))))/100+(Inputs!$B$23+(IF(ArtifactsInput!$M$15,CHOOSE(ArtifactsInput!$N$15+1,25,30,35,40,45,50)/100*(Inputs!$B$11-Inputs!$B$11),0)))/100)/2</f>
        <v/>
      </c>
      <c r="M116">
        <f>L116*(1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IF(B147=0,0,O116/B147)</f>
        <v/>
      </c>
      <c r="Q116">
        <f>IFERROR(1/IF(Inputs!$B$38="pvp",15,MAX(0.1,Skills!D6-IF(Skills!E6=TRUE,Inputs!$B$32,0))),0)</f>
        <v/>
      </c>
      <c r="R116">
        <f>IF(AND(Inputs!$B$38&lt;&gt;"pvp",Inputs!$B$43&gt;0),IF(MAX(0,Inputs!$B$43-B144)&lt;=0,0,(INT(MAX(0,Inputs!$B$43-B144)/IF(Inputs!$B$38="pvp",15,MAX(0.1,Skills!D6-IF(Skills!E6=TRUE,Inputs!$B$32,0))))+1)),0)</f>
        <v/>
      </c>
      <c r="S116">
        <f>IF(C116,(H116*N116*IF(AND(Inputs!$B$38&lt;&gt;"pvp",Inputs!$B$43&gt;0),((Skills!F6*((R116-1)*IF(Skills!G6&gt;0,Skills!H6/Skills!G6,1)+IF(Skills!G6&gt;0,MIN(Skills!H6,MAX(0,MAX(0,Inputs!$B$43-B144)-((R116-1)*IF(Inputs!$B$38="pvp",15,MAX(0.1,Skills!D6-IF(Skills!E6=TRUE,Inputs!$B$32,0))))))/Skills!G6,1)))/Inputs!$B$43),G116*Q116))*IF(Inputs!$B$38="pvp",1,1+(Inputs!$B$20+Skills!O6+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6*((R116-1)*IF(Skills!G6&gt;0,Skills!H6/Skills!G6,1)+IF(Skills!G6&gt;0,MIN(Skills!H6,MAX(0,MAX(0,Inputs!$B$43-B144)-((R116-1)*IF(Inputs!$B$38="pvp",15,MAX(0.1,Skills!D6-IF(Skills!E6=TRUE,Inputs!$B$32,0))))))/Skills!G6,1)))/Inputs!$B$43),G116*Q116))*IF(Inputs!$B$38="pvp",1,(1+(Inputs!$B$21+Skills!P6+B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Inputs!$B$3&gt;=69</f>
        <v/>
      </c>
      <c r="D117">
        <f>IF(Skills!C7=1,60+Inputs!$B$25+Inputs!$B$29,IF(Skills!C7=2,90+Inputs!$B$26+Inputs!$B$29,IF(Skills!C7=3,120+Inputs!$B$27+Inputs!$B$29,MAX(0,(Inputs!$B$3-100)*3)+Inputs!$B$28+Inputs!$B$29)))</f>
        <v/>
      </c>
      <c r="E117">
        <f>INDEX(FactorTable!$B$2:$Y$301, MATCH(ROUND(MIN(300,MAX(1,D117)),0), FactorTable!$A$2:$A$301,0), Skills!L7+1)</f>
        <v/>
      </c>
      <c r="F117">
        <f>IF(Skills!M7=TRUE,(Skills!K7/10)*(E117/1000),Skills!K7/10)+Skills!N7</f>
        <v/>
      </c>
      <c r="G117">
        <f>Calc!G7</f>
        <v/>
      </c>
      <c r="H117">
        <f>Calc!H7</f>
        <v/>
      </c>
      <c r="I117">
        <f>IF(Skills!T7&lt;&gt;"",1+(Skills!T7/10)*(Z113/1000)/100,1)</f>
        <v/>
      </c>
      <c r="J117">
        <f>((Inputs!$B$6*(1+Inputs!$B$7/100))+(((Inputs!$B$12*(1+(Inputs!$B$13+1)/100))-(Inputs!$B$12*(1+Inputs!$B$13/100)))+0.25*(Inputs!$B$14-Inputs!$B$14))*(1+Inputs!$B$7/100))*(F117/100)</f>
        <v/>
      </c>
      <c r="K117">
        <f>J117*(1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7="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128-Calc!F18),(Inputs!$B$23+(IF(ArtifactsInput!$M$15,CHOOSE(ArtifactsInput!$N$15+1,25,30,35,40,45,50)/100*(Inputs!$B$11-Inputs!$B$11),0))))/100+(Inputs!$B$23+(IF(ArtifactsInput!$M$15,CHOOSE(ArtifactsInput!$N$15+1,25,30,35,40,45,50)/100*(Inputs!$B$11-Inputs!$B$11),0)))/100)/2</f>
        <v/>
      </c>
      <c r="M117">
        <f>L117*(1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IF(B147=0,0,O117/B147)</f>
        <v/>
      </c>
      <c r="Q117">
        <f>IFERROR(1/IF(Inputs!$B$38="pvp",15,MAX(0.1,Skills!D7-IF(Skills!E7=TRUE,Inputs!$B$32,0))),0)</f>
        <v/>
      </c>
      <c r="R117">
        <f>IF(AND(Inputs!$B$38&lt;&gt;"pvp",Inputs!$B$43&gt;0),IF(MAX(0,Inputs!$B$43-B144)&lt;=0,0,(INT(MAX(0,Inputs!$B$43-B144)/IF(Inputs!$B$38="pvp",15,MAX(0.1,Skills!D7-IF(Skills!E7=TRUE,Inputs!$B$32,0))))+1)),0)</f>
        <v/>
      </c>
      <c r="S117">
        <f>IF(C117,(H117*N117*IF(AND(Inputs!$B$38&lt;&gt;"pvp",Inputs!$B$43&gt;0),((Skills!F7*((R117-1)*IF(Skills!G7&gt;0,Skills!H7/Skills!G7,1)+IF(Skills!G7&gt;0,MIN(Skills!H7,MAX(0,MAX(0,Inputs!$B$43-B144)-((R117-1)*IF(Inputs!$B$38="pvp",15,MAX(0.1,Skills!D7-IF(Skills!E7=TRUE,Inputs!$B$32,0))))))/Skills!G7,1)))/Inputs!$B$43),G117*Q117))*IF(Inputs!$B$38="pvp",1,1+(Inputs!$B$20+Skills!O7+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7*((R117-1)*IF(Skills!G7&gt;0,Skills!H7/Skills!G7,1)+IF(Skills!G7&gt;0,MIN(Skills!H7,MAX(0,MAX(0,Inputs!$B$43-B144)-((R117-1)*IF(Inputs!$B$38="pvp",15,MAX(0.1,Skills!D7-IF(Skills!E7=TRUE,Inputs!$B$32,0))))))/Skills!G7,1)))/Inputs!$B$43),G117*Q117))*IF(Inputs!$B$38="pvp",1,(1+(Inputs!$B$21+Skills!P7+B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Inputs!$B$3&gt;=103</f>
        <v/>
      </c>
      <c r="D118">
        <f>IF(Skills!C8=1,60+Inputs!$B$25+Inputs!$B$29,IF(Skills!C8=2,90+Inputs!$B$26+Inputs!$B$29,IF(Skills!C8=3,120+Inputs!$B$27+Inputs!$B$29,MAX(0,(Inputs!$B$3-100)*3)+Inputs!$B$28+Inputs!$B$29)))</f>
        <v/>
      </c>
      <c r="E118">
        <f>INDEX(FactorTable!$B$2:$Y$301, MATCH(ROUND(MIN(300,MAX(1,D118)),0), FactorTable!$A$2:$A$301,0), Skills!L8+1)</f>
        <v/>
      </c>
      <c r="F118">
        <f>IF(Skills!M8=TRUE,(Skills!K8/10)*(E118/1000),Skills!K8/10)+Skills!N8</f>
        <v/>
      </c>
      <c r="G118">
        <f>Calc!G8</f>
        <v/>
      </c>
      <c r="H118">
        <f>Calc!H8</f>
        <v/>
      </c>
      <c r="I118">
        <f>IF(Skills!T8&lt;&gt;"",1+(Skills!T8/10)*(Z113/1000)/100,1)</f>
        <v/>
      </c>
      <c r="J118">
        <f>((Inputs!$B$6*(1+Inputs!$B$7/100))+(((Inputs!$B$12*(1+(Inputs!$B$13+1)/100))-(Inputs!$B$12*(1+Inputs!$B$13/100)))+0.25*(Inputs!$B$14-Inputs!$B$14))*(1+Inputs!$B$7/100))*(F118/100)</f>
        <v/>
      </c>
      <c r="K118">
        <f>J118*(1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8="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128-Calc!F18),(Inputs!$B$23+(IF(ArtifactsInput!$M$15,CHOOSE(ArtifactsInput!$N$15+1,25,30,35,40,45,50)/100*(Inputs!$B$11-Inputs!$B$11),0))))/100+(Inputs!$B$23+(IF(ArtifactsInput!$M$15,CHOOSE(ArtifactsInput!$N$15+1,25,30,35,40,45,50)/100*(Inputs!$B$11-Inputs!$B$11),0)))/100)/2</f>
        <v/>
      </c>
      <c r="M118">
        <f>L118*(1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IF(B147=0,0,O118/B147)</f>
        <v/>
      </c>
      <c r="Q118">
        <f>IFERROR(1/IF(Inputs!$B$38="pvp",15,MAX(0.1,Skills!D8-IF(Skills!E8=TRUE,Inputs!$B$32,0))),0)</f>
        <v/>
      </c>
      <c r="R118">
        <f>IF(AND(Inputs!$B$38&lt;&gt;"pvp",Inputs!$B$43&gt;0),IF(MAX(0,Inputs!$B$43-B144)&lt;=0,0,(INT(MAX(0,Inputs!$B$43-B144)/IF(Inputs!$B$38="pvp",15,MAX(0.1,Skills!D8-IF(Skills!E8=TRUE,Inputs!$B$32,0))))+1)),0)</f>
        <v/>
      </c>
      <c r="S118">
        <f>IF(C118,(H118*N118*IF(AND(Inputs!$B$38&lt;&gt;"pvp",Inputs!$B$43&gt;0),((Skills!F8*((R118-1)*IF(Skills!G8&gt;0,Skills!H8/Skills!G8,1)+IF(Skills!G8&gt;0,MIN(Skills!H8,MAX(0,MAX(0,Inputs!$B$43-B144)-((R118-1)*IF(Inputs!$B$38="pvp",15,MAX(0.1,Skills!D8-IF(Skills!E8=TRUE,Inputs!$B$32,0))))))/Skills!G8,1)))/Inputs!$B$43),G118*Q118))*IF(Inputs!$B$38="pvp",1,1+(Inputs!$B$20+Skills!O8+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8*((R118-1)*IF(Skills!G8&gt;0,Skills!H8/Skills!G8,1)+IF(Skills!G8&gt;0,MIN(Skills!H8,MAX(0,MAX(0,Inputs!$B$43-B144)-((R118-1)*IF(Inputs!$B$38="pvp",15,MAX(0.1,Skills!D8-IF(Skills!E8=TRUE,Inputs!$B$32,0))))))/Skills!G8,1)))/Inputs!$B$43),G118*Q118))*IF(Inputs!$B$38="pvp",1,(1+(Inputs!$B$21+Skills!P8+B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Inputs!$B$3&gt;=105</f>
        <v/>
      </c>
      <c r="D119">
        <f>IF(Skills!C9=1,60+Inputs!$B$25+Inputs!$B$29,IF(Skills!C9=2,90+Inputs!$B$26+Inputs!$B$29,IF(Skills!C9=3,120+Inputs!$B$27+Inputs!$B$29,MAX(0,(Inputs!$B$3-100)*3)+Inputs!$B$28+Inputs!$B$29)))</f>
        <v/>
      </c>
      <c r="E119">
        <f>INDEX(FactorTable!$B$2:$Y$301, MATCH(ROUND(MIN(300,MAX(1,D119)),0), FactorTable!$A$2:$A$301,0), Skills!L9+1)</f>
        <v/>
      </c>
      <c r="F119">
        <f>IF(Skills!M9=TRUE,(Skills!K9/10)*(E119/1000),Skills!K9/10)+Skills!N9</f>
        <v/>
      </c>
      <c r="G119">
        <f>Calc!G9</f>
        <v/>
      </c>
      <c r="H119">
        <f>Calc!H9</f>
        <v/>
      </c>
      <c r="I119">
        <f>IF(Skills!T9&lt;&gt;"",1+(Skills!T9/10)*(Z113/1000)/100,1)</f>
        <v/>
      </c>
      <c r="J119">
        <f>((Inputs!$B$6*(1+Inputs!$B$7/100))+(((Inputs!$B$12*(1+(Inputs!$B$13+1)/100))-(Inputs!$B$12*(1+Inputs!$B$13/100)))+0.25*(Inputs!$B$14-Inputs!$B$14))*(1+Inputs!$B$7/100))*(F119/100)</f>
        <v/>
      </c>
      <c r="K119">
        <f>J119*(1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9="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128-Calc!F18),(Inputs!$B$23+(IF(ArtifactsInput!$M$15,CHOOSE(ArtifactsInput!$N$15+1,25,30,35,40,45,50)/100*(Inputs!$B$11-Inputs!$B$11),0))))/100+(Inputs!$B$23+(IF(ArtifactsInput!$M$15,CHOOSE(ArtifactsInput!$N$15+1,25,30,35,40,45,50)/100*(Inputs!$B$11-Inputs!$B$11),0)))/100)/2</f>
        <v/>
      </c>
      <c r="M119">
        <f>L119*(1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IF(B147=0,0,O119/B147)</f>
        <v/>
      </c>
      <c r="Q119">
        <f>IFERROR(1/IF(Inputs!$B$38="pvp",15,MAX(0.1,Skills!D9-IF(Skills!E9=TRUE,Inputs!$B$32,0))),0)</f>
        <v/>
      </c>
      <c r="R119">
        <f>IF(AND(Inputs!$B$38&lt;&gt;"pvp",Inputs!$B$43&gt;0),IF(MAX(0,Inputs!$B$43-B144)&lt;=0,0,(INT(MAX(0,Inputs!$B$43-B144)/IF(Inputs!$B$38="pvp",15,MAX(0.1,Skills!D9-IF(Skills!E9=TRUE,Inputs!$B$32,0))))+1)),0)</f>
        <v/>
      </c>
      <c r="S119">
        <f>IF(C119,(H119*N119*IF(AND(Inputs!$B$38&lt;&gt;"pvp",Inputs!$B$43&gt;0),((Skills!F9*((R119-1)*IF(Skills!G9&gt;0,Skills!H9/Skills!G9,1)+IF(Skills!G9&gt;0,MIN(Skills!H9,MAX(0,MAX(0,Inputs!$B$43-B144)-((R119-1)*IF(Inputs!$B$38="pvp",15,MAX(0.1,Skills!D9-IF(Skills!E9=TRUE,Inputs!$B$32,0))))))/Skills!G9,1)))/Inputs!$B$43),G119*Q119))*IF(Inputs!$B$38="pvp",1,1+(Inputs!$B$20+Skills!O9+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9*((R119-1)*IF(Skills!G9&gt;0,Skills!H9/Skills!G9,1)+IF(Skills!G9&gt;0,MIN(Skills!H9,MAX(0,MAX(0,Inputs!$B$43-B144)-((R119-1)*IF(Inputs!$B$38="pvp",15,MAX(0.1,Skills!D9-IF(Skills!E9=TRUE,Inputs!$B$32,0))))))/Skills!G9,1)))/Inputs!$B$43),G119*Q119))*IF(Inputs!$B$38="pvp",1,(1+(Inputs!$B$21+Skills!P9+B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Inputs!$B$3&gt;=113</f>
        <v/>
      </c>
      <c r="D120">
        <f>IF(Skills!C10=1,60+Inputs!$B$25+Inputs!$B$29,IF(Skills!C10=2,90+Inputs!$B$26+Inputs!$B$29,IF(Skills!C10=3,120+Inputs!$B$27+Inputs!$B$29,MAX(0,(Inputs!$B$3-100)*3)+Inputs!$B$28+Inputs!$B$29)))</f>
        <v/>
      </c>
      <c r="E120">
        <f>INDEX(FactorTable!$B$2:$Y$301, MATCH(ROUND(MIN(300,MAX(1,D120)),0), FactorTable!$A$2:$A$301,0), Skills!L10+1)</f>
        <v/>
      </c>
      <c r="F120">
        <f>IF(Skills!M10=TRUE,(Skills!K10/10)*(E120/1000),Skills!K10/10)+Skills!N10</f>
        <v/>
      </c>
      <c r="G120">
        <f>Calc!G10</f>
        <v/>
      </c>
      <c r="H120">
        <f>Calc!H10</f>
        <v/>
      </c>
      <c r="I120">
        <f>IF(Skills!T10&lt;&gt;"",1+(Skills!T10/10)*(Z113/1000)/100,1)</f>
        <v/>
      </c>
      <c r="J120">
        <f>((Inputs!$B$6*(1+Inputs!$B$7/100))+(((Inputs!$B$12*(1+(Inputs!$B$13+1)/100))-(Inputs!$B$12*(1+Inputs!$B$13/100)))+0.25*(Inputs!$B$14-Inputs!$B$14))*(1+Inputs!$B$7/100))*(F120/100)</f>
        <v/>
      </c>
      <c r="K120">
        <f>J120*(1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10="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128-Calc!F18),(Inputs!$B$23+(IF(ArtifactsInput!$M$15,CHOOSE(ArtifactsInput!$N$15+1,25,30,35,40,45,50)/100*(Inputs!$B$11-Inputs!$B$11),0))))/100+(Inputs!$B$23+(IF(ArtifactsInput!$M$15,CHOOSE(ArtifactsInput!$N$15+1,25,30,35,40,45,50)/100*(Inputs!$B$11-Inputs!$B$11),0)))/100)/2</f>
        <v/>
      </c>
      <c r="M120">
        <f>L120*(1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IF(B147=0,0,O120/B147)</f>
        <v/>
      </c>
      <c r="Q120">
        <f>IFERROR(1/IF(Inputs!$B$38="pvp",15,MAX(0.1,Skills!D10-IF(Skills!E9=TRUE,Inputs!$B$32,0))),0)</f>
        <v/>
      </c>
      <c r="R120">
        <f>IF(AND(Inputs!$B$38&lt;&gt;"pvp",Inputs!$B$43&gt;0),IF(MAX(0,Inputs!$B$43-B144)&lt;=0,0,(INT(MAX(0,Inputs!$B$43-B144)/IF(Inputs!$B$38="pvp",15,MAX(0.1,Skills!D10-IF(Skills!E9=TRUE,Inputs!$B$32,0))))+1)),0)</f>
        <v/>
      </c>
      <c r="S120">
        <f>IF(C120,(H120*N120*IF(AND(Inputs!$B$38&lt;&gt;"pvp",Inputs!$B$43&gt;0),((Skills!F10*((R120-1)*IF(Skills!G10&gt;0,Skills!H10/Skills!G10,1)+IF(Skills!G10&gt;0,MIN(Skills!H10,MAX(0,MAX(0,Inputs!$B$43-B144)-((R120-1)*IF(Inputs!$B$38="pvp",15,MAX(0.1,Skills!D10-IF(Skills!E9=TRUE,Inputs!$B$32,0))))))/Skills!G10,1)))/Inputs!$B$43),G120*Q120))*IF(Inputs!$B$38="pvp",1,1+(Inputs!$B$20+Skills!O10+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10*((R120-1)*IF(Skills!G10&gt;0,Skills!H10/Skills!G10,1)+IF(Skills!G10&gt;0,MIN(Skills!H10,MAX(0,MAX(0,Inputs!$B$43-B144)-((R120-1)*IF(Inputs!$B$38="pvp",15,MAX(0.1,Skills!D10-IF(Skills!E9=TRUE,Inputs!$B$32,0))))))/Skills!G10,1)))/Inputs!$B$43),G120*Q120))*IF(Inputs!$B$38="pvp",1,(1+(Inputs!$B$21+Skills!P10+B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Inputs!$B$3&gt;=107</f>
        <v/>
      </c>
      <c r="D121">
        <f>IF(Skills!C11=1,60+Inputs!$B$25+Inputs!$B$29,IF(Skills!C11=2,90+Inputs!$B$26+Inputs!$B$29,IF(Skills!C11=3,120+Inputs!$B$27+Inputs!$B$29,MAX(0,(Inputs!$B$3-100)*3)+Inputs!$B$28+Inputs!$B$29)))</f>
        <v/>
      </c>
      <c r="E121">
        <f>INDEX(FactorTable!$B$2:$Y$301, MATCH(ROUND(MIN(300,MAX(1,D121)),0), FactorTable!$A$2:$A$301,0), Skills!L11+1)</f>
        <v/>
      </c>
      <c r="F121">
        <f>IF(Skills!M11=TRUE,(Skills!K11/10)*(E121/1000),Skills!K11/10)+Skills!N11</f>
        <v/>
      </c>
      <c r="G121">
        <f>Calc!G11</f>
        <v/>
      </c>
      <c r="H121">
        <f>Calc!H11</f>
        <v/>
      </c>
      <c r="I121">
        <f>IF(Skills!T11&lt;&gt;"",1+(Skills!T11/10)*(Z113/1000)/100,1)</f>
        <v/>
      </c>
      <c r="J121">
        <f>((Inputs!$B$6*(1+Inputs!$B$7/100))+(((Inputs!$B$12*(1+(Inputs!$B$13+1)/100))-(Inputs!$B$12*(1+Inputs!$B$13/100)))+0.25*(Inputs!$B$14-Inputs!$B$14))*(1+Inputs!$B$7/100))*(F121/100)</f>
        <v/>
      </c>
      <c r="K121">
        <f>J121*(1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11="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128-Calc!F18),(Inputs!$B$23+(IF(ArtifactsInput!$M$15,CHOOSE(ArtifactsInput!$N$15+1,25,30,35,40,45,50)/100*(Inputs!$B$11-Inputs!$B$11),0))))/100+(Inputs!$B$23+(IF(ArtifactsInput!$M$15,CHOOSE(ArtifactsInput!$N$15+1,25,30,35,40,45,50)/100*(Inputs!$B$11-Inputs!$B$11),0)))/100)/2</f>
        <v/>
      </c>
      <c r="M121">
        <f>L121*(1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IF(B147=0,0,O121/B147)</f>
        <v/>
      </c>
      <c r="Q121">
        <f>IFERROR(1/IF(Inputs!$B$38="pvp",15,MAX(0.1,Skills!D11-IF(Skills!E11=TRUE,Inputs!$B$32,0))),0)</f>
        <v/>
      </c>
      <c r="R121">
        <f>IF(AND(Inputs!$B$38&lt;&gt;"pvp",Inputs!$B$43&gt;0),IF(MAX(0,Inputs!$B$43-B144)&lt;=0,0,(INT(MAX(0,Inputs!$B$43-B144)/IF(Inputs!$B$38="pvp",15,MAX(0.1,Skills!D11-IF(Skills!E11=TRUE,Inputs!$B$32,0))))+1)),0)</f>
        <v/>
      </c>
      <c r="S121">
        <f>IF(C121,H121*N121*IF(AND(Inputs!$B$38&lt;&gt;"pvp",Inputs!$B$43&gt;0),((Skills!F11*((R121-1)*IF(Skills!G11&gt;0,Skills!H11/Skills!G11,1)+IF(Skills!G11&gt;0,MIN(Skills!H11,MAX(0,MAX(0,Inputs!$B$43-B144)-((R121-1)*IF(Inputs!$B$38="pvp",15,MAX(0.1,Skills!D11-IF(Skills!E11=TRUE,Inputs!$B$32,0))))))/Skills!G11,1)))/Inputs!$B$43),G121*Q121)*0.5*IF(Inputs!$B$38="pvp",1,1+(Inputs!$B$20+Skills!O11+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F11*((R121-1)*IF(Skills!G11&gt;0,Skills!H11/Skills!G11,1)+IF(Skills!G11&gt;0,MIN(Skills!H11,MAX(0,MAX(0,Inputs!$B$43-B144)-((R121-1)*IF(Inputs!$B$38="pvp",15,MAX(0.1,Skills!D11-IF(Skills!E11=TRUE,Inputs!$B$32,0))))))/Skills!G11,1)))/Inputs!$B$43),G121*Q121)*1*IF(Inputs!$B$38="pvp",1,(1+(Inputs!$B$21+Skills!P11+B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Inputs!$B$3&gt;=115</f>
        <v/>
      </c>
      <c r="D122">
        <f>IF(Skills!C12=1,60+Inputs!$B$25+Inputs!$B$29,IF(Skills!C12=2,90+Inputs!$B$26+Inputs!$B$29,IF(Skills!C12=3,120+Inputs!$B$27+Inputs!$B$29,MAX(0,(Inputs!$B$3-100)*3)+Inputs!$B$28+Inputs!$B$29)))</f>
        <v/>
      </c>
      <c r="E122">
        <f>INDEX(FactorTable!$B$2:$Y$301, MATCH(ROUND(MIN(300,MAX(1,D122)),0), FactorTable!$A$2:$A$301,0), Skills!L12+1)</f>
        <v/>
      </c>
      <c r="F122">
        <f>IF(Skills!M12=TRUE,(Skills!K12/10)*(E122/1000),Skills!K12/10)+Skills!N12</f>
        <v/>
      </c>
      <c r="G122">
        <f>Calc!G12</f>
        <v/>
      </c>
      <c r="H122">
        <f>Calc!H12</f>
        <v/>
      </c>
      <c r="I122">
        <f>IF(Skills!T12&lt;&gt;"",1+(Skills!T12/10)*(Z113/1000)/100,1)</f>
        <v/>
      </c>
      <c r="J122">
        <f>((Inputs!$B$6*(1+Inputs!$B$7/100))+(((Inputs!$B$12*(1+(Inputs!$B$13+1)/100))-(Inputs!$B$12*(1+Inputs!$B$13/100)))+0.25*(Inputs!$B$14-Inputs!$B$14))*(1+Inputs!$B$7/100))*(F122/100)</f>
        <v/>
      </c>
      <c r="K122">
        <f>J122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12="CHAIN_LIGHTNING",Inputs!$B$17+((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128-Calc!F18),(Inputs!$B$23+(IF(ArtifactsInput!$M$15,CHOOSE(ArtifactsInput!$N$15+1,25,30,35,40,45,50)/100*(Inputs!$B$11-Inputs!$B$11),0))))/100+(Inputs!$B$23+(IF(ArtifactsInput!$M$15,CHOOSE(ArtifactsInput!$N$15+1,25,30,35,40,45,50)/100*(Inputs!$B$11-Inputs!$B$11),0)))/100)/2</f>
        <v/>
      </c>
      <c r="M122">
        <f>L122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IF(B147=0,0,O122/B147)</f>
        <v/>
      </c>
      <c r="Q122">
        <f>IFERROR(1/IF(Inputs!$B$38="pvp",15,MAX(0.1,Skills!D12-IF(Skills!E12=TRUE,Inputs!$B$32,0))),0)</f>
        <v/>
      </c>
      <c r="R122">
        <f>IF(AND(Inputs!$B$38&lt;&gt;"pvp",Inputs!$B$43&gt;0),IF(MAX(0,Inputs!$B$43-B144)&lt;=0,0,(INT(MAX(0,Inputs!$B$43-B144)/IF(Inputs!$B$38="pvp",15,MAX(0.1,Skills!D12-IF(Skills!E12=TRUE,Inputs!$B$32,0))))+1)),0)</f>
        <v/>
      </c>
      <c r="S122">
        <f>IF(C122,(H122*N122*IF(AND(Inputs!$B$38&lt;&gt;"pvp",Inputs!$B$43&gt;0),((Skills!F12*((R122-1)*IF(Skills!G12&gt;0,Skills!H12/Skills!G12,1)+IF(Skills!G12&gt;0,MIN(Skills!H12,MAX(0,MAX(0,Inputs!$B$43-B144)-((R122-1)*IF(Inputs!$B$38="pvp",15,MAX(0.1,Skills!D12-IF(Skills!E12=TRUE,Inputs!$B$32,0))))))/Skills!G12,1)))/Inputs!$B$43),G122*Q122))*IF(Inputs!$B$38="pvp",1,1+(Inputs!$B$20+Skills!O12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130-Calc!F20)+(F129-Calc!F19))+(ArtifactsInput!$M$24-ArtifactsInput!$M$24)*CHOOSE(ArtifactsInput!$N$24+1,10,12,14,16,18,20)+(IF(AND(Inputs!$B$38&lt;&gt;"pvp",Inputs!$B$43=0),1,IF(IF(Inputs!$B$38="pvp",15,Inputs!$B$43)-(B144)&lt;=0,1,MAX(0,IF(Inputs!$B$38="pvp",15,Inputs!$B$43)-MAX(5,B144))/(IF(Inputs!$B$38="pvp",15,Inputs!$B$43)-(B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F12*((R122-1)*IF(Skills!G12&gt;0,Skills!H12/Skills!G12,1)+IF(Skills!G12&gt;0,MIN(Skills!H12,MAX(0,MAX(0,Inputs!$B$43-B144)-((R122-1)*IF(Inputs!$B$38="pvp",15,MAX(0.1,Skills!D12-IF(Skills!E12=TRUE,Inputs!$B$32,0))))))/Skills!G12,1)))/Inputs!$B$43),G122*Q122))*IF(Inputs!$B$38="pvp",1,(1+(Inputs!$B$21+Skills!P12+B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Skills!A13</f>
        <v/>
      </c>
      <c r="B123">
        <f>Skills!B13</f>
        <v/>
      </c>
      <c r="C123">
        <f>Inputs!$B$3&gt;=49</f>
        <v/>
      </c>
      <c r="D123">
        <f>IF(Skills!C13=1,60+Inputs!$B$25+Inputs!$B$29,IF(Skills!C13=2,90+Inputs!$B$26+Inputs!$B$29,IF(Skills!C13=3,120+Inputs!$B$27+Inputs!$B$29,MAX(0,(Inputs!$B$3-100)*3)+Inputs!$B$28+Inputs!$B$29)))</f>
        <v/>
      </c>
      <c r="E123">
        <f>INDEX(FactorTable!$B$2:$Y$301, MATCH(ROUND(MIN(300,MAX(1,D123)),0), FactorTable!$A$2:$A$301,0), Skills!L13+1)</f>
        <v/>
      </c>
      <c r="F123">
        <f>IF(Skills!M13=TRUE,(Skills!K13/10)*(E123/1000),Skills!K13/10)+Skills!N13</f>
        <v/>
      </c>
      <c r="G123">
        <f>Calc!G13</f>
        <v/>
      </c>
      <c r="H123">
        <f>Calc!H13</f>
        <v/>
      </c>
      <c r="I123">
        <f>IF(Skills!T13&lt;&gt;"",1+(Skills!T13/10)*(Z113/1000)/100,1)</f>
        <v/>
      </c>
      <c r="J123" t="inlineStr"/>
      <c r="K123" t="inlineStr"/>
      <c r="L123" t="inlineStr"/>
      <c r="M123" t="inlineStr"/>
      <c r="N123" t="inlineStr"/>
      <c r="O123">
        <f>(1-Summary!$B$11)*S123+Summary!$B$11*U123</f>
        <v/>
      </c>
      <c r="P123">
        <f>IF(B147=0,0,O123/B147)</f>
        <v/>
      </c>
      <c r="Q123">
        <f>IFERROR(1/IF(Inputs!$B$38="pvp",15,MAX(0.1,Skills!D13-IF(Skills!E13=TRUE,Inputs!$B$32,0))),0)</f>
        <v/>
      </c>
      <c r="R123" t="n">
        <v>0</v>
      </c>
      <c r="S123" t="n">
        <v>0</v>
      </c>
      <c r="U123" t="n">
        <v>0</v>
      </c>
    </row>
    <row r="124">
      <c r="A124">
        <f>Skills!A14</f>
        <v/>
      </c>
      <c r="B124">
        <f>Skills!B14</f>
        <v/>
      </c>
      <c r="C124">
        <f>Inputs!$B$3&gt;=72</f>
        <v/>
      </c>
      <c r="D124">
        <f>IF(Skills!C14=1,60+Inputs!$B$25+Inputs!$B$29,IF(Skills!C14=2,90+Inputs!$B$26+Inputs!$B$29,IF(Skills!C14=3,120+Inputs!$B$27+Inputs!$B$29,MAX(0,(Inputs!$B$3-100)*3)+Inputs!$B$28+Inputs!$B$29)))</f>
        <v/>
      </c>
      <c r="E124">
        <f>INDEX(FactorTable!$B$2:$Y$301, MATCH(ROUND(MIN(300,MAX(1,D124)),0), FactorTable!$A$2:$A$301,0), Skills!L14+1)</f>
        <v/>
      </c>
      <c r="F124">
        <f>IF(Skills!M14=TRUE,(Skills!K14/10)*(E124/1000),Skills!K14/10)+Skills!N14</f>
        <v/>
      </c>
      <c r="G124">
        <f>Calc!G14</f>
        <v/>
      </c>
      <c r="H124">
        <f>Calc!H14</f>
        <v/>
      </c>
      <c r="I124">
        <f>IF(Skills!T14&lt;&gt;"",1+(Skills!T14/10)*(Z113/1000)/100,1)</f>
        <v/>
      </c>
      <c r="J124" t="inlineStr"/>
      <c r="K124" t="inlineStr"/>
      <c r="L124" t="inlineStr"/>
      <c r="M124" t="inlineStr"/>
      <c r="N124" t="inlineStr"/>
      <c r="O124">
        <f>(1-Summary!$B$11)*S124+Summary!$B$11*U124</f>
        <v/>
      </c>
      <c r="P124">
        <f>IF(B147=0,0,O124/B147)</f>
        <v/>
      </c>
      <c r="Q124">
        <f>IFERROR(1/IF(Inputs!$B$38="pvp",15,MAX(0.1,Skills!D14-IF(Skills!E14=TRUE,Inputs!$B$32,0))),0)</f>
        <v/>
      </c>
      <c r="R124" t="n">
        <v>0</v>
      </c>
      <c r="S124" t="n">
        <v>0</v>
      </c>
      <c r="U124" t="n">
        <v>0</v>
      </c>
    </row>
    <row r="125">
      <c r="A125">
        <f>Skills!A15</f>
        <v/>
      </c>
      <c r="B125">
        <f>Skills!B15</f>
        <v/>
      </c>
      <c r="C125">
        <f>Inputs!$B$3&gt;=75</f>
        <v/>
      </c>
      <c r="D125">
        <f>IF(Skills!C15=1,60+Inputs!$B$25+Inputs!$B$29,IF(Skills!C15=2,90+Inputs!$B$26+Inputs!$B$29,IF(Skills!C15=3,120+Inputs!$B$27+Inputs!$B$29,MAX(0,(Inputs!$B$3-100)*3)+Inputs!$B$28+Inputs!$B$29)))</f>
        <v/>
      </c>
      <c r="E125">
        <f>INDEX(FactorTable!$B$2:$Y$301, MATCH(ROUND(MIN(300,MAX(1,D125)),0), FactorTable!$A$2:$A$301,0), Skills!L15+1)</f>
        <v/>
      </c>
      <c r="F125">
        <f>IF(Skills!M15=TRUE,(Skills!K15/10)*(E125/1000),Skills!K15/10)+Skills!N15</f>
        <v/>
      </c>
      <c r="G125">
        <f>Calc!G15</f>
        <v/>
      </c>
      <c r="H125">
        <f>Calc!H15</f>
        <v/>
      </c>
      <c r="I125">
        <f>IF(Skills!T15&lt;&gt;"",1+(Skills!T15/10)*(Z113/1000)/100,1)</f>
        <v/>
      </c>
      <c r="J125" t="inlineStr"/>
      <c r="K125" t="inlineStr"/>
      <c r="L125" t="inlineStr"/>
      <c r="M125" t="inlineStr"/>
      <c r="N125" t="inlineStr"/>
      <c r="O125">
        <f>(1-Summary!$B$11)*S125+Summary!$B$11*U125</f>
        <v/>
      </c>
      <c r="P125">
        <f>IF(B147=0,0,O125/B147)</f>
        <v/>
      </c>
      <c r="Q125">
        <f>IFERROR(1/IF(Inputs!$B$38="pvp",15,MAX(0.1,Skills!D15-IF(Skills!E15=TRUE,Inputs!$B$32,0))),0)</f>
        <v/>
      </c>
      <c r="R125" t="n">
        <v>0</v>
      </c>
      <c r="S125" t="n">
        <v>0</v>
      </c>
      <c r="U125" t="n">
        <v>0</v>
      </c>
    </row>
    <row r="126">
      <c r="A126">
        <f>Skills!A16</f>
        <v/>
      </c>
      <c r="B126">
        <f>Skills!B16</f>
        <v/>
      </c>
      <c r="C126">
        <f>Inputs!$B$3&gt;=110</f>
        <v/>
      </c>
      <c r="D126">
        <f>IF(Skills!C16=1,60+Inputs!$B$25+Inputs!$B$29,IF(Skills!C16=2,90+Inputs!$B$26+Inputs!$B$29,IF(Skills!C16=3,120+Inputs!$B$27+Inputs!$B$29,MAX(0,(Inputs!$B$3-100)*3)+Inputs!$B$28+Inputs!$B$29)))</f>
        <v/>
      </c>
      <c r="E126">
        <f>INDEX(FactorTable!$B$2:$Y$301, MATCH(ROUND(MIN(300,MAX(1,D126)),0), FactorTable!$A$2:$A$301,0), Skills!L16+1)</f>
        <v/>
      </c>
      <c r="F126">
        <f>(Skills!K16/10)*(E126/1000)*64/45+Skills!N16</f>
        <v/>
      </c>
      <c r="G126">
        <f>Calc!G16</f>
        <v/>
      </c>
      <c r="H126">
        <f>Calc!H16</f>
        <v/>
      </c>
      <c r="I126">
        <f>IF(Skills!T16&lt;&gt;"",1+(Skills!T16/10)*(Z113/1000)/100,1)</f>
        <v/>
      </c>
      <c r="J126" t="inlineStr"/>
      <c r="K126" t="inlineStr"/>
      <c r="L126" t="inlineStr"/>
      <c r="M126" t="inlineStr"/>
      <c r="N126" t="inlineStr"/>
      <c r="O126">
        <f>(1-Summary!$B$11)*S126+Summary!$B$11*U126</f>
        <v/>
      </c>
      <c r="P126">
        <f>IF(B147=0,0,O126/B147)</f>
        <v/>
      </c>
      <c r="Q126">
        <f>IFERROR(1/IF(Inputs!$B$38="pvp",15,MAX(0.1,Skills!D16-IF(Skills!E16=TRUE,Inputs!$B$32,0))),0)</f>
        <v/>
      </c>
      <c r="R126">
        <f>IF(AND(Inputs!$B$38&lt;&gt;"pvp",Inputs!$B$43&gt;0),IF(Inputs!$B$43&lt;=0,0,(INT(Inputs!$B$43/IF(Inputs!$B$38="pvp",15,MAX(0.1,Skills!D16-IF(Skills!E16=TRUE,Inputs!$B$32,0))))+1)),0)</f>
        <v/>
      </c>
      <c r="S126" t="n">
        <v>0</v>
      </c>
      <c r="U126" t="n">
        <v>0</v>
      </c>
    </row>
    <row r="127">
      <c r="A127">
        <f>Skills!A17</f>
        <v/>
      </c>
      <c r="B127">
        <f>Skills!B17</f>
        <v/>
      </c>
      <c r="C127">
        <f>Inputs!$B$3&gt;=33</f>
        <v/>
      </c>
      <c r="D127">
        <f>IF(Skills!C17=1,60+Inputs!$B$25+Inputs!$B$29,IF(Skills!C17=2,90+Inputs!$B$26+Inputs!$B$29,IF(Skills!C17=3,120+Inputs!$B$27+Inputs!$B$29,MAX(0,(Inputs!$B$3-100)*3)+Inputs!$B$28+Inputs!$B$29)))</f>
        <v/>
      </c>
      <c r="E127">
        <f>INDEX(FactorTable!$B$2:$Y$301, MATCH(ROUND(MIN(300,MAX(1,D127)),0), FactorTable!$A$2:$A$301,0), Skills!L17+1)</f>
        <v/>
      </c>
      <c r="F127">
        <f>IF(Skills!M17=TRUE,(Skills!K17/10)*(E127/1000),Skills!K17/10)+Skills!N17</f>
        <v/>
      </c>
      <c r="G127">
        <f>Calc!G17</f>
        <v/>
      </c>
      <c r="H127">
        <f>Calc!H17</f>
        <v/>
      </c>
      <c r="I127">
        <f>IF(Skills!T17&lt;&gt;"",1+(Skills!T17/10)*(Z113/1000)/100,1)</f>
        <v/>
      </c>
      <c r="J127" t="inlineStr"/>
      <c r="K127" t="inlineStr"/>
      <c r="L127" t="inlineStr"/>
      <c r="M127" t="inlineStr"/>
      <c r="N127" t="inlineStr"/>
      <c r="O127">
        <f>(1-Summary!$B$11)*S127+Summary!$B$11*U127</f>
        <v/>
      </c>
      <c r="P127">
        <f>IF(B147=0,0,O127/B147)</f>
        <v/>
      </c>
      <c r="Q127">
        <f>IFERROR(1/IF(Inputs!$B$38="pvp",15,MAX(0.1,Skills!D17-IF(Skills!E17=TRUE,Inputs!$B$32,0))),0)</f>
        <v/>
      </c>
      <c r="R127" t="n">
        <v>0</v>
      </c>
      <c r="S127" t="n">
        <v>0</v>
      </c>
      <c r="U127" t="n">
        <v>0</v>
      </c>
    </row>
    <row r="128">
      <c r="A128">
        <f>Skills!A18</f>
        <v/>
      </c>
      <c r="B128">
        <f>Skills!B18</f>
        <v/>
      </c>
      <c r="C128">
        <f>Inputs!$B$3&gt;=43</f>
        <v/>
      </c>
      <c r="D128">
        <f>IF(Skills!C18=1,60+Inputs!$B$25+Inputs!$B$29,IF(Skills!C18=2,90+Inputs!$B$26+Inputs!$B$29,IF(Skills!C18=3,120+Inputs!$B$27+Inputs!$B$29,MAX(0,(Inputs!$B$3-100)*3)+Inputs!$B$28+Inputs!$B$29)))</f>
        <v/>
      </c>
      <c r="E128">
        <f>INDEX(FactorTable!$B$2:$Y$301, MATCH(ROUND(MIN(300,MAX(1,D128)),0), FactorTable!$A$2:$A$301,0), Skills!L18+1)</f>
        <v/>
      </c>
      <c r="F128">
        <f>IF(Skills!M18=TRUE,(Skills!K18/10)*(E128/1000),Skills!K18/10)+Skills!N18</f>
        <v/>
      </c>
      <c r="G128">
        <f>Calc!G18</f>
        <v/>
      </c>
      <c r="H128">
        <f>Calc!H18</f>
        <v/>
      </c>
      <c r="I128">
        <f>IF(Skills!T18&lt;&gt;"",1+(Skills!T18/10)*(Z113/1000)/100,1)</f>
        <v/>
      </c>
      <c r="J128" t="inlineStr"/>
      <c r="K128" t="inlineStr"/>
      <c r="L128" t="inlineStr"/>
      <c r="M128" t="inlineStr"/>
      <c r="N128" t="inlineStr"/>
      <c r="O128">
        <f>(1-Summary!$B$11)*S128+Summary!$B$11*U128</f>
        <v/>
      </c>
      <c r="P128">
        <f>IF(B147=0,0,O128/B147)</f>
        <v/>
      </c>
      <c r="Q128">
        <f>IFERROR(1/IF(Inputs!$B$38="pvp",15,MAX(0.1,Skills!D18-IF(Skills!E18=TRUE,Inputs!$B$32,0))),0)</f>
        <v/>
      </c>
      <c r="R128" t="n">
        <v>0</v>
      </c>
      <c r="S128" t="n">
        <v>0</v>
      </c>
      <c r="U128" t="n">
        <v>0</v>
      </c>
    </row>
    <row r="129">
      <c r="A129">
        <f>Skills!A19</f>
        <v/>
      </c>
      <c r="B129">
        <f>Skills!B19</f>
        <v/>
      </c>
      <c r="C129">
        <f>Inputs!$B$3&gt;=50</f>
        <v/>
      </c>
      <c r="D129">
        <f>IF(Skills!C19=1,60+Inputs!$B$25+Inputs!$B$29,IF(Skills!C19=2,90+Inputs!$B$26+Inputs!$B$29,IF(Skills!C19=3,120+Inputs!$B$27+Inputs!$B$29,MAX(0,(Inputs!$B$3-100)*3)+Inputs!$B$28+Inputs!$B$29)))</f>
        <v/>
      </c>
      <c r="E129">
        <f>INDEX(FactorTable!$B$2:$Y$301, MATCH(ROUND(MIN(300,MAX(1,D129)),0), FactorTable!$A$2:$A$301,0), Skills!L19+1)</f>
        <v/>
      </c>
      <c r="F129">
        <f>IF(Skills!M19=TRUE,(Skills!K19/10)*(E129/1000),Skills!K19/10)+Skills!N19</f>
        <v/>
      </c>
      <c r="G129">
        <f>Calc!G19</f>
        <v/>
      </c>
      <c r="H129">
        <f>Calc!H19</f>
        <v/>
      </c>
      <c r="I129">
        <f>IF(Skills!T19&lt;&gt;"",1+(Skills!T19/10)*(Z113/1000)/100,1)</f>
        <v/>
      </c>
      <c r="J129" t="inlineStr"/>
      <c r="K129" t="inlineStr"/>
      <c r="L129" t="inlineStr"/>
      <c r="M129" t="inlineStr"/>
      <c r="N129" t="inlineStr"/>
      <c r="O129">
        <f>(1-Summary!$B$11)*S129+Summary!$B$11*U129</f>
        <v/>
      </c>
      <c r="P129">
        <f>IF(B147=0,0,O129/B147)</f>
        <v/>
      </c>
      <c r="Q129">
        <f>IFERROR(1/IF(Inputs!$B$38="pvp",15,MAX(0.1,Skills!D19-IF(Skills!E19=TRUE,Inputs!$B$32,0))),0)</f>
        <v/>
      </c>
      <c r="R129" t="n">
        <v>0</v>
      </c>
      <c r="S129" t="n">
        <v>0</v>
      </c>
      <c r="U129" t="n">
        <v>0</v>
      </c>
    </row>
    <row r="130">
      <c r="A130">
        <f>Skills!A20</f>
        <v/>
      </c>
      <c r="B130">
        <f>Skills!B20</f>
        <v/>
      </c>
      <c r="C130">
        <f>Inputs!$B$3&gt;=74</f>
        <v/>
      </c>
      <c r="D130">
        <f>IF(Skills!C20=1,60+Inputs!$B$25+Inputs!$B$29,IF(Skills!C20=2,90+Inputs!$B$26+Inputs!$B$29,IF(Skills!C20=3,120+Inputs!$B$27+Inputs!$B$29,MAX(0,(Inputs!$B$3-100)*3)+Inputs!$B$28+Inputs!$B$29)))</f>
        <v/>
      </c>
      <c r="E130">
        <f>INDEX(FactorTable!$B$2:$Y$301, MATCH(ROUND(MIN(300,MAX(1,D130)),0), FactorTable!$A$2:$A$301,0), Skills!L20+1)</f>
        <v/>
      </c>
      <c r="F130">
        <f>IF(Skills!M20=TRUE,(Skills!K20/10)*(E130/1000),Skills!K20/10)+Skills!N20</f>
        <v/>
      </c>
      <c r="G130">
        <f>Calc!G20</f>
        <v/>
      </c>
      <c r="H130">
        <f>Calc!H20</f>
        <v/>
      </c>
      <c r="I130">
        <f>IF(Skills!T20&lt;&gt;"",1+(Skills!T20/10)*(Z113/1000)/100,1)</f>
        <v/>
      </c>
      <c r="J130" t="inlineStr"/>
      <c r="K130" t="inlineStr"/>
      <c r="L130" t="inlineStr"/>
      <c r="M130" t="inlineStr"/>
      <c r="N130" t="inlineStr"/>
      <c r="O130">
        <f>(1-Summary!$B$11)*S130+Summary!$B$11*U130</f>
        <v/>
      </c>
      <c r="P130">
        <f>IF(B147=0,0,O130/B147)</f>
        <v/>
      </c>
      <c r="Q130">
        <f>IFERROR(1/IF(Inputs!$B$38="pvp",15,MAX(0.1,Skills!D20-IF(Skills!E20=TRUE,Inputs!$B$32,0))),0)</f>
        <v/>
      </c>
      <c r="R130" t="n">
        <v>0</v>
      </c>
      <c r="S130" t="n">
        <v>0</v>
      </c>
      <c r="U130" t="n">
        <v>0</v>
      </c>
    </row>
    <row r="131">
      <c r="A131">
        <f>Skills!A21</f>
        <v/>
      </c>
      <c r="B131">
        <f>Skills!B21</f>
        <v/>
      </c>
      <c r="C131">
        <f>Inputs!$B$3&gt;=74</f>
        <v/>
      </c>
      <c r="D131">
        <f>IF(Skills!C21=1,60+Inputs!$B$25+Inputs!$B$29,IF(Skills!C21=2,90+Inputs!$B$26+Inputs!$B$29,IF(Skills!C21=3,120+Inputs!$B$27+Inputs!$B$29,MAX(0,(Inputs!$B$3-100)*3)+Inputs!$B$28+Inputs!$B$29)))</f>
        <v/>
      </c>
      <c r="E131">
        <f>INDEX(FactorTable!$B$2:$Y$301, MATCH(ROUND(MIN(300,MAX(1,D131)),0), FactorTable!$A$2:$A$301,0), Skills!L21+1)</f>
        <v/>
      </c>
      <c r="F131">
        <f>IF(Skills!M21=TRUE,(Skills!K21/10)*(E131/1000),Skills!K21/10)+Skills!N21</f>
        <v/>
      </c>
      <c r="G131">
        <f>Calc!G21</f>
        <v/>
      </c>
      <c r="H131">
        <f>Calc!H21</f>
        <v/>
      </c>
      <c r="I131">
        <f>IF(Skills!T21&lt;&gt;"",1+(Skills!T21/10)*(Z113/1000)/100,1)</f>
        <v/>
      </c>
      <c r="J131" t="inlineStr"/>
      <c r="K131" t="inlineStr"/>
      <c r="L131" t="inlineStr"/>
      <c r="M131" t="inlineStr"/>
      <c r="N131" t="inlineStr"/>
      <c r="O131">
        <f>(1-Summary!$B$11)*S131+Summary!$B$11*U131</f>
        <v/>
      </c>
      <c r="P131">
        <f>IF(B147=0,0,O131/B147)</f>
        <v/>
      </c>
      <c r="Q131">
        <f>IFERROR(1/IF(Inputs!$B$38="pvp",15,MAX(0.1,Skills!D21-IF(Skills!E21=TRUE,Inputs!$B$32,0))),0)</f>
        <v/>
      </c>
      <c r="R131" t="n">
        <v>0</v>
      </c>
      <c r="S131" t="n">
        <v>0</v>
      </c>
      <c r="U131" t="n">
        <v>0</v>
      </c>
    </row>
    <row r="132">
      <c r="A132">
        <f>Skills!A22</f>
        <v/>
      </c>
      <c r="B132">
        <f>Skills!B22</f>
        <v/>
      </c>
      <c r="C132">
        <f>Inputs!$B$3&gt;=117</f>
        <v/>
      </c>
      <c r="D132">
        <f>IF(Skills!C22=1,60+Inputs!$B$25+Inputs!$B$29,IF(Skills!C22=2,90+Inputs!$B$26+Inputs!$B$29,IF(Skills!C22=3,120+Inputs!$B$27+Inputs!$B$29,MAX(0,(Inputs!$B$3-100)*3)+Inputs!$B$28+Inputs!$B$29)))</f>
        <v/>
      </c>
      <c r="E132">
        <f>INDEX(FactorTable!$B$2:$Y$301, MATCH(ROUND(MIN(300,MAX(1,D132)),0), FactorTable!$A$2:$A$301,0), Skills!L22+1)</f>
        <v/>
      </c>
      <c r="F132">
        <f>IF(Skills!M22=TRUE,(Skills!K22/10)*(E132/1000),Skills!K22/10)+Skills!N22</f>
        <v/>
      </c>
      <c r="G132">
        <f>Calc!G22</f>
        <v/>
      </c>
      <c r="H132">
        <f>Calc!H22</f>
        <v/>
      </c>
      <c r="I132">
        <f>IF(Skills!T22&lt;&gt;"",1+(Skills!T22/10)*(Z113/1000)/100,1)</f>
        <v/>
      </c>
      <c r="J132" t="inlineStr"/>
      <c r="K132" t="inlineStr"/>
      <c r="L132" t="inlineStr"/>
      <c r="M132" t="inlineStr"/>
      <c r="N132" t="inlineStr"/>
      <c r="O132">
        <f>(1-Summary!$B$11)*S132+Summary!$B$11*U132</f>
        <v/>
      </c>
      <c r="P132">
        <f>IF(B147=0,0,O132/B147)</f>
        <v/>
      </c>
      <c r="Q132">
        <f>IFERROR(1/IF(Inputs!$B$38="pvp",15,MAX(0.1,Skills!D22-IF(Skills!E22=TRUE,Inputs!$B$32,0))),0)</f>
        <v/>
      </c>
      <c r="R132" t="n">
        <v>0</v>
      </c>
      <c r="S132" t="n">
        <v>0</v>
      </c>
      <c r="U132" t="n">
        <v>0</v>
      </c>
    </row>
    <row r="133">
      <c r="A133">
        <f>Skills!A23</f>
        <v/>
      </c>
      <c r="B133">
        <f>Skills!B23</f>
        <v/>
      </c>
      <c r="C133">
        <f>Inputs!$B$3&gt;=120</f>
        <v/>
      </c>
      <c r="D133">
        <f>IF(Skills!C23=1,60+Inputs!$B$25+Inputs!$B$29,IF(Skills!C23=2,90+Inputs!$B$26+Inputs!$B$29,IF(Skills!C23=3,120+Inputs!$B$27+Inputs!$B$29,MAX(0,(Inputs!$B$3-100)*3)+Inputs!$B$28+Inputs!$B$29)))</f>
        <v/>
      </c>
      <c r="E133">
        <f>INDEX(FactorTable!$B$2:$Y$301, MATCH(ROUND(MIN(300,MAX(1,D133)),0), FactorTable!$A$2:$A$301,0), Skills!L23+1)</f>
        <v/>
      </c>
      <c r="F133">
        <f>IF(Skills!M23=TRUE,(Skills!K23/10)*(E133/1000),Skills!K23/10)+Skills!N23</f>
        <v/>
      </c>
      <c r="G133">
        <f>Calc!G23</f>
        <v/>
      </c>
      <c r="H133">
        <f>Calc!H23</f>
        <v/>
      </c>
      <c r="I133">
        <f>IF(Skills!T23&lt;&gt;"",1+(Skills!T23/10)*(Z113/1000)/100,1)</f>
        <v/>
      </c>
      <c r="J133" t="inlineStr"/>
      <c r="K133" t="inlineStr"/>
      <c r="L133" t="inlineStr"/>
      <c r="M133" t="inlineStr"/>
      <c r="N133" t="inlineStr"/>
      <c r="O133">
        <f>(1-Summary!$B$11)*S133+Summary!$B$11*U133</f>
        <v/>
      </c>
      <c r="P133">
        <f>IF(B147=0,0,O133/B147)</f>
        <v/>
      </c>
      <c r="Q133">
        <f>IFERROR(1/IF(Inputs!$B$38="pvp",15,MAX(0.1,Skills!D23-IF(Skills!E23=TRUE,Inputs!$B$32,0))),0)</f>
        <v/>
      </c>
      <c r="R133" t="n">
        <v>0</v>
      </c>
      <c r="S133" t="n">
        <v>0</v>
      </c>
      <c r="U133" t="n">
        <v>0</v>
      </c>
    </row>
    <row r="134">
      <c r="A134">
        <f>Skills!A24</f>
        <v/>
      </c>
      <c r="B134">
        <f>Skills!B24</f>
        <v/>
      </c>
      <c r="C134">
        <f>TRUE</f>
        <v/>
      </c>
      <c r="D134">
        <f>IF(Skills!C24=1,60+Inputs!$B$25+Inputs!$B$29,IF(Skills!C24=2,90+Inputs!$B$26+Inputs!$B$29,IF(Skills!C24=3,120+Inputs!$B$27+Inputs!$B$29,MAX(0,(Inputs!$B$3-100)*3)+Inputs!$B$28+Inputs!$B$29)))</f>
        <v/>
      </c>
      <c r="E134">
        <f>INDEX(FactorTable!$B$2:$Y$301, MATCH(ROUND(MIN(300,MAX(1,D134)),0), FactorTable!$A$2:$A$301,0), Skills!L24+1)</f>
        <v/>
      </c>
      <c r="F134">
        <f>IF(Skills!M24=TRUE,(Skills!K24/10)*(E134/1000),Skills!K24/10)+Skills!N24</f>
        <v/>
      </c>
      <c r="G134">
        <f>Calc!G24</f>
        <v/>
      </c>
      <c r="H134">
        <f>Calc!H24</f>
        <v/>
      </c>
      <c r="I134">
        <f>IF(Skills!T24&lt;&gt;"",1+(Skills!T24/10)*(Z113/1000)/100,1)</f>
        <v/>
      </c>
      <c r="J134" t="inlineStr"/>
      <c r="K134" t="inlineStr"/>
      <c r="L134" t="inlineStr"/>
      <c r="M134" t="inlineStr"/>
      <c r="N134" t="inlineStr"/>
      <c r="O134">
        <f>(1-Summary!$B$11)*S134+Summary!$B$11*U134</f>
        <v/>
      </c>
      <c r="P134">
        <f>IF(B147=0,0,O134/B147)</f>
        <v/>
      </c>
      <c r="Q134">
        <f>IFERROR(1/IF(Inputs!$B$38="pvp",15,MAX(0.1,Skills!D24-IF(Skills!E24=TRUE,Inputs!$B$32,0))),0)</f>
        <v/>
      </c>
      <c r="R134">
        <f>IF(AND(Inputs!$B$38&lt;&gt;"pvp",Inputs!$B$43&gt;0),IF(Inputs!$B$43&lt;=0,0,(INT(Inputs!$B$43/IF(Inputs!$B$38="pvp",15,MAX(0.1,Skills!D24-IF(Skills!E24=TRUE,Inputs!$B$32,0))))+1)),0)</f>
        <v/>
      </c>
      <c r="S134" t="n">
        <v>0</v>
      </c>
      <c r="U134" t="n">
        <v>0</v>
      </c>
    </row>
    <row r="137">
      <c r="A137" t="inlineStr">
        <is>
          <t>Average Buff Multiplier (Magic Guard + Meditation + Artifact Attack%, summed; then Infinity)</t>
        </is>
      </c>
      <c r="B137">
        <f>(1+(IF(C113=TRUE,F113*IF(AND(Inputs!$B$38&lt;&gt;"pvp",Inputs!$B$43&gt;0),(((R113-1)*(Skills!S3*(1+(Inputs!$B$34)/100))+MIN((Skills!S3*(1+(Inputs!$B$34)/100)),MAX(0,Inputs!$B$43-((R113-1)*Skills!D3))))/Inputs!$B$43),IF(Inputs!$B$38="pvp",MIN((Skills!S3*(1+(Inputs!$B$34)/100)),15)/15,(Skills!S3*(1+(Inputs!$B$34)/100))/Skills!D3)),0)+IF(C114=TRUE,F114*IF(AND(Inputs!$B$38&lt;&gt;"pvp",Inputs!$B$43&gt;0),(((R114-1)*(Skills!S4*(1+(Inputs!$B$34)/100))+MIN((Skills!S4*(1+(Inputs!$B$34)/100)),MAX(0,Inputs!$B$43-((R114-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126=TRUE,(1+F126*IF(AND(Inputs!$B$38&lt;&gt;"pvp",Inputs!$B$43&gt;0),(((R126-1)*(Skills!S16*(1+(Inputs!$B$34)/100))+MIN((Skills!S16*(1+(Inputs!$B$34)/100)),MAX(0,Inputs!$B$43-((R126-1)*Skills!D16))))/Inputs!$B$43),IF(Inputs!$B$38="pvp",MIN((Skills!S16*(1+(Inputs!$B$34)/100)),15)/15,(Skills!S16*(1+(Inputs!$B$34)/100))/Skills!D16))/100),1)</f>
        <v/>
      </c>
    </row>
    <row r="138">
      <c r="A138" t="inlineStr">
        <is>
          <t>Monster Damage Taken Bonus % (Freezing Breath - Weaken + Elemental Reset + Artifact Enemy Damage Taken, summed)</t>
        </is>
      </c>
      <c r="B138">
        <f>IF(Inputs!$B$3&gt;=118,15*IF(Inputs!$B$38="pvp",MIN((30*(1+(Inputs!$B$34)/100)),15)/15,(30*(1+(Inputs!$B$34)/100))/Skills!D8),0)+IF(C124=TRUE,F124,0)+(IF(AND(ArtifactsInput!$M$35,Inputs!$B$4&lt;&gt;"Chapter Hunt"),CHOOSE(ArtifactsInput!$N$35+1,15,18,21,24,27,30)*(1-EXP(-(0.2*B141)*5)),0)+IF(AND(ArtifactsInput!$M$22,Inputs!$B$4&lt;&gt;"Chapter Hunt"),CHOOSE(ArtifactsInput!$N$22+1,10,12,14,16,18,20)*((0*(((0.15*B141*5))^0/1)+1*(((0.15*B141*5))^1/1)+2*(((0.15*B141*5))^2/2)+3*(((0.15*B141*5))^3/6)+4*(((0.15*B141*5))^4/24)+5*(((0.15*B141*5))^5/120))/((((0.15*B141*5))^0/1)+(((0.15*B141*5))^1/1)+(((0.15*B141*5))^2/2)+(((0.15*B141*5))^3/6)+(((0.15*B141*5))^4/24)+(((0.15*B141*5))^5/120))),0))</f>
        <v/>
      </c>
    </row>
    <row r="139">
      <c r="A139" t="inlineStr">
        <is>
          <t>Damage % Bonus (Frozen Break + Frost Clutch, flat)</t>
        </is>
      </c>
      <c r="B139">
        <f>IF(Inputs!$B$3&gt;=66,15,0)+IF(Inputs!$B$3&gt;=98,10,0)+IF(Inputs!$B$3&gt;=125,20,0)</f>
        <v/>
      </c>
    </row>
    <row r="140">
      <c r="A140" t="inlineStr">
        <is>
          <t>Attack Speed Bonus % (MP Eater - MP Boost, always-on + Nimble Feet, duty-cycle averaged)</t>
        </is>
      </c>
      <c r="B140">
        <f>IF(C123=TRUE,F123+(F127-Calc!F17),0)+((C134=TRUE)*F134*IF(AND(Inputs!$B$38&lt;&gt;"pvp",Inputs!$B$43&gt;0),(((R134-1)*(Skills!S24*(1+(Inputs!$B$34)/100))+MIN((Skills!S24*(1+(Inputs!$B$34)/100)),MAX(0,Inputs!$B$43-((R134-1)*Skills!D24))))/Inputs!$B$43),IF(Inputs!$B$38="pvp",MIN((Skills!S24*(1+(Inputs!$B$34)/100)),15)/15,(Skills!S24*(1+(Inputs!$B$34)/100))/Skills!D24)))</f>
        <v/>
      </c>
    </row>
    <row r="141">
      <c r="A141" t="inlineStr">
        <is>
          <t>Actions Per Second</t>
        </is>
      </c>
      <c r="B141">
        <f>1+MIN(150,150*(1-(1-(Inputs!$B$11+(ArtifactsInput!$M$15-ArtifactsInput!$M$15)*CHOOSE(ArtifactsInput!$N$15+1,8,9.6,11.2,12.8,14.4,16))/150)*(1-B140/150)))/100</f>
        <v/>
      </c>
    </row>
    <row r="142">
      <c r="A142" t="inlineStr">
        <is>
          <t>Skill + Buff Cast Rate</t>
        </is>
      </c>
      <c r="B142">
        <f>IF(AND(Inputs!$B$38&lt;&gt;"pvp",Inputs!$B$43&gt;0),SUMPRODUCT((Skills!E2:E24=TRUE)*(C112:C134=TRUE)*R112:R134)/Inputs!$B$43,SUMPRODUCT((Skills!E2:E24=TRUE)*(C112:C134=TRUE)*Q112:Q134))</f>
        <v/>
      </c>
    </row>
    <row r="143">
      <c r="A143" t="inlineStr">
        <is>
          <t>Chain Lightning Casts Per Second</t>
        </is>
      </c>
      <c r="B143">
        <f>MAX(0,B141-B142)</f>
        <v/>
      </c>
    </row>
    <row r="144">
      <c r="A144" t="inlineStr">
        <is>
          <t>Buff-Casting Startup Delay (s, fixed-duration only)</t>
        </is>
      </c>
      <c r="B144">
        <f>IF(AND(Inputs!$B$38&lt;&gt;"pvp",Inputs!$B$43&gt;0),SUMPRODUCT((Skills!S2:S24&gt;0)*(Skills!E2:E24=TRUE)*(C112:C134=TRUE))/B141,0)</f>
        <v/>
      </c>
    </row>
    <row r="145">
      <c r="A145" t="inlineStr">
        <is>
          <t>Boss-Only Total DPS (this block's swept value)</t>
        </is>
      </c>
      <c r="B145">
        <f>SUM(S112:S134)</f>
        <v/>
      </c>
    </row>
    <row r="146">
      <c r="A146" t="inlineStr">
        <is>
          <t>Normal-Only Total DPS (this block's swept value)</t>
        </is>
      </c>
      <c r="B146">
        <f>SUM(U112:U134)</f>
        <v/>
      </c>
    </row>
    <row r="147">
      <c r="A147" s="6" t="inlineStr">
        <is>
          <t>TOTAL DPS</t>
        </is>
      </c>
      <c r="B147" s="6">
        <f>SUM(O112:O134)</f>
        <v/>
      </c>
    </row>
    <row r="150">
      <c r="A150" s="6" t="inlineStr">
        <is>
          <t>Stat: DAMAGE %</t>
        </is>
      </c>
    </row>
    <row r="151">
      <c r="A151" s="5" t="inlineStr">
        <is>
          <t>Key</t>
        </is>
      </c>
      <c r="B151" s="5" t="inlineStr">
        <is>
          <t>Name</t>
        </is>
      </c>
      <c r="C151" s="5" t="inlineStr">
        <is>
          <t>Unlocked</t>
        </is>
      </c>
      <c r="D151" s="5" t="inlineStr">
        <is>
          <t>InputLevel</t>
        </is>
      </c>
      <c r="E151" s="5" t="inlineStr">
        <is>
          <t>Factor</t>
        </is>
      </c>
      <c r="F151" s="5" t="inlineStr">
        <is>
          <t>CoefficientPercent</t>
        </is>
      </c>
      <c r="G151" s="5" t="inlineStr">
        <is>
          <t>EffectiveHits</t>
        </is>
      </c>
      <c r="H151" s="5" t="inlineStr">
        <is>
          <t>ProcProbability</t>
        </is>
      </c>
      <c r="I151" s="5" t="inlineStr">
        <is>
          <t>MapleHeroMultiplier</t>
        </is>
      </c>
      <c r="J151" s="5" t="inlineStr">
        <is>
          <t>BaseDamage</t>
        </is>
      </c>
      <c r="K151" s="5" t="inlineStr">
        <is>
          <t>BaseHitDamage</t>
        </is>
      </c>
      <c r="L151" s="5" t="inlineStr">
        <is>
          <t>NonCritAvg</t>
        </is>
      </c>
      <c r="M151" s="5" t="inlineStr">
        <is>
          <t>CritAvg</t>
        </is>
      </c>
      <c r="N151" s="5" t="inlineStr">
        <is>
          <t>ExpectedDamage(perHit)</t>
        </is>
      </c>
      <c r="O151" s="5" t="inlineStr">
        <is>
          <t>DPS</t>
        </is>
      </c>
      <c r="P151" s="5" t="inlineStr">
        <is>
          <t>% of Total</t>
        </is>
      </c>
      <c r="R151" t="inlineStr">
        <is>
          <t>helpers</t>
        </is>
      </c>
    </row>
    <row r="152">
      <c r="A152">
        <f>Skills!A2</f>
        <v/>
      </c>
      <c r="B152">
        <f>Skills!B2</f>
        <v/>
      </c>
      <c r="C152">
        <f>Inputs!$B$3&gt;=100</f>
        <v/>
      </c>
      <c r="D152" t="inlineStr"/>
      <c r="E152" t="inlineStr"/>
      <c r="F152">
        <f>T154+Skills!N2</f>
        <v/>
      </c>
      <c r="G152">
        <f>Calc!G2</f>
        <v/>
      </c>
      <c r="H152">
        <f>Calc!H2</f>
        <v/>
      </c>
      <c r="I152">
        <f>IF(Skills!T2&lt;&gt;"",1+(Skills!T2/10)*(Z153/1000)/100,1)</f>
        <v/>
      </c>
      <c r="J152">
        <f>((Inputs!$B$6*(1+Inputs!$B$7/100))+(((Inputs!$B$12*(1+Inputs!$B$13/100))-(Inputs!$B$12*(1+Inputs!$B$13/100)))+0.25*(Inputs!$B$14-Inputs!$B$14))*(1+Inputs!$B$7/100))*(F152/100)</f>
        <v/>
      </c>
      <c r="K152">
        <f>J152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2="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F168-Calc!F18),(Inputs!$B$23+(IF(ArtifactsInput!$M$15,CHOOSE(ArtifactsInput!$N$15+1,25,30,35,40,45,50)/100*(Inputs!$B$11-Inputs!$B$11),0))))/100+(Inputs!$B$23+(IF(ArtifactsInput!$M$15,CHOOSE(ArtifactsInput!$N$15+1,25,30,35,40,45,50)/100*(Inputs!$B$11-Inputs!$B$11),0)))/100)/2</f>
        <v/>
      </c>
      <c r="M152">
        <f>L152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(1-Summary!$B$11)*S152+Summary!$B$11*U152</f>
        <v/>
      </c>
      <c r="P152">
        <f>IF(B187=0,0,O152/B187)</f>
        <v/>
      </c>
      <c r="Q152">
        <f>IFERROR(1/IF(Inputs!$B$38="pvp",15,MAX(0.1,Skills!D2-IF(Skills!E2=TRUE,Inputs!$B$32,0))),0)</f>
        <v/>
      </c>
      <c r="R152" t="n">
        <v>0</v>
      </c>
      <c r="S152">
        <f>IF(C152,(Skills!F2*N152*B183)*IF(Inputs!$B$38="pvp",1,1+(Inputs!$B$20+Skills!O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
        <f>MAX(0,(Inputs!$B$3-100)*3)+Inputs!$B$28+Inputs!$B$29</f>
        <v/>
      </c>
      <c r="U152">
        <f>IF(C152,(Skills!F2*N152*B183)*IF(Inputs!$B$38="pvp",1,(1+(Inputs!$B$21+Skills!P2+B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
        <f>MAX(0,(Inputs!$B$3-100)*3)+Inputs!$B$28+Inputs!$B$29</f>
        <v/>
      </c>
    </row>
    <row r="153">
      <c r="A153">
        <f>Skills!A3</f>
        <v/>
      </c>
      <c r="B153">
        <f>Skills!B3</f>
        <v/>
      </c>
      <c r="C153">
        <f>Inputs!$B$3&gt;=15</f>
        <v/>
      </c>
      <c r="D153">
        <f>IF(Skills!C3=1,60+Inputs!$B$25+Inputs!$B$29,IF(Skills!C3=2,90+Inputs!$B$26+Inputs!$B$29,IF(Skills!C3=3,120+Inputs!$B$27+Inputs!$B$29,MAX(0,(Inputs!$B$3-100)*3)+Inputs!$B$28+Inputs!$B$29)))</f>
        <v/>
      </c>
      <c r="E153">
        <f>INDEX(FactorTable!$B$2:$Y$301, MATCH(ROUND(MIN(300,MAX(1,D153)),0), FactorTable!$A$2:$A$301,0), Skills!L3+1)</f>
        <v/>
      </c>
      <c r="F153">
        <f>IF(Skills!M3=TRUE,(Skills!K3/10)*(E153/1000),Skills!K3/10)+Skills!N3</f>
        <v/>
      </c>
      <c r="G153">
        <f>Calc!G3</f>
        <v/>
      </c>
      <c r="H153">
        <f>Calc!H3</f>
        <v/>
      </c>
      <c r="I153">
        <f>IF(Skills!T3&lt;&gt;"",1+(Skills!T3/10)*(Z153/1000)/100,1)</f>
        <v/>
      </c>
      <c r="J153" t="inlineStr"/>
      <c r="K153" t="inlineStr"/>
      <c r="L153" t="inlineStr"/>
      <c r="M153" t="inlineStr"/>
      <c r="N153" t="inlineStr"/>
      <c r="O153">
        <f>(1-Summary!$B$11)*S153+Summary!$B$11*U153</f>
        <v/>
      </c>
      <c r="P153">
        <f>IF(B187=0,0,O153/B187)</f>
        <v/>
      </c>
      <c r="Q153">
        <f>IFERROR(1/IF(Inputs!$B$38="pvp",15,MAX(0.1,Skills!D3-IF(Skills!E3=TRUE,Inputs!$B$32,0))),0)</f>
        <v/>
      </c>
      <c r="R153">
        <f>IF(AND(Inputs!$B$38&lt;&gt;"pvp",Inputs!$B$43&gt;0),IF(Inputs!$B$43&lt;=0,0,(INT(Inputs!$B$43/IF(Inputs!$B$38="pvp",15,MAX(0.1,Skills!D3-IF(Skills!E3=TRUE,Inputs!$B$32,0))))+1)),0)</f>
        <v/>
      </c>
      <c r="S153" t="n">
        <v>0</v>
      </c>
      <c r="T153">
        <f>INDEX(FactorTable!$B$2:$Y$301, MATCH(ROUND(MIN(300,MAX(1,T152)),0), FactorTable!$A$2:$A$301,0), 22)</f>
        <v/>
      </c>
      <c r="U153" t="n">
        <v>0</v>
      </c>
      <c r="Z153">
        <f>INDEX(FactorTable!$B$2:$Y$301, MATCH(ROUND(MIN(300,MAX(1,Z152)),0), FactorTable!$A$2:$A$301,0), 24)</f>
        <v/>
      </c>
    </row>
    <row r="154">
      <c r="A154">
        <f>Skills!A4</f>
        <v/>
      </c>
      <c r="B154">
        <f>Skills!B4</f>
        <v/>
      </c>
      <c r="C154">
        <f>Inputs!$B$3&gt;=40</f>
        <v/>
      </c>
      <c r="D154">
        <f>IF(Skills!C4=1,60+Inputs!$B$25+Inputs!$B$29,IF(Skills!C4=2,90+Inputs!$B$26+Inputs!$B$29,IF(Skills!C4=3,120+Inputs!$B$27+Inputs!$B$29,MAX(0,(Inputs!$B$3-100)*3)+Inputs!$B$28+Inputs!$B$29)))</f>
        <v/>
      </c>
      <c r="E154">
        <f>INDEX(FactorTable!$B$2:$Y$301, MATCH(ROUND(MIN(300,MAX(1,D154)),0), FactorTable!$A$2:$A$301,0), Skills!L4+1)</f>
        <v/>
      </c>
      <c r="F154">
        <f>IF(Skills!M4=TRUE,(Skills!K4/10)*(E154/1000),Skills!K4/10)+Skills!N4</f>
        <v/>
      </c>
      <c r="G154">
        <f>Calc!G4</f>
        <v/>
      </c>
      <c r="H154">
        <f>Calc!H4</f>
        <v/>
      </c>
      <c r="I154">
        <f>IF(Skills!T4&lt;&gt;"",1+(Skills!T4/10)*(Z153/1000)/100,1)</f>
        <v/>
      </c>
      <c r="J154" t="inlineStr"/>
      <c r="K154" t="inlineStr"/>
      <c r="L154" t="inlineStr"/>
      <c r="M154" t="inlineStr"/>
      <c r="N154" t="inlineStr"/>
      <c r="O154">
        <f>(1-Summary!$B$11)*S154+Summary!$B$11*U154</f>
        <v/>
      </c>
      <c r="P154">
        <f>IF(B187=0,0,O154/B187)</f>
        <v/>
      </c>
      <c r="Q154">
        <f>IFERROR(1/IF(Inputs!$B$38="pvp",15,MAX(0.1,Skills!D4-IF(Skills!E4=TRUE,Inputs!$B$32,0))),0)</f>
        <v/>
      </c>
      <c r="R154">
        <f>IF(AND(Inputs!$B$38&lt;&gt;"pvp",Inputs!$B$43&gt;0),IF(Inputs!$B$43&lt;=0,0,(INT(Inputs!$B$43/IF(Inputs!$B$38="pvp",15,MAX(0.1,Skills!D4-IF(Skills!E4=TRUE,Inputs!$B$32,0))))+1)),0)</f>
        <v/>
      </c>
      <c r="S154" t="n">
        <v>0</v>
      </c>
      <c r="T154">
        <f>290*T153/1000</f>
        <v/>
      </c>
      <c r="U154" t="n">
        <v>0</v>
      </c>
    </row>
    <row r="155">
      <c r="A155">
        <f>Skills!A5</f>
        <v/>
      </c>
      <c r="B155">
        <f>Skills!B5</f>
        <v/>
      </c>
      <c r="C155">
        <f>Inputs!$B$3&gt;=38</f>
        <v/>
      </c>
      <c r="D155">
        <f>IF(Skills!C5=1,60+Inputs!$B$25+Inputs!$B$29,IF(Skills!C5=2,90+Inputs!$B$26+Inputs!$B$29,IF(Skills!C5=3,120+Inputs!$B$27+Inputs!$B$29,MAX(0,(Inputs!$B$3-100)*3)+Inputs!$B$28+Inputs!$B$29)))</f>
        <v/>
      </c>
      <c r="E155">
        <f>INDEX(FactorTable!$B$2:$Y$301, MATCH(ROUND(MIN(300,MAX(1,D155)),0), FactorTable!$A$2:$A$301,0), Skills!L5+1)</f>
        <v/>
      </c>
      <c r="F155">
        <f>IF(Skills!M5=TRUE,(Skills!K5/10)*(E155/1000),Skills!K5/10)+Skills!N5</f>
        <v/>
      </c>
      <c r="G155">
        <f>Calc!G5</f>
        <v/>
      </c>
      <c r="H155">
        <f>Calc!H5</f>
        <v/>
      </c>
      <c r="I155">
        <f>IF(Skills!T5&lt;&gt;"",1+(Skills!T5/10)*(Z153/1000)/100,1)</f>
        <v/>
      </c>
      <c r="J155">
        <f>((Inputs!$B$6*(1+Inputs!$B$7/100))+(((Inputs!$B$12*(1+Inputs!$B$13/100))-(Inputs!$B$12*(1+Inputs!$B$13/100)))+0.25*(Inputs!$B$14-Inputs!$B$14))*(1+Inputs!$B$7/100))*(F155/100)</f>
        <v/>
      </c>
      <c r="K155">
        <f>J155*(1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5="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F168-Calc!F18),(Inputs!$B$23+(IF(ArtifactsInput!$M$15,CHOOSE(ArtifactsInput!$N$15+1,25,30,35,40,45,50)/100*(Inputs!$B$11-Inputs!$B$11),0))))/100+(Inputs!$B$23+(IF(ArtifactsInput!$M$15,CHOOSE(ArtifactsInput!$N$15+1,25,30,35,40,45,50)/100*(Inputs!$B$11-Inputs!$B$11),0)))/100)/2</f>
        <v/>
      </c>
      <c r="M155">
        <f>L155*(1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(1-Summary!$B$11)*S155+Summary!$B$11*U155</f>
        <v/>
      </c>
      <c r="P155">
        <f>IF(B187=0,0,O155/B187)</f>
        <v/>
      </c>
      <c r="Q155">
        <f>IFERROR(1/IF(Inputs!$B$38="pvp",15,MAX(0.1,Skills!D5-IF(Skills!E5=TRUE,Inputs!$B$32,0))),0)</f>
        <v/>
      </c>
      <c r="R155">
        <f>IF(AND(Inputs!$B$38&lt;&gt;"pvp",Inputs!$B$43&gt;0),IF(MAX(0,Inputs!$B$43-B184)&lt;=0,0,(INT(MAX(0,Inputs!$B$43-B184)/IF(Inputs!$B$38="pvp",15,MAX(0.1,Skills!D5-IF(Skills!E5=TRUE,Inputs!$B$32,0))))+1)),0)</f>
        <v/>
      </c>
      <c r="S155">
        <f>IF(C155,(H155*N155*IF(AND(Inputs!$B$38&lt;&gt;"pvp",Inputs!$B$43&gt;0),((Skills!F5*((R155-1)*IF(Skills!G5&gt;0,Skills!H5/Skills!G5,1)+IF(Skills!G5&gt;0,MIN(Skills!H5,MAX(0,MAX(0,Inputs!$B$43-B184)-((R155-1)*IF(Inputs!$B$38="pvp",15,MAX(0.1,Skills!D5-IF(Skills!E5=TRUE,Inputs!$B$32,0))))))/Skills!G5,1)))/Inputs!$B$43),G155*Q155))*IF(Inputs!$B$38="pvp",1,1+(Inputs!$B$20+Skills!O5+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IF(C155,(H155*N155*IF(AND(Inputs!$B$38&lt;&gt;"pvp",Inputs!$B$43&gt;0),((Skills!F5*((R155-1)*IF(Skills!G5&gt;0,Skills!H5/Skills!G5,1)+IF(Skills!G5&gt;0,MIN(Skills!H5,MAX(0,MAX(0,Inputs!$B$43-B184)-((R155-1)*IF(Inputs!$B$38="pvp",15,MAX(0.1,Skills!D5-IF(Skills!E5=TRUE,Inputs!$B$32,0))))))/Skills!G5,1)))/Inputs!$B$43),G155*Q155))*IF(Inputs!$B$38="pvp",1,(1+(Inputs!$B$21+Skills!P5+B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Skills!A6</f>
        <v/>
      </c>
      <c r="B156">
        <f>Skills!B6</f>
        <v/>
      </c>
      <c r="C156">
        <f>Inputs!$B$3&gt;=63</f>
        <v/>
      </c>
      <c r="D156">
        <f>IF(Skills!C6=1,60+Inputs!$B$25+Inputs!$B$29,IF(Skills!C6=2,90+Inputs!$B$26+Inputs!$B$29,IF(Skills!C6=3,120+Inputs!$B$27+Inputs!$B$29,MAX(0,(Inputs!$B$3-100)*3)+Inputs!$B$28+Inputs!$B$29)))</f>
        <v/>
      </c>
      <c r="E156">
        <f>INDEX(FactorTable!$B$2:$Y$301, MATCH(ROUND(MIN(300,MAX(1,D156)),0), FactorTable!$A$2:$A$301,0), Skills!L6+1)</f>
        <v/>
      </c>
      <c r="F156">
        <f>IF(Skills!M6=TRUE,(Skills!K6/10)*(E156/1000),Skills!K6/10)+Skills!N6</f>
        <v/>
      </c>
      <c r="G156">
        <f>Calc!G6</f>
        <v/>
      </c>
      <c r="H156">
        <f>Calc!H6</f>
        <v/>
      </c>
      <c r="I156">
        <f>IF(Skills!T6&lt;&gt;"",1+(Skills!T6/10)*(Z153/1000)/100,1)</f>
        <v/>
      </c>
      <c r="J156">
        <f>((Inputs!$B$6*(1+Inputs!$B$7/100))+(((Inputs!$B$12*(1+Inputs!$B$13/100))-(Inputs!$B$12*(1+Inputs!$B$13/100)))+0.25*(Inputs!$B$14-Inputs!$B$14))*(1+Inputs!$B$7/100))*(F156/100)</f>
        <v/>
      </c>
      <c r="K156">
        <f>J156*(1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6="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F168-Calc!F18),(Inputs!$B$23+(IF(ArtifactsInput!$M$15,CHOOSE(ArtifactsInput!$N$15+1,25,30,35,40,45,50)/100*(Inputs!$B$11-Inputs!$B$11),0))))/100+(Inputs!$B$23+(IF(ArtifactsInput!$M$15,CHOOSE(ArtifactsInput!$N$15+1,25,30,35,40,45,50)/100*(Inputs!$B$11-Inputs!$B$11),0)))/100)/2</f>
        <v/>
      </c>
      <c r="M156">
        <f>L156*(1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(1-Summary!$B$11)*S156+Summary!$B$11*U156</f>
        <v/>
      </c>
      <c r="P156">
        <f>IF(B187=0,0,O156/B187)</f>
        <v/>
      </c>
      <c r="Q156">
        <f>IFERROR(1/IF(Inputs!$B$38="pvp",15,MAX(0.1,Skills!D6-IF(Skills!E6=TRUE,Inputs!$B$32,0))),0)</f>
        <v/>
      </c>
      <c r="R156">
        <f>IF(AND(Inputs!$B$38&lt;&gt;"pvp",Inputs!$B$43&gt;0),IF(MAX(0,Inputs!$B$43-B184)&lt;=0,0,(INT(MAX(0,Inputs!$B$43-B184)/IF(Inputs!$B$38="pvp",15,MAX(0.1,Skills!D6-IF(Skills!E6=TRUE,Inputs!$B$32,0))))+1)),0)</f>
        <v/>
      </c>
      <c r="S156">
        <f>IF(C156,(H156*N156*IF(AND(Inputs!$B$38&lt;&gt;"pvp",Inputs!$B$43&gt;0),((Skills!F6*((R156-1)*IF(Skills!G6&gt;0,Skills!H6/Skills!G6,1)+IF(Skills!G6&gt;0,MIN(Skills!H6,MAX(0,MAX(0,Inputs!$B$43-B184)-((R156-1)*IF(Inputs!$B$38="pvp",15,MAX(0.1,Skills!D6-IF(Skills!E6=TRUE,Inputs!$B$32,0))))))/Skills!G6,1)))/Inputs!$B$43),G156*Q156))*IF(Inputs!$B$38="pvp",1,1+(Inputs!$B$20+Skills!O6+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
        <f>IF(C156,(H156*N156*IF(AND(Inputs!$B$38&lt;&gt;"pvp",Inputs!$B$43&gt;0),((Skills!F6*((R156-1)*IF(Skills!G6&gt;0,Skills!H6/Skills!G6,1)+IF(Skills!G6&gt;0,MIN(Skills!H6,MAX(0,MAX(0,Inputs!$B$43-B184)-((R156-1)*IF(Inputs!$B$38="pvp",15,MAX(0.1,Skills!D6-IF(Skills!E6=TRUE,Inputs!$B$32,0))))))/Skills!G6,1)))/Inputs!$B$43),G156*Q156))*IF(Inputs!$B$38="pvp",1,(1+(Inputs!$B$21+Skills!P6+B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Skills!A7</f>
        <v/>
      </c>
      <c r="B157">
        <f>Skills!B7</f>
        <v/>
      </c>
      <c r="C157">
        <f>Inputs!$B$3&gt;=69</f>
        <v/>
      </c>
      <c r="D157">
        <f>IF(Skills!C7=1,60+Inputs!$B$25+Inputs!$B$29,IF(Skills!C7=2,90+Inputs!$B$26+Inputs!$B$29,IF(Skills!C7=3,120+Inputs!$B$27+Inputs!$B$29,MAX(0,(Inputs!$B$3-100)*3)+Inputs!$B$28+Inputs!$B$29)))</f>
        <v/>
      </c>
      <c r="E157">
        <f>INDEX(FactorTable!$B$2:$Y$301, MATCH(ROUND(MIN(300,MAX(1,D157)),0), FactorTable!$A$2:$A$301,0), Skills!L7+1)</f>
        <v/>
      </c>
      <c r="F157">
        <f>IF(Skills!M7=TRUE,(Skills!K7/10)*(E157/1000),Skills!K7/10)+Skills!N7</f>
        <v/>
      </c>
      <c r="G157">
        <f>Calc!G7</f>
        <v/>
      </c>
      <c r="H157">
        <f>Calc!H7</f>
        <v/>
      </c>
      <c r="I157">
        <f>IF(Skills!T7&lt;&gt;"",1+(Skills!T7/10)*(Z153/1000)/100,1)</f>
        <v/>
      </c>
      <c r="J157">
        <f>((Inputs!$B$6*(1+Inputs!$B$7/100))+(((Inputs!$B$12*(1+Inputs!$B$13/100))-(Inputs!$B$12*(1+Inputs!$B$13/100)))+0.25*(Inputs!$B$14-Inputs!$B$14))*(1+Inputs!$B$7/100))*(F157/100)</f>
        <v/>
      </c>
      <c r="K157">
        <f>J157*(1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7="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168-Calc!F18),(Inputs!$B$23+(IF(ArtifactsInput!$M$15,CHOOSE(ArtifactsInput!$N$15+1,25,30,35,40,45,50)/100*(Inputs!$B$11-Inputs!$B$11),0))))/100+(Inputs!$B$23+(IF(ArtifactsInput!$M$15,CHOOSE(ArtifactsInput!$N$15+1,25,30,35,40,45,50)/100*(Inputs!$B$11-Inputs!$B$11),0)))/100)/2</f>
        <v/>
      </c>
      <c r="M157">
        <f>L157*(1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IF(B187=0,0,O157/B187)</f>
        <v/>
      </c>
      <c r="Q157">
        <f>IFERROR(1/IF(Inputs!$B$38="pvp",15,MAX(0.1,Skills!D7-IF(Skills!E7=TRUE,Inputs!$B$32,0))),0)</f>
        <v/>
      </c>
      <c r="R157">
        <f>IF(AND(Inputs!$B$38&lt;&gt;"pvp",Inputs!$B$43&gt;0),IF(MAX(0,Inputs!$B$43-B184)&lt;=0,0,(INT(MAX(0,Inputs!$B$43-B184)/IF(Inputs!$B$38="pvp",15,MAX(0.1,Skills!D7-IF(Skills!E7=TRUE,Inputs!$B$32,0))))+1)),0)</f>
        <v/>
      </c>
      <c r="S157">
        <f>IF(C157,(H157*N157*IF(AND(Inputs!$B$38&lt;&gt;"pvp",Inputs!$B$43&gt;0),((Skills!F7*((R157-1)*IF(Skills!G7&gt;0,Skills!H7/Skills!G7,1)+IF(Skills!G7&gt;0,MIN(Skills!H7,MAX(0,MAX(0,Inputs!$B$43-B184)-((R157-1)*IF(Inputs!$B$38="pvp",15,MAX(0.1,Skills!D7-IF(Skills!E7=TRUE,Inputs!$B$32,0))))))/Skills!G7,1)))/Inputs!$B$43),G157*Q157))*IF(Inputs!$B$38="pvp",1,1+(Inputs!$B$20+Skills!O7+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7*((R157-1)*IF(Skills!G7&gt;0,Skills!H7/Skills!G7,1)+IF(Skills!G7&gt;0,MIN(Skills!H7,MAX(0,MAX(0,Inputs!$B$43-B184)-((R157-1)*IF(Inputs!$B$38="pvp",15,MAX(0.1,Skills!D7-IF(Skills!E7=TRUE,Inputs!$B$32,0))))))/Skills!G7,1)))/Inputs!$B$43),G157*Q157))*IF(Inputs!$B$38="pvp",1,(1+(Inputs!$B$21+Skills!P7+B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Skills!A8</f>
        <v/>
      </c>
      <c r="B158">
        <f>Skills!B8</f>
        <v/>
      </c>
      <c r="C158">
        <f>Inputs!$B$3&gt;=103</f>
        <v/>
      </c>
      <c r="D158">
        <f>IF(Skills!C8=1,60+Inputs!$B$25+Inputs!$B$29,IF(Skills!C8=2,90+Inputs!$B$26+Inputs!$B$29,IF(Skills!C8=3,120+Inputs!$B$27+Inputs!$B$29,MAX(0,(Inputs!$B$3-100)*3)+Inputs!$B$28+Inputs!$B$29)))</f>
        <v/>
      </c>
      <c r="E158">
        <f>INDEX(FactorTable!$B$2:$Y$301, MATCH(ROUND(MIN(300,MAX(1,D158)),0), FactorTable!$A$2:$A$301,0), Skills!L8+1)</f>
        <v/>
      </c>
      <c r="F158">
        <f>IF(Skills!M8=TRUE,(Skills!K8/10)*(E158/1000),Skills!K8/10)+Skills!N8</f>
        <v/>
      </c>
      <c r="G158">
        <f>Calc!G8</f>
        <v/>
      </c>
      <c r="H158">
        <f>Calc!H8</f>
        <v/>
      </c>
      <c r="I158">
        <f>IF(Skills!T8&lt;&gt;"",1+(Skills!T8/10)*(Z153/1000)/100,1)</f>
        <v/>
      </c>
      <c r="J158">
        <f>((Inputs!$B$6*(1+Inputs!$B$7/100))+(((Inputs!$B$12*(1+Inputs!$B$13/100))-(Inputs!$B$12*(1+Inputs!$B$13/100)))+0.25*(Inputs!$B$14-Inputs!$B$14))*(1+Inputs!$B$7/100))*(F158/100)</f>
        <v/>
      </c>
      <c r="K158">
        <f>J158*(1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8="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168-Calc!F18),(Inputs!$B$23+(IF(ArtifactsInput!$M$15,CHOOSE(ArtifactsInput!$N$15+1,25,30,35,40,45,50)/100*(Inputs!$B$11-Inputs!$B$11),0))))/100+(Inputs!$B$23+(IF(ArtifactsInput!$M$15,CHOOSE(ArtifactsInput!$N$15+1,25,30,35,40,45,50)/100*(Inputs!$B$11-Inputs!$B$11),0)))/100)/2</f>
        <v/>
      </c>
      <c r="M158">
        <f>L158*(1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IF(B187=0,0,O158/B187)</f>
        <v/>
      </c>
      <c r="Q158">
        <f>IFERROR(1/IF(Inputs!$B$38="pvp",15,MAX(0.1,Skills!D8-IF(Skills!E8=TRUE,Inputs!$B$32,0))),0)</f>
        <v/>
      </c>
      <c r="R158">
        <f>IF(AND(Inputs!$B$38&lt;&gt;"pvp",Inputs!$B$43&gt;0),IF(MAX(0,Inputs!$B$43-B184)&lt;=0,0,(INT(MAX(0,Inputs!$B$43-B184)/IF(Inputs!$B$38="pvp",15,MAX(0.1,Skills!D8-IF(Skills!E8=TRUE,Inputs!$B$32,0))))+1)),0)</f>
        <v/>
      </c>
      <c r="S158">
        <f>IF(C158,(H158*N158*IF(AND(Inputs!$B$38&lt;&gt;"pvp",Inputs!$B$43&gt;0),((Skills!F8*((R158-1)*IF(Skills!G8&gt;0,Skills!H8/Skills!G8,1)+IF(Skills!G8&gt;0,MIN(Skills!H8,MAX(0,MAX(0,Inputs!$B$43-B184)-((R158-1)*IF(Inputs!$B$38="pvp",15,MAX(0.1,Skills!D8-IF(Skills!E8=TRUE,Inputs!$B$32,0))))))/Skills!G8,1)))/Inputs!$B$43),G158*Q158))*IF(Inputs!$B$38="pvp",1,1+(Inputs!$B$20+Skills!O8+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8*((R158-1)*IF(Skills!G8&gt;0,Skills!H8/Skills!G8,1)+IF(Skills!G8&gt;0,MIN(Skills!H8,MAX(0,MAX(0,Inputs!$B$43-B184)-((R158-1)*IF(Inputs!$B$38="pvp",15,MAX(0.1,Skills!D8-IF(Skills!E8=TRUE,Inputs!$B$32,0))))))/Skills!G8,1)))/Inputs!$B$43),G158*Q158))*IF(Inputs!$B$38="pvp",1,(1+(Inputs!$B$21+Skills!P8+B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Skills!A9</f>
        <v/>
      </c>
      <c r="B159">
        <f>Skills!B9</f>
        <v/>
      </c>
      <c r="C159">
        <f>Inputs!$B$3&gt;=105</f>
        <v/>
      </c>
      <c r="D159">
        <f>IF(Skills!C9=1,60+Inputs!$B$25+Inputs!$B$29,IF(Skills!C9=2,90+Inputs!$B$26+Inputs!$B$29,IF(Skills!C9=3,120+Inputs!$B$27+Inputs!$B$29,MAX(0,(Inputs!$B$3-100)*3)+Inputs!$B$28+Inputs!$B$29)))</f>
        <v/>
      </c>
      <c r="E159">
        <f>INDEX(FactorTable!$B$2:$Y$301, MATCH(ROUND(MIN(300,MAX(1,D159)),0), FactorTable!$A$2:$A$301,0), Skills!L9+1)</f>
        <v/>
      </c>
      <c r="F159">
        <f>IF(Skills!M9=TRUE,(Skills!K9/10)*(E159/1000),Skills!K9/10)+Skills!N9</f>
        <v/>
      </c>
      <c r="G159">
        <f>Calc!G9</f>
        <v/>
      </c>
      <c r="H159">
        <f>Calc!H9</f>
        <v/>
      </c>
      <c r="I159">
        <f>IF(Skills!T9&lt;&gt;"",1+(Skills!T9/10)*(Z153/1000)/100,1)</f>
        <v/>
      </c>
      <c r="J159">
        <f>((Inputs!$B$6*(1+Inputs!$B$7/100))+(((Inputs!$B$12*(1+Inputs!$B$13/100))-(Inputs!$B$12*(1+Inputs!$B$13/100)))+0.25*(Inputs!$B$14-Inputs!$B$14))*(1+Inputs!$B$7/100))*(F159/100)</f>
        <v/>
      </c>
      <c r="K159">
        <f>J159*(1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9="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168-Calc!F18),(Inputs!$B$23+(IF(ArtifactsInput!$M$15,CHOOSE(ArtifactsInput!$N$15+1,25,30,35,40,45,50)/100*(Inputs!$B$11-Inputs!$B$11),0))))/100+(Inputs!$B$23+(IF(ArtifactsInput!$M$15,CHOOSE(ArtifactsInput!$N$15+1,25,30,35,40,45,50)/100*(Inputs!$B$11-Inputs!$B$11),0)))/100)/2</f>
        <v/>
      </c>
      <c r="M159">
        <f>L159*(1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IF(B187=0,0,O159/B187)</f>
        <v/>
      </c>
      <c r="Q159">
        <f>IFERROR(1/IF(Inputs!$B$38="pvp",15,MAX(0.1,Skills!D9-IF(Skills!E9=TRUE,Inputs!$B$32,0))),0)</f>
        <v/>
      </c>
      <c r="R159">
        <f>IF(AND(Inputs!$B$38&lt;&gt;"pvp",Inputs!$B$43&gt;0),IF(MAX(0,Inputs!$B$43-B184)&lt;=0,0,(INT(MAX(0,Inputs!$B$43-B184)/IF(Inputs!$B$38="pvp",15,MAX(0.1,Skills!D9-IF(Skills!E9=TRUE,Inputs!$B$32,0))))+1)),0)</f>
        <v/>
      </c>
      <c r="S159">
        <f>IF(C159,(H159*N159*IF(AND(Inputs!$B$38&lt;&gt;"pvp",Inputs!$B$43&gt;0),((Skills!F9*((R159-1)*IF(Skills!G9&gt;0,Skills!H9/Skills!G9,1)+IF(Skills!G9&gt;0,MIN(Skills!H9,MAX(0,MAX(0,Inputs!$B$43-B184)-((R159-1)*IF(Inputs!$B$38="pvp",15,MAX(0.1,Skills!D9-IF(Skills!E9=TRUE,Inputs!$B$32,0))))))/Skills!G9,1)))/Inputs!$B$43),G159*Q159))*IF(Inputs!$B$38="pvp",1,1+(Inputs!$B$20+Skills!O9+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9*((R159-1)*IF(Skills!G9&gt;0,Skills!H9/Skills!G9,1)+IF(Skills!G9&gt;0,MIN(Skills!H9,MAX(0,MAX(0,Inputs!$B$43-B184)-((R159-1)*IF(Inputs!$B$38="pvp",15,MAX(0.1,Skills!D9-IF(Skills!E9=TRUE,Inputs!$B$32,0))))))/Skills!G9,1)))/Inputs!$B$43),G159*Q159))*IF(Inputs!$B$38="pvp",1,(1+(Inputs!$B$21+Skills!P9+B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Skills!A10</f>
        <v/>
      </c>
      <c r="B160">
        <f>Skills!B10</f>
        <v/>
      </c>
      <c r="C160">
        <f>Inputs!$B$3&gt;=113</f>
        <v/>
      </c>
      <c r="D160">
        <f>IF(Skills!C10=1,60+Inputs!$B$25+Inputs!$B$29,IF(Skills!C10=2,90+Inputs!$B$26+Inputs!$B$29,IF(Skills!C10=3,120+Inputs!$B$27+Inputs!$B$29,MAX(0,(Inputs!$B$3-100)*3)+Inputs!$B$28+Inputs!$B$29)))</f>
        <v/>
      </c>
      <c r="E160">
        <f>INDEX(FactorTable!$B$2:$Y$301, MATCH(ROUND(MIN(300,MAX(1,D160)),0), FactorTable!$A$2:$A$301,0), Skills!L10+1)</f>
        <v/>
      </c>
      <c r="F160">
        <f>IF(Skills!M10=TRUE,(Skills!K10/10)*(E160/1000),Skills!K10/10)+Skills!N10</f>
        <v/>
      </c>
      <c r="G160">
        <f>Calc!G10</f>
        <v/>
      </c>
      <c r="H160">
        <f>Calc!H10</f>
        <v/>
      </c>
      <c r="I160">
        <f>IF(Skills!T10&lt;&gt;"",1+(Skills!T10/10)*(Z153/1000)/100,1)</f>
        <v/>
      </c>
      <c r="J160">
        <f>((Inputs!$B$6*(1+Inputs!$B$7/100))+(((Inputs!$B$12*(1+Inputs!$B$13/100))-(Inputs!$B$12*(1+Inputs!$B$13/100)))+0.25*(Inputs!$B$14-Inputs!$B$14))*(1+Inputs!$B$7/100))*(F160/100)</f>
        <v/>
      </c>
      <c r="K160">
        <f>J160*(1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10="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168-Calc!F18),(Inputs!$B$23+(IF(ArtifactsInput!$M$15,CHOOSE(ArtifactsInput!$N$15+1,25,30,35,40,45,50)/100*(Inputs!$B$11-Inputs!$B$11),0))))/100+(Inputs!$B$23+(IF(ArtifactsInput!$M$15,CHOOSE(ArtifactsInput!$N$15+1,25,30,35,40,45,50)/100*(Inputs!$B$11-Inputs!$B$11),0)))/100)/2</f>
        <v/>
      </c>
      <c r="M160">
        <f>L160*(1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IF(B187=0,0,O160/B187)</f>
        <v/>
      </c>
      <c r="Q160">
        <f>IFERROR(1/IF(Inputs!$B$38="pvp",15,MAX(0.1,Skills!D10-IF(Skills!E9=TRUE,Inputs!$B$32,0))),0)</f>
        <v/>
      </c>
      <c r="R160">
        <f>IF(AND(Inputs!$B$38&lt;&gt;"pvp",Inputs!$B$43&gt;0),IF(MAX(0,Inputs!$B$43-B184)&lt;=0,0,(INT(MAX(0,Inputs!$B$43-B184)/IF(Inputs!$B$38="pvp",15,MAX(0.1,Skills!D10-IF(Skills!E9=TRUE,Inputs!$B$32,0))))+1)),0)</f>
        <v/>
      </c>
      <c r="S160">
        <f>IF(C160,(H160*N160*IF(AND(Inputs!$B$38&lt;&gt;"pvp",Inputs!$B$43&gt;0),((Skills!F10*((R160-1)*IF(Skills!G10&gt;0,Skills!H10/Skills!G10,1)+IF(Skills!G10&gt;0,MIN(Skills!H10,MAX(0,MAX(0,Inputs!$B$43-B184)-((R160-1)*IF(Inputs!$B$38="pvp",15,MAX(0.1,Skills!D10-IF(Skills!E9=TRUE,Inputs!$B$32,0))))))/Skills!G10,1)))/Inputs!$B$43),G160*Q160))*IF(Inputs!$B$38="pvp",1,1+(Inputs!$B$20+Skills!O10+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10*((R160-1)*IF(Skills!G10&gt;0,Skills!H10/Skills!G10,1)+IF(Skills!G10&gt;0,MIN(Skills!H10,MAX(0,MAX(0,Inputs!$B$43-B184)-((R160-1)*IF(Inputs!$B$38="pvp",15,MAX(0.1,Skills!D10-IF(Skills!E9=TRUE,Inputs!$B$32,0))))))/Skills!G10,1)))/Inputs!$B$43),G160*Q160))*IF(Inputs!$B$38="pvp",1,(1+(Inputs!$B$21+Skills!P10+B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Skills!A11</f>
        <v/>
      </c>
      <c r="B161">
        <f>Skills!B11</f>
        <v/>
      </c>
      <c r="C161">
        <f>Inputs!$B$3&gt;=107</f>
        <v/>
      </c>
      <c r="D161">
        <f>IF(Skills!C11=1,60+Inputs!$B$25+Inputs!$B$29,IF(Skills!C11=2,90+Inputs!$B$26+Inputs!$B$29,IF(Skills!C11=3,120+Inputs!$B$27+Inputs!$B$29,MAX(0,(Inputs!$B$3-100)*3)+Inputs!$B$28+Inputs!$B$29)))</f>
        <v/>
      </c>
      <c r="E161">
        <f>INDEX(FactorTable!$B$2:$Y$301, MATCH(ROUND(MIN(300,MAX(1,D161)),0), FactorTable!$A$2:$A$301,0), Skills!L11+1)</f>
        <v/>
      </c>
      <c r="F161">
        <f>IF(Skills!M11=TRUE,(Skills!K11/10)*(E161/1000),Skills!K11/10)+Skills!N11</f>
        <v/>
      </c>
      <c r="G161">
        <f>Calc!G11</f>
        <v/>
      </c>
      <c r="H161">
        <f>Calc!H11</f>
        <v/>
      </c>
      <c r="I161">
        <f>IF(Skills!T11&lt;&gt;"",1+(Skills!T11/10)*(Z153/1000)/100,1)</f>
        <v/>
      </c>
      <c r="J161">
        <f>((Inputs!$B$6*(1+Inputs!$B$7/100))+(((Inputs!$B$12*(1+Inputs!$B$13/100))-(Inputs!$B$12*(1+Inputs!$B$13/100)))+0.25*(Inputs!$B$14-Inputs!$B$14))*(1+Inputs!$B$7/100))*(F161/100)</f>
        <v/>
      </c>
      <c r="K161">
        <f>J161*(1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11="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168-Calc!F18),(Inputs!$B$23+(IF(ArtifactsInput!$M$15,CHOOSE(ArtifactsInput!$N$15+1,25,30,35,40,45,50)/100*(Inputs!$B$11-Inputs!$B$11),0))))/100+(Inputs!$B$23+(IF(ArtifactsInput!$M$15,CHOOSE(ArtifactsInput!$N$15+1,25,30,35,40,45,50)/100*(Inputs!$B$11-Inputs!$B$11),0)))/100)/2</f>
        <v/>
      </c>
      <c r="M161">
        <f>L161*(1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IF(B187=0,0,O161/B187)</f>
        <v/>
      </c>
      <c r="Q161">
        <f>IFERROR(1/IF(Inputs!$B$38="pvp",15,MAX(0.1,Skills!D11-IF(Skills!E11=TRUE,Inputs!$B$32,0))),0)</f>
        <v/>
      </c>
      <c r="R161">
        <f>IF(AND(Inputs!$B$38&lt;&gt;"pvp",Inputs!$B$43&gt;0),IF(MAX(0,Inputs!$B$43-B184)&lt;=0,0,(INT(MAX(0,Inputs!$B$43-B184)/IF(Inputs!$B$38="pvp",15,MAX(0.1,Skills!D11-IF(Skills!E11=TRUE,Inputs!$B$32,0))))+1)),0)</f>
        <v/>
      </c>
      <c r="S161">
        <f>IF(C161,H161*N161*IF(AND(Inputs!$B$38&lt;&gt;"pvp",Inputs!$B$43&gt;0),((Skills!F11*((R161-1)*IF(Skills!G11&gt;0,Skills!H11/Skills!G11,1)+IF(Skills!G11&gt;0,MIN(Skills!H11,MAX(0,MAX(0,Inputs!$B$43-B184)-((R161-1)*IF(Inputs!$B$38="pvp",15,MAX(0.1,Skills!D11-IF(Skills!E11=TRUE,Inputs!$B$32,0))))))/Skills!G11,1)))/Inputs!$B$43),G161*Q161)*0.5*IF(Inputs!$B$38="pvp",1,1+(Inputs!$B$20+Skills!O11+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IF(C161,H161*N161*IF(AND(Inputs!$B$38&lt;&gt;"pvp",Inputs!$B$43&gt;0),((Skills!F11*((R161-1)*IF(Skills!G11&gt;0,Skills!H11/Skills!G11,1)+IF(Skills!G11&gt;0,MIN(Skills!H11,MAX(0,MAX(0,Inputs!$B$43-B184)-((R161-1)*IF(Inputs!$B$38="pvp",15,MAX(0.1,Skills!D11-IF(Skills!E11=TRUE,Inputs!$B$32,0))))))/Skills!G11,1)))/Inputs!$B$43),G161*Q161)*1*IF(Inputs!$B$38="pvp",1,(1+(Inputs!$B$21+Skills!P11+B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Skills!A12</f>
        <v/>
      </c>
      <c r="B162">
        <f>Skills!B12</f>
        <v/>
      </c>
      <c r="C162">
        <f>Inputs!$B$3&gt;=115</f>
        <v/>
      </c>
      <c r="D162">
        <f>IF(Skills!C12=1,60+Inputs!$B$25+Inputs!$B$29,IF(Skills!C12=2,90+Inputs!$B$26+Inputs!$B$29,IF(Skills!C12=3,120+Inputs!$B$27+Inputs!$B$29,MAX(0,(Inputs!$B$3-100)*3)+Inputs!$B$28+Inputs!$B$29)))</f>
        <v/>
      </c>
      <c r="E162">
        <f>INDEX(FactorTable!$B$2:$Y$301, MATCH(ROUND(MIN(300,MAX(1,D162)),0), FactorTable!$A$2:$A$301,0), Skills!L12+1)</f>
        <v/>
      </c>
      <c r="F162">
        <f>IF(Skills!M12=TRUE,(Skills!K12/10)*(E162/1000),Skills!K12/10)+Skills!N12</f>
        <v/>
      </c>
      <c r="G162">
        <f>Calc!G12</f>
        <v/>
      </c>
      <c r="H162">
        <f>Calc!H12</f>
        <v/>
      </c>
      <c r="I162">
        <f>IF(Skills!T12&lt;&gt;"",1+(Skills!T12/10)*(Z153/1000)/100,1)</f>
        <v/>
      </c>
      <c r="J162">
        <f>((Inputs!$B$6*(1+Inputs!$B$7/100))+(((Inputs!$B$12*(1+Inputs!$B$13/100))-(Inputs!$B$12*(1+Inputs!$B$13/100)))+0.25*(Inputs!$B$14-Inputs!$B$14))*(1+Inputs!$B$7/100))*(F162/100)</f>
        <v/>
      </c>
      <c r="K162">
        <f>J162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12="CHAIN_LIGHTNING",Inputs!$B$17+((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168-Calc!F18),(Inputs!$B$23+(IF(ArtifactsInput!$M$15,CHOOSE(ArtifactsInput!$N$15+1,25,30,35,40,45,50)/100*(Inputs!$B$11-Inputs!$B$11),0))))/100+(Inputs!$B$23+(IF(ArtifactsInput!$M$15,CHOOSE(ArtifactsInput!$N$15+1,25,30,35,40,45,50)/100*(Inputs!$B$11-Inputs!$B$11),0)))/100)/2</f>
        <v/>
      </c>
      <c r="M162">
        <f>L162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IF(B187=0,0,O162/B187)</f>
        <v/>
      </c>
      <c r="Q162">
        <f>IFERROR(1/IF(Inputs!$B$38="pvp",15,MAX(0.1,Skills!D12-IF(Skills!E12=TRUE,Inputs!$B$32,0))),0)</f>
        <v/>
      </c>
      <c r="R162">
        <f>IF(AND(Inputs!$B$38&lt;&gt;"pvp",Inputs!$B$43&gt;0),IF(MAX(0,Inputs!$B$43-B184)&lt;=0,0,(INT(MAX(0,Inputs!$B$43-B184)/IF(Inputs!$B$38="pvp",15,MAX(0.1,Skills!D12-IF(Skills!E12=TRUE,Inputs!$B$32,0))))+1)),0)</f>
        <v/>
      </c>
      <c r="S162">
        <f>IF(C162,(H162*N162*IF(AND(Inputs!$B$38&lt;&gt;"pvp",Inputs!$B$43&gt;0),((Skills!F12*((R162-1)*IF(Skills!G12&gt;0,Skills!H12/Skills!G12,1)+IF(Skills!G12&gt;0,MIN(Skills!H12,MAX(0,MAX(0,Inputs!$B$43-B184)-((R162-1)*IF(Inputs!$B$38="pvp",15,MAX(0.1,Skills!D12-IF(Skills!E12=TRUE,Inputs!$B$32,0))))))/Skills!G12,1)))/Inputs!$B$43),G162*Q162))*IF(Inputs!$B$38="pvp",1,1+(Inputs!$B$20+Skills!O12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170-Calc!F20)+(F169-Calc!F19))+(ArtifactsInput!$M$24-ArtifactsInput!$M$24)*CHOOSE(ArtifactsInput!$N$24+1,10,12,14,16,18,20)+(IF(AND(Inputs!$B$38&lt;&gt;"pvp",Inputs!$B$43=0),1,IF(IF(Inputs!$B$38="pvp",15,Inputs!$B$43)-(B184)&lt;=0,1,MAX(0,IF(Inputs!$B$38="pvp",15,Inputs!$B$43)-MAX(5,B184))/(IF(Inputs!$B$38="pvp",15,Inputs!$B$43)-(B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F(C162,(H162*N162*IF(AND(Inputs!$B$38&lt;&gt;"pvp",Inputs!$B$43&gt;0),((Skills!F12*((R162-1)*IF(Skills!G12&gt;0,Skills!H12/Skills!G12,1)+IF(Skills!G12&gt;0,MIN(Skills!H12,MAX(0,MAX(0,Inputs!$B$43-B184)-((R162-1)*IF(Inputs!$B$38="pvp",15,MAX(0.1,Skills!D12-IF(Skills!E12=TRUE,Inputs!$B$32,0))))))/Skills!G12,1)))/Inputs!$B$43),G162*Q162))*IF(Inputs!$B$38="pvp",1,(1+(Inputs!$B$21+Skills!P12+B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Skills!A13</f>
        <v/>
      </c>
      <c r="B163">
        <f>Skills!B13</f>
        <v/>
      </c>
      <c r="C163">
        <f>Inputs!$B$3&gt;=49</f>
        <v/>
      </c>
      <c r="D163">
        <f>IF(Skills!C13=1,60+Inputs!$B$25+Inputs!$B$29,IF(Skills!C13=2,90+Inputs!$B$26+Inputs!$B$29,IF(Skills!C13=3,120+Inputs!$B$27+Inputs!$B$29,MAX(0,(Inputs!$B$3-100)*3)+Inputs!$B$28+Inputs!$B$29)))</f>
        <v/>
      </c>
      <c r="E163">
        <f>INDEX(FactorTable!$B$2:$Y$301, MATCH(ROUND(MIN(300,MAX(1,D163)),0), FactorTable!$A$2:$A$301,0), Skills!L13+1)</f>
        <v/>
      </c>
      <c r="F163">
        <f>IF(Skills!M13=TRUE,(Skills!K13/10)*(E163/1000),Skills!K13/10)+Skills!N13</f>
        <v/>
      </c>
      <c r="G163">
        <f>Calc!G13</f>
        <v/>
      </c>
      <c r="H163">
        <f>Calc!H13</f>
        <v/>
      </c>
      <c r="I163">
        <f>IF(Skills!T13&lt;&gt;"",1+(Skills!T13/10)*(Z153/1000)/100,1)</f>
        <v/>
      </c>
      <c r="J163" t="inlineStr"/>
      <c r="K163" t="inlineStr"/>
      <c r="L163" t="inlineStr"/>
      <c r="M163" t="inlineStr"/>
      <c r="N163" t="inlineStr"/>
      <c r="O163">
        <f>(1-Summary!$B$11)*S163+Summary!$B$11*U163</f>
        <v/>
      </c>
      <c r="P163">
        <f>IF(B187=0,0,O163/B187)</f>
        <v/>
      </c>
      <c r="Q163">
        <f>IFERROR(1/IF(Inputs!$B$38="pvp",15,MAX(0.1,Skills!D13-IF(Skills!E13=TRUE,Inputs!$B$32,0))),0)</f>
        <v/>
      </c>
      <c r="R163" t="n">
        <v>0</v>
      </c>
      <c r="S163" t="n">
        <v>0</v>
      </c>
      <c r="U163" t="n">
        <v>0</v>
      </c>
    </row>
    <row r="164">
      <c r="A164">
        <f>Skills!A14</f>
        <v/>
      </c>
      <c r="B164">
        <f>Skills!B14</f>
        <v/>
      </c>
      <c r="C164">
        <f>Inputs!$B$3&gt;=72</f>
        <v/>
      </c>
      <c r="D164">
        <f>IF(Skills!C14=1,60+Inputs!$B$25+Inputs!$B$29,IF(Skills!C14=2,90+Inputs!$B$26+Inputs!$B$29,IF(Skills!C14=3,120+Inputs!$B$27+Inputs!$B$29,MAX(0,(Inputs!$B$3-100)*3)+Inputs!$B$28+Inputs!$B$29)))</f>
        <v/>
      </c>
      <c r="E164">
        <f>INDEX(FactorTable!$B$2:$Y$301, MATCH(ROUND(MIN(300,MAX(1,D164)),0), FactorTable!$A$2:$A$301,0), Skills!L14+1)</f>
        <v/>
      </c>
      <c r="F164">
        <f>IF(Skills!M14=TRUE,(Skills!K14/10)*(E164/1000),Skills!K14/10)+Skills!N14</f>
        <v/>
      </c>
      <c r="G164">
        <f>Calc!G14</f>
        <v/>
      </c>
      <c r="H164">
        <f>Calc!H14</f>
        <v/>
      </c>
      <c r="I164">
        <f>IF(Skills!T14&lt;&gt;"",1+(Skills!T14/10)*(Z153/1000)/100,1)</f>
        <v/>
      </c>
      <c r="J164" t="inlineStr"/>
      <c r="K164" t="inlineStr"/>
      <c r="L164" t="inlineStr"/>
      <c r="M164" t="inlineStr"/>
      <c r="N164" t="inlineStr"/>
      <c r="O164">
        <f>(1-Summary!$B$11)*S164+Summary!$B$11*U164</f>
        <v/>
      </c>
      <c r="P164">
        <f>IF(B187=0,0,O164/B187)</f>
        <v/>
      </c>
      <c r="Q164">
        <f>IFERROR(1/IF(Inputs!$B$38="pvp",15,MAX(0.1,Skills!D14-IF(Skills!E14=TRUE,Inputs!$B$32,0))),0)</f>
        <v/>
      </c>
      <c r="R164" t="n">
        <v>0</v>
      </c>
      <c r="S164" t="n">
        <v>0</v>
      </c>
      <c r="U164" t="n">
        <v>0</v>
      </c>
    </row>
    <row r="165">
      <c r="A165">
        <f>Skills!A15</f>
        <v/>
      </c>
      <c r="B165">
        <f>Skills!B15</f>
        <v/>
      </c>
      <c r="C165">
        <f>Inputs!$B$3&gt;=75</f>
        <v/>
      </c>
      <c r="D165">
        <f>IF(Skills!C15=1,60+Inputs!$B$25+Inputs!$B$29,IF(Skills!C15=2,90+Inputs!$B$26+Inputs!$B$29,IF(Skills!C15=3,120+Inputs!$B$27+Inputs!$B$29,MAX(0,(Inputs!$B$3-100)*3)+Inputs!$B$28+Inputs!$B$29)))</f>
        <v/>
      </c>
      <c r="E165">
        <f>INDEX(FactorTable!$B$2:$Y$301, MATCH(ROUND(MIN(300,MAX(1,D165)),0), FactorTable!$A$2:$A$301,0), Skills!L15+1)</f>
        <v/>
      </c>
      <c r="F165">
        <f>IF(Skills!M15=TRUE,(Skills!K15/10)*(E165/1000),Skills!K15/10)+Skills!N15</f>
        <v/>
      </c>
      <c r="G165">
        <f>Calc!G15</f>
        <v/>
      </c>
      <c r="H165">
        <f>Calc!H15</f>
        <v/>
      </c>
      <c r="I165">
        <f>IF(Skills!T15&lt;&gt;"",1+(Skills!T15/10)*(Z153/1000)/100,1)</f>
        <v/>
      </c>
      <c r="J165" t="inlineStr"/>
      <c r="K165" t="inlineStr"/>
      <c r="L165" t="inlineStr"/>
      <c r="M165" t="inlineStr"/>
      <c r="N165" t="inlineStr"/>
      <c r="O165">
        <f>(1-Summary!$B$11)*S165+Summary!$B$11*U165</f>
        <v/>
      </c>
      <c r="P165">
        <f>IF(B187=0,0,O165/B187)</f>
        <v/>
      </c>
      <c r="Q165">
        <f>IFERROR(1/IF(Inputs!$B$38="pvp",15,MAX(0.1,Skills!D15-IF(Skills!E15=TRUE,Inputs!$B$32,0))),0)</f>
        <v/>
      </c>
      <c r="R165" t="n">
        <v>0</v>
      </c>
      <c r="S165" t="n">
        <v>0</v>
      </c>
      <c r="U165" t="n">
        <v>0</v>
      </c>
    </row>
    <row r="166">
      <c r="A166">
        <f>Skills!A16</f>
        <v/>
      </c>
      <c r="B166">
        <f>Skills!B16</f>
        <v/>
      </c>
      <c r="C166">
        <f>Inputs!$B$3&gt;=110</f>
        <v/>
      </c>
      <c r="D166">
        <f>IF(Skills!C16=1,60+Inputs!$B$25+Inputs!$B$29,IF(Skills!C16=2,90+Inputs!$B$26+Inputs!$B$29,IF(Skills!C16=3,120+Inputs!$B$27+Inputs!$B$29,MAX(0,(Inputs!$B$3-100)*3)+Inputs!$B$28+Inputs!$B$29)))</f>
        <v/>
      </c>
      <c r="E166">
        <f>INDEX(FactorTable!$B$2:$Y$301, MATCH(ROUND(MIN(300,MAX(1,D166)),0), FactorTable!$A$2:$A$301,0), Skills!L16+1)</f>
        <v/>
      </c>
      <c r="F166">
        <f>(Skills!K16/10)*(E166/1000)*64/45+Skills!N16</f>
        <v/>
      </c>
      <c r="G166">
        <f>Calc!G16</f>
        <v/>
      </c>
      <c r="H166">
        <f>Calc!H16</f>
        <v/>
      </c>
      <c r="I166">
        <f>IF(Skills!T16&lt;&gt;"",1+(Skills!T16/10)*(Z153/1000)/100,1)</f>
        <v/>
      </c>
      <c r="J166" t="inlineStr"/>
      <c r="K166" t="inlineStr"/>
      <c r="L166" t="inlineStr"/>
      <c r="M166" t="inlineStr"/>
      <c r="N166" t="inlineStr"/>
      <c r="O166">
        <f>(1-Summary!$B$11)*S166+Summary!$B$11*U166</f>
        <v/>
      </c>
      <c r="P166">
        <f>IF(B187=0,0,O166/B187)</f>
        <v/>
      </c>
      <c r="Q166">
        <f>IFERROR(1/IF(Inputs!$B$38="pvp",15,MAX(0.1,Skills!D16-IF(Skills!E16=TRUE,Inputs!$B$32,0))),0)</f>
        <v/>
      </c>
      <c r="R166">
        <f>IF(AND(Inputs!$B$38&lt;&gt;"pvp",Inputs!$B$43&gt;0),IF(Inputs!$B$43&lt;=0,0,(INT(Inputs!$B$43/IF(Inputs!$B$38="pvp",15,MAX(0.1,Skills!D16-IF(Skills!E16=TRUE,Inputs!$B$32,0))))+1)),0)</f>
        <v/>
      </c>
      <c r="S166" t="n">
        <v>0</v>
      </c>
      <c r="U166" t="n">
        <v>0</v>
      </c>
    </row>
    <row r="167">
      <c r="A167">
        <f>Skills!A17</f>
        <v/>
      </c>
      <c r="B167">
        <f>Skills!B17</f>
        <v/>
      </c>
      <c r="C167">
        <f>Inputs!$B$3&gt;=33</f>
        <v/>
      </c>
      <c r="D167">
        <f>IF(Skills!C17=1,60+Inputs!$B$25+Inputs!$B$29,IF(Skills!C17=2,90+Inputs!$B$26+Inputs!$B$29,IF(Skills!C17=3,120+Inputs!$B$27+Inputs!$B$29,MAX(0,(Inputs!$B$3-100)*3)+Inputs!$B$28+Inputs!$B$29)))</f>
        <v/>
      </c>
      <c r="E167">
        <f>INDEX(FactorTable!$B$2:$Y$301, MATCH(ROUND(MIN(300,MAX(1,D167)),0), FactorTable!$A$2:$A$301,0), Skills!L17+1)</f>
        <v/>
      </c>
      <c r="F167">
        <f>IF(Skills!M17=TRUE,(Skills!K17/10)*(E167/1000),Skills!K17/10)+Skills!N17</f>
        <v/>
      </c>
      <c r="G167">
        <f>Calc!G17</f>
        <v/>
      </c>
      <c r="H167">
        <f>Calc!H17</f>
        <v/>
      </c>
      <c r="I167">
        <f>IF(Skills!T17&lt;&gt;"",1+(Skills!T17/10)*(Z153/1000)/100,1)</f>
        <v/>
      </c>
      <c r="J167" t="inlineStr"/>
      <c r="K167" t="inlineStr"/>
      <c r="L167" t="inlineStr"/>
      <c r="M167" t="inlineStr"/>
      <c r="N167" t="inlineStr"/>
      <c r="O167">
        <f>(1-Summary!$B$11)*S167+Summary!$B$11*U167</f>
        <v/>
      </c>
      <c r="P167">
        <f>IF(B187=0,0,O167/B187)</f>
        <v/>
      </c>
      <c r="Q167">
        <f>IFERROR(1/IF(Inputs!$B$38="pvp",15,MAX(0.1,Skills!D17-IF(Skills!E17=TRUE,Inputs!$B$32,0))),0)</f>
        <v/>
      </c>
      <c r="R167" t="n">
        <v>0</v>
      </c>
      <c r="S167" t="n">
        <v>0</v>
      </c>
      <c r="U167" t="n">
        <v>0</v>
      </c>
    </row>
    <row r="168">
      <c r="A168">
        <f>Skills!A18</f>
        <v/>
      </c>
      <c r="B168">
        <f>Skills!B18</f>
        <v/>
      </c>
      <c r="C168">
        <f>Inputs!$B$3&gt;=43</f>
        <v/>
      </c>
      <c r="D168">
        <f>IF(Skills!C18=1,60+Inputs!$B$25+Inputs!$B$29,IF(Skills!C18=2,90+Inputs!$B$26+Inputs!$B$29,IF(Skills!C18=3,120+Inputs!$B$27+Inputs!$B$29,MAX(0,(Inputs!$B$3-100)*3)+Inputs!$B$28+Inputs!$B$29)))</f>
        <v/>
      </c>
      <c r="E168">
        <f>INDEX(FactorTable!$B$2:$Y$301, MATCH(ROUND(MIN(300,MAX(1,D168)),0), FactorTable!$A$2:$A$301,0), Skills!L18+1)</f>
        <v/>
      </c>
      <c r="F168">
        <f>IF(Skills!M18=TRUE,(Skills!K18/10)*(E168/1000),Skills!K18/10)+Skills!N18</f>
        <v/>
      </c>
      <c r="G168">
        <f>Calc!G18</f>
        <v/>
      </c>
      <c r="H168">
        <f>Calc!H18</f>
        <v/>
      </c>
      <c r="I168">
        <f>IF(Skills!T18&lt;&gt;"",1+(Skills!T18/10)*(Z153/1000)/100,1)</f>
        <v/>
      </c>
      <c r="J168" t="inlineStr"/>
      <c r="K168" t="inlineStr"/>
      <c r="L168" t="inlineStr"/>
      <c r="M168" t="inlineStr"/>
      <c r="N168" t="inlineStr"/>
      <c r="O168">
        <f>(1-Summary!$B$11)*S168+Summary!$B$11*U168</f>
        <v/>
      </c>
      <c r="P168">
        <f>IF(B187=0,0,O168/B187)</f>
        <v/>
      </c>
      <c r="Q168">
        <f>IFERROR(1/IF(Inputs!$B$38="pvp",15,MAX(0.1,Skills!D18-IF(Skills!E18=TRUE,Inputs!$B$32,0))),0)</f>
        <v/>
      </c>
      <c r="R168" t="n">
        <v>0</v>
      </c>
      <c r="S168" t="n">
        <v>0</v>
      </c>
      <c r="U168" t="n">
        <v>0</v>
      </c>
    </row>
    <row r="169">
      <c r="A169">
        <f>Skills!A19</f>
        <v/>
      </c>
      <c r="B169">
        <f>Skills!B19</f>
        <v/>
      </c>
      <c r="C169">
        <f>Inputs!$B$3&gt;=50</f>
        <v/>
      </c>
      <c r="D169">
        <f>IF(Skills!C19=1,60+Inputs!$B$25+Inputs!$B$29,IF(Skills!C19=2,90+Inputs!$B$26+Inputs!$B$29,IF(Skills!C19=3,120+Inputs!$B$27+Inputs!$B$29,MAX(0,(Inputs!$B$3-100)*3)+Inputs!$B$28+Inputs!$B$29)))</f>
        <v/>
      </c>
      <c r="E169">
        <f>INDEX(FactorTable!$B$2:$Y$301, MATCH(ROUND(MIN(300,MAX(1,D169)),0), FactorTable!$A$2:$A$301,0), Skills!L19+1)</f>
        <v/>
      </c>
      <c r="F169">
        <f>IF(Skills!M19=TRUE,(Skills!K19/10)*(E169/1000),Skills!K19/10)+Skills!N19</f>
        <v/>
      </c>
      <c r="G169">
        <f>Calc!G19</f>
        <v/>
      </c>
      <c r="H169">
        <f>Calc!H19</f>
        <v/>
      </c>
      <c r="I169">
        <f>IF(Skills!T19&lt;&gt;"",1+(Skills!T19/10)*(Z153/1000)/100,1)</f>
        <v/>
      </c>
      <c r="J169" t="inlineStr"/>
      <c r="K169" t="inlineStr"/>
      <c r="L169" t="inlineStr"/>
      <c r="M169" t="inlineStr"/>
      <c r="N169" t="inlineStr"/>
      <c r="O169">
        <f>(1-Summary!$B$11)*S169+Summary!$B$11*U169</f>
        <v/>
      </c>
      <c r="P169">
        <f>IF(B187=0,0,O169/B187)</f>
        <v/>
      </c>
      <c r="Q169">
        <f>IFERROR(1/IF(Inputs!$B$38="pvp",15,MAX(0.1,Skills!D19-IF(Skills!E19=TRUE,Inputs!$B$32,0))),0)</f>
        <v/>
      </c>
      <c r="R169" t="n">
        <v>0</v>
      </c>
      <c r="S169" t="n">
        <v>0</v>
      </c>
      <c r="U169" t="n">
        <v>0</v>
      </c>
    </row>
    <row r="170">
      <c r="A170">
        <f>Skills!A20</f>
        <v/>
      </c>
      <c r="B170">
        <f>Skills!B20</f>
        <v/>
      </c>
      <c r="C170">
        <f>Inputs!$B$3&gt;=74</f>
        <v/>
      </c>
      <c r="D170">
        <f>IF(Skills!C20=1,60+Inputs!$B$25+Inputs!$B$29,IF(Skills!C20=2,90+Inputs!$B$26+Inputs!$B$29,IF(Skills!C20=3,120+Inputs!$B$27+Inputs!$B$29,MAX(0,(Inputs!$B$3-100)*3)+Inputs!$B$28+Inputs!$B$29)))</f>
        <v/>
      </c>
      <c r="E170">
        <f>INDEX(FactorTable!$B$2:$Y$301, MATCH(ROUND(MIN(300,MAX(1,D170)),0), FactorTable!$A$2:$A$301,0), Skills!L20+1)</f>
        <v/>
      </c>
      <c r="F170">
        <f>IF(Skills!M20=TRUE,(Skills!K20/10)*(E170/1000),Skills!K20/10)+Skills!N20</f>
        <v/>
      </c>
      <c r="G170">
        <f>Calc!G20</f>
        <v/>
      </c>
      <c r="H170">
        <f>Calc!H20</f>
        <v/>
      </c>
      <c r="I170">
        <f>IF(Skills!T20&lt;&gt;"",1+(Skills!T20/10)*(Z153/1000)/100,1)</f>
        <v/>
      </c>
      <c r="J170" t="inlineStr"/>
      <c r="K170" t="inlineStr"/>
      <c r="L170" t="inlineStr"/>
      <c r="M170" t="inlineStr"/>
      <c r="N170" t="inlineStr"/>
      <c r="O170">
        <f>(1-Summary!$B$11)*S170+Summary!$B$11*U170</f>
        <v/>
      </c>
      <c r="P170">
        <f>IF(B187=0,0,O170/B187)</f>
        <v/>
      </c>
      <c r="Q170">
        <f>IFERROR(1/IF(Inputs!$B$38="pvp",15,MAX(0.1,Skills!D20-IF(Skills!E20=TRUE,Inputs!$B$32,0))),0)</f>
        <v/>
      </c>
      <c r="R170" t="n">
        <v>0</v>
      </c>
      <c r="S170" t="n">
        <v>0</v>
      </c>
      <c r="U170" t="n">
        <v>0</v>
      </c>
    </row>
    <row r="171">
      <c r="A171">
        <f>Skills!A21</f>
        <v/>
      </c>
      <c r="B171">
        <f>Skills!B21</f>
        <v/>
      </c>
      <c r="C171">
        <f>Inputs!$B$3&gt;=74</f>
        <v/>
      </c>
      <c r="D171">
        <f>IF(Skills!C21=1,60+Inputs!$B$25+Inputs!$B$29,IF(Skills!C21=2,90+Inputs!$B$26+Inputs!$B$29,IF(Skills!C21=3,120+Inputs!$B$27+Inputs!$B$29,MAX(0,(Inputs!$B$3-100)*3)+Inputs!$B$28+Inputs!$B$29)))</f>
        <v/>
      </c>
      <c r="E171">
        <f>INDEX(FactorTable!$B$2:$Y$301, MATCH(ROUND(MIN(300,MAX(1,D171)),0), FactorTable!$A$2:$A$301,0), Skills!L21+1)</f>
        <v/>
      </c>
      <c r="F171">
        <f>IF(Skills!M21=TRUE,(Skills!K21/10)*(E171/1000),Skills!K21/10)+Skills!N21</f>
        <v/>
      </c>
      <c r="G171">
        <f>Calc!G21</f>
        <v/>
      </c>
      <c r="H171">
        <f>Calc!H21</f>
        <v/>
      </c>
      <c r="I171">
        <f>IF(Skills!T21&lt;&gt;"",1+(Skills!T21/10)*(Z153/1000)/100,1)</f>
        <v/>
      </c>
      <c r="J171" t="inlineStr"/>
      <c r="K171" t="inlineStr"/>
      <c r="L171" t="inlineStr"/>
      <c r="M171" t="inlineStr"/>
      <c r="N171" t="inlineStr"/>
      <c r="O171">
        <f>(1-Summary!$B$11)*S171+Summary!$B$11*U171</f>
        <v/>
      </c>
      <c r="P171">
        <f>IF(B187=0,0,O171/B187)</f>
        <v/>
      </c>
      <c r="Q171">
        <f>IFERROR(1/IF(Inputs!$B$38="pvp",15,MAX(0.1,Skills!D21-IF(Skills!E21=TRUE,Inputs!$B$32,0))),0)</f>
        <v/>
      </c>
      <c r="R171" t="n">
        <v>0</v>
      </c>
      <c r="S171" t="n">
        <v>0</v>
      </c>
      <c r="U171" t="n">
        <v>0</v>
      </c>
    </row>
    <row r="172">
      <c r="A172">
        <f>Skills!A22</f>
        <v/>
      </c>
      <c r="B172">
        <f>Skills!B22</f>
        <v/>
      </c>
      <c r="C172">
        <f>Inputs!$B$3&gt;=117</f>
        <v/>
      </c>
      <c r="D172">
        <f>IF(Skills!C22=1,60+Inputs!$B$25+Inputs!$B$29,IF(Skills!C22=2,90+Inputs!$B$26+Inputs!$B$29,IF(Skills!C22=3,120+Inputs!$B$27+Inputs!$B$29,MAX(0,(Inputs!$B$3-100)*3)+Inputs!$B$28+Inputs!$B$29)))</f>
        <v/>
      </c>
      <c r="E172">
        <f>INDEX(FactorTable!$B$2:$Y$301, MATCH(ROUND(MIN(300,MAX(1,D172)),0), FactorTable!$A$2:$A$301,0), Skills!L22+1)</f>
        <v/>
      </c>
      <c r="F172">
        <f>IF(Skills!M22=TRUE,(Skills!K22/10)*(E172/1000),Skills!K22/10)+Skills!N22</f>
        <v/>
      </c>
      <c r="G172">
        <f>Calc!G22</f>
        <v/>
      </c>
      <c r="H172">
        <f>Calc!H22</f>
        <v/>
      </c>
      <c r="I172">
        <f>IF(Skills!T22&lt;&gt;"",1+(Skills!T22/10)*(Z153/1000)/100,1)</f>
        <v/>
      </c>
      <c r="J172" t="inlineStr"/>
      <c r="K172" t="inlineStr"/>
      <c r="L172" t="inlineStr"/>
      <c r="M172" t="inlineStr"/>
      <c r="N172" t="inlineStr"/>
      <c r="O172">
        <f>(1-Summary!$B$11)*S172+Summary!$B$11*U172</f>
        <v/>
      </c>
      <c r="P172">
        <f>IF(B187=0,0,O172/B187)</f>
        <v/>
      </c>
      <c r="Q172">
        <f>IFERROR(1/IF(Inputs!$B$38="pvp",15,MAX(0.1,Skills!D22-IF(Skills!E22=TRUE,Inputs!$B$32,0))),0)</f>
        <v/>
      </c>
      <c r="R172" t="n">
        <v>0</v>
      </c>
      <c r="S172" t="n">
        <v>0</v>
      </c>
      <c r="U172" t="n">
        <v>0</v>
      </c>
    </row>
    <row r="173">
      <c r="A173">
        <f>Skills!A23</f>
        <v/>
      </c>
      <c r="B173">
        <f>Skills!B23</f>
        <v/>
      </c>
      <c r="C173">
        <f>Inputs!$B$3&gt;=120</f>
        <v/>
      </c>
      <c r="D173">
        <f>IF(Skills!C23=1,60+Inputs!$B$25+Inputs!$B$29,IF(Skills!C23=2,90+Inputs!$B$26+Inputs!$B$29,IF(Skills!C23=3,120+Inputs!$B$27+Inputs!$B$29,MAX(0,(Inputs!$B$3-100)*3)+Inputs!$B$28+Inputs!$B$29)))</f>
        <v/>
      </c>
      <c r="E173">
        <f>INDEX(FactorTable!$B$2:$Y$301, MATCH(ROUND(MIN(300,MAX(1,D173)),0), FactorTable!$A$2:$A$301,0), Skills!L23+1)</f>
        <v/>
      </c>
      <c r="F173">
        <f>IF(Skills!M23=TRUE,(Skills!K23/10)*(E173/1000),Skills!K23/10)+Skills!N23</f>
        <v/>
      </c>
      <c r="G173">
        <f>Calc!G23</f>
        <v/>
      </c>
      <c r="H173">
        <f>Calc!H23</f>
        <v/>
      </c>
      <c r="I173">
        <f>IF(Skills!T23&lt;&gt;"",1+(Skills!T23/10)*(Z153/1000)/100,1)</f>
        <v/>
      </c>
      <c r="J173" t="inlineStr"/>
      <c r="K173" t="inlineStr"/>
      <c r="L173" t="inlineStr"/>
      <c r="M173" t="inlineStr"/>
      <c r="N173" t="inlineStr"/>
      <c r="O173">
        <f>(1-Summary!$B$11)*S173+Summary!$B$11*U173</f>
        <v/>
      </c>
      <c r="P173">
        <f>IF(B187=0,0,O173/B187)</f>
        <v/>
      </c>
      <c r="Q173">
        <f>IFERROR(1/IF(Inputs!$B$38="pvp",15,MAX(0.1,Skills!D23-IF(Skills!E23=TRUE,Inputs!$B$32,0))),0)</f>
        <v/>
      </c>
      <c r="R173" t="n">
        <v>0</v>
      </c>
      <c r="S173" t="n">
        <v>0</v>
      </c>
      <c r="U173" t="n">
        <v>0</v>
      </c>
    </row>
    <row r="174">
      <c r="A174">
        <f>Skills!A24</f>
        <v/>
      </c>
      <c r="B174">
        <f>Skills!B24</f>
        <v/>
      </c>
      <c r="C174">
        <f>TRUE</f>
        <v/>
      </c>
      <c r="D174">
        <f>IF(Skills!C24=1,60+Inputs!$B$25+Inputs!$B$29,IF(Skills!C24=2,90+Inputs!$B$26+Inputs!$B$29,IF(Skills!C24=3,120+Inputs!$B$27+Inputs!$B$29,MAX(0,(Inputs!$B$3-100)*3)+Inputs!$B$28+Inputs!$B$29)))</f>
        <v/>
      </c>
      <c r="E174">
        <f>INDEX(FactorTable!$B$2:$Y$301, MATCH(ROUND(MIN(300,MAX(1,D174)),0), FactorTable!$A$2:$A$301,0), Skills!L24+1)</f>
        <v/>
      </c>
      <c r="F174">
        <f>IF(Skills!M24=TRUE,(Skills!K24/10)*(E174/1000),Skills!K24/10)+Skills!N24</f>
        <v/>
      </c>
      <c r="G174">
        <f>Calc!G24</f>
        <v/>
      </c>
      <c r="H174">
        <f>Calc!H24</f>
        <v/>
      </c>
      <c r="I174">
        <f>IF(Skills!T24&lt;&gt;"",1+(Skills!T24/10)*(Z153/1000)/100,1)</f>
        <v/>
      </c>
      <c r="J174" t="inlineStr"/>
      <c r="K174" t="inlineStr"/>
      <c r="L174" t="inlineStr"/>
      <c r="M174" t="inlineStr"/>
      <c r="N174" t="inlineStr"/>
      <c r="O174">
        <f>(1-Summary!$B$11)*S174+Summary!$B$11*U174</f>
        <v/>
      </c>
      <c r="P174">
        <f>IF(B187=0,0,O174/B187)</f>
        <v/>
      </c>
      <c r="Q174">
        <f>IFERROR(1/IF(Inputs!$B$38="pvp",15,MAX(0.1,Skills!D24-IF(Skills!E24=TRUE,Inputs!$B$32,0))),0)</f>
        <v/>
      </c>
      <c r="R174">
        <f>IF(AND(Inputs!$B$38&lt;&gt;"pvp",Inputs!$B$43&gt;0),IF(Inputs!$B$43&lt;=0,0,(INT(Inputs!$B$43/IF(Inputs!$B$38="pvp",15,MAX(0.1,Skills!D24-IF(Skills!E24=TRUE,Inputs!$B$32,0))))+1)),0)</f>
        <v/>
      </c>
      <c r="S174" t="n">
        <v>0</v>
      </c>
      <c r="U174" t="n">
        <v>0</v>
      </c>
    </row>
    <row r="177">
      <c r="A177" t="inlineStr">
        <is>
          <t>Average Buff Multiplier (Magic Guard + Meditation + Artifact Attack%, summed; then Infinity)</t>
        </is>
      </c>
      <c r="B177">
        <f>(1+(IF(C153=TRUE,F153*IF(AND(Inputs!$B$38&lt;&gt;"pvp",Inputs!$B$43&gt;0),(((R153-1)*(Skills!S3*(1+(Inputs!$B$34)/100))+MIN((Skills!S3*(1+(Inputs!$B$34)/100)),MAX(0,Inputs!$B$43-((R153-1)*Skills!D3))))/Inputs!$B$43),IF(Inputs!$B$38="pvp",MIN((Skills!S3*(1+(Inputs!$B$34)/100)),15)/15,(Skills!S3*(1+(Inputs!$B$34)/100))/Skills!D3)),0)+IF(C154=TRUE,F154*IF(AND(Inputs!$B$38&lt;&gt;"pvp",Inputs!$B$43&gt;0),(((R154-1)*(Skills!S4*(1+(Inputs!$B$34)/100))+MIN((Skills!S4*(1+(Inputs!$B$34)/100)),MAX(0,Inputs!$B$43-((R154-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166=TRUE,(1+F166*IF(AND(Inputs!$B$38&lt;&gt;"pvp",Inputs!$B$43&gt;0),(((R166-1)*(Skills!S16*(1+(Inputs!$B$34)/100))+MIN((Skills!S16*(1+(Inputs!$B$34)/100)),MAX(0,Inputs!$B$43-((R166-1)*Skills!D16))))/Inputs!$B$43),IF(Inputs!$B$38="pvp",MIN((Skills!S16*(1+(Inputs!$B$34)/100)),15)/15,(Skills!S16*(1+(Inputs!$B$34)/100))/Skills!D16))/100),1)</f>
        <v/>
      </c>
    </row>
    <row r="178">
      <c r="A178" t="inlineStr">
        <is>
          <t>Monster Damage Taken Bonus % (Freezing Breath - Weaken + Elemental Reset + Artifact Enemy Damage Taken, summed)</t>
        </is>
      </c>
      <c r="B178">
        <f>IF(Inputs!$B$3&gt;=118,15*IF(Inputs!$B$38="pvp",MIN((30*(1+(Inputs!$B$34)/100)),15)/15,(30*(1+(Inputs!$B$34)/100))/Skills!D8),0)+IF(C164=TRUE,F164,0)+(IF(AND(ArtifactsInput!$M$35,Inputs!$B$4&lt;&gt;"Chapter Hunt"),CHOOSE(ArtifactsInput!$N$35+1,15,18,21,24,27,30)*(1-EXP(-(0.2*B181)*5)),0)+IF(AND(ArtifactsInput!$M$22,Inputs!$B$4&lt;&gt;"Chapter Hunt"),CHOOSE(ArtifactsInput!$N$22+1,10,12,14,16,18,20)*((0*(((0.15*B181*5))^0/1)+1*(((0.15*B181*5))^1/1)+2*(((0.15*B181*5))^2/2)+3*(((0.15*B181*5))^3/6)+4*(((0.15*B181*5))^4/24)+5*(((0.15*B181*5))^5/120))/((((0.15*B181*5))^0/1)+(((0.15*B181*5))^1/1)+(((0.15*B181*5))^2/2)+(((0.15*B181*5))^3/6)+(((0.15*B181*5))^4/24)+(((0.15*B181*5))^5/120))),0))</f>
        <v/>
      </c>
    </row>
    <row r="179">
      <c r="A179" t="inlineStr">
        <is>
          <t>Damage % Bonus (Frozen Break + Frost Clutch, flat)</t>
        </is>
      </c>
      <c r="B179">
        <f>IF(Inputs!$B$3&gt;=66,15,0)+IF(Inputs!$B$3&gt;=98,10,0)+IF(Inputs!$B$3&gt;=125,20,0)</f>
        <v/>
      </c>
    </row>
    <row r="180">
      <c r="A180" t="inlineStr">
        <is>
          <t>Attack Speed Bonus % (MP Eater - MP Boost, always-on + Nimble Feet, duty-cycle averaged)</t>
        </is>
      </c>
      <c r="B180">
        <f>IF(C163=TRUE,F163+(F167-Calc!F17),0)+((C174=TRUE)*F174*IF(AND(Inputs!$B$38&lt;&gt;"pvp",Inputs!$B$43&gt;0),(((R174-1)*(Skills!S24*(1+(Inputs!$B$34)/100))+MIN((Skills!S24*(1+(Inputs!$B$34)/100)),MAX(0,Inputs!$B$43-((R174-1)*Skills!D24))))/Inputs!$B$43),IF(Inputs!$B$38="pvp",MIN((Skills!S24*(1+(Inputs!$B$34)/100)),15)/15,(Skills!S24*(1+(Inputs!$B$34)/100))/Skills!D24)))</f>
        <v/>
      </c>
    </row>
    <row r="181">
      <c r="A181" t="inlineStr">
        <is>
          <t>Actions Per Second</t>
        </is>
      </c>
      <c r="B181">
        <f>1+MIN(150,150*(1-(1-(Inputs!$B$11+(ArtifactsInput!$M$15-ArtifactsInput!$M$15)*CHOOSE(ArtifactsInput!$N$15+1,8,9.6,11.2,12.8,14.4,16))/150)*(1-B180/150)))/100</f>
        <v/>
      </c>
    </row>
    <row r="182">
      <c r="A182" t="inlineStr">
        <is>
          <t>Skill + Buff Cast Rate</t>
        </is>
      </c>
      <c r="B182">
        <f>IF(AND(Inputs!$B$38&lt;&gt;"pvp",Inputs!$B$43&gt;0),SUMPRODUCT((Skills!E2:E24=TRUE)*(C152:C174=TRUE)*R152:R174)/Inputs!$B$43,SUMPRODUCT((Skills!E2:E24=TRUE)*(C152:C174=TRUE)*Q152:Q174))</f>
        <v/>
      </c>
    </row>
    <row r="183">
      <c r="A183" t="inlineStr">
        <is>
          <t>Chain Lightning Casts Per Second</t>
        </is>
      </c>
      <c r="B183">
        <f>MAX(0,B181-B182)</f>
        <v/>
      </c>
    </row>
    <row r="184">
      <c r="A184" t="inlineStr">
        <is>
          <t>Buff-Casting Startup Delay (s, fixed-duration only)</t>
        </is>
      </c>
      <c r="B184">
        <f>IF(AND(Inputs!$B$38&lt;&gt;"pvp",Inputs!$B$43&gt;0),SUMPRODUCT((Skills!S2:S24&gt;0)*(Skills!E2:E24=TRUE)*(C152:C174=TRUE))/B181,0)</f>
        <v/>
      </c>
    </row>
    <row r="185">
      <c r="A185" t="inlineStr">
        <is>
          <t>Boss-Only Total DPS (this block's swept value)</t>
        </is>
      </c>
      <c r="B185">
        <f>SUM(S152:S174)</f>
        <v/>
      </c>
    </row>
    <row r="186">
      <c r="A186" t="inlineStr">
        <is>
          <t>Normal-Only Total DPS (this block's swept value)</t>
        </is>
      </c>
      <c r="B186">
        <f>SUM(U152:U174)</f>
        <v/>
      </c>
    </row>
    <row r="187">
      <c r="A187" s="6" t="inlineStr">
        <is>
          <t>TOTAL DPS</t>
        </is>
      </c>
      <c r="B187" s="6">
        <f>SUM(O152:O174)</f>
        <v/>
      </c>
    </row>
    <row r="190">
      <c r="A190" s="6" t="inlineStr">
        <is>
          <t>Stat: DAMAGE_AMP %</t>
        </is>
      </c>
    </row>
    <row r="191">
      <c r="A191" s="5" t="inlineStr">
        <is>
          <t>Key</t>
        </is>
      </c>
      <c r="B191" s="5" t="inlineStr">
        <is>
          <t>Name</t>
        </is>
      </c>
      <c r="C191" s="5" t="inlineStr">
        <is>
          <t>Unlocked</t>
        </is>
      </c>
      <c r="D191" s="5" t="inlineStr">
        <is>
          <t>InputLevel</t>
        </is>
      </c>
      <c r="E191" s="5" t="inlineStr">
        <is>
          <t>Factor</t>
        </is>
      </c>
      <c r="F191" s="5" t="inlineStr">
        <is>
          <t>CoefficientPercent</t>
        </is>
      </c>
      <c r="G191" s="5" t="inlineStr">
        <is>
          <t>EffectiveHits</t>
        </is>
      </c>
      <c r="H191" s="5" t="inlineStr">
        <is>
          <t>ProcProbability</t>
        </is>
      </c>
      <c r="I191" s="5" t="inlineStr">
        <is>
          <t>MapleHeroMultiplier</t>
        </is>
      </c>
      <c r="J191" s="5" t="inlineStr">
        <is>
          <t>BaseDamage</t>
        </is>
      </c>
      <c r="K191" s="5" t="inlineStr">
        <is>
          <t>BaseHitDamage</t>
        </is>
      </c>
      <c r="L191" s="5" t="inlineStr">
        <is>
          <t>NonCritAvg</t>
        </is>
      </c>
      <c r="M191" s="5" t="inlineStr">
        <is>
          <t>CritAvg</t>
        </is>
      </c>
      <c r="N191" s="5" t="inlineStr">
        <is>
          <t>ExpectedDamage(perHit)</t>
        </is>
      </c>
      <c r="O191" s="5" t="inlineStr">
        <is>
          <t>DPS</t>
        </is>
      </c>
      <c r="P191" s="5" t="inlineStr">
        <is>
          <t>% of Total</t>
        </is>
      </c>
      <c r="R191" t="inlineStr">
        <is>
          <t>helpers</t>
        </is>
      </c>
    </row>
    <row r="192">
      <c r="A192">
        <f>Skills!A2</f>
        <v/>
      </c>
      <c r="B192">
        <f>Skills!B2</f>
        <v/>
      </c>
      <c r="C192">
        <f>Inputs!$B$3&gt;=100</f>
        <v/>
      </c>
      <c r="D192" t="inlineStr"/>
      <c r="E192" t="inlineStr"/>
      <c r="F192">
        <f>T194+Skills!N2</f>
        <v/>
      </c>
      <c r="G192">
        <f>Calc!G2</f>
        <v/>
      </c>
      <c r="H192">
        <f>Calc!H2</f>
        <v/>
      </c>
      <c r="I192">
        <f>IF(Skills!T2&lt;&gt;"",1+(Skills!T2/10)*(Z193/1000)/100,1)</f>
        <v/>
      </c>
      <c r="J192">
        <f>((Inputs!$B$6*(1+Inputs!$B$7/100))+(((Inputs!$B$12*(1+Inputs!$B$13/100))-(Inputs!$B$12*(1+Inputs!$B$13/100)))+0.25*(Inputs!$B$14-Inputs!$B$14))*(1+Inputs!$B$7/100))*(F192/100)</f>
        <v/>
      </c>
      <c r="K192">
        <f>J192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2="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F208-Calc!F18),(Inputs!$B$23+(IF(ArtifactsInput!$M$15,CHOOSE(ArtifactsInput!$N$15+1,25,30,35,40,45,50)/100*(Inputs!$B$11-Inputs!$B$11),0))))/100+(Inputs!$B$23+(IF(ArtifactsInput!$M$15,CHOOSE(ArtifactsInput!$N$15+1,25,30,35,40,45,50)/100*(Inputs!$B$11-Inputs!$B$11),0)))/100)/2</f>
        <v/>
      </c>
      <c r="M192">
        <f>L192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(1-Summary!$B$11)*S192+Summary!$B$11*U192</f>
        <v/>
      </c>
      <c r="P192">
        <f>IF(B227=0,0,O192/B227)</f>
        <v/>
      </c>
      <c r="Q192">
        <f>IFERROR(1/IF(Inputs!$B$38="pvp",15,MAX(0.1,Skills!D2-IF(Skills!E2=TRUE,Inputs!$B$32,0))),0)</f>
        <v/>
      </c>
      <c r="R192" t="n">
        <v>0</v>
      </c>
      <c r="S192">
        <f>IF(C192,(Skills!F2*N192*B223)*IF(Inputs!$B$38="pvp",1,1+(Inputs!$B$20+Skills!O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
        <f>MAX(0,(Inputs!$B$3-100)*3)+Inputs!$B$28+Inputs!$B$29</f>
        <v/>
      </c>
      <c r="U192">
        <f>IF(C192,(Skills!F2*N192*B223)*IF(Inputs!$B$38="pvp",1,(1+(Inputs!$B$21+Skills!P2+B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
        <f>MAX(0,(Inputs!$B$3-100)*3)+Inputs!$B$28+Inputs!$B$29</f>
        <v/>
      </c>
    </row>
    <row r="193">
      <c r="A193">
        <f>Skills!A3</f>
        <v/>
      </c>
      <c r="B193">
        <f>Skills!B3</f>
        <v/>
      </c>
      <c r="C193">
        <f>Inputs!$B$3&gt;=15</f>
        <v/>
      </c>
      <c r="D193">
        <f>IF(Skills!C3=1,60+Inputs!$B$25+Inputs!$B$29,IF(Skills!C3=2,90+Inputs!$B$26+Inputs!$B$29,IF(Skills!C3=3,120+Inputs!$B$27+Inputs!$B$29,MAX(0,(Inputs!$B$3-100)*3)+Inputs!$B$28+Inputs!$B$29)))</f>
        <v/>
      </c>
      <c r="E193">
        <f>INDEX(FactorTable!$B$2:$Y$301, MATCH(ROUND(MIN(300,MAX(1,D193)),0), FactorTable!$A$2:$A$301,0), Skills!L3+1)</f>
        <v/>
      </c>
      <c r="F193">
        <f>IF(Skills!M3=TRUE,(Skills!K3/10)*(E193/1000),Skills!K3/10)+Skills!N3</f>
        <v/>
      </c>
      <c r="G193">
        <f>Calc!G3</f>
        <v/>
      </c>
      <c r="H193">
        <f>Calc!H3</f>
        <v/>
      </c>
      <c r="I193">
        <f>IF(Skills!T3&lt;&gt;"",1+(Skills!T3/10)*(Z193/1000)/100,1)</f>
        <v/>
      </c>
      <c r="J193" t="inlineStr"/>
      <c r="K193" t="inlineStr"/>
      <c r="L193" t="inlineStr"/>
      <c r="M193" t="inlineStr"/>
      <c r="N193" t="inlineStr"/>
      <c r="O193">
        <f>(1-Summary!$B$11)*S193+Summary!$B$11*U193</f>
        <v/>
      </c>
      <c r="P193">
        <f>IF(B227=0,0,O193/B227)</f>
        <v/>
      </c>
      <c r="Q193">
        <f>IFERROR(1/IF(Inputs!$B$38="pvp",15,MAX(0.1,Skills!D3-IF(Skills!E3=TRUE,Inputs!$B$32,0))),0)</f>
        <v/>
      </c>
      <c r="R193">
        <f>IF(AND(Inputs!$B$38&lt;&gt;"pvp",Inputs!$B$43&gt;0),IF(Inputs!$B$43&lt;=0,0,(INT(Inputs!$B$43/IF(Inputs!$B$38="pvp",15,MAX(0.1,Skills!D3-IF(Skills!E3=TRUE,Inputs!$B$32,0))))+1)),0)</f>
        <v/>
      </c>
      <c r="S193" t="n">
        <v>0</v>
      </c>
      <c r="T193">
        <f>INDEX(FactorTable!$B$2:$Y$301, MATCH(ROUND(MIN(300,MAX(1,T192)),0), FactorTable!$A$2:$A$301,0), 22)</f>
        <v/>
      </c>
      <c r="U193" t="n">
        <v>0</v>
      </c>
      <c r="Z193">
        <f>INDEX(FactorTable!$B$2:$Y$301, MATCH(ROUND(MIN(300,MAX(1,Z192)),0), FactorTable!$A$2:$A$301,0), 24)</f>
        <v/>
      </c>
    </row>
    <row r="194">
      <c r="A194">
        <f>Skills!A4</f>
        <v/>
      </c>
      <c r="B194">
        <f>Skills!B4</f>
        <v/>
      </c>
      <c r="C194">
        <f>Inputs!$B$3&gt;=40</f>
        <v/>
      </c>
      <c r="D194">
        <f>IF(Skills!C4=1,60+Inputs!$B$25+Inputs!$B$29,IF(Skills!C4=2,90+Inputs!$B$26+Inputs!$B$29,IF(Skills!C4=3,120+Inputs!$B$27+Inputs!$B$29,MAX(0,(Inputs!$B$3-100)*3)+Inputs!$B$28+Inputs!$B$29)))</f>
        <v/>
      </c>
      <c r="E194">
        <f>INDEX(FactorTable!$B$2:$Y$301, MATCH(ROUND(MIN(300,MAX(1,D194)),0), FactorTable!$A$2:$A$301,0), Skills!L4+1)</f>
        <v/>
      </c>
      <c r="F194">
        <f>IF(Skills!M4=TRUE,(Skills!K4/10)*(E194/1000),Skills!K4/10)+Skills!N4</f>
        <v/>
      </c>
      <c r="G194">
        <f>Calc!G4</f>
        <v/>
      </c>
      <c r="H194">
        <f>Calc!H4</f>
        <v/>
      </c>
      <c r="I194">
        <f>IF(Skills!T4&lt;&gt;"",1+(Skills!T4/10)*(Z193/1000)/100,1)</f>
        <v/>
      </c>
      <c r="J194" t="inlineStr"/>
      <c r="K194" t="inlineStr"/>
      <c r="L194" t="inlineStr"/>
      <c r="M194" t="inlineStr"/>
      <c r="N194" t="inlineStr"/>
      <c r="O194">
        <f>(1-Summary!$B$11)*S194+Summary!$B$11*U194</f>
        <v/>
      </c>
      <c r="P194">
        <f>IF(B227=0,0,O194/B227)</f>
        <v/>
      </c>
      <c r="Q194">
        <f>IFERROR(1/IF(Inputs!$B$38="pvp",15,MAX(0.1,Skills!D4-IF(Skills!E4=TRUE,Inputs!$B$32,0))),0)</f>
        <v/>
      </c>
      <c r="R194">
        <f>IF(AND(Inputs!$B$38&lt;&gt;"pvp",Inputs!$B$43&gt;0),IF(Inputs!$B$43&lt;=0,0,(INT(Inputs!$B$43/IF(Inputs!$B$38="pvp",15,MAX(0.1,Skills!D4-IF(Skills!E4=TRUE,Inputs!$B$32,0))))+1)),0)</f>
        <v/>
      </c>
      <c r="S194" t="n">
        <v>0</v>
      </c>
      <c r="T194">
        <f>290*T193/1000</f>
        <v/>
      </c>
      <c r="U194" t="n">
        <v>0</v>
      </c>
    </row>
    <row r="195">
      <c r="A195">
        <f>Skills!A5</f>
        <v/>
      </c>
      <c r="B195">
        <f>Skills!B5</f>
        <v/>
      </c>
      <c r="C195">
        <f>Inputs!$B$3&gt;=38</f>
        <v/>
      </c>
      <c r="D195">
        <f>IF(Skills!C5=1,60+Inputs!$B$25+Inputs!$B$29,IF(Skills!C5=2,90+Inputs!$B$26+Inputs!$B$29,IF(Skills!C5=3,120+Inputs!$B$27+Inputs!$B$29,MAX(0,(Inputs!$B$3-100)*3)+Inputs!$B$28+Inputs!$B$29)))</f>
        <v/>
      </c>
      <c r="E195">
        <f>INDEX(FactorTable!$B$2:$Y$301, MATCH(ROUND(MIN(300,MAX(1,D195)),0), FactorTable!$A$2:$A$301,0), Skills!L5+1)</f>
        <v/>
      </c>
      <c r="F195">
        <f>IF(Skills!M5=TRUE,(Skills!K5/10)*(E195/1000),Skills!K5/10)+Skills!N5</f>
        <v/>
      </c>
      <c r="G195">
        <f>Calc!G5</f>
        <v/>
      </c>
      <c r="H195">
        <f>Calc!H5</f>
        <v/>
      </c>
      <c r="I195">
        <f>IF(Skills!T5&lt;&gt;"",1+(Skills!T5/10)*(Z193/1000)/100,1)</f>
        <v/>
      </c>
      <c r="J195">
        <f>((Inputs!$B$6*(1+Inputs!$B$7/100))+(((Inputs!$B$12*(1+Inputs!$B$13/100))-(Inputs!$B$12*(1+Inputs!$B$13/100)))+0.25*(Inputs!$B$14-Inputs!$B$14))*(1+Inputs!$B$7/100))*(F195/100)</f>
        <v/>
      </c>
      <c r="K195">
        <f>J195*(1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5="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208-Calc!F18),(Inputs!$B$23+(IF(ArtifactsInput!$M$15,CHOOSE(ArtifactsInput!$N$15+1,25,30,35,40,45,50)/100*(Inputs!$B$11-Inputs!$B$11),0))))/100+(Inputs!$B$23+(IF(ArtifactsInput!$M$15,CHOOSE(ArtifactsInput!$N$15+1,25,30,35,40,45,50)/100*(Inputs!$B$11-Inputs!$B$11),0)))/100)/2</f>
        <v/>
      </c>
      <c r="M195">
        <f>L195*(1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IF(B227=0,0,O195/B227)</f>
        <v/>
      </c>
      <c r="Q195">
        <f>IFERROR(1/IF(Inputs!$B$38="pvp",15,MAX(0.1,Skills!D5-IF(Skills!E5=TRUE,Inputs!$B$32,0))),0)</f>
        <v/>
      </c>
      <c r="R195">
        <f>IF(AND(Inputs!$B$38&lt;&gt;"pvp",Inputs!$B$43&gt;0),IF(MAX(0,Inputs!$B$43-B224)&lt;=0,0,(INT(MAX(0,Inputs!$B$43-B224)/IF(Inputs!$B$38="pvp",15,MAX(0.1,Skills!D5-IF(Skills!E5=TRUE,Inputs!$B$32,0))))+1)),0)</f>
        <v/>
      </c>
      <c r="S195">
        <f>IF(C195,(H195*N195*IF(AND(Inputs!$B$38&lt;&gt;"pvp",Inputs!$B$43&gt;0),((Skills!F5*((R195-1)*IF(Skills!G5&gt;0,Skills!H5/Skills!G5,1)+IF(Skills!G5&gt;0,MIN(Skills!H5,MAX(0,MAX(0,Inputs!$B$43-B224)-((R195-1)*IF(Inputs!$B$38="pvp",15,MAX(0.1,Skills!D5-IF(Skills!E5=TRUE,Inputs!$B$32,0))))))/Skills!G5,1)))/Inputs!$B$43),G195*Q195))*IF(Inputs!$B$38="pvp",1,1+(Inputs!$B$20+Skills!O5+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IF(C195,(H195*N195*IF(AND(Inputs!$B$38&lt;&gt;"pvp",Inputs!$B$43&gt;0),((Skills!F5*((R195-1)*IF(Skills!G5&gt;0,Skills!H5/Skills!G5,1)+IF(Skills!G5&gt;0,MIN(Skills!H5,MAX(0,MAX(0,Inputs!$B$43-B224)-((R195-1)*IF(Inputs!$B$38="pvp",15,MAX(0.1,Skills!D5-IF(Skills!E5=TRUE,Inputs!$B$32,0))))))/Skills!G5,1)))/Inputs!$B$43),G195*Q195))*IF(Inputs!$B$38="pvp",1,(1+(Inputs!$B$21+Skills!P5+B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Skills!A6</f>
        <v/>
      </c>
      <c r="B196">
        <f>Skills!B6</f>
        <v/>
      </c>
      <c r="C196">
        <f>Inputs!$B$3&gt;=63</f>
        <v/>
      </c>
      <c r="D196">
        <f>IF(Skills!C6=1,60+Inputs!$B$25+Inputs!$B$29,IF(Skills!C6=2,90+Inputs!$B$26+Inputs!$B$29,IF(Skills!C6=3,120+Inputs!$B$27+Inputs!$B$29,MAX(0,(Inputs!$B$3-100)*3)+Inputs!$B$28+Inputs!$B$29)))</f>
        <v/>
      </c>
      <c r="E196">
        <f>INDEX(FactorTable!$B$2:$Y$301, MATCH(ROUND(MIN(300,MAX(1,D196)),0), FactorTable!$A$2:$A$301,0), Skills!L6+1)</f>
        <v/>
      </c>
      <c r="F196">
        <f>IF(Skills!M6=TRUE,(Skills!K6/10)*(E196/1000),Skills!K6/10)+Skills!N6</f>
        <v/>
      </c>
      <c r="G196">
        <f>Calc!G6</f>
        <v/>
      </c>
      <c r="H196">
        <f>Calc!H6</f>
        <v/>
      </c>
      <c r="I196">
        <f>IF(Skills!T6&lt;&gt;"",1+(Skills!T6/10)*(Z193/1000)/100,1)</f>
        <v/>
      </c>
      <c r="J196">
        <f>((Inputs!$B$6*(1+Inputs!$B$7/100))+(((Inputs!$B$12*(1+Inputs!$B$13/100))-(Inputs!$B$12*(1+Inputs!$B$13/100)))+0.25*(Inputs!$B$14-Inputs!$B$14))*(1+Inputs!$B$7/100))*(F196/100)</f>
        <v/>
      </c>
      <c r="K196">
        <f>J196*(1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6="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F208-Calc!F18),(Inputs!$B$23+(IF(ArtifactsInput!$M$15,CHOOSE(ArtifactsInput!$N$15+1,25,30,35,40,45,50)/100*(Inputs!$B$11-Inputs!$B$11),0))))/100+(Inputs!$B$23+(IF(ArtifactsInput!$M$15,CHOOSE(ArtifactsInput!$N$15+1,25,30,35,40,45,50)/100*(Inputs!$B$11-Inputs!$B$11),0)))/100)/2</f>
        <v/>
      </c>
      <c r="M196">
        <f>L196*(1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(1-Summary!$B$11)*S196+Summary!$B$11*U196</f>
        <v/>
      </c>
      <c r="P196">
        <f>IF(B227=0,0,O196/B227)</f>
        <v/>
      </c>
      <c r="Q196">
        <f>IFERROR(1/IF(Inputs!$B$38="pvp",15,MAX(0.1,Skills!D6-IF(Skills!E6=TRUE,Inputs!$B$32,0))),0)</f>
        <v/>
      </c>
      <c r="R196">
        <f>IF(AND(Inputs!$B$38&lt;&gt;"pvp",Inputs!$B$43&gt;0),IF(MAX(0,Inputs!$B$43-B224)&lt;=0,0,(INT(MAX(0,Inputs!$B$43-B224)/IF(Inputs!$B$38="pvp",15,MAX(0.1,Skills!D6-IF(Skills!E6=TRUE,Inputs!$B$32,0))))+1)),0)</f>
        <v/>
      </c>
      <c r="S196">
        <f>IF(C196,(H196*N196*IF(AND(Inputs!$B$38&lt;&gt;"pvp",Inputs!$B$43&gt;0),((Skills!F6*((R196-1)*IF(Skills!G6&gt;0,Skills!H6/Skills!G6,1)+IF(Skills!G6&gt;0,MIN(Skills!H6,MAX(0,MAX(0,Inputs!$B$43-B224)-((R196-1)*IF(Inputs!$B$38="pvp",15,MAX(0.1,Skills!D6-IF(Skills!E6=TRUE,Inputs!$B$32,0))))))/Skills!G6,1)))/Inputs!$B$43),G196*Q196))*IF(Inputs!$B$38="pvp",1,1+(Inputs!$B$20+Skills!O6+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
        <f>IF(C196,(H196*N196*IF(AND(Inputs!$B$38&lt;&gt;"pvp",Inputs!$B$43&gt;0),((Skills!F6*((R196-1)*IF(Skills!G6&gt;0,Skills!H6/Skills!G6,1)+IF(Skills!G6&gt;0,MIN(Skills!H6,MAX(0,MAX(0,Inputs!$B$43-B224)-((R196-1)*IF(Inputs!$B$38="pvp",15,MAX(0.1,Skills!D6-IF(Skills!E6=TRUE,Inputs!$B$32,0))))))/Skills!G6,1)))/Inputs!$B$43),G196*Q196))*IF(Inputs!$B$38="pvp",1,(1+(Inputs!$B$21+Skills!P6+B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Skills!A7</f>
        <v/>
      </c>
      <c r="B197">
        <f>Skills!B7</f>
        <v/>
      </c>
      <c r="C197">
        <f>Inputs!$B$3&gt;=69</f>
        <v/>
      </c>
      <c r="D197">
        <f>IF(Skills!C7=1,60+Inputs!$B$25+Inputs!$B$29,IF(Skills!C7=2,90+Inputs!$B$26+Inputs!$B$29,IF(Skills!C7=3,120+Inputs!$B$27+Inputs!$B$29,MAX(0,(Inputs!$B$3-100)*3)+Inputs!$B$28+Inputs!$B$29)))</f>
        <v/>
      </c>
      <c r="E197">
        <f>INDEX(FactorTable!$B$2:$Y$301, MATCH(ROUND(MIN(300,MAX(1,D197)),0), FactorTable!$A$2:$A$301,0), Skills!L7+1)</f>
        <v/>
      </c>
      <c r="F197">
        <f>IF(Skills!M7=TRUE,(Skills!K7/10)*(E197/1000),Skills!K7/10)+Skills!N7</f>
        <v/>
      </c>
      <c r="G197">
        <f>Calc!G7</f>
        <v/>
      </c>
      <c r="H197">
        <f>Calc!H7</f>
        <v/>
      </c>
      <c r="I197">
        <f>IF(Skills!T7&lt;&gt;"",1+(Skills!T7/10)*(Z193/1000)/100,1)</f>
        <v/>
      </c>
      <c r="J197">
        <f>((Inputs!$B$6*(1+Inputs!$B$7/100))+(((Inputs!$B$12*(1+Inputs!$B$13/100))-(Inputs!$B$12*(1+Inputs!$B$13/100)))+0.25*(Inputs!$B$14-Inputs!$B$14))*(1+Inputs!$B$7/100))*(F197/100)</f>
        <v/>
      </c>
      <c r="K197">
        <f>J197*(1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7="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F208-Calc!F18),(Inputs!$B$23+(IF(ArtifactsInput!$M$15,CHOOSE(ArtifactsInput!$N$15+1,25,30,35,40,45,50)/100*(Inputs!$B$11-Inputs!$B$11),0))))/100+(Inputs!$B$23+(IF(ArtifactsInput!$M$15,CHOOSE(ArtifactsInput!$N$15+1,25,30,35,40,45,50)/100*(Inputs!$B$11-Inputs!$B$11),0)))/100)/2</f>
        <v/>
      </c>
      <c r="M197">
        <f>L197*(1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(1-Summary!$B$11)*S197+Summary!$B$11*U197</f>
        <v/>
      </c>
      <c r="P197">
        <f>IF(B227=0,0,O197/B227)</f>
        <v/>
      </c>
      <c r="Q197">
        <f>IFERROR(1/IF(Inputs!$B$38="pvp",15,MAX(0.1,Skills!D7-IF(Skills!E7=TRUE,Inputs!$B$32,0))),0)</f>
        <v/>
      </c>
      <c r="R197">
        <f>IF(AND(Inputs!$B$38&lt;&gt;"pvp",Inputs!$B$43&gt;0),IF(MAX(0,Inputs!$B$43-B224)&lt;=0,0,(INT(MAX(0,Inputs!$B$43-B224)/IF(Inputs!$B$38="pvp",15,MAX(0.1,Skills!D7-IF(Skills!E7=TRUE,Inputs!$B$32,0))))+1)),0)</f>
        <v/>
      </c>
      <c r="S197">
        <f>IF(C197,(H197*N197*IF(AND(Inputs!$B$38&lt;&gt;"pvp",Inputs!$B$43&gt;0),((Skills!F7*((R197-1)*IF(Skills!G7&gt;0,Skills!H7/Skills!G7,1)+IF(Skills!G7&gt;0,MIN(Skills!H7,MAX(0,MAX(0,Inputs!$B$43-B224)-((R197-1)*IF(Inputs!$B$38="pvp",15,MAX(0.1,Skills!D7-IF(Skills!E7=TRUE,Inputs!$B$32,0))))))/Skills!G7,1)))/Inputs!$B$43),G197*Q197))*IF(Inputs!$B$38="pvp",1,1+(Inputs!$B$20+Skills!O7+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
        <f>IF(C197,(H197*N197*IF(AND(Inputs!$B$38&lt;&gt;"pvp",Inputs!$B$43&gt;0),((Skills!F7*((R197-1)*IF(Skills!G7&gt;0,Skills!H7/Skills!G7,1)+IF(Skills!G7&gt;0,MIN(Skills!H7,MAX(0,MAX(0,Inputs!$B$43-B224)-((R197-1)*IF(Inputs!$B$38="pvp",15,MAX(0.1,Skills!D7-IF(Skills!E7=TRUE,Inputs!$B$32,0))))))/Skills!G7,1)))/Inputs!$B$43),G197*Q197))*IF(Inputs!$B$38="pvp",1,(1+(Inputs!$B$21+Skills!P7+B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Skills!A8</f>
        <v/>
      </c>
      <c r="B198">
        <f>Skills!B8</f>
        <v/>
      </c>
      <c r="C198">
        <f>Inputs!$B$3&gt;=103</f>
        <v/>
      </c>
      <c r="D198">
        <f>IF(Skills!C8=1,60+Inputs!$B$25+Inputs!$B$29,IF(Skills!C8=2,90+Inputs!$B$26+Inputs!$B$29,IF(Skills!C8=3,120+Inputs!$B$27+Inputs!$B$29,MAX(0,(Inputs!$B$3-100)*3)+Inputs!$B$28+Inputs!$B$29)))</f>
        <v/>
      </c>
      <c r="E198">
        <f>INDEX(FactorTable!$B$2:$Y$301, MATCH(ROUND(MIN(300,MAX(1,D198)),0), FactorTable!$A$2:$A$301,0), Skills!L8+1)</f>
        <v/>
      </c>
      <c r="F198">
        <f>IF(Skills!M8=TRUE,(Skills!K8/10)*(E198/1000),Skills!K8/10)+Skills!N8</f>
        <v/>
      </c>
      <c r="G198">
        <f>Calc!G8</f>
        <v/>
      </c>
      <c r="H198">
        <f>Calc!H8</f>
        <v/>
      </c>
      <c r="I198">
        <f>IF(Skills!T8&lt;&gt;"",1+(Skills!T8/10)*(Z193/1000)/100,1)</f>
        <v/>
      </c>
      <c r="J198">
        <f>((Inputs!$B$6*(1+Inputs!$B$7/100))+(((Inputs!$B$12*(1+Inputs!$B$13/100))-(Inputs!$B$12*(1+Inputs!$B$13/100)))+0.25*(Inputs!$B$14-Inputs!$B$14))*(1+Inputs!$B$7/100))*(F198/100)</f>
        <v/>
      </c>
      <c r="K198">
        <f>J198*(1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8="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208-Calc!F18),(Inputs!$B$23+(IF(ArtifactsInput!$M$15,CHOOSE(ArtifactsInput!$N$15+1,25,30,35,40,45,50)/100*(Inputs!$B$11-Inputs!$B$11),0))))/100+(Inputs!$B$23+(IF(ArtifactsInput!$M$15,CHOOSE(ArtifactsInput!$N$15+1,25,30,35,40,45,50)/100*(Inputs!$B$11-Inputs!$B$11),0)))/100)/2</f>
        <v/>
      </c>
      <c r="M198">
        <f>L198*(1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IF(B227=0,0,O198/B227)</f>
        <v/>
      </c>
      <c r="Q198">
        <f>IFERROR(1/IF(Inputs!$B$38="pvp",15,MAX(0.1,Skills!D8-IF(Skills!E8=TRUE,Inputs!$B$32,0))),0)</f>
        <v/>
      </c>
      <c r="R198">
        <f>IF(AND(Inputs!$B$38&lt;&gt;"pvp",Inputs!$B$43&gt;0),IF(MAX(0,Inputs!$B$43-B224)&lt;=0,0,(INT(MAX(0,Inputs!$B$43-B224)/IF(Inputs!$B$38="pvp",15,MAX(0.1,Skills!D8-IF(Skills!E8=TRUE,Inputs!$B$32,0))))+1)),0)</f>
        <v/>
      </c>
      <c r="S198">
        <f>IF(C198,(H198*N198*IF(AND(Inputs!$B$38&lt;&gt;"pvp",Inputs!$B$43&gt;0),((Skills!F8*((R198-1)*IF(Skills!G8&gt;0,Skills!H8/Skills!G8,1)+IF(Skills!G8&gt;0,MIN(Skills!H8,MAX(0,MAX(0,Inputs!$B$43-B224)-((R198-1)*IF(Inputs!$B$38="pvp",15,MAX(0.1,Skills!D8-IF(Skills!E8=TRUE,Inputs!$B$32,0))))))/Skills!G8,1)))/Inputs!$B$43),G198*Q198))*IF(Inputs!$B$38="pvp",1,1+(Inputs!$B$20+Skills!O8+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8*((R198-1)*IF(Skills!G8&gt;0,Skills!H8/Skills!G8,1)+IF(Skills!G8&gt;0,MIN(Skills!H8,MAX(0,MAX(0,Inputs!$B$43-B224)-((R198-1)*IF(Inputs!$B$38="pvp",15,MAX(0.1,Skills!D8-IF(Skills!E8=TRUE,Inputs!$B$32,0))))))/Skills!G8,1)))/Inputs!$B$43),G198*Q198))*IF(Inputs!$B$38="pvp",1,(1+(Inputs!$B$21+Skills!P8+B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Skills!A9</f>
        <v/>
      </c>
      <c r="B199">
        <f>Skills!B9</f>
        <v/>
      </c>
      <c r="C199">
        <f>Inputs!$B$3&gt;=105</f>
        <v/>
      </c>
      <c r="D199">
        <f>IF(Skills!C9=1,60+Inputs!$B$25+Inputs!$B$29,IF(Skills!C9=2,90+Inputs!$B$26+Inputs!$B$29,IF(Skills!C9=3,120+Inputs!$B$27+Inputs!$B$29,MAX(0,(Inputs!$B$3-100)*3)+Inputs!$B$28+Inputs!$B$29)))</f>
        <v/>
      </c>
      <c r="E199">
        <f>INDEX(FactorTable!$B$2:$Y$301, MATCH(ROUND(MIN(300,MAX(1,D199)),0), FactorTable!$A$2:$A$301,0), Skills!L9+1)</f>
        <v/>
      </c>
      <c r="F199">
        <f>IF(Skills!M9=TRUE,(Skills!K9/10)*(E199/1000),Skills!K9/10)+Skills!N9</f>
        <v/>
      </c>
      <c r="G199">
        <f>Calc!G9</f>
        <v/>
      </c>
      <c r="H199">
        <f>Calc!H9</f>
        <v/>
      </c>
      <c r="I199">
        <f>IF(Skills!T9&lt;&gt;"",1+(Skills!T9/10)*(Z193/1000)/100,1)</f>
        <v/>
      </c>
      <c r="J199">
        <f>((Inputs!$B$6*(1+Inputs!$B$7/100))+(((Inputs!$B$12*(1+Inputs!$B$13/100))-(Inputs!$B$12*(1+Inputs!$B$13/100)))+0.25*(Inputs!$B$14-Inputs!$B$14))*(1+Inputs!$B$7/100))*(F199/100)</f>
        <v/>
      </c>
      <c r="K199">
        <f>J199*(1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9="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208-Calc!F18),(Inputs!$B$23+(IF(ArtifactsInput!$M$15,CHOOSE(ArtifactsInput!$N$15+1,25,30,35,40,45,50)/100*(Inputs!$B$11-Inputs!$B$11),0))))/100+(Inputs!$B$23+(IF(ArtifactsInput!$M$15,CHOOSE(ArtifactsInput!$N$15+1,25,30,35,40,45,50)/100*(Inputs!$B$11-Inputs!$B$11),0)))/100)/2</f>
        <v/>
      </c>
      <c r="M199">
        <f>L199*(1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IF(B227=0,0,O199/B227)</f>
        <v/>
      </c>
      <c r="Q199">
        <f>IFERROR(1/IF(Inputs!$B$38="pvp",15,MAX(0.1,Skills!D9-IF(Skills!E9=TRUE,Inputs!$B$32,0))),0)</f>
        <v/>
      </c>
      <c r="R199">
        <f>IF(AND(Inputs!$B$38&lt;&gt;"pvp",Inputs!$B$43&gt;0),IF(MAX(0,Inputs!$B$43-B224)&lt;=0,0,(INT(MAX(0,Inputs!$B$43-B224)/IF(Inputs!$B$38="pvp",15,MAX(0.1,Skills!D9-IF(Skills!E9=TRUE,Inputs!$B$32,0))))+1)),0)</f>
        <v/>
      </c>
      <c r="S199">
        <f>IF(C199,(H199*N199*IF(AND(Inputs!$B$38&lt;&gt;"pvp",Inputs!$B$43&gt;0),((Skills!F9*((R199-1)*IF(Skills!G9&gt;0,Skills!H9/Skills!G9,1)+IF(Skills!G9&gt;0,MIN(Skills!H9,MAX(0,MAX(0,Inputs!$B$43-B224)-((R199-1)*IF(Inputs!$B$38="pvp",15,MAX(0.1,Skills!D9-IF(Skills!E9=TRUE,Inputs!$B$32,0))))))/Skills!G9,1)))/Inputs!$B$43),G199*Q199))*IF(Inputs!$B$38="pvp",1,1+(Inputs!$B$20+Skills!O9+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9*((R199-1)*IF(Skills!G9&gt;0,Skills!H9/Skills!G9,1)+IF(Skills!G9&gt;0,MIN(Skills!H9,MAX(0,MAX(0,Inputs!$B$43-B224)-((R199-1)*IF(Inputs!$B$38="pvp",15,MAX(0.1,Skills!D9-IF(Skills!E9=TRUE,Inputs!$B$32,0))))))/Skills!G9,1)))/Inputs!$B$43),G199*Q199))*IF(Inputs!$B$38="pvp",1,(1+(Inputs!$B$21+Skills!P9+B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Skills!A10</f>
        <v/>
      </c>
      <c r="B200">
        <f>Skills!B10</f>
        <v/>
      </c>
      <c r="C200">
        <f>Inputs!$B$3&gt;=113</f>
        <v/>
      </c>
      <c r="D200">
        <f>IF(Skills!C10=1,60+Inputs!$B$25+Inputs!$B$29,IF(Skills!C10=2,90+Inputs!$B$26+Inputs!$B$29,IF(Skills!C10=3,120+Inputs!$B$27+Inputs!$B$29,MAX(0,(Inputs!$B$3-100)*3)+Inputs!$B$28+Inputs!$B$29)))</f>
        <v/>
      </c>
      <c r="E200">
        <f>INDEX(FactorTable!$B$2:$Y$301, MATCH(ROUND(MIN(300,MAX(1,D200)),0), FactorTable!$A$2:$A$301,0), Skills!L10+1)</f>
        <v/>
      </c>
      <c r="F200">
        <f>IF(Skills!M10=TRUE,(Skills!K10/10)*(E200/1000),Skills!K10/10)+Skills!N10</f>
        <v/>
      </c>
      <c r="G200">
        <f>Calc!G10</f>
        <v/>
      </c>
      <c r="H200">
        <f>Calc!H10</f>
        <v/>
      </c>
      <c r="I200">
        <f>IF(Skills!T10&lt;&gt;"",1+(Skills!T10/10)*(Z193/1000)/100,1)</f>
        <v/>
      </c>
      <c r="J200">
        <f>((Inputs!$B$6*(1+Inputs!$B$7/100))+(((Inputs!$B$12*(1+Inputs!$B$13/100))-(Inputs!$B$12*(1+Inputs!$B$13/100)))+0.25*(Inputs!$B$14-Inputs!$B$14))*(1+Inputs!$B$7/100))*(F200/100)</f>
        <v/>
      </c>
      <c r="K200">
        <f>J200*(1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10="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F208-Calc!F18),(Inputs!$B$23+(IF(ArtifactsInput!$M$15,CHOOSE(ArtifactsInput!$N$15+1,25,30,35,40,45,50)/100*(Inputs!$B$11-Inputs!$B$11),0))))/100+(Inputs!$B$23+(IF(ArtifactsInput!$M$15,CHOOSE(ArtifactsInput!$N$15+1,25,30,35,40,45,50)/100*(Inputs!$B$11-Inputs!$B$11),0)))/100)/2</f>
        <v/>
      </c>
      <c r="M200">
        <f>L200*(1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(1-Summary!$B$11)*S200+Summary!$B$11*U200</f>
        <v/>
      </c>
      <c r="P200">
        <f>IF(B227=0,0,O200/B227)</f>
        <v/>
      </c>
      <c r="Q200">
        <f>IFERROR(1/IF(Inputs!$B$38="pvp",15,MAX(0.1,Skills!D10-IF(Skills!E9=TRUE,Inputs!$B$32,0))),0)</f>
        <v/>
      </c>
      <c r="R200">
        <f>IF(AND(Inputs!$B$38&lt;&gt;"pvp",Inputs!$B$43&gt;0),IF(MAX(0,Inputs!$B$43-B224)&lt;=0,0,(INT(MAX(0,Inputs!$B$43-B224)/IF(Inputs!$B$38="pvp",15,MAX(0.1,Skills!D10-IF(Skills!E9=TRUE,Inputs!$B$32,0))))+1)),0)</f>
        <v/>
      </c>
      <c r="S200">
        <f>IF(C200,(H200*N200*IF(AND(Inputs!$B$38&lt;&gt;"pvp",Inputs!$B$43&gt;0),((Skills!F10*((R200-1)*IF(Skills!G10&gt;0,Skills!H10/Skills!G10,1)+IF(Skills!G10&gt;0,MIN(Skills!H10,MAX(0,MAX(0,Inputs!$B$43-B224)-((R200-1)*IF(Inputs!$B$38="pvp",15,MAX(0.1,Skills!D10-IF(Skills!E9=TRUE,Inputs!$B$32,0))))))/Skills!G10,1)))/Inputs!$B$43),G200*Q200))*IF(Inputs!$B$38="pvp",1,1+(Inputs!$B$20+Skills!O10+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
        <f>IF(C200,(H200*N200*IF(AND(Inputs!$B$38&lt;&gt;"pvp",Inputs!$B$43&gt;0),((Skills!F10*((R200-1)*IF(Skills!G10&gt;0,Skills!H10/Skills!G10,1)+IF(Skills!G10&gt;0,MIN(Skills!H10,MAX(0,MAX(0,Inputs!$B$43-B224)-((R200-1)*IF(Inputs!$B$38="pvp",15,MAX(0.1,Skills!D10-IF(Skills!E9=TRUE,Inputs!$B$32,0))))))/Skills!G10,1)))/Inputs!$B$43),G200*Q200))*IF(Inputs!$B$38="pvp",1,(1+(Inputs!$B$21+Skills!P10+B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Skills!A11</f>
        <v/>
      </c>
      <c r="B201">
        <f>Skills!B11</f>
        <v/>
      </c>
      <c r="C201">
        <f>Inputs!$B$3&gt;=107</f>
        <v/>
      </c>
      <c r="D201">
        <f>IF(Skills!C11=1,60+Inputs!$B$25+Inputs!$B$29,IF(Skills!C11=2,90+Inputs!$B$26+Inputs!$B$29,IF(Skills!C11=3,120+Inputs!$B$27+Inputs!$B$29,MAX(0,(Inputs!$B$3-100)*3)+Inputs!$B$28+Inputs!$B$29)))</f>
        <v/>
      </c>
      <c r="E201">
        <f>INDEX(FactorTable!$B$2:$Y$301, MATCH(ROUND(MIN(300,MAX(1,D201)),0), FactorTable!$A$2:$A$301,0), Skills!L11+1)</f>
        <v/>
      </c>
      <c r="F201">
        <f>IF(Skills!M11=TRUE,(Skills!K11/10)*(E201/1000),Skills!K11/10)+Skills!N11</f>
        <v/>
      </c>
      <c r="G201">
        <f>Calc!G11</f>
        <v/>
      </c>
      <c r="H201">
        <f>Calc!H11</f>
        <v/>
      </c>
      <c r="I201">
        <f>IF(Skills!T11&lt;&gt;"",1+(Skills!T11/10)*(Z193/1000)/100,1)</f>
        <v/>
      </c>
      <c r="J201">
        <f>((Inputs!$B$6*(1+Inputs!$B$7/100))+(((Inputs!$B$12*(1+Inputs!$B$13/100))-(Inputs!$B$12*(1+Inputs!$B$13/100)))+0.25*(Inputs!$B$14-Inputs!$B$14))*(1+Inputs!$B$7/100))*(F201/100)</f>
        <v/>
      </c>
      <c r="K201">
        <f>J201*(1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11="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F208-Calc!F18),(Inputs!$B$23+(IF(ArtifactsInput!$M$15,CHOOSE(ArtifactsInput!$N$15+1,25,30,35,40,45,50)/100*(Inputs!$B$11-Inputs!$B$11),0))))/100+(Inputs!$B$23+(IF(ArtifactsInput!$M$15,CHOOSE(ArtifactsInput!$N$15+1,25,30,35,40,45,50)/100*(Inputs!$B$11-Inputs!$B$11),0)))/100)/2</f>
        <v/>
      </c>
      <c r="M201">
        <f>L201*(1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(1-Summary!$B$11)*S201+Summary!$B$11*U201</f>
        <v/>
      </c>
      <c r="P201">
        <f>IF(B227=0,0,O201/B227)</f>
        <v/>
      </c>
      <c r="Q201">
        <f>IFERROR(1/IF(Inputs!$B$38="pvp",15,MAX(0.1,Skills!D11-IF(Skills!E11=TRUE,Inputs!$B$32,0))),0)</f>
        <v/>
      </c>
      <c r="R201">
        <f>IF(AND(Inputs!$B$38&lt;&gt;"pvp",Inputs!$B$43&gt;0),IF(MAX(0,Inputs!$B$43-B224)&lt;=0,0,(INT(MAX(0,Inputs!$B$43-B224)/IF(Inputs!$B$38="pvp",15,MAX(0.1,Skills!D11-IF(Skills!E11=TRUE,Inputs!$B$32,0))))+1)),0)</f>
        <v/>
      </c>
      <c r="S201">
        <f>IF(C201,H201*N201*IF(AND(Inputs!$B$38&lt;&gt;"pvp",Inputs!$B$43&gt;0),((Skills!F11*((R201-1)*IF(Skills!G11&gt;0,Skills!H11/Skills!G11,1)+IF(Skills!G11&gt;0,MIN(Skills!H11,MAX(0,MAX(0,Inputs!$B$43-B224)-((R201-1)*IF(Inputs!$B$38="pvp",15,MAX(0.1,Skills!D11-IF(Skills!E11=TRUE,Inputs!$B$32,0))))))/Skills!G11,1)))/Inputs!$B$43),G201*Q201)*0.5*IF(Inputs!$B$38="pvp",1,1+(Inputs!$B$20+Skills!O11+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IF(C201,H201*N201*IF(AND(Inputs!$B$38&lt;&gt;"pvp",Inputs!$B$43&gt;0),((Skills!F11*((R201-1)*IF(Skills!G11&gt;0,Skills!H11/Skills!G11,1)+IF(Skills!G11&gt;0,MIN(Skills!H11,MAX(0,MAX(0,Inputs!$B$43-B224)-((R201-1)*IF(Inputs!$B$38="pvp",15,MAX(0.1,Skills!D11-IF(Skills!E11=TRUE,Inputs!$B$32,0))))))/Skills!G11,1)))/Inputs!$B$43),G201*Q201)*1*IF(Inputs!$B$38="pvp",1,(1+(Inputs!$B$21+Skills!P11+B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Skills!A12</f>
        <v/>
      </c>
      <c r="B202">
        <f>Skills!B12</f>
        <v/>
      </c>
      <c r="C202">
        <f>Inputs!$B$3&gt;=115</f>
        <v/>
      </c>
      <c r="D202">
        <f>IF(Skills!C12=1,60+Inputs!$B$25+Inputs!$B$29,IF(Skills!C12=2,90+Inputs!$B$26+Inputs!$B$29,IF(Skills!C12=3,120+Inputs!$B$27+Inputs!$B$29,MAX(0,(Inputs!$B$3-100)*3)+Inputs!$B$28+Inputs!$B$29)))</f>
        <v/>
      </c>
      <c r="E202">
        <f>INDEX(FactorTable!$B$2:$Y$301, MATCH(ROUND(MIN(300,MAX(1,D202)),0), FactorTable!$A$2:$A$301,0), Skills!L12+1)</f>
        <v/>
      </c>
      <c r="F202">
        <f>IF(Skills!M12=TRUE,(Skills!K12/10)*(E202/1000),Skills!K12/10)+Skills!N12</f>
        <v/>
      </c>
      <c r="G202">
        <f>Calc!G12</f>
        <v/>
      </c>
      <c r="H202">
        <f>Calc!H12</f>
        <v/>
      </c>
      <c r="I202">
        <f>IF(Skills!T12&lt;&gt;"",1+(Skills!T12/10)*(Z193/1000)/100,1)</f>
        <v/>
      </c>
      <c r="J202">
        <f>((Inputs!$B$6*(1+Inputs!$B$7/100))+(((Inputs!$B$12*(1+Inputs!$B$13/100))-(Inputs!$B$12*(1+Inputs!$B$13/100)))+0.25*(Inputs!$B$14-Inputs!$B$14))*(1+Inputs!$B$7/100))*(F202/100)</f>
        <v/>
      </c>
      <c r="K202">
        <f>J202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12="CHAIN_LIGHTNING",Inputs!$B$17+((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F208-Calc!F18),(Inputs!$B$23+(IF(ArtifactsInput!$M$15,CHOOSE(ArtifactsInput!$N$15+1,25,30,35,40,45,50)/100*(Inputs!$B$11-Inputs!$B$11),0))))/100+(Inputs!$B$23+(IF(ArtifactsInput!$M$15,CHOOSE(ArtifactsInput!$N$15+1,25,30,35,40,45,50)/100*(Inputs!$B$11-Inputs!$B$11),0)))/100)/2</f>
        <v/>
      </c>
      <c r="M202">
        <f>L202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(1-Summary!$B$11)*S202+Summary!$B$11*U202</f>
        <v/>
      </c>
      <c r="P202">
        <f>IF(B227=0,0,O202/B227)</f>
        <v/>
      </c>
      <c r="Q202">
        <f>IFERROR(1/IF(Inputs!$B$38="pvp",15,MAX(0.1,Skills!D12-IF(Skills!E12=TRUE,Inputs!$B$32,0))),0)</f>
        <v/>
      </c>
      <c r="R202">
        <f>IF(AND(Inputs!$B$38&lt;&gt;"pvp",Inputs!$B$43&gt;0),IF(MAX(0,Inputs!$B$43-B224)&lt;=0,0,(INT(MAX(0,Inputs!$B$43-B224)/IF(Inputs!$B$38="pvp",15,MAX(0.1,Skills!D12-IF(Skills!E12=TRUE,Inputs!$B$32,0))))+1)),0)</f>
        <v/>
      </c>
      <c r="S202">
        <f>IF(C202,(H202*N202*IF(AND(Inputs!$B$38&lt;&gt;"pvp",Inputs!$B$43&gt;0),((Skills!F12*((R202-1)*IF(Skills!G12&gt;0,Skills!H12/Skills!G12,1)+IF(Skills!G12&gt;0,MIN(Skills!H12,MAX(0,MAX(0,Inputs!$B$43-B224)-((R202-1)*IF(Inputs!$B$38="pvp",15,MAX(0.1,Skills!D12-IF(Skills!E12=TRUE,Inputs!$B$32,0))))))/Skills!G12,1)))/Inputs!$B$43),G202*Q202))*IF(Inputs!$B$38="pvp",1,1+(Inputs!$B$20+Skills!O12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F210-Calc!F20)+(F209-Calc!F19))+(ArtifactsInput!$M$24-ArtifactsInput!$M$24)*CHOOSE(ArtifactsInput!$N$24+1,10,12,14,16,18,20)+(IF(AND(Inputs!$B$38&lt;&gt;"pvp",Inputs!$B$43=0),1,IF(IF(Inputs!$B$38="pvp",15,Inputs!$B$43)-(B224)&lt;=0,1,MAX(0,IF(Inputs!$B$38="pvp",15,Inputs!$B$43)-MAX(5,B224))/(IF(Inputs!$B$38="pvp",15,Inputs!$B$43)-(B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IF(C202,(H202*N202*IF(AND(Inputs!$B$38&lt;&gt;"pvp",Inputs!$B$43&gt;0),((Skills!F12*((R202-1)*IF(Skills!G12&gt;0,Skills!H12/Skills!G12,1)+IF(Skills!G12&gt;0,MIN(Skills!H12,MAX(0,MAX(0,Inputs!$B$43-B224)-((R202-1)*IF(Inputs!$B$38="pvp",15,MAX(0.1,Skills!D12-IF(Skills!E12=TRUE,Inputs!$B$32,0))))))/Skills!G12,1)))/Inputs!$B$43),G202*Q202))*IF(Inputs!$B$38="pvp",1,(1+(Inputs!$B$21+Skills!P12+B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Skills!A13</f>
        <v/>
      </c>
      <c r="B203">
        <f>Skills!B13</f>
        <v/>
      </c>
      <c r="C203">
        <f>Inputs!$B$3&gt;=49</f>
        <v/>
      </c>
      <c r="D203">
        <f>IF(Skills!C13=1,60+Inputs!$B$25+Inputs!$B$29,IF(Skills!C13=2,90+Inputs!$B$26+Inputs!$B$29,IF(Skills!C13=3,120+Inputs!$B$27+Inputs!$B$29,MAX(0,(Inputs!$B$3-100)*3)+Inputs!$B$28+Inputs!$B$29)))</f>
        <v/>
      </c>
      <c r="E203">
        <f>INDEX(FactorTable!$B$2:$Y$301, MATCH(ROUND(MIN(300,MAX(1,D203)),0), FactorTable!$A$2:$A$301,0), Skills!L13+1)</f>
        <v/>
      </c>
      <c r="F203">
        <f>IF(Skills!M13=TRUE,(Skills!K13/10)*(E203/1000),Skills!K13/10)+Skills!N13</f>
        <v/>
      </c>
      <c r="G203">
        <f>Calc!G13</f>
        <v/>
      </c>
      <c r="H203">
        <f>Calc!H13</f>
        <v/>
      </c>
      <c r="I203">
        <f>IF(Skills!T13&lt;&gt;"",1+(Skills!T13/10)*(Z193/1000)/100,1)</f>
        <v/>
      </c>
      <c r="J203" t="inlineStr"/>
      <c r="K203" t="inlineStr"/>
      <c r="L203" t="inlineStr"/>
      <c r="M203" t="inlineStr"/>
      <c r="N203" t="inlineStr"/>
      <c r="O203">
        <f>(1-Summary!$B$11)*S203+Summary!$B$11*U203</f>
        <v/>
      </c>
      <c r="P203">
        <f>IF(B227=0,0,O203/B227)</f>
        <v/>
      </c>
      <c r="Q203">
        <f>IFERROR(1/IF(Inputs!$B$38="pvp",15,MAX(0.1,Skills!D13-IF(Skills!E13=TRUE,Inputs!$B$32,0))),0)</f>
        <v/>
      </c>
      <c r="R203" t="n">
        <v>0</v>
      </c>
      <c r="S203" t="n">
        <v>0</v>
      </c>
      <c r="U203" t="n">
        <v>0</v>
      </c>
    </row>
    <row r="204">
      <c r="A204">
        <f>Skills!A14</f>
        <v/>
      </c>
      <c r="B204">
        <f>Skills!B14</f>
        <v/>
      </c>
      <c r="C204">
        <f>Inputs!$B$3&gt;=72</f>
        <v/>
      </c>
      <c r="D204">
        <f>IF(Skills!C14=1,60+Inputs!$B$25+Inputs!$B$29,IF(Skills!C14=2,90+Inputs!$B$26+Inputs!$B$29,IF(Skills!C14=3,120+Inputs!$B$27+Inputs!$B$29,MAX(0,(Inputs!$B$3-100)*3)+Inputs!$B$28+Inputs!$B$29)))</f>
        <v/>
      </c>
      <c r="E204">
        <f>INDEX(FactorTable!$B$2:$Y$301, MATCH(ROUND(MIN(300,MAX(1,D204)),0), FactorTable!$A$2:$A$301,0), Skills!L14+1)</f>
        <v/>
      </c>
      <c r="F204">
        <f>IF(Skills!M14=TRUE,(Skills!K14/10)*(E204/1000),Skills!K14/10)+Skills!N14</f>
        <v/>
      </c>
      <c r="G204">
        <f>Calc!G14</f>
        <v/>
      </c>
      <c r="H204">
        <f>Calc!H14</f>
        <v/>
      </c>
      <c r="I204">
        <f>IF(Skills!T14&lt;&gt;"",1+(Skills!T14/10)*(Z193/1000)/100,1)</f>
        <v/>
      </c>
      <c r="J204" t="inlineStr"/>
      <c r="K204" t="inlineStr"/>
      <c r="L204" t="inlineStr"/>
      <c r="M204" t="inlineStr"/>
      <c r="N204" t="inlineStr"/>
      <c r="O204">
        <f>(1-Summary!$B$11)*S204+Summary!$B$11*U204</f>
        <v/>
      </c>
      <c r="P204">
        <f>IF(B227=0,0,O204/B227)</f>
        <v/>
      </c>
      <c r="Q204">
        <f>IFERROR(1/IF(Inputs!$B$38="pvp",15,MAX(0.1,Skills!D14-IF(Skills!E14=TRUE,Inputs!$B$32,0))),0)</f>
        <v/>
      </c>
      <c r="R204" t="n">
        <v>0</v>
      </c>
      <c r="S204" t="n">
        <v>0</v>
      </c>
      <c r="U204" t="n">
        <v>0</v>
      </c>
    </row>
    <row r="205">
      <c r="A205">
        <f>Skills!A15</f>
        <v/>
      </c>
      <c r="B205">
        <f>Skills!B15</f>
        <v/>
      </c>
      <c r="C205">
        <f>Inputs!$B$3&gt;=75</f>
        <v/>
      </c>
      <c r="D205">
        <f>IF(Skills!C15=1,60+Inputs!$B$25+Inputs!$B$29,IF(Skills!C15=2,90+Inputs!$B$26+Inputs!$B$29,IF(Skills!C15=3,120+Inputs!$B$27+Inputs!$B$29,MAX(0,(Inputs!$B$3-100)*3)+Inputs!$B$28+Inputs!$B$29)))</f>
        <v/>
      </c>
      <c r="E205">
        <f>INDEX(FactorTable!$B$2:$Y$301, MATCH(ROUND(MIN(300,MAX(1,D205)),0), FactorTable!$A$2:$A$301,0), Skills!L15+1)</f>
        <v/>
      </c>
      <c r="F205">
        <f>IF(Skills!M15=TRUE,(Skills!K15/10)*(E205/1000),Skills!K15/10)+Skills!N15</f>
        <v/>
      </c>
      <c r="G205">
        <f>Calc!G15</f>
        <v/>
      </c>
      <c r="H205">
        <f>Calc!H15</f>
        <v/>
      </c>
      <c r="I205">
        <f>IF(Skills!T15&lt;&gt;"",1+(Skills!T15/10)*(Z193/1000)/100,1)</f>
        <v/>
      </c>
      <c r="J205" t="inlineStr"/>
      <c r="K205" t="inlineStr"/>
      <c r="L205" t="inlineStr"/>
      <c r="M205" t="inlineStr"/>
      <c r="N205" t="inlineStr"/>
      <c r="O205">
        <f>(1-Summary!$B$11)*S205+Summary!$B$11*U205</f>
        <v/>
      </c>
      <c r="P205">
        <f>IF(B227=0,0,O205/B227)</f>
        <v/>
      </c>
      <c r="Q205">
        <f>IFERROR(1/IF(Inputs!$B$38="pvp",15,MAX(0.1,Skills!D15-IF(Skills!E15=TRUE,Inputs!$B$32,0))),0)</f>
        <v/>
      </c>
      <c r="R205" t="n">
        <v>0</v>
      </c>
      <c r="S205" t="n">
        <v>0</v>
      </c>
      <c r="U205" t="n">
        <v>0</v>
      </c>
    </row>
    <row r="206">
      <c r="A206">
        <f>Skills!A16</f>
        <v/>
      </c>
      <c r="B206">
        <f>Skills!B16</f>
        <v/>
      </c>
      <c r="C206">
        <f>Inputs!$B$3&gt;=110</f>
        <v/>
      </c>
      <c r="D206">
        <f>IF(Skills!C16=1,60+Inputs!$B$25+Inputs!$B$29,IF(Skills!C16=2,90+Inputs!$B$26+Inputs!$B$29,IF(Skills!C16=3,120+Inputs!$B$27+Inputs!$B$29,MAX(0,(Inputs!$B$3-100)*3)+Inputs!$B$28+Inputs!$B$29)))</f>
        <v/>
      </c>
      <c r="E206">
        <f>INDEX(FactorTable!$B$2:$Y$301, MATCH(ROUND(MIN(300,MAX(1,D206)),0), FactorTable!$A$2:$A$301,0), Skills!L16+1)</f>
        <v/>
      </c>
      <c r="F206">
        <f>(Skills!K16/10)*(E206/1000)*64/45+Skills!N16</f>
        <v/>
      </c>
      <c r="G206">
        <f>Calc!G16</f>
        <v/>
      </c>
      <c r="H206">
        <f>Calc!H16</f>
        <v/>
      </c>
      <c r="I206">
        <f>IF(Skills!T16&lt;&gt;"",1+(Skills!T16/10)*(Z193/1000)/100,1)</f>
        <v/>
      </c>
      <c r="J206" t="inlineStr"/>
      <c r="K206" t="inlineStr"/>
      <c r="L206" t="inlineStr"/>
      <c r="M206" t="inlineStr"/>
      <c r="N206" t="inlineStr"/>
      <c r="O206">
        <f>(1-Summary!$B$11)*S206+Summary!$B$11*U206</f>
        <v/>
      </c>
      <c r="P206">
        <f>IF(B227=0,0,O206/B227)</f>
        <v/>
      </c>
      <c r="Q206">
        <f>IFERROR(1/IF(Inputs!$B$38="pvp",15,MAX(0.1,Skills!D16-IF(Skills!E16=TRUE,Inputs!$B$32,0))),0)</f>
        <v/>
      </c>
      <c r="R206">
        <f>IF(AND(Inputs!$B$38&lt;&gt;"pvp",Inputs!$B$43&gt;0),IF(Inputs!$B$43&lt;=0,0,(INT(Inputs!$B$43/IF(Inputs!$B$38="pvp",15,MAX(0.1,Skills!D16-IF(Skills!E16=TRUE,Inputs!$B$32,0))))+1)),0)</f>
        <v/>
      </c>
      <c r="S206" t="n">
        <v>0</v>
      </c>
      <c r="U206" t="n">
        <v>0</v>
      </c>
    </row>
    <row r="207">
      <c r="A207">
        <f>Skills!A17</f>
        <v/>
      </c>
      <c r="B207">
        <f>Skills!B17</f>
        <v/>
      </c>
      <c r="C207">
        <f>Inputs!$B$3&gt;=33</f>
        <v/>
      </c>
      <c r="D207">
        <f>IF(Skills!C17=1,60+Inputs!$B$25+Inputs!$B$29,IF(Skills!C17=2,90+Inputs!$B$26+Inputs!$B$29,IF(Skills!C17=3,120+Inputs!$B$27+Inputs!$B$29,MAX(0,(Inputs!$B$3-100)*3)+Inputs!$B$28+Inputs!$B$29)))</f>
        <v/>
      </c>
      <c r="E207">
        <f>INDEX(FactorTable!$B$2:$Y$301, MATCH(ROUND(MIN(300,MAX(1,D207)),0), FactorTable!$A$2:$A$301,0), Skills!L17+1)</f>
        <v/>
      </c>
      <c r="F207">
        <f>IF(Skills!M17=TRUE,(Skills!K17/10)*(E207/1000),Skills!K17/10)+Skills!N17</f>
        <v/>
      </c>
      <c r="G207">
        <f>Calc!G17</f>
        <v/>
      </c>
      <c r="H207">
        <f>Calc!H17</f>
        <v/>
      </c>
      <c r="I207">
        <f>IF(Skills!T17&lt;&gt;"",1+(Skills!T17/10)*(Z193/1000)/100,1)</f>
        <v/>
      </c>
      <c r="J207" t="inlineStr"/>
      <c r="K207" t="inlineStr"/>
      <c r="L207" t="inlineStr"/>
      <c r="M207" t="inlineStr"/>
      <c r="N207" t="inlineStr"/>
      <c r="O207">
        <f>(1-Summary!$B$11)*S207+Summary!$B$11*U207</f>
        <v/>
      </c>
      <c r="P207">
        <f>IF(B227=0,0,O207/B227)</f>
        <v/>
      </c>
      <c r="Q207">
        <f>IFERROR(1/IF(Inputs!$B$38="pvp",15,MAX(0.1,Skills!D17-IF(Skills!E17=TRUE,Inputs!$B$32,0))),0)</f>
        <v/>
      </c>
      <c r="R207" t="n">
        <v>0</v>
      </c>
      <c r="S207" t="n">
        <v>0</v>
      </c>
      <c r="U207" t="n">
        <v>0</v>
      </c>
    </row>
    <row r="208">
      <c r="A208">
        <f>Skills!A18</f>
        <v/>
      </c>
      <c r="B208">
        <f>Skills!B18</f>
        <v/>
      </c>
      <c r="C208">
        <f>Inputs!$B$3&gt;=43</f>
        <v/>
      </c>
      <c r="D208">
        <f>IF(Skills!C18=1,60+Inputs!$B$25+Inputs!$B$29,IF(Skills!C18=2,90+Inputs!$B$26+Inputs!$B$29,IF(Skills!C18=3,120+Inputs!$B$27+Inputs!$B$29,MAX(0,(Inputs!$B$3-100)*3)+Inputs!$B$28+Inputs!$B$29)))</f>
        <v/>
      </c>
      <c r="E208">
        <f>INDEX(FactorTable!$B$2:$Y$301, MATCH(ROUND(MIN(300,MAX(1,D208)),0), FactorTable!$A$2:$A$301,0), Skills!L18+1)</f>
        <v/>
      </c>
      <c r="F208">
        <f>IF(Skills!M18=TRUE,(Skills!K18/10)*(E208/1000),Skills!K18/10)+Skills!N18</f>
        <v/>
      </c>
      <c r="G208">
        <f>Calc!G18</f>
        <v/>
      </c>
      <c r="H208">
        <f>Calc!H18</f>
        <v/>
      </c>
      <c r="I208">
        <f>IF(Skills!T18&lt;&gt;"",1+(Skills!T18/10)*(Z193/1000)/100,1)</f>
        <v/>
      </c>
      <c r="J208" t="inlineStr"/>
      <c r="K208" t="inlineStr"/>
      <c r="L208" t="inlineStr"/>
      <c r="M208" t="inlineStr"/>
      <c r="N208" t="inlineStr"/>
      <c r="O208">
        <f>(1-Summary!$B$11)*S208+Summary!$B$11*U208</f>
        <v/>
      </c>
      <c r="P208">
        <f>IF(B227=0,0,O208/B227)</f>
        <v/>
      </c>
      <c r="Q208">
        <f>IFERROR(1/IF(Inputs!$B$38="pvp",15,MAX(0.1,Skills!D18-IF(Skills!E18=TRUE,Inputs!$B$32,0))),0)</f>
        <v/>
      </c>
      <c r="R208" t="n">
        <v>0</v>
      </c>
      <c r="S208" t="n">
        <v>0</v>
      </c>
      <c r="U208" t="n">
        <v>0</v>
      </c>
    </row>
    <row r="209">
      <c r="A209">
        <f>Skills!A19</f>
        <v/>
      </c>
      <c r="B209">
        <f>Skills!B19</f>
        <v/>
      </c>
      <c r="C209">
        <f>Inputs!$B$3&gt;=50</f>
        <v/>
      </c>
      <c r="D209">
        <f>IF(Skills!C19=1,60+Inputs!$B$25+Inputs!$B$29,IF(Skills!C19=2,90+Inputs!$B$26+Inputs!$B$29,IF(Skills!C19=3,120+Inputs!$B$27+Inputs!$B$29,MAX(0,(Inputs!$B$3-100)*3)+Inputs!$B$28+Inputs!$B$29)))</f>
        <v/>
      </c>
      <c r="E209">
        <f>INDEX(FactorTable!$B$2:$Y$301, MATCH(ROUND(MIN(300,MAX(1,D209)),0), FactorTable!$A$2:$A$301,0), Skills!L19+1)</f>
        <v/>
      </c>
      <c r="F209">
        <f>IF(Skills!M19=TRUE,(Skills!K19/10)*(E209/1000),Skills!K19/10)+Skills!N19</f>
        <v/>
      </c>
      <c r="G209">
        <f>Calc!G19</f>
        <v/>
      </c>
      <c r="H209">
        <f>Calc!H19</f>
        <v/>
      </c>
      <c r="I209">
        <f>IF(Skills!T19&lt;&gt;"",1+(Skills!T19/10)*(Z193/1000)/100,1)</f>
        <v/>
      </c>
      <c r="J209" t="inlineStr"/>
      <c r="K209" t="inlineStr"/>
      <c r="L209" t="inlineStr"/>
      <c r="M209" t="inlineStr"/>
      <c r="N209" t="inlineStr"/>
      <c r="O209">
        <f>(1-Summary!$B$11)*S209+Summary!$B$11*U209</f>
        <v/>
      </c>
      <c r="P209">
        <f>IF(B227=0,0,O209/B227)</f>
        <v/>
      </c>
      <c r="Q209">
        <f>IFERROR(1/IF(Inputs!$B$38="pvp",15,MAX(0.1,Skills!D19-IF(Skills!E19=TRUE,Inputs!$B$32,0))),0)</f>
        <v/>
      </c>
      <c r="R209" t="n">
        <v>0</v>
      </c>
      <c r="S209" t="n">
        <v>0</v>
      </c>
      <c r="U209" t="n">
        <v>0</v>
      </c>
    </row>
    <row r="210">
      <c r="A210">
        <f>Skills!A20</f>
        <v/>
      </c>
      <c r="B210">
        <f>Skills!B20</f>
        <v/>
      </c>
      <c r="C210">
        <f>Inputs!$B$3&gt;=74</f>
        <v/>
      </c>
      <c r="D210">
        <f>IF(Skills!C20=1,60+Inputs!$B$25+Inputs!$B$29,IF(Skills!C20=2,90+Inputs!$B$26+Inputs!$B$29,IF(Skills!C20=3,120+Inputs!$B$27+Inputs!$B$29,MAX(0,(Inputs!$B$3-100)*3)+Inputs!$B$28+Inputs!$B$29)))</f>
        <v/>
      </c>
      <c r="E210">
        <f>INDEX(FactorTable!$B$2:$Y$301, MATCH(ROUND(MIN(300,MAX(1,D210)),0), FactorTable!$A$2:$A$301,0), Skills!L20+1)</f>
        <v/>
      </c>
      <c r="F210">
        <f>IF(Skills!M20=TRUE,(Skills!K20/10)*(E210/1000),Skills!K20/10)+Skills!N20</f>
        <v/>
      </c>
      <c r="G210">
        <f>Calc!G20</f>
        <v/>
      </c>
      <c r="H210">
        <f>Calc!H20</f>
        <v/>
      </c>
      <c r="I210">
        <f>IF(Skills!T20&lt;&gt;"",1+(Skills!T20/10)*(Z193/1000)/100,1)</f>
        <v/>
      </c>
      <c r="J210" t="inlineStr"/>
      <c r="K210" t="inlineStr"/>
      <c r="L210" t="inlineStr"/>
      <c r="M210" t="inlineStr"/>
      <c r="N210" t="inlineStr"/>
      <c r="O210">
        <f>(1-Summary!$B$11)*S210+Summary!$B$11*U210</f>
        <v/>
      </c>
      <c r="P210">
        <f>IF(B227=0,0,O210/B227)</f>
        <v/>
      </c>
      <c r="Q210">
        <f>IFERROR(1/IF(Inputs!$B$38="pvp",15,MAX(0.1,Skills!D20-IF(Skills!E20=TRUE,Inputs!$B$32,0))),0)</f>
        <v/>
      </c>
      <c r="R210" t="n">
        <v>0</v>
      </c>
      <c r="S210" t="n">
        <v>0</v>
      </c>
      <c r="U210" t="n">
        <v>0</v>
      </c>
    </row>
    <row r="211">
      <c r="A211">
        <f>Skills!A21</f>
        <v/>
      </c>
      <c r="B211">
        <f>Skills!B21</f>
        <v/>
      </c>
      <c r="C211">
        <f>Inputs!$B$3&gt;=74</f>
        <v/>
      </c>
      <c r="D211">
        <f>IF(Skills!C21=1,60+Inputs!$B$25+Inputs!$B$29,IF(Skills!C21=2,90+Inputs!$B$26+Inputs!$B$29,IF(Skills!C21=3,120+Inputs!$B$27+Inputs!$B$29,MAX(0,(Inputs!$B$3-100)*3)+Inputs!$B$28+Inputs!$B$29)))</f>
        <v/>
      </c>
      <c r="E211">
        <f>INDEX(FactorTable!$B$2:$Y$301, MATCH(ROUND(MIN(300,MAX(1,D211)),0), FactorTable!$A$2:$A$301,0), Skills!L21+1)</f>
        <v/>
      </c>
      <c r="F211">
        <f>IF(Skills!M21=TRUE,(Skills!K21/10)*(E211/1000),Skills!K21/10)+Skills!N21</f>
        <v/>
      </c>
      <c r="G211">
        <f>Calc!G21</f>
        <v/>
      </c>
      <c r="H211">
        <f>Calc!H21</f>
        <v/>
      </c>
      <c r="I211">
        <f>IF(Skills!T21&lt;&gt;"",1+(Skills!T21/10)*(Z193/1000)/100,1)</f>
        <v/>
      </c>
      <c r="J211" t="inlineStr"/>
      <c r="K211" t="inlineStr"/>
      <c r="L211" t="inlineStr"/>
      <c r="M211" t="inlineStr"/>
      <c r="N211" t="inlineStr"/>
      <c r="O211">
        <f>(1-Summary!$B$11)*S211+Summary!$B$11*U211</f>
        <v/>
      </c>
      <c r="P211">
        <f>IF(B227=0,0,O211/B227)</f>
        <v/>
      </c>
      <c r="Q211">
        <f>IFERROR(1/IF(Inputs!$B$38="pvp",15,MAX(0.1,Skills!D21-IF(Skills!E21=TRUE,Inputs!$B$32,0))),0)</f>
        <v/>
      </c>
      <c r="R211" t="n">
        <v>0</v>
      </c>
      <c r="S211" t="n">
        <v>0</v>
      </c>
      <c r="U211" t="n">
        <v>0</v>
      </c>
    </row>
    <row r="212">
      <c r="A212">
        <f>Skills!A22</f>
        <v/>
      </c>
      <c r="B212">
        <f>Skills!B22</f>
        <v/>
      </c>
      <c r="C212">
        <f>Inputs!$B$3&gt;=117</f>
        <v/>
      </c>
      <c r="D212">
        <f>IF(Skills!C22=1,60+Inputs!$B$25+Inputs!$B$29,IF(Skills!C22=2,90+Inputs!$B$26+Inputs!$B$29,IF(Skills!C22=3,120+Inputs!$B$27+Inputs!$B$29,MAX(0,(Inputs!$B$3-100)*3)+Inputs!$B$28+Inputs!$B$29)))</f>
        <v/>
      </c>
      <c r="E212">
        <f>INDEX(FactorTable!$B$2:$Y$301, MATCH(ROUND(MIN(300,MAX(1,D212)),0), FactorTable!$A$2:$A$301,0), Skills!L22+1)</f>
        <v/>
      </c>
      <c r="F212">
        <f>IF(Skills!M22=TRUE,(Skills!K22/10)*(E212/1000),Skills!K22/10)+Skills!N22</f>
        <v/>
      </c>
      <c r="G212">
        <f>Calc!G22</f>
        <v/>
      </c>
      <c r="H212">
        <f>Calc!H22</f>
        <v/>
      </c>
      <c r="I212">
        <f>IF(Skills!T22&lt;&gt;"",1+(Skills!T22/10)*(Z193/1000)/100,1)</f>
        <v/>
      </c>
      <c r="J212" t="inlineStr"/>
      <c r="K212" t="inlineStr"/>
      <c r="L212" t="inlineStr"/>
      <c r="M212" t="inlineStr"/>
      <c r="N212" t="inlineStr"/>
      <c r="O212">
        <f>(1-Summary!$B$11)*S212+Summary!$B$11*U212</f>
        <v/>
      </c>
      <c r="P212">
        <f>IF(B227=0,0,O212/B227)</f>
        <v/>
      </c>
      <c r="Q212">
        <f>IFERROR(1/IF(Inputs!$B$38="pvp",15,MAX(0.1,Skills!D22-IF(Skills!E22=TRUE,Inputs!$B$32,0))),0)</f>
        <v/>
      </c>
      <c r="R212" t="n">
        <v>0</v>
      </c>
      <c r="S212" t="n">
        <v>0</v>
      </c>
      <c r="U212" t="n">
        <v>0</v>
      </c>
    </row>
    <row r="213">
      <c r="A213">
        <f>Skills!A23</f>
        <v/>
      </c>
      <c r="B213">
        <f>Skills!B23</f>
        <v/>
      </c>
      <c r="C213">
        <f>Inputs!$B$3&gt;=120</f>
        <v/>
      </c>
      <c r="D213">
        <f>IF(Skills!C23=1,60+Inputs!$B$25+Inputs!$B$29,IF(Skills!C23=2,90+Inputs!$B$26+Inputs!$B$29,IF(Skills!C23=3,120+Inputs!$B$27+Inputs!$B$29,MAX(0,(Inputs!$B$3-100)*3)+Inputs!$B$28+Inputs!$B$29)))</f>
        <v/>
      </c>
      <c r="E213">
        <f>INDEX(FactorTable!$B$2:$Y$301, MATCH(ROUND(MIN(300,MAX(1,D213)),0), FactorTable!$A$2:$A$301,0), Skills!L23+1)</f>
        <v/>
      </c>
      <c r="F213">
        <f>IF(Skills!M23=TRUE,(Skills!K23/10)*(E213/1000),Skills!K23/10)+Skills!N23</f>
        <v/>
      </c>
      <c r="G213">
        <f>Calc!G23</f>
        <v/>
      </c>
      <c r="H213">
        <f>Calc!H23</f>
        <v/>
      </c>
      <c r="I213">
        <f>IF(Skills!T23&lt;&gt;"",1+(Skills!T23/10)*(Z193/1000)/100,1)</f>
        <v/>
      </c>
      <c r="J213" t="inlineStr"/>
      <c r="K213" t="inlineStr"/>
      <c r="L213" t="inlineStr"/>
      <c r="M213" t="inlineStr"/>
      <c r="N213" t="inlineStr"/>
      <c r="O213">
        <f>(1-Summary!$B$11)*S213+Summary!$B$11*U213</f>
        <v/>
      </c>
      <c r="P213">
        <f>IF(B227=0,0,O213/B227)</f>
        <v/>
      </c>
      <c r="Q213">
        <f>IFERROR(1/IF(Inputs!$B$38="pvp",15,MAX(0.1,Skills!D23-IF(Skills!E23=TRUE,Inputs!$B$32,0))),0)</f>
        <v/>
      </c>
      <c r="R213" t="n">
        <v>0</v>
      </c>
      <c r="S213" t="n">
        <v>0</v>
      </c>
      <c r="U213" t="n">
        <v>0</v>
      </c>
    </row>
    <row r="214">
      <c r="A214">
        <f>Skills!A24</f>
        <v/>
      </c>
      <c r="B214">
        <f>Skills!B24</f>
        <v/>
      </c>
      <c r="C214">
        <f>TRUE</f>
        <v/>
      </c>
      <c r="D214">
        <f>IF(Skills!C24=1,60+Inputs!$B$25+Inputs!$B$29,IF(Skills!C24=2,90+Inputs!$B$26+Inputs!$B$29,IF(Skills!C24=3,120+Inputs!$B$27+Inputs!$B$29,MAX(0,(Inputs!$B$3-100)*3)+Inputs!$B$28+Inputs!$B$29)))</f>
        <v/>
      </c>
      <c r="E214">
        <f>INDEX(FactorTable!$B$2:$Y$301, MATCH(ROUND(MIN(300,MAX(1,D214)),0), FactorTable!$A$2:$A$301,0), Skills!L24+1)</f>
        <v/>
      </c>
      <c r="F214">
        <f>IF(Skills!M24=TRUE,(Skills!K24/10)*(E214/1000),Skills!K24/10)+Skills!N24</f>
        <v/>
      </c>
      <c r="G214">
        <f>Calc!G24</f>
        <v/>
      </c>
      <c r="H214">
        <f>Calc!H24</f>
        <v/>
      </c>
      <c r="I214">
        <f>IF(Skills!T24&lt;&gt;"",1+(Skills!T24/10)*(Z193/1000)/100,1)</f>
        <v/>
      </c>
      <c r="J214" t="inlineStr"/>
      <c r="K214" t="inlineStr"/>
      <c r="L214" t="inlineStr"/>
      <c r="M214" t="inlineStr"/>
      <c r="N214" t="inlineStr"/>
      <c r="O214">
        <f>(1-Summary!$B$11)*S214+Summary!$B$11*U214</f>
        <v/>
      </c>
      <c r="P214">
        <f>IF(B227=0,0,O214/B227)</f>
        <v/>
      </c>
      <c r="Q214">
        <f>IFERROR(1/IF(Inputs!$B$38="pvp",15,MAX(0.1,Skills!D24-IF(Skills!E24=TRUE,Inputs!$B$32,0))),0)</f>
        <v/>
      </c>
      <c r="R214">
        <f>IF(AND(Inputs!$B$38&lt;&gt;"pvp",Inputs!$B$43&gt;0),IF(Inputs!$B$43&lt;=0,0,(INT(Inputs!$B$43/IF(Inputs!$B$38="pvp",15,MAX(0.1,Skills!D24-IF(Skills!E24=TRUE,Inputs!$B$32,0))))+1)),0)</f>
        <v/>
      </c>
      <c r="S214" t="n">
        <v>0</v>
      </c>
      <c r="U214" t="n">
        <v>0</v>
      </c>
    </row>
    <row r="217">
      <c r="A217" t="inlineStr">
        <is>
          <t>Average Buff Multiplier (Magic Guard + Meditation + Artifact Attack%, summed; then Infinity)</t>
        </is>
      </c>
      <c r="B217">
        <f>(1+(IF(C193=TRUE,F193*IF(AND(Inputs!$B$38&lt;&gt;"pvp",Inputs!$B$43&gt;0),(((R193-1)*(Skills!S3*(1+(Inputs!$B$34)/100))+MIN((Skills!S3*(1+(Inputs!$B$34)/100)),MAX(0,Inputs!$B$43-((R193-1)*Skills!D3))))/Inputs!$B$43),IF(Inputs!$B$38="pvp",MIN((Skills!S3*(1+(Inputs!$B$34)/100)),15)/15,(Skills!S3*(1+(Inputs!$B$34)/100))/Skills!D3)),0)+IF(C194=TRUE,F194*IF(AND(Inputs!$B$38&lt;&gt;"pvp",Inputs!$B$43&gt;0),(((R194-1)*(Skills!S4*(1+(Inputs!$B$34)/100))+MIN((Skills!S4*(1+(Inputs!$B$34)/100)),MAX(0,Inputs!$B$43-((R194-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TRUE,(1+F206*IF(AND(Inputs!$B$38&lt;&gt;"pvp",Inputs!$B$43&gt;0),(((R206-1)*(Skills!S16*(1+(Inputs!$B$34)/100))+MIN((Skills!S16*(1+(Inputs!$B$34)/100)),MAX(0,Inputs!$B$43-((R206-1)*Skills!D16))))/Inputs!$B$43),IF(Inputs!$B$38="pvp",MIN((Skills!S16*(1+(Inputs!$B$34)/100)),15)/15,(Skills!S16*(1+(Inputs!$B$34)/100))/Skills!D16))/100),1)</f>
        <v/>
      </c>
    </row>
    <row r="218">
      <c r="A218" t="inlineStr">
        <is>
          <t>Monster Damage Taken Bonus % (Freezing Breath - Weaken + Elemental Reset + Artifact Enemy Damage Taken, summed)</t>
        </is>
      </c>
      <c r="B218">
        <f>IF(Inputs!$B$3&gt;=118,15*IF(Inputs!$B$38="pvp",MIN((30*(1+(Inputs!$B$34)/100)),15)/15,(30*(1+(Inputs!$B$34)/100))/Skills!D8),0)+IF(C204=TRUE,F204,0)+(IF(AND(ArtifactsInput!$M$35,Inputs!$B$4&lt;&gt;"Chapter Hunt"),CHOOSE(ArtifactsInput!$N$35+1,15,18,21,24,27,30)*(1-EXP(-(0.2*B221)*5)),0)+IF(AND(ArtifactsInput!$M$22,Inputs!$B$4&lt;&gt;"Chapter Hunt"),CHOOSE(ArtifactsInput!$N$22+1,10,12,14,16,18,20)*((0*(((0.15*B221*5))^0/1)+1*(((0.15*B221*5))^1/1)+2*(((0.15*B221*5))^2/2)+3*(((0.15*B221*5))^3/6)+4*(((0.15*B221*5))^4/24)+5*(((0.15*B221*5))^5/120))/((((0.15*B221*5))^0/1)+(((0.15*B221*5))^1/1)+(((0.15*B221*5))^2/2)+(((0.15*B221*5))^3/6)+(((0.15*B221*5))^4/24)+(((0.15*B221*5))^5/120))),0))</f>
        <v/>
      </c>
    </row>
    <row r="219">
      <c r="A219" t="inlineStr">
        <is>
          <t>Damage % Bonus (Frozen Break + Frost Clutch, flat)</t>
        </is>
      </c>
      <c r="B219">
        <f>IF(Inputs!$B$3&gt;=66,15,0)+IF(Inputs!$B$3&gt;=98,10,0)+IF(Inputs!$B$3&gt;=125,20,0)</f>
        <v/>
      </c>
    </row>
    <row r="220">
      <c r="A220" t="inlineStr">
        <is>
          <t>Attack Speed Bonus % (MP Eater - MP Boost, always-on + Nimble Feet, duty-cycle averaged)</t>
        </is>
      </c>
      <c r="B220">
        <f>IF(C203=TRUE,F203+(F207-Calc!F17),0)+((C214=TRUE)*F214*IF(AND(Inputs!$B$38&lt;&gt;"pvp",Inputs!$B$43&gt;0),(((R214-1)*(Skills!S24*(1+(Inputs!$B$34)/100))+MIN((Skills!S24*(1+(Inputs!$B$34)/100)),MAX(0,Inputs!$B$43-((R214-1)*Skills!D24))))/Inputs!$B$43),IF(Inputs!$B$38="pvp",MIN((Skills!S24*(1+(Inputs!$B$34)/100)),15)/15,(Skills!S24*(1+(Inputs!$B$34)/100))/Skills!D24)))</f>
        <v/>
      </c>
    </row>
    <row r="221">
      <c r="A221" t="inlineStr">
        <is>
          <t>Actions Per Second</t>
        </is>
      </c>
      <c r="B221">
        <f>1+MIN(150,150*(1-(1-(Inputs!$B$11+(ArtifactsInput!$M$15-ArtifactsInput!$M$15)*CHOOSE(ArtifactsInput!$N$15+1,8,9.6,11.2,12.8,14.4,16))/150)*(1-B220/150)))/100</f>
        <v/>
      </c>
    </row>
    <row r="222">
      <c r="A222" t="inlineStr">
        <is>
          <t>Skill + Buff Cast Rate</t>
        </is>
      </c>
      <c r="B222">
        <f>IF(AND(Inputs!$B$38&lt;&gt;"pvp",Inputs!$B$43&gt;0),SUMPRODUCT((Skills!E2:E24=TRUE)*(C192:C214=TRUE)*R192:R214)/Inputs!$B$43,SUMPRODUCT((Skills!E2:E24=TRUE)*(C192:C214=TRUE)*Q192:Q214))</f>
        <v/>
      </c>
    </row>
    <row r="223">
      <c r="A223" t="inlineStr">
        <is>
          <t>Chain Lightning Casts Per Second</t>
        </is>
      </c>
      <c r="B223">
        <f>MAX(0,B221-B222)</f>
        <v/>
      </c>
    </row>
    <row r="224">
      <c r="A224" t="inlineStr">
        <is>
          <t>Buff-Casting Startup Delay (s, fixed-duration only)</t>
        </is>
      </c>
      <c r="B224">
        <f>IF(AND(Inputs!$B$38&lt;&gt;"pvp",Inputs!$B$43&gt;0),SUMPRODUCT((Skills!S2:S24&gt;0)*(Skills!E2:E24=TRUE)*(C192:C214=TRUE))/B221,0)</f>
        <v/>
      </c>
    </row>
    <row r="225">
      <c r="A225" t="inlineStr">
        <is>
          <t>Boss-Only Total DPS (this block's swept value)</t>
        </is>
      </c>
      <c r="B225">
        <f>SUM(S192:S214)</f>
        <v/>
      </c>
    </row>
    <row r="226">
      <c r="A226" t="inlineStr">
        <is>
          <t>Normal-Only Total DPS (this block's swept value)</t>
        </is>
      </c>
      <c r="B226">
        <f>SUM(U192:U214)</f>
        <v/>
      </c>
    </row>
    <row r="227">
      <c r="A227" s="6" t="inlineStr">
        <is>
          <t>TOTAL DPS</t>
        </is>
      </c>
      <c r="B227" s="6">
        <f>SUM(O192:O214)</f>
        <v/>
      </c>
    </row>
    <row r="230">
      <c r="A230" s="6" t="inlineStr">
        <is>
          <t>Stat: BOSS_DAMAGE %</t>
        </is>
      </c>
    </row>
    <row r="231">
      <c r="A231" s="5" t="inlineStr">
        <is>
          <t>Key</t>
        </is>
      </c>
      <c r="B231" s="5" t="inlineStr">
        <is>
          <t>Name</t>
        </is>
      </c>
      <c r="C231" s="5" t="inlineStr">
        <is>
          <t>Unlocked</t>
        </is>
      </c>
      <c r="D231" s="5" t="inlineStr">
        <is>
          <t>InputLevel</t>
        </is>
      </c>
      <c r="E231" s="5" t="inlineStr">
        <is>
          <t>Factor</t>
        </is>
      </c>
      <c r="F231" s="5" t="inlineStr">
        <is>
          <t>CoefficientPercent</t>
        </is>
      </c>
      <c r="G231" s="5" t="inlineStr">
        <is>
          <t>EffectiveHits</t>
        </is>
      </c>
      <c r="H231" s="5" t="inlineStr">
        <is>
          <t>ProcProbability</t>
        </is>
      </c>
      <c r="I231" s="5" t="inlineStr">
        <is>
          <t>MapleHeroMultiplier</t>
        </is>
      </c>
      <c r="J231" s="5" t="inlineStr">
        <is>
          <t>BaseDamage</t>
        </is>
      </c>
      <c r="K231" s="5" t="inlineStr">
        <is>
          <t>BaseHitDamage</t>
        </is>
      </c>
      <c r="L231" s="5" t="inlineStr">
        <is>
          <t>NonCritAvg</t>
        </is>
      </c>
      <c r="M231" s="5" t="inlineStr">
        <is>
          <t>CritAvg</t>
        </is>
      </c>
      <c r="N231" s="5" t="inlineStr">
        <is>
          <t>ExpectedDamage(perHit)</t>
        </is>
      </c>
      <c r="O231" s="5" t="inlineStr">
        <is>
          <t>DPS</t>
        </is>
      </c>
      <c r="P231" s="5" t="inlineStr">
        <is>
          <t>% of Total</t>
        </is>
      </c>
      <c r="R231" t="inlineStr">
        <is>
          <t>helpers</t>
        </is>
      </c>
    </row>
    <row r="232">
      <c r="A232">
        <f>Skills!A2</f>
        <v/>
      </c>
      <c r="B232">
        <f>Skills!B2</f>
        <v/>
      </c>
      <c r="C232">
        <f>Inputs!$B$3&gt;=100</f>
        <v/>
      </c>
      <c r="D232" t="inlineStr"/>
      <c r="E232" t="inlineStr"/>
      <c r="F232">
        <f>T234+Skills!N2</f>
        <v/>
      </c>
      <c r="G232">
        <f>Calc!G2</f>
        <v/>
      </c>
      <c r="H232">
        <f>Calc!H2</f>
        <v/>
      </c>
      <c r="I232">
        <f>IF(Skills!T2&lt;&gt;"",1+(Skills!T2/10)*(Z233/1000)/100,1)</f>
        <v/>
      </c>
      <c r="J232">
        <f>((Inputs!$B$6*(1+Inputs!$B$7/100))+(((Inputs!$B$12*(1+Inputs!$B$13/100))-(Inputs!$B$12*(1+Inputs!$B$13/100)))+0.25*(Inputs!$B$14-Inputs!$B$14))*(1+Inputs!$B$7/100))*(F232/100)</f>
        <v/>
      </c>
      <c r="K232">
        <f>J232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2="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F248-Calc!F18),(Inputs!$B$23+(IF(ArtifactsInput!$M$15,CHOOSE(ArtifactsInput!$N$15+1,25,30,35,40,45,50)/100*(Inputs!$B$11-Inputs!$B$11),0))))/100+(Inputs!$B$23+(IF(ArtifactsInput!$M$15,CHOOSE(ArtifactsInput!$N$15+1,25,30,35,40,45,50)/100*(Inputs!$B$11-Inputs!$B$11),0)))/100)/2</f>
        <v/>
      </c>
      <c r="M232">
        <f>L232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(1-Summary!$B$11)*S232+Summary!$B$11*U232</f>
        <v/>
      </c>
      <c r="P232">
        <f>IF(B267=0,0,O232/B267)</f>
        <v/>
      </c>
      <c r="Q232">
        <f>IFERROR(1/IF(Inputs!$B$38="pvp",15,MAX(0.1,Skills!D2-IF(Skills!E2=TRUE,Inputs!$B$32,0))),0)</f>
        <v/>
      </c>
      <c r="R232" t="n">
        <v>0</v>
      </c>
      <c r="S232">
        <f>IF(C232,(Skills!F2*N232*B263)*IF(Inputs!$B$38="pvp",1,1+((Inputs!$B$20+1)+Skills!O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2">
        <f>MAX(0,(Inputs!$B$3-100)*3)+Inputs!$B$28+Inputs!$B$29</f>
        <v/>
      </c>
      <c r="U232">
        <f>IF(C232,(Skills!F2*N232*B263)*IF(Inputs!$B$38="pvp",1,(1+(Inputs!$B$21+Skills!P2+B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2">
        <f>MAX(0,(Inputs!$B$3-100)*3)+Inputs!$B$28+Inputs!$B$29</f>
        <v/>
      </c>
    </row>
    <row r="233">
      <c r="A233">
        <f>Skills!A3</f>
        <v/>
      </c>
      <c r="B233">
        <f>Skills!B3</f>
        <v/>
      </c>
      <c r="C233">
        <f>Inputs!$B$3&gt;=15</f>
        <v/>
      </c>
      <c r="D233">
        <f>IF(Skills!C3=1,60+Inputs!$B$25+Inputs!$B$29,IF(Skills!C3=2,90+Inputs!$B$26+Inputs!$B$29,IF(Skills!C3=3,120+Inputs!$B$27+Inputs!$B$29,MAX(0,(Inputs!$B$3-100)*3)+Inputs!$B$28+Inputs!$B$29)))</f>
        <v/>
      </c>
      <c r="E233">
        <f>INDEX(FactorTable!$B$2:$Y$301, MATCH(ROUND(MIN(300,MAX(1,D233)),0), FactorTable!$A$2:$A$301,0), Skills!L3+1)</f>
        <v/>
      </c>
      <c r="F233">
        <f>IF(Skills!M3=TRUE,(Skills!K3/10)*(E233/1000),Skills!K3/10)+Skills!N3</f>
        <v/>
      </c>
      <c r="G233">
        <f>Calc!G3</f>
        <v/>
      </c>
      <c r="H233">
        <f>Calc!H3</f>
        <v/>
      </c>
      <c r="I233">
        <f>IF(Skills!T3&lt;&gt;"",1+(Skills!T3/10)*(Z233/1000)/100,1)</f>
        <v/>
      </c>
      <c r="J233" t="inlineStr"/>
      <c r="K233" t="inlineStr"/>
      <c r="L233" t="inlineStr"/>
      <c r="M233" t="inlineStr"/>
      <c r="N233" t="inlineStr"/>
      <c r="O233">
        <f>(1-Summary!$B$11)*S233+Summary!$B$11*U233</f>
        <v/>
      </c>
      <c r="P233">
        <f>IF(B267=0,0,O233/B267)</f>
        <v/>
      </c>
      <c r="Q233">
        <f>IFERROR(1/IF(Inputs!$B$38="pvp",15,MAX(0.1,Skills!D3-IF(Skills!E3=TRUE,Inputs!$B$32,0))),0)</f>
        <v/>
      </c>
      <c r="R233">
        <f>IF(AND(Inputs!$B$38&lt;&gt;"pvp",Inputs!$B$43&gt;0),IF(Inputs!$B$43&lt;=0,0,(INT(Inputs!$B$43/IF(Inputs!$B$38="pvp",15,MAX(0.1,Skills!D3-IF(Skills!E3=TRUE,Inputs!$B$32,0))))+1)),0)</f>
        <v/>
      </c>
      <c r="S233" t="n">
        <v>0</v>
      </c>
      <c r="T233">
        <f>INDEX(FactorTable!$B$2:$Y$301, MATCH(ROUND(MIN(300,MAX(1,T232)),0), FactorTable!$A$2:$A$301,0), 22)</f>
        <v/>
      </c>
      <c r="U233" t="n">
        <v>0</v>
      </c>
      <c r="Z233">
        <f>INDEX(FactorTable!$B$2:$Y$301, MATCH(ROUND(MIN(300,MAX(1,Z232)),0), FactorTable!$A$2:$A$301,0), 24)</f>
        <v/>
      </c>
    </row>
    <row r="234">
      <c r="A234">
        <f>Skills!A4</f>
        <v/>
      </c>
      <c r="B234">
        <f>Skills!B4</f>
        <v/>
      </c>
      <c r="C234">
        <f>Inputs!$B$3&gt;=40</f>
        <v/>
      </c>
      <c r="D234">
        <f>IF(Skills!C4=1,60+Inputs!$B$25+Inputs!$B$29,IF(Skills!C4=2,90+Inputs!$B$26+Inputs!$B$29,IF(Skills!C4=3,120+Inputs!$B$27+Inputs!$B$29,MAX(0,(Inputs!$B$3-100)*3)+Inputs!$B$28+Inputs!$B$29)))</f>
        <v/>
      </c>
      <c r="E234">
        <f>INDEX(FactorTable!$B$2:$Y$301, MATCH(ROUND(MIN(300,MAX(1,D234)),0), FactorTable!$A$2:$A$301,0), Skills!L4+1)</f>
        <v/>
      </c>
      <c r="F234">
        <f>IF(Skills!M4=TRUE,(Skills!K4/10)*(E234/1000),Skills!K4/10)+Skills!N4</f>
        <v/>
      </c>
      <c r="G234">
        <f>Calc!G4</f>
        <v/>
      </c>
      <c r="H234">
        <f>Calc!H4</f>
        <v/>
      </c>
      <c r="I234">
        <f>IF(Skills!T4&lt;&gt;"",1+(Skills!T4/10)*(Z233/1000)/100,1)</f>
        <v/>
      </c>
      <c r="J234" t="inlineStr"/>
      <c r="K234" t="inlineStr"/>
      <c r="L234" t="inlineStr"/>
      <c r="M234" t="inlineStr"/>
      <c r="N234" t="inlineStr"/>
      <c r="O234">
        <f>(1-Summary!$B$11)*S234+Summary!$B$11*U234</f>
        <v/>
      </c>
      <c r="P234">
        <f>IF(B267=0,0,O234/B267)</f>
        <v/>
      </c>
      <c r="Q234">
        <f>IFERROR(1/IF(Inputs!$B$38="pvp",15,MAX(0.1,Skills!D4-IF(Skills!E4=TRUE,Inputs!$B$32,0))),0)</f>
        <v/>
      </c>
      <c r="R234">
        <f>IF(AND(Inputs!$B$38&lt;&gt;"pvp",Inputs!$B$43&gt;0),IF(Inputs!$B$43&lt;=0,0,(INT(Inputs!$B$43/IF(Inputs!$B$38="pvp",15,MAX(0.1,Skills!D4-IF(Skills!E4=TRUE,Inputs!$B$32,0))))+1)),0)</f>
        <v/>
      </c>
      <c r="S234" t="n">
        <v>0</v>
      </c>
      <c r="T234">
        <f>290*T233/1000</f>
        <v/>
      </c>
      <c r="U234" t="n">
        <v>0</v>
      </c>
    </row>
    <row r="235">
      <c r="A235">
        <f>Skills!A5</f>
        <v/>
      </c>
      <c r="B235">
        <f>Skills!B5</f>
        <v/>
      </c>
      <c r="C235">
        <f>Inputs!$B$3&gt;=38</f>
        <v/>
      </c>
      <c r="D235">
        <f>IF(Skills!C5=1,60+Inputs!$B$25+Inputs!$B$29,IF(Skills!C5=2,90+Inputs!$B$26+Inputs!$B$29,IF(Skills!C5=3,120+Inputs!$B$27+Inputs!$B$29,MAX(0,(Inputs!$B$3-100)*3)+Inputs!$B$28+Inputs!$B$29)))</f>
        <v/>
      </c>
      <c r="E235">
        <f>INDEX(FactorTable!$B$2:$Y$301, MATCH(ROUND(MIN(300,MAX(1,D235)),0), FactorTable!$A$2:$A$301,0), Skills!L5+1)</f>
        <v/>
      </c>
      <c r="F235">
        <f>IF(Skills!M5=TRUE,(Skills!K5/10)*(E235/1000),Skills!K5/10)+Skills!N5</f>
        <v/>
      </c>
      <c r="G235">
        <f>Calc!G5</f>
        <v/>
      </c>
      <c r="H235">
        <f>Calc!H5</f>
        <v/>
      </c>
      <c r="I235">
        <f>IF(Skills!T5&lt;&gt;"",1+(Skills!T5/10)*(Z233/1000)/100,1)</f>
        <v/>
      </c>
      <c r="J235">
        <f>((Inputs!$B$6*(1+Inputs!$B$7/100))+(((Inputs!$B$12*(1+Inputs!$B$13/100))-(Inputs!$B$12*(1+Inputs!$B$13/100)))+0.25*(Inputs!$B$14-Inputs!$B$14))*(1+Inputs!$B$7/100))*(F235/100)</f>
        <v/>
      </c>
      <c r="K235">
        <f>J235*(1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5="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F248-Calc!F18),(Inputs!$B$23+(IF(ArtifactsInput!$M$15,CHOOSE(ArtifactsInput!$N$15+1,25,30,35,40,45,50)/100*(Inputs!$B$11-Inputs!$B$11),0))))/100+(Inputs!$B$23+(IF(ArtifactsInput!$M$15,CHOOSE(ArtifactsInput!$N$15+1,25,30,35,40,45,50)/100*(Inputs!$B$11-Inputs!$B$11),0)))/100)/2</f>
        <v/>
      </c>
      <c r="M235">
        <f>L235*(1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(1-Summary!$B$11)*S235+Summary!$B$11*U235</f>
        <v/>
      </c>
      <c r="P235">
        <f>IF(B267=0,0,O235/B267)</f>
        <v/>
      </c>
      <c r="Q235">
        <f>IFERROR(1/IF(Inputs!$B$38="pvp",15,MAX(0.1,Skills!D5-IF(Skills!E5=TRUE,Inputs!$B$32,0))),0)</f>
        <v/>
      </c>
      <c r="R235">
        <f>IF(AND(Inputs!$B$38&lt;&gt;"pvp",Inputs!$B$43&gt;0),IF(MAX(0,Inputs!$B$43-B264)&lt;=0,0,(INT(MAX(0,Inputs!$B$43-B264)/IF(Inputs!$B$38="pvp",15,MAX(0.1,Skills!D5-IF(Skills!E5=TRUE,Inputs!$B$32,0))))+1)),0)</f>
        <v/>
      </c>
      <c r="S235">
        <f>IF(C235,(H235*N235*IF(AND(Inputs!$B$38&lt;&gt;"pvp",Inputs!$B$43&gt;0),((Skills!F5*((R235-1)*IF(Skills!G5&gt;0,Skills!H5/Skills!G5,1)+IF(Skills!G5&gt;0,MIN(Skills!H5,MAX(0,MAX(0,Inputs!$B$43-B264)-((R235-1)*IF(Inputs!$B$38="pvp",15,MAX(0.1,Skills!D5-IF(Skills!E5=TRUE,Inputs!$B$32,0))))))/Skills!G5,1)))/Inputs!$B$43),G235*Q235))*IF(Inputs!$B$38="pvp",1,1+((Inputs!$B$20+1)+Skills!O5+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IF(C235,(H235*N235*IF(AND(Inputs!$B$38&lt;&gt;"pvp",Inputs!$B$43&gt;0),((Skills!F5*((R235-1)*IF(Skills!G5&gt;0,Skills!H5/Skills!G5,1)+IF(Skills!G5&gt;0,MIN(Skills!H5,MAX(0,MAX(0,Inputs!$B$43-B264)-((R235-1)*IF(Inputs!$B$38="pvp",15,MAX(0.1,Skills!D5-IF(Skills!E5=TRUE,Inputs!$B$32,0))))))/Skills!G5,1)))/Inputs!$B$43),G235*Q235))*IF(Inputs!$B$38="pvp",1,(1+(Inputs!$B$21+Skills!P5+B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Skills!A6</f>
        <v/>
      </c>
      <c r="B236">
        <f>Skills!B6</f>
        <v/>
      </c>
      <c r="C236">
        <f>Inputs!$B$3&gt;=63</f>
        <v/>
      </c>
      <c r="D236">
        <f>IF(Skills!C6=1,60+Inputs!$B$25+Inputs!$B$29,IF(Skills!C6=2,90+Inputs!$B$26+Inputs!$B$29,IF(Skills!C6=3,120+Inputs!$B$27+Inputs!$B$29,MAX(0,(Inputs!$B$3-100)*3)+Inputs!$B$28+Inputs!$B$29)))</f>
        <v/>
      </c>
      <c r="E236">
        <f>INDEX(FactorTable!$B$2:$Y$301, MATCH(ROUND(MIN(300,MAX(1,D236)),0), FactorTable!$A$2:$A$301,0), Skills!L6+1)</f>
        <v/>
      </c>
      <c r="F236">
        <f>IF(Skills!M6=TRUE,(Skills!K6/10)*(E236/1000),Skills!K6/10)+Skills!N6</f>
        <v/>
      </c>
      <c r="G236">
        <f>Calc!G6</f>
        <v/>
      </c>
      <c r="H236">
        <f>Calc!H6</f>
        <v/>
      </c>
      <c r="I236">
        <f>IF(Skills!T6&lt;&gt;"",1+(Skills!T6/10)*(Z233/1000)/100,1)</f>
        <v/>
      </c>
      <c r="J236">
        <f>((Inputs!$B$6*(1+Inputs!$B$7/100))+(((Inputs!$B$12*(1+Inputs!$B$13/100))-(Inputs!$B$12*(1+Inputs!$B$13/100)))+0.25*(Inputs!$B$14-Inputs!$B$14))*(1+Inputs!$B$7/100))*(F236/100)</f>
        <v/>
      </c>
      <c r="K236">
        <f>J236*(1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6="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248-Calc!F18),(Inputs!$B$23+(IF(ArtifactsInput!$M$15,CHOOSE(ArtifactsInput!$N$15+1,25,30,35,40,45,50)/100*(Inputs!$B$11-Inputs!$B$11),0))))/100+(Inputs!$B$23+(IF(ArtifactsInput!$M$15,CHOOSE(ArtifactsInput!$N$15+1,25,30,35,40,45,50)/100*(Inputs!$B$11-Inputs!$B$11),0)))/100)/2</f>
        <v/>
      </c>
      <c r="M236">
        <f>L236*(1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IF(B267=0,0,O236/B267)</f>
        <v/>
      </c>
      <c r="Q236">
        <f>IFERROR(1/IF(Inputs!$B$38="pvp",15,MAX(0.1,Skills!D6-IF(Skills!E6=TRUE,Inputs!$B$32,0))),0)</f>
        <v/>
      </c>
      <c r="R236">
        <f>IF(AND(Inputs!$B$38&lt;&gt;"pvp",Inputs!$B$43&gt;0),IF(MAX(0,Inputs!$B$43-B264)&lt;=0,0,(INT(MAX(0,Inputs!$B$43-B264)/IF(Inputs!$B$38="pvp",15,MAX(0.1,Skills!D6-IF(Skills!E6=TRUE,Inputs!$B$32,0))))+1)),0)</f>
        <v/>
      </c>
      <c r="S236">
        <f>IF(C236,(H236*N236*IF(AND(Inputs!$B$38&lt;&gt;"pvp",Inputs!$B$43&gt;0),((Skills!F6*((R236-1)*IF(Skills!G6&gt;0,Skills!H6/Skills!G6,1)+IF(Skills!G6&gt;0,MIN(Skills!H6,MAX(0,MAX(0,Inputs!$B$43-B264)-((R236-1)*IF(Inputs!$B$38="pvp",15,MAX(0.1,Skills!D6-IF(Skills!E6=TRUE,Inputs!$B$32,0))))))/Skills!G6,1)))/Inputs!$B$43),G236*Q236))*IF(Inputs!$B$38="pvp",1,1+((Inputs!$B$20+1)+Skills!O6+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
        <f>IF(C236,(H236*N236*IF(AND(Inputs!$B$38&lt;&gt;"pvp",Inputs!$B$43&gt;0),((Skills!F6*((R236-1)*IF(Skills!G6&gt;0,Skills!H6/Skills!G6,1)+IF(Skills!G6&gt;0,MIN(Skills!H6,MAX(0,MAX(0,Inputs!$B$43-B264)-((R236-1)*IF(Inputs!$B$38="pvp",15,MAX(0.1,Skills!D6-IF(Skills!E6=TRUE,Inputs!$B$32,0))))))/Skills!G6,1)))/Inputs!$B$43),G236*Q236))*IF(Inputs!$B$38="pvp",1,(1+(Inputs!$B$21+Skills!P6+B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Skills!A7</f>
        <v/>
      </c>
      <c r="B237">
        <f>Skills!B7</f>
        <v/>
      </c>
      <c r="C237">
        <f>Inputs!$B$3&gt;=69</f>
        <v/>
      </c>
      <c r="D237">
        <f>IF(Skills!C7=1,60+Inputs!$B$25+Inputs!$B$29,IF(Skills!C7=2,90+Inputs!$B$26+Inputs!$B$29,IF(Skills!C7=3,120+Inputs!$B$27+Inputs!$B$29,MAX(0,(Inputs!$B$3-100)*3)+Inputs!$B$28+Inputs!$B$29)))</f>
        <v/>
      </c>
      <c r="E237">
        <f>INDEX(FactorTable!$B$2:$Y$301, MATCH(ROUND(MIN(300,MAX(1,D237)),0), FactorTable!$A$2:$A$301,0), Skills!L7+1)</f>
        <v/>
      </c>
      <c r="F237">
        <f>IF(Skills!M7=TRUE,(Skills!K7/10)*(E237/1000),Skills!K7/10)+Skills!N7</f>
        <v/>
      </c>
      <c r="G237">
        <f>Calc!G7</f>
        <v/>
      </c>
      <c r="H237">
        <f>Calc!H7</f>
        <v/>
      </c>
      <c r="I237">
        <f>IF(Skills!T7&lt;&gt;"",1+(Skills!T7/10)*(Z233/1000)/100,1)</f>
        <v/>
      </c>
      <c r="J237">
        <f>((Inputs!$B$6*(1+Inputs!$B$7/100))+(((Inputs!$B$12*(1+Inputs!$B$13/100))-(Inputs!$B$12*(1+Inputs!$B$13/100)))+0.25*(Inputs!$B$14-Inputs!$B$14))*(1+Inputs!$B$7/100))*(F237/100)</f>
        <v/>
      </c>
      <c r="K237">
        <f>J237*(1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7="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F248-Calc!F18),(Inputs!$B$23+(IF(ArtifactsInput!$M$15,CHOOSE(ArtifactsInput!$N$15+1,25,30,35,40,45,50)/100*(Inputs!$B$11-Inputs!$B$11),0))))/100+(Inputs!$B$23+(IF(ArtifactsInput!$M$15,CHOOSE(ArtifactsInput!$N$15+1,25,30,35,40,45,50)/100*(Inputs!$B$11-Inputs!$B$11),0)))/100)/2</f>
        <v/>
      </c>
      <c r="M237">
        <f>L237*(1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(1-Summary!$B$11)*S237+Summary!$B$11*U237</f>
        <v/>
      </c>
      <c r="P237">
        <f>IF(B267=0,0,O237/B267)</f>
        <v/>
      </c>
      <c r="Q237">
        <f>IFERROR(1/IF(Inputs!$B$38="pvp",15,MAX(0.1,Skills!D7-IF(Skills!E7=TRUE,Inputs!$B$32,0))),0)</f>
        <v/>
      </c>
      <c r="R237">
        <f>IF(AND(Inputs!$B$38&lt;&gt;"pvp",Inputs!$B$43&gt;0),IF(MAX(0,Inputs!$B$43-B264)&lt;=0,0,(INT(MAX(0,Inputs!$B$43-B264)/IF(Inputs!$B$38="pvp",15,MAX(0.1,Skills!D7-IF(Skills!E7=TRUE,Inputs!$B$32,0))))+1)),0)</f>
        <v/>
      </c>
      <c r="S237">
        <f>IF(C237,(H237*N237*IF(AND(Inputs!$B$38&lt;&gt;"pvp",Inputs!$B$43&gt;0),((Skills!F7*((R237-1)*IF(Skills!G7&gt;0,Skills!H7/Skills!G7,1)+IF(Skills!G7&gt;0,MIN(Skills!H7,MAX(0,MAX(0,Inputs!$B$43-B264)-((R237-1)*IF(Inputs!$B$38="pvp",15,MAX(0.1,Skills!D7-IF(Skills!E7=TRUE,Inputs!$B$32,0))))))/Skills!G7,1)))/Inputs!$B$43),G237*Q237))*IF(Inputs!$B$38="pvp",1,1+((Inputs!$B$20+1)+Skills!O7+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
        <f>IF(C237,(H237*N237*IF(AND(Inputs!$B$38&lt;&gt;"pvp",Inputs!$B$43&gt;0),((Skills!F7*((R237-1)*IF(Skills!G7&gt;0,Skills!H7/Skills!G7,1)+IF(Skills!G7&gt;0,MIN(Skills!H7,MAX(0,MAX(0,Inputs!$B$43-B264)-((R237-1)*IF(Inputs!$B$38="pvp",15,MAX(0.1,Skills!D7-IF(Skills!E7=TRUE,Inputs!$B$32,0))))))/Skills!G7,1)))/Inputs!$B$43),G237*Q237))*IF(Inputs!$B$38="pvp",1,(1+(Inputs!$B$21+Skills!P7+B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Skills!A8</f>
        <v/>
      </c>
      <c r="B238">
        <f>Skills!B8</f>
        <v/>
      </c>
      <c r="C238">
        <f>Inputs!$B$3&gt;=103</f>
        <v/>
      </c>
      <c r="D238">
        <f>IF(Skills!C8=1,60+Inputs!$B$25+Inputs!$B$29,IF(Skills!C8=2,90+Inputs!$B$26+Inputs!$B$29,IF(Skills!C8=3,120+Inputs!$B$27+Inputs!$B$29,MAX(0,(Inputs!$B$3-100)*3)+Inputs!$B$28+Inputs!$B$29)))</f>
        <v/>
      </c>
      <c r="E238">
        <f>INDEX(FactorTable!$B$2:$Y$301, MATCH(ROUND(MIN(300,MAX(1,D238)),0), FactorTable!$A$2:$A$301,0), Skills!L8+1)</f>
        <v/>
      </c>
      <c r="F238">
        <f>IF(Skills!M8=TRUE,(Skills!K8/10)*(E238/1000),Skills!K8/10)+Skills!N8</f>
        <v/>
      </c>
      <c r="G238">
        <f>Calc!G8</f>
        <v/>
      </c>
      <c r="H238">
        <f>Calc!H8</f>
        <v/>
      </c>
      <c r="I238">
        <f>IF(Skills!T8&lt;&gt;"",1+(Skills!T8/10)*(Z233/1000)/100,1)</f>
        <v/>
      </c>
      <c r="J238">
        <f>((Inputs!$B$6*(1+Inputs!$B$7/100))+(((Inputs!$B$12*(1+Inputs!$B$13/100))-(Inputs!$B$12*(1+Inputs!$B$13/100)))+0.25*(Inputs!$B$14-Inputs!$B$14))*(1+Inputs!$B$7/100))*(F238/100)</f>
        <v/>
      </c>
      <c r="K238">
        <f>J238*(1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8="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F248-Calc!F18),(Inputs!$B$23+(IF(ArtifactsInput!$M$15,CHOOSE(ArtifactsInput!$N$15+1,25,30,35,40,45,50)/100*(Inputs!$B$11-Inputs!$B$11),0))))/100+(Inputs!$B$23+(IF(ArtifactsInput!$M$15,CHOOSE(ArtifactsInput!$N$15+1,25,30,35,40,45,50)/100*(Inputs!$B$11-Inputs!$B$11),0)))/100)/2</f>
        <v/>
      </c>
      <c r="M238">
        <f>L238*(1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(1-Summary!$B$11)*S238+Summary!$B$11*U238</f>
        <v/>
      </c>
      <c r="P238">
        <f>IF(B267=0,0,O238/B267)</f>
        <v/>
      </c>
      <c r="Q238">
        <f>IFERROR(1/IF(Inputs!$B$38="pvp",15,MAX(0.1,Skills!D8-IF(Skills!E8=TRUE,Inputs!$B$32,0))),0)</f>
        <v/>
      </c>
      <c r="R238">
        <f>IF(AND(Inputs!$B$38&lt;&gt;"pvp",Inputs!$B$43&gt;0),IF(MAX(0,Inputs!$B$43-B264)&lt;=0,0,(INT(MAX(0,Inputs!$B$43-B264)/IF(Inputs!$B$38="pvp",15,MAX(0.1,Skills!D8-IF(Skills!E8=TRUE,Inputs!$B$32,0))))+1)),0)</f>
        <v/>
      </c>
      <c r="S238">
        <f>IF(C238,(H238*N238*IF(AND(Inputs!$B$38&lt;&gt;"pvp",Inputs!$B$43&gt;0),((Skills!F8*((R238-1)*IF(Skills!G8&gt;0,Skills!H8/Skills!G8,1)+IF(Skills!G8&gt;0,MIN(Skills!H8,MAX(0,MAX(0,Inputs!$B$43-B264)-((R238-1)*IF(Inputs!$B$38="pvp",15,MAX(0.1,Skills!D8-IF(Skills!E8=TRUE,Inputs!$B$32,0))))))/Skills!G8,1)))/Inputs!$B$43),G238*Q238))*IF(Inputs!$B$38="pvp",1,1+((Inputs!$B$20+1)+Skills!O8+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
        <f>IF(C238,(H238*N238*IF(AND(Inputs!$B$38&lt;&gt;"pvp",Inputs!$B$43&gt;0),((Skills!F8*((R238-1)*IF(Skills!G8&gt;0,Skills!H8/Skills!G8,1)+IF(Skills!G8&gt;0,MIN(Skills!H8,MAX(0,MAX(0,Inputs!$B$43-B264)-((R238-1)*IF(Inputs!$B$38="pvp",15,MAX(0.1,Skills!D8-IF(Skills!E8=TRUE,Inputs!$B$32,0))))))/Skills!G8,1)))/Inputs!$B$43),G238*Q238))*IF(Inputs!$B$38="pvp",1,(1+(Inputs!$B$21+Skills!P8+B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Skills!A9</f>
        <v/>
      </c>
      <c r="B239">
        <f>Skills!B9</f>
        <v/>
      </c>
      <c r="C239">
        <f>Inputs!$B$3&gt;=105</f>
        <v/>
      </c>
      <c r="D239">
        <f>IF(Skills!C9=1,60+Inputs!$B$25+Inputs!$B$29,IF(Skills!C9=2,90+Inputs!$B$26+Inputs!$B$29,IF(Skills!C9=3,120+Inputs!$B$27+Inputs!$B$29,MAX(0,(Inputs!$B$3-100)*3)+Inputs!$B$28+Inputs!$B$29)))</f>
        <v/>
      </c>
      <c r="E239">
        <f>INDEX(FactorTable!$B$2:$Y$301, MATCH(ROUND(MIN(300,MAX(1,D239)),0), FactorTable!$A$2:$A$301,0), Skills!L9+1)</f>
        <v/>
      </c>
      <c r="F239">
        <f>IF(Skills!M9=TRUE,(Skills!K9/10)*(E239/1000),Skills!K9/10)+Skills!N9</f>
        <v/>
      </c>
      <c r="G239">
        <f>Calc!G9</f>
        <v/>
      </c>
      <c r="H239">
        <f>Calc!H9</f>
        <v/>
      </c>
      <c r="I239">
        <f>IF(Skills!T9&lt;&gt;"",1+(Skills!T9/10)*(Z233/1000)/100,1)</f>
        <v/>
      </c>
      <c r="J239">
        <f>((Inputs!$B$6*(1+Inputs!$B$7/100))+(((Inputs!$B$12*(1+Inputs!$B$13/100))-(Inputs!$B$12*(1+Inputs!$B$13/100)))+0.25*(Inputs!$B$14-Inputs!$B$14))*(1+Inputs!$B$7/100))*(F239/100)</f>
        <v/>
      </c>
      <c r="K239">
        <f>J239*(1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9="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F248-Calc!F18),(Inputs!$B$23+(IF(ArtifactsInput!$M$15,CHOOSE(ArtifactsInput!$N$15+1,25,30,35,40,45,50)/100*(Inputs!$B$11-Inputs!$B$11),0))))/100+(Inputs!$B$23+(IF(ArtifactsInput!$M$15,CHOOSE(ArtifactsInput!$N$15+1,25,30,35,40,45,50)/100*(Inputs!$B$11-Inputs!$B$11),0)))/100)/2</f>
        <v/>
      </c>
      <c r="M239">
        <f>L239*(1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(1-Summary!$B$11)*S239+Summary!$B$11*U239</f>
        <v/>
      </c>
      <c r="P239">
        <f>IF(B267=0,0,O239/B267)</f>
        <v/>
      </c>
      <c r="Q239">
        <f>IFERROR(1/IF(Inputs!$B$38="pvp",15,MAX(0.1,Skills!D9-IF(Skills!E9=TRUE,Inputs!$B$32,0))),0)</f>
        <v/>
      </c>
      <c r="R239">
        <f>IF(AND(Inputs!$B$38&lt;&gt;"pvp",Inputs!$B$43&gt;0),IF(MAX(0,Inputs!$B$43-B264)&lt;=0,0,(INT(MAX(0,Inputs!$B$43-B264)/IF(Inputs!$B$38="pvp",15,MAX(0.1,Skills!D9-IF(Skills!E9=TRUE,Inputs!$B$32,0))))+1)),0)</f>
        <v/>
      </c>
      <c r="S239">
        <f>IF(C239,(H239*N239*IF(AND(Inputs!$B$38&lt;&gt;"pvp",Inputs!$B$43&gt;0),((Skills!F9*((R239-1)*IF(Skills!G9&gt;0,Skills!H9/Skills!G9,1)+IF(Skills!G9&gt;0,MIN(Skills!H9,MAX(0,MAX(0,Inputs!$B$43-B264)-((R239-1)*IF(Inputs!$B$38="pvp",15,MAX(0.1,Skills!D9-IF(Skills!E9=TRUE,Inputs!$B$32,0))))))/Skills!G9,1)))/Inputs!$B$43),G239*Q239))*IF(Inputs!$B$38="pvp",1,1+((Inputs!$B$20+1)+Skills!O9+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239*(1-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
        <f>IF(C239,(H239*N239*IF(AND(Inputs!$B$38&lt;&gt;"pvp",Inputs!$B$43&gt;0),((Skills!F9*((R239-1)*IF(Skills!G9&gt;0,Skills!H9/Skills!G9,1)+IF(Skills!G9&gt;0,MIN(Skills!H9,MAX(0,MAX(0,Inputs!$B$43-B264)-((R239-1)*IF(Inputs!$B$38="pvp",15,MAX(0.1,Skills!D9-IF(Skills!E9=TRUE,Inputs!$B$32,0))))))/Skills!G9,1)))/Inputs!$B$43),G239*Q239))*IF(Inputs!$B$38="pvp",1,(1+(Inputs!$B$21+Skills!P9+B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Skills!A10</f>
        <v/>
      </c>
      <c r="B240">
        <f>Skills!B10</f>
        <v/>
      </c>
      <c r="C240">
        <f>Inputs!$B$3&gt;=113</f>
        <v/>
      </c>
      <c r="D240">
        <f>IF(Skills!C10=1,60+Inputs!$B$25+Inputs!$B$29,IF(Skills!C10=2,90+Inputs!$B$26+Inputs!$B$29,IF(Skills!C10=3,120+Inputs!$B$27+Inputs!$B$29,MAX(0,(Inputs!$B$3-100)*3)+Inputs!$B$28+Inputs!$B$29)))</f>
        <v/>
      </c>
      <c r="E240">
        <f>INDEX(FactorTable!$B$2:$Y$301, MATCH(ROUND(MIN(300,MAX(1,D240)),0), FactorTable!$A$2:$A$301,0), Skills!L10+1)</f>
        <v/>
      </c>
      <c r="F240">
        <f>IF(Skills!M10=TRUE,(Skills!K10/10)*(E240/1000),Skills!K10/10)+Skills!N10</f>
        <v/>
      </c>
      <c r="G240">
        <f>Calc!G10</f>
        <v/>
      </c>
      <c r="H240">
        <f>Calc!H10</f>
        <v/>
      </c>
      <c r="I240">
        <f>IF(Skills!T10&lt;&gt;"",1+(Skills!T10/10)*(Z233/1000)/100,1)</f>
        <v/>
      </c>
      <c r="J240">
        <f>((Inputs!$B$6*(1+Inputs!$B$7/100))+(((Inputs!$B$12*(1+Inputs!$B$13/100))-(Inputs!$B$12*(1+Inputs!$B$13/100)))+0.25*(Inputs!$B$14-Inputs!$B$14))*(1+Inputs!$B$7/100))*(F240/100)</f>
        <v/>
      </c>
      <c r="K240">
        <f>J240*(1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10="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F248-Calc!F18),(Inputs!$B$23+(IF(ArtifactsInput!$M$15,CHOOSE(ArtifactsInput!$N$15+1,25,30,35,40,45,50)/100*(Inputs!$B$11-Inputs!$B$11),0))))/100+(Inputs!$B$23+(IF(ArtifactsInput!$M$15,CHOOSE(ArtifactsInput!$N$15+1,25,30,35,40,45,50)/100*(Inputs!$B$11-Inputs!$B$11),0)))/100)/2</f>
        <v/>
      </c>
      <c r="M240">
        <f>L240*(1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(1-Summary!$B$11)*S240+Summary!$B$11*U240</f>
        <v/>
      </c>
      <c r="P240">
        <f>IF(B267=0,0,O240/B267)</f>
        <v/>
      </c>
      <c r="Q240">
        <f>IFERROR(1/IF(Inputs!$B$38="pvp",15,MAX(0.1,Skills!D10-IF(Skills!E9=TRUE,Inputs!$B$32,0))),0)</f>
        <v/>
      </c>
      <c r="R240">
        <f>IF(AND(Inputs!$B$38&lt;&gt;"pvp",Inputs!$B$43&gt;0),IF(MAX(0,Inputs!$B$43-B264)&lt;=0,0,(INT(MAX(0,Inputs!$B$43-B264)/IF(Inputs!$B$38="pvp",15,MAX(0.1,Skills!D10-IF(Skills!E9=TRUE,Inputs!$B$32,0))))+1)),0)</f>
        <v/>
      </c>
      <c r="S240">
        <f>IF(C240,(H240*N240*IF(AND(Inputs!$B$38&lt;&gt;"pvp",Inputs!$B$43&gt;0),((Skills!F10*((R240-1)*IF(Skills!G10&gt;0,Skills!H10/Skills!G10,1)+IF(Skills!G10&gt;0,MIN(Skills!H10,MAX(0,MAX(0,Inputs!$B$43-B264)-((R240-1)*IF(Inputs!$B$38="pvp",15,MAX(0.1,Skills!D10-IF(Skills!E9=TRUE,Inputs!$B$32,0))))))/Skills!G10,1)))/Inputs!$B$43),G240*Q240))*IF(Inputs!$B$38="pvp",1,1+((Inputs!$B$20+1)+Skills!O10+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
        <f>IF(C240,(H240*N240*IF(AND(Inputs!$B$38&lt;&gt;"pvp",Inputs!$B$43&gt;0),((Skills!F10*((R240-1)*IF(Skills!G10&gt;0,Skills!H10/Skills!G10,1)+IF(Skills!G10&gt;0,MIN(Skills!H10,MAX(0,MAX(0,Inputs!$B$43-B264)-((R240-1)*IF(Inputs!$B$38="pvp",15,MAX(0.1,Skills!D10-IF(Skills!E9=TRUE,Inputs!$B$32,0))))))/Skills!G10,1)))/Inputs!$B$43),G240*Q240))*IF(Inputs!$B$38="pvp",1,(1+(Inputs!$B$21+Skills!P10+B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Skills!A11</f>
        <v/>
      </c>
      <c r="B241">
        <f>Skills!B11</f>
        <v/>
      </c>
      <c r="C241">
        <f>Inputs!$B$3&gt;=107</f>
        <v/>
      </c>
      <c r="D241">
        <f>IF(Skills!C11=1,60+Inputs!$B$25+Inputs!$B$29,IF(Skills!C11=2,90+Inputs!$B$26+Inputs!$B$29,IF(Skills!C11=3,120+Inputs!$B$27+Inputs!$B$29,MAX(0,(Inputs!$B$3-100)*3)+Inputs!$B$28+Inputs!$B$29)))</f>
        <v/>
      </c>
      <c r="E241">
        <f>INDEX(FactorTable!$B$2:$Y$301, MATCH(ROUND(MIN(300,MAX(1,D241)),0), FactorTable!$A$2:$A$301,0), Skills!L11+1)</f>
        <v/>
      </c>
      <c r="F241">
        <f>IF(Skills!M11=TRUE,(Skills!K11/10)*(E241/1000),Skills!K11/10)+Skills!N11</f>
        <v/>
      </c>
      <c r="G241">
        <f>Calc!G11</f>
        <v/>
      </c>
      <c r="H241">
        <f>Calc!H11</f>
        <v/>
      </c>
      <c r="I241">
        <f>IF(Skills!T11&lt;&gt;"",1+(Skills!T11/10)*(Z233/1000)/100,1)</f>
        <v/>
      </c>
      <c r="J241">
        <f>((Inputs!$B$6*(1+Inputs!$B$7/100))+(((Inputs!$B$12*(1+Inputs!$B$13/100))-(Inputs!$B$12*(1+Inputs!$B$13/100)))+0.25*(Inputs!$B$14-Inputs!$B$14))*(1+Inputs!$B$7/100))*(F241/100)</f>
        <v/>
      </c>
      <c r="K241">
        <f>J241*(1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11="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F248-Calc!F18),(Inputs!$B$23+(IF(ArtifactsInput!$M$15,CHOOSE(ArtifactsInput!$N$15+1,25,30,35,40,45,50)/100*(Inputs!$B$11-Inputs!$B$11),0))))/100+(Inputs!$B$23+(IF(ArtifactsInput!$M$15,CHOOSE(ArtifactsInput!$N$15+1,25,30,35,40,45,50)/100*(Inputs!$B$11-Inputs!$B$11),0)))/100)/2</f>
        <v/>
      </c>
      <c r="M241">
        <f>L241*(1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(1-Summary!$B$11)*S241+Summary!$B$11*U241</f>
        <v/>
      </c>
      <c r="P241">
        <f>IF(B267=0,0,O241/B267)</f>
        <v/>
      </c>
      <c r="Q241">
        <f>IFERROR(1/IF(Inputs!$B$38="pvp",15,MAX(0.1,Skills!D11-IF(Skills!E11=TRUE,Inputs!$B$32,0))),0)</f>
        <v/>
      </c>
      <c r="R241">
        <f>IF(AND(Inputs!$B$38&lt;&gt;"pvp",Inputs!$B$43&gt;0),IF(MAX(0,Inputs!$B$43-B264)&lt;=0,0,(INT(MAX(0,Inputs!$B$43-B264)/IF(Inputs!$B$38="pvp",15,MAX(0.1,Skills!D11-IF(Skills!E11=TRUE,Inputs!$B$32,0))))+1)),0)</f>
        <v/>
      </c>
      <c r="S241">
        <f>IF(C241,H241*N241*IF(AND(Inputs!$B$38&lt;&gt;"pvp",Inputs!$B$43&gt;0),((Skills!F11*((R241-1)*IF(Skills!G11&gt;0,Skills!H11/Skills!G11,1)+IF(Skills!G11&gt;0,MIN(Skills!H11,MAX(0,MAX(0,Inputs!$B$43-B264)-((R241-1)*IF(Inputs!$B$38="pvp",15,MAX(0.1,Skills!D11-IF(Skills!E11=TRUE,Inputs!$B$32,0))))))/Skills!G11,1)))/Inputs!$B$43),G241*Q241)*0.5*IF(Inputs!$B$38="pvp",1,1+((Inputs!$B$20+1)+Skills!O11+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IF(C241,H241*N241*IF(AND(Inputs!$B$38&lt;&gt;"pvp",Inputs!$B$43&gt;0),((Skills!F11*((R241-1)*IF(Skills!G11&gt;0,Skills!H11/Skills!G11,1)+IF(Skills!G11&gt;0,MIN(Skills!H11,MAX(0,MAX(0,Inputs!$B$43-B264)-((R241-1)*IF(Inputs!$B$38="pvp",15,MAX(0.1,Skills!D11-IF(Skills!E11=TRUE,Inputs!$B$32,0))))))/Skills!G11,1)))/Inputs!$B$43),G241*Q241)*1*IF(Inputs!$B$38="pvp",1,(1+(Inputs!$B$21+Skills!P11+B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Skills!A12</f>
        <v/>
      </c>
      <c r="B242">
        <f>Skills!B12</f>
        <v/>
      </c>
      <c r="C242">
        <f>Inputs!$B$3&gt;=115</f>
        <v/>
      </c>
      <c r="D242">
        <f>IF(Skills!C12=1,60+Inputs!$B$25+Inputs!$B$29,IF(Skills!C12=2,90+Inputs!$B$26+Inputs!$B$29,IF(Skills!C12=3,120+Inputs!$B$27+Inputs!$B$29,MAX(0,(Inputs!$B$3-100)*3)+Inputs!$B$28+Inputs!$B$29)))</f>
        <v/>
      </c>
      <c r="E242">
        <f>INDEX(FactorTable!$B$2:$Y$301, MATCH(ROUND(MIN(300,MAX(1,D242)),0), FactorTable!$A$2:$A$301,0), Skills!L12+1)</f>
        <v/>
      </c>
      <c r="F242">
        <f>IF(Skills!M12=TRUE,(Skills!K12/10)*(E242/1000),Skills!K12/10)+Skills!N12</f>
        <v/>
      </c>
      <c r="G242">
        <f>Calc!G12</f>
        <v/>
      </c>
      <c r="H242">
        <f>Calc!H12</f>
        <v/>
      </c>
      <c r="I242">
        <f>IF(Skills!T12&lt;&gt;"",1+(Skills!T12/10)*(Z233/1000)/100,1)</f>
        <v/>
      </c>
      <c r="J242">
        <f>((Inputs!$B$6*(1+Inputs!$B$7/100))+(((Inputs!$B$12*(1+Inputs!$B$13/100))-(Inputs!$B$12*(1+Inputs!$B$13/100)))+0.25*(Inputs!$B$14-Inputs!$B$14))*(1+Inputs!$B$7/100))*(F242/100)</f>
        <v/>
      </c>
      <c r="K242">
        <f>J242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12="CHAIN_LIGHTNING",Inputs!$B$17+((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F248-Calc!F18),(Inputs!$B$23+(IF(ArtifactsInput!$M$15,CHOOSE(ArtifactsInput!$N$15+1,25,30,35,40,45,50)/100*(Inputs!$B$11-Inputs!$B$11),0))))/100+(Inputs!$B$23+(IF(ArtifactsInput!$M$15,CHOOSE(ArtifactsInput!$N$15+1,25,30,35,40,45,50)/100*(Inputs!$B$11-Inputs!$B$11),0)))/100)/2</f>
        <v/>
      </c>
      <c r="M242">
        <f>L242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(1-Summary!$B$11)*S242+Summary!$B$11*U242</f>
        <v/>
      </c>
      <c r="P242">
        <f>IF(B267=0,0,O242/B267)</f>
        <v/>
      </c>
      <c r="Q242">
        <f>IFERROR(1/IF(Inputs!$B$38="pvp",15,MAX(0.1,Skills!D12-IF(Skills!E12=TRUE,Inputs!$B$32,0))),0)</f>
        <v/>
      </c>
      <c r="R242">
        <f>IF(AND(Inputs!$B$38&lt;&gt;"pvp",Inputs!$B$43&gt;0),IF(MAX(0,Inputs!$B$43-B264)&lt;=0,0,(INT(MAX(0,Inputs!$B$43-B264)/IF(Inputs!$B$38="pvp",15,MAX(0.1,Skills!D12-IF(Skills!E12=TRUE,Inputs!$B$32,0))))+1)),0)</f>
        <v/>
      </c>
      <c r="S242">
        <f>IF(C242,(H242*N242*IF(AND(Inputs!$B$38&lt;&gt;"pvp",Inputs!$B$43&gt;0),((Skills!F12*((R242-1)*IF(Skills!G12&gt;0,Skills!H12/Skills!G12,1)+IF(Skills!G12&gt;0,MIN(Skills!H12,MAX(0,MAX(0,Inputs!$B$43-B264)-((R242-1)*IF(Inputs!$B$38="pvp",15,MAX(0.1,Skills!D12-IF(Skills!E12=TRUE,Inputs!$B$32,0))))))/Skills!G12,1)))/Inputs!$B$43),G242*Q242))*IF(Inputs!$B$38="pvp",1,1+((Inputs!$B$20+1)+Skills!O12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F250-Calc!F20)+(F249-Calc!F19))+(ArtifactsInput!$M$24-ArtifactsInput!$M$24)*CHOOSE(ArtifactsInput!$N$24+1,10,12,14,16,18,20)+(IF(AND(Inputs!$B$38&lt;&gt;"pvp",Inputs!$B$43=0),1,IF(IF(Inputs!$B$38="pvp",15,Inputs!$B$43)-(B264)&lt;=0,1,MAX(0,IF(Inputs!$B$38="pvp",15,Inputs!$B$43)-MAX(5,B264))/(IF(Inputs!$B$38="pvp",15,Inputs!$B$43)-(B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
        <f>IF(C242,(H242*N242*IF(AND(Inputs!$B$38&lt;&gt;"pvp",Inputs!$B$43&gt;0),((Skills!F12*((R242-1)*IF(Skills!G12&gt;0,Skills!H12/Skills!G12,1)+IF(Skills!G12&gt;0,MIN(Skills!H12,MAX(0,MAX(0,Inputs!$B$43-B264)-((R242-1)*IF(Inputs!$B$38="pvp",15,MAX(0.1,Skills!D12-IF(Skills!E12=TRUE,Inputs!$B$32,0))))))/Skills!G12,1)))/Inputs!$B$43),G242*Q242))*IF(Inputs!$B$38="pvp",1,(1+(Inputs!$B$21+Skills!P12+B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Skills!A13</f>
        <v/>
      </c>
      <c r="B243">
        <f>Skills!B13</f>
        <v/>
      </c>
      <c r="C243">
        <f>Inputs!$B$3&gt;=49</f>
        <v/>
      </c>
      <c r="D243">
        <f>IF(Skills!C13=1,60+Inputs!$B$25+Inputs!$B$29,IF(Skills!C13=2,90+Inputs!$B$26+Inputs!$B$29,IF(Skills!C13=3,120+Inputs!$B$27+Inputs!$B$29,MAX(0,(Inputs!$B$3-100)*3)+Inputs!$B$28+Inputs!$B$29)))</f>
        <v/>
      </c>
      <c r="E243">
        <f>INDEX(FactorTable!$B$2:$Y$301, MATCH(ROUND(MIN(300,MAX(1,D243)),0), FactorTable!$A$2:$A$301,0), Skills!L13+1)</f>
        <v/>
      </c>
      <c r="F243">
        <f>IF(Skills!M13=TRUE,(Skills!K13/10)*(E243/1000),Skills!K13/10)+Skills!N13</f>
        <v/>
      </c>
      <c r="G243">
        <f>Calc!G13</f>
        <v/>
      </c>
      <c r="H243">
        <f>Calc!H13</f>
        <v/>
      </c>
      <c r="I243">
        <f>IF(Skills!T13&lt;&gt;"",1+(Skills!T13/10)*(Z233/1000)/100,1)</f>
        <v/>
      </c>
      <c r="J243" t="inlineStr"/>
      <c r="K243" t="inlineStr"/>
      <c r="L243" t="inlineStr"/>
      <c r="M243" t="inlineStr"/>
      <c r="N243" t="inlineStr"/>
      <c r="O243">
        <f>(1-Summary!$B$11)*S243+Summary!$B$11*U243</f>
        <v/>
      </c>
      <c r="P243">
        <f>IF(B267=0,0,O243/B267)</f>
        <v/>
      </c>
      <c r="Q243">
        <f>IFERROR(1/IF(Inputs!$B$38="pvp",15,MAX(0.1,Skills!D13-IF(Skills!E13=TRUE,Inputs!$B$32,0))),0)</f>
        <v/>
      </c>
      <c r="R243" t="n">
        <v>0</v>
      </c>
      <c r="S243" t="n">
        <v>0</v>
      </c>
      <c r="U243" t="n">
        <v>0</v>
      </c>
    </row>
    <row r="244">
      <c r="A244">
        <f>Skills!A14</f>
        <v/>
      </c>
      <c r="B244">
        <f>Skills!B14</f>
        <v/>
      </c>
      <c r="C244">
        <f>Inputs!$B$3&gt;=72</f>
        <v/>
      </c>
      <c r="D244">
        <f>IF(Skills!C14=1,60+Inputs!$B$25+Inputs!$B$29,IF(Skills!C14=2,90+Inputs!$B$26+Inputs!$B$29,IF(Skills!C14=3,120+Inputs!$B$27+Inputs!$B$29,MAX(0,(Inputs!$B$3-100)*3)+Inputs!$B$28+Inputs!$B$29)))</f>
        <v/>
      </c>
      <c r="E244">
        <f>INDEX(FactorTable!$B$2:$Y$301, MATCH(ROUND(MIN(300,MAX(1,D244)),0), FactorTable!$A$2:$A$301,0), Skills!L14+1)</f>
        <v/>
      </c>
      <c r="F244">
        <f>IF(Skills!M14=TRUE,(Skills!K14/10)*(E244/1000),Skills!K14/10)+Skills!N14</f>
        <v/>
      </c>
      <c r="G244">
        <f>Calc!G14</f>
        <v/>
      </c>
      <c r="H244">
        <f>Calc!H14</f>
        <v/>
      </c>
      <c r="I244">
        <f>IF(Skills!T14&lt;&gt;"",1+(Skills!T14/10)*(Z233/1000)/100,1)</f>
        <v/>
      </c>
      <c r="J244" t="inlineStr"/>
      <c r="K244" t="inlineStr"/>
      <c r="L244" t="inlineStr"/>
      <c r="M244" t="inlineStr"/>
      <c r="N244" t="inlineStr"/>
      <c r="O244">
        <f>(1-Summary!$B$11)*S244+Summary!$B$11*U244</f>
        <v/>
      </c>
      <c r="P244">
        <f>IF(B267=0,0,O244/B267)</f>
        <v/>
      </c>
      <c r="Q244">
        <f>IFERROR(1/IF(Inputs!$B$38="pvp",15,MAX(0.1,Skills!D14-IF(Skills!E14=TRUE,Inputs!$B$32,0))),0)</f>
        <v/>
      </c>
      <c r="R244" t="n">
        <v>0</v>
      </c>
      <c r="S244" t="n">
        <v>0</v>
      </c>
      <c r="U244" t="n">
        <v>0</v>
      </c>
    </row>
    <row r="245">
      <c r="A245">
        <f>Skills!A15</f>
        <v/>
      </c>
      <c r="B245">
        <f>Skills!B15</f>
        <v/>
      </c>
      <c r="C245">
        <f>Inputs!$B$3&gt;=75</f>
        <v/>
      </c>
      <c r="D245">
        <f>IF(Skills!C15=1,60+Inputs!$B$25+Inputs!$B$29,IF(Skills!C15=2,90+Inputs!$B$26+Inputs!$B$29,IF(Skills!C15=3,120+Inputs!$B$27+Inputs!$B$29,MAX(0,(Inputs!$B$3-100)*3)+Inputs!$B$28+Inputs!$B$29)))</f>
        <v/>
      </c>
      <c r="E245">
        <f>INDEX(FactorTable!$B$2:$Y$301, MATCH(ROUND(MIN(300,MAX(1,D245)),0), FactorTable!$A$2:$A$301,0), Skills!L15+1)</f>
        <v/>
      </c>
      <c r="F245">
        <f>IF(Skills!M15=TRUE,(Skills!K15/10)*(E245/1000),Skills!K15/10)+Skills!N15</f>
        <v/>
      </c>
      <c r="G245">
        <f>Calc!G15</f>
        <v/>
      </c>
      <c r="H245">
        <f>Calc!H15</f>
        <v/>
      </c>
      <c r="I245">
        <f>IF(Skills!T15&lt;&gt;"",1+(Skills!T15/10)*(Z233/1000)/100,1)</f>
        <v/>
      </c>
      <c r="J245" t="inlineStr"/>
      <c r="K245" t="inlineStr"/>
      <c r="L245" t="inlineStr"/>
      <c r="M245" t="inlineStr"/>
      <c r="N245" t="inlineStr"/>
      <c r="O245">
        <f>(1-Summary!$B$11)*S245+Summary!$B$11*U245</f>
        <v/>
      </c>
      <c r="P245">
        <f>IF(B267=0,0,O245/B267)</f>
        <v/>
      </c>
      <c r="Q245">
        <f>IFERROR(1/IF(Inputs!$B$38="pvp",15,MAX(0.1,Skills!D15-IF(Skills!E15=TRUE,Inputs!$B$32,0))),0)</f>
        <v/>
      </c>
      <c r="R245" t="n">
        <v>0</v>
      </c>
      <c r="S245" t="n">
        <v>0</v>
      </c>
      <c r="U245" t="n">
        <v>0</v>
      </c>
    </row>
    <row r="246">
      <c r="A246">
        <f>Skills!A16</f>
        <v/>
      </c>
      <c r="B246">
        <f>Skills!B16</f>
        <v/>
      </c>
      <c r="C246">
        <f>Inputs!$B$3&gt;=110</f>
        <v/>
      </c>
      <c r="D246">
        <f>IF(Skills!C16=1,60+Inputs!$B$25+Inputs!$B$29,IF(Skills!C16=2,90+Inputs!$B$26+Inputs!$B$29,IF(Skills!C16=3,120+Inputs!$B$27+Inputs!$B$29,MAX(0,(Inputs!$B$3-100)*3)+Inputs!$B$28+Inputs!$B$29)))</f>
        <v/>
      </c>
      <c r="E246">
        <f>INDEX(FactorTable!$B$2:$Y$301, MATCH(ROUND(MIN(300,MAX(1,D246)),0), FactorTable!$A$2:$A$301,0), Skills!L16+1)</f>
        <v/>
      </c>
      <c r="F246">
        <f>(Skills!K16/10)*(E246/1000)*64/45+Skills!N16</f>
        <v/>
      </c>
      <c r="G246">
        <f>Calc!G16</f>
        <v/>
      </c>
      <c r="H246">
        <f>Calc!H16</f>
        <v/>
      </c>
      <c r="I246">
        <f>IF(Skills!T16&lt;&gt;"",1+(Skills!T16/10)*(Z233/1000)/100,1)</f>
        <v/>
      </c>
      <c r="J246" t="inlineStr"/>
      <c r="K246" t="inlineStr"/>
      <c r="L246" t="inlineStr"/>
      <c r="M246" t="inlineStr"/>
      <c r="N246" t="inlineStr"/>
      <c r="O246">
        <f>(1-Summary!$B$11)*S246+Summary!$B$11*U246</f>
        <v/>
      </c>
      <c r="P246">
        <f>IF(B267=0,0,O246/B267)</f>
        <v/>
      </c>
      <c r="Q246">
        <f>IFERROR(1/IF(Inputs!$B$38="pvp",15,MAX(0.1,Skills!D16-IF(Skills!E16=TRUE,Inputs!$B$32,0))),0)</f>
        <v/>
      </c>
      <c r="R246">
        <f>IF(AND(Inputs!$B$38&lt;&gt;"pvp",Inputs!$B$43&gt;0),IF(Inputs!$B$43&lt;=0,0,(INT(Inputs!$B$43/IF(Inputs!$B$38="pvp",15,MAX(0.1,Skills!D16-IF(Skills!E16=TRUE,Inputs!$B$32,0))))+1)),0)</f>
        <v/>
      </c>
      <c r="S246" t="n">
        <v>0</v>
      </c>
      <c r="U246" t="n">
        <v>0</v>
      </c>
    </row>
    <row r="247">
      <c r="A247">
        <f>Skills!A17</f>
        <v/>
      </c>
      <c r="B247">
        <f>Skills!B17</f>
        <v/>
      </c>
      <c r="C247">
        <f>Inputs!$B$3&gt;=33</f>
        <v/>
      </c>
      <c r="D247">
        <f>IF(Skills!C17=1,60+Inputs!$B$25+Inputs!$B$29,IF(Skills!C17=2,90+Inputs!$B$26+Inputs!$B$29,IF(Skills!C17=3,120+Inputs!$B$27+Inputs!$B$29,MAX(0,(Inputs!$B$3-100)*3)+Inputs!$B$28+Inputs!$B$29)))</f>
        <v/>
      </c>
      <c r="E247">
        <f>INDEX(FactorTable!$B$2:$Y$301, MATCH(ROUND(MIN(300,MAX(1,D247)),0), FactorTable!$A$2:$A$301,0), Skills!L17+1)</f>
        <v/>
      </c>
      <c r="F247">
        <f>IF(Skills!M17=TRUE,(Skills!K17/10)*(E247/1000),Skills!K17/10)+Skills!N17</f>
        <v/>
      </c>
      <c r="G247">
        <f>Calc!G17</f>
        <v/>
      </c>
      <c r="H247">
        <f>Calc!H17</f>
        <v/>
      </c>
      <c r="I247">
        <f>IF(Skills!T17&lt;&gt;"",1+(Skills!T17/10)*(Z233/1000)/100,1)</f>
        <v/>
      </c>
      <c r="J247" t="inlineStr"/>
      <c r="K247" t="inlineStr"/>
      <c r="L247" t="inlineStr"/>
      <c r="M247" t="inlineStr"/>
      <c r="N247" t="inlineStr"/>
      <c r="O247">
        <f>(1-Summary!$B$11)*S247+Summary!$B$11*U247</f>
        <v/>
      </c>
      <c r="P247">
        <f>IF(B267=0,0,O247/B267)</f>
        <v/>
      </c>
      <c r="Q247">
        <f>IFERROR(1/IF(Inputs!$B$38="pvp",15,MAX(0.1,Skills!D17-IF(Skills!E17=TRUE,Inputs!$B$32,0))),0)</f>
        <v/>
      </c>
      <c r="R247" t="n">
        <v>0</v>
      </c>
      <c r="S247" t="n">
        <v>0</v>
      </c>
      <c r="U247" t="n">
        <v>0</v>
      </c>
    </row>
    <row r="248">
      <c r="A248">
        <f>Skills!A18</f>
        <v/>
      </c>
      <c r="B248">
        <f>Skills!B18</f>
        <v/>
      </c>
      <c r="C248">
        <f>Inputs!$B$3&gt;=43</f>
        <v/>
      </c>
      <c r="D248">
        <f>IF(Skills!C18=1,60+Inputs!$B$25+Inputs!$B$29,IF(Skills!C18=2,90+Inputs!$B$26+Inputs!$B$29,IF(Skills!C18=3,120+Inputs!$B$27+Inputs!$B$29,MAX(0,(Inputs!$B$3-100)*3)+Inputs!$B$28+Inputs!$B$29)))</f>
        <v/>
      </c>
      <c r="E248">
        <f>INDEX(FactorTable!$B$2:$Y$301, MATCH(ROUND(MIN(300,MAX(1,D248)),0), FactorTable!$A$2:$A$301,0), Skills!L18+1)</f>
        <v/>
      </c>
      <c r="F248">
        <f>IF(Skills!M18=TRUE,(Skills!K18/10)*(E248/1000),Skills!K18/10)+Skills!N18</f>
        <v/>
      </c>
      <c r="G248">
        <f>Calc!G18</f>
        <v/>
      </c>
      <c r="H248">
        <f>Calc!H18</f>
        <v/>
      </c>
      <c r="I248">
        <f>IF(Skills!T18&lt;&gt;"",1+(Skills!T18/10)*(Z233/1000)/100,1)</f>
        <v/>
      </c>
      <c r="J248" t="inlineStr"/>
      <c r="K248" t="inlineStr"/>
      <c r="L248" t="inlineStr"/>
      <c r="M248" t="inlineStr"/>
      <c r="N248" t="inlineStr"/>
      <c r="O248">
        <f>(1-Summary!$B$11)*S248+Summary!$B$11*U248</f>
        <v/>
      </c>
      <c r="P248">
        <f>IF(B267=0,0,O248/B267)</f>
        <v/>
      </c>
      <c r="Q248">
        <f>IFERROR(1/IF(Inputs!$B$38="pvp",15,MAX(0.1,Skills!D18-IF(Skills!E18=TRUE,Inputs!$B$32,0))),0)</f>
        <v/>
      </c>
      <c r="R248" t="n">
        <v>0</v>
      </c>
      <c r="S248" t="n">
        <v>0</v>
      </c>
      <c r="U248" t="n">
        <v>0</v>
      </c>
    </row>
    <row r="249">
      <c r="A249">
        <f>Skills!A19</f>
        <v/>
      </c>
      <c r="B249">
        <f>Skills!B19</f>
        <v/>
      </c>
      <c r="C249">
        <f>Inputs!$B$3&gt;=50</f>
        <v/>
      </c>
      <c r="D249">
        <f>IF(Skills!C19=1,60+Inputs!$B$25+Inputs!$B$29,IF(Skills!C19=2,90+Inputs!$B$26+Inputs!$B$29,IF(Skills!C19=3,120+Inputs!$B$27+Inputs!$B$29,MAX(0,(Inputs!$B$3-100)*3)+Inputs!$B$28+Inputs!$B$29)))</f>
        <v/>
      </c>
      <c r="E249">
        <f>INDEX(FactorTable!$B$2:$Y$301, MATCH(ROUND(MIN(300,MAX(1,D249)),0), FactorTable!$A$2:$A$301,0), Skills!L19+1)</f>
        <v/>
      </c>
      <c r="F249">
        <f>IF(Skills!M19=TRUE,(Skills!K19/10)*(E249/1000),Skills!K19/10)+Skills!N19</f>
        <v/>
      </c>
      <c r="G249">
        <f>Calc!G19</f>
        <v/>
      </c>
      <c r="H249">
        <f>Calc!H19</f>
        <v/>
      </c>
      <c r="I249">
        <f>IF(Skills!T19&lt;&gt;"",1+(Skills!T19/10)*(Z233/1000)/100,1)</f>
        <v/>
      </c>
      <c r="J249" t="inlineStr"/>
      <c r="K249" t="inlineStr"/>
      <c r="L249" t="inlineStr"/>
      <c r="M249" t="inlineStr"/>
      <c r="N249" t="inlineStr"/>
      <c r="O249">
        <f>(1-Summary!$B$11)*S249+Summary!$B$11*U249</f>
        <v/>
      </c>
      <c r="P249">
        <f>IF(B267=0,0,O249/B267)</f>
        <v/>
      </c>
      <c r="Q249">
        <f>IFERROR(1/IF(Inputs!$B$38="pvp",15,MAX(0.1,Skills!D19-IF(Skills!E19=TRUE,Inputs!$B$32,0))),0)</f>
        <v/>
      </c>
      <c r="R249" t="n">
        <v>0</v>
      </c>
      <c r="S249" t="n">
        <v>0</v>
      </c>
      <c r="U249" t="n">
        <v>0</v>
      </c>
    </row>
    <row r="250">
      <c r="A250">
        <f>Skills!A20</f>
        <v/>
      </c>
      <c r="B250">
        <f>Skills!B20</f>
        <v/>
      </c>
      <c r="C250">
        <f>Inputs!$B$3&gt;=74</f>
        <v/>
      </c>
      <c r="D250">
        <f>IF(Skills!C20=1,60+Inputs!$B$25+Inputs!$B$29,IF(Skills!C20=2,90+Inputs!$B$26+Inputs!$B$29,IF(Skills!C20=3,120+Inputs!$B$27+Inputs!$B$29,MAX(0,(Inputs!$B$3-100)*3)+Inputs!$B$28+Inputs!$B$29)))</f>
        <v/>
      </c>
      <c r="E250">
        <f>INDEX(FactorTable!$B$2:$Y$301, MATCH(ROUND(MIN(300,MAX(1,D250)),0), FactorTable!$A$2:$A$301,0), Skills!L20+1)</f>
        <v/>
      </c>
      <c r="F250">
        <f>IF(Skills!M20=TRUE,(Skills!K20/10)*(E250/1000),Skills!K20/10)+Skills!N20</f>
        <v/>
      </c>
      <c r="G250">
        <f>Calc!G20</f>
        <v/>
      </c>
      <c r="H250">
        <f>Calc!H20</f>
        <v/>
      </c>
      <c r="I250">
        <f>IF(Skills!T20&lt;&gt;"",1+(Skills!T20/10)*(Z233/1000)/100,1)</f>
        <v/>
      </c>
      <c r="J250" t="inlineStr"/>
      <c r="K250" t="inlineStr"/>
      <c r="L250" t="inlineStr"/>
      <c r="M250" t="inlineStr"/>
      <c r="N250" t="inlineStr"/>
      <c r="O250">
        <f>(1-Summary!$B$11)*S250+Summary!$B$11*U250</f>
        <v/>
      </c>
      <c r="P250">
        <f>IF(B267=0,0,O250/B267)</f>
        <v/>
      </c>
      <c r="Q250">
        <f>IFERROR(1/IF(Inputs!$B$38="pvp",15,MAX(0.1,Skills!D20-IF(Skills!E20=TRUE,Inputs!$B$32,0))),0)</f>
        <v/>
      </c>
      <c r="R250" t="n">
        <v>0</v>
      </c>
      <c r="S250" t="n">
        <v>0</v>
      </c>
      <c r="U250" t="n">
        <v>0</v>
      </c>
    </row>
    <row r="251">
      <c r="A251">
        <f>Skills!A21</f>
        <v/>
      </c>
      <c r="B251">
        <f>Skills!B21</f>
        <v/>
      </c>
      <c r="C251">
        <f>Inputs!$B$3&gt;=74</f>
        <v/>
      </c>
      <c r="D251">
        <f>IF(Skills!C21=1,60+Inputs!$B$25+Inputs!$B$29,IF(Skills!C21=2,90+Inputs!$B$26+Inputs!$B$29,IF(Skills!C21=3,120+Inputs!$B$27+Inputs!$B$29,MAX(0,(Inputs!$B$3-100)*3)+Inputs!$B$28+Inputs!$B$29)))</f>
        <v/>
      </c>
      <c r="E251">
        <f>INDEX(FactorTable!$B$2:$Y$301, MATCH(ROUND(MIN(300,MAX(1,D251)),0), FactorTable!$A$2:$A$301,0), Skills!L21+1)</f>
        <v/>
      </c>
      <c r="F251">
        <f>IF(Skills!M21=TRUE,(Skills!K21/10)*(E251/1000),Skills!K21/10)+Skills!N21</f>
        <v/>
      </c>
      <c r="G251">
        <f>Calc!G21</f>
        <v/>
      </c>
      <c r="H251">
        <f>Calc!H21</f>
        <v/>
      </c>
      <c r="I251">
        <f>IF(Skills!T21&lt;&gt;"",1+(Skills!T21/10)*(Z233/1000)/100,1)</f>
        <v/>
      </c>
      <c r="J251" t="inlineStr"/>
      <c r="K251" t="inlineStr"/>
      <c r="L251" t="inlineStr"/>
      <c r="M251" t="inlineStr"/>
      <c r="N251" t="inlineStr"/>
      <c r="O251">
        <f>(1-Summary!$B$11)*S251+Summary!$B$11*U251</f>
        <v/>
      </c>
      <c r="P251">
        <f>IF(B267=0,0,O251/B267)</f>
        <v/>
      </c>
      <c r="Q251">
        <f>IFERROR(1/IF(Inputs!$B$38="pvp",15,MAX(0.1,Skills!D21-IF(Skills!E21=TRUE,Inputs!$B$32,0))),0)</f>
        <v/>
      </c>
      <c r="R251" t="n">
        <v>0</v>
      </c>
      <c r="S251" t="n">
        <v>0</v>
      </c>
      <c r="U251" t="n">
        <v>0</v>
      </c>
    </row>
    <row r="252">
      <c r="A252">
        <f>Skills!A22</f>
        <v/>
      </c>
      <c r="B252">
        <f>Skills!B22</f>
        <v/>
      </c>
      <c r="C252">
        <f>Inputs!$B$3&gt;=117</f>
        <v/>
      </c>
      <c r="D252">
        <f>IF(Skills!C22=1,60+Inputs!$B$25+Inputs!$B$29,IF(Skills!C22=2,90+Inputs!$B$26+Inputs!$B$29,IF(Skills!C22=3,120+Inputs!$B$27+Inputs!$B$29,MAX(0,(Inputs!$B$3-100)*3)+Inputs!$B$28+Inputs!$B$29)))</f>
        <v/>
      </c>
      <c r="E252">
        <f>INDEX(FactorTable!$B$2:$Y$301, MATCH(ROUND(MIN(300,MAX(1,D252)),0), FactorTable!$A$2:$A$301,0), Skills!L22+1)</f>
        <v/>
      </c>
      <c r="F252">
        <f>IF(Skills!M22=TRUE,(Skills!K22/10)*(E252/1000),Skills!K22/10)+Skills!N22</f>
        <v/>
      </c>
      <c r="G252">
        <f>Calc!G22</f>
        <v/>
      </c>
      <c r="H252">
        <f>Calc!H22</f>
        <v/>
      </c>
      <c r="I252">
        <f>IF(Skills!T22&lt;&gt;"",1+(Skills!T22/10)*(Z233/1000)/100,1)</f>
        <v/>
      </c>
      <c r="J252" t="inlineStr"/>
      <c r="K252" t="inlineStr"/>
      <c r="L252" t="inlineStr"/>
      <c r="M252" t="inlineStr"/>
      <c r="N252" t="inlineStr"/>
      <c r="O252">
        <f>(1-Summary!$B$11)*S252+Summary!$B$11*U252</f>
        <v/>
      </c>
      <c r="P252">
        <f>IF(B267=0,0,O252/B267)</f>
        <v/>
      </c>
      <c r="Q252">
        <f>IFERROR(1/IF(Inputs!$B$38="pvp",15,MAX(0.1,Skills!D22-IF(Skills!E22=TRUE,Inputs!$B$32,0))),0)</f>
        <v/>
      </c>
      <c r="R252" t="n">
        <v>0</v>
      </c>
      <c r="S252" t="n">
        <v>0</v>
      </c>
      <c r="U252" t="n">
        <v>0</v>
      </c>
    </row>
    <row r="253">
      <c r="A253">
        <f>Skills!A23</f>
        <v/>
      </c>
      <c r="B253">
        <f>Skills!B23</f>
        <v/>
      </c>
      <c r="C253">
        <f>Inputs!$B$3&gt;=120</f>
        <v/>
      </c>
      <c r="D253">
        <f>IF(Skills!C23=1,60+Inputs!$B$25+Inputs!$B$29,IF(Skills!C23=2,90+Inputs!$B$26+Inputs!$B$29,IF(Skills!C23=3,120+Inputs!$B$27+Inputs!$B$29,MAX(0,(Inputs!$B$3-100)*3)+Inputs!$B$28+Inputs!$B$29)))</f>
        <v/>
      </c>
      <c r="E253">
        <f>INDEX(FactorTable!$B$2:$Y$301, MATCH(ROUND(MIN(300,MAX(1,D253)),0), FactorTable!$A$2:$A$301,0), Skills!L23+1)</f>
        <v/>
      </c>
      <c r="F253">
        <f>IF(Skills!M23=TRUE,(Skills!K23/10)*(E253/1000),Skills!K23/10)+Skills!N23</f>
        <v/>
      </c>
      <c r="G253">
        <f>Calc!G23</f>
        <v/>
      </c>
      <c r="H253">
        <f>Calc!H23</f>
        <v/>
      </c>
      <c r="I253">
        <f>IF(Skills!T23&lt;&gt;"",1+(Skills!T23/10)*(Z233/1000)/100,1)</f>
        <v/>
      </c>
      <c r="J253" t="inlineStr"/>
      <c r="K253" t="inlineStr"/>
      <c r="L253" t="inlineStr"/>
      <c r="M253" t="inlineStr"/>
      <c r="N253" t="inlineStr"/>
      <c r="O253">
        <f>(1-Summary!$B$11)*S253+Summary!$B$11*U253</f>
        <v/>
      </c>
      <c r="P253">
        <f>IF(B267=0,0,O253/B267)</f>
        <v/>
      </c>
      <c r="Q253">
        <f>IFERROR(1/IF(Inputs!$B$38="pvp",15,MAX(0.1,Skills!D23-IF(Skills!E23=TRUE,Inputs!$B$32,0))),0)</f>
        <v/>
      </c>
      <c r="R253" t="n">
        <v>0</v>
      </c>
      <c r="S253" t="n">
        <v>0</v>
      </c>
      <c r="U253" t="n">
        <v>0</v>
      </c>
    </row>
    <row r="254">
      <c r="A254">
        <f>Skills!A24</f>
        <v/>
      </c>
      <c r="B254">
        <f>Skills!B24</f>
        <v/>
      </c>
      <c r="C254">
        <f>TRUE</f>
        <v/>
      </c>
      <c r="D254">
        <f>IF(Skills!C24=1,60+Inputs!$B$25+Inputs!$B$29,IF(Skills!C24=2,90+Inputs!$B$26+Inputs!$B$29,IF(Skills!C24=3,120+Inputs!$B$27+Inputs!$B$29,MAX(0,(Inputs!$B$3-100)*3)+Inputs!$B$28+Inputs!$B$29)))</f>
        <v/>
      </c>
      <c r="E254">
        <f>INDEX(FactorTable!$B$2:$Y$301, MATCH(ROUND(MIN(300,MAX(1,D254)),0), FactorTable!$A$2:$A$301,0), Skills!L24+1)</f>
        <v/>
      </c>
      <c r="F254">
        <f>IF(Skills!M24=TRUE,(Skills!K24/10)*(E254/1000),Skills!K24/10)+Skills!N24</f>
        <v/>
      </c>
      <c r="G254">
        <f>Calc!G24</f>
        <v/>
      </c>
      <c r="H254">
        <f>Calc!H24</f>
        <v/>
      </c>
      <c r="I254">
        <f>IF(Skills!T24&lt;&gt;"",1+(Skills!T24/10)*(Z233/1000)/100,1)</f>
        <v/>
      </c>
      <c r="J254" t="inlineStr"/>
      <c r="K254" t="inlineStr"/>
      <c r="L254" t="inlineStr"/>
      <c r="M254" t="inlineStr"/>
      <c r="N254" t="inlineStr"/>
      <c r="O254">
        <f>(1-Summary!$B$11)*S254+Summary!$B$11*U254</f>
        <v/>
      </c>
      <c r="P254">
        <f>IF(B267=0,0,O254/B267)</f>
        <v/>
      </c>
      <c r="Q254">
        <f>IFERROR(1/IF(Inputs!$B$38="pvp",15,MAX(0.1,Skills!D24-IF(Skills!E24=TRUE,Inputs!$B$32,0))),0)</f>
        <v/>
      </c>
      <c r="R254">
        <f>IF(AND(Inputs!$B$38&lt;&gt;"pvp",Inputs!$B$43&gt;0),IF(Inputs!$B$43&lt;=0,0,(INT(Inputs!$B$43/IF(Inputs!$B$38="pvp",15,MAX(0.1,Skills!D24-IF(Skills!E24=TRUE,Inputs!$B$32,0))))+1)),0)</f>
        <v/>
      </c>
      <c r="S254" t="n">
        <v>0</v>
      </c>
      <c r="U254" t="n">
        <v>0</v>
      </c>
    </row>
    <row r="257">
      <c r="A257" t="inlineStr">
        <is>
          <t>Average Buff Multiplier (Magic Guard + Meditation + Artifact Attack%, summed; then Infinity)</t>
        </is>
      </c>
      <c r="B257">
        <f>(1+(IF(C233=TRUE,F233*IF(AND(Inputs!$B$38&lt;&gt;"pvp",Inputs!$B$43&gt;0),(((R233-1)*(Skills!S3*(1+(Inputs!$B$34)/100))+MIN((Skills!S3*(1+(Inputs!$B$34)/100)),MAX(0,Inputs!$B$43-((R233-1)*Skills!D3))))/Inputs!$B$43),IF(Inputs!$B$38="pvp",MIN((Skills!S3*(1+(Inputs!$B$34)/100)),15)/15,(Skills!S3*(1+(Inputs!$B$34)/100))/Skills!D3)),0)+IF(C234=TRUE,F234*IF(AND(Inputs!$B$38&lt;&gt;"pvp",Inputs!$B$43&gt;0),(((R234-1)*(Skills!S4*(1+(Inputs!$B$34)/100))+MIN((Skills!S4*(1+(Inputs!$B$34)/100)),MAX(0,Inputs!$B$43-((R234-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TRUE,(1+F246*IF(AND(Inputs!$B$38&lt;&gt;"pvp",Inputs!$B$43&gt;0),(((R246-1)*(Skills!S16*(1+(Inputs!$B$34)/100))+MIN((Skills!S16*(1+(Inputs!$B$34)/100)),MAX(0,Inputs!$B$43-((R246-1)*Skills!D16))))/Inputs!$B$43),IF(Inputs!$B$38="pvp",MIN((Skills!S16*(1+(Inputs!$B$34)/100)),15)/15,(Skills!S16*(1+(Inputs!$B$34)/100))/Skills!D16))/100),1)</f>
        <v/>
      </c>
    </row>
    <row r="258">
      <c r="A258" t="inlineStr">
        <is>
          <t>Monster Damage Taken Bonus % (Freezing Breath - Weaken + Elemental Reset + Artifact Enemy Damage Taken, summed)</t>
        </is>
      </c>
      <c r="B258">
        <f>IF(Inputs!$B$3&gt;=118,15*IF(Inputs!$B$38="pvp",MIN((30*(1+(Inputs!$B$34)/100)),15)/15,(30*(1+(Inputs!$B$34)/100))/Skills!D8),0)+IF(C244=TRUE,F244,0)+(IF(AND(ArtifactsInput!$M$35,Inputs!$B$4&lt;&gt;"Chapter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f>
        <v/>
      </c>
    </row>
    <row r="259">
      <c r="A259" t="inlineStr">
        <is>
          <t>Damage % Bonus (Frozen Break + Frost Clutch, flat)</t>
        </is>
      </c>
      <c r="B259">
        <f>IF(Inputs!$B$3&gt;=66,15,0)+IF(Inputs!$B$3&gt;=98,10,0)+IF(Inputs!$B$3&gt;=125,20,0)</f>
        <v/>
      </c>
    </row>
    <row r="260">
      <c r="A260" t="inlineStr">
        <is>
          <t>Attack Speed Bonus % (MP Eater - MP Boost, always-on + Nimble Feet, duty-cycle averaged)</t>
        </is>
      </c>
      <c r="B260">
        <f>IF(C243=TRUE,F243+(F247-Calc!F17),0)+((C254=TRUE)*F254*IF(AND(Inputs!$B$38&lt;&gt;"pvp",Inputs!$B$43&gt;0),(((R254-1)*(Skills!S24*(1+(Inputs!$B$34)/100))+MIN((Skills!S24*(1+(Inputs!$B$34)/100)),MAX(0,Inputs!$B$43-((R254-1)*Skills!D24))))/Inputs!$B$43),IF(Inputs!$B$38="pvp",MIN((Skills!S24*(1+(Inputs!$B$34)/100)),15)/15,(Skills!S24*(1+(Inputs!$B$34)/100))/Skills!D24)))</f>
        <v/>
      </c>
    </row>
    <row r="261">
      <c r="A261" t="inlineStr">
        <is>
          <t>Actions Per Second</t>
        </is>
      </c>
      <c r="B261">
        <f>1+MIN(150,150*(1-(1-(Inputs!$B$11+(ArtifactsInput!$M$15-ArtifactsInput!$M$15)*CHOOSE(ArtifactsInput!$N$15+1,8,9.6,11.2,12.8,14.4,16))/150)*(1-B260/150)))/100</f>
        <v/>
      </c>
    </row>
    <row r="262">
      <c r="A262" t="inlineStr">
        <is>
          <t>Skill + Buff Cast Rate</t>
        </is>
      </c>
      <c r="B262">
        <f>IF(AND(Inputs!$B$38&lt;&gt;"pvp",Inputs!$B$43&gt;0),SUMPRODUCT((Skills!E2:E24=TRUE)*(C232:C254=TRUE)*R232:R254)/Inputs!$B$43,SUMPRODUCT((Skills!E2:E24=TRUE)*(C232:C254=TRUE)*Q232:Q254))</f>
        <v/>
      </c>
    </row>
    <row r="263">
      <c r="A263" t="inlineStr">
        <is>
          <t>Chain Lightning Casts Per Second</t>
        </is>
      </c>
      <c r="B263">
        <f>MAX(0,B261-B262)</f>
        <v/>
      </c>
    </row>
    <row r="264">
      <c r="A264" t="inlineStr">
        <is>
          <t>Buff-Casting Startup Delay (s, fixed-duration only)</t>
        </is>
      </c>
      <c r="B264">
        <f>IF(AND(Inputs!$B$38&lt;&gt;"pvp",Inputs!$B$43&gt;0),SUMPRODUCT((Skills!S2:S24&gt;0)*(Skills!E2:E24=TRUE)*(C232:C254=TRUE))/B261,0)</f>
        <v/>
      </c>
    </row>
    <row r="265">
      <c r="A265" t="inlineStr">
        <is>
          <t>Boss-Only Total DPS (this block's swept value)</t>
        </is>
      </c>
      <c r="B265">
        <f>SUM(S232:S254)</f>
        <v/>
      </c>
    </row>
    <row r="266">
      <c r="A266" t="inlineStr">
        <is>
          <t>Normal-Only Total DPS (this block's swept value)</t>
        </is>
      </c>
      <c r="B266">
        <f>SUM(U232:U254)</f>
        <v/>
      </c>
    </row>
    <row r="267">
      <c r="A267" s="6" t="inlineStr">
        <is>
          <t>TOTAL DPS</t>
        </is>
      </c>
      <c r="B267" s="6">
        <f>SUM(O232:O254)</f>
        <v/>
      </c>
    </row>
    <row r="270">
      <c r="A270" s="6" t="inlineStr">
        <is>
          <t>Stat: NORMAL_DAMAGE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R271" t="inlineStr">
        <is>
          <t>helpers</t>
        </is>
      </c>
    </row>
    <row r="272">
      <c r="A272">
        <f>Skills!A2</f>
        <v/>
      </c>
      <c r="B272">
        <f>Skills!B2</f>
        <v/>
      </c>
      <c r="C272">
        <f>Inputs!$B$3&gt;=100</f>
        <v/>
      </c>
      <c r="D272" t="inlineStr"/>
      <c r="E272" t="inlineStr"/>
      <c r="F272">
        <f>T274+Skills!N2</f>
        <v/>
      </c>
      <c r="G272">
        <f>Calc!G2</f>
        <v/>
      </c>
      <c r="H272">
        <f>Calc!H2</f>
        <v/>
      </c>
      <c r="I272">
        <f>IF(Skills!T2&lt;&gt;"",1+(Skills!T2/10)*(Z273/1000)/100,1)</f>
        <v/>
      </c>
      <c r="J272">
        <f>((Inputs!$B$6*(1+Inputs!$B$7/100))+(((Inputs!$B$12*(1+Inputs!$B$13/100))-(Inputs!$B$12*(1+Inputs!$B$13/100)))+0.25*(Inputs!$B$14-Inputs!$B$14))*(1+Inputs!$B$7/100))*(F272/100)</f>
        <v/>
      </c>
      <c r="K272">
        <f>J272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2="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F288-Calc!F18),(Inputs!$B$23+(IF(ArtifactsInput!$M$15,CHOOSE(ArtifactsInput!$N$15+1,25,30,35,40,45,50)/100*(Inputs!$B$11-Inputs!$B$11),0))))/100+(Inputs!$B$23+(IF(ArtifactsInput!$M$15,CHOOSE(ArtifactsInput!$N$15+1,25,30,35,40,45,50)/100*(Inputs!$B$11-Inputs!$B$11),0)))/100)/2</f>
        <v/>
      </c>
      <c r="M272">
        <f>L272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(1-Summary!$B$11)*S272+Summary!$B$11*U272</f>
        <v/>
      </c>
      <c r="P272">
        <f>IF(B307=0,0,O272/B307)</f>
        <v/>
      </c>
      <c r="Q272">
        <f>IFERROR(1/IF(Inputs!$B$38="pvp",15,MAX(0.1,Skills!D2-IF(Skills!E2=TRUE,Inputs!$B$32,0))),0)</f>
        <v/>
      </c>
      <c r="R272" t="n">
        <v>0</v>
      </c>
      <c r="S272">
        <f>IF(C272,(Skills!F2*N272*B303)*IF(Inputs!$B$38="pvp",1,1+(Inputs!$B$20+Skills!O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
        <f>MAX(0,(Inputs!$B$3-100)*3)+Inputs!$B$28+Inputs!$B$29</f>
        <v/>
      </c>
      <c r="U272">
        <f>IF(C272,(Skills!F2*N272*B303)*IF(Inputs!$B$38="pvp",1,(1+((Inputs!$B$21+1)+Skills!P2+B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
        <f>MAX(0,(Inputs!$B$3-100)*3)+Inputs!$B$28+Inputs!$B$29</f>
        <v/>
      </c>
    </row>
    <row r="273">
      <c r="A273">
        <f>Skills!A3</f>
        <v/>
      </c>
      <c r="B273">
        <f>Skills!B3</f>
        <v/>
      </c>
      <c r="C273">
        <f>Inputs!$B$3&gt;=15</f>
        <v/>
      </c>
      <c r="D273">
        <f>IF(Skills!C3=1,60+Inputs!$B$25+Inputs!$B$29,IF(Skills!C3=2,90+Inputs!$B$26+Inputs!$B$29,IF(Skills!C3=3,120+Inputs!$B$27+Inputs!$B$29,MAX(0,(Inputs!$B$3-100)*3)+Inputs!$B$28+Inputs!$B$29)))</f>
        <v/>
      </c>
      <c r="E273">
        <f>INDEX(FactorTable!$B$2:$Y$301, MATCH(ROUND(MIN(300,MAX(1,D273)),0), FactorTable!$A$2:$A$301,0), Skills!L3+1)</f>
        <v/>
      </c>
      <c r="F273">
        <f>IF(Skills!M3=TRUE,(Skills!K3/10)*(E273/1000),Skills!K3/10)+Skills!N3</f>
        <v/>
      </c>
      <c r="G273">
        <f>Calc!G3</f>
        <v/>
      </c>
      <c r="H273">
        <f>Calc!H3</f>
        <v/>
      </c>
      <c r="I273">
        <f>IF(Skills!T3&lt;&gt;"",1+(Skills!T3/10)*(Z273/1000)/100,1)</f>
        <v/>
      </c>
      <c r="J273" t="inlineStr"/>
      <c r="K273" t="inlineStr"/>
      <c r="L273" t="inlineStr"/>
      <c r="M273" t="inlineStr"/>
      <c r="N273" t="inlineStr"/>
      <c r="O273">
        <f>(1-Summary!$B$11)*S273+Summary!$B$11*U273</f>
        <v/>
      </c>
      <c r="P273">
        <f>IF(B307=0,0,O273/B307)</f>
        <v/>
      </c>
      <c r="Q273">
        <f>IFERROR(1/IF(Inputs!$B$38="pvp",15,MAX(0.1,Skills!D3-IF(Skills!E3=TRUE,Inputs!$B$32,0))),0)</f>
        <v/>
      </c>
      <c r="R273">
        <f>IF(AND(Inputs!$B$38&lt;&gt;"pvp",Inputs!$B$43&gt;0),IF(Inputs!$B$43&lt;=0,0,(INT(Inputs!$B$43/IF(Inputs!$B$38="pvp",15,MAX(0.1,Skills!D3-IF(Skills!E3=TRUE,Inputs!$B$32,0))))+1)),0)</f>
        <v/>
      </c>
      <c r="S273" t="n">
        <v>0</v>
      </c>
      <c r="T273">
        <f>INDEX(FactorTable!$B$2:$Y$301, MATCH(ROUND(MIN(300,MAX(1,T272)),0), FactorTable!$A$2:$A$301,0), 22)</f>
        <v/>
      </c>
      <c r="U273" t="n">
        <v>0</v>
      </c>
      <c r="Z273">
        <f>INDEX(FactorTable!$B$2:$Y$301, MATCH(ROUND(MIN(300,MAX(1,Z272)),0), FactorTable!$A$2:$A$301,0), 24)</f>
        <v/>
      </c>
    </row>
    <row r="274">
      <c r="A274">
        <f>Skills!A4</f>
        <v/>
      </c>
      <c r="B274">
        <f>Skills!B4</f>
        <v/>
      </c>
      <c r="C274">
        <f>Inputs!$B$3&gt;=40</f>
        <v/>
      </c>
      <c r="D274">
        <f>IF(Skills!C4=1,60+Inputs!$B$25+Inputs!$B$29,IF(Skills!C4=2,90+Inputs!$B$26+Inputs!$B$29,IF(Skills!C4=3,120+Inputs!$B$27+Inputs!$B$29,MAX(0,(Inputs!$B$3-100)*3)+Inputs!$B$28+Inputs!$B$29)))</f>
        <v/>
      </c>
      <c r="E274">
        <f>INDEX(FactorTable!$B$2:$Y$301, MATCH(ROUND(MIN(300,MAX(1,D274)),0), FactorTable!$A$2:$A$301,0), Skills!L4+1)</f>
        <v/>
      </c>
      <c r="F274">
        <f>IF(Skills!M4=TRUE,(Skills!K4/10)*(E274/1000),Skills!K4/10)+Skills!N4</f>
        <v/>
      </c>
      <c r="G274">
        <f>Calc!G4</f>
        <v/>
      </c>
      <c r="H274">
        <f>Calc!H4</f>
        <v/>
      </c>
      <c r="I274">
        <f>IF(Skills!T4&lt;&gt;"",1+(Skills!T4/10)*(Z273/1000)/100,1)</f>
        <v/>
      </c>
      <c r="J274" t="inlineStr"/>
      <c r="K274" t="inlineStr"/>
      <c r="L274" t="inlineStr"/>
      <c r="M274" t="inlineStr"/>
      <c r="N274" t="inlineStr"/>
      <c r="O274">
        <f>(1-Summary!$B$11)*S274+Summary!$B$11*U274</f>
        <v/>
      </c>
      <c r="P274">
        <f>IF(B307=0,0,O274/B307)</f>
        <v/>
      </c>
      <c r="Q274">
        <f>IFERROR(1/IF(Inputs!$B$38="pvp",15,MAX(0.1,Skills!D4-IF(Skills!E4=TRUE,Inputs!$B$32,0))),0)</f>
        <v/>
      </c>
      <c r="R274">
        <f>IF(AND(Inputs!$B$38&lt;&gt;"pvp",Inputs!$B$43&gt;0),IF(Inputs!$B$43&lt;=0,0,(INT(Inputs!$B$43/IF(Inputs!$B$38="pvp",15,MAX(0.1,Skills!D4-IF(Skills!E4=TRUE,Inputs!$B$32,0))))+1)),0)</f>
        <v/>
      </c>
      <c r="S274" t="n">
        <v>0</v>
      </c>
      <c r="T274">
        <f>290*T273/1000</f>
        <v/>
      </c>
      <c r="U274" t="n">
        <v>0</v>
      </c>
    </row>
    <row r="275">
      <c r="A275">
        <f>Skills!A5</f>
        <v/>
      </c>
      <c r="B275">
        <f>Skills!B5</f>
        <v/>
      </c>
      <c r="C275">
        <f>Inputs!$B$3&gt;=38</f>
        <v/>
      </c>
      <c r="D275">
        <f>IF(Skills!C5=1,60+Inputs!$B$25+Inputs!$B$29,IF(Skills!C5=2,90+Inputs!$B$26+Inputs!$B$29,IF(Skills!C5=3,120+Inputs!$B$27+Inputs!$B$29,MAX(0,(Inputs!$B$3-100)*3)+Inputs!$B$28+Inputs!$B$29)))</f>
        <v/>
      </c>
      <c r="E275">
        <f>INDEX(FactorTable!$B$2:$Y$301, MATCH(ROUND(MIN(300,MAX(1,D275)),0), FactorTable!$A$2:$A$301,0), Skills!L5+1)</f>
        <v/>
      </c>
      <c r="F275">
        <f>IF(Skills!M5=TRUE,(Skills!K5/10)*(E275/1000),Skills!K5/10)+Skills!N5</f>
        <v/>
      </c>
      <c r="G275">
        <f>Calc!G5</f>
        <v/>
      </c>
      <c r="H275">
        <f>Calc!H5</f>
        <v/>
      </c>
      <c r="I275">
        <f>IF(Skills!T5&lt;&gt;"",1+(Skills!T5/10)*(Z273/1000)/100,1)</f>
        <v/>
      </c>
      <c r="J275">
        <f>((Inputs!$B$6*(1+Inputs!$B$7/100))+(((Inputs!$B$12*(1+Inputs!$B$13/100))-(Inputs!$B$12*(1+Inputs!$B$13/100)))+0.25*(Inputs!$B$14-Inputs!$B$14))*(1+Inputs!$B$7/100))*(F275/100)</f>
        <v/>
      </c>
      <c r="K275">
        <f>J275*(1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5="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F288-Calc!F18),(Inputs!$B$23+(IF(ArtifactsInput!$M$15,CHOOSE(ArtifactsInput!$N$15+1,25,30,35,40,45,50)/100*(Inputs!$B$11-Inputs!$B$11),0))))/100+(Inputs!$B$23+(IF(ArtifactsInput!$M$15,CHOOSE(ArtifactsInput!$N$15+1,25,30,35,40,45,50)/100*(Inputs!$B$11-Inputs!$B$11),0)))/100)/2</f>
        <v/>
      </c>
      <c r="M275">
        <f>L275*(1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(1-Summary!$B$11)*S275+Summary!$B$11*U275</f>
        <v/>
      </c>
      <c r="P275">
        <f>IF(B307=0,0,O275/B307)</f>
        <v/>
      </c>
      <c r="Q275">
        <f>IFERROR(1/IF(Inputs!$B$38="pvp",15,MAX(0.1,Skills!D5-IF(Skills!E5=TRUE,Inputs!$B$32,0))),0)</f>
        <v/>
      </c>
      <c r="R275">
        <f>IF(AND(Inputs!$B$38&lt;&gt;"pvp",Inputs!$B$43&gt;0),IF(MAX(0,Inputs!$B$43-B304)&lt;=0,0,(INT(MAX(0,Inputs!$B$43-B304)/IF(Inputs!$B$38="pvp",15,MAX(0.1,Skills!D5-IF(Skills!E5=TRUE,Inputs!$B$32,0))))+1)),0)</f>
        <v/>
      </c>
      <c r="S275">
        <f>IF(C275,(H275*N275*IF(AND(Inputs!$B$38&lt;&gt;"pvp",Inputs!$B$43&gt;0),((Skills!F5*((R275-1)*IF(Skills!G5&gt;0,Skills!H5/Skills!G5,1)+IF(Skills!G5&gt;0,MIN(Skills!H5,MAX(0,MAX(0,Inputs!$B$43-B304)-((R275-1)*IF(Inputs!$B$38="pvp",15,MAX(0.1,Skills!D5-IF(Skills!E5=TRUE,Inputs!$B$32,0))))))/Skills!G5,1)))/Inputs!$B$43),G275*Q275))*IF(Inputs!$B$38="pvp",1,1+(Inputs!$B$20+Skills!O5+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IF(C275,(H275*N275*IF(AND(Inputs!$B$38&lt;&gt;"pvp",Inputs!$B$43&gt;0),((Skills!F5*((R275-1)*IF(Skills!G5&gt;0,Skills!H5/Skills!G5,1)+IF(Skills!G5&gt;0,MIN(Skills!H5,MAX(0,MAX(0,Inputs!$B$43-B304)-((R275-1)*IF(Inputs!$B$38="pvp",15,MAX(0.1,Skills!D5-IF(Skills!E5=TRUE,Inputs!$B$32,0))))))/Skills!G5,1)))/Inputs!$B$43),G275*Q275))*IF(Inputs!$B$38="pvp",1,(1+((Inputs!$B$21+1)+Skills!P5+B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Skills!A6</f>
        <v/>
      </c>
      <c r="B276">
        <f>Skills!B6</f>
        <v/>
      </c>
      <c r="C276">
        <f>Inputs!$B$3&gt;=63</f>
        <v/>
      </c>
      <c r="D276">
        <f>IF(Skills!C6=1,60+Inputs!$B$25+Inputs!$B$29,IF(Skills!C6=2,90+Inputs!$B$26+Inputs!$B$29,IF(Skills!C6=3,120+Inputs!$B$27+Inputs!$B$29,MAX(0,(Inputs!$B$3-100)*3)+Inputs!$B$28+Inputs!$B$29)))</f>
        <v/>
      </c>
      <c r="E276">
        <f>INDEX(FactorTable!$B$2:$Y$301, MATCH(ROUND(MIN(300,MAX(1,D276)),0), FactorTable!$A$2:$A$301,0), Skills!L6+1)</f>
        <v/>
      </c>
      <c r="F276">
        <f>IF(Skills!M6=TRUE,(Skills!K6/10)*(E276/1000),Skills!K6/10)+Skills!N6</f>
        <v/>
      </c>
      <c r="G276">
        <f>Calc!G6</f>
        <v/>
      </c>
      <c r="H276">
        <f>Calc!H6</f>
        <v/>
      </c>
      <c r="I276">
        <f>IF(Skills!T6&lt;&gt;"",1+(Skills!T6/10)*(Z273/1000)/100,1)</f>
        <v/>
      </c>
      <c r="J276">
        <f>((Inputs!$B$6*(1+Inputs!$B$7/100))+(((Inputs!$B$12*(1+Inputs!$B$13/100))-(Inputs!$B$12*(1+Inputs!$B$13/100)))+0.25*(Inputs!$B$14-Inputs!$B$14))*(1+Inputs!$B$7/100))*(F276/100)</f>
        <v/>
      </c>
      <c r="K276">
        <f>J276*(1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6="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F288-Calc!F18),(Inputs!$B$23+(IF(ArtifactsInput!$M$15,CHOOSE(ArtifactsInput!$N$15+1,25,30,35,40,45,50)/100*(Inputs!$B$11-Inputs!$B$11),0))))/100+(Inputs!$B$23+(IF(ArtifactsInput!$M$15,CHOOSE(ArtifactsInput!$N$15+1,25,30,35,40,45,50)/100*(Inputs!$B$11-Inputs!$B$11),0)))/100)/2</f>
        <v/>
      </c>
      <c r="M276">
        <f>L276*(1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(1-Summary!$B$11)*S276+Summary!$B$11*U276</f>
        <v/>
      </c>
      <c r="P276">
        <f>IF(B307=0,0,O276/B307)</f>
        <v/>
      </c>
      <c r="Q276">
        <f>IFERROR(1/IF(Inputs!$B$38="pvp",15,MAX(0.1,Skills!D6-IF(Skills!E6=TRUE,Inputs!$B$32,0))),0)</f>
        <v/>
      </c>
      <c r="R276">
        <f>IF(AND(Inputs!$B$38&lt;&gt;"pvp",Inputs!$B$43&gt;0),IF(MAX(0,Inputs!$B$43-B304)&lt;=0,0,(INT(MAX(0,Inputs!$B$43-B304)/IF(Inputs!$B$38="pvp",15,MAX(0.1,Skills!D6-IF(Skills!E6=TRUE,Inputs!$B$32,0))))+1)),0)</f>
        <v/>
      </c>
      <c r="S276">
        <f>IF(C276,(H276*N276*IF(AND(Inputs!$B$38&lt;&gt;"pvp",Inputs!$B$43&gt;0),((Skills!F6*((R276-1)*IF(Skills!G6&gt;0,Skills!H6/Skills!G6,1)+IF(Skills!G6&gt;0,MIN(Skills!H6,MAX(0,MAX(0,Inputs!$B$43-B304)-((R276-1)*IF(Inputs!$B$38="pvp",15,MAX(0.1,Skills!D6-IF(Skills!E6=TRUE,Inputs!$B$32,0))))))/Skills!G6,1)))/Inputs!$B$43),G276*Q276))*IF(Inputs!$B$38="pvp",1,1+(Inputs!$B$20+Skills!O6+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
        <f>IF(C276,(H276*N276*IF(AND(Inputs!$B$38&lt;&gt;"pvp",Inputs!$B$43&gt;0),((Skills!F6*((R276-1)*IF(Skills!G6&gt;0,Skills!H6/Skills!G6,1)+IF(Skills!G6&gt;0,MIN(Skills!H6,MAX(0,MAX(0,Inputs!$B$43-B304)-((R276-1)*IF(Inputs!$B$38="pvp",15,MAX(0.1,Skills!D6-IF(Skills!E6=TRUE,Inputs!$B$32,0))))))/Skills!G6,1)))/Inputs!$B$43),G276*Q276))*IF(Inputs!$B$38="pvp",1,(1+((Inputs!$B$21+1)+Skills!P6+B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Skills!A7</f>
        <v/>
      </c>
      <c r="B277">
        <f>Skills!B7</f>
        <v/>
      </c>
      <c r="C277">
        <f>Inputs!$B$3&gt;=69</f>
        <v/>
      </c>
      <c r="D277">
        <f>IF(Skills!C7=1,60+Inputs!$B$25+Inputs!$B$29,IF(Skills!C7=2,90+Inputs!$B$26+Inputs!$B$29,IF(Skills!C7=3,120+Inputs!$B$27+Inputs!$B$29,MAX(0,(Inputs!$B$3-100)*3)+Inputs!$B$28+Inputs!$B$29)))</f>
        <v/>
      </c>
      <c r="E277">
        <f>INDEX(FactorTable!$B$2:$Y$301, MATCH(ROUND(MIN(300,MAX(1,D277)),0), FactorTable!$A$2:$A$301,0), Skills!L7+1)</f>
        <v/>
      </c>
      <c r="F277">
        <f>IF(Skills!M7=TRUE,(Skills!K7/10)*(E277/1000),Skills!K7/10)+Skills!N7</f>
        <v/>
      </c>
      <c r="G277">
        <f>Calc!G7</f>
        <v/>
      </c>
      <c r="H277">
        <f>Calc!H7</f>
        <v/>
      </c>
      <c r="I277">
        <f>IF(Skills!T7&lt;&gt;"",1+(Skills!T7/10)*(Z273/1000)/100,1)</f>
        <v/>
      </c>
      <c r="J277">
        <f>((Inputs!$B$6*(1+Inputs!$B$7/100))+(((Inputs!$B$12*(1+Inputs!$B$13/100))-(Inputs!$B$12*(1+Inputs!$B$13/100)))+0.25*(Inputs!$B$14-Inputs!$B$14))*(1+Inputs!$B$7/100))*(F277/100)</f>
        <v/>
      </c>
      <c r="K277">
        <f>J277*(1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7="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288-Calc!F18),(Inputs!$B$23+(IF(ArtifactsInput!$M$15,CHOOSE(ArtifactsInput!$N$15+1,25,30,35,40,45,50)/100*(Inputs!$B$11-Inputs!$B$11),0))))/100+(Inputs!$B$23+(IF(ArtifactsInput!$M$15,CHOOSE(ArtifactsInput!$N$15+1,25,30,35,40,45,50)/100*(Inputs!$B$11-Inputs!$B$11),0)))/100)/2</f>
        <v/>
      </c>
      <c r="M277">
        <f>L277*(1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IF(B307=0,0,O277/B307)</f>
        <v/>
      </c>
      <c r="Q277">
        <f>IFERROR(1/IF(Inputs!$B$38="pvp",15,MAX(0.1,Skills!D7-IF(Skills!E7=TRUE,Inputs!$B$32,0))),0)</f>
        <v/>
      </c>
      <c r="R277">
        <f>IF(AND(Inputs!$B$38&lt;&gt;"pvp",Inputs!$B$43&gt;0),IF(MAX(0,Inputs!$B$43-B304)&lt;=0,0,(INT(MAX(0,Inputs!$B$43-B304)/IF(Inputs!$B$38="pvp",15,MAX(0.1,Skills!D7-IF(Skills!E7=TRUE,Inputs!$B$32,0))))+1)),0)</f>
        <v/>
      </c>
      <c r="S277">
        <f>IF(C277,(H277*N277*IF(AND(Inputs!$B$38&lt;&gt;"pvp",Inputs!$B$43&gt;0),((Skills!F7*((R277-1)*IF(Skills!G7&gt;0,Skills!H7/Skills!G7,1)+IF(Skills!G7&gt;0,MIN(Skills!H7,MAX(0,MAX(0,Inputs!$B$43-B304)-((R277-1)*IF(Inputs!$B$38="pvp",15,MAX(0.1,Skills!D7-IF(Skills!E7=TRUE,Inputs!$B$32,0))))))/Skills!G7,1)))/Inputs!$B$43),G277*Q277))*IF(Inputs!$B$38="pvp",1,1+(Inputs!$B$20+Skills!O7+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
        <f>IF(C277,(H277*N277*IF(AND(Inputs!$B$38&lt;&gt;"pvp",Inputs!$B$43&gt;0),((Skills!F7*((R277-1)*IF(Skills!G7&gt;0,Skills!H7/Skills!G7,1)+IF(Skills!G7&gt;0,MIN(Skills!H7,MAX(0,MAX(0,Inputs!$B$43-B304)-((R277-1)*IF(Inputs!$B$38="pvp",15,MAX(0.1,Skills!D7-IF(Skills!E7=TRUE,Inputs!$B$32,0))))))/Skills!G7,1)))/Inputs!$B$43),G277*Q277))*IF(Inputs!$B$38="pvp",1,(1+((Inputs!$B$21+1)+Skills!P7+B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Skills!A8</f>
        <v/>
      </c>
      <c r="B278">
        <f>Skills!B8</f>
        <v/>
      </c>
      <c r="C278">
        <f>Inputs!$B$3&gt;=103</f>
        <v/>
      </c>
      <c r="D278">
        <f>IF(Skills!C8=1,60+Inputs!$B$25+Inputs!$B$29,IF(Skills!C8=2,90+Inputs!$B$26+Inputs!$B$29,IF(Skills!C8=3,120+Inputs!$B$27+Inputs!$B$29,MAX(0,(Inputs!$B$3-100)*3)+Inputs!$B$28+Inputs!$B$29)))</f>
        <v/>
      </c>
      <c r="E278">
        <f>INDEX(FactorTable!$B$2:$Y$301, MATCH(ROUND(MIN(300,MAX(1,D278)),0), FactorTable!$A$2:$A$301,0), Skills!L8+1)</f>
        <v/>
      </c>
      <c r="F278">
        <f>IF(Skills!M8=TRUE,(Skills!K8/10)*(E278/1000),Skills!K8/10)+Skills!N8</f>
        <v/>
      </c>
      <c r="G278">
        <f>Calc!G8</f>
        <v/>
      </c>
      <c r="H278">
        <f>Calc!H8</f>
        <v/>
      </c>
      <c r="I278">
        <f>IF(Skills!T8&lt;&gt;"",1+(Skills!T8/10)*(Z273/1000)/100,1)</f>
        <v/>
      </c>
      <c r="J278">
        <f>((Inputs!$B$6*(1+Inputs!$B$7/100))+(((Inputs!$B$12*(1+Inputs!$B$13/100))-(Inputs!$B$12*(1+Inputs!$B$13/100)))+0.25*(Inputs!$B$14-Inputs!$B$14))*(1+Inputs!$B$7/100))*(F278/100)</f>
        <v/>
      </c>
      <c r="K278">
        <f>J278*(1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8="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F288-Calc!F18),(Inputs!$B$23+(IF(ArtifactsInput!$M$15,CHOOSE(ArtifactsInput!$N$15+1,25,30,35,40,45,50)/100*(Inputs!$B$11-Inputs!$B$11),0))))/100+(Inputs!$B$23+(IF(ArtifactsInput!$M$15,CHOOSE(ArtifactsInput!$N$15+1,25,30,35,40,45,50)/100*(Inputs!$B$11-Inputs!$B$11),0)))/100)/2</f>
        <v/>
      </c>
      <c r="M278">
        <f>L278*(1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(1-Summary!$B$11)*S278+Summary!$B$11*U278</f>
        <v/>
      </c>
      <c r="P278">
        <f>IF(B307=0,0,O278/B307)</f>
        <v/>
      </c>
      <c r="Q278">
        <f>IFERROR(1/IF(Inputs!$B$38="pvp",15,MAX(0.1,Skills!D8-IF(Skills!E8=TRUE,Inputs!$B$32,0))),0)</f>
        <v/>
      </c>
      <c r="R278">
        <f>IF(AND(Inputs!$B$38&lt;&gt;"pvp",Inputs!$B$43&gt;0),IF(MAX(0,Inputs!$B$43-B304)&lt;=0,0,(INT(MAX(0,Inputs!$B$43-B304)/IF(Inputs!$B$38="pvp",15,MAX(0.1,Skills!D8-IF(Skills!E8=TRUE,Inputs!$B$32,0))))+1)),0)</f>
        <v/>
      </c>
      <c r="S278">
        <f>IF(C278,(H278*N278*IF(AND(Inputs!$B$38&lt;&gt;"pvp",Inputs!$B$43&gt;0),((Skills!F8*((R278-1)*IF(Skills!G8&gt;0,Skills!H8/Skills!G8,1)+IF(Skills!G8&gt;0,MIN(Skills!H8,MAX(0,MAX(0,Inputs!$B$43-B304)-((R278-1)*IF(Inputs!$B$38="pvp",15,MAX(0.1,Skills!D8-IF(Skills!E8=TRUE,Inputs!$B$32,0))))))/Skills!G8,1)))/Inputs!$B$43),G278*Q278))*IF(Inputs!$B$38="pvp",1,1+(Inputs!$B$20+Skills!O8+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
        <f>IF(C278,(H278*N278*IF(AND(Inputs!$B$38&lt;&gt;"pvp",Inputs!$B$43&gt;0),((Skills!F8*((R278-1)*IF(Skills!G8&gt;0,Skills!H8/Skills!G8,1)+IF(Skills!G8&gt;0,MIN(Skills!H8,MAX(0,MAX(0,Inputs!$B$43-B304)-((R278-1)*IF(Inputs!$B$38="pvp",15,MAX(0.1,Skills!D8-IF(Skills!E8=TRUE,Inputs!$B$32,0))))))/Skills!G8,1)))/Inputs!$B$43),G278*Q278))*IF(Inputs!$B$38="pvp",1,(1+((Inputs!$B$21+1)+Skills!P8+B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Skills!A9</f>
        <v/>
      </c>
      <c r="B279">
        <f>Skills!B9</f>
        <v/>
      </c>
      <c r="C279">
        <f>Inputs!$B$3&gt;=105</f>
        <v/>
      </c>
      <c r="D279">
        <f>IF(Skills!C9=1,60+Inputs!$B$25+Inputs!$B$29,IF(Skills!C9=2,90+Inputs!$B$26+Inputs!$B$29,IF(Skills!C9=3,120+Inputs!$B$27+Inputs!$B$29,MAX(0,(Inputs!$B$3-100)*3)+Inputs!$B$28+Inputs!$B$29)))</f>
        <v/>
      </c>
      <c r="E279">
        <f>INDEX(FactorTable!$B$2:$Y$301, MATCH(ROUND(MIN(300,MAX(1,D279)),0), FactorTable!$A$2:$A$301,0), Skills!L9+1)</f>
        <v/>
      </c>
      <c r="F279">
        <f>IF(Skills!M9=TRUE,(Skills!K9/10)*(E279/1000),Skills!K9/10)+Skills!N9</f>
        <v/>
      </c>
      <c r="G279">
        <f>Calc!G9</f>
        <v/>
      </c>
      <c r="H279">
        <f>Calc!H9</f>
        <v/>
      </c>
      <c r="I279">
        <f>IF(Skills!T9&lt;&gt;"",1+(Skills!T9/10)*(Z273/1000)/100,1)</f>
        <v/>
      </c>
      <c r="J279">
        <f>((Inputs!$B$6*(1+Inputs!$B$7/100))+(((Inputs!$B$12*(1+Inputs!$B$13/100))-(Inputs!$B$12*(1+Inputs!$B$13/100)))+0.25*(Inputs!$B$14-Inputs!$B$14))*(1+Inputs!$B$7/100))*(F279/100)</f>
        <v/>
      </c>
      <c r="K279">
        <f>J279*(1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9="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F288-Calc!F18),(Inputs!$B$23+(IF(ArtifactsInput!$M$15,CHOOSE(ArtifactsInput!$N$15+1,25,30,35,40,45,50)/100*(Inputs!$B$11-Inputs!$B$11),0))))/100+(Inputs!$B$23+(IF(ArtifactsInput!$M$15,CHOOSE(ArtifactsInput!$N$15+1,25,30,35,40,45,50)/100*(Inputs!$B$11-Inputs!$B$11),0)))/100)/2</f>
        <v/>
      </c>
      <c r="M279">
        <f>L279*(1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(1-Summary!$B$11)*S279+Summary!$B$11*U279</f>
        <v/>
      </c>
      <c r="P279">
        <f>IF(B307=0,0,O279/B307)</f>
        <v/>
      </c>
      <c r="Q279">
        <f>IFERROR(1/IF(Inputs!$B$38="pvp",15,MAX(0.1,Skills!D9-IF(Skills!E9=TRUE,Inputs!$B$32,0))),0)</f>
        <v/>
      </c>
      <c r="R279">
        <f>IF(AND(Inputs!$B$38&lt;&gt;"pvp",Inputs!$B$43&gt;0),IF(MAX(0,Inputs!$B$43-B304)&lt;=0,0,(INT(MAX(0,Inputs!$B$43-B304)/IF(Inputs!$B$38="pvp",15,MAX(0.1,Skills!D9-IF(Skills!E9=TRUE,Inputs!$B$32,0))))+1)),0)</f>
        <v/>
      </c>
      <c r="S279">
        <f>IF(C279,(H279*N279*IF(AND(Inputs!$B$38&lt;&gt;"pvp",Inputs!$B$43&gt;0),((Skills!F9*((R279-1)*IF(Skills!G9&gt;0,Skills!H9/Skills!G9,1)+IF(Skills!G9&gt;0,MIN(Skills!H9,MAX(0,MAX(0,Inputs!$B$43-B304)-((R279-1)*IF(Inputs!$B$38="pvp",15,MAX(0.1,Skills!D9-IF(Skills!E9=TRUE,Inputs!$B$32,0))))))/Skills!G9,1)))/Inputs!$B$43),G279*Q279))*IF(Inputs!$B$38="pvp",1,1+(Inputs!$B$20+Skills!O9+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
        <f>IF(C279,(H279*N279*IF(AND(Inputs!$B$38&lt;&gt;"pvp",Inputs!$B$43&gt;0),((Skills!F9*((R279-1)*IF(Skills!G9&gt;0,Skills!H9/Skills!G9,1)+IF(Skills!G9&gt;0,MIN(Skills!H9,MAX(0,MAX(0,Inputs!$B$43-B304)-((R279-1)*IF(Inputs!$B$38="pvp",15,MAX(0.1,Skills!D9-IF(Skills!E9=TRUE,Inputs!$B$32,0))))))/Skills!G9,1)))/Inputs!$B$43),G279*Q279))*IF(Inputs!$B$38="pvp",1,(1+((Inputs!$B$21+1)+Skills!P9+B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Skills!A10</f>
        <v/>
      </c>
      <c r="B280">
        <f>Skills!B10</f>
        <v/>
      </c>
      <c r="C280">
        <f>Inputs!$B$3&gt;=113</f>
        <v/>
      </c>
      <c r="D280">
        <f>IF(Skills!C10=1,60+Inputs!$B$25+Inputs!$B$29,IF(Skills!C10=2,90+Inputs!$B$26+Inputs!$B$29,IF(Skills!C10=3,120+Inputs!$B$27+Inputs!$B$29,MAX(0,(Inputs!$B$3-100)*3)+Inputs!$B$28+Inputs!$B$29)))</f>
        <v/>
      </c>
      <c r="E280">
        <f>INDEX(FactorTable!$B$2:$Y$301, MATCH(ROUND(MIN(300,MAX(1,D280)),0), FactorTable!$A$2:$A$301,0), Skills!L10+1)</f>
        <v/>
      </c>
      <c r="F280">
        <f>IF(Skills!M10=TRUE,(Skills!K10/10)*(E280/1000),Skills!K10/10)+Skills!N10</f>
        <v/>
      </c>
      <c r="G280">
        <f>Calc!G10</f>
        <v/>
      </c>
      <c r="H280">
        <f>Calc!H10</f>
        <v/>
      </c>
      <c r="I280">
        <f>IF(Skills!T10&lt;&gt;"",1+(Skills!T10/10)*(Z273/1000)/100,1)</f>
        <v/>
      </c>
      <c r="J280">
        <f>((Inputs!$B$6*(1+Inputs!$B$7/100))+(((Inputs!$B$12*(1+Inputs!$B$13/100))-(Inputs!$B$12*(1+Inputs!$B$13/100)))+0.25*(Inputs!$B$14-Inputs!$B$14))*(1+Inputs!$B$7/100))*(F280/100)</f>
        <v/>
      </c>
      <c r="K280">
        <f>J280*(1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10="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F288-Calc!F18),(Inputs!$B$23+(IF(ArtifactsInput!$M$15,CHOOSE(ArtifactsInput!$N$15+1,25,30,35,40,45,50)/100*(Inputs!$B$11-Inputs!$B$11),0))))/100+(Inputs!$B$23+(IF(ArtifactsInput!$M$15,CHOOSE(ArtifactsInput!$N$15+1,25,30,35,40,45,50)/100*(Inputs!$B$11-Inputs!$B$11),0)))/100)/2</f>
        <v/>
      </c>
      <c r="M280">
        <f>L280*(1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(1-Summary!$B$11)*S280+Summary!$B$11*U280</f>
        <v/>
      </c>
      <c r="P280">
        <f>IF(B307=0,0,O280/B307)</f>
        <v/>
      </c>
      <c r="Q280">
        <f>IFERROR(1/IF(Inputs!$B$38="pvp",15,MAX(0.1,Skills!D10-IF(Skills!E9=TRUE,Inputs!$B$32,0))),0)</f>
        <v/>
      </c>
      <c r="R280">
        <f>IF(AND(Inputs!$B$38&lt;&gt;"pvp",Inputs!$B$43&gt;0),IF(MAX(0,Inputs!$B$43-B304)&lt;=0,0,(INT(MAX(0,Inputs!$B$43-B304)/IF(Inputs!$B$38="pvp",15,MAX(0.1,Skills!D10-IF(Skills!E9=TRUE,Inputs!$B$32,0))))+1)),0)</f>
        <v/>
      </c>
      <c r="S280">
        <f>IF(C280,(H280*N280*IF(AND(Inputs!$B$38&lt;&gt;"pvp",Inputs!$B$43&gt;0),((Skills!F10*((R280-1)*IF(Skills!G10&gt;0,Skills!H10/Skills!G10,1)+IF(Skills!G10&gt;0,MIN(Skills!H10,MAX(0,MAX(0,Inputs!$B$43-B304)-((R280-1)*IF(Inputs!$B$38="pvp",15,MAX(0.1,Skills!D10-IF(Skills!E9=TRUE,Inputs!$B$32,0))))))/Skills!G10,1)))/Inputs!$B$43),G280*Q280))*IF(Inputs!$B$38="pvp",1,1+(Inputs!$B$20+Skills!O10+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
        <f>IF(C280,(H280*N280*IF(AND(Inputs!$B$38&lt;&gt;"pvp",Inputs!$B$43&gt;0),((Skills!F10*((R280-1)*IF(Skills!G10&gt;0,Skills!H10/Skills!G10,1)+IF(Skills!G10&gt;0,MIN(Skills!H10,MAX(0,MAX(0,Inputs!$B$43-B304)-((R280-1)*IF(Inputs!$B$38="pvp",15,MAX(0.1,Skills!D10-IF(Skills!E9=TRUE,Inputs!$B$32,0))))))/Skills!G10,1)))/Inputs!$B$43),G280*Q280))*IF(Inputs!$B$38="pvp",1,(1+((Inputs!$B$21+1)+Skills!P10+B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Skills!A11</f>
        <v/>
      </c>
      <c r="B281">
        <f>Skills!B11</f>
        <v/>
      </c>
      <c r="C281">
        <f>Inputs!$B$3&gt;=107</f>
        <v/>
      </c>
      <c r="D281">
        <f>IF(Skills!C11=1,60+Inputs!$B$25+Inputs!$B$29,IF(Skills!C11=2,90+Inputs!$B$26+Inputs!$B$29,IF(Skills!C11=3,120+Inputs!$B$27+Inputs!$B$29,MAX(0,(Inputs!$B$3-100)*3)+Inputs!$B$28+Inputs!$B$29)))</f>
        <v/>
      </c>
      <c r="E281">
        <f>INDEX(FactorTable!$B$2:$Y$301, MATCH(ROUND(MIN(300,MAX(1,D281)),0), FactorTable!$A$2:$A$301,0), Skills!L11+1)</f>
        <v/>
      </c>
      <c r="F281">
        <f>IF(Skills!M11=TRUE,(Skills!K11/10)*(E281/1000),Skills!K11/10)+Skills!N11</f>
        <v/>
      </c>
      <c r="G281">
        <f>Calc!G11</f>
        <v/>
      </c>
      <c r="H281">
        <f>Calc!H11</f>
        <v/>
      </c>
      <c r="I281">
        <f>IF(Skills!T11&lt;&gt;"",1+(Skills!T11/10)*(Z273/1000)/100,1)</f>
        <v/>
      </c>
      <c r="J281">
        <f>((Inputs!$B$6*(1+Inputs!$B$7/100))+(((Inputs!$B$12*(1+Inputs!$B$13/100))-(Inputs!$B$12*(1+Inputs!$B$13/100)))+0.25*(Inputs!$B$14-Inputs!$B$14))*(1+Inputs!$B$7/100))*(F281/100)</f>
        <v/>
      </c>
      <c r="K281">
        <f>J281*(1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11="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F288-Calc!F18),(Inputs!$B$23+(IF(ArtifactsInput!$M$15,CHOOSE(ArtifactsInput!$N$15+1,25,30,35,40,45,50)/100*(Inputs!$B$11-Inputs!$B$11),0))))/100+(Inputs!$B$23+(IF(ArtifactsInput!$M$15,CHOOSE(ArtifactsInput!$N$15+1,25,30,35,40,45,50)/100*(Inputs!$B$11-Inputs!$B$11),0)))/100)/2</f>
        <v/>
      </c>
      <c r="M281">
        <f>L281*(1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(1-Summary!$B$11)*S281+Summary!$B$11*U281</f>
        <v/>
      </c>
      <c r="P281">
        <f>IF(B307=0,0,O281/B307)</f>
        <v/>
      </c>
      <c r="Q281">
        <f>IFERROR(1/IF(Inputs!$B$38="pvp",15,MAX(0.1,Skills!D11-IF(Skills!E11=TRUE,Inputs!$B$32,0))),0)</f>
        <v/>
      </c>
      <c r="R281">
        <f>IF(AND(Inputs!$B$38&lt;&gt;"pvp",Inputs!$B$43&gt;0),IF(MAX(0,Inputs!$B$43-B304)&lt;=0,0,(INT(MAX(0,Inputs!$B$43-B304)/IF(Inputs!$B$38="pvp",15,MAX(0.1,Skills!D11-IF(Skills!E11=TRUE,Inputs!$B$32,0))))+1)),0)</f>
        <v/>
      </c>
      <c r="S281">
        <f>IF(C281,H281*N281*IF(AND(Inputs!$B$38&lt;&gt;"pvp",Inputs!$B$43&gt;0),((Skills!F11*((R281-1)*IF(Skills!G11&gt;0,Skills!H11/Skills!G11,1)+IF(Skills!G11&gt;0,MIN(Skills!H11,MAX(0,MAX(0,Inputs!$B$43-B304)-((R281-1)*IF(Inputs!$B$38="pvp",15,MAX(0.1,Skills!D11-IF(Skills!E11=TRUE,Inputs!$B$32,0))))))/Skills!G11,1)))/Inputs!$B$43),G281*Q281)*0.5*IF(Inputs!$B$38="pvp",1,1+(Inputs!$B$20+Skills!O11+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
        <f>IF(C281,H281*N281*IF(AND(Inputs!$B$38&lt;&gt;"pvp",Inputs!$B$43&gt;0),((Skills!F11*((R281-1)*IF(Skills!G11&gt;0,Skills!H11/Skills!G11,1)+IF(Skills!G11&gt;0,MIN(Skills!H11,MAX(0,MAX(0,Inputs!$B$43-B304)-((R281-1)*IF(Inputs!$B$38="pvp",15,MAX(0.1,Skills!D11-IF(Skills!E11=TRUE,Inputs!$B$32,0))))))/Skills!G11,1)))/Inputs!$B$43),G281*Q281)*1*IF(Inputs!$B$38="pvp",1,(1+((Inputs!$B$21+1)+Skills!P11+B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Skills!A12</f>
        <v/>
      </c>
      <c r="B282">
        <f>Skills!B12</f>
        <v/>
      </c>
      <c r="C282">
        <f>Inputs!$B$3&gt;=115</f>
        <v/>
      </c>
      <c r="D282">
        <f>IF(Skills!C12=1,60+Inputs!$B$25+Inputs!$B$29,IF(Skills!C12=2,90+Inputs!$B$26+Inputs!$B$29,IF(Skills!C12=3,120+Inputs!$B$27+Inputs!$B$29,MAX(0,(Inputs!$B$3-100)*3)+Inputs!$B$28+Inputs!$B$29)))</f>
        <v/>
      </c>
      <c r="E282">
        <f>INDEX(FactorTable!$B$2:$Y$301, MATCH(ROUND(MIN(300,MAX(1,D282)),0), FactorTable!$A$2:$A$301,0), Skills!L12+1)</f>
        <v/>
      </c>
      <c r="F282">
        <f>IF(Skills!M12=TRUE,(Skills!K12/10)*(E282/1000),Skills!K12/10)+Skills!N12</f>
        <v/>
      </c>
      <c r="G282">
        <f>Calc!G12</f>
        <v/>
      </c>
      <c r="H282">
        <f>Calc!H12</f>
        <v/>
      </c>
      <c r="I282">
        <f>IF(Skills!T12&lt;&gt;"",1+(Skills!T12/10)*(Z273/1000)/100,1)</f>
        <v/>
      </c>
      <c r="J282">
        <f>((Inputs!$B$6*(1+Inputs!$B$7/100))+(((Inputs!$B$12*(1+Inputs!$B$13/100))-(Inputs!$B$12*(1+Inputs!$B$13/100)))+0.25*(Inputs!$B$14-Inputs!$B$14))*(1+Inputs!$B$7/100))*(F282/100)</f>
        <v/>
      </c>
      <c r="K282">
        <f>J282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12="CHAIN_LIGHTNING",Inputs!$B$17+((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F288-Calc!F18),(Inputs!$B$23+(IF(ArtifactsInput!$M$15,CHOOSE(ArtifactsInput!$N$15+1,25,30,35,40,45,50)/100*(Inputs!$B$11-Inputs!$B$11),0))))/100+(Inputs!$B$23+(IF(ArtifactsInput!$M$15,CHOOSE(ArtifactsInput!$N$15+1,25,30,35,40,45,50)/100*(Inputs!$B$11-Inputs!$B$11),0)))/100)/2</f>
        <v/>
      </c>
      <c r="M282">
        <f>L282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(1-Summary!$B$11)*S282+Summary!$B$11*U282</f>
        <v/>
      </c>
      <c r="P282">
        <f>IF(B307=0,0,O282/B307)</f>
        <v/>
      </c>
      <c r="Q282">
        <f>IFERROR(1/IF(Inputs!$B$38="pvp",15,MAX(0.1,Skills!D12-IF(Skills!E12=TRUE,Inputs!$B$32,0))),0)</f>
        <v/>
      </c>
      <c r="R282">
        <f>IF(AND(Inputs!$B$38&lt;&gt;"pvp",Inputs!$B$43&gt;0),IF(MAX(0,Inputs!$B$43-B304)&lt;=0,0,(INT(MAX(0,Inputs!$B$43-B304)/IF(Inputs!$B$38="pvp",15,MAX(0.1,Skills!D12-IF(Skills!E12=TRUE,Inputs!$B$32,0))))+1)),0)</f>
        <v/>
      </c>
      <c r="S282">
        <f>IF(C282,(H282*N282*IF(AND(Inputs!$B$38&lt;&gt;"pvp",Inputs!$B$43&gt;0),((Skills!F12*((R282-1)*IF(Skills!G12&gt;0,Skills!H12/Skills!G12,1)+IF(Skills!G12&gt;0,MIN(Skills!H12,MAX(0,MAX(0,Inputs!$B$43-B304)-((R282-1)*IF(Inputs!$B$38="pvp",15,MAX(0.1,Skills!D12-IF(Skills!E12=TRUE,Inputs!$B$32,0))))))/Skills!G12,1)))/Inputs!$B$43),G282*Q282))*IF(Inputs!$B$38="pvp",1,1+(Inputs!$B$20+Skills!O12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F290-Calc!F20)+(F289-Calc!F19))+(ArtifactsInput!$M$24-ArtifactsInput!$M$24)*CHOOSE(ArtifactsInput!$N$24+1,10,12,14,16,18,20)+(IF(AND(Inputs!$B$38&lt;&gt;"pvp",Inputs!$B$43=0),1,IF(IF(Inputs!$B$38="pvp",15,Inputs!$B$43)-(B304)&lt;=0,1,MAX(0,IF(Inputs!$B$38="pvp",15,Inputs!$B$43)-MAX(5,B304))/(IF(Inputs!$B$38="pvp",15,Inputs!$B$43)-(B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
        <f>IF(C282,(H282*N282*IF(AND(Inputs!$B$38&lt;&gt;"pvp",Inputs!$B$43&gt;0),((Skills!F12*((R282-1)*IF(Skills!G12&gt;0,Skills!H12/Skills!G12,1)+IF(Skills!G12&gt;0,MIN(Skills!H12,MAX(0,MAX(0,Inputs!$B$43-B304)-((R282-1)*IF(Inputs!$B$38="pvp",15,MAX(0.1,Skills!D12-IF(Skills!E12=TRUE,Inputs!$B$32,0))))))/Skills!G12,1)))/Inputs!$B$43),G282*Q282))*IF(Inputs!$B$38="pvp",1,(1+((Inputs!$B$21+1)+Skills!P12+B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Skills!A13</f>
        <v/>
      </c>
      <c r="B283">
        <f>Skills!B13</f>
        <v/>
      </c>
      <c r="C283">
        <f>Inputs!$B$3&gt;=49</f>
        <v/>
      </c>
      <c r="D283">
        <f>IF(Skills!C13=1,60+Inputs!$B$25+Inputs!$B$29,IF(Skills!C13=2,90+Inputs!$B$26+Inputs!$B$29,IF(Skills!C13=3,120+Inputs!$B$27+Inputs!$B$29,MAX(0,(Inputs!$B$3-100)*3)+Inputs!$B$28+Inputs!$B$29)))</f>
        <v/>
      </c>
      <c r="E283">
        <f>INDEX(FactorTable!$B$2:$Y$301, MATCH(ROUND(MIN(300,MAX(1,D283)),0), FactorTable!$A$2:$A$301,0), Skills!L13+1)</f>
        <v/>
      </c>
      <c r="F283">
        <f>IF(Skills!M13=TRUE,(Skills!K13/10)*(E283/1000),Skills!K13/10)+Skills!N13</f>
        <v/>
      </c>
      <c r="G283">
        <f>Calc!G13</f>
        <v/>
      </c>
      <c r="H283">
        <f>Calc!H13</f>
        <v/>
      </c>
      <c r="I283">
        <f>IF(Skills!T13&lt;&gt;"",1+(Skills!T13/10)*(Z273/1000)/100,1)</f>
        <v/>
      </c>
      <c r="J283" t="inlineStr"/>
      <c r="K283" t="inlineStr"/>
      <c r="L283" t="inlineStr"/>
      <c r="M283" t="inlineStr"/>
      <c r="N283" t="inlineStr"/>
      <c r="O283">
        <f>(1-Summary!$B$11)*S283+Summary!$B$11*U283</f>
        <v/>
      </c>
      <c r="P283">
        <f>IF(B307=0,0,O283/B307)</f>
        <v/>
      </c>
      <c r="Q283">
        <f>IFERROR(1/IF(Inputs!$B$38="pvp",15,MAX(0.1,Skills!D13-IF(Skills!E13=TRUE,Inputs!$B$32,0))),0)</f>
        <v/>
      </c>
      <c r="R283" t="n">
        <v>0</v>
      </c>
      <c r="S283" t="n">
        <v>0</v>
      </c>
      <c r="U283" t="n">
        <v>0</v>
      </c>
    </row>
    <row r="284">
      <c r="A284">
        <f>Skills!A14</f>
        <v/>
      </c>
      <c r="B284">
        <f>Skills!B14</f>
        <v/>
      </c>
      <c r="C284">
        <f>Inputs!$B$3&gt;=72</f>
        <v/>
      </c>
      <c r="D284">
        <f>IF(Skills!C14=1,60+Inputs!$B$25+Inputs!$B$29,IF(Skills!C14=2,90+Inputs!$B$26+Inputs!$B$29,IF(Skills!C14=3,120+Inputs!$B$27+Inputs!$B$29,MAX(0,(Inputs!$B$3-100)*3)+Inputs!$B$28+Inputs!$B$29)))</f>
        <v/>
      </c>
      <c r="E284">
        <f>INDEX(FactorTable!$B$2:$Y$301, MATCH(ROUND(MIN(300,MAX(1,D284)),0), FactorTable!$A$2:$A$301,0), Skills!L14+1)</f>
        <v/>
      </c>
      <c r="F284">
        <f>IF(Skills!M14=TRUE,(Skills!K14/10)*(E284/1000),Skills!K14/10)+Skills!N14</f>
        <v/>
      </c>
      <c r="G284">
        <f>Calc!G14</f>
        <v/>
      </c>
      <c r="H284">
        <f>Calc!H14</f>
        <v/>
      </c>
      <c r="I284">
        <f>IF(Skills!T14&lt;&gt;"",1+(Skills!T14/10)*(Z273/1000)/100,1)</f>
        <v/>
      </c>
      <c r="J284" t="inlineStr"/>
      <c r="K284" t="inlineStr"/>
      <c r="L284" t="inlineStr"/>
      <c r="M284" t="inlineStr"/>
      <c r="N284" t="inlineStr"/>
      <c r="O284">
        <f>(1-Summary!$B$11)*S284+Summary!$B$11*U284</f>
        <v/>
      </c>
      <c r="P284">
        <f>IF(B307=0,0,O284/B307)</f>
        <v/>
      </c>
      <c r="Q284">
        <f>IFERROR(1/IF(Inputs!$B$38="pvp",15,MAX(0.1,Skills!D14-IF(Skills!E14=TRUE,Inputs!$B$32,0))),0)</f>
        <v/>
      </c>
      <c r="R284" t="n">
        <v>0</v>
      </c>
      <c r="S284" t="n">
        <v>0</v>
      </c>
      <c r="U284" t="n">
        <v>0</v>
      </c>
    </row>
    <row r="285">
      <c r="A285">
        <f>Skills!A15</f>
        <v/>
      </c>
      <c r="B285">
        <f>Skills!B15</f>
        <v/>
      </c>
      <c r="C285">
        <f>Inputs!$B$3&gt;=75</f>
        <v/>
      </c>
      <c r="D285">
        <f>IF(Skills!C15=1,60+Inputs!$B$25+Inputs!$B$29,IF(Skills!C15=2,90+Inputs!$B$26+Inputs!$B$29,IF(Skills!C15=3,120+Inputs!$B$27+Inputs!$B$29,MAX(0,(Inputs!$B$3-100)*3)+Inputs!$B$28+Inputs!$B$29)))</f>
        <v/>
      </c>
      <c r="E285">
        <f>INDEX(FactorTable!$B$2:$Y$301, MATCH(ROUND(MIN(300,MAX(1,D285)),0), FactorTable!$A$2:$A$301,0), Skills!L15+1)</f>
        <v/>
      </c>
      <c r="F285">
        <f>IF(Skills!M15=TRUE,(Skills!K15/10)*(E285/1000),Skills!K15/10)+Skills!N15</f>
        <v/>
      </c>
      <c r="G285">
        <f>Calc!G15</f>
        <v/>
      </c>
      <c r="H285">
        <f>Calc!H15</f>
        <v/>
      </c>
      <c r="I285">
        <f>IF(Skills!T15&lt;&gt;"",1+(Skills!T15/10)*(Z273/1000)/100,1)</f>
        <v/>
      </c>
      <c r="J285" t="inlineStr"/>
      <c r="K285" t="inlineStr"/>
      <c r="L285" t="inlineStr"/>
      <c r="M285" t="inlineStr"/>
      <c r="N285" t="inlineStr"/>
      <c r="O285">
        <f>(1-Summary!$B$11)*S285+Summary!$B$11*U285</f>
        <v/>
      </c>
      <c r="P285">
        <f>IF(B307=0,0,O285/B307)</f>
        <v/>
      </c>
      <c r="Q285">
        <f>IFERROR(1/IF(Inputs!$B$38="pvp",15,MAX(0.1,Skills!D15-IF(Skills!E15=TRUE,Inputs!$B$32,0))),0)</f>
        <v/>
      </c>
      <c r="R285" t="n">
        <v>0</v>
      </c>
      <c r="S285" t="n">
        <v>0</v>
      </c>
      <c r="U285" t="n">
        <v>0</v>
      </c>
    </row>
    <row r="286">
      <c r="A286">
        <f>Skills!A16</f>
        <v/>
      </c>
      <c r="B286">
        <f>Skills!B16</f>
        <v/>
      </c>
      <c r="C286">
        <f>Inputs!$B$3&gt;=110</f>
        <v/>
      </c>
      <c r="D286">
        <f>IF(Skills!C16=1,60+Inputs!$B$25+Inputs!$B$29,IF(Skills!C16=2,90+Inputs!$B$26+Inputs!$B$29,IF(Skills!C16=3,120+Inputs!$B$27+Inputs!$B$29,MAX(0,(Inputs!$B$3-100)*3)+Inputs!$B$28+Inputs!$B$29)))</f>
        <v/>
      </c>
      <c r="E286">
        <f>INDEX(FactorTable!$B$2:$Y$301, MATCH(ROUND(MIN(300,MAX(1,D286)),0), FactorTable!$A$2:$A$301,0), Skills!L16+1)</f>
        <v/>
      </c>
      <c r="F286">
        <f>(Skills!K16/10)*(E286/1000)*64/45+Skills!N16</f>
        <v/>
      </c>
      <c r="G286">
        <f>Calc!G16</f>
        <v/>
      </c>
      <c r="H286">
        <f>Calc!H16</f>
        <v/>
      </c>
      <c r="I286">
        <f>IF(Skills!T16&lt;&gt;"",1+(Skills!T16/10)*(Z273/1000)/100,1)</f>
        <v/>
      </c>
      <c r="J286" t="inlineStr"/>
      <c r="K286" t="inlineStr"/>
      <c r="L286" t="inlineStr"/>
      <c r="M286" t="inlineStr"/>
      <c r="N286" t="inlineStr"/>
      <c r="O286">
        <f>(1-Summary!$B$11)*S286+Summary!$B$11*U286</f>
        <v/>
      </c>
      <c r="P286">
        <f>IF(B307=0,0,O286/B307)</f>
        <v/>
      </c>
      <c r="Q286">
        <f>IFERROR(1/IF(Inputs!$B$38="pvp",15,MAX(0.1,Skills!D16-IF(Skills!E16=TRUE,Inputs!$B$32,0))),0)</f>
        <v/>
      </c>
      <c r="R286">
        <f>IF(AND(Inputs!$B$38&lt;&gt;"pvp",Inputs!$B$43&gt;0),IF(Inputs!$B$43&lt;=0,0,(INT(Inputs!$B$43/IF(Inputs!$B$38="pvp",15,MAX(0.1,Skills!D16-IF(Skills!E16=TRUE,Inputs!$B$32,0))))+1)),0)</f>
        <v/>
      </c>
      <c r="S286" t="n">
        <v>0</v>
      </c>
      <c r="U286" t="n">
        <v>0</v>
      </c>
    </row>
    <row r="287">
      <c r="A287">
        <f>Skills!A17</f>
        <v/>
      </c>
      <c r="B287">
        <f>Skills!B17</f>
        <v/>
      </c>
      <c r="C287">
        <f>Inputs!$B$3&gt;=33</f>
        <v/>
      </c>
      <c r="D287">
        <f>IF(Skills!C17=1,60+Inputs!$B$25+Inputs!$B$29,IF(Skills!C17=2,90+Inputs!$B$26+Inputs!$B$29,IF(Skills!C17=3,120+Inputs!$B$27+Inputs!$B$29,MAX(0,(Inputs!$B$3-100)*3)+Inputs!$B$28+Inputs!$B$29)))</f>
        <v/>
      </c>
      <c r="E287">
        <f>INDEX(FactorTable!$B$2:$Y$301, MATCH(ROUND(MIN(300,MAX(1,D287)),0), FactorTable!$A$2:$A$301,0), Skills!L17+1)</f>
        <v/>
      </c>
      <c r="F287">
        <f>IF(Skills!M17=TRUE,(Skills!K17/10)*(E287/1000),Skills!K17/10)+Skills!N17</f>
        <v/>
      </c>
      <c r="G287">
        <f>Calc!G17</f>
        <v/>
      </c>
      <c r="H287">
        <f>Calc!H17</f>
        <v/>
      </c>
      <c r="I287">
        <f>IF(Skills!T17&lt;&gt;"",1+(Skills!T17/10)*(Z273/1000)/100,1)</f>
        <v/>
      </c>
      <c r="J287" t="inlineStr"/>
      <c r="K287" t="inlineStr"/>
      <c r="L287" t="inlineStr"/>
      <c r="M287" t="inlineStr"/>
      <c r="N287" t="inlineStr"/>
      <c r="O287">
        <f>(1-Summary!$B$11)*S287+Summary!$B$11*U287</f>
        <v/>
      </c>
      <c r="P287">
        <f>IF(B307=0,0,O287/B307)</f>
        <v/>
      </c>
      <c r="Q287">
        <f>IFERROR(1/IF(Inputs!$B$38="pvp",15,MAX(0.1,Skills!D17-IF(Skills!E17=TRUE,Inputs!$B$32,0))),0)</f>
        <v/>
      </c>
      <c r="R287" t="n">
        <v>0</v>
      </c>
      <c r="S287" t="n">
        <v>0</v>
      </c>
      <c r="U287" t="n">
        <v>0</v>
      </c>
    </row>
    <row r="288">
      <c r="A288">
        <f>Skills!A18</f>
        <v/>
      </c>
      <c r="B288">
        <f>Skills!B18</f>
        <v/>
      </c>
      <c r="C288">
        <f>Inputs!$B$3&gt;=43</f>
        <v/>
      </c>
      <c r="D288">
        <f>IF(Skills!C18=1,60+Inputs!$B$25+Inputs!$B$29,IF(Skills!C18=2,90+Inputs!$B$26+Inputs!$B$29,IF(Skills!C18=3,120+Inputs!$B$27+Inputs!$B$29,MAX(0,(Inputs!$B$3-100)*3)+Inputs!$B$28+Inputs!$B$29)))</f>
        <v/>
      </c>
      <c r="E288">
        <f>INDEX(FactorTable!$B$2:$Y$301, MATCH(ROUND(MIN(300,MAX(1,D288)),0), FactorTable!$A$2:$A$301,0), Skills!L18+1)</f>
        <v/>
      </c>
      <c r="F288">
        <f>IF(Skills!M18=TRUE,(Skills!K18/10)*(E288/1000),Skills!K18/10)+Skills!N18</f>
        <v/>
      </c>
      <c r="G288">
        <f>Calc!G18</f>
        <v/>
      </c>
      <c r="H288">
        <f>Calc!H18</f>
        <v/>
      </c>
      <c r="I288">
        <f>IF(Skills!T18&lt;&gt;"",1+(Skills!T18/10)*(Z273/1000)/100,1)</f>
        <v/>
      </c>
      <c r="J288" t="inlineStr"/>
      <c r="K288" t="inlineStr"/>
      <c r="L288" t="inlineStr"/>
      <c r="M288" t="inlineStr"/>
      <c r="N288" t="inlineStr"/>
      <c r="O288">
        <f>(1-Summary!$B$11)*S288+Summary!$B$11*U288</f>
        <v/>
      </c>
      <c r="P288">
        <f>IF(B307=0,0,O288/B307)</f>
        <v/>
      </c>
      <c r="Q288">
        <f>IFERROR(1/IF(Inputs!$B$38="pvp",15,MAX(0.1,Skills!D18-IF(Skills!E18=TRUE,Inputs!$B$32,0))),0)</f>
        <v/>
      </c>
      <c r="R288" t="n">
        <v>0</v>
      </c>
      <c r="S288" t="n">
        <v>0</v>
      </c>
      <c r="U288" t="n">
        <v>0</v>
      </c>
    </row>
    <row r="289">
      <c r="A289">
        <f>Skills!A19</f>
        <v/>
      </c>
      <c r="B289">
        <f>Skills!B19</f>
        <v/>
      </c>
      <c r="C289">
        <f>Inputs!$B$3&gt;=50</f>
        <v/>
      </c>
      <c r="D289">
        <f>IF(Skills!C19=1,60+Inputs!$B$25+Inputs!$B$29,IF(Skills!C19=2,90+Inputs!$B$26+Inputs!$B$29,IF(Skills!C19=3,120+Inputs!$B$27+Inputs!$B$29,MAX(0,(Inputs!$B$3-100)*3)+Inputs!$B$28+Inputs!$B$29)))</f>
        <v/>
      </c>
      <c r="E289">
        <f>INDEX(FactorTable!$B$2:$Y$301, MATCH(ROUND(MIN(300,MAX(1,D289)),0), FactorTable!$A$2:$A$301,0), Skills!L19+1)</f>
        <v/>
      </c>
      <c r="F289">
        <f>IF(Skills!M19=TRUE,(Skills!K19/10)*(E289/1000),Skills!K19/10)+Skills!N19</f>
        <v/>
      </c>
      <c r="G289">
        <f>Calc!G19</f>
        <v/>
      </c>
      <c r="H289">
        <f>Calc!H19</f>
        <v/>
      </c>
      <c r="I289">
        <f>IF(Skills!T19&lt;&gt;"",1+(Skills!T19/10)*(Z273/1000)/100,1)</f>
        <v/>
      </c>
      <c r="J289" t="inlineStr"/>
      <c r="K289" t="inlineStr"/>
      <c r="L289" t="inlineStr"/>
      <c r="M289" t="inlineStr"/>
      <c r="N289" t="inlineStr"/>
      <c r="O289">
        <f>(1-Summary!$B$11)*S289+Summary!$B$11*U289</f>
        <v/>
      </c>
      <c r="P289">
        <f>IF(B307=0,0,O289/B307)</f>
        <v/>
      </c>
      <c r="Q289">
        <f>IFERROR(1/IF(Inputs!$B$38="pvp",15,MAX(0.1,Skills!D19-IF(Skills!E19=TRUE,Inputs!$B$32,0))),0)</f>
        <v/>
      </c>
      <c r="R289" t="n">
        <v>0</v>
      </c>
      <c r="S289" t="n">
        <v>0</v>
      </c>
      <c r="U289" t="n">
        <v>0</v>
      </c>
    </row>
    <row r="290">
      <c r="A290">
        <f>Skills!A20</f>
        <v/>
      </c>
      <c r="B290">
        <f>Skills!B20</f>
        <v/>
      </c>
      <c r="C290">
        <f>Inputs!$B$3&gt;=74</f>
        <v/>
      </c>
      <c r="D290">
        <f>IF(Skills!C20=1,60+Inputs!$B$25+Inputs!$B$29,IF(Skills!C20=2,90+Inputs!$B$26+Inputs!$B$29,IF(Skills!C20=3,120+Inputs!$B$27+Inputs!$B$29,MAX(0,(Inputs!$B$3-100)*3)+Inputs!$B$28+Inputs!$B$29)))</f>
        <v/>
      </c>
      <c r="E290">
        <f>INDEX(FactorTable!$B$2:$Y$301, MATCH(ROUND(MIN(300,MAX(1,D290)),0), FactorTable!$A$2:$A$301,0), Skills!L20+1)</f>
        <v/>
      </c>
      <c r="F290">
        <f>IF(Skills!M20=TRUE,(Skills!K20/10)*(E290/1000),Skills!K20/10)+Skills!N20</f>
        <v/>
      </c>
      <c r="G290">
        <f>Calc!G20</f>
        <v/>
      </c>
      <c r="H290">
        <f>Calc!H20</f>
        <v/>
      </c>
      <c r="I290">
        <f>IF(Skills!T20&lt;&gt;"",1+(Skills!T20/10)*(Z273/1000)/100,1)</f>
        <v/>
      </c>
      <c r="J290" t="inlineStr"/>
      <c r="K290" t="inlineStr"/>
      <c r="L290" t="inlineStr"/>
      <c r="M290" t="inlineStr"/>
      <c r="N290" t="inlineStr"/>
      <c r="O290">
        <f>(1-Summary!$B$11)*S290+Summary!$B$11*U290</f>
        <v/>
      </c>
      <c r="P290">
        <f>IF(B307=0,0,O290/B307)</f>
        <v/>
      </c>
      <c r="Q290">
        <f>IFERROR(1/IF(Inputs!$B$38="pvp",15,MAX(0.1,Skills!D20-IF(Skills!E20=TRUE,Inputs!$B$32,0))),0)</f>
        <v/>
      </c>
      <c r="R290" t="n">
        <v>0</v>
      </c>
      <c r="S290" t="n">
        <v>0</v>
      </c>
      <c r="U290" t="n">
        <v>0</v>
      </c>
    </row>
    <row r="291">
      <c r="A291">
        <f>Skills!A21</f>
        <v/>
      </c>
      <c r="B291">
        <f>Skills!B21</f>
        <v/>
      </c>
      <c r="C291">
        <f>Inputs!$B$3&gt;=74</f>
        <v/>
      </c>
      <c r="D291">
        <f>IF(Skills!C21=1,60+Inputs!$B$25+Inputs!$B$29,IF(Skills!C21=2,90+Inputs!$B$26+Inputs!$B$29,IF(Skills!C21=3,120+Inputs!$B$27+Inputs!$B$29,MAX(0,(Inputs!$B$3-100)*3)+Inputs!$B$28+Inputs!$B$29)))</f>
        <v/>
      </c>
      <c r="E291">
        <f>INDEX(FactorTable!$B$2:$Y$301, MATCH(ROUND(MIN(300,MAX(1,D291)),0), FactorTable!$A$2:$A$301,0), Skills!L21+1)</f>
        <v/>
      </c>
      <c r="F291">
        <f>IF(Skills!M21=TRUE,(Skills!K21/10)*(E291/1000),Skills!K21/10)+Skills!N21</f>
        <v/>
      </c>
      <c r="G291">
        <f>Calc!G21</f>
        <v/>
      </c>
      <c r="H291">
        <f>Calc!H21</f>
        <v/>
      </c>
      <c r="I291">
        <f>IF(Skills!T21&lt;&gt;"",1+(Skills!T21/10)*(Z273/1000)/100,1)</f>
        <v/>
      </c>
      <c r="J291" t="inlineStr"/>
      <c r="K291" t="inlineStr"/>
      <c r="L291" t="inlineStr"/>
      <c r="M291" t="inlineStr"/>
      <c r="N291" t="inlineStr"/>
      <c r="O291">
        <f>(1-Summary!$B$11)*S291+Summary!$B$11*U291</f>
        <v/>
      </c>
      <c r="P291">
        <f>IF(B307=0,0,O291/B307)</f>
        <v/>
      </c>
      <c r="Q291">
        <f>IFERROR(1/IF(Inputs!$B$38="pvp",15,MAX(0.1,Skills!D21-IF(Skills!E21=TRUE,Inputs!$B$32,0))),0)</f>
        <v/>
      </c>
      <c r="R291" t="n">
        <v>0</v>
      </c>
      <c r="S291" t="n">
        <v>0</v>
      </c>
      <c r="U291" t="n">
        <v>0</v>
      </c>
    </row>
    <row r="292">
      <c r="A292">
        <f>Skills!A22</f>
        <v/>
      </c>
      <c r="B292">
        <f>Skills!B22</f>
        <v/>
      </c>
      <c r="C292">
        <f>Inputs!$B$3&gt;=117</f>
        <v/>
      </c>
      <c r="D292">
        <f>IF(Skills!C22=1,60+Inputs!$B$25+Inputs!$B$29,IF(Skills!C22=2,90+Inputs!$B$26+Inputs!$B$29,IF(Skills!C22=3,120+Inputs!$B$27+Inputs!$B$29,MAX(0,(Inputs!$B$3-100)*3)+Inputs!$B$28+Inputs!$B$29)))</f>
        <v/>
      </c>
      <c r="E292">
        <f>INDEX(FactorTable!$B$2:$Y$301, MATCH(ROUND(MIN(300,MAX(1,D292)),0), FactorTable!$A$2:$A$301,0), Skills!L22+1)</f>
        <v/>
      </c>
      <c r="F292">
        <f>IF(Skills!M22=TRUE,(Skills!K22/10)*(E292/1000),Skills!K22/10)+Skills!N22</f>
        <v/>
      </c>
      <c r="G292">
        <f>Calc!G22</f>
        <v/>
      </c>
      <c r="H292">
        <f>Calc!H22</f>
        <v/>
      </c>
      <c r="I292">
        <f>IF(Skills!T22&lt;&gt;"",1+(Skills!T22/10)*(Z273/1000)/100,1)</f>
        <v/>
      </c>
      <c r="J292" t="inlineStr"/>
      <c r="K292" t="inlineStr"/>
      <c r="L292" t="inlineStr"/>
      <c r="M292" t="inlineStr"/>
      <c r="N292" t="inlineStr"/>
      <c r="O292">
        <f>(1-Summary!$B$11)*S292+Summary!$B$11*U292</f>
        <v/>
      </c>
      <c r="P292">
        <f>IF(B307=0,0,O292/B307)</f>
        <v/>
      </c>
      <c r="Q292">
        <f>IFERROR(1/IF(Inputs!$B$38="pvp",15,MAX(0.1,Skills!D22-IF(Skills!E22=TRUE,Inputs!$B$32,0))),0)</f>
        <v/>
      </c>
      <c r="R292" t="n">
        <v>0</v>
      </c>
      <c r="S292" t="n">
        <v>0</v>
      </c>
      <c r="U292" t="n">
        <v>0</v>
      </c>
    </row>
    <row r="293">
      <c r="A293">
        <f>Skills!A23</f>
        <v/>
      </c>
      <c r="B293">
        <f>Skills!B23</f>
        <v/>
      </c>
      <c r="C293">
        <f>Inputs!$B$3&gt;=120</f>
        <v/>
      </c>
      <c r="D293">
        <f>IF(Skills!C23=1,60+Inputs!$B$25+Inputs!$B$29,IF(Skills!C23=2,90+Inputs!$B$26+Inputs!$B$29,IF(Skills!C23=3,120+Inputs!$B$27+Inputs!$B$29,MAX(0,(Inputs!$B$3-100)*3)+Inputs!$B$28+Inputs!$B$29)))</f>
        <v/>
      </c>
      <c r="E293">
        <f>INDEX(FactorTable!$B$2:$Y$301, MATCH(ROUND(MIN(300,MAX(1,D293)),0), FactorTable!$A$2:$A$301,0), Skills!L23+1)</f>
        <v/>
      </c>
      <c r="F293">
        <f>IF(Skills!M23=TRUE,(Skills!K23/10)*(E293/1000),Skills!K23/10)+Skills!N23</f>
        <v/>
      </c>
      <c r="G293">
        <f>Calc!G23</f>
        <v/>
      </c>
      <c r="H293">
        <f>Calc!H23</f>
        <v/>
      </c>
      <c r="I293">
        <f>IF(Skills!T23&lt;&gt;"",1+(Skills!T23/10)*(Z273/1000)/100,1)</f>
        <v/>
      </c>
      <c r="J293" t="inlineStr"/>
      <c r="K293" t="inlineStr"/>
      <c r="L293" t="inlineStr"/>
      <c r="M293" t="inlineStr"/>
      <c r="N293" t="inlineStr"/>
      <c r="O293">
        <f>(1-Summary!$B$11)*S293+Summary!$B$11*U293</f>
        <v/>
      </c>
      <c r="P293">
        <f>IF(B307=0,0,O293/B307)</f>
        <v/>
      </c>
      <c r="Q293">
        <f>IFERROR(1/IF(Inputs!$B$38="pvp",15,MAX(0.1,Skills!D23-IF(Skills!E23=TRUE,Inputs!$B$32,0))),0)</f>
        <v/>
      </c>
      <c r="R293" t="n">
        <v>0</v>
      </c>
      <c r="S293" t="n">
        <v>0</v>
      </c>
      <c r="U293" t="n">
        <v>0</v>
      </c>
    </row>
    <row r="294">
      <c r="A294">
        <f>Skills!A24</f>
        <v/>
      </c>
      <c r="B294">
        <f>Skills!B24</f>
        <v/>
      </c>
      <c r="C294">
        <f>TRUE</f>
        <v/>
      </c>
      <c r="D294">
        <f>IF(Skills!C24=1,60+Inputs!$B$25+Inputs!$B$29,IF(Skills!C24=2,90+Inputs!$B$26+Inputs!$B$29,IF(Skills!C24=3,120+Inputs!$B$27+Inputs!$B$29,MAX(0,(Inputs!$B$3-100)*3)+Inputs!$B$28+Inputs!$B$29)))</f>
        <v/>
      </c>
      <c r="E294">
        <f>INDEX(FactorTable!$B$2:$Y$301, MATCH(ROUND(MIN(300,MAX(1,D294)),0), FactorTable!$A$2:$A$301,0), Skills!L24+1)</f>
        <v/>
      </c>
      <c r="F294">
        <f>IF(Skills!M24=TRUE,(Skills!K24/10)*(E294/1000),Skills!K24/10)+Skills!N24</f>
        <v/>
      </c>
      <c r="G294">
        <f>Calc!G24</f>
        <v/>
      </c>
      <c r="H294">
        <f>Calc!H24</f>
        <v/>
      </c>
      <c r="I294">
        <f>IF(Skills!T24&lt;&gt;"",1+(Skills!T24/10)*(Z273/1000)/100,1)</f>
        <v/>
      </c>
      <c r="J294" t="inlineStr"/>
      <c r="K294" t="inlineStr"/>
      <c r="L294" t="inlineStr"/>
      <c r="M294" t="inlineStr"/>
      <c r="N294" t="inlineStr"/>
      <c r="O294">
        <f>(1-Summary!$B$11)*S294+Summary!$B$11*U294</f>
        <v/>
      </c>
      <c r="P294">
        <f>IF(B307=0,0,O294/B307)</f>
        <v/>
      </c>
      <c r="Q294">
        <f>IFERROR(1/IF(Inputs!$B$38="pvp",15,MAX(0.1,Skills!D24-IF(Skills!E24=TRUE,Inputs!$B$32,0))),0)</f>
        <v/>
      </c>
      <c r="R294">
        <f>IF(AND(Inputs!$B$38&lt;&gt;"pvp",Inputs!$B$43&gt;0),IF(Inputs!$B$43&lt;=0,0,(INT(Inputs!$B$43/IF(Inputs!$B$38="pvp",15,MAX(0.1,Skills!D24-IF(Skills!E24=TRUE,Inputs!$B$32,0))))+1)),0)</f>
        <v/>
      </c>
      <c r="S294" t="n">
        <v>0</v>
      </c>
      <c r="U294" t="n">
        <v>0</v>
      </c>
    </row>
    <row r="297">
      <c r="A297" t="inlineStr">
        <is>
          <t>Average Buff Multiplier (Magic Guard + Meditation + Artifact Attack%, summed; then Infinity)</t>
        </is>
      </c>
      <c r="B297">
        <f>(1+(IF(C273=TRUE,F273*IF(AND(Inputs!$B$38&lt;&gt;"pvp",Inputs!$B$43&gt;0),(((R273-1)*(Skills!S3*(1+(Inputs!$B$34)/100))+MIN((Skills!S3*(1+(Inputs!$B$34)/100)),MAX(0,Inputs!$B$43-((R273-1)*Skills!D3))))/Inputs!$B$43),IF(Inputs!$B$38="pvp",MIN((Skills!S3*(1+(Inputs!$B$34)/100)),15)/15,(Skills!S3*(1+(Inputs!$B$34)/100))/Skills!D3)),0)+IF(C274=TRUE,F274*IF(AND(Inputs!$B$38&lt;&gt;"pvp",Inputs!$B$43&gt;0),(((R274-1)*(Skills!S4*(1+(Inputs!$B$34)/100))+MIN((Skills!S4*(1+(Inputs!$B$34)/100)),MAX(0,Inputs!$B$43-((R274-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TRUE,(1+F286*IF(AND(Inputs!$B$38&lt;&gt;"pvp",Inputs!$B$43&gt;0),(((R286-1)*(Skills!S16*(1+(Inputs!$B$34)/100))+MIN((Skills!S16*(1+(Inputs!$B$34)/100)),MAX(0,Inputs!$B$43-((R286-1)*Skills!D16))))/Inputs!$B$43),IF(Inputs!$B$38="pvp",MIN((Skills!S16*(1+(Inputs!$B$34)/100)),15)/15,(Skills!S16*(1+(Inputs!$B$34)/100))/Skills!D16))/100),1)</f>
        <v/>
      </c>
    </row>
    <row r="298">
      <c r="A298" t="inlineStr">
        <is>
          <t>Monster Damage Taken Bonus % (Freezing Breath - Weaken + Elemental Reset + Artifact Enemy Damage Taken, summed)</t>
        </is>
      </c>
      <c r="B298">
        <f>IF(Inputs!$B$3&gt;=118,15*IF(Inputs!$B$38="pvp",MIN((30*(1+(Inputs!$B$34)/100)),15)/15,(30*(1+(Inputs!$B$34)/100))/Skills!D8),0)+IF(C284=TRUE,F284,0)+(IF(AND(ArtifactsInput!$M$35,Inputs!$B$4&lt;&gt;"Chapter Hunt"),CHOOSE(ArtifactsInput!$N$35+1,15,18,21,24,27,30)*(1-EXP(-(0.2*B301)*5)),0)+IF(AND(ArtifactsInput!$M$22,Inputs!$B$4&lt;&gt;"Chapter Hunt"),CHOOSE(ArtifactsInput!$N$22+1,10,12,14,16,18,20)*((0*(((0.15*B301*5))^0/1)+1*(((0.15*B301*5))^1/1)+2*(((0.15*B301*5))^2/2)+3*(((0.15*B301*5))^3/6)+4*(((0.15*B301*5))^4/24)+5*(((0.15*B301*5))^5/120))/((((0.15*B301*5))^0/1)+(((0.15*B301*5))^1/1)+(((0.15*B301*5))^2/2)+(((0.15*B301*5))^3/6)+(((0.15*B301*5))^4/24)+(((0.15*B301*5))^5/120))),0))</f>
        <v/>
      </c>
    </row>
    <row r="299">
      <c r="A299" t="inlineStr">
        <is>
          <t>Damage % Bonus (Frozen Break + Frost Clutch, flat)</t>
        </is>
      </c>
      <c r="B299">
        <f>IF(Inputs!$B$3&gt;=66,15,0)+IF(Inputs!$B$3&gt;=98,10,0)+IF(Inputs!$B$3&gt;=125,20,0)</f>
        <v/>
      </c>
    </row>
    <row r="300">
      <c r="A300" t="inlineStr">
        <is>
          <t>Attack Speed Bonus % (MP Eater - MP Boost, always-on + Nimble Feet, duty-cycle averaged)</t>
        </is>
      </c>
      <c r="B300">
        <f>IF(C283=TRUE,F283+(F287-Calc!F17),0)+((C294=TRUE)*F294*IF(AND(Inputs!$B$38&lt;&gt;"pvp",Inputs!$B$43&gt;0),(((R294-1)*(Skills!S24*(1+(Inputs!$B$34)/100))+MIN((Skills!S24*(1+(Inputs!$B$34)/100)),MAX(0,Inputs!$B$43-((R294-1)*Skills!D24))))/Inputs!$B$43),IF(Inputs!$B$38="pvp",MIN((Skills!S24*(1+(Inputs!$B$34)/100)),15)/15,(Skills!S24*(1+(Inputs!$B$34)/100))/Skills!D24)))</f>
        <v/>
      </c>
    </row>
    <row r="301">
      <c r="A301" t="inlineStr">
        <is>
          <t>Actions Per Second</t>
        </is>
      </c>
      <c r="B301">
        <f>1+MIN(150,150*(1-(1-(Inputs!$B$11+(ArtifactsInput!$M$15-ArtifactsInput!$M$15)*CHOOSE(ArtifactsInput!$N$15+1,8,9.6,11.2,12.8,14.4,16))/150)*(1-B300/150)))/100</f>
        <v/>
      </c>
    </row>
    <row r="302">
      <c r="A302" t="inlineStr">
        <is>
          <t>Skill + Buff Cast Rate</t>
        </is>
      </c>
      <c r="B302">
        <f>IF(AND(Inputs!$B$38&lt;&gt;"pvp",Inputs!$B$43&gt;0),SUMPRODUCT((Skills!E2:E24=TRUE)*(C272:C294=TRUE)*R272:R294)/Inputs!$B$43,SUMPRODUCT((Skills!E2:E24=TRUE)*(C272:C294=TRUE)*Q272:Q294))</f>
        <v/>
      </c>
    </row>
    <row r="303">
      <c r="A303" t="inlineStr">
        <is>
          <t>Chain Lightning Casts Per Second</t>
        </is>
      </c>
      <c r="B303">
        <f>MAX(0,B301-B302)</f>
        <v/>
      </c>
    </row>
    <row r="304">
      <c r="A304" t="inlineStr">
        <is>
          <t>Buff-Casting Startup Delay (s, fixed-duration only)</t>
        </is>
      </c>
      <c r="B304">
        <f>IF(AND(Inputs!$B$38&lt;&gt;"pvp",Inputs!$B$43&gt;0),SUMPRODUCT((Skills!S2:S24&gt;0)*(Skills!E2:E24=TRUE)*(C272:C294=TRUE))/B301,0)</f>
        <v/>
      </c>
    </row>
    <row r="305">
      <c r="A305" t="inlineStr">
        <is>
          <t>Boss-Only Total DPS (this block's swept value)</t>
        </is>
      </c>
      <c r="B305">
        <f>SUM(S272:S294)</f>
        <v/>
      </c>
    </row>
    <row r="306">
      <c r="A306" t="inlineStr">
        <is>
          <t>Normal-Only Total DPS (this block's swept value)</t>
        </is>
      </c>
      <c r="B306">
        <f>SUM(U272:U294)</f>
        <v/>
      </c>
    </row>
    <row r="307">
      <c r="A307" s="6" t="inlineStr">
        <is>
          <t>TOTAL DPS</t>
        </is>
      </c>
      <c r="B307" s="6">
        <f>SUM(O272:O294)</f>
        <v/>
      </c>
    </row>
    <row r="310">
      <c r="A310" s="6" t="inlineStr">
        <is>
          <t>Stat: FINAL_DAMAGE % (multiplicative source)</t>
        </is>
      </c>
    </row>
    <row r="311">
      <c r="A311" s="5" t="inlineStr">
        <is>
          <t>Key</t>
        </is>
      </c>
      <c r="B311" s="5" t="inlineStr">
        <is>
          <t>Name</t>
        </is>
      </c>
      <c r="C311" s="5" t="inlineStr">
        <is>
          <t>Unlocked</t>
        </is>
      </c>
      <c r="D311" s="5" t="inlineStr">
        <is>
          <t>InputLevel</t>
        </is>
      </c>
      <c r="E311" s="5" t="inlineStr">
        <is>
          <t>Factor</t>
        </is>
      </c>
      <c r="F311" s="5" t="inlineStr">
        <is>
          <t>CoefficientPercent</t>
        </is>
      </c>
      <c r="G311" s="5" t="inlineStr">
        <is>
          <t>EffectiveHits</t>
        </is>
      </c>
      <c r="H311" s="5" t="inlineStr">
        <is>
          <t>ProcProbability</t>
        </is>
      </c>
      <c r="I311" s="5" t="inlineStr">
        <is>
          <t>MapleHeroMultiplier</t>
        </is>
      </c>
      <c r="J311" s="5" t="inlineStr">
        <is>
          <t>BaseDamage</t>
        </is>
      </c>
      <c r="K311" s="5" t="inlineStr">
        <is>
          <t>BaseHitDamage</t>
        </is>
      </c>
      <c r="L311" s="5" t="inlineStr">
        <is>
          <t>NonCritAvg</t>
        </is>
      </c>
      <c r="M311" s="5" t="inlineStr">
        <is>
          <t>CritAvg</t>
        </is>
      </c>
      <c r="N311" s="5" t="inlineStr">
        <is>
          <t>ExpectedDamage(perHit)</t>
        </is>
      </c>
      <c r="O311" s="5" t="inlineStr">
        <is>
          <t>DPS</t>
        </is>
      </c>
      <c r="P311" s="5" t="inlineStr">
        <is>
          <t>% of Total</t>
        </is>
      </c>
      <c r="R311" t="inlineStr">
        <is>
          <t>helpers</t>
        </is>
      </c>
    </row>
    <row r="312">
      <c r="A312">
        <f>Skills!A2</f>
        <v/>
      </c>
      <c r="B312">
        <f>Skills!B2</f>
        <v/>
      </c>
      <c r="C312">
        <f>Inputs!$B$3&gt;=100</f>
        <v/>
      </c>
      <c r="D312" t="inlineStr"/>
      <c r="E312" t="inlineStr"/>
      <c r="F312">
        <f>T314+Skills!N2</f>
        <v/>
      </c>
      <c r="G312">
        <f>Calc!G2</f>
        <v/>
      </c>
      <c r="H312">
        <f>Calc!H2</f>
        <v/>
      </c>
      <c r="I312">
        <f>IF(Skills!T2&lt;&gt;"",1+(Skills!T2/10)*(Z313/1000)/100,1)</f>
        <v/>
      </c>
      <c r="J312">
        <f>((Inputs!$B$6*(1+Inputs!$B$7/100))+(((Inputs!$B$12*(1+Inputs!$B$13/100))-(Inputs!$B$12*(1+Inputs!$B$13/100)))+0.25*(Inputs!$B$14-Inputs!$B$14))*(1+Inputs!$B$7/100))*(F312/100)</f>
        <v/>
      </c>
      <c r="K312">
        <f>J312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2="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F328-Calc!F18),(Inputs!$B$23+(IF(ArtifactsInput!$M$15,CHOOSE(ArtifactsInput!$N$15+1,25,30,35,40,45,50)/100*(Inputs!$B$11-Inputs!$B$11),0))))/100+(Inputs!$B$23+(IF(ArtifactsInput!$M$15,CHOOSE(ArtifactsInput!$N$15+1,25,30,35,40,45,50)/100*(Inputs!$B$11-Inputs!$B$11),0)))/100)/2</f>
        <v/>
      </c>
      <c r="M312">
        <f>L312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(1-Summary!$B$11)*S312+Summary!$B$11*U312</f>
        <v/>
      </c>
      <c r="P312">
        <f>IF(B347=0,0,O312/B347)</f>
        <v/>
      </c>
      <c r="Q312">
        <f>IFERROR(1/IF(Inputs!$B$38="pvp",15,MAX(0.1,Skills!D2-IF(Skills!E2=TRUE,Inputs!$B$32,0))),0)</f>
        <v/>
      </c>
      <c r="R312" t="n">
        <v>0</v>
      </c>
      <c r="S312">
        <f>IF(C312,(Skills!F2*N312*B343)*IF(Inputs!$B$38="pvp",1,1+(Inputs!$B$20+Skills!O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
        <f>MAX(0,(Inputs!$B$3-100)*3)+Inputs!$B$28+Inputs!$B$29</f>
        <v/>
      </c>
      <c r="U312">
        <f>IF(C312,(Skills!F2*N312*B343)*IF(Inputs!$B$38="pvp",1,(1+(Inputs!$B$21+Skills!P2+B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
        <f>MAX(0,(Inputs!$B$3-100)*3)+Inputs!$B$28+Inputs!$B$29</f>
        <v/>
      </c>
    </row>
    <row r="313">
      <c r="A313">
        <f>Skills!A3</f>
        <v/>
      </c>
      <c r="B313">
        <f>Skills!B3</f>
        <v/>
      </c>
      <c r="C313">
        <f>Inputs!$B$3&gt;=15</f>
        <v/>
      </c>
      <c r="D313">
        <f>IF(Skills!C3=1,60+Inputs!$B$25+Inputs!$B$29,IF(Skills!C3=2,90+Inputs!$B$26+Inputs!$B$29,IF(Skills!C3=3,120+Inputs!$B$27+Inputs!$B$29,MAX(0,(Inputs!$B$3-100)*3)+Inputs!$B$28+Inputs!$B$29)))</f>
        <v/>
      </c>
      <c r="E313">
        <f>INDEX(FactorTable!$B$2:$Y$301, MATCH(ROUND(MIN(300,MAX(1,D313)),0), FactorTable!$A$2:$A$301,0), Skills!L3+1)</f>
        <v/>
      </c>
      <c r="F313">
        <f>IF(Skills!M3=TRUE,(Skills!K3/10)*(E313/1000),Skills!K3/10)+Skills!N3</f>
        <v/>
      </c>
      <c r="G313">
        <f>Calc!G3</f>
        <v/>
      </c>
      <c r="H313">
        <f>Calc!H3</f>
        <v/>
      </c>
      <c r="I313">
        <f>IF(Skills!T3&lt;&gt;"",1+(Skills!T3/10)*(Z313/1000)/100,1)</f>
        <v/>
      </c>
      <c r="J313" t="inlineStr"/>
      <c r="K313" t="inlineStr"/>
      <c r="L313" t="inlineStr"/>
      <c r="M313" t="inlineStr"/>
      <c r="N313" t="inlineStr"/>
      <c r="O313">
        <f>(1-Summary!$B$11)*S313+Summary!$B$11*U313</f>
        <v/>
      </c>
      <c r="P313">
        <f>IF(B347=0,0,O313/B347)</f>
        <v/>
      </c>
      <c r="Q313">
        <f>IFERROR(1/IF(Inputs!$B$38="pvp",15,MAX(0.1,Skills!D3-IF(Skills!E3=TRUE,Inputs!$B$32,0))),0)</f>
        <v/>
      </c>
      <c r="R313">
        <f>IF(AND(Inputs!$B$38&lt;&gt;"pvp",Inputs!$B$43&gt;0),IF(Inputs!$B$43&lt;=0,0,(INT(Inputs!$B$43/IF(Inputs!$B$38="pvp",15,MAX(0.1,Skills!D3-IF(Skills!E3=TRUE,Inputs!$B$32,0))))+1)),0)</f>
        <v/>
      </c>
      <c r="S313" t="n">
        <v>0</v>
      </c>
      <c r="T313">
        <f>INDEX(FactorTable!$B$2:$Y$301, MATCH(ROUND(MIN(300,MAX(1,T312)),0), FactorTable!$A$2:$A$301,0), 22)</f>
        <v/>
      </c>
      <c r="U313" t="n">
        <v>0</v>
      </c>
      <c r="Z313">
        <f>INDEX(FactorTable!$B$2:$Y$301, MATCH(ROUND(MIN(300,MAX(1,Z312)),0), FactorTable!$A$2:$A$301,0), 24)</f>
        <v/>
      </c>
    </row>
    <row r="314">
      <c r="A314">
        <f>Skills!A4</f>
        <v/>
      </c>
      <c r="B314">
        <f>Skills!B4</f>
        <v/>
      </c>
      <c r="C314">
        <f>Inputs!$B$3&gt;=40</f>
        <v/>
      </c>
      <c r="D314">
        <f>IF(Skills!C4=1,60+Inputs!$B$25+Inputs!$B$29,IF(Skills!C4=2,90+Inputs!$B$26+Inputs!$B$29,IF(Skills!C4=3,120+Inputs!$B$27+Inputs!$B$29,MAX(0,(Inputs!$B$3-100)*3)+Inputs!$B$28+Inputs!$B$29)))</f>
        <v/>
      </c>
      <c r="E314">
        <f>INDEX(FactorTable!$B$2:$Y$301, MATCH(ROUND(MIN(300,MAX(1,D314)),0), FactorTable!$A$2:$A$301,0), Skills!L4+1)</f>
        <v/>
      </c>
      <c r="F314">
        <f>IF(Skills!M4=TRUE,(Skills!K4/10)*(E314/1000),Skills!K4/10)+Skills!N4</f>
        <v/>
      </c>
      <c r="G314">
        <f>Calc!G4</f>
        <v/>
      </c>
      <c r="H314">
        <f>Calc!H4</f>
        <v/>
      </c>
      <c r="I314">
        <f>IF(Skills!T4&lt;&gt;"",1+(Skills!T4/10)*(Z313/1000)/100,1)</f>
        <v/>
      </c>
      <c r="J314" t="inlineStr"/>
      <c r="K314" t="inlineStr"/>
      <c r="L314" t="inlineStr"/>
      <c r="M314" t="inlineStr"/>
      <c r="N314" t="inlineStr"/>
      <c r="O314">
        <f>(1-Summary!$B$11)*S314+Summary!$B$11*U314</f>
        <v/>
      </c>
      <c r="P314">
        <f>IF(B347=0,0,O314/B347)</f>
        <v/>
      </c>
      <c r="Q314">
        <f>IFERROR(1/IF(Inputs!$B$38="pvp",15,MAX(0.1,Skills!D4-IF(Skills!E4=TRUE,Inputs!$B$32,0))),0)</f>
        <v/>
      </c>
      <c r="R314">
        <f>IF(AND(Inputs!$B$38&lt;&gt;"pvp",Inputs!$B$43&gt;0),IF(Inputs!$B$43&lt;=0,0,(INT(Inputs!$B$43/IF(Inputs!$B$38="pvp",15,MAX(0.1,Skills!D4-IF(Skills!E4=TRUE,Inputs!$B$32,0))))+1)),0)</f>
        <v/>
      </c>
      <c r="S314" t="n">
        <v>0</v>
      </c>
      <c r="T314">
        <f>290*T313/1000</f>
        <v/>
      </c>
      <c r="U314" t="n">
        <v>0</v>
      </c>
    </row>
    <row r="315">
      <c r="A315">
        <f>Skills!A5</f>
        <v/>
      </c>
      <c r="B315">
        <f>Skills!B5</f>
        <v/>
      </c>
      <c r="C315">
        <f>Inputs!$B$3&gt;=38</f>
        <v/>
      </c>
      <c r="D315">
        <f>IF(Skills!C5=1,60+Inputs!$B$25+Inputs!$B$29,IF(Skills!C5=2,90+Inputs!$B$26+Inputs!$B$29,IF(Skills!C5=3,120+Inputs!$B$27+Inputs!$B$29,MAX(0,(Inputs!$B$3-100)*3)+Inputs!$B$28+Inputs!$B$29)))</f>
        <v/>
      </c>
      <c r="E315">
        <f>INDEX(FactorTable!$B$2:$Y$301, MATCH(ROUND(MIN(300,MAX(1,D315)),0), FactorTable!$A$2:$A$301,0), Skills!L5+1)</f>
        <v/>
      </c>
      <c r="F315">
        <f>IF(Skills!M5=TRUE,(Skills!K5/10)*(E315/1000),Skills!K5/10)+Skills!N5</f>
        <v/>
      </c>
      <c r="G315">
        <f>Calc!G5</f>
        <v/>
      </c>
      <c r="H315">
        <f>Calc!H5</f>
        <v/>
      </c>
      <c r="I315">
        <f>IF(Skills!T5&lt;&gt;"",1+(Skills!T5/10)*(Z313/1000)/100,1)</f>
        <v/>
      </c>
      <c r="J315">
        <f>((Inputs!$B$6*(1+Inputs!$B$7/100))+(((Inputs!$B$12*(1+Inputs!$B$13/100))-(Inputs!$B$12*(1+Inputs!$B$13/100)))+0.25*(Inputs!$B$14-Inputs!$B$14))*(1+Inputs!$B$7/100))*(F315/100)</f>
        <v/>
      </c>
      <c r="K315">
        <f>J315*(1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5="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F328-Calc!F18),(Inputs!$B$23+(IF(ArtifactsInput!$M$15,CHOOSE(ArtifactsInput!$N$15+1,25,30,35,40,45,50)/100*(Inputs!$B$11-Inputs!$B$11),0))))/100+(Inputs!$B$23+(IF(ArtifactsInput!$M$15,CHOOSE(ArtifactsInput!$N$15+1,25,30,35,40,45,50)/100*(Inputs!$B$11-Inputs!$B$11),0)))/100)/2</f>
        <v/>
      </c>
      <c r="M315">
        <f>L315*(1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(1-Summary!$B$11)*S315+Summary!$B$11*U315</f>
        <v/>
      </c>
      <c r="P315">
        <f>IF(B347=0,0,O315/B347)</f>
        <v/>
      </c>
      <c r="Q315">
        <f>IFERROR(1/IF(Inputs!$B$38="pvp",15,MAX(0.1,Skills!D5-IF(Skills!E5=TRUE,Inputs!$B$32,0))),0)</f>
        <v/>
      </c>
      <c r="R315">
        <f>IF(AND(Inputs!$B$38&lt;&gt;"pvp",Inputs!$B$43&gt;0),IF(MAX(0,Inputs!$B$43-B344)&lt;=0,0,(INT(MAX(0,Inputs!$B$43-B344)/IF(Inputs!$B$38="pvp",15,MAX(0.1,Skills!D5-IF(Skills!E5=TRUE,Inputs!$B$32,0))))+1)),0)</f>
        <v/>
      </c>
      <c r="S315">
        <f>IF(C315,(H315*N315*IF(AND(Inputs!$B$38&lt;&gt;"pvp",Inputs!$B$43&gt;0),((Skills!F5*((R315-1)*IF(Skills!G5&gt;0,Skills!H5/Skills!G5,1)+IF(Skills!G5&gt;0,MIN(Skills!H5,MAX(0,MAX(0,Inputs!$B$43-B344)-((R315-1)*IF(Inputs!$B$38="pvp",15,MAX(0.1,Skills!D5-IF(Skills!E5=TRUE,Inputs!$B$32,0))))))/Skills!G5,1)))/Inputs!$B$43),G315*Q315))*IF(Inputs!$B$38="pvp",1,1+(Inputs!$B$20+Skills!O5+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315*(1-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IF(C315,(H315*N315*IF(AND(Inputs!$B$38&lt;&gt;"pvp",Inputs!$B$43&gt;0),((Skills!F5*((R315-1)*IF(Skills!G5&gt;0,Skills!H5/Skills!G5,1)+IF(Skills!G5&gt;0,MIN(Skills!H5,MAX(0,MAX(0,Inputs!$B$43-B344)-((R315-1)*IF(Inputs!$B$38="pvp",15,MAX(0.1,Skills!D5-IF(Skills!E5=TRUE,Inputs!$B$32,0))))))/Skills!G5,1)))/Inputs!$B$43),G315*Q315))*IF(Inputs!$B$38="pvp",1,(1+(Inputs!$B$21+Skills!P5+B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Skills!A6</f>
        <v/>
      </c>
      <c r="B316">
        <f>Skills!B6</f>
        <v/>
      </c>
      <c r="C316">
        <f>Inputs!$B$3&gt;=63</f>
        <v/>
      </c>
      <c r="D316">
        <f>IF(Skills!C6=1,60+Inputs!$B$25+Inputs!$B$29,IF(Skills!C6=2,90+Inputs!$B$26+Inputs!$B$29,IF(Skills!C6=3,120+Inputs!$B$27+Inputs!$B$29,MAX(0,(Inputs!$B$3-100)*3)+Inputs!$B$28+Inputs!$B$29)))</f>
        <v/>
      </c>
      <c r="E316">
        <f>INDEX(FactorTable!$B$2:$Y$301, MATCH(ROUND(MIN(300,MAX(1,D316)),0), FactorTable!$A$2:$A$301,0), Skills!L6+1)</f>
        <v/>
      </c>
      <c r="F316">
        <f>IF(Skills!M6=TRUE,(Skills!K6/10)*(E316/1000),Skills!K6/10)+Skills!N6</f>
        <v/>
      </c>
      <c r="G316">
        <f>Calc!G6</f>
        <v/>
      </c>
      <c r="H316">
        <f>Calc!H6</f>
        <v/>
      </c>
      <c r="I316">
        <f>IF(Skills!T6&lt;&gt;"",1+(Skills!T6/10)*(Z313/1000)/100,1)</f>
        <v/>
      </c>
      <c r="J316">
        <f>((Inputs!$B$6*(1+Inputs!$B$7/100))+(((Inputs!$B$12*(1+Inputs!$B$13/100))-(Inputs!$B$12*(1+Inputs!$B$13/100)))+0.25*(Inputs!$B$14-Inputs!$B$14))*(1+Inputs!$B$7/100))*(F316/100)</f>
        <v/>
      </c>
      <c r="K316">
        <f>J316*(1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6="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F328-Calc!F18),(Inputs!$B$23+(IF(ArtifactsInput!$M$15,CHOOSE(ArtifactsInput!$N$15+1,25,30,35,40,45,50)/100*(Inputs!$B$11-Inputs!$B$11),0))))/100+(Inputs!$B$23+(IF(ArtifactsInput!$M$15,CHOOSE(ArtifactsInput!$N$15+1,25,30,35,40,45,50)/100*(Inputs!$B$11-Inputs!$B$11),0)))/100)/2</f>
        <v/>
      </c>
      <c r="M316">
        <f>L316*(1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(1-Summary!$B$11)*S316+Summary!$B$11*U316</f>
        <v/>
      </c>
      <c r="P316">
        <f>IF(B347=0,0,O316/B347)</f>
        <v/>
      </c>
      <c r="Q316">
        <f>IFERROR(1/IF(Inputs!$B$38="pvp",15,MAX(0.1,Skills!D6-IF(Skills!E6=TRUE,Inputs!$B$32,0))),0)</f>
        <v/>
      </c>
      <c r="R316">
        <f>IF(AND(Inputs!$B$38&lt;&gt;"pvp",Inputs!$B$43&gt;0),IF(MAX(0,Inputs!$B$43-B344)&lt;=0,0,(INT(MAX(0,Inputs!$B$43-B344)/IF(Inputs!$B$38="pvp",15,MAX(0.1,Skills!D6-IF(Skills!E6=TRUE,Inputs!$B$32,0))))+1)),0)</f>
        <v/>
      </c>
      <c r="S316">
        <f>IF(C316,(H316*N316*IF(AND(Inputs!$B$38&lt;&gt;"pvp",Inputs!$B$43&gt;0),((Skills!F6*((R316-1)*IF(Skills!G6&gt;0,Skills!H6/Skills!G6,1)+IF(Skills!G6&gt;0,MIN(Skills!H6,MAX(0,MAX(0,Inputs!$B$43-B344)-((R316-1)*IF(Inputs!$B$38="pvp",15,MAX(0.1,Skills!D6-IF(Skills!E6=TRUE,Inputs!$B$32,0))))))/Skills!G6,1)))/Inputs!$B$43),G316*Q316))*IF(Inputs!$B$38="pvp",1,1+(Inputs!$B$20+Skills!O6+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
        <f>IF(C316,(H316*N316*IF(AND(Inputs!$B$38&lt;&gt;"pvp",Inputs!$B$43&gt;0),((Skills!F6*((R316-1)*IF(Skills!G6&gt;0,Skills!H6/Skills!G6,1)+IF(Skills!G6&gt;0,MIN(Skills!H6,MAX(0,MAX(0,Inputs!$B$43-B344)-((R316-1)*IF(Inputs!$B$38="pvp",15,MAX(0.1,Skills!D6-IF(Skills!E6=TRUE,Inputs!$B$32,0))))))/Skills!G6,1)))/Inputs!$B$43),G316*Q316))*IF(Inputs!$B$38="pvp",1,(1+(Inputs!$B$21+Skills!P6+B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Skills!A7</f>
        <v/>
      </c>
      <c r="B317">
        <f>Skills!B7</f>
        <v/>
      </c>
      <c r="C317">
        <f>Inputs!$B$3&gt;=69</f>
        <v/>
      </c>
      <c r="D317">
        <f>IF(Skills!C7=1,60+Inputs!$B$25+Inputs!$B$29,IF(Skills!C7=2,90+Inputs!$B$26+Inputs!$B$29,IF(Skills!C7=3,120+Inputs!$B$27+Inputs!$B$29,MAX(0,(Inputs!$B$3-100)*3)+Inputs!$B$28+Inputs!$B$29)))</f>
        <v/>
      </c>
      <c r="E317">
        <f>INDEX(FactorTable!$B$2:$Y$301, MATCH(ROUND(MIN(300,MAX(1,D317)),0), FactorTable!$A$2:$A$301,0), Skills!L7+1)</f>
        <v/>
      </c>
      <c r="F317">
        <f>IF(Skills!M7=TRUE,(Skills!K7/10)*(E317/1000),Skills!K7/10)+Skills!N7</f>
        <v/>
      </c>
      <c r="G317">
        <f>Calc!G7</f>
        <v/>
      </c>
      <c r="H317">
        <f>Calc!H7</f>
        <v/>
      </c>
      <c r="I317">
        <f>IF(Skills!T7&lt;&gt;"",1+(Skills!T7/10)*(Z313/1000)/100,1)</f>
        <v/>
      </c>
      <c r="J317">
        <f>((Inputs!$B$6*(1+Inputs!$B$7/100))+(((Inputs!$B$12*(1+Inputs!$B$13/100))-(Inputs!$B$12*(1+Inputs!$B$13/100)))+0.25*(Inputs!$B$14-Inputs!$B$14))*(1+Inputs!$B$7/100))*(F317/100)</f>
        <v/>
      </c>
      <c r="K317">
        <f>J317*(1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7="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F328-Calc!F18),(Inputs!$B$23+(IF(ArtifactsInput!$M$15,CHOOSE(ArtifactsInput!$N$15+1,25,30,35,40,45,50)/100*(Inputs!$B$11-Inputs!$B$11),0))))/100+(Inputs!$B$23+(IF(ArtifactsInput!$M$15,CHOOSE(ArtifactsInput!$N$15+1,25,30,35,40,45,50)/100*(Inputs!$B$11-Inputs!$B$11),0)))/100)/2</f>
        <v/>
      </c>
      <c r="M317">
        <f>L317*(1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(1-Summary!$B$11)*S317+Summary!$B$11*U317</f>
        <v/>
      </c>
      <c r="P317">
        <f>IF(B347=0,0,O317/B347)</f>
        <v/>
      </c>
      <c r="Q317">
        <f>IFERROR(1/IF(Inputs!$B$38="pvp",15,MAX(0.1,Skills!D7-IF(Skills!E7=TRUE,Inputs!$B$32,0))),0)</f>
        <v/>
      </c>
      <c r="R317">
        <f>IF(AND(Inputs!$B$38&lt;&gt;"pvp",Inputs!$B$43&gt;0),IF(MAX(0,Inputs!$B$43-B344)&lt;=0,0,(INT(MAX(0,Inputs!$B$43-B344)/IF(Inputs!$B$38="pvp",15,MAX(0.1,Skills!D7-IF(Skills!E7=TRUE,Inputs!$B$32,0))))+1)),0)</f>
        <v/>
      </c>
      <c r="S317">
        <f>IF(C317,(H317*N317*IF(AND(Inputs!$B$38&lt;&gt;"pvp",Inputs!$B$43&gt;0),((Skills!F7*((R317-1)*IF(Skills!G7&gt;0,Skills!H7/Skills!G7,1)+IF(Skills!G7&gt;0,MIN(Skills!H7,MAX(0,MAX(0,Inputs!$B$43-B344)-((R317-1)*IF(Inputs!$B$38="pvp",15,MAX(0.1,Skills!D7-IF(Skills!E7=TRUE,Inputs!$B$32,0))))))/Skills!G7,1)))/Inputs!$B$43),G317*Q317))*IF(Inputs!$B$38="pvp",1,1+(Inputs!$B$20+Skills!O7+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
        <f>IF(C317,(H317*N317*IF(AND(Inputs!$B$38&lt;&gt;"pvp",Inputs!$B$43&gt;0),((Skills!F7*((R317-1)*IF(Skills!G7&gt;0,Skills!H7/Skills!G7,1)+IF(Skills!G7&gt;0,MIN(Skills!H7,MAX(0,MAX(0,Inputs!$B$43-B344)-((R317-1)*IF(Inputs!$B$38="pvp",15,MAX(0.1,Skills!D7-IF(Skills!E7=TRUE,Inputs!$B$32,0))))))/Skills!G7,1)))/Inputs!$B$43),G317*Q317))*IF(Inputs!$B$38="pvp",1,(1+(Inputs!$B$21+Skills!P7+B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Skills!A8</f>
        <v/>
      </c>
      <c r="B318">
        <f>Skills!B8</f>
        <v/>
      </c>
      <c r="C318">
        <f>Inputs!$B$3&gt;=103</f>
        <v/>
      </c>
      <c r="D318">
        <f>IF(Skills!C8=1,60+Inputs!$B$25+Inputs!$B$29,IF(Skills!C8=2,90+Inputs!$B$26+Inputs!$B$29,IF(Skills!C8=3,120+Inputs!$B$27+Inputs!$B$29,MAX(0,(Inputs!$B$3-100)*3)+Inputs!$B$28+Inputs!$B$29)))</f>
        <v/>
      </c>
      <c r="E318">
        <f>INDEX(FactorTable!$B$2:$Y$301, MATCH(ROUND(MIN(300,MAX(1,D318)),0), FactorTable!$A$2:$A$301,0), Skills!L8+1)</f>
        <v/>
      </c>
      <c r="F318">
        <f>IF(Skills!M8=TRUE,(Skills!K8/10)*(E318/1000),Skills!K8/10)+Skills!N8</f>
        <v/>
      </c>
      <c r="G318">
        <f>Calc!G8</f>
        <v/>
      </c>
      <c r="H318">
        <f>Calc!H8</f>
        <v/>
      </c>
      <c r="I318">
        <f>IF(Skills!T8&lt;&gt;"",1+(Skills!T8/10)*(Z313/1000)/100,1)</f>
        <v/>
      </c>
      <c r="J318">
        <f>((Inputs!$B$6*(1+Inputs!$B$7/100))+(((Inputs!$B$12*(1+Inputs!$B$13/100))-(Inputs!$B$12*(1+Inputs!$B$13/100)))+0.25*(Inputs!$B$14-Inputs!$B$14))*(1+Inputs!$B$7/100))*(F318/100)</f>
        <v/>
      </c>
      <c r="K318">
        <f>J318*(1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8="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328-Calc!F18),(Inputs!$B$23+(IF(ArtifactsInput!$M$15,CHOOSE(ArtifactsInput!$N$15+1,25,30,35,40,45,50)/100*(Inputs!$B$11-Inputs!$B$11),0))))/100+(Inputs!$B$23+(IF(ArtifactsInput!$M$15,CHOOSE(ArtifactsInput!$N$15+1,25,30,35,40,45,50)/100*(Inputs!$B$11-Inputs!$B$11),0)))/100)/2</f>
        <v/>
      </c>
      <c r="M318">
        <f>L318*(1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IF(B347=0,0,O318/B347)</f>
        <v/>
      </c>
      <c r="Q318">
        <f>IFERROR(1/IF(Inputs!$B$38="pvp",15,MAX(0.1,Skills!D8-IF(Skills!E8=TRUE,Inputs!$B$32,0))),0)</f>
        <v/>
      </c>
      <c r="R318">
        <f>IF(AND(Inputs!$B$38&lt;&gt;"pvp",Inputs!$B$43&gt;0),IF(MAX(0,Inputs!$B$43-B344)&lt;=0,0,(INT(MAX(0,Inputs!$B$43-B344)/IF(Inputs!$B$38="pvp",15,MAX(0.1,Skills!D8-IF(Skills!E8=TRUE,Inputs!$B$32,0))))+1)),0)</f>
        <v/>
      </c>
      <c r="S318">
        <f>IF(C318,(H318*N318*IF(AND(Inputs!$B$38&lt;&gt;"pvp",Inputs!$B$43&gt;0),((Skills!F8*((R318-1)*IF(Skills!G8&gt;0,Skills!H8/Skills!G8,1)+IF(Skills!G8&gt;0,MIN(Skills!H8,MAX(0,MAX(0,Inputs!$B$43-B344)-((R318-1)*IF(Inputs!$B$38="pvp",15,MAX(0.1,Skills!D8-IF(Skills!E8=TRUE,Inputs!$B$32,0))))))/Skills!G8,1)))/Inputs!$B$43),G318*Q318))*IF(Inputs!$B$38="pvp",1,1+(Inputs!$B$20+Skills!O8+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F8*((R318-1)*IF(Skills!G8&gt;0,Skills!H8/Skills!G8,1)+IF(Skills!G8&gt;0,MIN(Skills!H8,MAX(0,MAX(0,Inputs!$B$43-B344)-((R318-1)*IF(Inputs!$B$38="pvp",15,MAX(0.1,Skills!D8-IF(Skills!E8=TRUE,Inputs!$B$32,0))))))/Skills!G8,1)))/Inputs!$B$43),G318*Q318))*IF(Inputs!$B$38="pvp",1,(1+(Inputs!$B$21+Skills!P8+B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Skills!A9</f>
        <v/>
      </c>
      <c r="B319">
        <f>Skills!B9</f>
        <v/>
      </c>
      <c r="C319">
        <f>Inputs!$B$3&gt;=105</f>
        <v/>
      </c>
      <c r="D319">
        <f>IF(Skills!C9=1,60+Inputs!$B$25+Inputs!$B$29,IF(Skills!C9=2,90+Inputs!$B$26+Inputs!$B$29,IF(Skills!C9=3,120+Inputs!$B$27+Inputs!$B$29,MAX(0,(Inputs!$B$3-100)*3)+Inputs!$B$28+Inputs!$B$29)))</f>
        <v/>
      </c>
      <c r="E319">
        <f>INDEX(FactorTable!$B$2:$Y$301, MATCH(ROUND(MIN(300,MAX(1,D319)),0), FactorTable!$A$2:$A$301,0), Skills!L9+1)</f>
        <v/>
      </c>
      <c r="F319">
        <f>IF(Skills!M9=TRUE,(Skills!K9/10)*(E319/1000),Skills!K9/10)+Skills!N9</f>
        <v/>
      </c>
      <c r="G319">
        <f>Calc!G9</f>
        <v/>
      </c>
      <c r="H319">
        <f>Calc!H9</f>
        <v/>
      </c>
      <c r="I319">
        <f>IF(Skills!T9&lt;&gt;"",1+(Skills!T9/10)*(Z313/1000)/100,1)</f>
        <v/>
      </c>
      <c r="J319">
        <f>((Inputs!$B$6*(1+Inputs!$B$7/100))+(((Inputs!$B$12*(1+Inputs!$B$13/100))-(Inputs!$B$12*(1+Inputs!$B$13/100)))+0.25*(Inputs!$B$14-Inputs!$B$14))*(1+Inputs!$B$7/100))*(F319/100)</f>
        <v/>
      </c>
      <c r="K319">
        <f>J319*(1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9="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F328-Calc!F18),(Inputs!$B$23+(IF(ArtifactsInput!$M$15,CHOOSE(ArtifactsInput!$N$15+1,25,30,35,40,45,50)/100*(Inputs!$B$11-Inputs!$B$11),0))))/100+(Inputs!$B$23+(IF(ArtifactsInput!$M$15,CHOOSE(ArtifactsInput!$N$15+1,25,30,35,40,45,50)/100*(Inputs!$B$11-Inputs!$B$11),0)))/100)/2</f>
        <v/>
      </c>
      <c r="M319">
        <f>L319*(1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(1-Summary!$B$11)*S319+Summary!$B$11*U319</f>
        <v/>
      </c>
      <c r="P319">
        <f>IF(B347=0,0,O319/B347)</f>
        <v/>
      </c>
      <c r="Q319">
        <f>IFERROR(1/IF(Inputs!$B$38="pvp",15,MAX(0.1,Skills!D9-IF(Skills!E9=TRUE,Inputs!$B$32,0))),0)</f>
        <v/>
      </c>
      <c r="R319">
        <f>IF(AND(Inputs!$B$38&lt;&gt;"pvp",Inputs!$B$43&gt;0),IF(MAX(0,Inputs!$B$43-B344)&lt;=0,0,(INT(MAX(0,Inputs!$B$43-B344)/IF(Inputs!$B$38="pvp",15,MAX(0.1,Skills!D9-IF(Skills!E9=TRUE,Inputs!$B$32,0))))+1)),0)</f>
        <v/>
      </c>
      <c r="S319">
        <f>IF(C319,(H319*N319*IF(AND(Inputs!$B$38&lt;&gt;"pvp",Inputs!$B$43&gt;0),((Skills!F9*((R319-1)*IF(Skills!G9&gt;0,Skills!H9/Skills!G9,1)+IF(Skills!G9&gt;0,MIN(Skills!H9,MAX(0,MAX(0,Inputs!$B$43-B344)-((R319-1)*IF(Inputs!$B$38="pvp",15,MAX(0.1,Skills!D9-IF(Skills!E9=TRUE,Inputs!$B$32,0))))))/Skills!G9,1)))/Inputs!$B$43),G319*Q319))*IF(Inputs!$B$38="pvp",1,1+(Inputs!$B$20+Skills!O9+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
        <f>IF(C319,(H319*N319*IF(AND(Inputs!$B$38&lt;&gt;"pvp",Inputs!$B$43&gt;0),((Skills!F9*((R319-1)*IF(Skills!G9&gt;0,Skills!H9/Skills!G9,1)+IF(Skills!G9&gt;0,MIN(Skills!H9,MAX(0,MAX(0,Inputs!$B$43-B344)-((R319-1)*IF(Inputs!$B$38="pvp",15,MAX(0.1,Skills!D9-IF(Skills!E9=TRUE,Inputs!$B$32,0))))))/Skills!G9,1)))/Inputs!$B$43),G319*Q319))*IF(Inputs!$B$38="pvp",1,(1+(Inputs!$B$21+Skills!P9+B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Skills!A10</f>
        <v/>
      </c>
      <c r="B320">
        <f>Skills!B10</f>
        <v/>
      </c>
      <c r="C320">
        <f>Inputs!$B$3&gt;=113</f>
        <v/>
      </c>
      <c r="D320">
        <f>IF(Skills!C10=1,60+Inputs!$B$25+Inputs!$B$29,IF(Skills!C10=2,90+Inputs!$B$26+Inputs!$B$29,IF(Skills!C10=3,120+Inputs!$B$27+Inputs!$B$29,MAX(0,(Inputs!$B$3-100)*3)+Inputs!$B$28+Inputs!$B$29)))</f>
        <v/>
      </c>
      <c r="E320">
        <f>INDEX(FactorTable!$B$2:$Y$301, MATCH(ROUND(MIN(300,MAX(1,D320)),0), FactorTable!$A$2:$A$301,0), Skills!L10+1)</f>
        <v/>
      </c>
      <c r="F320">
        <f>IF(Skills!M10=TRUE,(Skills!K10/10)*(E320/1000),Skills!K10/10)+Skills!N10</f>
        <v/>
      </c>
      <c r="G320">
        <f>Calc!G10</f>
        <v/>
      </c>
      <c r="H320">
        <f>Calc!H10</f>
        <v/>
      </c>
      <c r="I320">
        <f>IF(Skills!T10&lt;&gt;"",1+(Skills!T10/10)*(Z313/1000)/100,1)</f>
        <v/>
      </c>
      <c r="J320">
        <f>((Inputs!$B$6*(1+Inputs!$B$7/100))+(((Inputs!$B$12*(1+Inputs!$B$13/100))-(Inputs!$B$12*(1+Inputs!$B$13/100)))+0.25*(Inputs!$B$14-Inputs!$B$14))*(1+Inputs!$B$7/100))*(F320/100)</f>
        <v/>
      </c>
      <c r="K320">
        <f>J320*(1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10="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F328-Calc!F18),(Inputs!$B$23+(IF(ArtifactsInput!$M$15,CHOOSE(ArtifactsInput!$N$15+1,25,30,35,40,45,50)/100*(Inputs!$B$11-Inputs!$B$11),0))))/100+(Inputs!$B$23+(IF(ArtifactsInput!$M$15,CHOOSE(ArtifactsInput!$N$15+1,25,30,35,40,45,50)/100*(Inputs!$B$11-Inputs!$B$11),0)))/100)/2</f>
        <v/>
      </c>
      <c r="M320">
        <f>L320*(1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(1-Summary!$B$11)*S320+Summary!$B$11*U320</f>
        <v/>
      </c>
      <c r="P320">
        <f>IF(B347=0,0,O320/B347)</f>
        <v/>
      </c>
      <c r="Q320">
        <f>IFERROR(1/IF(Inputs!$B$38="pvp",15,MAX(0.1,Skills!D10-IF(Skills!E9=TRUE,Inputs!$B$32,0))),0)</f>
        <v/>
      </c>
      <c r="R320">
        <f>IF(AND(Inputs!$B$38&lt;&gt;"pvp",Inputs!$B$43&gt;0),IF(MAX(0,Inputs!$B$43-B344)&lt;=0,0,(INT(MAX(0,Inputs!$B$43-B344)/IF(Inputs!$B$38="pvp",15,MAX(0.1,Skills!D10-IF(Skills!E9=TRUE,Inputs!$B$32,0))))+1)),0)</f>
        <v/>
      </c>
      <c r="S320">
        <f>IF(C320,(H320*N320*IF(AND(Inputs!$B$38&lt;&gt;"pvp",Inputs!$B$43&gt;0),((Skills!F10*((R320-1)*IF(Skills!G10&gt;0,Skills!H10/Skills!G10,1)+IF(Skills!G10&gt;0,MIN(Skills!H10,MAX(0,MAX(0,Inputs!$B$43-B344)-((R320-1)*IF(Inputs!$B$38="pvp",15,MAX(0.1,Skills!D10-IF(Skills!E9=TRUE,Inputs!$B$32,0))))))/Skills!G10,1)))/Inputs!$B$43),G320*Q320))*IF(Inputs!$B$38="pvp",1,1+(Inputs!$B$20+Skills!O10+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320*(1-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
        <f>IF(C320,(H320*N320*IF(AND(Inputs!$B$38&lt;&gt;"pvp",Inputs!$B$43&gt;0),((Skills!F10*((R320-1)*IF(Skills!G10&gt;0,Skills!H10/Skills!G10,1)+IF(Skills!G10&gt;0,MIN(Skills!H10,MAX(0,MAX(0,Inputs!$B$43-B344)-((R320-1)*IF(Inputs!$B$38="pvp",15,MAX(0.1,Skills!D10-IF(Skills!E9=TRUE,Inputs!$B$32,0))))))/Skills!G10,1)))/Inputs!$B$43),G320*Q320))*IF(Inputs!$B$38="pvp",1,(1+(Inputs!$B$21+Skills!P10+B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Skills!A11</f>
        <v/>
      </c>
      <c r="B321">
        <f>Skills!B11</f>
        <v/>
      </c>
      <c r="C321">
        <f>Inputs!$B$3&gt;=107</f>
        <v/>
      </c>
      <c r="D321">
        <f>IF(Skills!C11=1,60+Inputs!$B$25+Inputs!$B$29,IF(Skills!C11=2,90+Inputs!$B$26+Inputs!$B$29,IF(Skills!C11=3,120+Inputs!$B$27+Inputs!$B$29,MAX(0,(Inputs!$B$3-100)*3)+Inputs!$B$28+Inputs!$B$29)))</f>
        <v/>
      </c>
      <c r="E321">
        <f>INDEX(FactorTable!$B$2:$Y$301, MATCH(ROUND(MIN(300,MAX(1,D321)),0), FactorTable!$A$2:$A$301,0), Skills!L11+1)</f>
        <v/>
      </c>
      <c r="F321">
        <f>IF(Skills!M11=TRUE,(Skills!K11/10)*(E321/1000),Skills!K11/10)+Skills!N11</f>
        <v/>
      </c>
      <c r="G321">
        <f>Calc!G11</f>
        <v/>
      </c>
      <c r="H321">
        <f>Calc!H11</f>
        <v/>
      </c>
      <c r="I321">
        <f>IF(Skills!T11&lt;&gt;"",1+(Skills!T11/10)*(Z313/1000)/100,1)</f>
        <v/>
      </c>
      <c r="J321">
        <f>((Inputs!$B$6*(1+Inputs!$B$7/100))+(((Inputs!$B$12*(1+Inputs!$B$13/100))-(Inputs!$B$12*(1+Inputs!$B$13/100)))+0.25*(Inputs!$B$14-Inputs!$B$14))*(1+Inputs!$B$7/100))*(F321/100)</f>
        <v/>
      </c>
      <c r="K321">
        <f>J321*(1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11="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F328-Calc!F18),(Inputs!$B$23+(IF(ArtifactsInput!$M$15,CHOOSE(ArtifactsInput!$N$15+1,25,30,35,40,45,50)/100*(Inputs!$B$11-Inputs!$B$11),0))))/100+(Inputs!$B$23+(IF(ArtifactsInput!$M$15,CHOOSE(ArtifactsInput!$N$15+1,25,30,35,40,45,50)/100*(Inputs!$B$11-Inputs!$B$11),0)))/100)/2</f>
        <v/>
      </c>
      <c r="M321">
        <f>L321*(1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(1-Summary!$B$11)*S321+Summary!$B$11*U321</f>
        <v/>
      </c>
      <c r="P321">
        <f>IF(B347=0,0,O321/B347)</f>
        <v/>
      </c>
      <c r="Q321">
        <f>IFERROR(1/IF(Inputs!$B$38="pvp",15,MAX(0.1,Skills!D11-IF(Skills!E11=TRUE,Inputs!$B$32,0))),0)</f>
        <v/>
      </c>
      <c r="R321">
        <f>IF(AND(Inputs!$B$38&lt;&gt;"pvp",Inputs!$B$43&gt;0),IF(MAX(0,Inputs!$B$43-B344)&lt;=0,0,(INT(MAX(0,Inputs!$B$43-B344)/IF(Inputs!$B$38="pvp",15,MAX(0.1,Skills!D11-IF(Skills!E11=TRUE,Inputs!$B$32,0))))+1)),0)</f>
        <v/>
      </c>
      <c r="S321">
        <f>IF(C321,H321*N321*IF(AND(Inputs!$B$38&lt;&gt;"pvp",Inputs!$B$43&gt;0),((Skills!F11*((R321-1)*IF(Skills!G11&gt;0,Skills!H11/Skills!G11,1)+IF(Skills!G11&gt;0,MIN(Skills!H11,MAX(0,MAX(0,Inputs!$B$43-B344)-((R321-1)*IF(Inputs!$B$38="pvp",15,MAX(0.1,Skills!D11-IF(Skills!E11=TRUE,Inputs!$B$32,0))))))/Skills!G11,1)))/Inputs!$B$43),G321*Q321)*0.5*IF(Inputs!$B$38="pvp",1,1+(Inputs!$B$20+Skills!O11+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321*(1-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
        <f>IF(C321,H321*N321*IF(AND(Inputs!$B$38&lt;&gt;"pvp",Inputs!$B$43&gt;0),((Skills!F11*((R321-1)*IF(Skills!G11&gt;0,Skills!H11/Skills!G11,1)+IF(Skills!G11&gt;0,MIN(Skills!H11,MAX(0,MAX(0,Inputs!$B$43-B344)-((R321-1)*IF(Inputs!$B$38="pvp",15,MAX(0.1,Skills!D11-IF(Skills!E11=TRUE,Inputs!$B$32,0))))))/Skills!G11,1)))/Inputs!$B$43),G321*Q321)*1*IF(Inputs!$B$38="pvp",1,(1+(Inputs!$B$21+Skills!P11+B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Skills!A12</f>
        <v/>
      </c>
      <c r="B322">
        <f>Skills!B12</f>
        <v/>
      </c>
      <c r="C322">
        <f>Inputs!$B$3&gt;=115</f>
        <v/>
      </c>
      <c r="D322">
        <f>IF(Skills!C12=1,60+Inputs!$B$25+Inputs!$B$29,IF(Skills!C12=2,90+Inputs!$B$26+Inputs!$B$29,IF(Skills!C12=3,120+Inputs!$B$27+Inputs!$B$29,MAX(0,(Inputs!$B$3-100)*3)+Inputs!$B$28+Inputs!$B$29)))</f>
        <v/>
      </c>
      <c r="E322">
        <f>INDEX(FactorTable!$B$2:$Y$301, MATCH(ROUND(MIN(300,MAX(1,D322)),0), FactorTable!$A$2:$A$301,0), Skills!L12+1)</f>
        <v/>
      </c>
      <c r="F322">
        <f>IF(Skills!M12=TRUE,(Skills!K12/10)*(E322/1000),Skills!K12/10)+Skills!N12</f>
        <v/>
      </c>
      <c r="G322">
        <f>Calc!G12</f>
        <v/>
      </c>
      <c r="H322">
        <f>Calc!H12</f>
        <v/>
      </c>
      <c r="I322">
        <f>IF(Skills!T12&lt;&gt;"",1+(Skills!T12/10)*(Z313/1000)/100,1)</f>
        <v/>
      </c>
      <c r="J322">
        <f>((Inputs!$B$6*(1+Inputs!$B$7/100))+(((Inputs!$B$12*(1+Inputs!$B$13/100))-(Inputs!$B$12*(1+Inputs!$B$13/100)))+0.25*(Inputs!$B$14-Inputs!$B$14))*(1+Inputs!$B$7/100))*(F322/100)</f>
        <v/>
      </c>
      <c r="K322">
        <f>J322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12="CHAIN_LIGHTNING",Inputs!$B$17+((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F328-Calc!F18),(Inputs!$B$23+(IF(ArtifactsInput!$M$15,CHOOSE(ArtifactsInput!$N$15+1,25,30,35,40,45,50)/100*(Inputs!$B$11-Inputs!$B$11),0))))/100+(Inputs!$B$23+(IF(ArtifactsInput!$M$15,CHOOSE(ArtifactsInput!$N$15+1,25,30,35,40,45,50)/100*(Inputs!$B$11-Inputs!$B$11),0)))/100)/2</f>
        <v/>
      </c>
      <c r="M322">
        <f>L322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(1-Summary!$B$11)*S322+Summary!$B$11*U322</f>
        <v/>
      </c>
      <c r="P322">
        <f>IF(B347=0,0,O322/B347)</f>
        <v/>
      </c>
      <c r="Q322">
        <f>IFERROR(1/IF(Inputs!$B$38="pvp",15,MAX(0.1,Skills!D12-IF(Skills!E12=TRUE,Inputs!$B$32,0))),0)</f>
        <v/>
      </c>
      <c r="R322">
        <f>IF(AND(Inputs!$B$38&lt;&gt;"pvp",Inputs!$B$43&gt;0),IF(MAX(0,Inputs!$B$43-B344)&lt;=0,0,(INT(MAX(0,Inputs!$B$43-B344)/IF(Inputs!$B$38="pvp",15,MAX(0.1,Skills!D12-IF(Skills!E12=TRUE,Inputs!$B$32,0))))+1)),0)</f>
        <v/>
      </c>
      <c r="S322">
        <f>IF(C322,(H322*N322*IF(AND(Inputs!$B$38&lt;&gt;"pvp",Inputs!$B$43&gt;0),((Skills!F12*((R322-1)*IF(Skills!G12&gt;0,Skills!H12/Skills!G12,1)+IF(Skills!G12&gt;0,MIN(Skills!H12,MAX(0,MAX(0,Inputs!$B$43-B344)-((R322-1)*IF(Inputs!$B$38="pvp",15,MAX(0.1,Skills!D12-IF(Skills!E12=TRUE,Inputs!$B$32,0))))))/Skills!G12,1)))/Inputs!$B$43),G322*Q322))*IF(Inputs!$B$38="pvp",1,1+(Inputs!$B$20+Skills!O12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322*(1-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F330-Calc!F20)+(F329-Calc!F19))+(ArtifactsInput!$M$24-ArtifactsInput!$M$24)*CHOOSE(ArtifactsInput!$N$24+1,10,12,14,16,18,20)+(IF(AND(Inputs!$B$38&lt;&gt;"pvp",Inputs!$B$43=0),1,IF(IF(Inputs!$B$38="pvp",15,Inputs!$B$43)-(B344)&lt;=0,1,MAX(0,IF(Inputs!$B$38="pvp",15,Inputs!$B$43)-MAX(5,B344))/(IF(Inputs!$B$38="pvp",15,Inputs!$B$43)-(B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2">
        <f>IF(C322,(H322*N322*IF(AND(Inputs!$B$38&lt;&gt;"pvp",Inputs!$B$43&gt;0),((Skills!F12*((R322-1)*IF(Skills!G12&gt;0,Skills!H12/Skills!G12,1)+IF(Skills!G12&gt;0,MIN(Skills!H12,MAX(0,MAX(0,Inputs!$B$43-B344)-((R322-1)*IF(Inputs!$B$38="pvp",15,MAX(0.1,Skills!D12-IF(Skills!E12=TRUE,Inputs!$B$32,0))))))/Skills!G12,1)))/Inputs!$B$43),G322*Q322))*IF(Inputs!$B$38="pvp",1,(1+(Inputs!$B$21+Skills!P12+B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Skills!A13</f>
        <v/>
      </c>
      <c r="B323">
        <f>Skills!B13</f>
        <v/>
      </c>
      <c r="C323">
        <f>Inputs!$B$3&gt;=49</f>
        <v/>
      </c>
      <c r="D323">
        <f>IF(Skills!C13=1,60+Inputs!$B$25+Inputs!$B$29,IF(Skills!C13=2,90+Inputs!$B$26+Inputs!$B$29,IF(Skills!C13=3,120+Inputs!$B$27+Inputs!$B$29,MAX(0,(Inputs!$B$3-100)*3)+Inputs!$B$28+Inputs!$B$29)))</f>
        <v/>
      </c>
      <c r="E323">
        <f>INDEX(FactorTable!$B$2:$Y$301, MATCH(ROUND(MIN(300,MAX(1,D323)),0), FactorTable!$A$2:$A$301,0), Skills!L13+1)</f>
        <v/>
      </c>
      <c r="F323">
        <f>IF(Skills!M13=TRUE,(Skills!K13/10)*(E323/1000),Skills!K13/10)+Skills!N13</f>
        <v/>
      </c>
      <c r="G323">
        <f>Calc!G13</f>
        <v/>
      </c>
      <c r="H323">
        <f>Calc!H13</f>
        <v/>
      </c>
      <c r="I323">
        <f>IF(Skills!T13&lt;&gt;"",1+(Skills!T13/10)*(Z313/1000)/100,1)</f>
        <v/>
      </c>
      <c r="J323" t="inlineStr"/>
      <c r="K323" t="inlineStr"/>
      <c r="L323" t="inlineStr"/>
      <c r="M323" t="inlineStr"/>
      <c r="N323" t="inlineStr"/>
      <c r="O323">
        <f>(1-Summary!$B$11)*S323+Summary!$B$11*U323</f>
        <v/>
      </c>
      <c r="P323">
        <f>IF(B347=0,0,O323/B347)</f>
        <v/>
      </c>
      <c r="Q323">
        <f>IFERROR(1/IF(Inputs!$B$38="pvp",15,MAX(0.1,Skills!D13-IF(Skills!E13=TRUE,Inputs!$B$32,0))),0)</f>
        <v/>
      </c>
      <c r="R323" t="n">
        <v>0</v>
      </c>
      <c r="S323" t="n">
        <v>0</v>
      </c>
      <c r="U323" t="n">
        <v>0</v>
      </c>
    </row>
    <row r="324">
      <c r="A324">
        <f>Skills!A14</f>
        <v/>
      </c>
      <c r="B324">
        <f>Skills!B14</f>
        <v/>
      </c>
      <c r="C324">
        <f>Inputs!$B$3&gt;=72</f>
        <v/>
      </c>
      <c r="D324">
        <f>IF(Skills!C14=1,60+Inputs!$B$25+Inputs!$B$29,IF(Skills!C14=2,90+Inputs!$B$26+Inputs!$B$29,IF(Skills!C14=3,120+Inputs!$B$27+Inputs!$B$29,MAX(0,(Inputs!$B$3-100)*3)+Inputs!$B$28+Inputs!$B$29)))</f>
        <v/>
      </c>
      <c r="E324">
        <f>INDEX(FactorTable!$B$2:$Y$301, MATCH(ROUND(MIN(300,MAX(1,D324)),0), FactorTable!$A$2:$A$301,0), Skills!L14+1)</f>
        <v/>
      </c>
      <c r="F324">
        <f>IF(Skills!M14=TRUE,(Skills!K14/10)*(E324/1000),Skills!K14/10)+Skills!N14</f>
        <v/>
      </c>
      <c r="G324">
        <f>Calc!G14</f>
        <v/>
      </c>
      <c r="H324">
        <f>Calc!H14</f>
        <v/>
      </c>
      <c r="I324">
        <f>IF(Skills!T14&lt;&gt;"",1+(Skills!T14/10)*(Z313/1000)/100,1)</f>
        <v/>
      </c>
      <c r="J324" t="inlineStr"/>
      <c r="K324" t="inlineStr"/>
      <c r="L324" t="inlineStr"/>
      <c r="M324" t="inlineStr"/>
      <c r="N324" t="inlineStr"/>
      <c r="O324">
        <f>(1-Summary!$B$11)*S324+Summary!$B$11*U324</f>
        <v/>
      </c>
      <c r="P324">
        <f>IF(B347=0,0,O324/B347)</f>
        <v/>
      </c>
      <c r="Q324">
        <f>IFERROR(1/IF(Inputs!$B$38="pvp",15,MAX(0.1,Skills!D14-IF(Skills!E14=TRUE,Inputs!$B$32,0))),0)</f>
        <v/>
      </c>
      <c r="R324" t="n">
        <v>0</v>
      </c>
      <c r="S324" t="n">
        <v>0</v>
      </c>
      <c r="U324" t="n">
        <v>0</v>
      </c>
    </row>
    <row r="325">
      <c r="A325">
        <f>Skills!A15</f>
        <v/>
      </c>
      <c r="B325">
        <f>Skills!B15</f>
        <v/>
      </c>
      <c r="C325">
        <f>Inputs!$B$3&gt;=75</f>
        <v/>
      </c>
      <c r="D325">
        <f>IF(Skills!C15=1,60+Inputs!$B$25+Inputs!$B$29,IF(Skills!C15=2,90+Inputs!$B$26+Inputs!$B$29,IF(Skills!C15=3,120+Inputs!$B$27+Inputs!$B$29,MAX(0,(Inputs!$B$3-100)*3)+Inputs!$B$28+Inputs!$B$29)))</f>
        <v/>
      </c>
      <c r="E325">
        <f>INDEX(FactorTable!$B$2:$Y$301, MATCH(ROUND(MIN(300,MAX(1,D325)),0), FactorTable!$A$2:$A$301,0), Skills!L15+1)</f>
        <v/>
      </c>
      <c r="F325">
        <f>IF(Skills!M15=TRUE,(Skills!K15/10)*(E325/1000),Skills!K15/10)+Skills!N15</f>
        <v/>
      </c>
      <c r="G325">
        <f>Calc!G15</f>
        <v/>
      </c>
      <c r="H325">
        <f>Calc!H15</f>
        <v/>
      </c>
      <c r="I325">
        <f>IF(Skills!T15&lt;&gt;"",1+(Skills!T15/10)*(Z313/1000)/100,1)</f>
        <v/>
      </c>
      <c r="J325" t="inlineStr"/>
      <c r="K325" t="inlineStr"/>
      <c r="L325" t="inlineStr"/>
      <c r="M325" t="inlineStr"/>
      <c r="N325" t="inlineStr"/>
      <c r="O325">
        <f>(1-Summary!$B$11)*S325+Summary!$B$11*U325</f>
        <v/>
      </c>
      <c r="P325">
        <f>IF(B347=0,0,O325/B347)</f>
        <v/>
      </c>
      <c r="Q325">
        <f>IFERROR(1/IF(Inputs!$B$38="pvp",15,MAX(0.1,Skills!D15-IF(Skills!E15=TRUE,Inputs!$B$32,0))),0)</f>
        <v/>
      </c>
      <c r="R325" t="n">
        <v>0</v>
      </c>
      <c r="S325" t="n">
        <v>0</v>
      </c>
      <c r="U325" t="n">
        <v>0</v>
      </c>
    </row>
    <row r="326">
      <c r="A326">
        <f>Skills!A16</f>
        <v/>
      </c>
      <c r="B326">
        <f>Skills!B16</f>
        <v/>
      </c>
      <c r="C326">
        <f>Inputs!$B$3&gt;=110</f>
        <v/>
      </c>
      <c r="D326">
        <f>IF(Skills!C16=1,60+Inputs!$B$25+Inputs!$B$29,IF(Skills!C16=2,90+Inputs!$B$26+Inputs!$B$29,IF(Skills!C16=3,120+Inputs!$B$27+Inputs!$B$29,MAX(0,(Inputs!$B$3-100)*3)+Inputs!$B$28+Inputs!$B$29)))</f>
        <v/>
      </c>
      <c r="E326">
        <f>INDEX(FactorTable!$B$2:$Y$301, MATCH(ROUND(MIN(300,MAX(1,D326)),0), FactorTable!$A$2:$A$301,0), Skills!L16+1)</f>
        <v/>
      </c>
      <c r="F326">
        <f>(Skills!K16/10)*(E326/1000)*64/45+Skills!N16</f>
        <v/>
      </c>
      <c r="G326">
        <f>Calc!G16</f>
        <v/>
      </c>
      <c r="H326">
        <f>Calc!H16</f>
        <v/>
      </c>
      <c r="I326">
        <f>IF(Skills!T16&lt;&gt;"",1+(Skills!T16/10)*(Z313/1000)/100,1)</f>
        <v/>
      </c>
      <c r="J326" t="inlineStr"/>
      <c r="K326" t="inlineStr"/>
      <c r="L326" t="inlineStr"/>
      <c r="M326" t="inlineStr"/>
      <c r="N326" t="inlineStr"/>
      <c r="O326">
        <f>(1-Summary!$B$11)*S326+Summary!$B$11*U326</f>
        <v/>
      </c>
      <c r="P326">
        <f>IF(B347=0,0,O326/B347)</f>
        <v/>
      </c>
      <c r="Q326">
        <f>IFERROR(1/IF(Inputs!$B$38="pvp",15,MAX(0.1,Skills!D16-IF(Skills!E16=TRUE,Inputs!$B$32,0))),0)</f>
        <v/>
      </c>
      <c r="R326">
        <f>IF(AND(Inputs!$B$38&lt;&gt;"pvp",Inputs!$B$43&gt;0),IF(Inputs!$B$43&lt;=0,0,(INT(Inputs!$B$43/IF(Inputs!$B$38="pvp",15,MAX(0.1,Skills!D16-IF(Skills!E16=TRUE,Inputs!$B$32,0))))+1)),0)</f>
        <v/>
      </c>
      <c r="S326" t="n">
        <v>0</v>
      </c>
      <c r="U326" t="n">
        <v>0</v>
      </c>
    </row>
    <row r="327">
      <c r="A327">
        <f>Skills!A17</f>
        <v/>
      </c>
      <c r="B327">
        <f>Skills!B17</f>
        <v/>
      </c>
      <c r="C327">
        <f>Inputs!$B$3&gt;=33</f>
        <v/>
      </c>
      <c r="D327">
        <f>IF(Skills!C17=1,60+Inputs!$B$25+Inputs!$B$29,IF(Skills!C17=2,90+Inputs!$B$26+Inputs!$B$29,IF(Skills!C17=3,120+Inputs!$B$27+Inputs!$B$29,MAX(0,(Inputs!$B$3-100)*3)+Inputs!$B$28+Inputs!$B$29)))</f>
        <v/>
      </c>
      <c r="E327">
        <f>INDEX(FactorTable!$B$2:$Y$301, MATCH(ROUND(MIN(300,MAX(1,D327)),0), FactorTable!$A$2:$A$301,0), Skills!L17+1)</f>
        <v/>
      </c>
      <c r="F327">
        <f>IF(Skills!M17=TRUE,(Skills!K17/10)*(E327/1000),Skills!K17/10)+Skills!N17</f>
        <v/>
      </c>
      <c r="G327">
        <f>Calc!G17</f>
        <v/>
      </c>
      <c r="H327">
        <f>Calc!H17</f>
        <v/>
      </c>
      <c r="I327">
        <f>IF(Skills!T17&lt;&gt;"",1+(Skills!T17/10)*(Z313/1000)/100,1)</f>
        <v/>
      </c>
      <c r="J327" t="inlineStr"/>
      <c r="K327" t="inlineStr"/>
      <c r="L327" t="inlineStr"/>
      <c r="M327" t="inlineStr"/>
      <c r="N327" t="inlineStr"/>
      <c r="O327">
        <f>(1-Summary!$B$11)*S327+Summary!$B$11*U327</f>
        <v/>
      </c>
      <c r="P327">
        <f>IF(B347=0,0,O327/B347)</f>
        <v/>
      </c>
      <c r="Q327">
        <f>IFERROR(1/IF(Inputs!$B$38="pvp",15,MAX(0.1,Skills!D17-IF(Skills!E17=TRUE,Inputs!$B$32,0))),0)</f>
        <v/>
      </c>
      <c r="R327" t="n">
        <v>0</v>
      </c>
      <c r="S327" t="n">
        <v>0</v>
      </c>
      <c r="U327" t="n">
        <v>0</v>
      </c>
    </row>
    <row r="328">
      <c r="A328">
        <f>Skills!A18</f>
        <v/>
      </c>
      <c r="B328">
        <f>Skills!B18</f>
        <v/>
      </c>
      <c r="C328">
        <f>Inputs!$B$3&gt;=43</f>
        <v/>
      </c>
      <c r="D328">
        <f>IF(Skills!C18=1,60+Inputs!$B$25+Inputs!$B$29,IF(Skills!C18=2,90+Inputs!$B$26+Inputs!$B$29,IF(Skills!C18=3,120+Inputs!$B$27+Inputs!$B$29,MAX(0,(Inputs!$B$3-100)*3)+Inputs!$B$28+Inputs!$B$29)))</f>
        <v/>
      </c>
      <c r="E328">
        <f>INDEX(FactorTable!$B$2:$Y$301, MATCH(ROUND(MIN(300,MAX(1,D328)),0), FactorTable!$A$2:$A$301,0), Skills!L18+1)</f>
        <v/>
      </c>
      <c r="F328">
        <f>IF(Skills!M18=TRUE,(Skills!K18/10)*(E328/1000),Skills!K18/10)+Skills!N18</f>
        <v/>
      </c>
      <c r="G328">
        <f>Calc!G18</f>
        <v/>
      </c>
      <c r="H328">
        <f>Calc!H18</f>
        <v/>
      </c>
      <c r="I328">
        <f>IF(Skills!T18&lt;&gt;"",1+(Skills!T18/10)*(Z313/1000)/100,1)</f>
        <v/>
      </c>
      <c r="J328" t="inlineStr"/>
      <c r="K328" t="inlineStr"/>
      <c r="L328" t="inlineStr"/>
      <c r="M328" t="inlineStr"/>
      <c r="N328" t="inlineStr"/>
      <c r="O328">
        <f>(1-Summary!$B$11)*S328+Summary!$B$11*U328</f>
        <v/>
      </c>
      <c r="P328">
        <f>IF(B347=0,0,O328/B347)</f>
        <v/>
      </c>
      <c r="Q328">
        <f>IFERROR(1/IF(Inputs!$B$38="pvp",15,MAX(0.1,Skills!D18-IF(Skills!E18=TRUE,Inputs!$B$32,0))),0)</f>
        <v/>
      </c>
      <c r="R328" t="n">
        <v>0</v>
      </c>
      <c r="S328" t="n">
        <v>0</v>
      </c>
      <c r="U328" t="n">
        <v>0</v>
      </c>
    </row>
    <row r="329">
      <c r="A329">
        <f>Skills!A19</f>
        <v/>
      </c>
      <c r="B329">
        <f>Skills!B19</f>
        <v/>
      </c>
      <c r="C329">
        <f>Inputs!$B$3&gt;=50</f>
        <v/>
      </c>
      <c r="D329">
        <f>IF(Skills!C19=1,60+Inputs!$B$25+Inputs!$B$29,IF(Skills!C19=2,90+Inputs!$B$26+Inputs!$B$29,IF(Skills!C19=3,120+Inputs!$B$27+Inputs!$B$29,MAX(0,(Inputs!$B$3-100)*3)+Inputs!$B$28+Inputs!$B$29)))</f>
        <v/>
      </c>
      <c r="E329">
        <f>INDEX(FactorTable!$B$2:$Y$301, MATCH(ROUND(MIN(300,MAX(1,D329)),0), FactorTable!$A$2:$A$301,0), Skills!L19+1)</f>
        <v/>
      </c>
      <c r="F329">
        <f>IF(Skills!M19=TRUE,(Skills!K19/10)*(E329/1000),Skills!K19/10)+Skills!N19</f>
        <v/>
      </c>
      <c r="G329">
        <f>Calc!G19</f>
        <v/>
      </c>
      <c r="H329">
        <f>Calc!H19</f>
        <v/>
      </c>
      <c r="I329">
        <f>IF(Skills!T19&lt;&gt;"",1+(Skills!T19/10)*(Z313/1000)/100,1)</f>
        <v/>
      </c>
      <c r="J329" t="inlineStr"/>
      <c r="K329" t="inlineStr"/>
      <c r="L329" t="inlineStr"/>
      <c r="M329" t="inlineStr"/>
      <c r="N329" t="inlineStr"/>
      <c r="O329">
        <f>(1-Summary!$B$11)*S329+Summary!$B$11*U329</f>
        <v/>
      </c>
      <c r="P329">
        <f>IF(B347=0,0,O329/B347)</f>
        <v/>
      </c>
      <c r="Q329">
        <f>IFERROR(1/IF(Inputs!$B$38="pvp",15,MAX(0.1,Skills!D19-IF(Skills!E19=TRUE,Inputs!$B$32,0))),0)</f>
        <v/>
      </c>
      <c r="R329" t="n">
        <v>0</v>
      </c>
      <c r="S329" t="n">
        <v>0</v>
      </c>
      <c r="U329" t="n">
        <v>0</v>
      </c>
    </row>
    <row r="330">
      <c r="A330">
        <f>Skills!A20</f>
        <v/>
      </c>
      <c r="B330">
        <f>Skills!B20</f>
        <v/>
      </c>
      <c r="C330">
        <f>Inputs!$B$3&gt;=74</f>
        <v/>
      </c>
      <c r="D330">
        <f>IF(Skills!C20=1,60+Inputs!$B$25+Inputs!$B$29,IF(Skills!C20=2,90+Inputs!$B$26+Inputs!$B$29,IF(Skills!C20=3,120+Inputs!$B$27+Inputs!$B$29,MAX(0,(Inputs!$B$3-100)*3)+Inputs!$B$28+Inputs!$B$29)))</f>
        <v/>
      </c>
      <c r="E330">
        <f>INDEX(FactorTable!$B$2:$Y$301, MATCH(ROUND(MIN(300,MAX(1,D330)),0), FactorTable!$A$2:$A$301,0), Skills!L20+1)</f>
        <v/>
      </c>
      <c r="F330">
        <f>IF(Skills!M20=TRUE,(Skills!K20/10)*(E330/1000),Skills!K20/10)+Skills!N20</f>
        <v/>
      </c>
      <c r="G330">
        <f>Calc!G20</f>
        <v/>
      </c>
      <c r="H330">
        <f>Calc!H20</f>
        <v/>
      </c>
      <c r="I330">
        <f>IF(Skills!T20&lt;&gt;"",1+(Skills!T20/10)*(Z313/1000)/100,1)</f>
        <v/>
      </c>
      <c r="J330" t="inlineStr"/>
      <c r="K330" t="inlineStr"/>
      <c r="L330" t="inlineStr"/>
      <c r="M330" t="inlineStr"/>
      <c r="N330" t="inlineStr"/>
      <c r="O330">
        <f>(1-Summary!$B$11)*S330+Summary!$B$11*U330</f>
        <v/>
      </c>
      <c r="P330">
        <f>IF(B347=0,0,O330/B347)</f>
        <v/>
      </c>
      <c r="Q330">
        <f>IFERROR(1/IF(Inputs!$B$38="pvp",15,MAX(0.1,Skills!D20-IF(Skills!E20=TRUE,Inputs!$B$32,0))),0)</f>
        <v/>
      </c>
      <c r="R330" t="n">
        <v>0</v>
      </c>
      <c r="S330" t="n">
        <v>0</v>
      </c>
      <c r="U330" t="n">
        <v>0</v>
      </c>
    </row>
    <row r="331">
      <c r="A331">
        <f>Skills!A21</f>
        <v/>
      </c>
      <c r="B331">
        <f>Skills!B21</f>
        <v/>
      </c>
      <c r="C331">
        <f>Inputs!$B$3&gt;=74</f>
        <v/>
      </c>
      <c r="D331">
        <f>IF(Skills!C21=1,60+Inputs!$B$25+Inputs!$B$29,IF(Skills!C21=2,90+Inputs!$B$26+Inputs!$B$29,IF(Skills!C21=3,120+Inputs!$B$27+Inputs!$B$29,MAX(0,(Inputs!$B$3-100)*3)+Inputs!$B$28+Inputs!$B$29)))</f>
        <v/>
      </c>
      <c r="E331">
        <f>INDEX(FactorTable!$B$2:$Y$301, MATCH(ROUND(MIN(300,MAX(1,D331)),0), FactorTable!$A$2:$A$301,0), Skills!L21+1)</f>
        <v/>
      </c>
      <c r="F331">
        <f>IF(Skills!M21=TRUE,(Skills!K21/10)*(E331/1000),Skills!K21/10)+Skills!N21</f>
        <v/>
      </c>
      <c r="G331">
        <f>Calc!G21</f>
        <v/>
      </c>
      <c r="H331">
        <f>Calc!H21</f>
        <v/>
      </c>
      <c r="I331">
        <f>IF(Skills!T21&lt;&gt;"",1+(Skills!T21/10)*(Z313/1000)/100,1)</f>
        <v/>
      </c>
      <c r="J331" t="inlineStr"/>
      <c r="K331" t="inlineStr"/>
      <c r="L331" t="inlineStr"/>
      <c r="M331" t="inlineStr"/>
      <c r="N331" t="inlineStr"/>
      <c r="O331">
        <f>(1-Summary!$B$11)*S331+Summary!$B$11*U331</f>
        <v/>
      </c>
      <c r="P331">
        <f>IF(B347=0,0,O331/B347)</f>
        <v/>
      </c>
      <c r="Q331">
        <f>IFERROR(1/IF(Inputs!$B$38="pvp",15,MAX(0.1,Skills!D21-IF(Skills!E21=TRUE,Inputs!$B$32,0))),0)</f>
        <v/>
      </c>
      <c r="R331" t="n">
        <v>0</v>
      </c>
      <c r="S331" t="n">
        <v>0</v>
      </c>
      <c r="U331" t="n">
        <v>0</v>
      </c>
    </row>
    <row r="332">
      <c r="A332">
        <f>Skills!A22</f>
        <v/>
      </c>
      <c r="B332">
        <f>Skills!B22</f>
        <v/>
      </c>
      <c r="C332">
        <f>Inputs!$B$3&gt;=117</f>
        <v/>
      </c>
      <c r="D332">
        <f>IF(Skills!C22=1,60+Inputs!$B$25+Inputs!$B$29,IF(Skills!C22=2,90+Inputs!$B$26+Inputs!$B$29,IF(Skills!C22=3,120+Inputs!$B$27+Inputs!$B$29,MAX(0,(Inputs!$B$3-100)*3)+Inputs!$B$28+Inputs!$B$29)))</f>
        <v/>
      </c>
      <c r="E332">
        <f>INDEX(FactorTable!$B$2:$Y$301, MATCH(ROUND(MIN(300,MAX(1,D332)),0), FactorTable!$A$2:$A$301,0), Skills!L22+1)</f>
        <v/>
      </c>
      <c r="F332">
        <f>IF(Skills!M22=TRUE,(Skills!K22/10)*(E332/1000),Skills!K22/10)+Skills!N22</f>
        <v/>
      </c>
      <c r="G332">
        <f>Calc!G22</f>
        <v/>
      </c>
      <c r="H332">
        <f>Calc!H22</f>
        <v/>
      </c>
      <c r="I332">
        <f>IF(Skills!T22&lt;&gt;"",1+(Skills!T22/10)*(Z313/1000)/100,1)</f>
        <v/>
      </c>
      <c r="J332" t="inlineStr"/>
      <c r="K332" t="inlineStr"/>
      <c r="L332" t="inlineStr"/>
      <c r="M332" t="inlineStr"/>
      <c r="N332" t="inlineStr"/>
      <c r="O332">
        <f>(1-Summary!$B$11)*S332+Summary!$B$11*U332</f>
        <v/>
      </c>
      <c r="P332">
        <f>IF(B347=0,0,O332/B347)</f>
        <v/>
      </c>
      <c r="Q332">
        <f>IFERROR(1/IF(Inputs!$B$38="pvp",15,MAX(0.1,Skills!D22-IF(Skills!E22=TRUE,Inputs!$B$32,0))),0)</f>
        <v/>
      </c>
      <c r="R332" t="n">
        <v>0</v>
      </c>
      <c r="S332" t="n">
        <v>0</v>
      </c>
      <c r="U332" t="n">
        <v>0</v>
      </c>
    </row>
    <row r="333">
      <c r="A333">
        <f>Skills!A23</f>
        <v/>
      </c>
      <c r="B333">
        <f>Skills!B23</f>
        <v/>
      </c>
      <c r="C333">
        <f>Inputs!$B$3&gt;=120</f>
        <v/>
      </c>
      <c r="D333">
        <f>IF(Skills!C23=1,60+Inputs!$B$25+Inputs!$B$29,IF(Skills!C23=2,90+Inputs!$B$26+Inputs!$B$29,IF(Skills!C23=3,120+Inputs!$B$27+Inputs!$B$29,MAX(0,(Inputs!$B$3-100)*3)+Inputs!$B$28+Inputs!$B$29)))</f>
        <v/>
      </c>
      <c r="E333">
        <f>INDEX(FactorTable!$B$2:$Y$301, MATCH(ROUND(MIN(300,MAX(1,D333)),0), FactorTable!$A$2:$A$301,0), Skills!L23+1)</f>
        <v/>
      </c>
      <c r="F333">
        <f>IF(Skills!M23=TRUE,(Skills!K23/10)*(E333/1000),Skills!K23/10)+Skills!N23</f>
        <v/>
      </c>
      <c r="G333">
        <f>Calc!G23</f>
        <v/>
      </c>
      <c r="H333">
        <f>Calc!H23</f>
        <v/>
      </c>
      <c r="I333">
        <f>IF(Skills!T23&lt;&gt;"",1+(Skills!T23/10)*(Z313/1000)/100,1)</f>
        <v/>
      </c>
      <c r="J333" t="inlineStr"/>
      <c r="K333" t="inlineStr"/>
      <c r="L333" t="inlineStr"/>
      <c r="M333" t="inlineStr"/>
      <c r="N333" t="inlineStr"/>
      <c r="O333">
        <f>(1-Summary!$B$11)*S333+Summary!$B$11*U333</f>
        <v/>
      </c>
      <c r="P333">
        <f>IF(B347=0,0,O333/B347)</f>
        <v/>
      </c>
      <c r="Q333">
        <f>IFERROR(1/IF(Inputs!$B$38="pvp",15,MAX(0.1,Skills!D23-IF(Skills!E23=TRUE,Inputs!$B$32,0))),0)</f>
        <v/>
      </c>
      <c r="R333" t="n">
        <v>0</v>
      </c>
      <c r="S333" t="n">
        <v>0</v>
      </c>
      <c r="U333" t="n">
        <v>0</v>
      </c>
    </row>
    <row r="334">
      <c r="A334">
        <f>Skills!A24</f>
        <v/>
      </c>
      <c r="B334">
        <f>Skills!B24</f>
        <v/>
      </c>
      <c r="C334">
        <f>TRUE</f>
        <v/>
      </c>
      <c r="D334">
        <f>IF(Skills!C24=1,60+Inputs!$B$25+Inputs!$B$29,IF(Skills!C24=2,90+Inputs!$B$26+Inputs!$B$29,IF(Skills!C24=3,120+Inputs!$B$27+Inputs!$B$29,MAX(0,(Inputs!$B$3-100)*3)+Inputs!$B$28+Inputs!$B$29)))</f>
        <v/>
      </c>
      <c r="E334">
        <f>INDEX(FactorTable!$B$2:$Y$301, MATCH(ROUND(MIN(300,MAX(1,D334)),0), FactorTable!$A$2:$A$301,0), Skills!L24+1)</f>
        <v/>
      </c>
      <c r="F334">
        <f>IF(Skills!M24=TRUE,(Skills!K24/10)*(E334/1000),Skills!K24/10)+Skills!N24</f>
        <v/>
      </c>
      <c r="G334">
        <f>Calc!G24</f>
        <v/>
      </c>
      <c r="H334">
        <f>Calc!H24</f>
        <v/>
      </c>
      <c r="I334">
        <f>IF(Skills!T24&lt;&gt;"",1+(Skills!T24/10)*(Z313/1000)/100,1)</f>
        <v/>
      </c>
      <c r="J334" t="inlineStr"/>
      <c r="K334" t="inlineStr"/>
      <c r="L334" t="inlineStr"/>
      <c r="M334" t="inlineStr"/>
      <c r="N334" t="inlineStr"/>
      <c r="O334">
        <f>(1-Summary!$B$11)*S334+Summary!$B$11*U334</f>
        <v/>
      </c>
      <c r="P334">
        <f>IF(B347=0,0,O334/B347)</f>
        <v/>
      </c>
      <c r="Q334">
        <f>IFERROR(1/IF(Inputs!$B$38="pvp",15,MAX(0.1,Skills!D24-IF(Skills!E24=TRUE,Inputs!$B$32,0))),0)</f>
        <v/>
      </c>
      <c r="R334">
        <f>IF(AND(Inputs!$B$38&lt;&gt;"pvp",Inputs!$B$43&gt;0),IF(Inputs!$B$43&lt;=0,0,(INT(Inputs!$B$43/IF(Inputs!$B$38="pvp",15,MAX(0.1,Skills!D24-IF(Skills!E24=TRUE,Inputs!$B$32,0))))+1)),0)</f>
        <v/>
      </c>
      <c r="S334" t="n">
        <v>0</v>
      </c>
      <c r="U334" t="n">
        <v>0</v>
      </c>
    </row>
    <row r="337">
      <c r="A337" t="inlineStr">
        <is>
          <t>Average Buff Multiplier (Magic Guard + Meditation + Artifact Attack%, summed; then Infinity)</t>
        </is>
      </c>
      <c r="B337">
        <f>(1+(IF(C313=TRUE,F313*IF(AND(Inputs!$B$38&lt;&gt;"pvp",Inputs!$B$43&gt;0),(((R313-1)*(Skills!S3*(1+(Inputs!$B$34)/100))+MIN((Skills!S3*(1+(Inputs!$B$34)/100)),MAX(0,Inputs!$B$43-((R313-1)*Skills!D3))))/Inputs!$B$43),IF(Inputs!$B$38="pvp",MIN((Skills!S3*(1+(Inputs!$B$34)/100)),15)/15,(Skills!S3*(1+(Inputs!$B$34)/100))/Skills!D3)),0)+IF(C314=TRUE,F314*IF(AND(Inputs!$B$38&lt;&gt;"pvp",Inputs!$B$43&gt;0),(((R314-1)*(Skills!S4*(1+(Inputs!$B$34)/100))+MIN((Skills!S4*(1+(Inputs!$B$34)/100)),MAX(0,Inputs!$B$43-((R314-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326=TRUE,(1+F326*IF(AND(Inputs!$B$38&lt;&gt;"pvp",Inputs!$B$43&gt;0),(((R326-1)*(Skills!S16*(1+(Inputs!$B$34)/100))+MIN((Skills!S16*(1+(Inputs!$B$34)/100)),MAX(0,Inputs!$B$43-((R326-1)*Skills!D16))))/Inputs!$B$43),IF(Inputs!$B$38="pvp",MIN((Skills!S16*(1+(Inputs!$B$34)/100)),15)/15,(Skills!S16*(1+(Inputs!$B$34)/100))/Skills!D16))/100),1)</f>
        <v/>
      </c>
    </row>
    <row r="338">
      <c r="A338" t="inlineStr">
        <is>
          <t>Monster Damage Taken Bonus % (Freezing Breath - Weaken + Elemental Reset + Artifact Enemy Damage Taken, summed)</t>
        </is>
      </c>
      <c r="B338">
        <f>IF(Inputs!$B$3&gt;=118,15*IF(Inputs!$B$38="pvp",MIN((30*(1+(Inputs!$B$34)/100)),15)/15,(30*(1+(Inputs!$B$34)/100))/Skills!D8),0)+IF(C324=TRUE,F324,0)+(IF(AND(ArtifactsInput!$M$35,Inputs!$B$4&lt;&gt;"Chapter Hunt"),CHOOSE(ArtifactsInput!$N$35+1,15,18,21,24,27,30)*(1-EXP(-(0.2*B341)*5)),0)+IF(AND(ArtifactsInput!$M$22,Inputs!$B$4&lt;&gt;"Chapter Hunt"),CHOOSE(ArtifactsInput!$N$22+1,10,12,14,16,18,20)*((0*(((0.15*B341*5))^0/1)+1*(((0.15*B341*5))^1/1)+2*(((0.15*B341*5))^2/2)+3*(((0.15*B341*5))^3/6)+4*(((0.15*B341*5))^4/24)+5*(((0.15*B341*5))^5/120))/((((0.15*B341*5))^0/1)+(((0.15*B341*5))^1/1)+(((0.15*B341*5))^2/2)+(((0.15*B341*5))^3/6)+(((0.15*B341*5))^4/24)+(((0.15*B341*5))^5/120))),0))</f>
        <v/>
      </c>
    </row>
    <row r="339">
      <c r="A339" t="inlineStr">
        <is>
          <t>Damage % Bonus (Frozen Break + Frost Clutch, flat)</t>
        </is>
      </c>
      <c r="B339">
        <f>IF(Inputs!$B$3&gt;=66,15,0)+IF(Inputs!$B$3&gt;=98,10,0)+IF(Inputs!$B$3&gt;=125,20,0)</f>
        <v/>
      </c>
    </row>
    <row r="340">
      <c r="A340" t="inlineStr">
        <is>
          <t>Attack Speed Bonus % (MP Eater - MP Boost, always-on + Nimble Feet, duty-cycle averaged)</t>
        </is>
      </c>
      <c r="B340">
        <f>IF(C323=TRUE,F323+(F327-Calc!F17),0)+((C334=TRUE)*F334*IF(AND(Inputs!$B$38&lt;&gt;"pvp",Inputs!$B$43&gt;0),(((R334-1)*(Skills!S24*(1+(Inputs!$B$34)/100))+MIN((Skills!S24*(1+(Inputs!$B$34)/100)),MAX(0,Inputs!$B$43-((R334-1)*Skills!D24))))/Inputs!$B$43),IF(Inputs!$B$38="pvp",MIN((Skills!S24*(1+(Inputs!$B$34)/100)),15)/15,(Skills!S24*(1+(Inputs!$B$34)/100))/Skills!D24)))</f>
        <v/>
      </c>
    </row>
    <row r="341">
      <c r="A341" t="inlineStr">
        <is>
          <t>Actions Per Second</t>
        </is>
      </c>
      <c r="B341">
        <f>1+MIN(150,150*(1-(1-(Inputs!$B$11+(ArtifactsInput!$M$15-ArtifactsInput!$M$15)*CHOOSE(ArtifactsInput!$N$15+1,8,9.6,11.2,12.8,14.4,16))/150)*(1-B340/150)))/100</f>
        <v/>
      </c>
    </row>
    <row r="342">
      <c r="A342" t="inlineStr">
        <is>
          <t>Skill + Buff Cast Rate</t>
        </is>
      </c>
      <c r="B342">
        <f>IF(AND(Inputs!$B$38&lt;&gt;"pvp",Inputs!$B$43&gt;0),SUMPRODUCT((Skills!E2:E24=TRUE)*(C312:C334=TRUE)*R312:R334)/Inputs!$B$43,SUMPRODUCT((Skills!E2:E24=TRUE)*(C312:C334=TRUE)*Q312:Q334))</f>
        <v/>
      </c>
    </row>
    <row r="343">
      <c r="A343" t="inlineStr">
        <is>
          <t>Chain Lightning Casts Per Second</t>
        </is>
      </c>
      <c r="B343">
        <f>MAX(0,B341-B342)</f>
        <v/>
      </c>
    </row>
    <row r="344">
      <c r="A344" t="inlineStr">
        <is>
          <t>Buff-Casting Startup Delay (s, fixed-duration only)</t>
        </is>
      </c>
      <c r="B344">
        <f>IF(AND(Inputs!$B$38&lt;&gt;"pvp",Inputs!$B$43&gt;0),SUMPRODUCT((Skills!S2:S24&gt;0)*(Skills!E2:E24=TRUE)*(C312:C334=TRUE))/B341,0)</f>
        <v/>
      </c>
    </row>
    <row r="345">
      <c r="A345" t="inlineStr">
        <is>
          <t>Boss-Only Total DPS (this block's swept value)</t>
        </is>
      </c>
      <c r="B345">
        <f>SUM(S312:S334)</f>
        <v/>
      </c>
    </row>
    <row r="346">
      <c r="A346" t="inlineStr">
        <is>
          <t>Normal-Only Total DPS (this block's swept value)</t>
        </is>
      </c>
      <c r="B346">
        <f>SUM(U312:U334)</f>
        <v/>
      </c>
    </row>
    <row r="347">
      <c r="A347" s="6" t="inlineStr">
        <is>
          <t>TOTAL DPS</t>
        </is>
      </c>
      <c r="B347" s="6">
        <f>SUM(O312:O334)</f>
        <v/>
      </c>
    </row>
    <row r="350">
      <c r="A350" s="6" t="inlineStr">
        <is>
          <t>Stat: MIN_DAMAGE %</t>
        </is>
      </c>
    </row>
    <row r="351">
      <c r="A351" s="5" t="inlineStr">
        <is>
          <t>Key</t>
        </is>
      </c>
      <c r="B351" s="5" t="inlineStr">
        <is>
          <t>Name</t>
        </is>
      </c>
      <c r="C351" s="5" t="inlineStr">
        <is>
          <t>Unlocked</t>
        </is>
      </c>
      <c r="D351" s="5" t="inlineStr">
        <is>
          <t>InputLevel</t>
        </is>
      </c>
      <c r="E351" s="5" t="inlineStr">
        <is>
          <t>Factor</t>
        </is>
      </c>
      <c r="F351" s="5" t="inlineStr">
        <is>
          <t>CoefficientPercent</t>
        </is>
      </c>
      <c r="G351" s="5" t="inlineStr">
        <is>
          <t>EffectiveHits</t>
        </is>
      </c>
      <c r="H351" s="5" t="inlineStr">
        <is>
          <t>ProcProbability</t>
        </is>
      </c>
      <c r="I351" s="5" t="inlineStr">
        <is>
          <t>MapleHeroMultiplier</t>
        </is>
      </c>
      <c r="J351" s="5" t="inlineStr">
        <is>
          <t>BaseDamage</t>
        </is>
      </c>
      <c r="K351" s="5" t="inlineStr">
        <is>
          <t>BaseHitDamage</t>
        </is>
      </c>
      <c r="L351" s="5" t="inlineStr">
        <is>
          <t>NonCritAvg</t>
        </is>
      </c>
      <c r="M351" s="5" t="inlineStr">
        <is>
          <t>CritAvg</t>
        </is>
      </c>
      <c r="N351" s="5" t="inlineStr">
        <is>
          <t>ExpectedDamage(perHit)</t>
        </is>
      </c>
      <c r="O351" s="5" t="inlineStr">
        <is>
          <t>DPS</t>
        </is>
      </c>
      <c r="P351" s="5" t="inlineStr">
        <is>
          <t>% of Total</t>
        </is>
      </c>
      <c r="R351" t="inlineStr">
        <is>
          <t>helpers</t>
        </is>
      </c>
    </row>
    <row r="352">
      <c r="A352">
        <f>Skills!A2</f>
        <v/>
      </c>
      <c r="B352">
        <f>Skills!B2</f>
        <v/>
      </c>
      <c r="C352">
        <f>Inputs!$B$3&gt;=100</f>
        <v/>
      </c>
      <c r="D352" t="inlineStr"/>
      <c r="E352" t="inlineStr"/>
      <c r="F352">
        <f>T354+Skills!N2</f>
        <v/>
      </c>
      <c r="G352">
        <f>Calc!G2</f>
        <v/>
      </c>
      <c r="H352">
        <f>Calc!H2</f>
        <v/>
      </c>
      <c r="I352">
        <f>IF(Skills!T2&lt;&gt;"",1+(Skills!T2/10)*(Z353/1000)/100,1)</f>
        <v/>
      </c>
      <c r="J352">
        <f>((Inputs!$B$6*(1+Inputs!$B$7/100))+(((Inputs!$B$12*(1+Inputs!$B$13/100))-(Inputs!$B$12*(1+Inputs!$B$13/100)))+0.25*(Inputs!$B$14-Inputs!$B$14))*(1+Inputs!$B$7/100))*(F352/100)</f>
        <v/>
      </c>
      <c r="K352">
        <f>J352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2="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+1)+(F368-Calc!F18),(Inputs!$B$23+(IF(ArtifactsInput!$M$15,CHOOSE(ArtifactsInput!$N$15+1,25,30,35,40,45,50)/100*(Inputs!$B$11-Inputs!$B$11),0))))/100+(Inputs!$B$23+(IF(ArtifactsInput!$M$15,CHOOSE(ArtifactsInput!$N$15+1,25,30,35,40,45,50)/100*(Inputs!$B$11-Inputs!$B$11),0)))/100)/2</f>
        <v/>
      </c>
      <c r="M352">
        <f>L352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(1-Summary!$B$11)*S352+Summary!$B$11*U352</f>
        <v/>
      </c>
      <c r="P352">
        <f>IF(B387=0,0,O352/B387)</f>
        <v/>
      </c>
      <c r="Q352">
        <f>IFERROR(1/IF(Inputs!$B$38="pvp",15,MAX(0.1,Skills!D2-IF(Skills!E2=TRUE,Inputs!$B$32,0))),0)</f>
        <v/>
      </c>
      <c r="R352" t="n">
        <v>0</v>
      </c>
      <c r="S352">
        <f>IF(C352,(Skills!F2*N352*B383)*IF(Inputs!$B$38="pvp",1,1+(Inputs!$B$20+Skills!O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352*(1-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52">
        <f>MAX(0,(Inputs!$B$3-100)*3)+Inputs!$B$28+Inputs!$B$29</f>
        <v/>
      </c>
      <c r="U352">
        <f>IF(C352,(Skills!F2*N352*B383)*IF(Inputs!$B$38="pvp",1,(1+(Inputs!$B$21+Skills!P2+B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52">
        <f>MAX(0,(Inputs!$B$3-100)*3)+Inputs!$B$28+Inputs!$B$29</f>
        <v/>
      </c>
    </row>
    <row r="353">
      <c r="A353">
        <f>Skills!A3</f>
        <v/>
      </c>
      <c r="B353">
        <f>Skills!B3</f>
        <v/>
      </c>
      <c r="C353">
        <f>Inputs!$B$3&gt;=15</f>
        <v/>
      </c>
      <c r="D353">
        <f>IF(Skills!C3=1,60+Inputs!$B$25+Inputs!$B$29,IF(Skills!C3=2,90+Inputs!$B$26+Inputs!$B$29,IF(Skills!C3=3,120+Inputs!$B$27+Inputs!$B$29,MAX(0,(Inputs!$B$3-100)*3)+Inputs!$B$28+Inputs!$B$29)))</f>
        <v/>
      </c>
      <c r="E353">
        <f>INDEX(FactorTable!$B$2:$Y$301, MATCH(ROUND(MIN(300,MAX(1,D353)),0), FactorTable!$A$2:$A$301,0), Skills!L3+1)</f>
        <v/>
      </c>
      <c r="F353">
        <f>IF(Skills!M3=TRUE,(Skills!K3/10)*(E353/1000),Skills!K3/10)+Skills!N3</f>
        <v/>
      </c>
      <c r="G353">
        <f>Calc!G3</f>
        <v/>
      </c>
      <c r="H353">
        <f>Calc!H3</f>
        <v/>
      </c>
      <c r="I353">
        <f>IF(Skills!T3&lt;&gt;"",1+(Skills!T3/10)*(Z353/1000)/100,1)</f>
        <v/>
      </c>
      <c r="J353" t="inlineStr"/>
      <c r="K353" t="inlineStr"/>
      <c r="L353" t="inlineStr"/>
      <c r="M353" t="inlineStr"/>
      <c r="N353" t="inlineStr"/>
      <c r="O353">
        <f>(1-Summary!$B$11)*S353+Summary!$B$11*U353</f>
        <v/>
      </c>
      <c r="P353">
        <f>IF(B387=0,0,O353/B387)</f>
        <v/>
      </c>
      <c r="Q353">
        <f>IFERROR(1/IF(Inputs!$B$38="pvp",15,MAX(0.1,Skills!D3-IF(Skills!E3=TRUE,Inputs!$B$32,0))),0)</f>
        <v/>
      </c>
      <c r="R353">
        <f>IF(AND(Inputs!$B$38&lt;&gt;"pvp",Inputs!$B$43&gt;0),IF(Inputs!$B$43&lt;=0,0,(INT(Inputs!$B$43/IF(Inputs!$B$38="pvp",15,MAX(0.1,Skills!D3-IF(Skills!E3=TRUE,Inputs!$B$32,0))))+1)),0)</f>
        <v/>
      </c>
      <c r="S353" t="n">
        <v>0</v>
      </c>
      <c r="T353">
        <f>INDEX(FactorTable!$B$2:$Y$301, MATCH(ROUND(MIN(300,MAX(1,T352)),0), FactorTable!$A$2:$A$301,0), 22)</f>
        <v/>
      </c>
      <c r="U353" t="n">
        <v>0</v>
      </c>
      <c r="Z353">
        <f>INDEX(FactorTable!$B$2:$Y$301, MATCH(ROUND(MIN(300,MAX(1,Z352)),0), FactorTable!$A$2:$A$301,0), 24)</f>
        <v/>
      </c>
    </row>
    <row r="354">
      <c r="A354">
        <f>Skills!A4</f>
        <v/>
      </c>
      <c r="B354">
        <f>Skills!B4</f>
        <v/>
      </c>
      <c r="C354">
        <f>Inputs!$B$3&gt;=40</f>
        <v/>
      </c>
      <c r="D354">
        <f>IF(Skills!C4=1,60+Inputs!$B$25+Inputs!$B$29,IF(Skills!C4=2,90+Inputs!$B$26+Inputs!$B$29,IF(Skills!C4=3,120+Inputs!$B$27+Inputs!$B$29,MAX(0,(Inputs!$B$3-100)*3)+Inputs!$B$28+Inputs!$B$29)))</f>
        <v/>
      </c>
      <c r="E354">
        <f>INDEX(FactorTable!$B$2:$Y$301, MATCH(ROUND(MIN(300,MAX(1,D354)),0), FactorTable!$A$2:$A$301,0), Skills!L4+1)</f>
        <v/>
      </c>
      <c r="F354">
        <f>IF(Skills!M4=TRUE,(Skills!K4/10)*(E354/1000),Skills!K4/10)+Skills!N4</f>
        <v/>
      </c>
      <c r="G354">
        <f>Calc!G4</f>
        <v/>
      </c>
      <c r="H354">
        <f>Calc!H4</f>
        <v/>
      </c>
      <c r="I354">
        <f>IF(Skills!T4&lt;&gt;"",1+(Skills!T4/10)*(Z353/1000)/100,1)</f>
        <v/>
      </c>
      <c r="J354" t="inlineStr"/>
      <c r="K354" t="inlineStr"/>
      <c r="L354" t="inlineStr"/>
      <c r="M354" t="inlineStr"/>
      <c r="N354" t="inlineStr"/>
      <c r="O354">
        <f>(1-Summary!$B$11)*S354+Summary!$B$11*U354</f>
        <v/>
      </c>
      <c r="P354">
        <f>IF(B387=0,0,O354/B387)</f>
        <v/>
      </c>
      <c r="Q354">
        <f>IFERROR(1/IF(Inputs!$B$38="pvp",15,MAX(0.1,Skills!D4-IF(Skills!E4=TRUE,Inputs!$B$32,0))),0)</f>
        <v/>
      </c>
      <c r="R354">
        <f>IF(AND(Inputs!$B$38&lt;&gt;"pvp",Inputs!$B$43&gt;0),IF(Inputs!$B$43&lt;=0,0,(INT(Inputs!$B$43/IF(Inputs!$B$38="pvp",15,MAX(0.1,Skills!D4-IF(Skills!E4=TRUE,Inputs!$B$32,0))))+1)),0)</f>
        <v/>
      </c>
      <c r="S354" t="n">
        <v>0</v>
      </c>
      <c r="T354">
        <f>290*T353/1000</f>
        <v/>
      </c>
      <c r="U354" t="n">
        <v>0</v>
      </c>
    </row>
    <row r="355">
      <c r="A355">
        <f>Skills!A5</f>
        <v/>
      </c>
      <c r="B355">
        <f>Skills!B5</f>
        <v/>
      </c>
      <c r="C355">
        <f>Inputs!$B$3&gt;=38</f>
        <v/>
      </c>
      <c r="D355">
        <f>IF(Skills!C5=1,60+Inputs!$B$25+Inputs!$B$29,IF(Skills!C5=2,90+Inputs!$B$26+Inputs!$B$29,IF(Skills!C5=3,120+Inputs!$B$27+Inputs!$B$29,MAX(0,(Inputs!$B$3-100)*3)+Inputs!$B$28+Inputs!$B$29)))</f>
        <v/>
      </c>
      <c r="E355">
        <f>INDEX(FactorTable!$B$2:$Y$301, MATCH(ROUND(MIN(300,MAX(1,D355)),0), FactorTable!$A$2:$A$301,0), Skills!L5+1)</f>
        <v/>
      </c>
      <c r="F355">
        <f>IF(Skills!M5=TRUE,(Skills!K5/10)*(E355/1000),Skills!K5/10)+Skills!N5</f>
        <v/>
      </c>
      <c r="G355">
        <f>Calc!G5</f>
        <v/>
      </c>
      <c r="H355">
        <f>Calc!H5</f>
        <v/>
      </c>
      <c r="I355">
        <f>IF(Skills!T5&lt;&gt;"",1+(Skills!T5/10)*(Z353/1000)/100,1)</f>
        <v/>
      </c>
      <c r="J355">
        <f>((Inputs!$B$6*(1+Inputs!$B$7/100))+(((Inputs!$B$12*(1+Inputs!$B$13/100))-(Inputs!$B$12*(1+Inputs!$B$13/100)))+0.25*(Inputs!$B$14-Inputs!$B$14))*(1+Inputs!$B$7/100))*(F355/100)</f>
        <v/>
      </c>
      <c r="K355">
        <f>J355*(1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5="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+1)+(F368-Calc!F18),(Inputs!$B$23+(IF(ArtifactsInput!$M$15,CHOOSE(ArtifactsInput!$N$15+1,25,30,35,40,45,50)/100*(Inputs!$B$11-Inputs!$B$11),0))))/100+(Inputs!$B$23+(IF(ArtifactsInput!$M$15,CHOOSE(ArtifactsInput!$N$15+1,25,30,35,40,45,50)/100*(Inputs!$B$11-Inputs!$B$11),0)))/100)/2</f>
        <v/>
      </c>
      <c r="M355">
        <f>L355*(1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(1-Summary!$B$11)*S355+Summary!$B$11*U355</f>
        <v/>
      </c>
      <c r="P355">
        <f>IF(B387=0,0,O355/B387)</f>
        <v/>
      </c>
      <c r="Q355">
        <f>IFERROR(1/IF(Inputs!$B$38="pvp",15,MAX(0.1,Skills!D5-IF(Skills!E5=TRUE,Inputs!$B$32,0))),0)</f>
        <v/>
      </c>
      <c r="R355">
        <f>IF(AND(Inputs!$B$38&lt;&gt;"pvp",Inputs!$B$43&gt;0),IF(MAX(0,Inputs!$B$43-B384)&lt;=0,0,(INT(MAX(0,Inputs!$B$43-B384)/IF(Inputs!$B$38="pvp",15,MAX(0.1,Skills!D5-IF(Skills!E5=TRUE,Inputs!$B$32,0))))+1)),0)</f>
        <v/>
      </c>
      <c r="S355">
        <f>IF(C355,(H355*N355*IF(AND(Inputs!$B$38&lt;&gt;"pvp",Inputs!$B$43&gt;0),((Skills!F5*((R355-1)*IF(Skills!G5&gt;0,Skills!H5/Skills!G5,1)+IF(Skills!G5&gt;0,MIN(Skills!H5,MAX(0,MAX(0,Inputs!$B$43-B384)-((R355-1)*IF(Inputs!$B$38="pvp",15,MAX(0.1,Skills!D5-IF(Skills!E5=TRUE,Inputs!$B$32,0))))))/Skills!G5,1)))/Inputs!$B$43),G355*Q355))*IF(Inputs!$B$38="pvp",1,1+(Inputs!$B$20+Skills!O5+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355*(1-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IF(C355,(H355*N355*IF(AND(Inputs!$B$38&lt;&gt;"pvp",Inputs!$B$43&gt;0),((Skills!F5*((R355-1)*IF(Skills!G5&gt;0,Skills!H5/Skills!G5,1)+IF(Skills!G5&gt;0,MIN(Skills!H5,MAX(0,MAX(0,Inputs!$B$43-B384)-((R355-1)*IF(Inputs!$B$38="pvp",15,MAX(0.1,Skills!D5-IF(Skills!E5=TRUE,Inputs!$B$32,0))))))/Skills!G5,1)))/Inputs!$B$43),G355*Q355))*IF(Inputs!$B$38="pvp",1,(1+(Inputs!$B$21+Skills!P5+B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Skills!A6</f>
        <v/>
      </c>
      <c r="B356">
        <f>Skills!B6</f>
        <v/>
      </c>
      <c r="C356">
        <f>Inputs!$B$3&gt;=63</f>
        <v/>
      </c>
      <c r="D356">
        <f>IF(Skills!C6=1,60+Inputs!$B$25+Inputs!$B$29,IF(Skills!C6=2,90+Inputs!$B$26+Inputs!$B$29,IF(Skills!C6=3,120+Inputs!$B$27+Inputs!$B$29,MAX(0,(Inputs!$B$3-100)*3)+Inputs!$B$28+Inputs!$B$29)))</f>
        <v/>
      </c>
      <c r="E356">
        <f>INDEX(FactorTable!$B$2:$Y$301, MATCH(ROUND(MIN(300,MAX(1,D356)),0), FactorTable!$A$2:$A$301,0), Skills!L6+1)</f>
        <v/>
      </c>
      <c r="F356">
        <f>IF(Skills!M6=TRUE,(Skills!K6/10)*(E356/1000),Skills!K6/10)+Skills!N6</f>
        <v/>
      </c>
      <c r="G356">
        <f>Calc!G6</f>
        <v/>
      </c>
      <c r="H356">
        <f>Calc!H6</f>
        <v/>
      </c>
      <c r="I356">
        <f>IF(Skills!T6&lt;&gt;"",1+(Skills!T6/10)*(Z353/1000)/100,1)</f>
        <v/>
      </c>
      <c r="J356">
        <f>((Inputs!$B$6*(1+Inputs!$B$7/100))+(((Inputs!$B$12*(1+Inputs!$B$13/100))-(Inputs!$B$12*(1+Inputs!$B$13/100)))+0.25*(Inputs!$B$14-Inputs!$B$14))*(1+Inputs!$B$7/100))*(F356/100)</f>
        <v/>
      </c>
      <c r="K356">
        <f>J356*(1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6="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+1)+(F368-Calc!F18),(Inputs!$B$23+(IF(ArtifactsInput!$M$15,CHOOSE(ArtifactsInput!$N$15+1,25,30,35,40,45,50)/100*(Inputs!$B$11-Inputs!$B$11),0))))/100+(Inputs!$B$23+(IF(ArtifactsInput!$M$15,CHOOSE(ArtifactsInput!$N$15+1,25,30,35,40,45,50)/100*(Inputs!$B$11-Inputs!$B$11),0)))/100)/2</f>
        <v/>
      </c>
      <c r="M356">
        <f>L356*(1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(1-Summary!$B$11)*S356+Summary!$B$11*U356</f>
        <v/>
      </c>
      <c r="P356">
        <f>IF(B387=0,0,O356/B387)</f>
        <v/>
      </c>
      <c r="Q356">
        <f>IFERROR(1/IF(Inputs!$B$38="pvp",15,MAX(0.1,Skills!D6-IF(Skills!E6=TRUE,Inputs!$B$32,0))),0)</f>
        <v/>
      </c>
      <c r="R356">
        <f>IF(AND(Inputs!$B$38&lt;&gt;"pvp",Inputs!$B$43&gt;0),IF(MAX(0,Inputs!$B$43-B384)&lt;=0,0,(INT(MAX(0,Inputs!$B$43-B384)/IF(Inputs!$B$38="pvp",15,MAX(0.1,Skills!D6-IF(Skills!E6=TRUE,Inputs!$B$32,0))))+1)),0)</f>
        <v/>
      </c>
      <c r="S356">
        <f>IF(C356,(H356*N356*IF(AND(Inputs!$B$38&lt;&gt;"pvp",Inputs!$B$43&gt;0),((Skills!F6*((R356-1)*IF(Skills!G6&gt;0,Skills!H6/Skills!G6,1)+IF(Skills!G6&gt;0,MIN(Skills!H6,MAX(0,MAX(0,Inputs!$B$43-B384)-((R356-1)*IF(Inputs!$B$38="pvp",15,MAX(0.1,Skills!D6-IF(Skills!E6=TRUE,Inputs!$B$32,0))))))/Skills!G6,1)))/Inputs!$B$43),G356*Q356))*IF(Inputs!$B$38="pvp",1,1+(Inputs!$B$20+Skills!O6+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356*(1-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F(C356,(H356*N356*IF(AND(Inputs!$B$38&lt;&gt;"pvp",Inputs!$B$43&gt;0),((Skills!F6*((R356-1)*IF(Skills!G6&gt;0,Skills!H6/Skills!G6,1)+IF(Skills!G6&gt;0,MIN(Skills!H6,MAX(0,MAX(0,Inputs!$B$43-B384)-((R356-1)*IF(Inputs!$B$38="pvp",15,MAX(0.1,Skills!D6-IF(Skills!E6=TRUE,Inputs!$B$32,0))))))/Skills!G6,1)))/Inputs!$B$43),G356*Q356))*IF(Inputs!$B$38="pvp",1,(1+(Inputs!$B$21+Skills!P6+B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Skills!A7</f>
        <v/>
      </c>
      <c r="B357">
        <f>Skills!B7</f>
        <v/>
      </c>
      <c r="C357">
        <f>Inputs!$B$3&gt;=69</f>
        <v/>
      </c>
      <c r="D357">
        <f>IF(Skills!C7=1,60+Inputs!$B$25+Inputs!$B$29,IF(Skills!C7=2,90+Inputs!$B$26+Inputs!$B$29,IF(Skills!C7=3,120+Inputs!$B$27+Inputs!$B$29,MAX(0,(Inputs!$B$3-100)*3)+Inputs!$B$28+Inputs!$B$29)))</f>
        <v/>
      </c>
      <c r="E357">
        <f>INDEX(FactorTable!$B$2:$Y$301, MATCH(ROUND(MIN(300,MAX(1,D357)),0), FactorTable!$A$2:$A$301,0), Skills!L7+1)</f>
        <v/>
      </c>
      <c r="F357">
        <f>IF(Skills!M7=TRUE,(Skills!K7/10)*(E357/1000),Skills!K7/10)+Skills!N7</f>
        <v/>
      </c>
      <c r="G357">
        <f>Calc!G7</f>
        <v/>
      </c>
      <c r="H357">
        <f>Calc!H7</f>
        <v/>
      </c>
      <c r="I357">
        <f>IF(Skills!T7&lt;&gt;"",1+(Skills!T7/10)*(Z353/1000)/100,1)</f>
        <v/>
      </c>
      <c r="J357">
        <f>((Inputs!$B$6*(1+Inputs!$B$7/100))+(((Inputs!$B$12*(1+Inputs!$B$13/100))-(Inputs!$B$12*(1+Inputs!$B$13/100)))+0.25*(Inputs!$B$14-Inputs!$B$14))*(1+Inputs!$B$7/100))*(F357/100)</f>
        <v/>
      </c>
      <c r="K357">
        <f>J357*(1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7="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+1)+(F368-Calc!F18),(Inputs!$B$23+(IF(ArtifactsInput!$M$15,CHOOSE(ArtifactsInput!$N$15+1,25,30,35,40,45,50)/100*(Inputs!$B$11-Inputs!$B$11),0))))/100+(Inputs!$B$23+(IF(ArtifactsInput!$M$15,CHOOSE(ArtifactsInput!$N$15+1,25,30,35,40,45,50)/100*(Inputs!$B$11-Inputs!$B$11),0)))/100)/2</f>
        <v/>
      </c>
      <c r="M357">
        <f>L357*(1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(1-Summary!$B$11)*S357+Summary!$B$11*U357</f>
        <v/>
      </c>
      <c r="P357">
        <f>IF(B387=0,0,O357/B387)</f>
        <v/>
      </c>
      <c r="Q357">
        <f>IFERROR(1/IF(Inputs!$B$38="pvp",15,MAX(0.1,Skills!D7-IF(Skills!E7=TRUE,Inputs!$B$32,0))),0)</f>
        <v/>
      </c>
      <c r="R357">
        <f>IF(AND(Inputs!$B$38&lt;&gt;"pvp",Inputs!$B$43&gt;0),IF(MAX(0,Inputs!$B$43-B384)&lt;=0,0,(INT(MAX(0,Inputs!$B$43-B384)/IF(Inputs!$B$38="pvp",15,MAX(0.1,Skills!D7-IF(Skills!E7=TRUE,Inputs!$B$32,0))))+1)),0)</f>
        <v/>
      </c>
      <c r="S357">
        <f>IF(C357,(H357*N357*IF(AND(Inputs!$B$38&lt;&gt;"pvp",Inputs!$B$43&gt;0),((Skills!F7*((R357-1)*IF(Skills!G7&gt;0,Skills!H7/Skills!G7,1)+IF(Skills!G7&gt;0,MIN(Skills!H7,MAX(0,MAX(0,Inputs!$B$43-B384)-((R357-1)*IF(Inputs!$B$38="pvp",15,MAX(0.1,Skills!D7-IF(Skills!E7=TRUE,Inputs!$B$32,0))))))/Skills!G7,1)))/Inputs!$B$43),G357*Q357))*IF(Inputs!$B$38="pvp",1,1+(Inputs!$B$20+Skills!O7+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357*(1-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7">
        <f>IF(C357,(H357*N357*IF(AND(Inputs!$B$38&lt;&gt;"pvp",Inputs!$B$43&gt;0),((Skills!F7*((R357-1)*IF(Skills!G7&gt;0,Skills!H7/Skills!G7,1)+IF(Skills!G7&gt;0,MIN(Skills!H7,MAX(0,MAX(0,Inputs!$B$43-B384)-((R357-1)*IF(Inputs!$B$38="pvp",15,MAX(0.1,Skills!D7-IF(Skills!E7=TRUE,Inputs!$B$32,0))))))/Skills!G7,1)))/Inputs!$B$43),G357*Q357))*IF(Inputs!$B$38="pvp",1,(1+(Inputs!$B$21+Skills!P7+B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Skills!A8</f>
        <v/>
      </c>
      <c r="B358">
        <f>Skills!B8</f>
        <v/>
      </c>
      <c r="C358">
        <f>Inputs!$B$3&gt;=103</f>
        <v/>
      </c>
      <c r="D358">
        <f>IF(Skills!C8=1,60+Inputs!$B$25+Inputs!$B$29,IF(Skills!C8=2,90+Inputs!$B$26+Inputs!$B$29,IF(Skills!C8=3,120+Inputs!$B$27+Inputs!$B$29,MAX(0,(Inputs!$B$3-100)*3)+Inputs!$B$28+Inputs!$B$29)))</f>
        <v/>
      </c>
      <c r="E358">
        <f>INDEX(FactorTable!$B$2:$Y$301, MATCH(ROUND(MIN(300,MAX(1,D358)),0), FactorTable!$A$2:$A$301,0), Skills!L8+1)</f>
        <v/>
      </c>
      <c r="F358">
        <f>IF(Skills!M8=TRUE,(Skills!K8/10)*(E358/1000),Skills!K8/10)+Skills!N8</f>
        <v/>
      </c>
      <c r="G358">
        <f>Calc!G8</f>
        <v/>
      </c>
      <c r="H358">
        <f>Calc!H8</f>
        <v/>
      </c>
      <c r="I358">
        <f>IF(Skills!T8&lt;&gt;"",1+(Skills!T8/10)*(Z353/1000)/100,1)</f>
        <v/>
      </c>
      <c r="J358">
        <f>((Inputs!$B$6*(1+Inputs!$B$7/100))+(((Inputs!$B$12*(1+Inputs!$B$13/100))-(Inputs!$B$12*(1+Inputs!$B$13/100)))+0.25*(Inputs!$B$14-Inputs!$B$14))*(1+Inputs!$B$7/100))*(F358/100)</f>
        <v/>
      </c>
      <c r="K358">
        <f>J358*(1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8="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+1)+(F368-Calc!F18),(Inputs!$B$23+(IF(ArtifactsInput!$M$15,CHOOSE(ArtifactsInput!$N$15+1,25,30,35,40,45,50)/100*(Inputs!$B$11-Inputs!$B$11),0))))/100+(Inputs!$B$23+(IF(ArtifactsInput!$M$15,CHOOSE(ArtifactsInput!$N$15+1,25,30,35,40,45,50)/100*(Inputs!$B$11-Inputs!$B$11),0)))/100)/2</f>
        <v/>
      </c>
      <c r="M358">
        <f>L358*(1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IF(B387=0,0,O358/B387)</f>
        <v/>
      </c>
      <c r="Q358">
        <f>IFERROR(1/IF(Inputs!$B$38="pvp",15,MAX(0.1,Skills!D8-IF(Skills!E8=TRUE,Inputs!$B$32,0))),0)</f>
        <v/>
      </c>
      <c r="R358">
        <f>IF(AND(Inputs!$B$38&lt;&gt;"pvp",Inputs!$B$43&gt;0),IF(MAX(0,Inputs!$B$43-B384)&lt;=0,0,(INT(MAX(0,Inputs!$B$43-B384)/IF(Inputs!$B$38="pvp",15,MAX(0.1,Skills!D8-IF(Skills!E8=TRUE,Inputs!$B$32,0))))+1)),0)</f>
        <v/>
      </c>
      <c r="S358">
        <f>IF(C358,(H358*N358*IF(AND(Inputs!$B$38&lt;&gt;"pvp",Inputs!$B$43&gt;0),((Skills!F8*((R358-1)*IF(Skills!G8&gt;0,Skills!H8/Skills!G8,1)+IF(Skills!G8&gt;0,MIN(Skills!H8,MAX(0,MAX(0,Inputs!$B$43-B384)-((R358-1)*IF(Inputs!$B$38="pvp",15,MAX(0.1,Skills!D8-IF(Skills!E8=TRUE,Inputs!$B$32,0))))))/Skills!G8,1)))/Inputs!$B$43),G358*Q358))*IF(Inputs!$B$38="pvp",1,1+(Inputs!$B$20+Skills!O8+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F8*((R358-1)*IF(Skills!G8&gt;0,Skills!H8/Skills!G8,1)+IF(Skills!G8&gt;0,MIN(Skills!H8,MAX(0,MAX(0,Inputs!$B$43-B384)-((R358-1)*IF(Inputs!$B$38="pvp",15,MAX(0.1,Skills!D8-IF(Skills!E8=TRUE,Inputs!$B$32,0))))))/Skills!G8,1)))/Inputs!$B$43),G358*Q358))*IF(Inputs!$B$38="pvp",1,(1+(Inputs!$B$21+Skills!P8+B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Skills!A9</f>
        <v/>
      </c>
      <c r="B359">
        <f>Skills!B9</f>
        <v/>
      </c>
      <c r="C359">
        <f>Inputs!$B$3&gt;=105</f>
        <v/>
      </c>
      <c r="D359">
        <f>IF(Skills!C9=1,60+Inputs!$B$25+Inputs!$B$29,IF(Skills!C9=2,90+Inputs!$B$26+Inputs!$B$29,IF(Skills!C9=3,120+Inputs!$B$27+Inputs!$B$29,MAX(0,(Inputs!$B$3-100)*3)+Inputs!$B$28+Inputs!$B$29)))</f>
        <v/>
      </c>
      <c r="E359">
        <f>INDEX(FactorTable!$B$2:$Y$301, MATCH(ROUND(MIN(300,MAX(1,D359)),0), FactorTable!$A$2:$A$301,0), Skills!L9+1)</f>
        <v/>
      </c>
      <c r="F359">
        <f>IF(Skills!M9=TRUE,(Skills!K9/10)*(E359/1000),Skills!K9/10)+Skills!N9</f>
        <v/>
      </c>
      <c r="G359">
        <f>Calc!G9</f>
        <v/>
      </c>
      <c r="H359">
        <f>Calc!H9</f>
        <v/>
      </c>
      <c r="I359">
        <f>IF(Skills!T9&lt;&gt;"",1+(Skills!T9/10)*(Z353/1000)/100,1)</f>
        <v/>
      </c>
      <c r="J359">
        <f>((Inputs!$B$6*(1+Inputs!$B$7/100))+(((Inputs!$B$12*(1+Inputs!$B$13/100))-(Inputs!$B$12*(1+Inputs!$B$13/100)))+0.25*(Inputs!$B$14-Inputs!$B$14))*(1+Inputs!$B$7/100))*(F359/100)</f>
        <v/>
      </c>
      <c r="K359">
        <f>J359*(1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9="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+1)+(F368-Calc!F18),(Inputs!$B$23+(IF(ArtifactsInput!$M$15,CHOOSE(ArtifactsInput!$N$15+1,25,30,35,40,45,50)/100*(Inputs!$B$11-Inputs!$B$11),0))))/100+(Inputs!$B$23+(IF(ArtifactsInput!$M$15,CHOOSE(ArtifactsInput!$N$15+1,25,30,35,40,45,50)/100*(Inputs!$B$11-Inputs!$B$11),0)))/100)/2</f>
        <v/>
      </c>
      <c r="M359">
        <f>L359*(1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(1-Summary!$B$11)*S359+Summary!$B$11*U359</f>
        <v/>
      </c>
      <c r="P359">
        <f>IF(B387=0,0,O359/B387)</f>
        <v/>
      </c>
      <c r="Q359">
        <f>IFERROR(1/IF(Inputs!$B$38="pvp",15,MAX(0.1,Skills!D9-IF(Skills!E9=TRUE,Inputs!$B$32,0))),0)</f>
        <v/>
      </c>
      <c r="R359">
        <f>IF(AND(Inputs!$B$38&lt;&gt;"pvp",Inputs!$B$43&gt;0),IF(MAX(0,Inputs!$B$43-B384)&lt;=0,0,(INT(MAX(0,Inputs!$B$43-B384)/IF(Inputs!$B$38="pvp",15,MAX(0.1,Skills!D9-IF(Skills!E9=TRUE,Inputs!$B$32,0))))+1)),0)</f>
        <v/>
      </c>
      <c r="S359">
        <f>IF(C359,(H359*N359*IF(AND(Inputs!$B$38&lt;&gt;"pvp",Inputs!$B$43&gt;0),((Skills!F9*((R359-1)*IF(Skills!G9&gt;0,Skills!H9/Skills!G9,1)+IF(Skills!G9&gt;0,MIN(Skills!H9,MAX(0,MAX(0,Inputs!$B$43-B384)-((R359-1)*IF(Inputs!$B$38="pvp",15,MAX(0.1,Skills!D9-IF(Skills!E9=TRUE,Inputs!$B$32,0))))))/Skills!G9,1)))/Inputs!$B$43),G359*Q359))*IF(Inputs!$B$38="pvp",1,1+(Inputs!$B$20+Skills!O9+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359*(1-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9">
        <f>IF(C359,(H359*N359*IF(AND(Inputs!$B$38&lt;&gt;"pvp",Inputs!$B$43&gt;0),((Skills!F9*((R359-1)*IF(Skills!G9&gt;0,Skills!H9/Skills!G9,1)+IF(Skills!G9&gt;0,MIN(Skills!H9,MAX(0,MAX(0,Inputs!$B$43-B384)-((R359-1)*IF(Inputs!$B$38="pvp",15,MAX(0.1,Skills!D9-IF(Skills!E9=TRUE,Inputs!$B$32,0))))))/Skills!G9,1)))/Inputs!$B$43),G359*Q359))*IF(Inputs!$B$38="pvp",1,(1+(Inputs!$B$21+Skills!P9+B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Skills!A10</f>
        <v/>
      </c>
      <c r="B360">
        <f>Skills!B10</f>
        <v/>
      </c>
      <c r="C360">
        <f>Inputs!$B$3&gt;=113</f>
        <v/>
      </c>
      <c r="D360">
        <f>IF(Skills!C10=1,60+Inputs!$B$25+Inputs!$B$29,IF(Skills!C10=2,90+Inputs!$B$26+Inputs!$B$29,IF(Skills!C10=3,120+Inputs!$B$27+Inputs!$B$29,MAX(0,(Inputs!$B$3-100)*3)+Inputs!$B$28+Inputs!$B$29)))</f>
        <v/>
      </c>
      <c r="E360">
        <f>INDEX(FactorTable!$B$2:$Y$301, MATCH(ROUND(MIN(300,MAX(1,D360)),0), FactorTable!$A$2:$A$301,0), Skills!L10+1)</f>
        <v/>
      </c>
      <c r="F360">
        <f>IF(Skills!M10=TRUE,(Skills!K10/10)*(E360/1000),Skills!K10/10)+Skills!N10</f>
        <v/>
      </c>
      <c r="G360">
        <f>Calc!G10</f>
        <v/>
      </c>
      <c r="H360">
        <f>Calc!H10</f>
        <v/>
      </c>
      <c r="I360">
        <f>IF(Skills!T10&lt;&gt;"",1+(Skills!T10/10)*(Z353/1000)/100,1)</f>
        <v/>
      </c>
      <c r="J360">
        <f>((Inputs!$B$6*(1+Inputs!$B$7/100))+(((Inputs!$B$12*(1+Inputs!$B$13/100))-(Inputs!$B$12*(1+Inputs!$B$13/100)))+0.25*(Inputs!$B$14-Inputs!$B$14))*(1+Inputs!$B$7/100))*(F360/100)</f>
        <v/>
      </c>
      <c r="K360">
        <f>J360*(1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10="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+1)+(F368-Calc!F18),(Inputs!$B$23+(IF(ArtifactsInput!$M$15,CHOOSE(ArtifactsInput!$N$15+1,25,30,35,40,45,50)/100*(Inputs!$B$11-Inputs!$B$11),0))))/100+(Inputs!$B$23+(IF(ArtifactsInput!$M$15,CHOOSE(ArtifactsInput!$N$15+1,25,30,35,40,45,50)/100*(Inputs!$B$11-Inputs!$B$11),0)))/100)/2</f>
        <v/>
      </c>
      <c r="M360">
        <f>L360*(1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(1-Summary!$B$11)*S360+Summary!$B$11*U360</f>
        <v/>
      </c>
      <c r="P360">
        <f>IF(B387=0,0,O360/B387)</f>
        <v/>
      </c>
      <c r="Q360">
        <f>IFERROR(1/IF(Inputs!$B$38="pvp",15,MAX(0.1,Skills!D10-IF(Skills!E9=TRUE,Inputs!$B$32,0))),0)</f>
        <v/>
      </c>
      <c r="R360">
        <f>IF(AND(Inputs!$B$38&lt;&gt;"pvp",Inputs!$B$43&gt;0),IF(MAX(0,Inputs!$B$43-B384)&lt;=0,0,(INT(MAX(0,Inputs!$B$43-B384)/IF(Inputs!$B$38="pvp",15,MAX(0.1,Skills!D10-IF(Skills!E9=TRUE,Inputs!$B$32,0))))+1)),0)</f>
        <v/>
      </c>
      <c r="S360">
        <f>IF(C360,(H360*N360*IF(AND(Inputs!$B$38&lt;&gt;"pvp",Inputs!$B$43&gt;0),((Skills!F10*((R360-1)*IF(Skills!G10&gt;0,Skills!H10/Skills!G10,1)+IF(Skills!G10&gt;0,MIN(Skills!H10,MAX(0,MAX(0,Inputs!$B$43-B384)-((R360-1)*IF(Inputs!$B$38="pvp",15,MAX(0.1,Skills!D10-IF(Skills!E9=TRUE,Inputs!$B$32,0))))))/Skills!G10,1)))/Inputs!$B$43),G360*Q360))*IF(Inputs!$B$38="pvp",1,1+(Inputs!$B$20+Skills!O10+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360*(1-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0">
        <f>IF(C360,(H360*N360*IF(AND(Inputs!$B$38&lt;&gt;"pvp",Inputs!$B$43&gt;0),((Skills!F10*((R360-1)*IF(Skills!G10&gt;0,Skills!H10/Skills!G10,1)+IF(Skills!G10&gt;0,MIN(Skills!H10,MAX(0,MAX(0,Inputs!$B$43-B384)-((R360-1)*IF(Inputs!$B$38="pvp",15,MAX(0.1,Skills!D10-IF(Skills!E9=TRUE,Inputs!$B$32,0))))))/Skills!G10,1)))/Inputs!$B$43),G360*Q360))*IF(Inputs!$B$38="pvp",1,(1+(Inputs!$B$21+Skills!P10+B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Skills!A11</f>
        <v/>
      </c>
      <c r="B361">
        <f>Skills!B11</f>
        <v/>
      </c>
      <c r="C361">
        <f>Inputs!$B$3&gt;=107</f>
        <v/>
      </c>
      <c r="D361">
        <f>IF(Skills!C11=1,60+Inputs!$B$25+Inputs!$B$29,IF(Skills!C11=2,90+Inputs!$B$26+Inputs!$B$29,IF(Skills!C11=3,120+Inputs!$B$27+Inputs!$B$29,MAX(0,(Inputs!$B$3-100)*3)+Inputs!$B$28+Inputs!$B$29)))</f>
        <v/>
      </c>
      <c r="E361">
        <f>INDEX(FactorTable!$B$2:$Y$301, MATCH(ROUND(MIN(300,MAX(1,D361)),0), FactorTable!$A$2:$A$301,0), Skills!L11+1)</f>
        <v/>
      </c>
      <c r="F361">
        <f>IF(Skills!M11=TRUE,(Skills!K11/10)*(E361/1000),Skills!K11/10)+Skills!N11</f>
        <v/>
      </c>
      <c r="G361">
        <f>Calc!G11</f>
        <v/>
      </c>
      <c r="H361">
        <f>Calc!H11</f>
        <v/>
      </c>
      <c r="I361">
        <f>IF(Skills!T11&lt;&gt;"",1+(Skills!T11/10)*(Z353/1000)/100,1)</f>
        <v/>
      </c>
      <c r="J361">
        <f>((Inputs!$B$6*(1+Inputs!$B$7/100))+(((Inputs!$B$12*(1+Inputs!$B$13/100))-(Inputs!$B$12*(1+Inputs!$B$13/100)))+0.25*(Inputs!$B$14-Inputs!$B$14))*(1+Inputs!$B$7/100))*(F361/100)</f>
        <v/>
      </c>
      <c r="K361">
        <f>J361*(1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11="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+1)+(F368-Calc!F18),(Inputs!$B$23+(IF(ArtifactsInput!$M$15,CHOOSE(ArtifactsInput!$N$15+1,25,30,35,40,45,50)/100*(Inputs!$B$11-Inputs!$B$11),0))))/100+(Inputs!$B$23+(IF(ArtifactsInput!$M$15,CHOOSE(ArtifactsInput!$N$15+1,25,30,35,40,45,50)/100*(Inputs!$B$11-Inputs!$B$11),0)))/100)/2</f>
        <v/>
      </c>
      <c r="M361">
        <f>L361*(1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(1-Summary!$B$11)*S361+Summary!$B$11*U361</f>
        <v/>
      </c>
      <c r="P361">
        <f>IF(B387=0,0,O361/B387)</f>
        <v/>
      </c>
      <c r="Q361">
        <f>IFERROR(1/IF(Inputs!$B$38="pvp",15,MAX(0.1,Skills!D11-IF(Skills!E11=TRUE,Inputs!$B$32,0))),0)</f>
        <v/>
      </c>
      <c r="R361">
        <f>IF(AND(Inputs!$B$38&lt;&gt;"pvp",Inputs!$B$43&gt;0),IF(MAX(0,Inputs!$B$43-B384)&lt;=0,0,(INT(MAX(0,Inputs!$B$43-B384)/IF(Inputs!$B$38="pvp",15,MAX(0.1,Skills!D11-IF(Skills!E11=TRUE,Inputs!$B$32,0))))+1)),0)</f>
        <v/>
      </c>
      <c r="S361">
        <f>IF(C361,H361*N361*IF(AND(Inputs!$B$38&lt;&gt;"pvp",Inputs!$B$43&gt;0),((Skills!F11*((R361-1)*IF(Skills!G11&gt;0,Skills!H11/Skills!G11,1)+IF(Skills!G11&gt;0,MIN(Skills!H11,MAX(0,MAX(0,Inputs!$B$43-B384)-((R361-1)*IF(Inputs!$B$38="pvp",15,MAX(0.1,Skills!D11-IF(Skills!E11=TRUE,Inputs!$B$32,0))))))/Skills!G11,1)))/Inputs!$B$43),G361*Q361)*0.5*IF(Inputs!$B$38="pvp",1,1+(Inputs!$B$20+Skills!O11+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361*(1-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IF(C361,H361*N361*IF(AND(Inputs!$B$38&lt;&gt;"pvp",Inputs!$B$43&gt;0),((Skills!F11*((R361-1)*IF(Skills!G11&gt;0,Skills!H11/Skills!G11,1)+IF(Skills!G11&gt;0,MIN(Skills!H11,MAX(0,MAX(0,Inputs!$B$43-B384)-((R361-1)*IF(Inputs!$B$38="pvp",15,MAX(0.1,Skills!D11-IF(Skills!E11=TRUE,Inputs!$B$32,0))))))/Skills!G11,1)))/Inputs!$B$43),G361*Q361)*1*IF(Inputs!$B$38="pvp",1,(1+(Inputs!$B$21+Skills!P11+B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Skills!A12</f>
        <v/>
      </c>
      <c r="B362">
        <f>Skills!B12</f>
        <v/>
      </c>
      <c r="C362">
        <f>Inputs!$B$3&gt;=115</f>
        <v/>
      </c>
      <c r="D362">
        <f>IF(Skills!C12=1,60+Inputs!$B$25+Inputs!$B$29,IF(Skills!C12=2,90+Inputs!$B$26+Inputs!$B$29,IF(Skills!C12=3,120+Inputs!$B$27+Inputs!$B$29,MAX(0,(Inputs!$B$3-100)*3)+Inputs!$B$28+Inputs!$B$29)))</f>
        <v/>
      </c>
      <c r="E362">
        <f>INDEX(FactorTable!$B$2:$Y$301, MATCH(ROUND(MIN(300,MAX(1,D362)),0), FactorTable!$A$2:$A$301,0), Skills!L12+1)</f>
        <v/>
      </c>
      <c r="F362">
        <f>IF(Skills!M12=TRUE,(Skills!K12/10)*(E362/1000),Skills!K12/10)+Skills!N12</f>
        <v/>
      </c>
      <c r="G362">
        <f>Calc!G12</f>
        <v/>
      </c>
      <c r="H362">
        <f>Calc!H12</f>
        <v/>
      </c>
      <c r="I362">
        <f>IF(Skills!T12&lt;&gt;"",1+(Skills!T12/10)*(Z353/1000)/100,1)</f>
        <v/>
      </c>
      <c r="J362">
        <f>((Inputs!$B$6*(1+Inputs!$B$7/100))+(((Inputs!$B$12*(1+Inputs!$B$13/100))-(Inputs!$B$12*(1+Inputs!$B$13/100)))+0.25*(Inputs!$B$14-Inputs!$B$14))*(1+Inputs!$B$7/100))*(F362/100)</f>
        <v/>
      </c>
      <c r="K362">
        <f>J362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12="CHAIN_LIGHTNING",Inputs!$B$17+((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+1)+(F368-Calc!F18),(Inputs!$B$23+(IF(ArtifactsInput!$M$15,CHOOSE(ArtifactsInput!$N$15+1,25,30,35,40,45,50)/100*(Inputs!$B$11-Inputs!$B$11),0))))/100+(Inputs!$B$23+(IF(ArtifactsInput!$M$15,CHOOSE(ArtifactsInput!$N$15+1,25,30,35,40,45,50)/100*(Inputs!$B$11-Inputs!$B$11),0)))/100)/2</f>
        <v/>
      </c>
      <c r="M362">
        <f>L362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IF(B387=0,0,O362/B387)</f>
        <v/>
      </c>
      <c r="Q362">
        <f>IFERROR(1/IF(Inputs!$B$38="pvp",15,MAX(0.1,Skills!D12-IF(Skills!E12=TRUE,Inputs!$B$32,0))),0)</f>
        <v/>
      </c>
      <c r="R362">
        <f>IF(AND(Inputs!$B$38&lt;&gt;"pvp",Inputs!$B$43&gt;0),IF(MAX(0,Inputs!$B$43-B384)&lt;=0,0,(INT(MAX(0,Inputs!$B$43-B384)/IF(Inputs!$B$38="pvp",15,MAX(0.1,Skills!D12-IF(Skills!E12=TRUE,Inputs!$B$32,0))))+1)),0)</f>
        <v/>
      </c>
      <c r="S362">
        <f>IF(C362,(H362*N362*IF(AND(Inputs!$B$38&lt;&gt;"pvp",Inputs!$B$43&gt;0),((Skills!F12*((R362-1)*IF(Skills!G12&gt;0,Skills!H12/Skills!G12,1)+IF(Skills!G12&gt;0,MIN(Skills!H12,MAX(0,MAX(0,Inputs!$B$43-B384)-((R362-1)*IF(Inputs!$B$38="pvp",15,MAX(0.1,Skills!D12-IF(Skills!E12=TRUE,Inputs!$B$32,0))))))/Skills!G12,1)))/Inputs!$B$43),G362*Q362))*IF(Inputs!$B$38="pvp",1,1+(Inputs!$B$20+Skills!O12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370-Calc!F20)+(F369-Calc!F19))+(ArtifactsInput!$M$24-ArtifactsInput!$M$24)*CHOOSE(ArtifactsInput!$N$24+1,10,12,14,16,18,20)+(IF(AND(Inputs!$B$38&lt;&gt;"pvp",Inputs!$B$43=0),1,IF(IF(Inputs!$B$38="pvp",15,Inputs!$B$43)-(B384)&lt;=0,1,MAX(0,IF(Inputs!$B$38="pvp",15,Inputs!$B$43)-MAX(5,B384))/(IF(Inputs!$B$38="pvp",15,Inputs!$B$43)-(B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F12*((R362-1)*IF(Skills!G12&gt;0,Skills!H12/Skills!G12,1)+IF(Skills!G12&gt;0,MIN(Skills!H12,MAX(0,MAX(0,Inputs!$B$43-B384)-((R362-1)*IF(Inputs!$B$38="pvp",15,MAX(0.1,Skills!D12-IF(Skills!E12=TRUE,Inputs!$B$32,0))))))/Skills!G12,1)))/Inputs!$B$43),G362*Q362))*IF(Inputs!$B$38="pvp",1,(1+(Inputs!$B$21+Skills!P12+B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Skills!A13</f>
        <v/>
      </c>
      <c r="B363">
        <f>Skills!B13</f>
        <v/>
      </c>
      <c r="C363">
        <f>Inputs!$B$3&gt;=49</f>
        <v/>
      </c>
      <c r="D363">
        <f>IF(Skills!C13=1,60+Inputs!$B$25+Inputs!$B$29,IF(Skills!C13=2,90+Inputs!$B$26+Inputs!$B$29,IF(Skills!C13=3,120+Inputs!$B$27+Inputs!$B$29,MAX(0,(Inputs!$B$3-100)*3)+Inputs!$B$28+Inputs!$B$29)))</f>
        <v/>
      </c>
      <c r="E363">
        <f>INDEX(FactorTable!$B$2:$Y$301, MATCH(ROUND(MIN(300,MAX(1,D363)),0), FactorTable!$A$2:$A$301,0), Skills!L13+1)</f>
        <v/>
      </c>
      <c r="F363">
        <f>IF(Skills!M13=TRUE,(Skills!K13/10)*(E363/1000),Skills!K13/10)+Skills!N13</f>
        <v/>
      </c>
      <c r="G363">
        <f>Calc!G13</f>
        <v/>
      </c>
      <c r="H363">
        <f>Calc!H13</f>
        <v/>
      </c>
      <c r="I363">
        <f>IF(Skills!T13&lt;&gt;"",1+(Skills!T13/10)*(Z353/1000)/100,1)</f>
        <v/>
      </c>
      <c r="J363" t="inlineStr"/>
      <c r="K363" t="inlineStr"/>
      <c r="L363" t="inlineStr"/>
      <c r="M363" t="inlineStr"/>
      <c r="N363" t="inlineStr"/>
      <c r="O363">
        <f>(1-Summary!$B$11)*S363+Summary!$B$11*U363</f>
        <v/>
      </c>
      <c r="P363">
        <f>IF(B387=0,0,O363/B387)</f>
        <v/>
      </c>
      <c r="Q363">
        <f>IFERROR(1/IF(Inputs!$B$38="pvp",15,MAX(0.1,Skills!D13-IF(Skills!E13=TRUE,Inputs!$B$32,0))),0)</f>
        <v/>
      </c>
      <c r="R363" t="n">
        <v>0</v>
      </c>
      <c r="S363" t="n">
        <v>0</v>
      </c>
      <c r="U363" t="n">
        <v>0</v>
      </c>
    </row>
    <row r="364">
      <c r="A364">
        <f>Skills!A14</f>
        <v/>
      </c>
      <c r="B364">
        <f>Skills!B14</f>
        <v/>
      </c>
      <c r="C364">
        <f>Inputs!$B$3&gt;=72</f>
        <v/>
      </c>
      <c r="D364">
        <f>IF(Skills!C14=1,60+Inputs!$B$25+Inputs!$B$29,IF(Skills!C14=2,90+Inputs!$B$26+Inputs!$B$29,IF(Skills!C14=3,120+Inputs!$B$27+Inputs!$B$29,MAX(0,(Inputs!$B$3-100)*3)+Inputs!$B$28+Inputs!$B$29)))</f>
        <v/>
      </c>
      <c r="E364">
        <f>INDEX(FactorTable!$B$2:$Y$301, MATCH(ROUND(MIN(300,MAX(1,D364)),0), FactorTable!$A$2:$A$301,0), Skills!L14+1)</f>
        <v/>
      </c>
      <c r="F364">
        <f>IF(Skills!M14=TRUE,(Skills!K14/10)*(E364/1000),Skills!K14/10)+Skills!N14</f>
        <v/>
      </c>
      <c r="G364">
        <f>Calc!G14</f>
        <v/>
      </c>
      <c r="H364">
        <f>Calc!H14</f>
        <v/>
      </c>
      <c r="I364">
        <f>IF(Skills!T14&lt;&gt;"",1+(Skills!T14/10)*(Z353/1000)/100,1)</f>
        <v/>
      </c>
      <c r="J364" t="inlineStr"/>
      <c r="K364" t="inlineStr"/>
      <c r="L364" t="inlineStr"/>
      <c r="M364" t="inlineStr"/>
      <c r="N364" t="inlineStr"/>
      <c r="O364">
        <f>(1-Summary!$B$11)*S364+Summary!$B$11*U364</f>
        <v/>
      </c>
      <c r="P364">
        <f>IF(B387=0,0,O364/B387)</f>
        <v/>
      </c>
      <c r="Q364">
        <f>IFERROR(1/IF(Inputs!$B$38="pvp",15,MAX(0.1,Skills!D14-IF(Skills!E14=TRUE,Inputs!$B$32,0))),0)</f>
        <v/>
      </c>
      <c r="R364" t="n">
        <v>0</v>
      </c>
      <c r="S364" t="n">
        <v>0</v>
      </c>
      <c r="U364" t="n">
        <v>0</v>
      </c>
    </row>
    <row r="365">
      <c r="A365">
        <f>Skills!A15</f>
        <v/>
      </c>
      <c r="B365">
        <f>Skills!B15</f>
        <v/>
      </c>
      <c r="C365">
        <f>Inputs!$B$3&gt;=75</f>
        <v/>
      </c>
      <c r="D365">
        <f>IF(Skills!C15=1,60+Inputs!$B$25+Inputs!$B$29,IF(Skills!C15=2,90+Inputs!$B$26+Inputs!$B$29,IF(Skills!C15=3,120+Inputs!$B$27+Inputs!$B$29,MAX(0,(Inputs!$B$3-100)*3)+Inputs!$B$28+Inputs!$B$29)))</f>
        <v/>
      </c>
      <c r="E365">
        <f>INDEX(FactorTable!$B$2:$Y$301, MATCH(ROUND(MIN(300,MAX(1,D365)),0), FactorTable!$A$2:$A$301,0), Skills!L15+1)</f>
        <v/>
      </c>
      <c r="F365">
        <f>IF(Skills!M15=TRUE,(Skills!K15/10)*(E365/1000),Skills!K15/10)+Skills!N15</f>
        <v/>
      </c>
      <c r="G365">
        <f>Calc!G15</f>
        <v/>
      </c>
      <c r="H365">
        <f>Calc!H15</f>
        <v/>
      </c>
      <c r="I365">
        <f>IF(Skills!T15&lt;&gt;"",1+(Skills!T15/10)*(Z353/1000)/100,1)</f>
        <v/>
      </c>
      <c r="J365" t="inlineStr"/>
      <c r="K365" t="inlineStr"/>
      <c r="L365" t="inlineStr"/>
      <c r="M365" t="inlineStr"/>
      <c r="N365" t="inlineStr"/>
      <c r="O365">
        <f>(1-Summary!$B$11)*S365+Summary!$B$11*U365</f>
        <v/>
      </c>
      <c r="P365">
        <f>IF(B387=0,0,O365/B387)</f>
        <v/>
      </c>
      <c r="Q365">
        <f>IFERROR(1/IF(Inputs!$B$38="pvp",15,MAX(0.1,Skills!D15-IF(Skills!E15=TRUE,Inputs!$B$32,0))),0)</f>
        <v/>
      </c>
      <c r="R365" t="n">
        <v>0</v>
      </c>
      <c r="S365" t="n">
        <v>0</v>
      </c>
      <c r="U365" t="n">
        <v>0</v>
      </c>
    </row>
    <row r="366">
      <c r="A366">
        <f>Skills!A16</f>
        <v/>
      </c>
      <c r="B366">
        <f>Skills!B16</f>
        <v/>
      </c>
      <c r="C366">
        <f>Inputs!$B$3&gt;=110</f>
        <v/>
      </c>
      <c r="D366">
        <f>IF(Skills!C16=1,60+Inputs!$B$25+Inputs!$B$29,IF(Skills!C16=2,90+Inputs!$B$26+Inputs!$B$29,IF(Skills!C16=3,120+Inputs!$B$27+Inputs!$B$29,MAX(0,(Inputs!$B$3-100)*3)+Inputs!$B$28+Inputs!$B$29)))</f>
        <v/>
      </c>
      <c r="E366">
        <f>INDEX(FactorTable!$B$2:$Y$301, MATCH(ROUND(MIN(300,MAX(1,D366)),0), FactorTable!$A$2:$A$301,0), Skills!L16+1)</f>
        <v/>
      </c>
      <c r="F366">
        <f>(Skills!K16/10)*(E366/1000)*64/45+Skills!N16</f>
        <v/>
      </c>
      <c r="G366">
        <f>Calc!G16</f>
        <v/>
      </c>
      <c r="H366">
        <f>Calc!H16</f>
        <v/>
      </c>
      <c r="I366">
        <f>IF(Skills!T16&lt;&gt;"",1+(Skills!T16/10)*(Z353/1000)/100,1)</f>
        <v/>
      </c>
      <c r="J366" t="inlineStr"/>
      <c r="K366" t="inlineStr"/>
      <c r="L366" t="inlineStr"/>
      <c r="M366" t="inlineStr"/>
      <c r="N366" t="inlineStr"/>
      <c r="O366">
        <f>(1-Summary!$B$11)*S366+Summary!$B$11*U366</f>
        <v/>
      </c>
      <c r="P366">
        <f>IF(B387=0,0,O366/B387)</f>
        <v/>
      </c>
      <c r="Q366">
        <f>IFERROR(1/IF(Inputs!$B$38="pvp",15,MAX(0.1,Skills!D16-IF(Skills!E16=TRUE,Inputs!$B$32,0))),0)</f>
        <v/>
      </c>
      <c r="R366">
        <f>IF(AND(Inputs!$B$38&lt;&gt;"pvp",Inputs!$B$43&gt;0),IF(Inputs!$B$43&lt;=0,0,(INT(Inputs!$B$43/IF(Inputs!$B$38="pvp",15,MAX(0.1,Skills!D16-IF(Skills!E16=TRUE,Inputs!$B$32,0))))+1)),0)</f>
        <v/>
      </c>
      <c r="S366" t="n">
        <v>0</v>
      </c>
      <c r="U366" t="n">
        <v>0</v>
      </c>
    </row>
    <row r="367">
      <c r="A367">
        <f>Skills!A17</f>
        <v/>
      </c>
      <c r="B367">
        <f>Skills!B17</f>
        <v/>
      </c>
      <c r="C367">
        <f>Inputs!$B$3&gt;=33</f>
        <v/>
      </c>
      <c r="D367">
        <f>IF(Skills!C17=1,60+Inputs!$B$25+Inputs!$B$29,IF(Skills!C17=2,90+Inputs!$B$26+Inputs!$B$29,IF(Skills!C17=3,120+Inputs!$B$27+Inputs!$B$29,MAX(0,(Inputs!$B$3-100)*3)+Inputs!$B$28+Inputs!$B$29)))</f>
        <v/>
      </c>
      <c r="E367">
        <f>INDEX(FactorTable!$B$2:$Y$301, MATCH(ROUND(MIN(300,MAX(1,D367)),0), FactorTable!$A$2:$A$301,0), Skills!L17+1)</f>
        <v/>
      </c>
      <c r="F367">
        <f>IF(Skills!M17=TRUE,(Skills!K17/10)*(E367/1000),Skills!K17/10)+Skills!N17</f>
        <v/>
      </c>
      <c r="G367">
        <f>Calc!G17</f>
        <v/>
      </c>
      <c r="H367">
        <f>Calc!H17</f>
        <v/>
      </c>
      <c r="I367">
        <f>IF(Skills!T17&lt;&gt;"",1+(Skills!T17/10)*(Z353/1000)/100,1)</f>
        <v/>
      </c>
      <c r="J367" t="inlineStr"/>
      <c r="K367" t="inlineStr"/>
      <c r="L367" t="inlineStr"/>
      <c r="M367" t="inlineStr"/>
      <c r="N367" t="inlineStr"/>
      <c r="O367">
        <f>(1-Summary!$B$11)*S367+Summary!$B$11*U367</f>
        <v/>
      </c>
      <c r="P367">
        <f>IF(B387=0,0,O367/B387)</f>
        <v/>
      </c>
      <c r="Q367">
        <f>IFERROR(1/IF(Inputs!$B$38="pvp",15,MAX(0.1,Skills!D17-IF(Skills!E17=TRUE,Inputs!$B$32,0))),0)</f>
        <v/>
      </c>
      <c r="R367" t="n">
        <v>0</v>
      </c>
      <c r="S367" t="n">
        <v>0</v>
      </c>
      <c r="U367" t="n">
        <v>0</v>
      </c>
    </row>
    <row r="368">
      <c r="A368">
        <f>Skills!A18</f>
        <v/>
      </c>
      <c r="B368">
        <f>Skills!B18</f>
        <v/>
      </c>
      <c r="C368">
        <f>Inputs!$B$3&gt;=43</f>
        <v/>
      </c>
      <c r="D368">
        <f>IF(Skills!C18=1,60+Inputs!$B$25+Inputs!$B$29,IF(Skills!C18=2,90+Inputs!$B$26+Inputs!$B$29,IF(Skills!C18=3,120+Inputs!$B$27+Inputs!$B$29,MAX(0,(Inputs!$B$3-100)*3)+Inputs!$B$28+Inputs!$B$29)))</f>
        <v/>
      </c>
      <c r="E368">
        <f>INDEX(FactorTable!$B$2:$Y$301, MATCH(ROUND(MIN(300,MAX(1,D368)),0), FactorTable!$A$2:$A$301,0), Skills!L18+1)</f>
        <v/>
      </c>
      <c r="F368">
        <f>IF(Skills!M18=TRUE,(Skills!K18/10)*(E368/1000),Skills!K18/10)+Skills!N18</f>
        <v/>
      </c>
      <c r="G368">
        <f>Calc!G18</f>
        <v/>
      </c>
      <c r="H368">
        <f>Calc!H18</f>
        <v/>
      </c>
      <c r="I368">
        <f>IF(Skills!T18&lt;&gt;"",1+(Skills!T18/10)*(Z353/1000)/100,1)</f>
        <v/>
      </c>
      <c r="J368" t="inlineStr"/>
      <c r="K368" t="inlineStr"/>
      <c r="L368" t="inlineStr"/>
      <c r="M368" t="inlineStr"/>
      <c r="N368" t="inlineStr"/>
      <c r="O368">
        <f>(1-Summary!$B$11)*S368+Summary!$B$11*U368</f>
        <v/>
      </c>
      <c r="P368">
        <f>IF(B387=0,0,O368/B387)</f>
        <v/>
      </c>
      <c r="Q368">
        <f>IFERROR(1/IF(Inputs!$B$38="pvp",15,MAX(0.1,Skills!D18-IF(Skills!E18=TRUE,Inputs!$B$32,0))),0)</f>
        <v/>
      </c>
      <c r="R368" t="n">
        <v>0</v>
      </c>
      <c r="S368" t="n">
        <v>0</v>
      </c>
      <c r="U368" t="n">
        <v>0</v>
      </c>
    </row>
    <row r="369">
      <c r="A369">
        <f>Skills!A19</f>
        <v/>
      </c>
      <c r="B369">
        <f>Skills!B19</f>
        <v/>
      </c>
      <c r="C369">
        <f>Inputs!$B$3&gt;=50</f>
        <v/>
      </c>
      <c r="D369">
        <f>IF(Skills!C19=1,60+Inputs!$B$25+Inputs!$B$29,IF(Skills!C19=2,90+Inputs!$B$26+Inputs!$B$29,IF(Skills!C19=3,120+Inputs!$B$27+Inputs!$B$29,MAX(0,(Inputs!$B$3-100)*3)+Inputs!$B$28+Inputs!$B$29)))</f>
        <v/>
      </c>
      <c r="E369">
        <f>INDEX(FactorTable!$B$2:$Y$301, MATCH(ROUND(MIN(300,MAX(1,D369)),0), FactorTable!$A$2:$A$301,0), Skills!L19+1)</f>
        <v/>
      </c>
      <c r="F369">
        <f>IF(Skills!M19=TRUE,(Skills!K19/10)*(E369/1000),Skills!K19/10)+Skills!N19</f>
        <v/>
      </c>
      <c r="G369">
        <f>Calc!G19</f>
        <v/>
      </c>
      <c r="H369">
        <f>Calc!H19</f>
        <v/>
      </c>
      <c r="I369">
        <f>IF(Skills!T19&lt;&gt;"",1+(Skills!T19/10)*(Z353/1000)/100,1)</f>
        <v/>
      </c>
      <c r="J369" t="inlineStr"/>
      <c r="K369" t="inlineStr"/>
      <c r="L369" t="inlineStr"/>
      <c r="M369" t="inlineStr"/>
      <c r="N369" t="inlineStr"/>
      <c r="O369">
        <f>(1-Summary!$B$11)*S369+Summary!$B$11*U369</f>
        <v/>
      </c>
      <c r="P369">
        <f>IF(B387=0,0,O369/B387)</f>
        <v/>
      </c>
      <c r="Q369">
        <f>IFERROR(1/IF(Inputs!$B$38="pvp",15,MAX(0.1,Skills!D19-IF(Skills!E19=TRUE,Inputs!$B$32,0))),0)</f>
        <v/>
      </c>
      <c r="R369" t="n">
        <v>0</v>
      </c>
      <c r="S369" t="n">
        <v>0</v>
      </c>
      <c r="U369" t="n">
        <v>0</v>
      </c>
    </row>
    <row r="370">
      <c r="A370">
        <f>Skills!A20</f>
        <v/>
      </c>
      <c r="B370">
        <f>Skills!B20</f>
        <v/>
      </c>
      <c r="C370">
        <f>Inputs!$B$3&gt;=74</f>
        <v/>
      </c>
      <c r="D370">
        <f>IF(Skills!C20=1,60+Inputs!$B$25+Inputs!$B$29,IF(Skills!C20=2,90+Inputs!$B$26+Inputs!$B$29,IF(Skills!C20=3,120+Inputs!$B$27+Inputs!$B$29,MAX(0,(Inputs!$B$3-100)*3)+Inputs!$B$28+Inputs!$B$29)))</f>
        <v/>
      </c>
      <c r="E370">
        <f>INDEX(FactorTable!$B$2:$Y$301, MATCH(ROUND(MIN(300,MAX(1,D370)),0), FactorTable!$A$2:$A$301,0), Skills!L20+1)</f>
        <v/>
      </c>
      <c r="F370">
        <f>IF(Skills!M20=TRUE,(Skills!K20/10)*(E370/1000),Skills!K20/10)+Skills!N20</f>
        <v/>
      </c>
      <c r="G370">
        <f>Calc!G20</f>
        <v/>
      </c>
      <c r="H370">
        <f>Calc!H20</f>
        <v/>
      </c>
      <c r="I370">
        <f>IF(Skills!T20&lt;&gt;"",1+(Skills!T20/10)*(Z353/1000)/100,1)</f>
        <v/>
      </c>
      <c r="J370" t="inlineStr"/>
      <c r="K370" t="inlineStr"/>
      <c r="L370" t="inlineStr"/>
      <c r="M370" t="inlineStr"/>
      <c r="N370" t="inlineStr"/>
      <c r="O370">
        <f>(1-Summary!$B$11)*S370+Summary!$B$11*U370</f>
        <v/>
      </c>
      <c r="P370">
        <f>IF(B387=0,0,O370/B387)</f>
        <v/>
      </c>
      <c r="Q370">
        <f>IFERROR(1/IF(Inputs!$B$38="pvp",15,MAX(0.1,Skills!D20-IF(Skills!E20=TRUE,Inputs!$B$32,0))),0)</f>
        <v/>
      </c>
      <c r="R370" t="n">
        <v>0</v>
      </c>
      <c r="S370" t="n">
        <v>0</v>
      </c>
      <c r="U370" t="n">
        <v>0</v>
      </c>
    </row>
    <row r="371">
      <c r="A371">
        <f>Skills!A21</f>
        <v/>
      </c>
      <c r="B371">
        <f>Skills!B21</f>
        <v/>
      </c>
      <c r="C371">
        <f>Inputs!$B$3&gt;=74</f>
        <v/>
      </c>
      <c r="D371">
        <f>IF(Skills!C21=1,60+Inputs!$B$25+Inputs!$B$29,IF(Skills!C21=2,90+Inputs!$B$26+Inputs!$B$29,IF(Skills!C21=3,120+Inputs!$B$27+Inputs!$B$29,MAX(0,(Inputs!$B$3-100)*3)+Inputs!$B$28+Inputs!$B$29)))</f>
        <v/>
      </c>
      <c r="E371">
        <f>INDEX(FactorTable!$B$2:$Y$301, MATCH(ROUND(MIN(300,MAX(1,D371)),0), FactorTable!$A$2:$A$301,0), Skills!L21+1)</f>
        <v/>
      </c>
      <c r="F371">
        <f>IF(Skills!M21=TRUE,(Skills!K21/10)*(E371/1000),Skills!K21/10)+Skills!N21</f>
        <v/>
      </c>
      <c r="G371">
        <f>Calc!G21</f>
        <v/>
      </c>
      <c r="H371">
        <f>Calc!H21</f>
        <v/>
      </c>
      <c r="I371">
        <f>IF(Skills!T21&lt;&gt;"",1+(Skills!T21/10)*(Z353/1000)/100,1)</f>
        <v/>
      </c>
      <c r="J371" t="inlineStr"/>
      <c r="K371" t="inlineStr"/>
      <c r="L371" t="inlineStr"/>
      <c r="M371" t="inlineStr"/>
      <c r="N371" t="inlineStr"/>
      <c r="O371">
        <f>(1-Summary!$B$11)*S371+Summary!$B$11*U371</f>
        <v/>
      </c>
      <c r="P371">
        <f>IF(B387=0,0,O371/B387)</f>
        <v/>
      </c>
      <c r="Q371">
        <f>IFERROR(1/IF(Inputs!$B$38="pvp",15,MAX(0.1,Skills!D21-IF(Skills!E21=TRUE,Inputs!$B$32,0))),0)</f>
        <v/>
      </c>
      <c r="R371" t="n">
        <v>0</v>
      </c>
      <c r="S371" t="n">
        <v>0</v>
      </c>
      <c r="U371" t="n">
        <v>0</v>
      </c>
    </row>
    <row r="372">
      <c r="A372">
        <f>Skills!A22</f>
        <v/>
      </c>
      <c r="B372">
        <f>Skills!B22</f>
        <v/>
      </c>
      <c r="C372">
        <f>Inputs!$B$3&gt;=117</f>
        <v/>
      </c>
      <c r="D372">
        <f>IF(Skills!C22=1,60+Inputs!$B$25+Inputs!$B$29,IF(Skills!C22=2,90+Inputs!$B$26+Inputs!$B$29,IF(Skills!C22=3,120+Inputs!$B$27+Inputs!$B$29,MAX(0,(Inputs!$B$3-100)*3)+Inputs!$B$28+Inputs!$B$29)))</f>
        <v/>
      </c>
      <c r="E372">
        <f>INDEX(FactorTable!$B$2:$Y$301, MATCH(ROUND(MIN(300,MAX(1,D372)),0), FactorTable!$A$2:$A$301,0), Skills!L22+1)</f>
        <v/>
      </c>
      <c r="F372">
        <f>IF(Skills!M22=TRUE,(Skills!K22/10)*(E372/1000),Skills!K22/10)+Skills!N22</f>
        <v/>
      </c>
      <c r="G372">
        <f>Calc!G22</f>
        <v/>
      </c>
      <c r="H372">
        <f>Calc!H22</f>
        <v/>
      </c>
      <c r="I372">
        <f>IF(Skills!T22&lt;&gt;"",1+(Skills!T22/10)*(Z353/1000)/100,1)</f>
        <v/>
      </c>
      <c r="J372" t="inlineStr"/>
      <c r="K372" t="inlineStr"/>
      <c r="L372" t="inlineStr"/>
      <c r="M372" t="inlineStr"/>
      <c r="N372" t="inlineStr"/>
      <c r="O372">
        <f>(1-Summary!$B$11)*S372+Summary!$B$11*U372</f>
        <v/>
      </c>
      <c r="P372">
        <f>IF(B387=0,0,O372/B387)</f>
        <v/>
      </c>
      <c r="Q372">
        <f>IFERROR(1/IF(Inputs!$B$38="pvp",15,MAX(0.1,Skills!D22-IF(Skills!E22=TRUE,Inputs!$B$32,0))),0)</f>
        <v/>
      </c>
      <c r="R372" t="n">
        <v>0</v>
      </c>
      <c r="S372" t="n">
        <v>0</v>
      </c>
      <c r="U372" t="n">
        <v>0</v>
      </c>
    </row>
    <row r="373">
      <c r="A373">
        <f>Skills!A23</f>
        <v/>
      </c>
      <c r="B373">
        <f>Skills!B23</f>
        <v/>
      </c>
      <c r="C373">
        <f>Inputs!$B$3&gt;=120</f>
        <v/>
      </c>
      <c r="D373">
        <f>IF(Skills!C23=1,60+Inputs!$B$25+Inputs!$B$29,IF(Skills!C23=2,90+Inputs!$B$26+Inputs!$B$29,IF(Skills!C23=3,120+Inputs!$B$27+Inputs!$B$29,MAX(0,(Inputs!$B$3-100)*3)+Inputs!$B$28+Inputs!$B$29)))</f>
        <v/>
      </c>
      <c r="E373">
        <f>INDEX(FactorTable!$B$2:$Y$301, MATCH(ROUND(MIN(300,MAX(1,D373)),0), FactorTable!$A$2:$A$301,0), Skills!L23+1)</f>
        <v/>
      </c>
      <c r="F373">
        <f>IF(Skills!M23=TRUE,(Skills!K23/10)*(E373/1000),Skills!K23/10)+Skills!N23</f>
        <v/>
      </c>
      <c r="G373">
        <f>Calc!G23</f>
        <v/>
      </c>
      <c r="H373">
        <f>Calc!H23</f>
        <v/>
      </c>
      <c r="I373">
        <f>IF(Skills!T23&lt;&gt;"",1+(Skills!T23/10)*(Z353/1000)/100,1)</f>
        <v/>
      </c>
      <c r="J373" t="inlineStr"/>
      <c r="K373" t="inlineStr"/>
      <c r="L373" t="inlineStr"/>
      <c r="M373" t="inlineStr"/>
      <c r="N373" t="inlineStr"/>
      <c r="O373">
        <f>(1-Summary!$B$11)*S373+Summary!$B$11*U373</f>
        <v/>
      </c>
      <c r="P373">
        <f>IF(B387=0,0,O373/B387)</f>
        <v/>
      </c>
      <c r="Q373">
        <f>IFERROR(1/IF(Inputs!$B$38="pvp",15,MAX(0.1,Skills!D23-IF(Skills!E23=TRUE,Inputs!$B$32,0))),0)</f>
        <v/>
      </c>
      <c r="R373" t="n">
        <v>0</v>
      </c>
      <c r="S373" t="n">
        <v>0</v>
      </c>
      <c r="U373" t="n">
        <v>0</v>
      </c>
    </row>
    <row r="374">
      <c r="A374">
        <f>Skills!A24</f>
        <v/>
      </c>
      <c r="B374">
        <f>Skills!B24</f>
        <v/>
      </c>
      <c r="C374">
        <f>TRUE</f>
        <v/>
      </c>
      <c r="D374">
        <f>IF(Skills!C24=1,60+Inputs!$B$25+Inputs!$B$29,IF(Skills!C24=2,90+Inputs!$B$26+Inputs!$B$29,IF(Skills!C24=3,120+Inputs!$B$27+Inputs!$B$29,MAX(0,(Inputs!$B$3-100)*3)+Inputs!$B$28+Inputs!$B$29)))</f>
        <v/>
      </c>
      <c r="E374">
        <f>INDEX(FactorTable!$B$2:$Y$301, MATCH(ROUND(MIN(300,MAX(1,D374)),0), FactorTable!$A$2:$A$301,0), Skills!L24+1)</f>
        <v/>
      </c>
      <c r="F374">
        <f>IF(Skills!M24=TRUE,(Skills!K24/10)*(E374/1000),Skills!K24/10)+Skills!N24</f>
        <v/>
      </c>
      <c r="G374">
        <f>Calc!G24</f>
        <v/>
      </c>
      <c r="H374">
        <f>Calc!H24</f>
        <v/>
      </c>
      <c r="I374">
        <f>IF(Skills!T24&lt;&gt;"",1+(Skills!T24/10)*(Z353/1000)/100,1)</f>
        <v/>
      </c>
      <c r="J374" t="inlineStr"/>
      <c r="K374" t="inlineStr"/>
      <c r="L374" t="inlineStr"/>
      <c r="M374" t="inlineStr"/>
      <c r="N374" t="inlineStr"/>
      <c r="O374">
        <f>(1-Summary!$B$11)*S374+Summary!$B$11*U374</f>
        <v/>
      </c>
      <c r="P374">
        <f>IF(B387=0,0,O374/B387)</f>
        <v/>
      </c>
      <c r="Q374">
        <f>IFERROR(1/IF(Inputs!$B$38="pvp",15,MAX(0.1,Skills!D24-IF(Skills!E24=TRUE,Inputs!$B$32,0))),0)</f>
        <v/>
      </c>
      <c r="R374">
        <f>IF(AND(Inputs!$B$38&lt;&gt;"pvp",Inputs!$B$43&gt;0),IF(Inputs!$B$43&lt;=0,0,(INT(Inputs!$B$43/IF(Inputs!$B$38="pvp",15,MAX(0.1,Skills!D24-IF(Skills!E24=TRUE,Inputs!$B$32,0))))+1)),0)</f>
        <v/>
      </c>
      <c r="S374" t="n">
        <v>0</v>
      </c>
      <c r="U374" t="n">
        <v>0</v>
      </c>
    </row>
    <row r="377">
      <c r="A377" t="inlineStr">
        <is>
          <t>Average Buff Multiplier (Magic Guard + Meditation + Artifact Attack%, summed; then Infinity)</t>
        </is>
      </c>
      <c r="B377">
        <f>(1+(IF(C353=TRUE,F353*IF(AND(Inputs!$B$38&lt;&gt;"pvp",Inputs!$B$43&gt;0),(((R353-1)*(Skills!S3*(1+(Inputs!$B$34)/100))+MIN((Skills!S3*(1+(Inputs!$B$34)/100)),MAX(0,Inputs!$B$43-((R353-1)*Skills!D3))))/Inputs!$B$43),IF(Inputs!$B$38="pvp",MIN((Skills!S3*(1+(Inputs!$B$34)/100)),15)/15,(Skills!S3*(1+(Inputs!$B$34)/100))/Skills!D3)),0)+IF(C354=TRUE,F354*IF(AND(Inputs!$B$38&lt;&gt;"pvp",Inputs!$B$43&gt;0),(((R354-1)*(Skills!S4*(1+(Inputs!$B$34)/100))+MIN((Skills!S4*(1+(Inputs!$B$34)/100)),MAX(0,Inputs!$B$43-((R354-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366=TRUE,(1+F366*IF(AND(Inputs!$B$38&lt;&gt;"pvp",Inputs!$B$43&gt;0),(((R366-1)*(Skills!S16*(1+(Inputs!$B$34)/100))+MIN((Skills!S16*(1+(Inputs!$B$34)/100)),MAX(0,Inputs!$B$43-((R366-1)*Skills!D16))))/Inputs!$B$43),IF(Inputs!$B$38="pvp",MIN((Skills!S16*(1+(Inputs!$B$34)/100)),15)/15,(Skills!S16*(1+(Inputs!$B$34)/100))/Skills!D16))/100),1)</f>
        <v/>
      </c>
    </row>
    <row r="378">
      <c r="A378" t="inlineStr">
        <is>
          <t>Monster Damage Taken Bonus % (Freezing Breath - Weaken + Elemental Reset + Artifact Enemy Damage Taken, summed)</t>
        </is>
      </c>
      <c r="B378">
        <f>IF(Inputs!$B$3&gt;=118,15*IF(Inputs!$B$38="pvp",MIN((30*(1+(Inputs!$B$34)/100)),15)/15,(30*(1+(Inputs!$B$34)/100))/Skills!D8),0)+IF(C364=TRUE,F364,0)+(IF(AND(ArtifactsInput!$M$35,Inputs!$B$4&lt;&gt;"Chapter Hunt"),CHOOSE(ArtifactsInput!$N$35+1,15,18,21,24,27,30)*(1-EXP(-(0.2*B381)*5)),0)+IF(AND(ArtifactsInput!$M$22,Inputs!$B$4&lt;&gt;"Chapter Hunt"),CHOOSE(ArtifactsInput!$N$22+1,10,12,14,16,18,20)*((0*(((0.15*B381*5))^0/1)+1*(((0.15*B381*5))^1/1)+2*(((0.15*B381*5))^2/2)+3*(((0.15*B381*5))^3/6)+4*(((0.15*B381*5))^4/24)+5*(((0.15*B381*5))^5/120))/((((0.15*B381*5))^0/1)+(((0.15*B381*5))^1/1)+(((0.15*B381*5))^2/2)+(((0.15*B381*5))^3/6)+(((0.15*B381*5))^4/24)+(((0.15*B381*5))^5/120))),0))</f>
        <v/>
      </c>
    </row>
    <row r="379">
      <c r="A379" t="inlineStr">
        <is>
          <t>Damage % Bonus (Frozen Break + Frost Clutch, flat)</t>
        </is>
      </c>
      <c r="B379">
        <f>IF(Inputs!$B$3&gt;=66,15,0)+IF(Inputs!$B$3&gt;=98,10,0)+IF(Inputs!$B$3&gt;=125,20,0)</f>
        <v/>
      </c>
    </row>
    <row r="380">
      <c r="A380" t="inlineStr">
        <is>
          <t>Attack Speed Bonus % (MP Eater - MP Boost, always-on + Nimble Feet, duty-cycle averaged)</t>
        </is>
      </c>
      <c r="B380">
        <f>IF(C363=TRUE,F363+(F367-Calc!F17),0)+((C374=TRUE)*F374*IF(AND(Inputs!$B$38&lt;&gt;"pvp",Inputs!$B$43&gt;0),(((R374-1)*(Skills!S24*(1+(Inputs!$B$34)/100))+MIN((Skills!S24*(1+(Inputs!$B$34)/100)),MAX(0,Inputs!$B$43-((R374-1)*Skills!D24))))/Inputs!$B$43),IF(Inputs!$B$38="pvp",MIN((Skills!S24*(1+(Inputs!$B$34)/100)),15)/15,(Skills!S24*(1+(Inputs!$B$34)/100))/Skills!D24)))</f>
        <v/>
      </c>
    </row>
    <row r="381">
      <c r="A381" t="inlineStr">
        <is>
          <t>Actions Per Second</t>
        </is>
      </c>
      <c r="B381">
        <f>1+MIN(150,150*(1-(1-(Inputs!$B$11+(ArtifactsInput!$M$15-ArtifactsInput!$M$15)*CHOOSE(ArtifactsInput!$N$15+1,8,9.6,11.2,12.8,14.4,16))/150)*(1-B380/150)))/100</f>
        <v/>
      </c>
    </row>
    <row r="382">
      <c r="A382" t="inlineStr">
        <is>
          <t>Skill + Buff Cast Rate</t>
        </is>
      </c>
      <c r="B382">
        <f>IF(AND(Inputs!$B$38&lt;&gt;"pvp",Inputs!$B$43&gt;0),SUMPRODUCT((Skills!E2:E24=TRUE)*(C352:C374=TRUE)*R352:R374)/Inputs!$B$43,SUMPRODUCT((Skills!E2:E24=TRUE)*(C352:C374=TRUE)*Q352:Q374))</f>
        <v/>
      </c>
    </row>
    <row r="383">
      <c r="A383" t="inlineStr">
        <is>
          <t>Chain Lightning Casts Per Second</t>
        </is>
      </c>
      <c r="B383">
        <f>MAX(0,B381-B382)</f>
        <v/>
      </c>
    </row>
    <row r="384">
      <c r="A384" t="inlineStr">
        <is>
          <t>Buff-Casting Startup Delay (s, fixed-duration only)</t>
        </is>
      </c>
      <c r="B384">
        <f>IF(AND(Inputs!$B$38&lt;&gt;"pvp",Inputs!$B$43&gt;0),SUMPRODUCT((Skills!S2:S24&gt;0)*(Skills!E2:E24=TRUE)*(C352:C374=TRUE))/B381,0)</f>
        <v/>
      </c>
    </row>
    <row r="385">
      <c r="A385" t="inlineStr">
        <is>
          <t>Boss-Only Total DPS (this block's swept value)</t>
        </is>
      </c>
      <c r="B385">
        <f>SUM(S352:S374)</f>
        <v/>
      </c>
    </row>
    <row r="386">
      <c r="A386" t="inlineStr">
        <is>
          <t>Normal-Only Total DPS (this block's swept value)</t>
        </is>
      </c>
      <c r="B386">
        <f>SUM(U352:U374)</f>
        <v/>
      </c>
    </row>
    <row r="387">
      <c r="A387" s="6" t="inlineStr">
        <is>
          <t>TOTAL DPS</t>
        </is>
      </c>
      <c r="B387" s="6">
        <f>SUM(O352:O374)</f>
        <v/>
      </c>
    </row>
    <row r="390">
      <c r="A390" s="6" t="inlineStr">
        <is>
          <t>Stat: MAX_DAMAGE %</t>
        </is>
      </c>
    </row>
    <row r="391">
      <c r="A391" s="5" t="inlineStr">
        <is>
          <t>Key</t>
        </is>
      </c>
      <c r="B391" s="5" t="inlineStr">
        <is>
          <t>Name</t>
        </is>
      </c>
      <c r="C391" s="5" t="inlineStr">
        <is>
          <t>Unlocked</t>
        </is>
      </c>
      <c r="D391" s="5" t="inlineStr">
        <is>
          <t>InputLevel</t>
        </is>
      </c>
      <c r="E391" s="5" t="inlineStr">
        <is>
          <t>Factor</t>
        </is>
      </c>
      <c r="F391" s="5" t="inlineStr">
        <is>
          <t>CoefficientPercent</t>
        </is>
      </c>
      <c r="G391" s="5" t="inlineStr">
        <is>
          <t>EffectiveHits</t>
        </is>
      </c>
      <c r="H391" s="5" t="inlineStr">
        <is>
          <t>ProcProbability</t>
        </is>
      </c>
      <c r="I391" s="5" t="inlineStr">
        <is>
          <t>MapleHeroMultiplier</t>
        </is>
      </c>
      <c r="J391" s="5" t="inlineStr">
        <is>
          <t>BaseDamage</t>
        </is>
      </c>
      <c r="K391" s="5" t="inlineStr">
        <is>
          <t>BaseHitDamage</t>
        </is>
      </c>
      <c r="L391" s="5" t="inlineStr">
        <is>
          <t>NonCritAvg</t>
        </is>
      </c>
      <c r="M391" s="5" t="inlineStr">
        <is>
          <t>CritAvg</t>
        </is>
      </c>
      <c r="N391" s="5" t="inlineStr">
        <is>
          <t>ExpectedDamage(perHit)</t>
        </is>
      </c>
      <c r="O391" s="5" t="inlineStr">
        <is>
          <t>DPS</t>
        </is>
      </c>
      <c r="P391" s="5" t="inlineStr">
        <is>
          <t>% of Total</t>
        </is>
      </c>
      <c r="R391" t="inlineStr">
        <is>
          <t>helpers</t>
        </is>
      </c>
    </row>
    <row r="392">
      <c r="A392">
        <f>Skills!A2</f>
        <v/>
      </c>
      <c r="B392">
        <f>Skills!B2</f>
        <v/>
      </c>
      <c r="C392">
        <f>Inputs!$B$3&gt;=100</f>
        <v/>
      </c>
      <c r="D392" t="inlineStr"/>
      <c r="E392" t="inlineStr"/>
      <c r="F392">
        <f>T394+Skills!N2</f>
        <v/>
      </c>
      <c r="G392">
        <f>Calc!G2</f>
        <v/>
      </c>
      <c r="H392">
        <f>Calc!H2</f>
        <v/>
      </c>
      <c r="I392">
        <f>IF(Skills!T2&lt;&gt;"",1+(Skills!T2/10)*(Z393/1000)/100,1)</f>
        <v/>
      </c>
      <c r="J392">
        <f>((Inputs!$B$6*(1+Inputs!$B$7/100))+(((Inputs!$B$12*(1+Inputs!$B$13/100))-(Inputs!$B$12*(1+Inputs!$B$13/100)))+0.25*(Inputs!$B$14-Inputs!$B$14))*(1+Inputs!$B$7/100))*(F392/100)</f>
        <v/>
      </c>
      <c r="K392">
        <f>J392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2="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F408-Calc!F18),((Inputs!$B$23+1)+(IF(ArtifactsInput!$M$15,CHOOSE(ArtifactsInput!$N$15+1,25,30,35,40,45,50)/100*(Inputs!$B$11-Inputs!$B$11),0))))/100+((Inputs!$B$23+1)+(IF(ArtifactsInput!$M$15,CHOOSE(ArtifactsInput!$N$15+1,25,30,35,40,45,50)/100*(Inputs!$B$11-Inputs!$B$11),0)))/100)/2</f>
        <v/>
      </c>
      <c r="M392">
        <f>L392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IF(B427=0,0,O392/B427)</f>
        <v/>
      </c>
      <c r="Q392">
        <f>IFERROR(1/IF(Inputs!$B$38="pvp",15,MAX(0.1,Skills!D2-IF(Skills!E2=TRUE,Inputs!$B$32,0))),0)</f>
        <v/>
      </c>
      <c r="R392" t="n">
        <v>0</v>
      </c>
      <c r="S392">
        <f>IF(C392,(Skills!F2*N392*B423)*IF(Inputs!$B$38="pvp",1,1+(Inputs!$B$20+Skills!O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92">
        <f>MAX(0,(Inputs!$B$3-100)*3)+Inputs!$B$28+Inputs!$B$29</f>
        <v/>
      </c>
      <c r="U392">
        <f>IF(C392,(Skills!F2*N392*B423)*IF(Inputs!$B$38="pvp",1,(1+(Inputs!$B$21+Skills!P2+B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92">
        <f>MAX(0,(Inputs!$B$3-100)*3)+Inputs!$B$28+Inputs!$B$29</f>
        <v/>
      </c>
    </row>
    <row r="393">
      <c r="A393">
        <f>Skills!A3</f>
        <v/>
      </c>
      <c r="B393">
        <f>Skills!B3</f>
        <v/>
      </c>
      <c r="C393">
        <f>Inputs!$B$3&gt;=15</f>
        <v/>
      </c>
      <c r="D393">
        <f>IF(Skills!C3=1,60+Inputs!$B$25+Inputs!$B$29,IF(Skills!C3=2,90+Inputs!$B$26+Inputs!$B$29,IF(Skills!C3=3,120+Inputs!$B$27+Inputs!$B$29,MAX(0,(Inputs!$B$3-100)*3)+Inputs!$B$28+Inputs!$B$29)))</f>
        <v/>
      </c>
      <c r="E393">
        <f>INDEX(FactorTable!$B$2:$Y$301, MATCH(ROUND(MIN(300,MAX(1,D393)),0), FactorTable!$A$2:$A$301,0), Skills!L3+1)</f>
        <v/>
      </c>
      <c r="F393">
        <f>IF(Skills!M3=TRUE,(Skills!K3/10)*(E393/1000),Skills!K3/10)+Skills!N3</f>
        <v/>
      </c>
      <c r="G393">
        <f>Calc!G3</f>
        <v/>
      </c>
      <c r="H393">
        <f>Calc!H3</f>
        <v/>
      </c>
      <c r="I393">
        <f>IF(Skills!T3&lt;&gt;"",1+(Skills!T3/10)*(Z393/1000)/100,1)</f>
        <v/>
      </c>
      <c r="J393" t="inlineStr"/>
      <c r="K393" t="inlineStr"/>
      <c r="L393" t="inlineStr"/>
      <c r="M393" t="inlineStr"/>
      <c r="N393" t="inlineStr"/>
      <c r="O393">
        <f>(1-Summary!$B$11)*S393+Summary!$B$11*U393</f>
        <v/>
      </c>
      <c r="P393">
        <f>IF(B427=0,0,O393/B427)</f>
        <v/>
      </c>
      <c r="Q393">
        <f>IFERROR(1/IF(Inputs!$B$38="pvp",15,MAX(0.1,Skills!D3-IF(Skills!E3=TRUE,Inputs!$B$32,0))),0)</f>
        <v/>
      </c>
      <c r="R393">
        <f>IF(AND(Inputs!$B$38&lt;&gt;"pvp",Inputs!$B$43&gt;0),IF(Inputs!$B$43&lt;=0,0,(INT(Inputs!$B$43/IF(Inputs!$B$38="pvp",15,MAX(0.1,Skills!D3-IF(Skills!E3=TRUE,Inputs!$B$32,0))))+1)),0)</f>
        <v/>
      </c>
      <c r="S393" t="n">
        <v>0</v>
      </c>
      <c r="T393">
        <f>INDEX(FactorTable!$B$2:$Y$301, MATCH(ROUND(MIN(300,MAX(1,T392)),0), FactorTable!$A$2:$A$301,0), 22)</f>
        <v/>
      </c>
      <c r="U393" t="n">
        <v>0</v>
      </c>
      <c r="Z393">
        <f>INDEX(FactorTable!$B$2:$Y$301, MATCH(ROUND(MIN(300,MAX(1,Z392)),0), FactorTable!$A$2:$A$301,0), 24)</f>
        <v/>
      </c>
    </row>
    <row r="394">
      <c r="A394">
        <f>Skills!A4</f>
        <v/>
      </c>
      <c r="B394">
        <f>Skills!B4</f>
        <v/>
      </c>
      <c r="C394">
        <f>Inputs!$B$3&gt;=40</f>
        <v/>
      </c>
      <c r="D394">
        <f>IF(Skills!C4=1,60+Inputs!$B$25+Inputs!$B$29,IF(Skills!C4=2,90+Inputs!$B$26+Inputs!$B$29,IF(Skills!C4=3,120+Inputs!$B$27+Inputs!$B$29,MAX(0,(Inputs!$B$3-100)*3)+Inputs!$B$28+Inputs!$B$29)))</f>
        <v/>
      </c>
      <c r="E394">
        <f>INDEX(FactorTable!$B$2:$Y$301, MATCH(ROUND(MIN(300,MAX(1,D394)),0), FactorTable!$A$2:$A$301,0), Skills!L4+1)</f>
        <v/>
      </c>
      <c r="F394">
        <f>IF(Skills!M4=TRUE,(Skills!K4/10)*(E394/1000),Skills!K4/10)+Skills!N4</f>
        <v/>
      </c>
      <c r="G394">
        <f>Calc!G4</f>
        <v/>
      </c>
      <c r="H394">
        <f>Calc!H4</f>
        <v/>
      </c>
      <c r="I394">
        <f>IF(Skills!T4&lt;&gt;"",1+(Skills!T4/10)*(Z393/1000)/100,1)</f>
        <v/>
      </c>
      <c r="J394" t="inlineStr"/>
      <c r="K394" t="inlineStr"/>
      <c r="L394" t="inlineStr"/>
      <c r="M394" t="inlineStr"/>
      <c r="N394" t="inlineStr"/>
      <c r="O394">
        <f>(1-Summary!$B$11)*S394+Summary!$B$11*U394</f>
        <v/>
      </c>
      <c r="P394">
        <f>IF(B427=0,0,O394/B427)</f>
        <v/>
      </c>
      <c r="Q394">
        <f>IFERROR(1/IF(Inputs!$B$38="pvp",15,MAX(0.1,Skills!D4-IF(Skills!E4=TRUE,Inputs!$B$32,0))),0)</f>
        <v/>
      </c>
      <c r="R394">
        <f>IF(AND(Inputs!$B$38&lt;&gt;"pvp",Inputs!$B$43&gt;0),IF(Inputs!$B$43&lt;=0,0,(INT(Inputs!$B$43/IF(Inputs!$B$38="pvp",15,MAX(0.1,Skills!D4-IF(Skills!E4=TRUE,Inputs!$B$32,0))))+1)),0)</f>
        <v/>
      </c>
      <c r="S394" t="n">
        <v>0</v>
      </c>
      <c r="T394">
        <f>290*T393/1000</f>
        <v/>
      </c>
      <c r="U394" t="n">
        <v>0</v>
      </c>
    </row>
    <row r="395">
      <c r="A395">
        <f>Skills!A5</f>
        <v/>
      </c>
      <c r="B395">
        <f>Skills!B5</f>
        <v/>
      </c>
      <c r="C395">
        <f>Inputs!$B$3&gt;=38</f>
        <v/>
      </c>
      <c r="D395">
        <f>IF(Skills!C5=1,60+Inputs!$B$25+Inputs!$B$29,IF(Skills!C5=2,90+Inputs!$B$26+Inputs!$B$29,IF(Skills!C5=3,120+Inputs!$B$27+Inputs!$B$29,MAX(0,(Inputs!$B$3-100)*3)+Inputs!$B$28+Inputs!$B$29)))</f>
        <v/>
      </c>
      <c r="E395">
        <f>INDEX(FactorTable!$B$2:$Y$301, MATCH(ROUND(MIN(300,MAX(1,D395)),0), FactorTable!$A$2:$A$301,0), Skills!L5+1)</f>
        <v/>
      </c>
      <c r="F395">
        <f>IF(Skills!M5=TRUE,(Skills!K5/10)*(E395/1000),Skills!K5/10)+Skills!N5</f>
        <v/>
      </c>
      <c r="G395">
        <f>Calc!G5</f>
        <v/>
      </c>
      <c r="H395">
        <f>Calc!H5</f>
        <v/>
      </c>
      <c r="I395">
        <f>IF(Skills!T5&lt;&gt;"",1+(Skills!T5/10)*(Z393/1000)/100,1)</f>
        <v/>
      </c>
      <c r="J395">
        <f>((Inputs!$B$6*(1+Inputs!$B$7/100))+(((Inputs!$B$12*(1+Inputs!$B$13/100))-(Inputs!$B$12*(1+Inputs!$B$13/100)))+0.25*(Inputs!$B$14-Inputs!$B$14))*(1+Inputs!$B$7/100))*(F395/100)</f>
        <v/>
      </c>
      <c r="K395">
        <f>J395*(1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5="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F408-Calc!F18),((Inputs!$B$23+1)+(IF(ArtifactsInput!$M$15,CHOOSE(ArtifactsInput!$N$15+1,25,30,35,40,45,50)/100*(Inputs!$B$11-Inputs!$B$11),0))))/100+((Inputs!$B$23+1)+(IF(ArtifactsInput!$M$15,CHOOSE(ArtifactsInput!$N$15+1,25,30,35,40,45,50)/100*(Inputs!$B$11-Inputs!$B$11),0)))/100)/2</f>
        <v/>
      </c>
      <c r="M395">
        <f>L395*(1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(1-Summary!$B$11)*S395+Summary!$B$11*U395</f>
        <v/>
      </c>
      <c r="P395">
        <f>IF(B427=0,0,O395/B427)</f>
        <v/>
      </c>
      <c r="Q395">
        <f>IFERROR(1/IF(Inputs!$B$38="pvp",15,MAX(0.1,Skills!D5-IF(Skills!E5=TRUE,Inputs!$B$32,0))),0)</f>
        <v/>
      </c>
      <c r="R395">
        <f>IF(AND(Inputs!$B$38&lt;&gt;"pvp",Inputs!$B$43&gt;0),IF(MAX(0,Inputs!$B$43-B424)&lt;=0,0,(INT(MAX(0,Inputs!$B$43-B424)/IF(Inputs!$B$38="pvp",15,MAX(0.1,Skills!D5-IF(Skills!E5=TRUE,Inputs!$B$32,0))))+1)),0)</f>
        <v/>
      </c>
      <c r="S395">
        <f>IF(C395,(H395*N395*IF(AND(Inputs!$B$38&lt;&gt;"pvp",Inputs!$B$43&gt;0),((Skills!F5*((R395-1)*IF(Skills!G5&gt;0,Skills!H5/Skills!G5,1)+IF(Skills!G5&gt;0,MIN(Skills!H5,MAX(0,MAX(0,Inputs!$B$43-B424)-((R395-1)*IF(Inputs!$B$38="pvp",15,MAX(0.1,Skills!D5-IF(Skills!E5=TRUE,Inputs!$B$32,0))))))/Skills!G5,1)))/Inputs!$B$43),G395*Q395))*IF(Inputs!$B$38="pvp",1,1+(Inputs!$B$20+Skills!O5+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395*(1-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IF(C395,(H395*N395*IF(AND(Inputs!$B$38&lt;&gt;"pvp",Inputs!$B$43&gt;0),((Skills!F5*((R395-1)*IF(Skills!G5&gt;0,Skills!H5/Skills!G5,1)+IF(Skills!G5&gt;0,MIN(Skills!H5,MAX(0,MAX(0,Inputs!$B$43-B424)-((R395-1)*IF(Inputs!$B$38="pvp",15,MAX(0.1,Skills!D5-IF(Skills!E5=TRUE,Inputs!$B$32,0))))))/Skills!G5,1)))/Inputs!$B$43),G395*Q395))*IF(Inputs!$B$38="pvp",1,(1+(Inputs!$B$21+Skills!P5+B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Skills!A6</f>
        <v/>
      </c>
      <c r="B396">
        <f>Skills!B6</f>
        <v/>
      </c>
      <c r="C396">
        <f>Inputs!$B$3&gt;=63</f>
        <v/>
      </c>
      <c r="D396">
        <f>IF(Skills!C6=1,60+Inputs!$B$25+Inputs!$B$29,IF(Skills!C6=2,90+Inputs!$B$26+Inputs!$B$29,IF(Skills!C6=3,120+Inputs!$B$27+Inputs!$B$29,MAX(0,(Inputs!$B$3-100)*3)+Inputs!$B$28+Inputs!$B$29)))</f>
        <v/>
      </c>
      <c r="E396">
        <f>INDEX(FactorTable!$B$2:$Y$301, MATCH(ROUND(MIN(300,MAX(1,D396)),0), FactorTable!$A$2:$A$301,0), Skills!L6+1)</f>
        <v/>
      </c>
      <c r="F396">
        <f>IF(Skills!M6=TRUE,(Skills!K6/10)*(E396/1000),Skills!K6/10)+Skills!N6</f>
        <v/>
      </c>
      <c r="G396">
        <f>Calc!G6</f>
        <v/>
      </c>
      <c r="H396">
        <f>Calc!H6</f>
        <v/>
      </c>
      <c r="I396">
        <f>IF(Skills!T6&lt;&gt;"",1+(Skills!T6/10)*(Z393/1000)/100,1)</f>
        <v/>
      </c>
      <c r="J396">
        <f>((Inputs!$B$6*(1+Inputs!$B$7/100))+(((Inputs!$B$12*(1+Inputs!$B$13/100))-(Inputs!$B$12*(1+Inputs!$B$13/100)))+0.25*(Inputs!$B$14-Inputs!$B$14))*(1+Inputs!$B$7/100))*(F396/100)</f>
        <v/>
      </c>
      <c r="K396">
        <f>J396*(1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6="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F408-Calc!F18),((Inputs!$B$23+1)+(IF(ArtifactsInput!$M$15,CHOOSE(ArtifactsInput!$N$15+1,25,30,35,40,45,50)/100*(Inputs!$B$11-Inputs!$B$11),0))))/100+((Inputs!$B$23+1)+(IF(ArtifactsInput!$M$15,CHOOSE(ArtifactsInput!$N$15+1,25,30,35,40,45,50)/100*(Inputs!$B$11-Inputs!$B$11),0)))/100)/2</f>
        <v/>
      </c>
      <c r="M396">
        <f>L396*(1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(1-Summary!$B$11)*S396+Summary!$B$11*U396</f>
        <v/>
      </c>
      <c r="P396">
        <f>IF(B427=0,0,O396/B427)</f>
        <v/>
      </c>
      <c r="Q396">
        <f>IFERROR(1/IF(Inputs!$B$38="pvp",15,MAX(0.1,Skills!D6-IF(Skills!E6=TRUE,Inputs!$B$32,0))),0)</f>
        <v/>
      </c>
      <c r="R396">
        <f>IF(AND(Inputs!$B$38&lt;&gt;"pvp",Inputs!$B$43&gt;0),IF(MAX(0,Inputs!$B$43-B424)&lt;=0,0,(INT(MAX(0,Inputs!$B$43-B424)/IF(Inputs!$B$38="pvp",15,MAX(0.1,Skills!D6-IF(Skills!E6=TRUE,Inputs!$B$32,0))))+1)),0)</f>
        <v/>
      </c>
      <c r="S396">
        <f>IF(C396,(H396*N396*IF(AND(Inputs!$B$38&lt;&gt;"pvp",Inputs!$B$43&gt;0),((Skills!F6*((R396-1)*IF(Skills!G6&gt;0,Skills!H6/Skills!G6,1)+IF(Skills!G6&gt;0,MIN(Skills!H6,MAX(0,MAX(0,Inputs!$B$43-B424)-((R396-1)*IF(Inputs!$B$38="pvp",15,MAX(0.1,Skills!D6-IF(Skills!E6=TRUE,Inputs!$B$32,0))))))/Skills!G6,1)))/Inputs!$B$43),G396*Q396))*IF(Inputs!$B$38="pvp",1,1+(Inputs!$B$20+Skills!O6+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396*(1-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6">
        <f>IF(C396,(H396*N396*IF(AND(Inputs!$B$38&lt;&gt;"pvp",Inputs!$B$43&gt;0),((Skills!F6*((R396-1)*IF(Skills!G6&gt;0,Skills!H6/Skills!G6,1)+IF(Skills!G6&gt;0,MIN(Skills!H6,MAX(0,MAX(0,Inputs!$B$43-B424)-((R396-1)*IF(Inputs!$B$38="pvp",15,MAX(0.1,Skills!D6-IF(Skills!E6=TRUE,Inputs!$B$32,0))))))/Skills!G6,1)))/Inputs!$B$43),G396*Q396))*IF(Inputs!$B$38="pvp",1,(1+(Inputs!$B$21+Skills!P6+B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Skills!A7</f>
        <v/>
      </c>
      <c r="B397">
        <f>Skills!B7</f>
        <v/>
      </c>
      <c r="C397">
        <f>Inputs!$B$3&gt;=69</f>
        <v/>
      </c>
      <c r="D397">
        <f>IF(Skills!C7=1,60+Inputs!$B$25+Inputs!$B$29,IF(Skills!C7=2,90+Inputs!$B$26+Inputs!$B$29,IF(Skills!C7=3,120+Inputs!$B$27+Inputs!$B$29,MAX(0,(Inputs!$B$3-100)*3)+Inputs!$B$28+Inputs!$B$29)))</f>
        <v/>
      </c>
      <c r="E397">
        <f>INDEX(FactorTable!$B$2:$Y$301, MATCH(ROUND(MIN(300,MAX(1,D397)),0), FactorTable!$A$2:$A$301,0), Skills!L7+1)</f>
        <v/>
      </c>
      <c r="F397">
        <f>IF(Skills!M7=TRUE,(Skills!K7/10)*(E397/1000),Skills!K7/10)+Skills!N7</f>
        <v/>
      </c>
      <c r="G397">
        <f>Calc!G7</f>
        <v/>
      </c>
      <c r="H397">
        <f>Calc!H7</f>
        <v/>
      </c>
      <c r="I397">
        <f>IF(Skills!T7&lt;&gt;"",1+(Skills!T7/10)*(Z393/1000)/100,1)</f>
        <v/>
      </c>
      <c r="J397">
        <f>((Inputs!$B$6*(1+Inputs!$B$7/100))+(((Inputs!$B$12*(1+Inputs!$B$13/100))-(Inputs!$B$12*(1+Inputs!$B$13/100)))+0.25*(Inputs!$B$14-Inputs!$B$14))*(1+Inputs!$B$7/100))*(F397/100)</f>
        <v/>
      </c>
      <c r="K397">
        <f>J397*(1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7="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F408-Calc!F18),((Inputs!$B$23+1)+(IF(ArtifactsInput!$M$15,CHOOSE(ArtifactsInput!$N$15+1,25,30,35,40,45,50)/100*(Inputs!$B$11-Inputs!$B$11),0))))/100+((Inputs!$B$23+1)+(IF(ArtifactsInput!$M$15,CHOOSE(ArtifactsInput!$N$15+1,25,30,35,40,45,50)/100*(Inputs!$B$11-Inputs!$B$11),0)))/100)/2</f>
        <v/>
      </c>
      <c r="M397">
        <f>L397*(1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(1-Summary!$B$11)*S397+Summary!$B$11*U397</f>
        <v/>
      </c>
      <c r="P397">
        <f>IF(B427=0,0,O397/B427)</f>
        <v/>
      </c>
      <c r="Q397">
        <f>IFERROR(1/IF(Inputs!$B$38="pvp",15,MAX(0.1,Skills!D7-IF(Skills!E7=TRUE,Inputs!$B$32,0))),0)</f>
        <v/>
      </c>
      <c r="R397">
        <f>IF(AND(Inputs!$B$38&lt;&gt;"pvp",Inputs!$B$43&gt;0),IF(MAX(0,Inputs!$B$43-B424)&lt;=0,0,(INT(MAX(0,Inputs!$B$43-B424)/IF(Inputs!$B$38="pvp",15,MAX(0.1,Skills!D7-IF(Skills!E7=TRUE,Inputs!$B$32,0))))+1)),0)</f>
        <v/>
      </c>
      <c r="S397">
        <f>IF(C397,(H397*N397*IF(AND(Inputs!$B$38&lt;&gt;"pvp",Inputs!$B$43&gt;0),((Skills!F7*((R397-1)*IF(Skills!G7&gt;0,Skills!H7/Skills!G7,1)+IF(Skills!G7&gt;0,MIN(Skills!H7,MAX(0,MAX(0,Inputs!$B$43-B424)-((R397-1)*IF(Inputs!$B$38="pvp",15,MAX(0.1,Skills!D7-IF(Skills!E7=TRUE,Inputs!$B$32,0))))))/Skills!G7,1)))/Inputs!$B$43),G397*Q397))*IF(Inputs!$B$38="pvp",1,1+(Inputs!$B$20+Skills!O7+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397*(1-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7">
        <f>IF(C397,(H397*N397*IF(AND(Inputs!$B$38&lt;&gt;"pvp",Inputs!$B$43&gt;0),((Skills!F7*((R397-1)*IF(Skills!G7&gt;0,Skills!H7/Skills!G7,1)+IF(Skills!G7&gt;0,MIN(Skills!H7,MAX(0,MAX(0,Inputs!$B$43-B424)-((R397-1)*IF(Inputs!$B$38="pvp",15,MAX(0.1,Skills!D7-IF(Skills!E7=TRUE,Inputs!$B$32,0))))))/Skills!G7,1)))/Inputs!$B$43),G397*Q397))*IF(Inputs!$B$38="pvp",1,(1+(Inputs!$B$21+Skills!P7+B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Skills!A8</f>
        <v/>
      </c>
      <c r="B398">
        <f>Skills!B8</f>
        <v/>
      </c>
      <c r="C398">
        <f>Inputs!$B$3&gt;=103</f>
        <v/>
      </c>
      <c r="D398">
        <f>IF(Skills!C8=1,60+Inputs!$B$25+Inputs!$B$29,IF(Skills!C8=2,90+Inputs!$B$26+Inputs!$B$29,IF(Skills!C8=3,120+Inputs!$B$27+Inputs!$B$29,MAX(0,(Inputs!$B$3-100)*3)+Inputs!$B$28+Inputs!$B$29)))</f>
        <v/>
      </c>
      <c r="E398">
        <f>INDEX(FactorTable!$B$2:$Y$301, MATCH(ROUND(MIN(300,MAX(1,D398)),0), FactorTable!$A$2:$A$301,0), Skills!L8+1)</f>
        <v/>
      </c>
      <c r="F398">
        <f>IF(Skills!M8=TRUE,(Skills!K8/10)*(E398/1000),Skills!K8/10)+Skills!N8</f>
        <v/>
      </c>
      <c r="G398">
        <f>Calc!G8</f>
        <v/>
      </c>
      <c r="H398">
        <f>Calc!H8</f>
        <v/>
      </c>
      <c r="I398">
        <f>IF(Skills!T8&lt;&gt;"",1+(Skills!T8/10)*(Z393/1000)/100,1)</f>
        <v/>
      </c>
      <c r="J398">
        <f>((Inputs!$B$6*(1+Inputs!$B$7/100))+(((Inputs!$B$12*(1+Inputs!$B$13/100))-(Inputs!$B$12*(1+Inputs!$B$13/100)))+0.25*(Inputs!$B$14-Inputs!$B$14))*(1+Inputs!$B$7/100))*(F398/100)</f>
        <v/>
      </c>
      <c r="K398">
        <f>J398*(1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8="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F408-Calc!F18),((Inputs!$B$23+1)+(IF(ArtifactsInput!$M$15,CHOOSE(ArtifactsInput!$N$15+1,25,30,35,40,45,50)/100*(Inputs!$B$11-Inputs!$B$11),0))))/100+((Inputs!$B$23+1)+(IF(ArtifactsInput!$M$15,CHOOSE(ArtifactsInput!$N$15+1,25,30,35,40,45,50)/100*(Inputs!$B$11-Inputs!$B$11),0)))/100)/2</f>
        <v/>
      </c>
      <c r="M398">
        <f>L398*(1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(1-Summary!$B$11)*S398+Summary!$B$11*U398</f>
        <v/>
      </c>
      <c r="P398">
        <f>IF(B427=0,0,O398/B427)</f>
        <v/>
      </c>
      <c r="Q398">
        <f>IFERROR(1/IF(Inputs!$B$38="pvp",15,MAX(0.1,Skills!D8-IF(Skills!E8=TRUE,Inputs!$B$32,0))),0)</f>
        <v/>
      </c>
      <c r="R398">
        <f>IF(AND(Inputs!$B$38&lt;&gt;"pvp",Inputs!$B$43&gt;0),IF(MAX(0,Inputs!$B$43-B424)&lt;=0,0,(INT(MAX(0,Inputs!$B$43-B424)/IF(Inputs!$B$38="pvp",15,MAX(0.1,Skills!D8-IF(Skills!E8=TRUE,Inputs!$B$32,0))))+1)),0)</f>
        <v/>
      </c>
      <c r="S398">
        <f>IF(C398,(H398*N398*IF(AND(Inputs!$B$38&lt;&gt;"pvp",Inputs!$B$43&gt;0),((Skills!F8*((R398-1)*IF(Skills!G8&gt;0,Skills!H8/Skills!G8,1)+IF(Skills!G8&gt;0,MIN(Skills!H8,MAX(0,MAX(0,Inputs!$B$43-B424)-((R398-1)*IF(Inputs!$B$38="pvp",15,MAX(0.1,Skills!D8-IF(Skills!E8=TRUE,Inputs!$B$32,0))))))/Skills!G8,1)))/Inputs!$B$43),G398*Q398))*IF(Inputs!$B$38="pvp",1,1+(Inputs!$B$20+Skills!O8+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398*(1-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8">
        <f>IF(C398,(H398*N398*IF(AND(Inputs!$B$38&lt;&gt;"pvp",Inputs!$B$43&gt;0),((Skills!F8*((R398-1)*IF(Skills!G8&gt;0,Skills!H8/Skills!G8,1)+IF(Skills!G8&gt;0,MIN(Skills!H8,MAX(0,MAX(0,Inputs!$B$43-B424)-((R398-1)*IF(Inputs!$B$38="pvp",15,MAX(0.1,Skills!D8-IF(Skills!E8=TRUE,Inputs!$B$32,0))))))/Skills!G8,1)))/Inputs!$B$43),G398*Q398))*IF(Inputs!$B$38="pvp",1,(1+(Inputs!$B$21+Skills!P8+B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Skills!A9</f>
        <v/>
      </c>
      <c r="B399">
        <f>Skills!B9</f>
        <v/>
      </c>
      <c r="C399">
        <f>Inputs!$B$3&gt;=105</f>
        <v/>
      </c>
      <c r="D399">
        <f>IF(Skills!C9=1,60+Inputs!$B$25+Inputs!$B$29,IF(Skills!C9=2,90+Inputs!$B$26+Inputs!$B$29,IF(Skills!C9=3,120+Inputs!$B$27+Inputs!$B$29,MAX(0,(Inputs!$B$3-100)*3)+Inputs!$B$28+Inputs!$B$29)))</f>
        <v/>
      </c>
      <c r="E399">
        <f>INDEX(FactorTable!$B$2:$Y$301, MATCH(ROUND(MIN(300,MAX(1,D399)),0), FactorTable!$A$2:$A$301,0), Skills!L9+1)</f>
        <v/>
      </c>
      <c r="F399">
        <f>IF(Skills!M9=TRUE,(Skills!K9/10)*(E399/1000),Skills!K9/10)+Skills!N9</f>
        <v/>
      </c>
      <c r="G399">
        <f>Calc!G9</f>
        <v/>
      </c>
      <c r="H399">
        <f>Calc!H9</f>
        <v/>
      </c>
      <c r="I399">
        <f>IF(Skills!T9&lt;&gt;"",1+(Skills!T9/10)*(Z393/1000)/100,1)</f>
        <v/>
      </c>
      <c r="J399">
        <f>((Inputs!$B$6*(1+Inputs!$B$7/100))+(((Inputs!$B$12*(1+Inputs!$B$13/100))-(Inputs!$B$12*(1+Inputs!$B$13/100)))+0.25*(Inputs!$B$14-Inputs!$B$14))*(1+Inputs!$B$7/100))*(F399/100)</f>
        <v/>
      </c>
      <c r="K399">
        <f>J399*(1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9="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F408-Calc!F18),((Inputs!$B$23+1)+(IF(ArtifactsInput!$M$15,CHOOSE(ArtifactsInput!$N$15+1,25,30,35,40,45,50)/100*(Inputs!$B$11-Inputs!$B$11),0))))/100+((Inputs!$B$23+1)+(IF(ArtifactsInput!$M$15,CHOOSE(ArtifactsInput!$N$15+1,25,30,35,40,45,50)/100*(Inputs!$B$11-Inputs!$B$11),0)))/100)/2</f>
        <v/>
      </c>
      <c r="M399">
        <f>L399*(1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(1-Summary!$B$11)*S399+Summary!$B$11*U399</f>
        <v/>
      </c>
      <c r="P399">
        <f>IF(B427=0,0,O399/B427)</f>
        <v/>
      </c>
      <c r="Q399">
        <f>IFERROR(1/IF(Inputs!$B$38="pvp",15,MAX(0.1,Skills!D9-IF(Skills!E9=TRUE,Inputs!$B$32,0))),0)</f>
        <v/>
      </c>
      <c r="R399">
        <f>IF(AND(Inputs!$B$38&lt;&gt;"pvp",Inputs!$B$43&gt;0),IF(MAX(0,Inputs!$B$43-B424)&lt;=0,0,(INT(MAX(0,Inputs!$B$43-B424)/IF(Inputs!$B$38="pvp",15,MAX(0.1,Skills!D9-IF(Skills!E9=TRUE,Inputs!$B$32,0))))+1)),0)</f>
        <v/>
      </c>
      <c r="S399">
        <f>IF(C399,(H399*N399*IF(AND(Inputs!$B$38&lt;&gt;"pvp",Inputs!$B$43&gt;0),((Skills!F9*((R399-1)*IF(Skills!G9&gt;0,Skills!H9/Skills!G9,1)+IF(Skills!G9&gt;0,MIN(Skills!H9,MAX(0,MAX(0,Inputs!$B$43-B424)-((R399-1)*IF(Inputs!$B$38="pvp",15,MAX(0.1,Skills!D9-IF(Skills!E9=TRUE,Inputs!$B$32,0))))))/Skills!G9,1)))/Inputs!$B$43),G399*Q399))*IF(Inputs!$B$38="pvp",1,1+(Inputs!$B$20+Skills!O9+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399*(1-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9">
        <f>IF(C399,(H399*N399*IF(AND(Inputs!$B$38&lt;&gt;"pvp",Inputs!$B$43&gt;0),((Skills!F9*((R399-1)*IF(Skills!G9&gt;0,Skills!H9/Skills!G9,1)+IF(Skills!G9&gt;0,MIN(Skills!H9,MAX(0,MAX(0,Inputs!$B$43-B424)-((R399-1)*IF(Inputs!$B$38="pvp",15,MAX(0.1,Skills!D9-IF(Skills!E9=TRUE,Inputs!$B$32,0))))))/Skills!G9,1)))/Inputs!$B$43),G399*Q399))*IF(Inputs!$B$38="pvp",1,(1+(Inputs!$B$21+Skills!P9+B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Skills!A10</f>
        <v/>
      </c>
      <c r="B400">
        <f>Skills!B10</f>
        <v/>
      </c>
      <c r="C400">
        <f>Inputs!$B$3&gt;=113</f>
        <v/>
      </c>
      <c r="D400">
        <f>IF(Skills!C10=1,60+Inputs!$B$25+Inputs!$B$29,IF(Skills!C10=2,90+Inputs!$B$26+Inputs!$B$29,IF(Skills!C10=3,120+Inputs!$B$27+Inputs!$B$29,MAX(0,(Inputs!$B$3-100)*3)+Inputs!$B$28+Inputs!$B$29)))</f>
        <v/>
      </c>
      <c r="E400">
        <f>INDEX(FactorTable!$B$2:$Y$301, MATCH(ROUND(MIN(300,MAX(1,D400)),0), FactorTable!$A$2:$A$301,0), Skills!L10+1)</f>
        <v/>
      </c>
      <c r="F400">
        <f>IF(Skills!M10=TRUE,(Skills!K10/10)*(E400/1000),Skills!K10/10)+Skills!N10</f>
        <v/>
      </c>
      <c r="G400">
        <f>Calc!G10</f>
        <v/>
      </c>
      <c r="H400">
        <f>Calc!H10</f>
        <v/>
      </c>
      <c r="I400">
        <f>IF(Skills!T10&lt;&gt;"",1+(Skills!T10/10)*(Z393/1000)/100,1)</f>
        <v/>
      </c>
      <c r="J400">
        <f>((Inputs!$B$6*(1+Inputs!$B$7/100))+(((Inputs!$B$12*(1+Inputs!$B$13/100))-(Inputs!$B$12*(1+Inputs!$B$13/100)))+0.25*(Inputs!$B$14-Inputs!$B$14))*(1+Inputs!$B$7/100))*(F400/100)</f>
        <v/>
      </c>
      <c r="K400">
        <f>J400*(1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10="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F408-Calc!F18),((Inputs!$B$23+1)+(IF(ArtifactsInput!$M$15,CHOOSE(ArtifactsInput!$N$15+1,25,30,35,40,45,50)/100*(Inputs!$B$11-Inputs!$B$11),0))))/100+((Inputs!$B$23+1)+(IF(ArtifactsInput!$M$15,CHOOSE(ArtifactsInput!$N$15+1,25,30,35,40,45,50)/100*(Inputs!$B$11-Inputs!$B$11),0)))/100)/2</f>
        <v/>
      </c>
      <c r="M400">
        <f>L400*(1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(1-Summary!$B$11)*S400+Summary!$B$11*U400</f>
        <v/>
      </c>
      <c r="P400">
        <f>IF(B427=0,0,O400/B427)</f>
        <v/>
      </c>
      <c r="Q400">
        <f>IFERROR(1/IF(Inputs!$B$38="pvp",15,MAX(0.1,Skills!D10-IF(Skills!E9=TRUE,Inputs!$B$32,0))),0)</f>
        <v/>
      </c>
      <c r="R400">
        <f>IF(AND(Inputs!$B$38&lt;&gt;"pvp",Inputs!$B$43&gt;0),IF(MAX(0,Inputs!$B$43-B424)&lt;=0,0,(INT(MAX(0,Inputs!$B$43-B424)/IF(Inputs!$B$38="pvp",15,MAX(0.1,Skills!D10-IF(Skills!E9=TRUE,Inputs!$B$32,0))))+1)),0)</f>
        <v/>
      </c>
      <c r="S400">
        <f>IF(C400,(H400*N400*IF(AND(Inputs!$B$38&lt;&gt;"pvp",Inputs!$B$43&gt;0),((Skills!F10*((R400-1)*IF(Skills!G10&gt;0,Skills!H10/Skills!G10,1)+IF(Skills!G10&gt;0,MIN(Skills!H10,MAX(0,MAX(0,Inputs!$B$43-B424)-((R400-1)*IF(Inputs!$B$38="pvp",15,MAX(0.1,Skills!D10-IF(Skills!E9=TRUE,Inputs!$B$32,0))))))/Skills!G10,1)))/Inputs!$B$43),G400*Q400))*IF(Inputs!$B$38="pvp",1,1+(Inputs!$B$20+Skills!O10+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400*(1-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0">
        <f>IF(C400,(H400*N400*IF(AND(Inputs!$B$38&lt;&gt;"pvp",Inputs!$B$43&gt;0),((Skills!F10*((R400-1)*IF(Skills!G10&gt;0,Skills!H10/Skills!G10,1)+IF(Skills!G10&gt;0,MIN(Skills!H10,MAX(0,MAX(0,Inputs!$B$43-B424)-((R400-1)*IF(Inputs!$B$38="pvp",15,MAX(0.1,Skills!D10-IF(Skills!E9=TRUE,Inputs!$B$32,0))))))/Skills!G10,1)))/Inputs!$B$43),G400*Q400))*IF(Inputs!$B$38="pvp",1,(1+(Inputs!$B$21+Skills!P10+B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Skills!A11</f>
        <v/>
      </c>
      <c r="B401">
        <f>Skills!B11</f>
        <v/>
      </c>
      <c r="C401">
        <f>Inputs!$B$3&gt;=107</f>
        <v/>
      </c>
      <c r="D401">
        <f>IF(Skills!C11=1,60+Inputs!$B$25+Inputs!$B$29,IF(Skills!C11=2,90+Inputs!$B$26+Inputs!$B$29,IF(Skills!C11=3,120+Inputs!$B$27+Inputs!$B$29,MAX(0,(Inputs!$B$3-100)*3)+Inputs!$B$28+Inputs!$B$29)))</f>
        <v/>
      </c>
      <c r="E401">
        <f>INDEX(FactorTable!$B$2:$Y$301, MATCH(ROUND(MIN(300,MAX(1,D401)),0), FactorTable!$A$2:$A$301,0), Skills!L11+1)</f>
        <v/>
      </c>
      <c r="F401">
        <f>IF(Skills!M11=TRUE,(Skills!K11/10)*(E401/1000),Skills!K11/10)+Skills!N11</f>
        <v/>
      </c>
      <c r="G401">
        <f>Calc!G11</f>
        <v/>
      </c>
      <c r="H401">
        <f>Calc!H11</f>
        <v/>
      </c>
      <c r="I401">
        <f>IF(Skills!T11&lt;&gt;"",1+(Skills!T11/10)*(Z393/1000)/100,1)</f>
        <v/>
      </c>
      <c r="J401">
        <f>((Inputs!$B$6*(1+Inputs!$B$7/100))+(((Inputs!$B$12*(1+Inputs!$B$13/100))-(Inputs!$B$12*(1+Inputs!$B$13/100)))+0.25*(Inputs!$B$14-Inputs!$B$14))*(1+Inputs!$B$7/100))*(F401/100)</f>
        <v/>
      </c>
      <c r="K401">
        <f>J401*(1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11="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F408-Calc!F18),((Inputs!$B$23+1)+(IF(ArtifactsInput!$M$15,CHOOSE(ArtifactsInput!$N$15+1,25,30,35,40,45,50)/100*(Inputs!$B$11-Inputs!$B$11),0))))/100+((Inputs!$B$23+1)+(IF(ArtifactsInput!$M$15,CHOOSE(ArtifactsInput!$N$15+1,25,30,35,40,45,50)/100*(Inputs!$B$11-Inputs!$B$11),0)))/100)/2</f>
        <v/>
      </c>
      <c r="M401">
        <f>L401*(1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(1-Summary!$B$11)*S401+Summary!$B$11*U401</f>
        <v/>
      </c>
      <c r="P401">
        <f>IF(B427=0,0,O401/B427)</f>
        <v/>
      </c>
      <c r="Q401">
        <f>IFERROR(1/IF(Inputs!$B$38="pvp",15,MAX(0.1,Skills!D11-IF(Skills!E11=TRUE,Inputs!$B$32,0))),0)</f>
        <v/>
      </c>
      <c r="R401">
        <f>IF(AND(Inputs!$B$38&lt;&gt;"pvp",Inputs!$B$43&gt;0),IF(MAX(0,Inputs!$B$43-B424)&lt;=0,0,(INT(MAX(0,Inputs!$B$43-B424)/IF(Inputs!$B$38="pvp",15,MAX(0.1,Skills!D11-IF(Skills!E11=TRUE,Inputs!$B$32,0))))+1)),0)</f>
        <v/>
      </c>
      <c r="S401">
        <f>IF(C401,H401*N401*IF(AND(Inputs!$B$38&lt;&gt;"pvp",Inputs!$B$43&gt;0),((Skills!F11*((R401-1)*IF(Skills!G11&gt;0,Skills!H11/Skills!G11,1)+IF(Skills!G11&gt;0,MIN(Skills!H11,MAX(0,MAX(0,Inputs!$B$43-B424)-((R401-1)*IF(Inputs!$B$38="pvp",15,MAX(0.1,Skills!D11-IF(Skills!E11=TRUE,Inputs!$B$32,0))))))/Skills!G11,1)))/Inputs!$B$43),G401*Q401)*0.5*IF(Inputs!$B$38="pvp",1,1+(Inputs!$B$20+Skills!O11+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401*(1-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1">
        <f>IF(C401,H401*N401*IF(AND(Inputs!$B$38&lt;&gt;"pvp",Inputs!$B$43&gt;0),((Skills!F11*((R401-1)*IF(Skills!G11&gt;0,Skills!H11/Skills!G11,1)+IF(Skills!G11&gt;0,MIN(Skills!H11,MAX(0,MAX(0,Inputs!$B$43-B424)-((R401-1)*IF(Inputs!$B$38="pvp",15,MAX(0.1,Skills!D11-IF(Skills!E11=TRUE,Inputs!$B$32,0))))))/Skills!G11,1)))/Inputs!$B$43),G401*Q401)*1*IF(Inputs!$B$38="pvp",1,(1+(Inputs!$B$21+Skills!P11+B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Skills!A12</f>
        <v/>
      </c>
      <c r="B402">
        <f>Skills!B12</f>
        <v/>
      </c>
      <c r="C402">
        <f>Inputs!$B$3&gt;=115</f>
        <v/>
      </c>
      <c r="D402">
        <f>IF(Skills!C12=1,60+Inputs!$B$25+Inputs!$B$29,IF(Skills!C12=2,90+Inputs!$B$26+Inputs!$B$29,IF(Skills!C12=3,120+Inputs!$B$27+Inputs!$B$29,MAX(0,(Inputs!$B$3-100)*3)+Inputs!$B$28+Inputs!$B$29)))</f>
        <v/>
      </c>
      <c r="E402">
        <f>INDEX(FactorTable!$B$2:$Y$301, MATCH(ROUND(MIN(300,MAX(1,D402)),0), FactorTable!$A$2:$A$301,0), Skills!L12+1)</f>
        <v/>
      </c>
      <c r="F402">
        <f>IF(Skills!M12=TRUE,(Skills!K12/10)*(E402/1000),Skills!K12/10)+Skills!N12</f>
        <v/>
      </c>
      <c r="G402">
        <f>Calc!G12</f>
        <v/>
      </c>
      <c r="H402">
        <f>Calc!H12</f>
        <v/>
      </c>
      <c r="I402">
        <f>IF(Skills!T12&lt;&gt;"",1+(Skills!T12/10)*(Z393/1000)/100,1)</f>
        <v/>
      </c>
      <c r="J402">
        <f>((Inputs!$B$6*(1+Inputs!$B$7/100))+(((Inputs!$B$12*(1+Inputs!$B$13/100))-(Inputs!$B$12*(1+Inputs!$B$13/100)))+0.25*(Inputs!$B$14-Inputs!$B$14))*(1+Inputs!$B$7/100))*(F402/100)</f>
        <v/>
      </c>
      <c r="K402">
        <f>J402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12="CHAIN_LIGHTNING",Inputs!$B$17+((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F408-Calc!F18),((Inputs!$B$23+1)+(IF(ArtifactsInput!$M$15,CHOOSE(ArtifactsInput!$N$15+1,25,30,35,40,45,50)/100*(Inputs!$B$11-Inputs!$B$11),0))))/100+((Inputs!$B$23+1)+(IF(ArtifactsInput!$M$15,CHOOSE(ArtifactsInput!$N$15+1,25,30,35,40,45,50)/100*(Inputs!$B$11-Inputs!$B$11),0)))/100)/2</f>
        <v/>
      </c>
      <c r="M402">
        <f>L402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IF(B427=0,0,O402/B427)</f>
        <v/>
      </c>
      <c r="Q402">
        <f>IFERROR(1/IF(Inputs!$B$38="pvp",15,MAX(0.1,Skills!D12-IF(Skills!E12=TRUE,Inputs!$B$32,0))),0)</f>
        <v/>
      </c>
      <c r="R402">
        <f>IF(AND(Inputs!$B$38&lt;&gt;"pvp",Inputs!$B$43&gt;0),IF(MAX(0,Inputs!$B$43-B424)&lt;=0,0,(INT(MAX(0,Inputs!$B$43-B424)/IF(Inputs!$B$38="pvp",15,MAX(0.1,Skills!D12-IF(Skills!E12=TRUE,Inputs!$B$32,0))))+1)),0)</f>
        <v/>
      </c>
      <c r="S402">
        <f>IF(C402,(H402*N402*IF(AND(Inputs!$B$38&lt;&gt;"pvp",Inputs!$B$43&gt;0),((Skills!F12*((R402-1)*IF(Skills!G12&gt;0,Skills!H12/Skills!G12,1)+IF(Skills!G12&gt;0,MIN(Skills!H12,MAX(0,MAX(0,Inputs!$B$43-B424)-((R402-1)*IF(Inputs!$B$38="pvp",15,MAX(0.1,Skills!D12-IF(Skills!E12=TRUE,Inputs!$B$32,0))))))/Skills!G12,1)))/Inputs!$B$43),G402*Q402))*IF(Inputs!$B$38="pvp",1,1+(Inputs!$B$20+Skills!O12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410-Calc!F20)+(F409-Calc!F19))+(ArtifactsInput!$M$24-ArtifactsInput!$M$24)*CHOOSE(ArtifactsInput!$N$24+1,10,12,14,16,18,20)+(IF(AND(Inputs!$B$38&lt;&gt;"pvp",Inputs!$B$43=0),1,IF(IF(Inputs!$B$38="pvp",15,Inputs!$B$43)-(B424)&lt;=0,1,MAX(0,IF(Inputs!$B$38="pvp",15,Inputs!$B$43)-MAX(5,B424))/(IF(Inputs!$B$38="pvp",15,Inputs!$B$43)-(B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F12*((R402-1)*IF(Skills!G12&gt;0,Skills!H12/Skills!G12,1)+IF(Skills!G12&gt;0,MIN(Skills!H12,MAX(0,MAX(0,Inputs!$B$43-B424)-((R402-1)*IF(Inputs!$B$38="pvp",15,MAX(0.1,Skills!D12-IF(Skills!E12=TRUE,Inputs!$B$32,0))))))/Skills!G12,1)))/Inputs!$B$43),G402*Q402))*IF(Inputs!$B$38="pvp",1,(1+(Inputs!$B$21+Skills!P12+B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Skills!A13</f>
        <v/>
      </c>
      <c r="B403">
        <f>Skills!B13</f>
        <v/>
      </c>
      <c r="C403">
        <f>Inputs!$B$3&gt;=49</f>
        <v/>
      </c>
      <c r="D403">
        <f>IF(Skills!C13=1,60+Inputs!$B$25+Inputs!$B$29,IF(Skills!C13=2,90+Inputs!$B$26+Inputs!$B$29,IF(Skills!C13=3,120+Inputs!$B$27+Inputs!$B$29,MAX(0,(Inputs!$B$3-100)*3)+Inputs!$B$28+Inputs!$B$29)))</f>
        <v/>
      </c>
      <c r="E403">
        <f>INDEX(FactorTable!$B$2:$Y$301, MATCH(ROUND(MIN(300,MAX(1,D403)),0), FactorTable!$A$2:$A$301,0), Skills!L13+1)</f>
        <v/>
      </c>
      <c r="F403">
        <f>IF(Skills!M13=TRUE,(Skills!K13/10)*(E403/1000),Skills!K13/10)+Skills!N13</f>
        <v/>
      </c>
      <c r="G403">
        <f>Calc!G13</f>
        <v/>
      </c>
      <c r="H403">
        <f>Calc!H13</f>
        <v/>
      </c>
      <c r="I403">
        <f>IF(Skills!T13&lt;&gt;"",1+(Skills!T13/10)*(Z393/1000)/100,1)</f>
        <v/>
      </c>
      <c r="J403" t="inlineStr"/>
      <c r="K403" t="inlineStr"/>
      <c r="L403" t="inlineStr"/>
      <c r="M403" t="inlineStr"/>
      <c r="N403" t="inlineStr"/>
      <c r="O403">
        <f>(1-Summary!$B$11)*S403+Summary!$B$11*U403</f>
        <v/>
      </c>
      <c r="P403">
        <f>IF(B427=0,0,O403/B427)</f>
        <v/>
      </c>
      <c r="Q403">
        <f>IFERROR(1/IF(Inputs!$B$38="pvp",15,MAX(0.1,Skills!D13-IF(Skills!E13=TRUE,Inputs!$B$32,0))),0)</f>
        <v/>
      </c>
      <c r="R403" t="n">
        <v>0</v>
      </c>
      <c r="S403" t="n">
        <v>0</v>
      </c>
      <c r="U403" t="n">
        <v>0</v>
      </c>
    </row>
    <row r="404">
      <c r="A404">
        <f>Skills!A14</f>
        <v/>
      </c>
      <c r="B404">
        <f>Skills!B14</f>
        <v/>
      </c>
      <c r="C404">
        <f>Inputs!$B$3&gt;=72</f>
        <v/>
      </c>
      <c r="D404">
        <f>IF(Skills!C14=1,60+Inputs!$B$25+Inputs!$B$29,IF(Skills!C14=2,90+Inputs!$B$26+Inputs!$B$29,IF(Skills!C14=3,120+Inputs!$B$27+Inputs!$B$29,MAX(0,(Inputs!$B$3-100)*3)+Inputs!$B$28+Inputs!$B$29)))</f>
        <v/>
      </c>
      <c r="E404">
        <f>INDEX(FactorTable!$B$2:$Y$301, MATCH(ROUND(MIN(300,MAX(1,D404)),0), FactorTable!$A$2:$A$301,0), Skills!L14+1)</f>
        <v/>
      </c>
      <c r="F404">
        <f>IF(Skills!M14=TRUE,(Skills!K14/10)*(E404/1000),Skills!K14/10)+Skills!N14</f>
        <v/>
      </c>
      <c r="G404">
        <f>Calc!G14</f>
        <v/>
      </c>
      <c r="H404">
        <f>Calc!H14</f>
        <v/>
      </c>
      <c r="I404">
        <f>IF(Skills!T14&lt;&gt;"",1+(Skills!T14/10)*(Z393/1000)/100,1)</f>
        <v/>
      </c>
      <c r="J404" t="inlineStr"/>
      <c r="K404" t="inlineStr"/>
      <c r="L404" t="inlineStr"/>
      <c r="M404" t="inlineStr"/>
      <c r="N404" t="inlineStr"/>
      <c r="O404">
        <f>(1-Summary!$B$11)*S404+Summary!$B$11*U404</f>
        <v/>
      </c>
      <c r="P404">
        <f>IF(B427=0,0,O404/B427)</f>
        <v/>
      </c>
      <c r="Q404">
        <f>IFERROR(1/IF(Inputs!$B$38="pvp",15,MAX(0.1,Skills!D14-IF(Skills!E14=TRUE,Inputs!$B$32,0))),0)</f>
        <v/>
      </c>
      <c r="R404" t="n">
        <v>0</v>
      </c>
      <c r="S404" t="n">
        <v>0</v>
      </c>
      <c r="U404" t="n">
        <v>0</v>
      </c>
    </row>
    <row r="405">
      <c r="A405">
        <f>Skills!A15</f>
        <v/>
      </c>
      <c r="B405">
        <f>Skills!B15</f>
        <v/>
      </c>
      <c r="C405">
        <f>Inputs!$B$3&gt;=75</f>
        <v/>
      </c>
      <c r="D405">
        <f>IF(Skills!C15=1,60+Inputs!$B$25+Inputs!$B$29,IF(Skills!C15=2,90+Inputs!$B$26+Inputs!$B$29,IF(Skills!C15=3,120+Inputs!$B$27+Inputs!$B$29,MAX(0,(Inputs!$B$3-100)*3)+Inputs!$B$28+Inputs!$B$29)))</f>
        <v/>
      </c>
      <c r="E405">
        <f>INDEX(FactorTable!$B$2:$Y$301, MATCH(ROUND(MIN(300,MAX(1,D405)),0), FactorTable!$A$2:$A$301,0), Skills!L15+1)</f>
        <v/>
      </c>
      <c r="F405">
        <f>IF(Skills!M15=TRUE,(Skills!K15/10)*(E405/1000),Skills!K15/10)+Skills!N15</f>
        <v/>
      </c>
      <c r="G405">
        <f>Calc!G15</f>
        <v/>
      </c>
      <c r="H405">
        <f>Calc!H15</f>
        <v/>
      </c>
      <c r="I405">
        <f>IF(Skills!T15&lt;&gt;"",1+(Skills!T15/10)*(Z393/1000)/100,1)</f>
        <v/>
      </c>
      <c r="J405" t="inlineStr"/>
      <c r="K405" t="inlineStr"/>
      <c r="L405" t="inlineStr"/>
      <c r="M405" t="inlineStr"/>
      <c r="N405" t="inlineStr"/>
      <c r="O405">
        <f>(1-Summary!$B$11)*S405+Summary!$B$11*U405</f>
        <v/>
      </c>
      <c r="P405">
        <f>IF(B427=0,0,O405/B427)</f>
        <v/>
      </c>
      <c r="Q405">
        <f>IFERROR(1/IF(Inputs!$B$38="pvp",15,MAX(0.1,Skills!D15-IF(Skills!E15=TRUE,Inputs!$B$32,0))),0)</f>
        <v/>
      </c>
      <c r="R405" t="n">
        <v>0</v>
      </c>
      <c r="S405" t="n">
        <v>0</v>
      </c>
      <c r="U405" t="n">
        <v>0</v>
      </c>
    </row>
    <row r="406">
      <c r="A406">
        <f>Skills!A16</f>
        <v/>
      </c>
      <c r="B406">
        <f>Skills!B16</f>
        <v/>
      </c>
      <c r="C406">
        <f>Inputs!$B$3&gt;=110</f>
        <v/>
      </c>
      <c r="D406">
        <f>IF(Skills!C16=1,60+Inputs!$B$25+Inputs!$B$29,IF(Skills!C16=2,90+Inputs!$B$26+Inputs!$B$29,IF(Skills!C16=3,120+Inputs!$B$27+Inputs!$B$29,MAX(0,(Inputs!$B$3-100)*3)+Inputs!$B$28+Inputs!$B$29)))</f>
        <v/>
      </c>
      <c r="E406">
        <f>INDEX(FactorTable!$B$2:$Y$301, MATCH(ROUND(MIN(300,MAX(1,D406)),0), FactorTable!$A$2:$A$301,0), Skills!L16+1)</f>
        <v/>
      </c>
      <c r="F406">
        <f>(Skills!K16/10)*(E406/1000)*64/45+Skills!N16</f>
        <v/>
      </c>
      <c r="G406">
        <f>Calc!G16</f>
        <v/>
      </c>
      <c r="H406">
        <f>Calc!H16</f>
        <v/>
      </c>
      <c r="I406">
        <f>IF(Skills!T16&lt;&gt;"",1+(Skills!T16/10)*(Z393/1000)/100,1)</f>
        <v/>
      </c>
      <c r="J406" t="inlineStr"/>
      <c r="K406" t="inlineStr"/>
      <c r="L406" t="inlineStr"/>
      <c r="M406" t="inlineStr"/>
      <c r="N406" t="inlineStr"/>
      <c r="O406">
        <f>(1-Summary!$B$11)*S406+Summary!$B$11*U406</f>
        <v/>
      </c>
      <c r="P406">
        <f>IF(B427=0,0,O406/B427)</f>
        <v/>
      </c>
      <c r="Q406">
        <f>IFERROR(1/IF(Inputs!$B$38="pvp",15,MAX(0.1,Skills!D16-IF(Skills!E16=TRUE,Inputs!$B$32,0))),0)</f>
        <v/>
      </c>
      <c r="R406">
        <f>IF(AND(Inputs!$B$38&lt;&gt;"pvp",Inputs!$B$43&gt;0),IF(Inputs!$B$43&lt;=0,0,(INT(Inputs!$B$43/IF(Inputs!$B$38="pvp",15,MAX(0.1,Skills!D16-IF(Skills!E16=TRUE,Inputs!$B$32,0))))+1)),0)</f>
        <v/>
      </c>
      <c r="S406" t="n">
        <v>0</v>
      </c>
      <c r="U406" t="n">
        <v>0</v>
      </c>
    </row>
    <row r="407">
      <c r="A407">
        <f>Skills!A17</f>
        <v/>
      </c>
      <c r="B407">
        <f>Skills!B17</f>
        <v/>
      </c>
      <c r="C407">
        <f>Inputs!$B$3&gt;=33</f>
        <v/>
      </c>
      <c r="D407">
        <f>IF(Skills!C17=1,60+Inputs!$B$25+Inputs!$B$29,IF(Skills!C17=2,90+Inputs!$B$26+Inputs!$B$29,IF(Skills!C17=3,120+Inputs!$B$27+Inputs!$B$29,MAX(0,(Inputs!$B$3-100)*3)+Inputs!$B$28+Inputs!$B$29)))</f>
        <v/>
      </c>
      <c r="E407">
        <f>INDEX(FactorTable!$B$2:$Y$301, MATCH(ROUND(MIN(300,MAX(1,D407)),0), FactorTable!$A$2:$A$301,0), Skills!L17+1)</f>
        <v/>
      </c>
      <c r="F407">
        <f>IF(Skills!M17=TRUE,(Skills!K17/10)*(E407/1000),Skills!K17/10)+Skills!N17</f>
        <v/>
      </c>
      <c r="G407">
        <f>Calc!G17</f>
        <v/>
      </c>
      <c r="H407">
        <f>Calc!H17</f>
        <v/>
      </c>
      <c r="I407">
        <f>IF(Skills!T17&lt;&gt;"",1+(Skills!T17/10)*(Z393/1000)/100,1)</f>
        <v/>
      </c>
      <c r="J407" t="inlineStr"/>
      <c r="K407" t="inlineStr"/>
      <c r="L407" t="inlineStr"/>
      <c r="M407" t="inlineStr"/>
      <c r="N407" t="inlineStr"/>
      <c r="O407">
        <f>(1-Summary!$B$11)*S407+Summary!$B$11*U407</f>
        <v/>
      </c>
      <c r="P407">
        <f>IF(B427=0,0,O407/B427)</f>
        <v/>
      </c>
      <c r="Q407">
        <f>IFERROR(1/IF(Inputs!$B$38="pvp",15,MAX(0.1,Skills!D17-IF(Skills!E17=TRUE,Inputs!$B$32,0))),0)</f>
        <v/>
      </c>
      <c r="R407" t="n">
        <v>0</v>
      </c>
      <c r="S407" t="n">
        <v>0</v>
      </c>
      <c r="U407" t="n">
        <v>0</v>
      </c>
    </row>
    <row r="408">
      <c r="A408">
        <f>Skills!A18</f>
        <v/>
      </c>
      <c r="B408">
        <f>Skills!B18</f>
        <v/>
      </c>
      <c r="C408">
        <f>Inputs!$B$3&gt;=43</f>
        <v/>
      </c>
      <c r="D408">
        <f>IF(Skills!C18=1,60+Inputs!$B$25+Inputs!$B$29,IF(Skills!C18=2,90+Inputs!$B$26+Inputs!$B$29,IF(Skills!C18=3,120+Inputs!$B$27+Inputs!$B$29,MAX(0,(Inputs!$B$3-100)*3)+Inputs!$B$28+Inputs!$B$29)))</f>
        <v/>
      </c>
      <c r="E408">
        <f>INDEX(FactorTable!$B$2:$Y$301, MATCH(ROUND(MIN(300,MAX(1,D408)),0), FactorTable!$A$2:$A$301,0), Skills!L18+1)</f>
        <v/>
      </c>
      <c r="F408">
        <f>IF(Skills!M18=TRUE,(Skills!K18/10)*(E408/1000),Skills!K18/10)+Skills!N18</f>
        <v/>
      </c>
      <c r="G408">
        <f>Calc!G18</f>
        <v/>
      </c>
      <c r="H408">
        <f>Calc!H18</f>
        <v/>
      </c>
      <c r="I408">
        <f>IF(Skills!T18&lt;&gt;"",1+(Skills!T18/10)*(Z393/1000)/100,1)</f>
        <v/>
      </c>
      <c r="J408" t="inlineStr"/>
      <c r="K408" t="inlineStr"/>
      <c r="L408" t="inlineStr"/>
      <c r="M408" t="inlineStr"/>
      <c r="N408" t="inlineStr"/>
      <c r="O408">
        <f>(1-Summary!$B$11)*S408+Summary!$B$11*U408</f>
        <v/>
      </c>
      <c r="P408">
        <f>IF(B427=0,0,O408/B427)</f>
        <v/>
      </c>
      <c r="Q408">
        <f>IFERROR(1/IF(Inputs!$B$38="pvp",15,MAX(0.1,Skills!D18-IF(Skills!E18=TRUE,Inputs!$B$32,0))),0)</f>
        <v/>
      </c>
      <c r="R408" t="n">
        <v>0</v>
      </c>
      <c r="S408" t="n">
        <v>0</v>
      </c>
      <c r="U408" t="n">
        <v>0</v>
      </c>
    </row>
    <row r="409">
      <c r="A409">
        <f>Skills!A19</f>
        <v/>
      </c>
      <c r="B409">
        <f>Skills!B19</f>
        <v/>
      </c>
      <c r="C409">
        <f>Inputs!$B$3&gt;=50</f>
        <v/>
      </c>
      <c r="D409">
        <f>IF(Skills!C19=1,60+Inputs!$B$25+Inputs!$B$29,IF(Skills!C19=2,90+Inputs!$B$26+Inputs!$B$29,IF(Skills!C19=3,120+Inputs!$B$27+Inputs!$B$29,MAX(0,(Inputs!$B$3-100)*3)+Inputs!$B$28+Inputs!$B$29)))</f>
        <v/>
      </c>
      <c r="E409">
        <f>INDEX(FactorTable!$B$2:$Y$301, MATCH(ROUND(MIN(300,MAX(1,D409)),0), FactorTable!$A$2:$A$301,0), Skills!L19+1)</f>
        <v/>
      </c>
      <c r="F409">
        <f>IF(Skills!M19=TRUE,(Skills!K19/10)*(E409/1000),Skills!K19/10)+Skills!N19</f>
        <v/>
      </c>
      <c r="G409">
        <f>Calc!G19</f>
        <v/>
      </c>
      <c r="H409">
        <f>Calc!H19</f>
        <v/>
      </c>
      <c r="I409">
        <f>IF(Skills!T19&lt;&gt;"",1+(Skills!T19/10)*(Z393/1000)/100,1)</f>
        <v/>
      </c>
      <c r="J409" t="inlineStr"/>
      <c r="K409" t="inlineStr"/>
      <c r="L409" t="inlineStr"/>
      <c r="M409" t="inlineStr"/>
      <c r="N409" t="inlineStr"/>
      <c r="O409">
        <f>(1-Summary!$B$11)*S409+Summary!$B$11*U409</f>
        <v/>
      </c>
      <c r="P409">
        <f>IF(B427=0,0,O409/B427)</f>
        <v/>
      </c>
      <c r="Q409">
        <f>IFERROR(1/IF(Inputs!$B$38="pvp",15,MAX(0.1,Skills!D19-IF(Skills!E19=TRUE,Inputs!$B$32,0))),0)</f>
        <v/>
      </c>
      <c r="R409" t="n">
        <v>0</v>
      </c>
      <c r="S409" t="n">
        <v>0</v>
      </c>
      <c r="U409" t="n">
        <v>0</v>
      </c>
    </row>
    <row r="410">
      <c r="A410">
        <f>Skills!A20</f>
        <v/>
      </c>
      <c r="B410">
        <f>Skills!B20</f>
        <v/>
      </c>
      <c r="C410">
        <f>Inputs!$B$3&gt;=74</f>
        <v/>
      </c>
      <c r="D410">
        <f>IF(Skills!C20=1,60+Inputs!$B$25+Inputs!$B$29,IF(Skills!C20=2,90+Inputs!$B$26+Inputs!$B$29,IF(Skills!C20=3,120+Inputs!$B$27+Inputs!$B$29,MAX(0,(Inputs!$B$3-100)*3)+Inputs!$B$28+Inputs!$B$29)))</f>
        <v/>
      </c>
      <c r="E410">
        <f>INDEX(FactorTable!$B$2:$Y$301, MATCH(ROUND(MIN(300,MAX(1,D410)),0), FactorTable!$A$2:$A$301,0), Skills!L20+1)</f>
        <v/>
      </c>
      <c r="F410">
        <f>IF(Skills!M20=TRUE,(Skills!K20/10)*(E410/1000),Skills!K20/10)+Skills!N20</f>
        <v/>
      </c>
      <c r="G410">
        <f>Calc!G20</f>
        <v/>
      </c>
      <c r="H410">
        <f>Calc!H20</f>
        <v/>
      </c>
      <c r="I410">
        <f>IF(Skills!T20&lt;&gt;"",1+(Skills!T20/10)*(Z393/1000)/100,1)</f>
        <v/>
      </c>
      <c r="J410" t="inlineStr"/>
      <c r="K410" t="inlineStr"/>
      <c r="L410" t="inlineStr"/>
      <c r="M410" t="inlineStr"/>
      <c r="N410" t="inlineStr"/>
      <c r="O410">
        <f>(1-Summary!$B$11)*S410+Summary!$B$11*U410</f>
        <v/>
      </c>
      <c r="P410">
        <f>IF(B427=0,0,O410/B427)</f>
        <v/>
      </c>
      <c r="Q410">
        <f>IFERROR(1/IF(Inputs!$B$38="pvp",15,MAX(0.1,Skills!D20-IF(Skills!E20=TRUE,Inputs!$B$32,0))),0)</f>
        <v/>
      </c>
      <c r="R410" t="n">
        <v>0</v>
      </c>
      <c r="S410" t="n">
        <v>0</v>
      </c>
      <c r="U410" t="n">
        <v>0</v>
      </c>
    </row>
    <row r="411">
      <c r="A411">
        <f>Skills!A21</f>
        <v/>
      </c>
      <c r="B411">
        <f>Skills!B21</f>
        <v/>
      </c>
      <c r="C411">
        <f>Inputs!$B$3&gt;=74</f>
        <v/>
      </c>
      <c r="D411">
        <f>IF(Skills!C21=1,60+Inputs!$B$25+Inputs!$B$29,IF(Skills!C21=2,90+Inputs!$B$26+Inputs!$B$29,IF(Skills!C21=3,120+Inputs!$B$27+Inputs!$B$29,MAX(0,(Inputs!$B$3-100)*3)+Inputs!$B$28+Inputs!$B$29)))</f>
        <v/>
      </c>
      <c r="E411">
        <f>INDEX(FactorTable!$B$2:$Y$301, MATCH(ROUND(MIN(300,MAX(1,D411)),0), FactorTable!$A$2:$A$301,0), Skills!L21+1)</f>
        <v/>
      </c>
      <c r="F411">
        <f>IF(Skills!M21=TRUE,(Skills!K21/10)*(E411/1000),Skills!K21/10)+Skills!N21</f>
        <v/>
      </c>
      <c r="G411">
        <f>Calc!G21</f>
        <v/>
      </c>
      <c r="H411">
        <f>Calc!H21</f>
        <v/>
      </c>
      <c r="I411">
        <f>IF(Skills!T21&lt;&gt;"",1+(Skills!T21/10)*(Z393/1000)/100,1)</f>
        <v/>
      </c>
      <c r="J411" t="inlineStr"/>
      <c r="K411" t="inlineStr"/>
      <c r="L411" t="inlineStr"/>
      <c r="M411" t="inlineStr"/>
      <c r="N411" t="inlineStr"/>
      <c r="O411">
        <f>(1-Summary!$B$11)*S411+Summary!$B$11*U411</f>
        <v/>
      </c>
      <c r="P411">
        <f>IF(B427=0,0,O411/B427)</f>
        <v/>
      </c>
      <c r="Q411">
        <f>IFERROR(1/IF(Inputs!$B$38="pvp",15,MAX(0.1,Skills!D21-IF(Skills!E21=TRUE,Inputs!$B$32,0))),0)</f>
        <v/>
      </c>
      <c r="R411" t="n">
        <v>0</v>
      </c>
      <c r="S411" t="n">
        <v>0</v>
      </c>
      <c r="U411" t="n">
        <v>0</v>
      </c>
    </row>
    <row r="412">
      <c r="A412">
        <f>Skills!A22</f>
        <v/>
      </c>
      <c r="B412">
        <f>Skills!B22</f>
        <v/>
      </c>
      <c r="C412">
        <f>Inputs!$B$3&gt;=117</f>
        <v/>
      </c>
      <c r="D412">
        <f>IF(Skills!C22=1,60+Inputs!$B$25+Inputs!$B$29,IF(Skills!C22=2,90+Inputs!$B$26+Inputs!$B$29,IF(Skills!C22=3,120+Inputs!$B$27+Inputs!$B$29,MAX(0,(Inputs!$B$3-100)*3)+Inputs!$B$28+Inputs!$B$29)))</f>
        <v/>
      </c>
      <c r="E412">
        <f>INDEX(FactorTable!$B$2:$Y$301, MATCH(ROUND(MIN(300,MAX(1,D412)),0), FactorTable!$A$2:$A$301,0), Skills!L22+1)</f>
        <v/>
      </c>
      <c r="F412">
        <f>IF(Skills!M22=TRUE,(Skills!K22/10)*(E412/1000),Skills!K22/10)+Skills!N22</f>
        <v/>
      </c>
      <c r="G412">
        <f>Calc!G22</f>
        <v/>
      </c>
      <c r="H412">
        <f>Calc!H22</f>
        <v/>
      </c>
      <c r="I412">
        <f>IF(Skills!T22&lt;&gt;"",1+(Skills!T22/10)*(Z393/1000)/100,1)</f>
        <v/>
      </c>
      <c r="J412" t="inlineStr"/>
      <c r="K412" t="inlineStr"/>
      <c r="L412" t="inlineStr"/>
      <c r="M412" t="inlineStr"/>
      <c r="N412" t="inlineStr"/>
      <c r="O412">
        <f>(1-Summary!$B$11)*S412+Summary!$B$11*U412</f>
        <v/>
      </c>
      <c r="P412">
        <f>IF(B427=0,0,O412/B427)</f>
        <v/>
      </c>
      <c r="Q412">
        <f>IFERROR(1/IF(Inputs!$B$38="pvp",15,MAX(0.1,Skills!D22-IF(Skills!E22=TRUE,Inputs!$B$32,0))),0)</f>
        <v/>
      </c>
      <c r="R412" t="n">
        <v>0</v>
      </c>
      <c r="S412" t="n">
        <v>0</v>
      </c>
      <c r="U412" t="n">
        <v>0</v>
      </c>
    </row>
    <row r="413">
      <c r="A413">
        <f>Skills!A23</f>
        <v/>
      </c>
      <c r="B413">
        <f>Skills!B23</f>
        <v/>
      </c>
      <c r="C413">
        <f>Inputs!$B$3&gt;=120</f>
        <v/>
      </c>
      <c r="D413">
        <f>IF(Skills!C23=1,60+Inputs!$B$25+Inputs!$B$29,IF(Skills!C23=2,90+Inputs!$B$26+Inputs!$B$29,IF(Skills!C23=3,120+Inputs!$B$27+Inputs!$B$29,MAX(0,(Inputs!$B$3-100)*3)+Inputs!$B$28+Inputs!$B$29)))</f>
        <v/>
      </c>
      <c r="E413">
        <f>INDEX(FactorTable!$B$2:$Y$301, MATCH(ROUND(MIN(300,MAX(1,D413)),0), FactorTable!$A$2:$A$301,0), Skills!L23+1)</f>
        <v/>
      </c>
      <c r="F413">
        <f>IF(Skills!M23=TRUE,(Skills!K23/10)*(E413/1000),Skills!K23/10)+Skills!N23</f>
        <v/>
      </c>
      <c r="G413">
        <f>Calc!G23</f>
        <v/>
      </c>
      <c r="H413">
        <f>Calc!H23</f>
        <v/>
      </c>
      <c r="I413">
        <f>IF(Skills!T23&lt;&gt;"",1+(Skills!T23/10)*(Z393/1000)/100,1)</f>
        <v/>
      </c>
      <c r="J413" t="inlineStr"/>
      <c r="K413" t="inlineStr"/>
      <c r="L413" t="inlineStr"/>
      <c r="M413" t="inlineStr"/>
      <c r="N413" t="inlineStr"/>
      <c r="O413">
        <f>(1-Summary!$B$11)*S413+Summary!$B$11*U413</f>
        <v/>
      </c>
      <c r="P413">
        <f>IF(B427=0,0,O413/B427)</f>
        <v/>
      </c>
      <c r="Q413">
        <f>IFERROR(1/IF(Inputs!$B$38="pvp",15,MAX(0.1,Skills!D23-IF(Skills!E23=TRUE,Inputs!$B$32,0))),0)</f>
        <v/>
      </c>
      <c r="R413" t="n">
        <v>0</v>
      </c>
      <c r="S413" t="n">
        <v>0</v>
      </c>
      <c r="U413" t="n">
        <v>0</v>
      </c>
    </row>
    <row r="414">
      <c r="A414">
        <f>Skills!A24</f>
        <v/>
      </c>
      <c r="B414">
        <f>Skills!B24</f>
        <v/>
      </c>
      <c r="C414">
        <f>TRUE</f>
        <v/>
      </c>
      <c r="D414">
        <f>IF(Skills!C24=1,60+Inputs!$B$25+Inputs!$B$29,IF(Skills!C24=2,90+Inputs!$B$26+Inputs!$B$29,IF(Skills!C24=3,120+Inputs!$B$27+Inputs!$B$29,MAX(0,(Inputs!$B$3-100)*3)+Inputs!$B$28+Inputs!$B$29)))</f>
        <v/>
      </c>
      <c r="E414">
        <f>INDEX(FactorTable!$B$2:$Y$301, MATCH(ROUND(MIN(300,MAX(1,D414)),0), FactorTable!$A$2:$A$301,0), Skills!L24+1)</f>
        <v/>
      </c>
      <c r="F414">
        <f>IF(Skills!M24=TRUE,(Skills!K24/10)*(E414/1000),Skills!K24/10)+Skills!N24</f>
        <v/>
      </c>
      <c r="G414">
        <f>Calc!G24</f>
        <v/>
      </c>
      <c r="H414">
        <f>Calc!H24</f>
        <v/>
      </c>
      <c r="I414">
        <f>IF(Skills!T24&lt;&gt;"",1+(Skills!T24/10)*(Z393/1000)/100,1)</f>
        <v/>
      </c>
      <c r="J414" t="inlineStr"/>
      <c r="K414" t="inlineStr"/>
      <c r="L414" t="inlineStr"/>
      <c r="M414" t="inlineStr"/>
      <c r="N414" t="inlineStr"/>
      <c r="O414">
        <f>(1-Summary!$B$11)*S414+Summary!$B$11*U414</f>
        <v/>
      </c>
      <c r="P414">
        <f>IF(B427=0,0,O414/B427)</f>
        <v/>
      </c>
      <c r="Q414">
        <f>IFERROR(1/IF(Inputs!$B$38="pvp",15,MAX(0.1,Skills!D24-IF(Skills!E24=TRUE,Inputs!$B$32,0))),0)</f>
        <v/>
      </c>
      <c r="R414">
        <f>IF(AND(Inputs!$B$38&lt;&gt;"pvp",Inputs!$B$43&gt;0),IF(Inputs!$B$43&lt;=0,0,(INT(Inputs!$B$43/IF(Inputs!$B$38="pvp",15,MAX(0.1,Skills!D24-IF(Skills!E24=TRUE,Inputs!$B$32,0))))+1)),0)</f>
        <v/>
      </c>
      <c r="S414" t="n">
        <v>0</v>
      </c>
      <c r="U414" t="n">
        <v>0</v>
      </c>
    </row>
    <row r="417">
      <c r="A417" t="inlineStr">
        <is>
          <t>Average Buff Multiplier (Magic Guard + Meditation + Artifact Attack%, summed; then Infinity)</t>
        </is>
      </c>
      <c r="B417">
        <f>(1+(IF(C393=TRUE,F393*IF(AND(Inputs!$B$38&lt;&gt;"pvp",Inputs!$B$43&gt;0),(((R393-1)*(Skills!S3*(1+(Inputs!$B$34)/100))+MIN((Skills!S3*(1+(Inputs!$B$34)/100)),MAX(0,Inputs!$B$43-((R393-1)*Skills!D3))))/Inputs!$B$43),IF(Inputs!$B$38="pvp",MIN((Skills!S3*(1+(Inputs!$B$34)/100)),15)/15,(Skills!S3*(1+(Inputs!$B$34)/100))/Skills!D3)),0)+IF(C394=TRUE,F394*IF(AND(Inputs!$B$38&lt;&gt;"pvp",Inputs!$B$43&gt;0),(((R394-1)*(Skills!S4*(1+(Inputs!$B$34)/100))+MIN((Skills!S4*(1+(Inputs!$B$34)/100)),MAX(0,Inputs!$B$43-((R394-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406=TRUE,(1+F406*IF(AND(Inputs!$B$38&lt;&gt;"pvp",Inputs!$B$43&gt;0),(((R406-1)*(Skills!S16*(1+(Inputs!$B$34)/100))+MIN((Skills!S16*(1+(Inputs!$B$34)/100)),MAX(0,Inputs!$B$43-((R406-1)*Skills!D16))))/Inputs!$B$43),IF(Inputs!$B$38="pvp",MIN((Skills!S16*(1+(Inputs!$B$34)/100)),15)/15,(Skills!S16*(1+(Inputs!$B$34)/100))/Skills!D16))/100),1)</f>
        <v/>
      </c>
    </row>
    <row r="418">
      <c r="A418" t="inlineStr">
        <is>
          <t>Monster Damage Taken Bonus % (Freezing Breath - Weaken + Elemental Reset + Artifact Enemy Damage Taken, summed)</t>
        </is>
      </c>
      <c r="B418">
        <f>IF(Inputs!$B$3&gt;=118,15*IF(Inputs!$B$38="pvp",MIN((30*(1+(Inputs!$B$34)/100)),15)/15,(30*(1+(Inputs!$B$34)/100))/Skills!D8),0)+IF(C404=TRUE,F404,0)+(IF(AND(ArtifactsInput!$M$35,Inputs!$B$4&lt;&gt;"Chapter Hunt"),CHOOSE(ArtifactsInput!$N$35+1,15,18,21,24,27,30)*(1-EXP(-(0.2*B421)*5)),0)+IF(AND(ArtifactsInput!$M$22,Inputs!$B$4&lt;&gt;"Chapter Hunt"),CHOOSE(ArtifactsInput!$N$22+1,10,12,14,16,18,20)*((0*(((0.15*B421*5))^0/1)+1*(((0.15*B421*5))^1/1)+2*(((0.15*B421*5))^2/2)+3*(((0.15*B421*5))^3/6)+4*(((0.15*B421*5))^4/24)+5*(((0.15*B421*5))^5/120))/((((0.15*B421*5))^0/1)+(((0.15*B421*5))^1/1)+(((0.15*B421*5))^2/2)+(((0.15*B421*5))^3/6)+(((0.15*B421*5))^4/24)+(((0.15*B421*5))^5/120))),0))</f>
        <v/>
      </c>
    </row>
    <row r="419">
      <c r="A419" t="inlineStr">
        <is>
          <t>Damage % Bonus (Frozen Break + Frost Clutch, flat)</t>
        </is>
      </c>
      <c r="B419">
        <f>IF(Inputs!$B$3&gt;=66,15,0)+IF(Inputs!$B$3&gt;=98,10,0)+IF(Inputs!$B$3&gt;=125,20,0)</f>
        <v/>
      </c>
    </row>
    <row r="420">
      <c r="A420" t="inlineStr">
        <is>
          <t>Attack Speed Bonus % (MP Eater - MP Boost, always-on + Nimble Feet, duty-cycle averaged)</t>
        </is>
      </c>
      <c r="B420">
        <f>IF(C403=TRUE,F403+(F407-Calc!F17),0)+((C414=TRUE)*F414*IF(AND(Inputs!$B$38&lt;&gt;"pvp",Inputs!$B$43&gt;0),(((R414-1)*(Skills!S24*(1+(Inputs!$B$34)/100))+MIN((Skills!S24*(1+(Inputs!$B$34)/100)),MAX(0,Inputs!$B$43-((R414-1)*Skills!D24))))/Inputs!$B$43),IF(Inputs!$B$38="pvp",MIN((Skills!S24*(1+(Inputs!$B$34)/100)),15)/15,(Skills!S24*(1+(Inputs!$B$34)/100))/Skills!D24)))</f>
        <v/>
      </c>
    </row>
    <row r="421">
      <c r="A421" t="inlineStr">
        <is>
          <t>Actions Per Second</t>
        </is>
      </c>
      <c r="B421">
        <f>1+MIN(150,150*(1-(1-(Inputs!$B$11+(ArtifactsInput!$M$15-ArtifactsInput!$M$15)*CHOOSE(ArtifactsInput!$N$15+1,8,9.6,11.2,12.8,14.4,16))/150)*(1-B420/150)))/100</f>
        <v/>
      </c>
    </row>
    <row r="422">
      <c r="A422" t="inlineStr">
        <is>
          <t>Skill + Buff Cast Rate</t>
        </is>
      </c>
      <c r="B422">
        <f>IF(AND(Inputs!$B$38&lt;&gt;"pvp",Inputs!$B$43&gt;0),SUMPRODUCT((Skills!E2:E24=TRUE)*(C392:C414=TRUE)*R392:R414)/Inputs!$B$43,SUMPRODUCT((Skills!E2:E24=TRUE)*(C392:C414=TRUE)*Q392:Q414))</f>
        <v/>
      </c>
    </row>
    <row r="423">
      <c r="A423" t="inlineStr">
        <is>
          <t>Chain Lightning Casts Per Second</t>
        </is>
      </c>
      <c r="B423">
        <f>MAX(0,B421-B422)</f>
        <v/>
      </c>
    </row>
    <row r="424">
      <c r="A424" t="inlineStr">
        <is>
          <t>Buff-Casting Startup Delay (s, fixed-duration only)</t>
        </is>
      </c>
      <c r="B424">
        <f>IF(AND(Inputs!$B$38&lt;&gt;"pvp",Inputs!$B$43&gt;0),SUMPRODUCT((Skills!S2:S24&gt;0)*(Skills!E2:E24=TRUE)*(C392:C414=TRUE))/B421,0)</f>
        <v/>
      </c>
    </row>
    <row r="425">
      <c r="A425" t="inlineStr">
        <is>
          <t>Boss-Only Total DPS (this block's swept value)</t>
        </is>
      </c>
      <c r="B425">
        <f>SUM(S392:S414)</f>
        <v/>
      </c>
    </row>
    <row r="426">
      <c r="A426" t="inlineStr">
        <is>
          <t>Normal-Only Total DPS (this block's swept value)</t>
        </is>
      </c>
      <c r="B426">
        <f>SUM(U392:U414)</f>
        <v/>
      </c>
    </row>
    <row r="427">
      <c r="A427" s="6" t="inlineStr">
        <is>
          <t>TOTAL DPS</t>
        </is>
      </c>
      <c r="B427" s="6">
        <f>SUM(O392:O414)</f>
        <v/>
      </c>
    </row>
    <row r="430">
      <c r="A430" s="6" t="inlineStr">
        <is>
          <t>Stat: CRIT_RATE %</t>
        </is>
      </c>
    </row>
    <row r="431">
      <c r="A431" s="5" t="inlineStr">
        <is>
          <t>Key</t>
        </is>
      </c>
      <c r="B431" s="5" t="inlineStr">
        <is>
          <t>Name</t>
        </is>
      </c>
      <c r="C431" s="5" t="inlineStr">
        <is>
          <t>Unlocked</t>
        </is>
      </c>
      <c r="D431" s="5" t="inlineStr">
        <is>
          <t>InputLevel</t>
        </is>
      </c>
      <c r="E431" s="5" t="inlineStr">
        <is>
          <t>Factor</t>
        </is>
      </c>
      <c r="F431" s="5" t="inlineStr">
        <is>
          <t>CoefficientPercent</t>
        </is>
      </c>
      <c r="G431" s="5" t="inlineStr">
        <is>
          <t>EffectiveHits</t>
        </is>
      </c>
      <c r="H431" s="5" t="inlineStr">
        <is>
          <t>ProcProbability</t>
        </is>
      </c>
      <c r="I431" s="5" t="inlineStr">
        <is>
          <t>MapleHeroMultiplier</t>
        </is>
      </c>
      <c r="J431" s="5" t="inlineStr">
        <is>
          <t>BaseDamage</t>
        </is>
      </c>
      <c r="K431" s="5" t="inlineStr">
        <is>
          <t>BaseHitDamage</t>
        </is>
      </c>
      <c r="L431" s="5" t="inlineStr">
        <is>
          <t>NonCritAvg</t>
        </is>
      </c>
      <c r="M431" s="5" t="inlineStr">
        <is>
          <t>CritAvg</t>
        </is>
      </c>
      <c r="N431" s="5" t="inlineStr">
        <is>
          <t>ExpectedDamage(perHit)</t>
        </is>
      </c>
      <c r="O431" s="5" t="inlineStr">
        <is>
          <t>DPS</t>
        </is>
      </c>
      <c r="P431" s="5" t="inlineStr">
        <is>
          <t>% of Total</t>
        </is>
      </c>
      <c r="R431" t="inlineStr">
        <is>
          <t>helpers</t>
        </is>
      </c>
    </row>
    <row r="432">
      <c r="A432">
        <f>Skills!A2</f>
        <v/>
      </c>
      <c r="B432">
        <f>Skills!B2</f>
        <v/>
      </c>
      <c r="C432">
        <f>Inputs!$B$3&gt;=100</f>
        <v/>
      </c>
      <c r="D432" t="inlineStr"/>
      <c r="E432" t="inlineStr"/>
      <c r="F432">
        <f>T434+Skills!N2</f>
        <v/>
      </c>
      <c r="G432">
        <f>Calc!G2</f>
        <v/>
      </c>
      <c r="H432">
        <f>Calc!H2</f>
        <v/>
      </c>
      <c r="I432">
        <f>IF(Skills!T2&lt;&gt;"",1+(Skills!T2/10)*(Z433/1000)/100,1)</f>
        <v/>
      </c>
      <c r="J432">
        <f>((Inputs!$B$6*(1+Inputs!$B$7/100))+(((Inputs!$B$12*(1+Inputs!$B$13/100))-(Inputs!$B$12*(1+Inputs!$B$13/100)))+0.25*(Inputs!$B$14-Inputs!$B$14))*(1+Inputs!$B$7/100))*(F432/100)</f>
        <v/>
      </c>
      <c r="K432">
        <f>J432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2="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448-Calc!F18),(Inputs!$B$23+(IF(ArtifactsInput!$M$15,CHOOSE(ArtifactsInput!$N$15+1,25,30,35,40,45,50)/100*(Inputs!$B$11-Inputs!$B$11),0))))/100+(Inputs!$B$23+(IF(ArtifactsInput!$M$15,CHOOSE(ArtifactsInput!$N$15+1,25,30,35,40,45,50)/100*(Inputs!$B$11-Inputs!$B$11),0)))/100)/2</f>
        <v/>
      </c>
      <c r="M432">
        <f>L432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2">
        <f>L432*(1-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IF(B467=0,0,O432/B467)</f>
        <v/>
      </c>
      <c r="Q432">
        <f>IFERROR(1/IF(Inputs!$B$38="pvp",15,MAX(0.1,Skills!D2-IF(Skills!E2=TRUE,Inputs!$B$32,0))),0)</f>
        <v/>
      </c>
      <c r="R432" t="n">
        <v>0</v>
      </c>
      <c r="S432">
        <f>IF(C432,(Skills!F2*N432*B463)*IF(Inputs!$B$38="pvp",1,1+(Inputs!$B$20+Skills!O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32">
        <f>MAX(0,(Inputs!$B$3-100)*3)+Inputs!$B$28+Inputs!$B$29</f>
        <v/>
      </c>
      <c r="U432">
        <f>IF(C432,(Skills!F2*N432*B463)*IF(Inputs!$B$38="pvp",1,(1+(Inputs!$B$21+Skills!P2+B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32">
        <f>MAX(0,(Inputs!$B$3-100)*3)+Inputs!$B$28+Inputs!$B$29</f>
        <v/>
      </c>
    </row>
    <row r="433">
      <c r="A433">
        <f>Skills!A3</f>
        <v/>
      </c>
      <c r="B433">
        <f>Skills!B3</f>
        <v/>
      </c>
      <c r="C433">
        <f>Inputs!$B$3&gt;=15</f>
        <v/>
      </c>
      <c r="D433">
        <f>IF(Skills!C3=1,60+Inputs!$B$25+Inputs!$B$29,IF(Skills!C3=2,90+Inputs!$B$26+Inputs!$B$29,IF(Skills!C3=3,120+Inputs!$B$27+Inputs!$B$29,MAX(0,(Inputs!$B$3-100)*3)+Inputs!$B$28+Inputs!$B$29)))</f>
        <v/>
      </c>
      <c r="E433">
        <f>INDEX(FactorTable!$B$2:$Y$301, MATCH(ROUND(MIN(300,MAX(1,D433)),0), FactorTable!$A$2:$A$301,0), Skills!L3+1)</f>
        <v/>
      </c>
      <c r="F433">
        <f>IF(Skills!M3=TRUE,(Skills!K3/10)*(E433/1000),Skills!K3/10)+Skills!N3</f>
        <v/>
      </c>
      <c r="G433">
        <f>Calc!G3</f>
        <v/>
      </c>
      <c r="H433">
        <f>Calc!H3</f>
        <v/>
      </c>
      <c r="I433">
        <f>IF(Skills!T3&lt;&gt;"",1+(Skills!T3/10)*(Z433/1000)/100,1)</f>
        <v/>
      </c>
      <c r="J433" t="inlineStr"/>
      <c r="K433" t="inlineStr"/>
      <c r="L433" t="inlineStr"/>
      <c r="M433" t="inlineStr"/>
      <c r="N433" t="inlineStr"/>
      <c r="O433">
        <f>(1-Summary!$B$11)*S433+Summary!$B$11*U433</f>
        <v/>
      </c>
      <c r="P433">
        <f>IF(B467=0,0,O433/B467)</f>
        <v/>
      </c>
      <c r="Q433">
        <f>IFERROR(1/IF(Inputs!$B$38="pvp",15,MAX(0.1,Skills!D3-IF(Skills!E3=TRUE,Inputs!$B$32,0))),0)</f>
        <v/>
      </c>
      <c r="R433">
        <f>IF(AND(Inputs!$B$38&lt;&gt;"pvp",Inputs!$B$43&gt;0),IF(Inputs!$B$43&lt;=0,0,(INT(Inputs!$B$43/IF(Inputs!$B$38="pvp",15,MAX(0.1,Skills!D3-IF(Skills!E3=TRUE,Inputs!$B$32,0))))+1)),0)</f>
        <v/>
      </c>
      <c r="S433" t="n">
        <v>0</v>
      </c>
      <c r="T433">
        <f>INDEX(FactorTable!$B$2:$Y$301, MATCH(ROUND(MIN(300,MAX(1,T432)),0), FactorTable!$A$2:$A$301,0), 22)</f>
        <v/>
      </c>
      <c r="U433" t="n">
        <v>0</v>
      </c>
      <c r="Z433">
        <f>INDEX(FactorTable!$B$2:$Y$301, MATCH(ROUND(MIN(300,MAX(1,Z432)),0), FactorTable!$A$2:$A$301,0), 24)</f>
        <v/>
      </c>
    </row>
    <row r="434">
      <c r="A434">
        <f>Skills!A4</f>
        <v/>
      </c>
      <c r="B434">
        <f>Skills!B4</f>
        <v/>
      </c>
      <c r="C434">
        <f>Inputs!$B$3&gt;=40</f>
        <v/>
      </c>
      <c r="D434">
        <f>IF(Skills!C4=1,60+Inputs!$B$25+Inputs!$B$29,IF(Skills!C4=2,90+Inputs!$B$26+Inputs!$B$29,IF(Skills!C4=3,120+Inputs!$B$27+Inputs!$B$29,MAX(0,(Inputs!$B$3-100)*3)+Inputs!$B$28+Inputs!$B$29)))</f>
        <v/>
      </c>
      <c r="E434">
        <f>INDEX(FactorTable!$B$2:$Y$301, MATCH(ROUND(MIN(300,MAX(1,D434)),0), FactorTable!$A$2:$A$301,0), Skills!L4+1)</f>
        <v/>
      </c>
      <c r="F434">
        <f>IF(Skills!M4=TRUE,(Skills!K4/10)*(E434/1000),Skills!K4/10)+Skills!N4</f>
        <v/>
      </c>
      <c r="G434">
        <f>Calc!G4</f>
        <v/>
      </c>
      <c r="H434">
        <f>Calc!H4</f>
        <v/>
      </c>
      <c r="I434">
        <f>IF(Skills!T4&lt;&gt;"",1+(Skills!T4/10)*(Z433/1000)/100,1)</f>
        <v/>
      </c>
      <c r="J434" t="inlineStr"/>
      <c r="K434" t="inlineStr"/>
      <c r="L434" t="inlineStr"/>
      <c r="M434" t="inlineStr"/>
      <c r="N434" t="inlineStr"/>
      <c r="O434">
        <f>(1-Summary!$B$11)*S434+Summary!$B$11*U434</f>
        <v/>
      </c>
      <c r="P434">
        <f>IF(B467=0,0,O434/B467)</f>
        <v/>
      </c>
      <c r="Q434">
        <f>IFERROR(1/IF(Inputs!$B$38="pvp",15,MAX(0.1,Skills!D4-IF(Skills!E4=TRUE,Inputs!$B$32,0))),0)</f>
        <v/>
      </c>
      <c r="R434">
        <f>IF(AND(Inputs!$B$38&lt;&gt;"pvp",Inputs!$B$43&gt;0),IF(Inputs!$B$43&lt;=0,0,(INT(Inputs!$B$43/IF(Inputs!$B$38="pvp",15,MAX(0.1,Skills!D4-IF(Skills!E4=TRUE,Inputs!$B$32,0))))+1)),0)</f>
        <v/>
      </c>
      <c r="S434" t="n">
        <v>0</v>
      </c>
      <c r="T434">
        <f>290*T433/1000</f>
        <v/>
      </c>
      <c r="U434" t="n">
        <v>0</v>
      </c>
    </row>
    <row r="435">
      <c r="A435">
        <f>Skills!A5</f>
        <v/>
      </c>
      <c r="B435">
        <f>Skills!B5</f>
        <v/>
      </c>
      <c r="C435">
        <f>Inputs!$B$3&gt;=38</f>
        <v/>
      </c>
      <c r="D435">
        <f>IF(Skills!C5=1,60+Inputs!$B$25+Inputs!$B$29,IF(Skills!C5=2,90+Inputs!$B$26+Inputs!$B$29,IF(Skills!C5=3,120+Inputs!$B$27+Inputs!$B$29,MAX(0,(Inputs!$B$3-100)*3)+Inputs!$B$28+Inputs!$B$29)))</f>
        <v/>
      </c>
      <c r="E435">
        <f>INDEX(FactorTable!$B$2:$Y$301, MATCH(ROUND(MIN(300,MAX(1,D435)),0), FactorTable!$A$2:$A$301,0), Skills!L5+1)</f>
        <v/>
      </c>
      <c r="F435">
        <f>IF(Skills!M5=TRUE,(Skills!K5/10)*(E435/1000),Skills!K5/10)+Skills!N5</f>
        <v/>
      </c>
      <c r="G435">
        <f>Calc!G5</f>
        <v/>
      </c>
      <c r="H435">
        <f>Calc!H5</f>
        <v/>
      </c>
      <c r="I435">
        <f>IF(Skills!T5&lt;&gt;"",1+(Skills!T5/10)*(Z433/1000)/100,1)</f>
        <v/>
      </c>
      <c r="J435">
        <f>((Inputs!$B$6*(1+Inputs!$B$7/100))+(((Inputs!$B$12*(1+Inputs!$B$13/100))-(Inputs!$B$12*(1+Inputs!$B$13/100)))+0.25*(Inputs!$B$14-Inputs!$B$14))*(1+Inputs!$B$7/100))*(F435/100)</f>
        <v/>
      </c>
      <c r="K435">
        <f>J435*(1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5="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448-Calc!F18),(Inputs!$B$23+(IF(ArtifactsInput!$M$15,CHOOSE(ArtifactsInput!$N$15+1,25,30,35,40,45,50)/100*(Inputs!$B$11-Inputs!$B$11),0))))/100+(Inputs!$B$23+(IF(ArtifactsInput!$M$15,CHOOSE(ArtifactsInput!$N$15+1,25,30,35,40,45,50)/100*(Inputs!$B$11-Inputs!$B$11),0)))/100)/2</f>
        <v/>
      </c>
      <c r="M435">
        <f>L435*(1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5">
        <f>L435*(1-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IF(B467=0,0,O435/B467)</f>
        <v/>
      </c>
      <c r="Q435">
        <f>IFERROR(1/IF(Inputs!$B$38="pvp",15,MAX(0.1,Skills!D5-IF(Skills!E5=TRUE,Inputs!$B$32,0))),0)</f>
        <v/>
      </c>
      <c r="R435">
        <f>IF(AND(Inputs!$B$38&lt;&gt;"pvp",Inputs!$B$43&gt;0),IF(MAX(0,Inputs!$B$43-B464)&lt;=0,0,(INT(MAX(0,Inputs!$B$43-B464)/IF(Inputs!$B$38="pvp",15,MAX(0.1,Skills!D5-IF(Skills!E5=TRUE,Inputs!$B$32,0))))+1)),0)</f>
        <v/>
      </c>
      <c r="S435">
        <f>IF(C435,(H435*N435*IF(AND(Inputs!$B$38&lt;&gt;"pvp",Inputs!$B$43&gt;0),((Skills!F5*((R435-1)*IF(Skills!G5&gt;0,Skills!H5/Skills!G5,1)+IF(Skills!G5&gt;0,MIN(Skills!H5,MAX(0,MAX(0,Inputs!$B$43-B464)-((R435-1)*IF(Inputs!$B$38="pvp",15,MAX(0.1,Skills!D5-IF(Skills!E5=TRUE,Inputs!$B$32,0))))))/Skills!G5,1)))/Inputs!$B$43),G435*Q435))*IF(Inputs!$B$38="pvp",1,1+(Inputs!$B$20+Skills!O5+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F5*((R435-1)*IF(Skills!G5&gt;0,Skills!H5/Skills!G5,1)+IF(Skills!G5&gt;0,MIN(Skills!H5,MAX(0,MAX(0,Inputs!$B$43-B464)-((R435-1)*IF(Inputs!$B$38="pvp",15,MAX(0.1,Skills!D5-IF(Skills!E5=TRUE,Inputs!$B$32,0))))))/Skills!G5,1)))/Inputs!$B$43),G435*Q435))*IF(Inputs!$B$38="pvp",1,(1+(Inputs!$B$21+Skills!P5+B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Skills!A6</f>
        <v/>
      </c>
      <c r="B436">
        <f>Skills!B6</f>
        <v/>
      </c>
      <c r="C436">
        <f>Inputs!$B$3&gt;=63</f>
        <v/>
      </c>
      <c r="D436">
        <f>IF(Skills!C6=1,60+Inputs!$B$25+Inputs!$B$29,IF(Skills!C6=2,90+Inputs!$B$26+Inputs!$B$29,IF(Skills!C6=3,120+Inputs!$B$27+Inputs!$B$29,MAX(0,(Inputs!$B$3-100)*3)+Inputs!$B$28+Inputs!$B$29)))</f>
        <v/>
      </c>
      <c r="E436">
        <f>INDEX(FactorTable!$B$2:$Y$301, MATCH(ROUND(MIN(300,MAX(1,D436)),0), FactorTable!$A$2:$A$301,0), Skills!L6+1)</f>
        <v/>
      </c>
      <c r="F436">
        <f>IF(Skills!M6=TRUE,(Skills!K6/10)*(E436/1000),Skills!K6/10)+Skills!N6</f>
        <v/>
      </c>
      <c r="G436">
        <f>Calc!G6</f>
        <v/>
      </c>
      <c r="H436">
        <f>Calc!H6</f>
        <v/>
      </c>
      <c r="I436">
        <f>IF(Skills!T6&lt;&gt;"",1+(Skills!T6/10)*(Z433/1000)/100,1)</f>
        <v/>
      </c>
      <c r="J436">
        <f>((Inputs!$B$6*(1+Inputs!$B$7/100))+(((Inputs!$B$12*(1+Inputs!$B$13/100))-(Inputs!$B$12*(1+Inputs!$B$13/100)))+0.25*(Inputs!$B$14-Inputs!$B$14))*(1+Inputs!$B$7/100))*(F436/100)</f>
        <v/>
      </c>
      <c r="K436">
        <f>J436*(1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6="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448-Calc!F18),(Inputs!$B$23+(IF(ArtifactsInput!$M$15,CHOOSE(ArtifactsInput!$N$15+1,25,30,35,40,45,50)/100*(Inputs!$B$11-Inputs!$B$11),0))))/100+(Inputs!$B$23+(IF(ArtifactsInput!$M$15,CHOOSE(ArtifactsInput!$N$15+1,25,30,35,40,45,50)/100*(Inputs!$B$11-Inputs!$B$11),0)))/100)/2</f>
        <v/>
      </c>
      <c r="M436">
        <f>L436*(1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6">
        <f>L436*(1-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IF(B467=0,0,O436/B467)</f>
        <v/>
      </c>
      <c r="Q436">
        <f>IFERROR(1/IF(Inputs!$B$38="pvp",15,MAX(0.1,Skills!D6-IF(Skills!E6=TRUE,Inputs!$B$32,0))),0)</f>
        <v/>
      </c>
      <c r="R436">
        <f>IF(AND(Inputs!$B$38&lt;&gt;"pvp",Inputs!$B$43&gt;0),IF(MAX(0,Inputs!$B$43-B464)&lt;=0,0,(INT(MAX(0,Inputs!$B$43-B464)/IF(Inputs!$B$38="pvp",15,MAX(0.1,Skills!D6-IF(Skills!E6=TRUE,Inputs!$B$32,0))))+1)),0)</f>
        <v/>
      </c>
      <c r="S436">
        <f>IF(C436,(H436*N436*IF(AND(Inputs!$B$38&lt;&gt;"pvp",Inputs!$B$43&gt;0),((Skills!F6*((R436-1)*IF(Skills!G6&gt;0,Skills!H6/Skills!G6,1)+IF(Skills!G6&gt;0,MIN(Skills!H6,MAX(0,MAX(0,Inputs!$B$43-B464)-((R436-1)*IF(Inputs!$B$38="pvp",15,MAX(0.1,Skills!D6-IF(Skills!E6=TRUE,Inputs!$B$32,0))))))/Skills!G6,1)))/Inputs!$B$43),G436*Q436))*IF(Inputs!$B$38="pvp",1,1+(Inputs!$B$20+Skills!O6+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N436*IF(AND(Inputs!$B$38&lt;&gt;"pvp",Inputs!$B$43&gt;0),((Skills!F6*((R436-1)*IF(Skills!G6&gt;0,Skills!H6/Skills!G6,1)+IF(Skills!G6&gt;0,MIN(Skills!H6,MAX(0,MAX(0,Inputs!$B$43-B464)-((R436-1)*IF(Inputs!$B$38="pvp",15,MAX(0.1,Skills!D6-IF(Skills!E6=TRUE,Inputs!$B$32,0))))))/Skills!G6,1)))/Inputs!$B$43),G436*Q436))*IF(Inputs!$B$38="pvp",1,(1+(Inputs!$B$21+Skills!P6+B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Skills!A7</f>
        <v/>
      </c>
      <c r="B437">
        <f>Skills!B7</f>
        <v/>
      </c>
      <c r="C437">
        <f>Inputs!$B$3&gt;=69</f>
        <v/>
      </c>
      <c r="D437">
        <f>IF(Skills!C7=1,60+Inputs!$B$25+Inputs!$B$29,IF(Skills!C7=2,90+Inputs!$B$26+Inputs!$B$29,IF(Skills!C7=3,120+Inputs!$B$27+Inputs!$B$29,MAX(0,(Inputs!$B$3-100)*3)+Inputs!$B$28+Inputs!$B$29)))</f>
        <v/>
      </c>
      <c r="E437">
        <f>INDEX(FactorTable!$B$2:$Y$301, MATCH(ROUND(MIN(300,MAX(1,D437)),0), FactorTable!$A$2:$A$301,0), Skills!L7+1)</f>
        <v/>
      </c>
      <c r="F437">
        <f>IF(Skills!M7=TRUE,(Skills!K7/10)*(E437/1000),Skills!K7/10)+Skills!N7</f>
        <v/>
      </c>
      <c r="G437">
        <f>Calc!G7</f>
        <v/>
      </c>
      <c r="H437">
        <f>Calc!H7</f>
        <v/>
      </c>
      <c r="I437">
        <f>IF(Skills!T7&lt;&gt;"",1+(Skills!T7/10)*(Z433/1000)/100,1)</f>
        <v/>
      </c>
      <c r="J437">
        <f>((Inputs!$B$6*(1+Inputs!$B$7/100))+(((Inputs!$B$12*(1+Inputs!$B$13/100))-(Inputs!$B$12*(1+Inputs!$B$13/100)))+0.25*(Inputs!$B$14-Inputs!$B$14))*(1+Inputs!$B$7/100))*(F437/100)</f>
        <v/>
      </c>
      <c r="K437">
        <f>J437*(1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7="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448-Calc!F18),(Inputs!$B$23+(IF(ArtifactsInput!$M$15,CHOOSE(ArtifactsInput!$N$15+1,25,30,35,40,45,50)/100*(Inputs!$B$11-Inputs!$B$11),0))))/100+(Inputs!$B$23+(IF(ArtifactsInput!$M$15,CHOOSE(ArtifactsInput!$N$15+1,25,30,35,40,45,50)/100*(Inputs!$B$11-Inputs!$B$11),0)))/100)/2</f>
        <v/>
      </c>
      <c r="M437">
        <f>L437*(1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7">
        <f>L437*(1-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IF(B467=0,0,O437/B467)</f>
        <v/>
      </c>
      <c r="Q437">
        <f>IFERROR(1/IF(Inputs!$B$38="pvp",15,MAX(0.1,Skills!D7-IF(Skills!E7=TRUE,Inputs!$B$32,0))),0)</f>
        <v/>
      </c>
      <c r="R437">
        <f>IF(AND(Inputs!$B$38&lt;&gt;"pvp",Inputs!$B$43&gt;0),IF(MAX(0,Inputs!$B$43-B464)&lt;=0,0,(INT(MAX(0,Inputs!$B$43-B464)/IF(Inputs!$B$38="pvp",15,MAX(0.1,Skills!D7-IF(Skills!E7=TRUE,Inputs!$B$32,0))))+1)),0)</f>
        <v/>
      </c>
      <c r="S437">
        <f>IF(C437,(H437*N437*IF(AND(Inputs!$B$38&lt;&gt;"pvp",Inputs!$B$43&gt;0),((Skills!F7*((R437-1)*IF(Skills!G7&gt;0,Skills!H7/Skills!G7,1)+IF(Skills!G7&gt;0,MIN(Skills!H7,MAX(0,MAX(0,Inputs!$B$43-B464)-((R437-1)*IF(Inputs!$B$38="pvp",15,MAX(0.1,Skills!D7-IF(Skills!E7=TRUE,Inputs!$B$32,0))))))/Skills!G7,1)))/Inputs!$B$43),G437*Q437))*IF(Inputs!$B$38="pvp",1,1+(Inputs!$B$20+Skills!O7+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F7*((R437-1)*IF(Skills!G7&gt;0,Skills!H7/Skills!G7,1)+IF(Skills!G7&gt;0,MIN(Skills!H7,MAX(0,MAX(0,Inputs!$B$43-B464)-((R437-1)*IF(Inputs!$B$38="pvp",15,MAX(0.1,Skills!D7-IF(Skills!E7=TRUE,Inputs!$B$32,0))))))/Skills!G7,1)))/Inputs!$B$43),G437*Q437))*IF(Inputs!$B$38="pvp",1,(1+(Inputs!$B$21+Skills!P7+B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Skills!A8</f>
        <v/>
      </c>
      <c r="B438">
        <f>Skills!B8</f>
        <v/>
      </c>
      <c r="C438">
        <f>Inputs!$B$3&gt;=103</f>
        <v/>
      </c>
      <c r="D438">
        <f>IF(Skills!C8=1,60+Inputs!$B$25+Inputs!$B$29,IF(Skills!C8=2,90+Inputs!$B$26+Inputs!$B$29,IF(Skills!C8=3,120+Inputs!$B$27+Inputs!$B$29,MAX(0,(Inputs!$B$3-100)*3)+Inputs!$B$28+Inputs!$B$29)))</f>
        <v/>
      </c>
      <c r="E438">
        <f>INDEX(FactorTable!$B$2:$Y$301, MATCH(ROUND(MIN(300,MAX(1,D438)),0), FactorTable!$A$2:$A$301,0), Skills!L8+1)</f>
        <v/>
      </c>
      <c r="F438">
        <f>IF(Skills!M8=TRUE,(Skills!K8/10)*(E438/1000),Skills!K8/10)+Skills!N8</f>
        <v/>
      </c>
      <c r="G438">
        <f>Calc!G8</f>
        <v/>
      </c>
      <c r="H438">
        <f>Calc!H8</f>
        <v/>
      </c>
      <c r="I438">
        <f>IF(Skills!T8&lt;&gt;"",1+(Skills!T8/10)*(Z433/1000)/100,1)</f>
        <v/>
      </c>
      <c r="J438">
        <f>((Inputs!$B$6*(1+Inputs!$B$7/100))+(((Inputs!$B$12*(1+Inputs!$B$13/100))-(Inputs!$B$12*(1+Inputs!$B$13/100)))+0.25*(Inputs!$B$14-Inputs!$B$14))*(1+Inputs!$B$7/100))*(F438/100)</f>
        <v/>
      </c>
      <c r="K438">
        <f>J438*(1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8="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448-Calc!F18),(Inputs!$B$23+(IF(ArtifactsInput!$M$15,CHOOSE(ArtifactsInput!$N$15+1,25,30,35,40,45,50)/100*(Inputs!$B$11-Inputs!$B$11),0))))/100+(Inputs!$B$23+(IF(ArtifactsInput!$M$15,CHOOSE(ArtifactsInput!$N$15+1,25,30,35,40,45,50)/100*(Inputs!$B$11-Inputs!$B$11),0)))/100)/2</f>
        <v/>
      </c>
      <c r="M438">
        <f>L438*(1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8">
        <f>L438*(1-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IF(B467=0,0,O438/B467)</f>
        <v/>
      </c>
      <c r="Q438">
        <f>IFERROR(1/IF(Inputs!$B$38="pvp",15,MAX(0.1,Skills!D8-IF(Skills!E8=TRUE,Inputs!$B$32,0))),0)</f>
        <v/>
      </c>
      <c r="R438">
        <f>IF(AND(Inputs!$B$38&lt;&gt;"pvp",Inputs!$B$43&gt;0),IF(MAX(0,Inputs!$B$43-B464)&lt;=0,0,(INT(MAX(0,Inputs!$B$43-B464)/IF(Inputs!$B$38="pvp",15,MAX(0.1,Skills!D8-IF(Skills!E8=TRUE,Inputs!$B$32,0))))+1)),0)</f>
        <v/>
      </c>
      <c r="S438">
        <f>IF(C438,(H438*N438*IF(AND(Inputs!$B$38&lt;&gt;"pvp",Inputs!$B$43&gt;0),((Skills!F8*((R438-1)*IF(Skills!G8&gt;0,Skills!H8/Skills!G8,1)+IF(Skills!G8&gt;0,MIN(Skills!H8,MAX(0,MAX(0,Inputs!$B$43-B464)-((R438-1)*IF(Inputs!$B$38="pvp",15,MAX(0.1,Skills!D8-IF(Skills!E8=TRUE,Inputs!$B$32,0))))))/Skills!G8,1)))/Inputs!$B$43),G438*Q438))*IF(Inputs!$B$38="pvp",1,1+(Inputs!$B$20+Skills!O8+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F8*((R438-1)*IF(Skills!G8&gt;0,Skills!H8/Skills!G8,1)+IF(Skills!G8&gt;0,MIN(Skills!H8,MAX(0,MAX(0,Inputs!$B$43-B464)-((R438-1)*IF(Inputs!$B$38="pvp",15,MAX(0.1,Skills!D8-IF(Skills!E8=TRUE,Inputs!$B$32,0))))))/Skills!G8,1)))/Inputs!$B$43),G438*Q438))*IF(Inputs!$B$38="pvp",1,(1+(Inputs!$B$21+Skills!P8+B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Skills!A9</f>
        <v/>
      </c>
      <c r="B439">
        <f>Skills!B9</f>
        <v/>
      </c>
      <c r="C439">
        <f>Inputs!$B$3&gt;=105</f>
        <v/>
      </c>
      <c r="D439">
        <f>IF(Skills!C9=1,60+Inputs!$B$25+Inputs!$B$29,IF(Skills!C9=2,90+Inputs!$B$26+Inputs!$B$29,IF(Skills!C9=3,120+Inputs!$B$27+Inputs!$B$29,MAX(0,(Inputs!$B$3-100)*3)+Inputs!$B$28+Inputs!$B$29)))</f>
        <v/>
      </c>
      <c r="E439">
        <f>INDEX(FactorTable!$B$2:$Y$301, MATCH(ROUND(MIN(300,MAX(1,D439)),0), FactorTable!$A$2:$A$301,0), Skills!L9+1)</f>
        <v/>
      </c>
      <c r="F439">
        <f>IF(Skills!M9=TRUE,(Skills!K9/10)*(E439/1000),Skills!K9/10)+Skills!N9</f>
        <v/>
      </c>
      <c r="G439">
        <f>Calc!G9</f>
        <v/>
      </c>
      <c r="H439">
        <f>Calc!H9</f>
        <v/>
      </c>
      <c r="I439">
        <f>IF(Skills!T9&lt;&gt;"",1+(Skills!T9/10)*(Z433/1000)/100,1)</f>
        <v/>
      </c>
      <c r="J439">
        <f>((Inputs!$B$6*(1+Inputs!$B$7/100))+(((Inputs!$B$12*(1+Inputs!$B$13/100))-(Inputs!$B$12*(1+Inputs!$B$13/100)))+0.25*(Inputs!$B$14-Inputs!$B$14))*(1+Inputs!$B$7/100))*(F439/100)</f>
        <v/>
      </c>
      <c r="K439">
        <f>J439*(1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9="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F448-Calc!F18),(Inputs!$B$23+(IF(ArtifactsInput!$M$15,CHOOSE(ArtifactsInput!$N$15+1,25,30,35,40,45,50)/100*(Inputs!$B$11-Inputs!$B$11),0))))/100+(Inputs!$B$23+(IF(ArtifactsInput!$M$15,CHOOSE(ArtifactsInput!$N$15+1,25,30,35,40,45,50)/100*(Inputs!$B$11-Inputs!$B$11),0)))/100)/2</f>
        <v/>
      </c>
      <c r="M439">
        <f>L439*(1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9">
        <f>L439*(1-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(1-Summary!$B$11)*S439+Summary!$B$11*U439</f>
        <v/>
      </c>
      <c r="P439">
        <f>IF(B467=0,0,O439/B467)</f>
        <v/>
      </c>
      <c r="Q439">
        <f>IFERROR(1/IF(Inputs!$B$38="pvp",15,MAX(0.1,Skills!D9-IF(Skills!E9=TRUE,Inputs!$B$32,0))),0)</f>
        <v/>
      </c>
      <c r="R439">
        <f>IF(AND(Inputs!$B$38&lt;&gt;"pvp",Inputs!$B$43&gt;0),IF(MAX(0,Inputs!$B$43-B464)&lt;=0,0,(INT(MAX(0,Inputs!$B$43-B464)/IF(Inputs!$B$38="pvp",15,MAX(0.1,Skills!D9-IF(Skills!E9=TRUE,Inputs!$B$32,0))))+1)),0)</f>
        <v/>
      </c>
      <c r="S439">
        <f>IF(C439,(H439*N439*IF(AND(Inputs!$B$38&lt;&gt;"pvp",Inputs!$B$43&gt;0),((Skills!F9*((R439-1)*IF(Skills!G9&gt;0,Skills!H9/Skills!G9,1)+IF(Skills!G9&gt;0,MIN(Skills!H9,MAX(0,MAX(0,Inputs!$B$43-B464)-((R439-1)*IF(Inputs!$B$38="pvp",15,MAX(0.1,Skills!D9-IF(Skills!E9=TRUE,Inputs!$B$32,0))))))/Skills!G9,1)))/Inputs!$B$43),G439*Q439))*IF(Inputs!$B$38="pvp",1,1+(Inputs!$B$20+Skills!O9+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439*(1-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9">
        <f>IF(C439,(H439*N439*IF(AND(Inputs!$B$38&lt;&gt;"pvp",Inputs!$B$43&gt;0),((Skills!F9*((R439-1)*IF(Skills!G9&gt;0,Skills!H9/Skills!G9,1)+IF(Skills!G9&gt;0,MIN(Skills!H9,MAX(0,MAX(0,Inputs!$B$43-B464)-((R439-1)*IF(Inputs!$B$38="pvp",15,MAX(0.1,Skills!D9-IF(Skills!E9=TRUE,Inputs!$B$32,0))))))/Skills!G9,1)))/Inputs!$B$43),G439*Q439))*IF(Inputs!$B$38="pvp",1,(1+(Inputs!$B$21+Skills!P9+B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Skills!A10</f>
        <v/>
      </c>
      <c r="B440">
        <f>Skills!B10</f>
        <v/>
      </c>
      <c r="C440">
        <f>Inputs!$B$3&gt;=113</f>
        <v/>
      </c>
      <c r="D440">
        <f>IF(Skills!C10=1,60+Inputs!$B$25+Inputs!$B$29,IF(Skills!C10=2,90+Inputs!$B$26+Inputs!$B$29,IF(Skills!C10=3,120+Inputs!$B$27+Inputs!$B$29,MAX(0,(Inputs!$B$3-100)*3)+Inputs!$B$28+Inputs!$B$29)))</f>
        <v/>
      </c>
      <c r="E440">
        <f>INDEX(FactorTable!$B$2:$Y$301, MATCH(ROUND(MIN(300,MAX(1,D440)),0), FactorTable!$A$2:$A$301,0), Skills!L10+1)</f>
        <v/>
      </c>
      <c r="F440">
        <f>IF(Skills!M10=TRUE,(Skills!K10/10)*(E440/1000),Skills!K10/10)+Skills!N10</f>
        <v/>
      </c>
      <c r="G440">
        <f>Calc!G10</f>
        <v/>
      </c>
      <c r="H440">
        <f>Calc!H10</f>
        <v/>
      </c>
      <c r="I440">
        <f>IF(Skills!T10&lt;&gt;"",1+(Skills!T10/10)*(Z433/1000)/100,1)</f>
        <v/>
      </c>
      <c r="J440">
        <f>((Inputs!$B$6*(1+Inputs!$B$7/100))+(((Inputs!$B$12*(1+Inputs!$B$13/100))-(Inputs!$B$12*(1+Inputs!$B$13/100)))+0.25*(Inputs!$B$14-Inputs!$B$14))*(1+Inputs!$B$7/100))*(F440/100)</f>
        <v/>
      </c>
      <c r="K440">
        <f>J440*(1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10="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F448-Calc!F18),(Inputs!$B$23+(IF(ArtifactsInput!$M$15,CHOOSE(ArtifactsInput!$N$15+1,25,30,35,40,45,50)/100*(Inputs!$B$11-Inputs!$B$11),0))))/100+(Inputs!$B$23+(IF(ArtifactsInput!$M$15,CHOOSE(ArtifactsInput!$N$15+1,25,30,35,40,45,50)/100*(Inputs!$B$11-Inputs!$B$11),0)))/100)/2</f>
        <v/>
      </c>
      <c r="M440">
        <f>L440*(1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0">
        <f>L440*(1-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(1-Summary!$B$11)*S440+Summary!$B$11*U440</f>
        <v/>
      </c>
      <c r="P440">
        <f>IF(B467=0,0,O440/B467)</f>
        <v/>
      </c>
      <c r="Q440">
        <f>IFERROR(1/IF(Inputs!$B$38="pvp",15,MAX(0.1,Skills!D10-IF(Skills!E9=TRUE,Inputs!$B$32,0))),0)</f>
        <v/>
      </c>
      <c r="R440">
        <f>IF(AND(Inputs!$B$38&lt;&gt;"pvp",Inputs!$B$43&gt;0),IF(MAX(0,Inputs!$B$43-B464)&lt;=0,0,(INT(MAX(0,Inputs!$B$43-B464)/IF(Inputs!$B$38="pvp",15,MAX(0.1,Skills!D10-IF(Skills!E9=TRUE,Inputs!$B$32,0))))+1)),0)</f>
        <v/>
      </c>
      <c r="S440">
        <f>IF(C440,(H440*N440*IF(AND(Inputs!$B$38&lt;&gt;"pvp",Inputs!$B$43&gt;0),((Skills!F10*((R440-1)*IF(Skills!G10&gt;0,Skills!H10/Skills!G10,1)+IF(Skills!G10&gt;0,MIN(Skills!H10,MAX(0,MAX(0,Inputs!$B$43-B464)-((R440-1)*IF(Inputs!$B$38="pvp",15,MAX(0.1,Skills!D10-IF(Skills!E9=TRUE,Inputs!$B$32,0))))))/Skills!G10,1)))/Inputs!$B$43),G440*Q440))*IF(Inputs!$B$38="pvp",1,1+(Inputs!$B$20+Skills!O10+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440*(1-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0">
        <f>IF(C440,(H440*N440*IF(AND(Inputs!$B$38&lt;&gt;"pvp",Inputs!$B$43&gt;0),((Skills!F10*((R440-1)*IF(Skills!G10&gt;0,Skills!H10/Skills!G10,1)+IF(Skills!G10&gt;0,MIN(Skills!H10,MAX(0,MAX(0,Inputs!$B$43-B464)-((R440-1)*IF(Inputs!$B$38="pvp",15,MAX(0.1,Skills!D10-IF(Skills!E9=TRUE,Inputs!$B$32,0))))))/Skills!G10,1)))/Inputs!$B$43),G440*Q440))*IF(Inputs!$B$38="pvp",1,(1+(Inputs!$B$21+Skills!P10+B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Skills!A11</f>
        <v/>
      </c>
      <c r="B441">
        <f>Skills!B11</f>
        <v/>
      </c>
      <c r="C441">
        <f>Inputs!$B$3&gt;=107</f>
        <v/>
      </c>
      <c r="D441">
        <f>IF(Skills!C11=1,60+Inputs!$B$25+Inputs!$B$29,IF(Skills!C11=2,90+Inputs!$B$26+Inputs!$B$29,IF(Skills!C11=3,120+Inputs!$B$27+Inputs!$B$29,MAX(0,(Inputs!$B$3-100)*3)+Inputs!$B$28+Inputs!$B$29)))</f>
        <v/>
      </c>
      <c r="E441">
        <f>INDEX(FactorTable!$B$2:$Y$301, MATCH(ROUND(MIN(300,MAX(1,D441)),0), FactorTable!$A$2:$A$301,0), Skills!L11+1)</f>
        <v/>
      </c>
      <c r="F441">
        <f>IF(Skills!M11=TRUE,(Skills!K11/10)*(E441/1000),Skills!K11/10)+Skills!N11</f>
        <v/>
      </c>
      <c r="G441">
        <f>Calc!G11</f>
        <v/>
      </c>
      <c r="H441">
        <f>Calc!H11</f>
        <v/>
      </c>
      <c r="I441">
        <f>IF(Skills!T11&lt;&gt;"",1+(Skills!T11/10)*(Z433/1000)/100,1)</f>
        <v/>
      </c>
      <c r="J441">
        <f>((Inputs!$B$6*(1+Inputs!$B$7/100))+(((Inputs!$B$12*(1+Inputs!$B$13/100))-(Inputs!$B$12*(1+Inputs!$B$13/100)))+0.25*(Inputs!$B$14-Inputs!$B$14))*(1+Inputs!$B$7/100))*(F441/100)</f>
        <v/>
      </c>
      <c r="K441">
        <f>J441*(1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11="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F448-Calc!F18),(Inputs!$B$23+(IF(ArtifactsInput!$M$15,CHOOSE(ArtifactsInput!$N$15+1,25,30,35,40,45,50)/100*(Inputs!$B$11-Inputs!$B$11),0))))/100+(Inputs!$B$23+(IF(ArtifactsInput!$M$15,CHOOSE(ArtifactsInput!$N$15+1,25,30,35,40,45,50)/100*(Inputs!$B$11-Inputs!$B$11),0)))/100)/2</f>
        <v/>
      </c>
      <c r="M441">
        <f>L441*(1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1">
        <f>L441*(1-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(1-Summary!$B$11)*S441+Summary!$B$11*U441</f>
        <v/>
      </c>
      <c r="P441">
        <f>IF(B467=0,0,O441/B467)</f>
        <v/>
      </c>
      <c r="Q441">
        <f>IFERROR(1/IF(Inputs!$B$38="pvp",15,MAX(0.1,Skills!D11-IF(Skills!E11=TRUE,Inputs!$B$32,0))),0)</f>
        <v/>
      </c>
      <c r="R441">
        <f>IF(AND(Inputs!$B$38&lt;&gt;"pvp",Inputs!$B$43&gt;0),IF(MAX(0,Inputs!$B$43-B464)&lt;=0,0,(INT(MAX(0,Inputs!$B$43-B464)/IF(Inputs!$B$38="pvp",15,MAX(0.1,Skills!D11-IF(Skills!E11=TRUE,Inputs!$B$32,0))))+1)),0)</f>
        <v/>
      </c>
      <c r="S441">
        <f>IF(C441,H441*N441*IF(AND(Inputs!$B$38&lt;&gt;"pvp",Inputs!$B$43&gt;0),((Skills!F11*((R441-1)*IF(Skills!G11&gt;0,Skills!H11/Skills!G11,1)+IF(Skills!G11&gt;0,MIN(Skills!H11,MAX(0,MAX(0,Inputs!$B$43-B464)-((R441-1)*IF(Inputs!$B$38="pvp",15,MAX(0.1,Skills!D11-IF(Skills!E11=TRUE,Inputs!$B$32,0))))))/Skills!G11,1)))/Inputs!$B$43),G441*Q441)*0.5*IF(Inputs!$B$38="pvp",1,1+(Inputs!$B$20+Skills!O11+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441*(1-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IF(C441,H441*N441*IF(AND(Inputs!$B$38&lt;&gt;"pvp",Inputs!$B$43&gt;0),((Skills!F11*((R441-1)*IF(Skills!G11&gt;0,Skills!H11/Skills!G11,1)+IF(Skills!G11&gt;0,MIN(Skills!H11,MAX(0,MAX(0,Inputs!$B$43-B464)-((R441-1)*IF(Inputs!$B$38="pvp",15,MAX(0.1,Skills!D11-IF(Skills!E11=TRUE,Inputs!$B$32,0))))))/Skills!G11,1)))/Inputs!$B$43),G441*Q441)*1*IF(Inputs!$B$38="pvp",1,(1+(Inputs!$B$21+Skills!P11+B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Skills!A12</f>
        <v/>
      </c>
      <c r="B442">
        <f>Skills!B12</f>
        <v/>
      </c>
      <c r="C442">
        <f>Inputs!$B$3&gt;=115</f>
        <v/>
      </c>
      <c r="D442">
        <f>IF(Skills!C12=1,60+Inputs!$B$25+Inputs!$B$29,IF(Skills!C12=2,90+Inputs!$B$26+Inputs!$B$29,IF(Skills!C12=3,120+Inputs!$B$27+Inputs!$B$29,MAX(0,(Inputs!$B$3-100)*3)+Inputs!$B$28+Inputs!$B$29)))</f>
        <v/>
      </c>
      <c r="E442">
        <f>INDEX(FactorTable!$B$2:$Y$301, MATCH(ROUND(MIN(300,MAX(1,D442)),0), FactorTable!$A$2:$A$301,0), Skills!L12+1)</f>
        <v/>
      </c>
      <c r="F442">
        <f>IF(Skills!M12=TRUE,(Skills!K12/10)*(E442/1000),Skills!K12/10)+Skills!N12</f>
        <v/>
      </c>
      <c r="G442">
        <f>Calc!G12</f>
        <v/>
      </c>
      <c r="H442">
        <f>Calc!H12</f>
        <v/>
      </c>
      <c r="I442">
        <f>IF(Skills!T12&lt;&gt;"",1+(Skills!T12/10)*(Z433/1000)/100,1)</f>
        <v/>
      </c>
      <c r="J442">
        <f>((Inputs!$B$6*(1+Inputs!$B$7/100))+(((Inputs!$B$12*(1+Inputs!$B$13/100))-(Inputs!$B$12*(1+Inputs!$B$13/100)))+0.25*(Inputs!$B$14-Inputs!$B$14))*(1+Inputs!$B$7/100))*(F442/100)</f>
        <v/>
      </c>
      <c r="K442">
        <f>J442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12="CHAIN_LIGHTNING",Inputs!$B$17+((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F448-Calc!F18),(Inputs!$B$23+(IF(ArtifactsInput!$M$15,CHOOSE(ArtifactsInput!$N$15+1,25,30,35,40,45,50)/100*(Inputs!$B$11-Inputs!$B$11),0))))/100+(Inputs!$B$23+(IF(ArtifactsInput!$M$15,CHOOSE(ArtifactsInput!$N$15+1,25,30,35,40,45,50)/100*(Inputs!$B$11-Inputs!$B$11),0)))/100)/2</f>
        <v/>
      </c>
      <c r="M442">
        <f>L442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2">
        <f>L442*(1-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(1-Summary!$B$11)*S442+Summary!$B$11*U442</f>
        <v/>
      </c>
      <c r="P442">
        <f>IF(B467=0,0,O442/B467)</f>
        <v/>
      </c>
      <c r="Q442">
        <f>IFERROR(1/IF(Inputs!$B$38="pvp",15,MAX(0.1,Skills!D12-IF(Skills!E12=TRUE,Inputs!$B$32,0))),0)</f>
        <v/>
      </c>
      <c r="R442">
        <f>IF(AND(Inputs!$B$38&lt;&gt;"pvp",Inputs!$B$43&gt;0),IF(MAX(0,Inputs!$B$43-B464)&lt;=0,0,(INT(MAX(0,Inputs!$B$43-B464)/IF(Inputs!$B$38="pvp",15,MAX(0.1,Skills!D12-IF(Skills!E12=TRUE,Inputs!$B$32,0))))+1)),0)</f>
        <v/>
      </c>
      <c r="S442">
        <f>IF(C442,(H442*N442*IF(AND(Inputs!$B$38&lt;&gt;"pvp",Inputs!$B$43&gt;0),((Skills!F12*((R442-1)*IF(Skills!G12&gt;0,Skills!H12/Skills!G12,1)+IF(Skills!G12&gt;0,MIN(Skills!H12,MAX(0,MAX(0,Inputs!$B$43-B464)-((R442-1)*IF(Inputs!$B$38="pvp",15,MAX(0.1,Skills!D12-IF(Skills!E12=TRUE,Inputs!$B$32,0))))))/Skills!G12,1)))/Inputs!$B$43),G442*Q442))*IF(Inputs!$B$38="pvp",1,1+(Inputs!$B$20+Skills!O12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442*(1-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+1)+((F450-Calc!F20)+(F449-Calc!F19))+(ArtifactsInput!$M$24-ArtifactsInput!$M$24)*CHOOSE(ArtifactsInput!$N$24+1,10,12,14,16,18,20)+(IF(AND(Inputs!$B$38&lt;&gt;"pvp",Inputs!$B$43=0),1,IF(IF(Inputs!$B$38="pvp",15,Inputs!$B$43)-(B464)&lt;=0,1,MAX(0,IF(Inputs!$B$38="pvp",15,Inputs!$B$43)-MAX(5,B464))/(IF(Inputs!$B$38="pvp",15,Inputs!$B$43)-(B464)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2">
        <f>IF(C442,(H442*N442*IF(AND(Inputs!$B$38&lt;&gt;"pvp",Inputs!$B$43&gt;0),((Skills!F12*((R442-1)*IF(Skills!G12&gt;0,Skills!H12/Skills!G12,1)+IF(Skills!G12&gt;0,MIN(Skills!H12,MAX(0,MAX(0,Inputs!$B$43-B464)-((R442-1)*IF(Inputs!$B$38="pvp",15,MAX(0.1,Skills!D12-IF(Skills!E12=TRUE,Inputs!$B$32,0))))))/Skills!G12,1)))/Inputs!$B$43),G442*Q442))*IF(Inputs!$B$38="pvp",1,(1+(Inputs!$B$21+Skills!P12+B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Skills!A13</f>
        <v/>
      </c>
      <c r="B443">
        <f>Skills!B13</f>
        <v/>
      </c>
      <c r="C443">
        <f>Inputs!$B$3&gt;=49</f>
        <v/>
      </c>
      <c r="D443">
        <f>IF(Skills!C13=1,60+Inputs!$B$25+Inputs!$B$29,IF(Skills!C13=2,90+Inputs!$B$26+Inputs!$B$29,IF(Skills!C13=3,120+Inputs!$B$27+Inputs!$B$29,MAX(0,(Inputs!$B$3-100)*3)+Inputs!$B$28+Inputs!$B$29)))</f>
        <v/>
      </c>
      <c r="E443">
        <f>INDEX(FactorTable!$B$2:$Y$301, MATCH(ROUND(MIN(300,MAX(1,D443)),0), FactorTable!$A$2:$A$301,0), Skills!L13+1)</f>
        <v/>
      </c>
      <c r="F443">
        <f>IF(Skills!M13=TRUE,(Skills!K13/10)*(E443/1000),Skills!K13/10)+Skills!N13</f>
        <v/>
      </c>
      <c r="G443">
        <f>Calc!G13</f>
        <v/>
      </c>
      <c r="H443">
        <f>Calc!H13</f>
        <v/>
      </c>
      <c r="I443">
        <f>IF(Skills!T13&lt;&gt;"",1+(Skills!T13/10)*(Z433/1000)/100,1)</f>
        <v/>
      </c>
      <c r="J443" t="inlineStr"/>
      <c r="K443" t="inlineStr"/>
      <c r="L443" t="inlineStr"/>
      <c r="M443" t="inlineStr"/>
      <c r="N443" t="inlineStr"/>
      <c r="O443">
        <f>(1-Summary!$B$11)*S443+Summary!$B$11*U443</f>
        <v/>
      </c>
      <c r="P443">
        <f>IF(B467=0,0,O443/B467)</f>
        <v/>
      </c>
      <c r="Q443">
        <f>IFERROR(1/IF(Inputs!$B$38="pvp",15,MAX(0.1,Skills!D13-IF(Skills!E13=TRUE,Inputs!$B$32,0))),0)</f>
        <v/>
      </c>
      <c r="R443" t="n">
        <v>0</v>
      </c>
      <c r="S443" t="n">
        <v>0</v>
      </c>
      <c r="U443" t="n">
        <v>0</v>
      </c>
    </row>
    <row r="444">
      <c r="A444">
        <f>Skills!A14</f>
        <v/>
      </c>
      <c r="B444">
        <f>Skills!B14</f>
        <v/>
      </c>
      <c r="C444">
        <f>Inputs!$B$3&gt;=72</f>
        <v/>
      </c>
      <c r="D444">
        <f>IF(Skills!C14=1,60+Inputs!$B$25+Inputs!$B$29,IF(Skills!C14=2,90+Inputs!$B$26+Inputs!$B$29,IF(Skills!C14=3,120+Inputs!$B$27+Inputs!$B$29,MAX(0,(Inputs!$B$3-100)*3)+Inputs!$B$28+Inputs!$B$29)))</f>
        <v/>
      </c>
      <c r="E444">
        <f>INDEX(FactorTable!$B$2:$Y$301, MATCH(ROUND(MIN(300,MAX(1,D444)),0), FactorTable!$A$2:$A$301,0), Skills!L14+1)</f>
        <v/>
      </c>
      <c r="F444">
        <f>IF(Skills!M14=TRUE,(Skills!K14/10)*(E444/1000),Skills!K14/10)+Skills!N14</f>
        <v/>
      </c>
      <c r="G444">
        <f>Calc!G14</f>
        <v/>
      </c>
      <c r="H444">
        <f>Calc!H14</f>
        <v/>
      </c>
      <c r="I444">
        <f>IF(Skills!T14&lt;&gt;"",1+(Skills!T14/10)*(Z433/1000)/100,1)</f>
        <v/>
      </c>
      <c r="J444" t="inlineStr"/>
      <c r="K444" t="inlineStr"/>
      <c r="L444" t="inlineStr"/>
      <c r="M444" t="inlineStr"/>
      <c r="N444" t="inlineStr"/>
      <c r="O444">
        <f>(1-Summary!$B$11)*S444+Summary!$B$11*U444</f>
        <v/>
      </c>
      <c r="P444">
        <f>IF(B467=0,0,O444/B467)</f>
        <v/>
      </c>
      <c r="Q444">
        <f>IFERROR(1/IF(Inputs!$B$38="pvp",15,MAX(0.1,Skills!D14-IF(Skills!E14=TRUE,Inputs!$B$32,0))),0)</f>
        <v/>
      </c>
      <c r="R444" t="n">
        <v>0</v>
      </c>
      <c r="S444" t="n">
        <v>0</v>
      </c>
      <c r="U444" t="n">
        <v>0</v>
      </c>
    </row>
    <row r="445">
      <c r="A445">
        <f>Skills!A15</f>
        <v/>
      </c>
      <c r="B445">
        <f>Skills!B15</f>
        <v/>
      </c>
      <c r="C445">
        <f>Inputs!$B$3&gt;=75</f>
        <v/>
      </c>
      <c r="D445">
        <f>IF(Skills!C15=1,60+Inputs!$B$25+Inputs!$B$29,IF(Skills!C15=2,90+Inputs!$B$26+Inputs!$B$29,IF(Skills!C15=3,120+Inputs!$B$27+Inputs!$B$29,MAX(0,(Inputs!$B$3-100)*3)+Inputs!$B$28+Inputs!$B$29)))</f>
        <v/>
      </c>
      <c r="E445">
        <f>INDEX(FactorTable!$B$2:$Y$301, MATCH(ROUND(MIN(300,MAX(1,D445)),0), FactorTable!$A$2:$A$301,0), Skills!L15+1)</f>
        <v/>
      </c>
      <c r="F445">
        <f>IF(Skills!M15=TRUE,(Skills!K15/10)*(E445/1000),Skills!K15/10)+Skills!N15</f>
        <v/>
      </c>
      <c r="G445">
        <f>Calc!G15</f>
        <v/>
      </c>
      <c r="H445">
        <f>Calc!H15</f>
        <v/>
      </c>
      <c r="I445">
        <f>IF(Skills!T15&lt;&gt;"",1+(Skills!T15/10)*(Z433/1000)/100,1)</f>
        <v/>
      </c>
      <c r="J445" t="inlineStr"/>
      <c r="K445" t="inlineStr"/>
      <c r="L445" t="inlineStr"/>
      <c r="M445" t="inlineStr"/>
      <c r="N445" t="inlineStr"/>
      <c r="O445">
        <f>(1-Summary!$B$11)*S445+Summary!$B$11*U445</f>
        <v/>
      </c>
      <c r="P445">
        <f>IF(B467=0,0,O445/B467)</f>
        <v/>
      </c>
      <c r="Q445">
        <f>IFERROR(1/IF(Inputs!$B$38="pvp",15,MAX(0.1,Skills!D15-IF(Skills!E15=TRUE,Inputs!$B$32,0))),0)</f>
        <v/>
      </c>
      <c r="R445" t="n">
        <v>0</v>
      </c>
      <c r="S445" t="n">
        <v>0</v>
      </c>
      <c r="U445" t="n">
        <v>0</v>
      </c>
    </row>
    <row r="446">
      <c r="A446">
        <f>Skills!A16</f>
        <v/>
      </c>
      <c r="B446">
        <f>Skills!B16</f>
        <v/>
      </c>
      <c r="C446">
        <f>Inputs!$B$3&gt;=110</f>
        <v/>
      </c>
      <c r="D446">
        <f>IF(Skills!C16=1,60+Inputs!$B$25+Inputs!$B$29,IF(Skills!C16=2,90+Inputs!$B$26+Inputs!$B$29,IF(Skills!C16=3,120+Inputs!$B$27+Inputs!$B$29,MAX(0,(Inputs!$B$3-100)*3)+Inputs!$B$28+Inputs!$B$29)))</f>
        <v/>
      </c>
      <c r="E446">
        <f>INDEX(FactorTable!$B$2:$Y$301, MATCH(ROUND(MIN(300,MAX(1,D446)),0), FactorTable!$A$2:$A$301,0), Skills!L16+1)</f>
        <v/>
      </c>
      <c r="F446">
        <f>(Skills!K16/10)*(E446/1000)*64/45+Skills!N16</f>
        <v/>
      </c>
      <c r="G446">
        <f>Calc!G16</f>
        <v/>
      </c>
      <c r="H446">
        <f>Calc!H16</f>
        <v/>
      </c>
      <c r="I446">
        <f>IF(Skills!T16&lt;&gt;"",1+(Skills!T16/10)*(Z433/1000)/100,1)</f>
        <v/>
      </c>
      <c r="J446" t="inlineStr"/>
      <c r="K446" t="inlineStr"/>
      <c r="L446" t="inlineStr"/>
      <c r="M446" t="inlineStr"/>
      <c r="N446" t="inlineStr"/>
      <c r="O446">
        <f>(1-Summary!$B$11)*S446+Summary!$B$11*U446</f>
        <v/>
      </c>
      <c r="P446">
        <f>IF(B467=0,0,O446/B467)</f>
        <v/>
      </c>
      <c r="Q446">
        <f>IFERROR(1/IF(Inputs!$B$38="pvp",15,MAX(0.1,Skills!D16-IF(Skills!E16=TRUE,Inputs!$B$32,0))),0)</f>
        <v/>
      </c>
      <c r="R446">
        <f>IF(AND(Inputs!$B$38&lt;&gt;"pvp",Inputs!$B$43&gt;0),IF(Inputs!$B$43&lt;=0,0,(INT(Inputs!$B$43/IF(Inputs!$B$38="pvp",15,MAX(0.1,Skills!D16-IF(Skills!E16=TRUE,Inputs!$B$32,0))))+1)),0)</f>
        <v/>
      </c>
      <c r="S446" t="n">
        <v>0</v>
      </c>
      <c r="U446" t="n">
        <v>0</v>
      </c>
    </row>
    <row r="447">
      <c r="A447">
        <f>Skills!A17</f>
        <v/>
      </c>
      <c r="B447">
        <f>Skills!B17</f>
        <v/>
      </c>
      <c r="C447">
        <f>Inputs!$B$3&gt;=33</f>
        <v/>
      </c>
      <c r="D447">
        <f>IF(Skills!C17=1,60+Inputs!$B$25+Inputs!$B$29,IF(Skills!C17=2,90+Inputs!$B$26+Inputs!$B$29,IF(Skills!C17=3,120+Inputs!$B$27+Inputs!$B$29,MAX(0,(Inputs!$B$3-100)*3)+Inputs!$B$28+Inputs!$B$29)))</f>
        <v/>
      </c>
      <c r="E447">
        <f>INDEX(FactorTable!$B$2:$Y$301, MATCH(ROUND(MIN(300,MAX(1,D447)),0), FactorTable!$A$2:$A$301,0), Skills!L17+1)</f>
        <v/>
      </c>
      <c r="F447">
        <f>IF(Skills!M17=TRUE,(Skills!K17/10)*(E447/1000),Skills!K17/10)+Skills!N17</f>
        <v/>
      </c>
      <c r="G447">
        <f>Calc!G17</f>
        <v/>
      </c>
      <c r="H447">
        <f>Calc!H17</f>
        <v/>
      </c>
      <c r="I447">
        <f>IF(Skills!T17&lt;&gt;"",1+(Skills!T17/10)*(Z433/1000)/100,1)</f>
        <v/>
      </c>
      <c r="J447" t="inlineStr"/>
      <c r="K447" t="inlineStr"/>
      <c r="L447" t="inlineStr"/>
      <c r="M447" t="inlineStr"/>
      <c r="N447" t="inlineStr"/>
      <c r="O447">
        <f>(1-Summary!$B$11)*S447+Summary!$B$11*U447</f>
        <v/>
      </c>
      <c r="P447">
        <f>IF(B467=0,0,O447/B467)</f>
        <v/>
      </c>
      <c r="Q447">
        <f>IFERROR(1/IF(Inputs!$B$38="pvp",15,MAX(0.1,Skills!D17-IF(Skills!E17=TRUE,Inputs!$B$32,0))),0)</f>
        <v/>
      </c>
      <c r="R447" t="n">
        <v>0</v>
      </c>
      <c r="S447" t="n">
        <v>0</v>
      </c>
      <c r="U447" t="n">
        <v>0</v>
      </c>
    </row>
    <row r="448">
      <c r="A448">
        <f>Skills!A18</f>
        <v/>
      </c>
      <c r="B448">
        <f>Skills!B18</f>
        <v/>
      </c>
      <c r="C448">
        <f>Inputs!$B$3&gt;=43</f>
        <v/>
      </c>
      <c r="D448">
        <f>IF(Skills!C18=1,60+Inputs!$B$25+Inputs!$B$29,IF(Skills!C18=2,90+Inputs!$B$26+Inputs!$B$29,IF(Skills!C18=3,120+Inputs!$B$27+Inputs!$B$29,MAX(0,(Inputs!$B$3-100)*3)+Inputs!$B$28+Inputs!$B$29)))</f>
        <v/>
      </c>
      <c r="E448">
        <f>INDEX(FactorTable!$B$2:$Y$301, MATCH(ROUND(MIN(300,MAX(1,D448)),0), FactorTable!$A$2:$A$301,0), Skills!L18+1)</f>
        <v/>
      </c>
      <c r="F448">
        <f>IF(Skills!M18=TRUE,(Skills!K18/10)*(E448/1000),Skills!K18/10)+Skills!N18</f>
        <v/>
      </c>
      <c r="G448">
        <f>Calc!G18</f>
        <v/>
      </c>
      <c r="H448">
        <f>Calc!H18</f>
        <v/>
      </c>
      <c r="I448">
        <f>IF(Skills!T18&lt;&gt;"",1+(Skills!T18/10)*(Z433/1000)/100,1)</f>
        <v/>
      </c>
      <c r="J448" t="inlineStr"/>
      <c r="K448" t="inlineStr"/>
      <c r="L448" t="inlineStr"/>
      <c r="M448" t="inlineStr"/>
      <c r="N448" t="inlineStr"/>
      <c r="O448">
        <f>(1-Summary!$B$11)*S448+Summary!$B$11*U448</f>
        <v/>
      </c>
      <c r="P448">
        <f>IF(B467=0,0,O448/B467)</f>
        <v/>
      </c>
      <c r="Q448">
        <f>IFERROR(1/IF(Inputs!$B$38="pvp",15,MAX(0.1,Skills!D18-IF(Skills!E18=TRUE,Inputs!$B$32,0))),0)</f>
        <v/>
      </c>
      <c r="R448" t="n">
        <v>0</v>
      </c>
      <c r="S448" t="n">
        <v>0</v>
      </c>
      <c r="U448" t="n">
        <v>0</v>
      </c>
    </row>
    <row r="449">
      <c r="A449">
        <f>Skills!A19</f>
        <v/>
      </c>
      <c r="B449">
        <f>Skills!B19</f>
        <v/>
      </c>
      <c r="C449">
        <f>Inputs!$B$3&gt;=50</f>
        <v/>
      </c>
      <c r="D449">
        <f>IF(Skills!C19=1,60+Inputs!$B$25+Inputs!$B$29,IF(Skills!C19=2,90+Inputs!$B$26+Inputs!$B$29,IF(Skills!C19=3,120+Inputs!$B$27+Inputs!$B$29,MAX(0,(Inputs!$B$3-100)*3)+Inputs!$B$28+Inputs!$B$29)))</f>
        <v/>
      </c>
      <c r="E449">
        <f>INDEX(FactorTable!$B$2:$Y$301, MATCH(ROUND(MIN(300,MAX(1,D449)),0), FactorTable!$A$2:$A$301,0), Skills!L19+1)</f>
        <v/>
      </c>
      <c r="F449">
        <f>IF(Skills!M19=TRUE,(Skills!K19/10)*(E449/1000),Skills!K19/10)+Skills!N19</f>
        <v/>
      </c>
      <c r="G449">
        <f>Calc!G19</f>
        <v/>
      </c>
      <c r="H449">
        <f>Calc!H19</f>
        <v/>
      </c>
      <c r="I449">
        <f>IF(Skills!T19&lt;&gt;"",1+(Skills!T19/10)*(Z433/1000)/100,1)</f>
        <v/>
      </c>
      <c r="J449" t="inlineStr"/>
      <c r="K449" t="inlineStr"/>
      <c r="L449" t="inlineStr"/>
      <c r="M449" t="inlineStr"/>
      <c r="N449" t="inlineStr"/>
      <c r="O449">
        <f>(1-Summary!$B$11)*S449+Summary!$B$11*U449</f>
        <v/>
      </c>
      <c r="P449">
        <f>IF(B467=0,0,O449/B467)</f>
        <v/>
      </c>
      <c r="Q449">
        <f>IFERROR(1/IF(Inputs!$B$38="pvp",15,MAX(0.1,Skills!D19-IF(Skills!E19=TRUE,Inputs!$B$32,0))),0)</f>
        <v/>
      </c>
      <c r="R449" t="n">
        <v>0</v>
      </c>
      <c r="S449" t="n">
        <v>0</v>
      </c>
      <c r="U449" t="n">
        <v>0</v>
      </c>
    </row>
    <row r="450">
      <c r="A450">
        <f>Skills!A20</f>
        <v/>
      </c>
      <c r="B450">
        <f>Skills!B20</f>
        <v/>
      </c>
      <c r="C450">
        <f>Inputs!$B$3&gt;=74</f>
        <v/>
      </c>
      <c r="D450">
        <f>IF(Skills!C20=1,60+Inputs!$B$25+Inputs!$B$29,IF(Skills!C20=2,90+Inputs!$B$26+Inputs!$B$29,IF(Skills!C20=3,120+Inputs!$B$27+Inputs!$B$29,MAX(0,(Inputs!$B$3-100)*3)+Inputs!$B$28+Inputs!$B$29)))</f>
        <v/>
      </c>
      <c r="E450">
        <f>INDEX(FactorTable!$B$2:$Y$301, MATCH(ROUND(MIN(300,MAX(1,D450)),0), FactorTable!$A$2:$A$301,0), Skills!L20+1)</f>
        <v/>
      </c>
      <c r="F450">
        <f>IF(Skills!M20=TRUE,(Skills!K20/10)*(E450/1000),Skills!K20/10)+Skills!N20</f>
        <v/>
      </c>
      <c r="G450">
        <f>Calc!G20</f>
        <v/>
      </c>
      <c r="H450">
        <f>Calc!H20</f>
        <v/>
      </c>
      <c r="I450">
        <f>IF(Skills!T20&lt;&gt;"",1+(Skills!T20/10)*(Z433/1000)/100,1)</f>
        <v/>
      </c>
      <c r="J450" t="inlineStr"/>
      <c r="K450" t="inlineStr"/>
      <c r="L450" t="inlineStr"/>
      <c r="M450" t="inlineStr"/>
      <c r="N450" t="inlineStr"/>
      <c r="O450">
        <f>(1-Summary!$B$11)*S450+Summary!$B$11*U450</f>
        <v/>
      </c>
      <c r="P450">
        <f>IF(B467=0,0,O450/B467)</f>
        <v/>
      </c>
      <c r="Q450">
        <f>IFERROR(1/IF(Inputs!$B$38="pvp",15,MAX(0.1,Skills!D20-IF(Skills!E20=TRUE,Inputs!$B$32,0))),0)</f>
        <v/>
      </c>
      <c r="R450" t="n">
        <v>0</v>
      </c>
      <c r="S450" t="n">
        <v>0</v>
      </c>
      <c r="U450" t="n">
        <v>0</v>
      </c>
    </row>
    <row r="451">
      <c r="A451">
        <f>Skills!A21</f>
        <v/>
      </c>
      <c r="B451">
        <f>Skills!B21</f>
        <v/>
      </c>
      <c r="C451">
        <f>Inputs!$B$3&gt;=74</f>
        <v/>
      </c>
      <c r="D451">
        <f>IF(Skills!C21=1,60+Inputs!$B$25+Inputs!$B$29,IF(Skills!C21=2,90+Inputs!$B$26+Inputs!$B$29,IF(Skills!C21=3,120+Inputs!$B$27+Inputs!$B$29,MAX(0,(Inputs!$B$3-100)*3)+Inputs!$B$28+Inputs!$B$29)))</f>
        <v/>
      </c>
      <c r="E451">
        <f>INDEX(FactorTable!$B$2:$Y$301, MATCH(ROUND(MIN(300,MAX(1,D451)),0), FactorTable!$A$2:$A$301,0), Skills!L21+1)</f>
        <v/>
      </c>
      <c r="F451">
        <f>IF(Skills!M21=TRUE,(Skills!K21/10)*(E451/1000),Skills!K21/10)+Skills!N21</f>
        <v/>
      </c>
      <c r="G451">
        <f>Calc!G21</f>
        <v/>
      </c>
      <c r="H451">
        <f>Calc!H21</f>
        <v/>
      </c>
      <c r="I451">
        <f>IF(Skills!T21&lt;&gt;"",1+(Skills!T21/10)*(Z433/1000)/100,1)</f>
        <v/>
      </c>
      <c r="J451" t="inlineStr"/>
      <c r="K451" t="inlineStr"/>
      <c r="L451" t="inlineStr"/>
      <c r="M451" t="inlineStr"/>
      <c r="N451" t="inlineStr"/>
      <c r="O451">
        <f>(1-Summary!$B$11)*S451+Summary!$B$11*U451</f>
        <v/>
      </c>
      <c r="P451">
        <f>IF(B467=0,0,O451/B467)</f>
        <v/>
      </c>
      <c r="Q451">
        <f>IFERROR(1/IF(Inputs!$B$38="pvp",15,MAX(0.1,Skills!D21-IF(Skills!E21=TRUE,Inputs!$B$32,0))),0)</f>
        <v/>
      </c>
      <c r="R451" t="n">
        <v>0</v>
      </c>
      <c r="S451" t="n">
        <v>0</v>
      </c>
      <c r="U451" t="n">
        <v>0</v>
      </c>
    </row>
    <row r="452">
      <c r="A452">
        <f>Skills!A22</f>
        <v/>
      </c>
      <c r="B452">
        <f>Skills!B22</f>
        <v/>
      </c>
      <c r="C452">
        <f>Inputs!$B$3&gt;=117</f>
        <v/>
      </c>
      <c r="D452">
        <f>IF(Skills!C22=1,60+Inputs!$B$25+Inputs!$B$29,IF(Skills!C22=2,90+Inputs!$B$26+Inputs!$B$29,IF(Skills!C22=3,120+Inputs!$B$27+Inputs!$B$29,MAX(0,(Inputs!$B$3-100)*3)+Inputs!$B$28+Inputs!$B$29)))</f>
        <v/>
      </c>
      <c r="E452">
        <f>INDEX(FactorTable!$B$2:$Y$301, MATCH(ROUND(MIN(300,MAX(1,D452)),0), FactorTable!$A$2:$A$301,0), Skills!L22+1)</f>
        <v/>
      </c>
      <c r="F452">
        <f>IF(Skills!M22=TRUE,(Skills!K22/10)*(E452/1000),Skills!K22/10)+Skills!N22</f>
        <v/>
      </c>
      <c r="G452">
        <f>Calc!G22</f>
        <v/>
      </c>
      <c r="H452">
        <f>Calc!H22</f>
        <v/>
      </c>
      <c r="I452">
        <f>IF(Skills!T22&lt;&gt;"",1+(Skills!T22/10)*(Z433/1000)/100,1)</f>
        <v/>
      </c>
      <c r="J452" t="inlineStr"/>
      <c r="K452" t="inlineStr"/>
      <c r="L452" t="inlineStr"/>
      <c r="M452" t="inlineStr"/>
      <c r="N452" t="inlineStr"/>
      <c r="O452">
        <f>(1-Summary!$B$11)*S452+Summary!$B$11*U452</f>
        <v/>
      </c>
      <c r="P452">
        <f>IF(B467=0,0,O452/B467)</f>
        <v/>
      </c>
      <c r="Q452">
        <f>IFERROR(1/IF(Inputs!$B$38="pvp",15,MAX(0.1,Skills!D22-IF(Skills!E22=TRUE,Inputs!$B$32,0))),0)</f>
        <v/>
      </c>
      <c r="R452" t="n">
        <v>0</v>
      </c>
      <c r="S452" t="n">
        <v>0</v>
      </c>
      <c r="U452" t="n">
        <v>0</v>
      </c>
    </row>
    <row r="453">
      <c r="A453">
        <f>Skills!A23</f>
        <v/>
      </c>
      <c r="B453">
        <f>Skills!B23</f>
        <v/>
      </c>
      <c r="C453">
        <f>Inputs!$B$3&gt;=120</f>
        <v/>
      </c>
      <c r="D453">
        <f>IF(Skills!C23=1,60+Inputs!$B$25+Inputs!$B$29,IF(Skills!C23=2,90+Inputs!$B$26+Inputs!$B$29,IF(Skills!C23=3,120+Inputs!$B$27+Inputs!$B$29,MAX(0,(Inputs!$B$3-100)*3)+Inputs!$B$28+Inputs!$B$29)))</f>
        <v/>
      </c>
      <c r="E453">
        <f>INDEX(FactorTable!$B$2:$Y$301, MATCH(ROUND(MIN(300,MAX(1,D453)),0), FactorTable!$A$2:$A$301,0), Skills!L23+1)</f>
        <v/>
      </c>
      <c r="F453">
        <f>IF(Skills!M23=TRUE,(Skills!K23/10)*(E453/1000),Skills!K23/10)+Skills!N23</f>
        <v/>
      </c>
      <c r="G453">
        <f>Calc!G23</f>
        <v/>
      </c>
      <c r="H453">
        <f>Calc!H23</f>
        <v/>
      </c>
      <c r="I453">
        <f>IF(Skills!T23&lt;&gt;"",1+(Skills!T23/10)*(Z433/1000)/100,1)</f>
        <v/>
      </c>
      <c r="J453" t="inlineStr"/>
      <c r="K453" t="inlineStr"/>
      <c r="L453" t="inlineStr"/>
      <c r="M453" t="inlineStr"/>
      <c r="N453" t="inlineStr"/>
      <c r="O453">
        <f>(1-Summary!$B$11)*S453+Summary!$B$11*U453</f>
        <v/>
      </c>
      <c r="P453">
        <f>IF(B467=0,0,O453/B467)</f>
        <v/>
      </c>
      <c r="Q453">
        <f>IFERROR(1/IF(Inputs!$B$38="pvp",15,MAX(0.1,Skills!D23-IF(Skills!E23=TRUE,Inputs!$B$32,0))),0)</f>
        <v/>
      </c>
      <c r="R453" t="n">
        <v>0</v>
      </c>
      <c r="S453" t="n">
        <v>0</v>
      </c>
      <c r="U453" t="n">
        <v>0</v>
      </c>
    </row>
    <row r="454">
      <c r="A454">
        <f>Skills!A24</f>
        <v/>
      </c>
      <c r="B454">
        <f>Skills!B24</f>
        <v/>
      </c>
      <c r="C454">
        <f>TRUE</f>
        <v/>
      </c>
      <c r="D454">
        <f>IF(Skills!C24=1,60+Inputs!$B$25+Inputs!$B$29,IF(Skills!C24=2,90+Inputs!$B$26+Inputs!$B$29,IF(Skills!C24=3,120+Inputs!$B$27+Inputs!$B$29,MAX(0,(Inputs!$B$3-100)*3)+Inputs!$B$28+Inputs!$B$29)))</f>
        <v/>
      </c>
      <c r="E454">
        <f>INDEX(FactorTable!$B$2:$Y$301, MATCH(ROUND(MIN(300,MAX(1,D454)),0), FactorTable!$A$2:$A$301,0), Skills!L24+1)</f>
        <v/>
      </c>
      <c r="F454">
        <f>IF(Skills!M24=TRUE,(Skills!K24/10)*(E454/1000),Skills!K24/10)+Skills!N24</f>
        <v/>
      </c>
      <c r="G454">
        <f>Calc!G24</f>
        <v/>
      </c>
      <c r="H454">
        <f>Calc!H24</f>
        <v/>
      </c>
      <c r="I454">
        <f>IF(Skills!T24&lt;&gt;"",1+(Skills!T24/10)*(Z433/1000)/100,1)</f>
        <v/>
      </c>
      <c r="J454" t="inlineStr"/>
      <c r="K454" t="inlineStr"/>
      <c r="L454" t="inlineStr"/>
      <c r="M454" t="inlineStr"/>
      <c r="N454" t="inlineStr"/>
      <c r="O454">
        <f>(1-Summary!$B$11)*S454+Summary!$B$11*U454</f>
        <v/>
      </c>
      <c r="P454">
        <f>IF(B467=0,0,O454/B467)</f>
        <v/>
      </c>
      <c r="Q454">
        <f>IFERROR(1/IF(Inputs!$B$38="pvp",15,MAX(0.1,Skills!D24-IF(Skills!E24=TRUE,Inputs!$B$32,0))),0)</f>
        <v/>
      </c>
      <c r="R454">
        <f>IF(AND(Inputs!$B$38&lt;&gt;"pvp",Inputs!$B$43&gt;0),IF(Inputs!$B$43&lt;=0,0,(INT(Inputs!$B$43/IF(Inputs!$B$38="pvp",15,MAX(0.1,Skills!D24-IF(Skills!E24=TRUE,Inputs!$B$32,0))))+1)),0)</f>
        <v/>
      </c>
      <c r="S454" t="n">
        <v>0</v>
      </c>
      <c r="U454" t="n">
        <v>0</v>
      </c>
    </row>
    <row r="457">
      <c r="A457" t="inlineStr">
        <is>
          <t>Average Buff Multiplier (Magic Guard + Meditation + Artifact Attack%, summed; then Infinity)</t>
        </is>
      </c>
      <c r="B457">
        <f>(1+(IF(C433=TRUE,F433*IF(AND(Inputs!$B$38&lt;&gt;"pvp",Inputs!$B$43&gt;0),(((R433-1)*(Skills!S3*(1+(Inputs!$B$34)/100))+MIN((Skills!S3*(1+(Inputs!$B$34)/100)),MAX(0,Inputs!$B$43-((R433-1)*Skills!D3))))/Inputs!$B$43),IF(Inputs!$B$38="pvp",MIN((Skills!S3*(1+(Inputs!$B$34)/100)),15)/15,(Skills!S3*(1+(Inputs!$B$34)/100))/Skills!D3)),0)+IF(C434=TRUE,F434*IF(AND(Inputs!$B$38&lt;&gt;"pvp",Inputs!$B$43&gt;0),(((R434-1)*(Skills!S4*(1+(Inputs!$B$34)/100))+MIN((Skills!S4*(1+(Inputs!$B$34)/100)),MAX(0,Inputs!$B$43-((R434-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446=TRUE,(1+F446*IF(AND(Inputs!$B$38&lt;&gt;"pvp",Inputs!$B$43&gt;0),(((R446-1)*(Skills!S16*(1+(Inputs!$B$34)/100))+MIN((Skills!S16*(1+(Inputs!$B$34)/100)),MAX(0,Inputs!$B$43-((R446-1)*Skills!D16))))/Inputs!$B$43),IF(Inputs!$B$38="pvp",MIN((Skills!S16*(1+(Inputs!$B$34)/100)),15)/15,(Skills!S16*(1+(Inputs!$B$34)/100))/Skills!D16))/100),1)</f>
        <v/>
      </c>
    </row>
    <row r="458">
      <c r="A458" t="inlineStr">
        <is>
          <t>Monster Damage Taken Bonus % (Freezing Breath - Weaken + Elemental Reset + Artifact Enemy Damage Taken, summed)</t>
        </is>
      </c>
      <c r="B458">
        <f>IF(Inputs!$B$3&gt;=118,15*IF(Inputs!$B$38="pvp",MIN((30*(1+(Inputs!$B$34)/100)),15)/15,(30*(1+(Inputs!$B$34)/100))/Skills!D8),0)+IF(C444=TRUE,F444,0)+(IF(AND(ArtifactsInput!$M$35,Inputs!$B$4&lt;&gt;"Chapter Hunt"),CHOOSE(ArtifactsInput!$N$35+1,15,18,21,24,27,30)*(1-EXP(-(0.2*B461)*5)),0)+IF(AND(ArtifactsInput!$M$22,Inputs!$B$4&lt;&gt;"Chapter Hunt"),CHOOSE(ArtifactsInput!$N$22+1,10,12,14,16,18,20)*((0*(((0.15*B461*5))^0/1)+1*(((0.15*B461*5))^1/1)+2*(((0.15*B461*5))^2/2)+3*(((0.15*B461*5))^3/6)+4*(((0.15*B461*5))^4/24)+5*(((0.15*B461*5))^5/120))/((((0.15*B461*5))^0/1)+(((0.15*B461*5))^1/1)+(((0.15*B461*5))^2/2)+(((0.15*B461*5))^3/6)+(((0.15*B461*5))^4/24)+(((0.15*B461*5))^5/120))),0))</f>
        <v/>
      </c>
    </row>
    <row r="459">
      <c r="A459" t="inlineStr">
        <is>
          <t>Damage % Bonus (Frozen Break + Frost Clutch, flat)</t>
        </is>
      </c>
      <c r="B459">
        <f>IF(Inputs!$B$3&gt;=66,15,0)+IF(Inputs!$B$3&gt;=98,10,0)+IF(Inputs!$B$3&gt;=125,20,0)</f>
        <v/>
      </c>
    </row>
    <row r="460">
      <c r="A460" t="inlineStr">
        <is>
          <t>Attack Speed Bonus % (MP Eater - MP Boost, always-on + Nimble Feet, duty-cycle averaged)</t>
        </is>
      </c>
      <c r="B460">
        <f>IF(C443=TRUE,F443+(F447-Calc!F17),0)+((C454=TRUE)*F454*IF(AND(Inputs!$B$38&lt;&gt;"pvp",Inputs!$B$43&gt;0),(((R454-1)*(Skills!S24*(1+(Inputs!$B$34)/100))+MIN((Skills!S24*(1+(Inputs!$B$34)/100)),MAX(0,Inputs!$B$43-((R454-1)*Skills!D24))))/Inputs!$B$43),IF(Inputs!$B$38="pvp",MIN((Skills!S24*(1+(Inputs!$B$34)/100)),15)/15,(Skills!S24*(1+(Inputs!$B$34)/100))/Skills!D24)))</f>
        <v/>
      </c>
    </row>
    <row r="461">
      <c r="A461" t="inlineStr">
        <is>
          <t>Actions Per Second</t>
        </is>
      </c>
      <c r="B461">
        <f>1+MIN(150,150*(1-(1-(Inputs!$B$11+(ArtifactsInput!$M$15-ArtifactsInput!$M$15)*CHOOSE(ArtifactsInput!$N$15+1,8,9.6,11.2,12.8,14.4,16))/150)*(1-B460/150)))/100</f>
        <v/>
      </c>
    </row>
    <row r="462">
      <c r="A462" t="inlineStr">
        <is>
          <t>Skill + Buff Cast Rate</t>
        </is>
      </c>
      <c r="B462">
        <f>IF(AND(Inputs!$B$38&lt;&gt;"pvp",Inputs!$B$43&gt;0),SUMPRODUCT((Skills!E2:E24=TRUE)*(C432:C454=TRUE)*R432:R454)/Inputs!$B$43,SUMPRODUCT((Skills!E2:E24=TRUE)*(C432:C454=TRUE)*Q432:Q454))</f>
        <v/>
      </c>
    </row>
    <row r="463">
      <c r="A463" t="inlineStr">
        <is>
          <t>Chain Lightning Casts Per Second</t>
        </is>
      </c>
      <c r="B463">
        <f>MAX(0,B461-B462)</f>
        <v/>
      </c>
    </row>
    <row r="464">
      <c r="A464" t="inlineStr">
        <is>
          <t>Buff-Casting Startup Delay (s, fixed-duration only)</t>
        </is>
      </c>
      <c r="B464">
        <f>IF(AND(Inputs!$B$38&lt;&gt;"pvp",Inputs!$B$43&gt;0),SUMPRODUCT((Skills!S2:S24&gt;0)*(Skills!E2:E24=TRUE)*(C432:C454=TRUE))/B461,0)</f>
        <v/>
      </c>
    </row>
    <row r="465">
      <c r="A465" t="inlineStr">
        <is>
          <t>Boss-Only Total DPS (this block's swept value)</t>
        </is>
      </c>
      <c r="B465">
        <f>SUM(S432:S454)</f>
        <v/>
      </c>
    </row>
    <row r="466">
      <c r="A466" t="inlineStr">
        <is>
          <t>Normal-Only Total DPS (this block's swept value)</t>
        </is>
      </c>
      <c r="B466">
        <f>SUM(U432:U454)</f>
        <v/>
      </c>
    </row>
    <row r="467">
      <c r="A467" s="6" t="inlineStr">
        <is>
          <t>TOTAL DPS</t>
        </is>
      </c>
      <c r="B467" s="6">
        <f>SUM(O432:O454)</f>
        <v/>
      </c>
    </row>
    <row r="470">
      <c r="A470" s="6" t="inlineStr">
        <is>
          <t>Stat: CRIT_DAMAGE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R471" t="inlineStr">
        <is>
          <t>helpers</t>
        </is>
      </c>
    </row>
    <row r="472">
      <c r="A472">
        <f>Skills!A2</f>
        <v/>
      </c>
      <c r="B472">
        <f>Skills!B2</f>
        <v/>
      </c>
      <c r="C472">
        <f>Inputs!$B$3&gt;=100</f>
        <v/>
      </c>
      <c r="D472" t="inlineStr"/>
      <c r="E472" t="inlineStr"/>
      <c r="F472">
        <f>T474+Skills!N2</f>
        <v/>
      </c>
      <c r="G472">
        <f>Calc!G2</f>
        <v/>
      </c>
      <c r="H472">
        <f>Calc!H2</f>
        <v/>
      </c>
      <c r="I472">
        <f>IF(Skills!T2&lt;&gt;"",1+(Skills!T2/10)*(Z473/1000)/100,1)</f>
        <v/>
      </c>
      <c r="J472">
        <f>((Inputs!$B$6*(1+Inputs!$B$7/100))+(((Inputs!$B$12*(1+Inputs!$B$13/100))-(Inputs!$B$12*(1+Inputs!$B$13/100)))+0.25*(Inputs!$B$14-Inputs!$B$14))*(1+Inputs!$B$7/100))*(F472/100)</f>
        <v/>
      </c>
      <c r="K472">
        <f>J472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2="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F488-Calc!F18),(Inputs!$B$23+(IF(ArtifactsInput!$M$15,CHOOSE(ArtifactsInput!$N$15+1,25,30,35,40,45,50)/100*(Inputs!$B$11-Inputs!$B$11),0))))/100+(Inputs!$B$23+(IF(ArtifactsInput!$M$15,CHOOSE(ArtifactsInput!$N$15+1,25,30,35,40,45,50)/100*(Inputs!$B$11-Inputs!$B$11),0)))/100)/2</f>
        <v/>
      </c>
      <c r="M472">
        <f>L472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(1-Summary!$B$11)*S472+Summary!$B$11*U472</f>
        <v/>
      </c>
      <c r="P472">
        <f>IF(B507=0,0,O472/B507)</f>
        <v/>
      </c>
      <c r="Q472">
        <f>IFERROR(1/IF(Inputs!$B$38="pvp",15,MAX(0.1,Skills!D2-IF(Skills!E2=TRUE,Inputs!$B$32,0))),0)</f>
        <v/>
      </c>
      <c r="R472" t="n">
        <v>0</v>
      </c>
      <c r="S472">
        <f>IF(C472,(Skills!F2*N472*B503)*IF(Inputs!$B$38="pvp",1,1+(Inputs!$B$20+Skills!O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472*(1-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2">
        <f>MAX(0,(Inputs!$B$3-100)*3)+Inputs!$B$28+Inputs!$B$29</f>
        <v/>
      </c>
      <c r="U472">
        <f>IF(C472,(Skills!F2*N472*B503)*IF(Inputs!$B$38="pvp",1,(1+(Inputs!$B$21+Skills!P2+B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72">
        <f>MAX(0,(Inputs!$B$3-100)*3)+Inputs!$B$28+Inputs!$B$29</f>
        <v/>
      </c>
    </row>
    <row r="473">
      <c r="A473">
        <f>Skills!A3</f>
        <v/>
      </c>
      <c r="B473">
        <f>Skills!B3</f>
        <v/>
      </c>
      <c r="C473">
        <f>Inputs!$B$3&gt;=15</f>
        <v/>
      </c>
      <c r="D473">
        <f>IF(Skills!C3=1,60+Inputs!$B$25+Inputs!$B$29,IF(Skills!C3=2,90+Inputs!$B$26+Inputs!$B$29,IF(Skills!C3=3,120+Inputs!$B$27+Inputs!$B$29,MAX(0,(Inputs!$B$3-100)*3)+Inputs!$B$28+Inputs!$B$29)))</f>
        <v/>
      </c>
      <c r="E473">
        <f>INDEX(FactorTable!$B$2:$Y$301, MATCH(ROUND(MIN(300,MAX(1,D473)),0), FactorTable!$A$2:$A$301,0), Skills!L3+1)</f>
        <v/>
      </c>
      <c r="F473">
        <f>IF(Skills!M3=TRUE,(Skills!K3/10)*(E473/1000),Skills!K3/10)+Skills!N3</f>
        <v/>
      </c>
      <c r="G473">
        <f>Calc!G3</f>
        <v/>
      </c>
      <c r="H473">
        <f>Calc!H3</f>
        <v/>
      </c>
      <c r="I473">
        <f>IF(Skills!T3&lt;&gt;"",1+(Skills!T3/10)*(Z473/1000)/100,1)</f>
        <v/>
      </c>
      <c r="J473" t="inlineStr"/>
      <c r="K473" t="inlineStr"/>
      <c r="L473" t="inlineStr"/>
      <c r="M473" t="inlineStr"/>
      <c r="N473" t="inlineStr"/>
      <c r="O473">
        <f>(1-Summary!$B$11)*S473+Summary!$B$11*U473</f>
        <v/>
      </c>
      <c r="P473">
        <f>IF(B507=0,0,O473/B507)</f>
        <v/>
      </c>
      <c r="Q473">
        <f>IFERROR(1/IF(Inputs!$B$38="pvp",15,MAX(0.1,Skills!D3-IF(Skills!E3=TRUE,Inputs!$B$32,0))),0)</f>
        <v/>
      </c>
      <c r="R473">
        <f>IF(AND(Inputs!$B$38&lt;&gt;"pvp",Inputs!$B$43&gt;0),IF(Inputs!$B$43&lt;=0,0,(INT(Inputs!$B$43/IF(Inputs!$B$38="pvp",15,MAX(0.1,Skills!D3-IF(Skills!E3=TRUE,Inputs!$B$32,0))))+1)),0)</f>
        <v/>
      </c>
      <c r="S473" t="n">
        <v>0</v>
      </c>
      <c r="T473">
        <f>INDEX(FactorTable!$B$2:$Y$301, MATCH(ROUND(MIN(300,MAX(1,T472)),0), FactorTable!$A$2:$A$301,0), 22)</f>
        <v/>
      </c>
      <c r="U473" t="n">
        <v>0</v>
      </c>
      <c r="Z473">
        <f>INDEX(FactorTable!$B$2:$Y$301, MATCH(ROUND(MIN(300,MAX(1,Z472)),0), FactorTable!$A$2:$A$301,0), 24)</f>
        <v/>
      </c>
    </row>
    <row r="474">
      <c r="A474">
        <f>Skills!A4</f>
        <v/>
      </c>
      <c r="B474">
        <f>Skills!B4</f>
        <v/>
      </c>
      <c r="C474">
        <f>Inputs!$B$3&gt;=40</f>
        <v/>
      </c>
      <c r="D474">
        <f>IF(Skills!C4=1,60+Inputs!$B$25+Inputs!$B$29,IF(Skills!C4=2,90+Inputs!$B$26+Inputs!$B$29,IF(Skills!C4=3,120+Inputs!$B$27+Inputs!$B$29,MAX(0,(Inputs!$B$3-100)*3)+Inputs!$B$28+Inputs!$B$29)))</f>
        <v/>
      </c>
      <c r="E474">
        <f>INDEX(FactorTable!$B$2:$Y$301, MATCH(ROUND(MIN(300,MAX(1,D474)),0), FactorTable!$A$2:$A$301,0), Skills!L4+1)</f>
        <v/>
      </c>
      <c r="F474">
        <f>IF(Skills!M4=TRUE,(Skills!K4/10)*(E474/1000),Skills!K4/10)+Skills!N4</f>
        <v/>
      </c>
      <c r="G474">
        <f>Calc!G4</f>
        <v/>
      </c>
      <c r="H474">
        <f>Calc!H4</f>
        <v/>
      </c>
      <c r="I474">
        <f>IF(Skills!T4&lt;&gt;"",1+(Skills!T4/10)*(Z473/1000)/100,1)</f>
        <v/>
      </c>
      <c r="J474" t="inlineStr"/>
      <c r="K474" t="inlineStr"/>
      <c r="L474" t="inlineStr"/>
      <c r="M474" t="inlineStr"/>
      <c r="N474" t="inlineStr"/>
      <c r="O474">
        <f>(1-Summary!$B$11)*S474+Summary!$B$11*U474</f>
        <v/>
      </c>
      <c r="P474">
        <f>IF(B507=0,0,O474/B507)</f>
        <v/>
      </c>
      <c r="Q474">
        <f>IFERROR(1/IF(Inputs!$B$38="pvp",15,MAX(0.1,Skills!D4-IF(Skills!E4=TRUE,Inputs!$B$32,0))),0)</f>
        <v/>
      </c>
      <c r="R474">
        <f>IF(AND(Inputs!$B$38&lt;&gt;"pvp",Inputs!$B$43&gt;0),IF(Inputs!$B$43&lt;=0,0,(INT(Inputs!$B$43/IF(Inputs!$B$38="pvp",15,MAX(0.1,Skills!D4-IF(Skills!E4=TRUE,Inputs!$B$32,0))))+1)),0)</f>
        <v/>
      </c>
      <c r="S474" t="n">
        <v>0</v>
      </c>
      <c r="T474">
        <f>290*T473/1000</f>
        <v/>
      </c>
      <c r="U474" t="n">
        <v>0</v>
      </c>
    </row>
    <row r="475">
      <c r="A475">
        <f>Skills!A5</f>
        <v/>
      </c>
      <c r="B475">
        <f>Skills!B5</f>
        <v/>
      </c>
      <c r="C475">
        <f>Inputs!$B$3&gt;=38</f>
        <v/>
      </c>
      <c r="D475">
        <f>IF(Skills!C5=1,60+Inputs!$B$25+Inputs!$B$29,IF(Skills!C5=2,90+Inputs!$B$26+Inputs!$B$29,IF(Skills!C5=3,120+Inputs!$B$27+Inputs!$B$29,MAX(0,(Inputs!$B$3-100)*3)+Inputs!$B$28+Inputs!$B$29)))</f>
        <v/>
      </c>
      <c r="E475">
        <f>INDEX(FactorTable!$B$2:$Y$301, MATCH(ROUND(MIN(300,MAX(1,D475)),0), FactorTable!$A$2:$A$301,0), Skills!L5+1)</f>
        <v/>
      </c>
      <c r="F475">
        <f>IF(Skills!M5=TRUE,(Skills!K5/10)*(E475/1000),Skills!K5/10)+Skills!N5</f>
        <v/>
      </c>
      <c r="G475">
        <f>Calc!G5</f>
        <v/>
      </c>
      <c r="H475">
        <f>Calc!H5</f>
        <v/>
      </c>
      <c r="I475">
        <f>IF(Skills!T5&lt;&gt;"",1+(Skills!T5/10)*(Z473/1000)/100,1)</f>
        <v/>
      </c>
      <c r="J475">
        <f>((Inputs!$B$6*(1+Inputs!$B$7/100))+(((Inputs!$B$12*(1+Inputs!$B$13/100))-(Inputs!$B$12*(1+Inputs!$B$13/100)))+0.25*(Inputs!$B$14-Inputs!$B$14))*(1+Inputs!$B$7/100))*(F475/100)</f>
        <v/>
      </c>
      <c r="K475">
        <f>J475*(1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5="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18),(Inputs!$B$23+(IF(ArtifactsInput!$M$15,CHOOSE(ArtifactsInput!$N$15+1,25,30,35,40,45,50)/100*(Inputs!$B$11-Inputs!$B$11),0))))/100+(Inputs!$B$23+(IF(ArtifactsInput!$M$15,CHOOSE(ArtifactsInput!$N$15+1,25,30,35,40,45,50)/100*(Inputs!$B$11-Inputs!$B$11),0)))/100)/2</f>
        <v/>
      </c>
      <c r="M475">
        <f>L475*(1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IFERROR(1/IF(Inputs!$B$38="pvp",15,MAX(0.1,Skills!D5-IF(Skills!E5=TRUE,Inputs!$B$32,0))),0)</f>
        <v/>
      </c>
      <c r="R475">
        <f>IF(AND(Inputs!$B$38&lt;&gt;"pvp",Inputs!$B$43&gt;0),IF(MAX(0,Inputs!$B$43-B504)&lt;=0,0,(INT(MAX(0,Inputs!$B$43-B504)/IF(Inputs!$B$38="pvp",15,MAX(0.1,Skills!D5-IF(Skills!E5=TRUE,Inputs!$B$32,0))))+1)),0)</f>
        <v/>
      </c>
      <c r="S475">
        <f>IF(C475,(H475*N475*IF(AND(Inputs!$B$38&lt;&gt;"pvp",Inputs!$B$43&gt;0),((Skills!F5*((R475-1)*IF(Skills!G5&gt;0,Skills!H5/Skills!G5,1)+IF(Skills!G5&gt;0,MIN(Skills!H5,MAX(0,MAX(0,Inputs!$B$43-B504)-((R475-1)*IF(Inputs!$B$38="pvp",15,MAX(0.1,Skills!D5-IF(Skills!E5=TRUE,Inputs!$B$32,0))))))/Skills!G5,1)))/Inputs!$B$43),G475*Q475))*IF(Inputs!$B$38="pvp",1,1+(Inputs!$B$20+Skills!O5+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F5*((R475-1)*IF(Skills!G5&gt;0,Skills!H5/Skills!G5,1)+IF(Skills!G5&gt;0,MIN(Skills!H5,MAX(0,MAX(0,Inputs!$B$43-B504)-((R475-1)*IF(Inputs!$B$38="pvp",15,MAX(0.1,Skills!D5-IF(Skills!E5=TRUE,Inputs!$B$32,0))))))/Skills!G5,1)))/Inputs!$B$43),G475*Q475))*IF(Inputs!$B$38="pvp",1,(1+(Inputs!$B$21+Skills!P5+B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Skills!A6</f>
        <v/>
      </c>
      <c r="B476">
        <f>Skills!B6</f>
        <v/>
      </c>
      <c r="C476">
        <f>Inputs!$B$3&gt;=63</f>
        <v/>
      </c>
      <c r="D476">
        <f>IF(Skills!C6=1,60+Inputs!$B$25+Inputs!$B$29,IF(Skills!C6=2,90+Inputs!$B$26+Inputs!$B$29,IF(Skills!C6=3,120+Inputs!$B$27+Inputs!$B$29,MAX(0,(Inputs!$B$3-100)*3)+Inputs!$B$28+Inputs!$B$29)))</f>
        <v/>
      </c>
      <c r="E476">
        <f>INDEX(FactorTable!$B$2:$Y$301, MATCH(ROUND(MIN(300,MAX(1,D476)),0), FactorTable!$A$2:$A$301,0), Skills!L6+1)</f>
        <v/>
      </c>
      <c r="F476">
        <f>IF(Skills!M6=TRUE,(Skills!K6/10)*(E476/1000),Skills!K6/10)+Skills!N6</f>
        <v/>
      </c>
      <c r="G476">
        <f>Calc!G6</f>
        <v/>
      </c>
      <c r="H476">
        <f>Calc!H6</f>
        <v/>
      </c>
      <c r="I476">
        <f>IF(Skills!T6&lt;&gt;"",1+(Skills!T6/10)*(Z473/1000)/100,1)</f>
        <v/>
      </c>
      <c r="J476">
        <f>((Inputs!$B$6*(1+Inputs!$B$7/100))+(((Inputs!$B$12*(1+Inputs!$B$13/100))-(Inputs!$B$12*(1+Inputs!$B$13/100)))+0.25*(Inputs!$B$14-Inputs!$B$14))*(1+Inputs!$B$7/100))*(F476/100)</f>
        <v/>
      </c>
      <c r="K476">
        <f>J476*(1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6="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18),(Inputs!$B$23+(IF(ArtifactsInput!$M$15,CHOOSE(ArtifactsInput!$N$15+1,25,30,35,40,45,50)/100*(Inputs!$B$11-Inputs!$B$11),0))))/100+(Inputs!$B$23+(IF(ArtifactsInput!$M$15,CHOOSE(ArtifactsInput!$N$15+1,25,30,35,40,45,50)/100*(Inputs!$B$11-Inputs!$B$11),0)))/100)/2</f>
        <v/>
      </c>
      <c r="M476">
        <f>L476*(1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IFERROR(1/IF(Inputs!$B$38="pvp",15,MAX(0.1,Skills!D6-IF(Skills!E6=TRUE,Inputs!$B$32,0))),0)</f>
        <v/>
      </c>
      <c r="R476">
        <f>IF(AND(Inputs!$B$38&lt;&gt;"pvp",Inputs!$B$43&gt;0),IF(MAX(0,Inputs!$B$43-B504)&lt;=0,0,(INT(MAX(0,Inputs!$B$43-B504)/IF(Inputs!$B$38="pvp",15,MAX(0.1,Skills!D6-IF(Skills!E6=TRUE,Inputs!$B$32,0))))+1)),0)</f>
        <v/>
      </c>
      <c r="S476">
        <f>IF(C476,(H476*N476*IF(AND(Inputs!$B$38&lt;&gt;"pvp",Inputs!$B$43&gt;0),((Skills!F6*((R476-1)*IF(Skills!G6&gt;0,Skills!H6/Skills!G6,1)+IF(Skills!G6&gt;0,MIN(Skills!H6,MAX(0,MAX(0,Inputs!$B$43-B504)-((R476-1)*IF(Inputs!$B$38="pvp",15,MAX(0.1,Skills!D6-IF(Skills!E6=TRUE,Inputs!$B$32,0))))))/Skills!G6,1)))/Inputs!$B$43),G476*Q476))*IF(Inputs!$B$38="pvp",1,1+(Inputs!$B$20+Skills!O6+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F6*((R476-1)*IF(Skills!G6&gt;0,Skills!H6/Skills!G6,1)+IF(Skills!G6&gt;0,MIN(Skills!H6,MAX(0,MAX(0,Inputs!$B$43-B504)-((R476-1)*IF(Inputs!$B$38="pvp",15,MAX(0.1,Skills!D6-IF(Skills!E6=TRUE,Inputs!$B$32,0))))))/Skills!G6,1)))/Inputs!$B$43),G476*Q476))*IF(Inputs!$B$38="pvp",1,(1+(Inputs!$B$21+Skills!P6+B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Skills!A7</f>
        <v/>
      </c>
      <c r="B477">
        <f>Skills!B7</f>
        <v/>
      </c>
      <c r="C477">
        <f>Inputs!$B$3&gt;=69</f>
        <v/>
      </c>
      <c r="D477">
        <f>IF(Skills!C7=1,60+Inputs!$B$25+Inputs!$B$29,IF(Skills!C7=2,90+Inputs!$B$26+Inputs!$B$29,IF(Skills!C7=3,120+Inputs!$B$27+Inputs!$B$29,MAX(0,(Inputs!$B$3-100)*3)+Inputs!$B$28+Inputs!$B$29)))</f>
        <v/>
      </c>
      <c r="E477">
        <f>INDEX(FactorTable!$B$2:$Y$301, MATCH(ROUND(MIN(300,MAX(1,D477)),0), FactorTable!$A$2:$A$301,0), Skills!L7+1)</f>
        <v/>
      </c>
      <c r="F477">
        <f>IF(Skills!M7=TRUE,(Skills!K7/10)*(E477/1000),Skills!K7/10)+Skills!N7</f>
        <v/>
      </c>
      <c r="G477">
        <f>Calc!G7</f>
        <v/>
      </c>
      <c r="H477">
        <f>Calc!H7</f>
        <v/>
      </c>
      <c r="I477">
        <f>IF(Skills!T7&lt;&gt;"",1+(Skills!T7/10)*(Z473/1000)/100,1)</f>
        <v/>
      </c>
      <c r="J477">
        <f>((Inputs!$B$6*(1+Inputs!$B$7/100))+(((Inputs!$B$12*(1+Inputs!$B$13/100))-(Inputs!$B$12*(1+Inputs!$B$13/100)))+0.25*(Inputs!$B$14-Inputs!$B$14))*(1+Inputs!$B$7/100))*(F477/100)</f>
        <v/>
      </c>
      <c r="K477">
        <f>J477*(1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7="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F488-Calc!F18),(Inputs!$B$23+(IF(ArtifactsInput!$M$15,CHOOSE(ArtifactsInput!$N$15+1,25,30,35,40,45,50)/100*(Inputs!$B$11-Inputs!$B$11),0))))/100+(Inputs!$B$23+(IF(ArtifactsInput!$M$15,CHOOSE(ArtifactsInput!$N$15+1,25,30,35,40,45,50)/100*(Inputs!$B$11-Inputs!$B$11),0)))/100)/2</f>
        <v/>
      </c>
      <c r="M477">
        <f>L477*(1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(1-Summary!$B$11)*S477+Summary!$B$11*U477</f>
        <v/>
      </c>
      <c r="P477">
        <f>IF(B507=0,0,O477/B507)</f>
        <v/>
      </c>
      <c r="Q477">
        <f>IFERROR(1/IF(Inputs!$B$38="pvp",15,MAX(0.1,Skills!D7-IF(Skills!E7=TRUE,Inputs!$B$32,0))),0)</f>
        <v/>
      </c>
      <c r="R477">
        <f>IF(AND(Inputs!$B$38&lt;&gt;"pvp",Inputs!$B$43&gt;0),IF(MAX(0,Inputs!$B$43-B504)&lt;=0,0,(INT(MAX(0,Inputs!$B$43-B504)/IF(Inputs!$B$38="pvp",15,MAX(0.1,Skills!D7-IF(Skills!E7=TRUE,Inputs!$B$32,0))))+1)),0)</f>
        <v/>
      </c>
      <c r="S477">
        <f>IF(C477,(H477*N477*IF(AND(Inputs!$B$38&lt;&gt;"pvp",Inputs!$B$43&gt;0),((Skills!F7*((R477-1)*IF(Skills!G7&gt;0,Skills!H7/Skills!G7,1)+IF(Skills!G7&gt;0,MIN(Skills!H7,MAX(0,MAX(0,Inputs!$B$43-B504)-((R477-1)*IF(Inputs!$B$38="pvp",15,MAX(0.1,Skills!D7-IF(Skills!E7=TRUE,Inputs!$B$32,0))))))/Skills!G7,1)))/Inputs!$B$43),G477*Q477))*IF(Inputs!$B$38="pvp",1,1+(Inputs!$B$20+Skills!O7+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477*(1-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7">
        <f>IF(C477,(H477*N477*IF(AND(Inputs!$B$38&lt;&gt;"pvp",Inputs!$B$43&gt;0),((Skills!F7*((R477-1)*IF(Skills!G7&gt;0,Skills!H7/Skills!G7,1)+IF(Skills!G7&gt;0,MIN(Skills!H7,MAX(0,MAX(0,Inputs!$B$43-B504)-((R477-1)*IF(Inputs!$B$38="pvp",15,MAX(0.1,Skills!D7-IF(Skills!E7=TRUE,Inputs!$B$32,0))))))/Skills!G7,1)))/Inputs!$B$43),G477*Q477))*IF(Inputs!$B$38="pvp",1,(1+(Inputs!$B$21+Skills!P7+B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Skills!A8</f>
        <v/>
      </c>
      <c r="B478">
        <f>Skills!B8</f>
        <v/>
      </c>
      <c r="C478">
        <f>Inputs!$B$3&gt;=103</f>
        <v/>
      </c>
      <c r="D478">
        <f>IF(Skills!C8=1,60+Inputs!$B$25+Inputs!$B$29,IF(Skills!C8=2,90+Inputs!$B$26+Inputs!$B$29,IF(Skills!C8=3,120+Inputs!$B$27+Inputs!$B$29,MAX(0,(Inputs!$B$3-100)*3)+Inputs!$B$28+Inputs!$B$29)))</f>
        <v/>
      </c>
      <c r="E478">
        <f>INDEX(FactorTable!$B$2:$Y$301, MATCH(ROUND(MIN(300,MAX(1,D478)),0), FactorTable!$A$2:$A$301,0), Skills!L8+1)</f>
        <v/>
      </c>
      <c r="F478">
        <f>IF(Skills!M8=TRUE,(Skills!K8/10)*(E478/1000),Skills!K8/10)+Skills!N8</f>
        <v/>
      </c>
      <c r="G478">
        <f>Calc!G8</f>
        <v/>
      </c>
      <c r="H478">
        <f>Calc!H8</f>
        <v/>
      </c>
      <c r="I478">
        <f>IF(Skills!T8&lt;&gt;"",1+(Skills!T8/10)*(Z473/1000)/100,1)</f>
        <v/>
      </c>
      <c r="J478">
        <f>((Inputs!$B$6*(1+Inputs!$B$7/100))+(((Inputs!$B$12*(1+Inputs!$B$13/100))-(Inputs!$B$12*(1+Inputs!$B$13/100)))+0.25*(Inputs!$B$14-Inputs!$B$14))*(1+Inputs!$B$7/100))*(F478/100)</f>
        <v/>
      </c>
      <c r="K478">
        <f>J478*(1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8="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F488-Calc!F18),(Inputs!$B$23+(IF(ArtifactsInput!$M$15,CHOOSE(ArtifactsInput!$N$15+1,25,30,35,40,45,50)/100*(Inputs!$B$11-Inputs!$B$11),0))))/100+(Inputs!$B$23+(IF(ArtifactsInput!$M$15,CHOOSE(ArtifactsInput!$N$15+1,25,30,35,40,45,50)/100*(Inputs!$B$11-Inputs!$B$11),0)))/100)/2</f>
        <v/>
      </c>
      <c r="M478">
        <f>L478*(1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(1-Summary!$B$11)*S478+Summary!$B$11*U478</f>
        <v/>
      </c>
      <c r="P478">
        <f>IF(B507=0,0,O478/B507)</f>
        <v/>
      </c>
      <c r="Q478">
        <f>IFERROR(1/IF(Inputs!$B$38="pvp",15,MAX(0.1,Skills!D8-IF(Skills!E8=TRUE,Inputs!$B$32,0))),0)</f>
        <v/>
      </c>
      <c r="R478">
        <f>IF(AND(Inputs!$B$38&lt;&gt;"pvp",Inputs!$B$43&gt;0),IF(MAX(0,Inputs!$B$43-B504)&lt;=0,0,(INT(MAX(0,Inputs!$B$43-B504)/IF(Inputs!$B$38="pvp",15,MAX(0.1,Skills!D8-IF(Skills!E8=TRUE,Inputs!$B$32,0))))+1)),0)</f>
        <v/>
      </c>
      <c r="S478">
        <f>IF(C478,(H478*N478*IF(AND(Inputs!$B$38&lt;&gt;"pvp",Inputs!$B$43&gt;0),((Skills!F8*((R478-1)*IF(Skills!G8&gt;0,Skills!H8/Skills!G8,1)+IF(Skills!G8&gt;0,MIN(Skills!H8,MAX(0,MAX(0,Inputs!$B$43-B504)-((R478-1)*IF(Inputs!$B$38="pvp",15,MAX(0.1,Skills!D8-IF(Skills!E8=TRUE,Inputs!$B$32,0))))))/Skills!G8,1)))/Inputs!$B$43),G478*Q478))*IF(Inputs!$B$38="pvp",1,1+(Inputs!$B$20+Skills!O8+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478*(1-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IF(C478,(H478*N478*IF(AND(Inputs!$B$38&lt;&gt;"pvp",Inputs!$B$43&gt;0),((Skills!F8*((R478-1)*IF(Skills!G8&gt;0,Skills!H8/Skills!G8,1)+IF(Skills!G8&gt;0,MIN(Skills!H8,MAX(0,MAX(0,Inputs!$B$43-B504)-((R478-1)*IF(Inputs!$B$38="pvp",15,MAX(0.1,Skills!D8-IF(Skills!E8=TRUE,Inputs!$B$32,0))))))/Skills!G8,1)))/Inputs!$B$43),G478*Q478))*IF(Inputs!$B$38="pvp",1,(1+(Inputs!$B$21+Skills!P8+B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Skills!A9</f>
        <v/>
      </c>
      <c r="B479">
        <f>Skills!B9</f>
        <v/>
      </c>
      <c r="C479">
        <f>Inputs!$B$3&gt;=105</f>
        <v/>
      </c>
      <c r="D479">
        <f>IF(Skills!C9=1,60+Inputs!$B$25+Inputs!$B$29,IF(Skills!C9=2,90+Inputs!$B$26+Inputs!$B$29,IF(Skills!C9=3,120+Inputs!$B$27+Inputs!$B$29,MAX(0,(Inputs!$B$3-100)*3)+Inputs!$B$28+Inputs!$B$29)))</f>
        <v/>
      </c>
      <c r="E479">
        <f>INDEX(FactorTable!$B$2:$Y$301, MATCH(ROUND(MIN(300,MAX(1,D479)),0), FactorTable!$A$2:$A$301,0), Skills!L9+1)</f>
        <v/>
      </c>
      <c r="F479">
        <f>IF(Skills!M9=TRUE,(Skills!K9/10)*(E479/1000),Skills!K9/10)+Skills!N9</f>
        <v/>
      </c>
      <c r="G479">
        <f>Calc!G9</f>
        <v/>
      </c>
      <c r="H479">
        <f>Calc!H9</f>
        <v/>
      </c>
      <c r="I479">
        <f>IF(Skills!T9&lt;&gt;"",1+(Skills!T9/10)*(Z473/1000)/100,1)</f>
        <v/>
      </c>
      <c r="J479">
        <f>((Inputs!$B$6*(1+Inputs!$B$7/100))+(((Inputs!$B$12*(1+Inputs!$B$13/100))-(Inputs!$B$12*(1+Inputs!$B$13/100)))+0.25*(Inputs!$B$14-Inputs!$B$14))*(1+Inputs!$B$7/100))*(F479/100)</f>
        <v/>
      </c>
      <c r="K479">
        <f>J479*(1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9="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18),(Inputs!$B$23+(IF(ArtifactsInput!$M$15,CHOOSE(ArtifactsInput!$N$15+1,25,30,35,40,45,50)/100*(Inputs!$B$11-Inputs!$B$11),0))))/100+(Inputs!$B$23+(IF(ArtifactsInput!$M$15,CHOOSE(ArtifactsInput!$N$15+1,25,30,35,40,45,50)/100*(Inputs!$B$11-Inputs!$B$11),0)))/100)/2</f>
        <v/>
      </c>
      <c r="M479">
        <f>L479*(1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IFERROR(1/IF(Inputs!$B$38="pvp",15,MAX(0.1,Skills!D9-IF(Skills!E9=TRUE,Inputs!$B$32,0))),0)</f>
        <v/>
      </c>
      <c r="R479">
        <f>IF(AND(Inputs!$B$38&lt;&gt;"pvp",Inputs!$B$43&gt;0),IF(MAX(0,Inputs!$B$43-B504)&lt;=0,0,(INT(MAX(0,Inputs!$B$43-B504)/IF(Inputs!$B$38="pvp",15,MAX(0.1,Skills!D9-IF(Skills!E9=TRUE,Inputs!$B$32,0))))+1)),0)</f>
        <v/>
      </c>
      <c r="S479">
        <f>IF(C479,(H479*N479*IF(AND(Inputs!$B$38&lt;&gt;"pvp",Inputs!$B$43&gt;0),((Skills!F9*((R479-1)*IF(Skills!G9&gt;0,Skills!H9/Skills!G9,1)+IF(Skills!G9&gt;0,MIN(Skills!H9,MAX(0,MAX(0,Inputs!$B$43-B504)-((R479-1)*IF(Inputs!$B$38="pvp",15,MAX(0.1,Skills!D9-IF(Skills!E9=TRUE,Inputs!$B$32,0))))))/Skills!G9,1)))/Inputs!$B$43),G479*Q479))*IF(Inputs!$B$38="pvp",1,1+(Inputs!$B$20+Skills!O9+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F9*((R479-1)*IF(Skills!G9&gt;0,Skills!H9/Skills!G9,1)+IF(Skills!G9&gt;0,MIN(Skills!H9,MAX(0,MAX(0,Inputs!$B$43-B504)-((R479-1)*IF(Inputs!$B$38="pvp",15,MAX(0.1,Skills!D9-IF(Skills!E9=TRUE,Inputs!$B$32,0))))))/Skills!G9,1)))/Inputs!$B$43),G479*Q479))*IF(Inputs!$B$38="pvp",1,(1+(Inputs!$B$21+Skills!P9+B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Skills!A10</f>
        <v/>
      </c>
      <c r="B480">
        <f>Skills!B10</f>
        <v/>
      </c>
      <c r="C480">
        <f>Inputs!$B$3&gt;=113</f>
        <v/>
      </c>
      <c r="D480">
        <f>IF(Skills!C10=1,60+Inputs!$B$25+Inputs!$B$29,IF(Skills!C10=2,90+Inputs!$B$26+Inputs!$B$29,IF(Skills!C10=3,120+Inputs!$B$27+Inputs!$B$29,MAX(0,(Inputs!$B$3-100)*3)+Inputs!$B$28+Inputs!$B$29)))</f>
        <v/>
      </c>
      <c r="E480">
        <f>INDEX(FactorTable!$B$2:$Y$301, MATCH(ROUND(MIN(300,MAX(1,D480)),0), FactorTable!$A$2:$A$301,0), Skills!L10+1)</f>
        <v/>
      </c>
      <c r="F480">
        <f>IF(Skills!M10=TRUE,(Skills!K10/10)*(E480/1000),Skills!K10/10)+Skills!N10</f>
        <v/>
      </c>
      <c r="G480">
        <f>Calc!G10</f>
        <v/>
      </c>
      <c r="H480">
        <f>Calc!H10</f>
        <v/>
      </c>
      <c r="I480">
        <f>IF(Skills!T10&lt;&gt;"",1+(Skills!T10/10)*(Z473/1000)/100,1)</f>
        <v/>
      </c>
      <c r="J480">
        <f>((Inputs!$B$6*(1+Inputs!$B$7/100))+(((Inputs!$B$12*(1+Inputs!$B$13/100))-(Inputs!$B$12*(1+Inputs!$B$13/100)))+0.25*(Inputs!$B$14-Inputs!$B$14))*(1+Inputs!$B$7/100))*(F480/100)</f>
        <v/>
      </c>
      <c r="K480">
        <f>J480*(1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10="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18),(Inputs!$B$23+(IF(ArtifactsInput!$M$15,CHOOSE(ArtifactsInput!$N$15+1,25,30,35,40,45,50)/100*(Inputs!$B$11-Inputs!$B$11),0))))/100+(Inputs!$B$23+(IF(ArtifactsInput!$M$15,CHOOSE(ArtifactsInput!$N$15+1,25,30,35,40,45,50)/100*(Inputs!$B$11-Inputs!$B$11),0)))/100)/2</f>
        <v/>
      </c>
      <c r="M480">
        <f>L480*(1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IFERROR(1/IF(Inputs!$B$38="pvp",15,MAX(0.1,Skills!D10-IF(Skills!E9=TRUE,Inputs!$B$32,0))),0)</f>
        <v/>
      </c>
      <c r="R480">
        <f>IF(AND(Inputs!$B$38&lt;&gt;"pvp",Inputs!$B$43&gt;0),IF(MAX(0,Inputs!$B$43-B504)&lt;=0,0,(INT(MAX(0,Inputs!$B$43-B504)/IF(Inputs!$B$38="pvp",15,MAX(0.1,Skills!D10-IF(Skills!E9=TRUE,Inputs!$B$32,0))))+1)),0)</f>
        <v/>
      </c>
      <c r="S480">
        <f>IF(C480,(H480*N480*IF(AND(Inputs!$B$38&lt;&gt;"pvp",Inputs!$B$43&gt;0),((Skills!F10*((R480-1)*IF(Skills!G10&gt;0,Skills!H10/Skills!G10,1)+IF(Skills!G10&gt;0,MIN(Skills!H10,MAX(0,MAX(0,Inputs!$B$43-B504)-((R480-1)*IF(Inputs!$B$38="pvp",15,MAX(0.1,Skills!D10-IF(Skills!E9=TRUE,Inputs!$B$32,0))))))/Skills!G10,1)))/Inputs!$B$43),G480*Q480))*IF(Inputs!$B$38="pvp",1,1+(Inputs!$B$20+Skills!O10+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N480*IF(AND(Inputs!$B$38&lt;&gt;"pvp",Inputs!$B$43&gt;0),((Skills!F10*((R480-1)*IF(Skills!G10&gt;0,Skills!H10/Skills!G10,1)+IF(Skills!G10&gt;0,MIN(Skills!H10,MAX(0,MAX(0,Inputs!$B$43-B504)-((R480-1)*IF(Inputs!$B$38="pvp",15,MAX(0.1,Skills!D10-IF(Skills!E9=TRUE,Inputs!$B$32,0))))))/Skills!G10,1)))/Inputs!$B$43),G480*Q480))*IF(Inputs!$B$38="pvp",1,(1+(Inputs!$B$21+Skills!P10+B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Skills!A11</f>
        <v/>
      </c>
      <c r="B481">
        <f>Skills!B11</f>
        <v/>
      </c>
      <c r="C481">
        <f>Inputs!$B$3&gt;=107</f>
        <v/>
      </c>
      <c r="D481">
        <f>IF(Skills!C11=1,60+Inputs!$B$25+Inputs!$B$29,IF(Skills!C11=2,90+Inputs!$B$26+Inputs!$B$29,IF(Skills!C11=3,120+Inputs!$B$27+Inputs!$B$29,MAX(0,(Inputs!$B$3-100)*3)+Inputs!$B$28+Inputs!$B$29)))</f>
        <v/>
      </c>
      <c r="E481">
        <f>INDEX(FactorTable!$B$2:$Y$301, MATCH(ROUND(MIN(300,MAX(1,D481)),0), FactorTable!$A$2:$A$301,0), Skills!L11+1)</f>
        <v/>
      </c>
      <c r="F481">
        <f>IF(Skills!M11=TRUE,(Skills!K11/10)*(E481/1000),Skills!K11/10)+Skills!N11</f>
        <v/>
      </c>
      <c r="G481">
        <f>Calc!G11</f>
        <v/>
      </c>
      <c r="H481">
        <f>Calc!H11</f>
        <v/>
      </c>
      <c r="I481">
        <f>IF(Skills!T11&lt;&gt;"",1+(Skills!T11/10)*(Z473/1000)/100,1)</f>
        <v/>
      </c>
      <c r="J481">
        <f>((Inputs!$B$6*(1+Inputs!$B$7/100))+(((Inputs!$B$12*(1+Inputs!$B$13/100))-(Inputs!$B$12*(1+Inputs!$B$13/100)))+0.25*(Inputs!$B$14-Inputs!$B$14))*(1+Inputs!$B$7/100))*(F481/100)</f>
        <v/>
      </c>
      <c r="K481">
        <f>J481*(1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11="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18),(Inputs!$B$23+(IF(ArtifactsInput!$M$15,CHOOSE(ArtifactsInput!$N$15+1,25,30,35,40,45,50)/100*(Inputs!$B$11-Inputs!$B$11),0))))/100+(Inputs!$B$23+(IF(ArtifactsInput!$M$15,CHOOSE(ArtifactsInput!$N$15+1,25,30,35,40,45,50)/100*(Inputs!$B$11-Inputs!$B$11),0)))/100)/2</f>
        <v/>
      </c>
      <c r="M481">
        <f>L481*(1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IFERROR(1/IF(Inputs!$B$38="pvp",15,MAX(0.1,Skills!D11-IF(Skills!E11=TRUE,Inputs!$B$32,0))),0)</f>
        <v/>
      </c>
      <c r="R481">
        <f>IF(AND(Inputs!$B$38&lt;&gt;"pvp",Inputs!$B$43&gt;0),IF(MAX(0,Inputs!$B$43-B504)&lt;=0,0,(INT(MAX(0,Inputs!$B$43-B504)/IF(Inputs!$B$38="pvp",15,MAX(0.1,Skills!D11-IF(Skills!E11=TRUE,Inputs!$B$32,0))))+1)),0)</f>
        <v/>
      </c>
      <c r="S481">
        <f>IF(C481,H481*N481*IF(AND(Inputs!$B$38&lt;&gt;"pvp",Inputs!$B$43&gt;0),((Skills!F11*((R481-1)*IF(Skills!G11&gt;0,Skills!H11/Skills!G11,1)+IF(Skills!G11&gt;0,MIN(Skills!H11,MAX(0,MAX(0,Inputs!$B$43-B504)-((R481-1)*IF(Inputs!$B$38="pvp",15,MAX(0.1,Skills!D11-IF(Skills!E11=TRUE,Inputs!$B$32,0))))))/Skills!G11,1)))/Inputs!$B$43),G481*Q481)*0.5*IF(Inputs!$B$38="pvp",1,1+(Inputs!$B$20+Skills!O11+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F11*((R481-1)*IF(Skills!G11&gt;0,Skills!H11/Skills!G11,1)+IF(Skills!G11&gt;0,MIN(Skills!H11,MAX(0,MAX(0,Inputs!$B$43-B504)-((R481-1)*IF(Inputs!$B$38="pvp",15,MAX(0.1,Skills!D11-IF(Skills!E11=TRUE,Inputs!$B$32,0))))))/Skills!G11,1)))/Inputs!$B$43),G481*Q481)*1*IF(Inputs!$B$38="pvp",1,(1+(Inputs!$B$21+Skills!P11+B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Skills!A12</f>
        <v/>
      </c>
      <c r="B482">
        <f>Skills!B12</f>
        <v/>
      </c>
      <c r="C482">
        <f>Inputs!$B$3&gt;=115</f>
        <v/>
      </c>
      <c r="D482">
        <f>IF(Skills!C12=1,60+Inputs!$B$25+Inputs!$B$29,IF(Skills!C12=2,90+Inputs!$B$26+Inputs!$B$29,IF(Skills!C12=3,120+Inputs!$B$27+Inputs!$B$29,MAX(0,(Inputs!$B$3-100)*3)+Inputs!$B$28+Inputs!$B$29)))</f>
        <v/>
      </c>
      <c r="E482">
        <f>INDEX(FactorTable!$B$2:$Y$301, MATCH(ROUND(MIN(300,MAX(1,D482)),0), FactorTable!$A$2:$A$301,0), Skills!L12+1)</f>
        <v/>
      </c>
      <c r="F482">
        <f>IF(Skills!M12=TRUE,(Skills!K12/10)*(E482/1000),Skills!K12/10)+Skills!N12</f>
        <v/>
      </c>
      <c r="G482">
        <f>Calc!G12</f>
        <v/>
      </c>
      <c r="H482">
        <f>Calc!H12</f>
        <v/>
      </c>
      <c r="I482">
        <f>IF(Skills!T12&lt;&gt;"",1+(Skills!T12/10)*(Z473/1000)/100,1)</f>
        <v/>
      </c>
      <c r="J482">
        <f>((Inputs!$B$6*(1+Inputs!$B$7/100))+(((Inputs!$B$12*(1+Inputs!$B$13/100))-(Inputs!$B$12*(1+Inputs!$B$13/100)))+0.25*(Inputs!$B$14-Inputs!$B$14))*(1+Inputs!$B$7/100))*(F482/100)</f>
        <v/>
      </c>
      <c r="K482">
        <f>J482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12="CHAIN_LIGHTNING",Inputs!$B$17+((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18),(Inputs!$B$23+(IF(ArtifactsInput!$M$15,CHOOSE(ArtifactsInput!$N$15+1,25,30,35,40,45,50)/100*(Inputs!$B$11-Inputs!$B$11),0))))/100+(Inputs!$B$23+(IF(ArtifactsInput!$M$15,CHOOSE(ArtifactsInput!$N$15+1,25,30,35,40,45,50)/100*(Inputs!$B$11-Inputs!$B$11),0)))/100)/2</f>
        <v/>
      </c>
      <c r="M482">
        <f>L482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IFERROR(1/IF(Inputs!$B$38="pvp",15,MAX(0.1,Skills!D12-IF(Skills!E12=TRUE,Inputs!$B$32,0))),0)</f>
        <v/>
      </c>
      <c r="R482">
        <f>IF(AND(Inputs!$B$38&lt;&gt;"pvp",Inputs!$B$43&gt;0),IF(MAX(0,Inputs!$B$43-B504)&lt;=0,0,(INT(MAX(0,Inputs!$B$43-B504)/IF(Inputs!$B$38="pvp",15,MAX(0.1,Skills!D12-IF(Skills!E12=TRUE,Inputs!$B$32,0))))+1)),0)</f>
        <v/>
      </c>
      <c r="S482">
        <f>IF(C482,(H482*N482*IF(AND(Inputs!$B$38&lt;&gt;"pvp",Inputs!$B$43&gt;0),((Skills!F12*((R482-1)*IF(Skills!G12&gt;0,Skills!H12/Skills!G12,1)+IF(Skills!G12&gt;0,MIN(Skills!H12,MAX(0,MAX(0,Inputs!$B$43-B504)-((R482-1)*IF(Inputs!$B$38="pvp",15,MAX(0.1,Skills!D12-IF(Skills!E12=TRUE,Inputs!$B$32,0))))))/Skills!G12,1)))/Inputs!$B$43),G482*Q482))*IF(Inputs!$B$38="pvp",1,1+(Inputs!$B$20+Skills!O12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F490-Calc!F20)+(F489-Calc!F19))+(ArtifactsInput!$M$24-ArtifactsInput!$M$24)*CHOOSE(ArtifactsInput!$N$24+1,10,12,14,16,18,20)+(IF(AND(Inputs!$B$38&lt;&gt;"pvp",Inputs!$B$43=0),1,IF(IF(Inputs!$B$38="pvp",15,Inputs!$B$43)-(B504)&lt;=0,1,MAX(0,IF(Inputs!$B$38="pvp",15,Inputs!$B$43)-MAX(5,B504))/(IF(Inputs!$B$38="pvp",15,Inputs!$B$43)-(B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F12*((R482-1)*IF(Skills!G12&gt;0,Skills!H12/Skills!G12,1)+IF(Skills!G12&gt;0,MIN(Skills!H12,MAX(0,MAX(0,Inputs!$B$43-B504)-((R482-1)*IF(Inputs!$B$38="pvp",15,MAX(0.1,Skills!D12-IF(Skills!E12=TRUE,Inputs!$B$32,0))))))/Skills!G12,1)))/Inputs!$B$43),G482*Q482))*IF(Inputs!$B$38="pvp",1,(1+(Inputs!$B$21+Skills!P12+B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Skills!A13</f>
        <v/>
      </c>
      <c r="B483">
        <f>Skills!B13</f>
        <v/>
      </c>
      <c r="C483">
        <f>Inputs!$B$3&gt;=49</f>
        <v/>
      </c>
      <c r="D483">
        <f>IF(Skills!C13=1,60+Inputs!$B$25+Inputs!$B$29,IF(Skills!C13=2,90+Inputs!$B$26+Inputs!$B$29,IF(Skills!C13=3,120+Inputs!$B$27+Inputs!$B$29,MAX(0,(Inputs!$B$3-100)*3)+Inputs!$B$28+Inputs!$B$29)))</f>
        <v/>
      </c>
      <c r="E483">
        <f>INDEX(FactorTable!$B$2:$Y$301, MATCH(ROUND(MIN(300,MAX(1,D483)),0), FactorTable!$A$2:$A$301,0), Skills!L13+1)</f>
        <v/>
      </c>
      <c r="F483">
        <f>IF(Skills!M13=TRUE,(Skills!K13/10)*(E483/1000),Skills!K13/10)+Skills!N13</f>
        <v/>
      </c>
      <c r="G483">
        <f>Calc!G13</f>
        <v/>
      </c>
      <c r="H483">
        <f>Calc!H13</f>
        <v/>
      </c>
      <c r="I483">
        <f>IF(Skills!T13&lt;&gt;"",1+(Skills!T13/10)*(Z473/1000)/100,1)</f>
        <v/>
      </c>
      <c r="J483" t="inlineStr"/>
      <c r="K483" t="inlineStr"/>
      <c r="L483" t="inlineStr"/>
      <c r="M483" t="inlineStr"/>
      <c r="N483" t="inlineStr"/>
      <c r="O483">
        <f>(1-Summary!$B$11)*S483+Summary!$B$11*U483</f>
        <v/>
      </c>
      <c r="P483">
        <f>IF(B507=0,0,O483/B507)</f>
        <v/>
      </c>
      <c r="Q483">
        <f>IFERROR(1/IF(Inputs!$B$38="pvp",15,MAX(0.1,Skills!D13-IF(Skills!E13=TRUE,Inputs!$B$32,0))),0)</f>
        <v/>
      </c>
      <c r="R483" t="n">
        <v>0</v>
      </c>
      <c r="S483" t="n">
        <v>0</v>
      </c>
      <c r="U483" t="n">
        <v>0</v>
      </c>
    </row>
    <row r="484">
      <c r="A484">
        <f>Skills!A14</f>
        <v/>
      </c>
      <c r="B484">
        <f>Skills!B14</f>
        <v/>
      </c>
      <c r="C484">
        <f>Inputs!$B$3&gt;=72</f>
        <v/>
      </c>
      <c r="D484">
        <f>IF(Skills!C14=1,60+Inputs!$B$25+Inputs!$B$29,IF(Skills!C14=2,90+Inputs!$B$26+Inputs!$B$29,IF(Skills!C14=3,120+Inputs!$B$27+Inputs!$B$29,MAX(0,(Inputs!$B$3-100)*3)+Inputs!$B$28+Inputs!$B$29)))</f>
        <v/>
      </c>
      <c r="E484">
        <f>INDEX(FactorTable!$B$2:$Y$301, MATCH(ROUND(MIN(300,MAX(1,D484)),0), FactorTable!$A$2:$A$301,0), Skills!L14+1)</f>
        <v/>
      </c>
      <c r="F484">
        <f>IF(Skills!M14=TRUE,(Skills!K14/10)*(E484/1000),Skills!K14/10)+Skills!N14</f>
        <v/>
      </c>
      <c r="G484">
        <f>Calc!G14</f>
        <v/>
      </c>
      <c r="H484">
        <f>Calc!H14</f>
        <v/>
      </c>
      <c r="I484">
        <f>IF(Skills!T14&lt;&gt;"",1+(Skills!T14/10)*(Z473/1000)/100,1)</f>
        <v/>
      </c>
      <c r="J484" t="inlineStr"/>
      <c r="K484" t="inlineStr"/>
      <c r="L484" t="inlineStr"/>
      <c r="M484" t="inlineStr"/>
      <c r="N484" t="inlineStr"/>
      <c r="O484">
        <f>(1-Summary!$B$11)*S484+Summary!$B$11*U484</f>
        <v/>
      </c>
      <c r="P484">
        <f>IF(B507=0,0,O484/B507)</f>
        <v/>
      </c>
      <c r="Q484">
        <f>IFERROR(1/IF(Inputs!$B$38="pvp",15,MAX(0.1,Skills!D14-IF(Skills!E14=TRUE,Inputs!$B$32,0))),0)</f>
        <v/>
      </c>
      <c r="R484" t="n">
        <v>0</v>
      </c>
      <c r="S484" t="n">
        <v>0</v>
      </c>
      <c r="U484" t="n">
        <v>0</v>
      </c>
    </row>
    <row r="485">
      <c r="A485">
        <f>Skills!A15</f>
        <v/>
      </c>
      <c r="B485">
        <f>Skills!B15</f>
        <v/>
      </c>
      <c r="C485">
        <f>Inputs!$B$3&gt;=75</f>
        <v/>
      </c>
      <c r="D485">
        <f>IF(Skills!C15=1,60+Inputs!$B$25+Inputs!$B$29,IF(Skills!C15=2,90+Inputs!$B$26+Inputs!$B$29,IF(Skills!C15=3,120+Inputs!$B$27+Inputs!$B$29,MAX(0,(Inputs!$B$3-100)*3)+Inputs!$B$28+Inputs!$B$29)))</f>
        <v/>
      </c>
      <c r="E485">
        <f>INDEX(FactorTable!$B$2:$Y$301, MATCH(ROUND(MIN(300,MAX(1,D485)),0), FactorTable!$A$2:$A$301,0), Skills!L15+1)</f>
        <v/>
      </c>
      <c r="F485">
        <f>IF(Skills!M15=TRUE,(Skills!K15/10)*(E485/1000),Skills!K15/10)+Skills!N15</f>
        <v/>
      </c>
      <c r="G485">
        <f>Calc!G15</f>
        <v/>
      </c>
      <c r="H485">
        <f>Calc!H15</f>
        <v/>
      </c>
      <c r="I485">
        <f>IF(Skills!T15&lt;&gt;"",1+(Skills!T15/10)*(Z473/1000)/100,1)</f>
        <v/>
      </c>
      <c r="J485" t="inlineStr"/>
      <c r="K485" t="inlineStr"/>
      <c r="L485" t="inlineStr"/>
      <c r="M485" t="inlineStr"/>
      <c r="N485" t="inlineStr"/>
      <c r="O485">
        <f>(1-Summary!$B$11)*S485+Summary!$B$11*U485</f>
        <v/>
      </c>
      <c r="P485">
        <f>IF(B507=0,0,O485/B507)</f>
        <v/>
      </c>
      <c r="Q485">
        <f>IFERROR(1/IF(Inputs!$B$38="pvp",15,MAX(0.1,Skills!D15-IF(Skills!E15=TRUE,Inputs!$B$32,0))),0)</f>
        <v/>
      </c>
      <c r="R485" t="n">
        <v>0</v>
      </c>
      <c r="S485" t="n">
        <v>0</v>
      </c>
      <c r="U485" t="n">
        <v>0</v>
      </c>
    </row>
    <row r="486">
      <c r="A486">
        <f>Skills!A16</f>
        <v/>
      </c>
      <c r="B486">
        <f>Skills!B16</f>
        <v/>
      </c>
      <c r="C486">
        <f>Inputs!$B$3&gt;=110</f>
        <v/>
      </c>
      <c r="D486">
        <f>IF(Skills!C16=1,60+Inputs!$B$25+Inputs!$B$29,IF(Skills!C16=2,90+Inputs!$B$26+Inputs!$B$29,IF(Skills!C16=3,120+Inputs!$B$27+Inputs!$B$29,MAX(0,(Inputs!$B$3-100)*3)+Inputs!$B$28+Inputs!$B$29)))</f>
        <v/>
      </c>
      <c r="E486">
        <f>INDEX(FactorTable!$B$2:$Y$301, MATCH(ROUND(MIN(300,MAX(1,D486)),0), FactorTable!$A$2:$A$301,0), Skills!L16+1)</f>
        <v/>
      </c>
      <c r="F486">
        <f>(Skills!K16/10)*(E486/1000)*64/45+Skills!N16</f>
        <v/>
      </c>
      <c r="G486">
        <f>Calc!G16</f>
        <v/>
      </c>
      <c r="H486">
        <f>Calc!H16</f>
        <v/>
      </c>
      <c r="I486">
        <f>IF(Skills!T16&lt;&gt;"",1+(Skills!T16/10)*(Z473/1000)/100,1)</f>
        <v/>
      </c>
      <c r="J486" t="inlineStr"/>
      <c r="K486" t="inlineStr"/>
      <c r="L486" t="inlineStr"/>
      <c r="M486" t="inlineStr"/>
      <c r="N486" t="inlineStr"/>
      <c r="O486">
        <f>(1-Summary!$B$11)*S486+Summary!$B$11*U486</f>
        <v/>
      </c>
      <c r="P486">
        <f>IF(B507=0,0,O486/B507)</f>
        <v/>
      </c>
      <c r="Q486">
        <f>IFERROR(1/IF(Inputs!$B$38="pvp",15,MAX(0.1,Skills!D16-IF(Skills!E16=TRUE,Inputs!$B$32,0))),0)</f>
        <v/>
      </c>
      <c r="R486">
        <f>IF(AND(Inputs!$B$38&lt;&gt;"pvp",Inputs!$B$43&gt;0),IF(Inputs!$B$43&lt;=0,0,(INT(Inputs!$B$43/IF(Inputs!$B$38="pvp",15,MAX(0.1,Skills!D16-IF(Skills!E16=TRUE,Inputs!$B$32,0))))+1)),0)</f>
        <v/>
      </c>
      <c r="S486" t="n">
        <v>0</v>
      </c>
      <c r="U486" t="n">
        <v>0</v>
      </c>
    </row>
    <row r="487">
      <c r="A487">
        <f>Skills!A17</f>
        <v/>
      </c>
      <c r="B487">
        <f>Skills!B17</f>
        <v/>
      </c>
      <c r="C487">
        <f>Inputs!$B$3&gt;=33</f>
        <v/>
      </c>
      <c r="D487">
        <f>IF(Skills!C17=1,60+Inputs!$B$25+Inputs!$B$29,IF(Skills!C17=2,90+Inputs!$B$26+Inputs!$B$29,IF(Skills!C17=3,120+Inputs!$B$27+Inputs!$B$29,MAX(0,(Inputs!$B$3-100)*3)+Inputs!$B$28+Inputs!$B$29)))</f>
        <v/>
      </c>
      <c r="E487">
        <f>INDEX(FactorTable!$B$2:$Y$301, MATCH(ROUND(MIN(300,MAX(1,D487)),0), FactorTable!$A$2:$A$301,0), Skills!L17+1)</f>
        <v/>
      </c>
      <c r="F487">
        <f>IF(Skills!M17=TRUE,(Skills!K17/10)*(E487/1000),Skills!K17/10)+Skills!N17</f>
        <v/>
      </c>
      <c r="G487">
        <f>Calc!G17</f>
        <v/>
      </c>
      <c r="H487">
        <f>Calc!H17</f>
        <v/>
      </c>
      <c r="I487">
        <f>IF(Skills!T17&lt;&gt;"",1+(Skills!T17/10)*(Z473/1000)/100,1)</f>
        <v/>
      </c>
      <c r="J487" t="inlineStr"/>
      <c r="K487" t="inlineStr"/>
      <c r="L487" t="inlineStr"/>
      <c r="M487" t="inlineStr"/>
      <c r="N487" t="inlineStr"/>
      <c r="O487">
        <f>(1-Summary!$B$11)*S487+Summary!$B$11*U487</f>
        <v/>
      </c>
      <c r="P487">
        <f>IF(B507=0,0,O487/B507)</f>
        <v/>
      </c>
      <c r="Q487">
        <f>IFERROR(1/IF(Inputs!$B$38="pvp",15,MAX(0.1,Skills!D17-IF(Skills!E17=TRUE,Inputs!$B$32,0))),0)</f>
        <v/>
      </c>
      <c r="R487" t="n">
        <v>0</v>
      </c>
      <c r="S487" t="n">
        <v>0</v>
      </c>
      <c r="U487" t="n">
        <v>0</v>
      </c>
    </row>
    <row r="488">
      <c r="A488">
        <f>Skills!A18</f>
        <v/>
      </c>
      <c r="B488">
        <f>Skills!B18</f>
        <v/>
      </c>
      <c r="C488">
        <f>Inputs!$B$3&gt;=43</f>
        <v/>
      </c>
      <c r="D488">
        <f>IF(Skills!C18=1,60+Inputs!$B$25+Inputs!$B$29,IF(Skills!C18=2,90+Inputs!$B$26+Inputs!$B$29,IF(Skills!C18=3,120+Inputs!$B$27+Inputs!$B$29,MAX(0,(Inputs!$B$3-100)*3)+Inputs!$B$28+Inputs!$B$29)))</f>
        <v/>
      </c>
      <c r="E488">
        <f>INDEX(FactorTable!$B$2:$Y$301, MATCH(ROUND(MIN(300,MAX(1,D488)),0), FactorTable!$A$2:$A$301,0), Skills!L18+1)</f>
        <v/>
      </c>
      <c r="F488">
        <f>IF(Skills!M18=TRUE,(Skills!K18/10)*(E488/1000),Skills!K18/10)+Skills!N18</f>
        <v/>
      </c>
      <c r="G488">
        <f>Calc!G18</f>
        <v/>
      </c>
      <c r="H488">
        <f>Calc!H18</f>
        <v/>
      </c>
      <c r="I488">
        <f>IF(Skills!T18&lt;&gt;"",1+(Skills!T18/10)*(Z473/1000)/100,1)</f>
        <v/>
      </c>
      <c r="J488" t="inlineStr"/>
      <c r="K488" t="inlineStr"/>
      <c r="L488" t="inlineStr"/>
      <c r="M488" t="inlineStr"/>
      <c r="N488" t="inlineStr"/>
      <c r="O488">
        <f>(1-Summary!$B$11)*S488+Summary!$B$11*U488</f>
        <v/>
      </c>
      <c r="P488">
        <f>IF(B507=0,0,O488/B507)</f>
        <v/>
      </c>
      <c r="Q488">
        <f>IFERROR(1/IF(Inputs!$B$38="pvp",15,MAX(0.1,Skills!D18-IF(Skills!E18=TRUE,Inputs!$B$32,0))),0)</f>
        <v/>
      </c>
      <c r="R488" t="n">
        <v>0</v>
      </c>
      <c r="S488" t="n">
        <v>0</v>
      </c>
      <c r="U488" t="n">
        <v>0</v>
      </c>
    </row>
    <row r="489">
      <c r="A489">
        <f>Skills!A19</f>
        <v/>
      </c>
      <c r="B489">
        <f>Skills!B19</f>
        <v/>
      </c>
      <c r="C489">
        <f>Inputs!$B$3&gt;=50</f>
        <v/>
      </c>
      <c r="D489">
        <f>IF(Skills!C19=1,60+Inputs!$B$25+Inputs!$B$29,IF(Skills!C19=2,90+Inputs!$B$26+Inputs!$B$29,IF(Skills!C19=3,120+Inputs!$B$27+Inputs!$B$29,MAX(0,(Inputs!$B$3-100)*3)+Inputs!$B$28+Inputs!$B$29)))</f>
        <v/>
      </c>
      <c r="E489">
        <f>INDEX(FactorTable!$B$2:$Y$301, MATCH(ROUND(MIN(300,MAX(1,D489)),0), FactorTable!$A$2:$A$301,0), Skills!L19+1)</f>
        <v/>
      </c>
      <c r="F489">
        <f>IF(Skills!M19=TRUE,(Skills!K19/10)*(E489/1000),Skills!K19/10)+Skills!N19</f>
        <v/>
      </c>
      <c r="G489">
        <f>Calc!G19</f>
        <v/>
      </c>
      <c r="H489">
        <f>Calc!H19</f>
        <v/>
      </c>
      <c r="I489">
        <f>IF(Skills!T19&lt;&gt;"",1+(Skills!T19/10)*(Z473/1000)/100,1)</f>
        <v/>
      </c>
      <c r="J489" t="inlineStr"/>
      <c r="K489" t="inlineStr"/>
      <c r="L489" t="inlineStr"/>
      <c r="M489" t="inlineStr"/>
      <c r="N489" t="inlineStr"/>
      <c r="O489">
        <f>(1-Summary!$B$11)*S489+Summary!$B$11*U489</f>
        <v/>
      </c>
      <c r="P489">
        <f>IF(B507=0,0,O489/B507)</f>
        <v/>
      </c>
      <c r="Q489">
        <f>IFERROR(1/IF(Inputs!$B$38="pvp",15,MAX(0.1,Skills!D19-IF(Skills!E19=TRUE,Inputs!$B$32,0))),0)</f>
        <v/>
      </c>
      <c r="R489" t="n">
        <v>0</v>
      </c>
      <c r="S489" t="n">
        <v>0</v>
      </c>
      <c r="U489" t="n">
        <v>0</v>
      </c>
    </row>
    <row r="490">
      <c r="A490">
        <f>Skills!A20</f>
        <v/>
      </c>
      <c r="B490">
        <f>Skills!B20</f>
        <v/>
      </c>
      <c r="C490">
        <f>Inputs!$B$3&gt;=74</f>
        <v/>
      </c>
      <c r="D490">
        <f>IF(Skills!C20=1,60+Inputs!$B$25+Inputs!$B$29,IF(Skills!C20=2,90+Inputs!$B$26+Inputs!$B$29,IF(Skills!C20=3,120+Inputs!$B$27+Inputs!$B$29,MAX(0,(Inputs!$B$3-100)*3)+Inputs!$B$28+Inputs!$B$29)))</f>
        <v/>
      </c>
      <c r="E490">
        <f>INDEX(FactorTable!$B$2:$Y$301, MATCH(ROUND(MIN(300,MAX(1,D490)),0), FactorTable!$A$2:$A$301,0), Skills!L20+1)</f>
        <v/>
      </c>
      <c r="F490">
        <f>IF(Skills!M20=TRUE,(Skills!K20/10)*(E490/1000),Skills!K20/10)+Skills!N20</f>
        <v/>
      </c>
      <c r="G490">
        <f>Calc!G20</f>
        <v/>
      </c>
      <c r="H490">
        <f>Calc!H20</f>
        <v/>
      </c>
      <c r="I490">
        <f>IF(Skills!T20&lt;&gt;"",1+(Skills!T20/10)*(Z473/1000)/100,1)</f>
        <v/>
      </c>
      <c r="J490" t="inlineStr"/>
      <c r="K490" t="inlineStr"/>
      <c r="L490" t="inlineStr"/>
      <c r="M490" t="inlineStr"/>
      <c r="N490" t="inlineStr"/>
      <c r="O490">
        <f>(1-Summary!$B$11)*S490+Summary!$B$11*U490</f>
        <v/>
      </c>
      <c r="P490">
        <f>IF(B507=0,0,O490/B507)</f>
        <v/>
      </c>
      <c r="Q490">
        <f>IFERROR(1/IF(Inputs!$B$38="pvp",15,MAX(0.1,Skills!D20-IF(Skills!E20=TRUE,Inputs!$B$32,0))),0)</f>
        <v/>
      </c>
      <c r="R490" t="n">
        <v>0</v>
      </c>
      <c r="S490" t="n">
        <v>0</v>
      </c>
      <c r="U490" t="n">
        <v>0</v>
      </c>
    </row>
    <row r="491">
      <c r="A491">
        <f>Skills!A21</f>
        <v/>
      </c>
      <c r="B491">
        <f>Skills!B21</f>
        <v/>
      </c>
      <c r="C491">
        <f>Inputs!$B$3&gt;=74</f>
        <v/>
      </c>
      <c r="D491">
        <f>IF(Skills!C21=1,60+Inputs!$B$25+Inputs!$B$29,IF(Skills!C21=2,90+Inputs!$B$26+Inputs!$B$29,IF(Skills!C21=3,120+Inputs!$B$27+Inputs!$B$29,MAX(0,(Inputs!$B$3-100)*3)+Inputs!$B$28+Inputs!$B$29)))</f>
        <v/>
      </c>
      <c r="E491">
        <f>INDEX(FactorTable!$B$2:$Y$301, MATCH(ROUND(MIN(300,MAX(1,D491)),0), FactorTable!$A$2:$A$301,0), Skills!L21+1)</f>
        <v/>
      </c>
      <c r="F491">
        <f>IF(Skills!M21=TRUE,(Skills!K21/10)*(E491/1000),Skills!K21/10)+Skills!N21</f>
        <v/>
      </c>
      <c r="G491">
        <f>Calc!G21</f>
        <v/>
      </c>
      <c r="H491">
        <f>Calc!H21</f>
        <v/>
      </c>
      <c r="I491">
        <f>IF(Skills!T21&lt;&gt;"",1+(Skills!T21/10)*(Z473/1000)/100,1)</f>
        <v/>
      </c>
      <c r="J491" t="inlineStr"/>
      <c r="K491" t="inlineStr"/>
      <c r="L491" t="inlineStr"/>
      <c r="M491" t="inlineStr"/>
      <c r="N491" t="inlineStr"/>
      <c r="O491">
        <f>(1-Summary!$B$11)*S491+Summary!$B$11*U491</f>
        <v/>
      </c>
      <c r="P491">
        <f>IF(B507=0,0,O491/B507)</f>
        <v/>
      </c>
      <c r="Q491">
        <f>IFERROR(1/IF(Inputs!$B$38="pvp",15,MAX(0.1,Skills!D21-IF(Skills!E21=TRUE,Inputs!$B$32,0))),0)</f>
        <v/>
      </c>
      <c r="R491" t="n">
        <v>0</v>
      </c>
      <c r="S491" t="n">
        <v>0</v>
      </c>
      <c r="U491" t="n">
        <v>0</v>
      </c>
    </row>
    <row r="492">
      <c r="A492">
        <f>Skills!A22</f>
        <v/>
      </c>
      <c r="B492">
        <f>Skills!B22</f>
        <v/>
      </c>
      <c r="C492">
        <f>Inputs!$B$3&gt;=117</f>
        <v/>
      </c>
      <c r="D492">
        <f>IF(Skills!C22=1,60+Inputs!$B$25+Inputs!$B$29,IF(Skills!C22=2,90+Inputs!$B$26+Inputs!$B$29,IF(Skills!C22=3,120+Inputs!$B$27+Inputs!$B$29,MAX(0,(Inputs!$B$3-100)*3)+Inputs!$B$28+Inputs!$B$29)))</f>
        <v/>
      </c>
      <c r="E492">
        <f>INDEX(FactorTable!$B$2:$Y$301, MATCH(ROUND(MIN(300,MAX(1,D492)),0), FactorTable!$A$2:$A$301,0), Skills!L22+1)</f>
        <v/>
      </c>
      <c r="F492">
        <f>IF(Skills!M22=TRUE,(Skills!K22/10)*(E492/1000),Skills!K22/10)+Skills!N22</f>
        <v/>
      </c>
      <c r="G492">
        <f>Calc!G22</f>
        <v/>
      </c>
      <c r="H492">
        <f>Calc!H22</f>
        <v/>
      </c>
      <c r="I492">
        <f>IF(Skills!T22&lt;&gt;"",1+(Skills!T22/10)*(Z473/1000)/100,1)</f>
        <v/>
      </c>
      <c r="J492" t="inlineStr"/>
      <c r="K492" t="inlineStr"/>
      <c r="L492" t="inlineStr"/>
      <c r="M492" t="inlineStr"/>
      <c r="N492" t="inlineStr"/>
      <c r="O492">
        <f>(1-Summary!$B$11)*S492+Summary!$B$11*U492</f>
        <v/>
      </c>
      <c r="P492">
        <f>IF(B507=0,0,O492/B507)</f>
        <v/>
      </c>
      <c r="Q492">
        <f>IFERROR(1/IF(Inputs!$B$38="pvp",15,MAX(0.1,Skills!D22-IF(Skills!E22=TRUE,Inputs!$B$32,0))),0)</f>
        <v/>
      </c>
      <c r="R492" t="n">
        <v>0</v>
      </c>
      <c r="S492" t="n">
        <v>0</v>
      </c>
      <c r="U492" t="n">
        <v>0</v>
      </c>
    </row>
    <row r="493">
      <c r="A493">
        <f>Skills!A23</f>
        <v/>
      </c>
      <c r="B493">
        <f>Skills!B23</f>
        <v/>
      </c>
      <c r="C493">
        <f>Inputs!$B$3&gt;=120</f>
        <v/>
      </c>
      <c r="D493">
        <f>IF(Skills!C23=1,60+Inputs!$B$25+Inputs!$B$29,IF(Skills!C23=2,90+Inputs!$B$26+Inputs!$B$29,IF(Skills!C23=3,120+Inputs!$B$27+Inputs!$B$29,MAX(0,(Inputs!$B$3-100)*3)+Inputs!$B$28+Inputs!$B$29)))</f>
        <v/>
      </c>
      <c r="E493">
        <f>INDEX(FactorTable!$B$2:$Y$301, MATCH(ROUND(MIN(300,MAX(1,D493)),0), FactorTable!$A$2:$A$301,0), Skills!L23+1)</f>
        <v/>
      </c>
      <c r="F493">
        <f>IF(Skills!M23=TRUE,(Skills!K23/10)*(E493/1000),Skills!K23/10)+Skills!N23</f>
        <v/>
      </c>
      <c r="G493">
        <f>Calc!G23</f>
        <v/>
      </c>
      <c r="H493">
        <f>Calc!H23</f>
        <v/>
      </c>
      <c r="I493">
        <f>IF(Skills!T23&lt;&gt;"",1+(Skills!T23/10)*(Z473/1000)/100,1)</f>
        <v/>
      </c>
      <c r="J493" t="inlineStr"/>
      <c r="K493" t="inlineStr"/>
      <c r="L493" t="inlineStr"/>
      <c r="M493" t="inlineStr"/>
      <c r="N493" t="inlineStr"/>
      <c r="O493">
        <f>(1-Summary!$B$11)*S493+Summary!$B$11*U493</f>
        <v/>
      </c>
      <c r="P493">
        <f>IF(B507=0,0,O493/B507)</f>
        <v/>
      </c>
      <c r="Q493">
        <f>IFERROR(1/IF(Inputs!$B$38="pvp",15,MAX(0.1,Skills!D23-IF(Skills!E23=TRUE,Inputs!$B$32,0))),0)</f>
        <v/>
      </c>
      <c r="R493" t="n">
        <v>0</v>
      </c>
      <c r="S493" t="n">
        <v>0</v>
      </c>
      <c r="U493" t="n">
        <v>0</v>
      </c>
    </row>
    <row r="494">
      <c r="A494">
        <f>Skills!A24</f>
        <v/>
      </c>
      <c r="B494">
        <f>Skills!B24</f>
        <v/>
      </c>
      <c r="C494">
        <f>TRUE</f>
        <v/>
      </c>
      <c r="D494">
        <f>IF(Skills!C24=1,60+Inputs!$B$25+Inputs!$B$29,IF(Skills!C24=2,90+Inputs!$B$26+Inputs!$B$29,IF(Skills!C24=3,120+Inputs!$B$27+Inputs!$B$29,MAX(0,(Inputs!$B$3-100)*3)+Inputs!$B$28+Inputs!$B$29)))</f>
        <v/>
      </c>
      <c r="E494">
        <f>INDEX(FactorTable!$B$2:$Y$301, MATCH(ROUND(MIN(300,MAX(1,D494)),0), FactorTable!$A$2:$A$301,0), Skills!L24+1)</f>
        <v/>
      </c>
      <c r="F494">
        <f>IF(Skills!M24=TRUE,(Skills!K24/10)*(E494/1000),Skills!K24/10)+Skills!N24</f>
        <v/>
      </c>
      <c r="G494">
        <f>Calc!G24</f>
        <v/>
      </c>
      <c r="H494">
        <f>Calc!H24</f>
        <v/>
      </c>
      <c r="I494">
        <f>IF(Skills!T24&lt;&gt;"",1+(Skills!T24/10)*(Z473/1000)/100,1)</f>
        <v/>
      </c>
      <c r="J494" t="inlineStr"/>
      <c r="K494" t="inlineStr"/>
      <c r="L494" t="inlineStr"/>
      <c r="M494" t="inlineStr"/>
      <c r="N494" t="inlineStr"/>
      <c r="O494">
        <f>(1-Summary!$B$11)*S494+Summary!$B$11*U494</f>
        <v/>
      </c>
      <c r="P494">
        <f>IF(B507=0,0,O494/B507)</f>
        <v/>
      </c>
      <c r="Q494">
        <f>IFERROR(1/IF(Inputs!$B$38="pvp",15,MAX(0.1,Skills!D24-IF(Skills!E24=TRUE,Inputs!$B$32,0))),0)</f>
        <v/>
      </c>
      <c r="R494">
        <f>IF(AND(Inputs!$B$38&lt;&gt;"pvp",Inputs!$B$43&gt;0),IF(Inputs!$B$43&lt;=0,0,(INT(Inputs!$B$43/IF(Inputs!$B$38="pvp",15,MAX(0.1,Skills!D24-IF(Skills!E24=TRUE,Inputs!$B$32,0))))+1)),0)</f>
        <v/>
      </c>
      <c r="S494" t="n">
        <v>0</v>
      </c>
      <c r="U494" t="n">
        <v>0</v>
      </c>
    </row>
    <row r="497">
      <c r="A497" t="inlineStr">
        <is>
          <t>Average Buff Multiplier (Magic Guard + Meditation + Artifact Attack%, summed; then Infinity)</t>
        </is>
      </c>
      <c r="B497">
        <f>(1+(IF(C473=TRUE,F473*IF(AND(Inputs!$B$38&lt;&gt;"pvp",Inputs!$B$43&gt;0),(((R473-1)*(Skills!S3*(1+(Inputs!$B$34)/100))+MIN((Skills!S3*(1+(Inputs!$B$34)/100)),MAX(0,Inputs!$B$43-((R473-1)*Skills!D3))))/Inputs!$B$43),IF(Inputs!$B$38="pvp",MIN((Skills!S3*(1+(Inputs!$B$34)/100)),15)/15,(Skills!S3*(1+(Inputs!$B$34)/100))/Skills!D3)),0)+IF(C474=TRUE,F474*IF(AND(Inputs!$B$38&lt;&gt;"pvp",Inputs!$B$43&gt;0),(((R474-1)*(Skills!S4*(1+(Inputs!$B$34)/100))+MIN((Skills!S4*(1+(Inputs!$B$34)/100)),MAX(0,Inputs!$B$43-((R474-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486=TRUE,(1+F486*IF(AND(Inputs!$B$38&lt;&gt;"pvp",Inputs!$B$43&gt;0),(((R486-1)*(Skills!S16*(1+(Inputs!$B$34)/100))+MIN((Skills!S16*(1+(Inputs!$B$34)/100)),MAX(0,Inputs!$B$43-((R486-1)*Skills!D16))))/Inputs!$B$43),IF(Inputs!$B$38="pvp",MIN((Skills!S16*(1+(Inputs!$B$34)/100)),15)/15,(Skills!S16*(1+(Inputs!$B$34)/100))/Skills!D16))/100),1)</f>
        <v/>
      </c>
    </row>
    <row r="498">
      <c r="A498" t="inlineStr">
        <is>
          <t>Monster Damage Taken Bonus % (Freezing Breath - Weaken + Elemental Reset + Artifact Enemy Damage Taken, summed)</t>
        </is>
      </c>
      <c r="B498">
        <f>IF(Inputs!$B$3&gt;=118,15*IF(Inputs!$B$38="pvp",MIN((30*(1+(Inputs!$B$34)/100)),15)/15,(30*(1+(Inputs!$B$34)/100))/Skills!D8),0)+IF(C484=TRUE,F484,0)+(IF(AND(ArtifactsInput!$M$35,Inputs!$B$4&lt;&gt;"Chapter Hunt"),CHOOSE(ArtifactsInput!$N$35+1,15,18,21,24,27,30)*(1-EXP(-(0.2*B501)*5)),0)+IF(AND(ArtifactsInput!$M$22,Inputs!$B$4&lt;&gt;"Chapter Hunt"),CHOOSE(ArtifactsInput!$N$22+1,10,12,14,16,18,20)*((0*(((0.15*B501*5))^0/1)+1*(((0.15*B501*5))^1/1)+2*(((0.15*B501*5))^2/2)+3*(((0.15*B501*5))^3/6)+4*(((0.15*B501*5))^4/24)+5*(((0.15*B501*5))^5/120))/((((0.15*B501*5))^0/1)+(((0.15*B501*5))^1/1)+(((0.15*B501*5))^2/2)+(((0.15*B501*5))^3/6)+(((0.15*B501*5))^4/24)+(((0.15*B501*5))^5/120))),0))</f>
        <v/>
      </c>
    </row>
    <row r="499">
      <c r="A499" t="inlineStr">
        <is>
          <t>Damage % Bonus (Frozen Break + Frost Clutch, flat)</t>
        </is>
      </c>
      <c r="B499">
        <f>IF(Inputs!$B$3&gt;=66,15,0)+IF(Inputs!$B$3&gt;=98,10,0)+IF(Inputs!$B$3&gt;=125,20,0)</f>
        <v/>
      </c>
    </row>
    <row r="500">
      <c r="A500" t="inlineStr">
        <is>
          <t>Attack Speed Bonus % (MP Eater - MP Boost, always-on + Nimble Feet, duty-cycle averaged)</t>
        </is>
      </c>
      <c r="B500">
        <f>IF(C483=TRUE,F483+(F487-Calc!F17),0)+((C494=TRUE)*F494*IF(AND(Inputs!$B$38&lt;&gt;"pvp",Inputs!$B$43&gt;0),(((R494-1)*(Skills!S24*(1+(Inputs!$B$34)/100))+MIN((Skills!S24*(1+(Inputs!$B$34)/100)),MAX(0,Inputs!$B$43-((R494-1)*Skills!D24))))/Inputs!$B$43),IF(Inputs!$B$38="pvp",MIN((Skills!S24*(1+(Inputs!$B$34)/100)),15)/15,(Skills!S24*(1+(Inputs!$B$34)/100))/Skills!D24)))</f>
        <v/>
      </c>
    </row>
    <row r="501">
      <c r="A501" t="inlineStr">
        <is>
          <t>Actions Per Second</t>
        </is>
      </c>
      <c r="B501">
        <f>1+MIN(150,150*(1-(1-(Inputs!$B$11+(ArtifactsInput!$M$15-ArtifactsInput!$M$15)*CHOOSE(ArtifactsInput!$N$15+1,8,9.6,11.2,12.8,14.4,16))/150)*(1-B500/150)))/100</f>
        <v/>
      </c>
    </row>
    <row r="502">
      <c r="A502" t="inlineStr">
        <is>
          <t>Skill + Buff Cast Rate</t>
        </is>
      </c>
      <c r="B502">
        <f>IF(AND(Inputs!$B$38&lt;&gt;"pvp",Inputs!$B$43&gt;0),SUMPRODUCT((Skills!E2:E24=TRUE)*(C472:C494=TRUE)*R472:R494)/Inputs!$B$43,SUMPRODUCT((Skills!E2:E24=TRUE)*(C472:C494=TRUE)*Q472:Q494))</f>
        <v/>
      </c>
    </row>
    <row r="503">
      <c r="A503" t="inlineStr">
        <is>
          <t>Chain Lightning Casts Per Second</t>
        </is>
      </c>
      <c r="B503">
        <f>MAX(0,B501-B502)</f>
        <v/>
      </c>
    </row>
    <row r="504">
      <c r="A504" t="inlineStr">
        <is>
          <t>Buff-Casting Startup Delay (s, fixed-duration only)</t>
        </is>
      </c>
      <c r="B504">
        <f>IF(AND(Inputs!$B$38&lt;&gt;"pvp",Inputs!$B$43&gt;0),SUMPRODUCT((Skills!S2:S24&gt;0)*(Skills!E2:E24=TRUE)*(C472:C494=TRUE))/B501,0)</f>
        <v/>
      </c>
    </row>
    <row r="505">
      <c r="A505" t="inlineStr">
        <is>
          <t>Boss-Only Total DPS (this block's swept value)</t>
        </is>
      </c>
      <c r="B505">
        <f>SUM(S472:S494)</f>
        <v/>
      </c>
    </row>
    <row r="506">
      <c r="A506" t="inlineStr">
        <is>
          <t>Normal-Only Total DPS (this block's swept value)</t>
        </is>
      </c>
      <c r="B506">
        <f>SUM(U472:U494)</f>
        <v/>
      </c>
    </row>
    <row r="507">
      <c r="A507" s="6" t="inlineStr">
        <is>
          <t>TOTAL DPS</t>
        </is>
      </c>
      <c r="B507" s="6">
        <f>SUM(O472:O494)</f>
        <v/>
      </c>
    </row>
    <row r="510">
      <c r="A510" s="6" t="inlineStr">
        <is>
          <t>Stat: ATTACK_SPEED % (diminishing returns, factor 150)</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Inputs!$B$3&gt;=100</f>
        <v/>
      </c>
      <c r="D512" t="inlineStr"/>
      <c r="E512" t="inlineStr"/>
      <c r="F512">
        <f>T514+Skills!N2</f>
        <v/>
      </c>
      <c r="G512">
        <f>Calc!G2</f>
        <v/>
      </c>
      <c r="H512">
        <f>Calc!H2</f>
        <v/>
      </c>
      <c r="I512">
        <f>IF(Skills!T2&lt;&gt;"",1+(Skills!T2/10)*(Z513/1000)/100,1)</f>
        <v/>
      </c>
      <c r="J512">
        <f>((Inputs!$B$6*(1+Inputs!$B$7/100))+(((Inputs!$B$12*(1+Inputs!$B$13/100))-(Inputs!$B$12*(1+Inputs!$B$13/100)))+0.25*(Inputs!$B$14-Inputs!$B$14))*(1+Inputs!$B$7/100))*(F512/100)</f>
        <v/>
      </c>
      <c r="K512">
        <f>J512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2="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528-Calc!F18),(Inputs!$B$23+(IF(ArtifactsInput!$M$15,CHOOSE(ArtifactsInput!$N$15+1,25,30,35,40,45,50)/100*(((1-(1-Inputs!$B$11/150)*(1-1/150))*150)-Inputs!$B$11),0))))/100+(Inputs!$B$23+(IF(ArtifactsInput!$M$15,CHOOSE(ArtifactsInput!$N$15+1,25,30,35,40,45,50)/100*(((1-(1-Inputs!$B$11/150)*(1-1/150))*150)-Inputs!$B$11),0)))/100)/2</f>
        <v/>
      </c>
      <c r="M512">
        <f>L512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IF(B547=0,0,O512/B547)</f>
        <v/>
      </c>
      <c r="Q512">
        <f>IFERROR(1/IF(Inputs!$B$38="pvp",15,MAX(0.1,Skills!D2-IF(Skills!E2=TRUE,Inputs!$B$32,0))),0)</f>
        <v/>
      </c>
      <c r="R512" t="n">
        <v>0</v>
      </c>
      <c r="S512">
        <f>IF(C512,(Skills!F2*N512*B543)*IF(Inputs!$B$38="pvp",1,1+(Inputs!$B$20+Skills!O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2">
        <f>MAX(0,(Inputs!$B$3-100)*3)+Inputs!$B$28+Inputs!$B$29</f>
        <v/>
      </c>
      <c r="U512">
        <f>IF(C512,(Skills!F2*N512*B543)*IF(Inputs!$B$38="pvp",1,(1+(Inputs!$B$21+Skills!P2+B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2">
        <f>MAX(0,(Inputs!$B$3-100)*3)+Inputs!$B$28+Inputs!$B$29</f>
        <v/>
      </c>
    </row>
    <row r="513">
      <c r="A513">
        <f>Skills!A3</f>
        <v/>
      </c>
      <c r="B513">
        <f>Skills!B3</f>
        <v/>
      </c>
      <c r="C513">
        <f>Inputs!$B$3&gt;=15</f>
        <v/>
      </c>
      <c r="D513">
        <f>IF(Skills!C3=1,60+Inputs!$B$25+Inputs!$B$29,IF(Skills!C3=2,90+Inputs!$B$26+Inputs!$B$29,IF(Skills!C3=3,120+Inputs!$B$27+Inputs!$B$29,MAX(0,(Inputs!$B$3-100)*3)+Inputs!$B$28+Inputs!$B$29)))</f>
        <v/>
      </c>
      <c r="E513">
        <f>INDEX(FactorTable!$B$2:$Y$301, MATCH(ROUND(MIN(300,MAX(1,D513)),0), FactorTable!$A$2:$A$301,0), Skills!L3+1)</f>
        <v/>
      </c>
      <c r="F513">
        <f>IF(Skills!M3=TRUE,(Skills!K3/10)*(E513/1000),Skills!K3/10)+Skills!N3</f>
        <v/>
      </c>
      <c r="G513">
        <f>Calc!G3</f>
        <v/>
      </c>
      <c r="H513">
        <f>Calc!H3</f>
        <v/>
      </c>
      <c r="I513">
        <f>IF(Skills!T3&lt;&gt;"",1+(Skills!T3/10)*(Z513/1000)/100,1)</f>
        <v/>
      </c>
      <c r="J513" t="inlineStr"/>
      <c r="K513" t="inlineStr"/>
      <c r="L513" t="inlineStr"/>
      <c r="M513" t="inlineStr"/>
      <c r="N513" t="inlineStr"/>
      <c r="O513">
        <f>(1-Summary!$B$11)*S513+Summary!$B$11*U513</f>
        <v/>
      </c>
      <c r="P513">
        <f>IF(B547=0,0,O513/B547)</f>
        <v/>
      </c>
      <c r="Q513">
        <f>IFERROR(1/IF(Inputs!$B$38="pvp",15,MAX(0.1,Skills!D3-IF(Skills!E3=TRUE,Inputs!$B$32,0))),0)</f>
        <v/>
      </c>
      <c r="R513">
        <f>IF(AND(Inputs!$B$38&lt;&gt;"pvp",Inputs!$B$43&gt;0),IF(Inputs!$B$43&lt;=0,0,(INT(Inputs!$B$43/IF(Inputs!$B$38="pvp",15,MAX(0.1,Skills!D3-IF(Skills!E3=TRUE,Inputs!$B$32,0))))+1)),0)</f>
        <v/>
      </c>
      <c r="S513" t="n">
        <v>0</v>
      </c>
      <c r="T513">
        <f>INDEX(FactorTable!$B$2:$Y$301, MATCH(ROUND(MIN(300,MAX(1,T512)),0), FactorTable!$A$2:$A$301,0), 22)</f>
        <v/>
      </c>
      <c r="U513" t="n">
        <v>0</v>
      </c>
      <c r="Z513">
        <f>INDEX(FactorTable!$B$2:$Y$301, MATCH(ROUND(MIN(300,MAX(1,Z512)),0), FactorTable!$A$2:$A$301,0), 24)</f>
        <v/>
      </c>
    </row>
    <row r="514">
      <c r="A514">
        <f>Skills!A4</f>
        <v/>
      </c>
      <c r="B514">
        <f>Skills!B4</f>
        <v/>
      </c>
      <c r="C514">
        <f>Inputs!$B$3&gt;=40</f>
        <v/>
      </c>
      <c r="D514">
        <f>IF(Skills!C4=1,60+Inputs!$B$25+Inputs!$B$29,IF(Skills!C4=2,90+Inputs!$B$26+Inputs!$B$29,IF(Skills!C4=3,120+Inputs!$B$27+Inputs!$B$29,MAX(0,(Inputs!$B$3-100)*3)+Inputs!$B$28+Inputs!$B$29)))</f>
        <v/>
      </c>
      <c r="E514">
        <f>INDEX(FactorTable!$B$2:$Y$301, MATCH(ROUND(MIN(300,MAX(1,D514)),0), FactorTable!$A$2:$A$301,0), Skills!L4+1)</f>
        <v/>
      </c>
      <c r="F514">
        <f>IF(Skills!M4=TRUE,(Skills!K4/10)*(E514/1000),Skills!K4/10)+Skills!N4</f>
        <v/>
      </c>
      <c r="G514">
        <f>Calc!G4</f>
        <v/>
      </c>
      <c r="H514">
        <f>Calc!H4</f>
        <v/>
      </c>
      <c r="I514">
        <f>IF(Skills!T4&lt;&gt;"",1+(Skills!T4/10)*(Z513/1000)/100,1)</f>
        <v/>
      </c>
      <c r="J514" t="inlineStr"/>
      <c r="K514" t="inlineStr"/>
      <c r="L514" t="inlineStr"/>
      <c r="M514" t="inlineStr"/>
      <c r="N514" t="inlineStr"/>
      <c r="O514">
        <f>(1-Summary!$B$11)*S514+Summary!$B$11*U514</f>
        <v/>
      </c>
      <c r="P514">
        <f>IF(B547=0,0,O514/B547)</f>
        <v/>
      </c>
      <c r="Q514">
        <f>IFERROR(1/IF(Inputs!$B$38="pvp",15,MAX(0.1,Skills!D4-IF(Skills!E4=TRUE,Inputs!$B$32,0))),0)</f>
        <v/>
      </c>
      <c r="R514">
        <f>IF(AND(Inputs!$B$38&lt;&gt;"pvp",Inputs!$B$43&gt;0),IF(Inputs!$B$43&lt;=0,0,(INT(Inputs!$B$43/IF(Inputs!$B$38="pvp",15,MAX(0.1,Skills!D4-IF(Skills!E4=TRUE,Inputs!$B$32,0))))+1)),0)</f>
        <v/>
      </c>
      <c r="S514" t="n">
        <v>0</v>
      </c>
      <c r="T514">
        <f>290*T513/1000</f>
        <v/>
      </c>
      <c r="U514" t="n">
        <v>0</v>
      </c>
    </row>
    <row r="515">
      <c r="A515">
        <f>Skills!A5</f>
        <v/>
      </c>
      <c r="B515">
        <f>Skills!B5</f>
        <v/>
      </c>
      <c r="C515">
        <f>Inputs!$B$3&gt;=38</f>
        <v/>
      </c>
      <c r="D515">
        <f>IF(Skills!C5=1,60+Inputs!$B$25+Inputs!$B$29,IF(Skills!C5=2,90+Inputs!$B$26+Inputs!$B$29,IF(Skills!C5=3,120+Inputs!$B$27+Inputs!$B$29,MAX(0,(Inputs!$B$3-100)*3)+Inputs!$B$28+Inputs!$B$29)))</f>
        <v/>
      </c>
      <c r="E515">
        <f>INDEX(FactorTable!$B$2:$Y$301, MATCH(ROUND(MIN(300,MAX(1,D515)),0), FactorTable!$A$2:$A$301,0), Skills!L5+1)</f>
        <v/>
      </c>
      <c r="F515">
        <f>IF(Skills!M5=TRUE,(Skills!K5/10)*(E515/1000),Skills!K5/10)+Skills!N5</f>
        <v/>
      </c>
      <c r="G515">
        <f>Calc!G5</f>
        <v/>
      </c>
      <c r="H515">
        <f>Calc!H5</f>
        <v/>
      </c>
      <c r="I515">
        <f>IF(Skills!T5&lt;&gt;"",1+(Skills!T5/10)*(Z513/1000)/100,1)</f>
        <v/>
      </c>
      <c r="J515">
        <f>((Inputs!$B$6*(1+Inputs!$B$7/100))+(((Inputs!$B$12*(1+Inputs!$B$13/100))-(Inputs!$B$12*(1+Inputs!$B$13/100)))+0.25*(Inputs!$B$14-Inputs!$B$14))*(1+Inputs!$B$7/100))*(F515/100)</f>
        <v/>
      </c>
      <c r="K515">
        <f>J515*(1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5="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528-Calc!F18),(Inputs!$B$23+(IF(ArtifactsInput!$M$15,CHOOSE(ArtifactsInput!$N$15+1,25,30,35,40,45,50)/100*(((1-(1-Inputs!$B$11/150)*(1-1/150))*150)-Inputs!$B$11),0))))/100+(Inputs!$B$23+(IF(ArtifactsInput!$M$15,CHOOSE(ArtifactsInput!$N$15+1,25,30,35,40,45,50)/100*(((1-(1-Inputs!$B$11/150)*(1-1/150))*150)-Inputs!$B$11),0)))/100)/2</f>
        <v/>
      </c>
      <c r="M515">
        <f>L515*(1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IF(B547=0,0,O515/B547)</f>
        <v/>
      </c>
      <c r="Q515">
        <f>IFERROR(1/IF(Inputs!$B$38="pvp",15,MAX(0.1,Skills!D5-IF(Skills!E5=TRUE,Inputs!$B$32,0))),0)</f>
        <v/>
      </c>
      <c r="R515">
        <f>IF(AND(Inputs!$B$38&lt;&gt;"pvp",Inputs!$B$43&gt;0),IF(MAX(0,Inputs!$B$43-B544)&lt;=0,0,(INT(MAX(0,Inputs!$B$43-B544)/IF(Inputs!$B$38="pvp",15,MAX(0.1,Skills!D5-IF(Skills!E5=TRUE,Inputs!$B$32,0))))+1)),0)</f>
        <v/>
      </c>
      <c r="S515">
        <f>IF(C515,(H515*N515*IF(AND(Inputs!$B$38&lt;&gt;"pvp",Inputs!$B$43&gt;0),((Skills!F5*((R515-1)*IF(Skills!G5&gt;0,Skills!H5/Skills!G5,1)+IF(Skills!G5&gt;0,MIN(Skills!H5,MAX(0,MAX(0,Inputs!$B$43-B544)-((R515-1)*IF(Inputs!$B$38="pvp",15,MAX(0.1,Skills!D5-IF(Skills!E5=TRUE,Inputs!$B$32,0))))))/Skills!G5,1)))/Inputs!$B$43),G515*Q515))*IF(Inputs!$B$38="pvp",1,1+(Inputs!$B$20+Skills!O5+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F5*((R515-1)*IF(Skills!G5&gt;0,Skills!H5/Skills!G5,1)+IF(Skills!G5&gt;0,MIN(Skills!H5,MAX(0,MAX(0,Inputs!$B$43-B544)-((R515-1)*IF(Inputs!$B$38="pvp",15,MAX(0.1,Skills!D5-IF(Skills!E5=TRUE,Inputs!$B$32,0))))))/Skills!G5,1)))/Inputs!$B$43),G515*Q515))*IF(Inputs!$B$38="pvp",1,(1+(Inputs!$B$21+Skills!P5+B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Inputs!$B$3&gt;=63</f>
        <v/>
      </c>
      <c r="D516">
        <f>IF(Skills!C6=1,60+Inputs!$B$25+Inputs!$B$29,IF(Skills!C6=2,90+Inputs!$B$26+Inputs!$B$29,IF(Skills!C6=3,120+Inputs!$B$27+Inputs!$B$29,MAX(0,(Inputs!$B$3-100)*3)+Inputs!$B$28+Inputs!$B$29)))</f>
        <v/>
      </c>
      <c r="E516">
        <f>INDEX(FactorTable!$B$2:$Y$301, MATCH(ROUND(MIN(300,MAX(1,D516)),0), FactorTable!$A$2:$A$301,0), Skills!L6+1)</f>
        <v/>
      </c>
      <c r="F516">
        <f>IF(Skills!M6=TRUE,(Skills!K6/10)*(E516/1000),Skills!K6/10)+Skills!N6</f>
        <v/>
      </c>
      <c r="G516">
        <f>Calc!G6</f>
        <v/>
      </c>
      <c r="H516">
        <f>Calc!H6</f>
        <v/>
      </c>
      <c r="I516">
        <f>IF(Skills!T6&lt;&gt;"",1+(Skills!T6/10)*(Z513/1000)/100,1)</f>
        <v/>
      </c>
      <c r="J516">
        <f>((Inputs!$B$6*(1+Inputs!$B$7/100))+(((Inputs!$B$12*(1+Inputs!$B$13/100))-(Inputs!$B$12*(1+Inputs!$B$13/100)))+0.25*(Inputs!$B$14-Inputs!$B$14))*(1+Inputs!$B$7/100))*(F516/100)</f>
        <v/>
      </c>
      <c r="K516">
        <f>J516*(1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6="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F528-Calc!F18),(Inputs!$B$23+(IF(ArtifactsInput!$M$15,CHOOSE(ArtifactsInput!$N$15+1,25,30,35,40,45,50)/100*(((1-(1-Inputs!$B$11/150)*(1-1/150))*150)-Inputs!$B$11),0))))/100+(Inputs!$B$23+(IF(ArtifactsInput!$M$15,CHOOSE(ArtifactsInput!$N$15+1,25,30,35,40,45,50)/100*(((1-(1-Inputs!$B$11/150)*(1-1/150))*150)-Inputs!$B$11),0)))/100)/2</f>
        <v/>
      </c>
      <c r="M516">
        <f>L516*(1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(1-Summary!$B$11)*S516+Summary!$B$11*U516</f>
        <v/>
      </c>
      <c r="P516">
        <f>IF(B547=0,0,O516/B547)</f>
        <v/>
      </c>
      <c r="Q516">
        <f>IFERROR(1/IF(Inputs!$B$38="pvp",15,MAX(0.1,Skills!D6-IF(Skills!E6=TRUE,Inputs!$B$32,0))),0)</f>
        <v/>
      </c>
      <c r="R516">
        <f>IF(AND(Inputs!$B$38&lt;&gt;"pvp",Inputs!$B$43&gt;0),IF(MAX(0,Inputs!$B$43-B544)&lt;=0,0,(INT(MAX(0,Inputs!$B$43-B544)/IF(Inputs!$B$38="pvp",15,MAX(0.1,Skills!D6-IF(Skills!E6=TRUE,Inputs!$B$32,0))))+1)),0)</f>
        <v/>
      </c>
      <c r="S516">
        <f>IF(C516,(H516*N516*IF(AND(Inputs!$B$38&lt;&gt;"pvp",Inputs!$B$43&gt;0),((Skills!F6*((R516-1)*IF(Skills!G6&gt;0,Skills!H6/Skills!G6,1)+IF(Skills!G6&gt;0,MIN(Skills!H6,MAX(0,MAX(0,Inputs!$B$43-B544)-((R516-1)*IF(Inputs!$B$38="pvp",15,MAX(0.1,Skills!D6-IF(Skills!E6=TRUE,Inputs!$B$32,0))))))/Skills!G6,1)))/Inputs!$B$43),G516*Q516))*IF(Inputs!$B$38="pvp",1,1+(Inputs!$B$20+Skills!O6+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516*(1-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6">
        <f>IF(C516,(H516*N516*IF(AND(Inputs!$B$38&lt;&gt;"pvp",Inputs!$B$43&gt;0),((Skills!F6*((R516-1)*IF(Skills!G6&gt;0,Skills!H6/Skills!G6,1)+IF(Skills!G6&gt;0,MIN(Skills!H6,MAX(0,MAX(0,Inputs!$B$43-B544)-((R516-1)*IF(Inputs!$B$38="pvp",15,MAX(0.1,Skills!D6-IF(Skills!E6=TRUE,Inputs!$B$32,0))))))/Skills!G6,1)))/Inputs!$B$43),G516*Q516))*IF(Inputs!$B$38="pvp",1,(1+(Inputs!$B$21+Skills!P6+B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Skills!A7</f>
        <v/>
      </c>
      <c r="B517">
        <f>Skills!B7</f>
        <v/>
      </c>
      <c r="C517">
        <f>Inputs!$B$3&gt;=69</f>
        <v/>
      </c>
      <c r="D517">
        <f>IF(Skills!C7=1,60+Inputs!$B$25+Inputs!$B$29,IF(Skills!C7=2,90+Inputs!$B$26+Inputs!$B$29,IF(Skills!C7=3,120+Inputs!$B$27+Inputs!$B$29,MAX(0,(Inputs!$B$3-100)*3)+Inputs!$B$28+Inputs!$B$29)))</f>
        <v/>
      </c>
      <c r="E517">
        <f>INDEX(FactorTable!$B$2:$Y$301, MATCH(ROUND(MIN(300,MAX(1,D517)),0), FactorTable!$A$2:$A$301,0), Skills!L7+1)</f>
        <v/>
      </c>
      <c r="F517">
        <f>IF(Skills!M7=TRUE,(Skills!K7/10)*(E517/1000),Skills!K7/10)+Skills!N7</f>
        <v/>
      </c>
      <c r="G517">
        <f>Calc!G7</f>
        <v/>
      </c>
      <c r="H517">
        <f>Calc!H7</f>
        <v/>
      </c>
      <c r="I517">
        <f>IF(Skills!T7&lt;&gt;"",1+(Skills!T7/10)*(Z513/1000)/100,1)</f>
        <v/>
      </c>
      <c r="J517">
        <f>((Inputs!$B$6*(1+Inputs!$B$7/100))+(((Inputs!$B$12*(1+Inputs!$B$13/100))-(Inputs!$B$12*(1+Inputs!$B$13/100)))+0.25*(Inputs!$B$14-Inputs!$B$14))*(1+Inputs!$B$7/100))*(F517/100)</f>
        <v/>
      </c>
      <c r="K517">
        <f>J517*(1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7="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528-Calc!F18),(Inputs!$B$23+(IF(ArtifactsInput!$M$15,CHOOSE(ArtifactsInput!$N$15+1,25,30,35,40,45,50)/100*(((1-(1-Inputs!$B$11/150)*(1-1/150))*150)-Inputs!$B$11),0))))/100+(Inputs!$B$23+(IF(ArtifactsInput!$M$15,CHOOSE(ArtifactsInput!$N$15+1,25,30,35,40,45,50)/100*(((1-(1-Inputs!$B$11/150)*(1-1/150))*150)-Inputs!$B$11),0)))/100)/2</f>
        <v/>
      </c>
      <c r="M517">
        <f>L517*(1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IF(B547=0,0,O517/B547)</f>
        <v/>
      </c>
      <c r="Q517">
        <f>IFERROR(1/IF(Inputs!$B$38="pvp",15,MAX(0.1,Skills!D7-IF(Skills!E7=TRUE,Inputs!$B$32,0))),0)</f>
        <v/>
      </c>
      <c r="R517">
        <f>IF(AND(Inputs!$B$38&lt;&gt;"pvp",Inputs!$B$43&gt;0),IF(MAX(0,Inputs!$B$43-B544)&lt;=0,0,(INT(MAX(0,Inputs!$B$43-B544)/IF(Inputs!$B$38="pvp",15,MAX(0.1,Skills!D7-IF(Skills!E7=TRUE,Inputs!$B$32,0))))+1)),0)</f>
        <v/>
      </c>
      <c r="S517">
        <f>IF(C517,(H517*N517*IF(AND(Inputs!$B$38&lt;&gt;"pvp",Inputs!$B$43&gt;0),((Skills!F7*((R517-1)*IF(Skills!G7&gt;0,Skills!H7/Skills!G7,1)+IF(Skills!G7&gt;0,MIN(Skills!H7,MAX(0,MAX(0,Inputs!$B$43-B544)-((R517-1)*IF(Inputs!$B$38="pvp",15,MAX(0.1,Skills!D7-IF(Skills!E7=TRUE,Inputs!$B$32,0))))))/Skills!G7,1)))/Inputs!$B$43),G517*Q517))*IF(Inputs!$B$38="pvp",1,1+(Inputs!$B$20+Skills!O7+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F7*((R517-1)*IF(Skills!G7&gt;0,Skills!H7/Skills!G7,1)+IF(Skills!G7&gt;0,MIN(Skills!H7,MAX(0,MAX(0,Inputs!$B$43-B544)-((R517-1)*IF(Inputs!$B$38="pvp",15,MAX(0.1,Skills!D7-IF(Skills!E7=TRUE,Inputs!$B$32,0))))))/Skills!G7,1)))/Inputs!$B$43),G517*Q517))*IF(Inputs!$B$38="pvp",1,(1+(Inputs!$B$21+Skills!P7+B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Inputs!$B$3&gt;=103</f>
        <v/>
      </c>
      <c r="D518">
        <f>IF(Skills!C8=1,60+Inputs!$B$25+Inputs!$B$29,IF(Skills!C8=2,90+Inputs!$B$26+Inputs!$B$29,IF(Skills!C8=3,120+Inputs!$B$27+Inputs!$B$29,MAX(0,(Inputs!$B$3-100)*3)+Inputs!$B$28+Inputs!$B$29)))</f>
        <v/>
      </c>
      <c r="E518">
        <f>INDEX(FactorTable!$B$2:$Y$301, MATCH(ROUND(MIN(300,MAX(1,D518)),0), FactorTable!$A$2:$A$301,0), Skills!L8+1)</f>
        <v/>
      </c>
      <c r="F518">
        <f>IF(Skills!M8=TRUE,(Skills!K8/10)*(E518/1000),Skills!K8/10)+Skills!N8</f>
        <v/>
      </c>
      <c r="G518">
        <f>Calc!G8</f>
        <v/>
      </c>
      <c r="H518">
        <f>Calc!H8</f>
        <v/>
      </c>
      <c r="I518">
        <f>IF(Skills!T8&lt;&gt;"",1+(Skills!T8/10)*(Z513/1000)/100,1)</f>
        <v/>
      </c>
      <c r="J518">
        <f>((Inputs!$B$6*(1+Inputs!$B$7/100))+(((Inputs!$B$12*(1+Inputs!$B$13/100))-(Inputs!$B$12*(1+Inputs!$B$13/100)))+0.25*(Inputs!$B$14-Inputs!$B$14))*(1+Inputs!$B$7/100))*(F518/100)</f>
        <v/>
      </c>
      <c r="K518">
        <f>J518*(1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8="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528-Calc!F18),(Inputs!$B$23+(IF(ArtifactsInput!$M$15,CHOOSE(ArtifactsInput!$N$15+1,25,30,35,40,45,50)/100*(((1-(1-Inputs!$B$11/150)*(1-1/150))*150)-Inputs!$B$11),0))))/100+(Inputs!$B$23+(IF(ArtifactsInput!$M$15,CHOOSE(ArtifactsInput!$N$15+1,25,30,35,40,45,50)/100*(((1-(1-Inputs!$B$11/150)*(1-1/150))*150)-Inputs!$B$11),0)))/100)/2</f>
        <v/>
      </c>
      <c r="M518">
        <f>L518*(1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IF(B547=0,0,O518/B547)</f>
        <v/>
      </c>
      <c r="Q518">
        <f>IFERROR(1/IF(Inputs!$B$38="pvp",15,MAX(0.1,Skills!D8-IF(Skills!E8=TRUE,Inputs!$B$32,0))),0)</f>
        <v/>
      </c>
      <c r="R518">
        <f>IF(AND(Inputs!$B$38&lt;&gt;"pvp",Inputs!$B$43&gt;0),IF(MAX(0,Inputs!$B$43-B544)&lt;=0,0,(INT(MAX(0,Inputs!$B$43-B544)/IF(Inputs!$B$38="pvp",15,MAX(0.1,Skills!D8-IF(Skills!E8=TRUE,Inputs!$B$32,0))))+1)),0)</f>
        <v/>
      </c>
      <c r="S518">
        <f>IF(C518,(H518*N518*IF(AND(Inputs!$B$38&lt;&gt;"pvp",Inputs!$B$43&gt;0),((Skills!F8*((R518-1)*IF(Skills!G8&gt;0,Skills!H8/Skills!G8,1)+IF(Skills!G8&gt;0,MIN(Skills!H8,MAX(0,MAX(0,Inputs!$B$43-B544)-((R518-1)*IF(Inputs!$B$38="pvp",15,MAX(0.1,Skills!D8-IF(Skills!E8=TRUE,Inputs!$B$32,0))))))/Skills!G8,1)))/Inputs!$B$43),G518*Q518))*IF(Inputs!$B$38="pvp",1,1+(Inputs!$B$20+Skills!O8+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F8*((R518-1)*IF(Skills!G8&gt;0,Skills!H8/Skills!G8,1)+IF(Skills!G8&gt;0,MIN(Skills!H8,MAX(0,MAX(0,Inputs!$B$43-B544)-((R518-1)*IF(Inputs!$B$38="pvp",15,MAX(0.1,Skills!D8-IF(Skills!E8=TRUE,Inputs!$B$32,0))))))/Skills!G8,1)))/Inputs!$B$43),G518*Q518))*IF(Inputs!$B$38="pvp",1,(1+(Inputs!$B$21+Skills!P8+B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Inputs!$B$3&gt;=105</f>
        <v/>
      </c>
      <c r="D519">
        <f>IF(Skills!C9=1,60+Inputs!$B$25+Inputs!$B$29,IF(Skills!C9=2,90+Inputs!$B$26+Inputs!$B$29,IF(Skills!C9=3,120+Inputs!$B$27+Inputs!$B$29,MAX(0,(Inputs!$B$3-100)*3)+Inputs!$B$28+Inputs!$B$29)))</f>
        <v/>
      </c>
      <c r="E519">
        <f>INDEX(FactorTable!$B$2:$Y$301, MATCH(ROUND(MIN(300,MAX(1,D519)),0), FactorTable!$A$2:$A$301,0), Skills!L9+1)</f>
        <v/>
      </c>
      <c r="F519">
        <f>IF(Skills!M9=TRUE,(Skills!K9/10)*(E519/1000),Skills!K9/10)+Skills!N9</f>
        <v/>
      </c>
      <c r="G519">
        <f>Calc!G9</f>
        <v/>
      </c>
      <c r="H519">
        <f>Calc!H9</f>
        <v/>
      </c>
      <c r="I519">
        <f>IF(Skills!T9&lt;&gt;"",1+(Skills!T9/10)*(Z513/1000)/100,1)</f>
        <v/>
      </c>
      <c r="J519">
        <f>((Inputs!$B$6*(1+Inputs!$B$7/100))+(((Inputs!$B$12*(1+Inputs!$B$13/100))-(Inputs!$B$12*(1+Inputs!$B$13/100)))+0.25*(Inputs!$B$14-Inputs!$B$14))*(1+Inputs!$B$7/100))*(F519/100)</f>
        <v/>
      </c>
      <c r="K519">
        <f>J519*(1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9="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528-Calc!F18),(Inputs!$B$23+(IF(ArtifactsInput!$M$15,CHOOSE(ArtifactsInput!$N$15+1,25,30,35,40,45,50)/100*(((1-(1-Inputs!$B$11/150)*(1-1/150))*150)-Inputs!$B$11),0))))/100+(Inputs!$B$23+(IF(ArtifactsInput!$M$15,CHOOSE(ArtifactsInput!$N$15+1,25,30,35,40,45,50)/100*(((1-(1-Inputs!$B$11/150)*(1-1/150))*150)-Inputs!$B$11),0)))/100)/2</f>
        <v/>
      </c>
      <c r="M519">
        <f>L519*(1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IF(B547=0,0,O519/B547)</f>
        <v/>
      </c>
      <c r="Q519">
        <f>IFERROR(1/IF(Inputs!$B$38="pvp",15,MAX(0.1,Skills!D9-IF(Skills!E9=TRUE,Inputs!$B$32,0))),0)</f>
        <v/>
      </c>
      <c r="R519">
        <f>IF(AND(Inputs!$B$38&lt;&gt;"pvp",Inputs!$B$43&gt;0),IF(MAX(0,Inputs!$B$43-B544)&lt;=0,0,(INT(MAX(0,Inputs!$B$43-B544)/IF(Inputs!$B$38="pvp",15,MAX(0.1,Skills!D9-IF(Skills!E9=TRUE,Inputs!$B$32,0))))+1)),0)</f>
        <v/>
      </c>
      <c r="S519">
        <f>IF(C519,(H519*N519*IF(AND(Inputs!$B$38&lt;&gt;"pvp",Inputs!$B$43&gt;0),((Skills!F9*((R519-1)*IF(Skills!G9&gt;0,Skills!H9/Skills!G9,1)+IF(Skills!G9&gt;0,MIN(Skills!H9,MAX(0,MAX(0,Inputs!$B$43-B544)-((R519-1)*IF(Inputs!$B$38="pvp",15,MAX(0.1,Skills!D9-IF(Skills!E9=TRUE,Inputs!$B$32,0))))))/Skills!G9,1)))/Inputs!$B$43),G519*Q519))*IF(Inputs!$B$38="pvp",1,1+(Inputs!$B$20+Skills!O9+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F9*((R519-1)*IF(Skills!G9&gt;0,Skills!H9/Skills!G9,1)+IF(Skills!G9&gt;0,MIN(Skills!H9,MAX(0,MAX(0,Inputs!$B$43-B544)-((R519-1)*IF(Inputs!$B$38="pvp",15,MAX(0.1,Skills!D9-IF(Skills!E9=TRUE,Inputs!$B$32,0))))))/Skills!G9,1)))/Inputs!$B$43),G519*Q519))*IF(Inputs!$B$38="pvp",1,(1+(Inputs!$B$21+Skills!P9+B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Inputs!$B$3&gt;=113</f>
        <v/>
      </c>
      <c r="D520">
        <f>IF(Skills!C10=1,60+Inputs!$B$25+Inputs!$B$29,IF(Skills!C10=2,90+Inputs!$B$26+Inputs!$B$29,IF(Skills!C10=3,120+Inputs!$B$27+Inputs!$B$29,MAX(0,(Inputs!$B$3-100)*3)+Inputs!$B$28+Inputs!$B$29)))</f>
        <v/>
      </c>
      <c r="E520">
        <f>INDEX(FactorTable!$B$2:$Y$301, MATCH(ROUND(MIN(300,MAX(1,D520)),0), FactorTable!$A$2:$A$301,0), Skills!L10+1)</f>
        <v/>
      </c>
      <c r="F520">
        <f>IF(Skills!M10=TRUE,(Skills!K10/10)*(E520/1000),Skills!K10/10)+Skills!N10</f>
        <v/>
      </c>
      <c r="G520">
        <f>Calc!G10</f>
        <v/>
      </c>
      <c r="H520">
        <f>Calc!H10</f>
        <v/>
      </c>
      <c r="I520">
        <f>IF(Skills!T10&lt;&gt;"",1+(Skills!T10/10)*(Z513/1000)/100,1)</f>
        <v/>
      </c>
      <c r="J520">
        <f>((Inputs!$B$6*(1+Inputs!$B$7/100))+(((Inputs!$B$12*(1+Inputs!$B$13/100))-(Inputs!$B$12*(1+Inputs!$B$13/100)))+0.25*(Inputs!$B$14-Inputs!$B$14))*(1+Inputs!$B$7/100))*(F520/100)</f>
        <v/>
      </c>
      <c r="K520">
        <f>J520*(1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10="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528-Calc!F18),(Inputs!$B$23+(IF(ArtifactsInput!$M$15,CHOOSE(ArtifactsInput!$N$15+1,25,30,35,40,45,50)/100*(((1-(1-Inputs!$B$11/150)*(1-1/150))*150)-Inputs!$B$11),0))))/100+(Inputs!$B$23+(IF(ArtifactsInput!$M$15,CHOOSE(ArtifactsInput!$N$15+1,25,30,35,40,45,50)/100*(((1-(1-Inputs!$B$11/150)*(1-1/150))*150)-Inputs!$B$11),0)))/100)/2</f>
        <v/>
      </c>
      <c r="M520">
        <f>L520*(1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IF(B547=0,0,O520/B547)</f>
        <v/>
      </c>
      <c r="Q520">
        <f>IFERROR(1/IF(Inputs!$B$38="pvp",15,MAX(0.1,Skills!D10-IF(Skills!E9=TRUE,Inputs!$B$32,0))),0)</f>
        <v/>
      </c>
      <c r="R520">
        <f>IF(AND(Inputs!$B$38&lt;&gt;"pvp",Inputs!$B$43&gt;0),IF(MAX(0,Inputs!$B$43-B544)&lt;=0,0,(INT(MAX(0,Inputs!$B$43-B544)/IF(Inputs!$B$38="pvp",15,MAX(0.1,Skills!D10-IF(Skills!E9=TRUE,Inputs!$B$32,0))))+1)),0)</f>
        <v/>
      </c>
      <c r="S520">
        <f>IF(C520,(H520*N520*IF(AND(Inputs!$B$38&lt;&gt;"pvp",Inputs!$B$43&gt;0),((Skills!F10*((R520-1)*IF(Skills!G10&gt;0,Skills!H10/Skills!G10,1)+IF(Skills!G10&gt;0,MIN(Skills!H10,MAX(0,MAX(0,Inputs!$B$43-B544)-((R520-1)*IF(Inputs!$B$38="pvp",15,MAX(0.1,Skills!D10-IF(Skills!E9=TRUE,Inputs!$B$32,0))))))/Skills!G10,1)))/Inputs!$B$43),G520*Q520))*IF(Inputs!$B$38="pvp",1,1+(Inputs!$B$20+Skills!O10+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F10*((R520-1)*IF(Skills!G10&gt;0,Skills!H10/Skills!G10,1)+IF(Skills!G10&gt;0,MIN(Skills!H10,MAX(0,MAX(0,Inputs!$B$43-B544)-((R520-1)*IF(Inputs!$B$38="pvp",15,MAX(0.1,Skills!D10-IF(Skills!E9=TRUE,Inputs!$B$32,0))))))/Skills!G10,1)))/Inputs!$B$43),G520*Q520))*IF(Inputs!$B$38="pvp",1,(1+(Inputs!$B$21+Skills!P10+B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Inputs!$B$3&gt;=107</f>
        <v/>
      </c>
      <c r="D521">
        <f>IF(Skills!C11=1,60+Inputs!$B$25+Inputs!$B$29,IF(Skills!C11=2,90+Inputs!$B$26+Inputs!$B$29,IF(Skills!C11=3,120+Inputs!$B$27+Inputs!$B$29,MAX(0,(Inputs!$B$3-100)*3)+Inputs!$B$28+Inputs!$B$29)))</f>
        <v/>
      </c>
      <c r="E521">
        <f>INDEX(FactorTable!$B$2:$Y$301, MATCH(ROUND(MIN(300,MAX(1,D521)),0), FactorTable!$A$2:$A$301,0), Skills!L11+1)</f>
        <v/>
      </c>
      <c r="F521">
        <f>IF(Skills!M11=TRUE,(Skills!K11/10)*(E521/1000),Skills!K11/10)+Skills!N11</f>
        <v/>
      </c>
      <c r="G521">
        <f>Calc!G11</f>
        <v/>
      </c>
      <c r="H521">
        <f>Calc!H11</f>
        <v/>
      </c>
      <c r="I521">
        <f>IF(Skills!T11&lt;&gt;"",1+(Skills!T11/10)*(Z513/1000)/100,1)</f>
        <v/>
      </c>
      <c r="J521">
        <f>((Inputs!$B$6*(1+Inputs!$B$7/100))+(((Inputs!$B$12*(1+Inputs!$B$13/100))-(Inputs!$B$12*(1+Inputs!$B$13/100)))+0.25*(Inputs!$B$14-Inputs!$B$14))*(1+Inputs!$B$7/100))*(F521/100)</f>
        <v/>
      </c>
      <c r="K521">
        <f>J521*(1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11="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F528-Calc!F18),(Inputs!$B$23+(IF(ArtifactsInput!$M$15,CHOOSE(ArtifactsInput!$N$15+1,25,30,35,40,45,50)/100*(((1-(1-Inputs!$B$11/150)*(1-1/150))*150)-Inputs!$B$11),0))))/100+(Inputs!$B$23+(IF(ArtifactsInput!$M$15,CHOOSE(ArtifactsInput!$N$15+1,25,30,35,40,45,50)/100*(((1-(1-Inputs!$B$11/150)*(1-1/150))*150)-Inputs!$B$11),0)))/100)/2</f>
        <v/>
      </c>
      <c r="M521">
        <f>L521*(1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(1-Summary!$B$11)*S521+Summary!$B$11*U521</f>
        <v/>
      </c>
      <c r="P521">
        <f>IF(B547=0,0,O521/B547)</f>
        <v/>
      </c>
      <c r="Q521">
        <f>IFERROR(1/IF(Inputs!$B$38="pvp",15,MAX(0.1,Skills!D11-IF(Skills!E11=TRUE,Inputs!$B$32,0))),0)</f>
        <v/>
      </c>
      <c r="R521">
        <f>IF(AND(Inputs!$B$38&lt;&gt;"pvp",Inputs!$B$43&gt;0),IF(MAX(0,Inputs!$B$43-B544)&lt;=0,0,(INT(MAX(0,Inputs!$B$43-B544)/IF(Inputs!$B$38="pvp",15,MAX(0.1,Skills!D11-IF(Skills!E11=TRUE,Inputs!$B$32,0))))+1)),0)</f>
        <v/>
      </c>
      <c r="S521">
        <f>IF(C521,H521*N521*IF(AND(Inputs!$B$38&lt;&gt;"pvp",Inputs!$B$43&gt;0),((Skills!F11*((R521-1)*IF(Skills!G11&gt;0,Skills!H11/Skills!G11,1)+IF(Skills!G11&gt;0,MIN(Skills!H11,MAX(0,MAX(0,Inputs!$B$43-B544)-((R521-1)*IF(Inputs!$B$38="pvp",15,MAX(0.1,Skills!D11-IF(Skills!E11=TRUE,Inputs!$B$32,0))))))/Skills!G11,1)))/Inputs!$B$43),G521*Q521)*0.5*IF(Inputs!$B$38="pvp",1,1+(Inputs!$B$20+Skills!O11+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521*(1-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1">
        <f>IF(C521,H521*N521*IF(AND(Inputs!$B$38&lt;&gt;"pvp",Inputs!$B$43&gt;0),((Skills!F11*((R521-1)*IF(Skills!G11&gt;0,Skills!H11/Skills!G11,1)+IF(Skills!G11&gt;0,MIN(Skills!H11,MAX(0,MAX(0,Inputs!$B$43-B544)-((R521-1)*IF(Inputs!$B$38="pvp",15,MAX(0.1,Skills!D11-IF(Skills!E11=TRUE,Inputs!$B$32,0))))))/Skills!G11,1)))/Inputs!$B$43),G521*Q521)*1*IF(Inputs!$B$38="pvp",1,(1+(Inputs!$B$21+Skills!P11+B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Skills!A12</f>
        <v/>
      </c>
      <c r="B522">
        <f>Skills!B12</f>
        <v/>
      </c>
      <c r="C522">
        <f>Inputs!$B$3&gt;=115</f>
        <v/>
      </c>
      <c r="D522">
        <f>IF(Skills!C12=1,60+Inputs!$B$25+Inputs!$B$29,IF(Skills!C12=2,90+Inputs!$B$26+Inputs!$B$29,IF(Skills!C12=3,120+Inputs!$B$27+Inputs!$B$29,MAX(0,(Inputs!$B$3-100)*3)+Inputs!$B$28+Inputs!$B$29)))</f>
        <v/>
      </c>
      <c r="E522">
        <f>INDEX(FactorTable!$B$2:$Y$301, MATCH(ROUND(MIN(300,MAX(1,D522)),0), FactorTable!$A$2:$A$301,0), Skills!L12+1)</f>
        <v/>
      </c>
      <c r="F522">
        <f>IF(Skills!M12=TRUE,(Skills!K12/10)*(E522/1000),Skills!K12/10)+Skills!N12</f>
        <v/>
      </c>
      <c r="G522">
        <f>Calc!G12</f>
        <v/>
      </c>
      <c r="H522">
        <f>Calc!H12</f>
        <v/>
      </c>
      <c r="I522">
        <f>IF(Skills!T12&lt;&gt;"",1+(Skills!T12/10)*(Z513/1000)/100,1)</f>
        <v/>
      </c>
      <c r="J522">
        <f>((Inputs!$B$6*(1+Inputs!$B$7/100))+(((Inputs!$B$12*(1+Inputs!$B$13/100))-(Inputs!$B$12*(1+Inputs!$B$13/100)))+0.25*(Inputs!$B$14-Inputs!$B$14))*(1+Inputs!$B$7/100))*(F522/100)</f>
        <v/>
      </c>
      <c r="K522">
        <f>J522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12="CHAIN_LIGHTNING",Inputs!$B$17+((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F528-Calc!F18),(Inputs!$B$23+(IF(ArtifactsInput!$M$15,CHOOSE(ArtifactsInput!$N$15+1,25,30,35,40,45,50)/100*(((1-(1-Inputs!$B$11/150)*(1-1/150))*150)-Inputs!$B$11),0))))/100+(Inputs!$B$23+(IF(ArtifactsInput!$M$15,CHOOSE(ArtifactsInput!$N$15+1,25,30,35,40,45,50)/100*(((1-(1-Inputs!$B$11/150)*(1-1/150))*150)-Inputs!$B$11),0)))/100)/2</f>
        <v/>
      </c>
      <c r="M522">
        <f>L522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(1-Summary!$B$11)*S522+Summary!$B$11*U522</f>
        <v/>
      </c>
      <c r="P522">
        <f>IF(B547=0,0,O522/B547)</f>
        <v/>
      </c>
      <c r="Q522">
        <f>IFERROR(1/IF(Inputs!$B$38="pvp",15,MAX(0.1,Skills!D12-IF(Skills!E12=TRUE,Inputs!$B$32,0))),0)</f>
        <v/>
      </c>
      <c r="R522">
        <f>IF(AND(Inputs!$B$38&lt;&gt;"pvp",Inputs!$B$43&gt;0),IF(MAX(0,Inputs!$B$43-B544)&lt;=0,0,(INT(MAX(0,Inputs!$B$43-B544)/IF(Inputs!$B$38="pvp",15,MAX(0.1,Skills!D12-IF(Skills!E12=TRUE,Inputs!$B$32,0))))+1)),0)</f>
        <v/>
      </c>
      <c r="S522">
        <f>IF(C522,(H522*N522*IF(AND(Inputs!$B$38&lt;&gt;"pvp",Inputs!$B$43&gt;0),((Skills!F12*((R522-1)*IF(Skills!G12&gt;0,Skills!H12/Skills!G12,1)+IF(Skills!G12&gt;0,MIN(Skills!H12,MAX(0,MAX(0,Inputs!$B$43-B544)-((R522-1)*IF(Inputs!$B$38="pvp",15,MAX(0.1,Skills!D12-IF(Skills!E12=TRUE,Inputs!$B$32,0))))))/Skills!G12,1)))/Inputs!$B$43),G522*Q522))*IF(Inputs!$B$38="pvp",1,1+(Inputs!$B$20+Skills!O12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522*(1-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F530-Calc!F20)+(F529-Calc!F19))+(ArtifactsInput!$M$24-ArtifactsInput!$M$24)*CHOOSE(ArtifactsInput!$N$24+1,10,12,14,16,18,20)+(IF(AND(Inputs!$B$38&lt;&gt;"pvp",Inputs!$B$43=0),1,IF(IF(Inputs!$B$38="pvp",15,Inputs!$B$43)-(B544)&lt;=0,1,MAX(0,IF(Inputs!$B$38="pvp",15,Inputs!$B$43)-MAX(5,B544))/(IF(Inputs!$B$38="pvp",15,Inputs!$B$43)-(B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2">
        <f>IF(C522,(H522*N522*IF(AND(Inputs!$B$38&lt;&gt;"pvp",Inputs!$B$43&gt;0),((Skills!F12*((R522-1)*IF(Skills!G12&gt;0,Skills!H12/Skills!G12,1)+IF(Skills!G12&gt;0,MIN(Skills!H12,MAX(0,MAX(0,Inputs!$B$43-B544)-((R522-1)*IF(Inputs!$B$38="pvp",15,MAX(0.1,Skills!D12-IF(Skills!E12=TRUE,Inputs!$B$32,0))))))/Skills!G12,1)))/Inputs!$B$43),G522*Q522))*IF(Inputs!$B$38="pvp",1,(1+(Inputs!$B$21+Skills!P12+B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Skills!A13</f>
        <v/>
      </c>
      <c r="B523">
        <f>Skills!B13</f>
        <v/>
      </c>
      <c r="C523">
        <f>Inputs!$B$3&gt;=49</f>
        <v/>
      </c>
      <c r="D523">
        <f>IF(Skills!C13=1,60+Inputs!$B$25+Inputs!$B$29,IF(Skills!C13=2,90+Inputs!$B$26+Inputs!$B$29,IF(Skills!C13=3,120+Inputs!$B$27+Inputs!$B$29,MAX(0,(Inputs!$B$3-100)*3)+Inputs!$B$28+Inputs!$B$29)))</f>
        <v/>
      </c>
      <c r="E523">
        <f>INDEX(FactorTable!$B$2:$Y$301, MATCH(ROUND(MIN(300,MAX(1,D523)),0), FactorTable!$A$2:$A$301,0), Skills!L13+1)</f>
        <v/>
      </c>
      <c r="F523">
        <f>IF(Skills!M13=TRUE,(Skills!K13/10)*(E523/1000),Skills!K13/10)+Skills!N13</f>
        <v/>
      </c>
      <c r="G523">
        <f>Calc!G13</f>
        <v/>
      </c>
      <c r="H523">
        <f>Calc!H13</f>
        <v/>
      </c>
      <c r="I523">
        <f>IF(Skills!T13&lt;&gt;"",1+(Skills!T13/10)*(Z513/1000)/100,1)</f>
        <v/>
      </c>
      <c r="J523" t="inlineStr"/>
      <c r="K523" t="inlineStr"/>
      <c r="L523" t="inlineStr"/>
      <c r="M523" t="inlineStr"/>
      <c r="N523" t="inlineStr"/>
      <c r="O523">
        <f>(1-Summary!$B$11)*S523+Summary!$B$11*U523</f>
        <v/>
      </c>
      <c r="P523">
        <f>IF(B547=0,0,O523/B547)</f>
        <v/>
      </c>
      <c r="Q523">
        <f>IFERROR(1/IF(Inputs!$B$38="pvp",15,MAX(0.1,Skills!D13-IF(Skills!E13=TRUE,Inputs!$B$32,0))),0)</f>
        <v/>
      </c>
      <c r="R523" t="n">
        <v>0</v>
      </c>
      <c r="S523" t="n">
        <v>0</v>
      </c>
      <c r="U523" t="n">
        <v>0</v>
      </c>
    </row>
    <row r="524">
      <c r="A524">
        <f>Skills!A14</f>
        <v/>
      </c>
      <c r="B524">
        <f>Skills!B14</f>
        <v/>
      </c>
      <c r="C524">
        <f>Inputs!$B$3&gt;=72</f>
        <v/>
      </c>
      <c r="D524">
        <f>IF(Skills!C14=1,60+Inputs!$B$25+Inputs!$B$29,IF(Skills!C14=2,90+Inputs!$B$26+Inputs!$B$29,IF(Skills!C14=3,120+Inputs!$B$27+Inputs!$B$29,MAX(0,(Inputs!$B$3-100)*3)+Inputs!$B$28+Inputs!$B$29)))</f>
        <v/>
      </c>
      <c r="E524">
        <f>INDEX(FactorTable!$B$2:$Y$301, MATCH(ROUND(MIN(300,MAX(1,D524)),0), FactorTable!$A$2:$A$301,0), Skills!L14+1)</f>
        <v/>
      </c>
      <c r="F524">
        <f>IF(Skills!M14=TRUE,(Skills!K14/10)*(E524/1000),Skills!K14/10)+Skills!N14</f>
        <v/>
      </c>
      <c r="G524">
        <f>Calc!G14</f>
        <v/>
      </c>
      <c r="H524">
        <f>Calc!H14</f>
        <v/>
      </c>
      <c r="I524">
        <f>IF(Skills!T14&lt;&gt;"",1+(Skills!T14/10)*(Z513/1000)/100,1)</f>
        <v/>
      </c>
      <c r="J524" t="inlineStr"/>
      <c r="K524" t="inlineStr"/>
      <c r="L524" t="inlineStr"/>
      <c r="M524" t="inlineStr"/>
      <c r="N524" t="inlineStr"/>
      <c r="O524">
        <f>(1-Summary!$B$11)*S524+Summary!$B$11*U524</f>
        <v/>
      </c>
      <c r="P524">
        <f>IF(B547=0,0,O524/B547)</f>
        <v/>
      </c>
      <c r="Q524">
        <f>IFERROR(1/IF(Inputs!$B$38="pvp",15,MAX(0.1,Skills!D14-IF(Skills!E14=TRUE,Inputs!$B$32,0))),0)</f>
        <v/>
      </c>
      <c r="R524" t="n">
        <v>0</v>
      </c>
      <c r="S524" t="n">
        <v>0</v>
      </c>
      <c r="U524" t="n">
        <v>0</v>
      </c>
    </row>
    <row r="525">
      <c r="A525">
        <f>Skills!A15</f>
        <v/>
      </c>
      <c r="B525">
        <f>Skills!B15</f>
        <v/>
      </c>
      <c r="C525">
        <f>Inputs!$B$3&gt;=75</f>
        <v/>
      </c>
      <c r="D525">
        <f>IF(Skills!C15=1,60+Inputs!$B$25+Inputs!$B$29,IF(Skills!C15=2,90+Inputs!$B$26+Inputs!$B$29,IF(Skills!C15=3,120+Inputs!$B$27+Inputs!$B$29,MAX(0,(Inputs!$B$3-100)*3)+Inputs!$B$28+Inputs!$B$29)))</f>
        <v/>
      </c>
      <c r="E525">
        <f>INDEX(FactorTable!$B$2:$Y$301, MATCH(ROUND(MIN(300,MAX(1,D525)),0), FactorTable!$A$2:$A$301,0), Skills!L15+1)</f>
        <v/>
      </c>
      <c r="F525">
        <f>IF(Skills!M15=TRUE,(Skills!K15/10)*(E525/1000),Skills!K15/10)+Skills!N15</f>
        <v/>
      </c>
      <c r="G525">
        <f>Calc!G15</f>
        <v/>
      </c>
      <c r="H525">
        <f>Calc!H15</f>
        <v/>
      </c>
      <c r="I525">
        <f>IF(Skills!T15&lt;&gt;"",1+(Skills!T15/10)*(Z513/1000)/100,1)</f>
        <v/>
      </c>
      <c r="J525" t="inlineStr"/>
      <c r="K525" t="inlineStr"/>
      <c r="L525" t="inlineStr"/>
      <c r="M525" t="inlineStr"/>
      <c r="N525" t="inlineStr"/>
      <c r="O525">
        <f>(1-Summary!$B$11)*S525+Summary!$B$11*U525</f>
        <v/>
      </c>
      <c r="P525">
        <f>IF(B547=0,0,O525/B547)</f>
        <v/>
      </c>
      <c r="Q525">
        <f>IFERROR(1/IF(Inputs!$B$38="pvp",15,MAX(0.1,Skills!D15-IF(Skills!E15=TRUE,Inputs!$B$32,0))),0)</f>
        <v/>
      </c>
      <c r="R525" t="n">
        <v>0</v>
      </c>
      <c r="S525" t="n">
        <v>0</v>
      </c>
      <c r="U525" t="n">
        <v>0</v>
      </c>
    </row>
    <row r="526">
      <c r="A526">
        <f>Skills!A16</f>
        <v/>
      </c>
      <c r="B526">
        <f>Skills!B16</f>
        <v/>
      </c>
      <c r="C526">
        <f>Inputs!$B$3&gt;=110</f>
        <v/>
      </c>
      <c r="D526">
        <f>IF(Skills!C16=1,60+Inputs!$B$25+Inputs!$B$29,IF(Skills!C16=2,90+Inputs!$B$26+Inputs!$B$29,IF(Skills!C16=3,120+Inputs!$B$27+Inputs!$B$29,MAX(0,(Inputs!$B$3-100)*3)+Inputs!$B$28+Inputs!$B$29)))</f>
        <v/>
      </c>
      <c r="E526">
        <f>INDEX(FactorTable!$B$2:$Y$301, MATCH(ROUND(MIN(300,MAX(1,D526)),0), FactorTable!$A$2:$A$301,0), Skills!L16+1)</f>
        <v/>
      </c>
      <c r="F526">
        <f>(Skills!K16/10)*(E526/1000)*64/45+Skills!N16</f>
        <v/>
      </c>
      <c r="G526">
        <f>Calc!G16</f>
        <v/>
      </c>
      <c r="H526">
        <f>Calc!H16</f>
        <v/>
      </c>
      <c r="I526">
        <f>IF(Skills!T16&lt;&gt;"",1+(Skills!T16/10)*(Z513/1000)/100,1)</f>
        <v/>
      </c>
      <c r="J526" t="inlineStr"/>
      <c r="K526" t="inlineStr"/>
      <c r="L526" t="inlineStr"/>
      <c r="M526" t="inlineStr"/>
      <c r="N526" t="inlineStr"/>
      <c r="O526">
        <f>(1-Summary!$B$11)*S526+Summary!$B$11*U526</f>
        <v/>
      </c>
      <c r="P526">
        <f>IF(B547=0,0,O526/B547)</f>
        <v/>
      </c>
      <c r="Q526">
        <f>IFERROR(1/IF(Inputs!$B$38="pvp",15,MAX(0.1,Skills!D16-IF(Skills!E16=TRUE,Inputs!$B$32,0))),0)</f>
        <v/>
      </c>
      <c r="R526">
        <f>IF(AND(Inputs!$B$38&lt;&gt;"pvp",Inputs!$B$43&gt;0),IF(Inputs!$B$43&lt;=0,0,(INT(Inputs!$B$43/IF(Inputs!$B$38="pvp",15,MAX(0.1,Skills!D16-IF(Skills!E16=TRUE,Inputs!$B$32,0))))+1)),0)</f>
        <v/>
      </c>
      <c r="S526" t="n">
        <v>0</v>
      </c>
      <c r="U526" t="n">
        <v>0</v>
      </c>
    </row>
    <row r="527">
      <c r="A527">
        <f>Skills!A17</f>
        <v/>
      </c>
      <c r="B527">
        <f>Skills!B17</f>
        <v/>
      </c>
      <c r="C527">
        <f>Inputs!$B$3&gt;=33</f>
        <v/>
      </c>
      <c r="D527">
        <f>IF(Skills!C17=1,60+Inputs!$B$25+Inputs!$B$29,IF(Skills!C17=2,90+Inputs!$B$26+Inputs!$B$29,IF(Skills!C17=3,120+Inputs!$B$27+Inputs!$B$29,MAX(0,(Inputs!$B$3-100)*3)+Inputs!$B$28+Inputs!$B$29)))</f>
        <v/>
      </c>
      <c r="E527">
        <f>INDEX(FactorTable!$B$2:$Y$301, MATCH(ROUND(MIN(300,MAX(1,D527)),0), FactorTable!$A$2:$A$301,0), Skills!L17+1)</f>
        <v/>
      </c>
      <c r="F527">
        <f>IF(Skills!M17=TRUE,(Skills!K17/10)*(E527/1000),Skills!K17/10)+Skills!N17</f>
        <v/>
      </c>
      <c r="G527">
        <f>Calc!G17</f>
        <v/>
      </c>
      <c r="H527">
        <f>Calc!H17</f>
        <v/>
      </c>
      <c r="I527">
        <f>IF(Skills!T17&lt;&gt;"",1+(Skills!T17/10)*(Z513/1000)/100,1)</f>
        <v/>
      </c>
      <c r="J527" t="inlineStr"/>
      <c r="K527" t="inlineStr"/>
      <c r="L527" t="inlineStr"/>
      <c r="M527" t="inlineStr"/>
      <c r="N527" t="inlineStr"/>
      <c r="O527">
        <f>(1-Summary!$B$11)*S527+Summary!$B$11*U527</f>
        <v/>
      </c>
      <c r="P527">
        <f>IF(B547=0,0,O527/B547)</f>
        <v/>
      </c>
      <c r="Q527">
        <f>IFERROR(1/IF(Inputs!$B$38="pvp",15,MAX(0.1,Skills!D17-IF(Skills!E17=TRUE,Inputs!$B$32,0))),0)</f>
        <v/>
      </c>
      <c r="R527" t="n">
        <v>0</v>
      </c>
      <c r="S527" t="n">
        <v>0</v>
      </c>
      <c r="U527" t="n">
        <v>0</v>
      </c>
    </row>
    <row r="528">
      <c r="A528">
        <f>Skills!A18</f>
        <v/>
      </c>
      <c r="B528">
        <f>Skills!B18</f>
        <v/>
      </c>
      <c r="C528">
        <f>Inputs!$B$3&gt;=43</f>
        <v/>
      </c>
      <c r="D528">
        <f>IF(Skills!C18=1,60+Inputs!$B$25+Inputs!$B$29,IF(Skills!C18=2,90+Inputs!$B$26+Inputs!$B$29,IF(Skills!C18=3,120+Inputs!$B$27+Inputs!$B$29,MAX(0,(Inputs!$B$3-100)*3)+Inputs!$B$28+Inputs!$B$29)))</f>
        <v/>
      </c>
      <c r="E528">
        <f>INDEX(FactorTable!$B$2:$Y$301, MATCH(ROUND(MIN(300,MAX(1,D528)),0), FactorTable!$A$2:$A$301,0), Skills!L18+1)</f>
        <v/>
      </c>
      <c r="F528">
        <f>IF(Skills!M18=TRUE,(Skills!K18/10)*(E528/1000),Skills!K18/10)+Skills!N18</f>
        <v/>
      </c>
      <c r="G528">
        <f>Calc!G18</f>
        <v/>
      </c>
      <c r="H528">
        <f>Calc!H18</f>
        <v/>
      </c>
      <c r="I528">
        <f>IF(Skills!T18&lt;&gt;"",1+(Skills!T18/10)*(Z513/1000)/100,1)</f>
        <v/>
      </c>
      <c r="J528" t="inlineStr"/>
      <c r="K528" t="inlineStr"/>
      <c r="L528" t="inlineStr"/>
      <c r="M528" t="inlineStr"/>
      <c r="N528" t="inlineStr"/>
      <c r="O528">
        <f>(1-Summary!$B$11)*S528+Summary!$B$11*U528</f>
        <v/>
      </c>
      <c r="P528">
        <f>IF(B547=0,0,O528/B547)</f>
        <v/>
      </c>
      <c r="Q528">
        <f>IFERROR(1/IF(Inputs!$B$38="pvp",15,MAX(0.1,Skills!D18-IF(Skills!E18=TRUE,Inputs!$B$32,0))),0)</f>
        <v/>
      </c>
      <c r="R528" t="n">
        <v>0</v>
      </c>
      <c r="S528" t="n">
        <v>0</v>
      </c>
      <c r="U528" t="n">
        <v>0</v>
      </c>
    </row>
    <row r="529">
      <c r="A529">
        <f>Skills!A19</f>
        <v/>
      </c>
      <c r="B529">
        <f>Skills!B19</f>
        <v/>
      </c>
      <c r="C529">
        <f>Inputs!$B$3&gt;=50</f>
        <v/>
      </c>
      <c r="D529">
        <f>IF(Skills!C19=1,60+Inputs!$B$25+Inputs!$B$29,IF(Skills!C19=2,90+Inputs!$B$26+Inputs!$B$29,IF(Skills!C19=3,120+Inputs!$B$27+Inputs!$B$29,MAX(0,(Inputs!$B$3-100)*3)+Inputs!$B$28+Inputs!$B$29)))</f>
        <v/>
      </c>
      <c r="E529">
        <f>INDEX(FactorTable!$B$2:$Y$301, MATCH(ROUND(MIN(300,MAX(1,D529)),0), FactorTable!$A$2:$A$301,0), Skills!L19+1)</f>
        <v/>
      </c>
      <c r="F529">
        <f>IF(Skills!M19=TRUE,(Skills!K19/10)*(E529/1000),Skills!K19/10)+Skills!N19</f>
        <v/>
      </c>
      <c r="G529">
        <f>Calc!G19</f>
        <v/>
      </c>
      <c r="H529">
        <f>Calc!H19</f>
        <v/>
      </c>
      <c r="I529">
        <f>IF(Skills!T19&lt;&gt;"",1+(Skills!T19/10)*(Z513/1000)/100,1)</f>
        <v/>
      </c>
      <c r="J529" t="inlineStr"/>
      <c r="K529" t="inlineStr"/>
      <c r="L529" t="inlineStr"/>
      <c r="M529" t="inlineStr"/>
      <c r="N529" t="inlineStr"/>
      <c r="O529">
        <f>(1-Summary!$B$11)*S529+Summary!$B$11*U529</f>
        <v/>
      </c>
      <c r="P529">
        <f>IF(B547=0,0,O529/B547)</f>
        <v/>
      </c>
      <c r="Q529">
        <f>IFERROR(1/IF(Inputs!$B$38="pvp",15,MAX(0.1,Skills!D19-IF(Skills!E19=TRUE,Inputs!$B$32,0))),0)</f>
        <v/>
      </c>
      <c r="R529" t="n">
        <v>0</v>
      </c>
      <c r="S529" t="n">
        <v>0</v>
      </c>
      <c r="U529" t="n">
        <v>0</v>
      </c>
    </row>
    <row r="530">
      <c r="A530">
        <f>Skills!A20</f>
        <v/>
      </c>
      <c r="B530">
        <f>Skills!B20</f>
        <v/>
      </c>
      <c r="C530">
        <f>Inputs!$B$3&gt;=74</f>
        <v/>
      </c>
      <c r="D530">
        <f>IF(Skills!C20=1,60+Inputs!$B$25+Inputs!$B$29,IF(Skills!C20=2,90+Inputs!$B$26+Inputs!$B$29,IF(Skills!C20=3,120+Inputs!$B$27+Inputs!$B$29,MAX(0,(Inputs!$B$3-100)*3)+Inputs!$B$28+Inputs!$B$29)))</f>
        <v/>
      </c>
      <c r="E530">
        <f>INDEX(FactorTable!$B$2:$Y$301, MATCH(ROUND(MIN(300,MAX(1,D530)),0), FactorTable!$A$2:$A$301,0), Skills!L20+1)</f>
        <v/>
      </c>
      <c r="F530">
        <f>IF(Skills!M20=TRUE,(Skills!K20/10)*(E530/1000),Skills!K20/10)+Skills!N20</f>
        <v/>
      </c>
      <c r="G530">
        <f>Calc!G20</f>
        <v/>
      </c>
      <c r="H530">
        <f>Calc!H20</f>
        <v/>
      </c>
      <c r="I530">
        <f>IF(Skills!T20&lt;&gt;"",1+(Skills!T20/10)*(Z513/1000)/100,1)</f>
        <v/>
      </c>
      <c r="J530" t="inlineStr"/>
      <c r="K530" t="inlineStr"/>
      <c r="L530" t="inlineStr"/>
      <c r="M530" t="inlineStr"/>
      <c r="N530" t="inlineStr"/>
      <c r="O530">
        <f>(1-Summary!$B$11)*S530+Summary!$B$11*U530</f>
        <v/>
      </c>
      <c r="P530">
        <f>IF(B547=0,0,O530/B547)</f>
        <v/>
      </c>
      <c r="Q530">
        <f>IFERROR(1/IF(Inputs!$B$38="pvp",15,MAX(0.1,Skills!D20-IF(Skills!E20=TRUE,Inputs!$B$32,0))),0)</f>
        <v/>
      </c>
      <c r="R530" t="n">
        <v>0</v>
      </c>
      <c r="S530" t="n">
        <v>0</v>
      </c>
      <c r="U530" t="n">
        <v>0</v>
      </c>
    </row>
    <row r="531">
      <c r="A531">
        <f>Skills!A21</f>
        <v/>
      </c>
      <c r="B531">
        <f>Skills!B21</f>
        <v/>
      </c>
      <c r="C531">
        <f>Inputs!$B$3&gt;=74</f>
        <v/>
      </c>
      <c r="D531">
        <f>IF(Skills!C21=1,60+Inputs!$B$25+Inputs!$B$29,IF(Skills!C21=2,90+Inputs!$B$26+Inputs!$B$29,IF(Skills!C21=3,120+Inputs!$B$27+Inputs!$B$29,MAX(0,(Inputs!$B$3-100)*3)+Inputs!$B$28+Inputs!$B$29)))</f>
        <v/>
      </c>
      <c r="E531">
        <f>INDEX(FactorTable!$B$2:$Y$301, MATCH(ROUND(MIN(300,MAX(1,D531)),0), FactorTable!$A$2:$A$301,0), Skills!L21+1)</f>
        <v/>
      </c>
      <c r="F531">
        <f>IF(Skills!M21=TRUE,(Skills!K21/10)*(E531/1000),Skills!K21/10)+Skills!N21</f>
        <v/>
      </c>
      <c r="G531">
        <f>Calc!G21</f>
        <v/>
      </c>
      <c r="H531">
        <f>Calc!H21</f>
        <v/>
      </c>
      <c r="I531">
        <f>IF(Skills!T21&lt;&gt;"",1+(Skills!T21/10)*(Z513/1000)/100,1)</f>
        <v/>
      </c>
      <c r="J531" t="inlineStr"/>
      <c r="K531" t="inlineStr"/>
      <c r="L531" t="inlineStr"/>
      <c r="M531" t="inlineStr"/>
      <c r="N531" t="inlineStr"/>
      <c r="O531">
        <f>(1-Summary!$B$11)*S531+Summary!$B$11*U531</f>
        <v/>
      </c>
      <c r="P531">
        <f>IF(B547=0,0,O531/B547)</f>
        <v/>
      </c>
      <c r="Q531">
        <f>IFERROR(1/IF(Inputs!$B$38="pvp",15,MAX(0.1,Skills!D21-IF(Skills!E21=TRUE,Inputs!$B$32,0))),0)</f>
        <v/>
      </c>
      <c r="R531" t="n">
        <v>0</v>
      </c>
      <c r="S531" t="n">
        <v>0</v>
      </c>
      <c r="U531" t="n">
        <v>0</v>
      </c>
    </row>
    <row r="532">
      <c r="A532">
        <f>Skills!A22</f>
        <v/>
      </c>
      <c r="B532">
        <f>Skills!B22</f>
        <v/>
      </c>
      <c r="C532">
        <f>Inputs!$B$3&gt;=117</f>
        <v/>
      </c>
      <c r="D532">
        <f>IF(Skills!C22=1,60+Inputs!$B$25+Inputs!$B$29,IF(Skills!C22=2,90+Inputs!$B$26+Inputs!$B$29,IF(Skills!C22=3,120+Inputs!$B$27+Inputs!$B$29,MAX(0,(Inputs!$B$3-100)*3)+Inputs!$B$28+Inputs!$B$29)))</f>
        <v/>
      </c>
      <c r="E532">
        <f>INDEX(FactorTable!$B$2:$Y$301, MATCH(ROUND(MIN(300,MAX(1,D532)),0), FactorTable!$A$2:$A$301,0), Skills!L22+1)</f>
        <v/>
      </c>
      <c r="F532">
        <f>IF(Skills!M22=TRUE,(Skills!K22/10)*(E532/1000),Skills!K22/10)+Skills!N22</f>
        <v/>
      </c>
      <c r="G532">
        <f>Calc!G22</f>
        <v/>
      </c>
      <c r="H532">
        <f>Calc!H22</f>
        <v/>
      </c>
      <c r="I532">
        <f>IF(Skills!T22&lt;&gt;"",1+(Skills!T22/10)*(Z513/1000)/100,1)</f>
        <v/>
      </c>
      <c r="J532" t="inlineStr"/>
      <c r="K532" t="inlineStr"/>
      <c r="L532" t="inlineStr"/>
      <c r="M532" t="inlineStr"/>
      <c r="N532" t="inlineStr"/>
      <c r="O532">
        <f>(1-Summary!$B$11)*S532+Summary!$B$11*U532</f>
        <v/>
      </c>
      <c r="P532">
        <f>IF(B547=0,0,O532/B547)</f>
        <v/>
      </c>
      <c r="Q532">
        <f>IFERROR(1/IF(Inputs!$B$38="pvp",15,MAX(0.1,Skills!D22-IF(Skills!E22=TRUE,Inputs!$B$32,0))),0)</f>
        <v/>
      </c>
      <c r="R532" t="n">
        <v>0</v>
      </c>
      <c r="S532" t="n">
        <v>0</v>
      </c>
      <c r="U532" t="n">
        <v>0</v>
      </c>
    </row>
    <row r="533">
      <c r="A533">
        <f>Skills!A23</f>
        <v/>
      </c>
      <c r="B533">
        <f>Skills!B23</f>
        <v/>
      </c>
      <c r="C533">
        <f>Inputs!$B$3&gt;=120</f>
        <v/>
      </c>
      <c r="D533">
        <f>IF(Skills!C23=1,60+Inputs!$B$25+Inputs!$B$29,IF(Skills!C23=2,90+Inputs!$B$26+Inputs!$B$29,IF(Skills!C23=3,120+Inputs!$B$27+Inputs!$B$29,MAX(0,(Inputs!$B$3-100)*3)+Inputs!$B$28+Inputs!$B$29)))</f>
        <v/>
      </c>
      <c r="E533">
        <f>INDEX(FactorTable!$B$2:$Y$301, MATCH(ROUND(MIN(300,MAX(1,D533)),0), FactorTable!$A$2:$A$301,0), Skills!L23+1)</f>
        <v/>
      </c>
      <c r="F533">
        <f>IF(Skills!M23=TRUE,(Skills!K23/10)*(E533/1000),Skills!K23/10)+Skills!N23</f>
        <v/>
      </c>
      <c r="G533">
        <f>Calc!G23</f>
        <v/>
      </c>
      <c r="H533">
        <f>Calc!H23</f>
        <v/>
      </c>
      <c r="I533">
        <f>IF(Skills!T23&lt;&gt;"",1+(Skills!T23/10)*(Z513/1000)/100,1)</f>
        <v/>
      </c>
      <c r="J533" t="inlineStr"/>
      <c r="K533" t="inlineStr"/>
      <c r="L533" t="inlineStr"/>
      <c r="M533" t="inlineStr"/>
      <c r="N533" t="inlineStr"/>
      <c r="O533">
        <f>(1-Summary!$B$11)*S533+Summary!$B$11*U533</f>
        <v/>
      </c>
      <c r="P533">
        <f>IF(B547=0,0,O533/B547)</f>
        <v/>
      </c>
      <c r="Q533">
        <f>IFERROR(1/IF(Inputs!$B$38="pvp",15,MAX(0.1,Skills!D23-IF(Skills!E23=TRUE,Inputs!$B$32,0))),0)</f>
        <v/>
      </c>
      <c r="R533" t="n">
        <v>0</v>
      </c>
      <c r="S533" t="n">
        <v>0</v>
      </c>
      <c r="U533" t="n">
        <v>0</v>
      </c>
    </row>
    <row r="534">
      <c r="A534">
        <f>Skills!A24</f>
        <v/>
      </c>
      <c r="B534">
        <f>Skills!B24</f>
        <v/>
      </c>
      <c r="C534">
        <f>TRUE</f>
        <v/>
      </c>
      <c r="D534">
        <f>IF(Skills!C24=1,60+Inputs!$B$25+Inputs!$B$29,IF(Skills!C24=2,90+Inputs!$B$26+Inputs!$B$29,IF(Skills!C24=3,120+Inputs!$B$27+Inputs!$B$29,MAX(0,(Inputs!$B$3-100)*3)+Inputs!$B$28+Inputs!$B$29)))</f>
        <v/>
      </c>
      <c r="E534">
        <f>INDEX(FactorTable!$B$2:$Y$301, MATCH(ROUND(MIN(300,MAX(1,D534)),0), FactorTable!$A$2:$A$301,0), Skills!L24+1)</f>
        <v/>
      </c>
      <c r="F534">
        <f>IF(Skills!M24=TRUE,(Skills!K24/10)*(E534/1000),Skills!K24/10)+Skills!N24</f>
        <v/>
      </c>
      <c r="G534">
        <f>Calc!G24</f>
        <v/>
      </c>
      <c r="H534">
        <f>Calc!H24</f>
        <v/>
      </c>
      <c r="I534">
        <f>IF(Skills!T24&lt;&gt;"",1+(Skills!T24/10)*(Z513/1000)/100,1)</f>
        <v/>
      </c>
      <c r="J534" t="inlineStr"/>
      <c r="K534" t="inlineStr"/>
      <c r="L534" t="inlineStr"/>
      <c r="M534" t="inlineStr"/>
      <c r="N534" t="inlineStr"/>
      <c r="O534">
        <f>(1-Summary!$B$11)*S534+Summary!$B$11*U534</f>
        <v/>
      </c>
      <c r="P534">
        <f>IF(B547=0,0,O534/B547)</f>
        <v/>
      </c>
      <c r="Q534">
        <f>IFERROR(1/IF(Inputs!$B$38="pvp",15,MAX(0.1,Skills!D24-IF(Skills!E24=TRUE,Inputs!$B$32,0))),0)</f>
        <v/>
      </c>
      <c r="R534">
        <f>IF(AND(Inputs!$B$38&lt;&gt;"pvp",Inputs!$B$43&gt;0),IF(Inputs!$B$43&lt;=0,0,(INT(Inputs!$B$43/IF(Inputs!$B$38="pvp",15,MAX(0.1,Skills!D24-IF(Skills!E24=TRUE,Inputs!$B$32,0))))+1)),0)</f>
        <v/>
      </c>
      <c r="S534" t="n">
        <v>0</v>
      </c>
      <c r="U534" t="n">
        <v>0</v>
      </c>
    </row>
    <row r="537">
      <c r="A537" t="inlineStr">
        <is>
          <t>Average Buff Multiplier (Magic Guard + Meditation + Artifact Attack%, summed; then Infinity)</t>
        </is>
      </c>
      <c r="B537">
        <f>(1+(IF(C513=TRUE,F513*IF(AND(Inputs!$B$38&lt;&gt;"pvp",Inputs!$B$43&gt;0),(((R513-1)*(Skills!S3*(1+(Inputs!$B$34)/100))+MIN((Skills!S3*(1+(Inputs!$B$34)/100)),MAX(0,Inputs!$B$43-((R513-1)*Skills!D3))))/Inputs!$B$43),IF(Inputs!$B$38="pvp",MIN((Skills!S3*(1+(Inputs!$B$34)/100)),15)/15,(Skills!S3*(1+(Inputs!$B$34)/100))/Skills!D3)),0)+IF(C514=TRUE,F514*IF(AND(Inputs!$B$38&lt;&gt;"pvp",Inputs!$B$43&gt;0),(((R514-1)*(Skills!S4*(1+(Inputs!$B$34)/100))+MIN((Skills!S4*(1+(Inputs!$B$34)/100)),MAX(0,Inputs!$B$43-((R514-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526=TRUE,(1+F526*IF(AND(Inputs!$B$38&lt;&gt;"pvp",Inputs!$B$43&gt;0),(((R526-1)*(Skills!S16*(1+(Inputs!$B$34)/100))+MIN((Skills!S16*(1+(Inputs!$B$34)/100)),MAX(0,Inputs!$B$43-((R526-1)*Skills!D16))))/Inputs!$B$43),IF(Inputs!$B$38="pvp",MIN((Skills!S16*(1+(Inputs!$B$34)/100)),15)/15,(Skills!S16*(1+(Inputs!$B$34)/100))/Skills!D16))/100),1)</f>
        <v/>
      </c>
    </row>
    <row r="538">
      <c r="A538" t="inlineStr">
        <is>
          <t>Monster Damage Taken Bonus % (Freezing Breath - Weaken + Elemental Reset + Artifact Enemy Damage Taken, summed)</t>
        </is>
      </c>
      <c r="B538">
        <f>IF(Inputs!$B$3&gt;=118,15*IF(Inputs!$B$38="pvp",MIN((30*(1+(Inputs!$B$34)/100)),15)/15,(30*(1+(Inputs!$B$34)/100))/Skills!D8),0)+IF(C524=TRUE,F524,0)+(IF(AND(ArtifactsInput!$M$35,Inputs!$B$4&lt;&gt;"Chapter Hunt"),CHOOSE(ArtifactsInput!$N$35+1,15,18,21,24,27,30)*(1-EXP(-(0.2*B541)*5)),0)+IF(AND(ArtifactsInput!$M$22,Inputs!$B$4&lt;&gt;"Chapter Hunt"),CHOOSE(ArtifactsInput!$N$22+1,10,12,14,16,18,20)*((0*(((0.15*B541*5))^0/1)+1*(((0.15*B541*5))^1/1)+2*(((0.15*B541*5))^2/2)+3*(((0.15*B541*5))^3/6)+4*(((0.15*B541*5))^4/24)+5*(((0.15*B541*5))^5/120))/((((0.15*B541*5))^0/1)+(((0.15*B541*5))^1/1)+(((0.15*B541*5))^2/2)+(((0.15*B541*5))^3/6)+(((0.15*B541*5))^4/24)+(((0.15*B541*5))^5/120))),0))</f>
        <v/>
      </c>
    </row>
    <row r="539">
      <c r="A539" t="inlineStr">
        <is>
          <t>Damage % Bonus (Frozen Break + Frost Clutch, flat)</t>
        </is>
      </c>
      <c r="B539">
        <f>IF(Inputs!$B$3&gt;=66,15,0)+IF(Inputs!$B$3&gt;=98,10,0)+IF(Inputs!$B$3&gt;=125,20,0)</f>
        <v/>
      </c>
    </row>
    <row r="540">
      <c r="A540" t="inlineStr">
        <is>
          <t>Attack Speed Bonus % (MP Eater - MP Boost, always-on + Nimble Feet, duty-cycle averaged)</t>
        </is>
      </c>
      <c r="B540">
        <f>IF(C523=TRUE,F523+(F527-Calc!F17),0)+((C534=TRUE)*F534*IF(AND(Inputs!$B$38&lt;&gt;"pvp",Inputs!$B$43&gt;0),(((R534-1)*(Skills!S24*(1+(Inputs!$B$34)/100))+MIN((Skills!S24*(1+(Inputs!$B$34)/100)),MAX(0,Inputs!$B$43-((R534-1)*Skills!D24))))/Inputs!$B$43),IF(Inputs!$B$38="pvp",MIN((Skills!S24*(1+(Inputs!$B$34)/100)),15)/15,(Skills!S24*(1+(Inputs!$B$34)/100))/Skills!D24)))</f>
        <v/>
      </c>
    </row>
    <row r="541">
      <c r="A541" t="inlineStr">
        <is>
          <t>Actions Per Second</t>
        </is>
      </c>
      <c r="B541">
        <f>1+MIN(150,150*(1-(1-(((1-(1-Inputs!$B$11/150)*(1-1/150))*150)+(ArtifactsInput!$M$15-ArtifactsInput!$M$15)*CHOOSE(ArtifactsInput!$N$15+1,8,9.6,11.2,12.8,14.4,16))/150)*(1-B540/150)))/100</f>
        <v/>
      </c>
    </row>
    <row r="542">
      <c r="A542" t="inlineStr">
        <is>
          <t>Skill + Buff Cast Rate</t>
        </is>
      </c>
      <c r="B542">
        <f>IF(AND(Inputs!$B$38&lt;&gt;"pvp",Inputs!$B$43&gt;0),SUMPRODUCT((Skills!E2:E24=TRUE)*(C512:C534=TRUE)*R512:R534)/Inputs!$B$43,SUMPRODUCT((Skills!E2:E24=TRUE)*(C512:C534=TRUE)*Q512:Q534))</f>
        <v/>
      </c>
    </row>
    <row r="543">
      <c r="A543" t="inlineStr">
        <is>
          <t>Chain Lightning Casts Per Second</t>
        </is>
      </c>
      <c r="B543">
        <f>MAX(0,B541-B542)</f>
        <v/>
      </c>
    </row>
    <row r="544">
      <c r="A544" t="inlineStr">
        <is>
          <t>Buff-Casting Startup Delay (s, fixed-duration only)</t>
        </is>
      </c>
      <c r="B544">
        <f>IF(AND(Inputs!$B$38&lt;&gt;"pvp",Inputs!$B$43&gt;0),SUMPRODUCT((Skills!S2:S24&gt;0)*(Skills!E2:E24=TRUE)*(C512:C534=TRUE))/B541,0)</f>
        <v/>
      </c>
    </row>
    <row r="545">
      <c r="A545" t="inlineStr">
        <is>
          <t>Boss-Only Total DPS (this block's swept value)</t>
        </is>
      </c>
      <c r="B545">
        <f>SUM(S512:S534)</f>
        <v/>
      </c>
    </row>
    <row r="546">
      <c r="A546" t="inlineStr">
        <is>
          <t>Normal-Only Total DPS (this block's swept value)</t>
        </is>
      </c>
      <c r="B546">
        <f>SUM(U512:U534)</f>
        <v/>
      </c>
    </row>
    <row r="547">
      <c r="A547" s="6" t="inlineStr">
        <is>
          <t>TOTAL DPS</t>
        </is>
      </c>
      <c r="B547" s="6">
        <f>SUM(O512:O534)</f>
        <v/>
      </c>
    </row>
    <row r="550">
      <c r="A550" s="6" t="inlineStr">
        <is>
          <t>Stat: DEF_PEN % (diminishing returns, factor 100)</t>
        </is>
      </c>
    </row>
    <row r="551">
      <c r="A551" s="5" t="inlineStr">
        <is>
          <t>Key</t>
        </is>
      </c>
      <c r="B551" s="5" t="inlineStr">
        <is>
          <t>Name</t>
        </is>
      </c>
      <c r="C551" s="5" t="inlineStr">
        <is>
          <t>Unlocked</t>
        </is>
      </c>
      <c r="D551" s="5" t="inlineStr">
        <is>
          <t>InputLevel</t>
        </is>
      </c>
      <c r="E551" s="5" t="inlineStr">
        <is>
          <t>Factor</t>
        </is>
      </c>
      <c r="F551" s="5" t="inlineStr">
        <is>
          <t>CoefficientPercent</t>
        </is>
      </c>
      <c r="G551" s="5" t="inlineStr">
        <is>
          <t>EffectiveHits</t>
        </is>
      </c>
      <c r="H551" s="5" t="inlineStr">
        <is>
          <t>ProcProbability</t>
        </is>
      </c>
      <c r="I551" s="5" t="inlineStr">
        <is>
          <t>MapleHeroMultiplier</t>
        </is>
      </c>
      <c r="J551" s="5" t="inlineStr">
        <is>
          <t>BaseDamage</t>
        </is>
      </c>
      <c r="K551" s="5" t="inlineStr">
        <is>
          <t>BaseHitDamage</t>
        </is>
      </c>
      <c r="L551" s="5" t="inlineStr">
        <is>
          <t>NonCritAvg</t>
        </is>
      </c>
      <c r="M551" s="5" t="inlineStr">
        <is>
          <t>CritAvg</t>
        </is>
      </c>
      <c r="N551" s="5" t="inlineStr">
        <is>
          <t>ExpectedDamage(perHit)</t>
        </is>
      </c>
      <c r="O551" s="5" t="inlineStr">
        <is>
          <t>DPS</t>
        </is>
      </c>
      <c r="P551" s="5"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((Inputs!$B$6*(1+Inputs!$B$7/100))+(((Inputs!$B$12*(1+Inputs!$B$13/100))-(Inputs!$B$12*(1+Inputs!$B$13/100)))+0.25*(Inputs!$B$14-Inputs!$B$14))*(1+Inputs!$B$7/100))*(F552/100)</f>
        <v/>
      </c>
      <c r="K552">
        <f>J552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2="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F568-Calc!F18),(Inputs!$B$23+(IF(ArtifactsInput!$M$15,CHOOSE(ArtifactsInput!$N$15+1,25,30,35,40,45,50)/100*(Inputs!$B$11-Inputs!$B$11),0))))/100+(Inputs!$B$23+(IF(ArtifactsInput!$M$15,CHOOSE(ArtifactsInput!$N$15+1,25,30,35,40,45,50)/100*(Inputs!$B$11-Inputs!$B$11),0)))/100)/2</f>
        <v/>
      </c>
      <c r="M552">
        <f>L552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(1-Summary!$B$11)*S552+Summary!$B$11*U552</f>
        <v/>
      </c>
      <c r="P552">
        <f>IF(B587=0,0,O552/B587)</f>
        <v/>
      </c>
      <c r="Q552">
        <f>IFERROR(1/IF(Inputs!$B$38="pvp",15,MAX(0.1,Skills!D2-IF(Skills!E2=TRUE,Inputs!$B$32,0))),0)</f>
        <v/>
      </c>
      <c r="R552" t="n">
        <v>0</v>
      </c>
      <c r="S552">
        <f>IF(C552,(Skills!F2*N552*B583)*IF(Inputs!$B$38="pvp",1,1+(Inputs!$B$20+Skills!O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552*(1-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2">
        <f>MAX(0,(Inputs!$B$3-100)*3)+Inputs!$B$28+Inputs!$B$29</f>
        <v/>
      </c>
      <c r="U552">
        <f>IF(C552,(Skills!F2*N552*B583)*IF(Inputs!$B$38="pvp",1,(1+(Inputs!$B$21+Skills!P2+B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f>(1-Summary!$B$11)*S553+Summary!$B$11*U553</f>
        <v/>
      </c>
      <c r="P553">
        <f>IF(B587=0,0,O553/B587)</f>
        <v/>
      </c>
      <c r="Q553">
        <f>IFERROR(1/IF(Inputs!$B$38="pvp",15,MAX(0.1,Skills!D3-IF(Skills!E3=TRUE,Inputs!$B$32,0))),0)</f>
        <v/>
      </c>
      <c r="R553">
        <f>IF(AND(Inputs!$B$38&lt;&gt;"pvp",Inputs!$B$43&gt;0),IF(Inputs!$B$43&lt;=0,0,(INT(Inputs!$B$43/IF(Inputs!$B$38="pvp",15,MAX(0.1,Skills!D3-IF(Skills!E3=TRUE,Inputs!$B$32,0))))+1)),0)</f>
        <v/>
      </c>
      <c r="S553" t="n">
        <v>0</v>
      </c>
      <c r="T553">
        <f>INDEX(FactorTable!$B$2:$Y$301, MATCH(ROUND(MIN(300,MAX(1,T552)),0), FactorTable!$A$2:$A$301,0), 22)</f>
        <v/>
      </c>
      <c r="U553" t="n">
        <v>0</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f>(1-Summary!$B$11)*S554+Summary!$B$11*U554</f>
        <v/>
      </c>
      <c r="P554">
        <f>IF(B587=0,0,O554/B587)</f>
        <v/>
      </c>
      <c r="Q554">
        <f>IFERROR(1/IF(Inputs!$B$38="pvp",15,MAX(0.1,Skills!D4-IF(Skills!E4=TRUE,Inputs!$B$32,0))),0)</f>
        <v/>
      </c>
      <c r="R554">
        <f>IF(AND(Inputs!$B$38&lt;&gt;"pvp",Inputs!$B$43&gt;0),IF(Inputs!$B$43&lt;=0,0,(INT(Inputs!$B$43/IF(Inputs!$B$38="pvp",15,MAX(0.1,Skills!D4-IF(Skills!E4=TRUE,Inputs!$B$32,0))))+1)),0)</f>
        <v/>
      </c>
      <c r="S554" t="n">
        <v>0</v>
      </c>
      <c r="T554">
        <f>290*T553/1000</f>
        <v/>
      </c>
      <c r="U554" t="n">
        <v>0</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((Inputs!$B$6*(1+Inputs!$B$7/100))+(((Inputs!$B$12*(1+Inputs!$B$13/100))-(Inputs!$B$12*(1+Inputs!$B$13/100)))+0.25*(Inputs!$B$14-Inputs!$B$14))*(1+Inputs!$B$7/100))*(F555/100)</f>
        <v/>
      </c>
      <c r="K555">
        <f>J555*(1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5="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F568-Calc!F18),(Inputs!$B$23+(IF(ArtifactsInput!$M$15,CHOOSE(ArtifactsInput!$N$15+1,25,30,35,40,45,50)/100*(Inputs!$B$11-Inputs!$B$11),0))))/100+(Inputs!$B$23+(IF(ArtifactsInput!$M$15,CHOOSE(ArtifactsInput!$N$15+1,25,30,35,40,45,50)/100*(Inputs!$B$11-Inputs!$B$11),0)))/100)/2</f>
        <v/>
      </c>
      <c r="M555">
        <f>L555*(1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(1-Summary!$B$11)*S555+Summary!$B$11*U555</f>
        <v/>
      </c>
      <c r="P555">
        <f>IF(B587=0,0,O555/B587)</f>
        <v/>
      </c>
      <c r="Q555">
        <f>IFERROR(1/IF(Inputs!$B$38="pvp",15,MAX(0.1,Skills!D5-IF(Skills!E5=TRUE,Inputs!$B$32,0))),0)</f>
        <v/>
      </c>
      <c r="R555">
        <f>IF(AND(Inputs!$B$38&lt;&gt;"pvp",Inputs!$B$43&gt;0),IF(MAX(0,Inputs!$B$43-B584)&lt;=0,0,(INT(MAX(0,Inputs!$B$43-B584)/IF(Inputs!$B$38="pvp",15,MAX(0.1,Skills!D5-IF(Skills!E5=TRUE,Inputs!$B$32,0))))+1)),0)</f>
        <v/>
      </c>
      <c r="S555">
        <f>IF(C555,(H555*N555*IF(AND(Inputs!$B$38&lt;&gt;"pvp",Inputs!$B$43&gt;0),((Skills!F5*((R555-1)*IF(Skills!G5&gt;0,Skills!H5/Skills!G5,1)+IF(Skills!G5&gt;0,MIN(Skills!H5,MAX(0,MAX(0,Inputs!$B$43-B584)-((R555-1)*IF(Inputs!$B$38="pvp",15,MAX(0.1,Skills!D5-IF(Skills!E5=TRUE,Inputs!$B$32,0))))))/Skills!G5,1)))/Inputs!$B$43),G555*Q555))*IF(Inputs!$B$38="pvp",1,1+(Inputs!$B$20+Skills!O5+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555*(1-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IF(C555,(H555*N555*IF(AND(Inputs!$B$38&lt;&gt;"pvp",Inputs!$B$43&gt;0),((Skills!F5*((R555-1)*IF(Skills!G5&gt;0,Skills!H5/Skills!G5,1)+IF(Skills!G5&gt;0,MIN(Skills!H5,MAX(0,MAX(0,Inputs!$B$43-B584)-((R555-1)*IF(Inputs!$B$38="pvp",15,MAX(0.1,Skills!D5-IF(Skills!E5=TRUE,Inputs!$B$32,0))))))/Skills!G5,1)))/Inputs!$B$43),G555*Q555))*IF(Inputs!$B$38="pvp",1,(1+(Inputs!$B$21+Skills!P5+B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((Inputs!$B$6*(1+Inputs!$B$7/100))+(((Inputs!$B$12*(1+Inputs!$B$13/100))-(Inputs!$B$12*(1+Inputs!$B$13/100)))+0.25*(Inputs!$B$14-Inputs!$B$14))*(1+Inputs!$B$7/100))*(F556/100)</f>
        <v/>
      </c>
      <c r="K556">
        <f>J556*(1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6="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568-Calc!F18),(Inputs!$B$23+(IF(ArtifactsInput!$M$15,CHOOSE(ArtifactsInput!$N$15+1,25,30,35,40,45,50)/100*(Inputs!$B$11-Inputs!$B$11),0))))/100+(Inputs!$B$23+(IF(ArtifactsInput!$M$15,CHOOSE(ArtifactsInput!$N$15+1,25,30,35,40,45,50)/100*(Inputs!$B$11-Inputs!$B$11),0)))/100)/2</f>
        <v/>
      </c>
      <c r="M556">
        <f>L556*(1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IF(B587=0,0,O556/B587)</f>
        <v/>
      </c>
      <c r="Q556">
        <f>IFERROR(1/IF(Inputs!$B$38="pvp",15,MAX(0.1,Skills!D6-IF(Skills!E6=TRUE,Inputs!$B$32,0))),0)</f>
        <v/>
      </c>
      <c r="R556">
        <f>IF(AND(Inputs!$B$38&lt;&gt;"pvp",Inputs!$B$43&gt;0),IF(MAX(0,Inputs!$B$43-B584)&lt;=0,0,(INT(MAX(0,Inputs!$B$43-B584)/IF(Inputs!$B$38="pvp",15,MAX(0.1,Skills!D6-IF(Skills!E6=TRUE,Inputs!$B$32,0))))+1)),0)</f>
        <v/>
      </c>
      <c r="S556">
        <f>IF(C556,(H556*N556*IF(AND(Inputs!$B$38&lt;&gt;"pvp",Inputs!$B$43&gt;0),((Skills!F6*((R556-1)*IF(Skills!G6&gt;0,Skills!H6/Skills!G6,1)+IF(Skills!G6&gt;0,MIN(Skills!H6,MAX(0,MAX(0,Inputs!$B$43-B584)-((R556-1)*IF(Inputs!$B$38="pvp",15,MAX(0.1,Skills!D6-IF(Skills!E6=TRUE,Inputs!$B$32,0))))))/Skills!G6,1)))/Inputs!$B$43),G556*Q556))*IF(Inputs!$B$38="pvp",1,1+(Inputs!$B$20+Skills!O6+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556*(1-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6">
        <f>IF(C556,(H556*N556*IF(AND(Inputs!$B$38&lt;&gt;"pvp",Inputs!$B$43&gt;0),((Skills!F6*((R556-1)*IF(Skills!G6&gt;0,Skills!H6/Skills!G6,1)+IF(Skills!G6&gt;0,MIN(Skills!H6,MAX(0,MAX(0,Inputs!$B$43-B584)-((R556-1)*IF(Inputs!$B$38="pvp",15,MAX(0.1,Skills!D6-IF(Skills!E6=TRUE,Inputs!$B$32,0))))))/Skills!G6,1)))/Inputs!$B$43),G556*Q556))*IF(Inputs!$B$38="pvp",1,(1+(Inputs!$B$21+Skills!P6+B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((Inputs!$B$6*(1+Inputs!$B$7/100))+(((Inputs!$B$12*(1+Inputs!$B$13/100))-(Inputs!$B$12*(1+Inputs!$B$13/100)))+0.25*(Inputs!$B$14-Inputs!$B$14))*(1+Inputs!$B$7/100))*(F557/100)</f>
        <v/>
      </c>
      <c r="K557">
        <f>J557*(1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7="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568-Calc!F18),(Inputs!$B$23+(IF(ArtifactsInput!$M$15,CHOOSE(ArtifactsInput!$N$15+1,25,30,35,40,45,50)/100*(Inputs!$B$11-Inputs!$B$11),0))))/100+(Inputs!$B$23+(IF(ArtifactsInput!$M$15,CHOOSE(ArtifactsInput!$N$15+1,25,30,35,40,45,50)/100*(Inputs!$B$11-Inputs!$B$11),0)))/100)/2</f>
        <v/>
      </c>
      <c r="M557">
        <f>L557*(1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IF(B587=0,0,O557/B587)</f>
        <v/>
      </c>
      <c r="Q557">
        <f>IFERROR(1/IF(Inputs!$B$38="pvp",15,MAX(0.1,Skills!D7-IF(Skills!E7=TRUE,Inputs!$B$32,0))),0)</f>
        <v/>
      </c>
      <c r="R557">
        <f>IF(AND(Inputs!$B$38&lt;&gt;"pvp",Inputs!$B$43&gt;0),IF(MAX(0,Inputs!$B$43-B584)&lt;=0,0,(INT(MAX(0,Inputs!$B$43-B584)/IF(Inputs!$B$38="pvp",15,MAX(0.1,Skills!D7-IF(Skills!E7=TRUE,Inputs!$B$32,0))))+1)),0)</f>
        <v/>
      </c>
      <c r="S557">
        <f>IF(C557,(H557*N557*IF(AND(Inputs!$B$38&lt;&gt;"pvp",Inputs!$B$43&gt;0),((Skills!F7*((R557-1)*IF(Skills!G7&gt;0,Skills!H7/Skills!G7,1)+IF(Skills!G7&gt;0,MIN(Skills!H7,MAX(0,MAX(0,Inputs!$B$43-B584)-((R557-1)*IF(Inputs!$B$38="pvp",15,MAX(0.1,Skills!D7-IF(Skills!E7=TRUE,Inputs!$B$32,0))))))/Skills!G7,1)))/Inputs!$B$43),G557*Q557))*IF(Inputs!$B$38="pvp",1,1+(Inputs!$B$20+Skills!O7+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557*(1-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IF(C557,(H557*N557*IF(AND(Inputs!$B$38&lt;&gt;"pvp",Inputs!$B$43&gt;0),((Skills!F7*((R557-1)*IF(Skills!G7&gt;0,Skills!H7/Skills!G7,1)+IF(Skills!G7&gt;0,MIN(Skills!H7,MAX(0,MAX(0,Inputs!$B$43-B584)-((R557-1)*IF(Inputs!$B$38="pvp",15,MAX(0.1,Skills!D7-IF(Skills!E7=TRUE,Inputs!$B$32,0))))))/Skills!G7,1)))/Inputs!$B$43),G557*Q557))*IF(Inputs!$B$38="pvp",1,(1+(Inputs!$B$21+Skills!P7+B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((Inputs!$B$6*(1+Inputs!$B$7/100))+(((Inputs!$B$12*(1+Inputs!$B$13/100))-(Inputs!$B$12*(1+Inputs!$B$13/100)))+0.25*(Inputs!$B$14-Inputs!$B$14))*(1+Inputs!$B$7/100))*(F558/100)</f>
        <v/>
      </c>
      <c r="K558">
        <f>J558*(1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8="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568-Calc!F18),(Inputs!$B$23+(IF(ArtifactsInput!$M$15,CHOOSE(ArtifactsInput!$N$15+1,25,30,35,40,45,50)/100*(Inputs!$B$11-Inputs!$B$11),0))))/100+(Inputs!$B$23+(IF(ArtifactsInput!$M$15,CHOOSE(ArtifactsInput!$N$15+1,25,30,35,40,45,50)/100*(Inputs!$B$11-Inputs!$B$11),0)))/100)/2</f>
        <v/>
      </c>
      <c r="M558">
        <f>L558*(1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IF(B587=0,0,O558/B587)</f>
        <v/>
      </c>
      <c r="Q558">
        <f>IFERROR(1/IF(Inputs!$B$38="pvp",15,MAX(0.1,Skills!D8-IF(Skills!E8=TRUE,Inputs!$B$32,0))),0)</f>
        <v/>
      </c>
      <c r="R558">
        <f>IF(AND(Inputs!$B$38&lt;&gt;"pvp",Inputs!$B$43&gt;0),IF(MAX(0,Inputs!$B$43-B584)&lt;=0,0,(INT(MAX(0,Inputs!$B$43-B584)/IF(Inputs!$B$38="pvp",15,MAX(0.1,Skills!D8-IF(Skills!E8=TRUE,Inputs!$B$32,0))))+1)),0)</f>
        <v/>
      </c>
      <c r="S558">
        <f>IF(C558,(H558*N558*IF(AND(Inputs!$B$38&lt;&gt;"pvp",Inputs!$B$43&gt;0),((Skills!F8*((R558-1)*IF(Skills!G8&gt;0,Skills!H8/Skills!G8,1)+IF(Skills!G8&gt;0,MIN(Skills!H8,MAX(0,MAX(0,Inputs!$B$43-B584)-((R558-1)*IF(Inputs!$B$38="pvp",15,MAX(0.1,Skills!D8-IF(Skills!E8=TRUE,Inputs!$B$32,0))))))/Skills!G8,1)))/Inputs!$B$43),G558*Q558))*IF(Inputs!$B$38="pvp",1,1+(Inputs!$B$20+Skills!O8+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558*(1-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F(C558,(H558*N558*IF(AND(Inputs!$B$38&lt;&gt;"pvp",Inputs!$B$43&gt;0),((Skills!F8*((R558-1)*IF(Skills!G8&gt;0,Skills!H8/Skills!G8,1)+IF(Skills!G8&gt;0,MIN(Skills!H8,MAX(0,MAX(0,Inputs!$B$43-B584)-((R558-1)*IF(Inputs!$B$38="pvp",15,MAX(0.1,Skills!D8-IF(Skills!E8=TRUE,Inputs!$B$32,0))))))/Skills!G8,1)))/Inputs!$B$43),G558*Q558))*IF(Inputs!$B$38="pvp",1,(1+(Inputs!$B$21+Skills!P8+B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((Inputs!$B$6*(1+Inputs!$B$7/100))+(((Inputs!$B$12*(1+Inputs!$B$13/100))-(Inputs!$B$12*(1+Inputs!$B$13/100)))+0.25*(Inputs!$B$14-Inputs!$B$14))*(1+Inputs!$B$7/100))*(F559/100)</f>
        <v/>
      </c>
      <c r="K559">
        <f>J559*(1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9="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568-Calc!F18),(Inputs!$B$23+(IF(ArtifactsInput!$M$15,CHOOSE(ArtifactsInput!$N$15+1,25,30,35,40,45,50)/100*(Inputs!$B$11-Inputs!$B$11),0))))/100+(Inputs!$B$23+(IF(ArtifactsInput!$M$15,CHOOSE(ArtifactsInput!$N$15+1,25,30,35,40,45,50)/100*(Inputs!$B$11-Inputs!$B$11),0)))/100)/2</f>
        <v/>
      </c>
      <c r="M559">
        <f>L559*(1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IF(B587=0,0,O559/B587)</f>
        <v/>
      </c>
      <c r="Q559">
        <f>IFERROR(1/IF(Inputs!$B$38="pvp",15,MAX(0.1,Skills!D9-IF(Skills!E9=TRUE,Inputs!$B$32,0))),0)</f>
        <v/>
      </c>
      <c r="R559">
        <f>IF(AND(Inputs!$B$38&lt;&gt;"pvp",Inputs!$B$43&gt;0),IF(MAX(0,Inputs!$B$43-B584)&lt;=0,0,(INT(MAX(0,Inputs!$B$43-B584)/IF(Inputs!$B$38="pvp",15,MAX(0.1,Skills!D9-IF(Skills!E9=TRUE,Inputs!$B$32,0))))+1)),0)</f>
        <v/>
      </c>
      <c r="S559">
        <f>IF(C559,(H559*N559*IF(AND(Inputs!$B$38&lt;&gt;"pvp",Inputs!$B$43&gt;0),((Skills!F9*((R559-1)*IF(Skills!G9&gt;0,Skills!H9/Skills!G9,1)+IF(Skills!G9&gt;0,MIN(Skills!H9,MAX(0,MAX(0,Inputs!$B$43-B584)-((R559-1)*IF(Inputs!$B$38="pvp",15,MAX(0.1,Skills!D9-IF(Skills!E9=TRUE,Inputs!$B$32,0))))))/Skills!G9,1)))/Inputs!$B$43),G559*Q559))*IF(Inputs!$B$38="pvp",1,1+(Inputs!$B$20+Skills!O9+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559*(1-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F9*((R559-1)*IF(Skills!G9&gt;0,Skills!H9/Skills!G9,1)+IF(Skills!G9&gt;0,MIN(Skills!H9,MAX(0,MAX(0,Inputs!$B$43-B584)-((R559-1)*IF(Inputs!$B$38="pvp",15,MAX(0.1,Skills!D9-IF(Skills!E9=TRUE,Inputs!$B$32,0))))))/Skills!G9,1)))/Inputs!$B$43),G559*Q559))*IF(Inputs!$B$38="pvp",1,(1+(Inputs!$B$21+Skills!P9+B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((Inputs!$B$6*(1+Inputs!$B$7/100))+(((Inputs!$B$12*(1+Inputs!$B$13/100))-(Inputs!$B$12*(1+Inputs!$B$13/100)))+0.25*(Inputs!$B$14-Inputs!$B$14))*(1+Inputs!$B$7/100))*(F560/100)</f>
        <v/>
      </c>
      <c r="K560">
        <f>J560*(1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10="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F568-Calc!F18),(Inputs!$B$23+(IF(ArtifactsInput!$M$15,CHOOSE(ArtifactsInput!$N$15+1,25,30,35,40,45,50)/100*(Inputs!$B$11-Inputs!$B$11),0))))/100+(Inputs!$B$23+(IF(ArtifactsInput!$M$15,CHOOSE(ArtifactsInput!$N$15+1,25,30,35,40,45,50)/100*(Inputs!$B$11-Inputs!$B$11),0)))/100)/2</f>
        <v/>
      </c>
      <c r="M560">
        <f>L560*(1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(1-Summary!$B$11)*S560+Summary!$B$11*U560</f>
        <v/>
      </c>
      <c r="P560">
        <f>IF(B587=0,0,O560/B587)</f>
        <v/>
      </c>
      <c r="Q560">
        <f>IFERROR(1/IF(Inputs!$B$38="pvp",15,MAX(0.1,Skills!D10-IF(Skills!E9=TRUE,Inputs!$B$32,0))),0)</f>
        <v/>
      </c>
      <c r="R560">
        <f>IF(AND(Inputs!$B$38&lt;&gt;"pvp",Inputs!$B$43&gt;0),IF(MAX(0,Inputs!$B$43-B584)&lt;=0,0,(INT(MAX(0,Inputs!$B$43-B584)/IF(Inputs!$B$38="pvp",15,MAX(0.1,Skills!D10-IF(Skills!E9=TRUE,Inputs!$B$32,0))))+1)),0)</f>
        <v/>
      </c>
      <c r="S560">
        <f>IF(C560,(H560*N560*IF(AND(Inputs!$B$38&lt;&gt;"pvp",Inputs!$B$43&gt;0),((Skills!F10*((R560-1)*IF(Skills!G10&gt;0,Skills!H10/Skills!G10,1)+IF(Skills!G10&gt;0,MIN(Skills!H10,MAX(0,MAX(0,Inputs!$B$43-B584)-((R560-1)*IF(Inputs!$B$38="pvp",15,MAX(0.1,Skills!D10-IF(Skills!E9=TRUE,Inputs!$B$32,0))))))/Skills!G10,1)))/Inputs!$B$43),G560*Q560))*IF(Inputs!$B$38="pvp",1,1+(Inputs!$B$20+Skills!O10+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560*(1-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0">
        <f>IF(C560,(H560*N560*IF(AND(Inputs!$B$38&lt;&gt;"pvp",Inputs!$B$43&gt;0),((Skills!F10*((R560-1)*IF(Skills!G10&gt;0,Skills!H10/Skills!G10,1)+IF(Skills!G10&gt;0,MIN(Skills!H10,MAX(0,MAX(0,Inputs!$B$43-B584)-((R560-1)*IF(Inputs!$B$38="pvp",15,MAX(0.1,Skills!D10-IF(Skills!E9=TRUE,Inputs!$B$32,0))))))/Skills!G10,1)))/Inputs!$B$43),G560*Q560))*IF(Inputs!$B$38="pvp",1,(1+(Inputs!$B$21+Skills!P10+B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((Inputs!$B$6*(1+Inputs!$B$7/100))+(((Inputs!$B$12*(1+Inputs!$B$13/100))-(Inputs!$B$12*(1+Inputs!$B$13/100)))+0.25*(Inputs!$B$14-Inputs!$B$14))*(1+Inputs!$B$7/100))*(F561/100)</f>
        <v/>
      </c>
      <c r="K561">
        <f>J561*(1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11="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568-Calc!F18),(Inputs!$B$23+(IF(ArtifactsInput!$M$15,CHOOSE(ArtifactsInput!$N$15+1,25,30,35,40,45,50)/100*(Inputs!$B$11-Inputs!$B$11),0))))/100+(Inputs!$B$23+(IF(ArtifactsInput!$M$15,CHOOSE(ArtifactsInput!$N$15+1,25,30,35,40,45,50)/100*(Inputs!$B$11-Inputs!$B$11),0)))/100)/2</f>
        <v/>
      </c>
      <c r="M561">
        <f>L561*(1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IF(B587=0,0,O561/B587)</f>
        <v/>
      </c>
      <c r="Q561">
        <f>IFERROR(1/IF(Inputs!$B$38="pvp",15,MAX(0.1,Skills!D11-IF(Skills!E11=TRUE,Inputs!$B$32,0))),0)</f>
        <v/>
      </c>
      <c r="R561">
        <f>IF(AND(Inputs!$B$38&lt;&gt;"pvp",Inputs!$B$43&gt;0),IF(MAX(0,Inputs!$B$43-B584)&lt;=0,0,(INT(MAX(0,Inputs!$B$43-B584)/IF(Inputs!$B$38="pvp",15,MAX(0.1,Skills!D11-IF(Skills!E11=TRUE,Inputs!$B$32,0))))+1)),0)</f>
        <v/>
      </c>
      <c r="S561">
        <f>IF(C561,H561*N561*IF(AND(Inputs!$B$38&lt;&gt;"pvp",Inputs!$B$43&gt;0),((Skills!F11*((R561-1)*IF(Skills!G11&gt;0,Skills!H11/Skills!G11,1)+IF(Skills!G11&gt;0,MIN(Skills!H11,MAX(0,MAX(0,Inputs!$B$43-B584)-((R561-1)*IF(Inputs!$B$38="pvp",15,MAX(0.1,Skills!D11-IF(Skills!E11=TRUE,Inputs!$B$32,0))))))/Skills!G11,1)))/Inputs!$B$43),G561*Q561)*0.5*IF(Inputs!$B$38="pvp",1,1+(Inputs!$B$20+Skills!O11+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561*(1-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F11*((R561-1)*IF(Skills!G11&gt;0,Skills!H11/Skills!G11,1)+IF(Skills!G11&gt;0,MIN(Skills!H11,MAX(0,MAX(0,Inputs!$B$43-B584)-((R561-1)*IF(Inputs!$B$38="pvp",15,MAX(0.1,Skills!D11-IF(Skills!E11=TRUE,Inputs!$B$32,0))))))/Skills!G11,1)))/Inputs!$B$43),G561*Q561)*1*IF(Inputs!$B$38="pvp",1,(1+(Inputs!$B$21+Skills!P11+B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((Inputs!$B$6*(1+Inputs!$B$7/100))+(((Inputs!$B$12*(1+Inputs!$B$13/100))-(Inputs!$B$12*(1+Inputs!$B$13/100)))+0.25*(Inputs!$B$14-Inputs!$B$14))*(1+Inputs!$B$7/100))*(F562/100)</f>
        <v/>
      </c>
      <c r="K562">
        <f>J562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12="CHAIN_LIGHTNING",Inputs!$B$17+((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568-Calc!F18),(Inputs!$B$23+(IF(ArtifactsInput!$M$15,CHOOSE(ArtifactsInput!$N$15+1,25,30,35,40,45,50)/100*(Inputs!$B$11-Inputs!$B$11),0))))/100+(Inputs!$B$23+(IF(ArtifactsInput!$M$15,CHOOSE(ArtifactsInput!$N$15+1,25,30,35,40,45,50)/100*(Inputs!$B$11-Inputs!$B$11),0)))/100)/2</f>
        <v/>
      </c>
      <c r="M562">
        <f>L562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IF(B587=0,0,O562/B587)</f>
        <v/>
      </c>
      <c r="Q562">
        <f>IFERROR(1/IF(Inputs!$B$38="pvp",15,MAX(0.1,Skills!D12-IF(Skills!E12=TRUE,Inputs!$B$32,0))),0)</f>
        <v/>
      </c>
      <c r="R562">
        <f>IF(AND(Inputs!$B$38&lt;&gt;"pvp",Inputs!$B$43&gt;0),IF(MAX(0,Inputs!$B$43-B584)&lt;=0,0,(INT(MAX(0,Inputs!$B$43-B584)/IF(Inputs!$B$38="pvp",15,MAX(0.1,Skills!D12-IF(Skills!E12=TRUE,Inputs!$B$32,0))))+1)),0)</f>
        <v/>
      </c>
      <c r="S562">
        <f>IF(C562,(H562*N562*IF(AND(Inputs!$B$38&lt;&gt;"pvp",Inputs!$B$43&gt;0),((Skills!F12*((R562-1)*IF(Skills!G12&gt;0,Skills!H12/Skills!G12,1)+IF(Skills!G12&gt;0,MIN(Skills!H12,MAX(0,MAX(0,Inputs!$B$43-B584)-((R562-1)*IF(Inputs!$B$38="pvp",15,MAX(0.1,Skills!D12-IF(Skills!E12=TRUE,Inputs!$B$32,0))))))/Skills!G12,1)))/Inputs!$B$43),G562*Q562))*IF(Inputs!$B$38="pvp",1,1+(Inputs!$B$20+Skills!O12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562*(1-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570-Calc!F20)+(F569-Calc!F19))+(ArtifactsInput!$M$24-ArtifactsInput!$M$24)*CHOOSE(ArtifactsInput!$N$24+1,10,12,14,16,18,20)+(IF(AND(Inputs!$B$38&lt;&gt;"pvp",Inputs!$B$43=0),1,IF(IF(Inputs!$B$38="pvp",15,Inputs!$B$43)-(B584)&lt;=0,1,MAX(0,IF(Inputs!$B$38="pvp",15,Inputs!$B$43)-MAX(5,B584))/(IF(Inputs!$B$38="pvp",15,Inputs!$B$43)-(B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F12*((R562-1)*IF(Skills!G12&gt;0,Skills!H12/Skills!G12,1)+IF(Skills!G12&gt;0,MIN(Skills!H12,MAX(0,MAX(0,Inputs!$B$43-B584)-((R562-1)*IF(Inputs!$B$38="pvp",15,MAX(0.1,Skills!D12-IF(Skills!E12=TRUE,Inputs!$B$32,0))))))/Skills!G12,1)))/Inputs!$B$43),G562*Q562))*IF(Inputs!$B$38="pvp",1,(1+(Inputs!$B$21+Skills!P12+B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f>(1-Summary!$B$11)*S563+Summary!$B$11*U563</f>
        <v/>
      </c>
      <c r="P563">
        <f>IF(B587=0,0,O563/B587)</f>
        <v/>
      </c>
      <c r="Q563">
        <f>IFERROR(1/IF(Inputs!$B$38="pvp",15,MAX(0.1,Skills!D13-IF(Skills!E13=TRUE,Inputs!$B$32,0))),0)</f>
        <v/>
      </c>
      <c r="R563" t="n">
        <v>0</v>
      </c>
      <c r="S563" t="n">
        <v>0</v>
      </c>
      <c r="U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f>(1-Summary!$B$11)*S564+Summary!$B$11*U564</f>
        <v/>
      </c>
      <c r="P564">
        <f>IF(B587=0,0,O564/B587)</f>
        <v/>
      </c>
      <c r="Q564">
        <f>IFERROR(1/IF(Inputs!$B$38="pvp",15,MAX(0.1,Skills!D14-IF(Skills!E14=TRUE,Inputs!$B$32,0))),0)</f>
        <v/>
      </c>
      <c r="R564" t="n">
        <v>0</v>
      </c>
      <c r="S564" t="n">
        <v>0</v>
      </c>
      <c r="U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f>(1-Summary!$B$11)*S565+Summary!$B$11*U565</f>
        <v/>
      </c>
      <c r="P565">
        <f>IF(B587=0,0,O565/B587)</f>
        <v/>
      </c>
      <c r="Q565">
        <f>IFERROR(1/IF(Inputs!$B$38="pvp",15,MAX(0.1,Skills!D15-IF(Skills!E15=TRUE,Inputs!$B$32,0))),0)</f>
        <v/>
      </c>
      <c r="R565" t="n">
        <v>0</v>
      </c>
      <c r="S565" t="n">
        <v>0</v>
      </c>
      <c r="U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f>(1-Summary!$B$11)*S566+Summary!$B$11*U566</f>
        <v/>
      </c>
      <c r="P566">
        <f>IF(B587=0,0,O566/B587)</f>
        <v/>
      </c>
      <c r="Q566">
        <f>IFERROR(1/IF(Inputs!$B$38="pvp",15,MAX(0.1,Skills!D16-IF(Skills!E16=TRUE,Inputs!$B$32,0))),0)</f>
        <v/>
      </c>
      <c r="R566">
        <f>IF(AND(Inputs!$B$38&lt;&gt;"pvp",Inputs!$B$43&gt;0),IF(Inputs!$B$43&lt;=0,0,(INT(Inputs!$B$43/IF(Inputs!$B$38="pvp",15,MAX(0.1,Skills!D16-IF(Skills!E16=TRUE,Inputs!$B$32,0))))+1)),0)</f>
        <v/>
      </c>
      <c r="S566" t="n">
        <v>0</v>
      </c>
      <c r="U566" t="n">
        <v>0</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f>(1-Summary!$B$11)*S567+Summary!$B$11*U567</f>
        <v/>
      </c>
      <c r="P567">
        <f>IF(B587=0,0,O567/B587)</f>
        <v/>
      </c>
      <c r="Q567">
        <f>IFERROR(1/IF(Inputs!$B$38="pvp",15,MAX(0.1,Skills!D17-IF(Skills!E17=TRUE,Inputs!$B$32,0))),0)</f>
        <v/>
      </c>
      <c r="R567" t="n">
        <v>0</v>
      </c>
      <c r="S567" t="n">
        <v>0</v>
      </c>
      <c r="U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f>(1-Summary!$B$11)*S568+Summary!$B$11*U568</f>
        <v/>
      </c>
      <c r="P568">
        <f>IF(B587=0,0,O568/B587)</f>
        <v/>
      </c>
      <c r="Q568">
        <f>IFERROR(1/IF(Inputs!$B$38="pvp",15,MAX(0.1,Skills!D18-IF(Skills!E18=TRUE,Inputs!$B$32,0))),0)</f>
        <v/>
      </c>
      <c r="R568" t="n">
        <v>0</v>
      </c>
      <c r="S568" t="n">
        <v>0</v>
      </c>
      <c r="U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f>(1-Summary!$B$11)*S569+Summary!$B$11*U569</f>
        <v/>
      </c>
      <c r="P569">
        <f>IF(B587=0,0,O569/B587)</f>
        <v/>
      </c>
      <c r="Q569">
        <f>IFERROR(1/IF(Inputs!$B$38="pvp",15,MAX(0.1,Skills!D19-IF(Skills!E19=TRUE,Inputs!$B$32,0))),0)</f>
        <v/>
      </c>
      <c r="R569" t="n">
        <v>0</v>
      </c>
      <c r="S569" t="n">
        <v>0</v>
      </c>
      <c r="U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f>(1-Summary!$B$11)*S570+Summary!$B$11*U570</f>
        <v/>
      </c>
      <c r="P570">
        <f>IF(B587=0,0,O570/B587)</f>
        <v/>
      </c>
      <c r="Q570">
        <f>IFERROR(1/IF(Inputs!$B$38="pvp",15,MAX(0.1,Skills!D20-IF(Skills!E20=TRUE,Inputs!$B$32,0))),0)</f>
        <v/>
      </c>
      <c r="R570" t="n">
        <v>0</v>
      </c>
      <c r="S570" t="n">
        <v>0</v>
      </c>
      <c r="U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f>(1-Summary!$B$11)*S571+Summary!$B$11*U571</f>
        <v/>
      </c>
      <c r="P571">
        <f>IF(B587=0,0,O571/B587)</f>
        <v/>
      </c>
      <c r="Q571">
        <f>IFERROR(1/IF(Inputs!$B$38="pvp",15,MAX(0.1,Skills!D21-IF(Skills!E21=TRUE,Inputs!$B$32,0))),0)</f>
        <v/>
      </c>
      <c r="R571" t="n">
        <v>0</v>
      </c>
      <c r="S571" t="n">
        <v>0</v>
      </c>
      <c r="U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f>(1-Summary!$B$11)*S572+Summary!$B$11*U572</f>
        <v/>
      </c>
      <c r="P572">
        <f>IF(B587=0,0,O572/B587)</f>
        <v/>
      </c>
      <c r="Q572">
        <f>IFERROR(1/IF(Inputs!$B$38="pvp",15,MAX(0.1,Skills!D22-IF(Skills!E22=TRUE,Inputs!$B$32,0))),0)</f>
        <v/>
      </c>
      <c r="R572" t="n">
        <v>0</v>
      </c>
      <c r="S572" t="n">
        <v>0</v>
      </c>
      <c r="U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f>(1-Summary!$B$11)*S573+Summary!$B$11*U573</f>
        <v/>
      </c>
      <c r="P573">
        <f>IF(B587=0,0,O573/B587)</f>
        <v/>
      </c>
      <c r="Q573">
        <f>IFERROR(1/IF(Inputs!$B$38="pvp",15,MAX(0.1,Skills!D23-IF(Skills!E23=TRUE,Inputs!$B$32,0))),0)</f>
        <v/>
      </c>
      <c r="R573" t="n">
        <v>0</v>
      </c>
      <c r="S573" t="n">
        <v>0</v>
      </c>
      <c r="U573" t="n">
        <v>0</v>
      </c>
    </row>
    <row r="574">
      <c r="A574">
        <f>Skills!A24</f>
        <v/>
      </c>
      <c r="B574">
        <f>Skills!B24</f>
        <v/>
      </c>
      <c r="C574">
        <f>TRUE</f>
        <v/>
      </c>
      <c r="D574">
        <f>IF(Skills!C24=1,60+Inputs!$B$25+Inputs!$B$29,IF(Skills!C24=2,90+Inputs!$B$26+Inputs!$B$29,IF(Skills!C24=3,120+Inputs!$B$27+Inputs!$B$29,MAX(0,(Inputs!$B$3-100)*3)+Inputs!$B$28+Inputs!$B$29)))</f>
        <v/>
      </c>
      <c r="E574">
        <f>INDEX(FactorTable!$B$2:$Y$301, MATCH(ROUND(MIN(300,MAX(1,D574)),0), FactorTable!$A$2:$A$301,0), Skills!L24+1)</f>
        <v/>
      </c>
      <c r="F574">
        <f>IF(Skills!M24=TRUE,(Skills!K24/10)*(E574/1000),Skills!K24/10)+Skills!N24</f>
        <v/>
      </c>
      <c r="G574">
        <f>Calc!G24</f>
        <v/>
      </c>
      <c r="H574">
        <f>Calc!H24</f>
        <v/>
      </c>
      <c r="I574">
        <f>IF(Skills!T24&lt;&gt;"",1+(Skills!T24/10)*(Z553/1000)/100,1)</f>
        <v/>
      </c>
      <c r="J574" t="inlineStr"/>
      <c r="K574" t="inlineStr"/>
      <c r="L574" t="inlineStr"/>
      <c r="M574" t="inlineStr"/>
      <c r="N574" t="inlineStr"/>
      <c r="O574">
        <f>(1-Summary!$B$11)*S574+Summary!$B$11*U574</f>
        <v/>
      </c>
      <c r="P574">
        <f>IF(B587=0,0,O574/B587)</f>
        <v/>
      </c>
      <c r="Q574">
        <f>IFERROR(1/IF(Inputs!$B$38="pvp",15,MAX(0.1,Skills!D24-IF(Skills!E24=TRUE,Inputs!$B$32,0))),0)</f>
        <v/>
      </c>
      <c r="R574">
        <f>IF(AND(Inputs!$B$38&lt;&gt;"pvp",Inputs!$B$43&gt;0),IF(Inputs!$B$43&lt;=0,0,(INT(Inputs!$B$43/IF(Inputs!$B$38="pvp",15,MAX(0.1,Skills!D24-IF(Skills!E24=TRUE,Inputs!$B$32,0))))+1)),0)</f>
        <v/>
      </c>
      <c r="S574" t="n">
        <v>0</v>
      </c>
      <c r="U574" t="n">
        <v>0</v>
      </c>
    </row>
    <row r="577">
      <c r="A577" t="inlineStr">
        <is>
          <t>Average Buff Multiplier (Magic Guard + Meditation + Artifact Attack%, summed; then Infinity)</t>
        </is>
      </c>
      <c r="B577">
        <f>(1+(IF(C553=TRUE,F553*IF(AND(Inputs!$B$38&lt;&gt;"pvp",Inputs!$B$43&gt;0),(((R553-1)*(Skills!S3*(1+(Inputs!$B$34)/100))+MIN((Skills!S3*(1+(Inputs!$B$34)/100)),MAX(0,Inputs!$B$43-((R553-1)*Skills!D3))))/Inputs!$B$43),IF(Inputs!$B$38="pvp",MIN((Skills!S3*(1+(Inputs!$B$34)/100)),15)/15,(Skills!S3*(1+(Inputs!$B$34)/100))/Skills!D3)),0)+IF(C554=TRUE,F554*IF(AND(Inputs!$B$38&lt;&gt;"pvp",Inputs!$B$43&gt;0),(((R554-1)*(Skills!S4*(1+(Inputs!$B$34)/100))+MIN((Skills!S4*(1+(Inputs!$B$34)/100)),MAX(0,Inputs!$B$43-((R554-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566=TRUE,(1+F566*IF(AND(Inputs!$B$38&lt;&gt;"pvp",Inputs!$B$43&gt;0),(((R566-1)*(Skills!S16*(1+(Inputs!$B$34)/100))+MIN((Skills!S16*(1+(Inputs!$B$34)/100)),MAX(0,Inputs!$B$43-((R566-1)*Skills!D16))))/Inputs!$B$43),IF(Inputs!$B$38="pvp",MIN((Skills!S16*(1+(Inputs!$B$34)/100)),15)/15,(Skills!S16*(1+(Inputs!$B$34)/100))/Skills!D16))/100),1)</f>
        <v/>
      </c>
    </row>
    <row r="578">
      <c r="A578" t="inlineStr">
        <is>
          <t>Monster Damage Taken Bonus % (Freezing Breath - Weaken + Elemental Reset + Artifact Enemy Damage Taken, summed)</t>
        </is>
      </c>
      <c r="B578">
        <f>IF(Inputs!$B$3&gt;=118,15*IF(Inputs!$B$38="pvp",MIN((30*(1+(Inputs!$B$34)/100)),15)/15,(30*(1+(Inputs!$B$34)/100))/Skills!D8),0)+IF(C564=TRUE,F564,0)+(IF(AND(ArtifactsInput!$M$35,Inputs!$B$4&lt;&gt;"Chapter Hunt"),CHOOSE(ArtifactsInput!$N$35+1,15,18,21,24,27,30)*(1-EXP(-(0.2*B581)*5)),0)+IF(AND(ArtifactsInput!$M$22,Inputs!$B$4&lt;&gt;"Chapter Hunt"),CHOOSE(ArtifactsInput!$N$22+1,10,12,14,16,18,20)*((0*(((0.15*B581*5))^0/1)+1*(((0.15*B581*5))^1/1)+2*(((0.15*B581*5))^2/2)+3*(((0.15*B581*5))^3/6)+4*(((0.15*B581*5))^4/24)+5*(((0.15*B581*5))^5/120))/((((0.15*B581*5))^0/1)+(((0.15*B581*5))^1/1)+(((0.15*B581*5))^2/2)+(((0.15*B581*5))^3/6)+(((0.15*B581*5))^4/24)+(((0.15*B581*5))^5/120))),0))</f>
        <v/>
      </c>
    </row>
    <row r="579">
      <c r="A579" t="inlineStr">
        <is>
          <t>Damage % Bonus (Frozen Break + Frost Clutch, flat)</t>
        </is>
      </c>
      <c r="B579">
        <f>IF(Inputs!$B$3&gt;=66,15,0)+IF(Inputs!$B$3&gt;=98,10,0)+IF(Inputs!$B$3&gt;=125,20,0)</f>
        <v/>
      </c>
    </row>
    <row r="580">
      <c r="A580" t="inlineStr">
        <is>
          <t>Attack Speed Bonus % (MP Eater - MP Boost, always-on + Nimble Feet, duty-cycle averaged)</t>
        </is>
      </c>
      <c r="B580">
        <f>IF(C563=TRUE,F563+(F567-Calc!F17),0)+((C574=TRUE)*F574*IF(AND(Inputs!$B$38&lt;&gt;"pvp",Inputs!$B$43&gt;0),(((R574-1)*(Skills!S24*(1+(Inputs!$B$34)/100))+MIN((Skills!S24*(1+(Inputs!$B$34)/100)),MAX(0,Inputs!$B$43-((R574-1)*Skills!D24))))/Inputs!$B$43),IF(Inputs!$B$38="pvp",MIN((Skills!S24*(1+(Inputs!$B$34)/100)),15)/15,(Skills!S24*(1+(Inputs!$B$34)/100))/Skills!D24)))</f>
        <v/>
      </c>
    </row>
    <row r="581">
      <c r="A581" t="inlineStr">
        <is>
          <t>Actions Per Second</t>
        </is>
      </c>
      <c r="B581">
        <f>1+MIN(150,150*(1-(1-(Inputs!$B$11+(ArtifactsInput!$M$15-ArtifactsInput!$M$15)*CHOOSE(ArtifactsInput!$N$15+1,8,9.6,11.2,12.8,14.4,16))/150)*(1-B580/150)))/100</f>
        <v/>
      </c>
    </row>
    <row r="582">
      <c r="A582" t="inlineStr">
        <is>
          <t>Skill + Buff Cast Rate</t>
        </is>
      </c>
      <c r="B582">
        <f>IF(AND(Inputs!$B$38&lt;&gt;"pvp",Inputs!$B$43&gt;0),SUMPRODUCT((Skills!E2:E24=TRUE)*(C552:C574=TRUE)*R552:R574)/Inputs!$B$43,SUMPRODUCT((Skills!E2:E24=TRUE)*(C552:C574=TRUE)*Q552:Q574))</f>
        <v/>
      </c>
    </row>
    <row r="583">
      <c r="A583" t="inlineStr">
        <is>
          <t>Chain Lightning Casts Per Second</t>
        </is>
      </c>
      <c r="B583">
        <f>MAX(0,B581-B582)</f>
        <v/>
      </c>
    </row>
    <row r="584">
      <c r="A584" t="inlineStr">
        <is>
          <t>Buff-Casting Startup Delay (s, fixed-duration only)</t>
        </is>
      </c>
      <c r="B584">
        <f>IF(AND(Inputs!$B$38&lt;&gt;"pvp",Inputs!$B$43&gt;0),SUMPRODUCT((Skills!S2:S24&gt;0)*(Skills!E2:E24=TRUE)*(C552:C574=TRUE))/B581,0)</f>
        <v/>
      </c>
    </row>
    <row r="585">
      <c r="A585" t="inlineStr">
        <is>
          <t>Boss-Only Total DPS (this block's swept value)</t>
        </is>
      </c>
      <c r="B585">
        <f>SUM(S552:S574)</f>
        <v/>
      </c>
    </row>
    <row r="586">
      <c r="A586" t="inlineStr">
        <is>
          <t>Normal-Only Total DPS (this block's swept value)</t>
        </is>
      </c>
      <c r="B586">
        <f>SUM(U552:U574)</f>
        <v/>
      </c>
    </row>
    <row r="587">
      <c r="A587" s="6" t="inlineStr">
        <is>
          <t>TOTAL DPS</t>
        </is>
      </c>
      <c r="B587" s="6">
        <f>SUM(O552:O574)</f>
        <v/>
      </c>
    </row>
    <row r="590">
      <c r="A590" s="6" t="inlineStr">
        <is>
          <t>Stat: BASIC_ATTACK_DAMAGE %</t>
        </is>
      </c>
    </row>
    <row r="591">
      <c r="A591" s="5" t="inlineStr">
        <is>
          <t>Key</t>
        </is>
      </c>
      <c r="B591" s="5" t="inlineStr">
        <is>
          <t>Name</t>
        </is>
      </c>
      <c r="C591" s="5" t="inlineStr">
        <is>
          <t>Unlocked</t>
        </is>
      </c>
      <c r="D591" s="5" t="inlineStr">
        <is>
          <t>InputLevel</t>
        </is>
      </c>
      <c r="E591" s="5" t="inlineStr">
        <is>
          <t>Factor</t>
        </is>
      </c>
      <c r="F591" s="5" t="inlineStr">
        <is>
          <t>CoefficientPercent</t>
        </is>
      </c>
      <c r="G591" s="5" t="inlineStr">
        <is>
          <t>EffectiveHits</t>
        </is>
      </c>
      <c r="H591" s="5" t="inlineStr">
        <is>
          <t>ProcProbability</t>
        </is>
      </c>
      <c r="I591" s="5" t="inlineStr">
        <is>
          <t>MapleHeroMultiplier</t>
        </is>
      </c>
      <c r="J591" s="5" t="inlineStr">
        <is>
          <t>BaseDamage</t>
        </is>
      </c>
      <c r="K591" s="5" t="inlineStr">
        <is>
          <t>BaseHitDamage</t>
        </is>
      </c>
      <c r="L591" s="5" t="inlineStr">
        <is>
          <t>NonCritAvg</t>
        </is>
      </c>
      <c r="M591" s="5" t="inlineStr">
        <is>
          <t>CritAvg</t>
        </is>
      </c>
      <c r="N591" s="5" t="inlineStr">
        <is>
          <t>ExpectedDamage(perHit)</t>
        </is>
      </c>
      <c r="O591" s="5" t="inlineStr">
        <is>
          <t>DPS</t>
        </is>
      </c>
      <c r="P591" s="5" t="inlineStr">
        <is>
          <t>% of Total</t>
        </is>
      </c>
      <c r="R591" t="inlineStr">
        <is>
          <t>helpers</t>
        </is>
      </c>
    </row>
    <row r="592">
      <c r="A592">
        <f>Skills!A2</f>
        <v/>
      </c>
      <c r="B592">
        <f>Skills!B2</f>
        <v/>
      </c>
      <c r="C592">
        <f>Inputs!$B$3&gt;=100</f>
        <v/>
      </c>
      <c r="D592" t="inlineStr"/>
      <c r="E592" t="inlineStr"/>
      <c r="F592">
        <f>T594+Skills!N2</f>
        <v/>
      </c>
      <c r="G592">
        <f>Calc!G2</f>
        <v/>
      </c>
      <c r="H592">
        <f>Calc!H2</f>
        <v/>
      </c>
      <c r="I592">
        <f>IF(Skills!T2&lt;&gt;"",1+(Skills!T2/10)*(Z593/1000)/100,1)</f>
        <v/>
      </c>
      <c r="J592">
        <f>((Inputs!$B$6*(1+Inputs!$B$7/100))+(((Inputs!$B$12*(1+Inputs!$B$13/100))-(Inputs!$B$12*(1+Inputs!$B$13/100)))+0.25*(Inputs!$B$14-Inputs!$B$14))*(1+Inputs!$B$7/100))*(F592/100)</f>
        <v/>
      </c>
      <c r="K592">
        <f>J592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2="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F608-Calc!F18),(Inputs!$B$23+(IF(ArtifactsInput!$M$15,CHOOSE(ArtifactsInput!$N$15+1,25,30,35,40,45,50)/100*(Inputs!$B$11-Inputs!$B$11),0))))/100+(Inputs!$B$23+(IF(ArtifactsInput!$M$15,CHOOSE(ArtifactsInput!$N$15+1,25,30,35,40,45,50)/100*(Inputs!$B$11-Inputs!$B$11),0)))/100)/2</f>
        <v/>
      </c>
      <c r="M592">
        <f>L592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(1-Summary!$B$11)*S592+Summary!$B$11*U592</f>
        <v/>
      </c>
      <c r="P592">
        <f>IF(B627=0,0,O592/B627)</f>
        <v/>
      </c>
      <c r="Q592">
        <f>IFERROR(1/IF(Inputs!$B$38="pvp",15,MAX(0.1,Skills!D2-IF(Skills!E2=TRUE,Inputs!$B$32,0))),0)</f>
        <v/>
      </c>
      <c r="R592" t="n">
        <v>0</v>
      </c>
      <c r="S592">
        <f>IF(C592,(Skills!F2*N592*B623)*IF(Inputs!$B$38="pvp",1,1+(Inputs!$B$20+Skills!O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592*(1-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92">
        <f>MAX(0,(Inputs!$B$3-100)*3)+Inputs!$B$28+Inputs!$B$29</f>
        <v/>
      </c>
      <c r="U592">
        <f>IF(C592,(Skills!F2*N592*B623)*IF(Inputs!$B$38="pvp",1,(1+(Inputs!$B$21+Skills!P2+B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92">
        <f>MAX(0,(Inputs!$B$3-100)*3)+Inputs!$B$28+Inputs!$B$29</f>
        <v/>
      </c>
    </row>
    <row r="593">
      <c r="A593">
        <f>Skills!A3</f>
        <v/>
      </c>
      <c r="B593">
        <f>Skills!B3</f>
        <v/>
      </c>
      <c r="C593">
        <f>Inputs!$B$3&gt;=15</f>
        <v/>
      </c>
      <c r="D593">
        <f>IF(Skills!C3=1,60+Inputs!$B$25+Inputs!$B$29,IF(Skills!C3=2,90+Inputs!$B$26+Inputs!$B$29,IF(Skills!C3=3,120+Inputs!$B$27+Inputs!$B$29,MAX(0,(Inputs!$B$3-100)*3)+Inputs!$B$28+Inputs!$B$29)))</f>
        <v/>
      </c>
      <c r="E593">
        <f>INDEX(FactorTable!$B$2:$Y$301, MATCH(ROUND(MIN(300,MAX(1,D593)),0), FactorTable!$A$2:$A$301,0), Skills!L3+1)</f>
        <v/>
      </c>
      <c r="F593">
        <f>IF(Skills!M3=TRUE,(Skills!K3/10)*(E593/1000),Skills!K3/10)+Skills!N3</f>
        <v/>
      </c>
      <c r="G593">
        <f>Calc!G3</f>
        <v/>
      </c>
      <c r="H593">
        <f>Calc!H3</f>
        <v/>
      </c>
      <c r="I593">
        <f>IF(Skills!T3&lt;&gt;"",1+(Skills!T3/10)*(Z593/1000)/100,1)</f>
        <v/>
      </c>
      <c r="J593" t="inlineStr"/>
      <c r="K593" t="inlineStr"/>
      <c r="L593" t="inlineStr"/>
      <c r="M593" t="inlineStr"/>
      <c r="N593" t="inlineStr"/>
      <c r="O593">
        <f>(1-Summary!$B$11)*S593+Summary!$B$11*U593</f>
        <v/>
      </c>
      <c r="P593">
        <f>IF(B627=0,0,O593/B627)</f>
        <v/>
      </c>
      <c r="Q593">
        <f>IFERROR(1/IF(Inputs!$B$38="pvp",15,MAX(0.1,Skills!D3-IF(Skills!E3=TRUE,Inputs!$B$32,0))),0)</f>
        <v/>
      </c>
      <c r="R593">
        <f>IF(AND(Inputs!$B$38&lt;&gt;"pvp",Inputs!$B$43&gt;0),IF(Inputs!$B$43&lt;=0,0,(INT(Inputs!$B$43/IF(Inputs!$B$38="pvp",15,MAX(0.1,Skills!D3-IF(Skills!E3=TRUE,Inputs!$B$32,0))))+1)),0)</f>
        <v/>
      </c>
      <c r="S593" t="n">
        <v>0</v>
      </c>
      <c r="T593">
        <f>INDEX(FactorTable!$B$2:$Y$301, MATCH(ROUND(MIN(300,MAX(1,T592)),0), FactorTable!$A$2:$A$301,0), 22)</f>
        <v/>
      </c>
      <c r="U593" t="n">
        <v>0</v>
      </c>
      <c r="Z593">
        <f>INDEX(FactorTable!$B$2:$Y$301, MATCH(ROUND(MIN(300,MAX(1,Z592)),0), FactorTable!$A$2:$A$301,0), 24)</f>
        <v/>
      </c>
    </row>
    <row r="594">
      <c r="A594">
        <f>Skills!A4</f>
        <v/>
      </c>
      <c r="B594">
        <f>Skills!B4</f>
        <v/>
      </c>
      <c r="C594">
        <f>Inputs!$B$3&gt;=40</f>
        <v/>
      </c>
      <c r="D594">
        <f>IF(Skills!C4=1,60+Inputs!$B$25+Inputs!$B$29,IF(Skills!C4=2,90+Inputs!$B$26+Inputs!$B$29,IF(Skills!C4=3,120+Inputs!$B$27+Inputs!$B$29,MAX(0,(Inputs!$B$3-100)*3)+Inputs!$B$28+Inputs!$B$29)))</f>
        <v/>
      </c>
      <c r="E594">
        <f>INDEX(FactorTable!$B$2:$Y$301, MATCH(ROUND(MIN(300,MAX(1,D594)),0), FactorTable!$A$2:$A$301,0), Skills!L4+1)</f>
        <v/>
      </c>
      <c r="F594">
        <f>IF(Skills!M4=TRUE,(Skills!K4/10)*(E594/1000),Skills!K4/10)+Skills!N4</f>
        <v/>
      </c>
      <c r="G594">
        <f>Calc!G4</f>
        <v/>
      </c>
      <c r="H594">
        <f>Calc!H4</f>
        <v/>
      </c>
      <c r="I594">
        <f>IF(Skills!T4&lt;&gt;"",1+(Skills!T4/10)*(Z593/1000)/100,1)</f>
        <v/>
      </c>
      <c r="J594" t="inlineStr"/>
      <c r="K594" t="inlineStr"/>
      <c r="L594" t="inlineStr"/>
      <c r="M594" t="inlineStr"/>
      <c r="N594" t="inlineStr"/>
      <c r="O594">
        <f>(1-Summary!$B$11)*S594+Summary!$B$11*U594</f>
        <v/>
      </c>
      <c r="P594">
        <f>IF(B627=0,0,O594/B627)</f>
        <v/>
      </c>
      <c r="Q594">
        <f>IFERROR(1/IF(Inputs!$B$38="pvp",15,MAX(0.1,Skills!D4-IF(Skills!E4=TRUE,Inputs!$B$32,0))),0)</f>
        <v/>
      </c>
      <c r="R594">
        <f>IF(AND(Inputs!$B$38&lt;&gt;"pvp",Inputs!$B$43&gt;0),IF(Inputs!$B$43&lt;=0,0,(INT(Inputs!$B$43/IF(Inputs!$B$38="pvp",15,MAX(0.1,Skills!D4-IF(Skills!E4=TRUE,Inputs!$B$32,0))))+1)),0)</f>
        <v/>
      </c>
      <c r="S594" t="n">
        <v>0</v>
      </c>
      <c r="T594">
        <f>290*T593/1000</f>
        <v/>
      </c>
      <c r="U594" t="n">
        <v>0</v>
      </c>
    </row>
    <row r="595">
      <c r="A595">
        <f>Skills!A5</f>
        <v/>
      </c>
      <c r="B595">
        <f>Skills!B5</f>
        <v/>
      </c>
      <c r="C595">
        <f>Inputs!$B$3&gt;=38</f>
        <v/>
      </c>
      <c r="D595">
        <f>IF(Skills!C5=1,60+Inputs!$B$25+Inputs!$B$29,IF(Skills!C5=2,90+Inputs!$B$26+Inputs!$B$29,IF(Skills!C5=3,120+Inputs!$B$27+Inputs!$B$29,MAX(0,(Inputs!$B$3-100)*3)+Inputs!$B$28+Inputs!$B$29)))</f>
        <v/>
      </c>
      <c r="E595">
        <f>INDEX(FactorTable!$B$2:$Y$301, MATCH(ROUND(MIN(300,MAX(1,D595)),0), FactorTable!$A$2:$A$301,0), Skills!L5+1)</f>
        <v/>
      </c>
      <c r="F595">
        <f>IF(Skills!M5=TRUE,(Skills!K5/10)*(E595/1000),Skills!K5/10)+Skills!N5</f>
        <v/>
      </c>
      <c r="G595">
        <f>Calc!G5</f>
        <v/>
      </c>
      <c r="H595">
        <f>Calc!H5</f>
        <v/>
      </c>
      <c r="I595">
        <f>IF(Skills!T5&lt;&gt;"",1+(Skills!T5/10)*(Z593/1000)/100,1)</f>
        <v/>
      </c>
      <c r="J595">
        <f>((Inputs!$B$6*(1+Inputs!$B$7/100))+(((Inputs!$B$12*(1+Inputs!$B$13/100))-(Inputs!$B$12*(1+Inputs!$B$13/100)))+0.25*(Inputs!$B$14-Inputs!$B$14))*(1+Inputs!$B$7/100))*(F595/100)</f>
        <v/>
      </c>
      <c r="K595">
        <f>J595*(1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5="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F608-Calc!F18),(Inputs!$B$23+(IF(ArtifactsInput!$M$15,CHOOSE(ArtifactsInput!$N$15+1,25,30,35,40,45,50)/100*(Inputs!$B$11-Inputs!$B$11),0))))/100+(Inputs!$B$23+(IF(ArtifactsInput!$M$15,CHOOSE(ArtifactsInput!$N$15+1,25,30,35,40,45,50)/100*(Inputs!$B$11-Inputs!$B$11),0)))/100)/2</f>
        <v/>
      </c>
      <c r="M595">
        <f>L595*(1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(1-Summary!$B$11)*S595+Summary!$B$11*U595</f>
        <v/>
      </c>
      <c r="P595">
        <f>IF(B627=0,0,O595/B627)</f>
        <v/>
      </c>
      <c r="Q595">
        <f>IFERROR(1/IF(Inputs!$B$38="pvp",15,MAX(0.1,Skills!D5-IF(Skills!E5=TRUE,Inputs!$B$32,0))),0)</f>
        <v/>
      </c>
      <c r="R595">
        <f>IF(AND(Inputs!$B$38&lt;&gt;"pvp",Inputs!$B$43&gt;0),IF(MAX(0,Inputs!$B$43-B624)&lt;=0,0,(INT(MAX(0,Inputs!$B$43-B624)/IF(Inputs!$B$38="pvp",15,MAX(0.1,Skills!D5-IF(Skills!E5=TRUE,Inputs!$B$32,0))))+1)),0)</f>
        <v/>
      </c>
      <c r="S595">
        <f>IF(C595,(H595*N595*IF(AND(Inputs!$B$38&lt;&gt;"pvp",Inputs!$B$43&gt;0),((Skills!F5*((R595-1)*IF(Skills!G5&gt;0,Skills!H5/Skills!G5,1)+IF(Skills!G5&gt;0,MIN(Skills!H5,MAX(0,MAX(0,Inputs!$B$43-B624)-((R595-1)*IF(Inputs!$B$38="pvp",15,MAX(0.1,Skills!D5-IF(Skills!E5=TRUE,Inputs!$B$32,0))))))/Skills!G5,1)))/Inputs!$B$43),G595*Q595))*IF(Inputs!$B$38="pvp",1,1+(Inputs!$B$20+Skills!O5+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595*(1-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IF(C595,(H595*N595*IF(AND(Inputs!$B$38&lt;&gt;"pvp",Inputs!$B$43&gt;0),((Skills!F5*((R595-1)*IF(Skills!G5&gt;0,Skills!H5/Skills!G5,1)+IF(Skills!G5&gt;0,MIN(Skills!H5,MAX(0,MAX(0,Inputs!$B$43-B624)-((R595-1)*IF(Inputs!$B$38="pvp",15,MAX(0.1,Skills!D5-IF(Skills!E5=TRUE,Inputs!$B$32,0))))))/Skills!G5,1)))/Inputs!$B$43),G595*Q595))*IF(Inputs!$B$38="pvp",1,(1+(Inputs!$B$21+Skills!P5+B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Skills!A6</f>
        <v/>
      </c>
      <c r="B596">
        <f>Skills!B6</f>
        <v/>
      </c>
      <c r="C596">
        <f>Inputs!$B$3&gt;=63</f>
        <v/>
      </c>
      <c r="D596">
        <f>IF(Skills!C6=1,60+Inputs!$B$25+Inputs!$B$29,IF(Skills!C6=2,90+Inputs!$B$26+Inputs!$B$29,IF(Skills!C6=3,120+Inputs!$B$27+Inputs!$B$29,MAX(0,(Inputs!$B$3-100)*3)+Inputs!$B$28+Inputs!$B$29)))</f>
        <v/>
      </c>
      <c r="E596">
        <f>INDEX(FactorTable!$B$2:$Y$301, MATCH(ROUND(MIN(300,MAX(1,D596)),0), FactorTable!$A$2:$A$301,0), Skills!L6+1)</f>
        <v/>
      </c>
      <c r="F596">
        <f>IF(Skills!M6=TRUE,(Skills!K6/10)*(E596/1000),Skills!K6/10)+Skills!N6</f>
        <v/>
      </c>
      <c r="G596">
        <f>Calc!G6</f>
        <v/>
      </c>
      <c r="H596">
        <f>Calc!H6</f>
        <v/>
      </c>
      <c r="I596">
        <f>IF(Skills!T6&lt;&gt;"",1+(Skills!T6/10)*(Z593/1000)/100,1)</f>
        <v/>
      </c>
      <c r="J596">
        <f>((Inputs!$B$6*(1+Inputs!$B$7/100))+(((Inputs!$B$12*(1+Inputs!$B$13/100))-(Inputs!$B$12*(1+Inputs!$B$13/100)))+0.25*(Inputs!$B$14-Inputs!$B$14))*(1+Inputs!$B$7/100))*(F596/100)</f>
        <v/>
      </c>
      <c r="K596">
        <f>J596*(1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6="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F608-Calc!F18),(Inputs!$B$23+(IF(ArtifactsInput!$M$15,CHOOSE(ArtifactsInput!$N$15+1,25,30,35,40,45,50)/100*(Inputs!$B$11-Inputs!$B$11),0))))/100+(Inputs!$B$23+(IF(ArtifactsInput!$M$15,CHOOSE(ArtifactsInput!$N$15+1,25,30,35,40,45,50)/100*(Inputs!$B$11-Inputs!$B$11),0)))/100)/2</f>
        <v/>
      </c>
      <c r="M596">
        <f>L596*(1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(1-Summary!$B$11)*S596+Summary!$B$11*U596</f>
        <v/>
      </c>
      <c r="P596">
        <f>IF(B627=0,0,O596/B627)</f>
        <v/>
      </c>
      <c r="Q596">
        <f>IFERROR(1/IF(Inputs!$B$38="pvp",15,MAX(0.1,Skills!D6-IF(Skills!E6=TRUE,Inputs!$B$32,0))),0)</f>
        <v/>
      </c>
      <c r="R596">
        <f>IF(AND(Inputs!$B$38&lt;&gt;"pvp",Inputs!$B$43&gt;0),IF(MAX(0,Inputs!$B$43-B624)&lt;=0,0,(INT(MAX(0,Inputs!$B$43-B624)/IF(Inputs!$B$38="pvp",15,MAX(0.1,Skills!D6-IF(Skills!E6=TRUE,Inputs!$B$32,0))))+1)),0)</f>
        <v/>
      </c>
      <c r="S596">
        <f>IF(C596,(H596*N596*IF(AND(Inputs!$B$38&lt;&gt;"pvp",Inputs!$B$43&gt;0),((Skills!F6*((R596-1)*IF(Skills!G6&gt;0,Skills!H6/Skills!G6,1)+IF(Skills!G6&gt;0,MIN(Skills!H6,MAX(0,MAX(0,Inputs!$B$43-B624)-((R596-1)*IF(Inputs!$B$38="pvp",15,MAX(0.1,Skills!D6-IF(Skills!E6=TRUE,Inputs!$B$32,0))))))/Skills!G6,1)))/Inputs!$B$43),G596*Q596))*IF(Inputs!$B$38="pvp",1,1+(Inputs!$B$20+Skills!O6+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596*(1-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6">
        <f>IF(C596,(H596*N596*IF(AND(Inputs!$B$38&lt;&gt;"pvp",Inputs!$B$43&gt;0),((Skills!F6*((R596-1)*IF(Skills!G6&gt;0,Skills!H6/Skills!G6,1)+IF(Skills!G6&gt;0,MIN(Skills!H6,MAX(0,MAX(0,Inputs!$B$43-B624)-((R596-1)*IF(Inputs!$B$38="pvp",15,MAX(0.1,Skills!D6-IF(Skills!E6=TRUE,Inputs!$B$32,0))))))/Skills!G6,1)))/Inputs!$B$43),G596*Q596))*IF(Inputs!$B$38="pvp",1,(1+(Inputs!$B$21+Skills!P6+B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Skills!A7</f>
        <v/>
      </c>
      <c r="B597">
        <f>Skills!B7</f>
        <v/>
      </c>
      <c r="C597">
        <f>Inputs!$B$3&gt;=69</f>
        <v/>
      </c>
      <c r="D597">
        <f>IF(Skills!C7=1,60+Inputs!$B$25+Inputs!$B$29,IF(Skills!C7=2,90+Inputs!$B$26+Inputs!$B$29,IF(Skills!C7=3,120+Inputs!$B$27+Inputs!$B$29,MAX(0,(Inputs!$B$3-100)*3)+Inputs!$B$28+Inputs!$B$29)))</f>
        <v/>
      </c>
      <c r="E597">
        <f>INDEX(FactorTable!$B$2:$Y$301, MATCH(ROUND(MIN(300,MAX(1,D597)),0), FactorTable!$A$2:$A$301,0), Skills!L7+1)</f>
        <v/>
      </c>
      <c r="F597">
        <f>IF(Skills!M7=TRUE,(Skills!K7/10)*(E597/1000),Skills!K7/10)+Skills!N7</f>
        <v/>
      </c>
      <c r="G597">
        <f>Calc!G7</f>
        <v/>
      </c>
      <c r="H597">
        <f>Calc!H7</f>
        <v/>
      </c>
      <c r="I597">
        <f>IF(Skills!T7&lt;&gt;"",1+(Skills!T7/10)*(Z593/1000)/100,1)</f>
        <v/>
      </c>
      <c r="J597">
        <f>((Inputs!$B$6*(1+Inputs!$B$7/100))+(((Inputs!$B$12*(1+Inputs!$B$13/100))-(Inputs!$B$12*(1+Inputs!$B$13/100)))+0.25*(Inputs!$B$14-Inputs!$B$14))*(1+Inputs!$B$7/100))*(F597/100)</f>
        <v/>
      </c>
      <c r="K597">
        <f>J597*(1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7="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F608-Calc!F18),(Inputs!$B$23+(IF(ArtifactsInput!$M$15,CHOOSE(ArtifactsInput!$N$15+1,25,30,35,40,45,50)/100*(Inputs!$B$11-Inputs!$B$11),0))))/100+(Inputs!$B$23+(IF(ArtifactsInput!$M$15,CHOOSE(ArtifactsInput!$N$15+1,25,30,35,40,45,50)/100*(Inputs!$B$11-Inputs!$B$11),0)))/100)/2</f>
        <v/>
      </c>
      <c r="M597">
        <f>L597*(1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(1-Summary!$B$11)*S597+Summary!$B$11*U597</f>
        <v/>
      </c>
      <c r="P597">
        <f>IF(B627=0,0,O597/B627)</f>
        <v/>
      </c>
      <c r="Q597">
        <f>IFERROR(1/IF(Inputs!$B$38="pvp",15,MAX(0.1,Skills!D7-IF(Skills!E7=TRUE,Inputs!$B$32,0))),0)</f>
        <v/>
      </c>
      <c r="R597">
        <f>IF(AND(Inputs!$B$38&lt;&gt;"pvp",Inputs!$B$43&gt;0),IF(MAX(0,Inputs!$B$43-B624)&lt;=0,0,(INT(MAX(0,Inputs!$B$43-B624)/IF(Inputs!$B$38="pvp",15,MAX(0.1,Skills!D7-IF(Skills!E7=TRUE,Inputs!$B$32,0))))+1)),0)</f>
        <v/>
      </c>
      <c r="S597">
        <f>IF(C597,(H597*N597*IF(AND(Inputs!$B$38&lt;&gt;"pvp",Inputs!$B$43&gt;0),((Skills!F7*((R597-1)*IF(Skills!G7&gt;0,Skills!H7/Skills!G7,1)+IF(Skills!G7&gt;0,MIN(Skills!H7,MAX(0,MAX(0,Inputs!$B$43-B624)-((R597-1)*IF(Inputs!$B$38="pvp",15,MAX(0.1,Skills!D7-IF(Skills!E7=TRUE,Inputs!$B$32,0))))))/Skills!G7,1)))/Inputs!$B$43),G597*Q597))*IF(Inputs!$B$38="pvp",1,1+(Inputs!$B$20+Skills!O7+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597*(1-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7">
        <f>IF(C597,(H597*N597*IF(AND(Inputs!$B$38&lt;&gt;"pvp",Inputs!$B$43&gt;0),((Skills!F7*((R597-1)*IF(Skills!G7&gt;0,Skills!H7/Skills!G7,1)+IF(Skills!G7&gt;0,MIN(Skills!H7,MAX(0,MAX(0,Inputs!$B$43-B624)-((R597-1)*IF(Inputs!$B$38="pvp",15,MAX(0.1,Skills!D7-IF(Skills!E7=TRUE,Inputs!$B$32,0))))))/Skills!G7,1)))/Inputs!$B$43),G597*Q597))*IF(Inputs!$B$38="pvp",1,(1+(Inputs!$B$21+Skills!P7+B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Skills!A8</f>
        <v/>
      </c>
      <c r="B598">
        <f>Skills!B8</f>
        <v/>
      </c>
      <c r="C598">
        <f>Inputs!$B$3&gt;=103</f>
        <v/>
      </c>
      <c r="D598">
        <f>IF(Skills!C8=1,60+Inputs!$B$25+Inputs!$B$29,IF(Skills!C8=2,90+Inputs!$B$26+Inputs!$B$29,IF(Skills!C8=3,120+Inputs!$B$27+Inputs!$B$29,MAX(0,(Inputs!$B$3-100)*3)+Inputs!$B$28+Inputs!$B$29)))</f>
        <v/>
      </c>
      <c r="E598">
        <f>INDEX(FactorTable!$B$2:$Y$301, MATCH(ROUND(MIN(300,MAX(1,D598)),0), FactorTable!$A$2:$A$301,0), Skills!L8+1)</f>
        <v/>
      </c>
      <c r="F598">
        <f>IF(Skills!M8=TRUE,(Skills!K8/10)*(E598/1000),Skills!K8/10)+Skills!N8</f>
        <v/>
      </c>
      <c r="G598">
        <f>Calc!G8</f>
        <v/>
      </c>
      <c r="H598">
        <f>Calc!H8</f>
        <v/>
      </c>
      <c r="I598">
        <f>IF(Skills!T8&lt;&gt;"",1+(Skills!T8/10)*(Z593/1000)/100,1)</f>
        <v/>
      </c>
      <c r="J598">
        <f>((Inputs!$B$6*(1+Inputs!$B$7/100))+(((Inputs!$B$12*(1+Inputs!$B$13/100))-(Inputs!$B$12*(1+Inputs!$B$13/100)))+0.25*(Inputs!$B$14-Inputs!$B$14))*(1+Inputs!$B$7/100))*(F598/100)</f>
        <v/>
      </c>
      <c r="K598">
        <f>J598*(1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8="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F608-Calc!F18),(Inputs!$B$23+(IF(ArtifactsInput!$M$15,CHOOSE(ArtifactsInput!$N$15+1,25,30,35,40,45,50)/100*(Inputs!$B$11-Inputs!$B$11),0))))/100+(Inputs!$B$23+(IF(ArtifactsInput!$M$15,CHOOSE(ArtifactsInput!$N$15+1,25,30,35,40,45,50)/100*(Inputs!$B$11-Inputs!$B$11),0)))/100)/2</f>
        <v/>
      </c>
      <c r="M598">
        <f>L598*(1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(1-Summary!$B$11)*S598+Summary!$B$11*U598</f>
        <v/>
      </c>
      <c r="P598">
        <f>IF(B627=0,0,O598/B627)</f>
        <v/>
      </c>
      <c r="Q598">
        <f>IFERROR(1/IF(Inputs!$B$38="pvp",15,MAX(0.1,Skills!D8-IF(Skills!E8=TRUE,Inputs!$B$32,0))),0)</f>
        <v/>
      </c>
      <c r="R598">
        <f>IF(AND(Inputs!$B$38&lt;&gt;"pvp",Inputs!$B$43&gt;0),IF(MAX(0,Inputs!$B$43-B624)&lt;=0,0,(INT(MAX(0,Inputs!$B$43-B624)/IF(Inputs!$B$38="pvp",15,MAX(0.1,Skills!D8-IF(Skills!E8=TRUE,Inputs!$B$32,0))))+1)),0)</f>
        <v/>
      </c>
      <c r="S598">
        <f>IF(C598,(H598*N598*IF(AND(Inputs!$B$38&lt;&gt;"pvp",Inputs!$B$43&gt;0),((Skills!F8*((R598-1)*IF(Skills!G8&gt;0,Skills!H8/Skills!G8,1)+IF(Skills!G8&gt;0,MIN(Skills!H8,MAX(0,MAX(0,Inputs!$B$43-B624)-((R598-1)*IF(Inputs!$B$38="pvp",15,MAX(0.1,Skills!D8-IF(Skills!E8=TRUE,Inputs!$B$32,0))))))/Skills!G8,1)))/Inputs!$B$43),G598*Q598))*IF(Inputs!$B$38="pvp",1,1+(Inputs!$B$20+Skills!O8+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598*(1-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8">
        <f>IF(C598,(H598*N598*IF(AND(Inputs!$B$38&lt;&gt;"pvp",Inputs!$B$43&gt;0),((Skills!F8*((R598-1)*IF(Skills!G8&gt;0,Skills!H8/Skills!G8,1)+IF(Skills!G8&gt;0,MIN(Skills!H8,MAX(0,MAX(0,Inputs!$B$43-B624)-((R598-1)*IF(Inputs!$B$38="pvp",15,MAX(0.1,Skills!D8-IF(Skills!E8=TRUE,Inputs!$B$32,0))))))/Skills!G8,1)))/Inputs!$B$43),G598*Q598))*IF(Inputs!$B$38="pvp",1,(1+(Inputs!$B$21+Skills!P8+B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Skills!A9</f>
        <v/>
      </c>
      <c r="B599">
        <f>Skills!B9</f>
        <v/>
      </c>
      <c r="C599">
        <f>Inputs!$B$3&gt;=105</f>
        <v/>
      </c>
      <c r="D599">
        <f>IF(Skills!C9=1,60+Inputs!$B$25+Inputs!$B$29,IF(Skills!C9=2,90+Inputs!$B$26+Inputs!$B$29,IF(Skills!C9=3,120+Inputs!$B$27+Inputs!$B$29,MAX(0,(Inputs!$B$3-100)*3)+Inputs!$B$28+Inputs!$B$29)))</f>
        <v/>
      </c>
      <c r="E599">
        <f>INDEX(FactorTable!$B$2:$Y$301, MATCH(ROUND(MIN(300,MAX(1,D599)),0), FactorTable!$A$2:$A$301,0), Skills!L9+1)</f>
        <v/>
      </c>
      <c r="F599">
        <f>IF(Skills!M9=TRUE,(Skills!K9/10)*(E599/1000),Skills!K9/10)+Skills!N9</f>
        <v/>
      </c>
      <c r="G599">
        <f>Calc!G9</f>
        <v/>
      </c>
      <c r="H599">
        <f>Calc!H9</f>
        <v/>
      </c>
      <c r="I599">
        <f>IF(Skills!T9&lt;&gt;"",1+(Skills!T9/10)*(Z593/1000)/100,1)</f>
        <v/>
      </c>
      <c r="J599">
        <f>((Inputs!$B$6*(1+Inputs!$B$7/100))+(((Inputs!$B$12*(1+Inputs!$B$13/100))-(Inputs!$B$12*(1+Inputs!$B$13/100)))+0.25*(Inputs!$B$14-Inputs!$B$14))*(1+Inputs!$B$7/100))*(F599/100)</f>
        <v/>
      </c>
      <c r="K599">
        <f>J599*(1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9="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F608-Calc!F18),(Inputs!$B$23+(IF(ArtifactsInput!$M$15,CHOOSE(ArtifactsInput!$N$15+1,25,30,35,40,45,50)/100*(Inputs!$B$11-Inputs!$B$11),0))))/100+(Inputs!$B$23+(IF(ArtifactsInput!$M$15,CHOOSE(ArtifactsInput!$N$15+1,25,30,35,40,45,50)/100*(Inputs!$B$11-Inputs!$B$11),0)))/100)/2</f>
        <v/>
      </c>
      <c r="M599">
        <f>L599*(1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(1-Summary!$B$11)*S599+Summary!$B$11*U599</f>
        <v/>
      </c>
      <c r="P599">
        <f>IF(B627=0,0,O599/B627)</f>
        <v/>
      </c>
      <c r="Q599">
        <f>IFERROR(1/IF(Inputs!$B$38="pvp",15,MAX(0.1,Skills!D9-IF(Skills!E9=TRUE,Inputs!$B$32,0))),0)</f>
        <v/>
      </c>
      <c r="R599">
        <f>IF(AND(Inputs!$B$38&lt;&gt;"pvp",Inputs!$B$43&gt;0),IF(MAX(0,Inputs!$B$43-B624)&lt;=0,0,(INT(MAX(0,Inputs!$B$43-B624)/IF(Inputs!$B$38="pvp",15,MAX(0.1,Skills!D9-IF(Skills!E9=TRUE,Inputs!$B$32,0))))+1)),0)</f>
        <v/>
      </c>
      <c r="S599">
        <f>IF(C599,(H599*N599*IF(AND(Inputs!$B$38&lt;&gt;"pvp",Inputs!$B$43&gt;0),((Skills!F9*((R599-1)*IF(Skills!G9&gt;0,Skills!H9/Skills!G9,1)+IF(Skills!G9&gt;0,MIN(Skills!H9,MAX(0,MAX(0,Inputs!$B$43-B624)-((R599-1)*IF(Inputs!$B$38="pvp",15,MAX(0.1,Skills!D9-IF(Skills!E9=TRUE,Inputs!$B$32,0))))))/Skills!G9,1)))/Inputs!$B$43),G599*Q599))*IF(Inputs!$B$38="pvp",1,1+(Inputs!$B$20+Skills!O9+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599*(1-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9">
        <f>IF(C599,(H599*N599*IF(AND(Inputs!$B$38&lt;&gt;"pvp",Inputs!$B$43&gt;0),((Skills!F9*((R599-1)*IF(Skills!G9&gt;0,Skills!H9/Skills!G9,1)+IF(Skills!G9&gt;0,MIN(Skills!H9,MAX(0,MAX(0,Inputs!$B$43-B624)-((R599-1)*IF(Inputs!$B$38="pvp",15,MAX(0.1,Skills!D9-IF(Skills!E9=TRUE,Inputs!$B$32,0))))))/Skills!G9,1)))/Inputs!$B$43),G599*Q599))*IF(Inputs!$B$38="pvp",1,(1+(Inputs!$B$21+Skills!P9+B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Skills!A10</f>
        <v/>
      </c>
      <c r="B600">
        <f>Skills!B10</f>
        <v/>
      </c>
      <c r="C600">
        <f>Inputs!$B$3&gt;=113</f>
        <v/>
      </c>
      <c r="D600">
        <f>IF(Skills!C10=1,60+Inputs!$B$25+Inputs!$B$29,IF(Skills!C10=2,90+Inputs!$B$26+Inputs!$B$29,IF(Skills!C10=3,120+Inputs!$B$27+Inputs!$B$29,MAX(0,(Inputs!$B$3-100)*3)+Inputs!$B$28+Inputs!$B$29)))</f>
        <v/>
      </c>
      <c r="E600">
        <f>INDEX(FactorTable!$B$2:$Y$301, MATCH(ROUND(MIN(300,MAX(1,D600)),0), FactorTable!$A$2:$A$301,0), Skills!L10+1)</f>
        <v/>
      </c>
      <c r="F600">
        <f>IF(Skills!M10=TRUE,(Skills!K10/10)*(E600/1000),Skills!K10/10)+Skills!N10</f>
        <v/>
      </c>
      <c r="G600">
        <f>Calc!G10</f>
        <v/>
      </c>
      <c r="H600">
        <f>Calc!H10</f>
        <v/>
      </c>
      <c r="I600">
        <f>IF(Skills!T10&lt;&gt;"",1+(Skills!T10/10)*(Z593/1000)/100,1)</f>
        <v/>
      </c>
      <c r="J600">
        <f>((Inputs!$B$6*(1+Inputs!$B$7/100))+(((Inputs!$B$12*(1+Inputs!$B$13/100))-(Inputs!$B$12*(1+Inputs!$B$13/100)))+0.25*(Inputs!$B$14-Inputs!$B$14))*(1+Inputs!$B$7/100))*(F600/100)</f>
        <v/>
      </c>
      <c r="K600">
        <f>J600*(1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10="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608-Calc!F18),(Inputs!$B$23+(IF(ArtifactsInput!$M$15,CHOOSE(ArtifactsInput!$N$15+1,25,30,35,40,45,50)/100*(Inputs!$B$11-Inputs!$B$11),0))))/100+(Inputs!$B$23+(IF(ArtifactsInput!$M$15,CHOOSE(ArtifactsInput!$N$15+1,25,30,35,40,45,50)/100*(Inputs!$B$11-Inputs!$B$11),0)))/100)/2</f>
        <v/>
      </c>
      <c r="M600">
        <f>L600*(1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IF(B627=0,0,O600/B627)</f>
        <v/>
      </c>
      <c r="Q600">
        <f>IFERROR(1/IF(Inputs!$B$38="pvp",15,MAX(0.1,Skills!D10-IF(Skills!E9=TRUE,Inputs!$B$32,0))),0)</f>
        <v/>
      </c>
      <c r="R600">
        <f>IF(AND(Inputs!$B$38&lt;&gt;"pvp",Inputs!$B$43&gt;0),IF(MAX(0,Inputs!$B$43-B624)&lt;=0,0,(INT(MAX(0,Inputs!$B$43-B624)/IF(Inputs!$B$38="pvp",15,MAX(0.1,Skills!D10-IF(Skills!E9=TRUE,Inputs!$B$32,0))))+1)),0)</f>
        <v/>
      </c>
      <c r="S600">
        <f>IF(C600,(H600*N600*IF(AND(Inputs!$B$38&lt;&gt;"pvp",Inputs!$B$43&gt;0),((Skills!F10*((R600-1)*IF(Skills!G10&gt;0,Skills!H10/Skills!G10,1)+IF(Skills!G10&gt;0,MIN(Skills!H10,MAX(0,MAX(0,Inputs!$B$43-B624)-((R600-1)*IF(Inputs!$B$38="pvp",15,MAX(0.1,Skills!D10-IF(Skills!E9=TRUE,Inputs!$B$32,0))))))/Skills!G10,1)))/Inputs!$B$43),G600*Q600))*IF(Inputs!$B$38="pvp",1,1+(Inputs!$B$20+Skills!O10+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600*(1-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0">
        <f>IF(C600,(H600*N600*IF(AND(Inputs!$B$38&lt;&gt;"pvp",Inputs!$B$43&gt;0),((Skills!F10*((R600-1)*IF(Skills!G10&gt;0,Skills!H10/Skills!G10,1)+IF(Skills!G10&gt;0,MIN(Skills!H10,MAX(0,MAX(0,Inputs!$B$43-B624)-((R600-1)*IF(Inputs!$B$38="pvp",15,MAX(0.1,Skills!D10-IF(Skills!E9=TRUE,Inputs!$B$32,0))))))/Skills!G10,1)))/Inputs!$B$43),G600*Q600))*IF(Inputs!$B$38="pvp",1,(1+(Inputs!$B$21+Skills!P10+B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Skills!A11</f>
        <v/>
      </c>
      <c r="B601">
        <f>Skills!B11</f>
        <v/>
      </c>
      <c r="C601">
        <f>Inputs!$B$3&gt;=107</f>
        <v/>
      </c>
      <c r="D601">
        <f>IF(Skills!C11=1,60+Inputs!$B$25+Inputs!$B$29,IF(Skills!C11=2,90+Inputs!$B$26+Inputs!$B$29,IF(Skills!C11=3,120+Inputs!$B$27+Inputs!$B$29,MAX(0,(Inputs!$B$3-100)*3)+Inputs!$B$28+Inputs!$B$29)))</f>
        <v/>
      </c>
      <c r="E601">
        <f>INDEX(FactorTable!$B$2:$Y$301, MATCH(ROUND(MIN(300,MAX(1,D601)),0), FactorTable!$A$2:$A$301,0), Skills!L11+1)</f>
        <v/>
      </c>
      <c r="F601">
        <f>IF(Skills!M11=TRUE,(Skills!K11/10)*(E601/1000),Skills!K11/10)+Skills!N11</f>
        <v/>
      </c>
      <c r="G601">
        <f>Calc!G11</f>
        <v/>
      </c>
      <c r="H601">
        <f>Calc!H11</f>
        <v/>
      </c>
      <c r="I601">
        <f>IF(Skills!T11&lt;&gt;"",1+(Skills!T11/10)*(Z593/1000)/100,1)</f>
        <v/>
      </c>
      <c r="J601">
        <f>((Inputs!$B$6*(1+Inputs!$B$7/100))+(((Inputs!$B$12*(1+Inputs!$B$13/100))-(Inputs!$B$12*(1+Inputs!$B$13/100)))+0.25*(Inputs!$B$14-Inputs!$B$14))*(1+Inputs!$B$7/100))*(F601/100)</f>
        <v/>
      </c>
      <c r="K601">
        <f>J601*(1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11="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608-Calc!F18),(Inputs!$B$23+(IF(ArtifactsInput!$M$15,CHOOSE(ArtifactsInput!$N$15+1,25,30,35,40,45,50)/100*(Inputs!$B$11-Inputs!$B$11),0))))/100+(Inputs!$B$23+(IF(ArtifactsInput!$M$15,CHOOSE(ArtifactsInput!$N$15+1,25,30,35,40,45,50)/100*(Inputs!$B$11-Inputs!$B$11),0)))/100)/2</f>
        <v/>
      </c>
      <c r="M601">
        <f>L601*(1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IF(B627=0,0,O601/B627)</f>
        <v/>
      </c>
      <c r="Q601">
        <f>IFERROR(1/IF(Inputs!$B$38="pvp",15,MAX(0.1,Skills!D11-IF(Skills!E11=TRUE,Inputs!$B$32,0))),0)</f>
        <v/>
      </c>
      <c r="R601">
        <f>IF(AND(Inputs!$B$38&lt;&gt;"pvp",Inputs!$B$43&gt;0),IF(MAX(0,Inputs!$B$43-B624)&lt;=0,0,(INT(MAX(0,Inputs!$B$43-B624)/IF(Inputs!$B$38="pvp",15,MAX(0.1,Skills!D11-IF(Skills!E11=TRUE,Inputs!$B$32,0))))+1)),0)</f>
        <v/>
      </c>
      <c r="S601">
        <f>IF(C601,H601*N601*IF(AND(Inputs!$B$38&lt;&gt;"pvp",Inputs!$B$43&gt;0),((Skills!F11*((R601-1)*IF(Skills!G11&gt;0,Skills!H11/Skills!G11,1)+IF(Skills!G11&gt;0,MIN(Skills!H11,MAX(0,MAX(0,Inputs!$B$43-B624)-((R601-1)*IF(Inputs!$B$38="pvp",15,MAX(0.1,Skills!D11-IF(Skills!E11=TRUE,Inputs!$B$32,0))))))/Skills!G11,1)))/Inputs!$B$43),G601*Q601)*0.5*IF(Inputs!$B$38="pvp",1,1+(Inputs!$B$20+Skills!O11+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601*(1-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IF(C601,H601*N601*IF(AND(Inputs!$B$38&lt;&gt;"pvp",Inputs!$B$43&gt;0),((Skills!F11*((R601-1)*IF(Skills!G11&gt;0,Skills!H11/Skills!G11,1)+IF(Skills!G11&gt;0,MIN(Skills!H11,MAX(0,MAX(0,Inputs!$B$43-B624)-((R601-1)*IF(Inputs!$B$38="pvp",15,MAX(0.1,Skills!D11-IF(Skills!E11=TRUE,Inputs!$B$32,0))))))/Skills!G11,1)))/Inputs!$B$43),G601*Q601)*1*IF(Inputs!$B$38="pvp",1,(1+(Inputs!$B$21+Skills!P11+B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Skills!A12</f>
        <v/>
      </c>
      <c r="B602">
        <f>Skills!B12</f>
        <v/>
      </c>
      <c r="C602">
        <f>Inputs!$B$3&gt;=115</f>
        <v/>
      </c>
      <c r="D602">
        <f>IF(Skills!C12=1,60+Inputs!$B$25+Inputs!$B$29,IF(Skills!C12=2,90+Inputs!$B$26+Inputs!$B$29,IF(Skills!C12=3,120+Inputs!$B$27+Inputs!$B$29,MAX(0,(Inputs!$B$3-100)*3)+Inputs!$B$28+Inputs!$B$29)))</f>
        <v/>
      </c>
      <c r="E602">
        <f>INDEX(FactorTable!$B$2:$Y$301, MATCH(ROUND(MIN(300,MAX(1,D602)),0), FactorTable!$A$2:$A$301,0), Skills!L12+1)</f>
        <v/>
      </c>
      <c r="F602">
        <f>IF(Skills!M12=TRUE,(Skills!K12/10)*(E602/1000),Skills!K12/10)+Skills!N12</f>
        <v/>
      </c>
      <c r="G602">
        <f>Calc!G12</f>
        <v/>
      </c>
      <c r="H602">
        <f>Calc!H12</f>
        <v/>
      </c>
      <c r="I602">
        <f>IF(Skills!T12&lt;&gt;"",1+(Skills!T12/10)*(Z593/1000)/100,1)</f>
        <v/>
      </c>
      <c r="J602">
        <f>((Inputs!$B$6*(1+Inputs!$B$7/100))+(((Inputs!$B$12*(1+Inputs!$B$13/100))-(Inputs!$B$12*(1+Inputs!$B$13/100)))+0.25*(Inputs!$B$14-Inputs!$B$14))*(1+Inputs!$B$7/100))*(F602/100)</f>
        <v/>
      </c>
      <c r="K602">
        <f>J602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12="CHAIN_LIGHTNING",(Inputs!$B$17+1)+((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608-Calc!F18),(Inputs!$B$23+(IF(ArtifactsInput!$M$15,CHOOSE(ArtifactsInput!$N$15+1,25,30,35,40,45,50)/100*(Inputs!$B$11-Inputs!$B$11),0))))/100+(Inputs!$B$23+(IF(ArtifactsInput!$M$15,CHOOSE(ArtifactsInput!$N$15+1,25,30,35,40,45,50)/100*(Inputs!$B$11-Inputs!$B$11),0)))/100)/2</f>
        <v/>
      </c>
      <c r="M602">
        <f>L602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IF(B627=0,0,O602/B627)</f>
        <v/>
      </c>
      <c r="Q602">
        <f>IFERROR(1/IF(Inputs!$B$38="pvp",15,MAX(0.1,Skills!D12-IF(Skills!E12=TRUE,Inputs!$B$32,0))),0)</f>
        <v/>
      </c>
      <c r="R602">
        <f>IF(AND(Inputs!$B$38&lt;&gt;"pvp",Inputs!$B$43&gt;0),IF(MAX(0,Inputs!$B$43-B624)&lt;=0,0,(INT(MAX(0,Inputs!$B$43-B624)/IF(Inputs!$B$38="pvp",15,MAX(0.1,Skills!D12-IF(Skills!E12=TRUE,Inputs!$B$32,0))))+1)),0)</f>
        <v/>
      </c>
      <c r="S602">
        <f>IF(C602,(H602*N602*IF(AND(Inputs!$B$38&lt;&gt;"pvp",Inputs!$B$43&gt;0),((Skills!F12*((R602-1)*IF(Skills!G12&gt;0,Skills!H12/Skills!G12,1)+IF(Skills!G12&gt;0,MIN(Skills!H12,MAX(0,MAX(0,Inputs!$B$43-B624)-((R602-1)*IF(Inputs!$B$38="pvp",15,MAX(0.1,Skills!D12-IF(Skills!E12=TRUE,Inputs!$B$32,0))))))/Skills!G12,1)))/Inputs!$B$43),G602*Q602))*IF(Inputs!$B$38="pvp",1,1+(Inputs!$B$20+Skills!O12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602*(1-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610-Calc!F20)+(F609-Calc!F19))+(ArtifactsInput!$M$24-ArtifactsInput!$M$24)*CHOOSE(ArtifactsInput!$N$24+1,10,12,14,16,18,20)+(IF(AND(Inputs!$B$38&lt;&gt;"pvp",Inputs!$B$43=0),1,IF(IF(Inputs!$B$38="pvp",15,Inputs!$B$43)-(B624)&lt;=0,1,MAX(0,IF(Inputs!$B$38="pvp",15,Inputs!$B$43)-MAX(5,B624))/(IF(Inputs!$B$38="pvp",15,Inputs!$B$43)-(B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F(C602,(H602*N602*IF(AND(Inputs!$B$38&lt;&gt;"pvp",Inputs!$B$43&gt;0),((Skills!F12*((R602-1)*IF(Skills!G12&gt;0,Skills!H12/Skills!G12,1)+IF(Skills!G12&gt;0,MIN(Skills!H12,MAX(0,MAX(0,Inputs!$B$43-B624)-((R602-1)*IF(Inputs!$B$38="pvp",15,MAX(0.1,Skills!D12-IF(Skills!E12=TRUE,Inputs!$B$32,0))))))/Skills!G12,1)))/Inputs!$B$43),G602*Q602))*IF(Inputs!$B$38="pvp",1,(1+(Inputs!$B$21+Skills!P12+B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Skills!A13</f>
        <v/>
      </c>
      <c r="B603">
        <f>Skills!B13</f>
        <v/>
      </c>
      <c r="C603">
        <f>Inputs!$B$3&gt;=49</f>
        <v/>
      </c>
      <c r="D603">
        <f>IF(Skills!C13=1,60+Inputs!$B$25+Inputs!$B$29,IF(Skills!C13=2,90+Inputs!$B$26+Inputs!$B$29,IF(Skills!C13=3,120+Inputs!$B$27+Inputs!$B$29,MAX(0,(Inputs!$B$3-100)*3)+Inputs!$B$28+Inputs!$B$29)))</f>
        <v/>
      </c>
      <c r="E603">
        <f>INDEX(FactorTable!$B$2:$Y$301, MATCH(ROUND(MIN(300,MAX(1,D603)),0), FactorTable!$A$2:$A$301,0), Skills!L13+1)</f>
        <v/>
      </c>
      <c r="F603">
        <f>IF(Skills!M13=TRUE,(Skills!K13/10)*(E603/1000),Skills!K13/10)+Skills!N13</f>
        <v/>
      </c>
      <c r="G603">
        <f>Calc!G13</f>
        <v/>
      </c>
      <c r="H603">
        <f>Calc!H13</f>
        <v/>
      </c>
      <c r="I603">
        <f>IF(Skills!T13&lt;&gt;"",1+(Skills!T13/10)*(Z593/1000)/100,1)</f>
        <v/>
      </c>
      <c r="J603" t="inlineStr"/>
      <c r="K603" t="inlineStr"/>
      <c r="L603" t="inlineStr"/>
      <c r="M603" t="inlineStr"/>
      <c r="N603" t="inlineStr"/>
      <c r="O603">
        <f>(1-Summary!$B$11)*S603+Summary!$B$11*U603</f>
        <v/>
      </c>
      <c r="P603">
        <f>IF(B627=0,0,O603/B627)</f>
        <v/>
      </c>
      <c r="Q603">
        <f>IFERROR(1/IF(Inputs!$B$38="pvp",15,MAX(0.1,Skills!D13-IF(Skills!E13=TRUE,Inputs!$B$32,0))),0)</f>
        <v/>
      </c>
      <c r="R603" t="n">
        <v>0</v>
      </c>
      <c r="S603" t="n">
        <v>0</v>
      </c>
      <c r="U603" t="n">
        <v>0</v>
      </c>
    </row>
    <row r="604">
      <c r="A604">
        <f>Skills!A14</f>
        <v/>
      </c>
      <c r="B604">
        <f>Skills!B14</f>
        <v/>
      </c>
      <c r="C604">
        <f>Inputs!$B$3&gt;=72</f>
        <v/>
      </c>
      <c r="D604">
        <f>IF(Skills!C14=1,60+Inputs!$B$25+Inputs!$B$29,IF(Skills!C14=2,90+Inputs!$B$26+Inputs!$B$29,IF(Skills!C14=3,120+Inputs!$B$27+Inputs!$B$29,MAX(0,(Inputs!$B$3-100)*3)+Inputs!$B$28+Inputs!$B$29)))</f>
        <v/>
      </c>
      <c r="E604">
        <f>INDEX(FactorTable!$B$2:$Y$301, MATCH(ROUND(MIN(300,MAX(1,D604)),0), FactorTable!$A$2:$A$301,0), Skills!L14+1)</f>
        <v/>
      </c>
      <c r="F604">
        <f>IF(Skills!M14=TRUE,(Skills!K14/10)*(E604/1000),Skills!K14/10)+Skills!N14</f>
        <v/>
      </c>
      <c r="G604">
        <f>Calc!G14</f>
        <v/>
      </c>
      <c r="H604">
        <f>Calc!H14</f>
        <v/>
      </c>
      <c r="I604">
        <f>IF(Skills!T14&lt;&gt;"",1+(Skills!T14/10)*(Z593/1000)/100,1)</f>
        <v/>
      </c>
      <c r="J604" t="inlineStr"/>
      <c r="K604" t="inlineStr"/>
      <c r="L604" t="inlineStr"/>
      <c r="M604" t="inlineStr"/>
      <c r="N604" t="inlineStr"/>
      <c r="O604">
        <f>(1-Summary!$B$11)*S604+Summary!$B$11*U604</f>
        <v/>
      </c>
      <c r="P604">
        <f>IF(B627=0,0,O604/B627)</f>
        <v/>
      </c>
      <c r="Q604">
        <f>IFERROR(1/IF(Inputs!$B$38="pvp",15,MAX(0.1,Skills!D14-IF(Skills!E14=TRUE,Inputs!$B$32,0))),0)</f>
        <v/>
      </c>
      <c r="R604" t="n">
        <v>0</v>
      </c>
      <c r="S604" t="n">
        <v>0</v>
      </c>
      <c r="U604" t="n">
        <v>0</v>
      </c>
    </row>
    <row r="605">
      <c r="A605">
        <f>Skills!A15</f>
        <v/>
      </c>
      <c r="B605">
        <f>Skills!B15</f>
        <v/>
      </c>
      <c r="C605">
        <f>Inputs!$B$3&gt;=75</f>
        <v/>
      </c>
      <c r="D605">
        <f>IF(Skills!C15=1,60+Inputs!$B$25+Inputs!$B$29,IF(Skills!C15=2,90+Inputs!$B$26+Inputs!$B$29,IF(Skills!C15=3,120+Inputs!$B$27+Inputs!$B$29,MAX(0,(Inputs!$B$3-100)*3)+Inputs!$B$28+Inputs!$B$29)))</f>
        <v/>
      </c>
      <c r="E605">
        <f>INDEX(FactorTable!$B$2:$Y$301, MATCH(ROUND(MIN(300,MAX(1,D605)),0), FactorTable!$A$2:$A$301,0), Skills!L15+1)</f>
        <v/>
      </c>
      <c r="F605">
        <f>IF(Skills!M15=TRUE,(Skills!K15/10)*(E605/1000),Skills!K15/10)+Skills!N15</f>
        <v/>
      </c>
      <c r="G605">
        <f>Calc!G15</f>
        <v/>
      </c>
      <c r="H605">
        <f>Calc!H15</f>
        <v/>
      </c>
      <c r="I605">
        <f>IF(Skills!T15&lt;&gt;"",1+(Skills!T15/10)*(Z593/1000)/100,1)</f>
        <v/>
      </c>
      <c r="J605" t="inlineStr"/>
      <c r="K605" t="inlineStr"/>
      <c r="L605" t="inlineStr"/>
      <c r="M605" t="inlineStr"/>
      <c r="N605" t="inlineStr"/>
      <c r="O605">
        <f>(1-Summary!$B$11)*S605+Summary!$B$11*U605</f>
        <v/>
      </c>
      <c r="P605">
        <f>IF(B627=0,0,O605/B627)</f>
        <v/>
      </c>
      <c r="Q605">
        <f>IFERROR(1/IF(Inputs!$B$38="pvp",15,MAX(0.1,Skills!D15-IF(Skills!E15=TRUE,Inputs!$B$32,0))),0)</f>
        <v/>
      </c>
      <c r="R605" t="n">
        <v>0</v>
      </c>
      <c r="S605" t="n">
        <v>0</v>
      </c>
      <c r="U605" t="n">
        <v>0</v>
      </c>
    </row>
    <row r="606">
      <c r="A606">
        <f>Skills!A16</f>
        <v/>
      </c>
      <c r="B606">
        <f>Skills!B16</f>
        <v/>
      </c>
      <c r="C606">
        <f>Inputs!$B$3&gt;=110</f>
        <v/>
      </c>
      <c r="D606">
        <f>IF(Skills!C16=1,60+Inputs!$B$25+Inputs!$B$29,IF(Skills!C16=2,90+Inputs!$B$26+Inputs!$B$29,IF(Skills!C16=3,120+Inputs!$B$27+Inputs!$B$29,MAX(0,(Inputs!$B$3-100)*3)+Inputs!$B$28+Inputs!$B$29)))</f>
        <v/>
      </c>
      <c r="E606">
        <f>INDEX(FactorTable!$B$2:$Y$301, MATCH(ROUND(MIN(300,MAX(1,D606)),0), FactorTable!$A$2:$A$301,0), Skills!L16+1)</f>
        <v/>
      </c>
      <c r="F606">
        <f>(Skills!K16/10)*(E606/1000)*64/45+Skills!N16</f>
        <v/>
      </c>
      <c r="G606">
        <f>Calc!G16</f>
        <v/>
      </c>
      <c r="H606">
        <f>Calc!H16</f>
        <v/>
      </c>
      <c r="I606">
        <f>IF(Skills!T16&lt;&gt;"",1+(Skills!T16/10)*(Z593/1000)/100,1)</f>
        <v/>
      </c>
      <c r="J606" t="inlineStr"/>
      <c r="K606" t="inlineStr"/>
      <c r="L606" t="inlineStr"/>
      <c r="M606" t="inlineStr"/>
      <c r="N606" t="inlineStr"/>
      <c r="O606">
        <f>(1-Summary!$B$11)*S606+Summary!$B$11*U606</f>
        <v/>
      </c>
      <c r="P606">
        <f>IF(B627=0,0,O606/B627)</f>
        <v/>
      </c>
      <c r="Q606">
        <f>IFERROR(1/IF(Inputs!$B$38="pvp",15,MAX(0.1,Skills!D16-IF(Skills!E16=TRUE,Inputs!$B$32,0))),0)</f>
        <v/>
      </c>
      <c r="R606">
        <f>IF(AND(Inputs!$B$38&lt;&gt;"pvp",Inputs!$B$43&gt;0),IF(Inputs!$B$43&lt;=0,0,(INT(Inputs!$B$43/IF(Inputs!$B$38="pvp",15,MAX(0.1,Skills!D16-IF(Skills!E16=TRUE,Inputs!$B$32,0))))+1)),0)</f>
        <v/>
      </c>
      <c r="S606" t="n">
        <v>0</v>
      </c>
      <c r="U606" t="n">
        <v>0</v>
      </c>
    </row>
    <row r="607">
      <c r="A607">
        <f>Skills!A17</f>
        <v/>
      </c>
      <c r="B607">
        <f>Skills!B17</f>
        <v/>
      </c>
      <c r="C607">
        <f>Inputs!$B$3&gt;=33</f>
        <v/>
      </c>
      <c r="D607">
        <f>IF(Skills!C17=1,60+Inputs!$B$25+Inputs!$B$29,IF(Skills!C17=2,90+Inputs!$B$26+Inputs!$B$29,IF(Skills!C17=3,120+Inputs!$B$27+Inputs!$B$29,MAX(0,(Inputs!$B$3-100)*3)+Inputs!$B$28+Inputs!$B$29)))</f>
        <v/>
      </c>
      <c r="E607">
        <f>INDEX(FactorTable!$B$2:$Y$301, MATCH(ROUND(MIN(300,MAX(1,D607)),0), FactorTable!$A$2:$A$301,0), Skills!L17+1)</f>
        <v/>
      </c>
      <c r="F607">
        <f>IF(Skills!M17=TRUE,(Skills!K17/10)*(E607/1000),Skills!K17/10)+Skills!N17</f>
        <v/>
      </c>
      <c r="G607">
        <f>Calc!G17</f>
        <v/>
      </c>
      <c r="H607">
        <f>Calc!H17</f>
        <v/>
      </c>
      <c r="I607">
        <f>IF(Skills!T17&lt;&gt;"",1+(Skills!T17/10)*(Z593/1000)/100,1)</f>
        <v/>
      </c>
      <c r="J607" t="inlineStr"/>
      <c r="K607" t="inlineStr"/>
      <c r="L607" t="inlineStr"/>
      <c r="M607" t="inlineStr"/>
      <c r="N607" t="inlineStr"/>
      <c r="O607">
        <f>(1-Summary!$B$11)*S607+Summary!$B$11*U607</f>
        <v/>
      </c>
      <c r="P607">
        <f>IF(B627=0,0,O607/B627)</f>
        <v/>
      </c>
      <c r="Q607">
        <f>IFERROR(1/IF(Inputs!$B$38="pvp",15,MAX(0.1,Skills!D17-IF(Skills!E17=TRUE,Inputs!$B$32,0))),0)</f>
        <v/>
      </c>
      <c r="R607" t="n">
        <v>0</v>
      </c>
      <c r="S607" t="n">
        <v>0</v>
      </c>
      <c r="U607" t="n">
        <v>0</v>
      </c>
    </row>
    <row r="608">
      <c r="A608">
        <f>Skills!A18</f>
        <v/>
      </c>
      <c r="B608">
        <f>Skills!B18</f>
        <v/>
      </c>
      <c r="C608">
        <f>Inputs!$B$3&gt;=43</f>
        <v/>
      </c>
      <c r="D608">
        <f>IF(Skills!C18=1,60+Inputs!$B$25+Inputs!$B$29,IF(Skills!C18=2,90+Inputs!$B$26+Inputs!$B$29,IF(Skills!C18=3,120+Inputs!$B$27+Inputs!$B$29,MAX(0,(Inputs!$B$3-100)*3)+Inputs!$B$28+Inputs!$B$29)))</f>
        <v/>
      </c>
      <c r="E608">
        <f>INDEX(FactorTable!$B$2:$Y$301, MATCH(ROUND(MIN(300,MAX(1,D608)),0), FactorTable!$A$2:$A$301,0), Skills!L18+1)</f>
        <v/>
      </c>
      <c r="F608">
        <f>IF(Skills!M18=TRUE,(Skills!K18/10)*(E608/1000),Skills!K18/10)+Skills!N18</f>
        <v/>
      </c>
      <c r="G608">
        <f>Calc!G18</f>
        <v/>
      </c>
      <c r="H608">
        <f>Calc!H18</f>
        <v/>
      </c>
      <c r="I608">
        <f>IF(Skills!T18&lt;&gt;"",1+(Skills!T18/10)*(Z593/1000)/100,1)</f>
        <v/>
      </c>
      <c r="J608" t="inlineStr"/>
      <c r="K608" t="inlineStr"/>
      <c r="L608" t="inlineStr"/>
      <c r="M608" t="inlineStr"/>
      <c r="N608" t="inlineStr"/>
      <c r="O608">
        <f>(1-Summary!$B$11)*S608+Summary!$B$11*U608</f>
        <v/>
      </c>
      <c r="P608">
        <f>IF(B627=0,0,O608/B627)</f>
        <v/>
      </c>
      <c r="Q608">
        <f>IFERROR(1/IF(Inputs!$B$38="pvp",15,MAX(0.1,Skills!D18-IF(Skills!E18=TRUE,Inputs!$B$32,0))),0)</f>
        <v/>
      </c>
      <c r="R608" t="n">
        <v>0</v>
      </c>
      <c r="S608" t="n">
        <v>0</v>
      </c>
      <c r="U608" t="n">
        <v>0</v>
      </c>
    </row>
    <row r="609">
      <c r="A609">
        <f>Skills!A19</f>
        <v/>
      </c>
      <c r="B609">
        <f>Skills!B19</f>
        <v/>
      </c>
      <c r="C609">
        <f>Inputs!$B$3&gt;=50</f>
        <v/>
      </c>
      <c r="D609">
        <f>IF(Skills!C19=1,60+Inputs!$B$25+Inputs!$B$29,IF(Skills!C19=2,90+Inputs!$B$26+Inputs!$B$29,IF(Skills!C19=3,120+Inputs!$B$27+Inputs!$B$29,MAX(0,(Inputs!$B$3-100)*3)+Inputs!$B$28+Inputs!$B$29)))</f>
        <v/>
      </c>
      <c r="E609">
        <f>INDEX(FactorTable!$B$2:$Y$301, MATCH(ROUND(MIN(300,MAX(1,D609)),0), FactorTable!$A$2:$A$301,0), Skills!L19+1)</f>
        <v/>
      </c>
      <c r="F609">
        <f>IF(Skills!M19=TRUE,(Skills!K19/10)*(E609/1000),Skills!K19/10)+Skills!N19</f>
        <v/>
      </c>
      <c r="G609">
        <f>Calc!G19</f>
        <v/>
      </c>
      <c r="H609">
        <f>Calc!H19</f>
        <v/>
      </c>
      <c r="I609">
        <f>IF(Skills!T19&lt;&gt;"",1+(Skills!T19/10)*(Z593/1000)/100,1)</f>
        <v/>
      </c>
      <c r="J609" t="inlineStr"/>
      <c r="K609" t="inlineStr"/>
      <c r="L609" t="inlineStr"/>
      <c r="M609" t="inlineStr"/>
      <c r="N609" t="inlineStr"/>
      <c r="O609">
        <f>(1-Summary!$B$11)*S609+Summary!$B$11*U609</f>
        <v/>
      </c>
      <c r="P609">
        <f>IF(B627=0,0,O609/B627)</f>
        <v/>
      </c>
      <c r="Q609">
        <f>IFERROR(1/IF(Inputs!$B$38="pvp",15,MAX(0.1,Skills!D19-IF(Skills!E19=TRUE,Inputs!$B$32,0))),0)</f>
        <v/>
      </c>
      <c r="R609" t="n">
        <v>0</v>
      </c>
      <c r="S609" t="n">
        <v>0</v>
      </c>
      <c r="U609" t="n">
        <v>0</v>
      </c>
    </row>
    <row r="610">
      <c r="A610">
        <f>Skills!A20</f>
        <v/>
      </c>
      <c r="B610">
        <f>Skills!B20</f>
        <v/>
      </c>
      <c r="C610">
        <f>Inputs!$B$3&gt;=74</f>
        <v/>
      </c>
      <c r="D610">
        <f>IF(Skills!C20=1,60+Inputs!$B$25+Inputs!$B$29,IF(Skills!C20=2,90+Inputs!$B$26+Inputs!$B$29,IF(Skills!C20=3,120+Inputs!$B$27+Inputs!$B$29,MAX(0,(Inputs!$B$3-100)*3)+Inputs!$B$28+Inputs!$B$29)))</f>
        <v/>
      </c>
      <c r="E610">
        <f>INDEX(FactorTable!$B$2:$Y$301, MATCH(ROUND(MIN(300,MAX(1,D610)),0), FactorTable!$A$2:$A$301,0), Skills!L20+1)</f>
        <v/>
      </c>
      <c r="F610">
        <f>IF(Skills!M20=TRUE,(Skills!K20/10)*(E610/1000),Skills!K20/10)+Skills!N20</f>
        <v/>
      </c>
      <c r="G610">
        <f>Calc!G20</f>
        <v/>
      </c>
      <c r="H610">
        <f>Calc!H20</f>
        <v/>
      </c>
      <c r="I610">
        <f>IF(Skills!T20&lt;&gt;"",1+(Skills!T20/10)*(Z593/1000)/100,1)</f>
        <v/>
      </c>
      <c r="J610" t="inlineStr"/>
      <c r="K610" t="inlineStr"/>
      <c r="L610" t="inlineStr"/>
      <c r="M610" t="inlineStr"/>
      <c r="N610" t="inlineStr"/>
      <c r="O610">
        <f>(1-Summary!$B$11)*S610+Summary!$B$11*U610</f>
        <v/>
      </c>
      <c r="P610">
        <f>IF(B627=0,0,O610/B627)</f>
        <v/>
      </c>
      <c r="Q610">
        <f>IFERROR(1/IF(Inputs!$B$38="pvp",15,MAX(0.1,Skills!D20-IF(Skills!E20=TRUE,Inputs!$B$32,0))),0)</f>
        <v/>
      </c>
      <c r="R610" t="n">
        <v>0</v>
      </c>
      <c r="S610" t="n">
        <v>0</v>
      </c>
      <c r="U610" t="n">
        <v>0</v>
      </c>
    </row>
    <row r="611">
      <c r="A611">
        <f>Skills!A21</f>
        <v/>
      </c>
      <c r="B611">
        <f>Skills!B21</f>
        <v/>
      </c>
      <c r="C611">
        <f>Inputs!$B$3&gt;=74</f>
        <v/>
      </c>
      <c r="D611">
        <f>IF(Skills!C21=1,60+Inputs!$B$25+Inputs!$B$29,IF(Skills!C21=2,90+Inputs!$B$26+Inputs!$B$29,IF(Skills!C21=3,120+Inputs!$B$27+Inputs!$B$29,MAX(0,(Inputs!$B$3-100)*3)+Inputs!$B$28+Inputs!$B$29)))</f>
        <v/>
      </c>
      <c r="E611">
        <f>INDEX(FactorTable!$B$2:$Y$301, MATCH(ROUND(MIN(300,MAX(1,D611)),0), FactorTable!$A$2:$A$301,0), Skills!L21+1)</f>
        <v/>
      </c>
      <c r="F611">
        <f>IF(Skills!M21=TRUE,(Skills!K21/10)*(E611/1000),Skills!K21/10)+Skills!N21</f>
        <v/>
      </c>
      <c r="G611">
        <f>Calc!G21</f>
        <v/>
      </c>
      <c r="H611">
        <f>Calc!H21</f>
        <v/>
      </c>
      <c r="I611">
        <f>IF(Skills!T21&lt;&gt;"",1+(Skills!T21/10)*(Z593/1000)/100,1)</f>
        <v/>
      </c>
      <c r="J611" t="inlineStr"/>
      <c r="K611" t="inlineStr"/>
      <c r="L611" t="inlineStr"/>
      <c r="M611" t="inlineStr"/>
      <c r="N611" t="inlineStr"/>
      <c r="O611">
        <f>(1-Summary!$B$11)*S611+Summary!$B$11*U611</f>
        <v/>
      </c>
      <c r="P611">
        <f>IF(B627=0,0,O611/B627)</f>
        <v/>
      </c>
      <c r="Q611">
        <f>IFERROR(1/IF(Inputs!$B$38="pvp",15,MAX(0.1,Skills!D21-IF(Skills!E21=TRUE,Inputs!$B$32,0))),0)</f>
        <v/>
      </c>
      <c r="R611" t="n">
        <v>0</v>
      </c>
      <c r="S611" t="n">
        <v>0</v>
      </c>
      <c r="U611" t="n">
        <v>0</v>
      </c>
    </row>
    <row r="612">
      <c r="A612">
        <f>Skills!A22</f>
        <v/>
      </c>
      <c r="B612">
        <f>Skills!B22</f>
        <v/>
      </c>
      <c r="C612">
        <f>Inputs!$B$3&gt;=117</f>
        <v/>
      </c>
      <c r="D612">
        <f>IF(Skills!C22=1,60+Inputs!$B$25+Inputs!$B$29,IF(Skills!C22=2,90+Inputs!$B$26+Inputs!$B$29,IF(Skills!C22=3,120+Inputs!$B$27+Inputs!$B$29,MAX(0,(Inputs!$B$3-100)*3)+Inputs!$B$28+Inputs!$B$29)))</f>
        <v/>
      </c>
      <c r="E612">
        <f>INDEX(FactorTable!$B$2:$Y$301, MATCH(ROUND(MIN(300,MAX(1,D612)),0), FactorTable!$A$2:$A$301,0), Skills!L22+1)</f>
        <v/>
      </c>
      <c r="F612">
        <f>IF(Skills!M22=TRUE,(Skills!K22/10)*(E612/1000),Skills!K22/10)+Skills!N22</f>
        <v/>
      </c>
      <c r="G612">
        <f>Calc!G22</f>
        <v/>
      </c>
      <c r="H612">
        <f>Calc!H22</f>
        <v/>
      </c>
      <c r="I612">
        <f>IF(Skills!T22&lt;&gt;"",1+(Skills!T22/10)*(Z593/1000)/100,1)</f>
        <v/>
      </c>
      <c r="J612" t="inlineStr"/>
      <c r="K612" t="inlineStr"/>
      <c r="L612" t="inlineStr"/>
      <c r="M612" t="inlineStr"/>
      <c r="N612" t="inlineStr"/>
      <c r="O612">
        <f>(1-Summary!$B$11)*S612+Summary!$B$11*U612</f>
        <v/>
      </c>
      <c r="P612">
        <f>IF(B627=0,0,O612/B627)</f>
        <v/>
      </c>
      <c r="Q612">
        <f>IFERROR(1/IF(Inputs!$B$38="pvp",15,MAX(0.1,Skills!D22-IF(Skills!E22=TRUE,Inputs!$B$32,0))),0)</f>
        <v/>
      </c>
      <c r="R612" t="n">
        <v>0</v>
      </c>
      <c r="S612" t="n">
        <v>0</v>
      </c>
      <c r="U612" t="n">
        <v>0</v>
      </c>
    </row>
    <row r="613">
      <c r="A613">
        <f>Skills!A23</f>
        <v/>
      </c>
      <c r="B613">
        <f>Skills!B23</f>
        <v/>
      </c>
      <c r="C613">
        <f>Inputs!$B$3&gt;=120</f>
        <v/>
      </c>
      <c r="D613">
        <f>IF(Skills!C23=1,60+Inputs!$B$25+Inputs!$B$29,IF(Skills!C23=2,90+Inputs!$B$26+Inputs!$B$29,IF(Skills!C23=3,120+Inputs!$B$27+Inputs!$B$29,MAX(0,(Inputs!$B$3-100)*3)+Inputs!$B$28+Inputs!$B$29)))</f>
        <v/>
      </c>
      <c r="E613">
        <f>INDEX(FactorTable!$B$2:$Y$301, MATCH(ROUND(MIN(300,MAX(1,D613)),0), FactorTable!$A$2:$A$301,0), Skills!L23+1)</f>
        <v/>
      </c>
      <c r="F613">
        <f>IF(Skills!M23=TRUE,(Skills!K23/10)*(E613/1000),Skills!K23/10)+Skills!N23</f>
        <v/>
      </c>
      <c r="G613">
        <f>Calc!G23</f>
        <v/>
      </c>
      <c r="H613">
        <f>Calc!H23</f>
        <v/>
      </c>
      <c r="I613">
        <f>IF(Skills!T23&lt;&gt;"",1+(Skills!T23/10)*(Z593/1000)/100,1)</f>
        <v/>
      </c>
      <c r="J613" t="inlineStr"/>
      <c r="K613" t="inlineStr"/>
      <c r="L613" t="inlineStr"/>
      <c r="M613" t="inlineStr"/>
      <c r="N613" t="inlineStr"/>
      <c r="O613">
        <f>(1-Summary!$B$11)*S613+Summary!$B$11*U613</f>
        <v/>
      </c>
      <c r="P613">
        <f>IF(B627=0,0,O613/B627)</f>
        <v/>
      </c>
      <c r="Q613">
        <f>IFERROR(1/IF(Inputs!$B$38="pvp",15,MAX(0.1,Skills!D23-IF(Skills!E23=TRUE,Inputs!$B$32,0))),0)</f>
        <v/>
      </c>
      <c r="R613" t="n">
        <v>0</v>
      </c>
      <c r="S613" t="n">
        <v>0</v>
      </c>
      <c r="U613" t="n">
        <v>0</v>
      </c>
    </row>
    <row r="614">
      <c r="A614">
        <f>Skills!A24</f>
        <v/>
      </c>
      <c r="B614">
        <f>Skills!B24</f>
        <v/>
      </c>
      <c r="C614">
        <f>TRUE</f>
        <v/>
      </c>
      <c r="D614">
        <f>IF(Skills!C24=1,60+Inputs!$B$25+Inputs!$B$29,IF(Skills!C24=2,90+Inputs!$B$26+Inputs!$B$29,IF(Skills!C24=3,120+Inputs!$B$27+Inputs!$B$29,MAX(0,(Inputs!$B$3-100)*3)+Inputs!$B$28+Inputs!$B$29)))</f>
        <v/>
      </c>
      <c r="E614">
        <f>INDEX(FactorTable!$B$2:$Y$301, MATCH(ROUND(MIN(300,MAX(1,D614)),0), FactorTable!$A$2:$A$301,0), Skills!L24+1)</f>
        <v/>
      </c>
      <c r="F614">
        <f>IF(Skills!M24=TRUE,(Skills!K24/10)*(E614/1000),Skills!K24/10)+Skills!N24</f>
        <v/>
      </c>
      <c r="G614">
        <f>Calc!G24</f>
        <v/>
      </c>
      <c r="H614">
        <f>Calc!H24</f>
        <v/>
      </c>
      <c r="I614">
        <f>IF(Skills!T24&lt;&gt;"",1+(Skills!T24/10)*(Z593/1000)/100,1)</f>
        <v/>
      </c>
      <c r="J614" t="inlineStr"/>
      <c r="K614" t="inlineStr"/>
      <c r="L614" t="inlineStr"/>
      <c r="M614" t="inlineStr"/>
      <c r="N614" t="inlineStr"/>
      <c r="O614">
        <f>(1-Summary!$B$11)*S614+Summary!$B$11*U614</f>
        <v/>
      </c>
      <c r="P614">
        <f>IF(B627=0,0,O614/B627)</f>
        <v/>
      </c>
      <c r="Q614">
        <f>IFERROR(1/IF(Inputs!$B$38="pvp",15,MAX(0.1,Skills!D24-IF(Skills!E24=TRUE,Inputs!$B$32,0))),0)</f>
        <v/>
      </c>
      <c r="R614">
        <f>IF(AND(Inputs!$B$38&lt;&gt;"pvp",Inputs!$B$43&gt;0),IF(Inputs!$B$43&lt;=0,0,(INT(Inputs!$B$43/IF(Inputs!$B$38="pvp",15,MAX(0.1,Skills!D24-IF(Skills!E24=TRUE,Inputs!$B$32,0))))+1)),0)</f>
        <v/>
      </c>
      <c r="S614" t="n">
        <v>0</v>
      </c>
      <c r="U614" t="n">
        <v>0</v>
      </c>
    </row>
    <row r="617">
      <c r="A617" t="inlineStr">
        <is>
          <t>Average Buff Multiplier (Magic Guard + Meditation + Artifact Attack%, summed; then Infinity)</t>
        </is>
      </c>
      <c r="B617">
        <f>(1+(IF(C593=TRUE,F593*IF(AND(Inputs!$B$38&lt;&gt;"pvp",Inputs!$B$43&gt;0),(((R593-1)*(Skills!S3*(1+(Inputs!$B$34)/100))+MIN((Skills!S3*(1+(Inputs!$B$34)/100)),MAX(0,Inputs!$B$43-((R593-1)*Skills!D3))))/Inputs!$B$43),IF(Inputs!$B$38="pvp",MIN((Skills!S3*(1+(Inputs!$B$34)/100)),15)/15,(Skills!S3*(1+(Inputs!$B$34)/100))/Skills!D3)),0)+IF(C594=TRUE,F594*IF(AND(Inputs!$B$38&lt;&gt;"pvp",Inputs!$B$43&gt;0),(((R594-1)*(Skills!S4*(1+(Inputs!$B$34)/100))+MIN((Skills!S4*(1+(Inputs!$B$34)/100)),MAX(0,Inputs!$B$43-((R594-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606=TRUE,(1+F606*IF(AND(Inputs!$B$38&lt;&gt;"pvp",Inputs!$B$43&gt;0),(((R606-1)*(Skills!S16*(1+(Inputs!$B$34)/100))+MIN((Skills!S16*(1+(Inputs!$B$34)/100)),MAX(0,Inputs!$B$43-((R606-1)*Skills!D16))))/Inputs!$B$43),IF(Inputs!$B$38="pvp",MIN((Skills!S16*(1+(Inputs!$B$34)/100)),15)/15,(Skills!S16*(1+(Inputs!$B$34)/100))/Skills!D16))/100),1)</f>
        <v/>
      </c>
    </row>
    <row r="618">
      <c r="A618" t="inlineStr">
        <is>
          <t>Monster Damage Taken Bonus % (Freezing Breath - Weaken + Elemental Reset + Artifact Enemy Damage Taken, summed)</t>
        </is>
      </c>
      <c r="B618">
        <f>IF(Inputs!$B$3&gt;=118,15*IF(Inputs!$B$38="pvp",MIN((30*(1+(Inputs!$B$34)/100)),15)/15,(30*(1+(Inputs!$B$34)/100))/Skills!D8),0)+IF(C604=TRUE,F604,0)+(IF(AND(ArtifactsInput!$M$35,Inputs!$B$4&lt;&gt;"Chapter Hunt"),CHOOSE(ArtifactsInput!$N$35+1,15,18,21,24,27,30)*(1-EXP(-(0.2*B621)*5)),0)+IF(AND(ArtifactsInput!$M$22,Inputs!$B$4&lt;&gt;"Chapter Hunt"),CHOOSE(ArtifactsInput!$N$22+1,10,12,14,16,18,20)*((0*(((0.15*B621*5))^0/1)+1*(((0.15*B621*5))^1/1)+2*(((0.15*B621*5))^2/2)+3*(((0.15*B621*5))^3/6)+4*(((0.15*B621*5))^4/24)+5*(((0.15*B621*5))^5/120))/((((0.15*B621*5))^0/1)+(((0.15*B621*5))^1/1)+(((0.15*B621*5))^2/2)+(((0.15*B621*5))^3/6)+(((0.15*B621*5))^4/24)+(((0.15*B621*5))^5/120))),0))</f>
        <v/>
      </c>
    </row>
    <row r="619">
      <c r="A619" t="inlineStr">
        <is>
          <t>Damage % Bonus (Frozen Break + Frost Clutch, flat)</t>
        </is>
      </c>
      <c r="B619">
        <f>IF(Inputs!$B$3&gt;=66,15,0)+IF(Inputs!$B$3&gt;=98,10,0)+IF(Inputs!$B$3&gt;=125,20,0)</f>
        <v/>
      </c>
    </row>
    <row r="620">
      <c r="A620" t="inlineStr">
        <is>
          <t>Attack Speed Bonus % (MP Eater - MP Boost, always-on + Nimble Feet, duty-cycle averaged)</t>
        </is>
      </c>
      <c r="B620">
        <f>IF(C603=TRUE,F603+(F607-Calc!F17),0)+((C614=TRUE)*F614*IF(AND(Inputs!$B$38&lt;&gt;"pvp",Inputs!$B$43&gt;0),(((R614-1)*(Skills!S24*(1+(Inputs!$B$34)/100))+MIN((Skills!S24*(1+(Inputs!$B$34)/100)),MAX(0,Inputs!$B$43-((R614-1)*Skills!D24))))/Inputs!$B$43),IF(Inputs!$B$38="pvp",MIN((Skills!S24*(1+(Inputs!$B$34)/100)),15)/15,(Skills!S24*(1+(Inputs!$B$34)/100))/Skills!D24)))</f>
        <v/>
      </c>
    </row>
    <row r="621">
      <c r="A621" t="inlineStr">
        <is>
          <t>Actions Per Second</t>
        </is>
      </c>
      <c r="B621">
        <f>1+MIN(150,150*(1-(1-(Inputs!$B$11+(ArtifactsInput!$M$15-ArtifactsInput!$M$15)*CHOOSE(ArtifactsInput!$N$15+1,8,9.6,11.2,12.8,14.4,16))/150)*(1-B620/150)))/100</f>
        <v/>
      </c>
    </row>
    <row r="622">
      <c r="A622" t="inlineStr">
        <is>
          <t>Skill + Buff Cast Rate</t>
        </is>
      </c>
      <c r="B622">
        <f>IF(AND(Inputs!$B$38&lt;&gt;"pvp",Inputs!$B$43&gt;0),SUMPRODUCT((Skills!E2:E24=TRUE)*(C592:C614=TRUE)*R592:R614)/Inputs!$B$43,SUMPRODUCT((Skills!E2:E24=TRUE)*(C592:C614=TRUE)*Q592:Q614))</f>
        <v/>
      </c>
    </row>
    <row r="623">
      <c r="A623" t="inlineStr">
        <is>
          <t>Chain Lightning Casts Per Second</t>
        </is>
      </c>
      <c r="B623">
        <f>MAX(0,B621-B622)</f>
        <v/>
      </c>
    </row>
    <row r="624">
      <c r="A624" t="inlineStr">
        <is>
          <t>Buff-Casting Startup Delay (s, fixed-duration only)</t>
        </is>
      </c>
      <c r="B624">
        <f>IF(AND(Inputs!$B$38&lt;&gt;"pvp",Inputs!$B$43&gt;0),SUMPRODUCT((Skills!S2:S24&gt;0)*(Skills!E2:E24=TRUE)*(C592:C614=TRUE))/B621,0)</f>
        <v/>
      </c>
    </row>
    <row r="625">
      <c r="A625" t="inlineStr">
        <is>
          <t>Boss-Only Total DPS (this block's swept value)</t>
        </is>
      </c>
      <c r="B625">
        <f>SUM(S592:S614)</f>
        <v/>
      </c>
    </row>
    <row r="626">
      <c r="A626" t="inlineStr">
        <is>
          <t>Normal-Only Total DPS (this block's swept value)</t>
        </is>
      </c>
      <c r="B626">
        <f>SUM(U592:U614)</f>
        <v/>
      </c>
    </row>
    <row r="627">
      <c r="A627" s="6" t="inlineStr">
        <is>
          <t>TOTAL DPS</t>
        </is>
      </c>
      <c r="B627" s="6">
        <f>SUM(O592:O614)</f>
        <v/>
      </c>
    </row>
    <row r="630">
      <c r="A630" s="6" t="inlineStr">
        <is>
          <t>Stat: SKILL_DAMAGE %</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R631" t="inlineStr">
        <is>
          <t>helpers</t>
        </is>
      </c>
    </row>
    <row r="632">
      <c r="A632">
        <f>Skills!A2</f>
        <v/>
      </c>
      <c r="B632">
        <f>Skills!B2</f>
        <v/>
      </c>
      <c r="C632">
        <f>Inputs!$B$3&gt;=100</f>
        <v/>
      </c>
      <c r="D632" t="inlineStr"/>
      <c r="E632" t="inlineStr"/>
      <c r="F632">
        <f>T634+Skills!N2</f>
        <v/>
      </c>
      <c r="G632">
        <f>Calc!G2</f>
        <v/>
      </c>
      <c r="H632">
        <f>Calc!H2</f>
        <v/>
      </c>
      <c r="I632">
        <f>IF(Skills!T2&lt;&gt;"",1+(Skills!T2/10)*(Z633/1000)/100,1)</f>
        <v/>
      </c>
      <c r="J632">
        <f>((Inputs!$B$6*(1+Inputs!$B$7/100))+(((Inputs!$B$12*(1+Inputs!$B$13/100))-(Inputs!$B$12*(1+Inputs!$B$13/100)))+0.25*(Inputs!$B$14-Inputs!$B$14))*(1+Inputs!$B$7/100))*(F632/100)</f>
        <v/>
      </c>
      <c r="K632">
        <f>J632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2="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F648-Calc!F18),(Inputs!$B$23+(IF(ArtifactsInput!$M$15,CHOOSE(ArtifactsInput!$N$15+1,25,30,35,40,45,50)/100*(Inputs!$B$11-Inputs!$B$11),0))))/100+(Inputs!$B$23+(IF(ArtifactsInput!$M$15,CHOOSE(ArtifactsInput!$N$15+1,25,30,35,40,45,50)/100*(Inputs!$B$11-Inputs!$B$11),0)))/100)/2</f>
        <v/>
      </c>
      <c r="M632">
        <f>L632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(1-Summary!$B$11)*S632+Summary!$B$11*U632</f>
        <v/>
      </c>
      <c r="P632">
        <f>IF(B667=0,0,O632/B667)</f>
        <v/>
      </c>
      <c r="Q632">
        <f>IFERROR(1/IF(Inputs!$B$38="pvp",15,MAX(0.1,Skills!D2-IF(Skills!E2=TRUE,Inputs!$B$32,0))),0)</f>
        <v/>
      </c>
      <c r="R632" t="n">
        <v>0</v>
      </c>
      <c r="S632">
        <f>IF(C632,(Skills!F2*N632*B663)*IF(Inputs!$B$38="pvp",1,1+(Inputs!$B$20+Skills!O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632*(1-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32">
        <f>MAX(0,(Inputs!$B$3-100)*3)+Inputs!$B$28+Inputs!$B$29</f>
        <v/>
      </c>
      <c r="U632">
        <f>IF(C632,(Skills!F2*N632*B663)*IF(Inputs!$B$38="pvp",1,(1+(Inputs!$B$21+Skills!P2+B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32">
        <f>MAX(0,(Inputs!$B$3-100)*3)+Inputs!$B$28+Inputs!$B$29</f>
        <v/>
      </c>
    </row>
    <row r="633">
      <c r="A633">
        <f>Skills!A3</f>
        <v/>
      </c>
      <c r="B633">
        <f>Skills!B3</f>
        <v/>
      </c>
      <c r="C633">
        <f>Inputs!$B$3&gt;=15</f>
        <v/>
      </c>
      <c r="D633">
        <f>IF(Skills!C3=1,60+Inputs!$B$25+Inputs!$B$29,IF(Skills!C3=2,90+Inputs!$B$26+Inputs!$B$29,IF(Skills!C3=3,120+Inputs!$B$27+Inputs!$B$29,MAX(0,(Inputs!$B$3-100)*3)+Inputs!$B$28+Inputs!$B$29)))</f>
        <v/>
      </c>
      <c r="E633">
        <f>INDEX(FactorTable!$B$2:$Y$301, MATCH(ROUND(MIN(300,MAX(1,D633)),0), FactorTable!$A$2:$A$301,0), Skills!L3+1)</f>
        <v/>
      </c>
      <c r="F633">
        <f>IF(Skills!M3=TRUE,(Skills!K3/10)*(E633/1000),Skills!K3/10)+Skills!N3</f>
        <v/>
      </c>
      <c r="G633">
        <f>Calc!G3</f>
        <v/>
      </c>
      <c r="H633">
        <f>Calc!H3</f>
        <v/>
      </c>
      <c r="I633">
        <f>IF(Skills!T3&lt;&gt;"",1+(Skills!T3/10)*(Z633/1000)/100,1)</f>
        <v/>
      </c>
      <c r="J633" t="inlineStr"/>
      <c r="K633" t="inlineStr"/>
      <c r="L633" t="inlineStr"/>
      <c r="M633" t="inlineStr"/>
      <c r="N633" t="inlineStr"/>
      <c r="O633">
        <f>(1-Summary!$B$11)*S633+Summary!$B$11*U633</f>
        <v/>
      </c>
      <c r="P633">
        <f>IF(B667=0,0,O633/B667)</f>
        <v/>
      </c>
      <c r="Q633">
        <f>IFERROR(1/IF(Inputs!$B$38="pvp",15,MAX(0.1,Skills!D3-IF(Skills!E3=TRUE,Inputs!$B$32,0))),0)</f>
        <v/>
      </c>
      <c r="R633">
        <f>IF(AND(Inputs!$B$38&lt;&gt;"pvp",Inputs!$B$43&gt;0),IF(Inputs!$B$43&lt;=0,0,(INT(Inputs!$B$43/IF(Inputs!$B$38="pvp",15,MAX(0.1,Skills!D3-IF(Skills!E3=TRUE,Inputs!$B$32,0))))+1)),0)</f>
        <v/>
      </c>
      <c r="S633" t="n">
        <v>0</v>
      </c>
      <c r="T633">
        <f>INDEX(FactorTable!$B$2:$Y$301, MATCH(ROUND(MIN(300,MAX(1,T632)),0), FactorTable!$A$2:$A$301,0), 22)</f>
        <v/>
      </c>
      <c r="U633" t="n">
        <v>0</v>
      </c>
      <c r="Z633">
        <f>INDEX(FactorTable!$B$2:$Y$301, MATCH(ROUND(MIN(300,MAX(1,Z632)),0), FactorTable!$A$2:$A$301,0), 24)</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Skills!L4+1)</f>
        <v/>
      </c>
      <c r="F634">
        <f>IF(Skills!M4=TRUE,(Skills!K4/10)*(E634/1000),Skills!K4/10)+Skills!N4</f>
        <v/>
      </c>
      <c r="G634">
        <f>Calc!G4</f>
        <v/>
      </c>
      <c r="H634">
        <f>Calc!H4</f>
        <v/>
      </c>
      <c r="I634">
        <f>IF(Skills!T4&lt;&gt;"",1+(Skills!T4/10)*(Z633/1000)/100,1)</f>
        <v/>
      </c>
      <c r="J634" t="inlineStr"/>
      <c r="K634" t="inlineStr"/>
      <c r="L634" t="inlineStr"/>
      <c r="M634" t="inlineStr"/>
      <c r="N634" t="inlineStr"/>
      <c r="O634">
        <f>(1-Summary!$B$11)*S634+Summary!$B$11*U634</f>
        <v/>
      </c>
      <c r="P634">
        <f>IF(B667=0,0,O634/B667)</f>
        <v/>
      </c>
      <c r="Q634">
        <f>IFERROR(1/IF(Inputs!$B$38="pvp",15,MAX(0.1,Skills!D4-IF(Skills!E4=TRUE,Inputs!$B$32,0))),0)</f>
        <v/>
      </c>
      <c r="R634">
        <f>IF(AND(Inputs!$B$38&lt;&gt;"pvp",Inputs!$B$43&gt;0),IF(Inputs!$B$43&lt;=0,0,(INT(Inputs!$B$43/IF(Inputs!$B$38="pvp",15,MAX(0.1,Skills!D4-IF(Skills!E4=TRUE,Inputs!$B$32,0))))+1)),0)</f>
        <v/>
      </c>
      <c r="S634" t="n">
        <v>0</v>
      </c>
      <c r="T634">
        <f>290*T633/1000</f>
        <v/>
      </c>
      <c r="U634" t="n">
        <v>0</v>
      </c>
    </row>
    <row r="635">
      <c r="A635">
        <f>Skills!A5</f>
        <v/>
      </c>
      <c r="B635">
        <f>Skills!B5</f>
        <v/>
      </c>
      <c r="C635">
        <f>Inputs!$B$3&gt;=38</f>
        <v/>
      </c>
      <c r="D635">
        <f>IF(Skills!C5=1,60+Inputs!$B$25+Inputs!$B$29,IF(Skills!C5=2,90+Inputs!$B$26+Inputs!$B$29,IF(Skills!C5=3,120+Inputs!$B$27+Inputs!$B$29,MAX(0,(Inputs!$B$3-100)*3)+Inputs!$B$28+Inputs!$B$29)))</f>
        <v/>
      </c>
      <c r="E635">
        <f>INDEX(FactorTable!$B$2:$Y$301, MATCH(ROUND(MIN(300,MAX(1,D635)),0), FactorTable!$A$2:$A$301,0), Skills!L5+1)</f>
        <v/>
      </c>
      <c r="F635">
        <f>IF(Skills!M5=TRUE,(Skills!K5/10)*(E635/1000),Skills!K5/10)+Skills!N5</f>
        <v/>
      </c>
      <c r="G635">
        <f>Calc!G5</f>
        <v/>
      </c>
      <c r="H635">
        <f>Calc!H5</f>
        <v/>
      </c>
      <c r="I635">
        <f>IF(Skills!T5&lt;&gt;"",1+(Skills!T5/10)*(Z633/1000)/100,1)</f>
        <v/>
      </c>
      <c r="J635">
        <f>((Inputs!$B$6*(1+Inputs!$B$7/100))+(((Inputs!$B$12*(1+Inputs!$B$13/100))-(Inputs!$B$12*(1+Inputs!$B$13/100)))+0.25*(Inputs!$B$14-Inputs!$B$14))*(1+Inputs!$B$7/100))*(F635/100)</f>
        <v/>
      </c>
      <c r="K635">
        <f>J635*(1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5="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F648-Calc!F18),(Inputs!$B$23+(IF(ArtifactsInput!$M$15,CHOOSE(ArtifactsInput!$N$15+1,25,30,35,40,45,50)/100*(Inputs!$B$11-Inputs!$B$11),0))))/100+(Inputs!$B$23+(IF(ArtifactsInput!$M$15,CHOOSE(ArtifactsInput!$N$15+1,25,30,35,40,45,50)/100*(Inputs!$B$11-Inputs!$B$11),0)))/100)/2</f>
        <v/>
      </c>
      <c r="M635">
        <f>L635*(1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(1-Summary!$B$11)*S635+Summary!$B$11*U635</f>
        <v/>
      </c>
      <c r="P635">
        <f>IF(B667=0,0,O635/B667)</f>
        <v/>
      </c>
      <c r="Q635">
        <f>IFERROR(1/IF(Inputs!$B$38="pvp",15,MAX(0.1,Skills!D5-IF(Skills!E5=TRUE,Inputs!$B$32,0))),0)</f>
        <v/>
      </c>
      <c r="R635">
        <f>IF(AND(Inputs!$B$38&lt;&gt;"pvp",Inputs!$B$43&gt;0),IF(MAX(0,Inputs!$B$43-B664)&lt;=0,0,(INT(MAX(0,Inputs!$B$43-B664)/IF(Inputs!$B$38="pvp",15,MAX(0.1,Skills!D5-IF(Skills!E5=TRUE,Inputs!$B$32,0))))+1)),0)</f>
        <v/>
      </c>
      <c r="S635">
        <f>IF(C635,(H635*N635*IF(AND(Inputs!$B$38&lt;&gt;"pvp",Inputs!$B$43&gt;0),((Skills!F5*((R635-1)*IF(Skills!G5&gt;0,Skills!H5/Skills!G5,1)+IF(Skills!G5&gt;0,MIN(Skills!H5,MAX(0,MAX(0,Inputs!$B$43-B664)-((R635-1)*IF(Inputs!$B$38="pvp",15,MAX(0.1,Skills!D5-IF(Skills!E5=TRUE,Inputs!$B$32,0))))))/Skills!G5,1)))/Inputs!$B$43),G635*Q635))*IF(Inputs!$B$38="pvp",1,1+(Inputs!$B$20+Skills!O5+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635*(1-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IF(C635,(H635*N635*IF(AND(Inputs!$B$38&lt;&gt;"pvp",Inputs!$B$43&gt;0),((Skills!F5*((R635-1)*IF(Skills!G5&gt;0,Skills!H5/Skills!G5,1)+IF(Skills!G5&gt;0,MIN(Skills!H5,MAX(0,MAX(0,Inputs!$B$43-B664)-((R635-1)*IF(Inputs!$B$38="pvp",15,MAX(0.1,Skills!D5-IF(Skills!E5=TRUE,Inputs!$B$32,0))))))/Skills!G5,1)))/Inputs!$B$43),G635*Q635))*IF(Inputs!$B$38="pvp",1,(1+(Inputs!$B$21+Skills!P5+B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Skills!L6+1)</f>
        <v/>
      </c>
      <c r="F636">
        <f>IF(Skills!M6=TRUE,(Skills!K6/10)*(E636/1000),Skills!K6/10)+Skills!N6</f>
        <v/>
      </c>
      <c r="G636">
        <f>Calc!G6</f>
        <v/>
      </c>
      <c r="H636">
        <f>Calc!H6</f>
        <v/>
      </c>
      <c r="I636">
        <f>IF(Skills!T6&lt;&gt;"",1+(Skills!T6/10)*(Z633/1000)/100,1)</f>
        <v/>
      </c>
      <c r="J636">
        <f>((Inputs!$B$6*(1+Inputs!$B$7/100))+(((Inputs!$B$12*(1+Inputs!$B$13/100))-(Inputs!$B$12*(1+Inputs!$B$13/100)))+0.25*(Inputs!$B$14-Inputs!$B$14))*(1+Inputs!$B$7/100))*(F636/100)</f>
        <v/>
      </c>
      <c r="K636">
        <f>J636*(1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6="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F648-Calc!F18),(Inputs!$B$23+(IF(ArtifactsInput!$M$15,CHOOSE(ArtifactsInput!$N$15+1,25,30,35,40,45,50)/100*(Inputs!$B$11-Inputs!$B$11),0))))/100+(Inputs!$B$23+(IF(ArtifactsInput!$M$15,CHOOSE(ArtifactsInput!$N$15+1,25,30,35,40,45,50)/100*(Inputs!$B$11-Inputs!$B$11),0)))/100)/2</f>
        <v/>
      </c>
      <c r="M636">
        <f>L636*(1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(1-Summary!$B$11)*S636+Summary!$B$11*U636</f>
        <v/>
      </c>
      <c r="P636">
        <f>IF(B667=0,0,O636/B667)</f>
        <v/>
      </c>
      <c r="Q636">
        <f>IFERROR(1/IF(Inputs!$B$38="pvp",15,MAX(0.1,Skills!D6-IF(Skills!E6=TRUE,Inputs!$B$32,0))),0)</f>
        <v/>
      </c>
      <c r="R636">
        <f>IF(AND(Inputs!$B$38&lt;&gt;"pvp",Inputs!$B$43&gt;0),IF(MAX(0,Inputs!$B$43-B664)&lt;=0,0,(INT(MAX(0,Inputs!$B$43-B664)/IF(Inputs!$B$38="pvp",15,MAX(0.1,Skills!D6-IF(Skills!E6=TRUE,Inputs!$B$32,0))))+1)),0)</f>
        <v/>
      </c>
      <c r="S636">
        <f>IF(C636,(H636*N636*IF(AND(Inputs!$B$38&lt;&gt;"pvp",Inputs!$B$43&gt;0),((Skills!F6*((R636-1)*IF(Skills!G6&gt;0,Skills!H6/Skills!G6,1)+IF(Skills!G6&gt;0,MIN(Skills!H6,MAX(0,MAX(0,Inputs!$B$43-B664)-((R636-1)*IF(Inputs!$B$38="pvp",15,MAX(0.1,Skills!D6-IF(Skills!E6=TRUE,Inputs!$B$32,0))))))/Skills!G6,1)))/Inputs!$B$43),G636*Q636))*IF(Inputs!$B$38="pvp",1,1+(Inputs!$B$20+Skills!O6+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636*(1-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6">
        <f>IF(C636,(H636*N636*IF(AND(Inputs!$B$38&lt;&gt;"pvp",Inputs!$B$43&gt;0),((Skills!F6*((R636-1)*IF(Skills!G6&gt;0,Skills!H6/Skills!G6,1)+IF(Skills!G6&gt;0,MIN(Skills!H6,MAX(0,MAX(0,Inputs!$B$43-B664)-((R636-1)*IF(Inputs!$B$38="pvp",15,MAX(0.1,Skills!D6-IF(Skills!E6=TRUE,Inputs!$B$32,0))))))/Skills!G6,1)))/Inputs!$B$43),G636*Q636))*IF(Inputs!$B$38="pvp",1,(1+(Inputs!$B$21+Skills!P6+B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Inputs!$B$3&gt;=69</f>
        <v/>
      </c>
      <c r="D637">
        <f>IF(Skills!C7=1,60+Inputs!$B$25+Inputs!$B$29,IF(Skills!C7=2,90+Inputs!$B$26+Inputs!$B$29,IF(Skills!C7=3,120+Inputs!$B$27+Inputs!$B$29,MAX(0,(Inputs!$B$3-100)*3)+Inputs!$B$28+Inputs!$B$29)))</f>
        <v/>
      </c>
      <c r="E637">
        <f>INDEX(FactorTable!$B$2:$Y$301, MATCH(ROUND(MIN(300,MAX(1,D637)),0), FactorTable!$A$2:$A$301,0), Skills!L7+1)</f>
        <v/>
      </c>
      <c r="F637">
        <f>IF(Skills!M7=TRUE,(Skills!K7/10)*(E637/1000),Skills!K7/10)+Skills!N7</f>
        <v/>
      </c>
      <c r="G637">
        <f>Calc!G7</f>
        <v/>
      </c>
      <c r="H637">
        <f>Calc!H7</f>
        <v/>
      </c>
      <c r="I637">
        <f>IF(Skills!T7&lt;&gt;"",1+(Skills!T7/10)*(Z633/1000)/100,1)</f>
        <v/>
      </c>
      <c r="J637">
        <f>((Inputs!$B$6*(1+Inputs!$B$7/100))+(((Inputs!$B$12*(1+Inputs!$B$13/100))-(Inputs!$B$12*(1+Inputs!$B$13/100)))+0.25*(Inputs!$B$14-Inputs!$B$14))*(1+Inputs!$B$7/100))*(F637/100)</f>
        <v/>
      </c>
      <c r="K637">
        <f>J637*(1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7="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F648-Calc!F18),(Inputs!$B$23+(IF(ArtifactsInput!$M$15,CHOOSE(ArtifactsInput!$N$15+1,25,30,35,40,45,50)/100*(Inputs!$B$11-Inputs!$B$11),0))))/100+(Inputs!$B$23+(IF(ArtifactsInput!$M$15,CHOOSE(ArtifactsInput!$N$15+1,25,30,35,40,45,50)/100*(Inputs!$B$11-Inputs!$B$11),0)))/100)/2</f>
        <v/>
      </c>
      <c r="M637">
        <f>L637*(1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(1-Summary!$B$11)*S637+Summary!$B$11*U637</f>
        <v/>
      </c>
      <c r="P637">
        <f>IF(B667=0,0,O637/B667)</f>
        <v/>
      </c>
      <c r="Q637">
        <f>IFERROR(1/IF(Inputs!$B$38="pvp",15,MAX(0.1,Skills!D7-IF(Skills!E7=TRUE,Inputs!$B$32,0))),0)</f>
        <v/>
      </c>
      <c r="R637">
        <f>IF(AND(Inputs!$B$38&lt;&gt;"pvp",Inputs!$B$43&gt;0),IF(MAX(0,Inputs!$B$43-B664)&lt;=0,0,(INT(MAX(0,Inputs!$B$43-B664)/IF(Inputs!$B$38="pvp",15,MAX(0.1,Skills!D7-IF(Skills!E7=TRUE,Inputs!$B$32,0))))+1)),0)</f>
        <v/>
      </c>
      <c r="S637">
        <f>IF(C637,(H637*N637*IF(AND(Inputs!$B$38&lt;&gt;"pvp",Inputs!$B$43&gt;0),((Skills!F7*((R637-1)*IF(Skills!G7&gt;0,Skills!H7/Skills!G7,1)+IF(Skills!G7&gt;0,MIN(Skills!H7,MAX(0,MAX(0,Inputs!$B$43-B664)-((R637-1)*IF(Inputs!$B$38="pvp",15,MAX(0.1,Skills!D7-IF(Skills!E7=TRUE,Inputs!$B$32,0))))))/Skills!G7,1)))/Inputs!$B$43),G637*Q637))*IF(Inputs!$B$38="pvp",1,1+(Inputs!$B$20+Skills!O7+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637*(1-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IF(C637,(H637*N637*IF(AND(Inputs!$B$38&lt;&gt;"pvp",Inputs!$B$43&gt;0),((Skills!F7*((R637-1)*IF(Skills!G7&gt;0,Skills!H7/Skills!G7,1)+IF(Skills!G7&gt;0,MIN(Skills!H7,MAX(0,MAX(0,Inputs!$B$43-B664)-((R637-1)*IF(Inputs!$B$38="pvp",15,MAX(0.1,Skills!D7-IF(Skills!E7=TRUE,Inputs!$B$32,0))))))/Skills!G7,1)))/Inputs!$B$43),G637*Q637))*IF(Inputs!$B$38="pvp",1,(1+(Inputs!$B$21+Skills!P7+B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Inputs!$B$3&gt;=103</f>
        <v/>
      </c>
      <c r="D638">
        <f>IF(Skills!C8=1,60+Inputs!$B$25+Inputs!$B$29,IF(Skills!C8=2,90+Inputs!$B$26+Inputs!$B$29,IF(Skills!C8=3,120+Inputs!$B$27+Inputs!$B$29,MAX(0,(Inputs!$B$3-100)*3)+Inputs!$B$28+Inputs!$B$29)))</f>
        <v/>
      </c>
      <c r="E638">
        <f>INDEX(FactorTable!$B$2:$Y$301, MATCH(ROUND(MIN(300,MAX(1,D638)),0), FactorTable!$A$2:$A$301,0), Skills!L8+1)</f>
        <v/>
      </c>
      <c r="F638">
        <f>IF(Skills!M8=TRUE,(Skills!K8/10)*(E638/1000),Skills!K8/10)+Skills!N8</f>
        <v/>
      </c>
      <c r="G638">
        <f>Calc!G8</f>
        <v/>
      </c>
      <c r="H638">
        <f>Calc!H8</f>
        <v/>
      </c>
      <c r="I638">
        <f>IF(Skills!T8&lt;&gt;"",1+(Skills!T8/10)*(Z633/1000)/100,1)</f>
        <v/>
      </c>
      <c r="J638">
        <f>((Inputs!$B$6*(1+Inputs!$B$7/100))+(((Inputs!$B$12*(1+Inputs!$B$13/100))-(Inputs!$B$12*(1+Inputs!$B$13/100)))+0.25*(Inputs!$B$14-Inputs!$B$14))*(1+Inputs!$B$7/100))*(F638/100)</f>
        <v/>
      </c>
      <c r="K638">
        <f>J638*(1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8="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F648-Calc!F18),(Inputs!$B$23+(IF(ArtifactsInput!$M$15,CHOOSE(ArtifactsInput!$N$15+1,25,30,35,40,45,50)/100*(Inputs!$B$11-Inputs!$B$11),0))))/100+(Inputs!$B$23+(IF(ArtifactsInput!$M$15,CHOOSE(ArtifactsInput!$N$15+1,25,30,35,40,45,50)/100*(Inputs!$B$11-Inputs!$B$11),0)))/100)/2</f>
        <v/>
      </c>
      <c r="M638">
        <f>L638*(1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(1-Summary!$B$11)*S638+Summary!$B$11*U638</f>
        <v/>
      </c>
      <c r="P638">
        <f>IF(B667=0,0,O638/B667)</f>
        <v/>
      </c>
      <c r="Q638">
        <f>IFERROR(1/IF(Inputs!$B$38="pvp",15,MAX(0.1,Skills!D8-IF(Skills!E8=TRUE,Inputs!$B$32,0))),0)</f>
        <v/>
      </c>
      <c r="R638">
        <f>IF(AND(Inputs!$B$38&lt;&gt;"pvp",Inputs!$B$43&gt;0),IF(MAX(0,Inputs!$B$43-B664)&lt;=0,0,(INT(MAX(0,Inputs!$B$43-B664)/IF(Inputs!$B$38="pvp",15,MAX(0.1,Skills!D8-IF(Skills!E8=TRUE,Inputs!$B$32,0))))+1)),0)</f>
        <v/>
      </c>
      <c r="S638">
        <f>IF(C638,(H638*N638*IF(AND(Inputs!$B$38&lt;&gt;"pvp",Inputs!$B$43&gt;0),((Skills!F8*((R638-1)*IF(Skills!G8&gt;0,Skills!H8/Skills!G8,1)+IF(Skills!G8&gt;0,MIN(Skills!H8,MAX(0,MAX(0,Inputs!$B$43-B664)-((R638-1)*IF(Inputs!$B$38="pvp",15,MAX(0.1,Skills!D8-IF(Skills!E8=TRUE,Inputs!$B$32,0))))))/Skills!G8,1)))/Inputs!$B$43),G638*Q638))*IF(Inputs!$B$38="pvp",1,1+(Inputs!$B$20+Skills!O8+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638*(1-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F(C638,(H638*N638*IF(AND(Inputs!$B$38&lt;&gt;"pvp",Inputs!$B$43&gt;0),((Skills!F8*((R638-1)*IF(Skills!G8&gt;0,Skills!H8/Skills!G8,1)+IF(Skills!G8&gt;0,MIN(Skills!H8,MAX(0,MAX(0,Inputs!$B$43-B664)-((R638-1)*IF(Inputs!$B$38="pvp",15,MAX(0.1,Skills!D8-IF(Skills!E8=TRUE,Inputs!$B$32,0))))))/Skills!G8,1)))/Inputs!$B$43),G638*Q638))*IF(Inputs!$B$38="pvp",1,(1+(Inputs!$B$21+Skills!P8+B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Inputs!$B$3&gt;=105</f>
        <v/>
      </c>
      <c r="D639">
        <f>IF(Skills!C9=1,60+Inputs!$B$25+Inputs!$B$29,IF(Skills!C9=2,90+Inputs!$B$26+Inputs!$B$29,IF(Skills!C9=3,120+Inputs!$B$27+Inputs!$B$29,MAX(0,(Inputs!$B$3-100)*3)+Inputs!$B$28+Inputs!$B$29)))</f>
        <v/>
      </c>
      <c r="E639">
        <f>INDEX(FactorTable!$B$2:$Y$301, MATCH(ROUND(MIN(300,MAX(1,D639)),0), FactorTable!$A$2:$A$301,0), Skills!L9+1)</f>
        <v/>
      </c>
      <c r="F639">
        <f>IF(Skills!M9=TRUE,(Skills!K9/10)*(E639/1000),Skills!K9/10)+Skills!N9</f>
        <v/>
      </c>
      <c r="G639">
        <f>Calc!G9</f>
        <v/>
      </c>
      <c r="H639">
        <f>Calc!H9</f>
        <v/>
      </c>
      <c r="I639">
        <f>IF(Skills!T9&lt;&gt;"",1+(Skills!T9/10)*(Z633/1000)/100,1)</f>
        <v/>
      </c>
      <c r="J639">
        <f>((Inputs!$B$6*(1+Inputs!$B$7/100))+(((Inputs!$B$12*(1+Inputs!$B$13/100))-(Inputs!$B$12*(1+Inputs!$B$13/100)))+0.25*(Inputs!$B$14-Inputs!$B$14))*(1+Inputs!$B$7/100))*(F639/100)</f>
        <v/>
      </c>
      <c r="K639">
        <f>J639*(1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9="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F648-Calc!F18),(Inputs!$B$23+(IF(ArtifactsInput!$M$15,CHOOSE(ArtifactsInput!$N$15+1,25,30,35,40,45,50)/100*(Inputs!$B$11-Inputs!$B$11),0))))/100+(Inputs!$B$23+(IF(ArtifactsInput!$M$15,CHOOSE(ArtifactsInput!$N$15+1,25,30,35,40,45,50)/100*(Inputs!$B$11-Inputs!$B$11),0)))/100)/2</f>
        <v/>
      </c>
      <c r="M639">
        <f>L639*(1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(1-Summary!$B$11)*S639+Summary!$B$11*U639</f>
        <v/>
      </c>
      <c r="P639">
        <f>IF(B667=0,0,O639/B667)</f>
        <v/>
      </c>
      <c r="Q639">
        <f>IFERROR(1/IF(Inputs!$B$38="pvp",15,MAX(0.1,Skills!D9-IF(Skills!E9=TRUE,Inputs!$B$32,0))),0)</f>
        <v/>
      </c>
      <c r="R639">
        <f>IF(AND(Inputs!$B$38&lt;&gt;"pvp",Inputs!$B$43&gt;0),IF(MAX(0,Inputs!$B$43-B664)&lt;=0,0,(INT(MAX(0,Inputs!$B$43-B664)/IF(Inputs!$B$38="pvp",15,MAX(0.1,Skills!D9-IF(Skills!E9=TRUE,Inputs!$B$32,0))))+1)),0)</f>
        <v/>
      </c>
      <c r="S639">
        <f>IF(C639,(H639*N639*IF(AND(Inputs!$B$38&lt;&gt;"pvp",Inputs!$B$43&gt;0),((Skills!F9*((R639-1)*IF(Skills!G9&gt;0,Skills!H9/Skills!G9,1)+IF(Skills!G9&gt;0,MIN(Skills!H9,MAX(0,MAX(0,Inputs!$B$43-B664)-((R639-1)*IF(Inputs!$B$38="pvp",15,MAX(0.1,Skills!D9-IF(Skills!E9=TRUE,Inputs!$B$32,0))))))/Skills!G9,1)))/Inputs!$B$43),G639*Q639))*IF(Inputs!$B$38="pvp",1,1+(Inputs!$B$20+Skills!O9+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639*(1-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9">
        <f>IF(C639,(H639*N639*IF(AND(Inputs!$B$38&lt;&gt;"pvp",Inputs!$B$43&gt;0),((Skills!F9*((R639-1)*IF(Skills!G9&gt;0,Skills!H9/Skills!G9,1)+IF(Skills!G9&gt;0,MIN(Skills!H9,MAX(0,MAX(0,Inputs!$B$43-B664)-((R639-1)*IF(Inputs!$B$38="pvp",15,MAX(0.1,Skills!D9-IF(Skills!E9=TRUE,Inputs!$B$32,0))))))/Skills!G9,1)))/Inputs!$B$43),G639*Q639))*IF(Inputs!$B$38="pvp",1,(1+(Inputs!$B$21+Skills!P9+B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Skills!L10+1)</f>
        <v/>
      </c>
      <c r="F640">
        <f>IF(Skills!M10=TRUE,(Skills!K10/10)*(E640/1000),Skills!K10/10)+Skills!N10</f>
        <v/>
      </c>
      <c r="G640">
        <f>Calc!G10</f>
        <v/>
      </c>
      <c r="H640">
        <f>Calc!H10</f>
        <v/>
      </c>
      <c r="I640">
        <f>IF(Skills!T10&lt;&gt;"",1+(Skills!T10/10)*(Z633/1000)/100,1)</f>
        <v/>
      </c>
      <c r="J640">
        <f>((Inputs!$B$6*(1+Inputs!$B$7/100))+(((Inputs!$B$12*(1+Inputs!$B$13/100))-(Inputs!$B$12*(1+Inputs!$B$13/100)))+0.25*(Inputs!$B$14-Inputs!$B$14))*(1+Inputs!$B$7/100))*(F640/100)</f>
        <v/>
      </c>
      <c r="K640">
        <f>J640*(1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10="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F648-Calc!F18),(Inputs!$B$23+(IF(ArtifactsInput!$M$15,CHOOSE(ArtifactsInput!$N$15+1,25,30,35,40,45,50)/100*(Inputs!$B$11-Inputs!$B$11),0))))/100+(Inputs!$B$23+(IF(ArtifactsInput!$M$15,CHOOSE(ArtifactsInput!$N$15+1,25,30,35,40,45,50)/100*(Inputs!$B$11-Inputs!$B$11),0)))/100)/2</f>
        <v/>
      </c>
      <c r="M640">
        <f>L640*(1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(1-Summary!$B$11)*S640+Summary!$B$11*U640</f>
        <v/>
      </c>
      <c r="P640">
        <f>IF(B667=0,0,O640/B667)</f>
        <v/>
      </c>
      <c r="Q640">
        <f>IFERROR(1/IF(Inputs!$B$38="pvp",15,MAX(0.1,Skills!D10-IF(Skills!E9=TRUE,Inputs!$B$32,0))),0)</f>
        <v/>
      </c>
      <c r="R640">
        <f>IF(AND(Inputs!$B$38&lt;&gt;"pvp",Inputs!$B$43&gt;0),IF(MAX(0,Inputs!$B$43-B664)&lt;=0,0,(INT(MAX(0,Inputs!$B$43-B664)/IF(Inputs!$B$38="pvp",15,MAX(0.1,Skills!D10-IF(Skills!E9=TRUE,Inputs!$B$32,0))))+1)),0)</f>
        <v/>
      </c>
      <c r="S640">
        <f>IF(C640,(H640*N640*IF(AND(Inputs!$B$38&lt;&gt;"pvp",Inputs!$B$43&gt;0),((Skills!F10*((R640-1)*IF(Skills!G10&gt;0,Skills!H10/Skills!G10,1)+IF(Skills!G10&gt;0,MIN(Skills!H10,MAX(0,MAX(0,Inputs!$B$43-B664)-((R640-1)*IF(Inputs!$B$38="pvp",15,MAX(0.1,Skills!D10-IF(Skills!E9=TRUE,Inputs!$B$32,0))))))/Skills!G10,1)))/Inputs!$B$43),G640*Q640))*IF(Inputs!$B$38="pvp",1,1+(Inputs!$B$20+Skills!O10+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640*(1-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0">
        <f>IF(C640,(H640*N640*IF(AND(Inputs!$B$38&lt;&gt;"pvp",Inputs!$B$43&gt;0),((Skills!F10*((R640-1)*IF(Skills!G10&gt;0,Skills!H10/Skills!G10,1)+IF(Skills!G10&gt;0,MIN(Skills!H10,MAX(0,MAX(0,Inputs!$B$43-B664)-((R640-1)*IF(Inputs!$B$38="pvp",15,MAX(0.1,Skills!D10-IF(Skills!E9=TRUE,Inputs!$B$32,0))))))/Skills!G10,1)))/Inputs!$B$43),G640*Q640))*IF(Inputs!$B$38="pvp",1,(1+(Inputs!$B$21+Skills!P10+B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Skills!L11+1)</f>
        <v/>
      </c>
      <c r="F641">
        <f>IF(Skills!M11=TRUE,(Skills!K11/10)*(E641/1000),Skills!K11/10)+Skills!N11</f>
        <v/>
      </c>
      <c r="G641">
        <f>Calc!G11</f>
        <v/>
      </c>
      <c r="H641">
        <f>Calc!H11</f>
        <v/>
      </c>
      <c r="I641">
        <f>IF(Skills!T11&lt;&gt;"",1+(Skills!T11/10)*(Z633/1000)/100,1)</f>
        <v/>
      </c>
      <c r="J641">
        <f>((Inputs!$B$6*(1+Inputs!$B$7/100))+(((Inputs!$B$12*(1+Inputs!$B$13/100))-(Inputs!$B$12*(1+Inputs!$B$13/100)))+0.25*(Inputs!$B$14-Inputs!$B$14))*(1+Inputs!$B$7/100))*(F641/100)</f>
        <v/>
      </c>
      <c r="K641">
        <f>J641*(1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11="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F648-Calc!F18),(Inputs!$B$23+(IF(ArtifactsInput!$M$15,CHOOSE(ArtifactsInput!$N$15+1,25,30,35,40,45,50)/100*(Inputs!$B$11-Inputs!$B$11),0))))/100+(Inputs!$B$23+(IF(ArtifactsInput!$M$15,CHOOSE(ArtifactsInput!$N$15+1,25,30,35,40,45,50)/100*(Inputs!$B$11-Inputs!$B$11),0)))/100)/2</f>
        <v/>
      </c>
      <c r="M641">
        <f>L641*(1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(1-Summary!$B$11)*S641+Summary!$B$11*U641</f>
        <v/>
      </c>
      <c r="P641">
        <f>IF(B667=0,0,O641/B667)</f>
        <v/>
      </c>
      <c r="Q641">
        <f>IFERROR(1/IF(Inputs!$B$38="pvp",15,MAX(0.1,Skills!D11-IF(Skills!E11=TRUE,Inputs!$B$32,0))),0)</f>
        <v/>
      </c>
      <c r="R641">
        <f>IF(AND(Inputs!$B$38&lt;&gt;"pvp",Inputs!$B$43&gt;0),IF(MAX(0,Inputs!$B$43-B664)&lt;=0,0,(INT(MAX(0,Inputs!$B$43-B664)/IF(Inputs!$B$38="pvp",15,MAX(0.1,Skills!D11-IF(Skills!E11=TRUE,Inputs!$B$32,0))))+1)),0)</f>
        <v/>
      </c>
      <c r="S641">
        <f>IF(C641,H641*N641*IF(AND(Inputs!$B$38&lt;&gt;"pvp",Inputs!$B$43&gt;0),((Skills!F11*((R641-1)*IF(Skills!G11&gt;0,Skills!H11/Skills!G11,1)+IF(Skills!G11&gt;0,MIN(Skills!H11,MAX(0,MAX(0,Inputs!$B$43-B664)-((R641-1)*IF(Inputs!$B$38="pvp",15,MAX(0.1,Skills!D11-IF(Skills!E11=TRUE,Inputs!$B$32,0))))))/Skills!G11,1)))/Inputs!$B$43),G641*Q641)*0.5*IF(Inputs!$B$38="pvp",1,1+(Inputs!$B$20+Skills!O11+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641*(1-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1">
        <f>IF(C641,H641*N641*IF(AND(Inputs!$B$38&lt;&gt;"pvp",Inputs!$B$43&gt;0),((Skills!F11*((R641-1)*IF(Skills!G11&gt;0,Skills!H11/Skills!G11,1)+IF(Skills!G11&gt;0,MIN(Skills!H11,MAX(0,MAX(0,Inputs!$B$43-B664)-((R641-1)*IF(Inputs!$B$38="pvp",15,MAX(0.1,Skills!D11-IF(Skills!E11=TRUE,Inputs!$B$32,0))))))/Skills!G11,1)))/Inputs!$B$43),G641*Q641)*1*IF(Inputs!$B$38="pvp",1,(1+(Inputs!$B$21+Skills!P11+B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Inputs!$B$3&gt;=115</f>
        <v/>
      </c>
      <c r="D642">
        <f>IF(Skills!C12=1,60+Inputs!$B$25+Inputs!$B$29,IF(Skills!C12=2,90+Inputs!$B$26+Inputs!$B$29,IF(Skills!C12=3,120+Inputs!$B$27+Inputs!$B$29,MAX(0,(Inputs!$B$3-100)*3)+Inputs!$B$28+Inputs!$B$29)))</f>
        <v/>
      </c>
      <c r="E642">
        <f>INDEX(FactorTable!$B$2:$Y$301, MATCH(ROUND(MIN(300,MAX(1,D642)),0), FactorTable!$A$2:$A$301,0), Skills!L12+1)</f>
        <v/>
      </c>
      <c r="F642">
        <f>IF(Skills!M12=TRUE,(Skills!K12/10)*(E642/1000),Skills!K12/10)+Skills!N12</f>
        <v/>
      </c>
      <c r="G642">
        <f>Calc!G12</f>
        <v/>
      </c>
      <c r="H642">
        <f>Calc!H12</f>
        <v/>
      </c>
      <c r="I642">
        <f>IF(Skills!T12&lt;&gt;"",1+(Skills!T12/10)*(Z633/1000)/100,1)</f>
        <v/>
      </c>
      <c r="J642">
        <f>((Inputs!$B$6*(1+Inputs!$B$7/100))+(((Inputs!$B$12*(1+Inputs!$B$13/100))-(Inputs!$B$12*(1+Inputs!$B$13/100)))+0.25*(Inputs!$B$14-Inputs!$B$14))*(1+Inputs!$B$7/100))*(F642/100)</f>
        <v/>
      </c>
      <c r="K642">
        <f>J642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12="CHAIN_LIGHTNING",Inputs!$B$17+((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F648-Calc!F18),(Inputs!$B$23+(IF(ArtifactsInput!$M$15,CHOOSE(ArtifactsInput!$N$15+1,25,30,35,40,45,50)/100*(Inputs!$B$11-Inputs!$B$11),0))))/100+(Inputs!$B$23+(IF(ArtifactsInput!$M$15,CHOOSE(ArtifactsInput!$N$15+1,25,30,35,40,45,50)/100*(Inputs!$B$11-Inputs!$B$11),0)))/100)/2</f>
        <v/>
      </c>
      <c r="M642">
        <f>L642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(1-Summary!$B$11)*S642+Summary!$B$11*U642</f>
        <v/>
      </c>
      <c r="P642">
        <f>IF(B667=0,0,O642/B667)</f>
        <v/>
      </c>
      <c r="Q642">
        <f>IFERROR(1/IF(Inputs!$B$38="pvp",15,MAX(0.1,Skills!D12-IF(Skills!E12=TRUE,Inputs!$B$32,0))),0)</f>
        <v/>
      </c>
      <c r="R642">
        <f>IF(AND(Inputs!$B$38&lt;&gt;"pvp",Inputs!$B$43&gt;0),IF(MAX(0,Inputs!$B$43-B664)&lt;=0,0,(INT(MAX(0,Inputs!$B$43-B664)/IF(Inputs!$B$38="pvp",15,MAX(0.1,Skills!D12-IF(Skills!E12=TRUE,Inputs!$B$32,0))))+1)),0)</f>
        <v/>
      </c>
      <c r="S642">
        <f>IF(C642,(H642*N642*IF(AND(Inputs!$B$38&lt;&gt;"pvp",Inputs!$B$43&gt;0),((Skills!F12*((R642-1)*IF(Skills!G12&gt;0,Skills!H12/Skills!G12,1)+IF(Skills!G12&gt;0,MIN(Skills!H12,MAX(0,MAX(0,Inputs!$B$43-B664)-((R642-1)*IF(Inputs!$B$38="pvp",15,MAX(0.1,Skills!D12-IF(Skills!E12=TRUE,Inputs!$B$32,0))))))/Skills!G12,1)))/Inputs!$B$43),G642*Q642))*IF(Inputs!$B$38="pvp",1,1+(Inputs!$B$20+Skills!O12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642*(1-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F650-Calc!F20)+(F649-Calc!F19))+(ArtifactsInput!$M$24-ArtifactsInput!$M$24)*CHOOSE(ArtifactsInput!$N$24+1,10,12,14,16,18,20)+(IF(AND(Inputs!$B$38&lt;&gt;"pvp",Inputs!$B$43=0),1,IF(IF(Inputs!$B$38="pvp",15,Inputs!$B$43)-(B664)&lt;=0,1,MAX(0,IF(Inputs!$B$38="pvp",15,Inputs!$B$43)-MAX(5,B664))/(IF(Inputs!$B$38="pvp",15,Inputs!$B$43)-(B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2">
        <f>IF(C642,(H642*N642*IF(AND(Inputs!$B$38&lt;&gt;"pvp",Inputs!$B$43&gt;0),((Skills!F12*((R642-1)*IF(Skills!G12&gt;0,Skills!H12/Skills!G12,1)+IF(Skills!G12&gt;0,MIN(Skills!H12,MAX(0,MAX(0,Inputs!$B$43-B664)-((R642-1)*IF(Inputs!$B$38="pvp",15,MAX(0.1,Skills!D12-IF(Skills!E12=TRUE,Inputs!$B$32,0))))))/Skills!G12,1)))/Inputs!$B$43),G642*Q642))*IF(Inputs!$B$38="pvp",1,(1+(Inputs!$B$21+Skills!P12+B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Inputs!$B$3&gt;=49</f>
        <v/>
      </c>
      <c r="D643">
        <f>IF(Skills!C13=1,60+Inputs!$B$25+Inputs!$B$29,IF(Skills!C13=2,90+Inputs!$B$26+Inputs!$B$29,IF(Skills!C13=3,120+Inputs!$B$27+Inputs!$B$29,MAX(0,(Inputs!$B$3-100)*3)+Inputs!$B$28+Inputs!$B$29)))</f>
        <v/>
      </c>
      <c r="E643">
        <f>INDEX(FactorTable!$B$2:$Y$301, MATCH(ROUND(MIN(300,MAX(1,D643)),0), FactorTable!$A$2:$A$301,0), Skills!L13+1)</f>
        <v/>
      </c>
      <c r="F643">
        <f>IF(Skills!M13=TRUE,(Skills!K13/10)*(E643/1000),Skills!K13/10)+Skills!N13</f>
        <v/>
      </c>
      <c r="G643">
        <f>Calc!G13</f>
        <v/>
      </c>
      <c r="H643">
        <f>Calc!H13</f>
        <v/>
      </c>
      <c r="I643">
        <f>IF(Skills!T13&lt;&gt;"",1+(Skills!T13/10)*(Z633/1000)/100,1)</f>
        <v/>
      </c>
      <c r="J643" t="inlineStr"/>
      <c r="K643" t="inlineStr"/>
      <c r="L643" t="inlineStr"/>
      <c r="M643" t="inlineStr"/>
      <c r="N643" t="inlineStr"/>
      <c r="O643">
        <f>(1-Summary!$B$11)*S643+Summary!$B$11*U643</f>
        <v/>
      </c>
      <c r="P643">
        <f>IF(B667=0,0,O643/B667)</f>
        <v/>
      </c>
      <c r="Q643">
        <f>IFERROR(1/IF(Inputs!$B$38="pvp",15,MAX(0.1,Skills!D13-IF(Skills!E13=TRUE,Inputs!$B$32,0))),0)</f>
        <v/>
      </c>
      <c r="R643" t="n">
        <v>0</v>
      </c>
      <c r="S643" t="n">
        <v>0</v>
      </c>
      <c r="U643" t="n">
        <v>0</v>
      </c>
    </row>
    <row r="644">
      <c r="A644">
        <f>Skills!A14</f>
        <v/>
      </c>
      <c r="B644">
        <f>Skills!B14</f>
        <v/>
      </c>
      <c r="C644">
        <f>Inputs!$B$3&gt;=72</f>
        <v/>
      </c>
      <c r="D644">
        <f>IF(Skills!C14=1,60+Inputs!$B$25+Inputs!$B$29,IF(Skills!C14=2,90+Inputs!$B$26+Inputs!$B$29,IF(Skills!C14=3,120+Inputs!$B$27+Inputs!$B$29,MAX(0,(Inputs!$B$3-100)*3)+Inputs!$B$28+Inputs!$B$29)))</f>
        <v/>
      </c>
      <c r="E644">
        <f>INDEX(FactorTable!$B$2:$Y$301, MATCH(ROUND(MIN(300,MAX(1,D644)),0), FactorTable!$A$2:$A$301,0), Skills!L14+1)</f>
        <v/>
      </c>
      <c r="F644">
        <f>IF(Skills!M14=TRUE,(Skills!K14/10)*(E644/1000),Skills!K14/10)+Skills!N14</f>
        <v/>
      </c>
      <c r="G644">
        <f>Calc!G14</f>
        <v/>
      </c>
      <c r="H644">
        <f>Calc!H14</f>
        <v/>
      </c>
      <c r="I644">
        <f>IF(Skills!T14&lt;&gt;"",1+(Skills!T14/10)*(Z633/1000)/100,1)</f>
        <v/>
      </c>
      <c r="J644" t="inlineStr"/>
      <c r="K644" t="inlineStr"/>
      <c r="L644" t="inlineStr"/>
      <c r="M644" t="inlineStr"/>
      <c r="N644" t="inlineStr"/>
      <c r="O644">
        <f>(1-Summary!$B$11)*S644+Summary!$B$11*U644</f>
        <v/>
      </c>
      <c r="P644">
        <f>IF(B667=0,0,O644/B667)</f>
        <v/>
      </c>
      <c r="Q644">
        <f>IFERROR(1/IF(Inputs!$B$38="pvp",15,MAX(0.1,Skills!D14-IF(Skills!E14=TRUE,Inputs!$B$32,0))),0)</f>
        <v/>
      </c>
      <c r="R644" t="n">
        <v>0</v>
      </c>
      <c r="S644" t="n">
        <v>0</v>
      </c>
      <c r="U644" t="n">
        <v>0</v>
      </c>
    </row>
    <row r="645">
      <c r="A645">
        <f>Skills!A15</f>
        <v/>
      </c>
      <c r="B645">
        <f>Skills!B15</f>
        <v/>
      </c>
      <c r="C645">
        <f>Inputs!$B$3&gt;=75</f>
        <v/>
      </c>
      <c r="D645">
        <f>IF(Skills!C15=1,60+Inputs!$B$25+Inputs!$B$29,IF(Skills!C15=2,90+Inputs!$B$26+Inputs!$B$29,IF(Skills!C15=3,120+Inputs!$B$27+Inputs!$B$29,MAX(0,(Inputs!$B$3-100)*3)+Inputs!$B$28+Inputs!$B$29)))</f>
        <v/>
      </c>
      <c r="E645">
        <f>INDEX(FactorTable!$B$2:$Y$301, MATCH(ROUND(MIN(300,MAX(1,D645)),0), FactorTable!$A$2:$A$301,0), Skills!L15+1)</f>
        <v/>
      </c>
      <c r="F645">
        <f>IF(Skills!M15=TRUE,(Skills!K15/10)*(E645/1000),Skills!K15/10)+Skills!N15</f>
        <v/>
      </c>
      <c r="G645">
        <f>Calc!G15</f>
        <v/>
      </c>
      <c r="H645">
        <f>Calc!H15</f>
        <v/>
      </c>
      <c r="I645">
        <f>IF(Skills!T15&lt;&gt;"",1+(Skills!T15/10)*(Z633/1000)/100,1)</f>
        <v/>
      </c>
      <c r="J645" t="inlineStr"/>
      <c r="K645" t="inlineStr"/>
      <c r="L645" t="inlineStr"/>
      <c r="M645" t="inlineStr"/>
      <c r="N645" t="inlineStr"/>
      <c r="O645">
        <f>(1-Summary!$B$11)*S645+Summary!$B$11*U645</f>
        <v/>
      </c>
      <c r="P645">
        <f>IF(B667=0,0,O645/B667)</f>
        <v/>
      </c>
      <c r="Q645">
        <f>IFERROR(1/IF(Inputs!$B$38="pvp",15,MAX(0.1,Skills!D15-IF(Skills!E15=TRUE,Inputs!$B$32,0))),0)</f>
        <v/>
      </c>
      <c r="R645" t="n">
        <v>0</v>
      </c>
      <c r="S645" t="n">
        <v>0</v>
      </c>
      <c r="U645" t="n">
        <v>0</v>
      </c>
    </row>
    <row r="646">
      <c r="A646">
        <f>Skills!A16</f>
        <v/>
      </c>
      <c r="B646">
        <f>Skills!B16</f>
        <v/>
      </c>
      <c r="C646">
        <f>Inputs!$B$3&gt;=110</f>
        <v/>
      </c>
      <c r="D646">
        <f>IF(Skills!C16=1,60+Inputs!$B$25+Inputs!$B$29,IF(Skills!C16=2,90+Inputs!$B$26+Inputs!$B$29,IF(Skills!C16=3,120+Inputs!$B$27+Inputs!$B$29,MAX(0,(Inputs!$B$3-100)*3)+Inputs!$B$28+Inputs!$B$29)))</f>
        <v/>
      </c>
      <c r="E646">
        <f>INDEX(FactorTable!$B$2:$Y$301, MATCH(ROUND(MIN(300,MAX(1,D646)),0), FactorTable!$A$2:$A$301,0), Skills!L16+1)</f>
        <v/>
      </c>
      <c r="F646">
        <f>(Skills!K16/10)*(E646/1000)*64/45+Skills!N16</f>
        <v/>
      </c>
      <c r="G646">
        <f>Calc!G16</f>
        <v/>
      </c>
      <c r="H646">
        <f>Calc!H16</f>
        <v/>
      </c>
      <c r="I646">
        <f>IF(Skills!T16&lt;&gt;"",1+(Skills!T16/10)*(Z633/1000)/100,1)</f>
        <v/>
      </c>
      <c r="J646" t="inlineStr"/>
      <c r="K646" t="inlineStr"/>
      <c r="L646" t="inlineStr"/>
      <c r="M646" t="inlineStr"/>
      <c r="N646" t="inlineStr"/>
      <c r="O646">
        <f>(1-Summary!$B$11)*S646+Summary!$B$11*U646</f>
        <v/>
      </c>
      <c r="P646">
        <f>IF(B667=0,0,O646/B667)</f>
        <v/>
      </c>
      <c r="Q646">
        <f>IFERROR(1/IF(Inputs!$B$38="pvp",15,MAX(0.1,Skills!D16-IF(Skills!E16=TRUE,Inputs!$B$32,0))),0)</f>
        <v/>
      </c>
      <c r="R646">
        <f>IF(AND(Inputs!$B$38&lt;&gt;"pvp",Inputs!$B$43&gt;0),IF(Inputs!$B$43&lt;=0,0,(INT(Inputs!$B$43/IF(Inputs!$B$38="pvp",15,MAX(0.1,Skills!D16-IF(Skills!E16=TRUE,Inputs!$B$32,0))))+1)),0)</f>
        <v/>
      </c>
      <c r="S646" t="n">
        <v>0</v>
      </c>
      <c r="U646" t="n">
        <v>0</v>
      </c>
    </row>
    <row r="647">
      <c r="A647">
        <f>Skills!A17</f>
        <v/>
      </c>
      <c r="B647">
        <f>Skills!B17</f>
        <v/>
      </c>
      <c r="C647">
        <f>Inputs!$B$3&gt;=33</f>
        <v/>
      </c>
      <c r="D647">
        <f>IF(Skills!C17=1,60+Inputs!$B$25+Inputs!$B$29,IF(Skills!C17=2,90+Inputs!$B$26+Inputs!$B$29,IF(Skills!C17=3,120+Inputs!$B$27+Inputs!$B$29,MAX(0,(Inputs!$B$3-100)*3)+Inputs!$B$28+Inputs!$B$29)))</f>
        <v/>
      </c>
      <c r="E647">
        <f>INDEX(FactorTable!$B$2:$Y$301, MATCH(ROUND(MIN(300,MAX(1,D647)),0), FactorTable!$A$2:$A$301,0), Skills!L17+1)</f>
        <v/>
      </c>
      <c r="F647">
        <f>IF(Skills!M17=TRUE,(Skills!K17/10)*(E647/1000),Skills!K17/10)+Skills!N17</f>
        <v/>
      </c>
      <c r="G647">
        <f>Calc!G17</f>
        <v/>
      </c>
      <c r="H647">
        <f>Calc!H17</f>
        <v/>
      </c>
      <c r="I647">
        <f>IF(Skills!T17&lt;&gt;"",1+(Skills!T17/10)*(Z633/1000)/100,1)</f>
        <v/>
      </c>
      <c r="J647" t="inlineStr"/>
      <c r="K647" t="inlineStr"/>
      <c r="L647" t="inlineStr"/>
      <c r="M647" t="inlineStr"/>
      <c r="N647" t="inlineStr"/>
      <c r="O647">
        <f>(1-Summary!$B$11)*S647+Summary!$B$11*U647</f>
        <v/>
      </c>
      <c r="P647">
        <f>IF(B667=0,0,O647/B667)</f>
        <v/>
      </c>
      <c r="Q647">
        <f>IFERROR(1/IF(Inputs!$B$38="pvp",15,MAX(0.1,Skills!D17-IF(Skills!E17=TRUE,Inputs!$B$32,0))),0)</f>
        <v/>
      </c>
      <c r="R647" t="n">
        <v>0</v>
      </c>
      <c r="S647" t="n">
        <v>0</v>
      </c>
      <c r="U647" t="n">
        <v>0</v>
      </c>
    </row>
    <row r="648">
      <c r="A648">
        <f>Skills!A18</f>
        <v/>
      </c>
      <c r="B648">
        <f>Skills!B18</f>
        <v/>
      </c>
      <c r="C648">
        <f>Inputs!$B$3&gt;=43</f>
        <v/>
      </c>
      <c r="D648">
        <f>IF(Skills!C18=1,60+Inputs!$B$25+Inputs!$B$29,IF(Skills!C18=2,90+Inputs!$B$26+Inputs!$B$29,IF(Skills!C18=3,120+Inputs!$B$27+Inputs!$B$29,MAX(0,(Inputs!$B$3-100)*3)+Inputs!$B$28+Inputs!$B$29)))</f>
        <v/>
      </c>
      <c r="E648">
        <f>INDEX(FactorTable!$B$2:$Y$301, MATCH(ROUND(MIN(300,MAX(1,D648)),0), FactorTable!$A$2:$A$301,0), Skills!L18+1)</f>
        <v/>
      </c>
      <c r="F648">
        <f>IF(Skills!M18=TRUE,(Skills!K18/10)*(E648/1000),Skills!K18/10)+Skills!N18</f>
        <v/>
      </c>
      <c r="G648">
        <f>Calc!G18</f>
        <v/>
      </c>
      <c r="H648">
        <f>Calc!H18</f>
        <v/>
      </c>
      <c r="I648">
        <f>IF(Skills!T18&lt;&gt;"",1+(Skills!T18/10)*(Z633/1000)/100,1)</f>
        <v/>
      </c>
      <c r="J648" t="inlineStr"/>
      <c r="K648" t="inlineStr"/>
      <c r="L648" t="inlineStr"/>
      <c r="M648" t="inlineStr"/>
      <c r="N648" t="inlineStr"/>
      <c r="O648">
        <f>(1-Summary!$B$11)*S648+Summary!$B$11*U648</f>
        <v/>
      </c>
      <c r="P648">
        <f>IF(B667=0,0,O648/B667)</f>
        <v/>
      </c>
      <c r="Q648">
        <f>IFERROR(1/IF(Inputs!$B$38="pvp",15,MAX(0.1,Skills!D18-IF(Skills!E18=TRUE,Inputs!$B$32,0))),0)</f>
        <v/>
      </c>
      <c r="R648" t="n">
        <v>0</v>
      </c>
      <c r="S648" t="n">
        <v>0</v>
      </c>
      <c r="U648" t="n">
        <v>0</v>
      </c>
    </row>
    <row r="649">
      <c r="A649">
        <f>Skills!A19</f>
        <v/>
      </c>
      <c r="B649">
        <f>Skills!B19</f>
        <v/>
      </c>
      <c r="C649">
        <f>Inputs!$B$3&gt;=50</f>
        <v/>
      </c>
      <c r="D649">
        <f>IF(Skills!C19=1,60+Inputs!$B$25+Inputs!$B$29,IF(Skills!C19=2,90+Inputs!$B$26+Inputs!$B$29,IF(Skills!C19=3,120+Inputs!$B$27+Inputs!$B$29,MAX(0,(Inputs!$B$3-100)*3)+Inputs!$B$28+Inputs!$B$29)))</f>
        <v/>
      </c>
      <c r="E649">
        <f>INDEX(FactorTable!$B$2:$Y$301, MATCH(ROUND(MIN(300,MAX(1,D649)),0), FactorTable!$A$2:$A$301,0), Skills!L19+1)</f>
        <v/>
      </c>
      <c r="F649">
        <f>IF(Skills!M19=TRUE,(Skills!K19/10)*(E649/1000),Skills!K19/10)+Skills!N19</f>
        <v/>
      </c>
      <c r="G649">
        <f>Calc!G19</f>
        <v/>
      </c>
      <c r="H649">
        <f>Calc!H19</f>
        <v/>
      </c>
      <c r="I649">
        <f>IF(Skills!T19&lt;&gt;"",1+(Skills!T19/10)*(Z633/1000)/100,1)</f>
        <v/>
      </c>
      <c r="J649" t="inlineStr"/>
      <c r="K649" t="inlineStr"/>
      <c r="L649" t="inlineStr"/>
      <c r="M649" t="inlineStr"/>
      <c r="N649" t="inlineStr"/>
      <c r="O649">
        <f>(1-Summary!$B$11)*S649+Summary!$B$11*U649</f>
        <v/>
      </c>
      <c r="P649">
        <f>IF(B667=0,0,O649/B667)</f>
        <v/>
      </c>
      <c r="Q649">
        <f>IFERROR(1/IF(Inputs!$B$38="pvp",15,MAX(0.1,Skills!D19-IF(Skills!E19=TRUE,Inputs!$B$32,0))),0)</f>
        <v/>
      </c>
      <c r="R649" t="n">
        <v>0</v>
      </c>
      <c r="S649" t="n">
        <v>0</v>
      </c>
      <c r="U649" t="n">
        <v>0</v>
      </c>
    </row>
    <row r="650">
      <c r="A650">
        <f>Skills!A20</f>
        <v/>
      </c>
      <c r="B650">
        <f>Skills!B20</f>
        <v/>
      </c>
      <c r="C650">
        <f>Inputs!$B$3&gt;=74</f>
        <v/>
      </c>
      <c r="D650">
        <f>IF(Skills!C20=1,60+Inputs!$B$25+Inputs!$B$29,IF(Skills!C20=2,90+Inputs!$B$26+Inputs!$B$29,IF(Skills!C20=3,120+Inputs!$B$27+Inputs!$B$29,MAX(0,(Inputs!$B$3-100)*3)+Inputs!$B$28+Inputs!$B$29)))</f>
        <v/>
      </c>
      <c r="E650">
        <f>INDEX(FactorTable!$B$2:$Y$301, MATCH(ROUND(MIN(300,MAX(1,D650)),0), FactorTable!$A$2:$A$301,0), Skills!L20+1)</f>
        <v/>
      </c>
      <c r="F650">
        <f>IF(Skills!M20=TRUE,(Skills!K20/10)*(E650/1000),Skills!K20/10)+Skills!N20</f>
        <v/>
      </c>
      <c r="G650">
        <f>Calc!G20</f>
        <v/>
      </c>
      <c r="H650">
        <f>Calc!H20</f>
        <v/>
      </c>
      <c r="I650">
        <f>IF(Skills!T20&lt;&gt;"",1+(Skills!T20/10)*(Z633/1000)/100,1)</f>
        <v/>
      </c>
      <c r="J650" t="inlineStr"/>
      <c r="K650" t="inlineStr"/>
      <c r="L650" t="inlineStr"/>
      <c r="M650" t="inlineStr"/>
      <c r="N650" t="inlineStr"/>
      <c r="O650">
        <f>(1-Summary!$B$11)*S650+Summary!$B$11*U650</f>
        <v/>
      </c>
      <c r="P650">
        <f>IF(B667=0,0,O650/B667)</f>
        <v/>
      </c>
      <c r="Q650">
        <f>IFERROR(1/IF(Inputs!$B$38="pvp",15,MAX(0.1,Skills!D20-IF(Skills!E20=TRUE,Inputs!$B$32,0))),0)</f>
        <v/>
      </c>
      <c r="R650" t="n">
        <v>0</v>
      </c>
      <c r="S650" t="n">
        <v>0</v>
      </c>
      <c r="U650" t="n">
        <v>0</v>
      </c>
    </row>
    <row r="651">
      <c r="A651">
        <f>Skills!A21</f>
        <v/>
      </c>
      <c r="B651">
        <f>Skills!B21</f>
        <v/>
      </c>
      <c r="C651">
        <f>Inputs!$B$3&gt;=74</f>
        <v/>
      </c>
      <c r="D651">
        <f>IF(Skills!C21=1,60+Inputs!$B$25+Inputs!$B$29,IF(Skills!C21=2,90+Inputs!$B$26+Inputs!$B$29,IF(Skills!C21=3,120+Inputs!$B$27+Inputs!$B$29,MAX(0,(Inputs!$B$3-100)*3)+Inputs!$B$28+Inputs!$B$29)))</f>
        <v/>
      </c>
      <c r="E651">
        <f>INDEX(FactorTable!$B$2:$Y$301, MATCH(ROUND(MIN(300,MAX(1,D651)),0), FactorTable!$A$2:$A$301,0), Skills!L21+1)</f>
        <v/>
      </c>
      <c r="F651">
        <f>IF(Skills!M21=TRUE,(Skills!K21/10)*(E651/1000),Skills!K21/10)+Skills!N21</f>
        <v/>
      </c>
      <c r="G651">
        <f>Calc!G21</f>
        <v/>
      </c>
      <c r="H651">
        <f>Calc!H21</f>
        <v/>
      </c>
      <c r="I651">
        <f>IF(Skills!T21&lt;&gt;"",1+(Skills!T21/10)*(Z633/1000)/100,1)</f>
        <v/>
      </c>
      <c r="J651" t="inlineStr"/>
      <c r="K651" t="inlineStr"/>
      <c r="L651" t="inlineStr"/>
      <c r="M651" t="inlineStr"/>
      <c r="N651" t="inlineStr"/>
      <c r="O651">
        <f>(1-Summary!$B$11)*S651+Summary!$B$11*U651</f>
        <v/>
      </c>
      <c r="P651">
        <f>IF(B667=0,0,O651/B667)</f>
        <v/>
      </c>
      <c r="Q651">
        <f>IFERROR(1/IF(Inputs!$B$38="pvp",15,MAX(0.1,Skills!D21-IF(Skills!E21=TRUE,Inputs!$B$32,0))),0)</f>
        <v/>
      </c>
      <c r="R651" t="n">
        <v>0</v>
      </c>
      <c r="S651" t="n">
        <v>0</v>
      </c>
      <c r="U651" t="n">
        <v>0</v>
      </c>
    </row>
    <row r="652">
      <c r="A652">
        <f>Skills!A22</f>
        <v/>
      </c>
      <c r="B652">
        <f>Skills!B22</f>
        <v/>
      </c>
      <c r="C652">
        <f>Inputs!$B$3&gt;=117</f>
        <v/>
      </c>
      <c r="D652">
        <f>IF(Skills!C22=1,60+Inputs!$B$25+Inputs!$B$29,IF(Skills!C22=2,90+Inputs!$B$26+Inputs!$B$29,IF(Skills!C22=3,120+Inputs!$B$27+Inputs!$B$29,MAX(0,(Inputs!$B$3-100)*3)+Inputs!$B$28+Inputs!$B$29)))</f>
        <v/>
      </c>
      <c r="E652">
        <f>INDEX(FactorTable!$B$2:$Y$301, MATCH(ROUND(MIN(300,MAX(1,D652)),0), FactorTable!$A$2:$A$301,0), Skills!L22+1)</f>
        <v/>
      </c>
      <c r="F652">
        <f>IF(Skills!M22=TRUE,(Skills!K22/10)*(E652/1000),Skills!K22/10)+Skills!N22</f>
        <v/>
      </c>
      <c r="G652">
        <f>Calc!G22</f>
        <v/>
      </c>
      <c r="H652">
        <f>Calc!H22</f>
        <v/>
      </c>
      <c r="I652">
        <f>IF(Skills!T22&lt;&gt;"",1+(Skills!T22/10)*(Z633/1000)/100,1)</f>
        <v/>
      </c>
      <c r="J652" t="inlineStr"/>
      <c r="K652" t="inlineStr"/>
      <c r="L652" t="inlineStr"/>
      <c r="M652" t="inlineStr"/>
      <c r="N652" t="inlineStr"/>
      <c r="O652">
        <f>(1-Summary!$B$11)*S652+Summary!$B$11*U652</f>
        <v/>
      </c>
      <c r="P652">
        <f>IF(B667=0,0,O652/B667)</f>
        <v/>
      </c>
      <c r="Q652">
        <f>IFERROR(1/IF(Inputs!$B$38="pvp",15,MAX(0.1,Skills!D22-IF(Skills!E22=TRUE,Inputs!$B$32,0))),0)</f>
        <v/>
      </c>
      <c r="R652" t="n">
        <v>0</v>
      </c>
      <c r="S652" t="n">
        <v>0</v>
      </c>
      <c r="U652" t="n">
        <v>0</v>
      </c>
    </row>
    <row r="653">
      <c r="A653">
        <f>Skills!A23</f>
        <v/>
      </c>
      <c r="B653">
        <f>Skills!B23</f>
        <v/>
      </c>
      <c r="C653">
        <f>Inputs!$B$3&gt;=120</f>
        <v/>
      </c>
      <c r="D653">
        <f>IF(Skills!C23=1,60+Inputs!$B$25+Inputs!$B$29,IF(Skills!C23=2,90+Inputs!$B$26+Inputs!$B$29,IF(Skills!C23=3,120+Inputs!$B$27+Inputs!$B$29,MAX(0,(Inputs!$B$3-100)*3)+Inputs!$B$28+Inputs!$B$29)))</f>
        <v/>
      </c>
      <c r="E653">
        <f>INDEX(FactorTable!$B$2:$Y$301, MATCH(ROUND(MIN(300,MAX(1,D653)),0), FactorTable!$A$2:$A$301,0), Skills!L23+1)</f>
        <v/>
      </c>
      <c r="F653">
        <f>IF(Skills!M23=TRUE,(Skills!K23/10)*(E653/1000),Skills!K23/10)+Skills!N23</f>
        <v/>
      </c>
      <c r="G653">
        <f>Calc!G23</f>
        <v/>
      </c>
      <c r="H653">
        <f>Calc!H23</f>
        <v/>
      </c>
      <c r="I653">
        <f>IF(Skills!T23&lt;&gt;"",1+(Skills!T23/10)*(Z633/1000)/100,1)</f>
        <v/>
      </c>
      <c r="J653" t="inlineStr"/>
      <c r="K653" t="inlineStr"/>
      <c r="L653" t="inlineStr"/>
      <c r="M653" t="inlineStr"/>
      <c r="N653" t="inlineStr"/>
      <c r="O653">
        <f>(1-Summary!$B$11)*S653+Summary!$B$11*U653</f>
        <v/>
      </c>
      <c r="P653">
        <f>IF(B667=0,0,O653/B667)</f>
        <v/>
      </c>
      <c r="Q653">
        <f>IFERROR(1/IF(Inputs!$B$38="pvp",15,MAX(0.1,Skills!D23-IF(Skills!E23=TRUE,Inputs!$B$32,0))),0)</f>
        <v/>
      </c>
      <c r="R653" t="n">
        <v>0</v>
      </c>
      <c r="S653" t="n">
        <v>0</v>
      </c>
      <c r="U653" t="n">
        <v>0</v>
      </c>
    </row>
    <row r="654">
      <c r="A654">
        <f>Skills!A24</f>
        <v/>
      </c>
      <c r="B654">
        <f>Skills!B24</f>
        <v/>
      </c>
      <c r="C654">
        <f>TRUE</f>
        <v/>
      </c>
      <c r="D654">
        <f>IF(Skills!C24=1,60+Inputs!$B$25+Inputs!$B$29,IF(Skills!C24=2,90+Inputs!$B$26+Inputs!$B$29,IF(Skills!C24=3,120+Inputs!$B$27+Inputs!$B$29,MAX(0,(Inputs!$B$3-100)*3)+Inputs!$B$28+Inputs!$B$29)))</f>
        <v/>
      </c>
      <c r="E654">
        <f>INDEX(FactorTable!$B$2:$Y$301, MATCH(ROUND(MIN(300,MAX(1,D654)),0), FactorTable!$A$2:$A$301,0), Skills!L24+1)</f>
        <v/>
      </c>
      <c r="F654">
        <f>IF(Skills!M24=TRUE,(Skills!K24/10)*(E654/1000),Skills!K24/10)+Skills!N24</f>
        <v/>
      </c>
      <c r="G654">
        <f>Calc!G24</f>
        <v/>
      </c>
      <c r="H654">
        <f>Calc!H24</f>
        <v/>
      </c>
      <c r="I654">
        <f>IF(Skills!T24&lt;&gt;"",1+(Skills!T24/10)*(Z633/1000)/100,1)</f>
        <v/>
      </c>
      <c r="J654" t="inlineStr"/>
      <c r="K654" t="inlineStr"/>
      <c r="L654" t="inlineStr"/>
      <c r="M654" t="inlineStr"/>
      <c r="N654" t="inlineStr"/>
      <c r="O654">
        <f>(1-Summary!$B$11)*S654+Summary!$B$11*U654</f>
        <v/>
      </c>
      <c r="P654">
        <f>IF(B667=0,0,O654/B667)</f>
        <v/>
      </c>
      <c r="Q654">
        <f>IFERROR(1/IF(Inputs!$B$38="pvp",15,MAX(0.1,Skills!D24-IF(Skills!E24=TRUE,Inputs!$B$32,0))),0)</f>
        <v/>
      </c>
      <c r="R654">
        <f>IF(AND(Inputs!$B$38&lt;&gt;"pvp",Inputs!$B$43&gt;0),IF(Inputs!$B$43&lt;=0,0,(INT(Inputs!$B$43/IF(Inputs!$B$38="pvp",15,MAX(0.1,Skills!D24-IF(Skills!E24=TRUE,Inputs!$B$32,0))))+1)),0)</f>
        <v/>
      </c>
      <c r="S654" t="n">
        <v>0</v>
      </c>
      <c r="U654" t="n">
        <v>0</v>
      </c>
    </row>
    <row r="657">
      <c r="A657" t="inlineStr">
        <is>
          <t>Average Buff Multiplier (Magic Guard + Meditation + Artifact Attack%, summed; then Infinity)</t>
        </is>
      </c>
      <c r="B657">
        <f>(1+(IF(C633=TRUE,F633*IF(AND(Inputs!$B$38&lt;&gt;"pvp",Inputs!$B$43&gt;0),(((R633-1)*(Skills!S3*(1+(Inputs!$B$34)/100))+MIN((Skills!S3*(1+(Inputs!$B$34)/100)),MAX(0,Inputs!$B$43-((R633-1)*Skills!D3))))/Inputs!$B$43),IF(Inputs!$B$38="pvp",MIN((Skills!S3*(1+(Inputs!$B$34)/100)),15)/15,(Skills!S3*(1+(Inputs!$B$34)/100))/Skills!D3)),0)+IF(C634=TRUE,F634*IF(AND(Inputs!$B$38&lt;&gt;"pvp",Inputs!$B$43&gt;0),(((R634-1)*(Skills!S4*(1+(Inputs!$B$34)/100))+MIN((Skills!S4*(1+(Inputs!$B$34)/100)),MAX(0,Inputs!$B$43-((R634-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646=TRUE,(1+F646*IF(AND(Inputs!$B$38&lt;&gt;"pvp",Inputs!$B$43&gt;0),(((R646-1)*(Skills!S16*(1+(Inputs!$B$34)/100))+MIN((Skills!S16*(1+(Inputs!$B$34)/100)),MAX(0,Inputs!$B$43-((R646-1)*Skills!D16))))/Inputs!$B$43),IF(Inputs!$B$38="pvp",MIN((Skills!S16*(1+(Inputs!$B$34)/100)),15)/15,(Skills!S16*(1+(Inputs!$B$34)/100))/Skills!D16))/100),1)</f>
        <v/>
      </c>
    </row>
    <row r="658">
      <c r="A658" t="inlineStr">
        <is>
          <t>Monster Damage Taken Bonus % (Freezing Breath - Weaken + Elemental Reset + Artifact Enemy Damage Taken, summed)</t>
        </is>
      </c>
      <c r="B658">
        <f>IF(Inputs!$B$3&gt;=118,15*IF(Inputs!$B$38="pvp",MIN((30*(1+(Inputs!$B$34)/100)),15)/15,(30*(1+(Inputs!$B$34)/100))/Skills!D8),0)+IF(C644=TRUE,F644,0)+(IF(AND(ArtifactsInput!$M$35,Inputs!$B$4&lt;&gt;"Chapter Hunt"),CHOOSE(ArtifactsInput!$N$35+1,15,18,21,24,27,30)*(1-EXP(-(0.2*B661)*5)),0)+IF(AND(ArtifactsInput!$M$22,Inputs!$B$4&lt;&gt;"Chapter Hunt"),CHOOSE(ArtifactsInput!$N$22+1,10,12,14,16,18,20)*((0*(((0.15*B661*5))^0/1)+1*(((0.15*B661*5))^1/1)+2*(((0.15*B661*5))^2/2)+3*(((0.15*B661*5))^3/6)+4*(((0.15*B661*5))^4/24)+5*(((0.15*B661*5))^5/120))/((((0.15*B661*5))^0/1)+(((0.15*B661*5))^1/1)+(((0.15*B661*5))^2/2)+(((0.15*B661*5))^3/6)+(((0.15*B661*5))^4/24)+(((0.15*B661*5))^5/120))),0))</f>
        <v/>
      </c>
    </row>
    <row r="659">
      <c r="A659" t="inlineStr">
        <is>
          <t>Damage % Bonus (Frozen Break + Frost Clutch, flat)</t>
        </is>
      </c>
      <c r="B659">
        <f>IF(Inputs!$B$3&gt;=66,15,0)+IF(Inputs!$B$3&gt;=98,10,0)+IF(Inputs!$B$3&gt;=125,20,0)</f>
        <v/>
      </c>
    </row>
    <row r="660">
      <c r="A660" t="inlineStr">
        <is>
          <t>Attack Speed Bonus % (MP Eater - MP Boost, always-on + Nimble Feet, duty-cycle averaged)</t>
        </is>
      </c>
      <c r="B660">
        <f>IF(C643=TRUE,F643+(F647-Calc!F17),0)+((C654=TRUE)*F654*IF(AND(Inputs!$B$38&lt;&gt;"pvp",Inputs!$B$43&gt;0),(((R654-1)*(Skills!S24*(1+(Inputs!$B$34)/100))+MIN((Skills!S24*(1+(Inputs!$B$34)/100)),MAX(0,Inputs!$B$43-((R654-1)*Skills!D24))))/Inputs!$B$43),IF(Inputs!$B$38="pvp",MIN((Skills!S24*(1+(Inputs!$B$34)/100)),15)/15,(Skills!S24*(1+(Inputs!$B$34)/100))/Skills!D24)))</f>
        <v/>
      </c>
    </row>
    <row r="661">
      <c r="A661" t="inlineStr">
        <is>
          <t>Actions Per Second</t>
        </is>
      </c>
      <c r="B661">
        <f>1+MIN(150,150*(1-(1-(Inputs!$B$11+(ArtifactsInput!$M$15-ArtifactsInput!$M$15)*CHOOSE(ArtifactsInput!$N$15+1,8,9.6,11.2,12.8,14.4,16))/150)*(1-B660/150)))/100</f>
        <v/>
      </c>
    </row>
    <row r="662">
      <c r="A662" t="inlineStr">
        <is>
          <t>Skill + Buff Cast Rate</t>
        </is>
      </c>
      <c r="B662">
        <f>IF(AND(Inputs!$B$38&lt;&gt;"pvp",Inputs!$B$43&gt;0),SUMPRODUCT((Skills!E2:E24=TRUE)*(C632:C654=TRUE)*R632:R654)/Inputs!$B$43,SUMPRODUCT((Skills!E2:E24=TRUE)*(C632:C654=TRUE)*Q632:Q654))</f>
        <v/>
      </c>
    </row>
    <row r="663">
      <c r="A663" t="inlineStr">
        <is>
          <t>Chain Lightning Casts Per Second</t>
        </is>
      </c>
      <c r="B663">
        <f>MAX(0,B661-B662)</f>
        <v/>
      </c>
    </row>
    <row r="664">
      <c r="A664" t="inlineStr">
        <is>
          <t>Buff-Casting Startup Delay (s, fixed-duration only)</t>
        </is>
      </c>
      <c r="B664">
        <f>IF(AND(Inputs!$B$38&lt;&gt;"pvp",Inputs!$B$43&gt;0),SUMPRODUCT((Skills!S2:S24&gt;0)*(Skills!E2:E24=TRUE)*(C632:C654=TRUE))/B661,0)</f>
        <v/>
      </c>
    </row>
    <row r="665">
      <c r="A665" t="inlineStr">
        <is>
          <t>Boss-Only Total DPS (this block's swept value)</t>
        </is>
      </c>
      <c r="B665">
        <f>SUM(S632:S654)</f>
        <v/>
      </c>
    </row>
    <row r="666">
      <c r="A666" t="inlineStr">
        <is>
          <t>Normal-Only Total DPS (this block's swept value)</t>
        </is>
      </c>
      <c r="B666">
        <f>SUM(U632:U654)</f>
        <v/>
      </c>
    </row>
    <row r="667">
      <c r="A667" s="6" t="inlineStr">
        <is>
          <t>TOTAL DPS</t>
        </is>
      </c>
      <c r="B667" s="6">
        <f>SUM(O632:O654)</f>
        <v/>
      </c>
    </row>
    <row r="670">
      <c r="A670" s="6" t="inlineStr">
        <is>
          <t>Stat: Skill Level Bonus — 1st Job</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R671" t="inlineStr">
        <is>
          <t>helpers</t>
        </is>
      </c>
    </row>
    <row r="672">
      <c r="A672">
        <f>Skills!A2</f>
        <v/>
      </c>
      <c r="B672">
        <f>Skills!B2</f>
        <v/>
      </c>
      <c r="C672">
        <f>Inputs!$B$3&gt;=100</f>
        <v/>
      </c>
      <c r="D672" t="inlineStr"/>
      <c r="E672" t="inlineStr"/>
      <c r="F672">
        <f>T674+Skills!N2</f>
        <v/>
      </c>
      <c r="G672">
        <f>Calc!G2</f>
        <v/>
      </c>
      <c r="H672">
        <f>Calc!H2</f>
        <v/>
      </c>
      <c r="I672">
        <f>IF(Skills!T2&lt;&gt;"",1+(Skills!T2/10)*(Z673/1000)/100,1)</f>
        <v/>
      </c>
      <c r="J672">
        <f>((Inputs!$B$6*(1+Inputs!$B$7/100))+(((Inputs!$B$12*(1+Inputs!$B$13/100))-(Inputs!$B$12*(1+Inputs!$B$13/100)))+0.25*(Inputs!$B$14-Inputs!$B$14))*(1+Inputs!$B$7/100))*(F672/100)</f>
        <v/>
      </c>
      <c r="K672">
        <f>J672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2="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672)</f>
        <v/>
      </c>
      <c r="L672">
        <f>K672*(MIN(Inputs!$B$22+(F688-Calc!F18),(Inputs!$B$23+(IF(ArtifactsInput!$M$15,CHOOSE(ArtifactsInput!$N$15+1,25,30,35,40,45,50)/100*(Inputs!$B$11-Inputs!$B$11),0))))/100+(Inputs!$B$23+(IF(ArtifactsInput!$M$15,CHOOSE(ArtifactsInput!$N$15+1,25,30,35,40,45,50)/100*(Inputs!$B$11-Inputs!$B$11),0)))/100)/2</f>
        <v/>
      </c>
      <c r="M672">
        <f>L672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2">
        <f>L672*(1-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672*(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2">
        <f>(1-Summary!$B$11)*S672+Summary!$B$11*U672</f>
        <v/>
      </c>
      <c r="P672">
        <f>IF(B707=0,0,O672/B707)</f>
        <v/>
      </c>
      <c r="Q672">
        <f>IFERROR(1/IF(Inputs!$B$38="pvp",15,MAX(0.1,Skills!D2-IF(Skills!E2=TRUE,Inputs!$B$32,0))),0)</f>
        <v/>
      </c>
      <c r="R672" t="n">
        <v>0</v>
      </c>
      <c r="S672">
        <f>IF(C672,(Skills!F2*N672*B703)*IF(Inputs!$B$38="pvp",1,1+(Inputs!$B$20+Skills!O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672*(1-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672*(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672*(1-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672*(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72">
        <f>MAX(0,(Inputs!$B$3-100)*3)+Inputs!$B$28+Inputs!$B$29</f>
        <v/>
      </c>
      <c r="U672">
        <f>IF(C672,(Skills!F2*N672*B703)*IF(Inputs!$B$38="pvp",1,(1+(Inputs!$B$21+Skills!P2+B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72">
        <f>MAX(0,(Inputs!$B$3-100)*3)+Inputs!$B$28+Inputs!$B$29</f>
        <v/>
      </c>
    </row>
    <row r="673">
      <c r="A673">
        <f>Skills!A3</f>
        <v/>
      </c>
      <c r="B673">
        <f>Skills!B3</f>
        <v/>
      </c>
      <c r="C673">
        <f>Inputs!$B$3&gt;=15</f>
        <v/>
      </c>
      <c r="D673">
        <f>IF(Skills!C3=1,60+(Inputs!$B$25+1)+Inputs!$B$29,IF(Skills!C3=2,90+Inputs!$B$26+Inputs!$B$29,IF(Skills!C3=3,120+Inputs!$B$27+Inputs!$B$29,MAX(0,(Inputs!$B$3-100)*3)+Inputs!$B$28+Inputs!$B$29)))</f>
        <v/>
      </c>
      <c r="E673">
        <f>INDEX(FactorTable!$B$2:$Y$301, MATCH(ROUND(MIN(300,MAX(1,D673)),0), FactorTable!$A$2:$A$301,0), Skills!L3+1)</f>
        <v/>
      </c>
      <c r="F673">
        <f>IF(Skills!M3=TRUE,(Skills!K3/10)*(E673/1000),Skills!K3/10)+Skills!N3</f>
        <v/>
      </c>
      <c r="G673">
        <f>Calc!G3</f>
        <v/>
      </c>
      <c r="H673">
        <f>Calc!H3</f>
        <v/>
      </c>
      <c r="I673">
        <f>IF(Skills!T3&lt;&gt;"",1+(Skills!T3/10)*(Z673/1000)/100,1)</f>
        <v/>
      </c>
      <c r="J673" t="inlineStr"/>
      <c r="K673" t="inlineStr"/>
      <c r="L673" t="inlineStr"/>
      <c r="M673" t="inlineStr"/>
      <c r="N673" t="inlineStr"/>
      <c r="O673">
        <f>(1-Summary!$B$11)*S673+Summary!$B$11*U673</f>
        <v/>
      </c>
      <c r="P673">
        <f>IF(B707=0,0,O673/B707)</f>
        <v/>
      </c>
      <c r="Q673">
        <f>IFERROR(1/IF(Inputs!$B$38="pvp",15,MAX(0.1,Skills!D3-IF(Skills!E3=TRUE,Inputs!$B$32,0))),0)</f>
        <v/>
      </c>
      <c r="R673">
        <f>IF(AND(Inputs!$B$38&lt;&gt;"pvp",Inputs!$B$43&gt;0),IF(Inputs!$B$43&lt;=0,0,(INT(Inputs!$B$43/IF(Inputs!$B$38="pvp",15,MAX(0.1,Skills!D3-IF(Skills!E3=TRUE,Inputs!$B$32,0))))+1)),0)</f>
        <v/>
      </c>
      <c r="S673" t="n">
        <v>0</v>
      </c>
      <c r="T673">
        <f>INDEX(FactorTable!$B$2:$Y$301, MATCH(ROUND(MIN(300,MAX(1,T672)),0), FactorTable!$A$2:$A$301,0), 22)</f>
        <v/>
      </c>
      <c r="U673" t="n">
        <v>0</v>
      </c>
      <c r="Z673">
        <f>INDEX(FactorTable!$B$2:$Y$301, MATCH(ROUND(MIN(300,MAX(1,Z672)),0), FactorTable!$A$2:$A$301,0), 24)</f>
        <v/>
      </c>
    </row>
    <row r="674">
      <c r="A674">
        <f>Skills!A4</f>
        <v/>
      </c>
      <c r="B674">
        <f>Skills!B4</f>
        <v/>
      </c>
      <c r="C674">
        <f>Inputs!$B$3&gt;=40</f>
        <v/>
      </c>
      <c r="D674">
        <f>IF(Skills!C4=1,60+(Inputs!$B$25+1)+Inputs!$B$29,IF(Skills!C4=2,90+Inputs!$B$26+Inputs!$B$29,IF(Skills!C4=3,120+Inputs!$B$27+Inputs!$B$29,MAX(0,(Inputs!$B$3-100)*3)+Inputs!$B$28+Inputs!$B$29)))</f>
        <v/>
      </c>
      <c r="E674">
        <f>INDEX(FactorTable!$B$2:$Y$301, MATCH(ROUND(MIN(300,MAX(1,D674)),0), FactorTable!$A$2:$A$301,0), Skills!L4+1)</f>
        <v/>
      </c>
      <c r="F674">
        <f>IF(Skills!M4=TRUE,(Skills!K4/10)*(E674/1000),Skills!K4/10)+Skills!N4</f>
        <v/>
      </c>
      <c r="G674">
        <f>Calc!G4</f>
        <v/>
      </c>
      <c r="H674">
        <f>Calc!H4</f>
        <v/>
      </c>
      <c r="I674">
        <f>IF(Skills!T4&lt;&gt;"",1+(Skills!T4/10)*(Z673/1000)/100,1)</f>
        <v/>
      </c>
      <c r="J674" t="inlineStr"/>
      <c r="K674" t="inlineStr"/>
      <c r="L674" t="inlineStr"/>
      <c r="M674" t="inlineStr"/>
      <c r="N674" t="inlineStr"/>
      <c r="O674">
        <f>(1-Summary!$B$11)*S674+Summary!$B$11*U674</f>
        <v/>
      </c>
      <c r="P674">
        <f>IF(B707=0,0,O674/B707)</f>
        <v/>
      </c>
      <c r="Q674">
        <f>IFERROR(1/IF(Inputs!$B$38="pvp",15,MAX(0.1,Skills!D4-IF(Skills!E4=TRUE,Inputs!$B$32,0))),0)</f>
        <v/>
      </c>
      <c r="R674">
        <f>IF(AND(Inputs!$B$38&lt;&gt;"pvp",Inputs!$B$43&gt;0),IF(Inputs!$B$43&lt;=0,0,(INT(Inputs!$B$43/IF(Inputs!$B$38="pvp",15,MAX(0.1,Skills!D4-IF(Skills!E4=TRUE,Inputs!$B$32,0))))+1)),0)</f>
        <v/>
      </c>
      <c r="S674" t="n">
        <v>0</v>
      </c>
      <c r="T674">
        <f>290*T673/1000</f>
        <v/>
      </c>
      <c r="U674" t="n">
        <v>0</v>
      </c>
    </row>
    <row r="675">
      <c r="A675">
        <f>Skills!A5</f>
        <v/>
      </c>
      <c r="B675">
        <f>Skills!B5</f>
        <v/>
      </c>
      <c r="C675">
        <f>Inputs!$B$3&gt;=38</f>
        <v/>
      </c>
      <c r="D675">
        <f>IF(Skills!C5=1,60+(Inputs!$B$25+1)+Inputs!$B$29,IF(Skills!C5=2,90+Inputs!$B$26+Inputs!$B$29,IF(Skills!C5=3,120+Inputs!$B$27+Inputs!$B$29,MAX(0,(Inputs!$B$3-100)*3)+Inputs!$B$28+Inputs!$B$29)))</f>
        <v/>
      </c>
      <c r="E675">
        <f>INDEX(FactorTable!$B$2:$Y$301, MATCH(ROUND(MIN(300,MAX(1,D675)),0), FactorTable!$A$2:$A$301,0), Skills!L5+1)</f>
        <v/>
      </c>
      <c r="F675">
        <f>IF(Skills!M5=TRUE,(Skills!K5/10)*(E675/1000),Skills!K5/10)+Skills!N5</f>
        <v/>
      </c>
      <c r="G675">
        <f>Calc!G5</f>
        <v/>
      </c>
      <c r="H675">
        <f>Calc!H5</f>
        <v/>
      </c>
      <c r="I675">
        <f>IF(Skills!T5&lt;&gt;"",1+(Skills!T5/10)*(Z673/1000)/100,1)</f>
        <v/>
      </c>
      <c r="J675">
        <f>((Inputs!$B$6*(1+Inputs!$B$7/100))+(((Inputs!$B$12*(1+Inputs!$B$13/100))-(Inputs!$B$12*(1+Inputs!$B$13/100)))+0.25*(Inputs!$B$14-Inputs!$B$14))*(1+Inputs!$B$7/100))*(F675/100)</f>
        <v/>
      </c>
      <c r="K675">
        <f>J675*(1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5="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F688-Calc!F18),(Inputs!$B$23+(IF(ArtifactsInput!$M$15,CHOOSE(ArtifactsInput!$N$15+1,25,30,35,40,45,50)/100*(Inputs!$B$11-Inputs!$B$11),0))))/100+(Inputs!$B$23+(IF(ArtifactsInput!$M$15,CHOOSE(ArtifactsInput!$N$15+1,25,30,35,40,45,50)/100*(Inputs!$B$11-Inputs!$B$11),0)))/100)/2</f>
        <v/>
      </c>
      <c r="M675">
        <f>L675*(1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(1-Summary!$B$11)*S675+Summary!$B$11*U675</f>
        <v/>
      </c>
      <c r="P675">
        <f>IF(B707=0,0,O675/B707)</f>
        <v/>
      </c>
      <c r="Q675">
        <f>IFERROR(1/IF(Inputs!$B$38="pvp",15,MAX(0.1,Skills!D5-IF(Skills!E5=TRUE,Inputs!$B$32,0))),0)</f>
        <v/>
      </c>
      <c r="R675">
        <f>IF(AND(Inputs!$B$38&lt;&gt;"pvp",Inputs!$B$43&gt;0),IF(MAX(0,Inputs!$B$43-B704)&lt;=0,0,(INT(MAX(0,Inputs!$B$43-B704)/IF(Inputs!$B$38="pvp",15,MAX(0.1,Skills!D5-IF(Skills!E5=TRUE,Inputs!$B$32,0))))+1)),0)</f>
        <v/>
      </c>
      <c r="S675">
        <f>IF(C675,(H675*N675*IF(AND(Inputs!$B$38&lt;&gt;"pvp",Inputs!$B$43&gt;0),((Skills!F5*((R675-1)*IF(Skills!G5&gt;0,Skills!H5/Skills!G5,1)+IF(Skills!G5&gt;0,MIN(Skills!H5,MAX(0,MAX(0,Inputs!$B$43-B704)-((R675-1)*IF(Inputs!$B$38="pvp",15,MAX(0.1,Skills!D5-IF(Skills!E5=TRUE,Inputs!$B$32,0))))))/Skills!G5,1)))/Inputs!$B$43),G675*Q675))*IF(Inputs!$B$38="pvp",1,1+(Inputs!$B$20+Skills!O5+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675*(1-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IF(C675,(H675*N675*IF(AND(Inputs!$B$38&lt;&gt;"pvp",Inputs!$B$43&gt;0),((Skills!F5*((R675-1)*IF(Skills!G5&gt;0,Skills!H5/Skills!G5,1)+IF(Skills!G5&gt;0,MIN(Skills!H5,MAX(0,MAX(0,Inputs!$B$43-B704)-((R675-1)*IF(Inputs!$B$38="pvp",15,MAX(0.1,Skills!D5-IF(Skills!E5=TRUE,Inputs!$B$32,0))))))/Skills!G5,1)))/Inputs!$B$43),G675*Q675))*IF(Inputs!$B$38="pvp",1,(1+(Inputs!$B$21+Skills!P5+B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Skills!A6</f>
        <v/>
      </c>
      <c r="B676">
        <f>Skills!B6</f>
        <v/>
      </c>
      <c r="C676">
        <f>Inputs!$B$3&gt;=63</f>
        <v/>
      </c>
      <c r="D676">
        <f>IF(Skills!C6=1,60+(Inputs!$B$25+1)+Inputs!$B$29,IF(Skills!C6=2,90+Inputs!$B$26+Inputs!$B$29,IF(Skills!C6=3,120+Inputs!$B$27+Inputs!$B$29,MAX(0,(Inputs!$B$3-100)*3)+Inputs!$B$28+Inputs!$B$29)))</f>
        <v/>
      </c>
      <c r="E676">
        <f>INDEX(FactorTable!$B$2:$Y$301, MATCH(ROUND(MIN(300,MAX(1,D676)),0), FactorTable!$A$2:$A$301,0), Skills!L6+1)</f>
        <v/>
      </c>
      <c r="F676">
        <f>IF(Skills!M6=TRUE,(Skills!K6/10)*(E676/1000),Skills!K6/10)+Skills!N6</f>
        <v/>
      </c>
      <c r="G676">
        <f>Calc!G6</f>
        <v/>
      </c>
      <c r="H676">
        <f>Calc!H6</f>
        <v/>
      </c>
      <c r="I676">
        <f>IF(Skills!T6&lt;&gt;"",1+(Skills!T6/10)*(Z673/1000)/100,1)</f>
        <v/>
      </c>
      <c r="J676">
        <f>((Inputs!$B$6*(1+Inputs!$B$7/100))+(((Inputs!$B$12*(1+Inputs!$B$13/100))-(Inputs!$B$12*(1+Inputs!$B$13/100)))+0.25*(Inputs!$B$14-Inputs!$B$14))*(1+Inputs!$B$7/100))*(F676/100)</f>
        <v/>
      </c>
      <c r="K676">
        <f>J676*(1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6="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F688-Calc!F18),(Inputs!$B$23+(IF(ArtifactsInput!$M$15,CHOOSE(ArtifactsInput!$N$15+1,25,30,35,40,45,50)/100*(Inputs!$B$11-Inputs!$B$11),0))))/100+(Inputs!$B$23+(IF(ArtifactsInput!$M$15,CHOOSE(ArtifactsInput!$N$15+1,25,30,35,40,45,50)/100*(Inputs!$B$11-Inputs!$B$11),0)))/100)/2</f>
        <v/>
      </c>
      <c r="M676">
        <f>L676*(1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(1-Summary!$B$11)*S676+Summary!$B$11*U676</f>
        <v/>
      </c>
      <c r="P676">
        <f>IF(B707=0,0,O676/B707)</f>
        <v/>
      </c>
      <c r="Q676">
        <f>IFERROR(1/IF(Inputs!$B$38="pvp",15,MAX(0.1,Skills!D6-IF(Skills!E6=TRUE,Inputs!$B$32,0))),0)</f>
        <v/>
      </c>
      <c r="R676">
        <f>IF(AND(Inputs!$B$38&lt;&gt;"pvp",Inputs!$B$43&gt;0),IF(MAX(0,Inputs!$B$43-B704)&lt;=0,0,(INT(MAX(0,Inputs!$B$43-B704)/IF(Inputs!$B$38="pvp",15,MAX(0.1,Skills!D6-IF(Skills!E6=TRUE,Inputs!$B$32,0))))+1)),0)</f>
        <v/>
      </c>
      <c r="S676">
        <f>IF(C676,(H676*N676*IF(AND(Inputs!$B$38&lt;&gt;"pvp",Inputs!$B$43&gt;0),((Skills!F6*((R676-1)*IF(Skills!G6&gt;0,Skills!H6/Skills!G6,1)+IF(Skills!G6&gt;0,MIN(Skills!H6,MAX(0,MAX(0,Inputs!$B$43-B704)-((R676-1)*IF(Inputs!$B$38="pvp",15,MAX(0.1,Skills!D6-IF(Skills!E6=TRUE,Inputs!$B$32,0))))))/Skills!G6,1)))/Inputs!$B$43),G676*Q676))*IF(Inputs!$B$38="pvp",1,1+(Inputs!$B$20+Skills!O6+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676*(1-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F(C676,(H676*N676*IF(AND(Inputs!$B$38&lt;&gt;"pvp",Inputs!$B$43&gt;0),((Skills!F6*((R676-1)*IF(Skills!G6&gt;0,Skills!H6/Skills!G6,1)+IF(Skills!G6&gt;0,MIN(Skills!H6,MAX(0,MAX(0,Inputs!$B$43-B704)-((R676-1)*IF(Inputs!$B$38="pvp",15,MAX(0.1,Skills!D6-IF(Skills!E6=TRUE,Inputs!$B$32,0))))))/Skills!G6,1)))/Inputs!$B$43),G676*Q676))*IF(Inputs!$B$38="pvp",1,(1+(Inputs!$B$21+Skills!P6+B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Skills!A7</f>
        <v/>
      </c>
      <c r="B677">
        <f>Skills!B7</f>
        <v/>
      </c>
      <c r="C677">
        <f>Inputs!$B$3&gt;=69</f>
        <v/>
      </c>
      <c r="D677">
        <f>IF(Skills!C7=1,60+(Inputs!$B$25+1)+Inputs!$B$29,IF(Skills!C7=2,90+Inputs!$B$26+Inputs!$B$29,IF(Skills!C7=3,120+Inputs!$B$27+Inputs!$B$29,MAX(0,(Inputs!$B$3-100)*3)+Inputs!$B$28+Inputs!$B$29)))</f>
        <v/>
      </c>
      <c r="E677">
        <f>INDEX(FactorTable!$B$2:$Y$301, MATCH(ROUND(MIN(300,MAX(1,D677)),0), FactorTable!$A$2:$A$301,0), Skills!L7+1)</f>
        <v/>
      </c>
      <c r="F677">
        <f>IF(Skills!M7=TRUE,(Skills!K7/10)*(E677/1000),Skills!K7/10)+Skills!N7</f>
        <v/>
      </c>
      <c r="G677">
        <f>Calc!G7</f>
        <v/>
      </c>
      <c r="H677">
        <f>Calc!H7</f>
        <v/>
      </c>
      <c r="I677">
        <f>IF(Skills!T7&lt;&gt;"",1+(Skills!T7/10)*(Z673/1000)/100,1)</f>
        <v/>
      </c>
      <c r="J677">
        <f>((Inputs!$B$6*(1+Inputs!$B$7/100))+(((Inputs!$B$12*(1+Inputs!$B$13/100))-(Inputs!$B$12*(1+Inputs!$B$13/100)))+0.25*(Inputs!$B$14-Inputs!$B$14))*(1+Inputs!$B$7/100))*(F677/100)</f>
        <v/>
      </c>
      <c r="K677">
        <f>J677*(1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7="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F688-Calc!F18),(Inputs!$B$23+(IF(ArtifactsInput!$M$15,CHOOSE(ArtifactsInput!$N$15+1,25,30,35,40,45,50)/100*(Inputs!$B$11-Inputs!$B$11),0))))/100+(Inputs!$B$23+(IF(ArtifactsInput!$M$15,CHOOSE(ArtifactsInput!$N$15+1,25,30,35,40,45,50)/100*(Inputs!$B$11-Inputs!$B$11),0)))/100)/2</f>
        <v/>
      </c>
      <c r="M677">
        <f>L677*(1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(1-Summary!$B$11)*S677+Summary!$B$11*U677</f>
        <v/>
      </c>
      <c r="P677">
        <f>IF(B707=0,0,O677/B707)</f>
        <v/>
      </c>
      <c r="Q677">
        <f>IFERROR(1/IF(Inputs!$B$38="pvp",15,MAX(0.1,Skills!D7-IF(Skills!E7=TRUE,Inputs!$B$32,0))),0)</f>
        <v/>
      </c>
      <c r="R677">
        <f>IF(AND(Inputs!$B$38&lt;&gt;"pvp",Inputs!$B$43&gt;0),IF(MAX(0,Inputs!$B$43-B704)&lt;=0,0,(INT(MAX(0,Inputs!$B$43-B704)/IF(Inputs!$B$38="pvp",15,MAX(0.1,Skills!D7-IF(Skills!E7=TRUE,Inputs!$B$32,0))))+1)),0)</f>
        <v/>
      </c>
      <c r="S677">
        <f>IF(C677,(H677*N677*IF(AND(Inputs!$B$38&lt;&gt;"pvp",Inputs!$B$43&gt;0),((Skills!F7*((R677-1)*IF(Skills!G7&gt;0,Skills!H7/Skills!G7,1)+IF(Skills!G7&gt;0,MIN(Skills!H7,MAX(0,MAX(0,Inputs!$B$43-B704)-((R677-1)*IF(Inputs!$B$38="pvp",15,MAX(0.1,Skills!D7-IF(Skills!E7=TRUE,Inputs!$B$32,0))))))/Skills!G7,1)))/Inputs!$B$43),G677*Q677))*IF(Inputs!$B$38="pvp",1,1+(Inputs!$B$20+Skills!O7+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677*(1-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IF(C677,(H677*N677*IF(AND(Inputs!$B$38&lt;&gt;"pvp",Inputs!$B$43&gt;0),((Skills!F7*((R677-1)*IF(Skills!G7&gt;0,Skills!H7/Skills!G7,1)+IF(Skills!G7&gt;0,MIN(Skills!H7,MAX(0,MAX(0,Inputs!$B$43-B704)-((R677-1)*IF(Inputs!$B$38="pvp",15,MAX(0.1,Skills!D7-IF(Skills!E7=TRUE,Inputs!$B$32,0))))))/Skills!G7,1)))/Inputs!$B$43),G677*Q677))*IF(Inputs!$B$38="pvp",1,(1+(Inputs!$B$21+Skills!P7+B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Skills!A8</f>
        <v/>
      </c>
      <c r="B678">
        <f>Skills!B8</f>
        <v/>
      </c>
      <c r="C678">
        <f>Inputs!$B$3&gt;=103</f>
        <v/>
      </c>
      <c r="D678">
        <f>IF(Skills!C8=1,60+(Inputs!$B$25+1)+Inputs!$B$29,IF(Skills!C8=2,90+Inputs!$B$26+Inputs!$B$29,IF(Skills!C8=3,120+Inputs!$B$27+Inputs!$B$29,MAX(0,(Inputs!$B$3-100)*3)+Inputs!$B$28+Inputs!$B$29)))</f>
        <v/>
      </c>
      <c r="E678">
        <f>INDEX(FactorTable!$B$2:$Y$301, MATCH(ROUND(MIN(300,MAX(1,D678)),0), FactorTable!$A$2:$A$301,0), Skills!L8+1)</f>
        <v/>
      </c>
      <c r="F678">
        <f>IF(Skills!M8=TRUE,(Skills!K8/10)*(E678/1000),Skills!K8/10)+Skills!N8</f>
        <v/>
      </c>
      <c r="G678">
        <f>Calc!G8</f>
        <v/>
      </c>
      <c r="H678">
        <f>Calc!H8</f>
        <v/>
      </c>
      <c r="I678">
        <f>IF(Skills!T8&lt;&gt;"",1+(Skills!T8/10)*(Z673/1000)/100,1)</f>
        <v/>
      </c>
      <c r="J678">
        <f>((Inputs!$B$6*(1+Inputs!$B$7/100))+(((Inputs!$B$12*(1+Inputs!$B$13/100))-(Inputs!$B$12*(1+Inputs!$B$13/100)))+0.25*(Inputs!$B$14-Inputs!$B$14))*(1+Inputs!$B$7/100))*(F678/100)</f>
        <v/>
      </c>
      <c r="K678">
        <f>J678*(1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8="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F688-Calc!F18),(Inputs!$B$23+(IF(ArtifactsInput!$M$15,CHOOSE(ArtifactsInput!$N$15+1,25,30,35,40,45,50)/100*(Inputs!$B$11-Inputs!$B$11),0))))/100+(Inputs!$B$23+(IF(ArtifactsInput!$M$15,CHOOSE(ArtifactsInput!$N$15+1,25,30,35,40,45,50)/100*(Inputs!$B$11-Inputs!$B$11),0)))/100)/2</f>
        <v/>
      </c>
      <c r="M678">
        <f>L678*(1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(1-Summary!$B$11)*S678+Summary!$B$11*U678</f>
        <v/>
      </c>
      <c r="P678">
        <f>IF(B707=0,0,O678/B707)</f>
        <v/>
      </c>
      <c r="Q678">
        <f>IFERROR(1/IF(Inputs!$B$38="pvp",15,MAX(0.1,Skills!D8-IF(Skills!E8=TRUE,Inputs!$B$32,0))),0)</f>
        <v/>
      </c>
      <c r="R678">
        <f>IF(AND(Inputs!$B$38&lt;&gt;"pvp",Inputs!$B$43&gt;0),IF(MAX(0,Inputs!$B$43-B704)&lt;=0,0,(INT(MAX(0,Inputs!$B$43-B704)/IF(Inputs!$B$38="pvp",15,MAX(0.1,Skills!D8-IF(Skills!E8=TRUE,Inputs!$B$32,0))))+1)),0)</f>
        <v/>
      </c>
      <c r="S678">
        <f>IF(C678,(H678*N678*IF(AND(Inputs!$B$38&lt;&gt;"pvp",Inputs!$B$43&gt;0),((Skills!F8*((R678-1)*IF(Skills!G8&gt;0,Skills!H8/Skills!G8,1)+IF(Skills!G8&gt;0,MIN(Skills!H8,MAX(0,MAX(0,Inputs!$B$43-B704)-((R678-1)*IF(Inputs!$B$38="pvp",15,MAX(0.1,Skills!D8-IF(Skills!E8=TRUE,Inputs!$B$32,0))))))/Skills!G8,1)))/Inputs!$B$43),G678*Q678))*IF(Inputs!$B$38="pvp",1,1+(Inputs!$B$20+Skills!O8+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678*(1-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8">
        <f>IF(C678,(H678*N678*IF(AND(Inputs!$B$38&lt;&gt;"pvp",Inputs!$B$43&gt;0),((Skills!F8*((R678-1)*IF(Skills!G8&gt;0,Skills!H8/Skills!G8,1)+IF(Skills!G8&gt;0,MIN(Skills!H8,MAX(0,MAX(0,Inputs!$B$43-B704)-((R678-1)*IF(Inputs!$B$38="pvp",15,MAX(0.1,Skills!D8-IF(Skills!E8=TRUE,Inputs!$B$32,0))))))/Skills!G8,1)))/Inputs!$B$43),G678*Q678))*IF(Inputs!$B$38="pvp",1,(1+(Inputs!$B$21+Skills!P8+B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Skills!A9</f>
        <v/>
      </c>
      <c r="B679">
        <f>Skills!B9</f>
        <v/>
      </c>
      <c r="C679">
        <f>Inputs!$B$3&gt;=105</f>
        <v/>
      </c>
      <c r="D679">
        <f>IF(Skills!C9=1,60+(Inputs!$B$25+1)+Inputs!$B$29,IF(Skills!C9=2,90+Inputs!$B$26+Inputs!$B$29,IF(Skills!C9=3,120+Inputs!$B$27+Inputs!$B$29,MAX(0,(Inputs!$B$3-100)*3)+Inputs!$B$28+Inputs!$B$29)))</f>
        <v/>
      </c>
      <c r="E679">
        <f>INDEX(FactorTable!$B$2:$Y$301, MATCH(ROUND(MIN(300,MAX(1,D679)),0), FactorTable!$A$2:$A$301,0), Skills!L9+1)</f>
        <v/>
      </c>
      <c r="F679">
        <f>IF(Skills!M9=TRUE,(Skills!K9/10)*(E679/1000),Skills!K9/10)+Skills!N9</f>
        <v/>
      </c>
      <c r="G679">
        <f>Calc!G9</f>
        <v/>
      </c>
      <c r="H679">
        <f>Calc!H9</f>
        <v/>
      </c>
      <c r="I679">
        <f>IF(Skills!T9&lt;&gt;"",1+(Skills!T9/10)*(Z673/1000)/100,1)</f>
        <v/>
      </c>
      <c r="J679">
        <f>((Inputs!$B$6*(1+Inputs!$B$7/100))+(((Inputs!$B$12*(1+Inputs!$B$13/100))-(Inputs!$B$12*(1+Inputs!$B$13/100)))+0.25*(Inputs!$B$14-Inputs!$B$14))*(1+Inputs!$B$7/100))*(F679/100)</f>
        <v/>
      </c>
      <c r="K679">
        <f>J679*(1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9="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F688-Calc!F18),(Inputs!$B$23+(IF(ArtifactsInput!$M$15,CHOOSE(ArtifactsInput!$N$15+1,25,30,35,40,45,50)/100*(Inputs!$B$11-Inputs!$B$11),0))))/100+(Inputs!$B$23+(IF(ArtifactsInput!$M$15,CHOOSE(ArtifactsInput!$N$15+1,25,30,35,40,45,50)/100*(Inputs!$B$11-Inputs!$B$11),0)))/100)/2</f>
        <v/>
      </c>
      <c r="M679">
        <f>L679*(1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(1-Summary!$B$11)*S679+Summary!$B$11*U679</f>
        <v/>
      </c>
      <c r="P679">
        <f>IF(B707=0,0,O679/B707)</f>
        <v/>
      </c>
      <c r="Q679">
        <f>IFERROR(1/IF(Inputs!$B$38="pvp",15,MAX(0.1,Skills!D9-IF(Skills!E9=TRUE,Inputs!$B$32,0))),0)</f>
        <v/>
      </c>
      <c r="R679">
        <f>IF(AND(Inputs!$B$38&lt;&gt;"pvp",Inputs!$B$43&gt;0),IF(MAX(0,Inputs!$B$43-B704)&lt;=0,0,(INT(MAX(0,Inputs!$B$43-B704)/IF(Inputs!$B$38="pvp",15,MAX(0.1,Skills!D9-IF(Skills!E9=TRUE,Inputs!$B$32,0))))+1)),0)</f>
        <v/>
      </c>
      <c r="S679">
        <f>IF(C679,(H679*N679*IF(AND(Inputs!$B$38&lt;&gt;"pvp",Inputs!$B$43&gt;0),((Skills!F9*((R679-1)*IF(Skills!G9&gt;0,Skills!H9/Skills!G9,1)+IF(Skills!G9&gt;0,MIN(Skills!H9,MAX(0,MAX(0,Inputs!$B$43-B704)-((R679-1)*IF(Inputs!$B$38="pvp",15,MAX(0.1,Skills!D9-IF(Skills!E9=TRUE,Inputs!$B$32,0))))))/Skills!G9,1)))/Inputs!$B$43),G679*Q679))*IF(Inputs!$B$38="pvp",1,1+(Inputs!$B$20+Skills!O9+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679*(1-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9">
        <f>IF(C679,(H679*N679*IF(AND(Inputs!$B$38&lt;&gt;"pvp",Inputs!$B$43&gt;0),((Skills!F9*((R679-1)*IF(Skills!G9&gt;0,Skills!H9/Skills!G9,1)+IF(Skills!G9&gt;0,MIN(Skills!H9,MAX(0,MAX(0,Inputs!$B$43-B704)-((R679-1)*IF(Inputs!$B$38="pvp",15,MAX(0.1,Skills!D9-IF(Skills!E9=TRUE,Inputs!$B$32,0))))))/Skills!G9,1)))/Inputs!$B$43),G679*Q679))*IF(Inputs!$B$38="pvp",1,(1+(Inputs!$B$21+Skills!P9+B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Skills!A10</f>
        <v/>
      </c>
      <c r="B680">
        <f>Skills!B10</f>
        <v/>
      </c>
      <c r="C680">
        <f>Inputs!$B$3&gt;=113</f>
        <v/>
      </c>
      <c r="D680">
        <f>IF(Skills!C10=1,60+(Inputs!$B$25+1)+Inputs!$B$29,IF(Skills!C10=2,90+Inputs!$B$26+Inputs!$B$29,IF(Skills!C10=3,120+Inputs!$B$27+Inputs!$B$29,MAX(0,(Inputs!$B$3-100)*3)+Inputs!$B$28+Inputs!$B$29)))</f>
        <v/>
      </c>
      <c r="E680">
        <f>INDEX(FactorTable!$B$2:$Y$301, MATCH(ROUND(MIN(300,MAX(1,D680)),0), FactorTable!$A$2:$A$301,0), Skills!L10+1)</f>
        <v/>
      </c>
      <c r="F680">
        <f>IF(Skills!M10=TRUE,(Skills!K10/10)*(E680/1000),Skills!K10/10)+Skills!N10</f>
        <v/>
      </c>
      <c r="G680">
        <f>Calc!G10</f>
        <v/>
      </c>
      <c r="H680">
        <f>Calc!H10</f>
        <v/>
      </c>
      <c r="I680">
        <f>IF(Skills!T10&lt;&gt;"",1+(Skills!T10/10)*(Z673/1000)/100,1)</f>
        <v/>
      </c>
      <c r="J680">
        <f>((Inputs!$B$6*(1+Inputs!$B$7/100))+(((Inputs!$B$12*(1+Inputs!$B$13/100))-(Inputs!$B$12*(1+Inputs!$B$13/100)))+0.25*(Inputs!$B$14-Inputs!$B$14))*(1+Inputs!$B$7/100))*(F680/100)</f>
        <v/>
      </c>
      <c r="K680">
        <f>J680*(1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10="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F688-Calc!F18),(Inputs!$B$23+(IF(ArtifactsInput!$M$15,CHOOSE(ArtifactsInput!$N$15+1,25,30,35,40,45,50)/100*(Inputs!$B$11-Inputs!$B$11),0))))/100+(Inputs!$B$23+(IF(ArtifactsInput!$M$15,CHOOSE(ArtifactsInput!$N$15+1,25,30,35,40,45,50)/100*(Inputs!$B$11-Inputs!$B$11),0)))/100)/2</f>
        <v/>
      </c>
      <c r="M680">
        <f>L680*(1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(1-Summary!$B$11)*S680+Summary!$B$11*U680</f>
        <v/>
      </c>
      <c r="P680">
        <f>IF(B707=0,0,O680/B707)</f>
        <v/>
      </c>
      <c r="Q680">
        <f>IFERROR(1/IF(Inputs!$B$38="pvp",15,MAX(0.1,Skills!D10-IF(Skills!E9=TRUE,Inputs!$B$32,0))),0)</f>
        <v/>
      </c>
      <c r="R680">
        <f>IF(AND(Inputs!$B$38&lt;&gt;"pvp",Inputs!$B$43&gt;0),IF(MAX(0,Inputs!$B$43-B704)&lt;=0,0,(INT(MAX(0,Inputs!$B$43-B704)/IF(Inputs!$B$38="pvp",15,MAX(0.1,Skills!D10-IF(Skills!E9=TRUE,Inputs!$B$32,0))))+1)),0)</f>
        <v/>
      </c>
      <c r="S680">
        <f>IF(C680,(H680*N680*IF(AND(Inputs!$B$38&lt;&gt;"pvp",Inputs!$B$43&gt;0),((Skills!F10*((R680-1)*IF(Skills!G10&gt;0,Skills!H10/Skills!G10,1)+IF(Skills!G10&gt;0,MIN(Skills!H10,MAX(0,MAX(0,Inputs!$B$43-B704)-((R680-1)*IF(Inputs!$B$38="pvp",15,MAX(0.1,Skills!D10-IF(Skills!E9=TRUE,Inputs!$B$32,0))))))/Skills!G10,1)))/Inputs!$B$43),G680*Q680))*IF(Inputs!$B$38="pvp",1,1+(Inputs!$B$20+Skills!O10+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680*(1-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0">
        <f>IF(C680,(H680*N680*IF(AND(Inputs!$B$38&lt;&gt;"pvp",Inputs!$B$43&gt;0),((Skills!F10*((R680-1)*IF(Skills!G10&gt;0,Skills!H10/Skills!G10,1)+IF(Skills!G10&gt;0,MIN(Skills!H10,MAX(0,MAX(0,Inputs!$B$43-B704)-((R680-1)*IF(Inputs!$B$38="pvp",15,MAX(0.1,Skills!D10-IF(Skills!E9=TRUE,Inputs!$B$32,0))))))/Skills!G10,1)))/Inputs!$B$43),G680*Q680))*IF(Inputs!$B$38="pvp",1,(1+(Inputs!$B$21+Skills!P10+B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Skills!A11</f>
        <v/>
      </c>
      <c r="B681">
        <f>Skills!B11</f>
        <v/>
      </c>
      <c r="C681">
        <f>Inputs!$B$3&gt;=107</f>
        <v/>
      </c>
      <c r="D681">
        <f>IF(Skills!C11=1,60+(Inputs!$B$25+1)+Inputs!$B$29,IF(Skills!C11=2,90+Inputs!$B$26+Inputs!$B$29,IF(Skills!C11=3,120+Inputs!$B$27+Inputs!$B$29,MAX(0,(Inputs!$B$3-100)*3)+Inputs!$B$28+Inputs!$B$29)))</f>
        <v/>
      </c>
      <c r="E681">
        <f>INDEX(FactorTable!$B$2:$Y$301, MATCH(ROUND(MIN(300,MAX(1,D681)),0), FactorTable!$A$2:$A$301,0), Skills!L11+1)</f>
        <v/>
      </c>
      <c r="F681">
        <f>IF(Skills!M11=TRUE,(Skills!K11/10)*(E681/1000),Skills!K11/10)+Skills!N11</f>
        <v/>
      </c>
      <c r="G681">
        <f>Calc!G11</f>
        <v/>
      </c>
      <c r="H681">
        <f>Calc!H11</f>
        <v/>
      </c>
      <c r="I681">
        <f>IF(Skills!T11&lt;&gt;"",1+(Skills!T11/10)*(Z673/1000)/100,1)</f>
        <v/>
      </c>
      <c r="J681">
        <f>((Inputs!$B$6*(1+Inputs!$B$7/100))+(((Inputs!$B$12*(1+Inputs!$B$13/100))-(Inputs!$B$12*(1+Inputs!$B$13/100)))+0.25*(Inputs!$B$14-Inputs!$B$14))*(1+Inputs!$B$7/100))*(F681/100)</f>
        <v/>
      </c>
      <c r="K681">
        <f>J681*(1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11="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F688-Calc!F18),(Inputs!$B$23+(IF(ArtifactsInput!$M$15,CHOOSE(ArtifactsInput!$N$15+1,25,30,35,40,45,50)/100*(Inputs!$B$11-Inputs!$B$11),0))))/100+(Inputs!$B$23+(IF(ArtifactsInput!$M$15,CHOOSE(ArtifactsInput!$N$15+1,25,30,35,40,45,50)/100*(Inputs!$B$11-Inputs!$B$11),0)))/100)/2</f>
        <v/>
      </c>
      <c r="M681">
        <f>L681*(1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(1-Summary!$B$11)*S681+Summary!$B$11*U681</f>
        <v/>
      </c>
      <c r="P681">
        <f>IF(B707=0,0,O681/B707)</f>
        <v/>
      </c>
      <c r="Q681">
        <f>IFERROR(1/IF(Inputs!$B$38="pvp",15,MAX(0.1,Skills!D11-IF(Skills!E11=TRUE,Inputs!$B$32,0))),0)</f>
        <v/>
      </c>
      <c r="R681">
        <f>IF(AND(Inputs!$B$38&lt;&gt;"pvp",Inputs!$B$43&gt;0),IF(MAX(0,Inputs!$B$43-B704)&lt;=0,0,(INT(MAX(0,Inputs!$B$43-B704)/IF(Inputs!$B$38="pvp",15,MAX(0.1,Skills!D11-IF(Skills!E11=TRUE,Inputs!$B$32,0))))+1)),0)</f>
        <v/>
      </c>
      <c r="S681">
        <f>IF(C681,H681*N681*IF(AND(Inputs!$B$38&lt;&gt;"pvp",Inputs!$B$43&gt;0),((Skills!F11*((R681-1)*IF(Skills!G11&gt;0,Skills!H11/Skills!G11,1)+IF(Skills!G11&gt;0,MIN(Skills!H11,MAX(0,MAX(0,Inputs!$B$43-B704)-((R681-1)*IF(Inputs!$B$38="pvp",15,MAX(0.1,Skills!D11-IF(Skills!E11=TRUE,Inputs!$B$32,0))))))/Skills!G11,1)))/Inputs!$B$43),G681*Q681)*0.5*IF(Inputs!$B$38="pvp",1,1+(Inputs!$B$20+Skills!O11+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681*(1-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IF(C681,H681*N681*IF(AND(Inputs!$B$38&lt;&gt;"pvp",Inputs!$B$43&gt;0),((Skills!F11*((R681-1)*IF(Skills!G11&gt;0,Skills!H11/Skills!G11,1)+IF(Skills!G11&gt;0,MIN(Skills!H11,MAX(0,MAX(0,Inputs!$B$43-B704)-((R681-1)*IF(Inputs!$B$38="pvp",15,MAX(0.1,Skills!D11-IF(Skills!E11=TRUE,Inputs!$B$32,0))))))/Skills!G11,1)))/Inputs!$B$43),G681*Q681)*1*IF(Inputs!$B$38="pvp",1,(1+(Inputs!$B$21+Skills!P11+B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Skills!A12</f>
        <v/>
      </c>
      <c r="B682">
        <f>Skills!B12</f>
        <v/>
      </c>
      <c r="C682">
        <f>Inputs!$B$3&gt;=115</f>
        <v/>
      </c>
      <c r="D682">
        <f>IF(Skills!C12=1,60+(Inputs!$B$25+1)+Inputs!$B$29,IF(Skills!C12=2,90+Inputs!$B$26+Inputs!$B$29,IF(Skills!C12=3,120+Inputs!$B$27+Inputs!$B$29,MAX(0,(Inputs!$B$3-100)*3)+Inputs!$B$28+Inputs!$B$29)))</f>
        <v/>
      </c>
      <c r="E682">
        <f>INDEX(FactorTable!$B$2:$Y$301, MATCH(ROUND(MIN(300,MAX(1,D682)),0), FactorTable!$A$2:$A$301,0), Skills!L12+1)</f>
        <v/>
      </c>
      <c r="F682">
        <f>IF(Skills!M12=TRUE,(Skills!K12/10)*(E682/1000),Skills!K12/10)+Skills!N12</f>
        <v/>
      </c>
      <c r="G682">
        <f>Calc!G12</f>
        <v/>
      </c>
      <c r="H682">
        <f>Calc!H12</f>
        <v/>
      </c>
      <c r="I682">
        <f>IF(Skills!T12&lt;&gt;"",1+(Skills!T12/10)*(Z673/1000)/100,1)</f>
        <v/>
      </c>
      <c r="J682">
        <f>((Inputs!$B$6*(1+Inputs!$B$7/100))+(((Inputs!$B$12*(1+Inputs!$B$13/100))-(Inputs!$B$12*(1+Inputs!$B$13/100)))+0.25*(Inputs!$B$14-Inputs!$B$14))*(1+Inputs!$B$7/100))*(F682/100)</f>
        <v/>
      </c>
      <c r="K682">
        <f>J682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12="CHAIN_LIGHTNING",Inputs!$B$17+((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F688-Calc!F18),(Inputs!$B$23+(IF(ArtifactsInput!$M$15,CHOOSE(ArtifactsInput!$N$15+1,25,30,35,40,45,50)/100*(Inputs!$B$11-Inputs!$B$11),0))))/100+(Inputs!$B$23+(IF(ArtifactsInput!$M$15,CHOOSE(ArtifactsInput!$N$15+1,25,30,35,40,45,50)/100*(Inputs!$B$11-Inputs!$B$11),0)))/100)/2</f>
        <v/>
      </c>
      <c r="M682">
        <f>L682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(1-Summary!$B$11)*S682+Summary!$B$11*U682</f>
        <v/>
      </c>
      <c r="P682">
        <f>IF(B707=0,0,O682/B707)</f>
        <v/>
      </c>
      <c r="Q682">
        <f>IFERROR(1/IF(Inputs!$B$38="pvp",15,MAX(0.1,Skills!D12-IF(Skills!E12=TRUE,Inputs!$B$32,0))),0)</f>
        <v/>
      </c>
      <c r="R682">
        <f>IF(AND(Inputs!$B$38&lt;&gt;"pvp",Inputs!$B$43&gt;0),IF(MAX(0,Inputs!$B$43-B704)&lt;=0,0,(INT(MAX(0,Inputs!$B$43-B704)/IF(Inputs!$B$38="pvp",15,MAX(0.1,Skills!D12-IF(Skills!E12=TRUE,Inputs!$B$32,0))))+1)),0)</f>
        <v/>
      </c>
      <c r="S682">
        <f>IF(C682,(H682*N682*IF(AND(Inputs!$B$38&lt;&gt;"pvp",Inputs!$B$43&gt;0),((Skills!F12*((R682-1)*IF(Skills!G12&gt;0,Skills!H12/Skills!G12,1)+IF(Skills!G12&gt;0,MIN(Skills!H12,MAX(0,MAX(0,Inputs!$B$43-B704)-((R682-1)*IF(Inputs!$B$38="pvp",15,MAX(0.1,Skills!D12-IF(Skills!E12=TRUE,Inputs!$B$32,0))))))/Skills!G12,1)))/Inputs!$B$43),G682*Q682))*IF(Inputs!$B$38="pvp",1,1+(Inputs!$B$20+Skills!O12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682*(1-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F690-Calc!F20)+(F689-Calc!F19))+(ArtifactsInput!$M$24-ArtifactsInput!$M$24)*CHOOSE(ArtifactsInput!$N$24+1,10,12,14,16,18,20)+(IF(AND(Inputs!$B$38&lt;&gt;"pvp",Inputs!$B$43=0),1,IF(IF(Inputs!$B$38="pvp",15,Inputs!$B$43)-(B704)&lt;=0,1,MAX(0,IF(Inputs!$B$38="pvp",15,Inputs!$B$43)-MAX(5,B704))/(IF(Inputs!$B$38="pvp",15,Inputs!$B$43)-(B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F(C682,(H682*N682*IF(AND(Inputs!$B$38&lt;&gt;"pvp",Inputs!$B$43&gt;0),((Skills!F12*((R682-1)*IF(Skills!G12&gt;0,Skills!H12/Skills!G12,1)+IF(Skills!G12&gt;0,MIN(Skills!H12,MAX(0,MAX(0,Inputs!$B$43-B704)-((R682-1)*IF(Inputs!$B$38="pvp",15,MAX(0.1,Skills!D12-IF(Skills!E12=TRUE,Inputs!$B$32,0))))))/Skills!G12,1)))/Inputs!$B$43),G682*Q682))*IF(Inputs!$B$38="pvp",1,(1+(Inputs!$B$21+Skills!P12+B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Skills!A13</f>
        <v/>
      </c>
      <c r="B683">
        <f>Skills!B13</f>
        <v/>
      </c>
      <c r="C683">
        <f>Inputs!$B$3&gt;=49</f>
        <v/>
      </c>
      <c r="D683">
        <f>IF(Skills!C13=1,60+(Inputs!$B$25+1)+Inputs!$B$29,IF(Skills!C13=2,90+Inputs!$B$26+Inputs!$B$29,IF(Skills!C13=3,120+Inputs!$B$27+Inputs!$B$29,MAX(0,(Inputs!$B$3-100)*3)+Inputs!$B$28+Inputs!$B$29)))</f>
        <v/>
      </c>
      <c r="E683">
        <f>INDEX(FactorTable!$B$2:$Y$301, MATCH(ROUND(MIN(300,MAX(1,D683)),0), FactorTable!$A$2:$A$301,0), Skills!L13+1)</f>
        <v/>
      </c>
      <c r="F683">
        <f>IF(Skills!M13=TRUE,(Skills!K13/10)*(E683/1000),Skills!K13/10)+Skills!N13</f>
        <v/>
      </c>
      <c r="G683">
        <f>Calc!G13</f>
        <v/>
      </c>
      <c r="H683">
        <f>Calc!H13</f>
        <v/>
      </c>
      <c r="I683">
        <f>IF(Skills!T13&lt;&gt;"",1+(Skills!T13/10)*(Z673/1000)/100,1)</f>
        <v/>
      </c>
      <c r="J683" t="inlineStr"/>
      <c r="K683" t="inlineStr"/>
      <c r="L683" t="inlineStr"/>
      <c r="M683" t="inlineStr"/>
      <c r="N683" t="inlineStr"/>
      <c r="O683">
        <f>(1-Summary!$B$11)*S683+Summary!$B$11*U683</f>
        <v/>
      </c>
      <c r="P683">
        <f>IF(B707=0,0,O683/B707)</f>
        <v/>
      </c>
      <c r="Q683">
        <f>IFERROR(1/IF(Inputs!$B$38="pvp",15,MAX(0.1,Skills!D13-IF(Skills!E13=TRUE,Inputs!$B$32,0))),0)</f>
        <v/>
      </c>
      <c r="R683" t="n">
        <v>0</v>
      </c>
      <c r="S683" t="n">
        <v>0</v>
      </c>
      <c r="U683" t="n">
        <v>0</v>
      </c>
    </row>
    <row r="684">
      <c r="A684">
        <f>Skills!A14</f>
        <v/>
      </c>
      <c r="B684">
        <f>Skills!B14</f>
        <v/>
      </c>
      <c r="C684">
        <f>Inputs!$B$3&gt;=72</f>
        <v/>
      </c>
      <c r="D684">
        <f>IF(Skills!C14=1,60+(Inputs!$B$25+1)+Inputs!$B$29,IF(Skills!C14=2,90+Inputs!$B$26+Inputs!$B$29,IF(Skills!C14=3,120+Inputs!$B$27+Inputs!$B$29,MAX(0,(Inputs!$B$3-100)*3)+Inputs!$B$28+Inputs!$B$29)))</f>
        <v/>
      </c>
      <c r="E684">
        <f>INDEX(FactorTable!$B$2:$Y$301, MATCH(ROUND(MIN(300,MAX(1,D684)),0), FactorTable!$A$2:$A$301,0), Skills!L14+1)</f>
        <v/>
      </c>
      <c r="F684">
        <f>IF(Skills!M14=TRUE,(Skills!K14/10)*(E684/1000),Skills!K14/10)+Skills!N14</f>
        <v/>
      </c>
      <c r="G684">
        <f>Calc!G14</f>
        <v/>
      </c>
      <c r="H684">
        <f>Calc!H14</f>
        <v/>
      </c>
      <c r="I684">
        <f>IF(Skills!T14&lt;&gt;"",1+(Skills!T14/10)*(Z673/1000)/100,1)</f>
        <v/>
      </c>
      <c r="J684" t="inlineStr"/>
      <c r="K684" t="inlineStr"/>
      <c r="L684" t="inlineStr"/>
      <c r="M684" t="inlineStr"/>
      <c r="N684" t="inlineStr"/>
      <c r="O684">
        <f>(1-Summary!$B$11)*S684+Summary!$B$11*U684</f>
        <v/>
      </c>
      <c r="P684">
        <f>IF(B707=0,0,O684/B707)</f>
        <v/>
      </c>
      <c r="Q684">
        <f>IFERROR(1/IF(Inputs!$B$38="pvp",15,MAX(0.1,Skills!D14-IF(Skills!E14=TRUE,Inputs!$B$32,0))),0)</f>
        <v/>
      </c>
      <c r="R684" t="n">
        <v>0</v>
      </c>
      <c r="S684" t="n">
        <v>0</v>
      </c>
      <c r="U684" t="n">
        <v>0</v>
      </c>
    </row>
    <row r="685">
      <c r="A685">
        <f>Skills!A15</f>
        <v/>
      </c>
      <c r="B685">
        <f>Skills!B15</f>
        <v/>
      </c>
      <c r="C685">
        <f>Inputs!$B$3&gt;=75</f>
        <v/>
      </c>
      <c r="D685">
        <f>IF(Skills!C15=1,60+(Inputs!$B$25+1)+Inputs!$B$29,IF(Skills!C15=2,90+Inputs!$B$26+Inputs!$B$29,IF(Skills!C15=3,120+Inputs!$B$27+Inputs!$B$29,MAX(0,(Inputs!$B$3-100)*3)+Inputs!$B$28+Inputs!$B$29)))</f>
        <v/>
      </c>
      <c r="E685">
        <f>INDEX(FactorTable!$B$2:$Y$301, MATCH(ROUND(MIN(300,MAX(1,D685)),0), FactorTable!$A$2:$A$301,0), Skills!L15+1)</f>
        <v/>
      </c>
      <c r="F685">
        <f>IF(Skills!M15=TRUE,(Skills!K15/10)*(E685/1000),Skills!K15/10)+Skills!N15</f>
        <v/>
      </c>
      <c r="G685">
        <f>Calc!G15</f>
        <v/>
      </c>
      <c r="H685">
        <f>Calc!H15</f>
        <v/>
      </c>
      <c r="I685">
        <f>IF(Skills!T15&lt;&gt;"",1+(Skills!T15/10)*(Z673/1000)/100,1)</f>
        <v/>
      </c>
      <c r="J685" t="inlineStr"/>
      <c r="K685" t="inlineStr"/>
      <c r="L685" t="inlineStr"/>
      <c r="M685" t="inlineStr"/>
      <c r="N685" t="inlineStr"/>
      <c r="O685">
        <f>(1-Summary!$B$11)*S685+Summary!$B$11*U685</f>
        <v/>
      </c>
      <c r="P685">
        <f>IF(B707=0,0,O685/B707)</f>
        <v/>
      </c>
      <c r="Q685">
        <f>IFERROR(1/IF(Inputs!$B$38="pvp",15,MAX(0.1,Skills!D15-IF(Skills!E15=TRUE,Inputs!$B$32,0))),0)</f>
        <v/>
      </c>
      <c r="R685" t="n">
        <v>0</v>
      </c>
      <c r="S685" t="n">
        <v>0</v>
      </c>
      <c r="U685" t="n">
        <v>0</v>
      </c>
    </row>
    <row r="686">
      <c r="A686">
        <f>Skills!A16</f>
        <v/>
      </c>
      <c r="B686">
        <f>Skills!B16</f>
        <v/>
      </c>
      <c r="C686">
        <f>Inputs!$B$3&gt;=110</f>
        <v/>
      </c>
      <c r="D686">
        <f>IF(Skills!C16=1,60+(Inputs!$B$25+1)+Inputs!$B$29,IF(Skills!C16=2,90+Inputs!$B$26+Inputs!$B$29,IF(Skills!C16=3,120+Inputs!$B$27+Inputs!$B$29,MAX(0,(Inputs!$B$3-100)*3)+Inputs!$B$28+Inputs!$B$29)))</f>
        <v/>
      </c>
      <c r="E686">
        <f>INDEX(FactorTable!$B$2:$Y$301, MATCH(ROUND(MIN(300,MAX(1,D686)),0), FactorTable!$A$2:$A$301,0), Skills!L16+1)</f>
        <v/>
      </c>
      <c r="F686">
        <f>(Skills!K16/10)*(E686/1000)*64/45+Skills!N16</f>
        <v/>
      </c>
      <c r="G686">
        <f>Calc!G16</f>
        <v/>
      </c>
      <c r="H686">
        <f>Calc!H16</f>
        <v/>
      </c>
      <c r="I686">
        <f>IF(Skills!T16&lt;&gt;"",1+(Skills!T16/10)*(Z673/1000)/100,1)</f>
        <v/>
      </c>
      <c r="J686" t="inlineStr"/>
      <c r="K686" t="inlineStr"/>
      <c r="L686" t="inlineStr"/>
      <c r="M686" t="inlineStr"/>
      <c r="N686" t="inlineStr"/>
      <c r="O686">
        <f>(1-Summary!$B$11)*S686+Summary!$B$11*U686</f>
        <v/>
      </c>
      <c r="P686">
        <f>IF(B707=0,0,O686/B707)</f>
        <v/>
      </c>
      <c r="Q686">
        <f>IFERROR(1/IF(Inputs!$B$38="pvp",15,MAX(0.1,Skills!D16-IF(Skills!E16=TRUE,Inputs!$B$32,0))),0)</f>
        <v/>
      </c>
      <c r="R686">
        <f>IF(AND(Inputs!$B$38&lt;&gt;"pvp",Inputs!$B$43&gt;0),IF(Inputs!$B$43&lt;=0,0,(INT(Inputs!$B$43/IF(Inputs!$B$38="pvp",15,MAX(0.1,Skills!D16-IF(Skills!E16=TRUE,Inputs!$B$32,0))))+1)),0)</f>
        <v/>
      </c>
      <c r="S686" t="n">
        <v>0</v>
      </c>
      <c r="U686" t="n">
        <v>0</v>
      </c>
    </row>
    <row r="687">
      <c r="A687">
        <f>Skills!A17</f>
        <v/>
      </c>
      <c r="B687">
        <f>Skills!B17</f>
        <v/>
      </c>
      <c r="C687">
        <f>Inputs!$B$3&gt;=33</f>
        <v/>
      </c>
      <c r="D687">
        <f>IF(Skills!C17=1,60+(Inputs!$B$25+1)+Inputs!$B$29,IF(Skills!C17=2,90+Inputs!$B$26+Inputs!$B$29,IF(Skills!C17=3,120+Inputs!$B$27+Inputs!$B$29,MAX(0,(Inputs!$B$3-100)*3)+Inputs!$B$28+Inputs!$B$29)))</f>
        <v/>
      </c>
      <c r="E687">
        <f>INDEX(FactorTable!$B$2:$Y$301, MATCH(ROUND(MIN(300,MAX(1,D687)),0), FactorTable!$A$2:$A$301,0), Skills!L17+1)</f>
        <v/>
      </c>
      <c r="F687">
        <f>IF(Skills!M17=TRUE,(Skills!K17/10)*(E687/1000),Skills!K17/10)+Skills!N17</f>
        <v/>
      </c>
      <c r="G687">
        <f>Calc!G17</f>
        <v/>
      </c>
      <c r="H687">
        <f>Calc!H17</f>
        <v/>
      </c>
      <c r="I687">
        <f>IF(Skills!T17&lt;&gt;"",1+(Skills!T17/10)*(Z673/1000)/100,1)</f>
        <v/>
      </c>
      <c r="J687" t="inlineStr"/>
      <c r="K687" t="inlineStr"/>
      <c r="L687" t="inlineStr"/>
      <c r="M687" t="inlineStr"/>
      <c r="N687" t="inlineStr"/>
      <c r="O687">
        <f>(1-Summary!$B$11)*S687+Summary!$B$11*U687</f>
        <v/>
      </c>
      <c r="P687">
        <f>IF(B707=0,0,O687/B707)</f>
        <v/>
      </c>
      <c r="Q687">
        <f>IFERROR(1/IF(Inputs!$B$38="pvp",15,MAX(0.1,Skills!D17-IF(Skills!E17=TRUE,Inputs!$B$32,0))),0)</f>
        <v/>
      </c>
      <c r="R687" t="n">
        <v>0</v>
      </c>
      <c r="S687" t="n">
        <v>0</v>
      </c>
      <c r="U687" t="n">
        <v>0</v>
      </c>
    </row>
    <row r="688">
      <c r="A688">
        <f>Skills!A18</f>
        <v/>
      </c>
      <c r="B688">
        <f>Skills!B18</f>
        <v/>
      </c>
      <c r="C688">
        <f>Inputs!$B$3&gt;=43</f>
        <v/>
      </c>
      <c r="D688">
        <f>IF(Skills!C18=1,60+(Inputs!$B$25+1)+Inputs!$B$29,IF(Skills!C18=2,90+Inputs!$B$26+Inputs!$B$29,IF(Skills!C18=3,120+Inputs!$B$27+Inputs!$B$29,MAX(0,(Inputs!$B$3-100)*3)+Inputs!$B$28+Inputs!$B$29)))</f>
        <v/>
      </c>
      <c r="E688">
        <f>INDEX(FactorTable!$B$2:$Y$301, MATCH(ROUND(MIN(300,MAX(1,D688)),0), FactorTable!$A$2:$A$301,0), Skills!L18+1)</f>
        <v/>
      </c>
      <c r="F688">
        <f>IF(Skills!M18=TRUE,(Skills!K18/10)*(E688/1000),Skills!K18/10)+Skills!N18</f>
        <v/>
      </c>
      <c r="G688">
        <f>Calc!G18</f>
        <v/>
      </c>
      <c r="H688">
        <f>Calc!H18</f>
        <v/>
      </c>
      <c r="I688">
        <f>IF(Skills!T18&lt;&gt;"",1+(Skills!T18/10)*(Z673/1000)/100,1)</f>
        <v/>
      </c>
      <c r="J688" t="inlineStr"/>
      <c r="K688" t="inlineStr"/>
      <c r="L688" t="inlineStr"/>
      <c r="M688" t="inlineStr"/>
      <c r="N688" t="inlineStr"/>
      <c r="O688">
        <f>(1-Summary!$B$11)*S688+Summary!$B$11*U688</f>
        <v/>
      </c>
      <c r="P688">
        <f>IF(B707=0,0,O688/B707)</f>
        <v/>
      </c>
      <c r="Q688">
        <f>IFERROR(1/IF(Inputs!$B$38="pvp",15,MAX(0.1,Skills!D18-IF(Skills!E18=TRUE,Inputs!$B$32,0))),0)</f>
        <v/>
      </c>
      <c r="R688" t="n">
        <v>0</v>
      </c>
      <c r="S688" t="n">
        <v>0</v>
      </c>
      <c r="U688" t="n">
        <v>0</v>
      </c>
    </row>
    <row r="689">
      <c r="A689">
        <f>Skills!A19</f>
        <v/>
      </c>
      <c r="B689">
        <f>Skills!B19</f>
        <v/>
      </c>
      <c r="C689">
        <f>Inputs!$B$3&gt;=50</f>
        <v/>
      </c>
      <c r="D689">
        <f>IF(Skills!C19=1,60+(Inputs!$B$25+1)+Inputs!$B$29,IF(Skills!C19=2,90+Inputs!$B$26+Inputs!$B$29,IF(Skills!C19=3,120+Inputs!$B$27+Inputs!$B$29,MAX(0,(Inputs!$B$3-100)*3)+Inputs!$B$28+Inputs!$B$29)))</f>
        <v/>
      </c>
      <c r="E689">
        <f>INDEX(FactorTable!$B$2:$Y$301, MATCH(ROUND(MIN(300,MAX(1,D689)),0), FactorTable!$A$2:$A$301,0), Skills!L19+1)</f>
        <v/>
      </c>
      <c r="F689">
        <f>IF(Skills!M19=TRUE,(Skills!K19/10)*(E689/1000),Skills!K19/10)+Skills!N19</f>
        <v/>
      </c>
      <c r="G689">
        <f>Calc!G19</f>
        <v/>
      </c>
      <c r="H689">
        <f>Calc!H19</f>
        <v/>
      </c>
      <c r="I689">
        <f>IF(Skills!T19&lt;&gt;"",1+(Skills!T19/10)*(Z673/1000)/100,1)</f>
        <v/>
      </c>
      <c r="J689" t="inlineStr"/>
      <c r="K689" t="inlineStr"/>
      <c r="L689" t="inlineStr"/>
      <c r="M689" t="inlineStr"/>
      <c r="N689" t="inlineStr"/>
      <c r="O689">
        <f>(1-Summary!$B$11)*S689+Summary!$B$11*U689</f>
        <v/>
      </c>
      <c r="P689">
        <f>IF(B707=0,0,O689/B707)</f>
        <v/>
      </c>
      <c r="Q689">
        <f>IFERROR(1/IF(Inputs!$B$38="pvp",15,MAX(0.1,Skills!D19-IF(Skills!E19=TRUE,Inputs!$B$32,0))),0)</f>
        <v/>
      </c>
      <c r="R689" t="n">
        <v>0</v>
      </c>
      <c r="S689" t="n">
        <v>0</v>
      </c>
      <c r="U689" t="n">
        <v>0</v>
      </c>
    </row>
    <row r="690">
      <c r="A690">
        <f>Skills!A20</f>
        <v/>
      </c>
      <c r="B690">
        <f>Skills!B20</f>
        <v/>
      </c>
      <c r="C690">
        <f>Inputs!$B$3&gt;=74</f>
        <v/>
      </c>
      <c r="D690">
        <f>IF(Skills!C20=1,60+(Inputs!$B$25+1)+Inputs!$B$29,IF(Skills!C20=2,90+Inputs!$B$26+Inputs!$B$29,IF(Skills!C20=3,120+Inputs!$B$27+Inputs!$B$29,MAX(0,(Inputs!$B$3-100)*3)+Inputs!$B$28+Inputs!$B$29)))</f>
        <v/>
      </c>
      <c r="E690">
        <f>INDEX(FactorTable!$B$2:$Y$301, MATCH(ROUND(MIN(300,MAX(1,D690)),0), FactorTable!$A$2:$A$301,0), Skills!L20+1)</f>
        <v/>
      </c>
      <c r="F690">
        <f>IF(Skills!M20=TRUE,(Skills!K20/10)*(E690/1000),Skills!K20/10)+Skills!N20</f>
        <v/>
      </c>
      <c r="G690">
        <f>Calc!G20</f>
        <v/>
      </c>
      <c r="H690">
        <f>Calc!H20</f>
        <v/>
      </c>
      <c r="I690">
        <f>IF(Skills!T20&lt;&gt;"",1+(Skills!T20/10)*(Z673/1000)/100,1)</f>
        <v/>
      </c>
      <c r="J690" t="inlineStr"/>
      <c r="K690" t="inlineStr"/>
      <c r="L690" t="inlineStr"/>
      <c r="M690" t="inlineStr"/>
      <c r="N690" t="inlineStr"/>
      <c r="O690">
        <f>(1-Summary!$B$11)*S690+Summary!$B$11*U690</f>
        <v/>
      </c>
      <c r="P690">
        <f>IF(B707=0,0,O690/B707)</f>
        <v/>
      </c>
      <c r="Q690">
        <f>IFERROR(1/IF(Inputs!$B$38="pvp",15,MAX(0.1,Skills!D20-IF(Skills!E20=TRUE,Inputs!$B$32,0))),0)</f>
        <v/>
      </c>
      <c r="R690" t="n">
        <v>0</v>
      </c>
      <c r="S690" t="n">
        <v>0</v>
      </c>
      <c r="U690" t="n">
        <v>0</v>
      </c>
    </row>
    <row r="691">
      <c r="A691">
        <f>Skills!A21</f>
        <v/>
      </c>
      <c r="B691">
        <f>Skills!B21</f>
        <v/>
      </c>
      <c r="C691">
        <f>Inputs!$B$3&gt;=74</f>
        <v/>
      </c>
      <c r="D691">
        <f>IF(Skills!C21=1,60+(Inputs!$B$25+1)+Inputs!$B$29,IF(Skills!C21=2,90+Inputs!$B$26+Inputs!$B$29,IF(Skills!C21=3,120+Inputs!$B$27+Inputs!$B$29,MAX(0,(Inputs!$B$3-100)*3)+Inputs!$B$28+Inputs!$B$29)))</f>
        <v/>
      </c>
      <c r="E691">
        <f>INDEX(FactorTable!$B$2:$Y$301, MATCH(ROUND(MIN(300,MAX(1,D691)),0), FactorTable!$A$2:$A$301,0), Skills!L21+1)</f>
        <v/>
      </c>
      <c r="F691">
        <f>IF(Skills!M21=TRUE,(Skills!K21/10)*(E691/1000),Skills!K21/10)+Skills!N21</f>
        <v/>
      </c>
      <c r="G691">
        <f>Calc!G21</f>
        <v/>
      </c>
      <c r="H691">
        <f>Calc!H21</f>
        <v/>
      </c>
      <c r="I691">
        <f>IF(Skills!T21&lt;&gt;"",1+(Skills!T21/10)*(Z673/1000)/100,1)</f>
        <v/>
      </c>
      <c r="J691" t="inlineStr"/>
      <c r="K691" t="inlineStr"/>
      <c r="L691" t="inlineStr"/>
      <c r="M691" t="inlineStr"/>
      <c r="N691" t="inlineStr"/>
      <c r="O691">
        <f>(1-Summary!$B$11)*S691+Summary!$B$11*U691</f>
        <v/>
      </c>
      <c r="P691">
        <f>IF(B707=0,0,O691/B707)</f>
        <v/>
      </c>
      <c r="Q691">
        <f>IFERROR(1/IF(Inputs!$B$38="pvp",15,MAX(0.1,Skills!D21-IF(Skills!E21=TRUE,Inputs!$B$32,0))),0)</f>
        <v/>
      </c>
      <c r="R691" t="n">
        <v>0</v>
      </c>
      <c r="S691" t="n">
        <v>0</v>
      </c>
      <c r="U691" t="n">
        <v>0</v>
      </c>
    </row>
    <row r="692">
      <c r="A692">
        <f>Skills!A22</f>
        <v/>
      </c>
      <c r="B692">
        <f>Skills!B22</f>
        <v/>
      </c>
      <c r="C692">
        <f>Inputs!$B$3&gt;=117</f>
        <v/>
      </c>
      <c r="D692">
        <f>IF(Skills!C22=1,60+(Inputs!$B$25+1)+Inputs!$B$29,IF(Skills!C22=2,90+Inputs!$B$26+Inputs!$B$29,IF(Skills!C22=3,120+Inputs!$B$27+Inputs!$B$29,MAX(0,(Inputs!$B$3-100)*3)+Inputs!$B$28+Inputs!$B$29)))</f>
        <v/>
      </c>
      <c r="E692">
        <f>INDEX(FactorTable!$B$2:$Y$301, MATCH(ROUND(MIN(300,MAX(1,D692)),0), FactorTable!$A$2:$A$301,0), Skills!L22+1)</f>
        <v/>
      </c>
      <c r="F692">
        <f>IF(Skills!M22=TRUE,(Skills!K22/10)*(E692/1000),Skills!K22/10)+Skills!N22</f>
        <v/>
      </c>
      <c r="G692">
        <f>Calc!G22</f>
        <v/>
      </c>
      <c r="H692">
        <f>Calc!H22</f>
        <v/>
      </c>
      <c r="I692">
        <f>IF(Skills!T22&lt;&gt;"",1+(Skills!T22/10)*(Z673/1000)/100,1)</f>
        <v/>
      </c>
      <c r="J692" t="inlineStr"/>
      <c r="K692" t="inlineStr"/>
      <c r="L692" t="inlineStr"/>
      <c r="M692" t="inlineStr"/>
      <c r="N692" t="inlineStr"/>
      <c r="O692">
        <f>(1-Summary!$B$11)*S692+Summary!$B$11*U692</f>
        <v/>
      </c>
      <c r="P692">
        <f>IF(B707=0,0,O692/B707)</f>
        <v/>
      </c>
      <c r="Q692">
        <f>IFERROR(1/IF(Inputs!$B$38="pvp",15,MAX(0.1,Skills!D22-IF(Skills!E22=TRUE,Inputs!$B$32,0))),0)</f>
        <v/>
      </c>
      <c r="R692" t="n">
        <v>0</v>
      </c>
      <c r="S692" t="n">
        <v>0</v>
      </c>
      <c r="U692" t="n">
        <v>0</v>
      </c>
    </row>
    <row r="693">
      <c r="A693">
        <f>Skills!A23</f>
        <v/>
      </c>
      <c r="B693">
        <f>Skills!B23</f>
        <v/>
      </c>
      <c r="C693">
        <f>Inputs!$B$3&gt;=120</f>
        <v/>
      </c>
      <c r="D693">
        <f>IF(Skills!C23=1,60+(Inputs!$B$25+1)+Inputs!$B$29,IF(Skills!C23=2,90+Inputs!$B$26+Inputs!$B$29,IF(Skills!C23=3,120+Inputs!$B$27+Inputs!$B$29,MAX(0,(Inputs!$B$3-100)*3)+Inputs!$B$28+Inputs!$B$29)))</f>
        <v/>
      </c>
      <c r="E693">
        <f>INDEX(FactorTable!$B$2:$Y$301, MATCH(ROUND(MIN(300,MAX(1,D693)),0), FactorTable!$A$2:$A$301,0), Skills!L23+1)</f>
        <v/>
      </c>
      <c r="F693">
        <f>IF(Skills!M23=TRUE,(Skills!K23/10)*(E693/1000),Skills!K23/10)+Skills!N23</f>
        <v/>
      </c>
      <c r="G693">
        <f>Calc!G23</f>
        <v/>
      </c>
      <c r="H693">
        <f>Calc!H23</f>
        <v/>
      </c>
      <c r="I693">
        <f>IF(Skills!T23&lt;&gt;"",1+(Skills!T23/10)*(Z673/1000)/100,1)</f>
        <v/>
      </c>
      <c r="J693" t="inlineStr"/>
      <c r="K693" t="inlineStr"/>
      <c r="L693" t="inlineStr"/>
      <c r="M693" t="inlineStr"/>
      <c r="N693" t="inlineStr"/>
      <c r="O693">
        <f>(1-Summary!$B$11)*S693+Summary!$B$11*U693</f>
        <v/>
      </c>
      <c r="P693">
        <f>IF(B707=0,0,O693/B707)</f>
        <v/>
      </c>
      <c r="Q693">
        <f>IFERROR(1/IF(Inputs!$B$38="pvp",15,MAX(0.1,Skills!D23-IF(Skills!E23=TRUE,Inputs!$B$32,0))),0)</f>
        <v/>
      </c>
      <c r="R693" t="n">
        <v>0</v>
      </c>
      <c r="S693" t="n">
        <v>0</v>
      </c>
      <c r="U693" t="n">
        <v>0</v>
      </c>
    </row>
    <row r="694">
      <c r="A694">
        <f>Skills!A24</f>
        <v/>
      </c>
      <c r="B694">
        <f>Skills!B24</f>
        <v/>
      </c>
      <c r="C694">
        <f>TRUE</f>
        <v/>
      </c>
      <c r="D694">
        <f>IF(Skills!C24=1,60+(Inputs!$B$25+1)+Inputs!$B$29,IF(Skills!C24=2,90+Inputs!$B$26+Inputs!$B$29,IF(Skills!C24=3,120+Inputs!$B$27+Inputs!$B$29,MAX(0,(Inputs!$B$3-100)*3)+Inputs!$B$28+Inputs!$B$29)))</f>
        <v/>
      </c>
      <c r="E694">
        <f>INDEX(FactorTable!$B$2:$Y$301, MATCH(ROUND(MIN(300,MAX(1,D694)),0), FactorTable!$A$2:$A$301,0), Skills!L24+1)</f>
        <v/>
      </c>
      <c r="F694">
        <f>IF(Skills!M24=TRUE,(Skills!K24/10)*(E694/1000),Skills!K24/10)+Skills!N24</f>
        <v/>
      </c>
      <c r="G694">
        <f>Calc!G24</f>
        <v/>
      </c>
      <c r="H694">
        <f>Calc!H24</f>
        <v/>
      </c>
      <c r="I694">
        <f>IF(Skills!T24&lt;&gt;"",1+(Skills!T24/10)*(Z673/1000)/100,1)</f>
        <v/>
      </c>
      <c r="J694" t="inlineStr"/>
      <c r="K694" t="inlineStr"/>
      <c r="L694" t="inlineStr"/>
      <c r="M694" t="inlineStr"/>
      <c r="N694" t="inlineStr"/>
      <c r="O694">
        <f>(1-Summary!$B$11)*S694+Summary!$B$11*U694</f>
        <v/>
      </c>
      <c r="P694">
        <f>IF(B707=0,0,O694/B707)</f>
        <v/>
      </c>
      <c r="Q694">
        <f>IFERROR(1/IF(Inputs!$B$38="pvp",15,MAX(0.1,Skills!D24-IF(Skills!E24=TRUE,Inputs!$B$32,0))),0)</f>
        <v/>
      </c>
      <c r="R694">
        <f>IF(AND(Inputs!$B$38&lt;&gt;"pvp",Inputs!$B$43&gt;0),IF(Inputs!$B$43&lt;=0,0,(INT(Inputs!$B$43/IF(Inputs!$B$38="pvp",15,MAX(0.1,Skills!D24-IF(Skills!E24=TRUE,Inputs!$B$32,0))))+1)),0)</f>
        <v/>
      </c>
      <c r="S694" t="n">
        <v>0</v>
      </c>
      <c r="U694" t="n">
        <v>0</v>
      </c>
    </row>
    <row r="697">
      <c r="A697" t="inlineStr">
        <is>
          <t>Average Buff Multiplier (Magic Guard + Meditation + Artifact Attack%, summed; then Infinity)</t>
        </is>
      </c>
      <c r="B697">
        <f>(1+(IF(C673=TRUE,F673*IF(AND(Inputs!$B$38&lt;&gt;"pvp",Inputs!$B$43&gt;0),(((R673-1)*(Skills!S3*(1+(Inputs!$B$34)/100))+MIN((Skills!S3*(1+(Inputs!$B$34)/100)),MAX(0,Inputs!$B$43-((R673-1)*Skills!D3))))/Inputs!$B$43),IF(Inputs!$B$38="pvp",MIN((Skills!S3*(1+(Inputs!$B$34)/100)),15)/15,(Skills!S3*(1+(Inputs!$B$34)/100))/Skills!D3)),0)+IF(C674=TRUE,F674*IF(AND(Inputs!$B$38&lt;&gt;"pvp",Inputs!$B$43&gt;0),(((R674-1)*(Skills!S4*(1+(Inputs!$B$34)/100))+MIN((Skills!S4*(1+(Inputs!$B$34)/100)),MAX(0,Inputs!$B$43-((R674-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686=TRUE,(1+F686*IF(AND(Inputs!$B$38&lt;&gt;"pvp",Inputs!$B$43&gt;0),(((R686-1)*(Skills!S16*(1+(Inputs!$B$34)/100))+MIN((Skills!S16*(1+(Inputs!$B$34)/100)),MAX(0,Inputs!$B$43-((R686-1)*Skills!D16))))/Inputs!$B$43),IF(Inputs!$B$38="pvp",MIN((Skills!S16*(1+(Inputs!$B$34)/100)),15)/15,(Skills!S16*(1+(Inputs!$B$34)/100))/Skills!D16))/100),1)</f>
        <v/>
      </c>
    </row>
    <row r="698">
      <c r="A698" t="inlineStr">
        <is>
          <t>Monster Damage Taken Bonus % (Freezing Breath - Weaken + Elemental Reset + Artifact Enemy Damage Taken, summed)</t>
        </is>
      </c>
      <c r="B698">
        <f>IF(Inputs!$B$3&gt;=118,15*IF(Inputs!$B$38="pvp",MIN((30*(1+(Inputs!$B$34)/100)),15)/15,(30*(1+(Inputs!$B$34)/100))/Skills!D8),0)+IF(C684=TRUE,F684,0)+(IF(AND(ArtifactsInput!$M$35,Inputs!$B$4&lt;&gt;"Chapter Hunt"),CHOOSE(ArtifactsInput!$N$35+1,15,18,21,24,27,30)*(1-EXP(-(0.2*B701)*5)),0)+IF(AND(ArtifactsInput!$M$22,Inputs!$B$4&lt;&gt;"Chapter Hunt"),CHOOSE(ArtifactsInput!$N$22+1,10,12,14,16,18,20)*((0*(((0.15*B701*5))^0/1)+1*(((0.15*B701*5))^1/1)+2*(((0.15*B701*5))^2/2)+3*(((0.15*B701*5))^3/6)+4*(((0.15*B701*5))^4/24)+5*(((0.15*B701*5))^5/120))/((((0.15*B701*5))^0/1)+(((0.15*B701*5))^1/1)+(((0.15*B701*5))^2/2)+(((0.15*B701*5))^3/6)+(((0.15*B701*5))^4/24)+(((0.15*B701*5))^5/120))),0))</f>
        <v/>
      </c>
    </row>
    <row r="699">
      <c r="A699" t="inlineStr">
        <is>
          <t>Damage % Bonus (Frozen Break + Frost Clutch, flat)</t>
        </is>
      </c>
      <c r="B699">
        <f>IF(Inputs!$B$3&gt;=66,15,0)+IF(Inputs!$B$3&gt;=98,10,0)+IF(Inputs!$B$3&gt;=125,20,0)</f>
        <v/>
      </c>
    </row>
    <row r="700">
      <c r="A700" t="inlineStr">
        <is>
          <t>Attack Speed Bonus % (MP Eater - MP Boost, always-on + Nimble Feet, duty-cycle averaged)</t>
        </is>
      </c>
      <c r="B700">
        <f>IF(C683=TRUE,F683+(F687-Calc!F17),0)+((C694=TRUE)*F694*IF(AND(Inputs!$B$38&lt;&gt;"pvp",Inputs!$B$43&gt;0),(((R694-1)*(Skills!S24*(1+(Inputs!$B$34)/100))+MIN((Skills!S24*(1+(Inputs!$B$34)/100)),MAX(0,Inputs!$B$43-((R694-1)*Skills!D24))))/Inputs!$B$43),IF(Inputs!$B$38="pvp",MIN((Skills!S24*(1+(Inputs!$B$34)/100)),15)/15,(Skills!S24*(1+(Inputs!$B$34)/100))/Skills!D24)))</f>
        <v/>
      </c>
    </row>
    <row r="701">
      <c r="A701" t="inlineStr">
        <is>
          <t>Actions Per Second</t>
        </is>
      </c>
      <c r="B701">
        <f>1+MIN(150,150*(1-(1-(Inputs!$B$11+(ArtifactsInput!$M$15-ArtifactsInput!$M$15)*CHOOSE(ArtifactsInput!$N$15+1,8,9.6,11.2,12.8,14.4,16))/150)*(1-B700/150)))/100</f>
        <v/>
      </c>
    </row>
    <row r="702">
      <c r="A702" t="inlineStr">
        <is>
          <t>Skill + Buff Cast Rate</t>
        </is>
      </c>
      <c r="B702">
        <f>IF(AND(Inputs!$B$38&lt;&gt;"pvp",Inputs!$B$43&gt;0),SUMPRODUCT((Skills!E2:E24=TRUE)*(C672:C694=TRUE)*R672:R694)/Inputs!$B$43,SUMPRODUCT((Skills!E2:E24=TRUE)*(C672:C694=TRUE)*Q672:Q694))</f>
        <v/>
      </c>
    </row>
    <row r="703">
      <c r="A703" t="inlineStr">
        <is>
          <t>Chain Lightning Casts Per Second</t>
        </is>
      </c>
      <c r="B703">
        <f>MAX(0,B701-B702)</f>
        <v/>
      </c>
    </row>
    <row r="704">
      <c r="A704" t="inlineStr">
        <is>
          <t>Buff-Casting Startup Delay (s, fixed-duration only)</t>
        </is>
      </c>
      <c r="B704">
        <f>IF(AND(Inputs!$B$38&lt;&gt;"pvp",Inputs!$B$43&gt;0),SUMPRODUCT((Skills!S2:S24&gt;0)*(Skills!E2:E24=TRUE)*(C672:C694=TRUE))/B701,0)</f>
        <v/>
      </c>
    </row>
    <row r="705">
      <c r="A705" t="inlineStr">
        <is>
          <t>Boss-Only Total DPS (this block's swept value)</t>
        </is>
      </c>
      <c r="B705">
        <f>SUM(S672:S694)</f>
        <v/>
      </c>
    </row>
    <row r="706">
      <c r="A706" t="inlineStr">
        <is>
          <t>Normal-Only Total DPS (this block's swept value)</t>
        </is>
      </c>
      <c r="B706">
        <f>SUM(U672:U694)</f>
        <v/>
      </c>
    </row>
    <row r="707">
      <c r="A707" s="6" t="inlineStr">
        <is>
          <t>TOTAL DPS</t>
        </is>
      </c>
      <c r="B707" s="6">
        <f>SUM(O672:O694)</f>
        <v/>
      </c>
    </row>
    <row r="710">
      <c r="A710" s="6" t="inlineStr">
        <is>
          <t>Stat: Skill Level Bonus — 2nd Job</t>
        </is>
      </c>
    </row>
    <row r="711">
      <c r="A711" s="5" t="inlineStr">
        <is>
          <t>Key</t>
        </is>
      </c>
      <c r="B711" s="5" t="inlineStr">
        <is>
          <t>Name</t>
        </is>
      </c>
      <c r="C711" s="5" t="inlineStr">
        <is>
          <t>Unlocked</t>
        </is>
      </c>
      <c r="D711" s="5" t="inlineStr">
        <is>
          <t>InputLevel</t>
        </is>
      </c>
      <c r="E711" s="5" t="inlineStr">
        <is>
          <t>Factor</t>
        </is>
      </c>
      <c r="F711" s="5" t="inlineStr">
        <is>
          <t>CoefficientPercent</t>
        </is>
      </c>
      <c r="G711" s="5" t="inlineStr">
        <is>
          <t>EffectiveHits</t>
        </is>
      </c>
      <c r="H711" s="5" t="inlineStr">
        <is>
          <t>ProcProbability</t>
        </is>
      </c>
      <c r="I711" s="5" t="inlineStr">
        <is>
          <t>MapleHeroMultiplier</t>
        </is>
      </c>
      <c r="J711" s="5" t="inlineStr">
        <is>
          <t>BaseDamage</t>
        </is>
      </c>
      <c r="K711" s="5" t="inlineStr">
        <is>
          <t>BaseHitDamage</t>
        </is>
      </c>
      <c r="L711" s="5" t="inlineStr">
        <is>
          <t>NonCritAvg</t>
        </is>
      </c>
      <c r="M711" s="5" t="inlineStr">
        <is>
          <t>CritAvg</t>
        </is>
      </c>
      <c r="N711" s="5" t="inlineStr">
        <is>
          <t>ExpectedDamage(perHit)</t>
        </is>
      </c>
      <c r="O711" s="5" t="inlineStr">
        <is>
          <t>DPS</t>
        </is>
      </c>
      <c r="P711" s="5" t="inlineStr">
        <is>
          <t>% of Total</t>
        </is>
      </c>
      <c r="R711" t="inlineStr">
        <is>
          <t>helpers</t>
        </is>
      </c>
    </row>
    <row r="712">
      <c r="A712">
        <f>Skills!A2</f>
        <v/>
      </c>
      <c r="B712">
        <f>Skills!B2</f>
        <v/>
      </c>
      <c r="C712">
        <f>Inputs!$B$3&gt;=100</f>
        <v/>
      </c>
      <c r="D712" t="inlineStr"/>
      <c r="E712" t="inlineStr"/>
      <c r="F712">
        <f>T714+Skills!N2</f>
        <v/>
      </c>
      <c r="G712">
        <f>Calc!G2</f>
        <v/>
      </c>
      <c r="H712">
        <f>Calc!H2</f>
        <v/>
      </c>
      <c r="I712">
        <f>IF(Skills!T2&lt;&gt;"",1+(Skills!T2/10)*(Z713/1000)/100,1)</f>
        <v/>
      </c>
      <c r="J712">
        <f>((Inputs!$B$6*(1+Inputs!$B$7/100))+(((Inputs!$B$12*(1+Inputs!$B$13/100))-(Inputs!$B$12*(1+Inputs!$B$13/100)))+0.25*(Inputs!$B$14-Inputs!$B$14))*(1+Inputs!$B$7/100))*(F712/100)</f>
        <v/>
      </c>
      <c r="K712">
        <f>J712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2="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F728-Calc!F18),(Inputs!$B$23+(IF(ArtifactsInput!$M$15,CHOOSE(ArtifactsInput!$N$15+1,25,30,35,40,45,50)/100*(Inputs!$B$11-Inputs!$B$11),0))))/100+(Inputs!$B$23+(IF(ArtifactsInput!$M$15,CHOOSE(ArtifactsInput!$N$15+1,25,30,35,40,45,50)/100*(Inputs!$B$11-Inputs!$B$11),0)))/100)/2</f>
        <v/>
      </c>
      <c r="M712">
        <f>L712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(1-Summary!$B$11)*S712+Summary!$B$11*U712</f>
        <v/>
      </c>
      <c r="P712">
        <f>IF(B747=0,0,O712/B747)</f>
        <v/>
      </c>
      <c r="Q712">
        <f>IFERROR(1/IF(Inputs!$B$38="pvp",15,MAX(0.1,Skills!D2-IF(Skills!E2=TRUE,Inputs!$B$32,0))),0)</f>
        <v/>
      </c>
      <c r="R712" t="n">
        <v>0</v>
      </c>
      <c r="S712">
        <f>IF(C712,(Skills!F2*N712*B743)*IF(Inputs!$B$38="pvp",1,1+(Inputs!$B$20+Skills!O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712*(1-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12">
        <f>MAX(0,(Inputs!$B$3-100)*3)+Inputs!$B$28+Inputs!$B$29</f>
        <v/>
      </c>
      <c r="U712">
        <f>IF(C712,(Skills!F2*N712*B743)*IF(Inputs!$B$38="pvp",1,(1+(Inputs!$B$21+Skills!P2+B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12">
        <f>MAX(0,(Inputs!$B$3-100)*3)+Inputs!$B$28+Inputs!$B$29</f>
        <v/>
      </c>
    </row>
    <row r="713">
      <c r="A713">
        <f>Skills!A3</f>
        <v/>
      </c>
      <c r="B713">
        <f>Skills!B3</f>
        <v/>
      </c>
      <c r="C713">
        <f>Inputs!$B$3&gt;=15</f>
        <v/>
      </c>
      <c r="D713">
        <f>IF(Skills!C3=1,60+Inputs!$B$25+Inputs!$B$29,IF(Skills!C3=2,90+(Inputs!$B$26+1)+Inputs!$B$29,IF(Skills!C3=3,120+Inputs!$B$27+Inputs!$B$29,MAX(0,(Inputs!$B$3-100)*3)+Inputs!$B$28+Inputs!$B$29)))</f>
        <v/>
      </c>
      <c r="E713">
        <f>INDEX(FactorTable!$B$2:$Y$301, MATCH(ROUND(MIN(300,MAX(1,D713)),0), FactorTable!$A$2:$A$301,0), Skills!L3+1)</f>
        <v/>
      </c>
      <c r="F713">
        <f>IF(Skills!M3=TRUE,(Skills!K3/10)*(E713/1000),Skills!K3/10)+Skills!N3</f>
        <v/>
      </c>
      <c r="G713">
        <f>Calc!G3</f>
        <v/>
      </c>
      <c r="H713">
        <f>Calc!H3</f>
        <v/>
      </c>
      <c r="I713">
        <f>IF(Skills!T3&lt;&gt;"",1+(Skills!T3/10)*(Z713/1000)/100,1)</f>
        <v/>
      </c>
      <c r="J713" t="inlineStr"/>
      <c r="K713" t="inlineStr"/>
      <c r="L713" t="inlineStr"/>
      <c r="M713" t="inlineStr"/>
      <c r="N713" t="inlineStr"/>
      <c r="O713">
        <f>(1-Summary!$B$11)*S713+Summary!$B$11*U713</f>
        <v/>
      </c>
      <c r="P713">
        <f>IF(B747=0,0,O713/B747)</f>
        <v/>
      </c>
      <c r="Q713">
        <f>IFERROR(1/IF(Inputs!$B$38="pvp",15,MAX(0.1,Skills!D3-IF(Skills!E3=TRUE,Inputs!$B$32,0))),0)</f>
        <v/>
      </c>
      <c r="R713">
        <f>IF(AND(Inputs!$B$38&lt;&gt;"pvp",Inputs!$B$43&gt;0),IF(Inputs!$B$43&lt;=0,0,(INT(Inputs!$B$43/IF(Inputs!$B$38="pvp",15,MAX(0.1,Skills!D3-IF(Skills!E3=TRUE,Inputs!$B$32,0))))+1)),0)</f>
        <v/>
      </c>
      <c r="S713" t="n">
        <v>0</v>
      </c>
      <c r="T713">
        <f>INDEX(FactorTable!$B$2:$Y$301, MATCH(ROUND(MIN(300,MAX(1,T712)),0), FactorTable!$A$2:$A$301,0), 22)</f>
        <v/>
      </c>
      <c r="U713" t="n">
        <v>0</v>
      </c>
      <c r="Z713">
        <f>INDEX(FactorTable!$B$2:$Y$301, MATCH(ROUND(MIN(300,MAX(1,Z712)),0), FactorTable!$A$2:$A$301,0), 24)</f>
        <v/>
      </c>
    </row>
    <row r="714">
      <c r="A714">
        <f>Skills!A4</f>
        <v/>
      </c>
      <c r="B714">
        <f>Skills!B4</f>
        <v/>
      </c>
      <c r="C714">
        <f>Inputs!$B$3&gt;=40</f>
        <v/>
      </c>
      <c r="D714">
        <f>IF(Skills!C4=1,60+Inputs!$B$25+Inputs!$B$29,IF(Skills!C4=2,90+(Inputs!$B$26+1)+Inputs!$B$29,IF(Skills!C4=3,120+Inputs!$B$27+Inputs!$B$29,MAX(0,(Inputs!$B$3-100)*3)+Inputs!$B$28+Inputs!$B$29)))</f>
        <v/>
      </c>
      <c r="E714">
        <f>INDEX(FactorTable!$B$2:$Y$301, MATCH(ROUND(MIN(300,MAX(1,D714)),0), FactorTable!$A$2:$A$301,0), Skills!L4+1)</f>
        <v/>
      </c>
      <c r="F714">
        <f>IF(Skills!M4=TRUE,(Skills!K4/10)*(E714/1000),Skills!K4/10)+Skills!N4</f>
        <v/>
      </c>
      <c r="G714">
        <f>Calc!G4</f>
        <v/>
      </c>
      <c r="H714">
        <f>Calc!H4</f>
        <v/>
      </c>
      <c r="I714">
        <f>IF(Skills!T4&lt;&gt;"",1+(Skills!T4/10)*(Z713/1000)/100,1)</f>
        <v/>
      </c>
      <c r="J714" t="inlineStr"/>
      <c r="K714" t="inlineStr"/>
      <c r="L714" t="inlineStr"/>
      <c r="M714" t="inlineStr"/>
      <c r="N714" t="inlineStr"/>
      <c r="O714">
        <f>(1-Summary!$B$11)*S714+Summary!$B$11*U714</f>
        <v/>
      </c>
      <c r="P714">
        <f>IF(B747=0,0,O714/B747)</f>
        <v/>
      </c>
      <c r="Q714">
        <f>IFERROR(1/IF(Inputs!$B$38="pvp",15,MAX(0.1,Skills!D4-IF(Skills!E4=TRUE,Inputs!$B$32,0))),0)</f>
        <v/>
      </c>
      <c r="R714">
        <f>IF(AND(Inputs!$B$38&lt;&gt;"pvp",Inputs!$B$43&gt;0),IF(Inputs!$B$43&lt;=0,0,(INT(Inputs!$B$43/IF(Inputs!$B$38="pvp",15,MAX(0.1,Skills!D4-IF(Skills!E4=TRUE,Inputs!$B$32,0))))+1)),0)</f>
        <v/>
      </c>
      <c r="S714" t="n">
        <v>0</v>
      </c>
      <c r="T714">
        <f>290*T713/1000</f>
        <v/>
      </c>
      <c r="U714" t="n">
        <v>0</v>
      </c>
    </row>
    <row r="715">
      <c r="A715">
        <f>Skills!A5</f>
        <v/>
      </c>
      <c r="B715">
        <f>Skills!B5</f>
        <v/>
      </c>
      <c r="C715">
        <f>Inputs!$B$3&gt;=38</f>
        <v/>
      </c>
      <c r="D715">
        <f>IF(Skills!C5=1,60+Inputs!$B$25+Inputs!$B$29,IF(Skills!C5=2,90+(Inputs!$B$26+1)+Inputs!$B$29,IF(Skills!C5=3,120+Inputs!$B$27+Inputs!$B$29,MAX(0,(Inputs!$B$3-100)*3)+Inputs!$B$28+Inputs!$B$29)))</f>
        <v/>
      </c>
      <c r="E715">
        <f>INDEX(FactorTable!$B$2:$Y$301, MATCH(ROUND(MIN(300,MAX(1,D715)),0), FactorTable!$A$2:$A$301,0), Skills!L5+1)</f>
        <v/>
      </c>
      <c r="F715">
        <f>IF(Skills!M5=TRUE,(Skills!K5/10)*(E715/1000),Skills!K5/10)+Skills!N5</f>
        <v/>
      </c>
      <c r="G715">
        <f>Calc!G5</f>
        <v/>
      </c>
      <c r="H715">
        <f>Calc!H5</f>
        <v/>
      </c>
      <c r="I715">
        <f>IF(Skills!T5&lt;&gt;"",1+(Skills!T5/10)*(Z713/1000)/100,1)</f>
        <v/>
      </c>
      <c r="J715">
        <f>((Inputs!$B$6*(1+Inputs!$B$7/100))+(((Inputs!$B$12*(1+Inputs!$B$13/100))-(Inputs!$B$12*(1+Inputs!$B$13/100)))+0.25*(Inputs!$B$14-Inputs!$B$14))*(1+Inputs!$B$7/100))*(F715/100)</f>
        <v/>
      </c>
      <c r="K715">
        <f>J715*(1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5="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F728-Calc!F18),(Inputs!$B$23+(IF(ArtifactsInput!$M$15,CHOOSE(ArtifactsInput!$N$15+1,25,30,35,40,45,50)/100*(Inputs!$B$11-Inputs!$B$11),0))))/100+(Inputs!$B$23+(IF(ArtifactsInput!$M$15,CHOOSE(ArtifactsInput!$N$15+1,25,30,35,40,45,50)/100*(Inputs!$B$11-Inputs!$B$11),0)))/100)/2</f>
        <v/>
      </c>
      <c r="M715">
        <f>L715*(1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(1-Summary!$B$11)*S715+Summary!$B$11*U715</f>
        <v/>
      </c>
      <c r="P715">
        <f>IF(B747=0,0,O715/B747)</f>
        <v/>
      </c>
      <c r="Q715">
        <f>IFERROR(1/IF(Inputs!$B$38="pvp",15,MAX(0.1,Skills!D5-IF(Skills!E5=TRUE,Inputs!$B$32,0))),0)</f>
        <v/>
      </c>
      <c r="R715">
        <f>IF(AND(Inputs!$B$38&lt;&gt;"pvp",Inputs!$B$43&gt;0),IF(MAX(0,Inputs!$B$43-B744)&lt;=0,0,(INT(MAX(0,Inputs!$B$43-B744)/IF(Inputs!$B$38="pvp",15,MAX(0.1,Skills!D5-IF(Skills!E5=TRUE,Inputs!$B$32,0))))+1)),0)</f>
        <v/>
      </c>
      <c r="S715">
        <f>IF(C715,(H715*N715*IF(AND(Inputs!$B$38&lt;&gt;"pvp",Inputs!$B$43&gt;0),((Skills!F5*((R715-1)*IF(Skills!G5&gt;0,Skills!H5/Skills!G5,1)+IF(Skills!G5&gt;0,MIN(Skills!H5,MAX(0,MAX(0,Inputs!$B$43-B744)-((R715-1)*IF(Inputs!$B$38="pvp",15,MAX(0.1,Skills!D5-IF(Skills!E5=TRUE,Inputs!$B$32,0))))))/Skills!G5,1)))/Inputs!$B$43),G715*Q715))*IF(Inputs!$B$38="pvp",1,1+(Inputs!$B$20+Skills!O5+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715*(1-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IF(C715,(H715*N715*IF(AND(Inputs!$B$38&lt;&gt;"pvp",Inputs!$B$43&gt;0),((Skills!F5*((R715-1)*IF(Skills!G5&gt;0,Skills!H5/Skills!G5,1)+IF(Skills!G5&gt;0,MIN(Skills!H5,MAX(0,MAX(0,Inputs!$B$43-B744)-((R715-1)*IF(Inputs!$B$38="pvp",15,MAX(0.1,Skills!D5-IF(Skills!E5=TRUE,Inputs!$B$32,0))))))/Skills!G5,1)))/Inputs!$B$43),G715*Q715))*IF(Inputs!$B$38="pvp",1,(1+(Inputs!$B$21+Skills!P5+B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Skills!A6</f>
        <v/>
      </c>
      <c r="B716">
        <f>Skills!B6</f>
        <v/>
      </c>
      <c r="C716">
        <f>Inputs!$B$3&gt;=63</f>
        <v/>
      </c>
      <c r="D716">
        <f>IF(Skills!C6=1,60+Inputs!$B$25+Inputs!$B$29,IF(Skills!C6=2,90+(Inputs!$B$26+1)+Inputs!$B$29,IF(Skills!C6=3,120+Inputs!$B$27+Inputs!$B$29,MAX(0,(Inputs!$B$3-100)*3)+Inputs!$B$28+Inputs!$B$29)))</f>
        <v/>
      </c>
      <c r="E716">
        <f>INDEX(FactorTable!$B$2:$Y$301, MATCH(ROUND(MIN(300,MAX(1,D716)),0), FactorTable!$A$2:$A$301,0), Skills!L6+1)</f>
        <v/>
      </c>
      <c r="F716">
        <f>IF(Skills!M6=TRUE,(Skills!K6/10)*(E716/1000),Skills!K6/10)+Skills!N6</f>
        <v/>
      </c>
      <c r="G716">
        <f>Calc!G6</f>
        <v/>
      </c>
      <c r="H716">
        <f>Calc!H6</f>
        <v/>
      </c>
      <c r="I716">
        <f>IF(Skills!T6&lt;&gt;"",1+(Skills!T6/10)*(Z713/1000)/100,1)</f>
        <v/>
      </c>
      <c r="J716">
        <f>((Inputs!$B$6*(1+Inputs!$B$7/100))+(((Inputs!$B$12*(1+Inputs!$B$13/100))-(Inputs!$B$12*(1+Inputs!$B$13/100)))+0.25*(Inputs!$B$14-Inputs!$B$14))*(1+Inputs!$B$7/100))*(F716/100)</f>
        <v/>
      </c>
      <c r="K716">
        <f>J716*(1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6="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F728-Calc!F18),(Inputs!$B$23+(IF(ArtifactsInput!$M$15,CHOOSE(ArtifactsInput!$N$15+1,25,30,35,40,45,50)/100*(Inputs!$B$11-Inputs!$B$11),0))))/100+(Inputs!$B$23+(IF(ArtifactsInput!$M$15,CHOOSE(ArtifactsInput!$N$15+1,25,30,35,40,45,50)/100*(Inputs!$B$11-Inputs!$B$11),0)))/100)/2</f>
        <v/>
      </c>
      <c r="M716">
        <f>L716*(1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(1-Summary!$B$11)*S716+Summary!$B$11*U716</f>
        <v/>
      </c>
      <c r="P716">
        <f>IF(B747=0,0,O716/B747)</f>
        <v/>
      </c>
      <c r="Q716">
        <f>IFERROR(1/IF(Inputs!$B$38="pvp",15,MAX(0.1,Skills!D6-IF(Skills!E6=TRUE,Inputs!$B$32,0))),0)</f>
        <v/>
      </c>
      <c r="R716">
        <f>IF(AND(Inputs!$B$38&lt;&gt;"pvp",Inputs!$B$43&gt;0),IF(MAX(0,Inputs!$B$43-B744)&lt;=0,0,(INT(MAX(0,Inputs!$B$43-B744)/IF(Inputs!$B$38="pvp",15,MAX(0.1,Skills!D6-IF(Skills!E6=TRUE,Inputs!$B$32,0))))+1)),0)</f>
        <v/>
      </c>
      <c r="S716">
        <f>IF(C716,(H716*N716*IF(AND(Inputs!$B$38&lt;&gt;"pvp",Inputs!$B$43&gt;0),((Skills!F6*((R716-1)*IF(Skills!G6&gt;0,Skills!H6/Skills!G6,1)+IF(Skills!G6&gt;0,MIN(Skills!H6,MAX(0,MAX(0,Inputs!$B$43-B744)-((R716-1)*IF(Inputs!$B$38="pvp",15,MAX(0.1,Skills!D6-IF(Skills!E6=TRUE,Inputs!$B$32,0))))))/Skills!G6,1)))/Inputs!$B$43),G716*Q716))*IF(Inputs!$B$38="pvp",1,1+(Inputs!$B$20+Skills!O6+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716*(1-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6">
        <f>IF(C716,(H716*N716*IF(AND(Inputs!$B$38&lt;&gt;"pvp",Inputs!$B$43&gt;0),((Skills!F6*((R716-1)*IF(Skills!G6&gt;0,Skills!H6/Skills!G6,1)+IF(Skills!G6&gt;0,MIN(Skills!H6,MAX(0,MAX(0,Inputs!$B$43-B744)-((R716-1)*IF(Inputs!$B$38="pvp",15,MAX(0.1,Skills!D6-IF(Skills!E6=TRUE,Inputs!$B$32,0))))))/Skills!G6,1)))/Inputs!$B$43),G716*Q716))*IF(Inputs!$B$38="pvp",1,(1+(Inputs!$B$21+Skills!P6+B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Skills!A7</f>
        <v/>
      </c>
      <c r="B717">
        <f>Skills!B7</f>
        <v/>
      </c>
      <c r="C717">
        <f>Inputs!$B$3&gt;=69</f>
        <v/>
      </c>
      <c r="D717">
        <f>IF(Skills!C7=1,60+Inputs!$B$25+Inputs!$B$29,IF(Skills!C7=2,90+(Inputs!$B$26+1)+Inputs!$B$29,IF(Skills!C7=3,120+Inputs!$B$27+Inputs!$B$29,MAX(0,(Inputs!$B$3-100)*3)+Inputs!$B$28+Inputs!$B$29)))</f>
        <v/>
      </c>
      <c r="E717">
        <f>INDEX(FactorTable!$B$2:$Y$301, MATCH(ROUND(MIN(300,MAX(1,D717)),0), FactorTable!$A$2:$A$301,0), Skills!L7+1)</f>
        <v/>
      </c>
      <c r="F717">
        <f>IF(Skills!M7=TRUE,(Skills!K7/10)*(E717/1000),Skills!K7/10)+Skills!N7</f>
        <v/>
      </c>
      <c r="G717">
        <f>Calc!G7</f>
        <v/>
      </c>
      <c r="H717">
        <f>Calc!H7</f>
        <v/>
      </c>
      <c r="I717">
        <f>IF(Skills!T7&lt;&gt;"",1+(Skills!T7/10)*(Z713/1000)/100,1)</f>
        <v/>
      </c>
      <c r="J717">
        <f>((Inputs!$B$6*(1+Inputs!$B$7/100))+(((Inputs!$B$12*(1+Inputs!$B$13/100))-(Inputs!$B$12*(1+Inputs!$B$13/100)))+0.25*(Inputs!$B$14-Inputs!$B$14))*(1+Inputs!$B$7/100))*(F717/100)</f>
        <v/>
      </c>
      <c r="K717">
        <f>J717*(1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7="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F728-Calc!F18),(Inputs!$B$23+(IF(ArtifactsInput!$M$15,CHOOSE(ArtifactsInput!$N$15+1,25,30,35,40,45,50)/100*(Inputs!$B$11-Inputs!$B$11),0))))/100+(Inputs!$B$23+(IF(ArtifactsInput!$M$15,CHOOSE(ArtifactsInput!$N$15+1,25,30,35,40,45,50)/100*(Inputs!$B$11-Inputs!$B$11),0)))/100)/2</f>
        <v/>
      </c>
      <c r="M717">
        <f>L717*(1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(1-Summary!$B$11)*S717+Summary!$B$11*U717</f>
        <v/>
      </c>
      <c r="P717">
        <f>IF(B747=0,0,O717/B747)</f>
        <v/>
      </c>
      <c r="Q717">
        <f>IFERROR(1/IF(Inputs!$B$38="pvp",15,MAX(0.1,Skills!D7-IF(Skills!E7=TRUE,Inputs!$B$32,0))),0)</f>
        <v/>
      </c>
      <c r="R717">
        <f>IF(AND(Inputs!$B$38&lt;&gt;"pvp",Inputs!$B$43&gt;0),IF(MAX(0,Inputs!$B$43-B744)&lt;=0,0,(INT(MAX(0,Inputs!$B$43-B744)/IF(Inputs!$B$38="pvp",15,MAX(0.1,Skills!D7-IF(Skills!E7=TRUE,Inputs!$B$32,0))))+1)),0)</f>
        <v/>
      </c>
      <c r="S717">
        <f>IF(C717,(H717*N717*IF(AND(Inputs!$B$38&lt;&gt;"pvp",Inputs!$B$43&gt;0),((Skills!F7*((R717-1)*IF(Skills!G7&gt;0,Skills!H7/Skills!G7,1)+IF(Skills!G7&gt;0,MIN(Skills!H7,MAX(0,MAX(0,Inputs!$B$43-B744)-((R717-1)*IF(Inputs!$B$38="pvp",15,MAX(0.1,Skills!D7-IF(Skills!E7=TRUE,Inputs!$B$32,0))))))/Skills!G7,1)))/Inputs!$B$43),G717*Q717))*IF(Inputs!$B$38="pvp",1,1+(Inputs!$B$20+Skills!O7+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717*(1-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IF(C717,(H717*N717*IF(AND(Inputs!$B$38&lt;&gt;"pvp",Inputs!$B$43&gt;0),((Skills!F7*((R717-1)*IF(Skills!G7&gt;0,Skills!H7/Skills!G7,1)+IF(Skills!G7&gt;0,MIN(Skills!H7,MAX(0,MAX(0,Inputs!$B$43-B744)-((R717-1)*IF(Inputs!$B$38="pvp",15,MAX(0.1,Skills!D7-IF(Skills!E7=TRUE,Inputs!$B$32,0))))))/Skills!G7,1)))/Inputs!$B$43),G717*Q717))*IF(Inputs!$B$38="pvp",1,(1+(Inputs!$B$21+Skills!P7+B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Skills!A8</f>
        <v/>
      </c>
      <c r="B718">
        <f>Skills!B8</f>
        <v/>
      </c>
      <c r="C718">
        <f>Inputs!$B$3&gt;=103</f>
        <v/>
      </c>
      <c r="D718">
        <f>IF(Skills!C8=1,60+Inputs!$B$25+Inputs!$B$29,IF(Skills!C8=2,90+(Inputs!$B$26+1)+Inputs!$B$29,IF(Skills!C8=3,120+Inputs!$B$27+Inputs!$B$29,MAX(0,(Inputs!$B$3-100)*3)+Inputs!$B$28+Inputs!$B$29)))</f>
        <v/>
      </c>
      <c r="E718">
        <f>INDEX(FactorTable!$B$2:$Y$301, MATCH(ROUND(MIN(300,MAX(1,D718)),0), FactorTable!$A$2:$A$301,0), Skills!L8+1)</f>
        <v/>
      </c>
      <c r="F718">
        <f>IF(Skills!M8=TRUE,(Skills!K8/10)*(E718/1000),Skills!K8/10)+Skills!N8</f>
        <v/>
      </c>
      <c r="G718">
        <f>Calc!G8</f>
        <v/>
      </c>
      <c r="H718">
        <f>Calc!H8</f>
        <v/>
      </c>
      <c r="I718">
        <f>IF(Skills!T8&lt;&gt;"",1+(Skills!T8/10)*(Z713/1000)/100,1)</f>
        <v/>
      </c>
      <c r="J718">
        <f>((Inputs!$B$6*(1+Inputs!$B$7/100))+(((Inputs!$B$12*(1+Inputs!$B$13/100))-(Inputs!$B$12*(1+Inputs!$B$13/100)))+0.25*(Inputs!$B$14-Inputs!$B$14))*(1+Inputs!$B$7/100))*(F718/100)</f>
        <v/>
      </c>
      <c r="K718">
        <f>J718*(1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8="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F728-Calc!F18),(Inputs!$B$23+(IF(ArtifactsInput!$M$15,CHOOSE(ArtifactsInput!$N$15+1,25,30,35,40,45,50)/100*(Inputs!$B$11-Inputs!$B$11),0))))/100+(Inputs!$B$23+(IF(ArtifactsInput!$M$15,CHOOSE(ArtifactsInput!$N$15+1,25,30,35,40,45,50)/100*(Inputs!$B$11-Inputs!$B$11),0)))/100)/2</f>
        <v/>
      </c>
      <c r="M718">
        <f>L718*(1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(1-Summary!$B$11)*S718+Summary!$B$11*U718</f>
        <v/>
      </c>
      <c r="P718">
        <f>IF(B747=0,0,O718/B747)</f>
        <v/>
      </c>
      <c r="Q718">
        <f>IFERROR(1/IF(Inputs!$B$38="pvp",15,MAX(0.1,Skills!D8-IF(Skills!E8=TRUE,Inputs!$B$32,0))),0)</f>
        <v/>
      </c>
      <c r="R718">
        <f>IF(AND(Inputs!$B$38&lt;&gt;"pvp",Inputs!$B$43&gt;0),IF(MAX(0,Inputs!$B$43-B744)&lt;=0,0,(INT(MAX(0,Inputs!$B$43-B744)/IF(Inputs!$B$38="pvp",15,MAX(0.1,Skills!D8-IF(Skills!E8=TRUE,Inputs!$B$32,0))))+1)),0)</f>
        <v/>
      </c>
      <c r="S718">
        <f>IF(C718,(H718*N718*IF(AND(Inputs!$B$38&lt;&gt;"pvp",Inputs!$B$43&gt;0),((Skills!F8*((R718-1)*IF(Skills!G8&gt;0,Skills!H8/Skills!G8,1)+IF(Skills!G8&gt;0,MIN(Skills!H8,MAX(0,MAX(0,Inputs!$B$43-B744)-((R718-1)*IF(Inputs!$B$38="pvp",15,MAX(0.1,Skills!D8-IF(Skills!E8=TRUE,Inputs!$B$32,0))))))/Skills!G8,1)))/Inputs!$B$43),G718*Q718))*IF(Inputs!$B$38="pvp",1,1+(Inputs!$B$20+Skills!O8+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718*(1-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IF(C718,(H718*N718*IF(AND(Inputs!$B$38&lt;&gt;"pvp",Inputs!$B$43&gt;0),((Skills!F8*((R718-1)*IF(Skills!G8&gt;0,Skills!H8/Skills!G8,1)+IF(Skills!G8&gt;0,MIN(Skills!H8,MAX(0,MAX(0,Inputs!$B$43-B744)-((R718-1)*IF(Inputs!$B$38="pvp",15,MAX(0.1,Skills!D8-IF(Skills!E8=TRUE,Inputs!$B$32,0))))))/Skills!G8,1)))/Inputs!$B$43),G718*Q718))*IF(Inputs!$B$38="pvp",1,(1+(Inputs!$B$21+Skills!P8+B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Skills!A9</f>
        <v/>
      </c>
      <c r="B719">
        <f>Skills!B9</f>
        <v/>
      </c>
      <c r="C719">
        <f>Inputs!$B$3&gt;=105</f>
        <v/>
      </c>
      <c r="D719">
        <f>IF(Skills!C9=1,60+Inputs!$B$25+Inputs!$B$29,IF(Skills!C9=2,90+(Inputs!$B$26+1)+Inputs!$B$29,IF(Skills!C9=3,120+Inputs!$B$27+Inputs!$B$29,MAX(0,(Inputs!$B$3-100)*3)+Inputs!$B$28+Inputs!$B$29)))</f>
        <v/>
      </c>
      <c r="E719">
        <f>INDEX(FactorTable!$B$2:$Y$301, MATCH(ROUND(MIN(300,MAX(1,D719)),0), FactorTable!$A$2:$A$301,0), Skills!L9+1)</f>
        <v/>
      </c>
      <c r="F719">
        <f>IF(Skills!M9=TRUE,(Skills!K9/10)*(E719/1000),Skills!K9/10)+Skills!N9</f>
        <v/>
      </c>
      <c r="G719">
        <f>Calc!G9</f>
        <v/>
      </c>
      <c r="H719">
        <f>Calc!H9</f>
        <v/>
      </c>
      <c r="I719">
        <f>IF(Skills!T9&lt;&gt;"",1+(Skills!T9/10)*(Z713/1000)/100,1)</f>
        <v/>
      </c>
      <c r="J719">
        <f>((Inputs!$B$6*(1+Inputs!$B$7/100))+(((Inputs!$B$12*(1+Inputs!$B$13/100))-(Inputs!$B$12*(1+Inputs!$B$13/100)))+0.25*(Inputs!$B$14-Inputs!$B$14))*(1+Inputs!$B$7/100))*(F719/100)</f>
        <v/>
      </c>
      <c r="K719">
        <f>J719*(1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9="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F728-Calc!F18),(Inputs!$B$23+(IF(ArtifactsInput!$M$15,CHOOSE(ArtifactsInput!$N$15+1,25,30,35,40,45,50)/100*(Inputs!$B$11-Inputs!$B$11),0))))/100+(Inputs!$B$23+(IF(ArtifactsInput!$M$15,CHOOSE(ArtifactsInput!$N$15+1,25,30,35,40,45,50)/100*(Inputs!$B$11-Inputs!$B$11),0)))/100)/2</f>
        <v/>
      </c>
      <c r="M719">
        <f>L719*(1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(1-Summary!$B$11)*S719+Summary!$B$11*U719</f>
        <v/>
      </c>
      <c r="P719">
        <f>IF(B747=0,0,O719/B747)</f>
        <v/>
      </c>
      <c r="Q719">
        <f>IFERROR(1/IF(Inputs!$B$38="pvp",15,MAX(0.1,Skills!D9-IF(Skills!E9=TRUE,Inputs!$B$32,0))),0)</f>
        <v/>
      </c>
      <c r="R719">
        <f>IF(AND(Inputs!$B$38&lt;&gt;"pvp",Inputs!$B$43&gt;0),IF(MAX(0,Inputs!$B$43-B744)&lt;=0,0,(INT(MAX(0,Inputs!$B$43-B744)/IF(Inputs!$B$38="pvp",15,MAX(0.1,Skills!D9-IF(Skills!E9=TRUE,Inputs!$B$32,0))))+1)),0)</f>
        <v/>
      </c>
      <c r="S719">
        <f>IF(C719,(H719*N719*IF(AND(Inputs!$B$38&lt;&gt;"pvp",Inputs!$B$43&gt;0),((Skills!F9*((R719-1)*IF(Skills!G9&gt;0,Skills!H9/Skills!G9,1)+IF(Skills!G9&gt;0,MIN(Skills!H9,MAX(0,MAX(0,Inputs!$B$43-B744)-((R719-1)*IF(Inputs!$B$38="pvp",15,MAX(0.1,Skills!D9-IF(Skills!E9=TRUE,Inputs!$B$32,0))))))/Skills!G9,1)))/Inputs!$B$43),G719*Q719))*IF(Inputs!$B$38="pvp",1,1+(Inputs!$B$20+Skills!O9+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719*(1-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F(C719,(H719*N719*IF(AND(Inputs!$B$38&lt;&gt;"pvp",Inputs!$B$43&gt;0),((Skills!F9*((R719-1)*IF(Skills!G9&gt;0,Skills!H9/Skills!G9,1)+IF(Skills!G9&gt;0,MIN(Skills!H9,MAX(0,MAX(0,Inputs!$B$43-B744)-((R719-1)*IF(Inputs!$B$38="pvp",15,MAX(0.1,Skills!D9-IF(Skills!E9=TRUE,Inputs!$B$32,0))))))/Skills!G9,1)))/Inputs!$B$43),G719*Q719))*IF(Inputs!$B$38="pvp",1,(1+(Inputs!$B$21+Skills!P9+B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Skills!A10</f>
        <v/>
      </c>
      <c r="B720">
        <f>Skills!B10</f>
        <v/>
      </c>
      <c r="C720">
        <f>Inputs!$B$3&gt;=113</f>
        <v/>
      </c>
      <c r="D720">
        <f>IF(Skills!C10=1,60+Inputs!$B$25+Inputs!$B$29,IF(Skills!C10=2,90+(Inputs!$B$26+1)+Inputs!$B$29,IF(Skills!C10=3,120+Inputs!$B$27+Inputs!$B$29,MAX(0,(Inputs!$B$3-100)*3)+Inputs!$B$28+Inputs!$B$29)))</f>
        <v/>
      </c>
      <c r="E720">
        <f>INDEX(FactorTable!$B$2:$Y$301, MATCH(ROUND(MIN(300,MAX(1,D720)),0), FactorTable!$A$2:$A$301,0), Skills!L10+1)</f>
        <v/>
      </c>
      <c r="F720">
        <f>IF(Skills!M10=TRUE,(Skills!K10/10)*(E720/1000),Skills!K10/10)+Skills!N10</f>
        <v/>
      </c>
      <c r="G720">
        <f>Calc!G10</f>
        <v/>
      </c>
      <c r="H720">
        <f>Calc!H10</f>
        <v/>
      </c>
      <c r="I720">
        <f>IF(Skills!T10&lt;&gt;"",1+(Skills!T10/10)*(Z713/1000)/100,1)</f>
        <v/>
      </c>
      <c r="J720">
        <f>((Inputs!$B$6*(1+Inputs!$B$7/100))+(((Inputs!$B$12*(1+Inputs!$B$13/100))-(Inputs!$B$12*(1+Inputs!$B$13/100)))+0.25*(Inputs!$B$14-Inputs!$B$14))*(1+Inputs!$B$7/100))*(F720/100)</f>
        <v/>
      </c>
      <c r="K720">
        <f>J720*(1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10="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F728-Calc!F18),(Inputs!$B$23+(IF(ArtifactsInput!$M$15,CHOOSE(ArtifactsInput!$N$15+1,25,30,35,40,45,50)/100*(Inputs!$B$11-Inputs!$B$11),0))))/100+(Inputs!$B$23+(IF(ArtifactsInput!$M$15,CHOOSE(ArtifactsInput!$N$15+1,25,30,35,40,45,50)/100*(Inputs!$B$11-Inputs!$B$11),0)))/100)/2</f>
        <v/>
      </c>
      <c r="M720">
        <f>L720*(1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(1-Summary!$B$11)*S720+Summary!$B$11*U720</f>
        <v/>
      </c>
      <c r="P720">
        <f>IF(B747=0,0,O720/B747)</f>
        <v/>
      </c>
      <c r="Q720">
        <f>IFERROR(1/IF(Inputs!$B$38="pvp",15,MAX(0.1,Skills!D10-IF(Skills!E9=TRUE,Inputs!$B$32,0))),0)</f>
        <v/>
      </c>
      <c r="R720">
        <f>IF(AND(Inputs!$B$38&lt;&gt;"pvp",Inputs!$B$43&gt;0),IF(MAX(0,Inputs!$B$43-B744)&lt;=0,0,(INT(MAX(0,Inputs!$B$43-B744)/IF(Inputs!$B$38="pvp",15,MAX(0.1,Skills!D10-IF(Skills!E9=TRUE,Inputs!$B$32,0))))+1)),0)</f>
        <v/>
      </c>
      <c r="S720">
        <f>IF(C720,(H720*N720*IF(AND(Inputs!$B$38&lt;&gt;"pvp",Inputs!$B$43&gt;0),((Skills!F10*((R720-1)*IF(Skills!G10&gt;0,Skills!H10/Skills!G10,1)+IF(Skills!G10&gt;0,MIN(Skills!H10,MAX(0,MAX(0,Inputs!$B$43-B744)-((R720-1)*IF(Inputs!$B$38="pvp",15,MAX(0.1,Skills!D10-IF(Skills!E9=TRUE,Inputs!$B$32,0))))))/Skills!G10,1)))/Inputs!$B$43),G720*Q720))*IF(Inputs!$B$38="pvp",1,1+(Inputs!$B$20+Skills!O10+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720*(1-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F(C720,(H720*N720*IF(AND(Inputs!$B$38&lt;&gt;"pvp",Inputs!$B$43&gt;0),((Skills!F10*((R720-1)*IF(Skills!G10&gt;0,Skills!H10/Skills!G10,1)+IF(Skills!G10&gt;0,MIN(Skills!H10,MAX(0,MAX(0,Inputs!$B$43-B744)-((R720-1)*IF(Inputs!$B$38="pvp",15,MAX(0.1,Skills!D10-IF(Skills!E9=TRUE,Inputs!$B$32,0))))))/Skills!G10,1)))/Inputs!$B$43),G720*Q720))*IF(Inputs!$B$38="pvp",1,(1+(Inputs!$B$21+Skills!P10+B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Skills!A11</f>
        <v/>
      </c>
      <c r="B721">
        <f>Skills!B11</f>
        <v/>
      </c>
      <c r="C721">
        <f>Inputs!$B$3&gt;=107</f>
        <v/>
      </c>
      <c r="D721">
        <f>IF(Skills!C11=1,60+Inputs!$B$25+Inputs!$B$29,IF(Skills!C11=2,90+(Inputs!$B$26+1)+Inputs!$B$29,IF(Skills!C11=3,120+Inputs!$B$27+Inputs!$B$29,MAX(0,(Inputs!$B$3-100)*3)+Inputs!$B$28+Inputs!$B$29)))</f>
        <v/>
      </c>
      <c r="E721">
        <f>INDEX(FactorTable!$B$2:$Y$301, MATCH(ROUND(MIN(300,MAX(1,D721)),0), FactorTable!$A$2:$A$301,0), Skills!L11+1)</f>
        <v/>
      </c>
      <c r="F721">
        <f>IF(Skills!M11=TRUE,(Skills!K11/10)*(E721/1000),Skills!K11/10)+Skills!N11</f>
        <v/>
      </c>
      <c r="G721">
        <f>Calc!G11</f>
        <v/>
      </c>
      <c r="H721">
        <f>Calc!H11</f>
        <v/>
      </c>
      <c r="I721">
        <f>IF(Skills!T11&lt;&gt;"",1+(Skills!T11/10)*(Z713/1000)/100,1)</f>
        <v/>
      </c>
      <c r="J721">
        <f>((Inputs!$B$6*(1+Inputs!$B$7/100))+(((Inputs!$B$12*(1+Inputs!$B$13/100))-(Inputs!$B$12*(1+Inputs!$B$13/100)))+0.25*(Inputs!$B$14-Inputs!$B$14))*(1+Inputs!$B$7/100))*(F721/100)</f>
        <v/>
      </c>
      <c r="K721">
        <f>J721*(1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11="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F728-Calc!F18),(Inputs!$B$23+(IF(ArtifactsInput!$M$15,CHOOSE(ArtifactsInput!$N$15+1,25,30,35,40,45,50)/100*(Inputs!$B$11-Inputs!$B$11),0))))/100+(Inputs!$B$23+(IF(ArtifactsInput!$M$15,CHOOSE(ArtifactsInput!$N$15+1,25,30,35,40,45,50)/100*(Inputs!$B$11-Inputs!$B$11),0)))/100)/2</f>
        <v/>
      </c>
      <c r="M721">
        <f>L721*(1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(1-Summary!$B$11)*S721+Summary!$B$11*U721</f>
        <v/>
      </c>
      <c r="P721">
        <f>IF(B747=0,0,O721/B747)</f>
        <v/>
      </c>
      <c r="Q721">
        <f>IFERROR(1/IF(Inputs!$B$38="pvp",15,MAX(0.1,Skills!D11-IF(Skills!E11=TRUE,Inputs!$B$32,0))),0)</f>
        <v/>
      </c>
      <c r="R721">
        <f>IF(AND(Inputs!$B$38&lt;&gt;"pvp",Inputs!$B$43&gt;0),IF(MAX(0,Inputs!$B$43-B744)&lt;=0,0,(INT(MAX(0,Inputs!$B$43-B744)/IF(Inputs!$B$38="pvp",15,MAX(0.1,Skills!D11-IF(Skills!E11=TRUE,Inputs!$B$32,0))))+1)),0)</f>
        <v/>
      </c>
      <c r="S721">
        <f>IF(C721,H721*N721*IF(AND(Inputs!$B$38&lt;&gt;"pvp",Inputs!$B$43&gt;0),((Skills!F11*((R721-1)*IF(Skills!G11&gt;0,Skills!H11/Skills!G11,1)+IF(Skills!G11&gt;0,MIN(Skills!H11,MAX(0,MAX(0,Inputs!$B$43-B744)-((R721-1)*IF(Inputs!$B$38="pvp",15,MAX(0.1,Skills!D11-IF(Skills!E11=TRUE,Inputs!$B$32,0))))))/Skills!G11,1)))/Inputs!$B$43),G721*Q721)*0.5*IF(Inputs!$B$38="pvp",1,1+(Inputs!$B$20+Skills!O11+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IF(C721,H721*N721*IF(AND(Inputs!$B$38&lt;&gt;"pvp",Inputs!$B$43&gt;0),((Skills!F11*((R721-1)*IF(Skills!G11&gt;0,Skills!H11/Skills!G11,1)+IF(Skills!G11&gt;0,MIN(Skills!H11,MAX(0,MAX(0,Inputs!$B$43-B744)-((R721-1)*IF(Inputs!$B$38="pvp",15,MAX(0.1,Skills!D11-IF(Skills!E11=TRUE,Inputs!$B$32,0))))))/Skills!G11,1)))/Inputs!$B$43),G721*Q721)*1*IF(Inputs!$B$38="pvp",1,(1+(Inputs!$B$21+Skills!P11+B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Skills!A12</f>
        <v/>
      </c>
      <c r="B722">
        <f>Skills!B12</f>
        <v/>
      </c>
      <c r="C722">
        <f>Inputs!$B$3&gt;=115</f>
        <v/>
      </c>
      <c r="D722">
        <f>IF(Skills!C12=1,60+Inputs!$B$25+Inputs!$B$29,IF(Skills!C12=2,90+(Inputs!$B$26+1)+Inputs!$B$29,IF(Skills!C12=3,120+Inputs!$B$27+Inputs!$B$29,MAX(0,(Inputs!$B$3-100)*3)+Inputs!$B$28+Inputs!$B$29)))</f>
        <v/>
      </c>
      <c r="E722">
        <f>INDEX(FactorTable!$B$2:$Y$301, MATCH(ROUND(MIN(300,MAX(1,D722)),0), FactorTable!$A$2:$A$301,0), Skills!L12+1)</f>
        <v/>
      </c>
      <c r="F722">
        <f>IF(Skills!M12=TRUE,(Skills!K12/10)*(E722/1000),Skills!K12/10)+Skills!N12</f>
        <v/>
      </c>
      <c r="G722">
        <f>Calc!G12</f>
        <v/>
      </c>
      <c r="H722">
        <f>Calc!H12</f>
        <v/>
      </c>
      <c r="I722">
        <f>IF(Skills!T12&lt;&gt;"",1+(Skills!T12/10)*(Z713/1000)/100,1)</f>
        <v/>
      </c>
      <c r="J722">
        <f>((Inputs!$B$6*(1+Inputs!$B$7/100))+(((Inputs!$B$12*(1+Inputs!$B$13/100))-(Inputs!$B$12*(1+Inputs!$B$13/100)))+0.25*(Inputs!$B$14-Inputs!$B$14))*(1+Inputs!$B$7/100))*(F722/100)</f>
        <v/>
      </c>
      <c r="K722">
        <f>J722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12="CHAIN_LIGHTNING",Inputs!$B$17+((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F728-Calc!F18),(Inputs!$B$23+(IF(ArtifactsInput!$M$15,CHOOSE(ArtifactsInput!$N$15+1,25,30,35,40,45,50)/100*(Inputs!$B$11-Inputs!$B$11),0))))/100+(Inputs!$B$23+(IF(ArtifactsInput!$M$15,CHOOSE(ArtifactsInput!$N$15+1,25,30,35,40,45,50)/100*(Inputs!$B$11-Inputs!$B$11),0)))/100)/2</f>
        <v/>
      </c>
      <c r="M722">
        <f>L722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(1-Summary!$B$11)*S722+Summary!$B$11*U722</f>
        <v/>
      </c>
      <c r="P722">
        <f>IF(B747=0,0,O722/B747)</f>
        <v/>
      </c>
      <c r="Q722">
        <f>IFERROR(1/IF(Inputs!$B$38="pvp",15,MAX(0.1,Skills!D12-IF(Skills!E12=TRUE,Inputs!$B$32,0))),0)</f>
        <v/>
      </c>
      <c r="R722">
        <f>IF(AND(Inputs!$B$38&lt;&gt;"pvp",Inputs!$B$43&gt;0),IF(MAX(0,Inputs!$B$43-B744)&lt;=0,0,(INT(MAX(0,Inputs!$B$43-B744)/IF(Inputs!$B$38="pvp",15,MAX(0.1,Skills!D12-IF(Skills!E12=TRUE,Inputs!$B$32,0))))+1)),0)</f>
        <v/>
      </c>
      <c r="S722">
        <f>IF(C722,(H722*N722*IF(AND(Inputs!$B$38&lt;&gt;"pvp",Inputs!$B$43&gt;0),((Skills!F12*((R722-1)*IF(Skills!G12&gt;0,Skills!H12/Skills!G12,1)+IF(Skills!G12&gt;0,MIN(Skills!H12,MAX(0,MAX(0,Inputs!$B$43-B744)-((R722-1)*IF(Inputs!$B$38="pvp",15,MAX(0.1,Skills!D12-IF(Skills!E12=TRUE,Inputs!$B$32,0))))))/Skills!G12,1)))/Inputs!$B$43),G722*Q722))*IF(Inputs!$B$38="pvp",1,1+(Inputs!$B$20+Skills!O12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722*(1-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F730-Calc!F20)+(F729-Calc!F19))+(ArtifactsInput!$M$24-ArtifactsInput!$M$24)*CHOOSE(ArtifactsInput!$N$24+1,10,12,14,16,18,20)+(IF(AND(Inputs!$B$38&lt;&gt;"pvp",Inputs!$B$43=0),1,IF(IF(Inputs!$B$38="pvp",15,Inputs!$B$43)-(B744)&lt;=0,1,MAX(0,IF(Inputs!$B$38="pvp",15,Inputs!$B$43)-MAX(5,B744))/(IF(Inputs!$B$38="pvp",15,Inputs!$B$43)-(B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2">
        <f>IF(C722,(H722*N722*IF(AND(Inputs!$B$38&lt;&gt;"pvp",Inputs!$B$43&gt;0),((Skills!F12*((R722-1)*IF(Skills!G12&gt;0,Skills!H12/Skills!G12,1)+IF(Skills!G12&gt;0,MIN(Skills!H12,MAX(0,MAX(0,Inputs!$B$43-B744)-((R722-1)*IF(Inputs!$B$38="pvp",15,MAX(0.1,Skills!D12-IF(Skills!E12=TRUE,Inputs!$B$32,0))))))/Skills!G12,1)))/Inputs!$B$43),G722*Q722))*IF(Inputs!$B$38="pvp",1,(1+(Inputs!$B$21+Skills!P12+B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Skills!A13</f>
        <v/>
      </c>
      <c r="B723">
        <f>Skills!B13</f>
        <v/>
      </c>
      <c r="C723">
        <f>Inputs!$B$3&gt;=49</f>
        <v/>
      </c>
      <c r="D723">
        <f>IF(Skills!C13=1,60+Inputs!$B$25+Inputs!$B$29,IF(Skills!C13=2,90+(Inputs!$B$26+1)+Inputs!$B$29,IF(Skills!C13=3,120+Inputs!$B$27+Inputs!$B$29,MAX(0,(Inputs!$B$3-100)*3)+Inputs!$B$28+Inputs!$B$29)))</f>
        <v/>
      </c>
      <c r="E723">
        <f>INDEX(FactorTable!$B$2:$Y$301, MATCH(ROUND(MIN(300,MAX(1,D723)),0), FactorTable!$A$2:$A$301,0), Skills!L13+1)</f>
        <v/>
      </c>
      <c r="F723">
        <f>IF(Skills!M13=TRUE,(Skills!K13/10)*(E723/1000),Skills!K13/10)+Skills!N13</f>
        <v/>
      </c>
      <c r="G723">
        <f>Calc!G13</f>
        <v/>
      </c>
      <c r="H723">
        <f>Calc!H13</f>
        <v/>
      </c>
      <c r="I723">
        <f>IF(Skills!T13&lt;&gt;"",1+(Skills!T13/10)*(Z713/1000)/100,1)</f>
        <v/>
      </c>
      <c r="J723" t="inlineStr"/>
      <c r="K723" t="inlineStr"/>
      <c r="L723" t="inlineStr"/>
      <c r="M723" t="inlineStr"/>
      <c r="N723" t="inlineStr"/>
      <c r="O723">
        <f>(1-Summary!$B$11)*S723+Summary!$B$11*U723</f>
        <v/>
      </c>
      <c r="P723">
        <f>IF(B747=0,0,O723/B747)</f>
        <v/>
      </c>
      <c r="Q723">
        <f>IFERROR(1/IF(Inputs!$B$38="pvp",15,MAX(0.1,Skills!D13-IF(Skills!E13=TRUE,Inputs!$B$32,0))),0)</f>
        <v/>
      </c>
      <c r="R723" t="n">
        <v>0</v>
      </c>
      <c r="S723" t="n">
        <v>0</v>
      </c>
      <c r="U723" t="n">
        <v>0</v>
      </c>
    </row>
    <row r="724">
      <c r="A724">
        <f>Skills!A14</f>
        <v/>
      </c>
      <c r="B724">
        <f>Skills!B14</f>
        <v/>
      </c>
      <c r="C724">
        <f>Inputs!$B$3&gt;=72</f>
        <v/>
      </c>
      <c r="D724">
        <f>IF(Skills!C14=1,60+Inputs!$B$25+Inputs!$B$29,IF(Skills!C14=2,90+(Inputs!$B$26+1)+Inputs!$B$29,IF(Skills!C14=3,120+Inputs!$B$27+Inputs!$B$29,MAX(0,(Inputs!$B$3-100)*3)+Inputs!$B$28+Inputs!$B$29)))</f>
        <v/>
      </c>
      <c r="E724">
        <f>INDEX(FactorTable!$B$2:$Y$301, MATCH(ROUND(MIN(300,MAX(1,D724)),0), FactorTable!$A$2:$A$301,0), Skills!L14+1)</f>
        <v/>
      </c>
      <c r="F724">
        <f>IF(Skills!M14=TRUE,(Skills!K14/10)*(E724/1000),Skills!K14/10)+Skills!N14</f>
        <v/>
      </c>
      <c r="G724">
        <f>Calc!G14</f>
        <v/>
      </c>
      <c r="H724">
        <f>Calc!H14</f>
        <v/>
      </c>
      <c r="I724">
        <f>IF(Skills!T14&lt;&gt;"",1+(Skills!T14/10)*(Z713/1000)/100,1)</f>
        <v/>
      </c>
      <c r="J724" t="inlineStr"/>
      <c r="K724" t="inlineStr"/>
      <c r="L724" t="inlineStr"/>
      <c r="M724" t="inlineStr"/>
      <c r="N724" t="inlineStr"/>
      <c r="O724">
        <f>(1-Summary!$B$11)*S724+Summary!$B$11*U724</f>
        <v/>
      </c>
      <c r="P724">
        <f>IF(B747=0,0,O724/B747)</f>
        <v/>
      </c>
      <c r="Q724">
        <f>IFERROR(1/IF(Inputs!$B$38="pvp",15,MAX(0.1,Skills!D14-IF(Skills!E14=TRUE,Inputs!$B$32,0))),0)</f>
        <v/>
      </c>
      <c r="R724" t="n">
        <v>0</v>
      </c>
      <c r="S724" t="n">
        <v>0</v>
      </c>
      <c r="U724" t="n">
        <v>0</v>
      </c>
    </row>
    <row r="725">
      <c r="A725">
        <f>Skills!A15</f>
        <v/>
      </c>
      <c r="B725">
        <f>Skills!B15</f>
        <v/>
      </c>
      <c r="C725">
        <f>Inputs!$B$3&gt;=75</f>
        <v/>
      </c>
      <c r="D725">
        <f>IF(Skills!C15=1,60+Inputs!$B$25+Inputs!$B$29,IF(Skills!C15=2,90+(Inputs!$B$26+1)+Inputs!$B$29,IF(Skills!C15=3,120+Inputs!$B$27+Inputs!$B$29,MAX(0,(Inputs!$B$3-100)*3)+Inputs!$B$28+Inputs!$B$29)))</f>
        <v/>
      </c>
      <c r="E725">
        <f>INDEX(FactorTable!$B$2:$Y$301, MATCH(ROUND(MIN(300,MAX(1,D725)),0), FactorTable!$A$2:$A$301,0), Skills!L15+1)</f>
        <v/>
      </c>
      <c r="F725">
        <f>IF(Skills!M15=TRUE,(Skills!K15/10)*(E725/1000),Skills!K15/10)+Skills!N15</f>
        <v/>
      </c>
      <c r="G725">
        <f>Calc!G15</f>
        <v/>
      </c>
      <c r="H725">
        <f>Calc!H15</f>
        <v/>
      </c>
      <c r="I725">
        <f>IF(Skills!T15&lt;&gt;"",1+(Skills!T15/10)*(Z713/1000)/100,1)</f>
        <v/>
      </c>
      <c r="J725" t="inlineStr"/>
      <c r="K725" t="inlineStr"/>
      <c r="L725" t="inlineStr"/>
      <c r="M725" t="inlineStr"/>
      <c r="N725" t="inlineStr"/>
      <c r="O725">
        <f>(1-Summary!$B$11)*S725+Summary!$B$11*U725</f>
        <v/>
      </c>
      <c r="P725">
        <f>IF(B747=0,0,O725/B747)</f>
        <v/>
      </c>
      <c r="Q725">
        <f>IFERROR(1/IF(Inputs!$B$38="pvp",15,MAX(0.1,Skills!D15-IF(Skills!E15=TRUE,Inputs!$B$32,0))),0)</f>
        <v/>
      </c>
      <c r="R725" t="n">
        <v>0</v>
      </c>
      <c r="S725" t="n">
        <v>0</v>
      </c>
      <c r="U725" t="n">
        <v>0</v>
      </c>
    </row>
    <row r="726">
      <c r="A726">
        <f>Skills!A16</f>
        <v/>
      </c>
      <c r="B726">
        <f>Skills!B16</f>
        <v/>
      </c>
      <c r="C726">
        <f>Inputs!$B$3&gt;=110</f>
        <v/>
      </c>
      <c r="D726">
        <f>IF(Skills!C16=1,60+Inputs!$B$25+Inputs!$B$29,IF(Skills!C16=2,90+(Inputs!$B$26+1)+Inputs!$B$29,IF(Skills!C16=3,120+Inputs!$B$27+Inputs!$B$29,MAX(0,(Inputs!$B$3-100)*3)+Inputs!$B$28+Inputs!$B$29)))</f>
        <v/>
      </c>
      <c r="E726">
        <f>INDEX(FactorTable!$B$2:$Y$301, MATCH(ROUND(MIN(300,MAX(1,D726)),0), FactorTable!$A$2:$A$301,0), Skills!L16+1)</f>
        <v/>
      </c>
      <c r="F726">
        <f>(Skills!K16/10)*(E726/1000)*64/45+Skills!N16</f>
        <v/>
      </c>
      <c r="G726">
        <f>Calc!G16</f>
        <v/>
      </c>
      <c r="H726">
        <f>Calc!H16</f>
        <v/>
      </c>
      <c r="I726">
        <f>IF(Skills!T16&lt;&gt;"",1+(Skills!T16/10)*(Z713/1000)/100,1)</f>
        <v/>
      </c>
      <c r="J726" t="inlineStr"/>
      <c r="K726" t="inlineStr"/>
      <c r="L726" t="inlineStr"/>
      <c r="M726" t="inlineStr"/>
      <c r="N726" t="inlineStr"/>
      <c r="O726">
        <f>(1-Summary!$B$11)*S726+Summary!$B$11*U726</f>
        <v/>
      </c>
      <c r="P726">
        <f>IF(B747=0,0,O726/B747)</f>
        <v/>
      </c>
      <c r="Q726">
        <f>IFERROR(1/IF(Inputs!$B$38="pvp",15,MAX(0.1,Skills!D16-IF(Skills!E16=TRUE,Inputs!$B$32,0))),0)</f>
        <v/>
      </c>
      <c r="R726">
        <f>IF(AND(Inputs!$B$38&lt;&gt;"pvp",Inputs!$B$43&gt;0),IF(Inputs!$B$43&lt;=0,0,(INT(Inputs!$B$43/IF(Inputs!$B$38="pvp",15,MAX(0.1,Skills!D16-IF(Skills!E16=TRUE,Inputs!$B$32,0))))+1)),0)</f>
        <v/>
      </c>
      <c r="S726" t="n">
        <v>0</v>
      </c>
      <c r="U726" t="n">
        <v>0</v>
      </c>
    </row>
    <row r="727">
      <c r="A727">
        <f>Skills!A17</f>
        <v/>
      </c>
      <c r="B727">
        <f>Skills!B17</f>
        <v/>
      </c>
      <c r="C727">
        <f>Inputs!$B$3&gt;=33</f>
        <v/>
      </c>
      <c r="D727">
        <f>IF(Skills!C17=1,60+Inputs!$B$25+Inputs!$B$29,IF(Skills!C17=2,90+(Inputs!$B$26+1)+Inputs!$B$29,IF(Skills!C17=3,120+Inputs!$B$27+Inputs!$B$29,MAX(0,(Inputs!$B$3-100)*3)+Inputs!$B$28+Inputs!$B$29)))</f>
        <v/>
      </c>
      <c r="E727">
        <f>INDEX(FactorTable!$B$2:$Y$301, MATCH(ROUND(MIN(300,MAX(1,D727)),0), FactorTable!$A$2:$A$301,0), Skills!L17+1)</f>
        <v/>
      </c>
      <c r="F727">
        <f>IF(Skills!M17=TRUE,(Skills!K17/10)*(E727/1000),Skills!K17/10)+Skills!N17</f>
        <v/>
      </c>
      <c r="G727">
        <f>Calc!G17</f>
        <v/>
      </c>
      <c r="H727">
        <f>Calc!H17</f>
        <v/>
      </c>
      <c r="I727">
        <f>IF(Skills!T17&lt;&gt;"",1+(Skills!T17/10)*(Z713/1000)/100,1)</f>
        <v/>
      </c>
      <c r="J727" t="inlineStr"/>
      <c r="K727" t="inlineStr"/>
      <c r="L727" t="inlineStr"/>
      <c r="M727" t="inlineStr"/>
      <c r="N727" t="inlineStr"/>
      <c r="O727">
        <f>(1-Summary!$B$11)*S727+Summary!$B$11*U727</f>
        <v/>
      </c>
      <c r="P727">
        <f>IF(B747=0,0,O727/B747)</f>
        <v/>
      </c>
      <c r="Q727">
        <f>IFERROR(1/IF(Inputs!$B$38="pvp",15,MAX(0.1,Skills!D17-IF(Skills!E17=TRUE,Inputs!$B$32,0))),0)</f>
        <v/>
      </c>
      <c r="R727" t="n">
        <v>0</v>
      </c>
      <c r="S727" t="n">
        <v>0</v>
      </c>
      <c r="U727" t="n">
        <v>0</v>
      </c>
    </row>
    <row r="728">
      <c r="A728">
        <f>Skills!A18</f>
        <v/>
      </c>
      <c r="B728">
        <f>Skills!B18</f>
        <v/>
      </c>
      <c r="C728">
        <f>Inputs!$B$3&gt;=43</f>
        <v/>
      </c>
      <c r="D728">
        <f>IF(Skills!C18=1,60+Inputs!$B$25+Inputs!$B$29,IF(Skills!C18=2,90+(Inputs!$B$26+1)+Inputs!$B$29,IF(Skills!C18=3,120+Inputs!$B$27+Inputs!$B$29,MAX(0,(Inputs!$B$3-100)*3)+Inputs!$B$28+Inputs!$B$29)))</f>
        <v/>
      </c>
      <c r="E728">
        <f>INDEX(FactorTable!$B$2:$Y$301, MATCH(ROUND(MIN(300,MAX(1,D728)),0), FactorTable!$A$2:$A$301,0), Skills!L18+1)</f>
        <v/>
      </c>
      <c r="F728">
        <f>IF(Skills!M18=TRUE,(Skills!K18/10)*(E728/1000),Skills!K18/10)+Skills!N18</f>
        <v/>
      </c>
      <c r="G728">
        <f>Calc!G18</f>
        <v/>
      </c>
      <c r="H728">
        <f>Calc!H18</f>
        <v/>
      </c>
      <c r="I728">
        <f>IF(Skills!T18&lt;&gt;"",1+(Skills!T18/10)*(Z713/1000)/100,1)</f>
        <v/>
      </c>
      <c r="J728" t="inlineStr"/>
      <c r="K728" t="inlineStr"/>
      <c r="L728" t="inlineStr"/>
      <c r="M728" t="inlineStr"/>
      <c r="N728" t="inlineStr"/>
      <c r="O728">
        <f>(1-Summary!$B$11)*S728+Summary!$B$11*U728</f>
        <v/>
      </c>
      <c r="P728">
        <f>IF(B747=0,0,O728/B747)</f>
        <v/>
      </c>
      <c r="Q728">
        <f>IFERROR(1/IF(Inputs!$B$38="pvp",15,MAX(0.1,Skills!D18-IF(Skills!E18=TRUE,Inputs!$B$32,0))),0)</f>
        <v/>
      </c>
      <c r="R728" t="n">
        <v>0</v>
      </c>
      <c r="S728" t="n">
        <v>0</v>
      </c>
      <c r="U728" t="n">
        <v>0</v>
      </c>
    </row>
    <row r="729">
      <c r="A729">
        <f>Skills!A19</f>
        <v/>
      </c>
      <c r="B729">
        <f>Skills!B19</f>
        <v/>
      </c>
      <c r="C729">
        <f>Inputs!$B$3&gt;=50</f>
        <v/>
      </c>
      <c r="D729">
        <f>IF(Skills!C19=1,60+Inputs!$B$25+Inputs!$B$29,IF(Skills!C19=2,90+(Inputs!$B$26+1)+Inputs!$B$29,IF(Skills!C19=3,120+Inputs!$B$27+Inputs!$B$29,MAX(0,(Inputs!$B$3-100)*3)+Inputs!$B$28+Inputs!$B$29)))</f>
        <v/>
      </c>
      <c r="E729">
        <f>INDEX(FactorTable!$B$2:$Y$301, MATCH(ROUND(MIN(300,MAX(1,D729)),0), FactorTable!$A$2:$A$301,0), Skills!L19+1)</f>
        <v/>
      </c>
      <c r="F729">
        <f>IF(Skills!M19=TRUE,(Skills!K19/10)*(E729/1000),Skills!K19/10)+Skills!N19</f>
        <v/>
      </c>
      <c r="G729">
        <f>Calc!G19</f>
        <v/>
      </c>
      <c r="H729">
        <f>Calc!H19</f>
        <v/>
      </c>
      <c r="I729">
        <f>IF(Skills!T19&lt;&gt;"",1+(Skills!T19/10)*(Z713/1000)/100,1)</f>
        <v/>
      </c>
      <c r="J729" t="inlineStr"/>
      <c r="K729" t="inlineStr"/>
      <c r="L729" t="inlineStr"/>
      <c r="M729" t="inlineStr"/>
      <c r="N729" t="inlineStr"/>
      <c r="O729">
        <f>(1-Summary!$B$11)*S729+Summary!$B$11*U729</f>
        <v/>
      </c>
      <c r="P729">
        <f>IF(B747=0,0,O729/B747)</f>
        <v/>
      </c>
      <c r="Q729">
        <f>IFERROR(1/IF(Inputs!$B$38="pvp",15,MAX(0.1,Skills!D19-IF(Skills!E19=TRUE,Inputs!$B$32,0))),0)</f>
        <v/>
      </c>
      <c r="R729" t="n">
        <v>0</v>
      </c>
      <c r="S729" t="n">
        <v>0</v>
      </c>
      <c r="U729" t="n">
        <v>0</v>
      </c>
    </row>
    <row r="730">
      <c r="A730">
        <f>Skills!A20</f>
        <v/>
      </c>
      <c r="B730">
        <f>Skills!B20</f>
        <v/>
      </c>
      <c r="C730">
        <f>Inputs!$B$3&gt;=74</f>
        <v/>
      </c>
      <c r="D730">
        <f>IF(Skills!C20=1,60+Inputs!$B$25+Inputs!$B$29,IF(Skills!C20=2,90+(Inputs!$B$26+1)+Inputs!$B$29,IF(Skills!C20=3,120+Inputs!$B$27+Inputs!$B$29,MAX(0,(Inputs!$B$3-100)*3)+Inputs!$B$28+Inputs!$B$29)))</f>
        <v/>
      </c>
      <c r="E730">
        <f>INDEX(FactorTable!$B$2:$Y$301, MATCH(ROUND(MIN(300,MAX(1,D730)),0), FactorTable!$A$2:$A$301,0), Skills!L20+1)</f>
        <v/>
      </c>
      <c r="F730">
        <f>IF(Skills!M20=TRUE,(Skills!K20/10)*(E730/1000),Skills!K20/10)+Skills!N20</f>
        <v/>
      </c>
      <c r="G730">
        <f>Calc!G20</f>
        <v/>
      </c>
      <c r="H730">
        <f>Calc!H20</f>
        <v/>
      </c>
      <c r="I730">
        <f>IF(Skills!T20&lt;&gt;"",1+(Skills!T20/10)*(Z713/1000)/100,1)</f>
        <v/>
      </c>
      <c r="J730" t="inlineStr"/>
      <c r="K730" t="inlineStr"/>
      <c r="L730" t="inlineStr"/>
      <c r="M730" t="inlineStr"/>
      <c r="N730" t="inlineStr"/>
      <c r="O730">
        <f>(1-Summary!$B$11)*S730+Summary!$B$11*U730</f>
        <v/>
      </c>
      <c r="P730">
        <f>IF(B747=0,0,O730/B747)</f>
        <v/>
      </c>
      <c r="Q730">
        <f>IFERROR(1/IF(Inputs!$B$38="pvp",15,MAX(0.1,Skills!D20-IF(Skills!E20=TRUE,Inputs!$B$32,0))),0)</f>
        <v/>
      </c>
      <c r="R730" t="n">
        <v>0</v>
      </c>
      <c r="S730" t="n">
        <v>0</v>
      </c>
      <c r="U730" t="n">
        <v>0</v>
      </c>
    </row>
    <row r="731">
      <c r="A731">
        <f>Skills!A21</f>
        <v/>
      </c>
      <c r="B731">
        <f>Skills!B21</f>
        <v/>
      </c>
      <c r="C731">
        <f>Inputs!$B$3&gt;=74</f>
        <v/>
      </c>
      <c r="D731">
        <f>IF(Skills!C21=1,60+Inputs!$B$25+Inputs!$B$29,IF(Skills!C21=2,90+(Inputs!$B$26+1)+Inputs!$B$29,IF(Skills!C21=3,120+Inputs!$B$27+Inputs!$B$29,MAX(0,(Inputs!$B$3-100)*3)+Inputs!$B$28+Inputs!$B$29)))</f>
        <v/>
      </c>
      <c r="E731">
        <f>INDEX(FactorTable!$B$2:$Y$301, MATCH(ROUND(MIN(300,MAX(1,D731)),0), FactorTable!$A$2:$A$301,0), Skills!L21+1)</f>
        <v/>
      </c>
      <c r="F731">
        <f>IF(Skills!M21=TRUE,(Skills!K21/10)*(E731/1000),Skills!K21/10)+Skills!N21</f>
        <v/>
      </c>
      <c r="G731">
        <f>Calc!G21</f>
        <v/>
      </c>
      <c r="H731">
        <f>Calc!H21</f>
        <v/>
      </c>
      <c r="I731">
        <f>IF(Skills!T21&lt;&gt;"",1+(Skills!T21/10)*(Z713/1000)/100,1)</f>
        <v/>
      </c>
      <c r="J731" t="inlineStr"/>
      <c r="K731" t="inlineStr"/>
      <c r="L731" t="inlineStr"/>
      <c r="M731" t="inlineStr"/>
      <c r="N731" t="inlineStr"/>
      <c r="O731">
        <f>(1-Summary!$B$11)*S731+Summary!$B$11*U731</f>
        <v/>
      </c>
      <c r="P731">
        <f>IF(B747=0,0,O731/B747)</f>
        <v/>
      </c>
      <c r="Q731">
        <f>IFERROR(1/IF(Inputs!$B$38="pvp",15,MAX(0.1,Skills!D21-IF(Skills!E21=TRUE,Inputs!$B$32,0))),0)</f>
        <v/>
      </c>
      <c r="R731" t="n">
        <v>0</v>
      </c>
      <c r="S731" t="n">
        <v>0</v>
      </c>
      <c r="U731" t="n">
        <v>0</v>
      </c>
    </row>
    <row r="732">
      <c r="A732">
        <f>Skills!A22</f>
        <v/>
      </c>
      <c r="B732">
        <f>Skills!B22</f>
        <v/>
      </c>
      <c r="C732">
        <f>Inputs!$B$3&gt;=117</f>
        <v/>
      </c>
      <c r="D732">
        <f>IF(Skills!C22=1,60+Inputs!$B$25+Inputs!$B$29,IF(Skills!C22=2,90+(Inputs!$B$26+1)+Inputs!$B$29,IF(Skills!C22=3,120+Inputs!$B$27+Inputs!$B$29,MAX(0,(Inputs!$B$3-100)*3)+Inputs!$B$28+Inputs!$B$29)))</f>
        <v/>
      </c>
      <c r="E732">
        <f>INDEX(FactorTable!$B$2:$Y$301, MATCH(ROUND(MIN(300,MAX(1,D732)),0), FactorTable!$A$2:$A$301,0), Skills!L22+1)</f>
        <v/>
      </c>
      <c r="F732">
        <f>IF(Skills!M22=TRUE,(Skills!K22/10)*(E732/1000),Skills!K22/10)+Skills!N22</f>
        <v/>
      </c>
      <c r="G732">
        <f>Calc!G22</f>
        <v/>
      </c>
      <c r="H732">
        <f>Calc!H22</f>
        <v/>
      </c>
      <c r="I732">
        <f>IF(Skills!T22&lt;&gt;"",1+(Skills!T22/10)*(Z713/1000)/100,1)</f>
        <v/>
      </c>
      <c r="J732" t="inlineStr"/>
      <c r="K732" t="inlineStr"/>
      <c r="L732" t="inlineStr"/>
      <c r="M732" t="inlineStr"/>
      <c r="N732" t="inlineStr"/>
      <c r="O732">
        <f>(1-Summary!$B$11)*S732+Summary!$B$11*U732</f>
        <v/>
      </c>
      <c r="P732">
        <f>IF(B747=0,0,O732/B747)</f>
        <v/>
      </c>
      <c r="Q732">
        <f>IFERROR(1/IF(Inputs!$B$38="pvp",15,MAX(0.1,Skills!D22-IF(Skills!E22=TRUE,Inputs!$B$32,0))),0)</f>
        <v/>
      </c>
      <c r="R732" t="n">
        <v>0</v>
      </c>
      <c r="S732" t="n">
        <v>0</v>
      </c>
      <c r="U732" t="n">
        <v>0</v>
      </c>
    </row>
    <row r="733">
      <c r="A733">
        <f>Skills!A23</f>
        <v/>
      </c>
      <c r="B733">
        <f>Skills!B23</f>
        <v/>
      </c>
      <c r="C733">
        <f>Inputs!$B$3&gt;=120</f>
        <v/>
      </c>
      <c r="D733">
        <f>IF(Skills!C23=1,60+Inputs!$B$25+Inputs!$B$29,IF(Skills!C23=2,90+(Inputs!$B$26+1)+Inputs!$B$29,IF(Skills!C23=3,120+Inputs!$B$27+Inputs!$B$29,MAX(0,(Inputs!$B$3-100)*3)+Inputs!$B$28+Inputs!$B$29)))</f>
        <v/>
      </c>
      <c r="E733">
        <f>INDEX(FactorTable!$B$2:$Y$301, MATCH(ROUND(MIN(300,MAX(1,D733)),0), FactorTable!$A$2:$A$301,0), Skills!L23+1)</f>
        <v/>
      </c>
      <c r="F733">
        <f>IF(Skills!M23=TRUE,(Skills!K23/10)*(E733/1000),Skills!K23/10)+Skills!N23</f>
        <v/>
      </c>
      <c r="G733">
        <f>Calc!G23</f>
        <v/>
      </c>
      <c r="H733">
        <f>Calc!H23</f>
        <v/>
      </c>
      <c r="I733">
        <f>IF(Skills!T23&lt;&gt;"",1+(Skills!T23/10)*(Z713/1000)/100,1)</f>
        <v/>
      </c>
      <c r="J733" t="inlineStr"/>
      <c r="K733" t="inlineStr"/>
      <c r="L733" t="inlineStr"/>
      <c r="M733" t="inlineStr"/>
      <c r="N733" t="inlineStr"/>
      <c r="O733">
        <f>(1-Summary!$B$11)*S733+Summary!$B$11*U733</f>
        <v/>
      </c>
      <c r="P733">
        <f>IF(B747=0,0,O733/B747)</f>
        <v/>
      </c>
      <c r="Q733">
        <f>IFERROR(1/IF(Inputs!$B$38="pvp",15,MAX(0.1,Skills!D23-IF(Skills!E23=TRUE,Inputs!$B$32,0))),0)</f>
        <v/>
      </c>
      <c r="R733" t="n">
        <v>0</v>
      </c>
      <c r="S733" t="n">
        <v>0</v>
      </c>
      <c r="U733" t="n">
        <v>0</v>
      </c>
    </row>
    <row r="734">
      <c r="A734">
        <f>Skills!A24</f>
        <v/>
      </c>
      <c r="B734">
        <f>Skills!B24</f>
        <v/>
      </c>
      <c r="C734">
        <f>TRUE</f>
        <v/>
      </c>
      <c r="D734">
        <f>IF(Skills!C24=1,60+Inputs!$B$25+Inputs!$B$29,IF(Skills!C24=2,90+(Inputs!$B$26+1)+Inputs!$B$29,IF(Skills!C24=3,120+Inputs!$B$27+Inputs!$B$29,MAX(0,(Inputs!$B$3-100)*3)+Inputs!$B$28+Inputs!$B$29)))</f>
        <v/>
      </c>
      <c r="E734">
        <f>INDEX(FactorTable!$B$2:$Y$301, MATCH(ROUND(MIN(300,MAX(1,D734)),0), FactorTable!$A$2:$A$301,0), Skills!L24+1)</f>
        <v/>
      </c>
      <c r="F734">
        <f>IF(Skills!M24=TRUE,(Skills!K24/10)*(E734/1000),Skills!K24/10)+Skills!N24</f>
        <v/>
      </c>
      <c r="G734">
        <f>Calc!G24</f>
        <v/>
      </c>
      <c r="H734">
        <f>Calc!H24</f>
        <v/>
      </c>
      <c r="I734">
        <f>IF(Skills!T24&lt;&gt;"",1+(Skills!T24/10)*(Z713/1000)/100,1)</f>
        <v/>
      </c>
      <c r="J734" t="inlineStr"/>
      <c r="K734" t="inlineStr"/>
      <c r="L734" t="inlineStr"/>
      <c r="M734" t="inlineStr"/>
      <c r="N734" t="inlineStr"/>
      <c r="O734">
        <f>(1-Summary!$B$11)*S734+Summary!$B$11*U734</f>
        <v/>
      </c>
      <c r="P734">
        <f>IF(B747=0,0,O734/B747)</f>
        <v/>
      </c>
      <c r="Q734">
        <f>IFERROR(1/IF(Inputs!$B$38="pvp",15,MAX(0.1,Skills!D24-IF(Skills!E24=TRUE,Inputs!$B$32,0))),0)</f>
        <v/>
      </c>
      <c r="R734">
        <f>IF(AND(Inputs!$B$38&lt;&gt;"pvp",Inputs!$B$43&gt;0),IF(Inputs!$B$43&lt;=0,0,(INT(Inputs!$B$43/IF(Inputs!$B$38="pvp",15,MAX(0.1,Skills!D24-IF(Skills!E24=TRUE,Inputs!$B$32,0))))+1)),0)</f>
        <v/>
      </c>
      <c r="S734" t="n">
        <v>0</v>
      </c>
      <c r="U734" t="n">
        <v>0</v>
      </c>
    </row>
    <row r="737">
      <c r="A737" t="inlineStr">
        <is>
          <t>Average Buff Multiplier (Magic Guard + Meditation + Artifact Attack%, summed; then Infinity)</t>
        </is>
      </c>
      <c r="B737">
        <f>(1+(IF(C713=TRUE,F713*IF(AND(Inputs!$B$38&lt;&gt;"pvp",Inputs!$B$43&gt;0),(((R713-1)*(Skills!S3*(1+(Inputs!$B$34)/100))+MIN((Skills!S3*(1+(Inputs!$B$34)/100)),MAX(0,Inputs!$B$43-((R713-1)*Skills!D3))))/Inputs!$B$43),IF(Inputs!$B$38="pvp",MIN((Skills!S3*(1+(Inputs!$B$34)/100)),15)/15,(Skills!S3*(1+(Inputs!$B$34)/100))/Skills!D3)),0)+IF(C714=TRUE,F714*IF(AND(Inputs!$B$38&lt;&gt;"pvp",Inputs!$B$43&gt;0),(((R714-1)*(Skills!S4*(1+(Inputs!$B$34)/100))+MIN((Skills!S4*(1+(Inputs!$B$34)/100)),MAX(0,Inputs!$B$43-((R714-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726=TRUE,(1+F726*IF(AND(Inputs!$B$38&lt;&gt;"pvp",Inputs!$B$43&gt;0),(((R726-1)*(Skills!S16*(1+(Inputs!$B$34)/100))+MIN((Skills!S16*(1+(Inputs!$B$34)/100)),MAX(0,Inputs!$B$43-((R726-1)*Skills!D16))))/Inputs!$B$43),IF(Inputs!$B$38="pvp",MIN((Skills!S16*(1+(Inputs!$B$34)/100)),15)/15,(Skills!S16*(1+(Inputs!$B$34)/100))/Skills!D16))/100),1)</f>
        <v/>
      </c>
    </row>
    <row r="738">
      <c r="A738" t="inlineStr">
        <is>
          <t>Monster Damage Taken Bonus % (Freezing Breath - Weaken + Elemental Reset + Artifact Enemy Damage Taken, summed)</t>
        </is>
      </c>
      <c r="B738">
        <f>IF(Inputs!$B$3&gt;=118,15*IF(Inputs!$B$38="pvp",MIN((30*(1+(Inputs!$B$34)/100)),15)/15,(30*(1+(Inputs!$B$34)/100))/Skills!D8),0)+IF(C724=TRUE,F724,0)+(IF(AND(ArtifactsInput!$M$35,Inputs!$B$4&lt;&gt;"Chapter Hunt"),CHOOSE(ArtifactsInput!$N$35+1,15,18,21,24,27,30)*(1-EXP(-(0.2*B741)*5)),0)+IF(AND(ArtifactsInput!$M$22,Inputs!$B$4&lt;&gt;"Chapter Hunt"),CHOOSE(ArtifactsInput!$N$22+1,10,12,14,16,18,20)*((0*(((0.15*B741*5))^0/1)+1*(((0.15*B741*5))^1/1)+2*(((0.15*B741*5))^2/2)+3*(((0.15*B741*5))^3/6)+4*(((0.15*B741*5))^4/24)+5*(((0.15*B741*5))^5/120))/((((0.15*B741*5))^0/1)+(((0.15*B741*5))^1/1)+(((0.15*B741*5))^2/2)+(((0.15*B741*5))^3/6)+(((0.15*B741*5))^4/24)+(((0.15*B741*5))^5/120))),0))</f>
        <v/>
      </c>
    </row>
    <row r="739">
      <c r="A739" t="inlineStr">
        <is>
          <t>Damage % Bonus (Frozen Break + Frost Clutch, flat)</t>
        </is>
      </c>
      <c r="B739">
        <f>IF(Inputs!$B$3&gt;=66,15,0)+IF(Inputs!$B$3&gt;=98,10,0)+IF(Inputs!$B$3&gt;=125,20,0)</f>
        <v/>
      </c>
    </row>
    <row r="740">
      <c r="A740" t="inlineStr">
        <is>
          <t>Attack Speed Bonus % (MP Eater - MP Boost, always-on + Nimble Feet, duty-cycle averaged)</t>
        </is>
      </c>
      <c r="B740">
        <f>IF(C723=TRUE,F723+(F727-Calc!F17),0)+((C734=TRUE)*F734*IF(AND(Inputs!$B$38&lt;&gt;"pvp",Inputs!$B$43&gt;0),(((R734-1)*(Skills!S24*(1+(Inputs!$B$34)/100))+MIN((Skills!S24*(1+(Inputs!$B$34)/100)),MAX(0,Inputs!$B$43-((R734-1)*Skills!D24))))/Inputs!$B$43),IF(Inputs!$B$38="pvp",MIN((Skills!S24*(1+(Inputs!$B$34)/100)),15)/15,(Skills!S24*(1+(Inputs!$B$34)/100))/Skills!D24)))</f>
        <v/>
      </c>
    </row>
    <row r="741">
      <c r="A741" t="inlineStr">
        <is>
          <t>Actions Per Second</t>
        </is>
      </c>
      <c r="B741">
        <f>1+MIN(150,150*(1-(1-(Inputs!$B$11+(ArtifactsInput!$M$15-ArtifactsInput!$M$15)*CHOOSE(ArtifactsInput!$N$15+1,8,9.6,11.2,12.8,14.4,16))/150)*(1-B740/150)))/100</f>
        <v/>
      </c>
    </row>
    <row r="742">
      <c r="A742" t="inlineStr">
        <is>
          <t>Skill + Buff Cast Rate</t>
        </is>
      </c>
      <c r="B742">
        <f>IF(AND(Inputs!$B$38&lt;&gt;"pvp",Inputs!$B$43&gt;0),SUMPRODUCT((Skills!E2:E24=TRUE)*(C712:C734=TRUE)*R712:R734)/Inputs!$B$43,SUMPRODUCT((Skills!E2:E24=TRUE)*(C712:C734=TRUE)*Q712:Q734))</f>
        <v/>
      </c>
    </row>
    <row r="743">
      <c r="A743" t="inlineStr">
        <is>
          <t>Chain Lightning Casts Per Second</t>
        </is>
      </c>
      <c r="B743">
        <f>MAX(0,B741-B742)</f>
        <v/>
      </c>
    </row>
    <row r="744">
      <c r="A744" t="inlineStr">
        <is>
          <t>Buff-Casting Startup Delay (s, fixed-duration only)</t>
        </is>
      </c>
      <c r="B744">
        <f>IF(AND(Inputs!$B$38&lt;&gt;"pvp",Inputs!$B$43&gt;0),SUMPRODUCT((Skills!S2:S24&gt;0)*(Skills!E2:E24=TRUE)*(C712:C734=TRUE))/B741,0)</f>
        <v/>
      </c>
    </row>
    <row r="745">
      <c r="A745" t="inlineStr">
        <is>
          <t>Boss-Only Total DPS (this block's swept value)</t>
        </is>
      </c>
      <c r="B745">
        <f>SUM(S712:S734)</f>
        <v/>
      </c>
    </row>
    <row r="746">
      <c r="A746" t="inlineStr">
        <is>
          <t>Normal-Only Total DPS (this block's swept value)</t>
        </is>
      </c>
      <c r="B746">
        <f>SUM(U712:U734)</f>
        <v/>
      </c>
    </row>
    <row r="747">
      <c r="A747" s="6" t="inlineStr">
        <is>
          <t>TOTAL DPS</t>
        </is>
      </c>
      <c r="B747" s="6">
        <f>SUM(O712:O734)</f>
        <v/>
      </c>
    </row>
    <row r="750">
      <c r="A750" s="6" t="inlineStr">
        <is>
          <t>Stat: Skill Level Bonus — 3rd Job</t>
        </is>
      </c>
    </row>
    <row r="751">
      <c r="A751" s="5" t="inlineStr">
        <is>
          <t>Key</t>
        </is>
      </c>
      <c r="B751" s="5" t="inlineStr">
        <is>
          <t>Name</t>
        </is>
      </c>
      <c r="C751" s="5" t="inlineStr">
        <is>
          <t>Unlocked</t>
        </is>
      </c>
      <c r="D751" s="5" t="inlineStr">
        <is>
          <t>InputLevel</t>
        </is>
      </c>
      <c r="E751" s="5" t="inlineStr">
        <is>
          <t>Factor</t>
        </is>
      </c>
      <c r="F751" s="5" t="inlineStr">
        <is>
          <t>CoefficientPercent</t>
        </is>
      </c>
      <c r="G751" s="5" t="inlineStr">
        <is>
          <t>EffectiveHits</t>
        </is>
      </c>
      <c r="H751" s="5" t="inlineStr">
        <is>
          <t>ProcProbability</t>
        </is>
      </c>
      <c r="I751" s="5" t="inlineStr">
        <is>
          <t>MapleHeroMultiplier</t>
        </is>
      </c>
      <c r="J751" s="5" t="inlineStr">
        <is>
          <t>BaseDamage</t>
        </is>
      </c>
      <c r="K751" s="5" t="inlineStr">
        <is>
          <t>BaseHitDamage</t>
        </is>
      </c>
      <c r="L751" s="5" t="inlineStr">
        <is>
          <t>NonCritAvg</t>
        </is>
      </c>
      <c r="M751" s="5" t="inlineStr">
        <is>
          <t>CritAvg</t>
        </is>
      </c>
      <c r="N751" s="5" t="inlineStr">
        <is>
          <t>ExpectedDamage(perHit)</t>
        </is>
      </c>
      <c r="O751" s="5" t="inlineStr">
        <is>
          <t>DPS</t>
        </is>
      </c>
      <c r="P751" s="5" t="inlineStr">
        <is>
          <t>% of Total</t>
        </is>
      </c>
      <c r="R751" t="inlineStr">
        <is>
          <t>helpers</t>
        </is>
      </c>
    </row>
    <row r="752">
      <c r="A752">
        <f>Skills!A2</f>
        <v/>
      </c>
      <c r="B752">
        <f>Skills!B2</f>
        <v/>
      </c>
      <c r="C752">
        <f>Inputs!$B$3&gt;=100</f>
        <v/>
      </c>
      <c r="D752" t="inlineStr"/>
      <c r="E752" t="inlineStr"/>
      <c r="F752">
        <f>T754+Skills!N2</f>
        <v/>
      </c>
      <c r="G752">
        <f>Calc!G2</f>
        <v/>
      </c>
      <c r="H752">
        <f>Calc!H2</f>
        <v/>
      </c>
      <c r="I752">
        <f>IF(Skills!T2&lt;&gt;"",1+(Skills!T2/10)*(Z753/1000)/100,1)</f>
        <v/>
      </c>
      <c r="J752">
        <f>((Inputs!$B$6*(1+Inputs!$B$7/100))+(((Inputs!$B$12*(1+Inputs!$B$13/100))-(Inputs!$B$12*(1+Inputs!$B$13/100)))+0.25*(Inputs!$B$14-Inputs!$B$14))*(1+Inputs!$B$7/100))*(F752/100)</f>
        <v/>
      </c>
      <c r="K752">
        <f>J752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2="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F768-Calc!F18),(Inputs!$B$23+(IF(ArtifactsInput!$M$15,CHOOSE(ArtifactsInput!$N$15+1,25,30,35,40,45,50)/100*(Inputs!$B$11-Inputs!$B$11),0))))/100+(Inputs!$B$23+(IF(ArtifactsInput!$M$15,CHOOSE(ArtifactsInput!$N$15+1,25,30,35,40,45,50)/100*(Inputs!$B$11-Inputs!$B$11),0)))/100)/2</f>
        <v/>
      </c>
      <c r="M752">
        <f>L752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(1-Summary!$B$11)*S752+Summary!$B$11*U752</f>
        <v/>
      </c>
      <c r="P752">
        <f>IF(B787=0,0,O752/B787)</f>
        <v/>
      </c>
      <c r="Q752">
        <f>IFERROR(1/IF(Inputs!$B$38="pvp",15,MAX(0.1,Skills!D2-IF(Skills!E2=TRUE,Inputs!$B$32,0))),0)</f>
        <v/>
      </c>
      <c r="R752" t="n">
        <v>0</v>
      </c>
      <c r="S752">
        <f>IF(C752,(Skills!F2*N752*B783)*IF(Inputs!$B$38="pvp",1,1+(Inputs!$B$20+Skills!O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752*(1-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52">
        <f>MAX(0,(Inputs!$B$3-100)*3)+Inputs!$B$28+Inputs!$B$29</f>
        <v/>
      </c>
      <c r="U752">
        <f>IF(C752,(Skills!F2*N752*B783)*IF(Inputs!$B$38="pvp",1,(1+(Inputs!$B$21+Skills!P2+B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52">
        <f>MAX(0,(Inputs!$B$3-100)*3)+Inputs!$B$28+Inputs!$B$29</f>
        <v/>
      </c>
    </row>
    <row r="753">
      <c r="A753">
        <f>Skills!A3</f>
        <v/>
      </c>
      <c r="B753">
        <f>Skills!B3</f>
        <v/>
      </c>
      <c r="C753">
        <f>Inputs!$B$3&gt;=15</f>
        <v/>
      </c>
      <c r="D753">
        <f>IF(Skills!C3=1,60+Inputs!$B$25+Inputs!$B$29,IF(Skills!C3=2,90+Inputs!$B$26+Inputs!$B$29,IF(Skills!C3=3,120+(Inputs!$B$27+1)+Inputs!$B$29,MAX(0,(Inputs!$B$3-100)*3)+Inputs!$B$28+Inputs!$B$29)))</f>
        <v/>
      </c>
      <c r="E753">
        <f>INDEX(FactorTable!$B$2:$Y$301, MATCH(ROUND(MIN(300,MAX(1,D753)),0), FactorTable!$A$2:$A$301,0), Skills!L3+1)</f>
        <v/>
      </c>
      <c r="F753">
        <f>IF(Skills!M3=TRUE,(Skills!K3/10)*(E753/1000),Skills!K3/10)+Skills!N3</f>
        <v/>
      </c>
      <c r="G753">
        <f>Calc!G3</f>
        <v/>
      </c>
      <c r="H753">
        <f>Calc!H3</f>
        <v/>
      </c>
      <c r="I753">
        <f>IF(Skills!T3&lt;&gt;"",1+(Skills!T3/10)*(Z753/1000)/100,1)</f>
        <v/>
      </c>
      <c r="J753" t="inlineStr"/>
      <c r="K753" t="inlineStr"/>
      <c r="L753" t="inlineStr"/>
      <c r="M753" t="inlineStr"/>
      <c r="N753" t="inlineStr"/>
      <c r="O753">
        <f>(1-Summary!$B$11)*S753+Summary!$B$11*U753</f>
        <v/>
      </c>
      <c r="P753">
        <f>IF(B787=0,0,O753/B787)</f>
        <v/>
      </c>
      <c r="Q753">
        <f>IFERROR(1/IF(Inputs!$B$38="pvp",15,MAX(0.1,Skills!D3-IF(Skills!E3=TRUE,Inputs!$B$32,0))),0)</f>
        <v/>
      </c>
      <c r="R753">
        <f>IF(AND(Inputs!$B$38&lt;&gt;"pvp",Inputs!$B$43&gt;0),IF(Inputs!$B$43&lt;=0,0,(INT(Inputs!$B$43/IF(Inputs!$B$38="pvp",15,MAX(0.1,Skills!D3-IF(Skills!E3=TRUE,Inputs!$B$32,0))))+1)),0)</f>
        <v/>
      </c>
      <c r="S753" t="n">
        <v>0</v>
      </c>
      <c r="T753">
        <f>INDEX(FactorTable!$B$2:$Y$301, MATCH(ROUND(MIN(300,MAX(1,T752)),0), FactorTable!$A$2:$A$301,0), 22)</f>
        <v/>
      </c>
      <c r="U753" t="n">
        <v>0</v>
      </c>
      <c r="Z753">
        <f>INDEX(FactorTable!$B$2:$Y$301, MATCH(ROUND(MIN(300,MAX(1,Z752)),0), FactorTable!$A$2:$A$301,0), 24)</f>
        <v/>
      </c>
    </row>
    <row r="754">
      <c r="A754">
        <f>Skills!A4</f>
        <v/>
      </c>
      <c r="B754">
        <f>Skills!B4</f>
        <v/>
      </c>
      <c r="C754">
        <f>Inputs!$B$3&gt;=40</f>
        <v/>
      </c>
      <c r="D754">
        <f>IF(Skills!C4=1,60+Inputs!$B$25+Inputs!$B$29,IF(Skills!C4=2,90+Inputs!$B$26+Inputs!$B$29,IF(Skills!C4=3,120+(Inputs!$B$27+1)+Inputs!$B$29,MAX(0,(Inputs!$B$3-100)*3)+Inputs!$B$28+Inputs!$B$29)))</f>
        <v/>
      </c>
      <c r="E754">
        <f>INDEX(FactorTable!$B$2:$Y$301, MATCH(ROUND(MIN(300,MAX(1,D754)),0), FactorTable!$A$2:$A$301,0), Skills!L4+1)</f>
        <v/>
      </c>
      <c r="F754">
        <f>IF(Skills!M4=TRUE,(Skills!K4/10)*(E754/1000),Skills!K4/10)+Skills!N4</f>
        <v/>
      </c>
      <c r="G754">
        <f>Calc!G4</f>
        <v/>
      </c>
      <c r="H754">
        <f>Calc!H4</f>
        <v/>
      </c>
      <c r="I754">
        <f>IF(Skills!T4&lt;&gt;"",1+(Skills!T4/10)*(Z753/1000)/100,1)</f>
        <v/>
      </c>
      <c r="J754" t="inlineStr"/>
      <c r="K754" t="inlineStr"/>
      <c r="L754" t="inlineStr"/>
      <c r="M754" t="inlineStr"/>
      <c r="N754" t="inlineStr"/>
      <c r="O754">
        <f>(1-Summary!$B$11)*S754+Summary!$B$11*U754</f>
        <v/>
      </c>
      <c r="P754">
        <f>IF(B787=0,0,O754/B787)</f>
        <v/>
      </c>
      <c r="Q754">
        <f>IFERROR(1/IF(Inputs!$B$38="pvp",15,MAX(0.1,Skills!D4-IF(Skills!E4=TRUE,Inputs!$B$32,0))),0)</f>
        <v/>
      </c>
      <c r="R754">
        <f>IF(AND(Inputs!$B$38&lt;&gt;"pvp",Inputs!$B$43&gt;0),IF(Inputs!$B$43&lt;=0,0,(INT(Inputs!$B$43/IF(Inputs!$B$38="pvp",15,MAX(0.1,Skills!D4-IF(Skills!E4=TRUE,Inputs!$B$32,0))))+1)),0)</f>
        <v/>
      </c>
      <c r="S754" t="n">
        <v>0</v>
      </c>
      <c r="T754">
        <f>290*T753/1000</f>
        <v/>
      </c>
      <c r="U754" t="n">
        <v>0</v>
      </c>
    </row>
    <row r="755">
      <c r="A755">
        <f>Skills!A5</f>
        <v/>
      </c>
      <c r="B755">
        <f>Skills!B5</f>
        <v/>
      </c>
      <c r="C755">
        <f>Inputs!$B$3&gt;=38</f>
        <v/>
      </c>
      <c r="D755">
        <f>IF(Skills!C5=1,60+Inputs!$B$25+Inputs!$B$29,IF(Skills!C5=2,90+Inputs!$B$26+Inputs!$B$29,IF(Skills!C5=3,120+(Inputs!$B$27+1)+Inputs!$B$29,MAX(0,(Inputs!$B$3-100)*3)+Inputs!$B$28+Inputs!$B$29)))</f>
        <v/>
      </c>
      <c r="E755">
        <f>INDEX(FactorTable!$B$2:$Y$301, MATCH(ROUND(MIN(300,MAX(1,D755)),0), FactorTable!$A$2:$A$301,0), Skills!L5+1)</f>
        <v/>
      </c>
      <c r="F755">
        <f>IF(Skills!M5=TRUE,(Skills!K5/10)*(E755/1000),Skills!K5/10)+Skills!N5</f>
        <v/>
      </c>
      <c r="G755">
        <f>Calc!G5</f>
        <v/>
      </c>
      <c r="H755">
        <f>Calc!H5</f>
        <v/>
      </c>
      <c r="I755">
        <f>IF(Skills!T5&lt;&gt;"",1+(Skills!T5/10)*(Z753/1000)/100,1)</f>
        <v/>
      </c>
      <c r="J755">
        <f>((Inputs!$B$6*(1+Inputs!$B$7/100))+(((Inputs!$B$12*(1+Inputs!$B$13/100))-(Inputs!$B$12*(1+Inputs!$B$13/100)))+0.25*(Inputs!$B$14-Inputs!$B$14))*(1+Inputs!$B$7/100))*(F755/100)</f>
        <v/>
      </c>
      <c r="K755">
        <f>J755*(1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5="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F768-Calc!F18),(Inputs!$B$23+(IF(ArtifactsInput!$M$15,CHOOSE(ArtifactsInput!$N$15+1,25,30,35,40,45,50)/100*(Inputs!$B$11-Inputs!$B$11),0))))/100+(Inputs!$B$23+(IF(ArtifactsInput!$M$15,CHOOSE(ArtifactsInput!$N$15+1,25,30,35,40,45,50)/100*(Inputs!$B$11-Inputs!$B$11),0)))/100)/2</f>
        <v/>
      </c>
      <c r="M755">
        <f>L755*(1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(1-Summary!$B$11)*S755+Summary!$B$11*U755</f>
        <v/>
      </c>
      <c r="P755">
        <f>IF(B787=0,0,O755/B787)</f>
        <v/>
      </c>
      <c r="Q755">
        <f>IFERROR(1/IF(Inputs!$B$38="pvp",15,MAX(0.1,Skills!D5-IF(Skills!E5=TRUE,Inputs!$B$32,0))),0)</f>
        <v/>
      </c>
      <c r="R755">
        <f>IF(AND(Inputs!$B$38&lt;&gt;"pvp",Inputs!$B$43&gt;0),IF(MAX(0,Inputs!$B$43-B784)&lt;=0,0,(INT(MAX(0,Inputs!$B$43-B784)/IF(Inputs!$B$38="pvp",15,MAX(0.1,Skills!D5-IF(Skills!E5=TRUE,Inputs!$B$32,0))))+1)),0)</f>
        <v/>
      </c>
      <c r="S755">
        <f>IF(C755,(H755*N755*IF(AND(Inputs!$B$38&lt;&gt;"pvp",Inputs!$B$43&gt;0),((Skills!F5*((R755-1)*IF(Skills!G5&gt;0,Skills!H5/Skills!G5,1)+IF(Skills!G5&gt;0,MIN(Skills!H5,MAX(0,MAX(0,Inputs!$B$43-B784)-((R755-1)*IF(Inputs!$B$38="pvp",15,MAX(0.1,Skills!D5-IF(Skills!E5=TRUE,Inputs!$B$32,0))))))/Skills!G5,1)))/Inputs!$B$43),G755*Q755))*IF(Inputs!$B$38="pvp",1,1+(Inputs!$B$20+Skills!O5+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755*(1-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IF(C755,(H755*N755*IF(AND(Inputs!$B$38&lt;&gt;"pvp",Inputs!$B$43&gt;0),((Skills!F5*((R755-1)*IF(Skills!G5&gt;0,Skills!H5/Skills!G5,1)+IF(Skills!G5&gt;0,MIN(Skills!H5,MAX(0,MAX(0,Inputs!$B$43-B784)-((R755-1)*IF(Inputs!$B$38="pvp",15,MAX(0.1,Skills!D5-IF(Skills!E5=TRUE,Inputs!$B$32,0))))))/Skills!G5,1)))/Inputs!$B$43),G755*Q755))*IF(Inputs!$B$38="pvp",1,(1+(Inputs!$B$21+Skills!P5+B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Skills!A6</f>
        <v/>
      </c>
      <c r="B756">
        <f>Skills!B6</f>
        <v/>
      </c>
      <c r="C756">
        <f>Inputs!$B$3&gt;=63</f>
        <v/>
      </c>
      <c r="D756">
        <f>IF(Skills!C6=1,60+Inputs!$B$25+Inputs!$B$29,IF(Skills!C6=2,90+Inputs!$B$26+Inputs!$B$29,IF(Skills!C6=3,120+(Inputs!$B$27+1)+Inputs!$B$29,MAX(0,(Inputs!$B$3-100)*3)+Inputs!$B$28+Inputs!$B$29)))</f>
        <v/>
      </c>
      <c r="E756">
        <f>INDEX(FactorTable!$B$2:$Y$301, MATCH(ROUND(MIN(300,MAX(1,D756)),0), FactorTable!$A$2:$A$301,0), Skills!L6+1)</f>
        <v/>
      </c>
      <c r="F756">
        <f>IF(Skills!M6=TRUE,(Skills!K6/10)*(E756/1000),Skills!K6/10)+Skills!N6</f>
        <v/>
      </c>
      <c r="G756">
        <f>Calc!G6</f>
        <v/>
      </c>
      <c r="H756">
        <f>Calc!H6</f>
        <v/>
      </c>
      <c r="I756">
        <f>IF(Skills!T6&lt;&gt;"",1+(Skills!T6/10)*(Z753/1000)/100,1)</f>
        <v/>
      </c>
      <c r="J756">
        <f>((Inputs!$B$6*(1+Inputs!$B$7/100))+(((Inputs!$B$12*(1+Inputs!$B$13/100))-(Inputs!$B$12*(1+Inputs!$B$13/100)))+0.25*(Inputs!$B$14-Inputs!$B$14))*(1+Inputs!$B$7/100))*(F756/100)</f>
        <v/>
      </c>
      <c r="K756">
        <f>J756*(1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6="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F768-Calc!F18),(Inputs!$B$23+(IF(ArtifactsInput!$M$15,CHOOSE(ArtifactsInput!$N$15+1,25,30,35,40,45,50)/100*(Inputs!$B$11-Inputs!$B$11),0))))/100+(Inputs!$B$23+(IF(ArtifactsInput!$M$15,CHOOSE(ArtifactsInput!$N$15+1,25,30,35,40,45,50)/100*(Inputs!$B$11-Inputs!$B$11),0)))/100)/2</f>
        <v/>
      </c>
      <c r="M756">
        <f>L756*(1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(1-Summary!$B$11)*S756+Summary!$B$11*U756</f>
        <v/>
      </c>
      <c r="P756">
        <f>IF(B787=0,0,O756/B787)</f>
        <v/>
      </c>
      <c r="Q756">
        <f>IFERROR(1/IF(Inputs!$B$38="pvp",15,MAX(0.1,Skills!D6-IF(Skills!E6=TRUE,Inputs!$B$32,0))),0)</f>
        <v/>
      </c>
      <c r="R756">
        <f>IF(AND(Inputs!$B$38&lt;&gt;"pvp",Inputs!$B$43&gt;0),IF(MAX(0,Inputs!$B$43-B784)&lt;=0,0,(INT(MAX(0,Inputs!$B$43-B784)/IF(Inputs!$B$38="pvp",15,MAX(0.1,Skills!D6-IF(Skills!E6=TRUE,Inputs!$B$32,0))))+1)),0)</f>
        <v/>
      </c>
      <c r="S756">
        <f>IF(C756,(H756*N756*IF(AND(Inputs!$B$38&lt;&gt;"pvp",Inputs!$B$43&gt;0),((Skills!F6*((R756-1)*IF(Skills!G6&gt;0,Skills!H6/Skills!G6,1)+IF(Skills!G6&gt;0,MIN(Skills!H6,MAX(0,MAX(0,Inputs!$B$43-B784)-((R756-1)*IF(Inputs!$B$38="pvp",15,MAX(0.1,Skills!D6-IF(Skills!E6=TRUE,Inputs!$B$32,0))))))/Skills!G6,1)))/Inputs!$B$43),G756*Q756))*IF(Inputs!$B$38="pvp",1,1+(Inputs!$B$20+Skills!O6+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756*(1-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6">
        <f>IF(C756,(H756*N756*IF(AND(Inputs!$B$38&lt;&gt;"pvp",Inputs!$B$43&gt;0),((Skills!F6*((R756-1)*IF(Skills!G6&gt;0,Skills!H6/Skills!G6,1)+IF(Skills!G6&gt;0,MIN(Skills!H6,MAX(0,MAX(0,Inputs!$B$43-B784)-((R756-1)*IF(Inputs!$B$38="pvp",15,MAX(0.1,Skills!D6-IF(Skills!E6=TRUE,Inputs!$B$32,0))))))/Skills!G6,1)))/Inputs!$B$43),G756*Q756))*IF(Inputs!$B$38="pvp",1,(1+(Inputs!$B$21+Skills!P6+B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Skills!A7</f>
        <v/>
      </c>
      <c r="B757">
        <f>Skills!B7</f>
        <v/>
      </c>
      <c r="C757">
        <f>Inputs!$B$3&gt;=69</f>
        <v/>
      </c>
      <c r="D757">
        <f>IF(Skills!C7=1,60+Inputs!$B$25+Inputs!$B$29,IF(Skills!C7=2,90+Inputs!$B$26+Inputs!$B$29,IF(Skills!C7=3,120+(Inputs!$B$27+1)+Inputs!$B$29,MAX(0,(Inputs!$B$3-100)*3)+Inputs!$B$28+Inputs!$B$29)))</f>
        <v/>
      </c>
      <c r="E757">
        <f>INDEX(FactorTable!$B$2:$Y$301, MATCH(ROUND(MIN(300,MAX(1,D757)),0), FactorTable!$A$2:$A$301,0), Skills!L7+1)</f>
        <v/>
      </c>
      <c r="F757">
        <f>IF(Skills!M7=TRUE,(Skills!K7/10)*(E757/1000),Skills!K7/10)+Skills!N7</f>
        <v/>
      </c>
      <c r="G757">
        <f>Calc!G7</f>
        <v/>
      </c>
      <c r="H757">
        <f>Calc!H7</f>
        <v/>
      </c>
      <c r="I757">
        <f>IF(Skills!T7&lt;&gt;"",1+(Skills!T7/10)*(Z753/1000)/100,1)</f>
        <v/>
      </c>
      <c r="J757">
        <f>((Inputs!$B$6*(1+Inputs!$B$7/100))+(((Inputs!$B$12*(1+Inputs!$B$13/100))-(Inputs!$B$12*(1+Inputs!$B$13/100)))+0.25*(Inputs!$B$14-Inputs!$B$14))*(1+Inputs!$B$7/100))*(F757/100)</f>
        <v/>
      </c>
      <c r="K757">
        <f>J757*(1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7="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F768-Calc!F18),(Inputs!$B$23+(IF(ArtifactsInput!$M$15,CHOOSE(ArtifactsInput!$N$15+1,25,30,35,40,45,50)/100*(Inputs!$B$11-Inputs!$B$11),0))))/100+(Inputs!$B$23+(IF(ArtifactsInput!$M$15,CHOOSE(ArtifactsInput!$N$15+1,25,30,35,40,45,50)/100*(Inputs!$B$11-Inputs!$B$11),0)))/100)/2</f>
        <v/>
      </c>
      <c r="M757">
        <f>L757*(1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(1-Summary!$B$11)*S757+Summary!$B$11*U757</f>
        <v/>
      </c>
      <c r="P757">
        <f>IF(B787=0,0,O757/B787)</f>
        <v/>
      </c>
      <c r="Q757">
        <f>IFERROR(1/IF(Inputs!$B$38="pvp",15,MAX(0.1,Skills!D7-IF(Skills!E7=TRUE,Inputs!$B$32,0))),0)</f>
        <v/>
      </c>
      <c r="R757">
        <f>IF(AND(Inputs!$B$38&lt;&gt;"pvp",Inputs!$B$43&gt;0),IF(MAX(0,Inputs!$B$43-B784)&lt;=0,0,(INT(MAX(0,Inputs!$B$43-B784)/IF(Inputs!$B$38="pvp",15,MAX(0.1,Skills!D7-IF(Skills!E7=TRUE,Inputs!$B$32,0))))+1)),0)</f>
        <v/>
      </c>
      <c r="S757">
        <f>IF(C757,(H757*N757*IF(AND(Inputs!$B$38&lt;&gt;"pvp",Inputs!$B$43&gt;0),((Skills!F7*((R757-1)*IF(Skills!G7&gt;0,Skills!H7/Skills!G7,1)+IF(Skills!G7&gt;0,MIN(Skills!H7,MAX(0,MAX(0,Inputs!$B$43-B784)-((R757-1)*IF(Inputs!$B$38="pvp",15,MAX(0.1,Skills!D7-IF(Skills!E7=TRUE,Inputs!$B$32,0))))))/Skills!G7,1)))/Inputs!$B$43),G757*Q757))*IF(Inputs!$B$38="pvp",1,1+(Inputs!$B$20+Skills!O7+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757*(1-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IF(C757,(H757*N757*IF(AND(Inputs!$B$38&lt;&gt;"pvp",Inputs!$B$43&gt;0),((Skills!F7*((R757-1)*IF(Skills!G7&gt;0,Skills!H7/Skills!G7,1)+IF(Skills!G7&gt;0,MIN(Skills!H7,MAX(0,MAX(0,Inputs!$B$43-B784)-((R757-1)*IF(Inputs!$B$38="pvp",15,MAX(0.1,Skills!D7-IF(Skills!E7=TRUE,Inputs!$B$32,0))))))/Skills!G7,1)))/Inputs!$B$43),G757*Q757))*IF(Inputs!$B$38="pvp",1,(1+(Inputs!$B$21+Skills!P7+B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Skills!A8</f>
        <v/>
      </c>
      <c r="B758">
        <f>Skills!B8</f>
        <v/>
      </c>
      <c r="C758">
        <f>Inputs!$B$3&gt;=103</f>
        <v/>
      </c>
      <c r="D758">
        <f>IF(Skills!C8=1,60+Inputs!$B$25+Inputs!$B$29,IF(Skills!C8=2,90+Inputs!$B$26+Inputs!$B$29,IF(Skills!C8=3,120+(Inputs!$B$27+1)+Inputs!$B$29,MAX(0,(Inputs!$B$3-100)*3)+Inputs!$B$28+Inputs!$B$29)))</f>
        <v/>
      </c>
      <c r="E758">
        <f>INDEX(FactorTable!$B$2:$Y$301, MATCH(ROUND(MIN(300,MAX(1,D758)),0), FactorTable!$A$2:$A$301,0), Skills!L8+1)</f>
        <v/>
      </c>
      <c r="F758">
        <f>IF(Skills!M8=TRUE,(Skills!K8/10)*(E758/1000),Skills!K8/10)+Skills!N8</f>
        <v/>
      </c>
      <c r="G758">
        <f>Calc!G8</f>
        <v/>
      </c>
      <c r="H758">
        <f>Calc!H8</f>
        <v/>
      </c>
      <c r="I758">
        <f>IF(Skills!T8&lt;&gt;"",1+(Skills!T8/10)*(Z753/1000)/100,1)</f>
        <v/>
      </c>
      <c r="J758">
        <f>((Inputs!$B$6*(1+Inputs!$B$7/100))+(((Inputs!$B$12*(1+Inputs!$B$13/100))-(Inputs!$B$12*(1+Inputs!$B$13/100)))+0.25*(Inputs!$B$14-Inputs!$B$14))*(1+Inputs!$B$7/100))*(F758/100)</f>
        <v/>
      </c>
      <c r="K758">
        <f>J758*(1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8="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768-Calc!F18),(Inputs!$B$23+(IF(ArtifactsInput!$M$15,CHOOSE(ArtifactsInput!$N$15+1,25,30,35,40,45,50)/100*(Inputs!$B$11-Inputs!$B$11),0))))/100+(Inputs!$B$23+(IF(ArtifactsInput!$M$15,CHOOSE(ArtifactsInput!$N$15+1,25,30,35,40,45,50)/100*(Inputs!$B$11-Inputs!$B$11),0)))/100)/2</f>
        <v/>
      </c>
      <c r="M758">
        <f>L758*(1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IF(B787=0,0,O758/B787)</f>
        <v/>
      </c>
      <c r="Q758">
        <f>IFERROR(1/IF(Inputs!$B$38="pvp",15,MAX(0.1,Skills!D8-IF(Skills!E8=TRUE,Inputs!$B$32,0))),0)</f>
        <v/>
      </c>
      <c r="R758">
        <f>IF(AND(Inputs!$B$38&lt;&gt;"pvp",Inputs!$B$43&gt;0),IF(MAX(0,Inputs!$B$43-B784)&lt;=0,0,(INT(MAX(0,Inputs!$B$43-B784)/IF(Inputs!$B$38="pvp",15,MAX(0.1,Skills!D8-IF(Skills!E8=TRUE,Inputs!$B$32,0))))+1)),0)</f>
        <v/>
      </c>
      <c r="S758">
        <f>IF(C758,(H758*N758*IF(AND(Inputs!$B$38&lt;&gt;"pvp",Inputs!$B$43&gt;0),((Skills!F8*((R758-1)*IF(Skills!G8&gt;0,Skills!H8/Skills!G8,1)+IF(Skills!G8&gt;0,MIN(Skills!H8,MAX(0,MAX(0,Inputs!$B$43-B784)-((R758-1)*IF(Inputs!$B$38="pvp",15,MAX(0.1,Skills!D8-IF(Skills!E8=TRUE,Inputs!$B$32,0))))))/Skills!G8,1)))/Inputs!$B$43),G758*Q758))*IF(Inputs!$B$38="pvp",1,1+(Inputs!$B$20+Skills!O8+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F8*((R758-1)*IF(Skills!G8&gt;0,Skills!H8/Skills!G8,1)+IF(Skills!G8&gt;0,MIN(Skills!H8,MAX(0,MAX(0,Inputs!$B$43-B784)-((R758-1)*IF(Inputs!$B$38="pvp",15,MAX(0.1,Skills!D8-IF(Skills!E8=TRUE,Inputs!$B$32,0))))))/Skills!G8,1)))/Inputs!$B$43),G758*Q758))*IF(Inputs!$B$38="pvp",1,(1+(Inputs!$B$21+Skills!P8+B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Skills!A9</f>
        <v/>
      </c>
      <c r="B759">
        <f>Skills!B9</f>
        <v/>
      </c>
      <c r="C759">
        <f>Inputs!$B$3&gt;=105</f>
        <v/>
      </c>
      <c r="D759">
        <f>IF(Skills!C9=1,60+Inputs!$B$25+Inputs!$B$29,IF(Skills!C9=2,90+Inputs!$B$26+Inputs!$B$29,IF(Skills!C9=3,120+(Inputs!$B$27+1)+Inputs!$B$29,MAX(0,(Inputs!$B$3-100)*3)+Inputs!$B$28+Inputs!$B$29)))</f>
        <v/>
      </c>
      <c r="E759">
        <f>INDEX(FactorTable!$B$2:$Y$301, MATCH(ROUND(MIN(300,MAX(1,D759)),0), FactorTable!$A$2:$A$301,0), Skills!L9+1)</f>
        <v/>
      </c>
      <c r="F759">
        <f>IF(Skills!M9=TRUE,(Skills!K9/10)*(E759/1000),Skills!K9/10)+Skills!N9</f>
        <v/>
      </c>
      <c r="G759">
        <f>Calc!G9</f>
        <v/>
      </c>
      <c r="H759">
        <f>Calc!H9</f>
        <v/>
      </c>
      <c r="I759">
        <f>IF(Skills!T9&lt;&gt;"",1+(Skills!T9/10)*(Z753/1000)/100,1)</f>
        <v/>
      </c>
      <c r="J759">
        <f>((Inputs!$B$6*(1+Inputs!$B$7/100))+(((Inputs!$B$12*(1+Inputs!$B$13/100))-(Inputs!$B$12*(1+Inputs!$B$13/100)))+0.25*(Inputs!$B$14-Inputs!$B$14))*(1+Inputs!$B$7/100))*(F759/100)</f>
        <v/>
      </c>
      <c r="K759">
        <f>J759*(1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9="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F768-Calc!F18),(Inputs!$B$23+(IF(ArtifactsInput!$M$15,CHOOSE(ArtifactsInput!$N$15+1,25,30,35,40,45,50)/100*(Inputs!$B$11-Inputs!$B$11),0))))/100+(Inputs!$B$23+(IF(ArtifactsInput!$M$15,CHOOSE(ArtifactsInput!$N$15+1,25,30,35,40,45,50)/100*(Inputs!$B$11-Inputs!$B$11),0)))/100)/2</f>
        <v/>
      </c>
      <c r="M759">
        <f>L759*(1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(1-Summary!$B$11)*S759+Summary!$B$11*U759</f>
        <v/>
      </c>
      <c r="P759">
        <f>IF(B787=0,0,O759/B787)</f>
        <v/>
      </c>
      <c r="Q759">
        <f>IFERROR(1/IF(Inputs!$B$38="pvp",15,MAX(0.1,Skills!D9-IF(Skills!E9=TRUE,Inputs!$B$32,0))),0)</f>
        <v/>
      </c>
      <c r="R759">
        <f>IF(AND(Inputs!$B$38&lt;&gt;"pvp",Inputs!$B$43&gt;0),IF(MAX(0,Inputs!$B$43-B784)&lt;=0,0,(INT(MAX(0,Inputs!$B$43-B784)/IF(Inputs!$B$38="pvp",15,MAX(0.1,Skills!D9-IF(Skills!E9=TRUE,Inputs!$B$32,0))))+1)),0)</f>
        <v/>
      </c>
      <c r="S759">
        <f>IF(C759,(H759*N759*IF(AND(Inputs!$B$38&lt;&gt;"pvp",Inputs!$B$43&gt;0),((Skills!F9*((R759-1)*IF(Skills!G9&gt;0,Skills!H9/Skills!G9,1)+IF(Skills!G9&gt;0,MIN(Skills!H9,MAX(0,MAX(0,Inputs!$B$43-B784)-((R759-1)*IF(Inputs!$B$38="pvp",15,MAX(0.1,Skills!D9-IF(Skills!E9=TRUE,Inputs!$B$32,0))))))/Skills!G9,1)))/Inputs!$B$43),G759*Q759))*IF(Inputs!$B$38="pvp",1,1+(Inputs!$B$20+Skills!O9+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759*(1-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IF(C759,(H759*N759*IF(AND(Inputs!$B$38&lt;&gt;"pvp",Inputs!$B$43&gt;0),((Skills!F9*((R759-1)*IF(Skills!G9&gt;0,Skills!H9/Skills!G9,1)+IF(Skills!G9&gt;0,MIN(Skills!H9,MAX(0,MAX(0,Inputs!$B$43-B784)-((R759-1)*IF(Inputs!$B$38="pvp",15,MAX(0.1,Skills!D9-IF(Skills!E9=TRUE,Inputs!$B$32,0))))))/Skills!G9,1)))/Inputs!$B$43),G759*Q759))*IF(Inputs!$B$38="pvp",1,(1+(Inputs!$B$21+Skills!P9+B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Skills!A10</f>
        <v/>
      </c>
      <c r="B760">
        <f>Skills!B10</f>
        <v/>
      </c>
      <c r="C760">
        <f>Inputs!$B$3&gt;=113</f>
        <v/>
      </c>
      <c r="D760">
        <f>IF(Skills!C10=1,60+Inputs!$B$25+Inputs!$B$29,IF(Skills!C10=2,90+Inputs!$B$26+Inputs!$B$29,IF(Skills!C10=3,120+(Inputs!$B$27+1)+Inputs!$B$29,MAX(0,(Inputs!$B$3-100)*3)+Inputs!$B$28+Inputs!$B$29)))</f>
        <v/>
      </c>
      <c r="E760">
        <f>INDEX(FactorTable!$B$2:$Y$301, MATCH(ROUND(MIN(300,MAX(1,D760)),0), FactorTable!$A$2:$A$301,0), Skills!L10+1)</f>
        <v/>
      </c>
      <c r="F760">
        <f>IF(Skills!M10=TRUE,(Skills!K10/10)*(E760/1000),Skills!K10/10)+Skills!N10</f>
        <v/>
      </c>
      <c r="G760">
        <f>Calc!G10</f>
        <v/>
      </c>
      <c r="H760">
        <f>Calc!H10</f>
        <v/>
      </c>
      <c r="I760">
        <f>IF(Skills!T10&lt;&gt;"",1+(Skills!T10/10)*(Z753/1000)/100,1)</f>
        <v/>
      </c>
      <c r="J760">
        <f>((Inputs!$B$6*(1+Inputs!$B$7/100))+(((Inputs!$B$12*(1+Inputs!$B$13/100))-(Inputs!$B$12*(1+Inputs!$B$13/100)))+0.25*(Inputs!$B$14-Inputs!$B$14))*(1+Inputs!$B$7/100))*(F760/100)</f>
        <v/>
      </c>
      <c r="K760">
        <f>J760*(1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10="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F768-Calc!F18),(Inputs!$B$23+(IF(ArtifactsInput!$M$15,CHOOSE(ArtifactsInput!$N$15+1,25,30,35,40,45,50)/100*(Inputs!$B$11-Inputs!$B$11),0))))/100+(Inputs!$B$23+(IF(ArtifactsInput!$M$15,CHOOSE(ArtifactsInput!$N$15+1,25,30,35,40,45,50)/100*(Inputs!$B$11-Inputs!$B$11),0)))/100)/2</f>
        <v/>
      </c>
      <c r="M760">
        <f>L760*(1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(1-Summary!$B$11)*S760+Summary!$B$11*U760</f>
        <v/>
      </c>
      <c r="P760">
        <f>IF(B787=0,0,O760/B787)</f>
        <v/>
      </c>
      <c r="Q760">
        <f>IFERROR(1/IF(Inputs!$B$38="pvp",15,MAX(0.1,Skills!D10-IF(Skills!E9=TRUE,Inputs!$B$32,0))),0)</f>
        <v/>
      </c>
      <c r="R760">
        <f>IF(AND(Inputs!$B$38&lt;&gt;"pvp",Inputs!$B$43&gt;0),IF(MAX(0,Inputs!$B$43-B784)&lt;=0,0,(INT(MAX(0,Inputs!$B$43-B784)/IF(Inputs!$B$38="pvp",15,MAX(0.1,Skills!D10-IF(Skills!E9=TRUE,Inputs!$B$32,0))))+1)),0)</f>
        <v/>
      </c>
      <c r="S760">
        <f>IF(C760,(H760*N760*IF(AND(Inputs!$B$38&lt;&gt;"pvp",Inputs!$B$43&gt;0),((Skills!F10*((R760-1)*IF(Skills!G10&gt;0,Skills!H10/Skills!G10,1)+IF(Skills!G10&gt;0,MIN(Skills!H10,MAX(0,MAX(0,Inputs!$B$43-B784)-((R760-1)*IF(Inputs!$B$38="pvp",15,MAX(0.1,Skills!D10-IF(Skills!E9=TRUE,Inputs!$B$32,0))))))/Skills!G10,1)))/Inputs!$B$43),G760*Q760))*IF(Inputs!$B$38="pvp",1,1+(Inputs!$B$20+Skills!O10+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760*(1-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0">
        <f>IF(C760,(H760*N760*IF(AND(Inputs!$B$38&lt;&gt;"pvp",Inputs!$B$43&gt;0),((Skills!F10*((R760-1)*IF(Skills!G10&gt;0,Skills!H10/Skills!G10,1)+IF(Skills!G10&gt;0,MIN(Skills!H10,MAX(0,MAX(0,Inputs!$B$43-B784)-((R760-1)*IF(Inputs!$B$38="pvp",15,MAX(0.1,Skills!D10-IF(Skills!E9=TRUE,Inputs!$B$32,0))))))/Skills!G10,1)))/Inputs!$B$43),G760*Q760))*IF(Inputs!$B$38="pvp",1,(1+(Inputs!$B$21+Skills!P10+B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Skills!A11</f>
        <v/>
      </c>
      <c r="B761">
        <f>Skills!B11</f>
        <v/>
      </c>
      <c r="C761">
        <f>Inputs!$B$3&gt;=107</f>
        <v/>
      </c>
      <c r="D761">
        <f>IF(Skills!C11=1,60+Inputs!$B$25+Inputs!$B$29,IF(Skills!C11=2,90+Inputs!$B$26+Inputs!$B$29,IF(Skills!C11=3,120+(Inputs!$B$27+1)+Inputs!$B$29,MAX(0,(Inputs!$B$3-100)*3)+Inputs!$B$28+Inputs!$B$29)))</f>
        <v/>
      </c>
      <c r="E761">
        <f>INDEX(FactorTable!$B$2:$Y$301, MATCH(ROUND(MIN(300,MAX(1,D761)),0), FactorTable!$A$2:$A$301,0), Skills!L11+1)</f>
        <v/>
      </c>
      <c r="F761">
        <f>IF(Skills!M11=TRUE,(Skills!K11/10)*(E761/1000),Skills!K11/10)+Skills!N11</f>
        <v/>
      </c>
      <c r="G761">
        <f>Calc!G11</f>
        <v/>
      </c>
      <c r="H761">
        <f>Calc!H11</f>
        <v/>
      </c>
      <c r="I761">
        <f>IF(Skills!T11&lt;&gt;"",1+(Skills!T11/10)*(Z753/1000)/100,1)</f>
        <v/>
      </c>
      <c r="J761">
        <f>((Inputs!$B$6*(1+Inputs!$B$7/100))+(((Inputs!$B$12*(1+Inputs!$B$13/100))-(Inputs!$B$12*(1+Inputs!$B$13/100)))+0.25*(Inputs!$B$14-Inputs!$B$14))*(1+Inputs!$B$7/100))*(F761/100)</f>
        <v/>
      </c>
      <c r="K761">
        <f>J761*(1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11="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F768-Calc!F18),(Inputs!$B$23+(IF(ArtifactsInput!$M$15,CHOOSE(ArtifactsInput!$N$15+1,25,30,35,40,45,50)/100*(Inputs!$B$11-Inputs!$B$11),0))))/100+(Inputs!$B$23+(IF(ArtifactsInput!$M$15,CHOOSE(ArtifactsInput!$N$15+1,25,30,35,40,45,50)/100*(Inputs!$B$11-Inputs!$B$11),0)))/100)/2</f>
        <v/>
      </c>
      <c r="M761">
        <f>L761*(1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(1-Summary!$B$11)*S761+Summary!$B$11*U761</f>
        <v/>
      </c>
      <c r="P761">
        <f>IF(B787=0,0,O761/B787)</f>
        <v/>
      </c>
      <c r="Q761">
        <f>IFERROR(1/IF(Inputs!$B$38="pvp",15,MAX(0.1,Skills!D11-IF(Skills!E11=TRUE,Inputs!$B$32,0))),0)</f>
        <v/>
      </c>
      <c r="R761">
        <f>IF(AND(Inputs!$B$38&lt;&gt;"pvp",Inputs!$B$43&gt;0),IF(MAX(0,Inputs!$B$43-B784)&lt;=0,0,(INT(MAX(0,Inputs!$B$43-B784)/IF(Inputs!$B$38="pvp",15,MAX(0.1,Skills!D11-IF(Skills!E11=TRUE,Inputs!$B$32,0))))+1)),0)</f>
        <v/>
      </c>
      <c r="S761">
        <f>IF(C761,H761*N761*IF(AND(Inputs!$B$38&lt;&gt;"pvp",Inputs!$B$43&gt;0),((Skills!F11*((R761-1)*IF(Skills!G11&gt;0,Skills!H11/Skills!G11,1)+IF(Skills!G11&gt;0,MIN(Skills!H11,MAX(0,MAX(0,Inputs!$B$43-B784)-((R761-1)*IF(Inputs!$B$38="pvp",15,MAX(0.1,Skills!D11-IF(Skills!E11=TRUE,Inputs!$B$32,0))))))/Skills!G11,1)))/Inputs!$B$43),G761*Q761)*0.5*IF(Inputs!$B$38="pvp",1,1+(Inputs!$B$20+Skills!O11+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IF(C761,H761*N761*IF(AND(Inputs!$B$38&lt;&gt;"pvp",Inputs!$B$43&gt;0),((Skills!F11*((R761-1)*IF(Skills!G11&gt;0,Skills!H11/Skills!G11,1)+IF(Skills!G11&gt;0,MIN(Skills!H11,MAX(0,MAX(0,Inputs!$B$43-B784)-((R761-1)*IF(Inputs!$B$38="pvp",15,MAX(0.1,Skills!D11-IF(Skills!E11=TRUE,Inputs!$B$32,0))))))/Skills!G11,1)))/Inputs!$B$43),G761*Q761)*1*IF(Inputs!$B$38="pvp",1,(1+(Inputs!$B$21+Skills!P11+B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Skills!A12</f>
        <v/>
      </c>
      <c r="B762">
        <f>Skills!B12</f>
        <v/>
      </c>
      <c r="C762">
        <f>Inputs!$B$3&gt;=115</f>
        <v/>
      </c>
      <c r="D762">
        <f>IF(Skills!C12=1,60+Inputs!$B$25+Inputs!$B$29,IF(Skills!C12=2,90+Inputs!$B$26+Inputs!$B$29,IF(Skills!C12=3,120+(Inputs!$B$27+1)+Inputs!$B$29,MAX(0,(Inputs!$B$3-100)*3)+Inputs!$B$28+Inputs!$B$29)))</f>
        <v/>
      </c>
      <c r="E762">
        <f>INDEX(FactorTable!$B$2:$Y$301, MATCH(ROUND(MIN(300,MAX(1,D762)),0), FactorTable!$A$2:$A$301,0), Skills!L12+1)</f>
        <v/>
      </c>
      <c r="F762">
        <f>IF(Skills!M12=TRUE,(Skills!K12/10)*(E762/1000),Skills!K12/10)+Skills!N12</f>
        <v/>
      </c>
      <c r="G762">
        <f>Calc!G12</f>
        <v/>
      </c>
      <c r="H762">
        <f>Calc!H12</f>
        <v/>
      </c>
      <c r="I762">
        <f>IF(Skills!T12&lt;&gt;"",1+(Skills!T12/10)*(Z753/1000)/100,1)</f>
        <v/>
      </c>
      <c r="J762">
        <f>((Inputs!$B$6*(1+Inputs!$B$7/100))+(((Inputs!$B$12*(1+Inputs!$B$13/100))-(Inputs!$B$12*(1+Inputs!$B$13/100)))+0.25*(Inputs!$B$14-Inputs!$B$14))*(1+Inputs!$B$7/100))*(F762/100)</f>
        <v/>
      </c>
      <c r="K762">
        <f>J762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12="CHAIN_LIGHTNING",Inputs!$B$17+((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F768-Calc!F18),(Inputs!$B$23+(IF(ArtifactsInput!$M$15,CHOOSE(ArtifactsInput!$N$15+1,25,30,35,40,45,50)/100*(Inputs!$B$11-Inputs!$B$11),0))))/100+(Inputs!$B$23+(IF(ArtifactsInput!$M$15,CHOOSE(ArtifactsInput!$N$15+1,25,30,35,40,45,50)/100*(Inputs!$B$11-Inputs!$B$11),0)))/100)/2</f>
        <v/>
      </c>
      <c r="M762">
        <f>L762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(1-Summary!$B$11)*S762+Summary!$B$11*U762</f>
        <v/>
      </c>
      <c r="P762">
        <f>IF(B787=0,0,O762/B787)</f>
        <v/>
      </c>
      <c r="Q762">
        <f>IFERROR(1/IF(Inputs!$B$38="pvp",15,MAX(0.1,Skills!D12-IF(Skills!E12=TRUE,Inputs!$B$32,0))),0)</f>
        <v/>
      </c>
      <c r="R762">
        <f>IF(AND(Inputs!$B$38&lt;&gt;"pvp",Inputs!$B$43&gt;0),IF(MAX(0,Inputs!$B$43-B784)&lt;=0,0,(INT(MAX(0,Inputs!$B$43-B784)/IF(Inputs!$B$38="pvp",15,MAX(0.1,Skills!D12-IF(Skills!E12=TRUE,Inputs!$B$32,0))))+1)),0)</f>
        <v/>
      </c>
      <c r="S762">
        <f>IF(C762,(H762*N762*IF(AND(Inputs!$B$38&lt;&gt;"pvp",Inputs!$B$43&gt;0),((Skills!F12*((R762-1)*IF(Skills!G12&gt;0,Skills!H12/Skills!G12,1)+IF(Skills!G12&gt;0,MIN(Skills!H12,MAX(0,MAX(0,Inputs!$B$43-B784)-((R762-1)*IF(Inputs!$B$38="pvp",15,MAX(0.1,Skills!D12-IF(Skills!E12=TRUE,Inputs!$B$32,0))))))/Skills!G12,1)))/Inputs!$B$43),G762*Q762))*IF(Inputs!$B$38="pvp",1,1+(Inputs!$B$20+Skills!O12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762*(1-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F770-Calc!F20)+(F769-Calc!F19))+(ArtifactsInput!$M$24-ArtifactsInput!$M$24)*CHOOSE(ArtifactsInput!$N$24+1,10,12,14,16,18,20)+(IF(AND(Inputs!$B$38&lt;&gt;"pvp",Inputs!$B$43=0),1,IF(IF(Inputs!$B$38="pvp",15,Inputs!$B$43)-(B784)&lt;=0,1,MAX(0,IF(Inputs!$B$38="pvp",15,Inputs!$B$43)-MAX(5,B784))/(IF(Inputs!$B$38="pvp",15,Inputs!$B$43)-(B784)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F(C762,(H762*N762*IF(AND(Inputs!$B$38&lt;&gt;"pvp",Inputs!$B$43&gt;0),((Skills!F12*((R762-1)*IF(Skills!G12&gt;0,Skills!H12/Skills!G12,1)+IF(Skills!G12&gt;0,MIN(Skills!H12,MAX(0,MAX(0,Inputs!$B$43-B784)-((R762-1)*IF(Inputs!$B$38="pvp",15,MAX(0.1,Skills!D12-IF(Skills!E12=TRUE,Inputs!$B$32,0))))))/Skills!G12,1)))/Inputs!$B$43),G762*Q762))*IF(Inputs!$B$38="pvp",1,(1+(Inputs!$B$21+Skills!P12+B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Skills!A13</f>
        <v/>
      </c>
      <c r="B763">
        <f>Skills!B13</f>
        <v/>
      </c>
      <c r="C763">
        <f>Inputs!$B$3&gt;=49</f>
        <v/>
      </c>
      <c r="D763">
        <f>IF(Skills!C13=1,60+Inputs!$B$25+Inputs!$B$29,IF(Skills!C13=2,90+Inputs!$B$26+Inputs!$B$29,IF(Skills!C13=3,120+(Inputs!$B$27+1)+Inputs!$B$29,MAX(0,(Inputs!$B$3-100)*3)+Inputs!$B$28+Inputs!$B$29)))</f>
        <v/>
      </c>
      <c r="E763">
        <f>INDEX(FactorTable!$B$2:$Y$301, MATCH(ROUND(MIN(300,MAX(1,D763)),0), FactorTable!$A$2:$A$301,0), Skills!L13+1)</f>
        <v/>
      </c>
      <c r="F763">
        <f>IF(Skills!M13=TRUE,(Skills!K13/10)*(E763/1000),Skills!K13/10)+Skills!N13</f>
        <v/>
      </c>
      <c r="G763">
        <f>Calc!G13</f>
        <v/>
      </c>
      <c r="H763">
        <f>Calc!H13</f>
        <v/>
      </c>
      <c r="I763">
        <f>IF(Skills!T13&lt;&gt;"",1+(Skills!T13/10)*(Z753/1000)/100,1)</f>
        <v/>
      </c>
      <c r="J763" t="inlineStr"/>
      <c r="K763" t="inlineStr"/>
      <c r="L763" t="inlineStr"/>
      <c r="M763" t="inlineStr"/>
      <c r="N763" t="inlineStr"/>
      <c r="O763">
        <f>(1-Summary!$B$11)*S763+Summary!$B$11*U763</f>
        <v/>
      </c>
      <c r="P763">
        <f>IF(B787=0,0,O763/B787)</f>
        <v/>
      </c>
      <c r="Q763">
        <f>IFERROR(1/IF(Inputs!$B$38="pvp",15,MAX(0.1,Skills!D13-IF(Skills!E13=TRUE,Inputs!$B$32,0))),0)</f>
        <v/>
      </c>
      <c r="R763" t="n">
        <v>0</v>
      </c>
      <c r="S763" t="n">
        <v>0</v>
      </c>
      <c r="U763" t="n">
        <v>0</v>
      </c>
    </row>
    <row r="764">
      <c r="A764">
        <f>Skills!A14</f>
        <v/>
      </c>
      <c r="B764">
        <f>Skills!B14</f>
        <v/>
      </c>
      <c r="C764">
        <f>Inputs!$B$3&gt;=72</f>
        <v/>
      </c>
      <c r="D764">
        <f>IF(Skills!C14=1,60+Inputs!$B$25+Inputs!$B$29,IF(Skills!C14=2,90+Inputs!$B$26+Inputs!$B$29,IF(Skills!C14=3,120+(Inputs!$B$27+1)+Inputs!$B$29,MAX(0,(Inputs!$B$3-100)*3)+Inputs!$B$28+Inputs!$B$29)))</f>
        <v/>
      </c>
      <c r="E764">
        <f>INDEX(FactorTable!$B$2:$Y$301, MATCH(ROUND(MIN(300,MAX(1,D764)),0), FactorTable!$A$2:$A$301,0), Skills!L14+1)</f>
        <v/>
      </c>
      <c r="F764">
        <f>IF(Skills!M14=TRUE,(Skills!K14/10)*(E764/1000),Skills!K14/10)+Skills!N14</f>
        <v/>
      </c>
      <c r="G764">
        <f>Calc!G14</f>
        <v/>
      </c>
      <c r="H764">
        <f>Calc!H14</f>
        <v/>
      </c>
      <c r="I764">
        <f>IF(Skills!T14&lt;&gt;"",1+(Skills!T14/10)*(Z753/1000)/100,1)</f>
        <v/>
      </c>
      <c r="J764" t="inlineStr"/>
      <c r="K764" t="inlineStr"/>
      <c r="L764" t="inlineStr"/>
      <c r="M764" t="inlineStr"/>
      <c r="N764" t="inlineStr"/>
      <c r="O764">
        <f>(1-Summary!$B$11)*S764+Summary!$B$11*U764</f>
        <v/>
      </c>
      <c r="P764">
        <f>IF(B787=0,0,O764/B787)</f>
        <v/>
      </c>
      <c r="Q764">
        <f>IFERROR(1/IF(Inputs!$B$38="pvp",15,MAX(0.1,Skills!D14-IF(Skills!E14=TRUE,Inputs!$B$32,0))),0)</f>
        <v/>
      </c>
      <c r="R764" t="n">
        <v>0</v>
      </c>
      <c r="S764" t="n">
        <v>0</v>
      </c>
      <c r="U764" t="n">
        <v>0</v>
      </c>
    </row>
    <row r="765">
      <c r="A765">
        <f>Skills!A15</f>
        <v/>
      </c>
      <c r="B765">
        <f>Skills!B15</f>
        <v/>
      </c>
      <c r="C765">
        <f>Inputs!$B$3&gt;=75</f>
        <v/>
      </c>
      <c r="D765">
        <f>IF(Skills!C15=1,60+Inputs!$B$25+Inputs!$B$29,IF(Skills!C15=2,90+Inputs!$B$26+Inputs!$B$29,IF(Skills!C15=3,120+(Inputs!$B$27+1)+Inputs!$B$29,MAX(0,(Inputs!$B$3-100)*3)+Inputs!$B$28+Inputs!$B$29)))</f>
        <v/>
      </c>
      <c r="E765">
        <f>INDEX(FactorTable!$B$2:$Y$301, MATCH(ROUND(MIN(300,MAX(1,D765)),0), FactorTable!$A$2:$A$301,0), Skills!L15+1)</f>
        <v/>
      </c>
      <c r="F765">
        <f>IF(Skills!M15=TRUE,(Skills!K15/10)*(E765/1000),Skills!K15/10)+Skills!N15</f>
        <v/>
      </c>
      <c r="G765">
        <f>Calc!G15</f>
        <v/>
      </c>
      <c r="H765">
        <f>Calc!H15</f>
        <v/>
      </c>
      <c r="I765">
        <f>IF(Skills!T15&lt;&gt;"",1+(Skills!T15/10)*(Z753/1000)/100,1)</f>
        <v/>
      </c>
      <c r="J765" t="inlineStr"/>
      <c r="K765" t="inlineStr"/>
      <c r="L765" t="inlineStr"/>
      <c r="M765" t="inlineStr"/>
      <c r="N765" t="inlineStr"/>
      <c r="O765">
        <f>(1-Summary!$B$11)*S765+Summary!$B$11*U765</f>
        <v/>
      </c>
      <c r="P765">
        <f>IF(B787=0,0,O765/B787)</f>
        <v/>
      </c>
      <c r="Q765">
        <f>IFERROR(1/IF(Inputs!$B$38="pvp",15,MAX(0.1,Skills!D15-IF(Skills!E15=TRUE,Inputs!$B$32,0))),0)</f>
        <v/>
      </c>
      <c r="R765" t="n">
        <v>0</v>
      </c>
      <c r="S765" t="n">
        <v>0</v>
      </c>
      <c r="U765" t="n">
        <v>0</v>
      </c>
    </row>
    <row r="766">
      <c r="A766">
        <f>Skills!A16</f>
        <v/>
      </c>
      <c r="B766">
        <f>Skills!B16</f>
        <v/>
      </c>
      <c r="C766">
        <f>Inputs!$B$3&gt;=110</f>
        <v/>
      </c>
      <c r="D766">
        <f>IF(Skills!C16=1,60+Inputs!$B$25+Inputs!$B$29,IF(Skills!C16=2,90+Inputs!$B$26+Inputs!$B$29,IF(Skills!C16=3,120+(Inputs!$B$27+1)+Inputs!$B$29,MAX(0,(Inputs!$B$3-100)*3)+Inputs!$B$28+Inputs!$B$29)))</f>
        <v/>
      </c>
      <c r="E766">
        <f>INDEX(FactorTable!$B$2:$Y$301, MATCH(ROUND(MIN(300,MAX(1,D766)),0), FactorTable!$A$2:$A$301,0), Skills!L16+1)</f>
        <v/>
      </c>
      <c r="F766">
        <f>(Skills!K16/10)*(E766/1000)*64/45+Skills!N16</f>
        <v/>
      </c>
      <c r="G766">
        <f>Calc!G16</f>
        <v/>
      </c>
      <c r="H766">
        <f>Calc!H16</f>
        <v/>
      </c>
      <c r="I766">
        <f>IF(Skills!T16&lt;&gt;"",1+(Skills!T16/10)*(Z753/1000)/100,1)</f>
        <v/>
      </c>
      <c r="J766" t="inlineStr"/>
      <c r="K766" t="inlineStr"/>
      <c r="L766" t="inlineStr"/>
      <c r="M766" t="inlineStr"/>
      <c r="N766" t="inlineStr"/>
      <c r="O766">
        <f>(1-Summary!$B$11)*S766+Summary!$B$11*U766</f>
        <v/>
      </c>
      <c r="P766">
        <f>IF(B787=0,0,O766/B787)</f>
        <v/>
      </c>
      <c r="Q766">
        <f>IFERROR(1/IF(Inputs!$B$38="pvp",15,MAX(0.1,Skills!D16-IF(Skills!E16=TRUE,Inputs!$B$32,0))),0)</f>
        <v/>
      </c>
      <c r="R766">
        <f>IF(AND(Inputs!$B$38&lt;&gt;"pvp",Inputs!$B$43&gt;0),IF(Inputs!$B$43&lt;=0,0,(INT(Inputs!$B$43/IF(Inputs!$B$38="pvp",15,MAX(0.1,Skills!D16-IF(Skills!E16=TRUE,Inputs!$B$32,0))))+1)),0)</f>
        <v/>
      </c>
      <c r="S766" t="n">
        <v>0</v>
      </c>
      <c r="U766" t="n">
        <v>0</v>
      </c>
    </row>
    <row r="767">
      <c r="A767">
        <f>Skills!A17</f>
        <v/>
      </c>
      <c r="B767">
        <f>Skills!B17</f>
        <v/>
      </c>
      <c r="C767">
        <f>Inputs!$B$3&gt;=33</f>
        <v/>
      </c>
      <c r="D767">
        <f>IF(Skills!C17=1,60+Inputs!$B$25+Inputs!$B$29,IF(Skills!C17=2,90+Inputs!$B$26+Inputs!$B$29,IF(Skills!C17=3,120+(Inputs!$B$27+1)+Inputs!$B$29,MAX(0,(Inputs!$B$3-100)*3)+Inputs!$B$28+Inputs!$B$29)))</f>
        <v/>
      </c>
      <c r="E767">
        <f>INDEX(FactorTable!$B$2:$Y$301, MATCH(ROUND(MIN(300,MAX(1,D767)),0), FactorTable!$A$2:$A$301,0), Skills!L17+1)</f>
        <v/>
      </c>
      <c r="F767">
        <f>IF(Skills!M17=TRUE,(Skills!K17/10)*(E767/1000),Skills!K17/10)+Skills!N17</f>
        <v/>
      </c>
      <c r="G767">
        <f>Calc!G17</f>
        <v/>
      </c>
      <c r="H767">
        <f>Calc!H17</f>
        <v/>
      </c>
      <c r="I767">
        <f>IF(Skills!T17&lt;&gt;"",1+(Skills!T17/10)*(Z753/1000)/100,1)</f>
        <v/>
      </c>
      <c r="J767" t="inlineStr"/>
      <c r="K767" t="inlineStr"/>
      <c r="L767" t="inlineStr"/>
      <c r="M767" t="inlineStr"/>
      <c r="N767" t="inlineStr"/>
      <c r="O767">
        <f>(1-Summary!$B$11)*S767+Summary!$B$11*U767</f>
        <v/>
      </c>
      <c r="P767">
        <f>IF(B787=0,0,O767/B787)</f>
        <v/>
      </c>
      <c r="Q767">
        <f>IFERROR(1/IF(Inputs!$B$38="pvp",15,MAX(0.1,Skills!D17-IF(Skills!E17=TRUE,Inputs!$B$32,0))),0)</f>
        <v/>
      </c>
      <c r="R767" t="n">
        <v>0</v>
      </c>
      <c r="S767" t="n">
        <v>0</v>
      </c>
      <c r="U767" t="n">
        <v>0</v>
      </c>
    </row>
    <row r="768">
      <c r="A768">
        <f>Skills!A18</f>
        <v/>
      </c>
      <c r="B768">
        <f>Skills!B18</f>
        <v/>
      </c>
      <c r="C768">
        <f>Inputs!$B$3&gt;=43</f>
        <v/>
      </c>
      <c r="D768">
        <f>IF(Skills!C18=1,60+Inputs!$B$25+Inputs!$B$29,IF(Skills!C18=2,90+Inputs!$B$26+Inputs!$B$29,IF(Skills!C18=3,120+(Inputs!$B$27+1)+Inputs!$B$29,MAX(0,(Inputs!$B$3-100)*3)+Inputs!$B$28+Inputs!$B$29)))</f>
        <v/>
      </c>
      <c r="E768">
        <f>INDEX(FactorTable!$B$2:$Y$301, MATCH(ROUND(MIN(300,MAX(1,D768)),0), FactorTable!$A$2:$A$301,0), Skills!L18+1)</f>
        <v/>
      </c>
      <c r="F768">
        <f>IF(Skills!M18=TRUE,(Skills!K18/10)*(E768/1000),Skills!K18/10)+Skills!N18</f>
        <v/>
      </c>
      <c r="G768">
        <f>Calc!G18</f>
        <v/>
      </c>
      <c r="H768">
        <f>Calc!H18</f>
        <v/>
      </c>
      <c r="I768">
        <f>IF(Skills!T18&lt;&gt;"",1+(Skills!T18/10)*(Z753/1000)/100,1)</f>
        <v/>
      </c>
      <c r="J768" t="inlineStr"/>
      <c r="K768" t="inlineStr"/>
      <c r="L768" t="inlineStr"/>
      <c r="M768" t="inlineStr"/>
      <c r="N768" t="inlineStr"/>
      <c r="O768">
        <f>(1-Summary!$B$11)*S768+Summary!$B$11*U768</f>
        <v/>
      </c>
      <c r="P768">
        <f>IF(B787=0,0,O768/B787)</f>
        <v/>
      </c>
      <c r="Q768">
        <f>IFERROR(1/IF(Inputs!$B$38="pvp",15,MAX(0.1,Skills!D18-IF(Skills!E18=TRUE,Inputs!$B$32,0))),0)</f>
        <v/>
      </c>
      <c r="R768" t="n">
        <v>0</v>
      </c>
      <c r="S768" t="n">
        <v>0</v>
      </c>
      <c r="U768" t="n">
        <v>0</v>
      </c>
    </row>
    <row r="769">
      <c r="A769">
        <f>Skills!A19</f>
        <v/>
      </c>
      <c r="B769">
        <f>Skills!B19</f>
        <v/>
      </c>
      <c r="C769">
        <f>Inputs!$B$3&gt;=50</f>
        <v/>
      </c>
      <c r="D769">
        <f>IF(Skills!C19=1,60+Inputs!$B$25+Inputs!$B$29,IF(Skills!C19=2,90+Inputs!$B$26+Inputs!$B$29,IF(Skills!C19=3,120+(Inputs!$B$27+1)+Inputs!$B$29,MAX(0,(Inputs!$B$3-100)*3)+Inputs!$B$28+Inputs!$B$29)))</f>
        <v/>
      </c>
      <c r="E769">
        <f>INDEX(FactorTable!$B$2:$Y$301, MATCH(ROUND(MIN(300,MAX(1,D769)),0), FactorTable!$A$2:$A$301,0), Skills!L19+1)</f>
        <v/>
      </c>
      <c r="F769">
        <f>IF(Skills!M19=TRUE,(Skills!K19/10)*(E769/1000),Skills!K19/10)+Skills!N19</f>
        <v/>
      </c>
      <c r="G769">
        <f>Calc!G19</f>
        <v/>
      </c>
      <c r="H769">
        <f>Calc!H19</f>
        <v/>
      </c>
      <c r="I769">
        <f>IF(Skills!T19&lt;&gt;"",1+(Skills!T19/10)*(Z753/1000)/100,1)</f>
        <v/>
      </c>
      <c r="J769" t="inlineStr"/>
      <c r="K769" t="inlineStr"/>
      <c r="L769" t="inlineStr"/>
      <c r="M769" t="inlineStr"/>
      <c r="N769" t="inlineStr"/>
      <c r="O769">
        <f>(1-Summary!$B$11)*S769+Summary!$B$11*U769</f>
        <v/>
      </c>
      <c r="P769">
        <f>IF(B787=0,0,O769/B787)</f>
        <v/>
      </c>
      <c r="Q769">
        <f>IFERROR(1/IF(Inputs!$B$38="pvp",15,MAX(0.1,Skills!D19-IF(Skills!E19=TRUE,Inputs!$B$32,0))),0)</f>
        <v/>
      </c>
      <c r="R769" t="n">
        <v>0</v>
      </c>
      <c r="S769" t="n">
        <v>0</v>
      </c>
      <c r="U769" t="n">
        <v>0</v>
      </c>
    </row>
    <row r="770">
      <c r="A770">
        <f>Skills!A20</f>
        <v/>
      </c>
      <c r="B770">
        <f>Skills!B20</f>
        <v/>
      </c>
      <c r="C770">
        <f>Inputs!$B$3&gt;=74</f>
        <v/>
      </c>
      <c r="D770">
        <f>IF(Skills!C20=1,60+Inputs!$B$25+Inputs!$B$29,IF(Skills!C20=2,90+Inputs!$B$26+Inputs!$B$29,IF(Skills!C20=3,120+(Inputs!$B$27+1)+Inputs!$B$29,MAX(0,(Inputs!$B$3-100)*3)+Inputs!$B$28+Inputs!$B$29)))</f>
        <v/>
      </c>
      <c r="E770">
        <f>INDEX(FactorTable!$B$2:$Y$301, MATCH(ROUND(MIN(300,MAX(1,D770)),0), FactorTable!$A$2:$A$301,0), Skills!L20+1)</f>
        <v/>
      </c>
      <c r="F770">
        <f>IF(Skills!M20=TRUE,(Skills!K20/10)*(E770/1000),Skills!K20/10)+Skills!N20</f>
        <v/>
      </c>
      <c r="G770">
        <f>Calc!G20</f>
        <v/>
      </c>
      <c r="H770">
        <f>Calc!H20</f>
        <v/>
      </c>
      <c r="I770">
        <f>IF(Skills!T20&lt;&gt;"",1+(Skills!T20/10)*(Z753/1000)/100,1)</f>
        <v/>
      </c>
      <c r="J770" t="inlineStr"/>
      <c r="K770" t="inlineStr"/>
      <c r="L770" t="inlineStr"/>
      <c r="M770" t="inlineStr"/>
      <c r="N770" t="inlineStr"/>
      <c r="O770">
        <f>(1-Summary!$B$11)*S770+Summary!$B$11*U770</f>
        <v/>
      </c>
      <c r="P770">
        <f>IF(B787=0,0,O770/B787)</f>
        <v/>
      </c>
      <c r="Q770">
        <f>IFERROR(1/IF(Inputs!$B$38="pvp",15,MAX(0.1,Skills!D20-IF(Skills!E20=TRUE,Inputs!$B$32,0))),0)</f>
        <v/>
      </c>
      <c r="R770" t="n">
        <v>0</v>
      </c>
      <c r="S770" t="n">
        <v>0</v>
      </c>
      <c r="U770" t="n">
        <v>0</v>
      </c>
    </row>
    <row r="771">
      <c r="A771">
        <f>Skills!A21</f>
        <v/>
      </c>
      <c r="B771">
        <f>Skills!B21</f>
        <v/>
      </c>
      <c r="C771">
        <f>Inputs!$B$3&gt;=74</f>
        <v/>
      </c>
      <c r="D771">
        <f>IF(Skills!C21=1,60+Inputs!$B$25+Inputs!$B$29,IF(Skills!C21=2,90+Inputs!$B$26+Inputs!$B$29,IF(Skills!C21=3,120+(Inputs!$B$27+1)+Inputs!$B$29,MAX(0,(Inputs!$B$3-100)*3)+Inputs!$B$28+Inputs!$B$29)))</f>
        <v/>
      </c>
      <c r="E771">
        <f>INDEX(FactorTable!$B$2:$Y$301, MATCH(ROUND(MIN(300,MAX(1,D771)),0), FactorTable!$A$2:$A$301,0), Skills!L21+1)</f>
        <v/>
      </c>
      <c r="F771">
        <f>IF(Skills!M21=TRUE,(Skills!K21/10)*(E771/1000),Skills!K21/10)+Skills!N21</f>
        <v/>
      </c>
      <c r="G771">
        <f>Calc!G21</f>
        <v/>
      </c>
      <c r="H771">
        <f>Calc!H21</f>
        <v/>
      </c>
      <c r="I771">
        <f>IF(Skills!T21&lt;&gt;"",1+(Skills!T21/10)*(Z753/1000)/100,1)</f>
        <v/>
      </c>
      <c r="J771" t="inlineStr"/>
      <c r="K771" t="inlineStr"/>
      <c r="L771" t="inlineStr"/>
      <c r="M771" t="inlineStr"/>
      <c r="N771" t="inlineStr"/>
      <c r="O771">
        <f>(1-Summary!$B$11)*S771+Summary!$B$11*U771</f>
        <v/>
      </c>
      <c r="P771">
        <f>IF(B787=0,0,O771/B787)</f>
        <v/>
      </c>
      <c r="Q771">
        <f>IFERROR(1/IF(Inputs!$B$38="pvp",15,MAX(0.1,Skills!D21-IF(Skills!E21=TRUE,Inputs!$B$32,0))),0)</f>
        <v/>
      </c>
      <c r="R771" t="n">
        <v>0</v>
      </c>
      <c r="S771" t="n">
        <v>0</v>
      </c>
      <c r="U771" t="n">
        <v>0</v>
      </c>
    </row>
    <row r="772">
      <c r="A772">
        <f>Skills!A22</f>
        <v/>
      </c>
      <c r="B772">
        <f>Skills!B22</f>
        <v/>
      </c>
      <c r="C772">
        <f>Inputs!$B$3&gt;=117</f>
        <v/>
      </c>
      <c r="D772">
        <f>IF(Skills!C22=1,60+Inputs!$B$25+Inputs!$B$29,IF(Skills!C22=2,90+Inputs!$B$26+Inputs!$B$29,IF(Skills!C22=3,120+(Inputs!$B$27+1)+Inputs!$B$29,MAX(0,(Inputs!$B$3-100)*3)+Inputs!$B$28+Inputs!$B$29)))</f>
        <v/>
      </c>
      <c r="E772">
        <f>INDEX(FactorTable!$B$2:$Y$301, MATCH(ROUND(MIN(300,MAX(1,D772)),0), FactorTable!$A$2:$A$301,0), Skills!L22+1)</f>
        <v/>
      </c>
      <c r="F772">
        <f>IF(Skills!M22=TRUE,(Skills!K22/10)*(E772/1000),Skills!K22/10)+Skills!N22</f>
        <v/>
      </c>
      <c r="G772">
        <f>Calc!G22</f>
        <v/>
      </c>
      <c r="H772">
        <f>Calc!H22</f>
        <v/>
      </c>
      <c r="I772">
        <f>IF(Skills!T22&lt;&gt;"",1+(Skills!T22/10)*(Z753/1000)/100,1)</f>
        <v/>
      </c>
      <c r="J772" t="inlineStr"/>
      <c r="K772" t="inlineStr"/>
      <c r="L772" t="inlineStr"/>
      <c r="M772" t="inlineStr"/>
      <c r="N772" t="inlineStr"/>
      <c r="O772">
        <f>(1-Summary!$B$11)*S772+Summary!$B$11*U772</f>
        <v/>
      </c>
      <c r="P772">
        <f>IF(B787=0,0,O772/B787)</f>
        <v/>
      </c>
      <c r="Q772">
        <f>IFERROR(1/IF(Inputs!$B$38="pvp",15,MAX(0.1,Skills!D22-IF(Skills!E22=TRUE,Inputs!$B$32,0))),0)</f>
        <v/>
      </c>
      <c r="R772" t="n">
        <v>0</v>
      </c>
      <c r="S772" t="n">
        <v>0</v>
      </c>
      <c r="U772" t="n">
        <v>0</v>
      </c>
    </row>
    <row r="773">
      <c r="A773">
        <f>Skills!A23</f>
        <v/>
      </c>
      <c r="B773">
        <f>Skills!B23</f>
        <v/>
      </c>
      <c r="C773">
        <f>Inputs!$B$3&gt;=120</f>
        <v/>
      </c>
      <c r="D773">
        <f>IF(Skills!C23=1,60+Inputs!$B$25+Inputs!$B$29,IF(Skills!C23=2,90+Inputs!$B$26+Inputs!$B$29,IF(Skills!C23=3,120+(Inputs!$B$27+1)+Inputs!$B$29,MAX(0,(Inputs!$B$3-100)*3)+Inputs!$B$28+Inputs!$B$29)))</f>
        <v/>
      </c>
      <c r="E773">
        <f>INDEX(FactorTable!$B$2:$Y$301, MATCH(ROUND(MIN(300,MAX(1,D773)),0), FactorTable!$A$2:$A$301,0), Skills!L23+1)</f>
        <v/>
      </c>
      <c r="F773">
        <f>IF(Skills!M23=TRUE,(Skills!K23/10)*(E773/1000),Skills!K23/10)+Skills!N23</f>
        <v/>
      </c>
      <c r="G773">
        <f>Calc!G23</f>
        <v/>
      </c>
      <c r="H773">
        <f>Calc!H23</f>
        <v/>
      </c>
      <c r="I773">
        <f>IF(Skills!T23&lt;&gt;"",1+(Skills!T23/10)*(Z753/1000)/100,1)</f>
        <v/>
      </c>
      <c r="J773" t="inlineStr"/>
      <c r="K773" t="inlineStr"/>
      <c r="L773" t="inlineStr"/>
      <c r="M773" t="inlineStr"/>
      <c r="N773" t="inlineStr"/>
      <c r="O773">
        <f>(1-Summary!$B$11)*S773+Summary!$B$11*U773</f>
        <v/>
      </c>
      <c r="P773">
        <f>IF(B787=0,0,O773/B787)</f>
        <v/>
      </c>
      <c r="Q773">
        <f>IFERROR(1/IF(Inputs!$B$38="pvp",15,MAX(0.1,Skills!D23-IF(Skills!E23=TRUE,Inputs!$B$32,0))),0)</f>
        <v/>
      </c>
      <c r="R773" t="n">
        <v>0</v>
      </c>
      <c r="S773" t="n">
        <v>0</v>
      </c>
      <c r="U773" t="n">
        <v>0</v>
      </c>
    </row>
    <row r="774">
      <c r="A774">
        <f>Skills!A24</f>
        <v/>
      </c>
      <c r="B774">
        <f>Skills!B24</f>
        <v/>
      </c>
      <c r="C774">
        <f>TRUE</f>
        <v/>
      </c>
      <c r="D774">
        <f>IF(Skills!C24=1,60+Inputs!$B$25+Inputs!$B$29,IF(Skills!C24=2,90+Inputs!$B$26+Inputs!$B$29,IF(Skills!C24=3,120+(Inputs!$B$27+1)+Inputs!$B$29,MAX(0,(Inputs!$B$3-100)*3)+Inputs!$B$28+Inputs!$B$29)))</f>
        <v/>
      </c>
      <c r="E774">
        <f>INDEX(FactorTable!$B$2:$Y$301, MATCH(ROUND(MIN(300,MAX(1,D774)),0), FactorTable!$A$2:$A$301,0), Skills!L24+1)</f>
        <v/>
      </c>
      <c r="F774">
        <f>IF(Skills!M24=TRUE,(Skills!K24/10)*(E774/1000),Skills!K24/10)+Skills!N24</f>
        <v/>
      </c>
      <c r="G774">
        <f>Calc!G24</f>
        <v/>
      </c>
      <c r="H774">
        <f>Calc!H24</f>
        <v/>
      </c>
      <c r="I774">
        <f>IF(Skills!T24&lt;&gt;"",1+(Skills!T24/10)*(Z753/1000)/100,1)</f>
        <v/>
      </c>
      <c r="J774" t="inlineStr"/>
      <c r="K774" t="inlineStr"/>
      <c r="L774" t="inlineStr"/>
      <c r="M774" t="inlineStr"/>
      <c r="N774" t="inlineStr"/>
      <c r="O774">
        <f>(1-Summary!$B$11)*S774+Summary!$B$11*U774</f>
        <v/>
      </c>
      <c r="P774">
        <f>IF(B787=0,0,O774/B787)</f>
        <v/>
      </c>
      <c r="Q774">
        <f>IFERROR(1/IF(Inputs!$B$38="pvp",15,MAX(0.1,Skills!D24-IF(Skills!E24=TRUE,Inputs!$B$32,0))),0)</f>
        <v/>
      </c>
      <c r="R774">
        <f>IF(AND(Inputs!$B$38&lt;&gt;"pvp",Inputs!$B$43&gt;0),IF(Inputs!$B$43&lt;=0,0,(INT(Inputs!$B$43/IF(Inputs!$B$38="pvp",15,MAX(0.1,Skills!D24-IF(Skills!E24=TRUE,Inputs!$B$32,0))))+1)),0)</f>
        <v/>
      </c>
      <c r="S774" t="n">
        <v>0</v>
      </c>
      <c r="U774" t="n">
        <v>0</v>
      </c>
    </row>
    <row r="777">
      <c r="A777" t="inlineStr">
        <is>
          <t>Average Buff Multiplier (Magic Guard + Meditation + Artifact Attack%, summed; then Infinity)</t>
        </is>
      </c>
      <c r="B777">
        <f>(1+(IF(C753=TRUE,F753*IF(AND(Inputs!$B$38&lt;&gt;"pvp",Inputs!$B$43&gt;0),(((R753-1)*(Skills!S3*(1+(Inputs!$B$34)/100))+MIN((Skills!S3*(1+(Inputs!$B$34)/100)),MAX(0,Inputs!$B$43-((R753-1)*Skills!D3))))/Inputs!$B$43),IF(Inputs!$B$38="pvp",MIN((Skills!S3*(1+(Inputs!$B$34)/100)),15)/15,(Skills!S3*(1+(Inputs!$B$34)/100))/Skills!D3)),0)+IF(C754=TRUE,F754*IF(AND(Inputs!$B$38&lt;&gt;"pvp",Inputs!$B$43&gt;0),(((R754-1)*(Skills!S4*(1+(Inputs!$B$34)/100))+MIN((Skills!S4*(1+(Inputs!$B$34)/100)),MAX(0,Inputs!$B$43-((R754-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766=TRUE,(1+F766*IF(AND(Inputs!$B$38&lt;&gt;"pvp",Inputs!$B$43&gt;0),(((R766-1)*(Skills!S16*(1+(Inputs!$B$34)/100))+MIN((Skills!S16*(1+(Inputs!$B$34)/100)),MAX(0,Inputs!$B$43-((R766-1)*Skills!D16))))/Inputs!$B$43),IF(Inputs!$B$38="pvp",MIN((Skills!S16*(1+(Inputs!$B$34)/100)),15)/15,(Skills!S16*(1+(Inputs!$B$34)/100))/Skills!D16))/100),1)</f>
        <v/>
      </c>
    </row>
    <row r="778">
      <c r="A778" t="inlineStr">
        <is>
          <t>Monster Damage Taken Bonus % (Freezing Breath - Weaken + Elemental Reset + Artifact Enemy Damage Taken, summed)</t>
        </is>
      </c>
      <c r="B778">
        <f>IF(Inputs!$B$3&gt;=118,15*IF(Inputs!$B$38="pvp",MIN((30*(1+(Inputs!$B$34)/100)),15)/15,(30*(1+(Inputs!$B$34)/100))/Skills!D8),0)+IF(C764=TRUE,F764,0)+(IF(AND(ArtifactsInput!$M$35,Inputs!$B$4&lt;&gt;"Chapter Hunt"),CHOOSE(ArtifactsInput!$N$35+1,15,18,21,24,27,30)*(1-EXP(-(0.2*B781)*5)),0)+IF(AND(ArtifactsInput!$M$22,Inputs!$B$4&lt;&gt;"Chapter Hunt"),CHOOSE(ArtifactsInput!$N$22+1,10,12,14,16,18,20)*((0*(((0.15*B781*5))^0/1)+1*(((0.15*B781*5))^1/1)+2*(((0.15*B781*5))^2/2)+3*(((0.15*B781*5))^3/6)+4*(((0.15*B781*5))^4/24)+5*(((0.15*B781*5))^5/120))/((((0.15*B781*5))^0/1)+(((0.15*B781*5))^1/1)+(((0.15*B781*5))^2/2)+(((0.15*B781*5))^3/6)+(((0.15*B781*5))^4/24)+(((0.15*B781*5))^5/120))),0))</f>
        <v/>
      </c>
    </row>
    <row r="779">
      <c r="A779" t="inlineStr">
        <is>
          <t>Damage % Bonus (Frozen Break + Frost Clutch, flat)</t>
        </is>
      </c>
      <c r="B779">
        <f>IF(Inputs!$B$3&gt;=66,15,0)+IF(Inputs!$B$3&gt;=98,10,0)+IF(Inputs!$B$3&gt;=125,20,0)</f>
        <v/>
      </c>
    </row>
    <row r="780">
      <c r="A780" t="inlineStr">
        <is>
          <t>Attack Speed Bonus % (MP Eater - MP Boost, always-on + Nimble Feet, duty-cycle averaged)</t>
        </is>
      </c>
      <c r="B780">
        <f>IF(C763=TRUE,F763+(F767-Calc!F17),0)+((C774=TRUE)*F774*IF(AND(Inputs!$B$38&lt;&gt;"pvp",Inputs!$B$43&gt;0),(((R774-1)*(Skills!S24*(1+(Inputs!$B$34)/100))+MIN((Skills!S24*(1+(Inputs!$B$34)/100)),MAX(0,Inputs!$B$43-((R774-1)*Skills!D24))))/Inputs!$B$43),IF(Inputs!$B$38="pvp",MIN((Skills!S24*(1+(Inputs!$B$34)/100)),15)/15,(Skills!S24*(1+(Inputs!$B$34)/100))/Skills!D24)))</f>
        <v/>
      </c>
    </row>
    <row r="781">
      <c r="A781" t="inlineStr">
        <is>
          <t>Actions Per Second</t>
        </is>
      </c>
      <c r="B781">
        <f>1+MIN(150,150*(1-(1-(Inputs!$B$11+(ArtifactsInput!$M$15-ArtifactsInput!$M$15)*CHOOSE(ArtifactsInput!$N$15+1,8,9.6,11.2,12.8,14.4,16))/150)*(1-B780/150)))/100</f>
        <v/>
      </c>
    </row>
    <row r="782">
      <c r="A782" t="inlineStr">
        <is>
          <t>Skill + Buff Cast Rate</t>
        </is>
      </c>
      <c r="B782">
        <f>IF(AND(Inputs!$B$38&lt;&gt;"pvp",Inputs!$B$43&gt;0),SUMPRODUCT((Skills!E2:E24=TRUE)*(C752:C774=TRUE)*R752:R774)/Inputs!$B$43,SUMPRODUCT((Skills!E2:E24=TRUE)*(C752:C774=TRUE)*Q752:Q774))</f>
        <v/>
      </c>
    </row>
    <row r="783">
      <c r="A783" t="inlineStr">
        <is>
          <t>Chain Lightning Casts Per Second</t>
        </is>
      </c>
      <c r="B783">
        <f>MAX(0,B781-B782)</f>
        <v/>
      </c>
    </row>
    <row r="784">
      <c r="A784" t="inlineStr">
        <is>
          <t>Buff-Casting Startup Delay (s, fixed-duration only)</t>
        </is>
      </c>
      <c r="B784">
        <f>IF(AND(Inputs!$B$38&lt;&gt;"pvp",Inputs!$B$43&gt;0),SUMPRODUCT((Skills!S2:S24&gt;0)*(Skills!E2:E24=TRUE)*(C752:C774=TRUE))/B781,0)</f>
        <v/>
      </c>
    </row>
    <row r="785">
      <c r="A785" t="inlineStr">
        <is>
          <t>Boss-Only Total DPS (this block's swept value)</t>
        </is>
      </c>
      <c r="B785">
        <f>SUM(S752:S774)</f>
        <v/>
      </c>
    </row>
    <row r="786">
      <c r="A786" t="inlineStr">
        <is>
          <t>Normal-Only Total DPS (this block's swept value)</t>
        </is>
      </c>
      <c r="B786">
        <f>SUM(U752:U774)</f>
        <v/>
      </c>
    </row>
    <row r="787">
      <c r="A787" s="6" t="inlineStr">
        <is>
          <t>TOTAL DPS</t>
        </is>
      </c>
      <c r="B787" s="6">
        <f>SUM(O752:O774)</f>
        <v/>
      </c>
    </row>
    <row r="790">
      <c r="A790" s="6" t="inlineStr">
        <is>
          <t>Stat: Skill Level Bonus — 4th Job</t>
        </is>
      </c>
    </row>
    <row r="791">
      <c r="A791" s="5" t="inlineStr">
        <is>
          <t>Key</t>
        </is>
      </c>
      <c r="B791" s="5" t="inlineStr">
        <is>
          <t>Name</t>
        </is>
      </c>
      <c r="C791" s="5" t="inlineStr">
        <is>
          <t>Unlocked</t>
        </is>
      </c>
      <c r="D791" s="5" t="inlineStr">
        <is>
          <t>InputLevel</t>
        </is>
      </c>
      <c r="E791" s="5" t="inlineStr">
        <is>
          <t>Factor</t>
        </is>
      </c>
      <c r="F791" s="5" t="inlineStr">
        <is>
          <t>CoefficientPercent</t>
        </is>
      </c>
      <c r="G791" s="5" t="inlineStr">
        <is>
          <t>EffectiveHits</t>
        </is>
      </c>
      <c r="H791" s="5" t="inlineStr">
        <is>
          <t>ProcProbability</t>
        </is>
      </c>
      <c r="I791" s="5" t="inlineStr">
        <is>
          <t>MapleHeroMultiplier</t>
        </is>
      </c>
      <c r="J791" s="5" t="inlineStr">
        <is>
          <t>BaseDamage</t>
        </is>
      </c>
      <c r="K791" s="5" t="inlineStr">
        <is>
          <t>BaseHitDamage</t>
        </is>
      </c>
      <c r="L791" s="5" t="inlineStr">
        <is>
          <t>NonCritAvg</t>
        </is>
      </c>
      <c r="M791" s="5" t="inlineStr">
        <is>
          <t>CritAvg</t>
        </is>
      </c>
      <c r="N791" s="5" t="inlineStr">
        <is>
          <t>ExpectedDamage(perHit)</t>
        </is>
      </c>
      <c r="O791" s="5" t="inlineStr">
        <is>
          <t>DPS</t>
        </is>
      </c>
      <c r="P791" s="5" t="inlineStr">
        <is>
          <t>% of Total</t>
        </is>
      </c>
      <c r="R791" t="inlineStr">
        <is>
          <t>helpers</t>
        </is>
      </c>
    </row>
    <row r="792">
      <c r="A792">
        <f>Skills!A2</f>
        <v/>
      </c>
      <c r="B792">
        <f>Skills!B2</f>
        <v/>
      </c>
      <c r="C792">
        <f>Inputs!$B$3&gt;=100</f>
        <v/>
      </c>
      <c r="D792" t="inlineStr"/>
      <c r="E792" t="inlineStr"/>
      <c r="F792">
        <f>T794+Skills!N2</f>
        <v/>
      </c>
      <c r="G792">
        <f>Calc!G2</f>
        <v/>
      </c>
      <c r="H792">
        <f>Calc!H2</f>
        <v/>
      </c>
      <c r="I792">
        <f>IF(Skills!T2&lt;&gt;"",1+(Skills!T2/10)*(Z793/1000)/100,1)</f>
        <v/>
      </c>
      <c r="J792">
        <f>((Inputs!$B$6*(1+Inputs!$B$7/100))+(((Inputs!$B$12*(1+Inputs!$B$13/100))-(Inputs!$B$12*(1+Inputs!$B$13/100)))+0.25*(Inputs!$B$14-Inputs!$B$14))*(1+Inputs!$B$7/100))*(F792/100)</f>
        <v/>
      </c>
      <c r="K792">
        <f>J792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2="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F808-Calc!F18),(Inputs!$B$23+(IF(ArtifactsInput!$M$15,CHOOSE(ArtifactsInput!$N$15+1,25,30,35,40,45,50)/100*(Inputs!$B$11-Inputs!$B$11),0))))/100+(Inputs!$B$23+(IF(ArtifactsInput!$M$15,CHOOSE(ArtifactsInput!$N$15+1,25,30,35,40,45,50)/100*(Inputs!$B$11-Inputs!$B$11),0)))/100)/2</f>
        <v/>
      </c>
      <c r="M792">
        <f>L792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(1-Summary!$B$11)*S792+Summary!$B$11*U792</f>
        <v/>
      </c>
      <c r="P792">
        <f>IF(B827=0,0,O792/B827)</f>
        <v/>
      </c>
      <c r="Q792">
        <f>IFERROR(1/IF(Inputs!$B$38="pvp",15,MAX(0.1,Skills!D2-IF(Skills!E2=TRUE,Inputs!$B$32,0))),0)</f>
        <v/>
      </c>
      <c r="R792" t="n">
        <v>0</v>
      </c>
      <c r="S792">
        <f>IF(C792,(Skills!F2*N792*B823)*IF(Inputs!$B$38="pvp",1,1+(Inputs!$B$20+Skills!O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792*(1-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92">
        <f>MAX(0,(Inputs!$B$3-100)*3)+(Inputs!$B$28+1)+Inputs!$B$29</f>
        <v/>
      </c>
      <c r="U792">
        <f>IF(C792,(Skills!F2*N792*B823)*IF(Inputs!$B$38="pvp",1,(1+(Inputs!$B$21+Skills!P2+B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92">
        <f>MAX(0,(Inputs!$B$3-100)*3)+(Inputs!$B$28+1)+Inputs!$B$29</f>
        <v/>
      </c>
    </row>
    <row r="793">
      <c r="A793">
        <f>Skills!A3</f>
        <v/>
      </c>
      <c r="B793">
        <f>Skills!B3</f>
        <v/>
      </c>
      <c r="C793">
        <f>Inputs!$B$3&gt;=15</f>
        <v/>
      </c>
      <c r="D793">
        <f>IF(Skills!C3=1,60+Inputs!$B$25+Inputs!$B$29,IF(Skills!C3=2,90+Inputs!$B$26+Inputs!$B$29,IF(Skills!C3=3,120+Inputs!$B$27+Inputs!$B$29,MAX(0,(Inputs!$B$3-100)*3)+(Inputs!$B$28+1)+Inputs!$B$29)))</f>
        <v/>
      </c>
      <c r="E793">
        <f>INDEX(FactorTable!$B$2:$Y$301, MATCH(ROUND(MIN(300,MAX(1,D793)),0), FactorTable!$A$2:$A$301,0), Skills!L3+1)</f>
        <v/>
      </c>
      <c r="F793">
        <f>IF(Skills!M3=TRUE,(Skills!K3/10)*(E793/1000),Skills!K3/10)+Skills!N3</f>
        <v/>
      </c>
      <c r="G793">
        <f>Calc!G3</f>
        <v/>
      </c>
      <c r="H793">
        <f>Calc!H3</f>
        <v/>
      </c>
      <c r="I793">
        <f>IF(Skills!T3&lt;&gt;"",1+(Skills!T3/10)*(Z793/1000)/100,1)</f>
        <v/>
      </c>
      <c r="J793" t="inlineStr"/>
      <c r="K793" t="inlineStr"/>
      <c r="L793" t="inlineStr"/>
      <c r="M793" t="inlineStr"/>
      <c r="N793" t="inlineStr"/>
      <c r="O793">
        <f>(1-Summary!$B$11)*S793+Summary!$B$11*U793</f>
        <v/>
      </c>
      <c r="P793">
        <f>IF(B827=0,0,O793/B827)</f>
        <v/>
      </c>
      <c r="Q793">
        <f>IFERROR(1/IF(Inputs!$B$38="pvp",15,MAX(0.1,Skills!D3-IF(Skills!E3=TRUE,Inputs!$B$32,0))),0)</f>
        <v/>
      </c>
      <c r="R793">
        <f>IF(AND(Inputs!$B$38&lt;&gt;"pvp",Inputs!$B$43&gt;0),IF(Inputs!$B$43&lt;=0,0,(INT(Inputs!$B$43/IF(Inputs!$B$38="pvp",15,MAX(0.1,Skills!D3-IF(Skills!E3=TRUE,Inputs!$B$32,0))))+1)),0)</f>
        <v/>
      </c>
      <c r="S793" t="n">
        <v>0</v>
      </c>
      <c r="T793">
        <f>INDEX(FactorTable!$B$2:$Y$301, MATCH(ROUND(MIN(300,MAX(1,T792)),0), FactorTable!$A$2:$A$301,0), 22)</f>
        <v/>
      </c>
      <c r="U793" t="n">
        <v>0</v>
      </c>
      <c r="Z793">
        <f>INDEX(FactorTable!$B$2:$Y$301, MATCH(ROUND(MIN(300,MAX(1,Z792)),0), FactorTable!$A$2:$A$301,0), 24)</f>
        <v/>
      </c>
    </row>
    <row r="794">
      <c r="A794">
        <f>Skills!A4</f>
        <v/>
      </c>
      <c r="B794">
        <f>Skills!B4</f>
        <v/>
      </c>
      <c r="C794">
        <f>Inputs!$B$3&gt;=40</f>
        <v/>
      </c>
      <c r="D794">
        <f>IF(Skills!C4=1,60+Inputs!$B$25+Inputs!$B$29,IF(Skills!C4=2,90+Inputs!$B$26+Inputs!$B$29,IF(Skills!C4=3,120+Inputs!$B$27+Inputs!$B$29,MAX(0,(Inputs!$B$3-100)*3)+(Inputs!$B$28+1)+Inputs!$B$29)))</f>
        <v/>
      </c>
      <c r="E794">
        <f>INDEX(FactorTable!$B$2:$Y$301, MATCH(ROUND(MIN(300,MAX(1,D794)),0), FactorTable!$A$2:$A$301,0), Skills!L4+1)</f>
        <v/>
      </c>
      <c r="F794">
        <f>IF(Skills!M4=TRUE,(Skills!K4/10)*(E794/1000),Skills!K4/10)+Skills!N4</f>
        <v/>
      </c>
      <c r="G794">
        <f>Calc!G4</f>
        <v/>
      </c>
      <c r="H794">
        <f>Calc!H4</f>
        <v/>
      </c>
      <c r="I794">
        <f>IF(Skills!T4&lt;&gt;"",1+(Skills!T4/10)*(Z793/1000)/100,1)</f>
        <v/>
      </c>
      <c r="J794" t="inlineStr"/>
      <c r="K794" t="inlineStr"/>
      <c r="L794" t="inlineStr"/>
      <c r="M794" t="inlineStr"/>
      <c r="N794" t="inlineStr"/>
      <c r="O794">
        <f>(1-Summary!$B$11)*S794+Summary!$B$11*U794</f>
        <v/>
      </c>
      <c r="P794">
        <f>IF(B827=0,0,O794/B827)</f>
        <v/>
      </c>
      <c r="Q794">
        <f>IFERROR(1/IF(Inputs!$B$38="pvp",15,MAX(0.1,Skills!D4-IF(Skills!E4=TRUE,Inputs!$B$32,0))),0)</f>
        <v/>
      </c>
      <c r="R794">
        <f>IF(AND(Inputs!$B$38&lt;&gt;"pvp",Inputs!$B$43&gt;0),IF(Inputs!$B$43&lt;=0,0,(INT(Inputs!$B$43/IF(Inputs!$B$38="pvp",15,MAX(0.1,Skills!D4-IF(Skills!E4=TRUE,Inputs!$B$32,0))))+1)),0)</f>
        <v/>
      </c>
      <c r="S794" t="n">
        <v>0</v>
      </c>
      <c r="T794">
        <f>290*T793/1000</f>
        <v/>
      </c>
      <c r="U794" t="n">
        <v>0</v>
      </c>
    </row>
    <row r="795">
      <c r="A795">
        <f>Skills!A5</f>
        <v/>
      </c>
      <c r="B795">
        <f>Skills!B5</f>
        <v/>
      </c>
      <c r="C795">
        <f>Inputs!$B$3&gt;=38</f>
        <v/>
      </c>
      <c r="D795">
        <f>IF(Skills!C5=1,60+Inputs!$B$25+Inputs!$B$29,IF(Skills!C5=2,90+Inputs!$B$26+Inputs!$B$29,IF(Skills!C5=3,120+Inputs!$B$27+Inputs!$B$29,MAX(0,(Inputs!$B$3-100)*3)+(Inputs!$B$28+1)+Inputs!$B$29)))</f>
        <v/>
      </c>
      <c r="E795">
        <f>INDEX(FactorTable!$B$2:$Y$301, MATCH(ROUND(MIN(300,MAX(1,D795)),0), FactorTable!$A$2:$A$301,0), Skills!L5+1)</f>
        <v/>
      </c>
      <c r="F795">
        <f>IF(Skills!M5=TRUE,(Skills!K5/10)*(E795/1000),Skills!K5/10)+Skills!N5</f>
        <v/>
      </c>
      <c r="G795">
        <f>Calc!G5</f>
        <v/>
      </c>
      <c r="H795">
        <f>Calc!H5</f>
        <v/>
      </c>
      <c r="I795">
        <f>IF(Skills!T5&lt;&gt;"",1+(Skills!T5/10)*(Z793/1000)/100,1)</f>
        <v/>
      </c>
      <c r="J795">
        <f>((Inputs!$B$6*(1+Inputs!$B$7/100))+(((Inputs!$B$12*(1+Inputs!$B$13/100))-(Inputs!$B$12*(1+Inputs!$B$13/100)))+0.25*(Inputs!$B$14-Inputs!$B$14))*(1+Inputs!$B$7/100))*(F795/100)</f>
        <v/>
      </c>
      <c r="K795">
        <f>J795*(1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5="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F808-Calc!F18),(Inputs!$B$23+(IF(ArtifactsInput!$M$15,CHOOSE(ArtifactsInput!$N$15+1,25,30,35,40,45,50)/100*(Inputs!$B$11-Inputs!$B$11),0))))/100+(Inputs!$B$23+(IF(ArtifactsInput!$M$15,CHOOSE(ArtifactsInput!$N$15+1,25,30,35,40,45,50)/100*(Inputs!$B$11-Inputs!$B$11),0)))/100)/2</f>
        <v/>
      </c>
      <c r="M795">
        <f>L795*(1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(1-Summary!$B$11)*S795+Summary!$B$11*U795</f>
        <v/>
      </c>
      <c r="P795">
        <f>IF(B827=0,0,O795/B827)</f>
        <v/>
      </c>
      <c r="Q795">
        <f>IFERROR(1/IF(Inputs!$B$38="pvp",15,MAX(0.1,Skills!D5-IF(Skills!E5=TRUE,Inputs!$B$32,0))),0)</f>
        <v/>
      </c>
      <c r="R795">
        <f>IF(AND(Inputs!$B$38&lt;&gt;"pvp",Inputs!$B$43&gt;0),IF(MAX(0,Inputs!$B$43-B824)&lt;=0,0,(INT(MAX(0,Inputs!$B$43-B824)/IF(Inputs!$B$38="pvp",15,MAX(0.1,Skills!D5-IF(Skills!E5=TRUE,Inputs!$B$32,0))))+1)),0)</f>
        <v/>
      </c>
      <c r="S795">
        <f>IF(C795,(H795*N795*IF(AND(Inputs!$B$38&lt;&gt;"pvp",Inputs!$B$43&gt;0),((Skills!F5*((R795-1)*IF(Skills!G5&gt;0,Skills!H5/Skills!G5,1)+IF(Skills!G5&gt;0,MIN(Skills!H5,MAX(0,MAX(0,Inputs!$B$43-B824)-((R795-1)*IF(Inputs!$B$38="pvp",15,MAX(0.1,Skills!D5-IF(Skills!E5=TRUE,Inputs!$B$32,0))))))/Skills!G5,1)))/Inputs!$B$43),G795*Q795))*IF(Inputs!$B$38="pvp",1,1+(Inputs!$B$20+Skills!O5+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795*(1-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IF(C795,(H795*N795*IF(AND(Inputs!$B$38&lt;&gt;"pvp",Inputs!$B$43&gt;0),((Skills!F5*((R795-1)*IF(Skills!G5&gt;0,Skills!H5/Skills!G5,1)+IF(Skills!G5&gt;0,MIN(Skills!H5,MAX(0,MAX(0,Inputs!$B$43-B824)-((R795-1)*IF(Inputs!$B$38="pvp",15,MAX(0.1,Skills!D5-IF(Skills!E5=TRUE,Inputs!$B$32,0))))))/Skills!G5,1)))/Inputs!$B$43),G795*Q795))*IF(Inputs!$B$38="pvp",1,(1+(Inputs!$B$21+Skills!P5+B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Skills!A6</f>
        <v/>
      </c>
      <c r="B796">
        <f>Skills!B6</f>
        <v/>
      </c>
      <c r="C796">
        <f>Inputs!$B$3&gt;=63</f>
        <v/>
      </c>
      <c r="D796">
        <f>IF(Skills!C6=1,60+Inputs!$B$25+Inputs!$B$29,IF(Skills!C6=2,90+Inputs!$B$26+Inputs!$B$29,IF(Skills!C6=3,120+Inputs!$B$27+Inputs!$B$29,MAX(0,(Inputs!$B$3-100)*3)+(Inputs!$B$28+1)+Inputs!$B$29)))</f>
        <v/>
      </c>
      <c r="E796">
        <f>INDEX(FactorTable!$B$2:$Y$301, MATCH(ROUND(MIN(300,MAX(1,D796)),0), FactorTable!$A$2:$A$301,0), Skills!L6+1)</f>
        <v/>
      </c>
      <c r="F796">
        <f>IF(Skills!M6=TRUE,(Skills!K6/10)*(E796/1000),Skills!K6/10)+Skills!N6</f>
        <v/>
      </c>
      <c r="G796">
        <f>Calc!G6</f>
        <v/>
      </c>
      <c r="H796">
        <f>Calc!H6</f>
        <v/>
      </c>
      <c r="I796">
        <f>IF(Skills!T6&lt;&gt;"",1+(Skills!T6/10)*(Z793/1000)/100,1)</f>
        <v/>
      </c>
      <c r="J796">
        <f>((Inputs!$B$6*(1+Inputs!$B$7/100))+(((Inputs!$B$12*(1+Inputs!$B$13/100))-(Inputs!$B$12*(1+Inputs!$B$13/100)))+0.25*(Inputs!$B$14-Inputs!$B$14))*(1+Inputs!$B$7/100))*(F796/100)</f>
        <v/>
      </c>
      <c r="K796">
        <f>J796*(1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6="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F808-Calc!F18),(Inputs!$B$23+(IF(ArtifactsInput!$M$15,CHOOSE(ArtifactsInput!$N$15+1,25,30,35,40,45,50)/100*(Inputs!$B$11-Inputs!$B$11),0))))/100+(Inputs!$B$23+(IF(ArtifactsInput!$M$15,CHOOSE(ArtifactsInput!$N$15+1,25,30,35,40,45,50)/100*(Inputs!$B$11-Inputs!$B$11),0)))/100)/2</f>
        <v/>
      </c>
      <c r="M796">
        <f>L796*(1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(1-Summary!$B$11)*S796+Summary!$B$11*U796</f>
        <v/>
      </c>
      <c r="P796">
        <f>IF(B827=0,0,O796/B827)</f>
        <v/>
      </c>
      <c r="Q796">
        <f>IFERROR(1/IF(Inputs!$B$38="pvp",15,MAX(0.1,Skills!D6-IF(Skills!E6=TRUE,Inputs!$B$32,0))),0)</f>
        <v/>
      </c>
      <c r="R796">
        <f>IF(AND(Inputs!$B$38&lt;&gt;"pvp",Inputs!$B$43&gt;0),IF(MAX(0,Inputs!$B$43-B824)&lt;=0,0,(INT(MAX(0,Inputs!$B$43-B824)/IF(Inputs!$B$38="pvp",15,MAX(0.1,Skills!D6-IF(Skills!E6=TRUE,Inputs!$B$32,0))))+1)),0)</f>
        <v/>
      </c>
      <c r="S796">
        <f>IF(C796,(H796*N796*IF(AND(Inputs!$B$38&lt;&gt;"pvp",Inputs!$B$43&gt;0),((Skills!F6*((R796-1)*IF(Skills!G6&gt;0,Skills!H6/Skills!G6,1)+IF(Skills!G6&gt;0,MIN(Skills!H6,MAX(0,MAX(0,Inputs!$B$43-B824)-((R796-1)*IF(Inputs!$B$38="pvp",15,MAX(0.1,Skills!D6-IF(Skills!E6=TRUE,Inputs!$B$32,0))))))/Skills!G6,1)))/Inputs!$B$43),G796*Q796))*IF(Inputs!$B$38="pvp",1,1+(Inputs!$B$20+Skills!O6+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796*(1-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F(C796,(H796*N796*IF(AND(Inputs!$B$38&lt;&gt;"pvp",Inputs!$B$43&gt;0),((Skills!F6*((R796-1)*IF(Skills!G6&gt;0,Skills!H6/Skills!G6,1)+IF(Skills!G6&gt;0,MIN(Skills!H6,MAX(0,MAX(0,Inputs!$B$43-B824)-((R796-1)*IF(Inputs!$B$38="pvp",15,MAX(0.1,Skills!D6-IF(Skills!E6=TRUE,Inputs!$B$32,0))))))/Skills!G6,1)))/Inputs!$B$43),G796*Q796))*IF(Inputs!$B$38="pvp",1,(1+(Inputs!$B$21+Skills!P6+B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Skills!A7</f>
        <v/>
      </c>
      <c r="B797">
        <f>Skills!B7</f>
        <v/>
      </c>
      <c r="C797">
        <f>Inputs!$B$3&gt;=69</f>
        <v/>
      </c>
      <c r="D797">
        <f>IF(Skills!C7=1,60+Inputs!$B$25+Inputs!$B$29,IF(Skills!C7=2,90+Inputs!$B$26+Inputs!$B$29,IF(Skills!C7=3,120+Inputs!$B$27+Inputs!$B$29,MAX(0,(Inputs!$B$3-100)*3)+(Inputs!$B$28+1)+Inputs!$B$29)))</f>
        <v/>
      </c>
      <c r="E797">
        <f>INDEX(FactorTable!$B$2:$Y$301, MATCH(ROUND(MIN(300,MAX(1,D797)),0), FactorTable!$A$2:$A$301,0), Skills!L7+1)</f>
        <v/>
      </c>
      <c r="F797">
        <f>IF(Skills!M7=TRUE,(Skills!K7/10)*(E797/1000),Skills!K7/10)+Skills!N7</f>
        <v/>
      </c>
      <c r="G797">
        <f>Calc!G7</f>
        <v/>
      </c>
      <c r="H797">
        <f>Calc!H7</f>
        <v/>
      </c>
      <c r="I797">
        <f>IF(Skills!T7&lt;&gt;"",1+(Skills!T7/10)*(Z793/1000)/100,1)</f>
        <v/>
      </c>
      <c r="J797">
        <f>((Inputs!$B$6*(1+Inputs!$B$7/100))+(((Inputs!$B$12*(1+Inputs!$B$13/100))-(Inputs!$B$12*(1+Inputs!$B$13/100)))+0.25*(Inputs!$B$14-Inputs!$B$14))*(1+Inputs!$B$7/100))*(F797/100)</f>
        <v/>
      </c>
      <c r="K797">
        <f>J797*(1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7="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F808-Calc!F18),(Inputs!$B$23+(IF(ArtifactsInput!$M$15,CHOOSE(ArtifactsInput!$N$15+1,25,30,35,40,45,50)/100*(Inputs!$B$11-Inputs!$B$11),0))))/100+(Inputs!$B$23+(IF(ArtifactsInput!$M$15,CHOOSE(ArtifactsInput!$N$15+1,25,30,35,40,45,50)/100*(Inputs!$B$11-Inputs!$B$11),0)))/100)/2</f>
        <v/>
      </c>
      <c r="M797">
        <f>L797*(1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(1-Summary!$B$11)*S797+Summary!$B$11*U797</f>
        <v/>
      </c>
      <c r="P797">
        <f>IF(B827=0,0,O797/B827)</f>
        <v/>
      </c>
      <c r="Q797">
        <f>IFERROR(1/IF(Inputs!$B$38="pvp",15,MAX(0.1,Skills!D7-IF(Skills!E7=TRUE,Inputs!$B$32,0))),0)</f>
        <v/>
      </c>
      <c r="R797">
        <f>IF(AND(Inputs!$B$38&lt;&gt;"pvp",Inputs!$B$43&gt;0),IF(MAX(0,Inputs!$B$43-B824)&lt;=0,0,(INT(MAX(0,Inputs!$B$43-B824)/IF(Inputs!$B$38="pvp",15,MAX(0.1,Skills!D7-IF(Skills!E7=TRUE,Inputs!$B$32,0))))+1)),0)</f>
        <v/>
      </c>
      <c r="S797">
        <f>IF(C797,(H797*N797*IF(AND(Inputs!$B$38&lt;&gt;"pvp",Inputs!$B$43&gt;0),((Skills!F7*((R797-1)*IF(Skills!G7&gt;0,Skills!H7/Skills!G7,1)+IF(Skills!G7&gt;0,MIN(Skills!H7,MAX(0,MAX(0,Inputs!$B$43-B824)-((R797-1)*IF(Inputs!$B$38="pvp",15,MAX(0.1,Skills!D7-IF(Skills!E7=TRUE,Inputs!$B$32,0))))))/Skills!G7,1)))/Inputs!$B$43),G797*Q797))*IF(Inputs!$B$38="pvp",1,1+(Inputs!$B$20+Skills!O7+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797*(1-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IF(C797,(H797*N797*IF(AND(Inputs!$B$38&lt;&gt;"pvp",Inputs!$B$43&gt;0),((Skills!F7*((R797-1)*IF(Skills!G7&gt;0,Skills!H7/Skills!G7,1)+IF(Skills!G7&gt;0,MIN(Skills!H7,MAX(0,MAX(0,Inputs!$B$43-B824)-((R797-1)*IF(Inputs!$B$38="pvp",15,MAX(0.1,Skills!D7-IF(Skills!E7=TRUE,Inputs!$B$32,0))))))/Skills!G7,1)))/Inputs!$B$43),G797*Q797))*IF(Inputs!$B$38="pvp",1,(1+(Inputs!$B$21+Skills!P7+B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Skills!A8</f>
        <v/>
      </c>
      <c r="B798">
        <f>Skills!B8</f>
        <v/>
      </c>
      <c r="C798">
        <f>Inputs!$B$3&gt;=103</f>
        <v/>
      </c>
      <c r="D798">
        <f>IF(Skills!C8=1,60+Inputs!$B$25+Inputs!$B$29,IF(Skills!C8=2,90+Inputs!$B$26+Inputs!$B$29,IF(Skills!C8=3,120+Inputs!$B$27+Inputs!$B$29,MAX(0,(Inputs!$B$3-100)*3)+(Inputs!$B$28+1)+Inputs!$B$29)))</f>
        <v/>
      </c>
      <c r="E798">
        <f>INDEX(FactorTable!$B$2:$Y$301, MATCH(ROUND(MIN(300,MAX(1,D798)),0), FactorTable!$A$2:$A$301,0), Skills!L8+1)</f>
        <v/>
      </c>
      <c r="F798">
        <f>IF(Skills!M8=TRUE,(Skills!K8/10)*(E798/1000),Skills!K8/10)+Skills!N8</f>
        <v/>
      </c>
      <c r="G798">
        <f>Calc!G8</f>
        <v/>
      </c>
      <c r="H798">
        <f>Calc!H8</f>
        <v/>
      </c>
      <c r="I798">
        <f>IF(Skills!T8&lt;&gt;"",1+(Skills!T8/10)*(Z793/1000)/100,1)</f>
        <v/>
      </c>
      <c r="J798">
        <f>((Inputs!$B$6*(1+Inputs!$B$7/100))+(((Inputs!$B$12*(1+Inputs!$B$13/100))-(Inputs!$B$12*(1+Inputs!$B$13/100)))+0.25*(Inputs!$B$14-Inputs!$B$14))*(1+Inputs!$B$7/100))*(F798/100)</f>
        <v/>
      </c>
      <c r="K798">
        <f>J798*(1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8="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808-Calc!F18),(Inputs!$B$23+(IF(ArtifactsInput!$M$15,CHOOSE(ArtifactsInput!$N$15+1,25,30,35,40,45,50)/100*(Inputs!$B$11-Inputs!$B$11),0))))/100+(Inputs!$B$23+(IF(ArtifactsInput!$M$15,CHOOSE(ArtifactsInput!$N$15+1,25,30,35,40,45,50)/100*(Inputs!$B$11-Inputs!$B$11),0)))/100)/2</f>
        <v/>
      </c>
      <c r="M798">
        <f>L798*(1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IF(B827=0,0,O798/B827)</f>
        <v/>
      </c>
      <c r="Q798">
        <f>IFERROR(1/IF(Inputs!$B$38="pvp",15,MAX(0.1,Skills!D8-IF(Skills!E8=TRUE,Inputs!$B$32,0))),0)</f>
        <v/>
      </c>
      <c r="R798">
        <f>IF(AND(Inputs!$B$38&lt;&gt;"pvp",Inputs!$B$43&gt;0),IF(MAX(0,Inputs!$B$43-B824)&lt;=0,0,(INT(MAX(0,Inputs!$B$43-B824)/IF(Inputs!$B$38="pvp",15,MAX(0.1,Skills!D8-IF(Skills!E8=TRUE,Inputs!$B$32,0))))+1)),0)</f>
        <v/>
      </c>
      <c r="S798">
        <f>IF(C798,(H798*N798*IF(AND(Inputs!$B$38&lt;&gt;"pvp",Inputs!$B$43&gt;0),((Skills!F8*((R798-1)*IF(Skills!G8&gt;0,Skills!H8/Skills!G8,1)+IF(Skills!G8&gt;0,MIN(Skills!H8,MAX(0,MAX(0,Inputs!$B$43-B824)-((R798-1)*IF(Inputs!$B$38="pvp",15,MAX(0.1,Skills!D8-IF(Skills!E8=TRUE,Inputs!$B$32,0))))))/Skills!G8,1)))/Inputs!$B$43),G798*Q798))*IF(Inputs!$B$38="pvp",1,1+(Inputs!$B$20+Skills!O8+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F8*((R798-1)*IF(Skills!G8&gt;0,Skills!H8/Skills!G8,1)+IF(Skills!G8&gt;0,MIN(Skills!H8,MAX(0,MAX(0,Inputs!$B$43-B824)-((R798-1)*IF(Inputs!$B$38="pvp",15,MAX(0.1,Skills!D8-IF(Skills!E8=TRUE,Inputs!$B$32,0))))))/Skills!G8,1)))/Inputs!$B$43),G798*Q798))*IF(Inputs!$B$38="pvp",1,(1+(Inputs!$B$21+Skills!P8+B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Skills!A9</f>
        <v/>
      </c>
      <c r="B799">
        <f>Skills!B9</f>
        <v/>
      </c>
      <c r="C799">
        <f>Inputs!$B$3&gt;=105</f>
        <v/>
      </c>
      <c r="D799">
        <f>IF(Skills!C9=1,60+Inputs!$B$25+Inputs!$B$29,IF(Skills!C9=2,90+Inputs!$B$26+Inputs!$B$29,IF(Skills!C9=3,120+Inputs!$B$27+Inputs!$B$29,MAX(0,(Inputs!$B$3-100)*3)+(Inputs!$B$28+1)+Inputs!$B$29)))</f>
        <v/>
      </c>
      <c r="E799">
        <f>INDEX(FactorTable!$B$2:$Y$301, MATCH(ROUND(MIN(300,MAX(1,D799)),0), FactorTable!$A$2:$A$301,0), Skills!L9+1)</f>
        <v/>
      </c>
      <c r="F799">
        <f>IF(Skills!M9=TRUE,(Skills!K9/10)*(E799/1000),Skills!K9/10)+Skills!N9</f>
        <v/>
      </c>
      <c r="G799">
        <f>Calc!G9</f>
        <v/>
      </c>
      <c r="H799">
        <f>Calc!H9</f>
        <v/>
      </c>
      <c r="I799">
        <f>IF(Skills!T9&lt;&gt;"",1+(Skills!T9/10)*(Z793/1000)/100,1)</f>
        <v/>
      </c>
      <c r="J799">
        <f>((Inputs!$B$6*(1+Inputs!$B$7/100))+(((Inputs!$B$12*(1+Inputs!$B$13/100))-(Inputs!$B$12*(1+Inputs!$B$13/100)))+0.25*(Inputs!$B$14-Inputs!$B$14))*(1+Inputs!$B$7/100))*(F799/100)</f>
        <v/>
      </c>
      <c r="K799">
        <f>J799*(1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9="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F808-Calc!F18),(Inputs!$B$23+(IF(ArtifactsInput!$M$15,CHOOSE(ArtifactsInput!$N$15+1,25,30,35,40,45,50)/100*(Inputs!$B$11-Inputs!$B$11),0))))/100+(Inputs!$B$23+(IF(ArtifactsInput!$M$15,CHOOSE(ArtifactsInput!$N$15+1,25,30,35,40,45,50)/100*(Inputs!$B$11-Inputs!$B$11),0)))/100)/2</f>
        <v/>
      </c>
      <c r="M799">
        <f>L799*(1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(1-Summary!$B$11)*S799+Summary!$B$11*U799</f>
        <v/>
      </c>
      <c r="P799">
        <f>IF(B827=0,0,O799/B827)</f>
        <v/>
      </c>
      <c r="Q799">
        <f>IFERROR(1/IF(Inputs!$B$38="pvp",15,MAX(0.1,Skills!D9-IF(Skills!E9=TRUE,Inputs!$B$32,0))),0)</f>
        <v/>
      </c>
      <c r="R799">
        <f>IF(AND(Inputs!$B$38&lt;&gt;"pvp",Inputs!$B$43&gt;0),IF(MAX(0,Inputs!$B$43-B824)&lt;=0,0,(INT(MAX(0,Inputs!$B$43-B824)/IF(Inputs!$B$38="pvp",15,MAX(0.1,Skills!D9-IF(Skills!E9=TRUE,Inputs!$B$32,0))))+1)),0)</f>
        <v/>
      </c>
      <c r="S799">
        <f>IF(C799,(H799*N799*IF(AND(Inputs!$B$38&lt;&gt;"pvp",Inputs!$B$43&gt;0),((Skills!F9*((R799-1)*IF(Skills!G9&gt;0,Skills!H9/Skills!G9,1)+IF(Skills!G9&gt;0,MIN(Skills!H9,MAX(0,MAX(0,Inputs!$B$43-B824)-((R799-1)*IF(Inputs!$B$38="pvp",15,MAX(0.1,Skills!D9-IF(Skills!E9=TRUE,Inputs!$B$32,0))))))/Skills!G9,1)))/Inputs!$B$43),G799*Q799))*IF(Inputs!$B$38="pvp",1,1+(Inputs!$B$20+Skills!O9+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799*(1-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9">
        <f>IF(C799,(H799*N799*IF(AND(Inputs!$B$38&lt;&gt;"pvp",Inputs!$B$43&gt;0),((Skills!F9*((R799-1)*IF(Skills!G9&gt;0,Skills!H9/Skills!G9,1)+IF(Skills!G9&gt;0,MIN(Skills!H9,MAX(0,MAX(0,Inputs!$B$43-B824)-((R799-1)*IF(Inputs!$B$38="pvp",15,MAX(0.1,Skills!D9-IF(Skills!E9=TRUE,Inputs!$B$32,0))))))/Skills!G9,1)))/Inputs!$B$43),G799*Q799))*IF(Inputs!$B$38="pvp",1,(1+(Inputs!$B$21+Skills!P9+B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Skills!A10</f>
        <v/>
      </c>
      <c r="B800">
        <f>Skills!B10</f>
        <v/>
      </c>
      <c r="C800">
        <f>Inputs!$B$3&gt;=113</f>
        <v/>
      </c>
      <c r="D800">
        <f>IF(Skills!C10=1,60+Inputs!$B$25+Inputs!$B$29,IF(Skills!C10=2,90+Inputs!$B$26+Inputs!$B$29,IF(Skills!C10=3,120+Inputs!$B$27+Inputs!$B$29,MAX(0,(Inputs!$B$3-100)*3)+(Inputs!$B$28+1)+Inputs!$B$29)))</f>
        <v/>
      </c>
      <c r="E800">
        <f>INDEX(FactorTable!$B$2:$Y$301, MATCH(ROUND(MIN(300,MAX(1,D800)),0), FactorTable!$A$2:$A$301,0), Skills!L10+1)</f>
        <v/>
      </c>
      <c r="F800">
        <f>IF(Skills!M10=TRUE,(Skills!K10/10)*(E800/1000),Skills!K10/10)+Skills!N10</f>
        <v/>
      </c>
      <c r="G800">
        <f>Calc!G10</f>
        <v/>
      </c>
      <c r="H800">
        <f>Calc!H10</f>
        <v/>
      </c>
      <c r="I800">
        <f>IF(Skills!T10&lt;&gt;"",1+(Skills!T10/10)*(Z793/1000)/100,1)</f>
        <v/>
      </c>
      <c r="J800">
        <f>((Inputs!$B$6*(1+Inputs!$B$7/100))+(((Inputs!$B$12*(1+Inputs!$B$13/100))-(Inputs!$B$12*(1+Inputs!$B$13/100)))+0.25*(Inputs!$B$14-Inputs!$B$14))*(1+Inputs!$B$7/100))*(F800/100)</f>
        <v/>
      </c>
      <c r="K800">
        <f>J800*(1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10="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F808-Calc!F18),(Inputs!$B$23+(IF(ArtifactsInput!$M$15,CHOOSE(ArtifactsInput!$N$15+1,25,30,35,40,45,50)/100*(Inputs!$B$11-Inputs!$B$11),0))))/100+(Inputs!$B$23+(IF(ArtifactsInput!$M$15,CHOOSE(ArtifactsInput!$N$15+1,25,30,35,40,45,50)/100*(Inputs!$B$11-Inputs!$B$11),0)))/100)/2</f>
        <v/>
      </c>
      <c r="M800">
        <f>L800*(1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(1-Summary!$B$11)*S800+Summary!$B$11*U800</f>
        <v/>
      </c>
      <c r="P800">
        <f>IF(B827=0,0,O800/B827)</f>
        <v/>
      </c>
      <c r="Q800">
        <f>IFERROR(1/IF(Inputs!$B$38="pvp",15,MAX(0.1,Skills!D10-IF(Skills!E9=TRUE,Inputs!$B$32,0))),0)</f>
        <v/>
      </c>
      <c r="R800">
        <f>IF(AND(Inputs!$B$38&lt;&gt;"pvp",Inputs!$B$43&gt;0),IF(MAX(0,Inputs!$B$43-B824)&lt;=0,0,(INT(MAX(0,Inputs!$B$43-B824)/IF(Inputs!$B$38="pvp",15,MAX(0.1,Skills!D10-IF(Skills!E9=TRUE,Inputs!$B$32,0))))+1)),0)</f>
        <v/>
      </c>
      <c r="S800">
        <f>IF(C800,(H800*N800*IF(AND(Inputs!$B$38&lt;&gt;"pvp",Inputs!$B$43&gt;0),((Skills!F10*((R800-1)*IF(Skills!G10&gt;0,Skills!H10/Skills!G10,1)+IF(Skills!G10&gt;0,MIN(Skills!H10,MAX(0,MAX(0,Inputs!$B$43-B824)-((R800-1)*IF(Inputs!$B$38="pvp",15,MAX(0.1,Skills!D10-IF(Skills!E9=TRUE,Inputs!$B$32,0))))))/Skills!G10,1)))/Inputs!$B$43),G800*Q800))*IF(Inputs!$B$38="pvp",1,1+(Inputs!$B$20+Skills!O10+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800*(1-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0">
        <f>IF(C800,(H800*N800*IF(AND(Inputs!$B$38&lt;&gt;"pvp",Inputs!$B$43&gt;0),((Skills!F10*((R800-1)*IF(Skills!G10&gt;0,Skills!H10/Skills!G10,1)+IF(Skills!G10&gt;0,MIN(Skills!H10,MAX(0,MAX(0,Inputs!$B$43-B824)-((R800-1)*IF(Inputs!$B$38="pvp",15,MAX(0.1,Skills!D10-IF(Skills!E9=TRUE,Inputs!$B$32,0))))))/Skills!G10,1)))/Inputs!$B$43),G800*Q800))*IF(Inputs!$B$38="pvp",1,(1+(Inputs!$B$21+Skills!P10+B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Skills!A11</f>
        <v/>
      </c>
      <c r="B801">
        <f>Skills!B11</f>
        <v/>
      </c>
      <c r="C801">
        <f>Inputs!$B$3&gt;=107</f>
        <v/>
      </c>
      <c r="D801">
        <f>IF(Skills!C11=1,60+Inputs!$B$25+Inputs!$B$29,IF(Skills!C11=2,90+Inputs!$B$26+Inputs!$B$29,IF(Skills!C11=3,120+Inputs!$B$27+Inputs!$B$29,MAX(0,(Inputs!$B$3-100)*3)+(Inputs!$B$28+1)+Inputs!$B$29)))</f>
        <v/>
      </c>
      <c r="E801">
        <f>INDEX(FactorTable!$B$2:$Y$301, MATCH(ROUND(MIN(300,MAX(1,D801)),0), FactorTable!$A$2:$A$301,0), Skills!L11+1)</f>
        <v/>
      </c>
      <c r="F801">
        <f>IF(Skills!M11=TRUE,(Skills!K11/10)*(E801/1000),Skills!K11/10)+Skills!N11</f>
        <v/>
      </c>
      <c r="G801">
        <f>Calc!G11</f>
        <v/>
      </c>
      <c r="H801">
        <f>Calc!H11</f>
        <v/>
      </c>
      <c r="I801">
        <f>IF(Skills!T11&lt;&gt;"",1+(Skills!T11/10)*(Z793/1000)/100,1)</f>
        <v/>
      </c>
      <c r="J801">
        <f>((Inputs!$B$6*(1+Inputs!$B$7/100))+(((Inputs!$B$12*(1+Inputs!$B$13/100))-(Inputs!$B$12*(1+Inputs!$B$13/100)))+0.25*(Inputs!$B$14-Inputs!$B$14))*(1+Inputs!$B$7/100))*(F801/100)</f>
        <v/>
      </c>
      <c r="K801">
        <f>J801*(1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11="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F808-Calc!F18),(Inputs!$B$23+(IF(ArtifactsInput!$M$15,CHOOSE(ArtifactsInput!$N$15+1,25,30,35,40,45,50)/100*(Inputs!$B$11-Inputs!$B$11),0))))/100+(Inputs!$B$23+(IF(ArtifactsInput!$M$15,CHOOSE(ArtifactsInput!$N$15+1,25,30,35,40,45,50)/100*(Inputs!$B$11-Inputs!$B$11),0)))/100)/2</f>
        <v/>
      </c>
      <c r="M801">
        <f>L801*(1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(1-Summary!$B$11)*S801+Summary!$B$11*U801</f>
        <v/>
      </c>
      <c r="P801">
        <f>IF(B827=0,0,O801/B827)</f>
        <v/>
      </c>
      <c r="Q801">
        <f>IFERROR(1/IF(Inputs!$B$38="pvp",15,MAX(0.1,Skills!D11-IF(Skills!E11=TRUE,Inputs!$B$32,0))),0)</f>
        <v/>
      </c>
      <c r="R801">
        <f>IF(AND(Inputs!$B$38&lt;&gt;"pvp",Inputs!$B$43&gt;0),IF(MAX(0,Inputs!$B$43-B824)&lt;=0,0,(INT(MAX(0,Inputs!$B$43-B824)/IF(Inputs!$B$38="pvp",15,MAX(0.1,Skills!D11-IF(Skills!E11=TRUE,Inputs!$B$32,0))))+1)),0)</f>
        <v/>
      </c>
      <c r="S801">
        <f>IF(C801,H801*N801*IF(AND(Inputs!$B$38&lt;&gt;"pvp",Inputs!$B$43&gt;0),((Skills!F11*((R801-1)*IF(Skills!G11&gt;0,Skills!H11/Skills!G11,1)+IF(Skills!G11&gt;0,MIN(Skills!H11,MAX(0,MAX(0,Inputs!$B$43-B824)-((R801-1)*IF(Inputs!$B$38="pvp",15,MAX(0.1,Skills!D11-IF(Skills!E11=TRUE,Inputs!$B$32,0))))))/Skills!G11,1)))/Inputs!$B$43),G801*Q801)*0.5*IF(Inputs!$B$38="pvp",1,1+(Inputs!$B$20+Skills!O11+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1">
        <f>IF(C801,H801*N801*IF(AND(Inputs!$B$38&lt;&gt;"pvp",Inputs!$B$43&gt;0),((Skills!F11*((R801-1)*IF(Skills!G11&gt;0,Skills!H11/Skills!G11,1)+IF(Skills!G11&gt;0,MIN(Skills!H11,MAX(0,MAX(0,Inputs!$B$43-B824)-((R801-1)*IF(Inputs!$B$38="pvp",15,MAX(0.1,Skills!D11-IF(Skills!E11=TRUE,Inputs!$B$32,0))))))/Skills!G11,1)))/Inputs!$B$43),G801*Q801)*1*IF(Inputs!$B$38="pvp",1,(1+(Inputs!$B$21+Skills!P11+B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Skills!A12</f>
        <v/>
      </c>
      <c r="B802">
        <f>Skills!B12</f>
        <v/>
      </c>
      <c r="C802">
        <f>Inputs!$B$3&gt;=115</f>
        <v/>
      </c>
      <c r="D802">
        <f>IF(Skills!C12=1,60+Inputs!$B$25+Inputs!$B$29,IF(Skills!C12=2,90+Inputs!$B$26+Inputs!$B$29,IF(Skills!C12=3,120+Inputs!$B$27+Inputs!$B$29,MAX(0,(Inputs!$B$3-100)*3)+(Inputs!$B$28+1)+Inputs!$B$29)))</f>
        <v/>
      </c>
      <c r="E802">
        <f>INDEX(FactorTable!$B$2:$Y$301, MATCH(ROUND(MIN(300,MAX(1,D802)),0), FactorTable!$A$2:$A$301,0), Skills!L12+1)</f>
        <v/>
      </c>
      <c r="F802">
        <f>IF(Skills!M12=TRUE,(Skills!K12/10)*(E802/1000),Skills!K12/10)+Skills!N12</f>
        <v/>
      </c>
      <c r="G802">
        <f>Calc!G12</f>
        <v/>
      </c>
      <c r="H802">
        <f>Calc!H12</f>
        <v/>
      </c>
      <c r="I802">
        <f>IF(Skills!T12&lt;&gt;"",1+(Skills!T12/10)*(Z793/1000)/100,1)</f>
        <v/>
      </c>
      <c r="J802">
        <f>((Inputs!$B$6*(1+Inputs!$B$7/100))+(((Inputs!$B$12*(1+Inputs!$B$13/100))-(Inputs!$B$12*(1+Inputs!$B$13/100)))+0.25*(Inputs!$B$14-Inputs!$B$14))*(1+Inputs!$B$7/100))*(F802/100)</f>
        <v/>
      </c>
      <c r="K802">
        <f>J802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12="CHAIN_LIGHTNING",Inputs!$B$17+((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808-Calc!F18),(Inputs!$B$23+(IF(ArtifactsInput!$M$15,CHOOSE(ArtifactsInput!$N$15+1,25,30,35,40,45,50)/100*(Inputs!$B$11-Inputs!$B$11),0))))/100+(Inputs!$B$23+(IF(ArtifactsInput!$M$15,CHOOSE(ArtifactsInput!$N$15+1,25,30,35,40,45,50)/100*(Inputs!$B$11-Inputs!$B$11),0)))/100)/2</f>
        <v/>
      </c>
      <c r="M802">
        <f>L802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IF(B827=0,0,O802/B827)</f>
        <v/>
      </c>
      <c r="Q802">
        <f>IFERROR(1/IF(Inputs!$B$38="pvp",15,MAX(0.1,Skills!D12-IF(Skills!E12=TRUE,Inputs!$B$32,0))),0)</f>
        <v/>
      </c>
      <c r="R802">
        <f>IF(AND(Inputs!$B$38&lt;&gt;"pvp",Inputs!$B$43&gt;0),IF(MAX(0,Inputs!$B$43-B824)&lt;=0,0,(INT(MAX(0,Inputs!$B$43-B824)/IF(Inputs!$B$38="pvp",15,MAX(0.1,Skills!D12-IF(Skills!E12=TRUE,Inputs!$B$32,0))))+1)),0)</f>
        <v/>
      </c>
      <c r="S802">
        <f>IF(C802,(H802*N802*IF(AND(Inputs!$B$38&lt;&gt;"pvp",Inputs!$B$43&gt;0),((Skills!F12*((R802-1)*IF(Skills!G12&gt;0,Skills!H12/Skills!G12,1)+IF(Skills!G12&gt;0,MIN(Skills!H12,MAX(0,MAX(0,Inputs!$B$43-B824)-((R802-1)*IF(Inputs!$B$38="pvp",15,MAX(0.1,Skills!D12-IF(Skills!E12=TRUE,Inputs!$B$32,0))))))/Skills!G12,1)))/Inputs!$B$43),G802*Q802))*IF(Inputs!$B$38="pvp",1,1+(Inputs!$B$20+Skills!O12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810-Calc!F20)+(F809-Calc!F19))+(ArtifactsInput!$M$24-ArtifactsInput!$M$24)*CHOOSE(ArtifactsInput!$N$24+1,10,12,14,16,18,20)+(IF(AND(Inputs!$B$38&lt;&gt;"pvp",Inputs!$B$43=0),1,IF(IF(Inputs!$B$38="pvp",15,Inputs!$B$43)-(B824)&lt;=0,1,MAX(0,IF(Inputs!$B$38="pvp",15,Inputs!$B$43)-MAX(5,B824))/(IF(Inputs!$B$38="pvp",15,Inputs!$B$43)-(B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F12*((R802-1)*IF(Skills!G12&gt;0,Skills!H12/Skills!G12,1)+IF(Skills!G12&gt;0,MIN(Skills!H12,MAX(0,MAX(0,Inputs!$B$43-B824)-((R802-1)*IF(Inputs!$B$38="pvp",15,MAX(0.1,Skills!D12-IF(Skills!E12=TRUE,Inputs!$B$32,0))))))/Skills!G12,1)))/Inputs!$B$43),G802*Q802))*IF(Inputs!$B$38="pvp",1,(1+(Inputs!$B$21+Skills!P12+B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Skills!A13</f>
        <v/>
      </c>
      <c r="B803">
        <f>Skills!B13</f>
        <v/>
      </c>
      <c r="C803">
        <f>Inputs!$B$3&gt;=49</f>
        <v/>
      </c>
      <c r="D803">
        <f>IF(Skills!C13=1,60+Inputs!$B$25+Inputs!$B$29,IF(Skills!C13=2,90+Inputs!$B$26+Inputs!$B$29,IF(Skills!C13=3,120+Inputs!$B$27+Inputs!$B$29,MAX(0,(Inputs!$B$3-100)*3)+(Inputs!$B$28+1)+Inputs!$B$29)))</f>
        <v/>
      </c>
      <c r="E803">
        <f>INDEX(FactorTable!$B$2:$Y$301, MATCH(ROUND(MIN(300,MAX(1,D803)),0), FactorTable!$A$2:$A$301,0), Skills!L13+1)</f>
        <v/>
      </c>
      <c r="F803">
        <f>IF(Skills!M13=TRUE,(Skills!K13/10)*(E803/1000),Skills!K13/10)+Skills!N13</f>
        <v/>
      </c>
      <c r="G803">
        <f>Calc!G13</f>
        <v/>
      </c>
      <c r="H803">
        <f>Calc!H13</f>
        <v/>
      </c>
      <c r="I803">
        <f>IF(Skills!T13&lt;&gt;"",1+(Skills!T13/10)*(Z793/1000)/100,1)</f>
        <v/>
      </c>
      <c r="J803" t="inlineStr"/>
      <c r="K803" t="inlineStr"/>
      <c r="L803" t="inlineStr"/>
      <c r="M803" t="inlineStr"/>
      <c r="N803" t="inlineStr"/>
      <c r="O803">
        <f>(1-Summary!$B$11)*S803+Summary!$B$11*U803</f>
        <v/>
      </c>
      <c r="P803">
        <f>IF(B827=0,0,O803/B827)</f>
        <v/>
      </c>
      <c r="Q803">
        <f>IFERROR(1/IF(Inputs!$B$38="pvp",15,MAX(0.1,Skills!D13-IF(Skills!E13=TRUE,Inputs!$B$32,0))),0)</f>
        <v/>
      </c>
      <c r="R803" t="n">
        <v>0</v>
      </c>
      <c r="S803" t="n">
        <v>0</v>
      </c>
      <c r="U803" t="n">
        <v>0</v>
      </c>
    </row>
    <row r="804">
      <c r="A804">
        <f>Skills!A14</f>
        <v/>
      </c>
      <c r="B804">
        <f>Skills!B14</f>
        <v/>
      </c>
      <c r="C804">
        <f>Inputs!$B$3&gt;=72</f>
        <v/>
      </c>
      <c r="D804">
        <f>IF(Skills!C14=1,60+Inputs!$B$25+Inputs!$B$29,IF(Skills!C14=2,90+Inputs!$B$26+Inputs!$B$29,IF(Skills!C14=3,120+Inputs!$B$27+Inputs!$B$29,MAX(0,(Inputs!$B$3-100)*3)+(Inputs!$B$28+1)+Inputs!$B$29)))</f>
        <v/>
      </c>
      <c r="E804">
        <f>INDEX(FactorTable!$B$2:$Y$301, MATCH(ROUND(MIN(300,MAX(1,D804)),0), FactorTable!$A$2:$A$301,0), Skills!L14+1)</f>
        <v/>
      </c>
      <c r="F804">
        <f>IF(Skills!M14=TRUE,(Skills!K14/10)*(E804/1000),Skills!K14/10)+Skills!N14</f>
        <v/>
      </c>
      <c r="G804">
        <f>Calc!G14</f>
        <v/>
      </c>
      <c r="H804">
        <f>Calc!H14</f>
        <v/>
      </c>
      <c r="I804">
        <f>IF(Skills!T14&lt;&gt;"",1+(Skills!T14/10)*(Z793/1000)/100,1)</f>
        <v/>
      </c>
      <c r="J804" t="inlineStr"/>
      <c r="K804" t="inlineStr"/>
      <c r="L804" t="inlineStr"/>
      <c r="M804" t="inlineStr"/>
      <c r="N804" t="inlineStr"/>
      <c r="O804">
        <f>(1-Summary!$B$11)*S804+Summary!$B$11*U804</f>
        <v/>
      </c>
      <c r="P804">
        <f>IF(B827=0,0,O804/B827)</f>
        <v/>
      </c>
      <c r="Q804">
        <f>IFERROR(1/IF(Inputs!$B$38="pvp",15,MAX(0.1,Skills!D14-IF(Skills!E14=TRUE,Inputs!$B$32,0))),0)</f>
        <v/>
      </c>
      <c r="R804" t="n">
        <v>0</v>
      </c>
      <c r="S804" t="n">
        <v>0</v>
      </c>
      <c r="U804" t="n">
        <v>0</v>
      </c>
    </row>
    <row r="805">
      <c r="A805">
        <f>Skills!A15</f>
        <v/>
      </c>
      <c r="B805">
        <f>Skills!B15</f>
        <v/>
      </c>
      <c r="C805">
        <f>Inputs!$B$3&gt;=75</f>
        <v/>
      </c>
      <c r="D805">
        <f>IF(Skills!C15=1,60+Inputs!$B$25+Inputs!$B$29,IF(Skills!C15=2,90+Inputs!$B$26+Inputs!$B$29,IF(Skills!C15=3,120+Inputs!$B$27+Inputs!$B$29,MAX(0,(Inputs!$B$3-100)*3)+(Inputs!$B$28+1)+Inputs!$B$29)))</f>
        <v/>
      </c>
      <c r="E805">
        <f>INDEX(FactorTable!$B$2:$Y$301, MATCH(ROUND(MIN(300,MAX(1,D805)),0), FactorTable!$A$2:$A$301,0), Skills!L15+1)</f>
        <v/>
      </c>
      <c r="F805">
        <f>IF(Skills!M15=TRUE,(Skills!K15/10)*(E805/1000),Skills!K15/10)+Skills!N15</f>
        <v/>
      </c>
      <c r="G805">
        <f>Calc!G15</f>
        <v/>
      </c>
      <c r="H805">
        <f>Calc!H15</f>
        <v/>
      </c>
      <c r="I805">
        <f>IF(Skills!T15&lt;&gt;"",1+(Skills!T15/10)*(Z793/1000)/100,1)</f>
        <v/>
      </c>
      <c r="J805" t="inlineStr"/>
      <c r="K805" t="inlineStr"/>
      <c r="L805" t="inlineStr"/>
      <c r="M805" t="inlineStr"/>
      <c r="N805" t="inlineStr"/>
      <c r="O805">
        <f>(1-Summary!$B$11)*S805+Summary!$B$11*U805</f>
        <v/>
      </c>
      <c r="P805">
        <f>IF(B827=0,0,O805/B827)</f>
        <v/>
      </c>
      <c r="Q805">
        <f>IFERROR(1/IF(Inputs!$B$38="pvp",15,MAX(0.1,Skills!D15-IF(Skills!E15=TRUE,Inputs!$B$32,0))),0)</f>
        <v/>
      </c>
      <c r="R805" t="n">
        <v>0</v>
      </c>
      <c r="S805" t="n">
        <v>0</v>
      </c>
      <c r="U805" t="n">
        <v>0</v>
      </c>
    </row>
    <row r="806">
      <c r="A806">
        <f>Skills!A16</f>
        <v/>
      </c>
      <c r="B806">
        <f>Skills!B16</f>
        <v/>
      </c>
      <c r="C806">
        <f>Inputs!$B$3&gt;=110</f>
        <v/>
      </c>
      <c r="D806">
        <f>IF(Skills!C16=1,60+Inputs!$B$25+Inputs!$B$29,IF(Skills!C16=2,90+Inputs!$B$26+Inputs!$B$29,IF(Skills!C16=3,120+Inputs!$B$27+Inputs!$B$29,MAX(0,(Inputs!$B$3-100)*3)+(Inputs!$B$28+1)+Inputs!$B$29)))</f>
        <v/>
      </c>
      <c r="E806">
        <f>INDEX(FactorTable!$B$2:$Y$301, MATCH(ROUND(MIN(300,MAX(1,D806)),0), FactorTable!$A$2:$A$301,0), Skills!L16+1)</f>
        <v/>
      </c>
      <c r="F806">
        <f>(Skills!K16/10)*(E806/1000)*64/45+Skills!N16</f>
        <v/>
      </c>
      <c r="G806">
        <f>Calc!G16</f>
        <v/>
      </c>
      <c r="H806">
        <f>Calc!H16</f>
        <v/>
      </c>
      <c r="I806">
        <f>IF(Skills!T16&lt;&gt;"",1+(Skills!T16/10)*(Z793/1000)/100,1)</f>
        <v/>
      </c>
      <c r="J806" t="inlineStr"/>
      <c r="K806" t="inlineStr"/>
      <c r="L806" t="inlineStr"/>
      <c r="M806" t="inlineStr"/>
      <c r="N806" t="inlineStr"/>
      <c r="O806">
        <f>(1-Summary!$B$11)*S806+Summary!$B$11*U806</f>
        <v/>
      </c>
      <c r="P806">
        <f>IF(B827=0,0,O806/B827)</f>
        <v/>
      </c>
      <c r="Q806">
        <f>IFERROR(1/IF(Inputs!$B$38="pvp",15,MAX(0.1,Skills!D16-IF(Skills!E16=TRUE,Inputs!$B$32,0))),0)</f>
        <v/>
      </c>
      <c r="R806">
        <f>IF(AND(Inputs!$B$38&lt;&gt;"pvp",Inputs!$B$43&gt;0),IF(Inputs!$B$43&lt;=0,0,(INT(Inputs!$B$43/IF(Inputs!$B$38="pvp",15,MAX(0.1,Skills!D16-IF(Skills!E16=TRUE,Inputs!$B$32,0))))+1)),0)</f>
        <v/>
      </c>
      <c r="S806" t="n">
        <v>0</v>
      </c>
      <c r="U806" t="n">
        <v>0</v>
      </c>
    </row>
    <row r="807">
      <c r="A807">
        <f>Skills!A17</f>
        <v/>
      </c>
      <c r="B807">
        <f>Skills!B17</f>
        <v/>
      </c>
      <c r="C807">
        <f>Inputs!$B$3&gt;=33</f>
        <v/>
      </c>
      <c r="D807">
        <f>IF(Skills!C17=1,60+Inputs!$B$25+Inputs!$B$29,IF(Skills!C17=2,90+Inputs!$B$26+Inputs!$B$29,IF(Skills!C17=3,120+Inputs!$B$27+Inputs!$B$29,MAX(0,(Inputs!$B$3-100)*3)+(Inputs!$B$28+1)+Inputs!$B$29)))</f>
        <v/>
      </c>
      <c r="E807">
        <f>INDEX(FactorTable!$B$2:$Y$301, MATCH(ROUND(MIN(300,MAX(1,D807)),0), FactorTable!$A$2:$A$301,0), Skills!L17+1)</f>
        <v/>
      </c>
      <c r="F807">
        <f>IF(Skills!M17=TRUE,(Skills!K17/10)*(E807/1000),Skills!K17/10)+Skills!N17</f>
        <v/>
      </c>
      <c r="G807">
        <f>Calc!G17</f>
        <v/>
      </c>
      <c r="H807">
        <f>Calc!H17</f>
        <v/>
      </c>
      <c r="I807">
        <f>IF(Skills!T17&lt;&gt;"",1+(Skills!T17/10)*(Z793/1000)/100,1)</f>
        <v/>
      </c>
      <c r="J807" t="inlineStr"/>
      <c r="K807" t="inlineStr"/>
      <c r="L807" t="inlineStr"/>
      <c r="M807" t="inlineStr"/>
      <c r="N807" t="inlineStr"/>
      <c r="O807">
        <f>(1-Summary!$B$11)*S807+Summary!$B$11*U807</f>
        <v/>
      </c>
      <c r="P807">
        <f>IF(B827=0,0,O807/B827)</f>
        <v/>
      </c>
      <c r="Q807">
        <f>IFERROR(1/IF(Inputs!$B$38="pvp",15,MAX(0.1,Skills!D17-IF(Skills!E17=TRUE,Inputs!$B$32,0))),0)</f>
        <v/>
      </c>
      <c r="R807" t="n">
        <v>0</v>
      </c>
      <c r="S807" t="n">
        <v>0</v>
      </c>
      <c r="U807" t="n">
        <v>0</v>
      </c>
    </row>
    <row r="808">
      <c r="A808">
        <f>Skills!A18</f>
        <v/>
      </c>
      <c r="B808">
        <f>Skills!B18</f>
        <v/>
      </c>
      <c r="C808">
        <f>Inputs!$B$3&gt;=43</f>
        <v/>
      </c>
      <c r="D808">
        <f>IF(Skills!C18=1,60+Inputs!$B$25+Inputs!$B$29,IF(Skills!C18=2,90+Inputs!$B$26+Inputs!$B$29,IF(Skills!C18=3,120+Inputs!$B$27+Inputs!$B$29,MAX(0,(Inputs!$B$3-100)*3)+(Inputs!$B$28+1)+Inputs!$B$29)))</f>
        <v/>
      </c>
      <c r="E808">
        <f>INDEX(FactorTable!$B$2:$Y$301, MATCH(ROUND(MIN(300,MAX(1,D808)),0), FactorTable!$A$2:$A$301,0), Skills!L18+1)</f>
        <v/>
      </c>
      <c r="F808">
        <f>IF(Skills!M18=TRUE,(Skills!K18/10)*(E808/1000),Skills!K18/10)+Skills!N18</f>
        <v/>
      </c>
      <c r="G808">
        <f>Calc!G18</f>
        <v/>
      </c>
      <c r="H808">
        <f>Calc!H18</f>
        <v/>
      </c>
      <c r="I808">
        <f>IF(Skills!T18&lt;&gt;"",1+(Skills!T18/10)*(Z793/1000)/100,1)</f>
        <v/>
      </c>
      <c r="J808" t="inlineStr"/>
      <c r="K808" t="inlineStr"/>
      <c r="L808" t="inlineStr"/>
      <c r="M808" t="inlineStr"/>
      <c r="N808" t="inlineStr"/>
      <c r="O808">
        <f>(1-Summary!$B$11)*S808+Summary!$B$11*U808</f>
        <v/>
      </c>
      <c r="P808">
        <f>IF(B827=0,0,O808/B827)</f>
        <v/>
      </c>
      <c r="Q808">
        <f>IFERROR(1/IF(Inputs!$B$38="pvp",15,MAX(0.1,Skills!D18-IF(Skills!E18=TRUE,Inputs!$B$32,0))),0)</f>
        <v/>
      </c>
      <c r="R808" t="n">
        <v>0</v>
      </c>
      <c r="S808" t="n">
        <v>0</v>
      </c>
      <c r="U808" t="n">
        <v>0</v>
      </c>
    </row>
    <row r="809">
      <c r="A809">
        <f>Skills!A19</f>
        <v/>
      </c>
      <c r="B809">
        <f>Skills!B19</f>
        <v/>
      </c>
      <c r="C809">
        <f>Inputs!$B$3&gt;=50</f>
        <v/>
      </c>
      <c r="D809">
        <f>IF(Skills!C19=1,60+Inputs!$B$25+Inputs!$B$29,IF(Skills!C19=2,90+Inputs!$B$26+Inputs!$B$29,IF(Skills!C19=3,120+Inputs!$B$27+Inputs!$B$29,MAX(0,(Inputs!$B$3-100)*3)+(Inputs!$B$28+1)+Inputs!$B$29)))</f>
        <v/>
      </c>
      <c r="E809">
        <f>INDEX(FactorTable!$B$2:$Y$301, MATCH(ROUND(MIN(300,MAX(1,D809)),0), FactorTable!$A$2:$A$301,0), Skills!L19+1)</f>
        <v/>
      </c>
      <c r="F809">
        <f>IF(Skills!M19=TRUE,(Skills!K19/10)*(E809/1000),Skills!K19/10)+Skills!N19</f>
        <v/>
      </c>
      <c r="G809">
        <f>Calc!G19</f>
        <v/>
      </c>
      <c r="H809">
        <f>Calc!H19</f>
        <v/>
      </c>
      <c r="I809">
        <f>IF(Skills!T19&lt;&gt;"",1+(Skills!T19/10)*(Z793/1000)/100,1)</f>
        <v/>
      </c>
      <c r="J809" t="inlineStr"/>
      <c r="K809" t="inlineStr"/>
      <c r="L809" t="inlineStr"/>
      <c r="M809" t="inlineStr"/>
      <c r="N809" t="inlineStr"/>
      <c r="O809">
        <f>(1-Summary!$B$11)*S809+Summary!$B$11*U809</f>
        <v/>
      </c>
      <c r="P809">
        <f>IF(B827=0,0,O809/B827)</f>
        <v/>
      </c>
      <c r="Q809">
        <f>IFERROR(1/IF(Inputs!$B$38="pvp",15,MAX(0.1,Skills!D19-IF(Skills!E19=TRUE,Inputs!$B$32,0))),0)</f>
        <v/>
      </c>
      <c r="R809" t="n">
        <v>0</v>
      </c>
      <c r="S809" t="n">
        <v>0</v>
      </c>
      <c r="U809" t="n">
        <v>0</v>
      </c>
    </row>
    <row r="810">
      <c r="A810">
        <f>Skills!A20</f>
        <v/>
      </c>
      <c r="B810">
        <f>Skills!B20</f>
        <v/>
      </c>
      <c r="C810">
        <f>Inputs!$B$3&gt;=74</f>
        <v/>
      </c>
      <c r="D810">
        <f>IF(Skills!C20=1,60+Inputs!$B$25+Inputs!$B$29,IF(Skills!C20=2,90+Inputs!$B$26+Inputs!$B$29,IF(Skills!C20=3,120+Inputs!$B$27+Inputs!$B$29,MAX(0,(Inputs!$B$3-100)*3)+(Inputs!$B$28+1)+Inputs!$B$29)))</f>
        <v/>
      </c>
      <c r="E810">
        <f>INDEX(FactorTable!$B$2:$Y$301, MATCH(ROUND(MIN(300,MAX(1,D810)),0), FactorTable!$A$2:$A$301,0), Skills!L20+1)</f>
        <v/>
      </c>
      <c r="F810">
        <f>IF(Skills!M20=TRUE,(Skills!K20/10)*(E810/1000),Skills!K20/10)+Skills!N20</f>
        <v/>
      </c>
      <c r="G810">
        <f>Calc!G20</f>
        <v/>
      </c>
      <c r="H810">
        <f>Calc!H20</f>
        <v/>
      </c>
      <c r="I810">
        <f>IF(Skills!T20&lt;&gt;"",1+(Skills!T20/10)*(Z793/1000)/100,1)</f>
        <v/>
      </c>
      <c r="J810" t="inlineStr"/>
      <c r="K810" t="inlineStr"/>
      <c r="L810" t="inlineStr"/>
      <c r="M810" t="inlineStr"/>
      <c r="N810" t="inlineStr"/>
      <c r="O810">
        <f>(1-Summary!$B$11)*S810+Summary!$B$11*U810</f>
        <v/>
      </c>
      <c r="P810">
        <f>IF(B827=0,0,O810/B827)</f>
        <v/>
      </c>
      <c r="Q810">
        <f>IFERROR(1/IF(Inputs!$B$38="pvp",15,MAX(0.1,Skills!D20-IF(Skills!E20=TRUE,Inputs!$B$32,0))),0)</f>
        <v/>
      </c>
      <c r="R810" t="n">
        <v>0</v>
      </c>
      <c r="S810" t="n">
        <v>0</v>
      </c>
      <c r="U810" t="n">
        <v>0</v>
      </c>
    </row>
    <row r="811">
      <c r="A811">
        <f>Skills!A21</f>
        <v/>
      </c>
      <c r="B811">
        <f>Skills!B21</f>
        <v/>
      </c>
      <c r="C811">
        <f>Inputs!$B$3&gt;=74</f>
        <v/>
      </c>
      <c r="D811">
        <f>IF(Skills!C21=1,60+Inputs!$B$25+Inputs!$B$29,IF(Skills!C21=2,90+Inputs!$B$26+Inputs!$B$29,IF(Skills!C21=3,120+Inputs!$B$27+Inputs!$B$29,MAX(0,(Inputs!$B$3-100)*3)+(Inputs!$B$28+1)+Inputs!$B$29)))</f>
        <v/>
      </c>
      <c r="E811">
        <f>INDEX(FactorTable!$B$2:$Y$301, MATCH(ROUND(MIN(300,MAX(1,D811)),0), FactorTable!$A$2:$A$301,0), Skills!L21+1)</f>
        <v/>
      </c>
      <c r="F811">
        <f>IF(Skills!M21=TRUE,(Skills!K21/10)*(E811/1000),Skills!K21/10)+Skills!N21</f>
        <v/>
      </c>
      <c r="G811">
        <f>Calc!G21</f>
        <v/>
      </c>
      <c r="H811">
        <f>Calc!H21</f>
        <v/>
      </c>
      <c r="I811">
        <f>IF(Skills!T21&lt;&gt;"",1+(Skills!T21/10)*(Z793/1000)/100,1)</f>
        <v/>
      </c>
      <c r="J811" t="inlineStr"/>
      <c r="K811" t="inlineStr"/>
      <c r="L811" t="inlineStr"/>
      <c r="M811" t="inlineStr"/>
      <c r="N811" t="inlineStr"/>
      <c r="O811">
        <f>(1-Summary!$B$11)*S811+Summary!$B$11*U811</f>
        <v/>
      </c>
      <c r="P811">
        <f>IF(B827=0,0,O811/B827)</f>
        <v/>
      </c>
      <c r="Q811">
        <f>IFERROR(1/IF(Inputs!$B$38="pvp",15,MAX(0.1,Skills!D21-IF(Skills!E21=TRUE,Inputs!$B$32,0))),0)</f>
        <v/>
      </c>
      <c r="R811" t="n">
        <v>0</v>
      </c>
      <c r="S811" t="n">
        <v>0</v>
      </c>
      <c r="U811" t="n">
        <v>0</v>
      </c>
    </row>
    <row r="812">
      <c r="A812">
        <f>Skills!A22</f>
        <v/>
      </c>
      <c r="B812">
        <f>Skills!B22</f>
        <v/>
      </c>
      <c r="C812">
        <f>Inputs!$B$3&gt;=117</f>
        <v/>
      </c>
      <c r="D812">
        <f>IF(Skills!C22=1,60+Inputs!$B$25+Inputs!$B$29,IF(Skills!C22=2,90+Inputs!$B$26+Inputs!$B$29,IF(Skills!C22=3,120+Inputs!$B$27+Inputs!$B$29,MAX(0,(Inputs!$B$3-100)*3)+(Inputs!$B$28+1)+Inputs!$B$29)))</f>
        <v/>
      </c>
      <c r="E812">
        <f>INDEX(FactorTable!$B$2:$Y$301, MATCH(ROUND(MIN(300,MAX(1,D812)),0), FactorTable!$A$2:$A$301,0), Skills!L22+1)</f>
        <v/>
      </c>
      <c r="F812">
        <f>IF(Skills!M22=TRUE,(Skills!K22/10)*(E812/1000),Skills!K22/10)+Skills!N22</f>
        <v/>
      </c>
      <c r="G812">
        <f>Calc!G22</f>
        <v/>
      </c>
      <c r="H812">
        <f>Calc!H22</f>
        <v/>
      </c>
      <c r="I812">
        <f>IF(Skills!T22&lt;&gt;"",1+(Skills!T22/10)*(Z793/1000)/100,1)</f>
        <v/>
      </c>
      <c r="J812" t="inlineStr"/>
      <c r="K812" t="inlineStr"/>
      <c r="L812" t="inlineStr"/>
      <c r="M812" t="inlineStr"/>
      <c r="N812" t="inlineStr"/>
      <c r="O812">
        <f>(1-Summary!$B$11)*S812+Summary!$B$11*U812</f>
        <v/>
      </c>
      <c r="P812">
        <f>IF(B827=0,0,O812/B827)</f>
        <v/>
      </c>
      <c r="Q812">
        <f>IFERROR(1/IF(Inputs!$B$38="pvp",15,MAX(0.1,Skills!D22-IF(Skills!E22=TRUE,Inputs!$B$32,0))),0)</f>
        <v/>
      </c>
      <c r="R812" t="n">
        <v>0</v>
      </c>
      <c r="S812" t="n">
        <v>0</v>
      </c>
      <c r="U812" t="n">
        <v>0</v>
      </c>
    </row>
    <row r="813">
      <c r="A813">
        <f>Skills!A23</f>
        <v/>
      </c>
      <c r="B813">
        <f>Skills!B23</f>
        <v/>
      </c>
      <c r="C813">
        <f>Inputs!$B$3&gt;=120</f>
        <v/>
      </c>
      <c r="D813">
        <f>IF(Skills!C23=1,60+Inputs!$B$25+Inputs!$B$29,IF(Skills!C23=2,90+Inputs!$B$26+Inputs!$B$29,IF(Skills!C23=3,120+Inputs!$B$27+Inputs!$B$29,MAX(0,(Inputs!$B$3-100)*3)+(Inputs!$B$28+1)+Inputs!$B$29)))</f>
        <v/>
      </c>
      <c r="E813">
        <f>INDEX(FactorTable!$B$2:$Y$301, MATCH(ROUND(MIN(300,MAX(1,D813)),0), FactorTable!$A$2:$A$301,0), Skills!L23+1)</f>
        <v/>
      </c>
      <c r="F813">
        <f>IF(Skills!M23=TRUE,(Skills!K23/10)*(E813/1000),Skills!K23/10)+Skills!N23</f>
        <v/>
      </c>
      <c r="G813">
        <f>Calc!G23</f>
        <v/>
      </c>
      <c r="H813">
        <f>Calc!H23</f>
        <v/>
      </c>
      <c r="I813">
        <f>IF(Skills!T23&lt;&gt;"",1+(Skills!T23/10)*(Z793/1000)/100,1)</f>
        <v/>
      </c>
      <c r="J813" t="inlineStr"/>
      <c r="K813" t="inlineStr"/>
      <c r="L813" t="inlineStr"/>
      <c r="M813" t="inlineStr"/>
      <c r="N813" t="inlineStr"/>
      <c r="O813">
        <f>(1-Summary!$B$11)*S813+Summary!$B$11*U813</f>
        <v/>
      </c>
      <c r="P813">
        <f>IF(B827=0,0,O813/B827)</f>
        <v/>
      </c>
      <c r="Q813">
        <f>IFERROR(1/IF(Inputs!$B$38="pvp",15,MAX(0.1,Skills!D23-IF(Skills!E23=TRUE,Inputs!$B$32,0))),0)</f>
        <v/>
      </c>
      <c r="R813" t="n">
        <v>0</v>
      </c>
      <c r="S813" t="n">
        <v>0</v>
      </c>
      <c r="U813" t="n">
        <v>0</v>
      </c>
    </row>
    <row r="814">
      <c r="A814">
        <f>Skills!A24</f>
        <v/>
      </c>
      <c r="B814">
        <f>Skills!B24</f>
        <v/>
      </c>
      <c r="C814">
        <f>TRUE</f>
        <v/>
      </c>
      <c r="D814">
        <f>IF(Skills!C24=1,60+Inputs!$B$25+Inputs!$B$29,IF(Skills!C24=2,90+Inputs!$B$26+Inputs!$B$29,IF(Skills!C24=3,120+Inputs!$B$27+Inputs!$B$29,MAX(0,(Inputs!$B$3-100)*3)+(Inputs!$B$28+1)+Inputs!$B$29)))</f>
        <v/>
      </c>
      <c r="E814">
        <f>INDEX(FactorTable!$B$2:$Y$301, MATCH(ROUND(MIN(300,MAX(1,D814)),0), FactorTable!$A$2:$A$301,0), Skills!L24+1)</f>
        <v/>
      </c>
      <c r="F814">
        <f>IF(Skills!M24=TRUE,(Skills!K24/10)*(E814/1000),Skills!K24/10)+Skills!N24</f>
        <v/>
      </c>
      <c r="G814">
        <f>Calc!G24</f>
        <v/>
      </c>
      <c r="H814">
        <f>Calc!H24</f>
        <v/>
      </c>
      <c r="I814">
        <f>IF(Skills!T24&lt;&gt;"",1+(Skills!T24/10)*(Z793/1000)/100,1)</f>
        <v/>
      </c>
      <c r="J814" t="inlineStr"/>
      <c r="K814" t="inlineStr"/>
      <c r="L814" t="inlineStr"/>
      <c r="M814" t="inlineStr"/>
      <c r="N814" t="inlineStr"/>
      <c r="O814">
        <f>(1-Summary!$B$11)*S814+Summary!$B$11*U814</f>
        <v/>
      </c>
      <c r="P814">
        <f>IF(B827=0,0,O814/B827)</f>
        <v/>
      </c>
      <c r="Q814">
        <f>IFERROR(1/IF(Inputs!$B$38="pvp",15,MAX(0.1,Skills!D24-IF(Skills!E24=TRUE,Inputs!$B$32,0))),0)</f>
        <v/>
      </c>
      <c r="R814">
        <f>IF(AND(Inputs!$B$38&lt;&gt;"pvp",Inputs!$B$43&gt;0),IF(Inputs!$B$43&lt;=0,0,(INT(Inputs!$B$43/IF(Inputs!$B$38="pvp",15,MAX(0.1,Skills!D24-IF(Skills!E24=TRUE,Inputs!$B$32,0))))+1)),0)</f>
        <v/>
      </c>
      <c r="S814" t="n">
        <v>0</v>
      </c>
      <c r="U814" t="n">
        <v>0</v>
      </c>
    </row>
    <row r="817">
      <c r="A817" t="inlineStr">
        <is>
          <t>Average Buff Multiplier (Magic Guard + Meditation + Artifact Attack%, summed; then Infinity)</t>
        </is>
      </c>
      <c r="B817">
        <f>(1+(IF(C793=TRUE,F793*IF(AND(Inputs!$B$38&lt;&gt;"pvp",Inputs!$B$43&gt;0),(((R793-1)*(Skills!S3*(1+(Inputs!$B$34)/100))+MIN((Skills!S3*(1+(Inputs!$B$34)/100)),MAX(0,Inputs!$B$43-((R793-1)*Skills!D3))))/Inputs!$B$43),IF(Inputs!$B$38="pvp",MIN((Skills!S3*(1+(Inputs!$B$34)/100)),15)/15,(Skills!S3*(1+(Inputs!$B$34)/100))/Skills!D3)),0)+IF(C794=TRUE,F794*IF(AND(Inputs!$B$38&lt;&gt;"pvp",Inputs!$B$43&gt;0),(((R794-1)*(Skills!S4*(1+(Inputs!$B$34)/100))+MIN((Skills!S4*(1+(Inputs!$B$34)/100)),MAX(0,Inputs!$B$43-((R794-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806=TRUE,(1+F806*IF(AND(Inputs!$B$38&lt;&gt;"pvp",Inputs!$B$43&gt;0),(((R806-1)*(Skills!S16*(1+(Inputs!$B$34)/100))+MIN((Skills!S16*(1+(Inputs!$B$34)/100)),MAX(0,Inputs!$B$43-((R806-1)*Skills!D16))))/Inputs!$B$43),IF(Inputs!$B$38="pvp",MIN((Skills!S16*(1+(Inputs!$B$34)/100)),15)/15,(Skills!S16*(1+(Inputs!$B$34)/100))/Skills!D16))/100),1)</f>
        <v/>
      </c>
    </row>
    <row r="818">
      <c r="A818" t="inlineStr">
        <is>
          <t>Monster Damage Taken Bonus % (Freezing Breath - Weaken + Elemental Reset + Artifact Enemy Damage Taken, summed)</t>
        </is>
      </c>
      <c r="B818">
        <f>IF(Inputs!$B$3&gt;=118,15*IF(Inputs!$B$38="pvp",MIN((30*(1+(Inputs!$B$34)/100)),15)/15,(30*(1+(Inputs!$B$34)/100))/Skills!D8),0)+IF(C804=TRUE,F804,0)+(IF(AND(ArtifactsInput!$M$35,Inputs!$B$4&lt;&gt;"Chapter Hunt"),CHOOSE(ArtifactsInput!$N$35+1,15,18,21,24,27,30)*(1-EXP(-(0.2*B821)*5)),0)+IF(AND(ArtifactsInput!$M$22,Inputs!$B$4&lt;&gt;"Chapter Hunt"),CHOOSE(ArtifactsInput!$N$22+1,10,12,14,16,18,20)*((0*(((0.15*B821*5))^0/1)+1*(((0.15*B821*5))^1/1)+2*(((0.15*B821*5))^2/2)+3*(((0.15*B821*5))^3/6)+4*(((0.15*B821*5))^4/24)+5*(((0.15*B821*5))^5/120))/((((0.15*B821*5))^0/1)+(((0.15*B821*5))^1/1)+(((0.15*B821*5))^2/2)+(((0.15*B821*5))^3/6)+(((0.15*B821*5))^4/24)+(((0.15*B821*5))^5/120))),0))</f>
        <v/>
      </c>
    </row>
    <row r="819">
      <c r="A819" t="inlineStr">
        <is>
          <t>Damage % Bonus (Frozen Break + Frost Clutch, flat)</t>
        </is>
      </c>
      <c r="B819">
        <f>IF(Inputs!$B$3&gt;=66,15,0)+IF(Inputs!$B$3&gt;=98,10,0)+IF(Inputs!$B$3&gt;=125,20,0)</f>
        <v/>
      </c>
    </row>
    <row r="820">
      <c r="A820" t="inlineStr">
        <is>
          <t>Attack Speed Bonus % (MP Eater - MP Boost, always-on + Nimble Feet, duty-cycle averaged)</t>
        </is>
      </c>
      <c r="B820">
        <f>IF(C803=TRUE,F803+(F807-Calc!F17),0)+((C814=TRUE)*F814*IF(AND(Inputs!$B$38&lt;&gt;"pvp",Inputs!$B$43&gt;0),(((R814-1)*(Skills!S24*(1+(Inputs!$B$34)/100))+MIN((Skills!S24*(1+(Inputs!$B$34)/100)),MAX(0,Inputs!$B$43-((R814-1)*Skills!D24))))/Inputs!$B$43),IF(Inputs!$B$38="pvp",MIN((Skills!S24*(1+(Inputs!$B$34)/100)),15)/15,(Skills!S24*(1+(Inputs!$B$34)/100))/Skills!D24)))</f>
        <v/>
      </c>
    </row>
    <row r="821">
      <c r="A821" t="inlineStr">
        <is>
          <t>Actions Per Second</t>
        </is>
      </c>
      <c r="B821">
        <f>1+MIN(150,150*(1-(1-(Inputs!$B$11+(ArtifactsInput!$M$15-ArtifactsInput!$M$15)*CHOOSE(ArtifactsInput!$N$15+1,8,9.6,11.2,12.8,14.4,16))/150)*(1-B820/150)))/100</f>
        <v/>
      </c>
    </row>
    <row r="822">
      <c r="A822" t="inlineStr">
        <is>
          <t>Skill + Buff Cast Rate</t>
        </is>
      </c>
      <c r="B822">
        <f>IF(AND(Inputs!$B$38&lt;&gt;"pvp",Inputs!$B$43&gt;0),SUMPRODUCT((Skills!E2:E24=TRUE)*(C792:C814=TRUE)*R792:R814)/Inputs!$B$43,SUMPRODUCT((Skills!E2:E24=TRUE)*(C792:C814=TRUE)*Q792:Q814))</f>
        <v/>
      </c>
    </row>
    <row r="823">
      <c r="A823" t="inlineStr">
        <is>
          <t>Chain Lightning Casts Per Second</t>
        </is>
      </c>
      <c r="B823">
        <f>MAX(0,B821-B822)</f>
        <v/>
      </c>
    </row>
    <row r="824">
      <c r="A824" t="inlineStr">
        <is>
          <t>Buff-Casting Startup Delay (s, fixed-duration only)</t>
        </is>
      </c>
      <c r="B824">
        <f>IF(AND(Inputs!$B$38&lt;&gt;"pvp",Inputs!$B$43&gt;0),SUMPRODUCT((Skills!S2:S24&gt;0)*(Skills!E2:E24=TRUE)*(C792:C814=TRUE))/B821,0)</f>
        <v/>
      </c>
    </row>
    <row r="825">
      <c r="A825" t="inlineStr">
        <is>
          <t>Boss-Only Total DPS (this block's swept value)</t>
        </is>
      </c>
      <c r="B825">
        <f>SUM(S792:S814)</f>
        <v/>
      </c>
    </row>
    <row r="826">
      <c r="A826" t="inlineStr">
        <is>
          <t>Normal-Only Total DPS (this block's swept value)</t>
        </is>
      </c>
      <c r="B826">
        <f>SUM(U792:U814)</f>
        <v/>
      </c>
    </row>
    <row r="827">
      <c r="A827" s="6" t="inlineStr">
        <is>
          <t>TOTAL DPS</t>
        </is>
      </c>
      <c r="B827" s="6">
        <f>SUM(O792:O814)</f>
        <v/>
      </c>
    </row>
    <row r="830">
      <c r="A830" s="6" t="inlineStr">
        <is>
          <t>Stat: Skill Level Bonus — All Skills</t>
        </is>
      </c>
    </row>
    <row r="831">
      <c r="A831" s="5" t="inlineStr">
        <is>
          <t>Key</t>
        </is>
      </c>
      <c r="B831" s="5" t="inlineStr">
        <is>
          <t>Name</t>
        </is>
      </c>
      <c r="C831" s="5" t="inlineStr">
        <is>
          <t>Unlocked</t>
        </is>
      </c>
      <c r="D831" s="5" t="inlineStr">
        <is>
          <t>InputLevel</t>
        </is>
      </c>
      <c r="E831" s="5" t="inlineStr">
        <is>
          <t>Factor</t>
        </is>
      </c>
      <c r="F831" s="5" t="inlineStr">
        <is>
          <t>CoefficientPercent</t>
        </is>
      </c>
      <c r="G831" s="5" t="inlineStr">
        <is>
          <t>EffectiveHits</t>
        </is>
      </c>
      <c r="H831" s="5" t="inlineStr">
        <is>
          <t>ProcProbability</t>
        </is>
      </c>
      <c r="I831" s="5" t="inlineStr">
        <is>
          <t>MapleHeroMultiplier</t>
        </is>
      </c>
      <c r="J831" s="5" t="inlineStr">
        <is>
          <t>BaseDamage</t>
        </is>
      </c>
      <c r="K831" s="5" t="inlineStr">
        <is>
          <t>BaseHitDamage</t>
        </is>
      </c>
      <c r="L831" s="5" t="inlineStr">
        <is>
          <t>NonCritAvg</t>
        </is>
      </c>
      <c r="M831" s="5" t="inlineStr">
        <is>
          <t>CritAvg</t>
        </is>
      </c>
      <c r="N831" s="5" t="inlineStr">
        <is>
          <t>ExpectedDamage(perHit)</t>
        </is>
      </c>
      <c r="O831" s="5" t="inlineStr">
        <is>
          <t>DPS</t>
        </is>
      </c>
      <c r="P831" s="5" t="inlineStr">
        <is>
          <t>% of Total</t>
        </is>
      </c>
      <c r="R831" t="inlineStr">
        <is>
          <t>helpers</t>
        </is>
      </c>
    </row>
    <row r="832">
      <c r="A832">
        <f>Skills!A2</f>
        <v/>
      </c>
      <c r="B832">
        <f>Skills!B2</f>
        <v/>
      </c>
      <c r="C832">
        <f>Inputs!$B$3&gt;=100</f>
        <v/>
      </c>
      <c r="D832" t="inlineStr"/>
      <c r="E832" t="inlineStr"/>
      <c r="F832">
        <f>T834+Skills!N2</f>
        <v/>
      </c>
      <c r="G832">
        <f>Calc!G2</f>
        <v/>
      </c>
      <c r="H832">
        <f>Calc!H2</f>
        <v/>
      </c>
      <c r="I832">
        <f>IF(Skills!T2&lt;&gt;"",1+(Skills!T2/10)*(Z833/1000)/100,1)</f>
        <v/>
      </c>
      <c r="J832">
        <f>((Inputs!$B$6*(1+Inputs!$B$7/100))+(((Inputs!$B$12*(1+Inputs!$B$13/100))-(Inputs!$B$12*(1+Inputs!$B$13/100)))+0.25*(Inputs!$B$14-Inputs!$B$14))*(1+Inputs!$B$7/100))*(F832/100)</f>
        <v/>
      </c>
      <c r="K832">
        <f>J832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2="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848-Calc!F18),(Inputs!$B$23+(IF(ArtifactsInput!$M$15,CHOOSE(ArtifactsInput!$N$15+1,25,30,35,40,45,50)/100*(Inputs!$B$11-Inputs!$B$11),0))))/100+(Inputs!$B$23+(IF(ArtifactsInput!$M$15,CHOOSE(ArtifactsInput!$N$15+1,25,30,35,40,45,50)/100*(Inputs!$B$11-Inputs!$B$11),0)))/100)/2</f>
        <v/>
      </c>
      <c r="M832">
        <f>L832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IF(B867=0,0,O832/B867)</f>
        <v/>
      </c>
      <c r="Q832">
        <f>IFERROR(1/IF(Inputs!$B$38="pvp",15,MAX(0.1,Skills!D2-IF(Skills!E2=TRUE,Inputs!$B$32,0))),0)</f>
        <v/>
      </c>
      <c r="R832" t="n">
        <v>0</v>
      </c>
      <c r="S832">
        <f>IF(C832,(Skills!F2*N832*B863)*IF(Inputs!$B$38="pvp",1,1+(Inputs!$B$20+Skills!O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32">
        <f>MAX(0,(Inputs!$B$3-100)*3)+Inputs!$B$28+(Inputs!$B$29+1)</f>
        <v/>
      </c>
      <c r="U832">
        <f>IF(C832,(Skills!F2*N832*B863)*IF(Inputs!$B$38="pvp",1,(1+(Inputs!$B$21+Skills!P2+B858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32">
        <f>MAX(0,(Inputs!$B$3-100)*3)+Inputs!$B$28+(Inputs!$B$29+1)</f>
        <v/>
      </c>
    </row>
    <row r="833">
      <c r="A833">
        <f>Skills!A3</f>
        <v/>
      </c>
      <c r="B833">
        <f>Skills!B3</f>
        <v/>
      </c>
      <c r="C833">
        <f>Inputs!$B$3&gt;=15</f>
        <v/>
      </c>
      <c r="D833">
        <f>IF(Skills!C3=1,60+Inputs!$B$25+(Inputs!$B$29+1),IF(Skills!C3=2,90+Inputs!$B$26+(Inputs!$B$29+1),IF(Skills!C3=3,120+Inputs!$B$27+(Inputs!$B$29+1),MAX(0,(Inputs!$B$3-100)*3)+Inputs!$B$28+(Inputs!$B$29+1))))</f>
        <v/>
      </c>
      <c r="E833">
        <f>INDEX(FactorTable!$B$2:$Y$301, MATCH(ROUND(MIN(300,MAX(1,D833)),0), FactorTable!$A$2:$A$301,0), Skills!L3+1)</f>
        <v/>
      </c>
      <c r="F833">
        <f>IF(Skills!M3=TRUE,(Skills!K3/10)*(E833/1000),Skills!K3/10)+Skills!N3</f>
        <v/>
      </c>
      <c r="G833">
        <f>Calc!G3</f>
        <v/>
      </c>
      <c r="H833">
        <f>Calc!H3</f>
        <v/>
      </c>
      <c r="I833">
        <f>IF(Skills!T3&lt;&gt;"",1+(Skills!T3/10)*(Z833/1000)/100,1)</f>
        <v/>
      </c>
      <c r="J833" t="inlineStr"/>
      <c r="K833" t="inlineStr"/>
      <c r="L833" t="inlineStr"/>
      <c r="M833" t="inlineStr"/>
      <c r="N833" t="inlineStr"/>
      <c r="O833">
        <f>(1-Summary!$B$11)*S833+Summary!$B$11*U833</f>
        <v/>
      </c>
      <c r="P833">
        <f>IF(B867=0,0,O833/B867)</f>
        <v/>
      </c>
      <c r="Q833">
        <f>IFERROR(1/IF(Inputs!$B$38="pvp",15,MAX(0.1,Skills!D3-IF(Skills!E3=TRUE,Inputs!$B$32,0))),0)</f>
        <v/>
      </c>
      <c r="R833">
        <f>IF(AND(Inputs!$B$38&lt;&gt;"pvp",Inputs!$B$43&gt;0),IF(Inputs!$B$43&lt;=0,0,(INT(Inputs!$B$43/IF(Inputs!$B$38="pvp",15,MAX(0.1,Skills!D3-IF(Skills!E3=TRUE,Inputs!$B$32,0))))+1)),0)</f>
        <v/>
      </c>
      <c r="S833" t="n">
        <v>0</v>
      </c>
      <c r="T833">
        <f>INDEX(FactorTable!$B$2:$Y$301, MATCH(ROUND(MIN(300,MAX(1,T832)),0), FactorTable!$A$2:$A$301,0), 22)</f>
        <v/>
      </c>
      <c r="U833" t="n">
        <v>0</v>
      </c>
      <c r="Z833">
        <f>INDEX(FactorTable!$B$2:$Y$301, MATCH(ROUND(MIN(300,MAX(1,Z832)),0), FactorTable!$A$2:$A$301,0), 24)</f>
        <v/>
      </c>
    </row>
    <row r="834">
      <c r="A834">
        <f>Skills!A4</f>
        <v/>
      </c>
      <c r="B834">
        <f>Skills!B4</f>
        <v/>
      </c>
      <c r="C834">
        <f>Inputs!$B$3&gt;=40</f>
        <v/>
      </c>
      <c r="D834">
        <f>IF(Skills!C4=1,60+Inputs!$B$25+(Inputs!$B$29+1),IF(Skills!C4=2,90+Inputs!$B$26+(Inputs!$B$29+1),IF(Skills!C4=3,120+Inputs!$B$27+(Inputs!$B$29+1),MAX(0,(Inputs!$B$3-100)*3)+Inputs!$B$28+(Inputs!$B$29+1))))</f>
        <v/>
      </c>
      <c r="E834">
        <f>INDEX(FactorTable!$B$2:$Y$301, MATCH(ROUND(MIN(300,MAX(1,D834)),0), FactorTable!$A$2:$A$301,0), Skills!L4+1)</f>
        <v/>
      </c>
      <c r="F834">
        <f>IF(Skills!M4=TRUE,(Skills!K4/10)*(E834/1000),Skills!K4/10)+Skills!N4</f>
        <v/>
      </c>
      <c r="G834">
        <f>Calc!G4</f>
        <v/>
      </c>
      <c r="H834">
        <f>Calc!H4</f>
        <v/>
      </c>
      <c r="I834">
        <f>IF(Skills!T4&lt;&gt;"",1+(Skills!T4/10)*(Z833/1000)/100,1)</f>
        <v/>
      </c>
      <c r="J834" t="inlineStr"/>
      <c r="K834" t="inlineStr"/>
      <c r="L834" t="inlineStr"/>
      <c r="M834" t="inlineStr"/>
      <c r="N834" t="inlineStr"/>
      <c r="O834">
        <f>(1-Summary!$B$11)*S834+Summary!$B$11*U834</f>
        <v/>
      </c>
      <c r="P834">
        <f>IF(B867=0,0,O834/B867)</f>
        <v/>
      </c>
      <c r="Q834">
        <f>IFERROR(1/IF(Inputs!$B$38="pvp",15,MAX(0.1,Skills!D4-IF(Skills!E4=TRUE,Inputs!$B$32,0))),0)</f>
        <v/>
      </c>
      <c r="R834">
        <f>IF(AND(Inputs!$B$38&lt;&gt;"pvp",Inputs!$B$43&gt;0),IF(Inputs!$B$43&lt;=0,0,(INT(Inputs!$B$43/IF(Inputs!$B$38="pvp",15,MAX(0.1,Skills!D4-IF(Skills!E4=TRUE,Inputs!$B$32,0))))+1)),0)</f>
        <v/>
      </c>
      <c r="S834" t="n">
        <v>0</v>
      </c>
      <c r="T834">
        <f>290*T833/1000</f>
        <v/>
      </c>
      <c r="U834" t="n">
        <v>0</v>
      </c>
    </row>
    <row r="835">
      <c r="A835">
        <f>Skills!A5</f>
        <v/>
      </c>
      <c r="B835">
        <f>Skills!B5</f>
        <v/>
      </c>
      <c r="C835">
        <f>Inputs!$B$3&gt;=38</f>
        <v/>
      </c>
      <c r="D835">
        <f>IF(Skills!C5=1,60+Inputs!$B$25+(Inputs!$B$29+1),IF(Skills!C5=2,90+Inputs!$B$26+(Inputs!$B$29+1),IF(Skills!C5=3,120+Inputs!$B$27+(Inputs!$B$29+1),MAX(0,(Inputs!$B$3-100)*3)+Inputs!$B$28+(Inputs!$B$29+1))))</f>
        <v/>
      </c>
      <c r="E835">
        <f>INDEX(FactorTable!$B$2:$Y$301, MATCH(ROUND(MIN(300,MAX(1,D835)),0), FactorTable!$A$2:$A$301,0), Skills!L5+1)</f>
        <v/>
      </c>
      <c r="F835">
        <f>IF(Skills!M5=TRUE,(Skills!K5/10)*(E835/1000),Skills!K5/10)+Skills!N5</f>
        <v/>
      </c>
      <c r="G835">
        <f>Calc!G5</f>
        <v/>
      </c>
      <c r="H835">
        <f>Calc!H5</f>
        <v/>
      </c>
      <c r="I835">
        <f>IF(Skills!T5&lt;&gt;"",1+(Skills!T5/10)*(Z833/1000)/100,1)</f>
        <v/>
      </c>
      <c r="J835">
        <f>((Inputs!$B$6*(1+Inputs!$B$7/100))+(((Inputs!$B$12*(1+Inputs!$B$13/100))-(Inputs!$B$12*(1+Inputs!$B$13/100)))+0.25*(Inputs!$B$14-Inputs!$B$14))*(1+Inputs!$B$7/100))*(F835/100)</f>
        <v/>
      </c>
      <c r="K835">
        <f>J835*(1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5="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F848-Calc!F18),(Inputs!$B$23+(IF(ArtifactsInput!$M$15,CHOOSE(ArtifactsInput!$N$15+1,25,30,35,40,45,50)/100*(Inputs!$B$11-Inputs!$B$11),0))))/100+(Inputs!$B$23+(IF(ArtifactsInput!$M$15,CHOOSE(ArtifactsInput!$N$15+1,25,30,35,40,45,50)/100*(Inputs!$B$11-Inputs!$B$11),0)))/100)/2</f>
        <v/>
      </c>
      <c r="M835">
        <f>L835*(1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(1-Summary!$B$11)*S835+Summary!$B$11*U835</f>
        <v/>
      </c>
      <c r="P835">
        <f>IF(B867=0,0,O835/B867)</f>
        <v/>
      </c>
      <c r="Q835">
        <f>IFERROR(1/IF(Inputs!$B$38="pvp",15,MAX(0.1,Skills!D5-IF(Skills!E5=TRUE,Inputs!$B$32,0))),0)</f>
        <v/>
      </c>
      <c r="R835">
        <f>IF(AND(Inputs!$B$38&lt;&gt;"pvp",Inputs!$B$43&gt;0),IF(MAX(0,Inputs!$B$43-B864)&lt;=0,0,(INT(MAX(0,Inputs!$B$43-B864)/IF(Inputs!$B$38="pvp",15,MAX(0.1,Skills!D5-IF(Skills!E5=TRUE,Inputs!$B$32,0))))+1)),0)</f>
        <v/>
      </c>
      <c r="S835">
        <f>IF(C835,(H835*N835*IF(AND(Inputs!$B$38&lt;&gt;"pvp",Inputs!$B$43&gt;0),((Skills!F5*((R835-1)*IF(Skills!G5&gt;0,Skills!H5/Skills!G5,1)+IF(Skills!G5&gt;0,MIN(Skills!H5,MAX(0,MAX(0,Inputs!$B$43-B864)-((R835-1)*IF(Inputs!$B$38="pvp",15,MAX(0.1,Skills!D5-IF(Skills!E5=TRUE,Inputs!$B$32,0))))))/Skills!G5,1)))/Inputs!$B$43),G835*Q835))*IF(Inputs!$B$38="pvp",1,1+(Inputs!$B$20+Skills!O5+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835*(1-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IF(C835,(H835*N835*IF(AND(Inputs!$B$38&lt;&gt;"pvp",Inputs!$B$43&gt;0),((Skills!F5*((R835-1)*IF(Skills!G5&gt;0,Skills!H5/Skills!G5,1)+IF(Skills!G5&gt;0,MIN(Skills!H5,MAX(0,MAX(0,Inputs!$B$43-B864)-((R835-1)*IF(Inputs!$B$38="pvp",15,MAX(0.1,Skills!D5-IF(Skills!E5=TRUE,Inputs!$B$32,0))))))/Skills!G5,1)))/Inputs!$B$43),G835*Q835))*IF(Inputs!$B$38="pvp",1,(1+(Inputs!$B$21+Skills!P5+B858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Skills!A6</f>
        <v/>
      </c>
      <c r="B836">
        <f>Skills!B6</f>
        <v/>
      </c>
      <c r="C836">
        <f>Inputs!$B$3&gt;=63</f>
        <v/>
      </c>
      <c r="D836">
        <f>IF(Skills!C6=1,60+Inputs!$B$25+(Inputs!$B$29+1),IF(Skills!C6=2,90+Inputs!$B$26+(Inputs!$B$29+1),IF(Skills!C6=3,120+Inputs!$B$27+(Inputs!$B$29+1),MAX(0,(Inputs!$B$3-100)*3)+Inputs!$B$28+(Inputs!$B$29+1))))</f>
        <v/>
      </c>
      <c r="E836">
        <f>INDEX(FactorTable!$B$2:$Y$301, MATCH(ROUND(MIN(300,MAX(1,D836)),0), FactorTable!$A$2:$A$301,0), Skills!L6+1)</f>
        <v/>
      </c>
      <c r="F836">
        <f>IF(Skills!M6=TRUE,(Skills!K6/10)*(E836/1000),Skills!K6/10)+Skills!N6</f>
        <v/>
      </c>
      <c r="G836">
        <f>Calc!G6</f>
        <v/>
      </c>
      <c r="H836">
        <f>Calc!H6</f>
        <v/>
      </c>
      <c r="I836">
        <f>IF(Skills!T6&lt;&gt;"",1+(Skills!T6/10)*(Z833/1000)/100,1)</f>
        <v/>
      </c>
      <c r="J836">
        <f>((Inputs!$B$6*(1+Inputs!$B$7/100))+(((Inputs!$B$12*(1+Inputs!$B$13/100))-(Inputs!$B$12*(1+Inputs!$B$13/100)))+0.25*(Inputs!$B$14-Inputs!$B$14))*(1+Inputs!$B$7/100))*(F836/100)</f>
        <v/>
      </c>
      <c r="K836">
        <f>J836*(1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6="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F848-Calc!F18),(Inputs!$B$23+(IF(ArtifactsInput!$M$15,CHOOSE(ArtifactsInput!$N$15+1,25,30,35,40,45,50)/100*(Inputs!$B$11-Inputs!$B$11),0))))/100+(Inputs!$B$23+(IF(ArtifactsInput!$M$15,CHOOSE(ArtifactsInput!$N$15+1,25,30,35,40,45,50)/100*(Inputs!$B$11-Inputs!$B$11),0)))/100)/2</f>
        <v/>
      </c>
      <c r="M836">
        <f>L836*(1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(1-Summary!$B$11)*S836+Summary!$B$11*U836</f>
        <v/>
      </c>
      <c r="P836">
        <f>IF(B867=0,0,O836/B867)</f>
        <v/>
      </c>
      <c r="Q836">
        <f>IFERROR(1/IF(Inputs!$B$38="pvp",15,MAX(0.1,Skills!D6-IF(Skills!E6=TRUE,Inputs!$B$32,0))),0)</f>
        <v/>
      </c>
      <c r="R836">
        <f>IF(AND(Inputs!$B$38&lt;&gt;"pvp",Inputs!$B$43&gt;0),IF(MAX(0,Inputs!$B$43-B864)&lt;=0,0,(INT(MAX(0,Inputs!$B$43-B864)/IF(Inputs!$B$38="pvp",15,MAX(0.1,Skills!D6-IF(Skills!E6=TRUE,Inputs!$B$32,0))))+1)),0)</f>
        <v/>
      </c>
      <c r="S836">
        <f>IF(C836,(H836*N836*IF(AND(Inputs!$B$38&lt;&gt;"pvp",Inputs!$B$43&gt;0),((Skills!F6*((R836-1)*IF(Skills!G6&gt;0,Skills!H6/Skills!G6,1)+IF(Skills!G6&gt;0,MIN(Skills!H6,MAX(0,MAX(0,Inputs!$B$43-B864)-((R836-1)*IF(Inputs!$B$38="pvp",15,MAX(0.1,Skills!D6-IF(Skills!E6=TRUE,Inputs!$B$32,0))))))/Skills!G6,1)))/Inputs!$B$43),G836*Q836))*IF(Inputs!$B$38="pvp",1,1+(Inputs!$B$20+Skills!O6+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836*(1-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6">
        <f>IF(C836,(H836*N836*IF(AND(Inputs!$B$38&lt;&gt;"pvp",Inputs!$B$43&gt;0),((Skills!F6*((R836-1)*IF(Skills!G6&gt;0,Skills!H6/Skills!G6,1)+IF(Skills!G6&gt;0,MIN(Skills!H6,MAX(0,MAX(0,Inputs!$B$43-B864)-((R836-1)*IF(Inputs!$B$38="pvp",15,MAX(0.1,Skills!D6-IF(Skills!E6=TRUE,Inputs!$B$32,0))))))/Skills!G6,1)))/Inputs!$B$43),G836*Q836))*IF(Inputs!$B$38="pvp",1,(1+(Inputs!$B$21+Skills!P6+B858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Skills!A7</f>
        <v/>
      </c>
      <c r="B837">
        <f>Skills!B7</f>
        <v/>
      </c>
      <c r="C837">
        <f>Inputs!$B$3&gt;=69</f>
        <v/>
      </c>
      <c r="D837">
        <f>IF(Skills!C7=1,60+Inputs!$B$25+(Inputs!$B$29+1),IF(Skills!C7=2,90+Inputs!$B$26+(Inputs!$B$29+1),IF(Skills!C7=3,120+Inputs!$B$27+(Inputs!$B$29+1),MAX(0,(Inputs!$B$3-100)*3)+Inputs!$B$28+(Inputs!$B$29+1))))</f>
        <v/>
      </c>
      <c r="E837">
        <f>INDEX(FactorTable!$B$2:$Y$301, MATCH(ROUND(MIN(300,MAX(1,D837)),0), FactorTable!$A$2:$A$301,0), Skills!L7+1)</f>
        <v/>
      </c>
      <c r="F837">
        <f>IF(Skills!M7=TRUE,(Skills!K7/10)*(E837/1000),Skills!K7/10)+Skills!N7</f>
        <v/>
      </c>
      <c r="G837">
        <f>Calc!G7</f>
        <v/>
      </c>
      <c r="H837">
        <f>Calc!H7</f>
        <v/>
      </c>
      <c r="I837">
        <f>IF(Skills!T7&lt;&gt;"",1+(Skills!T7/10)*(Z833/1000)/100,1)</f>
        <v/>
      </c>
      <c r="J837">
        <f>((Inputs!$B$6*(1+Inputs!$B$7/100))+(((Inputs!$B$12*(1+Inputs!$B$13/100))-(Inputs!$B$12*(1+Inputs!$B$13/100)))+0.25*(Inputs!$B$14-Inputs!$B$14))*(1+Inputs!$B$7/100))*(F837/100)</f>
        <v/>
      </c>
      <c r="K837">
        <f>J837*(1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7="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F848-Calc!F18),(Inputs!$B$23+(IF(ArtifactsInput!$M$15,CHOOSE(ArtifactsInput!$N$15+1,25,30,35,40,45,50)/100*(Inputs!$B$11-Inputs!$B$11),0))))/100+(Inputs!$B$23+(IF(ArtifactsInput!$M$15,CHOOSE(ArtifactsInput!$N$15+1,25,30,35,40,45,50)/100*(Inputs!$B$11-Inputs!$B$11),0)))/100)/2</f>
        <v/>
      </c>
      <c r="M837">
        <f>L837*(1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(1-Summary!$B$11)*S837+Summary!$B$11*U837</f>
        <v/>
      </c>
      <c r="P837">
        <f>IF(B867=0,0,O837/B867)</f>
        <v/>
      </c>
      <c r="Q837">
        <f>IFERROR(1/IF(Inputs!$B$38="pvp",15,MAX(0.1,Skills!D7-IF(Skills!E7=TRUE,Inputs!$B$32,0))),0)</f>
        <v/>
      </c>
      <c r="R837">
        <f>IF(AND(Inputs!$B$38&lt;&gt;"pvp",Inputs!$B$43&gt;0),IF(MAX(0,Inputs!$B$43-B864)&lt;=0,0,(INT(MAX(0,Inputs!$B$43-B864)/IF(Inputs!$B$38="pvp",15,MAX(0.1,Skills!D7-IF(Skills!E7=TRUE,Inputs!$B$32,0))))+1)),0)</f>
        <v/>
      </c>
      <c r="S837">
        <f>IF(C837,(H837*N837*IF(AND(Inputs!$B$38&lt;&gt;"pvp",Inputs!$B$43&gt;0),((Skills!F7*((R837-1)*IF(Skills!G7&gt;0,Skills!H7/Skills!G7,1)+IF(Skills!G7&gt;0,MIN(Skills!H7,MAX(0,MAX(0,Inputs!$B$43-B864)-((R837-1)*IF(Inputs!$B$38="pvp",15,MAX(0.1,Skills!D7-IF(Skills!E7=TRUE,Inputs!$B$32,0))))))/Skills!G7,1)))/Inputs!$B$43),G837*Q837))*IF(Inputs!$B$38="pvp",1,1+(Inputs!$B$20+Skills!O7+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837*(1-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7">
        <f>IF(C837,(H837*N837*IF(AND(Inputs!$B$38&lt;&gt;"pvp",Inputs!$B$43&gt;0),((Skills!F7*((R837-1)*IF(Skills!G7&gt;0,Skills!H7/Skills!G7,1)+IF(Skills!G7&gt;0,MIN(Skills!H7,MAX(0,MAX(0,Inputs!$B$43-B864)-((R837-1)*IF(Inputs!$B$38="pvp",15,MAX(0.1,Skills!D7-IF(Skills!E7=TRUE,Inputs!$B$32,0))))))/Skills!G7,1)))/Inputs!$B$43),G837*Q837))*IF(Inputs!$B$38="pvp",1,(1+(Inputs!$B$21+Skills!P7+B858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Skills!A8</f>
        <v/>
      </c>
      <c r="B838">
        <f>Skills!B8</f>
        <v/>
      </c>
      <c r="C838">
        <f>Inputs!$B$3&gt;=103</f>
        <v/>
      </c>
      <c r="D838">
        <f>IF(Skills!C8=1,60+Inputs!$B$25+(Inputs!$B$29+1),IF(Skills!C8=2,90+Inputs!$B$26+(Inputs!$B$29+1),IF(Skills!C8=3,120+Inputs!$B$27+(Inputs!$B$29+1),MAX(0,(Inputs!$B$3-100)*3)+Inputs!$B$28+(Inputs!$B$29+1))))</f>
        <v/>
      </c>
      <c r="E838">
        <f>INDEX(FactorTable!$B$2:$Y$301, MATCH(ROUND(MIN(300,MAX(1,D838)),0), FactorTable!$A$2:$A$301,0), Skills!L8+1)</f>
        <v/>
      </c>
      <c r="F838">
        <f>IF(Skills!M8=TRUE,(Skills!K8/10)*(E838/1000),Skills!K8/10)+Skills!N8</f>
        <v/>
      </c>
      <c r="G838">
        <f>Calc!G8</f>
        <v/>
      </c>
      <c r="H838">
        <f>Calc!H8</f>
        <v/>
      </c>
      <c r="I838">
        <f>IF(Skills!T8&lt;&gt;"",1+(Skills!T8/10)*(Z833/1000)/100,1)</f>
        <v/>
      </c>
      <c r="J838">
        <f>((Inputs!$B$6*(1+Inputs!$B$7/100))+(((Inputs!$B$12*(1+Inputs!$B$13/100))-(Inputs!$B$12*(1+Inputs!$B$13/100)))+0.25*(Inputs!$B$14-Inputs!$B$14))*(1+Inputs!$B$7/100))*(F838/100)</f>
        <v/>
      </c>
      <c r="K838">
        <f>J838*(1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8="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F848-Calc!F18),(Inputs!$B$23+(IF(ArtifactsInput!$M$15,CHOOSE(ArtifactsInput!$N$15+1,25,30,35,40,45,50)/100*(Inputs!$B$11-Inputs!$B$11),0))))/100+(Inputs!$B$23+(IF(ArtifactsInput!$M$15,CHOOSE(ArtifactsInput!$N$15+1,25,30,35,40,45,50)/100*(Inputs!$B$11-Inputs!$B$11),0)))/100)/2</f>
        <v/>
      </c>
      <c r="M838">
        <f>L838*(1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(1-Summary!$B$11)*S838+Summary!$B$11*U838</f>
        <v/>
      </c>
      <c r="P838">
        <f>IF(B867=0,0,O838/B867)</f>
        <v/>
      </c>
      <c r="Q838">
        <f>IFERROR(1/IF(Inputs!$B$38="pvp",15,MAX(0.1,Skills!D8-IF(Skills!E8=TRUE,Inputs!$B$32,0))),0)</f>
        <v/>
      </c>
      <c r="R838">
        <f>IF(AND(Inputs!$B$38&lt;&gt;"pvp",Inputs!$B$43&gt;0),IF(MAX(0,Inputs!$B$43-B864)&lt;=0,0,(INT(MAX(0,Inputs!$B$43-B864)/IF(Inputs!$B$38="pvp",15,MAX(0.1,Skills!D8-IF(Skills!E8=TRUE,Inputs!$B$32,0))))+1)),0)</f>
        <v/>
      </c>
      <c r="S838">
        <f>IF(C838,(H838*N838*IF(AND(Inputs!$B$38&lt;&gt;"pvp",Inputs!$B$43&gt;0),((Skills!F8*((R838-1)*IF(Skills!G8&gt;0,Skills!H8/Skills!G8,1)+IF(Skills!G8&gt;0,MIN(Skills!H8,MAX(0,MAX(0,Inputs!$B$43-B864)-((R838-1)*IF(Inputs!$B$38="pvp",15,MAX(0.1,Skills!D8-IF(Skills!E8=TRUE,Inputs!$B$32,0))))))/Skills!G8,1)))/Inputs!$B$43),G838*Q838))*IF(Inputs!$B$38="pvp",1,1+(Inputs!$B$20+Skills!O8+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838*(1-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IF(C838,(H838*N838*IF(AND(Inputs!$B$38&lt;&gt;"pvp",Inputs!$B$43&gt;0),((Skills!F8*((R838-1)*IF(Skills!G8&gt;0,Skills!H8/Skills!G8,1)+IF(Skills!G8&gt;0,MIN(Skills!H8,MAX(0,MAX(0,Inputs!$B$43-B864)-((R838-1)*IF(Inputs!$B$38="pvp",15,MAX(0.1,Skills!D8-IF(Skills!E8=TRUE,Inputs!$B$32,0))))))/Skills!G8,1)))/Inputs!$B$43),G838*Q838))*IF(Inputs!$B$38="pvp",1,(1+(Inputs!$B$21+Skills!P8+B858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Skills!A9</f>
        <v/>
      </c>
      <c r="B839">
        <f>Skills!B9</f>
        <v/>
      </c>
      <c r="C839">
        <f>Inputs!$B$3&gt;=105</f>
        <v/>
      </c>
      <c r="D839">
        <f>IF(Skills!C9=1,60+Inputs!$B$25+(Inputs!$B$29+1),IF(Skills!C9=2,90+Inputs!$B$26+(Inputs!$B$29+1),IF(Skills!C9=3,120+Inputs!$B$27+(Inputs!$B$29+1),MAX(0,(Inputs!$B$3-100)*3)+Inputs!$B$28+(Inputs!$B$29+1))))</f>
        <v/>
      </c>
      <c r="E839">
        <f>INDEX(FactorTable!$B$2:$Y$301, MATCH(ROUND(MIN(300,MAX(1,D839)),0), FactorTable!$A$2:$A$301,0), Skills!L9+1)</f>
        <v/>
      </c>
      <c r="F839">
        <f>IF(Skills!M9=TRUE,(Skills!K9/10)*(E839/1000),Skills!K9/10)+Skills!N9</f>
        <v/>
      </c>
      <c r="G839">
        <f>Calc!G9</f>
        <v/>
      </c>
      <c r="H839">
        <f>Calc!H9</f>
        <v/>
      </c>
      <c r="I839">
        <f>IF(Skills!T9&lt;&gt;"",1+(Skills!T9/10)*(Z833/1000)/100,1)</f>
        <v/>
      </c>
      <c r="J839">
        <f>((Inputs!$B$6*(1+Inputs!$B$7/100))+(((Inputs!$B$12*(1+Inputs!$B$13/100))-(Inputs!$B$12*(1+Inputs!$B$13/100)))+0.25*(Inputs!$B$14-Inputs!$B$14))*(1+Inputs!$B$7/100))*(F839/100)</f>
        <v/>
      </c>
      <c r="K839">
        <f>J839*(1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9="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F848-Calc!F18),(Inputs!$B$23+(IF(ArtifactsInput!$M$15,CHOOSE(ArtifactsInput!$N$15+1,25,30,35,40,45,50)/100*(Inputs!$B$11-Inputs!$B$11),0))))/100+(Inputs!$B$23+(IF(ArtifactsInput!$M$15,CHOOSE(ArtifactsInput!$N$15+1,25,30,35,40,45,50)/100*(Inputs!$B$11-Inputs!$B$11),0)))/100)/2</f>
        <v/>
      </c>
      <c r="M839">
        <f>L839*(1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(1-Summary!$B$11)*S839+Summary!$B$11*U839</f>
        <v/>
      </c>
      <c r="P839">
        <f>IF(B867=0,0,O839/B867)</f>
        <v/>
      </c>
      <c r="Q839">
        <f>IFERROR(1/IF(Inputs!$B$38="pvp",15,MAX(0.1,Skills!D9-IF(Skills!E9=TRUE,Inputs!$B$32,0))),0)</f>
        <v/>
      </c>
      <c r="R839">
        <f>IF(AND(Inputs!$B$38&lt;&gt;"pvp",Inputs!$B$43&gt;0),IF(MAX(0,Inputs!$B$43-B864)&lt;=0,0,(INT(MAX(0,Inputs!$B$43-B864)/IF(Inputs!$B$38="pvp",15,MAX(0.1,Skills!D9-IF(Skills!E9=TRUE,Inputs!$B$32,0))))+1)),0)</f>
        <v/>
      </c>
      <c r="S839">
        <f>IF(C839,(H839*N839*IF(AND(Inputs!$B$38&lt;&gt;"pvp",Inputs!$B$43&gt;0),((Skills!F9*((R839-1)*IF(Skills!G9&gt;0,Skills!H9/Skills!G9,1)+IF(Skills!G9&gt;0,MIN(Skills!H9,MAX(0,MAX(0,Inputs!$B$43-B864)-((R839-1)*IF(Inputs!$B$38="pvp",15,MAX(0.1,Skills!D9-IF(Skills!E9=TRUE,Inputs!$B$32,0))))))/Skills!G9,1)))/Inputs!$B$43),G839*Q839))*IF(Inputs!$B$38="pvp",1,1+(Inputs!$B$20+Skills!O9+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839*(1-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9">
        <f>IF(C839,(H839*N839*IF(AND(Inputs!$B$38&lt;&gt;"pvp",Inputs!$B$43&gt;0),((Skills!F9*((R839-1)*IF(Skills!G9&gt;0,Skills!H9/Skills!G9,1)+IF(Skills!G9&gt;0,MIN(Skills!H9,MAX(0,MAX(0,Inputs!$B$43-B864)-((R839-1)*IF(Inputs!$B$38="pvp",15,MAX(0.1,Skills!D9-IF(Skills!E9=TRUE,Inputs!$B$32,0))))))/Skills!G9,1)))/Inputs!$B$43),G839*Q839))*IF(Inputs!$B$38="pvp",1,(1+(Inputs!$B$21+Skills!P9+B858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Skills!A10</f>
        <v/>
      </c>
      <c r="B840">
        <f>Skills!B10</f>
        <v/>
      </c>
      <c r="C840">
        <f>Inputs!$B$3&gt;=113</f>
        <v/>
      </c>
      <c r="D840">
        <f>IF(Skills!C10=1,60+Inputs!$B$25+(Inputs!$B$29+1),IF(Skills!C10=2,90+Inputs!$B$26+(Inputs!$B$29+1),IF(Skills!C10=3,120+Inputs!$B$27+(Inputs!$B$29+1),MAX(0,(Inputs!$B$3-100)*3)+Inputs!$B$28+(Inputs!$B$29+1))))</f>
        <v/>
      </c>
      <c r="E840">
        <f>INDEX(FactorTable!$B$2:$Y$301, MATCH(ROUND(MIN(300,MAX(1,D840)),0), FactorTable!$A$2:$A$301,0), Skills!L10+1)</f>
        <v/>
      </c>
      <c r="F840">
        <f>IF(Skills!M10=TRUE,(Skills!K10/10)*(E840/1000),Skills!K10/10)+Skills!N10</f>
        <v/>
      </c>
      <c r="G840">
        <f>Calc!G10</f>
        <v/>
      </c>
      <c r="H840">
        <f>Calc!H10</f>
        <v/>
      </c>
      <c r="I840">
        <f>IF(Skills!T10&lt;&gt;"",1+(Skills!T10/10)*(Z833/1000)/100,1)</f>
        <v/>
      </c>
      <c r="J840">
        <f>((Inputs!$B$6*(1+Inputs!$B$7/100))+(((Inputs!$B$12*(1+Inputs!$B$13/100))-(Inputs!$B$12*(1+Inputs!$B$13/100)))+0.25*(Inputs!$B$14-Inputs!$B$14))*(1+Inputs!$B$7/100))*(F840/100)</f>
        <v/>
      </c>
      <c r="K840">
        <f>J840*(1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10="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F848-Calc!F18),(Inputs!$B$23+(IF(ArtifactsInput!$M$15,CHOOSE(ArtifactsInput!$N$15+1,25,30,35,40,45,50)/100*(Inputs!$B$11-Inputs!$B$11),0))))/100+(Inputs!$B$23+(IF(ArtifactsInput!$M$15,CHOOSE(ArtifactsInput!$N$15+1,25,30,35,40,45,50)/100*(Inputs!$B$11-Inputs!$B$11),0)))/100)/2</f>
        <v/>
      </c>
      <c r="M840">
        <f>L840*(1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(1-Summary!$B$11)*S840+Summary!$B$11*U840</f>
        <v/>
      </c>
      <c r="P840">
        <f>IF(B867=0,0,O840/B867)</f>
        <v/>
      </c>
      <c r="Q840">
        <f>IFERROR(1/IF(Inputs!$B$38="pvp",15,MAX(0.1,Skills!D10-IF(Skills!E9=TRUE,Inputs!$B$32,0))),0)</f>
        <v/>
      </c>
      <c r="R840">
        <f>IF(AND(Inputs!$B$38&lt;&gt;"pvp",Inputs!$B$43&gt;0),IF(MAX(0,Inputs!$B$43-B864)&lt;=0,0,(INT(MAX(0,Inputs!$B$43-B864)/IF(Inputs!$B$38="pvp",15,MAX(0.1,Skills!D10-IF(Skills!E9=TRUE,Inputs!$B$32,0))))+1)),0)</f>
        <v/>
      </c>
      <c r="S840">
        <f>IF(C840,(H840*N840*IF(AND(Inputs!$B$38&lt;&gt;"pvp",Inputs!$B$43&gt;0),((Skills!F10*((R840-1)*IF(Skills!G10&gt;0,Skills!H10/Skills!G10,1)+IF(Skills!G10&gt;0,MIN(Skills!H10,MAX(0,MAX(0,Inputs!$B$43-B864)-((R840-1)*IF(Inputs!$B$38="pvp",15,MAX(0.1,Skills!D10-IF(Skills!E9=TRUE,Inputs!$B$32,0))))))/Skills!G10,1)))/Inputs!$B$43),G840*Q840))*IF(Inputs!$B$38="pvp",1,1+(Inputs!$B$20+Skills!O10+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840*(1-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0">
        <f>IF(C840,(H840*N840*IF(AND(Inputs!$B$38&lt;&gt;"pvp",Inputs!$B$43&gt;0),((Skills!F10*((R840-1)*IF(Skills!G10&gt;0,Skills!H10/Skills!G10,1)+IF(Skills!G10&gt;0,MIN(Skills!H10,MAX(0,MAX(0,Inputs!$B$43-B864)-((R840-1)*IF(Inputs!$B$38="pvp",15,MAX(0.1,Skills!D10-IF(Skills!E9=TRUE,Inputs!$B$32,0))))))/Skills!G10,1)))/Inputs!$B$43),G840*Q840))*IF(Inputs!$B$38="pvp",1,(1+(Inputs!$B$21+Skills!P10+B858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Skills!A11</f>
        <v/>
      </c>
      <c r="B841">
        <f>Skills!B11</f>
        <v/>
      </c>
      <c r="C841">
        <f>Inputs!$B$3&gt;=107</f>
        <v/>
      </c>
      <c r="D841">
        <f>IF(Skills!C11=1,60+Inputs!$B$25+(Inputs!$B$29+1),IF(Skills!C11=2,90+Inputs!$B$26+(Inputs!$B$29+1),IF(Skills!C11=3,120+Inputs!$B$27+(Inputs!$B$29+1),MAX(0,(Inputs!$B$3-100)*3)+Inputs!$B$28+(Inputs!$B$29+1))))</f>
        <v/>
      </c>
      <c r="E841">
        <f>INDEX(FactorTable!$B$2:$Y$301, MATCH(ROUND(MIN(300,MAX(1,D841)),0), FactorTable!$A$2:$A$301,0), Skills!L11+1)</f>
        <v/>
      </c>
      <c r="F841">
        <f>IF(Skills!M11=TRUE,(Skills!K11/10)*(E841/1000),Skills!K11/10)+Skills!N11</f>
        <v/>
      </c>
      <c r="G841">
        <f>Calc!G11</f>
        <v/>
      </c>
      <c r="H841">
        <f>Calc!H11</f>
        <v/>
      </c>
      <c r="I841">
        <f>IF(Skills!T11&lt;&gt;"",1+(Skills!T11/10)*(Z833/1000)/100,1)</f>
        <v/>
      </c>
      <c r="J841">
        <f>((Inputs!$B$6*(1+Inputs!$B$7/100))+(((Inputs!$B$12*(1+Inputs!$B$13/100))-(Inputs!$B$12*(1+Inputs!$B$13/100)))+0.25*(Inputs!$B$14-Inputs!$B$14))*(1+Inputs!$B$7/100))*(F841/100)</f>
        <v/>
      </c>
      <c r="K841">
        <f>J841*(1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11="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F848-Calc!F18),(Inputs!$B$23+(IF(ArtifactsInput!$M$15,CHOOSE(ArtifactsInput!$N$15+1,25,30,35,40,45,50)/100*(Inputs!$B$11-Inputs!$B$11),0))))/100+(Inputs!$B$23+(IF(ArtifactsInput!$M$15,CHOOSE(ArtifactsInput!$N$15+1,25,30,35,40,45,50)/100*(Inputs!$B$11-Inputs!$B$11),0)))/100)/2</f>
        <v/>
      </c>
      <c r="M841">
        <f>L841*(1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(1-Summary!$B$11)*S841+Summary!$B$11*U841</f>
        <v/>
      </c>
      <c r="P841">
        <f>IF(B867=0,0,O841/B867)</f>
        <v/>
      </c>
      <c r="Q841">
        <f>IFERROR(1/IF(Inputs!$B$38="pvp",15,MAX(0.1,Skills!D11-IF(Skills!E11=TRUE,Inputs!$B$32,0))),0)</f>
        <v/>
      </c>
      <c r="R841">
        <f>IF(AND(Inputs!$B$38&lt;&gt;"pvp",Inputs!$B$43&gt;0),IF(MAX(0,Inputs!$B$43-B864)&lt;=0,0,(INT(MAX(0,Inputs!$B$43-B864)/IF(Inputs!$B$38="pvp",15,MAX(0.1,Skills!D11-IF(Skills!E11=TRUE,Inputs!$B$32,0))))+1)),0)</f>
        <v/>
      </c>
      <c r="S841">
        <f>IF(C841,H841*N841*IF(AND(Inputs!$B$38&lt;&gt;"pvp",Inputs!$B$43&gt;0),((Skills!F11*((R841-1)*IF(Skills!G11&gt;0,Skills!H11/Skills!G11,1)+IF(Skills!G11&gt;0,MIN(Skills!H11,MAX(0,MAX(0,Inputs!$B$43-B864)-((R841-1)*IF(Inputs!$B$38="pvp",15,MAX(0.1,Skills!D11-IF(Skills!E11=TRUE,Inputs!$B$32,0))))))/Skills!G11,1)))/Inputs!$B$43),G841*Q841)*0.5*IF(Inputs!$B$38="pvp",1,1+(Inputs!$B$20+Skills!O11+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IF(C841,H841*N841*IF(AND(Inputs!$B$38&lt;&gt;"pvp",Inputs!$B$43&gt;0),((Skills!F11*((R841-1)*IF(Skills!G11&gt;0,Skills!H11/Skills!G11,1)+IF(Skills!G11&gt;0,MIN(Skills!H11,MAX(0,MAX(0,Inputs!$B$43-B864)-((R841-1)*IF(Inputs!$B$38="pvp",15,MAX(0.1,Skills!D11-IF(Skills!E11=TRUE,Inputs!$B$32,0))))))/Skills!G11,1)))/Inputs!$B$43),G841*Q841)*1*IF(Inputs!$B$38="pvp",1,(1+(Inputs!$B$21+Skills!P11+B858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Skills!A12</f>
        <v/>
      </c>
      <c r="B842">
        <f>Skills!B12</f>
        <v/>
      </c>
      <c r="C842">
        <f>Inputs!$B$3&gt;=115</f>
        <v/>
      </c>
      <c r="D842">
        <f>IF(Skills!C12=1,60+Inputs!$B$25+(Inputs!$B$29+1),IF(Skills!C12=2,90+Inputs!$B$26+(Inputs!$B$29+1),IF(Skills!C12=3,120+Inputs!$B$27+(Inputs!$B$29+1),MAX(0,(Inputs!$B$3-100)*3)+Inputs!$B$28+(Inputs!$B$29+1))))</f>
        <v/>
      </c>
      <c r="E842">
        <f>INDEX(FactorTable!$B$2:$Y$301, MATCH(ROUND(MIN(300,MAX(1,D842)),0), FactorTable!$A$2:$A$301,0), Skills!L12+1)</f>
        <v/>
      </c>
      <c r="F842">
        <f>IF(Skills!M12=TRUE,(Skills!K12/10)*(E842/1000),Skills!K12/10)+Skills!N12</f>
        <v/>
      </c>
      <c r="G842">
        <f>Calc!G12</f>
        <v/>
      </c>
      <c r="H842">
        <f>Calc!H12</f>
        <v/>
      </c>
      <c r="I842">
        <f>IF(Skills!T12&lt;&gt;"",1+(Skills!T12/10)*(Z833/1000)/100,1)</f>
        <v/>
      </c>
      <c r="J842">
        <f>((Inputs!$B$6*(1+Inputs!$B$7/100))+(((Inputs!$B$12*(1+Inputs!$B$13/100))-(Inputs!$B$12*(1+Inputs!$B$13/100)))+0.25*(Inputs!$B$14-Inputs!$B$14))*(1+Inputs!$B$7/100))*(F842/100)</f>
        <v/>
      </c>
      <c r="K842">
        <f>J842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12="CHAIN_LIGHTNING",Inputs!$B$17+((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848-Calc!F18),(Inputs!$B$23+(IF(ArtifactsInput!$M$15,CHOOSE(ArtifactsInput!$N$15+1,25,30,35,40,45,50)/100*(Inputs!$B$11-Inputs!$B$11),0))))/100+(Inputs!$B$23+(IF(ArtifactsInput!$M$15,CHOOSE(ArtifactsInput!$N$15+1,25,30,35,40,45,50)/100*(Inputs!$B$11-Inputs!$B$11),0)))/100)/2</f>
        <v/>
      </c>
      <c r="M842">
        <f>L842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IF(B867=0,0,O842/B867)</f>
        <v/>
      </c>
      <c r="Q842">
        <f>IFERROR(1/IF(Inputs!$B$38="pvp",15,MAX(0.1,Skills!D12-IF(Skills!E12=TRUE,Inputs!$B$32,0))),0)</f>
        <v/>
      </c>
      <c r="R842">
        <f>IF(AND(Inputs!$B$38&lt;&gt;"pvp",Inputs!$B$43&gt;0),IF(MAX(0,Inputs!$B$43-B864)&lt;=0,0,(INT(MAX(0,Inputs!$B$43-B864)/IF(Inputs!$B$38="pvp",15,MAX(0.1,Skills!D12-IF(Skills!E12=TRUE,Inputs!$B$32,0))))+1)),0)</f>
        <v/>
      </c>
      <c r="S842">
        <f>IF(C842,(H842*N842*IF(AND(Inputs!$B$38&lt;&gt;"pvp",Inputs!$B$43&gt;0),((Skills!F12*((R842-1)*IF(Skills!G12&gt;0,Skills!H12/Skills!G12,1)+IF(Skills!G12&gt;0,MIN(Skills!H12,MAX(0,MAX(0,Inputs!$B$43-B864)-((R842-1)*IF(Inputs!$B$38="pvp",15,MAX(0.1,Skills!D12-IF(Skills!E12=TRUE,Inputs!$B$32,0))))))/Skills!G12,1)))/Inputs!$B$43),G842*Q842))*IF(Inputs!$B$38="pvp",1,1+(Inputs!$B$20+Skills!O12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850-Calc!F20)+(F849-Calc!F19))+(ArtifactsInput!$M$24-ArtifactsInput!$M$24)*CHOOSE(ArtifactsInput!$N$24+1,10,12,14,16,18,20)+(IF(AND(Inputs!$B$38&lt;&gt;"pvp",Inputs!$B$43=0),1,IF(IF(Inputs!$B$38="pvp",15,Inputs!$B$43)-(B864)&lt;=0,1,MAX(0,IF(Inputs!$B$38="pvp",15,Inputs!$B$43)-MAX(5,B864))/(IF(Inputs!$B$38="pvp",15,Inputs!$B$43)-(B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F12*((R842-1)*IF(Skills!G12&gt;0,Skills!H12/Skills!G12,1)+IF(Skills!G12&gt;0,MIN(Skills!H12,MAX(0,MAX(0,Inputs!$B$43-B864)-((R842-1)*IF(Inputs!$B$38="pvp",15,MAX(0.1,Skills!D12-IF(Skills!E12=TRUE,Inputs!$B$32,0))))))/Skills!G12,1)))/Inputs!$B$43),G842*Q842))*IF(Inputs!$B$38="pvp",1,(1+(Inputs!$B$21+Skills!P12+B858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Skills!A13</f>
        <v/>
      </c>
      <c r="B843">
        <f>Skills!B13</f>
        <v/>
      </c>
      <c r="C843">
        <f>Inputs!$B$3&gt;=49</f>
        <v/>
      </c>
      <c r="D843">
        <f>IF(Skills!C13=1,60+Inputs!$B$25+(Inputs!$B$29+1),IF(Skills!C13=2,90+Inputs!$B$26+(Inputs!$B$29+1),IF(Skills!C13=3,120+Inputs!$B$27+(Inputs!$B$29+1),MAX(0,(Inputs!$B$3-100)*3)+Inputs!$B$28+(Inputs!$B$29+1))))</f>
        <v/>
      </c>
      <c r="E843">
        <f>INDEX(FactorTable!$B$2:$Y$301, MATCH(ROUND(MIN(300,MAX(1,D843)),0), FactorTable!$A$2:$A$301,0), Skills!L13+1)</f>
        <v/>
      </c>
      <c r="F843">
        <f>IF(Skills!M13=TRUE,(Skills!K13/10)*(E843/1000),Skills!K13/10)+Skills!N13</f>
        <v/>
      </c>
      <c r="G843">
        <f>Calc!G13</f>
        <v/>
      </c>
      <c r="H843">
        <f>Calc!H13</f>
        <v/>
      </c>
      <c r="I843">
        <f>IF(Skills!T13&lt;&gt;"",1+(Skills!T13/10)*(Z833/1000)/100,1)</f>
        <v/>
      </c>
      <c r="J843" t="inlineStr"/>
      <c r="K843" t="inlineStr"/>
      <c r="L843" t="inlineStr"/>
      <c r="M843" t="inlineStr"/>
      <c r="N843" t="inlineStr"/>
      <c r="O843">
        <f>(1-Summary!$B$11)*S843+Summary!$B$11*U843</f>
        <v/>
      </c>
      <c r="P843">
        <f>IF(B867=0,0,O843/B867)</f>
        <v/>
      </c>
      <c r="Q843">
        <f>IFERROR(1/IF(Inputs!$B$38="pvp",15,MAX(0.1,Skills!D13-IF(Skills!E13=TRUE,Inputs!$B$32,0))),0)</f>
        <v/>
      </c>
      <c r="R843" t="n">
        <v>0</v>
      </c>
      <c r="S843" t="n">
        <v>0</v>
      </c>
      <c r="U843" t="n">
        <v>0</v>
      </c>
    </row>
    <row r="844">
      <c r="A844">
        <f>Skills!A14</f>
        <v/>
      </c>
      <c r="B844">
        <f>Skills!B14</f>
        <v/>
      </c>
      <c r="C844">
        <f>Inputs!$B$3&gt;=72</f>
        <v/>
      </c>
      <c r="D844">
        <f>IF(Skills!C14=1,60+Inputs!$B$25+(Inputs!$B$29+1),IF(Skills!C14=2,90+Inputs!$B$26+(Inputs!$B$29+1),IF(Skills!C14=3,120+Inputs!$B$27+(Inputs!$B$29+1),MAX(0,(Inputs!$B$3-100)*3)+Inputs!$B$28+(Inputs!$B$29+1))))</f>
        <v/>
      </c>
      <c r="E844">
        <f>INDEX(FactorTable!$B$2:$Y$301, MATCH(ROUND(MIN(300,MAX(1,D844)),0), FactorTable!$A$2:$A$301,0), Skills!L14+1)</f>
        <v/>
      </c>
      <c r="F844">
        <f>IF(Skills!M14=TRUE,(Skills!K14/10)*(E844/1000),Skills!K14/10)+Skills!N14</f>
        <v/>
      </c>
      <c r="G844">
        <f>Calc!G14</f>
        <v/>
      </c>
      <c r="H844">
        <f>Calc!H14</f>
        <v/>
      </c>
      <c r="I844">
        <f>IF(Skills!T14&lt;&gt;"",1+(Skills!T14/10)*(Z833/1000)/100,1)</f>
        <v/>
      </c>
      <c r="J844" t="inlineStr"/>
      <c r="K844" t="inlineStr"/>
      <c r="L844" t="inlineStr"/>
      <c r="M844" t="inlineStr"/>
      <c r="N844" t="inlineStr"/>
      <c r="O844">
        <f>(1-Summary!$B$11)*S844+Summary!$B$11*U844</f>
        <v/>
      </c>
      <c r="P844">
        <f>IF(B867=0,0,O844/B867)</f>
        <v/>
      </c>
      <c r="Q844">
        <f>IFERROR(1/IF(Inputs!$B$38="pvp",15,MAX(0.1,Skills!D14-IF(Skills!E14=TRUE,Inputs!$B$32,0))),0)</f>
        <v/>
      </c>
      <c r="R844" t="n">
        <v>0</v>
      </c>
      <c r="S844" t="n">
        <v>0</v>
      </c>
      <c r="U844" t="n">
        <v>0</v>
      </c>
    </row>
    <row r="845">
      <c r="A845">
        <f>Skills!A15</f>
        <v/>
      </c>
      <c r="B845">
        <f>Skills!B15</f>
        <v/>
      </c>
      <c r="C845">
        <f>Inputs!$B$3&gt;=75</f>
        <v/>
      </c>
      <c r="D845">
        <f>IF(Skills!C15=1,60+Inputs!$B$25+(Inputs!$B$29+1),IF(Skills!C15=2,90+Inputs!$B$26+(Inputs!$B$29+1),IF(Skills!C15=3,120+Inputs!$B$27+(Inputs!$B$29+1),MAX(0,(Inputs!$B$3-100)*3)+Inputs!$B$28+(Inputs!$B$29+1))))</f>
        <v/>
      </c>
      <c r="E845">
        <f>INDEX(FactorTable!$B$2:$Y$301, MATCH(ROUND(MIN(300,MAX(1,D845)),0), FactorTable!$A$2:$A$301,0), Skills!L15+1)</f>
        <v/>
      </c>
      <c r="F845">
        <f>IF(Skills!M15=TRUE,(Skills!K15/10)*(E845/1000),Skills!K15/10)+Skills!N15</f>
        <v/>
      </c>
      <c r="G845">
        <f>Calc!G15</f>
        <v/>
      </c>
      <c r="H845">
        <f>Calc!H15</f>
        <v/>
      </c>
      <c r="I845">
        <f>IF(Skills!T15&lt;&gt;"",1+(Skills!T15/10)*(Z833/1000)/100,1)</f>
        <v/>
      </c>
      <c r="J845" t="inlineStr"/>
      <c r="K845" t="inlineStr"/>
      <c r="L845" t="inlineStr"/>
      <c r="M845" t="inlineStr"/>
      <c r="N845" t="inlineStr"/>
      <c r="O845">
        <f>(1-Summary!$B$11)*S845+Summary!$B$11*U845</f>
        <v/>
      </c>
      <c r="P845">
        <f>IF(B867=0,0,O845/B867)</f>
        <v/>
      </c>
      <c r="Q845">
        <f>IFERROR(1/IF(Inputs!$B$38="pvp",15,MAX(0.1,Skills!D15-IF(Skills!E15=TRUE,Inputs!$B$32,0))),0)</f>
        <v/>
      </c>
      <c r="R845" t="n">
        <v>0</v>
      </c>
      <c r="S845" t="n">
        <v>0</v>
      </c>
      <c r="U845" t="n">
        <v>0</v>
      </c>
    </row>
    <row r="846">
      <c r="A846">
        <f>Skills!A16</f>
        <v/>
      </c>
      <c r="B846">
        <f>Skills!B16</f>
        <v/>
      </c>
      <c r="C846">
        <f>Inputs!$B$3&gt;=110</f>
        <v/>
      </c>
      <c r="D846">
        <f>IF(Skills!C16=1,60+Inputs!$B$25+(Inputs!$B$29+1),IF(Skills!C16=2,90+Inputs!$B$26+(Inputs!$B$29+1),IF(Skills!C16=3,120+Inputs!$B$27+(Inputs!$B$29+1),MAX(0,(Inputs!$B$3-100)*3)+Inputs!$B$28+(Inputs!$B$29+1))))</f>
        <v/>
      </c>
      <c r="E846">
        <f>INDEX(FactorTable!$B$2:$Y$301, MATCH(ROUND(MIN(300,MAX(1,D846)),0), FactorTable!$A$2:$A$301,0), Skills!L16+1)</f>
        <v/>
      </c>
      <c r="F846">
        <f>(Skills!K16/10)*(E846/1000)*64/45+Skills!N16</f>
        <v/>
      </c>
      <c r="G846">
        <f>Calc!G16</f>
        <v/>
      </c>
      <c r="H846">
        <f>Calc!H16</f>
        <v/>
      </c>
      <c r="I846">
        <f>IF(Skills!T16&lt;&gt;"",1+(Skills!T16/10)*(Z833/1000)/100,1)</f>
        <v/>
      </c>
      <c r="J846" t="inlineStr"/>
      <c r="K846" t="inlineStr"/>
      <c r="L846" t="inlineStr"/>
      <c r="M846" t="inlineStr"/>
      <c r="N846" t="inlineStr"/>
      <c r="O846">
        <f>(1-Summary!$B$11)*S846+Summary!$B$11*U846</f>
        <v/>
      </c>
      <c r="P846">
        <f>IF(B867=0,0,O846/B867)</f>
        <v/>
      </c>
      <c r="Q846">
        <f>IFERROR(1/IF(Inputs!$B$38="pvp",15,MAX(0.1,Skills!D16-IF(Skills!E16=TRUE,Inputs!$B$32,0))),0)</f>
        <v/>
      </c>
      <c r="R846">
        <f>IF(AND(Inputs!$B$38&lt;&gt;"pvp",Inputs!$B$43&gt;0),IF(Inputs!$B$43&lt;=0,0,(INT(Inputs!$B$43/IF(Inputs!$B$38="pvp",15,MAX(0.1,Skills!D16-IF(Skills!E16=TRUE,Inputs!$B$32,0))))+1)),0)</f>
        <v/>
      </c>
      <c r="S846" t="n">
        <v>0</v>
      </c>
      <c r="U846" t="n">
        <v>0</v>
      </c>
    </row>
    <row r="847">
      <c r="A847">
        <f>Skills!A17</f>
        <v/>
      </c>
      <c r="B847">
        <f>Skills!B17</f>
        <v/>
      </c>
      <c r="C847">
        <f>Inputs!$B$3&gt;=33</f>
        <v/>
      </c>
      <c r="D847">
        <f>IF(Skills!C17=1,60+Inputs!$B$25+(Inputs!$B$29+1),IF(Skills!C17=2,90+Inputs!$B$26+(Inputs!$B$29+1),IF(Skills!C17=3,120+Inputs!$B$27+(Inputs!$B$29+1),MAX(0,(Inputs!$B$3-100)*3)+Inputs!$B$28+(Inputs!$B$29+1))))</f>
        <v/>
      </c>
      <c r="E847">
        <f>INDEX(FactorTable!$B$2:$Y$301, MATCH(ROUND(MIN(300,MAX(1,D847)),0), FactorTable!$A$2:$A$301,0), Skills!L17+1)</f>
        <v/>
      </c>
      <c r="F847">
        <f>IF(Skills!M17=TRUE,(Skills!K17/10)*(E847/1000),Skills!K17/10)+Skills!N17</f>
        <v/>
      </c>
      <c r="G847">
        <f>Calc!G17</f>
        <v/>
      </c>
      <c r="H847">
        <f>Calc!H17</f>
        <v/>
      </c>
      <c r="I847">
        <f>IF(Skills!T17&lt;&gt;"",1+(Skills!T17/10)*(Z833/1000)/100,1)</f>
        <v/>
      </c>
      <c r="J847" t="inlineStr"/>
      <c r="K847" t="inlineStr"/>
      <c r="L847" t="inlineStr"/>
      <c r="M847" t="inlineStr"/>
      <c r="N847" t="inlineStr"/>
      <c r="O847">
        <f>(1-Summary!$B$11)*S847+Summary!$B$11*U847</f>
        <v/>
      </c>
      <c r="P847">
        <f>IF(B867=0,0,O847/B867)</f>
        <v/>
      </c>
      <c r="Q847">
        <f>IFERROR(1/IF(Inputs!$B$38="pvp",15,MAX(0.1,Skills!D17-IF(Skills!E17=TRUE,Inputs!$B$32,0))),0)</f>
        <v/>
      </c>
      <c r="R847" t="n">
        <v>0</v>
      </c>
      <c r="S847" t="n">
        <v>0</v>
      </c>
      <c r="U847" t="n">
        <v>0</v>
      </c>
    </row>
    <row r="848">
      <c r="A848">
        <f>Skills!A18</f>
        <v/>
      </c>
      <c r="B848">
        <f>Skills!B18</f>
        <v/>
      </c>
      <c r="C848">
        <f>Inputs!$B$3&gt;=43</f>
        <v/>
      </c>
      <c r="D848">
        <f>IF(Skills!C18=1,60+Inputs!$B$25+(Inputs!$B$29+1),IF(Skills!C18=2,90+Inputs!$B$26+(Inputs!$B$29+1),IF(Skills!C18=3,120+Inputs!$B$27+(Inputs!$B$29+1),MAX(0,(Inputs!$B$3-100)*3)+Inputs!$B$28+(Inputs!$B$29+1))))</f>
        <v/>
      </c>
      <c r="E848">
        <f>INDEX(FactorTable!$B$2:$Y$301, MATCH(ROUND(MIN(300,MAX(1,D848)),0), FactorTable!$A$2:$A$301,0), Skills!L18+1)</f>
        <v/>
      </c>
      <c r="F848">
        <f>IF(Skills!M18=TRUE,(Skills!K18/10)*(E848/1000),Skills!K18/10)+Skills!N18</f>
        <v/>
      </c>
      <c r="G848">
        <f>Calc!G18</f>
        <v/>
      </c>
      <c r="H848">
        <f>Calc!H18</f>
        <v/>
      </c>
      <c r="I848">
        <f>IF(Skills!T18&lt;&gt;"",1+(Skills!T18/10)*(Z833/1000)/100,1)</f>
        <v/>
      </c>
      <c r="J848" t="inlineStr"/>
      <c r="K848" t="inlineStr"/>
      <c r="L848" t="inlineStr"/>
      <c r="M848" t="inlineStr"/>
      <c r="N848" t="inlineStr"/>
      <c r="O848">
        <f>(1-Summary!$B$11)*S848+Summary!$B$11*U848</f>
        <v/>
      </c>
      <c r="P848">
        <f>IF(B867=0,0,O848/B867)</f>
        <v/>
      </c>
      <c r="Q848">
        <f>IFERROR(1/IF(Inputs!$B$38="pvp",15,MAX(0.1,Skills!D18-IF(Skills!E18=TRUE,Inputs!$B$32,0))),0)</f>
        <v/>
      </c>
      <c r="R848" t="n">
        <v>0</v>
      </c>
      <c r="S848" t="n">
        <v>0</v>
      </c>
      <c r="U848" t="n">
        <v>0</v>
      </c>
    </row>
    <row r="849">
      <c r="A849">
        <f>Skills!A19</f>
        <v/>
      </c>
      <c r="B849">
        <f>Skills!B19</f>
        <v/>
      </c>
      <c r="C849">
        <f>Inputs!$B$3&gt;=50</f>
        <v/>
      </c>
      <c r="D849">
        <f>IF(Skills!C19=1,60+Inputs!$B$25+(Inputs!$B$29+1),IF(Skills!C19=2,90+Inputs!$B$26+(Inputs!$B$29+1),IF(Skills!C19=3,120+Inputs!$B$27+(Inputs!$B$29+1),MAX(0,(Inputs!$B$3-100)*3)+Inputs!$B$28+(Inputs!$B$29+1))))</f>
        <v/>
      </c>
      <c r="E849">
        <f>INDEX(FactorTable!$B$2:$Y$301, MATCH(ROUND(MIN(300,MAX(1,D849)),0), FactorTable!$A$2:$A$301,0), Skills!L19+1)</f>
        <v/>
      </c>
      <c r="F849">
        <f>IF(Skills!M19=TRUE,(Skills!K19/10)*(E849/1000),Skills!K19/10)+Skills!N19</f>
        <v/>
      </c>
      <c r="G849">
        <f>Calc!G19</f>
        <v/>
      </c>
      <c r="H849">
        <f>Calc!H19</f>
        <v/>
      </c>
      <c r="I849">
        <f>IF(Skills!T19&lt;&gt;"",1+(Skills!T19/10)*(Z833/1000)/100,1)</f>
        <v/>
      </c>
      <c r="J849" t="inlineStr"/>
      <c r="K849" t="inlineStr"/>
      <c r="L849" t="inlineStr"/>
      <c r="M849" t="inlineStr"/>
      <c r="N849" t="inlineStr"/>
      <c r="O849">
        <f>(1-Summary!$B$11)*S849+Summary!$B$11*U849</f>
        <v/>
      </c>
      <c r="P849">
        <f>IF(B867=0,0,O849/B867)</f>
        <v/>
      </c>
      <c r="Q849">
        <f>IFERROR(1/IF(Inputs!$B$38="pvp",15,MAX(0.1,Skills!D19-IF(Skills!E19=TRUE,Inputs!$B$32,0))),0)</f>
        <v/>
      </c>
      <c r="R849" t="n">
        <v>0</v>
      </c>
      <c r="S849" t="n">
        <v>0</v>
      </c>
      <c r="U849" t="n">
        <v>0</v>
      </c>
    </row>
    <row r="850">
      <c r="A850">
        <f>Skills!A20</f>
        <v/>
      </c>
      <c r="B850">
        <f>Skills!B20</f>
        <v/>
      </c>
      <c r="C850">
        <f>Inputs!$B$3&gt;=74</f>
        <v/>
      </c>
      <c r="D850">
        <f>IF(Skills!C20=1,60+Inputs!$B$25+(Inputs!$B$29+1),IF(Skills!C20=2,90+Inputs!$B$26+(Inputs!$B$29+1),IF(Skills!C20=3,120+Inputs!$B$27+(Inputs!$B$29+1),MAX(0,(Inputs!$B$3-100)*3)+Inputs!$B$28+(Inputs!$B$29+1))))</f>
        <v/>
      </c>
      <c r="E850">
        <f>INDEX(FactorTable!$B$2:$Y$301, MATCH(ROUND(MIN(300,MAX(1,D850)),0), FactorTable!$A$2:$A$301,0), Skills!L20+1)</f>
        <v/>
      </c>
      <c r="F850">
        <f>IF(Skills!M20=TRUE,(Skills!K20/10)*(E850/1000),Skills!K20/10)+Skills!N20</f>
        <v/>
      </c>
      <c r="G850">
        <f>Calc!G20</f>
        <v/>
      </c>
      <c r="H850">
        <f>Calc!H20</f>
        <v/>
      </c>
      <c r="I850">
        <f>IF(Skills!T20&lt;&gt;"",1+(Skills!T20/10)*(Z833/1000)/100,1)</f>
        <v/>
      </c>
      <c r="J850" t="inlineStr"/>
      <c r="K850" t="inlineStr"/>
      <c r="L850" t="inlineStr"/>
      <c r="M850" t="inlineStr"/>
      <c r="N850" t="inlineStr"/>
      <c r="O850">
        <f>(1-Summary!$B$11)*S850+Summary!$B$11*U850</f>
        <v/>
      </c>
      <c r="P850">
        <f>IF(B867=0,0,O850/B867)</f>
        <v/>
      </c>
      <c r="Q850">
        <f>IFERROR(1/IF(Inputs!$B$38="pvp",15,MAX(0.1,Skills!D20-IF(Skills!E20=TRUE,Inputs!$B$32,0))),0)</f>
        <v/>
      </c>
      <c r="R850" t="n">
        <v>0</v>
      </c>
      <c r="S850" t="n">
        <v>0</v>
      </c>
      <c r="U850" t="n">
        <v>0</v>
      </c>
    </row>
    <row r="851">
      <c r="A851">
        <f>Skills!A21</f>
        <v/>
      </c>
      <c r="B851">
        <f>Skills!B21</f>
        <v/>
      </c>
      <c r="C851">
        <f>Inputs!$B$3&gt;=74</f>
        <v/>
      </c>
      <c r="D851">
        <f>IF(Skills!C21=1,60+Inputs!$B$25+(Inputs!$B$29+1),IF(Skills!C21=2,90+Inputs!$B$26+(Inputs!$B$29+1),IF(Skills!C21=3,120+Inputs!$B$27+(Inputs!$B$29+1),MAX(0,(Inputs!$B$3-100)*3)+Inputs!$B$28+(Inputs!$B$29+1))))</f>
        <v/>
      </c>
      <c r="E851">
        <f>INDEX(FactorTable!$B$2:$Y$301, MATCH(ROUND(MIN(300,MAX(1,D851)),0), FactorTable!$A$2:$A$301,0), Skills!L21+1)</f>
        <v/>
      </c>
      <c r="F851">
        <f>IF(Skills!M21=TRUE,(Skills!K21/10)*(E851/1000),Skills!K21/10)+Skills!N21</f>
        <v/>
      </c>
      <c r="G851">
        <f>Calc!G21</f>
        <v/>
      </c>
      <c r="H851">
        <f>Calc!H21</f>
        <v/>
      </c>
      <c r="I851">
        <f>IF(Skills!T21&lt;&gt;"",1+(Skills!T21/10)*(Z833/1000)/100,1)</f>
        <v/>
      </c>
      <c r="J851" t="inlineStr"/>
      <c r="K851" t="inlineStr"/>
      <c r="L851" t="inlineStr"/>
      <c r="M851" t="inlineStr"/>
      <c r="N851" t="inlineStr"/>
      <c r="O851">
        <f>(1-Summary!$B$11)*S851+Summary!$B$11*U851</f>
        <v/>
      </c>
      <c r="P851">
        <f>IF(B867=0,0,O851/B867)</f>
        <v/>
      </c>
      <c r="Q851">
        <f>IFERROR(1/IF(Inputs!$B$38="pvp",15,MAX(0.1,Skills!D21-IF(Skills!E21=TRUE,Inputs!$B$32,0))),0)</f>
        <v/>
      </c>
      <c r="R851" t="n">
        <v>0</v>
      </c>
      <c r="S851" t="n">
        <v>0</v>
      </c>
      <c r="U851" t="n">
        <v>0</v>
      </c>
    </row>
    <row r="852">
      <c r="A852">
        <f>Skills!A22</f>
        <v/>
      </c>
      <c r="B852">
        <f>Skills!B22</f>
        <v/>
      </c>
      <c r="C852">
        <f>Inputs!$B$3&gt;=117</f>
        <v/>
      </c>
      <c r="D852">
        <f>IF(Skills!C22=1,60+Inputs!$B$25+(Inputs!$B$29+1),IF(Skills!C22=2,90+Inputs!$B$26+(Inputs!$B$29+1),IF(Skills!C22=3,120+Inputs!$B$27+(Inputs!$B$29+1),MAX(0,(Inputs!$B$3-100)*3)+Inputs!$B$28+(Inputs!$B$29+1))))</f>
        <v/>
      </c>
      <c r="E852">
        <f>INDEX(FactorTable!$B$2:$Y$301, MATCH(ROUND(MIN(300,MAX(1,D852)),0), FactorTable!$A$2:$A$301,0), Skills!L22+1)</f>
        <v/>
      </c>
      <c r="F852">
        <f>IF(Skills!M22=TRUE,(Skills!K22/10)*(E852/1000),Skills!K22/10)+Skills!N22</f>
        <v/>
      </c>
      <c r="G852">
        <f>Calc!G22</f>
        <v/>
      </c>
      <c r="H852">
        <f>Calc!H22</f>
        <v/>
      </c>
      <c r="I852">
        <f>IF(Skills!T22&lt;&gt;"",1+(Skills!T22/10)*(Z833/1000)/100,1)</f>
        <v/>
      </c>
      <c r="J852" t="inlineStr"/>
      <c r="K852" t="inlineStr"/>
      <c r="L852" t="inlineStr"/>
      <c r="M852" t="inlineStr"/>
      <c r="N852" t="inlineStr"/>
      <c r="O852">
        <f>(1-Summary!$B$11)*S852+Summary!$B$11*U852</f>
        <v/>
      </c>
      <c r="P852">
        <f>IF(B867=0,0,O852/B867)</f>
        <v/>
      </c>
      <c r="Q852">
        <f>IFERROR(1/IF(Inputs!$B$38="pvp",15,MAX(0.1,Skills!D22-IF(Skills!E22=TRUE,Inputs!$B$32,0))),0)</f>
        <v/>
      </c>
      <c r="R852" t="n">
        <v>0</v>
      </c>
      <c r="S852" t="n">
        <v>0</v>
      </c>
      <c r="U852" t="n">
        <v>0</v>
      </c>
    </row>
    <row r="853">
      <c r="A853">
        <f>Skills!A23</f>
        <v/>
      </c>
      <c r="B853">
        <f>Skills!B23</f>
        <v/>
      </c>
      <c r="C853">
        <f>Inputs!$B$3&gt;=120</f>
        <v/>
      </c>
      <c r="D853">
        <f>IF(Skills!C23=1,60+Inputs!$B$25+(Inputs!$B$29+1),IF(Skills!C23=2,90+Inputs!$B$26+(Inputs!$B$29+1),IF(Skills!C23=3,120+Inputs!$B$27+(Inputs!$B$29+1),MAX(0,(Inputs!$B$3-100)*3)+Inputs!$B$28+(Inputs!$B$29+1))))</f>
        <v/>
      </c>
      <c r="E853">
        <f>INDEX(FactorTable!$B$2:$Y$301, MATCH(ROUND(MIN(300,MAX(1,D853)),0), FactorTable!$A$2:$A$301,0), Skills!L23+1)</f>
        <v/>
      </c>
      <c r="F853">
        <f>IF(Skills!M23=TRUE,(Skills!K23/10)*(E853/1000),Skills!K23/10)+Skills!N23</f>
        <v/>
      </c>
      <c r="G853">
        <f>Calc!G23</f>
        <v/>
      </c>
      <c r="H853">
        <f>Calc!H23</f>
        <v/>
      </c>
      <c r="I853">
        <f>IF(Skills!T23&lt;&gt;"",1+(Skills!T23/10)*(Z833/1000)/100,1)</f>
        <v/>
      </c>
      <c r="J853" t="inlineStr"/>
      <c r="K853" t="inlineStr"/>
      <c r="L853" t="inlineStr"/>
      <c r="M853" t="inlineStr"/>
      <c r="N853" t="inlineStr"/>
      <c r="O853">
        <f>(1-Summary!$B$11)*S853+Summary!$B$11*U853</f>
        <v/>
      </c>
      <c r="P853">
        <f>IF(B867=0,0,O853/B867)</f>
        <v/>
      </c>
      <c r="Q853">
        <f>IFERROR(1/IF(Inputs!$B$38="pvp",15,MAX(0.1,Skills!D23-IF(Skills!E23=TRUE,Inputs!$B$32,0))),0)</f>
        <v/>
      </c>
      <c r="R853" t="n">
        <v>0</v>
      </c>
      <c r="S853" t="n">
        <v>0</v>
      </c>
      <c r="U853" t="n">
        <v>0</v>
      </c>
    </row>
    <row r="854">
      <c r="A854">
        <f>Skills!A24</f>
        <v/>
      </c>
      <c r="B854">
        <f>Skills!B24</f>
        <v/>
      </c>
      <c r="C854">
        <f>TRUE</f>
        <v/>
      </c>
      <c r="D854">
        <f>IF(Skills!C24=1,60+Inputs!$B$25+(Inputs!$B$29+1),IF(Skills!C24=2,90+Inputs!$B$26+(Inputs!$B$29+1),IF(Skills!C24=3,120+Inputs!$B$27+(Inputs!$B$29+1),MAX(0,(Inputs!$B$3-100)*3)+Inputs!$B$28+(Inputs!$B$29+1))))</f>
        <v/>
      </c>
      <c r="E854">
        <f>INDEX(FactorTable!$B$2:$Y$301, MATCH(ROUND(MIN(300,MAX(1,D854)),0), FactorTable!$A$2:$A$301,0), Skills!L24+1)</f>
        <v/>
      </c>
      <c r="F854">
        <f>IF(Skills!M24=TRUE,(Skills!K24/10)*(E854/1000),Skills!K24/10)+Skills!N24</f>
        <v/>
      </c>
      <c r="G854">
        <f>Calc!G24</f>
        <v/>
      </c>
      <c r="H854">
        <f>Calc!H24</f>
        <v/>
      </c>
      <c r="I854">
        <f>IF(Skills!T24&lt;&gt;"",1+(Skills!T24/10)*(Z833/1000)/100,1)</f>
        <v/>
      </c>
      <c r="J854" t="inlineStr"/>
      <c r="K854" t="inlineStr"/>
      <c r="L854" t="inlineStr"/>
      <c r="M854" t="inlineStr"/>
      <c r="N854" t="inlineStr"/>
      <c r="O854">
        <f>(1-Summary!$B$11)*S854+Summary!$B$11*U854</f>
        <v/>
      </c>
      <c r="P854">
        <f>IF(B867=0,0,O854/B867)</f>
        <v/>
      </c>
      <c r="Q854">
        <f>IFERROR(1/IF(Inputs!$B$38="pvp",15,MAX(0.1,Skills!D24-IF(Skills!E24=TRUE,Inputs!$B$32,0))),0)</f>
        <v/>
      </c>
      <c r="R854">
        <f>IF(AND(Inputs!$B$38&lt;&gt;"pvp",Inputs!$B$43&gt;0),IF(Inputs!$B$43&lt;=0,0,(INT(Inputs!$B$43/IF(Inputs!$B$38="pvp",15,MAX(0.1,Skills!D24-IF(Skills!E24=TRUE,Inputs!$B$32,0))))+1)),0)</f>
        <v/>
      </c>
      <c r="S854" t="n">
        <v>0</v>
      </c>
      <c r="U854" t="n">
        <v>0</v>
      </c>
    </row>
    <row r="857">
      <c r="A857" t="inlineStr">
        <is>
          <t>Average Buff Multiplier (Magic Guard + Meditation + Artifact Attack%, summed; then Infinity)</t>
        </is>
      </c>
      <c r="B857">
        <f>(1+(IF(C833=TRUE,F833*IF(AND(Inputs!$B$38&lt;&gt;"pvp",Inputs!$B$43&gt;0),(((R833-1)*(Skills!S3*(1+(Inputs!$B$34)/100))+MIN((Skills!S3*(1+(Inputs!$B$34)/100)),MAX(0,Inputs!$B$43-((R833-1)*Skills!D3))))/Inputs!$B$43),IF(Inputs!$B$38="pvp",MIN((Skills!S3*(1+(Inputs!$B$34)/100)),15)/15,(Skills!S3*(1+(Inputs!$B$34)/100))/Skills!D3)),0)+IF(C834=TRUE,F834*IF(AND(Inputs!$B$38&lt;&gt;"pvp",Inputs!$B$43&gt;0),(((R834-1)*(Skills!S4*(1+(Inputs!$B$34)/100))+MIN((Skills!S4*(1+(Inputs!$B$34)/100)),MAX(0,Inputs!$B$43-((R834-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846=TRUE,(1+F846*IF(AND(Inputs!$B$38&lt;&gt;"pvp",Inputs!$B$43&gt;0),(((R846-1)*(Skills!S16*(1+(Inputs!$B$34)/100))+MIN((Skills!S16*(1+(Inputs!$B$34)/100)),MAX(0,Inputs!$B$43-((R846-1)*Skills!D16))))/Inputs!$B$43),IF(Inputs!$B$38="pvp",MIN((Skills!S16*(1+(Inputs!$B$34)/100)),15)/15,(Skills!S16*(1+(Inputs!$B$34)/100))/Skills!D16))/100),1)</f>
        <v/>
      </c>
    </row>
    <row r="858">
      <c r="A858" t="inlineStr">
        <is>
          <t>Monster Damage Taken Bonus % (Freezing Breath - Weaken + Elemental Reset + Artifact Enemy Damage Taken, summed)</t>
        </is>
      </c>
      <c r="B858">
        <f>IF(Inputs!$B$3&gt;=118,15*IF(Inputs!$B$38="pvp",MIN((30*(1+(Inputs!$B$34)/100)),15)/15,(30*(1+(Inputs!$B$34)/100))/Skills!D8),0)+IF(C844=TRUE,F844,0)+(IF(AND(ArtifactsInput!$M$35,Inputs!$B$4&lt;&gt;"Chapter Hunt"),CHOOSE(ArtifactsInput!$N$35+1,15,18,21,24,27,30)*(1-EXP(-(0.2*B861)*5)),0)+IF(AND(ArtifactsInput!$M$22,Inputs!$B$4&lt;&gt;"Chapter Hunt"),CHOOSE(ArtifactsInput!$N$22+1,10,12,14,16,18,20)*((0*(((0.15*B861*5))^0/1)+1*(((0.15*B861*5))^1/1)+2*(((0.15*B861*5))^2/2)+3*(((0.15*B861*5))^3/6)+4*(((0.15*B861*5))^4/24)+5*(((0.15*B861*5))^5/120))/((((0.15*B861*5))^0/1)+(((0.15*B861*5))^1/1)+(((0.15*B861*5))^2/2)+(((0.15*B861*5))^3/6)+(((0.15*B861*5))^4/24)+(((0.15*B861*5))^5/120))),0))</f>
        <v/>
      </c>
    </row>
    <row r="859">
      <c r="A859" t="inlineStr">
        <is>
          <t>Damage % Bonus (Frozen Break + Frost Clutch, flat)</t>
        </is>
      </c>
      <c r="B859">
        <f>IF(Inputs!$B$3&gt;=66,15,0)+IF(Inputs!$B$3&gt;=98,10,0)+IF(Inputs!$B$3&gt;=125,20,0)</f>
        <v/>
      </c>
    </row>
    <row r="860">
      <c r="A860" t="inlineStr">
        <is>
          <t>Attack Speed Bonus % (MP Eater - MP Boost, always-on + Nimble Feet, duty-cycle averaged)</t>
        </is>
      </c>
      <c r="B860">
        <f>IF(C843=TRUE,F843+(F847-Calc!F17),0)+((C854=TRUE)*F854*IF(AND(Inputs!$B$38&lt;&gt;"pvp",Inputs!$B$43&gt;0),(((R854-1)*(Skills!S24*(1+(Inputs!$B$34)/100))+MIN((Skills!S24*(1+(Inputs!$B$34)/100)),MAX(0,Inputs!$B$43-((R854-1)*Skills!D24))))/Inputs!$B$43),IF(Inputs!$B$38="pvp",MIN((Skills!S24*(1+(Inputs!$B$34)/100)),15)/15,(Skills!S24*(1+(Inputs!$B$34)/100))/Skills!D24)))</f>
        <v/>
      </c>
    </row>
    <row r="861">
      <c r="A861" t="inlineStr">
        <is>
          <t>Actions Per Second</t>
        </is>
      </c>
      <c r="B861">
        <f>1+MIN(150,150*(1-(1-(Inputs!$B$11+(ArtifactsInput!$M$15-ArtifactsInput!$M$15)*CHOOSE(ArtifactsInput!$N$15+1,8,9.6,11.2,12.8,14.4,16))/150)*(1-B860/150)))/100</f>
        <v/>
      </c>
    </row>
    <row r="862">
      <c r="A862" t="inlineStr">
        <is>
          <t>Skill + Buff Cast Rate</t>
        </is>
      </c>
      <c r="B862">
        <f>IF(AND(Inputs!$B$38&lt;&gt;"pvp",Inputs!$B$43&gt;0),SUMPRODUCT((Skills!E2:E24=TRUE)*(C832:C854=TRUE)*R832:R854)/Inputs!$B$43,SUMPRODUCT((Skills!E2:E24=TRUE)*(C832:C854=TRUE)*Q832:Q854))</f>
        <v/>
      </c>
    </row>
    <row r="863">
      <c r="A863" t="inlineStr">
        <is>
          <t>Chain Lightning Casts Per Second</t>
        </is>
      </c>
      <c r="B863">
        <f>MAX(0,B861-B862)</f>
        <v/>
      </c>
    </row>
    <row r="864">
      <c r="A864" t="inlineStr">
        <is>
          <t>Buff-Casting Startup Delay (s, fixed-duration only)</t>
        </is>
      </c>
      <c r="B864">
        <f>IF(AND(Inputs!$B$38&lt;&gt;"pvp",Inputs!$B$43&gt;0),SUMPRODUCT((Skills!S2:S24&gt;0)*(Skills!E2:E24=TRUE)*(C832:C854=TRUE))/B861,0)</f>
        <v/>
      </c>
    </row>
    <row r="865">
      <c r="A865" t="inlineStr">
        <is>
          <t>Boss-Only Total DPS (this block's swept value)</t>
        </is>
      </c>
      <c r="B865">
        <f>SUM(S832:S854)</f>
        <v/>
      </c>
    </row>
    <row r="866">
      <c r="A866" t="inlineStr">
        <is>
          <t>Normal-Only Total DPS (this block's swept value)</t>
        </is>
      </c>
      <c r="B866">
        <f>SUM(U832:U854)</f>
        <v/>
      </c>
    </row>
    <row r="867">
      <c r="A867" s="6" t="inlineStr">
        <is>
          <t>TOTAL DPS</t>
        </is>
      </c>
      <c r="B867" s="6">
        <f>SUM(O832:O854)</f>
        <v/>
      </c>
    </row>
    <row r="870">
      <c r="A870" s="6" t="inlineStr">
        <is>
          <t>Stat: Flat ATTACK</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R871" t="inlineStr">
        <is>
          <t>helpers</t>
        </is>
      </c>
    </row>
    <row r="872">
      <c r="A872">
        <f>Skills!A2</f>
        <v/>
      </c>
      <c r="B872">
        <f>Skills!B2</f>
        <v/>
      </c>
      <c r="C872">
        <f>Inputs!$B$3&gt;=100</f>
        <v/>
      </c>
      <c r="D872" t="inlineStr"/>
      <c r="E872" t="inlineStr"/>
      <c r="F872">
        <f>T874+Skills!N2</f>
        <v/>
      </c>
      <c r="G872">
        <f>Calc!G2</f>
        <v/>
      </c>
      <c r="H872">
        <f>Calc!H2</f>
        <v/>
      </c>
      <c r="I872">
        <f>IF(Skills!T2&lt;&gt;"",1+(Skills!T2/10)*(Z873/1000)/100,1)</f>
        <v/>
      </c>
      <c r="J872">
        <f>(((Inputs!$B$6+1)*(1+Inputs!$B$7/100))+(((Inputs!$B$12*(1+Inputs!$B$13/100))-(Inputs!$B$12*(1+Inputs!$B$13/100)))+0.25*(Inputs!$B$14-Inputs!$B$14))*(1+Inputs!$B$7/100))*(F872/100)</f>
        <v/>
      </c>
      <c r="K872">
        <f>J872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2="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888-Calc!F18),(Inputs!$B$23+(IF(ArtifactsInput!$M$15,CHOOSE(ArtifactsInput!$N$15+1,25,30,35,40,45,50)/100*(Inputs!$B$11-Inputs!$B$11),0))))/100+(Inputs!$B$23+(IF(ArtifactsInput!$M$15,CHOOSE(ArtifactsInput!$N$15+1,25,30,35,40,45,50)/100*(Inputs!$B$11-Inputs!$B$11),0)))/100)/2</f>
        <v/>
      </c>
      <c r="M872">
        <f>L872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IF(B907=0,0,O872/B907)</f>
        <v/>
      </c>
      <c r="Q872">
        <f>IFERROR(1/IF(Inputs!$B$38="pvp",15,MAX(0.1,Skills!D2-IF(Skills!E2=TRUE,Inputs!$B$32,0))),0)</f>
        <v/>
      </c>
      <c r="R872" t="n">
        <v>0</v>
      </c>
      <c r="S872">
        <f>IF(C872,(Skills!F2*N872*B903)*IF(Inputs!$B$38="pvp",1,1+(Inputs!$B$20+Skills!O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72">
        <f>MAX(0,(Inputs!$B$3-100)*3)+Inputs!$B$28+Inputs!$B$29</f>
        <v/>
      </c>
      <c r="U872">
        <f>IF(C872,(Skills!F2*N872*B903)*IF(Inputs!$B$38="pvp",1,(1+(Inputs!$B$21+Skills!P2+B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72">
        <f>MAX(0,(Inputs!$B$3-100)*3)+Inputs!$B$28+Inputs!$B$29</f>
        <v/>
      </c>
    </row>
    <row r="873">
      <c r="A873">
        <f>Skills!A3</f>
        <v/>
      </c>
      <c r="B873">
        <f>Skills!B3</f>
        <v/>
      </c>
      <c r="C873">
        <f>Inputs!$B$3&gt;=15</f>
        <v/>
      </c>
      <c r="D873">
        <f>IF(Skills!C3=1,60+Inputs!$B$25+Inputs!$B$29,IF(Skills!C3=2,90+Inputs!$B$26+Inputs!$B$29,IF(Skills!C3=3,120+Inputs!$B$27+Inputs!$B$29,MAX(0,(Inputs!$B$3-100)*3)+Inputs!$B$28+Inputs!$B$29)))</f>
        <v/>
      </c>
      <c r="E873">
        <f>INDEX(FactorTable!$B$2:$Y$301, MATCH(ROUND(MIN(300,MAX(1,D873)),0), FactorTable!$A$2:$A$301,0), Skills!L3+1)</f>
        <v/>
      </c>
      <c r="F873">
        <f>IF(Skills!M3=TRUE,(Skills!K3/10)*(E873/1000),Skills!K3/10)+Skills!N3</f>
        <v/>
      </c>
      <c r="G873">
        <f>Calc!G3</f>
        <v/>
      </c>
      <c r="H873">
        <f>Calc!H3</f>
        <v/>
      </c>
      <c r="I873">
        <f>IF(Skills!T3&lt;&gt;"",1+(Skills!T3/10)*(Z873/1000)/100,1)</f>
        <v/>
      </c>
      <c r="J873" t="inlineStr"/>
      <c r="K873" t="inlineStr"/>
      <c r="L873" t="inlineStr"/>
      <c r="M873" t="inlineStr"/>
      <c r="N873" t="inlineStr"/>
      <c r="O873">
        <f>(1-Summary!$B$11)*S873+Summary!$B$11*U873</f>
        <v/>
      </c>
      <c r="P873">
        <f>IF(B907=0,0,O873/B907)</f>
        <v/>
      </c>
      <c r="Q873">
        <f>IFERROR(1/IF(Inputs!$B$38="pvp",15,MAX(0.1,Skills!D3-IF(Skills!E3=TRUE,Inputs!$B$32,0))),0)</f>
        <v/>
      </c>
      <c r="R873">
        <f>IF(AND(Inputs!$B$38&lt;&gt;"pvp",Inputs!$B$43&gt;0),IF(Inputs!$B$43&lt;=0,0,(INT(Inputs!$B$43/IF(Inputs!$B$38="pvp",15,MAX(0.1,Skills!D3-IF(Skills!E3=TRUE,Inputs!$B$32,0))))+1)),0)</f>
        <v/>
      </c>
      <c r="S873" t="n">
        <v>0</v>
      </c>
      <c r="T873">
        <f>INDEX(FactorTable!$B$2:$Y$301, MATCH(ROUND(MIN(300,MAX(1,T872)),0), FactorTable!$A$2:$A$301,0), 22)</f>
        <v/>
      </c>
      <c r="U873" t="n">
        <v>0</v>
      </c>
      <c r="Z873">
        <f>INDEX(FactorTable!$B$2:$Y$301, MATCH(ROUND(MIN(300,MAX(1,Z872)),0), FactorTable!$A$2:$A$301,0), 24)</f>
        <v/>
      </c>
    </row>
    <row r="874">
      <c r="A874">
        <f>Skills!A4</f>
        <v/>
      </c>
      <c r="B874">
        <f>Skills!B4</f>
        <v/>
      </c>
      <c r="C874">
        <f>Inputs!$B$3&gt;=40</f>
        <v/>
      </c>
      <c r="D874">
        <f>IF(Skills!C4=1,60+Inputs!$B$25+Inputs!$B$29,IF(Skills!C4=2,90+Inputs!$B$26+Inputs!$B$29,IF(Skills!C4=3,120+Inputs!$B$27+Inputs!$B$29,MAX(0,(Inputs!$B$3-100)*3)+Inputs!$B$28+Inputs!$B$29)))</f>
        <v/>
      </c>
      <c r="E874">
        <f>INDEX(FactorTable!$B$2:$Y$301, MATCH(ROUND(MIN(300,MAX(1,D874)),0), FactorTable!$A$2:$A$301,0), Skills!L4+1)</f>
        <v/>
      </c>
      <c r="F874">
        <f>IF(Skills!M4=TRUE,(Skills!K4/10)*(E874/1000),Skills!K4/10)+Skills!N4</f>
        <v/>
      </c>
      <c r="G874">
        <f>Calc!G4</f>
        <v/>
      </c>
      <c r="H874">
        <f>Calc!H4</f>
        <v/>
      </c>
      <c r="I874">
        <f>IF(Skills!T4&lt;&gt;"",1+(Skills!T4/10)*(Z873/1000)/100,1)</f>
        <v/>
      </c>
      <c r="J874" t="inlineStr"/>
      <c r="K874" t="inlineStr"/>
      <c r="L874" t="inlineStr"/>
      <c r="M874" t="inlineStr"/>
      <c r="N874" t="inlineStr"/>
      <c r="O874">
        <f>(1-Summary!$B$11)*S874+Summary!$B$11*U874</f>
        <v/>
      </c>
      <c r="P874">
        <f>IF(B907=0,0,O874/B907)</f>
        <v/>
      </c>
      <c r="Q874">
        <f>IFERROR(1/IF(Inputs!$B$38="pvp",15,MAX(0.1,Skills!D4-IF(Skills!E4=TRUE,Inputs!$B$32,0))),0)</f>
        <v/>
      </c>
      <c r="R874">
        <f>IF(AND(Inputs!$B$38&lt;&gt;"pvp",Inputs!$B$43&gt;0),IF(Inputs!$B$43&lt;=0,0,(INT(Inputs!$B$43/IF(Inputs!$B$38="pvp",15,MAX(0.1,Skills!D4-IF(Skills!E4=TRUE,Inputs!$B$32,0))))+1)),0)</f>
        <v/>
      </c>
      <c r="S874" t="n">
        <v>0</v>
      </c>
      <c r="T874">
        <f>290*T873/1000</f>
        <v/>
      </c>
      <c r="U874" t="n">
        <v>0</v>
      </c>
    </row>
    <row r="875">
      <c r="A875">
        <f>Skills!A5</f>
        <v/>
      </c>
      <c r="B875">
        <f>Skills!B5</f>
        <v/>
      </c>
      <c r="C875">
        <f>Inputs!$B$3&gt;=38</f>
        <v/>
      </c>
      <c r="D875">
        <f>IF(Skills!C5=1,60+Inputs!$B$25+Inputs!$B$29,IF(Skills!C5=2,90+Inputs!$B$26+Inputs!$B$29,IF(Skills!C5=3,120+Inputs!$B$27+Inputs!$B$29,MAX(0,(Inputs!$B$3-100)*3)+Inputs!$B$28+Inputs!$B$29)))</f>
        <v/>
      </c>
      <c r="E875">
        <f>INDEX(FactorTable!$B$2:$Y$301, MATCH(ROUND(MIN(300,MAX(1,D875)),0), FactorTable!$A$2:$A$301,0), Skills!L5+1)</f>
        <v/>
      </c>
      <c r="F875">
        <f>IF(Skills!M5=TRUE,(Skills!K5/10)*(E875/1000),Skills!K5/10)+Skills!N5</f>
        <v/>
      </c>
      <c r="G875">
        <f>Calc!G5</f>
        <v/>
      </c>
      <c r="H875">
        <f>Calc!H5</f>
        <v/>
      </c>
      <c r="I875">
        <f>IF(Skills!T5&lt;&gt;"",1+(Skills!T5/10)*(Z873/1000)/100,1)</f>
        <v/>
      </c>
      <c r="J875">
        <f>(((Inputs!$B$6+1)*(1+Inputs!$B$7/100))+(((Inputs!$B$12*(1+Inputs!$B$13/100))-(Inputs!$B$12*(1+Inputs!$B$13/100)))+0.25*(Inputs!$B$14-Inputs!$B$14))*(1+Inputs!$B$7/100))*(F875/100)</f>
        <v/>
      </c>
      <c r="K875">
        <f>J875*(1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5="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888-Calc!F18),(Inputs!$B$23+(IF(ArtifactsInput!$M$15,CHOOSE(ArtifactsInput!$N$15+1,25,30,35,40,45,50)/100*(Inputs!$B$11-Inputs!$B$11),0))))/100+(Inputs!$B$23+(IF(ArtifactsInput!$M$15,CHOOSE(ArtifactsInput!$N$15+1,25,30,35,40,45,50)/100*(Inputs!$B$11-Inputs!$B$11),0)))/100)/2</f>
        <v/>
      </c>
      <c r="M875">
        <f>L875*(1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IF(B907=0,0,O875/B907)</f>
        <v/>
      </c>
      <c r="Q875">
        <f>IFERROR(1/IF(Inputs!$B$38="pvp",15,MAX(0.1,Skills!D5-IF(Skills!E5=TRUE,Inputs!$B$32,0))),0)</f>
        <v/>
      </c>
      <c r="R875">
        <f>IF(AND(Inputs!$B$38&lt;&gt;"pvp",Inputs!$B$43&gt;0),IF(MAX(0,Inputs!$B$43-B904)&lt;=0,0,(INT(MAX(0,Inputs!$B$43-B904)/IF(Inputs!$B$38="pvp",15,MAX(0.1,Skills!D5-IF(Skills!E5=TRUE,Inputs!$B$32,0))))+1)),0)</f>
        <v/>
      </c>
      <c r="S875">
        <f>IF(C875,(H875*N875*IF(AND(Inputs!$B$38&lt;&gt;"pvp",Inputs!$B$43&gt;0),((Skills!F5*((R875-1)*IF(Skills!G5&gt;0,Skills!H5/Skills!G5,1)+IF(Skills!G5&gt;0,MIN(Skills!H5,MAX(0,MAX(0,Inputs!$B$43-B904)-((R875-1)*IF(Inputs!$B$38="pvp",15,MAX(0.1,Skills!D5-IF(Skills!E5=TRUE,Inputs!$B$32,0))))))/Skills!G5,1)))/Inputs!$B$43),G875*Q875))*IF(Inputs!$B$38="pvp",1,1+(Inputs!$B$20+Skills!O5+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F5*((R875-1)*IF(Skills!G5&gt;0,Skills!H5/Skills!G5,1)+IF(Skills!G5&gt;0,MIN(Skills!H5,MAX(0,MAX(0,Inputs!$B$43-B904)-((R875-1)*IF(Inputs!$B$38="pvp",15,MAX(0.1,Skills!D5-IF(Skills!E5=TRUE,Inputs!$B$32,0))))))/Skills!G5,1)))/Inputs!$B$43),G875*Q875))*IF(Inputs!$B$38="pvp",1,(1+(Inputs!$B$21+Skills!P5+B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Inputs!$B$3&gt;=63</f>
        <v/>
      </c>
      <c r="D876">
        <f>IF(Skills!C6=1,60+Inputs!$B$25+Inputs!$B$29,IF(Skills!C6=2,90+Inputs!$B$26+Inputs!$B$29,IF(Skills!C6=3,120+Inputs!$B$27+Inputs!$B$29,MAX(0,(Inputs!$B$3-100)*3)+Inputs!$B$28+Inputs!$B$29)))</f>
        <v/>
      </c>
      <c r="E876">
        <f>INDEX(FactorTable!$B$2:$Y$301, MATCH(ROUND(MIN(300,MAX(1,D876)),0), FactorTable!$A$2:$A$301,0), Skills!L6+1)</f>
        <v/>
      </c>
      <c r="F876">
        <f>IF(Skills!M6=TRUE,(Skills!K6/10)*(E876/1000),Skills!K6/10)+Skills!N6</f>
        <v/>
      </c>
      <c r="G876">
        <f>Calc!G6</f>
        <v/>
      </c>
      <c r="H876">
        <f>Calc!H6</f>
        <v/>
      </c>
      <c r="I876">
        <f>IF(Skills!T6&lt;&gt;"",1+(Skills!T6/10)*(Z873/1000)/100,1)</f>
        <v/>
      </c>
      <c r="J876">
        <f>(((Inputs!$B$6+1)*(1+Inputs!$B$7/100))+(((Inputs!$B$12*(1+Inputs!$B$13/100))-(Inputs!$B$12*(1+Inputs!$B$13/100)))+0.25*(Inputs!$B$14-Inputs!$B$14))*(1+Inputs!$B$7/100))*(F876/100)</f>
        <v/>
      </c>
      <c r="K876">
        <f>J876*(1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6="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888-Calc!F18),(Inputs!$B$23+(IF(ArtifactsInput!$M$15,CHOOSE(ArtifactsInput!$N$15+1,25,30,35,40,45,50)/100*(Inputs!$B$11-Inputs!$B$11),0))))/100+(Inputs!$B$23+(IF(ArtifactsInput!$M$15,CHOOSE(ArtifactsInput!$N$15+1,25,30,35,40,45,50)/100*(Inputs!$B$11-Inputs!$B$11),0)))/100)/2</f>
        <v/>
      </c>
      <c r="M876">
        <f>L876*(1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IF(B907=0,0,O876/B907)</f>
        <v/>
      </c>
      <c r="Q876">
        <f>IFERROR(1/IF(Inputs!$B$38="pvp",15,MAX(0.1,Skills!D6-IF(Skills!E6=TRUE,Inputs!$B$32,0))),0)</f>
        <v/>
      </c>
      <c r="R876">
        <f>IF(AND(Inputs!$B$38&lt;&gt;"pvp",Inputs!$B$43&gt;0),IF(MAX(0,Inputs!$B$43-B904)&lt;=0,0,(INT(MAX(0,Inputs!$B$43-B904)/IF(Inputs!$B$38="pvp",15,MAX(0.1,Skills!D6-IF(Skills!E6=TRUE,Inputs!$B$32,0))))+1)),0)</f>
        <v/>
      </c>
      <c r="S876">
        <f>IF(C876,(H876*N876*IF(AND(Inputs!$B$38&lt;&gt;"pvp",Inputs!$B$43&gt;0),((Skills!F6*((R876-1)*IF(Skills!G6&gt;0,Skills!H6/Skills!G6,1)+IF(Skills!G6&gt;0,MIN(Skills!H6,MAX(0,MAX(0,Inputs!$B$43-B904)-((R876-1)*IF(Inputs!$B$38="pvp",15,MAX(0.1,Skills!D6-IF(Skills!E6=TRUE,Inputs!$B$32,0))))))/Skills!G6,1)))/Inputs!$B$43),G876*Q876))*IF(Inputs!$B$38="pvp",1,1+(Inputs!$B$20+Skills!O6+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N876*IF(AND(Inputs!$B$38&lt;&gt;"pvp",Inputs!$B$43&gt;0),((Skills!F6*((R876-1)*IF(Skills!G6&gt;0,Skills!H6/Skills!G6,1)+IF(Skills!G6&gt;0,MIN(Skills!H6,MAX(0,MAX(0,Inputs!$B$43-B904)-((R876-1)*IF(Inputs!$B$38="pvp",15,MAX(0.1,Skills!D6-IF(Skills!E6=TRUE,Inputs!$B$32,0))))))/Skills!G6,1)))/Inputs!$B$43),G876*Q876))*IF(Inputs!$B$38="pvp",1,(1+(Inputs!$B$21+Skills!P6+B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Inputs!$B$3&gt;=69</f>
        <v/>
      </c>
      <c r="D877">
        <f>IF(Skills!C7=1,60+Inputs!$B$25+Inputs!$B$29,IF(Skills!C7=2,90+Inputs!$B$26+Inputs!$B$29,IF(Skills!C7=3,120+Inputs!$B$27+Inputs!$B$29,MAX(0,(Inputs!$B$3-100)*3)+Inputs!$B$28+Inputs!$B$29)))</f>
        <v/>
      </c>
      <c r="E877">
        <f>INDEX(FactorTable!$B$2:$Y$301, MATCH(ROUND(MIN(300,MAX(1,D877)),0), FactorTable!$A$2:$A$301,0), Skills!L7+1)</f>
        <v/>
      </c>
      <c r="F877">
        <f>IF(Skills!M7=TRUE,(Skills!K7/10)*(E877/1000),Skills!K7/10)+Skills!N7</f>
        <v/>
      </c>
      <c r="G877">
        <f>Calc!G7</f>
        <v/>
      </c>
      <c r="H877">
        <f>Calc!H7</f>
        <v/>
      </c>
      <c r="I877">
        <f>IF(Skills!T7&lt;&gt;"",1+(Skills!T7/10)*(Z873/1000)/100,1)</f>
        <v/>
      </c>
      <c r="J877">
        <f>(((Inputs!$B$6+1)*(1+Inputs!$B$7/100))+(((Inputs!$B$12*(1+Inputs!$B$13/100))-(Inputs!$B$12*(1+Inputs!$B$13/100)))+0.25*(Inputs!$B$14-Inputs!$B$14))*(1+Inputs!$B$7/100))*(F877/100)</f>
        <v/>
      </c>
      <c r="K877">
        <f>J877*(1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7="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888-Calc!F18),(Inputs!$B$23+(IF(ArtifactsInput!$M$15,CHOOSE(ArtifactsInput!$N$15+1,25,30,35,40,45,50)/100*(Inputs!$B$11-Inputs!$B$11),0))))/100+(Inputs!$B$23+(IF(ArtifactsInput!$M$15,CHOOSE(ArtifactsInput!$N$15+1,25,30,35,40,45,50)/100*(Inputs!$B$11-Inputs!$B$11),0)))/100)/2</f>
        <v/>
      </c>
      <c r="M877">
        <f>L877*(1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IF(B907=0,0,O877/B907)</f>
        <v/>
      </c>
      <c r="Q877">
        <f>IFERROR(1/IF(Inputs!$B$38="pvp",15,MAX(0.1,Skills!D7-IF(Skills!E7=TRUE,Inputs!$B$32,0))),0)</f>
        <v/>
      </c>
      <c r="R877">
        <f>IF(AND(Inputs!$B$38&lt;&gt;"pvp",Inputs!$B$43&gt;0),IF(MAX(0,Inputs!$B$43-B904)&lt;=0,0,(INT(MAX(0,Inputs!$B$43-B904)/IF(Inputs!$B$38="pvp",15,MAX(0.1,Skills!D7-IF(Skills!E7=TRUE,Inputs!$B$32,0))))+1)),0)</f>
        <v/>
      </c>
      <c r="S877">
        <f>IF(C877,(H877*N877*IF(AND(Inputs!$B$38&lt;&gt;"pvp",Inputs!$B$43&gt;0),((Skills!F7*((R877-1)*IF(Skills!G7&gt;0,Skills!H7/Skills!G7,1)+IF(Skills!G7&gt;0,MIN(Skills!H7,MAX(0,MAX(0,Inputs!$B$43-B904)-((R877-1)*IF(Inputs!$B$38="pvp",15,MAX(0.1,Skills!D7-IF(Skills!E7=TRUE,Inputs!$B$32,0))))))/Skills!G7,1)))/Inputs!$B$43),G877*Q877))*IF(Inputs!$B$38="pvp",1,1+(Inputs!$B$20+Skills!O7+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F7*((R877-1)*IF(Skills!G7&gt;0,Skills!H7/Skills!G7,1)+IF(Skills!G7&gt;0,MIN(Skills!H7,MAX(0,MAX(0,Inputs!$B$43-B904)-((R877-1)*IF(Inputs!$B$38="pvp",15,MAX(0.1,Skills!D7-IF(Skills!E7=TRUE,Inputs!$B$32,0))))))/Skills!G7,1)))/Inputs!$B$43),G877*Q877))*IF(Inputs!$B$38="pvp",1,(1+(Inputs!$B$21+Skills!P7+B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Skills!A8</f>
        <v/>
      </c>
      <c r="B878">
        <f>Skills!B8</f>
        <v/>
      </c>
      <c r="C878">
        <f>Inputs!$B$3&gt;=103</f>
        <v/>
      </c>
      <c r="D878">
        <f>IF(Skills!C8=1,60+Inputs!$B$25+Inputs!$B$29,IF(Skills!C8=2,90+Inputs!$B$26+Inputs!$B$29,IF(Skills!C8=3,120+Inputs!$B$27+Inputs!$B$29,MAX(0,(Inputs!$B$3-100)*3)+Inputs!$B$28+Inputs!$B$29)))</f>
        <v/>
      </c>
      <c r="E878">
        <f>INDEX(FactorTable!$B$2:$Y$301, MATCH(ROUND(MIN(300,MAX(1,D878)),0), FactorTable!$A$2:$A$301,0), Skills!L8+1)</f>
        <v/>
      </c>
      <c r="F878">
        <f>IF(Skills!M8=TRUE,(Skills!K8/10)*(E878/1000),Skills!K8/10)+Skills!N8</f>
        <v/>
      </c>
      <c r="G878">
        <f>Calc!G8</f>
        <v/>
      </c>
      <c r="H878">
        <f>Calc!H8</f>
        <v/>
      </c>
      <c r="I878">
        <f>IF(Skills!T8&lt;&gt;"",1+(Skills!T8/10)*(Z873/1000)/100,1)</f>
        <v/>
      </c>
      <c r="J878">
        <f>(((Inputs!$B$6+1)*(1+Inputs!$B$7/100))+(((Inputs!$B$12*(1+Inputs!$B$13/100))-(Inputs!$B$12*(1+Inputs!$B$13/100)))+0.25*(Inputs!$B$14-Inputs!$B$14))*(1+Inputs!$B$7/100))*(F878/100)</f>
        <v/>
      </c>
      <c r="K878">
        <f>J878*(1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8="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888-Calc!F18),(Inputs!$B$23+(IF(ArtifactsInput!$M$15,CHOOSE(ArtifactsInput!$N$15+1,25,30,35,40,45,50)/100*(Inputs!$B$11-Inputs!$B$11),0))))/100+(Inputs!$B$23+(IF(ArtifactsInput!$M$15,CHOOSE(ArtifactsInput!$N$15+1,25,30,35,40,45,50)/100*(Inputs!$B$11-Inputs!$B$11),0)))/100)/2</f>
        <v/>
      </c>
      <c r="M878">
        <f>L878*(1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IF(B907=0,0,O878/B907)</f>
        <v/>
      </c>
      <c r="Q878">
        <f>IFERROR(1/IF(Inputs!$B$38="pvp",15,MAX(0.1,Skills!D8-IF(Skills!E8=TRUE,Inputs!$B$32,0))),0)</f>
        <v/>
      </c>
      <c r="R878">
        <f>IF(AND(Inputs!$B$38&lt;&gt;"pvp",Inputs!$B$43&gt;0),IF(MAX(0,Inputs!$B$43-B904)&lt;=0,0,(INT(MAX(0,Inputs!$B$43-B904)/IF(Inputs!$B$38="pvp",15,MAX(0.1,Skills!D8-IF(Skills!E8=TRUE,Inputs!$B$32,0))))+1)),0)</f>
        <v/>
      </c>
      <c r="S878">
        <f>IF(C878,(H878*N878*IF(AND(Inputs!$B$38&lt;&gt;"pvp",Inputs!$B$43&gt;0),((Skills!F8*((R878-1)*IF(Skills!G8&gt;0,Skills!H8/Skills!G8,1)+IF(Skills!G8&gt;0,MIN(Skills!H8,MAX(0,MAX(0,Inputs!$B$43-B904)-((R878-1)*IF(Inputs!$B$38="pvp",15,MAX(0.1,Skills!D8-IF(Skills!E8=TRUE,Inputs!$B$32,0))))))/Skills!G8,1)))/Inputs!$B$43),G878*Q878))*IF(Inputs!$B$38="pvp",1,1+(Inputs!$B$20+Skills!O8+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F8*((R878-1)*IF(Skills!G8&gt;0,Skills!H8/Skills!G8,1)+IF(Skills!G8&gt;0,MIN(Skills!H8,MAX(0,MAX(0,Inputs!$B$43-B904)-((R878-1)*IF(Inputs!$B$38="pvp",15,MAX(0.1,Skills!D8-IF(Skills!E8=TRUE,Inputs!$B$32,0))))))/Skills!G8,1)))/Inputs!$B$43),G878*Q878))*IF(Inputs!$B$38="pvp",1,(1+(Inputs!$B$21+Skills!P8+B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Inputs!$B$3&gt;=105</f>
        <v/>
      </c>
      <c r="D879">
        <f>IF(Skills!C9=1,60+Inputs!$B$25+Inputs!$B$29,IF(Skills!C9=2,90+Inputs!$B$26+Inputs!$B$29,IF(Skills!C9=3,120+Inputs!$B$27+Inputs!$B$29,MAX(0,(Inputs!$B$3-100)*3)+Inputs!$B$28+Inputs!$B$29)))</f>
        <v/>
      </c>
      <c r="E879">
        <f>INDEX(FactorTable!$B$2:$Y$301, MATCH(ROUND(MIN(300,MAX(1,D879)),0), FactorTable!$A$2:$A$301,0), Skills!L9+1)</f>
        <v/>
      </c>
      <c r="F879">
        <f>IF(Skills!M9=TRUE,(Skills!K9/10)*(E879/1000),Skills!K9/10)+Skills!N9</f>
        <v/>
      </c>
      <c r="G879">
        <f>Calc!G9</f>
        <v/>
      </c>
      <c r="H879">
        <f>Calc!H9</f>
        <v/>
      </c>
      <c r="I879">
        <f>IF(Skills!T9&lt;&gt;"",1+(Skills!T9/10)*(Z873/1000)/100,1)</f>
        <v/>
      </c>
      <c r="J879">
        <f>(((Inputs!$B$6+1)*(1+Inputs!$B$7/100))+(((Inputs!$B$12*(1+Inputs!$B$13/100))-(Inputs!$B$12*(1+Inputs!$B$13/100)))+0.25*(Inputs!$B$14-Inputs!$B$14))*(1+Inputs!$B$7/100))*(F879/100)</f>
        <v/>
      </c>
      <c r="K879">
        <f>J879*(1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9="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F888-Calc!F18),(Inputs!$B$23+(IF(ArtifactsInput!$M$15,CHOOSE(ArtifactsInput!$N$15+1,25,30,35,40,45,50)/100*(Inputs!$B$11-Inputs!$B$11),0))))/100+(Inputs!$B$23+(IF(ArtifactsInput!$M$15,CHOOSE(ArtifactsInput!$N$15+1,25,30,35,40,45,50)/100*(Inputs!$B$11-Inputs!$B$11),0)))/100)/2</f>
        <v/>
      </c>
      <c r="M879">
        <f>L879*(1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(1-Summary!$B$11)*S879+Summary!$B$11*U879</f>
        <v/>
      </c>
      <c r="P879">
        <f>IF(B907=0,0,O879/B907)</f>
        <v/>
      </c>
      <c r="Q879">
        <f>IFERROR(1/IF(Inputs!$B$38="pvp",15,MAX(0.1,Skills!D9-IF(Skills!E9=TRUE,Inputs!$B$32,0))),0)</f>
        <v/>
      </c>
      <c r="R879">
        <f>IF(AND(Inputs!$B$38&lt;&gt;"pvp",Inputs!$B$43&gt;0),IF(MAX(0,Inputs!$B$43-B904)&lt;=0,0,(INT(MAX(0,Inputs!$B$43-B904)/IF(Inputs!$B$38="pvp",15,MAX(0.1,Skills!D9-IF(Skills!E9=TRUE,Inputs!$B$32,0))))+1)),0)</f>
        <v/>
      </c>
      <c r="S879">
        <f>IF(C879,(H879*N879*IF(AND(Inputs!$B$38&lt;&gt;"pvp",Inputs!$B$43&gt;0),((Skills!F9*((R879-1)*IF(Skills!G9&gt;0,Skills!H9/Skills!G9,1)+IF(Skills!G9&gt;0,MIN(Skills!H9,MAX(0,MAX(0,Inputs!$B$43-B904)-((R879-1)*IF(Inputs!$B$38="pvp",15,MAX(0.1,Skills!D9-IF(Skills!E9=TRUE,Inputs!$B$32,0))))))/Skills!G9,1)))/Inputs!$B$43),G879*Q879))*IF(Inputs!$B$38="pvp",1,1+(Inputs!$B$20+Skills!O9+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879*(1-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9">
        <f>IF(C879,(H879*N879*IF(AND(Inputs!$B$38&lt;&gt;"pvp",Inputs!$B$43&gt;0),((Skills!F9*((R879-1)*IF(Skills!G9&gt;0,Skills!H9/Skills!G9,1)+IF(Skills!G9&gt;0,MIN(Skills!H9,MAX(0,MAX(0,Inputs!$B$43-B904)-((R879-1)*IF(Inputs!$B$38="pvp",15,MAX(0.1,Skills!D9-IF(Skills!E9=TRUE,Inputs!$B$32,0))))))/Skills!G9,1)))/Inputs!$B$43),G879*Q879))*IF(Inputs!$B$38="pvp",1,(1+(Inputs!$B$21+Skills!P9+B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Inputs!$B$3&gt;=113</f>
        <v/>
      </c>
      <c r="D880">
        <f>IF(Skills!C10=1,60+Inputs!$B$25+Inputs!$B$29,IF(Skills!C10=2,90+Inputs!$B$26+Inputs!$B$29,IF(Skills!C10=3,120+Inputs!$B$27+Inputs!$B$29,MAX(0,(Inputs!$B$3-100)*3)+Inputs!$B$28+Inputs!$B$29)))</f>
        <v/>
      </c>
      <c r="E880">
        <f>INDEX(FactorTable!$B$2:$Y$301, MATCH(ROUND(MIN(300,MAX(1,D880)),0), FactorTable!$A$2:$A$301,0), Skills!L10+1)</f>
        <v/>
      </c>
      <c r="F880">
        <f>IF(Skills!M10=TRUE,(Skills!K10/10)*(E880/1000),Skills!K10/10)+Skills!N10</f>
        <v/>
      </c>
      <c r="G880">
        <f>Calc!G10</f>
        <v/>
      </c>
      <c r="H880">
        <f>Calc!H10</f>
        <v/>
      </c>
      <c r="I880">
        <f>IF(Skills!T10&lt;&gt;"",1+(Skills!T10/10)*(Z873/1000)/100,1)</f>
        <v/>
      </c>
      <c r="J880">
        <f>(((Inputs!$B$6+1)*(1+Inputs!$B$7/100))+(((Inputs!$B$12*(1+Inputs!$B$13/100))-(Inputs!$B$12*(1+Inputs!$B$13/100)))+0.25*(Inputs!$B$14-Inputs!$B$14))*(1+Inputs!$B$7/100))*(F880/100)</f>
        <v/>
      </c>
      <c r="K880">
        <f>J880*(1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10="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F888-Calc!F18),(Inputs!$B$23+(IF(ArtifactsInput!$M$15,CHOOSE(ArtifactsInput!$N$15+1,25,30,35,40,45,50)/100*(Inputs!$B$11-Inputs!$B$11),0))))/100+(Inputs!$B$23+(IF(ArtifactsInput!$M$15,CHOOSE(ArtifactsInput!$N$15+1,25,30,35,40,45,50)/100*(Inputs!$B$11-Inputs!$B$11),0)))/100)/2</f>
        <v/>
      </c>
      <c r="M880">
        <f>L880*(1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(1-Summary!$B$11)*S880+Summary!$B$11*U880</f>
        <v/>
      </c>
      <c r="P880">
        <f>IF(B907=0,0,O880/B907)</f>
        <v/>
      </c>
      <c r="Q880">
        <f>IFERROR(1/IF(Inputs!$B$38="pvp",15,MAX(0.1,Skills!D10-IF(Skills!E9=TRUE,Inputs!$B$32,0))),0)</f>
        <v/>
      </c>
      <c r="R880">
        <f>IF(AND(Inputs!$B$38&lt;&gt;"pvp",Inputs!$B$43&gt;0),IF(MAX(0,Inputs!$B$43-B904)&lt;=0,0,(INT(MAX(0,Inputs!$B$43-B904)/IF(Inputs!$B$38="pvp",15,MAX(0.1,Skills!D10-IF(Skills!E9=TRUE,Inputs!$B$32,0))))+1)),0)</f>
        <v/>
      </c>
      <c r="S880">
        <f>IF(C880,(H880*N880*IF(AND(Inputs!$B$38&lt;&gt;"pvp",Inputs!$B$43&gt;0),((Skills!F10*((R880-1)*IF(Skills!G10&gt;0,Skills!H10/Skills!G10,1)+IF(Skills!G10&gt;0,MIN(Skills!H10,MAX(0,MAX(0,Inputs!$B$43-B904)-((R880-1)*IF(Inputs!$B$38="pvp",15,MAX(0.1,Skills!D10-IF(Skills!E9=TRUE,Inputs!$B$32,0))))))/Skills!G10,1)))/Inputs!$B$43),G880*Q880))*IF(Inputs!$B$38="pvp",1,1+(Inputs!$B$20+Skills!O10+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880*(1-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0">
        <f>IF(C880,(H880*N880*IF(AND(Inputs!$B$38&lt;&gt;"pvp",Inputs!$B$43&gt;0),((Skills!F10*((R880-1)*IF(Skills!G10&gt;0,Skills!H10/Skills!G10,1)+IF(Skills!G10&gt;0,MIN(Skills!H10,MAX(0,MAX(0,Inputs!$B$43-B904)-((R880-1)*IF(Inputs!$B$38="pvp",15,MAX(0.1,Skills!D10-IF(Skills!E9=TRUE,Inputs!$B$32,0))))))/Skills!G10,1)))/Inputs!$B$43),G880*Q880))*IF(Inputs!$B$38="pvp",1,(1+(Inputs!$B$21+Skills!P10+B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Inputs!$B$3&gt;=107</f>
        <v/>
      </c>
      <c r="D881">
        <f>IF(Skills!C11=1,60+Inputs!$B$25+Inputs!$B$29,IF(Skills!C11=2,90+Inputs!$B$26+Inputs!$B$29,IF(Skills!C11=3,120+Inputs!$B$27+Inputs!$B$29,MAX(0,(Inputs!$B$3-100)*3)+Inputs!$B$28+Inputs!$B$29)))</f>
        <v/>
      </c>
      <c r="E881">
        <f>INDEX(FactorTable!$B$2:$Y$301, MATCH(ROUND(MIN(300,MAX(1,D881)),0), FactorTable!$A$2:$A$301,0), Skills!L11+1)</f>
        <v/>
      </c>
      <c r="F881">
        <f>IF(Skills!M11=TRUE,(Skills!K11/10)*(E881/1000),Skills!K11/10)+Skills!N11</f>
        <v/>
      </c>
      <c r="G881">
        <f>Calc!G11</f>
        <v/>
      </c>
      <c r="H881">
        <f>Calc!H11</f>
        <v/>
      </c>
      <c r="I881">
        <f>IF(Skills!T11&lt;&gt;"",1+(Skills!T11/10)*(Z873/1000)/100,1)</f>
        <v/>
      </c>
      <c r="J881">
        <f>(((Inputs!$B$6+1)*(1+Inputs!$B$7/100))+(((Inputs!$B$12*(1+Inputs!$B$13/100))-(Inputs!$B$12*(1+Inputs!$B$13/100)))+0.25*(Inputs!$B$14-Inputs!$B$14))*(1+Inputs!$B$7/100))*(F881/100)</f>
        <v/>
      </c>
      <c r="K881">
        <f>J881*(1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11="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F888-Calc!F18),(Inputs!$B$23+(IF(ArtifactsInput!$M$15,CHOOSE(ArtifactsInput!$N$15+1,25,30,35,40,45,50)/100*(Inputs!$B$11-Inputs!$B$11),0))))/100+(Inputs!$B$23+(IF(ArtifactsInput!$M$15,CHOOSE(ArtifactsInput!$N$15+1,25,30,35,40,45,50)/100*(Inputs!$B$11-Inputs!$B$11),0)))/100)/2</f>
        <v/>
      </c>
      <c r="M881">
        <f>L881*(1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(1-Summary!$B$11)*S881+Summary!$B$11*U881</f>
        <v/>
      </c>
      <c r="P881">
        <f>IF(B907=0,0,O881/B907)</f>
        <v/>
      </c>
      <c r="Q881">
        <f>IFERROR(1/IF(Inputs!$B$38="pvp",15,MAX(0.1,Skills!D11-IF(Skills!E11=TRUE,Inputs!$B$32,0))),0)</f>
        <v/>
      </c>
      <c r="R881">
        <f>IF(AND(Inputs!$B$38&lt;&gt;"pvp",Inputs!$B$43&gt;0),IF(MAX(0,Inputs!$B$43-B904)&lt;=0,0,(INT(MAX(0,Inputs!$B$43-B904)/IF(Inputs!$B$38="pvp",15,MAX(0.1,Skills!D11-IF(Skills!E11=TRUE,Inputs!$B$32,0))))+1)),0)</f>
        <v/>
      </c>
      <c r="S881">
        <f>IF(C881,H881*N881*IF(AND(Inputs!$B$38&lt;&gt;"pvp",Inputs!$B$43&gt;0),((Skills!F11*((R881-1)*IF(Skills!G11&gt;0,Skills!H11/Skills!G11,1)+IF(Skills!G11&gt;0,MIN(Skills!H11,MAX(0,MAX(0,Inputs!$B$43-B904)-((R881-1)*IF(Inputs!$B$38="pvp",15,MAX(0.1,Skills!D11-IF(Skills!E11=TRUE,Inputs!$B$32,0))))))/Skills!G11,1)))/Inputs!$B$43),G881*Q881)*0.5*IF(Inputs!$B$38="pvp",1,1+(Inputs!$B$20+Skills!O11+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881*(1-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1">
        <f>IF(C881,H881*N881*IF(AND(Inputs!$B$38&lt;&gt;"pvp",Inputs!$B$43&gt;0),((Skills!F11*((R881-1)*IF(Skills!G11&gt;0,Skills!H11/Skills!G11,1)+IF(Skills!G11&gt;0,MIN(Skills!H11,MAX(0,MAX(0,Inputs!$B$43-B904)-((R881-1)*IF(Inputs!$B$38="pvp",15,MAX(0.1,Skills!D11-IF(Skills!E11=TRUE,Inputs!$B$32,0))))))/Skills!G11,1)))/Inputs!$B$43),G881*Q881)*1*IF(Inputs!$B$38="pvp",1,(1+(Inputs!$B$21+Skills!P11+B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Skills!A12</f>
        <v/>
      </c>
      <c r="B882">
        <f>Skills!B12</f>
        <v/>
      </c>
      <c r="C882">
        <f>Inputs!$B$3&gt;=115</f>
        <v/>
      </c>
      <c r="D882">
        <f>IF(Skills!C12=1,60+Inputs!$B$25+Inputs!$B$29,IF(Skills!C12=2,90+Inputs!$B$26+Inputs!$B$29,IF(Skills!C12=3,120+Inputs!$B$27+Inputs!$B$29,MAX(0,(Inputs!$B$3-100)*3)+Inputs!$B$28+Inputs!$B$29)))</f>
        <v/>
      </c>
      <c r="E882">
        <f>INDEX(FactorTable!$B$2:$Y$301, MATCH(ROUND(MIN(300,MAX(1,D882)),0), FactorTable!$A$2:$A$301,0), Skills!L12+1)</f>
        <v/>
      </c>
      <c r="F882">
        <f>IF(Skills!M12=TRUE,(Skills!K12/10)*(E882/1000),Skills!K12/10)+Skills!N12</f>
        <v/>
      </c>
      <c r="G882">
        <f>Calc!G12</f>
        <v/>
      </c>
      <c r="H882">
        <f>Calc!H12</f>
        <v/>
      </c>
      <c r="I882">
        <f>IF(Skills!T12&lt;&gt;"",1+(Skills!T12/10)*(Z873/1000)/100,1)</f>
        <v/>
      </c>
      <c r="J882">
        <f>(((Inputs!$B$6+1)*(1+Inputs!$B$7/100))+(((Inputs!$B$12*(1+Inputs!$B$13/100))-(Inputs!$B$12*(1+Inputs!$B$13/100)))+0.25*(Inputs!$B$14-Inputs!$B$14))*(1+Inputs!$B$7/100))*(F882/100)</f>
        <v/>
      </c>
      <c r="K882">
        <f>J882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12="CHAIN_LIGHTNING",Inputs!$B$17+((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F888-Calc!F18),(Inputs!$B$23+(IF(ArtifactsInput!$M$15,CHOOSE(ArtifactsInput!$N$15+1,25,30,35,40,45,50)/100*(Inputs!$B$11-Inputs!$B$11),0))))/100+(Inputs!$B$23+(IF(ArtifactsInput!$M$15,CHOOSE(ArtifactsInput!$N$15+1,25,30,35,40,45,50)/100*(Inputs!$B$11-Inputs!$B$11),0)))/100)/2</f>
        <v/>
      </c>
      <c r="M882">
        <f>L882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(1-Summary!$B$11)*S882+Summary!$B$11*U882</f>
        <v/>
      </c>
      <c r="P882">
        <f>IF(B907=0,0,O882/B907)</f>
        <v/>
      </c>
      <c r="Q882">
        <f>IFERROR(1/IF(Inputs!$B$38="pvp",15,MAX(0.1,Skills!D12-IF(Skills!E12=TRUE,Inputs!$B$32,0))),0)</f>
        <v/>
      </c>
      <c r="R882">
        <f>IF(AND(Inputs!$B$38&lt;&gt;"pvp",Inputs!$B$43&gt;0),IF(MAX(0,Inputs!$B$43-B904)&lt;=0,0,(INT(MAX(0,Inputs!$B$43-B904)/IF(Inputs!$B$38="pvp",15,MAX(0.1,Skills!D12-IF(Skills!E12=TRUE,Inputs!$B$32,0))))+1)),0)</f>
        <v/>
      </c>
      <c r="S882">
        <f>IF(C882,(H882*N882*IF(AND(Inputs!$B$38&lt;&gt;"pvp",Inputs!$B$43&gt;0),((Skills!F12*((R882-1)*IF(Skills!G12&gt;0,Skills!H12/Skills!G12,1)+IF(Skills!G12&gt;0,MIN(Skills!H12,MAX(0,MAX(0,Inputs!$B$43-B904)-((R882-1)*IF(Inputs!$B$38="pvp",15,MAX(0.1,Skills!D12-IF(Skills!E12=TRUE,Inputs!$B$32,0))))))/Skills!G12,1)))/Inputs!$B$43),G882*Q882))*IF(Inputs!$B$38="pvp",1,1+(Inputs!$B$20+Skills!O12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882*(1-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F890-Calc!F20)+(F889-Calc!F19))+(ArtifactsInput!$M$24-ArtifactsInput!$M$24)*CHOOSE(ArtifactsInput!$N$24+1,10,12,14,16,18,20)+(IF(AND(Inputs!$B$38&lt;&gt;"pvp",Inputs!$B$43=0),1,IF(IF(Inputs!$B$38="pvp",15,Inputs!$B$43)-(B904)&lt;=0,1,MAX(0,IF(Inputs!$B$38="pvp",15,Inputs!$B$43)-MAX(5,B904))/(IF(Inputs!$B$38="pvp",15,Inputs!$B$43)-(B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2">
        <f>IF(C882,(H882*N882*IF(AND(Inputs!$B$38&lt;&gt;"pvp",Inputs!$B$43&gt;0),((Skills!F12*((R882-1)*IF(Skills!G12&gt;0,Skills!H12/Skills!G12,1)+IF(Skills!G12&gt;0,MIN(Skills!H12,MAX(0,MAX(0,Inputs!$B$43-B904)-((R882-1)*IF(Inputs!$B$38="pvp",15,MAX(0.1,Skills!D12-IF(Skills!E12=TRUE,Inputs!$B$32,0))))))/Skills!G12,1)))/Inputs!$B$43),G882*Q882))*IF(Inputs!$B$38="pvp",1,(1+(Inputs!$B$21+Skills!P12+B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Inputs!$B$3&gt;=49</f>
        <v/>
      </c>
      <c r="D883">
        <f>IF(Skills!C13=1,60+Inputs!$B$25+Inputs!$B$29,IF(Skills!C13=2,90+Inputs!$B$26+Inputs!$B$29,IF(Skills!C13=3,120+Inputs!$B$27+Inputs!$B$29,MAX(0,(Inputs!$B$3-100)*3)+Inputs!$B$28+Inputs!$B$29)))</f>
        <v/>
      </c>
      <c r="E883">
        <f>INDEX(FactorTable!$B$2:$Y$301, MATCH(ROUND(MIN(300,MAX(1,D883)),0), FactorTable!$A$2:$A$301,0), Skills!L13+1)</f>
        <v/>
      </c>
      <c r="F883">
        <f>IF(Skills!M13=TRUE,(Skills!K13/10)*(E883/1000),Skills!K13/10)+Skills!N13</f>
        <v/>
      </c>
      <c r="G883">
        <f>Calc!G13</f>
        <v/>
      </c>
      <c r="H883">
        <f>Calc!H13</f>
        <v/>
      </c>
      <c r="I883">
        <f>IF(Skills!T13&lt;&gt;"",1+(Skills!T13/10)*(Z873/1000)/100,1)</f>
        <v/>
      </c>
      <c r="J883" t="inlineStr"/>
      <c r="K883" t="inlineStr"/>
      <c r="L883" t="inlineStr"/>
      <c r="M883" t="inlineStr"/>
      <c r="N883" t="inlineStr"/>
      <c r="O883">
        <f>(1-Summary!$B$11)*S883+Summary!$B$11*U883</f>
        <v/>
      </c>
      <c r="P883">
        <f>IF(B907=0,0,O883/B907)</f>
        <v/>
      </c>
      <c r="Q883">
        <f>IFERROR(1/IF(Inputs!$B$38="pvp",15,MAX(0.1,Skills!D13-IF(Skills!E13=TRUE,Inputs!$B$32,0))),0)</f>
        <v/>
      </c>
      <c r="R883" t="n">
        <v>0</v>
      </c>
      <c r="S883" t="n">
        <v>0</v>
      </c>
      <c r="U883" t="n">
        <v>0</v>
      </c>
    </row>
    <row r="884">
      <c r="A884">
        <f>Skills!A14</f>
        <v/>
      </c>
      <c r="B884">
        <f>Skills!B14</f>
        <v/>
      </c>
      <c r="C884">
        <f>Inputs!$B$3&gt;=72</f>
        <v/>
      </c>
      <c r="D884">
        <f>IF(Skills!C14=1,60+Inputs!$B$25+Inputs!$B$29,IF(Skills!C14=2,90+Inputs!$B$26+Inputs!$B$29,IF(Skills!C14=3,120+Inputs!$B$27+Inputs!$B$29,MAX(0,(Inputs!$B$3-100)*3)+Inputs!$B$28+Inputs!$B$29)))</f>
        <v/>
      </c>
      <c r="E884">
        <f>INDEX(FactorTable!$B$2:$Y$301, MATCH(ROUND(MIN(300,MAX(1,D884)),0), FactorTable!$A$2:$A$301,0), Skills!L14+1)</f>
        <v/>
      </c>
      <c r="F884">
        <f>IF(Skills!M14=TRUE,(Skills!K14/10)*(E884/1000),Skills!K14/10)+Skills!N14</f>
        <v/>
      </c>
      <c r="G884">
        <f>Calc!G14</f>
        <v/>
      </c>
      <c r="H884">
        <f>Calc!H14</f>
        <v/>
      </c>
      <c r="I884">
        <f>IF(Skills!T14&lt;&gt;"",1+(Skills!T14/10)*(Z873/1000)/100,1)</f>
        <v/>
      </c>
      <c r="J884" t="inlineStr"/>
      <c r="K884" t="inlineStr"/>
      <c r="L884" t="inlineStr"/>
      <c r="M884" t="inlineStr"/>
      <c r="N884" t="inlineStr"/>
      <c r="O884">
        <f>(1-Summary!$B$11)*S884+Summary!$B$11*U884</f>
        <v/>
      </c>
      <c r="P884">
        <f>IF(B907=0,0,O884/B907)</f>
        <v/>
      </c>
      <c r="Q884">
        <f>IFERROR(1/IF(Inputs!$B$38="pvp",15,MAX(0.1,Skills!D14-IF(Skills!E14=TRUE,Inputs!$B$32,0))),0)</f>
        <v/>
      </c>
      <c r="R884" t="n">
        <v>0</v>
      </c>
      <c r="S884" t="n">
        <v>0</v>
      </c>
      <c r="U884" t="n">
        <v>0</v>
      </c>
    </row>
    <row r="885">
      <c r="A885">
        <f>Skills!A15</f>
        <v/>
      </c>
      <c r="B885">
        <f>Skills!B15</f>
        <v/>
      </c>
      <c r="C885">
        <f>Inputs!$B$3&gt;=75</f>
        <v/>
      </c>
      <c r="D885">
        <f>IF(Skills!C15=1,60+Inputs!$B$25+Inputs!$B$29,IF(Skills!C15=2,90+Inputs!$B$26+Inputs!$B$29,IF(Skills!C15=3,120+Inputs!$B$27+Inputs!$B$29,MAX(0,(Inputs!$B$3-100)*3)+Inputs!$B$28+Inputs!$B$29)))</f>
        <v/>
      </c>
      <c r="E885">
        <f>INDEX(FactorTable!$B$2:$Y$301, MATCH(ROUND(MIN(300,MAX(1,D885)),0), FactorTable!$A$2:$A$301,0), Skills!L15+1)</f>
        <v/>
      </c>
      <c r="F885">
        <f>IF(Skills!M15=TRUE,(Skills!K15/10)*(E885/1000),Skills!K15/10)+Skills!N15</f>
        <v/>
      </c>
      <c r="G885">
        <f>Calc!G15</f>
        <v/>
      </c>
      <c r="H885">
        <f>Calc!H15</f>
        <v/>
      </c>
      <c r="I885">
        <f>IF(Skills!T15&lt;&gt;"",1+(Skills!T15/10)*(Z873/1000)/100,1)</f>
        <v/>
      </c>
      <c r="J885" t="inlineStr"/>
      <c r="K885" t="inlineStr"/>
      <c r="L885" t="inlineStr"/>
      <c r="M885" t="inlineStr"/>
      <c r="N885" t="inlineStr"/>
      <c r="O885">
        <f>(1-Summary!$B$11)*S885+Summary!$B$11*U885</f>
        <v/>
      </c>
      <c r="P885">
        <f>IF(B907=0,0,O885/B907)</f>
        <v/>
      </c>
      <c r="Q885">
        <f>IFERROR(1/IF(Inputs!$B$38="pvp",15,MAX(0.1,Skills!D15-IF(Skills!E15=TRUE,Inputs!$B$32,0))),0)</f>
        <v/>
      </c>
      <c r="R885" t="n">
        <v>0</v>
      </c>
      <c r="S885" t="n">
        <v>0</v>
      </c>
      <c r="U885" t="n">
        <v>0</v>
      </c>
    </row>
    <row r="886">
      <c r="A886">
        <f>Skills!A16</f>
        <v/>
      </c>
      <c r="B886">
        <f>Skills!B16</f>
        <v/>
      </c>
      <c r="C886">
        <f>Inputs!$B$3&gt;=110</f>
        <v/>
      </c>
      <c r="D886">
        <f>IF(Skills!C16=1,60+Inputs!$B$25+Inputs!$B$29,IF(Skills!C16=2,90+Inputs!$B$26+Inputs!$B$29,IF(Skills!C16=3,120+Inputs!$B$27+Inputs!$B$29,MAX(0,(Inputs!$B$3-100)*3)+Inputs!$B$28+Inputs!$B$29)))</f>
        <v/>
      </c>
      <c r="E886">
        <f>INDEX(FactorTable!$B$2:$Y$301, MATCH(ROUND(MIN(300,MAX(1,D886)),0), FactorTable!$A$2:$A$301,0), Skills!L16+1)</f>
        <v/>
      </c>
      <c r="F886">
        <f>(Skills!K16/10)*(E886/1000)*64/45+Skills!N16</f>
        <v/>
      </c>
      <c r="G886">
        <f>Calc!G16</f>
        <v/>
      </c>
      <c r="H886">
        <f>Calc!H16</f>
        <v/>
      </c>
      <c r="I886">
        <f>IF(Skills!T16&lt;&gt;"",1+(Skills!T16/10)*(Z873/1000)/100,1)</f>
        <v/>
      </c>
      <c r="J886" t="inlineStr"/>
      <c r="K886" t="inlineStr"/>
      <c r="L886" t="inlineStr"/>
      <c r="M886" t="inlineStr"/>
      <c r="N886" t="inlineStr"/>
      <c r="O886">
        <f>(1-Summary!$B$11)*S886+Summary!$B$11*U886</f>
        <v/>
      </c>
      <c r="P886">
        <f>IF(B907=0,0,O886/B907)</f>
        <v/>
      </c>
      <c r="Q886">
        <f>IFERROR(1/IF(Inputs!$B$38="pvp",15,MAX(0.1,Skills!D16-IF(Skills!E16=TRUE,Inputs!$B$32,0))),0)</f>
        <v/>
      </c>
      <c r="R886">
        <f>IF(AND(Inputs!$B$38&lt;&gt;"pvp",Inputs!$B$43&gt;0),IF(Inputs!$B$43&lt;=0,0,(INT(Inputs!$B$43/IF(Inputs!$B$38="pvp",15,MAX(0.1,Skills!D16-IF(Skills!E16=TRUE,Inputs!$B$32,0))))+1)),0)</f>
        <v/>
      </c>
      <c r="S886" t="n">
        <v>0</v>
      </c>
      <c r="U886" t="n">
        <v>0</v>
      </c>
    </row>
    <row r="887">
      <c r="A887">
        <f>Skills!A17</f>
        <v/>
      </c>
      <c r="B887">
        <f>Skills!B17</f>
        <v/>
      </c>
      <c r="C887">
        <f>Inputs!$B$3&gt;=33</f>
        <v/>
      </c>
      <c r="D887">
        <f>IF(Skills!C17=1,60+Inputs!$B$25+Inputs!$B$29,IF(Skills!C17=2,90+Inputs!$B$26+Inputs!$B$29,IF(Skills!C17=3,120+Inputs!$B$27+Inputs!$B$29,MAX(0,(Inputs!$B$3-100)*3)+Inputs!$B$28+Inputs!$B$29)))</f>
        <v/>
      </c>
      <c r="E887">
        <f>INDEX(FactorTable!$B$2:$Y$301, MATCH(ROUND(MIN(300,MAX(1,D887)),0), FactorTable!$A$2:$A$301,0), Skills!L17+1)</f>
        <v/>
      </c>
      <c r="F887">
        <f>IF(Skills!M17=TRUE,(Skills!K17/10)*(E887/1000),Skills!K17/10)+Skills!N17</f>
        <v/>
      </c>
      <c r="G887">
        <f>Calc!G17</f>
        <v/>
      </c>
      <c r="H887">
        <f>Calc!H17</f>
        <v/>
      </c>
      <c r="I887">
        <f>IF(Skills!T17&lt;&gt;"",1+(Skills!T17/10)*(Z873/1000)/100,1)</f>
        <v/>
      </c>
      <c r="J887" t="inlineStr"/>
      <c r="K887" t="inlineStr"/>
      <c r="L887" t="inlineStr"/>
      <c r="M887" t="inlineStr"/>
      <c r="N887" t="inlineStr"/>
      <c r="O887">
        <f>(1-Summary!$B$11)*S887+Summary!$B$11*U887</f>
        <v/>
      </c>
      <c r="P887">
        <f>IF(B907=0,0,O887/B907)</f>
        <v/>
      </c>
      <c r="Q887">
        <f>IFERROR(1/IF(Inputs!$B$38="pvp",15,MAX(0.1,Skills!D17-IF(Skills!E17=TRUE,Inputs!$B$32,0))),0)</f>
        <v/>
      </c>
      <c r="R887" t="n">
        <v>0</v>
      </c>
      <c r="S887" t="n">
        <v>0</v>
      </c>
      <c r="U887" t="n">
        <v>0</v>
      </c>
    </row>
    <row r="888">
      <c r="A888">
        <f>Skills!A18</f>
        <v/>
      </c>
      <c r="B888">
        <f>Skills!B18</f>
        <v/>
      </c>
      <c r="C888">
        <f>Inputs!$B$3&gt;=43</f>
        <v/>
      </c>
      <c r="D888">
        <f>IF(Skills!C18=1,60+Inputs!$B$25+Inputs!$B$29,IF(Skills!C18=2,90+Inputs!$B$26+Inputs!$B$29,IF(Skills!C18=3,120+Inputs!$B$27+Inputs!$B$29,MAX(0,(Inputs!$B$3-100)*3)+Inputs!$B$28+Inputs!$B$29)))</f>
        <v/>
      </c>
      <c r="E888">
        <f>INDEX(FactorTable!$B$2:$Y$301, MATCH(ROUND(MIN(300,MAX(1,D888)),0), FactorTable!$A$2:$A$301,0), Skills!L18+1)</f>
        <v/>
      </c>
      <c r="F888">
        <f>IF(Skills!M18=TRUE,(Skills!K18/10)*(E888/1000),Skills!K18/10)+Skills!N18</f>
        <v/>
      </c>
      <c r="G888">
        <f>Calc!G18</f>
        <v/>
      </c>
      <c r="H888">
        <f>Calc!H18</f>
        <v/>
      </c>
      <c r="I888">
        <f>IF(Skills!T18&lt;&gt;"",1+(Skills!T18/10)*(Z873/1000)/100,1)</f>
        <v/>
      </c>
      <c r="J888" t="inlineStr"/>
      <c r="K888" t="inlineStr"/>
      <c r="L888" t="inlineStr"/>
      <c r="M888" t="inlineStr"/>
      <c r="N888" t="inlineStr"/>
      <c r="O888">
        <f>(1-Summary!$B$11)*S888+Summary!$B$11*U888</f>
        <v/>
      </c>
      <c r="P888">
        <f>IF(B907=0,0,O888/B907)</f>
        <v/>
      </c>
      <c r="Q888">
        <f>IFERROR(1/IF(Inputs!$B$38="pvp",15,MAX(0.1,Skills!D18-IF(Skills!E18=TRUE,Inputs!$B$32,0))),0)</f>
        <v/>
      </c>
      <c r="R888" t="n">
        <v>0</v>
      </c>
      <c r="S888" t="n">
        <v>0</v>
      </c>
      <c r="U888" t="n">
        <v>0</v>
      </c>
    </row>
    <row r="889">
      <c r="A889">
        <f>Skills!A19</f>
        <v/>
      </c>
      <c r="B889">
        <f>Skills!B19</f>
        <v/>
      </c>
      <c r="C889">
        <f>Inputs!$B$3&gt;=50</f>
        <v/>
      </c>
      <c r="D889">
        <f>IF(Skills!C19=1,60+Inputs!$B$25+Inputs!$B$29,IF(Skills!C19=2,90+Inputs!$B$26+Inputs!$B$29,IF(Skills!C19=3,120+Inputs!$B$27+Inputs!$B$29,MAX(0,(Inputs!$B$3-100)*3)+Inputs!$B$28+Inputs!$B$29)))</f>
        <v/>
      </c>
      <c r="E889">
        <f>INDEX(FactorTable!$B$2:$Y$301, MATCH(ROUND(MIN(300,MAX(1,D889)),0), FactorTable!$A$2:$A$301,0), Skills!L19+1)</f>
        <v/>
      </c>
      <c r="F889">
        <f>IF(Skills!M19=TRUE,(Skills!K19/10)*(E889/1000),Skills!K19/10)+Skills!N19</f>
        <v/>
      </c>
      <c r="G889">
        <f>Calc!G19</f>
        <v/>
      </c>
      <c r="H889">
        <f>Calc!H19</f>
        <v/>
      </c>
      <c r="I889">
        <f>IF(Skills!T19&lt;&gt;"",1+(Skills!T19/10)*(Z873/1000)/100,1)</f>
        <v/>
      </c>
      <c r="J889" t="inlineStr"/>
      <c r="K889" t="inlineStr"/>
      <c r="L889" t="inlineStr"/>
      <c r="M889" t="inlineStr"/>
      <c r="N889" t="inlineStr"/>
      <c r="O889">
        <f>(1-Summary!$B$11)*S889+Summary!$B$11*U889</f>
        <v/>
      </c>
      <c r="P889">
        <f>IF(B907=0,0,O889/B907)</f>
        <v/>
      </c>
      <c r="Q889">
        <f>IFERROR(1/IF(Inputs!$B$38="pvp",15,MAX(0.1,Skills!D19-IF(Skills!E19=TRUE,Inputs!$B$32,0))),0)</f>
        <v/>
      </c>
      <c r="R889" t="n">
        <v>0</v>
      </c>
      <c r="S889" t="n">
        <v>0</v>
      </c>
      <c r="U889" t="n">
        <v>0</v>
      </c>
    </row>
    <row r="890">
      <c r="A890">
        <f>Skills!A20</f>
        <v/>
      </c>
      <c r="B890">
        <f>Skills!B20</f>
        <v/>
      </c>
      <c r="C890">
        <f>Inputs!$B$3&gt;=74</f>
        <v/>
      </c>
      <c r="D890">
        <f>IF(Skills!C20=1,60+Inputs!$B$25+Inputs!$B$29,IF(Skills!C20=2,90+Inputs!$B$26+Inputs!$B$29,IF(Skills!C20=3,120+Inputs!$B$27+Inputs!$B$29,MAX(0,(Inputs!$B$3-100)*3)+Inputs!$B$28+Inputs!$B$29)))</f>
        <v/>
      </c>
      <c r="E890">
        <f>INDEX(FactorTable!$B$2:$Y$301, MATCH(ROUND(MIN(300,MAX(1,D890)),0), FactorTable!$A$2:$A$301,0), Skills!L20+1)</f>
        <v/>
      </c>
      <c r="F890">
        <f>IF(Skills!M20=TRUE,(Skills!K20/10)*(E890/1000),Skills!K20/10)+Skills!N20</f>
        <v/>
      </c>
      <c r="G890">
        <f>Calc!G20</f>
        <v/>
      </c>
      <c r="H890">
        <f>Calc!H20</f>
        <v/>
      </c>
      <c r="I890">
        <f>IF(Skills!T20&lt;&gt;"",1+(Skills!T20/10)*(Z873/1000)/100,1)</f>
        <v/>
      </c>
      <c r="J890" t="inlineStr"/>
      <c r="K890" t="inlineStr"/>
      <c r="L890" t="inlineStr"/>
      <c r="M890" t="inlineStr"/>
      <c r="N890" t="inlineStr"/>
      <c r="O890">
        <f>(1-Summary!$B$11)*S890+Summary!$B$11*U890</f>
        <v/>
      </c>
      <c r="P890">
        <f>IF(B907=0,0,O890/B907)</f>
        <v/>
      </c>
      <c r="Q890">
        <f>IFERROR(1/IF(Inputs!$B$38="pvp",15,MAX(0.1,Skills!D20-IF(Skills!E20=TRUE,Inputs!$B$32,0))),0)</f>
        <v/>
      </c>
      <c r="R890" t="n">
        <v>0</v>
      </c>
      <c r="S890" t="n">
        <v>0</v>
      </c>
      <c r="U890" t="n">
        <v>0</v>
      </c>
    </row>
    <row r="891">
      <c r="A891">
        <f>Skills!A21</f>
        <v/>
      </c>
      <c r="B891">
        <f>Skills!B21</f>
        <v/>
      </c>
      <c r="C891">
        <f>Inputs!$B$3&gt;=74</f>
        <v/>
      </c>
      <c r="D891">
        <f>IF(Skills!C21=1,60+Inputs!$B$25+Inputs!$B$29,IF(Skills!C21=2,90+Inputs!$B$26+Inputs!$B$29,IF(Skills!C21=3,120+Inputs!$B$27+Inputs!$B$29,MAX(0,(Inputs!$B$3-100)*3)+Inputs!$B$28+Inputs!$B$29)))</f>
        <v/>
      </c>
      <c r="E891">
        <f>INDEX(FactorTable!$B$2:$Y$301, MATCH(ROUND(MIN(300,MAX(1,D891)),0), FactorTable!$A$2:$A$301,0), Skills!L21+1)</f>
        <v/>
      </c>
      <c r="F891">
        <f>IF(Skills!M21=TRUE,(Skills!K21/10)*(E891/1000),Skills!K21/10)+Skills!N21</f>
        <v/>
      </c>
      <c r="G891">
        <f>Calc!G21</f>
        <v/>
      </c>
      <c r="H891">
        <f>Calc!H21</f>
        <v/>
      </c>
      <c r="I891">
        <f>IF(Skills!T21&lt;&gt;"",1+(Skills!T21/10)*(Z873/1000)/100,1)</f>
        <v/>
      </c>
      <c r="J891" t="inlineStr"/>
      <c r="K891" t="inlineStr"/>
      <c r="L891" t="inlineStr"/>
      <c r="M891" t="inlineStr"/>
      <c r="N891" t="inlineStr"/>
      <c r="O891">
        <f>(1-Summary!$B$11)*S891+Summary!$B$11*U891</f>
        <v/>
      </c>
      <c r="P891">
        <f>IF(B907=0,0,O891/B907)</f>
        <v/>
      </c>
      <c r="Q891">
        <f>IFERROR(1/IF(Inputs!$B$38="pvp",15,MAX(0.1,Skills!D21-IF(Skills!E21=TRUE,Inputs!$B$32,0))),0)</f>
        <v/>
      </c>
      <c r="R891" t="n">
        <v>0</v>
      </c>
      <c r="S891" t="n">
        <v>0</v>
      </c>
      <c r="U891" t="n">
        <v>0</v>
      </c>
    </row>
    <row r="892">
      <c r="A892">
        <f>Skills!A22</f>
        <v/>
      </c>
      <c r="B892">
        <f>Skills!B22</f>
        <v/>
      </c>
      <c r="C892">
        <f>Inputs!$B$3&gt;=117</f>
        <v/>
      </c>
      <c r="D892">
        <f>IF(Skills!C22=1,60+Inputs!$B$25+Inputs!$B$29,IF(Skills!C22=2,90+Inputs!$B$26+Inputs!$B$29,IF(Skills!C22=3,120+Inputs!$B$27+Inputs!$B$29,MAX(0,(Inputs!$B$3-100)*3)+Inputs!$B$28+Inputs!$B$29)))</f>
        <v/>
      </c>
      <c r="E892">
        <f>INDEX(FactorTable!$B$2:$Y$301, MATCH(ROUND(MIN(300,MAX(1,D892)),0), FactorTable!$A$2:$A$301,0), Skills!L22+1)</f>
        <v/>
      </c>
      <c r="F892">
        <f>IF(Skills!M22=TRUE,(Skills!K22/10)*(E892/1000),Skills!K22/10)+Skills!N22</f>
        <v/>
      </c>
      <c r="G892">
        <f>Calc!G22</f>
        <v/>
      </c>
      <c r="H892">
        <f>Calc!H22</f>
        <v/>
      </c>
      <c r="I892">
        <f>IF(Skills!T22&lt;&gt;"",1+(Skills!T22/10)*(Z873/1000)/100,1)</f>
        <v/>
      </c>
      <c r="J892" t="inlineStr"/>
      <c r="K892" t="inlineStr"/>
      <c r="L892" t="inlineStr"/>
      <c r="M892" t="inlineStr"/>
      <c r="N892" t="inlineStr"/>
      <c r="O892">
        <f>(1-Summary!$B$11)*S892+Summary!$B$11*U892</f>
        <v/>
      </c>
      <c r="P892">
        <f>IF(B907=0,0,O892/B907)</f>
        <v/>
      </c>
      <c r="Q892">
        <f>IFERROR(1/IF(Inputs!$B$38="pvp",15,MAX(0.1,Skills!D22-IF(Skills!E22=TRUE,Inputs!$B$32,0))),0)</f>
        <v/>
      </c>
      <c r="R892" t="n">
        <v>0</v>
      </c>
      <c r="S892" t="n">
        <v>0</v>
      </c>
      <c r="U892" t="n">
        <v>0</v>
      </c>
    </row>
    <row r="893">
      <c r="A893">
        <f>Skills!A23</f>
        <v/>
      </c>
      <c r="B893">
        <f>Skills!B23</f>
        <v/>
      </c>
      <c r="C893">
        <f>Inputs!$B$3&gt;=120</f>
        <v/>
      </c>
      <c r="D893">
        <f>IF(Skills!C23=1,60+Inputs!$B$25+Inputs!$B$29,IF(Skills!C23=2,90+Inputs!$B$26+Inputs!$B$29,IF(Skills!C23=3,120+Inputs!$B$27+Inputs!$B$29,MAX(0,(Inputs!$B$3-100)*3)+Inputs!$B$28+Inputs!$B$29)))</f>
        <v/>
      </c>
      <c r="E893">
        <f>INDEX(FactorTable!$B$2:$Y$301, MATCH(ROUND(MIN(300,MAX(1,D893)),0), FactorTable!$A$2:$A$301,0), Skills!L23+1)</f>
        <v/>
      </c>
      <c r="F893">
        <f>IF(Skills!M23=TRUE,(Skills!K23/10)*(E893/1000),Skills!K23/10)+Skills!N23</f>
        <v/>
      </c>
      <c r="G893">
        <f>Calc!G23</f>
        <v/>
      </c>
      <c r="H893">
        <f>Calc!H23</f>
        <v/>
      </c>
      <c r="I893">
        <f>IF(Skills!T23&lt;&gt;"",1+(Skills!T23/10)*(Z873/1000)/100,1)</f>
        <v/>
      </c>
      <c r="J893" t="inlineStr"/>
      <c r="K893" t="inlineStr"/>
      <c r="L893" t="inlineStr"/>
      <c r="M893" t="inlineStr"/>
      <c r="N893" t="inlineStr"/>
      <c r="O893">
        <f>(1-Summary!$B$11)*S893+Summary!$B$11*U893</f>
        <v/>
      </c>
      <c r="P893">
        <f>IF(B907=0,0,O893/B907)</f>
        <v/>
      </c>
      <c r="Q893">
        <f>IFERROR(1/IF(Inputs!$B$38="pvp",15,MAX(0.1,Skills!D23-IF(Skills!E23=TRUE,Inputs!$B$32,0))),0)</f>
        <v/>
      </c>
      <c r="R893" t="n">
        <v>0</v>
      </c>
      <c r="S893" t="n">
        <v>0</v>
      </c>
      <c r="U893" t="n">
        <v>0</v>
      </c>
    </row>
    <row r="894">
      <c r="A894">
        <f>Skills!A24</f>
        <v/>
      </c>
      <c r="B894">
        <f>Skills!B24</f>
        <v/>
      </c>
      <c r="C894">
        <f>TRUE</f>
        <v/>
      </c>
      <c r="D894">
        <f>IF(Skills!C24=1,60+Inputs!$B$25+Inputs!$B$29,IF(Skills!C24=2,90+Inputs!$B$26+Inputs!$B$29,IF(Skills!C24=3,120+Inputs!$B$27+Inputs!$B$29,MAX(0,(Inputs!$B$3-100)*3)+Inputs!$B$28+Inputs!$B$29)))</f>
        <v/>
      </c>
      <c r="E894">
        <f>INDEX(FactorTable!$B$2:$Y$301, MATCH(ROUND(MIN(300,MAX(1,D894)),0), FactorTable!$A$2:$A$301,0), Skills!L24+1)</f>
        <v/>
      </c>
      <c r="F894">
        <f>IF(Skills!M24=TRUE,(Skills!K24/10)*(E894/1000),Skills!K24/10)+Skills!N24</f>
        <v/>
      </c>
      <c r="G894">
        <f>Calc!G24</f>
        <v/>
      </c>
      <c r="H894">
        <f>Calc!H24</f>
        <v/>
      </c>
      <c r="I894">
        <f>IF(Skills!T24&lt;&gt;"",1+(Skills!T24/10)*(Z873/1000)/100,1)</f>
        <v/>
      </c>
      <c r="J894" t="inlineStr"/>
      <c r="K894" t="inlineStr"/>
      <c r="L894" t="inlineStr"/>
      <c r="M894" t="inlineStr"/>
      <c r="N894" t="inlineStr"/>
      <c r="O894">
        <f>(1-Summary!$B$11)*S894+Summary!$B$11*U894</f>
        <v/>
      </c>
      <c r="P894">
        <f>IF(B907=0,0,O894/B907)</f>
        <v/>
      </c>
      <c r="Q894">
        <f>IFERROR(1/IF(Inputs!$B$38="pvp",15,MAX(0.1,Skills!D24-IF(Skills!E24=TRUE,Inputs!$B$32,0))),0)</f>
        <v/>
      </c>
      <c r="R894">
        <f>IF(AND(Inputs!$B$38&lt;&gt;"pvp",Inputs!$B$43&gt;0),IF(Inputs!$B$43&lt;=0,0,(INT(Inputs!$B$43/IF(Inputs!$B$38="pvp",15,MAX(0.1,Skills!D24-IF(Skills!E24=TRUE,Inputs!$B$32,0))))+1)),0)</f>
        <v/>
      </c>
      <c r="S894" t="n">
        <v>0</v>
      </c>
      <c r="U894" t="n">
        <v>0</v>
      </c>
    </row>
    <row r="897">
      <c r="A897" t="inlineStr">
        <is>
          <t>Average Buff Multiplier (Magic Guard + Meditation + Artifact Attack%, summed; then Infinity)</t>
        </is>
      </c>
      <c r="B897">
        <f>(1+(IF(C873=TRUE,F873*IF(AND(Inputs!$B$38&lt;&gt;"pvp",Inputs!$B$43&gt;0),(((R873-1)*(Skills!S3*(1+(Inputs!$B$34)/100))+MIN((Skills!S3*(1+(Inputs!$B$34)/100)),MAX(0,Inputs!$B$43-((R873-1)*Skills!D3))))/Inputs!$B$43),IF(Inputs!$B$38="pvp",MIN((Skills!S3*(1+(Inputs!$B$34)/100)),15)/15,(Skills!S3*(1+(Inputs!$B$34)/100))/Skills!D3)),0)+IF(C874=TRUE,F874*IF(AND(Inputs!$B$38&lt;&gt;"pvp",Inputs!$B$43&gt;0),(((R874-1)*(Skills!S4*(1+(Inputs!$B$34)/100))+MIN((Skills!S4*(1+(Inputs!$B$34)/100)),MAX(0,Inputs!$B$43-((R874-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886=TRUE,(1+F886*IF(AND(Inputs!$B$38&lt;&gt;"pvp",Inputs!$B$43&gt;0),(((R886-1)*(Skills!S16*(1+(Inputs!$B$34)/100))+MIN((Skills!S16*(1+(Inputs!$B$34)/100)),MAX(0,Inputs!$B$43-((R886-1)*Skills!D16))))/Inputs!$B$43),IF(Inputs!$B$38="pvp",MIN((Skills!S16*(1+(Inputs!$B$34)/100)),15)/15,(Skills!S16*(1+(Inputs!$B$34)/100))/Skills!D16))/100),1)</f>
        <v/>
      </c>
    </row>
    <row r="898">
      <c r="A898" t="inlineStr">
        <is>
          <t>Monster Damage Taken Bonus % (Freezing Breath - Weaken + Elemental Reset + Artifact Enemy Damage Taken, summed)</t>
        </is>
      </c>
      <c r="B898">
        <f>IF(Inputs!$B$3&gt;=118,15*IF(Inputs!$B$38="pvp",MIN((30*(1+(Inputs!$B$34)/100)),15)/15,(30*(1+(Inputs!$B$34)/100))/Skills!D8),0)+IF(C884=TRUE,F884,0)+(IF(AND(ArtifactsInput!$M$35,Inputs!$B$4&lt;&gt;"Chapter Hunt"),CHOOSE(ArtifactsInput!$N$35+1,15,18,21,24,27,30)*(1-EXP(-(0.2*B901)*5)),0)+IF(AND(ArtifactsInput!$M$22,Inputs!$B$4&lt;&gt;"Chapter Hunt"),CHOOSE(ArtifactsInput!$N$22+1,10,12,14,16,18,20)*((0*(((0.15*B901*5))^0/1)+1*(((0.15*B901*5))^1/1)+2*(((0.15*B901*5))^2/2)+3*(((0.15*B901*5))^3/6)+4*(((0.15*B901*5))^4/24)+5*(((0.15*B901*5))^5/120))/((((0.15*B901*5))^0/1)+(((0.15*B901*5))^1/1)+(((0.15*B901*5))^2/2)+(((0.15*B901*5))^3/6)+(((0.15*B901*5))^4/24)+(((0.15*B901*5))^5/120))),0))</f>
        <v/>
      </c>
    </row>
    <row r="899">
      <c r="A899" t="inlineStr">
        <is>
          <t>Damage % Bonus (Frozen Break + Frost Clutch, flat)</t>
        </is>
      </c>
      <c r="B899">
        <f>IF(Inputs!$B$3&gt;=66,15,0)+IF(Inputs!$B$3&gt;=98,10,0)+IF(Inputs!$B$3&gt;=125,20,0)</f>
        <v/>
      </c>
    </row>
    <row r="900">
      <c r="A900" t="inlineStr">
        <is>
          <t>Attack Speed Bonus % (MP Eater - MP Boost, always-on + Nimble Feet, duty-cycle averaged)</t>
        </is>
      </c>
      <c r="B900">
        <f>IF(C883=TRUE,F883+(F887-Calc!F17),0)+((C894=TRUE)*F894*IF(AND(Inputs!$B$38&lt;&gt;"pvp",Inputs!$B$43&gt;0),(((R894-1)*(Skills!S24*(1+(Inputs!$B$34)/100))+MIN((Skills!S24*(1+(Inputs!$B$34)/100)),MAX(0,Inputs!$B$43-((R894-1)*Skills!D24))))/Inputs!$B$43),IF(Inputs!$B$38="pvp",MIN((Skills!S24*(1+(Inputs!$B$34)/100)),15)/15,(Skills!S24*(1+(Inputs!$B$34)/100))/Skills!D24)))</f>
        <v/>
      </c>
    </row>
    <row r="901">
      <c r="A901" t="inlineStr">
        <is>
          <t>Actions Per Second</t>
        </is>
      </c>
      <c r="B901">
        <f>1+MIN(150,150*(1-(1-(Inputs!$B$11+(ArtifactsInput!$M$15-ArtifactsInput!$M$15)*CHOOSE(ArtifactsInput!$N$15+1,8,9.6,11.2,12.8,14.4,16))/150)*(1-B900/150)))/100</f>
        <v/>
      </c>
    </row>
    <row r="902">
      <c r="A902" t="inlineStr">
        <is>
          <t>Skill + Buff Cast Rate</t>
        </is>
      </c>
      <c r="B902">
        <f>IF(AND(Inputs!$B$38&lt;&gt;"pvp",Inputs!$B$43&gt;0),SUMPRODUCT((Skills!E2:E24=TRUE)*(C872:C894=TRUE)*R872:R894)/Inputs!$B$43,SUMPRODUCT((Skills!E2:E24=TRUE)*(C872:C894=TRUE)*Q872:Q894))</f>
        <v/>
      </c>
    </row>
    <row r="903">
      <c r="A903" t="inlineStr">
        <is>
          <t>Chain Lightning Casts Per Second</t>
        </is>
      </c>
      <c r="B903">
        <f>MAX(0,B901-B902)</f>
        <v/>
      </c>
    </row>
    <row r="904">
      <c r="A904" t="inlineStr">
        <is>
          <t>Buff-Casting Startup Delay (s, fixed-duration only)</t>
        </is>
      </c>
      <c r="B904">
        <f>IF(AND(Inputs!$B$38&lt;&gt;"pvp",Inputs!$B$43&gt;0),SUMPRODUCT((Skills!S2:S24&gt;0)*(Skills!E2:E24=TRUE)*(C872:C894=TRUE))/B901,0)</f>
        <v/>
      </c>
    </row>
    <row r="905">
      <c r="A905" t="inlineStr">
        <is>
          <t>Boss-Only Total DPS (this block's swept value)</t>
        </is>
      </c>
      <c r="B905">
        <f>SUM(S872:S894)</f>
        <v/>
      </c>
    </row>
    <row r="906">
      <c r="A906" t="inlineStr">
        <is>
          <t>Normal-Only Total DPS (this block's swept value)</t>
        </is>
      </c>
      <c r="B906">
        <f>SUM(U872:U894)</f>
        <v/>
      </c>
    </row>
    <row r="907">
      <c r="A907" s="6" t="inlineStr">
        <is>
          <t>TOTAL DPS</t>
        </is>
      </c>
      <c r="B907" s="6">
        <f>SUM(O872:O894)</f>
        <v/>
      </c>
    </row>
    <row r="910">
      <c r="A910" s="6" t="inlineStr">
        <is>
          <t>Stat: ATTACK %</t>
        </is>
      </c>
    </row>
    <row r="911">
      <c r="A911" s="5" t="inlineStr">
        <is>
          <t>Key</t>
        </is>
      </c>
      <c r="B911" s="5" t="inlineStr">
        <is>
          <t>Name</t>
        </is>
      </c>
      <c r="C911" s="5" t="inlineStr">
        <is>
          <t>Unlocked</t>
        </is>
      </c>
      <c r="D911" s="5" t="inlineStr">
        <is>
          <t>InputLevel</t>
        </is>
      </c>
      <c r="E911" s="5" t="inlineStr">
        <is>
          <t>Factor</t>
        </is>
      </c>
      <c r="F911" s="5" t="inlineStr">
        <is>
          <t>CoefficientPercent</t>
        </is>
      </c>
      <c r="G911" s="5" t="inlineStr">
        <is>
          <t>EffectiveHits</t>
        </is>
      </c>
      <c r="H911" s="5" t="inlineStr">
        <is>
          <t>ProcProbability</t>
        </is>
      </c>
      <c r="I911" s="5" t="inlineStr">
        <is>
          <t>MapleHeroMultiplier</t>
        </is>
      </c>
      <c r="J911" s="5" t="inlineStr">
        <is>
          <t>BaseDamage</t>
        </is>
      </c>
      <c r="K911" s="5" t="inlineStr">
        <is>
          <t>BaseHitDamage</t>
        </is>
      </c>
      <c r="L911" s="5" t="inlineStr">
        <is>
          <t>NonCritAvg</t>
        </is>
      </c>
      <c r="M911" s="5" t="inlineStr">
        <is>
          <t>CritAvg</t>
        </is>
      </c>
      <c r="N911" s="5" t="inlineStr">
        <is>
          <t>ExpectedDamage(perHit)</t>
        </is>
      </c>
      <c r="O911" s="5" t="inlineStr">
        <is>
          <t>DPS</t>
        </is>
      </c>
      <c r="P911" s="5" t="inlineStr">
        <is>
          <t>% of Total</t>
        </is>
      </c>
      <c r="R911" t="inlineStr">
        <is>
          <t>helpers</t>
        </is>
      </c>
    </row>
    <row r="912">
      <c r="A912">
        <f>Skills!A2</f>
        <v/>
      </c>
      <c r="B912">
        <f>Skills!B2</f>
        <v/>
      </c>
      <c r="C912">
        <f>Inputs!$B$3&gt;=100</f>
        <v/>
      </c>
      <c r="D912" t="inlineStr"/>
      <c r="E912" t="inlineStr"/>
      <c r="F912">
        <f>T914+Skills!N2</f>
        <v/>
      </c>
      <c r="G912">
        <f>Calc!G2</f>
        <v/>
      </c>
      <c r="H912">
        <f>Calc!H2</f>
        <v/>
      </c>
      <c r="I912">
        <f>IF(Skills!T2&lt;&gt;"",1+(Skills!T2/10)*(Z913/1000)/100,1)</f>
        <v/>
      </c>
      <c r="J912">
        <f>((Inputs!$B$6*(1+(Inputs!$B$7+1)/100))+(((Inputs!$B$12*(1+Inputs!$B$13/100))-(Inputs!$B$12*(1+Inputs!$B$13/100)))+0.25*(Inputs!$B$14-Inputs!$B$14))*(1+(Inputs!$B$7+1)/100))*(F912/100)</f>
        <v/>
      </c>
      <c r="K912">
        <f>J912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2="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F928-Calc!F18),(Inputs!$B$23+(IF(ArtifactsInput!$M$15,CHOOSE(ArtifactsInput!$N$15+1,25,30,35,40,45,50)/100*(Inputs!$B$11-Inputs!$B$11),0))))/100+(Inputs!$B$23+(IF(ArtifactsInput!$M$15,CHOOSE(ArtifactsInput!$N$15+1,25,30,35,40,45,50)/100*(Inputs!$B$11-Inputs!$B$11),0)))/100)/2</f>
        <v/>
      </c>
      <c r="M912">
        <f>L912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(1-Summary!$B$11)*S912+Summary!$B$11*U912</f>
        <v/>
      </c>
      <c r="P912">
        <f>IF(B947=0,0,O912/B947)</f>
        <v/>
      </c>
      <c r="Q912">
        <f>IFERROR(1/IF(Inputs!$B$38="pvp",15,MAX(0.1,Skills!D2-IF(Skills!E2=TRUE,Inputs!$B$32,0))),0)</f>
        <v/>
      </c>
      <c r="R912" t="n">
        <v>0</v>
      </c>
      <c r="S912">
        <f>IF(C912,(Skills!F2*N912*B943)*IF(Inputs!$B$38="pvp",1,1+(Inputs!$B$20+Skills!O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912*(1-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2">
        <f>MAX(0,(Inputs!$B$3-100)*3)+Inputs!$B$28+Inputs!$B$29</f>
        <v/>
      </c>
      <c r="U912">
        <f>IF(C912,(Skills!F2*N912*B943)*IF(Inputs!$B$38="pvp",1,(1+(Inputs!$B$21+Skills!P2+B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12">
        <f>MAX(0,(Inputs!$B$3-100)*3)+Inputs!$B$28+Inputs!$B$29</f>
        <v/>
      </c>
    </row>
    <row r="913">
      <c r="A913">
        <f>Skills!A3</f>
        <v/>
      </c>
      <c r="B913">
        <f>Skills!B3</f>
        <v/>
      </c>
      <c r="C913">
        <f>Inputs!$B$3&gt;=15</f>
        <v/>
      </c>
      <c r="D913">
        <f>IF(Skills!C3=1,60+Inputs!$B$25+Inputs!$B$29,IF(Skills!C3=2,90+Inputs!$B$26+Inputs!$B$29,IF(Skills!C3=3,120+Inputs!$B$27+Inputs!$B$29,MAX(0,(Inputs!$B$3-100)*3)+Inputs!$B$28+Inputs!$B$29)))</f>
        <v/>
      </c>
      <c r="E913">
        <f>INDEX(FactorTable!$B$2:$Y$301, MATCH(ROUND(MIN(300,MAX(1,D913)),0), FactorTable!$A$2:$A$301,0), Skills!L3+1)</f>
        <v/>
      </c>
      <c r="F913">
        <f>IF(Skills!M3=TRUE,(Skills!K3/10)*(E913/1000),Skills!K3/10)+Skills!N3</f>
        <v/>
      </c>
      <c r="G913">
        <f>Calc!G3</f>
        <v/>
      </c>
      <c r="H913">
        <f>Calc!H3</f>
        <v/>
      </c>
      <c r="I913">
        <f>IF(Skills!T3&lt;&gt;"",1+(Skills!T3/10)*(Z913/1000)/100,1)</f>
        <v/>
      </c>
      <c r="J913" t="inlineStr"/>
      <c r="K913" t="inlineStr"/>
      <c r="L913" t="inlineStr"/>
      <c r="M913" t="inlineStr"/>
      <c r="N913" t="inlineStr"/>
      <c r="O913">
        <f>(1-Summary!$B$11)*S913+Summary!$B$11*U913</f>
        <v/>
      </c>
      <c r="P913">
        <f>IF(B947=0,0,O913/B947)</f>
        <v/>
      </c>
      <c r="Q913">
        <f>IFERROR(1/IF(Inputs!$B$38="pvp",15,MAX(0.1,Skills!D3-IF(Skills!E3=TRUE,Inputs!$B$32,0))),0)</f>
        <v/>
      </c>
      <c r="R913">
        <f>IF(AND(Inputs!$B$38&lt;&gt;"pvp",Inputs!$B$43&gt;0),IF(Inputs!$B$43&lt;=0,0,(INT(Inputs!$B$43/IF(Inputs!$B$38="pvp",15,MAX(0.1,Skills!D3-IF(Skills!E3=TRUE,Inputs!$B$32,0))))+1)),0)</f>
        <v/>
      </c>
      <c r="S913" t="n">
        <v>0</v>
      </c>
      <c r="T913">
        <f>INDEX(FactorTable!$B$2:$Y$301, MATCH(ROUND(MIN(300,MAX(1,T912)),0), FactorTable!$A$2:$A$301,0), 22)</f>
        <v/>
      </c>
      <c r="U913" t="n">
        <v>0</v>
      </c>
      <c r="Z913">
        <f>INDEX(FactorTable!$B$2:$Y$301, MATCH(ROUND(MIN(300,MAX(1,Z912)),0), FactorTable!$A$2:$A$301,0), 24)</f>
        <v/>
      </c>
    </row>
    <row r="914">
      <c r="A914">
        <f>Skills!A4</f>
        <v/>
      </c>
      <c r="B914">
        <f>Skills!B4</f>
        <v/>
      </c>
      <c r="C914">
        <f>Inputs!$B$3&gt;=40</f>
        <v/>
      </c>
      <c r="D914">
        <f>IF(Skills!C4=1,60+Inputs!$B$25+Inputs!$B$29,IF(Skills!C4=2,90+Inputs!$B$26+Inputs!$B$29,IF(Skills!C4=3,120+Inputs!$B$27+Inputs!$B$29,MAX(0,(Inputs!$B$3-100)*3)+Inputs!$B$28+Inputs!$B$29)))</f>
        <v/>
      </c>
      <c r="E914">
        <f>INDEX(FactorTable!$B$2:$Y$301, MATCH(ROUND(MIN(300,MAX(1,D914)),0), FactorTable!$A$2:$A$301,0), Skills!L4+1)</f>
        <v/>
      </c>
      <c r="F914">
        <f>IF(Skills!M4=TRUE,(Skills!K4/10)*(E914/1000),Skills!K4/10)+Skills!N4</f>
        <v/>
      </c>
      <c r="G914">
        <f>Calc!G4</f>
        <v/>
      </c>
      <c r="H914">
        <f>Calc!H4</f>
        <v/>
      </c>
      <c r="I914">
        <f>IF(Skills!T4&lt;&gt;"",1+(Skills!T4/10)*(Z913/1000)/100,1)</f>
        <v/>
      </c>
      <c r="J914" t="inlineStr"/>
      <c r="K914" t="inlineStr"/>
      <c r="L914" t="inlineStr"/>
      <c r="M914" t="inlineStr"/>
      <c r="N914" t="inlineStr"/>
      <c r="O914">
        <f>(1-Summary!$B$11)*S914+Summary!$B$11*U914</f>
        <v/>
      </c>
      <c r="P914">
        <f>IF(B947=0,0,O914/B947)</f>
        <v/>
      </c>
      <c r="Q914">
        <f>IFERROR(1/IF(Inputs!$B$38="pvp",15,MAX(0.1,Skills!D4-IF(Skills!E4=TRUE,Inputs!$B$32,0))),0)</f>
        <v/>
      </c>
      <c r="R914">
        <f>IF(AND(Inputs!$B$38&lt;&gt;"pvp",Inputs!$B$43&gt;0),IF(Inputs!$B$43&lt;=0,0,(INT(Inputs!$B$43/IF(Inputs!$B$38="pvp",15,MAX(0.1,Skills!D4-IF(Skills!E4=TRUE,Inputs!$B$32,0))))+1)),0)</f>
        <v/>
      </c>
      <c r="S914" t="n">
        <v>0</v>
      </c>
      <c r="T914">
        <f>290*T913/1000</f>
        <v/>
      </c>
      <c r="U914" t="n">
        <v>0</v>
      </c>
    </row>
    <row r="915">
      <c r="A915">
        <f>Skills!A5</f>
        <v/>
      </c>
      <c r="B915">
        <f>Skills!B5</f>
        <v/>
      </c>
      <c r="C915">
        <f>Inputs!$B$3&gt;=38</f>
        <v/>
      </c>
      <c r="D915">
        <f>IF(Skills!C5=1,60+Inputs!$B$25+Inputs!$B$29,IF(Skills!C5=2,90+Inputs!$B$26+Inputs!$B$29,IF(Skills!C5=3,120+Inputs!$B$27+Inputs!$B$29,MAX(0,(Inputs!$B$3-100)*3)+Inputs!$B$28+Inputs!$B$29)))</f>
        <v/>
      </c>
      <c r="E915">
        <f>INDEX(FactorTable!$B$2:$Y$301, MATCH(ROUND(MIN(300,MAX(1,D915)),0), FactorTable!$A$2:$A$301,0), Skills!L5+1)</f>
        <v/>
      </c>
      <c r="F915">
        <f>IF(Skills!M5=TRUE,(Skills!K5/10)*(E915/1000),Skills!K5/10)+Skills!N5</f>
        <v/>
      </c>
      <c r="G915">
        <f>Calc!G5</f>
        <v/>
      </c>
      <c r="H915">
        <f>Calc!H5</f>
        <v/>
      </c>
      <c r="I915">
        <f>IF(Skills!T5&lt;&gt;"",1+(Skills!T5/10)*(Z913/1000)/100,1)</f>
        <v/>
      </c>
      <c r="J915">
        <f>((Inputs!$B$6*(1+(Inputs!$B$7+1)/100))+(((Inputs!$B$12*(1+Inputs!$B$13/100))-(Inputs!$B$12*(1+Inputs!$B$13/100)))+0.25*(Inputs!$B$14-Inputs!$B$14))*(1+(Inputs!$B$7+1)/100))*(F915/100)</f>
        <v/>
      </c>
      <c r="K915">
        <f>J915*(1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5="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18),(Inputs!$B$23+(IF(ArtifactsInput!$M$15,CHOOSE(ArtifactsInput!$N$15+1,25,30,35,40,45,50)/100*(Inputs!$B$11-Inputs!$B$11),0))))/100+(Inputs!$B$23+(IF(ArtifactsInput!$M$15,CHOOSE(ArtifactsInput!$N$15+1,25,30,35,40,45,50)/100*(Inputs!$B$11-Inputs!$B$11),0)))/100)/2</f>
        <v/>
      </c>
      <c r="M915">
        <f>L915*(1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IFERROR(1/IF(Inputs!$B$38="pvp",15,MAX(0.1,Skills!D5-IF(Skills!E5=TRUE,Inputs!$B$32,0))),0)</f>
        <v/>
      </c>
      <c r="R915">
        <f>IF(AND(Inputs!$B$38&lt;&gt;"pvp",Inputs!$B$43&gt;0),IF(MAX(0,Inputs!$B$43-B944)&lt;=0,0,(INT(MAX(0,Inputs!$B$43-B944)/IF(Inputs!$B$38="pvp",15,MAX(0.1,Skills!D5-IF(Skills!E5=TRUE,Inputs!$B$32,0))))+1)),0)</f>
        <v/>
      </c>
      <c r="S915">
        <f>IF(C915,(H915*N915*IF(AND(Inputs!$B$38&lt;&gt;"pvp",Inputs!$B$43&gt;0),((Skills!F5*((R915-1)*IF(Skills!G5&gt;0,Skills!H5/Skills!G5,1)+IF(Skills!G5&gt;0,MIN(Skills!H5,MAX(0,MAX(0,Inputs!$B$43-B944)-((R915-1)*IF(Inputs!$B$38="pvp",15,MAX(0.1,Skills!D5-IF(Skills!E5=TRUE,Inputs!$B$32,0))))))/Skills!G5,1)))/Inputs!$B$43),G915*Q915))*IF(Inputs!$B$38="pvp",1,1+(Inputs!$B$20+Skills!O5+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F5*((R915-1)*IF(Skills!G5&gt;0,Skills!H5/Skills!G5,1)+IF(Skills!G5&gt;0,MIN(Skills!H5,MAX(0,MAX(0,Inputs!$B$43-B944)-((R915-1)*IF(Inputs!$B$38="pvp",15,MAX(0.1,Skills!D5-IF(Skills!E5=TRUE,Inputs!$B$32,0))))))/Skills!G5,1)))/Inputs!$B$43),G915*Q915))*IF(Inputs!$B$38="pvp",1,(1+(Inputs!$B$21+Skills!P5+B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Skills!A6</f>
        <v/>
      </c>
      <c r="B916">
        <f>Skills!B6</f>
        <v/>
      </c>
      <c r="C916">
        <f>Inputs!$B$3&gt;=63</f>
        <v/>
      </c>
      <c r="D916">
        <f>IF(Skills!C6=1,60+Inputs!$B$25+Inputs!$B$29,IF(Skills!C6=2,90+Inputs!$B$26+Inputs!$B$29,IF(Skills!C6=3,120+Inputs!$B$27+Inputs!$B$29,MAX(0,(Inputs!$B$3-100)*3)+Inputs!$B$28+Inputs!$B$29)))</f>
        <v/>
      </c>
      <c r="E916">
        <f>INDEX(FactorTable!$B$2:$Y$301, MATCH(ROUND(MIN(300,MAX(1,D916)),0), FactorTable!$A$2:$A$301,0), Skills!L6+1)</f>
        <v/>
      </c>
      <c r="F916">
        <f>IF(Skills!M6=TRUE,(Skills!K6/10)*(E916/1000),Skills!K6/10)+Skills!N6</f>
        <v/>
      </c>
      <c r="G916">
        <f>Calc!G6</f>
        <v/>
      </c>
      <c r="H916">
        <f>Calc!H6</f>
        <v/>
      </c>
      <c r="I916">
        <f>IF(Skills!T6&lt;&gt;"",1+(Skills!T6/10)*(Z913/1000)/100,1)</f>
        <v/>
      </c>
      <c r="J916">
        <f>((Inputs!$B$6*(1+(Inputs!$B$7+1)/100))+(((Inputs!$B$12*(1+Inputs!$B$13/100))-(Inputs!$B$12*(1+Inputs!$B$13/100)))+0.25*(Inputs!$B$14-Inputs!$B$14))*(1+(Inputs!$B$7+1)/100))*(F916/100)</f>
        <v/>
      </c>
      <c r="K916">
        <f>J916*(1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6="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18),(Inputs!$B$23+(IF(ArtifactsInput!$M$15,CHOOSE(ArtifactsInput!$N$15+1,25,30,35,40,45,50)/100*(Inputs!$B$11-Inputs!$B$11),0))))/100+(Inputs!$B$23+(IF(ArtifactsInput!$M$15,CHOOSE(ArtifactsInput!$N$15+1,25,30,35,40,45,50)/100*(Inputs!$B$11-Inputs!$B$11),0)))/100)/2</f>
        <v/>
      </c>
      <c r="M916">
        <f>L916*(1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IFERROR(1/IF(Inputs!$B$38="pvp",15,MAX(0.1,Skills!D6-IF(Skills!E6=TRUE,Inputs!$B$32,0))),0)</f>
        <v/>
      </c>
      <c r="R916">
        <f>IF(AND(Inputs!$B$38&lt;&gt;"pvp",Inputs!$B$43&gt;0),IF(MAX(0,Inputs!$B$43-B944)&lt;=0,0,(INT(MAX(0,Inputs!$B$43-B944)/IF(Inputs!$B$38="pvp",15,MAX(0.1,Skills!D6-IF(Skills!E6=TRUE,Inputs!$B$32,0))))+1)),0)</f>
        <v/>
      </c>
      <c r="S916">
        <f>IF(C916,(H916*N916*IF(AND(Inputs!$B$38&lt;&gt;"pvp",Inputs!$B$43&gt;0),((Skills!F6*((R916-1)*IF(Skills!G6&gt;0,Skills!H6/Skills!G6,1)+IF(Skills!G6&gt;0,MIN(Skills!H6,MAX(0,MAX(0,Inputs!$B$43-B944)-((R916-1)*IF(Inputs!$B$38="pvp",15,MAX(0.1,Skills!D6-IF(Skills!E6=TRUE,Inputs!$B$32,0))))))/Skills!G6,1)))/Inputs!$B$43),G916*Q916))*IF(Inputs!$B$38="pvp",1,1+(Inputs!$B$20+Skills!O6+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F6*((R916-1)*IF(Skills!G6&gt;0,Skills!H6/Skills!G6,1)+IF(Skills!G6&gt;0,MIN(Skills!H6,MAX(0,MAX(0,Inputs!$B$43-B944)-((R916-1)*IF(Inputs!$B$38="pvp",15,MAX(0.1,Skills!D6-IF(Skills!E6=TRUE,Inputs!$B$32,0))))))/Skills!G6,1)))/Inputs!$B$43),G916*Q916))*IF(Inputs!$B$38="pvp",1,(1+(Inputs!$B$21+Skills!P6+B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Skills!A7</f>
        <v/>
      </c>
      <c r="B917">
        <f>Skills!B7</f>
        <v/>
      </c>
      <c r="C917">
        <f>Inputs!$B$3&gt;=69</f>
        <v/>
      </c>
      <c r="D917">
        <f>IF(Skills!C7=1,60+Inputs!$B$25+Inputs!$B$29,IF(Skills!C7=2,90+Inputs!$B$26+Inputs!$B$29,IF(Skills!C7=3,120+Inputs!$B$27+Inputs!$B$29,MAX(0,(Inputs!$B$3-100)*3)+Inputs!$B$28+Inputs!$B$29)))</f>
        <v/>
      </c>
      <c r="E917">
        <f>INDEX(FactorTable!$B$2:$Y$301, MATCH(ROUND(MIN(300,MAX(1,D917)),0), FactorTable!$A$2:$A$301,0), Skills!L7+1)</f>
        <v/>
      </c>
      <c r="F917">
        <f>IF(Skills!M7=TRUE,(Skills!K7/10)*(E917/1000),Skills!K7/10)+Skills!N7</f>
        <v/>
      </c>
      <c r="G917">
        <f>Calc!G7</f>
        <v/>
      </c>
      <c r="H917">
        <f>Calc!H7</f>
        <v/>
      </c>
      <c r="I917">
        <f>IF(Skills!T7&lt;&gt;"",1+(Skills!T7/10)*(Z913/1000)/100,1)</f>
        <v/>
      </c>
      <c r="J917">
        <f>((Inputs!$B$6*(1+(Inputs!$B$7+1)/100))+(((Inputs!$B$12*(1+Inputs!$B$13/100))-(Inputs!$B$12*(1+Inputs!$B$13/100)))+0.25*(Inputs!$B$14-Inputs!$B$14))*(1+(Inputs!$B$7+1)/100))*(F917/100)</f>
        <v/>
      </c>
      <c r="K917">
        <f>J917*(1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7="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F928-Calc!F18),(Inputs!$B$23+(IF(ArtifactsInput!$M$15,CHOOSE(ArtifactsInput!$N$15+1,25,30,35,40,45,50)/100*(Inputs!$B$11-Inputs!$B$11),0))))/100+(Inputs!$B$23+(IF(ArtifactsInput!$M$15,CHOOSE(ArtifactsInput!$N$15+1,25,30,35,40,45,50)/100*(Inputs!$B$11-Inputs!$B$11),0)))/100)/2</f>
        <v/>
      </c>
      <c r="M917">
        <f>L917*(1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(1-Summary!$B$11)*S917+Summary!$B$11*U917</f>
        <v/>
      </c>
      <c r="P917">
        <f>IF(B947=0,0,O917/B947)</f>
        <v/>
      </c>
      <c r="Q917">
        <f>IFERROR(1/IF(Inputs!$B$38="pvp",15,MAX(0.1,Skills!D7-IF(Skills!E7=TRUE,Inputs!$B$32,0))),0)</f>
        <v/>
      </c>
      <c r="R917">
        <f>IF(AND(Inputs!$B$38&lt;&gt;"pvp",Inputs!$B$43&gt;0),IF(MAX(0,Inputs!$B$43-B944)&lt;=0,0,(INT(MAX(0,Inputs!$B$43-B944)/IF(Inputs!$B$38="pvp",15,MAX(0.1,Skills!D7-IF(Skills!E7=TRUE,Inputs!$B$32,0))))+1)),0)</f>
        <v/>
      </c>
      <c r="S917">
        <f>IF(C917,(H917*N917*IF(AND(Inputs!$B$38&lt;&gt;"pvp",Inputs!$B$43&gt;0),((Skills!F7*((R917-1)*IF(Skills!G7&gt;0,Skills!H7/Skills!G7,1)+IF(Skills!G7&gt;0,MIN(Skills!H7,MAX(0,MAX(0,Inputs!$B$43-B944)-((R917-1)*IF(Inputs!$B$38="pvp",15,MAX(0.1,Skills!D7-IF(Skills!E7=TRUE,Inputs!$B$32,0))))))/Skills!G7,1)))/Inputs!$B$43),G917*Q917))*IF(Inputs!$B$38="pvp",1,1+(Inputs!$B$20+Skills!O7+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917*(1-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7">
        <f>IF(C917,(H917*N917*IF(AND(Inputs!$B$38&lt;&gt;"pvp",Inputs!$B$43&gt;0),((Skills!F7*((R917-1)*IF(Skills!G7&gt;0,Skills!H7/Skills!G7,1)+IF(Skills!G7&gt;0,MIN(Skills!H7,MAX(0,MAX(0,Inputs!$B$43-B944)-((R917-1)*IF(Inputs!$B$38="pvp",15,MAX(0.1,Skills!D7-IF(Skills!E7=TRUE,Inputs!$B$32,0))))))/Skills!G7,1)))/Inputs!$B$43),G917*Q917))*IF(Inputs!$B$38="pvp",1,(1+(Inputs!$B$21+Skills!P7+B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Skills!A8</f>
        <v/>
      </c>
      <c r="B918">
        <f>Skills!B8</f>
        <v/>
      </c>
      <c r="C918">
        <f>Inputs!$B$3&gt;=103</f>
        <v/>
      </c>
      <c r="D918">
        <f>IF(Skills!C8=1,60+Inputs!$B$25+Inputs!$B$29,IF(Skills!C8=2,90+Inputs!$B$26+Inputs!$B$29,IF(Skills!C8=3,120+Inputs!$B$27+Inputs!$B$29,MAX(0,(Inputs!$B$3-100)*3)+Inputs!$B$28+Inputs!$B$29)))</f>
        <v/>
      </c>
      <c r="E918">
        <f>INDEX(FactorTable!$B$2:$Y$301, MATCH(ROUND(MIN(300,MAX(1,D918)),0), FactorTable!$A$2:$A$301,0), Skills!L8+1)</f>
        <v/>
      </c>
      <c r="F918">
        <f>IF(Skills!M8=TRUE,(Skills!K8/10)*(E918/1000),Skills!K8/10)+Skills!N8</f>
        <v/>
      </c>
      <c r="G918">
        <f>Calc!G8</f>
        <v/>
      </c>
      <c r="H918">
        <f>Calc!H8</f>
        <v/>
      </c>
      <c r="I918">
        <f>IF(Skills!T8&lt;&gt;"",1+(Skills!T8/10)*(Z913/1000)/100,1)</f>
        <v/>
      </c>
      <c r="J918">
        <f>((Inputs!$B$6*(1+(Inputs!$B$7+1)/100))+(((Inputs!$B$12*(1+Inputs!$B$13/100))-(Inputs!$B$12*(1+Inputs!$B$13/100)))+0.25*(Inputs!$B$14-Inputs!$B$14))*(1+(Inputs!$B$7+1)/100))*(F918/100)</f>
        <v/>
      </c>
      <c r="K918">
        <f>J918*(1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8="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F928-Calc!F18),(Inputs!$B$23+(IF(ArtifactsInput!$M$15,CHOOSE(ArtifactsInput!$N$15+1,25,30,35,40,45,50)/100*(Inputs!$B$11-Inputs!$B$11),0))))/100+(Inputs!$B$23+(IF(ArtifactsInput!$M$15,CHOOSE(ArtifactsInput!$N$15+1,25,30,35,40,45,50)/100*(Inputs!$B$11-Inputs!$B$11),0)))/100)/2</f>
        <v/>
      </c>
      <c r="M918">
        <f>L918*(1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(1-Summary!$B$11)*S918+Summary!$B$11*U918</f>
        <v/>
      </c>
      <c r="P918">
        <f>IF(B947=0,0,O918/B947)</f>
        <v/>
      </c>
      <c r="Q918">
        <f>IFERROR(1/IF(Inputs!$B$38="pvp",15,MAX(0.1,Skills!D8-IF(Skills!E8=TRUE,Inputs!$B$32,0))),0)</f>
        <v/>
      </c>
      <c r="R918">
        <f>IF(AND(Inputs!$B$38&lt;&gt;"pvp",Inputs!$B$43&gt;0),IF(MAX(0,Inputs!$B$43-B944)&lt;=0,0,(INT(MAX(0,Inputs!$B$43-B944)/IF(Inputs!$B$38="pvp",15,MAX(0.1,Skills!D8-IF(Skills!E8=TRUE,Inputs!$B$32,0))))+1)),0)</f>
        <v/>
      </c>
      <c r="S918">
        <f>IF(C918,(H918*N918*IF(AND(Inputs!$B$38&lt;&gt;"pvp",Inputs!$B$43&gt;0),((Skills!F8*((R918-1)*IF(Skills!G8&gt;0,Skills!H8/Skills!G8,1)+IF(Skills!G8&gt;0,MIN(Skills!H8,MAX(0,MAX(0,Inputs!$B$43-B944)-((R918-1)*IF(Inputs!$B$38="pvp",15,MAX(0.1,Skills!D8-IF(Skills!E8=TRUE,Inputs!$B$32,0))))))/Skills!G8,1)))/Inputs!$B$43),G918*Q918))*IF(Inputs!$B$38="pvp",1,1+(Inputs!$B$20+Skills!O8+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918*(1-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8">
        <f>IF(C918,(H918*N918*IF(AND(Inputs!$B$38&lt;&gt;"pvp",Inputs!$B$43&gt;0),((Skills!F8*((R918-1)*IF(Skills!G8&gt;0,Skills!H8/Skills!G8,1)+IF(Skills!G8&gt;0,MIN(Skills!H8,MAX(0,MAX(0,Inputs!$B$43-B944)-((R918-1)*IF(Inputs!$B$38="pvp",15,MAX(0.1,Skills!D8-IF(Skills!E8=TRUE,Inputs!$B$32,0))))))/Skills!G8,1)))/Inputs!$B$43),G918*Q918))*IF(Inputs!$B$38="pvp",1,(1+(Inputs!$B$21+Skills!P8+B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Skills!A9</f>
        <v/>
      </c>
      <c r="B919">
        <f>Skills!B9</f>
        <v/>
      </c>
      <c r="C919">
        <f>Inputs!$B$3&gt;=105</f>
        <v/>
      </c>
      <c r="D919">
        <f>IF(Skills!C9=1,60+Inputs!$B$25+Inputs!$B$29,IF(Skills!C9=2,90+Inputs!$B$26+Inputs!$B$29,IF(Skills!C9=3,120+Inputs!$B$27+Inputs!$B$29,MAX(0,(Inputs!$B$3-100)*3)+Inputs!$B$28+Inputs!$B$29)))</f>
        <v/>
      </c>
      <c r="E919">
        <f>INDEX(FactorTable!$B$2:$Y$301, MATCH(ROUND(MIN(300,MAX(1,D919)),0), FactorTable!$A$2:$A$301,0), Skills!L9+1)</f>
        <v/>
      </c>
      <c r="F919">
        <f>IF(Skills!M9=TRUE,(Skills!K9/10)*(E919/1000),Skills!K9/10)+Skills!N9</f>
        <v/>
      </c>
      <c r="G919">
        <f>Calc!G9</f>
        <v/>
      </c>
      <c r="H919">
        <f>Calc!H9</f>
        <v/>
      </c>
      <c r="I919">
        <f>IF(Skills!T9&lt;&gt;"",1+(Skills!T9/10)*(Z913/1000)/100,1)</f>
        <v/>
      </c>
      <c r="J919">
        <f>((Inputs!$B$6*(1+(Inputs!$B$7+1)/100))+(((Inputs!$B$12*(1+Inputs!$B$13/100))-(Inputs!$B$12*(1+Inputs!$B$13/100)))+0.25*(Inputs!$B$14-Inputs!$B$14))*(1+(Inputs!$B$7+1)/100))*(F919/100)</f>
        <v/>
      </c>
      <c r="K919">
        <f>J919*(1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9="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18),(Inputs!$B$23+(IF(ArtifactsInput!$M$15,CHOOSE(ArtifactsInput!$N$15+1,25,30,35,40,45,50)/100*(Inputs!$B$11-Inputs!$B$11),0))))/100+(Inputs!$B$23+(IF(ArtifactsInput!$M$15,CHOOSE(ArtifactsInput!$N$15+1,25,30,35,40,45,50)/100*(Inputs!$B$11-Inputs!$B$11),0)))/100)/2</f>
        <v/>
      </c>
      <c r="M919">
        <f>L919*(1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IFERROR(1/IF(Inputs!$B$38="pvp",15,MAX(0.1,Skills!D9-IF(Skills!E9=TRUE,Inputs!$B$32,0))),0)</f>
        <v/>
      </c>
      <c r="R919">
        <f>IF(AND(Inputs!$B$38&lt;&gt;"pvp",Inputs!$B$43&gt;0),IF(MAX(0,Inputs!$B$43-B944)&lt;=0,0,(INT(MAX(0,Inputs!$B$43-B944)/IF(Inputs!$B$38="pvp",15,MAX(0.1,Skills!D9-IF(Skills!E9=TRUE,Inputs!$B$32,0))))+1)),0)</f>
        <v/>
      </c>
      <c r="S919">
        <f>IF(C919,(H919*N919*IF(AND(Inputs!$B$38&lt;&gt;"pvp",Inputs!$B$43&gt;0),((Skills!F9*((R919-1)*IF(Skills!G9&gt;0,Skills!H9/Skills!G9,1)+IF(Skills!G9&gt;0,MIN(Skills!H9,MAX(0,MAX(0,Inputs!$B$43-B944)-((R919-1)*IF(Inputs!$B$38="pvp",15,MAX(0.1,Skills!D9-IF(Skills!E9=TRUE,Inputs!$B$32,0))))))/Skills!G9,1)))/Inputs!$B$43),G919*Q919))*IF(Inputs!$B$38="pvp",1,1+(Inputs!$B$20+Skills!O9+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F9*((R919-1)*IF(Skills!G9&gt;0,Skills!H9/Skills!G9,1)+IF(Skills!G9&gt;0,MIN(Skills!H9,MAX(0,MAX(0,Inputs!$B$43-B944)-((R919-1)*IF(Inputs!$B$38="pvp",15,MAX(0.1,Skills!D9-IF(Skills!E9=TRUE,Inputs!$B$32,0))))))/Skills!G9,1)))/Inputs!$B$43),G919*Q919))*IF(Inputs!$B$38="pvp",1,(1+(Inputs!$B$21+Skills!P9+B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Skills!A10</f>
        <v/>
      </c>
      <c r="B920">
        <f>Skills!B10</f>
        <v/>
      </c>
      <c r="C920">
        <f>Inputs!$B$3&gt;=113</f>
        <v/>
      </c>
      <c r="D920">
        <f>IF(Skills!C10=1,60+Inputs!$B$25+Inputs!$B$29,IF(Skills!C10=2,90+Inputs!$B$26+Inputs!$B$29,IF(Skills!C10=3,120+Inputs!$B$27+Inputs!$B$29,MAX(0,(Inputs!$B$3-100)*3)+Inputs!$B$28+Inputs!$B$29)))</f>
        <v/>
      </c>
      <c r="E920">
        <f>INDEX(FactorTable!$B$2:$Y$301, MATCH(ROUND(MIN(300,MAX(1,D920)),0), FactorTable!$A$2:$A$301,0), Skills!L10+1)</f>
        <v/>
      </c>
      <c r="F920">
        <f>IF(Skills!M10=TRUE,(Skills!K10/10)*(E920/1000),Skills!K10/10)+Skills!N10</f>
        <v/>
      </c>
      <c r="G920">
        <f>Calc!G10</f>
        <v/>
      </c>
      <c r="H920">
        <f>Calc!H10</f>
        <v/>
      </c>
      <c r="I920">
        <f>IF(Skills!T10&lt;&gt;"",1+(Skills!T10/10)*(Z913/1000)/100,1)</f>
        <v/>
      </c>
      <c r="J920">
        <f>((Inputs!$B$6*(1+(Inputs!$B$7+1)/100))+(((Inputs!$B$12*(1+Inputs!$B$13/100))-(Inputs!$B$12*(1+Inputs!$B$13/100)))+0.25*(Inputs!$B$14-Inputs!$B$14))*(1+(Inputs!$B$7+1)/100))*(F920/100)</f>
        <v/>
      </c>
      <c r="K920">
        <f>J920*(1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10="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18),(Inputs!$B$23+(IF(ArtifactsInput!$M$15,CHOOSE(ArtifactsInput!$N$15+1,25,30,35,40,45,50)/100*(Inputs!$B$11-Inputs!$B$11),0))))/100+(Inputs!$B$23+(IF(ArtifactsInput!$M$15,CHOOSE(ArtifactsInput!$N$15+1,25,30,35,40,45,50)/100*(Inputs!$B$11-Inputs!$B$11),0)))/100)/2</f>
        <v/>
      </c>
      <c r="M920">
        <f>L920*(1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IFERROR(1/IF(Inputs!$B$38="pvp",15,MAX(0.1,Skills!D10-IF(Skills!E9=TRUE,Inputs!$B$32,0))),0)</f>
        <v/>
      </c>
      <c r="R920">
        <f>IF(AND(Inputs!$B$38&lt;&gt;"pvp",Inputs!$B$43&gt;0),IF(MAX(0,Inputs!$B$43-B944)&lt;=0,0,(INT(MAX(0,Inputs!$B$43-B944)/IF(Inputs!$B$38="pvp",15,MAX(0.1,Skills!D10-IF(Skills!E9=TRUE,Inputs!$B$32,0))))+1)),0)</f>
        <v/>
      </c>
      <c r="S920">
        <f>IF(C920,(H920*N920*IF(AND(Inputs!$B$38&lt;&gt;"pvp",Inputs!$B$43&gt;0),((Skills!F10*((R920-1)*IF(Skills!G10&gt;0,Skills!H10/Skills!G10,1)+IF(Skills!G10&gt;0,MIN(Skills!H10,MAX(0,MAX(0,Inputs!$B$43-B944)-((R920-1)*IF(Inputs!$B$38="pvp",15,MAX(0.1,Skills!D10-IF(Skills!E9=TRUE,Inputs!$B$32,0))))))/Skills!G10,1)))/Inputs!$B$43),G920*Q920))*IF(Inputs!$B$38="pvp",1,1+(Inputs!$B$20+Skills!O10+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N920*IF(AND(Inputs!$B$38&lt;&gt;"pvp",Inputs!$B$43&gt;0),((Skills!F10*((R920-1)*IF(Skills!G10&gt;0,Skills!H10/Skills!G10,1)+IF(Skills!G10&gt;0,MIN(Skills!H10,MAX(0,MAX(0,Inputs!$B$43-B944)-((R920-1)*IF(Inputs!$B$38="pvp",15,MAX(0.1,Skills!D10-IF(Skills!E9=TRUE,Inputs!$B$32,0))))))/Skills!G10,1)))/Inputs!$B$43),G920*Q920))*IF(Inputs!$B$38="pvp",1,(1+(Inputs!$B$21+Skills!P10+B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Skills!A11</f>
        <v/>
      </c>
      <c r="B921">
        <f>Skills!B11</f>
        <v/>
      </c>
      <c r="C921">
        <f>Inputs!$B$3&gt;=107</f>
        <v/>
      </c>
      <c r="D921">
        <f>IF(Skills!C11=1,60+Inputs!$B$25+Inputs!$B$29,IF(Skills!C11=2,90+Inputs!$B$26+Inputs!$B$29,IF(Skills!C11=3,120+Inputs!$B$27+Inputs!$B$29,MAX(0,(Inputs!$B$3-100)*3)+Inputs!$B$28+Inputs!$B$29)))</f>
        <v/>
      </c>
      <c r="E921">
        <f>INDEX(FactorTable!$B$2:$Y$301, MATCH(ROUND(MIN(300,MAX(1,D921)),0), FactorTable!$A$2:$A$301,0), Skills!L11+1)</f>
        <v/>
      </c>
      <c r="F921">
        <f>IF(Skills!M11=TRUE,(Skills!K11/10)*(E921/1000),Skills!K11/10)+Skills!N11</f>
        <v/>
      </c>
      <c r="G921">
        <f>Calc!G11</f>
        <v/>
      </c>
      <c r="H921">
        <f>Calc!H11</f>
        <v/>
      </c>
      <c r="I921">
        <f>IF(Skills!T11&lt;&gt;"",1+(Skills!T11/10)*(Z913/1000)/100,1)</f>
        <v/>
      </c>
      <c r="J921">
        <f>((Inputs!$B$6*(1+(Inputs!$B$7+1)/100))+(((Inputs!$B$12*(1+Inputs!$B$13/100))-(Inputs!$B$12*(1+Inputs!$B$13/100)))+0.25*(Inputs!$B$14-Inputs!$B$14))*(1+(Inputs!$B$7+1)/100))*(F921/100)</f>
        <v/>
      </c>
      <c r="K921">
        <f>J921*(1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11="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18),(Inputs!$B$23+(IF(ArtifactsInput!$M$15,CHOOSE(ArtifactsInput!$N$15+1,25,30,35,40,45,50)/100*(Inputs!$B$11-Inputs!$B$11),0))))/100+(Inputs!$B$23+(IF(ArtifactsInput!$M$15,CHOOSE(ArtifactsInput!$N$15+1,25,30,35,40,45,50)/100*(Inputs!$B$11-Inputs!$B$11),0)))/100)/2</f>
        <v/>
      </c>
      <c r="M921">
        <f>L921*(1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IFERROR(1/IF(Inputs!$B$38="pvp",15,MAX(0.1,Skills!D11-IF(Skills!E11=TRUE,Inputs!$B$32,0))),0)</f>
        <v/>
      </c>
      <c r="R921">
        <f>IF(AND(Inputs!$B$38&lt;&gt;"pvp",Inputs!$B$43&gt;0),IF(MAX(0,Inputs!$B$43-B944)&lt;=0,0,(INT(MAX(0,Inputs!$B$43-B944)/IF(Inputs!$B$38="pvp",15,MAX(0.1,Skills!D11-IF(Skills!E11=TRUE,Inputs!$B$32,0))))+1)),0)</f>
        <v/>
      </c>
      <c r="S921">
        <f>IF(C921,H921*N921*IF(AND(Inputs!$B$38&lt;&gt;"pvp",Inputs!$B$43&gt;0),((Skills!F11*((R921-1)*IF(Skills!G11&gt;0,Skills!H11/Skills!G11,1)+IF(Skills!G11&gt;0,MIN(Skills!H11,MAX(0,MAX(0,Inputs!$B$43-B944)-((R921-1)*IF(Inputs!$B$38="pvp",15,MAX(0.1,Skills!D11-IF(Skills!E11=TRUE,Inputs!$B$32,0))))))/Skills!G11,1)))/Inputs!$B$43),G921*Q921)*0.5*IF(Inputs!$B$38="pvp",1,1+(Inputs!$B$20+Skills!O11+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F11*((R921-1)*IF(Skills!G11&gt;0,Skills!H11/Skills!G11,1)+IF(Skills!G11&gt;0,MIN(Skills!H11,MAX(0,MAX(0,Inputs!$B$43-B944)-((R921-1)*IF(Inputs!$B$38="pvp",15,MAX(0.1,Skills!D11-IF(Skills!E11=TRUE,Inputs!$B$32,0))))))/Skills!G11,1)))/Inputs!$B$43),G921*Q921)*1*IF(Inputs!$B$38="pvp",1,(1+(Inputs!$B$21+Skills!P11+B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Skills!A12</f>
        <v/>
      </c>
      <c r="B922">
        <f>Skills!B12</f>
        <v/>
      </c>
      <c r="C922">
        <f>Inputs!$B$3&gt;=115</f>
        <v/>
      </c>
      <c r="D922">
        <f>IF(Skills!C12=1,60+Inputs!$B$25+Inputs!$B$29,IF(Skills!C12=2,90+Inputs!$B$26+Inputs!$B$29,IF(Skills!C12=3,120+Inputs!$B$27+Inputs!$B$29,MAX(0,(Inputs!$B$3-100)*3)+Inputs!$B$28+Inputs!$B$29)))</f>
        <v/>
      </c>
      <c r="E922">
        <f>INDEX(FactorTable!$B$2:$Y$301, MATCH(ROUND(MIN(300,MAX(1,D922)),0), FactorTable!$A$2:$A$301,0), Skills!L12+1)</f>
        <v/>
      </c>
      <c r="F922">
        <f>IF(Skills!M12=TRUE,(Skills!K12/10)*(E922/1000),Skills!K12/10)+Skills!N12</f>
        <v/>
      </c>
      <c r="G922">
        <f>Calc!G12</f>
        <v/>
      </c>
      <c r="H922">
        <f>Calc!H12</f>
        <v/>
      </c>
      <c r="I922">
        <f>IF(Skills!T12&lt;&gt;"",1+(Skills!T12/10)*(Z913/1000)/100,1)</f>
        <v/>
      </c>
      <c r="J922">
        <f>((Inputs!$B$6*(1+(Inputs!$B$7+1)/100))+(((Inputs!$B$12*(1+Inputs!$B$13/100))-(Inputs!$B$12*(1+Inputs!$B$13/100)))+0.25*(Inputs!$B$14-Inputs!$B$14))*(1+(Inputs!$B$7+1)/100))*(F922/100)</f>
        <v/>
      </c>
      <c r="K922">
        <f>J922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12="CHAIN_LIGHTNING",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18),(Inputs!$B$23+(IF(ArtifactsInput!$M$15,CHOOSE(ArtifactsInput!$N$15+1,25,30,35,40,45,50)/100*(Inputs!$B$11-Inputs!$B$11),0))))/100+(Inputs!$B$23+(IF(ArtifactsInput!$M$15,CHOOSE(ArtifactsInput!$N$15+1,25,30,35,40,45,50)/100*(Inputs!$B$11-Inputs!$B$11),0)))/100)/2</f>
        <v/>
      </c>
      <c r="M922">
        <f>L922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IFERROR(1/IF(Inputs!$B$38="pvp",15,MAX(0.1,Skills!D12-IF(Skills!E12=TRUE,Inputs!$B$32,0))),0)</f>
        <v/>
      </c>
      <c r="R922">
        <f>IF(AND(Inputs!$B$38&lt;&gt;"pvp",Inputs!$B$43&gt;0),IF(MAX(0,Inputs!$B$43-B944)&lt;=0,0,(INT(MAX(0,Inputs!$B$43-B944)/IF(Inputs!$B$38="pvp",15,MAX(0.1,Skills!D12-IF(Skills!E12=TRUE,Inputs!$B$32,0))))+1)),0)</f>
        <v/>
      </c>
      <c r="S922">
        <f>IF(C922,(H922*N922*IF(AND(Inputs!$B$38&lt;&gt;"pvp",Inputs!$B$43&gt;0),((Skills!F12*((R922-1)*IF(Skills!G12&gt;0,Skills!H12/Skills!G12,1)+IF(Skills!G12&gt;0,MIN(Skills!H12,MAX(0,MAX(0,Inputs!$B$43-B944)-((R922-1)*IF(Inputs!$B$38="pvp",15,MAX(0.1,Skills!D12-IF(Skills!E12=TRUE,Inputs!$B$32,0))))))/Skills!G12,1)))/Inputs!$B$43),G922*Q922))*IF(Inputs!$B$38="pvp",1,1+(Inputs!$B$20+Skills!O12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930-Calc!F20)+(F929-Calc!F19))+(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F12*((R922-1)*IF(Skills!G12&gt;0,Skills!H12/Skills!G12,1)+IF(Skills!G12&gt;0,MIN(Skills!H12,MAX(0,MAX(0,Inputs!$B$43-B944)-((R922-1)*IF(Inputs!$B$38="pvp",15,MAX(0.1,Skills!D12-IF(Skills!E12=TRUE,Inputs!$B$32,0))))))/Skills!G12,1)))/Inputs!$B$43),G922*Q922))*IF(Inputs!$B$38="pvp",1,(1+(Inputs!$B$21+Skills!P12+B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Skills!A13</f>
        <v/>
      </c>
      <c r="B923">
        <f>Skills!B13</f>
        <v/>
      </c>
      <c r="C923">
        <f>Inputs!$B$3&gt;=49</f>
        <v/>
      </c>
      <c r="D923">
        <f>IF(Skills!C13=1,60+Inputs!$B$25+Inputs!$B$29,IF(Skills!C13=2,90+Inputs!$B$26+Inputs!$B$29,IF(Skills!C13=3,120+Inputs!$B$27+Inputs!$B$29,MAX(0,(Inputs!$B$3-100)*3)+Inputs!$B$28+Inputs!$B$29)))</f>
        <v/>
      </c>
      <c r="E923">
        <f>INDEX(FactorTable!$B$2:$Y$301, MATCH(ROUND(MIN(300,MAX(1,D923)),0), FactorTable!$A$2:$A$301,0), Skills!L13+1)</f>
        <v/>
      </c>
      <c r="F923">
        <f>IF(Skills!M13=TRUE,(Skills!K13/10)*(E923/1000),Skills!K13/10)+Skills!N13</f>
        <v/>
      </c>
      <c r="G923">
        <f>Calc!G13</f>
        <v/>
      </c>
      <c r="H923">
        <f>Calc!H13</f>
        <v/>
      </c>
      <c r="I923">
        <f>IF(Skills!T13&lt;&gt;"",1+(Skills!T13/10)*(Z913/1000)/100,1)</f>
        <v/>
      </c>
      <c r="J923" t="inlineStr"/>
      <c r="K923" t="inlineStr"/>
      <c r="L923" t="inlineStr"/>
      <c r="M923" t="inlineStr"/>
      <c r="N923" t="inlineStr"/>
      <c r="O923">
        <f>(1-Summary!$B$11)*S923+Summary!$B$11*U923</f>
        <v/>
      </c>
      <c r="P923">
        <f>IF(B947=0,0,O923/B947)</f>
        <v/>
      </c>
      <c r="Q923">
        <f>IFERROR(1/IF(Inputs!$B$38="pvp",15,MAX(0.1,Skills!D13-IF(Skills!E13=TRUE,Inputs!$B$32,0))),0)</f>
        <v/>
      </c>
      <c r="R923" t="n">
        <v>0</v>
      </c>
      <c r="S923" t="n">
        <v>0</v>
      </c>
      <c r="U923" t="n">
        <v>0</v>
      </c>
    </row>
    <row r="924">
      <c r="A924">
        <f>Skills!A14</f>
        <v/>
      </c>
      <c r="B924">
        <f>Skills!B14</f>
        <v/>
      </c>
      <c r="C924">
        <f>Inputs!$B$3&gt;=72</f>
        <v/>
      </c>
      <c r="D924">
        <f>IF(Skills!C14=1,60+Inputs!$B$25+Inputs!$B$29,IF(Skills!C14=2,90+Inputs!$B$26+Inputs!$B$29,IF(Skills!C14=3,120+Inputs!$B$27+Inputs!$B$29,MAX(0,(Inputs!$B$3-100)*3)+Inputs!$B$28+Inputs!$B$29)))</f>
        <v/>
      </c>
      <c r="E924">
        <f>INDEX(FactorTable!$B$2:$Y$301, MATCH(ROUND(MIN(300,MAX(1,D924)),0), FactorTable!$A$2:$A$301,0), Skills!L14+1)</f>
        <v/>
      </c>
      <c r="F924">
        <f>IF(Skills!M14=TRUE,(Skills!K14/10)*(E924/1000),Skills!K14/10)+Skills!N14</f>
        <v/>
      </c>
      <c r="G924">
        <f>Calc!G14</f>
        <v/>
      </c>
      <c r="H924">
        <f>Calc!H14</f>
        <v/>
      </c>
      <c r="I924">
        <f>IF(Skills!T14&lt;&gt;"",1+(Skills!T14/10)*(Z913/1000)/100,1)</f>
        <v/>
      </c>
      <c r="J924" t="inlineStr"/>
      <c r="K924" t="inlineStr"/>
      <c r="L924" t="inlineStr"/>
      <c r="M924" t="inlineStr"/>
      <c r="N924" t="inlineStr"/>
      <c r="O924">
        <f>(1-Summary!$B$11)*S924+Summary!$B$11*U924</f>
        <v/>
      </c>
      <c r="P924">
        <f>IF(B947=0,0,O924/B947)</f>
        <v/>
      </c>
      <c r="Q924">
        <f>IFERROR(1/IF(Inputs!$B$38="pvp",15,MAX(0.1,Skills!D14-IF(Skills!E14=TRUE,Inputs!$B$32,0))),0)</f>
        <v/>
      </c>
      <c r="R924" t="n">
        <v>0</v>
      </c>
      <c r="S924" t="n">
        <v>0</v>
      </c>
      <c r="U924" t="n">
        <v>0</v>
      </c>
    </row>
    <row r="925">
      <c r="A925">
        <f>Skills!A15</f>
        <v/>
      </c>
      <c r="B925">
        <f>Skills!B15</f>
        <v/>
      </c>
      <c r="C925">
        <f>Inputs!$B$3&gt;=75</f>
        <v/>
      </c>
      <c r="D925">
        <f>IF(Skills!C15=1,60+Inputs!$B$25+Inputs!$B$29,IF(Skills!C15=2,90+Inputs!$B$26+Inputs!$B$29,IF(Skills!C15=3,120+Inputs!$B$27+Inputs!$B$29,MAX(0,(Inputs!$B$3-100)*3)+Inputs!$B$28+Inputs!$B$29)))</f>
        <v/>
      </c>
      <c r="E925">
        <f>INDEX(FactorTable!$B$2:$Y$301, MATCH(ROUND(MIN(300,MAX(1,D925)),0), FactorTable!$A$2:$A$301,0), Skills!L15+1)</f>
        <v/>
      </c>
      <c r="F925">
        <f>IF(Skills!M15=TRUE,(Skills!K15/10)*(E925/1000),Skills!K15/10)+Skills!N15</f>
        <v/>
      </c>
      <c r="G925">
        <f>Calc!G15</f>
        <v/>
      </c>
      <c r="H925">
        <f>Calc!H15</f>
        <v/>
      </c>
      <c r="I925">
        <f>IF(Skills!T15&lt;&gt;"",1+(Skills!T15/10)*(Z913/1000)/100,1)</f>
        <v/>
      </c>
      <c r="J925" t="inlineStr"/>
      <c r="K925" t="inlineStr"/>
      <c r="L925" t="inlineStr"/>
      <c r="M925" t="inlineStr"/>
      <c r="N925" t="inlineStr"/>
      <c r="O925">
        <f>(1-Summary!$B$11)*S925+Summary!$B$11*U925</f>
        <v/>
      </c>
      <c r="P925">
        <f>IF(B947=0,0,O925/B947)</f>
        <v/>
      </c>
      <c r="Q925">
        <f>IFERROR(1/IF(Inputs!$B$38="pvp",15,MAX(0.1,Skills!D15-IF(Skills!E15=TRUE,Inputs!$B$32,0))),0)</f>
        <v/>
      </c>
      <c r="R925" t="n">
        <v>0</v>
      </c>
      <c r="S925" t="n">
        <v>0</v>
      </c>
      <c r="U925" t="n">
        <v>0</v>
      </c>
    </row>
    <row r="926">
      <c r="A926">
        <f>Skills!A16</f>
        <v/>
      </c>
      <c r="B926">
        <f>Skills!B16</f>
        <v/>
      </c>
      <c r="C926">
        <f>Inputs!$B$3&gt;=110</f>
        <v/>
      </c>
      <c r="D926">
        <f>IF(Skills!C16=1,60+Inputs!$B$25+Inputs!$B$29,IF(Skills!C16=2,90+Inputs!$B$26+Inputs!$B$29,IF(Skills!C16=3,120+Inputs!$B$27+Inputs!$B$29,MAX(0,(Inputs!$B$3-100)*3)+Inputs!$B$28+Inputs!$B$29)))</f>
        <v/>
      </c>
      <c r="E926">
        <f>INDEX(FactorTable!$B$2:$Y$301, MATCH(ROUND(MIN(300,MAX(1,D926)),0), FactorTable!$A$2:$A$301,0), Skills!L16+1)</f>
        <v/>
      </c>
      <c r="F926">
        <f>(Skills!K16/10)*(E926/1000)*64/45+Skills!N16</f>
        <v/>
      </c>
      <c r="G926">
        <f>Calc!G16</f>
        <v/>
      </c>
      <c r="H926">
        <f>Calc!H16</f>
        <v/>
      </c>
      <c r="I926">
        <f>IF(Skills!T16&lt;&gt;"",1+(Skills!T16/10)*(Z913/1000)/100,1)</f>
        <v/>
      </c>
      <c r="J926" t="inlineStr"/>
      <c r="K926" t="inlineStr"/>
      <c r="L926" t="inlineStr"/>
      <c r="M926" t="inlineStr"/>
      <c r="N926" t="inlineStr"/>
      <c r="O926">
        <f>(1-Summary!$B$11)*S926+Summary!$B$11*U926</f>
        <v/>
      </c>
      <c r="P926">
        <f>IF(B947=0,0,O926/B947)</f>
        <v/>
      </c>
      <c r="Q926">
        <f>IFERROR(1/IF(Inputs!$B$38="pvp",15,MAX(0.1,Skills!D16-IF(Skills!E16=TRUE,Inputs!$B$32,0))),0)</f>
        <v/>
      </c>
      <c r="R926">
        <f>IF(AND(Inputs!$B$38&lt;&gt;"pvp",Inputs!$B$43&gt;0),IF(Inputs!$B$43&lt;=0,0,(INT(Inputs!$B$43/IF(Inputs!$B$38="pvp",15,MAX(0.1,Skills!D16-IF(Skills!E16=TRUE,Inputs!$B$32,0))))+1)),0)</f>
        <v/>
      </c>
      <c r="S926" t="n">
        <v>0</v>
      </c>
      <c r="U926" t="n">
        <v>0</v>
      </c>
    </row>
    <row r="927">
      <c r="A927">
        <f>Skills!A17</f>
        <v/>
      </c>
      <c r="B927">
        <f>Skills!B17</f>
        <v/>
      </c>
      <c r="C927">
        <f>Inputs!$B$3&gt;=33</f>
        <v/>
      </c>
      <c r="D927">
        <f>IF(Skills!C17=1,60+Inputs!$B$25+Inputs!$B$29,IF(Skills!C17=2,90+Inputs!$B$26+Inputs!$B$29,IF(Skills!C17=3,120+Inputs!$B$27+Inputs!$B$29,MAX(0,(Inputs!$B$3-100)*3)+Inputs!$B$28+Inputs!$B$29)))</f>
        <v/>
      </c>
      <c r="E927">
        <f>INDEX(FactorTable!$B$2:$Y$301, MATCH(ROUND(MIN(300,MAX(1,D927)),0), FactorTable!$A$2:$A$301,0), Skills!L17+1)</f>
        <v/>
      </c>
      <c r="F927">
        <f>IF(Skills!M17=TRUE,(Skills!K17/10)*(E927/1000),Skills!K17/10)+Skills!N17</f>
        <v/>
      </c>
      <c r="G927">
        <f>Calc!G17</f>
        <v/>
      </c>
      <c r="H927">
        <f>Calc!H17</f>
        <v/>
      </c>
      <c r="I927">
        <f>IF(Skills!T17&lt;&gt;"",1+(Skills!T17/10)*(Z913/1000)/100,1)</f>
        <v/>
      </c>
      <c r="J927" t="inlineStr"/>
      <c r="K927" t="inlineStr"/>
      <c r="L927" t="inlineStr"/>
      <c r="M927" t="inlineStr"/>
      <c r="N927" t="inlineStr"/>
      <c r="O927">
        <f>(1-Summary!$B$11)*S927+Summary!$B$11*U927</f>
        <v/>
      </c>
      <c r="P927">
        <f>IF(B947=0,0,O927/B947)</f>
        <v/>
      </c>
      <c r="Q927">
        <f>IFERROR(1/IF(Inputs!$B$38="pvp",15,MAX(0.1,Skills!D17-IF(Skills!E17=TRUE,Inputs!$B$32,0))),0)</f>
        <v/>
      </c>
      <c r="R927" t="n">
        <v>0</v>
      </c>
      <c r="S927" t="n">
        <v>0</v>
      </c>
      <c r="U927" t="n">
        <v>0</v>
      </c>
    </row>
    <row r="928">
      <c r="A928">
        <f>Skills!A18</f>
        <v/>
      </c>
      <c r="B928">
        <f>Skills!B18</f>
        <v/>
      </c>
      <c r="C928">
        <f>Inputs!$B$3&gt;=43</f>
        <v/>
      </c>
      <c r="D928">
        <f>IF(Skills!C18=1,60+Inputs!$B$25+Inputs!$B$29,IF(Skills!C18=2,90+Inputs!$B$26+Inputs!$B$29,IF(Skills!C18=3,120+Inputs!$B$27+Inputs!$B$29,MAX(0,(Inputs!$B$3-100)*3)+Inputs!$B$28+Inputs!$B$29)))</f>
        <v/>
      </c>
      <c r="E928">
        <f>INDEX(FactorTable!$B$2:$Y$301, MATCH(ROUND(MIN(300,MAX(1,D928)),0), FactorTable!$A$2:$A$301,0), Skills!L18+1)</f>
        <v/>
      </c>
      <c r="F928">
        <f>IF(Skills!M18=TRUE,(Skills!K18/10)*(E928/1000),Skills!K18/10)+Skills!N18</f>
        <v/>
      </c>
      <c r="G928">
        <f>Calc!G18</f>
        <v/>
      </c>
      <c r="H928">
        <f>Calc!H18</f>
        <v/>
      </c>
      <c r="I928">
        <f>IF(Skills!T18&lt;&gt;"",1+(Skills!T18/10)*(Z913/1000)/100,1)</f>
        <v/>
      </c>
      <c r="J928" t="inlineStr"/>
      <c r="K928" t="inlineStr"/>
      <c r="L928" t="inlineStr"/>
      <c r="M928" t="inlineStr"/>
      <c r="N928" t="inlineStr"/>
      <c r="O928">
        <f>(1-Summary!$B$11)*S928+Summary!$B$11*U928</f>
        <v/>
      </c>
      <c r="P928">
        <f>IF(B947=0,0,O928/B947)</f>
        <v/>
      </c>
      <c r="Q928">
        <f>IFERROR(1/IF(Inputs!$B$38="pvp",15,MAX(0.1,Skills!D18-IF(Skills!E18=TRUE,Inputs!$B$32,0))),0)</f>
        <v/>
      </c>
      <c r="R928" t="n">
        <v>0</v>
      </c>
      <c r="S928" t="n">
        <v>0</v>
      </c>
      <c r="U928" t="n">
        <v>0</v>
      </c>
    </row>
    <row r="929">
      <c r="A929">
        <f>Skills!A19</f>
        <v/>
      </c>
      <c r="B929">
        <f>Skills!B19</f>
        <v/>
      </c>
      <c r="C929">
        <f>Inputs!$B$3&gt;=50</f>
        <v/>
      </c>
      <c r="D929">
        <f>IF(Skills!C19=1,60+Inputs!$B$25+Inputs!$B$29,IF(Skills!C19=2,90+Inputs!$B$26+Inputs!$B$29,IF(Skills!C19=3,120+Inputs!$B$27+Inputs!$B$29,MAX(0,(Inputs!$B$3-100)*3)+Inputs!$B$28+Inputs!$B$29)))</f>
        <v/>
      </c>
      <c r="E929">
        <f>INDEX(FactorTable!$B$2:$Y$301, MATCH(ROUND(MIN(300,MAX(1,D929)),0), FactorTable!$A$2:$A$301,0), Skills!L19+1)</f>
        <v/>
      </c>
      <c r="F929">
        <f>IF(Skills!M19=TRUE,(Skills!K19/10)*(E929/1000),Skills!K19/10)+Skills!N19</f>
        <v/>
      </c>
      <c r="G929">
        <f>Calc!G19</f>
        <v/>
      </c>
      <c r="H929">
        <f>Calc!H19</f>
        <v/>
      </c>
      <c r="I929">
        <f>IF(Skills!T19&lt;&gt;"",1+(Skills!T19/10)*(Z913/1000)/100,1)</f>
        <v/>
      </c>
      <c r="J929" t="inlineStr"/>
      <c r="K929" t="inlineStr"/>
      <c r="L929" t="inlineStr"/>
      <c r="M929" t="inlineStr"/>
      <c r="N929" t="inlineStr"/>
      <c r="O929">
        <f>(1-Summary!$B$11)*S929+Summary!$B$11*U929</f>
        <v/>
      </c>
      <c r="P929">
        <f>IF(B947=0,0,O929/B947)</f>
        <v/>
      </c>
      <c r="Q929">
        <f>IFERROR(1/IF(Inputs!$B$38="pvp",15,MAX(0.1,Skills!D19-IF(Skills!E19=TRUE,Inputs!$B$32,0))),0)</f>
        <v/>
      </c>
      <c r="R929" t="n">
        <v>0</v>
      </c>
      <c r="S929" t="n">
        <v>0</v>
      </c>
      <c r="U929" t="n">
        <v>0</v>
      </c>
    </row>
    <row r="930">
      <c r="A930">
        <f>Skills!A20</f>
        <v/>
      </c>
      <c r="B930">
        <f>Skills!B20</f>
        <v/>
      </c>
      <c r="C930">
        <f>Inputs!$B$3&gt;=74</f>
        <v/>
      </c>
      <c r="D930">
        <f>IF(Skills!C20=1,60+Inputs!$B$25+Inputs!$B$29,IF(Skills!C20=2,90+Inputs!$B$26+Inputs!$B$29,IF(Skills!C20=3,120+Inputs!$B$27+Inputs!$B$29,MAX(0,(Inputs!$B$3-100)*3)+Inputs!$B$28+Inputs!$B$29)))</f>
        <v/>
      </c>
      <c r="E930">
        <f>INDEX(FactorTable!$B$2:$Y$301, MATCH(ROUND(MIN(300,MAX(1,D930)),0), FactorTable!$A$2:$A$301,0), Skills!L20+1)</f>
        <v/>
      </c>
      <c r="F930">
        <f>IF(Skills!M20=TRUE,(Skills!K20/10)*(E930/1000),Skills!K20/10)+Skills!N20</f>
        <v/>
      </c>
      <c r="G930">
        <f>Calc!G20</f>
        <v/>
      </c>
      <c r="H930">
        <f>Calc!H20</f>
        <v/>
      </c>
      <c r="I930">
        <f>IF(Skills!T20&lt;&gt;"",1+(Skills!T20/10)*(Z913/1000)/100,1)</f>
        <v/>
      </c>
      <c r="J930" t="inlineStr"/>
      <c r="K930" t="inlineStr"/>
      <c r="L930" t="inlineStr"/>
      <c r="M930" t="inlineStr"/>
      <c r="N930" t="inlineStr"/>
      <c r="O930">
        <f>(1-Summary!$B$11)*S930+Summary!$B$11*U930</f>
        <v/>
      </c>
      <c r="P930">
        <f>IF(B947=0,0,O930/B947)</f>
        <v/>
      </c>
      <c r="Q930">
        <f>IFERROR(1/IF(Inputs!$B$38="pvp",15,MAX(0.1,Skills!D20-IF(Skills!E20=TRUE,Inputs!$B$32,0))),0)</f>
        <v/>
      </c>
      <c r="R930" t="n">
        <v>0</v>
      </c>
      <c r="S930" t="n">
        <v>0</v>
      </c>
      <c r="U930" t="n">
        <v>0</v>
      </c>
    </row>
    <row r="931">
      <c r="A931">
        <f>Skills!A21</f>
        <v/>
      </c>
      <c r="B931">
        <f>Skills!B21</f>
        <v/>
      </c>
      <c r="C931">
        <f>Inputs!$B$3&gt;=74</f>
        <v/>
      </c>
      <c r="D931">
        <f>IF(Skills!C21=1,60+Inputs!$B$25+Inputs!$B$29,IF(Skills!C21=2,90+Inputs!$B$26+Inputs!$B$29,IF(Skills!C21=3,120+Inputs!$B$27+Inputs!$B$29,MAX(0,(Inputs!$B$3-100)*3)+Inputs!$B$28+Inputs!$B$29)))</f>
        <v/>
      </c>
      <c r="E931">
        <f>INDEX(FactorTable!$B$2:$Y$301, MATCH(ROUND(MIN(300,MAX(1,D931)),0), FactorTable!$A$2:$A$301,0), Skills!L21+1)</f>
        <v/>
      </c>
      <c r="F931">
        <f>IF(Skills!M21=TRUE,(Skills!K21/10)*(E931/1000),Skills!K21/10)+Skills!N21</f>
        <v/>
      </c>
      <c r="G931">
        <f>Calc!G21</f>
        <v/>
      </c>
      <c r="H931">
        <f>Calc!H21</f>
        <v/>
      </c>
      <c r="I931">
        <f>IF(Skills!T21&lt;&gt;"",1+(Skills!T21/10)*(Z913/1000)/100,1)</f>
        <v/>
      </c>
      <c r="J931" t="inlineStr"/>
      <c r="K931" t="inlineStr"/>
      <c r="L931" t="inlineStr"/>
      <c r="M931" t="inlineStr"/>
      <c r="N931" t="inlineStr"/>
      <c r="O931">
        <f>(1-Summary!$B$11)*S931+Summary!$B$11*U931</f>
        <v/>
      </c>
      <c r="P931">
        <f>IF(B947=0,0,O931/B947)</f>
        <v/>
      </c>
      <c r="Q931">
        <f>IFERROR(1/IF(Inputs!$B$38="pvp",15,MAX(0.1,Skills!D21-IF(Skills!E21=TRUE,Inputs!$B$32,0))),0)</f>
        <v/>
      </c>
      <c r="R931" t="n">
        <v>0</v>
      </c>
      <c r="S931" t="n">
        <v>0</v>
      </c>
      <c r="U931" t="n">
        <v>0</v>
      </c>
    </row>
    <row r="932">
      <c r="A932">
        <f>Skills!A22</f>
        <v/>
      </c>
      <c r="B932">
        <f>Skills!B22</f>
        <v/>
      </c>
      <c r="C932">
        <f>Inputs!$B$3&gt;=117</f>
        <v/>
      </c>
      <c r="D932">
        <f>IF(Skills!C22=1,60+Inputs!$B$25+Inputs!$B$29,IF(Skills!C22=2,90+Inputs!$B$26+Inputs!$B$29,IF(Skills!C22=3,120+Inputs!$B$27+Inputs!$B$29,MAX(0,(Inputs!$B$3-100)*3)+Inputs!$B$28+Inputs!$B$29)))</f>
        <v/>
      </c>
      <c r="E932">
        <f>INDEX(FactorTable!$B$2:$Y$301, MATCH(ROUND(MIN(300,MAX(1,D932)),0), FactorTable!$A$2:$A$301,0), Skills!L22+1)</f>
        <v/>
      </c>
      <c r="F932">
        <f>IF(Skills!M22=TRUE,(Skills!K22/10)*(E932/1000),Skills!K22/10)+Skills!N22</f>
        <v/>
      </c>
      <c r="G932">
        <f>Calc!G22</f>
        <v/>
      </c>
      <c r="H932">
        <f>Calc!H22</f>
        <v/>
      </c>
      <c r="I932">
        <f>IF(Skills!T22&lt;&gt;"",1+(Skills!T22/10)*(Z913/1000)/100,1)</f>
        <v/>
      </c>
      <c r="J932" t="inlineStr"/>
      <c r="K932" t="inlineStr"/>
      <c r="L932" t="inlineStr"/>
      <c r="M932" t="inlineStr"/>
      <c r="N932" t="inlineStr"/>
      <c r="O932">
        <f>(1-Summary!$B$11)*S932+Summary!$B$11*U932</f>
        <v/>
      </c>
      <c r="P932">
        <f>IF(B947=0,0,O932/B947)</f>
        <v/>
      </c>
      <c r="Q932">
        <f>IFERROR(1/IF(Inputs!$B$38="pvp",15,MAX(0.1,Skills!D22-IF(Skills!E22=TRUE,Inputs!$B$32,0))),0)</f>
        <v/>
      </c>
      <c r="R932" t="n">
        <v>0</v>
      </c>
      <c r="S932" t="n">
        <v>0</v>
      </c>
      <c r="U932" t="n">
        <v>0</v>
      </c>
    </row>
    <row r="933">
      <c r="A933">
        <f>Skills!A23</f>
        <v/>
      </c>
      <c r="B933">
        <f>Skills!B23</f>
        <v/>
      </c>
      <c r="C933">
        <f>Inputs!$B$3&gt;=120</f>
        <v/>
      </c>
      <c r="D933">
        <f>IF(Skills!C23=1,60+Inputs!$B$25+Inputs!$B$29,IF(Skills!C23=2,90+Inputs!$B$26+Inputs!$B$29,IF(Skills!C23=3,120+Inputs!$B$27+Inputs!$B$29,MAX(0,(Inputs!$B$3-100)*3)+Inputs!$B$28+Inputs!$B$29)))</f>
        <v/>
      </c>
      <c r="E933">
        <f>INDEX(FactorTable!$B$2:$Y$301, MATCH(ROUND(MIN(300,MAX(1,D933)),0), FactorTable!$A$2:$A$301,0), Skills!L23+1)</f>
        <v/>
      </c>
      <c r="F933">
        <f>IF(Skills!M23=TRUE,(Skills!K23/10)*(E933/1000),Skills!K23/10)+Skills!N23</f>
        <v/>
      </c>
      <c r="G933">
        <f>Calc!G23</f>
        <v/>
      </c>
      <c r="H933">
        <f>Calc!H23</f>
        <v/>
      </c>
      <c r="I933">
        <f>IF(Skills!T23&lt;&gt;"",1+(Skills!T23/10)*(Z913/1000)/100,1)</f>
        <v/>
      </c>
      <c r="J933" t="inlineStr"/>
      <c r="K933" t="inlineStr"/>
      <c r="L933" t="inlineStr"/>
      <c r="M933" t="inlineStr"/>
      <c r="N933" t="inlineStr"/>
      <c r="O933">
        <f>(1-Summary!$B$11)*S933+Summary!$B$11*U933</f>
        <v/>
      </c>
      <c r="P933">
        <f>IF(B947=0,0,O933/B947)</f>
        <v/>
      </c>
      <c r="Q933">
        <f>IFERROR(1/IF(Inputs!$B$38="pvp",15,MAX(0.1,Skills!D23-IF(Skills!E23=TRUE,Inputs!$B$32,0))),0)</f>
        <v/>
      </c>
      <c r="R933" t="n">
        <v>0</v>
      </c>
      <c r="S933" t="n">
        <v>0</v>
      </c>
      <c r="U933" t="n">
        <v>0</v>
      </c>
    </row>
    <row r="934">
      <c r="A934">
        <f>Skills!A24</f>
        <v/>
      </c>
      <c r="B934">
        <f>Skills!B24</f>
        <v/>
      </c>
      <c r="C934">
        <f>TRUE</f>
        <v/>
      </c>
      <c r="D934">
        <f>IF(Skills!C24=1,60+Inputs!$B$25+Inputs!$B$29,IF(Skills!C24=2,90+Inputs!$B$26+Inputs!$B$29,IF(Skills!C24=3,120+Inputs!$B$27+Inputs!$B$29,MAX(0,(Inputs!$B$3-100)*3)+Inputs!$B$28+Inputs!$B$29)))</f>
        <v/>
      </c>
      <c r="E934">
        <f>INDEX(FactorTable!$B$2:$Y$301, MATCH(ROUND(MIN(300,MAX(1,D934)),0), FactorTable!$A$2:$A$301,0), Skills!L24+1)</f>
        <v/>
      </c>
      <c r="F934">
        <f>IF(Skills!M24=TRUE,(Skills!K24/10)*(E934/1000),Skills!K24/10)+Skills!N24</f>
        <v/>
      </c>
      <c r="G934">
        <f>Calc!G24</f>
        <v/>
      </c>
      <c r="H934">
        <f>Calc!H24</f>
        <v/>
      </c>
      <c r="I934">
        <f>IF(Skills!T24&lt;&gt;"",1+(Skills!T24/10)*(Z913/1000)/100,1)</f>
        <v/>
      </c>
      <c r="J934" t="inlineStr"/>
      <c r="K934" t="inlineStr"/>
      <c r="L934" t="inlineStr"/>
      <c r="M934" t="inlineStr"/>
      <c r="N934" t="inlineStr"/>
      <c r="O934">
        <f>(1-Summary!$B$11)*S934+Summary!$B$11*U934</f>
        <v/>
      </c>
      <c r="P934">
        <f>IF(B947=0,0,O934/B947)</f>
        <v/>
      </c>
      <c r="Q934">
        <f>IFERROR(1/IF(Inputs!$B$38="pvp",15,MAX(0.1,Skills!D24-IF(Skills!E24=TRUE,Inputs!$B$32,0))),0)</f>
        <v/>
      </c>
      <c r="R934">
        <f>IF(AND(Inputs!$B$38&lt;&gt;"pvp",Inputs!$B$43&gt;0),IF(Inputs!$B$43&lt;=0,0,(INT(Inputs!$B$43/IF(Inputs!$B$38="pvp",15,MAX(0.1,Skills!D24-IF(Skills!E24=TRUE,Inputs!$B$32,0))))+1)),0)</f>
        <v/>
      </c>
      <c r="S934" t="n">
        <v>0</v>
      </c>
      <c r="U934" t="n">
        <v>0</v>
      </c>
    </row>
    <row r="937">
      <c r="A937" t="inlineStr">
        <is>
          <t>Average Buff Multiplier (Magic Guard + Meditation + Artifact Attack%, summed; then Infinity)</t>
        </is>
      </c>
      <c r="B937">
        <f>(1+(IF(C913=TRUE,F913*IF(AND(Inputs!$B$38&lt;&gt;"pvp",Inputs!$B$43&gt;0),(((R913-1)*(Skills!S3*(1+(Inputs!$B$34)/100))+MIN((Skills!S3*(1+(Inputs!$B$34)/100)),MAX(0,Inputs!$B$43-((R913-1)*Skills!D3))))/Inputs!$B$43),IF(Inputs!$B$38="pvp",MIN((Skills!S3*(1+(Inputs!$B$34)/100)),15)/15,(Skills!S3*(1+(Inputs!$B$34)/100))/Skills!D3)),0)+IF(C914=TRUE,F914*IF(AND(Inputs!$B$38&lt;&gt;"pvp",Inputs!$B$43&gt;0),(((R914-1)*(Skills!S4*(1+(Inputs!$B$34)/100))+MIN((Skills!S4*(1+(Inputs!$B$34)/100)),MAX(0,Inputs!$B$43-((R914-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926=TRUE,(1+F926*IF(AND(Inputs!$B$38&lt;&gt;"pvp",Inputs!$B$43&gt;0),(((R926-1)*(Skills!S16*(1+(Inputs!$B$34)/100))+MIN((Skills!S16*(1+(Inputs!$B$34)/100)),MAX(0,Inputs!$B$43-((R926-1)*Skills!D16))))/Inputs!$B$43),IF(Inputs!$B$38="pvp",MIN((Skills!S16*(1+(Inputs!$B$34)/100)),15)/15,(Skills!S16*(1+(Inputs!$B$34)/100))/Skills!D16))/100),1)</f>
        <v/>
      </c>
    </row>
    <row r="938">
      <c r="A938" t="inlineStr">
        <is>
          <t>Monster Damage Taken Bonus % (Freezing Breath - Weaken + Elemental Reset + Artifact Enemy Damage Taken, summed)</t>
        </is>
      </c>
      <c r="B938">
        <f>IF(Inputs!$B$3&gt;=118,15*IF(Inputs!$B$38="pvp",MIN((30*(1+(Inputs!$B$34)/100)),15)/15,(30*(1+(Inputs!$B$34)/100))/Skills!D8),0)+IF(C924=TRUE,F924,0)+(IF(AND(ArtifactsInput!$M$35,Inputs!$B$4&lt;&gt;"Chapter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f>
        <v/>
      </c>
    </row>
    <row r="939">
      <c r="A939" t="inlineStr">
        <is>
          <t>Damage % Bonus (Frozen Break + Frost Clutch, flat)</t>
        </is>
      </c>
      <c r="B939">
        <f>IF(Inputs!$B$3&gt;=66,15,0)+IF(Inputs!$B$3&gt;=98,10,0)+IF(Inputs!$B$3&gt;=125,20,0)</f>
        <v/>
      </c>
    </row>
    <row r="940">
      <c r="A940" t="inlineStr">
        <is>
          <t>Attack Speed Bonus % (MP Eater - MP Boost, always-on + Nimble Feet, duty-cycle averaged)</t>
        </is>
      </c>
      <c r="B940">
        <f>IF(C923=TRUE,F923+(F927-Calc!F17),0)+((C934=TRUE)*F934*IF(AND(Inputs!$B$38&lt;&gt;"pvp",Inputs!$B$43&gt;0),(((R934-1)*(Skills!S24*(1+(Inputs!$B$34)/100))+MIN((Skills!S24*(1+(Inputs!$B$34)/100)),MAX(0,Inputs!$B$43-((R934-1)*Skills!D24))))/Inputs!$B$43),IF(Inputs!$B$38="pvp",MIN((Skills!S24*(1+(Inputs!$B$34)/100)),15)/15,(Skills!S24*(1+(Inputs!$B$34)/100))/Skills!D24)))</f>
        <v/>
      </c>
    </row>
    <row r="941">
      <c r="A941" t="inlineStr">
        <is>
          <t>Actions Per Second</t>
        </is>
      </c>
      <c r="B941">
        <f>1+MIN(150,150*(1-(1-(Inputs!$B$11+(ArtifactsInput!$M$15-ArtifactsInput!$M$15)*CHOOSE(ArtifactsInput!$N$15+1,8,9.6,11.2,12.8,14.4,16))/150)*(1-B940/150)))/100</f>
        <v/>
      </c>
    </row>
    <row r="942">
      <c r="A942" t="inlineStr">
        <is>
          <t>Skill + Buff Cast Rate</t>
        </is>
      </c>
      <c r="B942">
        <f>IF(AND(Inputs!$B$38&lt;&gt;"pvp",Inputs!$B$43&gt;0),SUMPRODUCT((Skills!E2:E24=TRUE)*(C912:C934=TRUE)*R912:R934)/Inputs!$B$43,SUMPRODUCT((Skills!E2:E24=TRUE)*(C912:C934=TRUE)*Q912:Q934))</f>
        <v/>
      </c>
    </row>
    <row r="943">
      <c r="A943" t="inlineStr">
        <is>
          <t>Chain Lightning Casts Per Second</t>
        </is>
      </c>
      <c r="B943">
        <f>MAX(0,B941-B942)</f>
        <v/>
      </c>
    </row>
    <row r="944">
      <c r="A944" t="inlineStr">
        <is>
          <t>Buff-Casting Startup Delay (s, fixed-duration only)</t>
        </is>
      </c>
      <c r="B944">
        <f>IF(AND(Inputs!$B$38&lt;&gt;"pvp",Inputs!$B$43&gt;0),SUMPRODUCT((Skills!S2:S24&gt;0)*(Skills!E2:E24=TRUE)*(C912:C934=TRUE))/B941,0)</f>
        <v/>
      </c>
    </row>
    <row r="945">
      <c r="A945" t="inlineStr">
        <is>
          <t>Boss-Only Total DPS (this block's swept value)</t>
        </is>
      </c>
      <c r="B945">
        <f>SUM(S912:S934)</f>
        <v/>
      </c>
    </row>
    <row r="946">
      <c r="A946" t="inlineStr">
        <is>
          <t>Normal-Only Total DPS (this block's swept value)</t>
        </is>
      </c>
      <c r="B946">
        <f>SUM(U912:U934)</f>
        <v/>
      </c>
    </row>
    <row r="947">
      <c r="A947" s="6" t="inlineStr">
        <is>
          <t>TOTAL DPS</t>
        </is>
      </c>
      <c r="B947" s="6">
        <f>SUM(O912:O934)</f>
        <v/>
      </c>
    </row>
    <row r="950">
      <c r="A950" s="6" t="inlineStr">
        <is>
          <t>Stat: Skill Cooldown Decrease (seconds)</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Inputs!$B$3&gt;=100</f>
        <v/>
      </c>
      <c r="D952" t="inlineStr"/>
      <c r="E952" t="inlineStr"/>
      <c r="F952">
        <f>T954+Skills!N2</f>
        <v/>
      </c>
      <c r="G952">
        <f>Calc!G2</f>
        <v/>
      </c>
      <c r="H952">
        <f>Calc!H2</f>
        <v/>
      </c>
      <c r="I952">
        <f>IF(Skills!T2&lt;&gt;"",1+(Skills!T2/10)*(Z953/1000)/100,1)</f>
        <v/>
      </c>
      <c r="J952">
        <f>((Inputs!$B$6*(1+Inputs!$B$7/100))+(((Inputs!$B$12*(1+Inputs!$B$13/100))-(Inputs!$B$12*(1+Inputs!$B$13/100)))+0.25*(Inputs!$B$14-Inputs!$B$14))*(1+Inputs!$B$7/100))*(F952/100)</f>
        <v/>
      </c>
      <c r="K952">
        <f>J952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2="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968-Calc!F18),(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IF(B987=0,0,O952/B987)</f>
        <v/>
      </c>
      <c r="Q952">
        <f>IFERROR(1/IF(Inputs!$B$38="pvp",15,MAX(0.1,Skills!D2-IF(Skills!E2=TRUE,(Inputs!$B$32+1),0))),0)</f>
        <v/>
      </c>
      <c r="R952" t="n">
        <v>0</v>
      </c>
      <c r="S952">
        <f>IF(C952,(Skills!F2*N952*B983)*IF(Inputs!$B$38="pvp",1,1+(Inputs!$B$20+Skills!O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2">
        <f>MAX(0,(Inputs!$B$3-100)*3)+Inputs!$B$28+Inputs!$B$29</f>
        <v/>
      </c>
      <c r="U952">
        <f>IF(C952,(Skills!F2*N952*B983)*IF(Inputs!$B$38="pvp",1,(1+(Inputs!$B$21+Skills!P2+B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2">
        <f>MAX(0,(Inputs!$B$3-100)*3)+Inputs!$B$28+Inputs!$B$29</f>
        <v/>
      </c>
    </row>
    <row r="953">
      <c r="A953">
        <f>Skills!A3</f>
        <v/>
      </c>
      <c r="B953">
        <f>Skills!B3</f>
        <v/>
      </c>
      <c r="C953">
        <f>Inputs!$B$3&gt;=15</f>
        <v/>
      </c>
      <c r="D953">
        <f>IF(Skills!C3=1,60+Inputs!$B$25+Inputs!$B$29,IF(Skills!C3=2,90+Inputs!$B$26+Inputs!$B$29,IF(Skills!C3=3,120+Inputs!$B$27+Inputs!$B$29,MAX(0,(Inputs!$B$3-100)*3)+Inputs!$B$28+Inputs!$B$29)))</f>
        <v/>
      </c>
      <c r="E953">
        <f>INDEX(FactorTable!$B$2:$Y$301, MATCH(ROUND(MIN(300,MAX(1,D953)),0), FactorTable!$A$2:$A$301,0), Skills!L3+1)</f>
        <v/>
      </c>
      <c r="F953">
        <f>IF(Skills!M3=TRUE,(Skills!K3/10)*(E953/1000),Skills!K3/10)+Skills!N3</f>
        <v/>
      </c>
      <c r="G953">
        <f>Calc!G3</f>
        <v/>
      </c>
      <c r="H953">
        <f>Calc!H3</f>
        <v/>
      </c>
      <c r="I953">
        <f>IF(Skills!T3&lt;&gt;"",1+(Skills!T3/10)*(Z953/1000)/100,1)</f>
        <v/>
      </c>
      <c r="J953" t="inlineStr"/>
      <c r="K953" t="inlineStr"/>
      <c r="L953" t="inlineStr"/>
      <c r="M953" t="inlineStr"/>
      <c r="N953" t="inlineStr"/>
      <c r="O953">
        <f>(1-Summary!$B$11)*S953+Summary!$B$11*U953</f>
        <v/>
      </c>
      <c r="P953">
        <f>IF(B987=0,0,O953/B987)</f>
        <v/>
      </c>
      <c r="Q953">
        <f>IFERROR(1/IF(Inputs!$B$38="pvp",15,MAX(0.1,Skills!D3-IF(Skills!E3=TRUE,(Inputs!$B$32+1),0))),0)</f>
        <v/>
      </c>
      <c r="R953">
        <f>IF(AND(Inputs!$B$38&lt;&gt;"pvp",Inputs!$B$43&gt;0),IF(Inputs!$B$43&lt;=0,0,(INT(Inputs!$B$43/IF(Inputs!$B$38="pvp",15,MAX(0.1,Skills!D3-IF(Skills!E3=TRUE,(Inputs!$B$32+1),0))))+1)),0)</f>
        <v/>
      </c>
      <c r="S953" t="n">
        <v>0</v>
      </c>
      <c r="T953">
        <f>INDEX(FactorTable!$B$2:$Y$301, MATCH(ROUND(MIN(300,MAX(1,T952)),0), FactorTable!$A$2:$A$301,0), 22)</f>
        <v/>
      </c>
      <c r="U953" t="n">
        <v>0</v>
      </c>
      <c r="Z953">
        <f>INDEX(FactorTable!$B$2:$Y$301, MATCH(ROUND(MIN(300,MAX(1,Z952)),0), FactorTable!$A$2:$A$301,0), 24)</f>
        <v/>
      </c>
    </row>
    <row r="954">
      <c r="A954">
        <f>Skills!A4</f>
        <v/>
      </c>
      <c r="B954">
        <f>Skills!B4</f>
        <v/>
      </c>
      <c r="C954">
        <f>Inputs!$B$3&gt;=40</f>
        <v/>
      </c>
      <c r="D954">
        <f>IF(Skills!C4=1,60+Inputs!$B$25+Inputs!$B$29,IF(Skills!C4=2,90+Inputs!$B$26+Inputs!$B$29,IF(Skills!C4=3,120+Inputs!$B$27+Inputs!$B$29,MAX(0,(Inputs!$B$3-100)*3)+Inputs!$B$28+Inputs!$B$29)))</f>
        <v/>
      </c>
      <c r="E954">
        <f>INDEX(FactorTable!$B$2:$Y$301, MATCH(ROUND(MIN(300,MAX(1,D954)),0), FactorTable!$A$2:$A$301,0), Skills!L4+1)</f>
        <v/>
      </c>
      <c r="F954">
        <f>IF(Skills!M4=TRUE,(Skills!K4/10)*(E954/1000),Skills!K4/10)+Skills!N4</f>
        <v/>
      </c>
      <c r="G954">
        <f>Calc!G4</f>
        <v/>
      </c>
      <c r="H954">
        <f>Calc!H4</f>
        <v/>
      </c>
      <c r="I954">
        <f>IF(Skills!T4&lt;&gt;"",1+(Skills!T4/10)*(Z953/1000)/100,1)</f>
        <v/>
      </c>
      <c r="J954" t="inlineStr"/>
      <c r="K954" t="inlineStr"/>
      <c r="L954" t="inlineStr"/>
      <c r="M954" t="inlineStr"/>
      <c r="N954" t="inlineStr"/>
      <c r="O954">
        <f>(1-Summary!$B$11)*S954+Summary!$B$11*U954</f>
        <v/>
      </c>
      <c r="P954">
        <f>IF(B987=0,0,O954/B987)</f>
        <v/>
      </c>
      <c r="Q954">
        <f>IFERROR(1/IF(Inputs!$B$38="pvp",15,MAX(0.1,Skills!D4-IF(Skills!E4=TRUE,(Inputs!$B$32+1),0))),0)</f>
        <v/>
      </c>
      <c r="R954">
        <f>IF(AND(Inputs!$B$38&lt;&gt;"pvp",Inputs!$B$43&gt;0),IF(Inputs!$B$43&lt;=0,0,(INT(Inputs!$B$43/IF(Inputs!$B$38="pvp",15,MAX(0.1,Skills!D4-IF(Skills!E4=TRUE,(Inputs!$B$32+1),0))))+1)),0)</f>
        <v/>
      </c>
      <c r="S954" t="n">
        <v>0</v>
      </c>
      <c r="T954">
        <f>290*T953/1000</f>
        <v/>
      </c>
      <c r="U954" t="n">
        <v>0</v>
      </c>
    </row>
    <row r="955">
      <c r="A955">
        <f>Skills!A5</f>
        <v/>
      </c>
      <c r="B955">
        <f>Skills!B5</f>
        <v/>
      </c>
      <c r="C955">
        <f>Inputs!$B$3&gt;=38</f>
        <v/>
      </c>
      <c r="D955">
        <f>IF(Skills!C5=1,60+Inputs!$B$25+Inputs!$B$29,IF(Skills!C5=2,90+Inputs!$B$26+Inputs!$B$29,IF(Skills!C5=3,120+Inputs!$B$27+Inputs!$B$29,MAX(0,(Inputs!$B$3-100)*3)+Inputs!$B$28+Inputs!$B$29)))</f>
        <v/>
      </c>
      <c r="E955">
        <f>INDEX(FactorTable!$B$2:$Y$301, MATCH(ROUND(MIN(300,MAX(1,D955)),0), FactorTable!$A$2:$A$301,0), Skills!L5+1)</f>
        <v/>
      </c>
      <c r="F955">
        <f>IF(Skills!M5=TRUE,(Skills!K5/10)*(E955/1000),Skills!K5/10)+Skills!N5</f>
        <v/>
      </c>
      <c r="G955">
        <f>Calc!G5</f>
        <v/>
      </c>
      <c r="H955">
        <f>Calc!H5</f>
        <v/>
      </c>
      <c r="I955">
        <f>IF(Skills!T5&lt;&gt;"",1+(Skills!T5/10)*(Z953/1000)/100,1)</f>
        <v/>
      </c>
      <c r="J955">
        <f>((Inputs!$B$6*(1+Inputs!$B$7/100))+(((Inputs!$B$12*(1+Inputs!$B$13/100))-(Inputs!$B$12*(1+Inputs!$B$13/100)))+0.25*(Inputs!$B$14-Inputs!$B$14))*(1+Inputs!$B$7/100))*(F955/100)</f>
        <v/>
      </c>
      <c r="K955">
        <f>J955*(1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5="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968-Calc!F18),(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IF(B987=0,0,O955/B987)</f>
        <v/>
      </c>
      <c r="Q955">
        <f>IFERROR(1/IF(Inputs!$B$38="pvp",15,MAX(0.1,Skills!D5-IF(Skills!E5=TRUE,(Inputs!$B$32+1),0))),0)</f>
        <v/>
      </c>
      <c r="R955">
        <f>IF(AND(Inputs!$B$38&lt;&gt;"pvp",Inputs!$B$43&gt;0),IF(MAX(0,Inputs!$B$43-B984)&lt;=0,0,(INT(MAX(0,Inputs!$B$43-B984)/IF(Inputs!$B$38="pvp",15,MAX(0.1,Skills!D5-IF(Skills!E5=TRUE,(Inputs!$B$32+1),0))))+1)),0)</f>
        <v/>
      </c>
      <c r="S955">
        <f>IF(C955,(H955*N955*IF(AND(Inputs!$B$38&lt;&gt;"pvp",Inputs!$B$43&gt;0),((Skills!F5*((R955-1)*IF(Skills!G5&gt;0,Skills!H5/Skills!G5,1)+IF(Skills!G5&gt;0,MIN(Skills!H5,MAX(0,MAX(0,Inputs!$B$43-B984)-((R955-1)*IF(Inputs!$B$38="pvp",15,MAX(0.1,Skills!D5-IF(Skills!E5=TRUE,(Inputs!$B$32+1),0))))))/Skills!G5,1)))/Inputs!$B$43),G955*Q955))*IF(Inputs!$B$38="pvp",1,1+(Inputs!$B$20+Skills!O5+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F5*((R955-1)*IF(Skills!G5&gt;0,Skills!H5/Skills!G5,1)+IF(Skills!G5&gt;0,MIN(Skills!H5,MAX(0,MAX(0,Inputs!$B$43-B984)-((R955-1)*IF(Inputs!$B$38="pvp",15,MAX(0.1,Skills!D5-IF(Skills!E5=TRUE,(Inputs!$B$32+1),0))))))/Skills!G5,1)))/Inputs!$B$43),G955*Q955))*IF(Inputs!$B$38="pvp",1,(1+(Inputs!$B$21+Skills!P5+B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Inputs!$B$3&gt;=63</f>
        <v/>
      </c>
      <c r="D956">
        <f>IF(Skills!C6=1,60+Inputs!$B$25+Inputs!$B$29,IF(Skills!C6=2,90+Inputs!$B$26+Inputs!$B$29,IF(Skills!C6=3,120+Inputs!$B$27+Inputs!$B$29,MAX(0,(Inputs!$B$3-100)*3)+Inputs!$B$28+Inputs!$B$29)))</f>
        <v/>
      </c>
      <c r="E956">
        <f>INDEX(FactorTable!$B$2:$Y$301, MATCH(ROUND(MIN(300,MAX(1,D956)),0), FactorTable!$A$2:$A$301,0), Skills!L6+1)</f>
        <v/>
      </c>
      <c r="F956">
        <f>IF(Skills!M6=TRUE,(Skills!K6/10)*(E956/1000),Skills!K6/10)+Skills!N6</f>
        <v/>
      </c>
      <c r="G956">
        <f>Calc!G6</f>
        <v/>
      </c>
      <c r="H956">
        <f>Calc!H6</f>
        <v/>
      </c>
      <c r="I956">
        <f>IF(Skills!T6&lt;&gt;"",1+(Skills!T6/10)*(Z953/1000)/100,1)</f>
        <v/>
      </c>
      <c r="J956">
        <f>((Inputs!$B$6*(1+Inputs!$B$7/100))+(((Inputs!$B$12*(1+Inputs!$B$13/100))-(Inputs!$B$12*(1+Inputs!$B$13/100)))+0.25*(Inputs!$B$14-Inputs!$B$14))*(1+Inputs!$B$7/100))*(F956/100)</f>
        <v/>
      </c>
      <c r="K956">
        <f>J956*(1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6="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F968-Calc!F18),(Inputs!$B$23+(IF(ArtifactsInput!$M$15,CHOOSE(ArtifactsInput!$N$15+1,25,30,35,40,45,50)/100*(Inputs!$B$11-Inputs!$B$11),0))))/100+(Inputs!$B$23+(IF(ArtifactsInput!$M$15,CHOOSE(ArtifactsInput!$N$15+1,25,30,35,40,45,50)/100*(Inputs!$B$11-Inputs!$B$11),0)))/100)/2</f>
        <v/>
      </c>
      <c r="M956">
        <f>L956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(1-Summary!$B$11)*S956+Summary!$B$11*U956</f>
        <v/>
      </c>
      <c r="P956">
        <f>IF(B987=0,0,O956/B987)</f>
        <v/>
      </c>
      <c r="Q956">
        <f>IFERROR(1/IF(Inputs!$B$38="pvp",15,MAX(0.1,Skills!D6-IF(Skills!E6=TRUE,(Inputs!$B$32+1),0))),0)</f>
        <v/>
      </c>
      <c r="R956">
        <f>IF(AND(Inputs!$B$38&lt;&gt;"pvp",Inputs!$B$43&gt;0),IF(MAX(0,Inputs!$B$43-B984)&lt;=0,0,(INT(MAX(0,Inputs!$B$43-B984)/IF(Inputs!$B$38="pvp",15,MAX(0.1,Skills!D6-IF(Skills!E6=TRUE,(Inputs!$B$32+1),0))))+1)),0)</f>
        <v/>
      </c>
      <c r="S956">
        <f>IF(C956,(H956*N956*IF(AND(Inputs!$B$38&lt;&gt;"pvp",Inputs!$B$43&gt;0),((Skills!F6*((R956-1)*IF(Skills!G6&gt;0,Skills!H6/Skills!G6,1)+IF(Skills!G6&gt;0,MIN(Skills!H6,MAX(0,MAX(0,Inputs!$B$43-B984)-((R956-1)*IF(Inputs!$B$38="pvp",15,MAX(0.1,Skills!D6-IF(Skills!E6=TRUE,(Inputs!$B$32+1),0))))))/Skills!G6,1)))/Inputs!$B$43),G956*Q956))*IF(Inputs!$B$38="pvp",1,1+(Inputs!$B$20+Skills!O6+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956*(1-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6">
        <f>IF(C956,(H956*N956*IF(AND(Inputs!$B$38&lt;&gt;"pvp",Inputs!$B$43&gt;0),((Skills!F6*((R956-1)*IF(Skills!G6&gt;0,Skills!H6/Skills!G6,1)+IF(Skills!G6&gt;0,MIN(Skills!H6,MAX(0,MAX(0,Inputs!$B$43-B984)-((R956-1)*IF(Inputs!$B$38="pvp",15,MAX(0.1,Skills!D6-IF(Skills!E6=TRUE,(Inputs!$B$32+1),0))))))/Skills!G6,1)))/Inputs!$B$43),G956*Q956))*IF(Inputs!$B$38="pvp",1,(1+(Inputs!$B$21+Skills!P6+B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Skills!A7</f>
        <v/>
      </c>
      <c r="B957">
        <f>Skills!B7</f>
        <v/>
      </c>
      <c r="C957">
        <f>Inputs!$B$3&gt;=69</f>
        <v/>
      </c>
      <c r="D957">
        <f>IF(Skills!C7=1,60+Inputs!$B$25+Inputs!$B$29,IF(Skills!C7=2,90+Inputs!$B$26+Inputs!$B$29,IF(Skills!C7=3,120+Inputs!$B$27+Inputs!$B$29,MAX(0,(Inputs!$B$3-100)*3)+Inputs!$B$28+Inputs!$B$29)))</f>
        <v/>
      </c>
      <c r="E957">
        <f>INDEX(FactorTable!$B$2:$Y$301, MATCH(ROUND(MIN(300,MAX(1,D957)),0), FactorTable!$A$2:$A$301,0), Skills!L7+1)</f>
        <v/>
      </c>
      <c r="F957">
        <f>IF(Skills!M7=TRUE,(Skills!K7/10)*(E957/1000),Skills!K7/10)+Skills!N7</f>
        <v/>
      </c>
      <c r="G957">
        <f>Calc!G7</f>
        <v/>
      </c>
      <c r="H957">
        <f>Calc!H7</f>
        <v/>
      </c>
      <c r="I957">
        <f>IF(Skills!T7&lt;&gt;"",1+(Skills!T7/10)*(Z953/1000)/100,1)</f>
        <v/>
      </c>
      <c r="J957">
        <f>((Inputs!$B$6*(1+Inputs!$B$7/100))+(((Inputs!$B$12*(1+Inputs!$B$13/100))-(Inputs!$B$12*(1+Inputs!$B$13/100)))+0.25*(Inputs!$B$14-Inputs!$B$14))*(1+Inputs!$B$7/100))*(F957/100)</f>
        <v/>
      </c>
      <c r="K957">
        <f>J957*(1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7="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968-Calc!F18),(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IF(B987=0,0,O957/B987)</f>
        <v/>
      </c>
      <c r="Q957">
        <f>IFERROR(1/IF(Inputs!$B$38="pvp",15,MAX(0.1,Skills!D7-IF(Skills!E7=TRUE,(Inputs!$B$32+1),0))),0)</f>
        <v/>
      </c>
      <c r="R957">
        <f>IF(AND(Inputs!$B$38&lt;&gt;"pvp",Inputs!$B$43&gt;0),IF(MAX(0,Inputs!$B$43-B984)&lt;=0,0,(INT(MAX(0,Inputs!$B$43-B984)/IF(Inputs!$B$38="pvp",15,MAX(0.1,Skills!D7-IF(Skills!E7=TRUE,(Inputs!$B$32+1),0))))+1)),0)</f>
        <v/>
      </c>
      <c r="S957">
        <f>IF(C957,(H957*N957*IF(AND(Inputs!$B$38&lt;&gt;"pvp",Inputs!$B$43&gt;0),((Skills!F7*((R957-1)*IF(Skills!G7&gt;0,Skills!H7/Skills!G7,1)+IF(Skills!G7&gt;0,MIN(Skills!H7,MAX(0,MAX(0,Inputs!$B$43-B984)-((R957-1)*IF(Inputs!$B$38="pvp",15,MAX(0.1,Skills!D7-IF(Skills!E7=TRUE,(Inputs!$B$32+1),0))))))/Skills!G7,1)))/Inputs!$B$43),G957*Q957))*IF(Inputs!$B$38="pvp",1,1+(Inputs!$B$20+Skills!O7+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F7*((R957-1)*IF(Skills!G7&gt;0,Skills!H7/Skills!G7,1)+IF(Skills!G7&gt;0,MIN(Skills!H7,MAX(0,MAX(0,Inputs!$B$43-B984)-((R957-1)*IF(Inputs!$B$38="pvp",15,MAX(0.1,Skills!D7-IF(Skills!E7=TRUE,(Inputs!$B$32+1),0))))))/Skills!G7,1)))/Inputs!$B$43),G957*Q957))*IF(Inputs!$B$38="pvp",1,(1+(Inputs!$B$21+Skills!P7+B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Inputs!$B$3&gt;=103</f>
        <v/>
      </c>
      <c r="D958">
        <f>IF(Skills!C8=1,60+Inputs!$B$25+Inputs!$B$29,IF(Skills!C8=2,90+Inputs!$B$26+Inputs!$B$29,IF(Skills!C8=3,120+Inputs!$B$27+Inputs!$B$29,MAX(0,(Inputs!$B$3-100)*3)+Inputs!$B$28+Inputs!$B$29)))</f>
        <v/>
      </c>
      <c r="E958">
        <f>INDEX(FactorTable!$B$2:$Y$301, MATCH(ROUND(MIN(300,MAX(1,D958)),0), FactorTable!$A$2:$A$301,0), Skills!L8+1)</f>
        <v/>
      </c>
      <c r="F958">
        <f>IF(Skills!M8=TRUE,(Skills!K8/10)*(E958/1000),Skills!K8/10)+Skills!N8</f>
        <v/>
      </c>
      <c r="G958">
        <f>Calc!G8</f>
        <v/>
      </c>
      <c r="H958">
        <f>Calc!H8</f>
        <v/>
      </c>
      <c r="I958">
        <f>IF(Skills!T8&lt;&gt;"",1+(Skills!T8/10)*(Z953/1000)/100,1)</f>
        <v/>
      </c>
      <c r="J958">
        <f>((Inputs!$B$6*(1+Inputs!$B$7/100))+(((Inputs!$B$12*(1+Inputs!$B$13/100))-(Inputs!$B$12*(1+Inputs!$B$13/100)))+0.25*(Inputs!$B$14-Inputs!$B$14))*(1+Inputs!$B$7/100))*(F958/100)</f>
        <v/>
      </c>
      <c r="K958">
        <f>J958*(1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8="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968-Calc!F18),(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IF(B987=0,0,O958/B987)</f>
        <v/>
      </c>
      <c r="Q958">
        <f>IFERROR(1/IF(Inputs!$B$38="pvp",15,MAX(0.1,Skills!D8-IF(Skills!E8=TRUE,(Inputs!$B$32+1),0))),0)</f>
        <v/>
      </c>
      <c r="R958">
        <f>IF(AND(Inputs!$B$38&lt;&gt;"pvp",Inputs!$B$43&gt;0),IF(MAX(0,Inputs!$B$43-B984)&lt;=0,0,(INT(MAX(0,Inputs!$B$43-B984)/IF(Inputs!$B$38="pvp",15,MAX(0.1,Skills!D8-IF(Skills!E8=TRUE,(Inputs!$B$32+1),0))))+1)),0)</f>
        <v/>
      </c>
      <c r="S958">
        <f>IF(C958,(H958*N958*IF(AND(Inputs!$B$38&lt;&gt;"pvp",Inputs!$B$43&gt;0),((Skills!F8*((R958-1)*IF(Skills!G8&gt;0,Skills!H8/Skills!G8,1)+IF(Skills!G8&gt;0,MIN(Skills!H8,MAX(0,MAX(0,Inputs!$B$43-B984)-((R958-1)*IF(Inputs!$B$38="pvp",15,MAX(0.1,Skills!D8-IF(Skills!E8=TRUE,(Inputs!$B$32+1),0))))))/Skills!G8,1)))/Inputs!$B$43),G958*Q958))*IF(Inputs!$B$38="pvp",1,1+(Inputs!$B$20+Skills!O8+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F8*((R958-1)*IF(Skills!G8&gt;0,Skills!H8/Skills!G8,1)+IF(Skills!G8&gt;0,MIN(Skills!H8,MAX(0,MAX(0,Inputs!$B$43-B984)-((R958-1)*IF(Inputs!$B$38="pvp",15,MAX(0.1,Skills!D8-IF(Skills!E8=TRUE,(Inputs!$B$32+1),0))))))/Skills!G8,1)))/Inputs!$B$43),G958*Q958))*IF(Inputs!$B$38="pvp",1,(1+(Inputs!$B$21+Skills!P8+B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Inputs!$B$3&gt;=105</f>
        <v/>
      </c>
      <c r="D959">
        <f>IF(Skills!C9=1,60+Inputs!$B$25+Inputs!$B$29,IF(Skills!C9=2,90+Inputs!$B$26+Inputs!$B$29,IF(Skills!C9=3,120+Inputs!$B$27+Inputs!$B$29,MAX(0,(Inputs!$B$3-100)*3)+Inputs!$B$28+Inputs!$B$29)))</f>
        <v/>
      </c>
      <c r="E959">
        <f>INDEX(FactorTable!$B$2:$Y$301, MATCH(ROUND(MIN(300,MAX(1,D959)),0), FactorTable!$A$2:$A$301,0), Skills!L9+1)</f>
        <v/>
      </c>
      <c r="F959">
        <f>IF(Skills!M9=TRUE,(Skills!K9/10)*(E959/1000),Skills!K9/10)+Skills!N9</f>
        <v/>
      </c>
      <c r="G959">
        <f>Calc!G9</f>
        <v/>
      </c>
      <c r="H959">
        <f>Calc!H9</f>
        <v/>
      </c>
      <c r="I959">
        <f>IF(Skills!T9&lt;&gt;"",1+(Skills!T9/10)*(Z953/1000)/100,1)</f>
        <v/>
      </c>
      <c r="J959">
        <f>((Inputs!$B$6*(1+Inputs!$B$7/100))+(((Inputs!$B$12*(1+Inputs!$B$13/100))-(Inputs!$B$12*(1+Inputs!$B$13/100)))+0.25*(Inputs!$B$14-Inputs!$B$14))*(1+Inputs!$B$7/100))*(F959/100)</f>
        <v/>
      </c>
      <c r="K959">
        <f>J959*(1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9="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968-Calc!F18),(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IF(B987=0,0,O959/B987)</f>
        <v/>
      </c>
      <c r="Q959">
        <f>IFERROR(1/IF(Inputs!$B$38="pvp",15,MAX(0.1,Skills!D9-IF(Skills!E9=TRUE,(Inputs!$B$32+1),0))),0)</f>
        <v/>
      </c>
      <c r="R959">
        <f>IF(AND(Inputs!$B$38&lt;&gt;"pvp",Inputs!$B$43&gt;0),IF(MAX(0,Inputs!$B$43-B984)&lt;=0,0,(INT(MAX(0,Inputs!$B$43-B984)/IF(Inputs!$B$38="pvp",15,MAX(0.1,Skills!D9-IF(Skills!E9=TRUE,(Inputs!$B$32+1),0))))+1)),0)</f>
        <v/>
      </c>
      <c r="S959">
        <f>IF(C959,(H959*N959*IF(AND(Inputs!$B$38&lt;&gt;"pvp",Inputs!$B$43&gt;0),((Skills!F9*((R959-1)*IF(Skills!G9&gt;0,Skills!H9/Skills!G9,1)+IF(Skills!G9&gt;0,MIN(Skills!H9,MAX(0,MAX(0,Inputs!$B$43-B984)-((R959-1)*IF(Inputs!$B$38="pvp",15,MAX(0.1,Skills!D9-IF(Skills!E9=TRUE,(Inputs!$B$32+1),0))))))/Skills!G9,1)))/Inputs!$B$43),G959*Q959))*IF(Inputs!$B$38="pvp",1,1+(Inputs!$B$20+Skills!O9+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F9*((R959-1)*IF(Skills!G9&gt;0,Skills!H9/Skills!G9,1)+IF(Skills!G9&gt;0,MIN(Skills!H9,MAX(0,MAX(0,Inputs!$B$43-B984)-((R959-1)*IF(Inputs!$B$38="pvp",15,MAX(0.1,Skills!D9-IF(Skills!E9=TRUE,(Inputs!$B$32+1),0))))))/Skills!G9,1)))/Inputs!$B$43),G959*Q959))*IF(Inputs!$B$38="pvp",1,(1+(Inputs!$B$21+Skills!P9+B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Inputs!$B$3&gt;=113</f>
        <v/>
      </c>
      <c r="D960">
        <f>IF(Skills!C10=1,60+Inputs!$B$25+Inputs!$B$29,IF(Skills!C10=2,90+Inputs!$B$26+Inputs!$B$29,IF(Skills!C10=3,120+Inputs!$B$27+Inputs!$B$29,MAX(0,(Inputs!$B$3-100)*3)+Inputs!$B$28+Inputs!$B$29)))</f>
        <v/>
      </c>
      <c r="E960">
        <f>INDEX(FactorTable!$B$2:$Y$301, MATCH(ROUND(MIN(300,MAX(1,D960)),0), FactorTable!$A$2:$A$301,0), Skills!L10+1)</f>
        <v/>
      </c>
      <c r="F960">
        <f>IF(Skills!M10=TRUE,(Skills!K10/10)*(E960/1000),Skills!K10/10)+Skills!N10</f>
        <v/>
      </c>
      <c r="G960">
        <f>Calc!G10</f>
        <v/>
      </c>
      <c r="H960">
        <f>Calc!H10</f>
        <v/>
      </c>
      <c r="I960">
        <f>IF(Skills!T10&lt;&gt;"",1+(Skills!T10/10)*(Z953/1000)/100,1)</f>
        <v/>
      </c>
      <c r="J960">
        <f>((Inputs!$B$6*(1+Inputs!$B$7/100))+(((Inputs!$B$12*(1+Inputs!$B$13/100))-(Inputs!$B$12*(1+Inputs!$B$13/100)))+0.25*(Inputs!$B$14-Inputs!$B$14))*(1+Inputs!$B$7/100))*(F960/100)</f>
        <v/>
      </c>
      <c r="K960">
        <f>J960*(1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10="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968-Calc!F18),(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IF(B987=0,0,O960/B987)</f>
        <v/>
      </c>
      <c r="Q960">
        <f>IFERROR(1/IF(Inputs!$B$38="pvp",15,MAX(0.1,Skills!D10-IF(Skills!E9=TRUE,(Inputs!$B$32+1),0))),0)</f>
        <v/>
      </c>
      <c r="R960">
        <f>IF(AND(Inputs!$B$38&lt;&gt;"pvp",Inputs!$B$43&gt;0),IF(MAX(0,Inputs!$B$43-B984)&lt;=0,0,(INT(MAX(0,Inputs!$B$43-B984)/IF(Inputs!$B$38="pvp",15,MAX(0.1,Skills!D10-IF(Skills!E9=TRUE,(Inputs!$B$32+1),0))))+1)),0)</f>
        <v/>
      </c>
      <c r="S960">
        <f>IF(C960,(H960*N960*IF(AND(Inputs!$B$38&lt;&gt;"pvp",Inputs!$B$43&gt;0),((Skills!F10*((R960-1)*IF(Skills!G10&gt;0,Skills!H10/Skills!G10,1)+IF(Skills!G10&gt;0,MIN(Skills!H10,MAX(0,MAX(0,Inputs!$B$43-B984)-((R960-1)*IF(Inputs!$B$38="pvp",15,MAX(0.1,Skills!D10-IF(Skills!E9=TRUE,(Inputs!$B$32+1),0))))))/Skills!G10,1)))/Inputs!$B$43),G960*Q960))*IF(Inputs!$B$38="pvp",1,1+(Inputs!$B$20+Skills!O10+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F10*((R960-1)*IF(Skills!G10&gt;0,Skills!H10/Skills!G10,1)+IF(Skills!G10&gt;0,MIN(Skills!H10,MAX(0,MAX(0,Inputs!$B$43-B984)-((R960-1)*IF(Inputs!$B$38="pvp",15,MAX(0.1,Skills!D10-IF(Skills!E9=TRUE,(Inputs!$B$32+1),0))))))/Skills!G10,1)))/Inputs!$B$43),G960*Q960))*IF(Inputs!$B$38="pvp",1,(1+(Inputs!$B$21+Skills!P10+B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Inputs!$B$3&gt;=107</f>
        <v/>
      </c>
      <c r="D961">
        <f>IF(Skills!C11=1,60+Inputs!$B$25+Inputs!$B$29,IF(Skills!C11=2,90+Inputs!$B$26+Inputs!$B$29,IF(Skills!C11=3,120+Inputs!$B$27+Inputs!$B$29,MAX(0,(Inputs!$B$3-100)*3)+Inputs!$B$28+Inputs!$B$29)))</f>
        <v/>
      </c>
      <c r="E961">
        <f>INDEX(FactorTable!$B$2:$Y$301, MATCH(ROUND(MIN(300,MAX(1,D961)),0), FactorTable!$A$2:$A$301,0), Skills!L11+1)</f>
        <v/>
      </c>
      <c r="F961">
        <f>IF(Skills!M11=TRUE,(Skills!K11/10)*(E961/1000),Skills!K11/10)+Skills!N11</f>
        <v/>
      </c>
      <c r="G961">
        <f>Calc!G11</f>
        <v/>
      </c>
      <c r="H961">
        <f>Calc!H11</f>
        <v/>
      </c>
      <c r="I961">
        <f>IF(Skills!T11&lt;&gt;"",1+(Skills!T11/10)*(Z953/1000)/100,1)</f>
        <v/>
      </c>
      <c r="J961">
        <f>((Inputs!$B$6*(1+Inputs!$B$7/100))+(((Inputs!$B$12*(1+Inputs!$B$13/100))-(Inputs!$B$12*(1+Inputs!$B$13/100)))+0.25*(Inputs!$B$14-Inputs!$B$14))*(1+Inputs!$B$7/100))*(F961/100)</f>
        <v/>
      </c>
      <c r="K961">
        <f>J961*(1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11="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F968-Calc!F18),(Inputs!$B$23+(IF(ArtifactsInput!$M$15,CHOOSE(ArtifactsInput!$N$15+1,25,30,35,40,45,50)/100*(Inputs!$B$11-Inputs!$B$11),0))))/100+(Inputs!$B$23+(IF(ArtifactsInput!$M$15,CHOOSE(ArtifactsInput!$N$15+1,25,30,35,40,45,50)/100*(Inputs!$B$11-Inputs!$B$11),0)))/100)/2</f>
        <v/>
      </c>
      <c r="M961">
        <f>L961*(1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(1-Summary!$B$11)*S961+Summary!$B$11*U961</f>
        <v/>
      </c>
      <c r="P961">
        <f>IF(B987=0,0,O961/B987)</f>
        <v/>
      </c>
      <c r="Q961">
        <f>IFERROR(1/IF(Inputs!$B$38="pvp",15,MAX(0.1,Skills!D11-IF(Skills!E11=TRUE,(Inputs!$B$32+1),0))),0)</f>
        <v/>
      </c>
      <c r="R961">
        <f>IF(AND(Inputs!$B$38&lt;&gt;"pvp",Inputs!$B$43&gt;0),IF(MAX(0,Inputs!$B$43-B984)&lt;=0,0,(INT(MAX(0,Inputs!$B$43-B984)/IF(Inputs!$B$38="pvp",15,MAX(0.1,Skills!D11-IF(Skills!E11=TRUE,(Inputs!$B$32+1),0))))+1)),0)</f>
        <v/>
      </c>
      <c r="S961">
        <f>IF(C961,H961*N961*IF(AND(Inputs!$B$38&lt;&gt;"pvp",Inputs!$B$43&gt;0),((Skills!F11*((R961-1)*IF(Skills!G11&gt;0,Skills!H11/Skills!G11,1)+IF(Skills!G11&gt;0,MIN(Skills!H11,MAX(0,MAX(0,Inputs!$B$43-B984)-((R961-1)*IF(Inputs!$B$38="pvp",15,MAX(0.1,Skills!D11-IF(Skills!E11=TRUE,(Inputs!$B$32+1),0))))))/Skills!G11,1)))/Inputs!$B$43),G961*Q961)*0.5*IF(Inputs!$B$38="pvp",1,1+(Inputs!$B$20+Skills!O11+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961*(1-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1">
        <f>IF(C961,H961*N961*IF(AND(Inputs!$B$38&lt;&gt;"pvp",Inputs!$B$43&gt;0),((Skills!F11*((R961-1)*IF(Skills!G11&gt;0,Skills!H11/Skills!G11,1)+IF(Skills!G11&gt;0,MIN(Skills!H11,MAX(0,MAX(0,Inputs!$B$43-B984)-((R961-1)*IF(Inputs!$B$38="pvp",15,MAX(0.1,Skills!D11-IF(Skills!E11=TRUE,(Inputs!$B$32+1),0))))))/Skills!G11,1)))/Inputs!$B$43),G961*Q961)*1*IF(Inputs!$B$38="pvp",1,(1+(Inputs!$B$21+Skills!P11+B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Skills!A12</f>
        <v/>
      </c>
      <c r="B962">
        <f>Skills!B12</f>
        <v/>
      </c>
      <c r="C962">
        <f>Inputs!$B$3&gt;=115</f>
        <v/>
      </c>
      <c r="D962">
        <f>IF(Skills!C12=1,60+Inputs!$B$25+Inputs!$B$29,IF(Skills!C12=2,90+Inputs!$B$26+Inputs!$B$29,IF(Skills!C12=3,120+Inputs!$B$27+Inputs!$B$29,MAX(0,(Inputs!$B$3-100)*3)+Inputs!$B$28+Inputs!$B$29)))</f>
        <v/>
      </c>
      <c r="E962">
        <f>INDEX(FactorTable!$B$2:$Y$301, MATCH(ROUND(MIN(300,MAX(1,D962)),0), FactorTable!$A$2:$A$301,0), Skills!L12+1)</f>
        <v/>
      </c>
      <c r="F962">
        <f>IF(Skills!M12=TRUE,(Skills!K12/10)*(E962/1000),Skills!K12/10)+Skills!N12</f>
        <v/>
      </c>
      <c r="G962">
        <f>Calc!G12</f>
        <v/>
      </c>
      <c r="H962">
        <f>Calc!H12</f>
        <v/>
      </c>
      <c r="I962">
        <f>IF(Skills!T12&lt;&gt;"",1+(Skills!T12/10)*(Z953/1000)/100,1)</f>
        <v/>
      </c>
      <c r="J962">
        <f>((Inputs!$B$6*(1+Inputs!$B$7/100))+(((Inputs!$B$12*(1+Inputs!$B$13/100))-(Inputs!$B$12*(1+Inputs!$B$13/100)))+0.25*(Inputs!$B$14-Inputs!$B$14))*(1+Inputs!$B$7/100))*(F962/100)</f>
        <v/>
      </c>
      <c r="K962">
        <f>J962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12="CHAIN_LIGHTNING",Inputs!$B$17+((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F968-Calc!F18),(Inputs!$B$23+(IF(ArtifactsInput!$M$15,CHOOSE(ArtifactsInput!$N$15+1,25,30,35,40,45,50)/100*(Inputs!$B$11-Inputs!$B$11),0))))/100+(Inputs!$B$23+(IF(ArtifactsInput!$M$15,CHOOSE(ArtifactsInput!$N$15+1,25,30,35,40,45,50)/100*(Inputs!$B$11-Inputs!$B$11),0)))/100)/2</f>
        <v/>
      </c>
      <c r="M962">
        <f>L962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(1-Summary!$B$11)*S962+Summary!$B$11*U962</f>
        <v/>
      </c>
      <c r="P962">
        <f>IF(B987=0,0,O962/B987)</f>
        <v/>
      </c>
      <c r="Q962">
        <f>IFERROR(1/IF(Inputs!$B$38="pvp",15,MAX(0.1,Skills!D12-IF(Skills!E12=TRUE,(Inputs!$B$32+1),0))),0)</f>
        <v/>
      </c>
      <c r="R962">
        <f>IF(AND(Inputs!$B$38&lt;&gt;"pvp",Inputs!$B$43&gt;0),IF(MAX(0,Inputs!$B$43-B984)&lt;=0,0,(INT(MAX(0,Inputs!$B$43-B984)/IF(Inputs!$B$38="pvp",15,MAX(0.1,Skills!D12-IF(Skills!E12=TRUE,(Inputs!$B$32+1),0))))+1)),0)</f>
        <v/>
      </c>
      <c r="S962">
        <f>IF(C962,(H962*N962*IF(AND(Inputs!$B$38&lt;&gt;"pvp",Inputs!$B$43&gt;0),((Skills!F12*((R962-1)*IF(Skills!G12&gt;0,Skills!H12/Skills!G12,1)+IF(Skills!G12&gt;0,MIN(Skills!H12,MAX(0,MAX(0,Inputs!$B$43-B984)-((R962-1)*IF(Inputs!$B$38="pvp",15,MAX(0.1,Skills!D12-IF(Skills!E12=TRUE,(Inputs!$B$32+1),0))))))/Skills!G12,1)))/Inputs!$B$43),G962*Q962))*IF(Inputs!$B$38="pvp",1,1+(Inputs!$B$20+Skills!O12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962*(1-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F970-Calc!F20)+(F969-Calc!F19))+(ArtifactsInput!$M$24-ArtifactsInput!$M$24)*CHOOSE(ArtifactsInput!$N$24+1,10,12,14,16,18,20)+(IF(AND(Inputs!$B$38&lt;&gt;"pvp",Inputs!$B$43=0),1,IF(IF(Inputs!$B$38="pvp",15,Inputs!$B$43)-(B984)&lt;=0,1,MAX(0,IF(Inputs!$B$38="pvp",15,Inputs!$B$43)-MAX(5,B984))/(IF(Inputs!$B$38="pvp",15,Inputs!$B$43)-(B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2">
        <f>IF(C962,(H962*N962*IF(AND(Inputs!$B$38&lt;&gt;"pvp",Inputs!$B$43&gt;0),((Skills!F12*((R962-1)*IF(Skills!G12&gt;0,Skills!H12/Skills!G12,1)+IF(Skills!G12&gt;0,MIN(Skills!H12,MAX(0,MAX(0,Inputs!$B$43-B984)-((R962-1)*IF(Inputs!$B$38="pvp",15,MAX(0.1,Skills!D12-IF(Skills!E12=TRUE,(Inputs!$B$32+1),0))))))/Skills!G12,1)))/Inputs!$B$43),G962*Q962))*IF(Inputs!$B$38="pvp",1,(1+(Inputs!$B$21+Skills!P12+B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Skills!A13</f>
        <v/>
      </c>
      <c r="B963">
        <f>Skills!B13</f>
        <v/>
      </c>
      <c r="C963">
        <f>Inputs!$B$3&gt;=49</f>
        <v/>
      </c>
      <c r="D963">
        <f>IF(Skills!C13=1,60+Inputs!$B$25+Inputs!$B$29,IF(Skills!C13=2,90+Inputs!$B$26+Inputs!$B$29,IF(Skills!C13=3,120+Inputs!$B$27+Inputs!$B$29,MAX(0,(Inputs!$B$3-100)*3)+Inputs!$B$28+Inputs!$B$29)))</f>
        <v/>
      </c>
      <c r="E963">
        <f>INDEX(FactorTable!$B$2:$Y$301, MATCH(ROUND(MIN(300,MAX(1,D963)),0), FactorTable!$A$2:$A$301,0), Skills!L13+1)</f>
        <v/>
      </c>
      <c r="F963">
        <f>IF(Skills!M13=TRUE,(Skills!K13/10)*(E963/1000),Skills!K13/10)+Skills!N13</f>
        <v/>
      </c>
      <c r="G963">
        <f>Calc!G13</f>
        <v/>
      </c>
      <c r="H963">
        <f>Calc!H13</f>
        <v/>
      </c>
      <c r="I963">
        <f>IF(Skills!T13&lt;&gt;"",1+(Skills!T13/10)*(Z953/1000)/100,1)</f>
        <v/>
      </c>
      <c r="J963" t="inlineStr"/>
      <c r="K963" t="inlineStr"/>
      <c r="L963" t="inlineStr"/>
      <c r="M963" t="inlineStr"/>
      <c r="N963" t="inlineStr"/>
      <c r="O963">
        <f>(1-Summary!$B$11)*S963+Summary!$B$11*U963</f>
        <v/>
      </c>
      <c r="P963">
        <f>IF(B987=0,0,O963/B987)</f>
        <v/>
      </c>
      <c r="Q963">
        <f>IFERROR(1/IF(Inputs!$B$38="pvp",15,MAX(0.1,Skills!D13-IF(Skills!E13=TRUE,(Inputs!$B$32+1),0))),0)</f>
        <v/>
      </c>
      <c r="R963" t="n">
        <v>0</v>
      </c>
      <c r="S963" t="n">
        <v>0</v>
      </c>
      <c r="U963" t="n">
        <v>0</v>
      </c>
    </row>
    <row r="964">
      <c r="A964">
        <f>Skills!A14</f>
        <v/>
      </c>
      <c r="B964">
        <f>Skills!B14</f>
        <v/>
      </c>
      <c r="C964">
        <f>Inputs!$B$3&gt;=72</f>
        <v/>
      </c>
      <c r="D964">
        <f>IF(Skills!C14=1,60+Inputs!$B$25+Inputs!$B$29,IF(Skills!C14=2,90+Inputs!$B$26+Inputs!$B$29,IF(Skills!C14=3,120+Inputs!$B$27+Inputs!$B$29,MAX(0,(Inputs!$B$3-100)*3)+Inputs!$B$28+Inputs!$B$29)))</f>
        <v/>
      </c>
      <c r="E964">
        <f>INDEX(FactorTable!$B$2:$Y$301, MATCH(ROUND(MIN(300,MAX(1,D964)),0), FactorTable!$A$2:$A$301,0), Skills!L14+1)</f>
        <v/>
      </c>
      <c r="F964">
        <f>IF(Skills!M14=TRUE,(Skills!K14/10)*(E964/1000),Skills!K14/10)+Skills!N14</f>
        <v/>
      </c>
      <c r="G964">
        <f>Calc!G14</f>
        <v/>
      </c>
      <c r="H964">
        <f>Calc!H14</f>
        <v/>
      </c>
      <c r="I964">
        <f>IF(Skills!T14&lt;&gt;"",1+(Skills!T14/10)*(Z953/1000)/100,1)</f>
        <v/>
      </c>
      <c r="J964" t="inlineStr"/>
      <c r="K964" t="inlineStr"/>
      <c r="L964" t="inlineStr"/>
      <c r="M964" t="inlineStr"/>
      <c r="N964" t="inlineStr"/>
      <c r="O964">
        <f>(1-Summary!$B$11)*S964+Summary!$B$11*U964</f>
        <v/>
      </c>
      <c r="P964">
        <f>IF(B987=0,0,O964/B987)</f>
        <v/>
      </c>
      <c r="Q964">
        <f>IFERROR(1/IF(Inputs!$B$38="pvp",15,MAX(0.1,Skills!D14-IF(Skills!E14=TRUE,(Inputs!$B$32+1),0))),0)</f>
        <v/>
      </c>
      <c r="R964" t="n">
        <v>0</v>
      </c>
      <c r="S964" t="n">
        <v>0</v>
      </c>
      <c r="U964" t="n">
        <v>0</v>
      </c>
    </row>
    <row r="965">
      <c r="A965">
        <f>Skills!A15</f>
        <v/>
      </c>
      <c r="B965">
        <f>Skills!B15</f>
        <v/>
      </c>
      <c r="C965">
        <f>Inputs!$B$3&gt;=75</f>
        <v/>
      </c>
      <c r="D965">
        <f>IF(Skills!C15=1,60+Inputs!$B$25+Inputs!$B$29,IF(Skills!C15=2,90+Inputs!$B$26+Inputs!$B$29,IF(Skills!C15=3,120+Inputs!$B$27+Inputs!$B$29,MAX(0,(Inputs!$B$3-100)*3)+Inputs!$B$28+Inputs!$B$29)))</f>
        <v/>
      </c>
      <c r="E965">
        <f>INDEX(FactorTable!$B$2:$Y$301, MATCH(ROUND(MIN(300,MAX(1,D965)),0), FactorTable!$A$2:$A$301,0), Skills!L15+1)</f>
        <v/>
      </c>
      <c r="F965">
        <f>IF(Skills!M15=TRUE,(Skills!K15/10)*(E965/1000),Skills!K15/10)+Skills!N15</f>
        <v/>
      </c>
      <c r="G965">
        <f>Calc!G15</f>
        <v/>
      </c>
      <c r="H965">
        <f>Calc!H15</f>
        <v/>
      </c>
      <c r="I965">
        <f>IF(Skills!T15&lt;&gt;"",1+(Skills!T15/10)*(Z953/1000)/100,1)</f>
        <v/>
      </c>
      <c r="J965" t="inlineStr"/>
      <c r="K965" t="inlineStr"/>
      <c r="L965" t="inlineStr"/>
      <c r="M965" t="inlineStr"/>
      <c r="N965" t="inlineStr"/>
      <c r="O965">
        <f>(1-Summary!$B$11)*S965+Summary!$B$11*U965</f>
        <v/>
      </c>
      <c r="P965">
        <f>IF(B987=0,0,O965/B987)</f>
        <v/>
      </c>
      <c r="Q965">
        <f>IFERROR(1/IF(Inputs!$B$38="pvp",15,MAX(0.1,Skills!D15-IF(Skills!E15=TRUE,(Inputs!$B$32+1),0))),0)</f>
        <v/>
      </c>
      <c r="R965" t="n">
        <v>0</v>
      </c>
      <c r="S965" t="n">
        <v>0</v>
      </c>
      <c r="U965" t="n">
        <v>0</v>
      </c>
    </row>
    <row r="966">
      <c r="A966">
        <f>Skills!A16</f>
        <v/>
      </c>
      <c r="B966">
        <f>Skills!B16</f>
        <v/>
      </c>
      <c r="C966">
        <f>Inputs!$B$3&gt;=110</f>
        <v/>
      </c>
      <c r="D966">
        <f>IF(Skills!C16=1,60+Inputs!$B$25+Inputs!$B$29,IF(Skills!C16=2,90+Inputs!$B$26+Inputs!$B$29,IF(Skills!C16=3,120+Inputs!$B$27+Inputs!$B$29,MAX(0,(Inputs!$B$3-100)*3)+Inputs!$B$28+Inputs!$B$29)))</f>
        <v/>
      </c>
      <c r="E966">
        <f>INDEX(FactorTable!$B$2:$Y$301, MATCH(ROUND(MIN(300,MAX(1,D966)),0), FactorTable!$A$2:$A$301,0), Skills!L16+1)</f>
        <v/>
      </c>
      <c r="F966">
        <f>(Skills!K16/10)*(E966/1000)*64/45+Skills!N16</f>
        <v/>
      </c>
      <c r="G966">
        <f>Calc!G16</f>
        <v/>
      </c>
      <c r="H966">
        <f>Calc!H16</f>
        <v/>
      </c>
      <c r="I966">
        <f>IF(Skills!T16&lt;&gt;"",1+(Skills!T16/10)*(Z953/1000)/100,1)</f>
        <v/>
      </c>
      <c r="J966" t="inlineStr"/>
      <c r="K966" t="inlineStr"/>
      <c r="L966" t="inlineStr"/>
      <c r="M966" t="inlineStr"/>
      <c r="N966" t="inlineStr"/>
      <c r="O966">
        <f>(1-Summary!$B$11)*S966+Summary!$B$11*U966</f>
        <v/>
      </c>
      <c r="P966">
        <f>IF(B987=0,0,O966/B987)</f>
        <v/>
      </c>
      <c r="Q966">
        <f>IFERROR(1/IF(Inputs!$B$38="pvp",15,MAX(0.1,Skills!D16-IF(Skills!E16=TRUE,(Inputs!$B$32+1),0))),0)</f>
        <v/>
      </c>
      <c r="R966">
        <f>IF(AND(Inputs!$B$38&lt;&gt;"pvp",Inputs!$B$43&gt;0),IF(Inputs!$B$43&lt;=0,0,(INT(Inputs!$B$43/IF(Inputs!$B$38="pvp",15,MAX(0.1,Skills!D16-IF(Skills!E16=TRUE,(Inputs!$B$32+1),0))))+1)),0)</f>
        <v/>
      </c>
      <c r="S966" t="n">
        <v>0</v>
      </c>
      <c r="U966" t="n">
        <v>0</v>
      </c>
    </row>
    <row r="967">
      <c r="A967">
        <f>Skills!A17</f>
        <v/>
      </c>
      <c r="B967">
        <f>Skills!B17</f>
        <v/>
      </c>
      <c r="C967">
        <f>Inputs!$B$3&gt;=33</f>
        <v/>
      </c>
      <c r="D967">
        <f>IF(Skills!C17=1,60+Inputs!$B$25+Inputs!$B$29,IF(Skills!C17=2,90+Inputs!$B$26+Inputs!$B$29,IF(Skills!C17=3,120+Inputs!$B$27+Inputs!$B$29,MAX(0,(Inputs!$B$3-100)*3)+Inputs!$B$28+Inputs!$B$29)))</f>
        <v/>
      </c>
      <c r="E967">
        <f>INDEX(FactorTable!$B$2:$Y$301, MATCH(ROUND(MIN(300,MAX(1,D967)),0), FactorTable!$A$2:$A$301,0), Skills!L17+1)</f>
        <v/>
      </c>
      <c r="F967">
        <f>IF(Skills!M17=TRUE,(Skills!K17/10)*(E967/1000),Skills!K17/10)+Skills!N17</f>
        <v/>
      </c>
      <c r="G967">
        <f>Calc!G17</f>
        <v/>
      </c>
      <c r="H967">
        <f>Calc!H17</f>
        <v/>
      </c>
      <c r="I967">
        <f>IF(Skills!T17&lt;&gt;"",1+(Skills!T17/10)*(Z953/1000)/100,1)</f>
        <v/>
      </c>
      <c r="J967" t="inlineStr"/>
      <c r="K967" t="inlineStr"/>
      <c r="L967" t="inlineStr"/>
      <c r="M967" t="inlineStr"/>
      <c r="N967" t="inlineStr"/>
      <c r="O967">
        <f>(1-Summary!$B$11)*S967+Summary!$B$11*U967</f>
        <v/>
      </c>
      <c r="P967">
        <f>IF(B987=0,0,O967/B987)</f>
        <v/>
      </c>
      <c r="Q967">
        <f>IFERROR(1/IF(Inputs!$B$38="pvp",15,MAX(0.1,Skills!D17-IF(Skills!E17=TRUE,(Inputs!$B$32+1),0))),0)</f>
        <v/>
      </c>
      <c r="R967" t="n">
        <v>0</v>
      </c>
      <c r="S967" t="n">
        <v>0</v>
      </c>
      <c r="U967" t="n">
        <v>0</v>
      </c>
    </row>
    <row r="968">
      <c r="A968">
        <f>Skills!A18</f>
        <v/>
      </c>
      <c r="B968">
        <f>Skills!B18</f>
        <v/>
      </c>
      <c r="C968">
        <f>Inputs!$B$3&gt;=43</f>
        <v/>
      </c>
      <c r="D968">
        <f>IF(Skills!C18=1,60+Inputs!$B$25+Inputs!$B$29,IF(Skills!C18=2,90+Inputs!$B$26+Inputs!$B$29,IF(Skills!C18=3,120+Inputs!$B$27+Inputs!$B$29,MAX(0,(Inputs!$B$3-100)*3)+Inputs!$B$28+Inputs!$B$29)))</f>
        <v/>
      </c>
      <c r="E968">
        <f>INDEX(FactorTable!$B$2:$Y$301, MATCH(ROUND(MIN(300,MAX(1,D968)),0), FactorTable!$A$2:$A$301,0), Skills!L18+1)</f>
        <v/>
      </c>
      <c r="F968">
        <f>IF(Skills!M18=TRUE,(Skills!K18/10)*(E968/1000),Skills!K18/10)+Skills!N18</f>
        <v/>
      </c>
      <c r="G968">
        <f>Calc!G18</f>
        <v/>
      </c>
      <c r="H968">
        <f>Calc!H18</f>
        <v/>
      </c>
      <c r="I968">
        <f>IF(Skills!T18&lt;&gt;"",1+(Skills!T18/10)*(Z953/1000)/100,1)</f>
        <v/>
      </c>
      <c r="J968" t="inlineStr"/>
      <c r="K968" t="inlineStr"/>
      <c r="L968" t="inlineStr"/>
      <c r="M968" t="inlineStr"/>
      <c r="N968" t="inlineStr"/>
      <c r="O968">
        <f>(1-Summary!$B$11)*S968+Summary!$B$11*U968</f>
        <v/>
      </c>
      <c r="P968">
        <f>IF(B987=0,0,O968/B987)</f>
        <v/>
      </c>
      <c r="Q968">
        <f>IFERROR(1/IF(Inputs!$B$38="pvp",15,MAX(0.1,Skills!D18-IF(Skills!E18=TRUE,(Inputs!$B$32+1),0))),0)</f>
        <v/>
      </c>
      <c r="R968" t="n">
        <v>0</v>
      </c>
      <c r="S968" t="n">
        <v>0</v>
      </c>
      <c r="U968" t="n">
        <v>0</v>
      </c>
    </row>
    <row r="969">
      <c r="A969">
        <f>Skills!A19</f>
        <v/>
      </c>
      <c r="B969">
        <f>Skills!B19</f>
        <v/>
      </c>
      <c r="C969">
        <f>Inputs!$B$3&gt;=50</f>
        <v/>
      </c>
      <c r="D969">
        <f>IF(Skills!C19=1,60+Inputs!$B$25+Inputs!$B$29,IF(Skills!C19=2,90+Inputs!$B$26+Inputs!$B$29,IF(Skills!C19=3,120+Inputs!$B$27+Inputs!$B$29,MAX(0,(Inputs!$B$3-100)*3)+Inputs!$B$28+Inputs!$B$29)))</f>
        <v/>
      </c>
      <c r="E969">
        <f>INDEX(FactorTable!$B$2:$Y$301, MATCH(ROUND(MIN(300,MAX(1,D969)),0), FactorTable!$A$2:$A$301,0), Skills!L19+1)</f>
        <v/>
      </c>
      <c r="F969">
        <f>IF(Skills!M19=TRUE,(Skills!K19/10)*(E969/1000),Skills!K19/10)+Skills!N19</f>
        <v/>
      </c>
      <c r="G969">
        <f>Calc!G19</f>
        <v/>
      </c>
      <c r="H969">
        <f>Calc!H19</f>
        <v/>
      </c>
      <c r="I969">
        <f>IF(Skills!T19&lt;&gt;"",1+(Skills!T19/10)*(Z953/1000)/100,1)</f>
        <v/>
      </c>
      <c r="J969" t="inlineStr"/>
      <c r="K969" t="inlineStr"/>
      <c r="L969" t="inlineStr"/>
      <c r="M969" t="inlineStr"/>
      <c r="N969" t="inlineStr"/>
      <c r="O969">
        <f>(1-Summary!$B$11)*S969+Summary!$B$11*U969</f>
        <v/>
      </c>
      <c r="P969">
        <f>IF(B987=0,0,O969/B987)</f>
        <v/>
      </c>
      <c r="Q969">
        <f>IFERROR(1/IF(Inputs!$B$38="pvp",15,MAX(0.1,Skills!D19-IF(Skills!E19=TRUE,(Inputs!$B$32+1),0))),0)</f>
        <v/>
      </c>
      <c r="R969" t="n">
        <v>0</v>
      </c>
      <c r="S969" t="n">
        <v>0</v>
      </c>
      <c r="U969" t="n">
        <v>0</v>
      </c>
    </row>
    <row r="970">
      <c r="A970">
        <f>Skills!A20</f>
        <v/>
      </c>
      <c r="B970">
        <f>Skills!B20</f>
        <v/>
      </c>
      <c r="C970">
        <f>Inputs!$B$3&gt;=74</f>
        <v/>
      </c>
      <c r="D970">
        <f>IF(Skills!C20=1,60+Inputs!$B$25+Inputs!$B$29,IF(Skills!C20=2,90+Inputs!$B$26+Inputs!$B$29,IF(Skills!C20=3,120+Inputs!$B$27+Inputs!$B$29,MAX(0,(Inputs!$B$3-100)*3)+Inputs!$B$28+Inputs!$B$29)))</f>
        <v/>
      </c>
      <c r="E970">
        <f>INDEX(FactorTable!$B$2:$Y$301, MATCH(ROUND(MIN(300,MAX(1,D970)),0), FactorTable!$A$2:$A$301,0), Skills!L20+1)</f>
        <v/>
      </c>
      <c r="F970">
        <f>IF(Skills!M20=TRUE,(Skills!K20/10)*(E970/1000),Skills!K20/10)+Skills!N20</f>
        <v/>
      </c>
      <c r="G970">
        <f>Calc!G20</f>
        <v/>
      </c>
      <c r="H970">
        <f>Calc!H20</f>
        <v/>
      </c>
      <c r="I970">
        <f>IF(Skills!T20&lt;&gt;"",1+(Skills!T20/10)*(Z953/1000)/100,1)</f>
        <v/>
      </c>
      <c r="J970" t="inlineStr"/>
      <c r="K970" t="inlineStr"/>
      <c r="L970" t="inlineStr"/>
      <c r="M970" t="inlineStr"/>
      <c r="N970" t="inlineStr"/>
      <c r="O970">
        <f>(1-Summary!$B$11)*S970+Summary!$B$11*U970</f>
        <v/>
      </c>
      <c r="P970">
        <f>IF(B987=0,0,O970/B987)</f>
        <v/>
      </c>
      <c r="Q970">
        <f>IFERROR(1/IF(Inputs!$B$38="pvp",15,MAX(0.1,Skills!D20-IF(Skills!E20=TRUE,(Inputs!$B$32+1),0))),0)</f>
        <v/>
      </c>
      <c r="R970" t="n">
        <v>0</v>
      </c>
      <c r="S970" t="n">
        <v>0</v>
      </c>
      <c r="U970" t="n">
        <v>0</v>
      </c>
    </row>
    <row r="971">
      <c r="A971">
        <f>Skills!A21</f>
        <v/>
      </c>
      <c r="B971">
        <f>Skills!B21</f>
        <v/>
      </c>
      <c r="C971">
        <f>Inputs!$B$3&gt;=74</f>
        <v/>
      </c>
      <c r="D971">
        <f>IF(Skills!C21=1,60+Inputs!$B$25+Inputs!$B$29,IF(Skills!C21=2,90+Inputs!$B$26+Inputs!$B$29,IF(Skills!C21=3,120+Inputs!$B$27+Inputs!$B$29,MAX(0,(Inputs!$B$3-100)*3)+Inputs!$B$28+Inputs!$B$29)))</f>
        <v/>
      </c>
      <c r="E971">
        <f>INDEX(FactorTable!$B$2:$Y$301, MATCH(ROUND(MIN(300,MAX(1,D971)),0), FactorTable!$A$2:$A$301,0), Skills!L21+1)</f>
        <v/>
      </c>
      <c r="F971">
        <f>IF(Skills!M21=TRUE,(Skills!K21/10)*(E971/1000),Skills!K21/10)+Skills!N21</f>
        <v/>
      </c>
      <c r="G971">
        <f>Calc!G21</f>
        <v/>
      </c>
      <c r="H971">
        <f>Calc!H21</f>
        <v/>
      </c>
      <c r="I971">
        <f>IF(Skills!T21&lt;&gt;"",1+(Skills!T21/10)*(Z953/1000)/100,1)</f>
        <v/>
      </c>
      <c r="J971" t="inlineStr"/>
      <c r="K971" t="inlineStr"/>
      <c r="L971" t="inlineStr"/>
      <c r="M971" t="inlineStr"/>
      <c r="N971" t="inlineStr"/>
      <c r="O971">
        <f>(1-Summary!$B$11)*S971+Summary!$B$11*U971</f>
        <v/>
      </c>
      <c r="P971">
        <f>IF(B987=0,0,O971/B987)</f>
        <v/>
      </c>
      <c r="Q971">
        <f>IFERROR(1/IF(Inputs!$B$38="pvp",15,MAX(0.1,Skills!D21-IF(Skills!E21=TRUE,(Inputs!$B$32+1),0))),0)</f>
        <v/>
      </c>
      <c r="R971" t="n">
        <v>0</v>
      </c>
      <c r="S971" t="n">
        <v>0</v>
      </c>
      <c r="U971" t="n">
        <v>0</v>
      </c>
    </row>
    <row r="972">
      <c r="A972">
        <f>Skills!A22</f>
        <v/>
      </c>
      <c r="B972">
        <f>Skills!B22</f>
        <v/>
      </c>
      <c r="C972">
        <f>Inputs!$B$3&gt;=117</f>
        <v/>
      </c>
      <c r="D972">
        <f>IF(Skills!C22=1,60+Inputs!$B$25+Inputs!$B$29,IF(Skills!C22=2,90+Inputs!$B$26+Inputs!$B$29,IF(Skills!C22=3,120+Inputs!$B$27+Inputs!$B$29,MAX(0,(Inputs!$B$3-100)*3)+Inputs!$B$28+Inputs!$B$29)))</f>
        <v/>
      </c>
      <c r="E972">
        <f>INDEX(FactorTable!$B$2:$Y$301, MATCH(ROUND(MIN(300,MAX(1,D972)),0), FactorTable!$A$2:$A$301,0), Skills!L22+1)</f>
        <v/>
      </c>
      <c r="F972">
        <f>IF(Skills!M22=TRUE,(Skills!K22/10)*(E972/1000),Skills!K22/10)+Skills!N22</f>
        <v/>
      </c>
      <c r="G972">
        <f>Calc!G22</f>
        <v/>
      </c>
      <c r="H972">
        <f>Calc!H22</f>
        <v/>
      </c>
      <c r="I972">
        <f>IF(Skills!T22&lt;&gt;"",1+(Skills!T22/10)*(Z953/1000)/100,1)</f>
        <v/>
      </c>
      <c r="J972" t="inlineStr"/>
      <c r="K972" t="inlineStr"/>
      <c r="L972" t="inlineStr"/>
      <c r="M972" t="inlineStr"/>
      <c r="N972" t="inlineStr"/>
      <c r="O972">
        <f>(1-Summary!$B$11)*S972+Summary!$B$11*U972</f>
        <v/>
      </c>
      <c r="P972">
        <f>IF(B987=0,0,O972/B987)</f>
        <v/>
      </c>
      <c r="Q972">
        <f>IFERROR(1/IF(Inputs!$B$38="pvp",15,MAX(0.1,Skills!D22-IF(Skills!E22=TRUE,(Inputs!$B$32+1),0))),0)</f>
        <v/>
      </c>
      <c r="R972" t="n">
        <v>0</v>
      </c>
      <c r="S972" t="n">
        <v>0</v>
      </c>
      <c r="U972" t="n">
        <v>0</v>
      </c>
    </row>
    <row r="973">
      <c r="A973">
        <f>Skills!A23</f>
        <v/>
      </c>
      <c r="B973">
        <f>Skills!B23</f>
        <v/>
      </c>
      <c r="C973">
        <f>Inputs!$B$3&gt;=120</f>
        <v/>
      </c>
      <c r="D973">
        <f>IF(Skills!C23=1,60+Inputs!$B$25+Inputs!$B$29,IF(Skills!C23=2,90+Inputs!$B$26+Inputs!$B$29,IF(Skills!C23=3,120+Inputs!$B$27+Inputs!$B$29,MAX(0,(Inputs!$B$3-100)*3)+Inputs!$B$28+Inputs!$B$29)))</f>
        <v/>
      </c>
      <c r="E973">
        <f>INDEX(FactorTable!$B$2:$Y$301, MATCH(ROUND(MIN(300,MAX(1,D973)),0), FactorTable!$A$2:$A$301,0), Skills!L23+1)</f>
        <v/>
      </c>
      <c r="F973">
        <f>IF(Skills!M23=TRUE,(Skills!K23/10)*(E973/1000),Skills!K23/10)+Skills!N23</f>
        <v/>
      </c>
      <c r="G973">
        <f>Calc!G23</f>
        <v/>
      </c>
      <c r="H973">
        <f>Calc!H23</f>
        <v/>
      </c>
      <c r="I973">
        <f>IF(Skills!T23&lt;&gt;"",1+(Skills!T23/10)*(Z953/1000)/100,1)</f>
        <v/>
      </c>
      <c r="J973" t="inlineStr"/>
      <c r="K973" t="inlineStr"/>
      <c r="L973" t="inlineStr"/>
      <c r="M973" t="inlineStr"/>
      <c r="N973" t="inlineStr"/>
      <c r="O973">
        <f>(1-Summary!$B$11)*S973+Summary!$B$11*U973</f>
        <v/>
      </c>
      <c r="P973">
        <f>IF(B987=0,0,O973/B987)</f>
        <v/>
      </c>
      <c r="Q973">
        <f>IFERROR(1/IF(Inputs!$B$38="pvp",15,MAX(0.1,Skills!D23-IF(Skills!E23=TRUE,(Inputs!$B$32+1),0))),0)</f>
        <v/>
      </c>
      <c r="R973" t="n">
        <v>0</v>
      </c>
      <c r="S973" t="n">
        <v>0</v>
      </c>
      <c r="U973" t="n">
        <v>0</v>
      </c>
    </row>
    <row r="974">
      <c r="A974">
        <f>Skills!A24</f>
        <v/>
      </c>
      <c r="B974">
        <f>Skills!B24</f>
        <v/>
      </c>
      <c r="C974">
        <f>TRUE</f>
        <v/>
      </c>
      <c r="D974">
        <f>IF(Skills!C24=1,60+Inputs!$B$25+Inputs!$B$29,IF(Skills!C24=2,90+Inputs!$B$26+Inputs!$B$29,IF(Skills!C24=3,120+Inputs!$B$27+Inputs!$B$29,MAX(0,(Inputs!$B$3-100)*3)+Inputs!$B$28+Inputs!$B$29)))</f>
        <v/>
      </c>
      <c r="E974">
        <f>INDEX(FactorTable!$B$2:$Y$301, MATCH(ROUND(MIN(300,MAX(1,D974)),0), FactorTable!$A$2:$A$301,0), Skills!L24+1)</f>
        <v/>
      </c>
      <c r="F974">
        <f>IF(Skills!M24=TRUE,(Skills!K24/10)*(E974/1000),Skills!K24/10)+Skills!N24</f>
        <v/>
      </c>
      <c r="G974">
        <f>Calc!G24</f>
        <v/>
      </c>
      <c r="H974">
        <f>Calc!H24</f>
        <v/>
      </c>
      <c r="I974">
        <f>IF(Skills!T24&lt;&gt;"",1+(Skills!T24/10)*(Z953/1000)/100,1)</f>
        <v/>
      </c>
      <c r="J974" t="inlineStr"/>
      <c r="K974" t="inlineStr"/>
      <c r="L974" t="inlineStr"/>
      <c r="M974" t="inlineStr"/>
      <c r="N974" t="inlineStr"/>
      <c r="O974">
        <f>(1-Summary!$B$11)*S974+Summary!$B$11*U974</f>
        <v/>
      </c>
      <c r="P974">
        <f>IF(B987=0,0,O974/B987)</f>
        <v/>
      </c>
      <c r="Q974">
        <f>IFERROR(1/IF(Inputs!$B$38="pvp",15,MAX(0.1,Skills!D24-IF(Skills!E24=TRUE,(Inputs!$B$32+1),0))),0)</f>
        <v/>
      </c>
      <c r="R974">
        <f>IF(AND(Inputs!$B$38&lt;&gt;"pvp",Inputs!$B$43&gt;0),IF(Inputs!$B$43&lt;=0,0,(INT(Inputs!$B$43/IF(Inputs!$B$38="pvp",15,MAX(0.1,Skills!D24-IF(Skills!E24=TRUE,(Inputs!$B$32+1),0))))+1)),0)</f>
        <v/>
      </c>
      <c r="S974" t="n">
        <v>0</v>
      </c>
      <c r="U974" t="n">
        <v>0</v>
      </c>
    </row>
    <row r="977">
      <c r="A977" t="inlineStr">
        <is>
          <t>Average Buff Multiplier (Magic Guard + Meditation + Artifact Attack%, summed; then Infinity)</t>
        </is>
      </c>
      <c r="B977">
        <f>(1+(IF(C953=TRUE,F953*IF(AND(Inputs!$B$38&lt;&gt;"pvp",Inputs!$B$43&gt;0),(((R953-1)*(Skills!S3*(1+(Inputs!$B$34)/100))+MIN((Skills!S3*(1+(Inputs!$B$34)/100)),MAX(0,Inputs!$B$43-((R953-1)*Skills!D3))))/Inputs!$B$43),IF(Inputs!$B$38="pvp",MIN((Skills!S3*(1+(Inputs!$B$34)/100)),15)/15,(Skills!S3*(1+(Inputs!$B$34)/100))/Skills!D3)),0)+IF(C954=TRUE,F954*IF(AND(Inputs!$B$38&lt;&gt;"pvp",Inputs!$B$43&gt;0),(((R954-1)*(Skills!S4*(1+(Inputs!$B$34)/100))+MIN((Skills!S4*(1+(Inputs!$B$34)/100)),MAX(0,Inputs!$B$43-((R954-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966=TRUE,(1+F966*IF(AND(Inputs!$B$38&lt;&gt;"pvp",Inputs!$B$43&gt;0),(((R966-1)*(Skills!S16*(1+(Inputs!$B$34)/100))+MIN((Skills!S16*(1+(Inputs!$B$34)/100)),MAX(0,Inputs!$B$43-((R966-1)*Skills!D16))))/Inputs!$B$43),IF(Inputs!$B$38="pvp",MIN((Skills!S16*(1+(Inputs!$B$34)/100)),15)/15,(Skills!S16*(1+(Inputs!$B$34)/100))/Skills!D16))/100),1)</f>
        <v/>
      </c>
    </row>
    <row r="978">
      <c r="A978" t="inlineStr">
        <is>
          <t>Monster Damage Taken Bonus % (Freezing Breath - Weaken + Elemental Reset + Artifact Enemy Damage Taken, summed)</t>
        </is>
      </c>
      <c r="B978">
        <f>IF(Inputs!$B$3&gt;=118,15*IF(Inputs!$B$38="pvp",MIN((30*(1+(Inputs!$B$34)/100)),15)/15,(30*(1+(Inputs!$B$34)/100))/Skills!D8),0)+IF(C964=TRUE,F964,0)+(IF(AND(ArtifactsInput!$M$35,Inputs!$B$4&lt;&gt;"Chapter Hunt"),CHOOSE(ArtifactsInput!$N$35+1,15,18,21,24,27,30)*(1-EXP(-(0.2*B981)*5)),0)+IF(AND(ArtifactsInput!$M$22,Inputs!$B$4&lt;&gt;"Chapter Hunt"),CHOOSE(ArtifactsInput!$N$22+1,10,12,14,16,18,20)*((0*(((0.15*B981*5))^0/1)+1*(((0.15*B981*5))^1/1)+2*(((0.15*B981*5))^2/2)+3*(((0.15*B981*5))^3/6)+4*(((0.15*B981*5))^4/24)+5*(((0.15*B981*5))^5/120))/((((0.15*B981*5))^0/1)+(((0.15*B981*5))^1/1)+(((0.15*B981*5))^2/2)+(((0.15*B981*5))^3/6)+(((0.15*B981*5))^4/24)+(((0.15*B981*5))^5/120))),0))</f>
        <v/>
      </c>
    </row>
    <row r="979">
      <c r="A979" t="inlineStr">
        <is>
          <t>Damage % Bonus (Frozen Break + Frost Clutch, flat)</t>
        </is>
      </c>
      <c r="B979">
        <f>IF(Inputs!$B$3&gt;=66,15,0)+IF(Inputs!$B$3&gt;=98,10,0)+IF(Inputs!$B$3&gt;=125,20,0)</f>
        <v/>
      </c>
    </row>
    <row r="980">
      <c r="A980" t="inlineStr">
        <is>
          <t>Attack Speed Bonus % (MP Eater - MP Boost, always-on + Nimble Feet, duty-cycle averaged)</t>
        </is>
      </c>
      <c r="B980">
        <f>IF(C963=TRUE,F963+(F967-Calc!F17),0)+((C974=TRUE)*F974*IF(AND(Inputs!$B$38&lt;&gt;"pvp",Inputs!$B$43&gt;0),(((R974-1)*(Skills!S24*(1+(Inputs!$B$34)/100))+MIN((Skills!S24*(1+(Inputs!$B$34)/100)),MAX(0,Inputs!$B$43-((R974-1)*Skills!D24))))/Inputs!$B$43),IF(Inputs!$B$38="pvp",MIN((Skills!S24*(1+(Inputs!$B$34)/100)),15)/15,(Skills!S24*(1+(Inputs!$B$34)/100))/Skills!D24)))</f>
        <v/>
      </c>
    </row>
    <row r="981">
      <c r="A981" t="inlineStr">
        <is>
          <t>Actions Per Second</t>
        </is>
      </c>
      <c r="B981">
        <f>1+MIN(150,150*(1-(1-(Inputs!$B$11+(ArtifactsInput!$M$15-ArtifactsInput!$M$15)*CHOOSE(ArtifactsInput!$N$15+1,8,9.6,11.2,12.8,14.4,16))/150)*(1-B980/150)))/100</f>
        <v/>
      </c>
    </row>
    <row r="982">
      <c r="A982" t="inlineStr">
        <is>
          <t>Skill + Buff Cast Rate</t>
        </is>
      </c>
      <c r="B982">
        <f>IF(AND(Inputs!$B$38&lt;&gt;"pvp",Inputs!$B$43&gt;0),SUMPRODUCT((Skills!E2:E24=TRUE)*(C952:C974=TRUE)*R952:R974)/Inputs!$B$43,SUMPRODUCT((Skills!E2:E24=TRUE)*(C952:C974=TRUE)*Q952:Q974))</f>
        <v/>
      </c>
    </row>
    <row r="983">
      <c r="A983" t="inlineStr">
        <is>
          <t>Chain Lightning Casts Per Second</t>
        </is>
      </c>
      <c r="B983">
        <f>MAX(0,B981-B982)</f>
        <v/>
      </c>
    </row>
    <row r="984">
      <c r="A984" t="inlineStr">
        <is>
          <t>Buff-Casting Startup Delay (s, fixed-duration only)</t>
        </is>
      </c>
      <c r="B984">
        <f>IF(AND(Inputs!$B$38&lt;&gt;"pvp",Inputs!$B$43&gt;0),SUMPRODUCT((Skills!S2:S24&gt;0)*(Skills!E2:E24=TRUE)*(C952:C974=TRUE))/B981,0)</f>
        <v/>
      </c>
    </row>
    <row r="985">
      <c r="A985" t="inlineStr">
        <is>
          <t>Boss-Only Total DPS (this block's swept value)</t>
        </is>
      </c>
      <c r="B985">
        <f>SUM(S952:S974)</f>
        <v/>
      </c>
    </row>
    <row r="986">
      <c r="A986" t="inlineStr">
        <is>
          <t>Normal-Only Total DPS (this block's swept value)</t>
        </is>
      </c>
      <c r="B986">
        <f>SUM(U952:U974)</f>
        <v/>
      </c>
    </row>
    <row r="987">
      <c r="A987" s="6" t="inlineStr">
        <is>
          <t>TOTAL DPS</t>
        </is>
      </c>
      <c r="B987" s="6">
        <f>SUM(O952:O974)</f>
        <v/>
      </c>
    </row>
    <row r="990">
      <c r="A990" s="6" t="inlineStr">
        <is>
          <t>Stat: Basic Attack Target Increase (flat)</t>
        </is>
      </c>
    </row>
    <row r="991">
      <c r="A991" s="5" t="inlineStr">
        <is>
          <t>Key</t>
        </is>
      </c>
      <c r="B991" s="5" t="inlineStr">
        <is>
          <t>Name</t>
        </is>
      </c>
      <c r="C991" s="5" t="inlineStr">
        <is>
          <t>Unlocked</t>
        </is>
      </c>
      <c r="D991" s="5" t="inlineStr">
        <is>
          <t>InputLevel</t>
        </is>
      </c>
      <c r="E991" s="5" t="inlineStr">
        <is>
          <t>Factor</t>
        </is>
      </c>
      <c r="F991" s="5" t="inlineStr">
        <is>
          <t>CoefficientPercent</t>
        </is>
      </c>
      <c r="G991" s="5" t="inlineStr">
        <is>
          <t>EffectiveHits</t>
        </is>
      </c>
      <c r="H991" s="5" t="inlineStr">
        <is>
          <t>ProcProbability</t>
        </is>
      </c>
      <c r="I991" s="5" t="inlineStr">
        <is>
          <t>MapleHeroMultiplier</t>
        </is>
      </c>
      <c r="J991" s="5" t="inlineStr">
        <is>
          <t>BaseDamage</t>
        </is>
      </c>
      <c r="K991" s="5" t="inlineStr">
        <is>
          <t>BaseHitDamage</t>
        </is>
      </c>
      <c r="L991" s="5" t="inlineStr">
        <is>
          <t>NonCritAvg</t>
        </is>
      </c>
      <c r="M991" s="5" t="inlineStr">
        <is>
          <t>CritAvg</t>
        </is>
      </c>
      <c r="N991" s="5" t="inlineStr">
        <is>
          <t>ExpectedDamage(perHit)</t>
        </is>
      </c>
      <c r="O991" s="5" t="inlineStr">
        <is>
          <t>DPS</t>
        </is>
      </c>
      <c r="P991" s="5" t="inlineStr">
        <is>
          <t>% of Total</t>
        </is>
      </c>
      <c r="R991" t="inlineStr">
        <is>
          <t>helpers</t>
        </is>
      </c>
    </row>
    <row r="992">
      <c r="A992">
        <f>Skills!A2</f>
        <v/>
      </c>
      <c r="B992">
        <f>Skills!B2</f>
        <v/>
      </c>
      <c r="C992">
        <f>Inputs!$B$3&gt;=100</f>
        <v/>
      </c>
      <c r="D992" t="inlineStr"/>
      <c r="E992" t="inlineStr"/>
      <c r="F992">
        <f>T994+Skills!N2</f>
        <v/>
      </c>
      <c r="G992">
        <f>Calc!G2</f>
        <v/>
      </c>
      <c r="H992">
        <f>Calc!H2</f>
        <v/>
      </c>
      <c r="I992">
        <f>IF(Skills!T2&lt;&gt;"",1+(Skills!T2/10)*(Z993/1000)/100,1)</f>
        <v/>
      </c>
      <c r="J992">
        <f>((Inputs!$B$6*(1+Inputs!$B$7/100))+(((Inputs!$B$12*(1+Inputs!$B$13/100))-(Inputs!$B$12*(1+Inputs!$B$13/100)))+0.25*(Inputs!$B$14-Inputs!$B$14))*(1+Inputs!$B$7/100))*(F992/100)</f>
        <v/>
      </c>
      <c r="K992">
        <f>J992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2="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F1008-Calc!F18),(Inputs!$B$23+(IF(ArtifactsInput!$M$15,CHOOSE(ArtifactsInput!$N$15+1,25,30,35,40,45,50)/100*(Inputs!$B$11-Inputs!$B$11),0))))/100+(Inputs!$B$23+(IF(ArtifactsInput!$M$15,CHOOSE(ArtifactsInput!$N$15+1,25,30,35,40,45,50)/100*(Inputs!$B$11-Inputs!$B$11),0)))/100)/2</f>
        <v/>
      </c>
      <c r="M992">
        <f>L992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(1-Summary!$B$11)*S992+Summary!$B$11*U992</f>
        <v/>
      </c>
      <c r="P992">
        <f>IF(B1027=0,0,O992/B1027)</f>
        <v/>
      </c>
      <c r="Q992">
        <f>IFERROR(1/IF(Inputs!$B$38="pvp",15,MAX(0.1,Skills!D2-IF(Skills!E2=TRUE,Inputs!$B$32,0))),0)</f>
        <v/>
      </c>
      <c r="R992" t="n">
        <v>0</v>
      </c>
      <c r="S992">
        <f>IF(C992,(Skills!F2*N992*B1023)*IF(Inputs!$B$38="pvp",1,1+(Inputs!$B$20+Skills!O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992*(1-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2">
        <f>MAX(0,(Inputs!$B$3-100)*3)+Inputs!$B$28+Inputs!$B$29</f>
        <v/>
      </c>
      <c r="U992">
        <f>IF(C992,(Skills!F2*N992*B1023)*IF(Inputs!$B$38="pvp",1,(1+(Inputs!$B$21+Skills!P2+B1018+(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2">
        <f>MAX(0,(Inputs!$B$3-100)*3)+Inputs!$B$28+Inputs!$B$29</f>
        <v/>
      </c>
    </row>
    <row r="993">
      <c r="A993">
        <f>Skills!A3</f>
        <v/>
      </c>
      <c r="B993">
        <f>Skills!B3</f>
        <v/>
      </c>
      <c r="C993">
        <f>Inputs!$B$3&gt;=15</f>
        <v/>
      </c>
      <c r="D993">
        <f>IF(Skills!C3=1,60+Inputs!$B$25+Inputs!$B$29,IF(Skills!C3=2,90+Inputs!$B$26+Inputs!$B$29,IF(Skills!C3=3,120+Inputs!$B$27+Inputs!$B$29,MAX(0,(Inputs!$B$3-100)*3)+Inputs!$B$28+Inputs!$B$29)))</f>
        <v/>
      </c>
      <c r="E993">
        <f>INDEX(FactorTable!$B$2:$Y$301, MATCH(ROUND(MIN(300,MAX(1,D993)),0), FactorTable!$A$2:$A$301,0), Skills!L3+1)</f>
        <v/>
      </c>
      <c r="F993">
        <f>IF(Skills!M3=TRUE,(Skills!K3/10)*(E993/1000),Skills!K3/10)+Skills!N3</f>
        <v/>
      </c>
      <c r="G993">
        <f>Calc!G3</f>
        <v/>
      </c>
      <c r="H993">
        <f>Calc!H3</f>
        <v/>
      </c>
      <c r="I993">
        <f>IF(Skills!T3&lt;&gt;"",1+(Skills!T3/10)*(Z993/1000)/100,1)</f>
        <v/>
      </c>
      <c r="J993" t="inlineStr"/>
      <c r="K993" t="inlineStr"/>
      <c r="L993" t="inlineStr"/>
      <c r="M993" t="inlineStr"/>
      <c r="N993" t="inlineStr"/>
      <c r="O993">
        <f>(1-Summary!$B$11)*S993+Summary!$B$11*U993</f>
        <v/>
      </c>
      <c r="P993">
        <f>IF(B1027=0,0,O993/B1027)</f>
        <v/>
      </c>
      <c r="Q993">
        <f>IFERROR(1/IF(Inputs!$B$38="pvp",15,MAX(0.1,Skills!D3-IF(Skills!E3=TRUE,Inputs!$B$32,0))),0)</f>
        <v/>
      </c>
      <c r="R993">
        <f>IF(AND(Inputs!$B$38&lt;&gt;"pvp",Inputs!$B$43&gt;0),IF(Inputs!$B$43&lt;=0,0,(INT(Inputs!$B$43/IF(Inputs!$B$38="pvp",15,MAX(0.1,Skills!D3-IF(Skills!E3=TRUE,Inputs!$B$32,0))))+1)),0)</f>
        <v/>
      </c>
      <c r="S993" t="n">
        <v>0</v>
      </c>
      <c r="T993">
        <f>INDEX(FactorTable!$B$2:$Y$301, MATCH(ROUND(MIN(300,MAX(1,T992)),0), FactorTable!$A$2:$A$301,0), 22)</f>
        <v/>
      </c>
      <c r="U993" t="n">
        <v>0</v>
      </c>
      <c r="Z993">
        <f>INDEX(FactorTable!$B$2:$Y$301, MATCH(ROUND(MIN(300,MAX(1,Z992)),0), FactorTable!$A$2:$A$301,0), 24)</f>
        <v/>
      </c>
    </row>
    <row r="994">
      <c r="A994">
        <f>Skills!A4</f>
        <v/>
      </c>
      <c r="B994">
        <f>Skills!B4</f>
        <v/>
      </c>
      <c r="C994">
        <f>Inputs!$B$3&gt;=40</f>
        <v/>
      </c>
      <c r="D994">
        <f>IF(Skills!C4=1,60+Inputs!$B$25+Inputs!$B$29,IF(Skills!C4=2,90+Inputs!$B$26+Inputs!$B$29,IF(Skills!C4=3,120+Inputs!$B$27+Inputs!$B$29,MAX(0,(Inputs!$B$3-100)*3)+Inputs!$B$28+Inputs!$B$29)))</f>
        <v/>
      </c>
      <c r="E994">
        <f>INDEX(FactorTable!$B$2:$Y$301, MATCH(ROUND(MIN(300,MAX(1,D994)),0), FactorTable!$A$2:$A$301,0), Skills!L4+1)</f>
        <v/>
      </c>
      <c r="F994">
        <f>IF(Skills!M4=TRUE,(Skills!K4/10)*(E994/1000),Skills!K4/10)+Skills!N4</f>
        <v/>
      </c>
      <c r="G994">
        <f>Calc!G4</f>
        <v/>
      </c>
      <c r="H994">
        <f>Calc!H4</f>
        <v/>
      </c>
      <c r="I994">
        <f>IF(Skills!T4&lt;&gt;"",1+(Skills!T4/10)*(Z993/1000)/100,1)</f>
        <v/>
      </c>
      <c r="J994" t="inlineStr"/>
      <c r="K994" t="inlineStr"/>
      <c r="L994" t="inlineStr"/>
      <c r="M994" t="inlineStr"/>
      <c r="N994" t="inlineStr"/>
      <c r="O994">
        <f>(1-Summary!$B$11)*S994+Summary!$B$11*U994</f>
        <v/>
      </c>
      <c r="P994">
        <f>IF(B1027=0,0,O994/B1027)</f>
        <v/>
      </c>
      <c r="Q994">
        <f>IFERROR(1/IF(Inputs!$B$38="pvp",15,MAX(0.1,Skills!D4-IF(Skills!E4=TRUE,Inputs!$B$32,0))),0)</f>
        <v/>
      </c>
      <c r="R994">
        <f>IF(AND(Inputs!$B$38&lt;&gt;"pvp",Inputs!$B$43&gt;0),IF(Inputs!$B$43&lt;=0,0,(INT(Inputs!$B$43/IF(Inputs!$B$38="pvp",15,MAX(0.1,Skills!D4-IF(Skills!E4=TRUE,Inputs!$B$32,0))))+1)),0)</f>
        <v/>
      </c>
      <c r="S994" t="n">
        <v>0</v>
      </c>
      <c r="T994">
        <f>290*T993/1000</f>
        <v/>
      </c>
      <c r="U994" t="n">
        <v>0</v>
      </c>
    </row>
    <row r="995">
      <c r="A995">
        <f>Skills!A5</f>
        <v/>
      </c>
      <c r="B995">
        <f>Skills!B5</f>
        <v/>
      </c>
      <c r="C995">
        <f>Inputs!$B$3&gt;=38</f>
        <v/>
      </c>
      <c r="D995">
        <f>IF(Skills!C5=1,60+Inputs!$B$25+Inputs!$B$29,IF(Skills!C5=2,90+Inputs!$B$26+Inputs!$B$29,IF(Skills!C5=3,120+Inputs!$B$27+Inputs!$B$29,MAX(0,(Inputs!$B$3-100)*3)+Inputs!$B$28+Inputs!$B$29)))</f>
        <v/>
      </c>
      <c r="E995">
        <f>INDEX(FactorTable!$B$2:$Y$301, MATCH(ROUND(MIN(300,MAX(1,D995)),0), FactorTable!$A$2:$A$301,0), Skills!L5+1)</f>
        <v/>
      </c>
      <c r="F995">
        <f>IF(Skills!M5=TRUE,(Skills!K5/10)*(E995/1000),Skills!K5/10)+Skills!N5</f>
        <v/>
      </c>
      <c r="G995">
        <f>Calc!G5</f>
        <v/>
      </c>
      <c r="H995">
        <f>Calc!H5</f>
        <v/>
      </c>
      <c r="I995">
        <f>IF(Skills!T5&lt;&gt;"",1+(Skills!T5/10)*(Z993/1000)/100,1)</f>
        <v/>
      </c>
      <c r="J995">
        <f>((Inputs!$B$6*(1+Inputs!$B$7/100))+(((Inputs!$B$12*(1+Inputs!$B$13/100))-(Inputs!$B$12*(1+Inputs!$B$13/100)))+0.25*(Inputs!$B$14-Inputs!$B$14))*(1+Inputs!$B$7/100))*(F995/100)</f>
        <v/>
      </c>
      <c r="K995">
        <f>J995*(1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5="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F1008-Calc!F18),(Inputs!$B$23+(IF(ArtifactsInput!$M$15,CHOOSE(ArtifactsInput!$N$15+1,25,30,35,40,45,50)/100*(Inputs!$B$11-Inputs!$B$11),0))))/100+(Inputs!$B$23+(IF(ArtifactsInput!$M$15,CHOOSE(ArtifactsInput!$N$15+1,25,30,35,40,45,50)/100*(Inputs!$B$11-Inputs!$B$11),0)))/100)/2</f>
        <v/>
      </c>
      <c r="M995">
        <f>L995*(1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(1-Summary!$B$11)*S995+Summary!$B$11*U995</f>
        <v/>
      </c>
      <c r="P995">
        <f>IF(B1027=0,0,O995/B1027)</f>
        <v/>
      </c>
      <c r="Q995">
        <f>IFERROR(1/IF(Inputs!$B$38="pvp",15,MAX(0.1,Skills!D5-IF(Skills!E5=TRUE,Inputs!$B$32,0))),0)</f>
        <v/>
      </c>
      <c r="R995">
        <f>IF(AND(Inputs!$B$38&lt;&gt;"pvp",Inputs!$B$43&gt;0),IF(MAX(0,Inputs!$B$43-B1024)&lt;=0,0,(INT(MAX(0,Inputs!$B$43-B1024)/IF(Inputs!$B$38="pvp",15,MAX(0.1,Skills!D5-IF(Skills!E5=TRUE,Inputs!$B$32,0))))+1)),0)</f>
        <v/>
      </c>
      <c r="S995">
        <f>IF(C995,(H995*N995*IF(AND(Inputs!$B$38&lt;&gt;"pvp",Inputs!$B$43&gt;0),((Skills!F5*((R995-1)*IF(Skills!G5&gt;0,Skills!H5/Skills!G5,1)+IF(Skills!G5&gt;0,MIN(Skills!H5,MAX(0,MAX(0,Inputs!$B$43-B1024)-((R995-1)*IF(Inputs!$B$38="pvp",15,MAX(0.1,Skills!D5-IF(Skills!E5=TRUE,Inputs!$B$32,0))))))/Skills!G5,1)))/Inputs!$B$43),G995*Q995))*IF(Inputs!$B$38="pvp",1,1+(Inputs!$B$20+Skills!O5+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995*(1-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IF(C995,(H995*N995*IF(AND(Inputs!$B$38&lt;&gt;"pvp",Inputs!$B$43&gt;0),((Skills!F5*((R995-1)*IF(Skills!G5&gt;0,Skills!H5/Skills!G5,1)+IF(Skills!G5&gt;0,MIN(Skills!H5,MAX(0,MAX(0,Inputs!$B$43-B1024)-((R995-1)*IF(Inputs!$B$38="pvp",15,MAX(0.1,Skills!D5-IF(Skills!E5=TRUE,Inputs!$B$32,0))))))/Skills!G5,1)))/Inputs!$B$43),G995*Q995))*IF(Inputs!$B$38="pvp",1,(1+(Inputs!$B$21+Skills!P5+B1018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Skills!A6</f>
        <v/>
      </c>
      <c r="B996">
        <f>Skills!B6</f>
        <v/>
      </c>
      <c r="C996">
        <f>Inputs!$B$3&gt;=63</f>
        <v/>
      </c>
      <c r="D996">
        <f>IF(Skills!C6=1,60+Inputs!$B$25+Inputs!$B$29,IF(Skills!C6=2,90+Inputs!$B$26+Inputs!$B$29,IF(Skills!C6=3,120+Inputs!$B$27+Inputs!$B$29,MAX(0,(Inputs!$B$3-100)*3)+Inputs!$B$28+Inputs!$B$29)))</f>
        <v/>
      </c>
      <c r="E996">
        <f>INDEX(FactorTable!$B$2:$Y$301, MATCH(ROUND(MIN(300,MAX(1,D996)),0), FactorTable!$A$2:$A$301,0), Skills!L6+1)</f>
        <v/>
      </c>
      <c r="F996">
        <f>IF(Skills!M6=TRUE,(Skills!K6/10)*(E996/1000),Skills!K6/10)+Skills!N6</f>
        <v/>
      </c>
      <c r="G996">
        <f>Calc!G6</f>
        <v/>
      </c>
      <c r="H996">
        <f>Calc!H6</f>
        <v/>
      </c>
      <c r="I996">
        <f>IF(Skills!T6&lt;&gt;"",1+(Skills!T6/10)*(Z993/1000)/100,1)</f>
        <v/>
      </c>
      <c r="J996">
        <f>((Inputs!$B$6*(1+Inputs!$B$7/100))+(((Inputs!$B$12*(1+Inputs!$B$13/100))-(Inputs!$B$12*(1+Inputs!$B$13/100)))+0.25*(Inputs!$B$14-Inputs!$B$14))*(1+Inputs!$B$7/100))*(F996/100)</f>
        <v/>
      </c>
      <c r="K996">
        <f>J996*(1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6="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1008-Calc!F18),(Inputs!$B$23+(IF(ArtifactsInput!$M$15,CHOOSE(ArtifactsInput!$N$15+1,25,30,35,40,45,50)/100*(Inputs!$B$11-Inputs!$B$11),0))))/100+(Inputs!$B$23+(IF(ArtifactsInput!$M$15,CHOOSE(ArtifactsInput!$N$15+1,25,30,35,40,45,50)/100*(Inputs!$B$11-Inputs!$B$11),0)))/100)/2</f>
        <v/>
      </c>
      <c r="M996">
        <f>L996*(1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IF(B1027=0,0,O996/B1027)</f>
        <v/>
      </c>
      <c r="Q996">
        <f>IFERROR(1/IF(Inputs!$B$38="pvp",15,MAX(0.1,Skills!D6-IF(Skills!E6=TRUE,Inputs!$B$32,0))),0)</f>
        <v/>
      </c>
      <c r="R996">
        <f>IF(AND(Inputs!$B$38&lt;&gt;"pvp",Inputs!$B$43&gt;0),IF(MAX(0,Inputs!$B$43-B1024)&lt;=0,0,(INT(MAX(0,Inputs!$B$43-B1024)/IF(Inputs!$B$38="pvp",15,MAX(0.1,Skills!D6-IF(Skills!E6=TRUE,Inputs!$B$32,0))))+1)),0)</f>
        <v/>
      </c>
      <c r="S996">
        <f>IF(C996,(H996*N996*IF(AND(Inputs!$B$38&lt;&gt;"pvp",Inputs!$B$43&gt;0),((Skills!F6*((R996-1)*IF(Skills!G6&gt;0,Skills!H6/Skills!G6,1)+IF(Skills!G6&gt;0,MIN(Skills!H6,MAX(0,MAX(0,Inputs!$B$43-B1024)-((R996-1)*IF(Inputs!$B$38="pvp",15,MAX(0.1,Skills!D6-IF(Skills!E6=TRUE,Inputs!$B$32,0))))))/Skills!G6,1)))/Inputs!$B$43),G996*Q996))*IF(Inputs!$B$38="pvp",1,1+(Inputs!$B$20+Skills!O6+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6">
        <f>IF(C996,(H996*N996*IF(AND(Inputs!$B$38&lt;&gt;"pvp",Inputs!$B$43&gt;0),((Skills!F6*((R996-1)*IF(Skills!G6&gt;0,Skills!H6/Skills!G6,1)+IF(Skills!G6&gt;0,MIN(Skills!H6,MAX(0,MAX(0,Inputs!$B$43-B1024)-((R996-1)*IF(Inputs!$B$38="pvp",15,MAX(0.1,Skills!D6-IF(Skills!E6=TRUE,Inputs!$B$32,0))))))/Skills!G6,1)))/Inputs!$B$43),G996*Q996))*IF(Inputs!$B$38="pvp",1,(1+(Inputs!$B$21+Skills!P6+B1018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Skills!A7</f>
        <v/>
      </c>
      <c r="B997">
        <f>Skills!B7</f>
        <v/>
      </c>
      <c r="C997">
        <f>Inputs!$B$3&gt;=69</f>
        <v/>
      </c>
      <c r="D997">
        <f>IF(Skills!C7=1,60+Inputs!$B$25+Inputs!$B$29,IF(Skills!C7=2,90+Inputs!$B$26+Inputs!$B$29,IF(Skills!C7=3,120+Inputs!$B$27+Inputs!$B$29,MAX(0,(Inputs!$B$3-100)*3)+Inputs!$B$28+Inputs!$B$29)))</f>
        <v/>
      </c>
      <c r="E997">
        <f>INDEX(FactorTable!$B$2:$Y$301, MATCH(ROUND(MIN(300,MAX(1,D997)),0), FactorTable!$A$2:$A$301,0), Skills!L7+1)</f>
        <v/>
      </c>
      <c r="F997">
        <f>IF(Skills!M7=TRUE,(Skills!K7/10)*(E997/1000),Skills!K7/10)+Skills!N7</f>
        <v/>
      </c>
      <c r="G997">
        <f>Calc!G7</f>
        <v/>
      </c>
      <c r="H997">
        <f>Calc!H7</f>
        <v/>
      </c>
      <c r="I997">
        <f>IF(Skills!T7&lt;&gt;"",1+(Skills!T7/10)*(Z993/1000)/100,1)</f>
        <v/>
      </c>
      <c r="J997">
        <f>((Inputs!$B$6*(1+Inputs!$B$7/100))+(((Inputs!$B$12*(1+Inputs!$B$13/100))-(Inputs!$B$12*(1+Inputs!$B$13/100)))+0.25*(Inputs!$B$14-Inputs!$B$14))*(1+Inputs!$B$7/100))*(F997/100)</f>
        <v/>
      </c>
      <c r="K997">
        <f>J997*(1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7="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1008-Calc!F18),(Inputs!$B$23+(IF(ArtifactsInput!$M$15,CHOOSE(ArtifactsInput!$N$15+1,25,30,35,40,45,50)/100*(Inputs!$B$11-Inputs!$B$11),0))))/100+(Inputs!$B$23+(IF(ArtifactsInput!$M$15,CHOOSE(ArtifactsInput!$N$15+1,25,30,35,40,45,50)/100*(Inputs!$B$11-Inputs!$B$11),0)))/100)/2</f>
        <v/>
      </c>
      <c r="M997">
        <f>L997*(1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IF(B1027=0,0,O997/B1027)</f>
        <v/>
      </c>
      <c r="Q997">
        <f>IFERROR(1/IF(Inputs!$B$38="pvp",15,MAX(0.1,Skills!D7-IF(Skills!E7=TRUE,Inputs!$B$32,0))),0)</f>
        <v/>
      </c>
      <c r="R997">
        <f>IF(AND(Inputs!$B$38&lt;&gt;"pvp",Inputs!$B$43&gt;0),IF(MAX(0,Inputs!$B$43-B1024)&lt;=0,0,(INT(MAX(0,Inputs!$B$43-B1024)/IF(Inputs!$B$38="pvp",15,MAX(0.1,Skills!D7-IF(Skills!E7=TRUE,Inputs!$B$32,0))))+1)),0)</f>
        <v/>
      </c>
      <c r="S997">
        <f>IF(C997,(H997*N997*IF(AND(Inputs!$B$38&lt;&gt;"pvp",Inputs!$B$43&gt;0),((Skills!F7*((R997-1)*IF(Skills!G7&gt;0,Skills!H7/Skills!G7,1)+IF(Skills!G7&gt;0,MIN(Skills!H7,MAX(0,MAX(0,Inputs!$B$43-B1024)-((R997-1)*IF(Inputs!$B$38="pvp",15,MAX(0.1,Skills!D7-IF(Skills!E7=TRUE,Inputs!$B$32,0))))))/Skills!G7,1)))/Inputs!$B$43),G997*Q997))*IF(Inputs!$B$38="pvp",1,1+(Inputs!$B$20+Skills!O7+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IF(C997,(H997*N997*IF(AND(Inputs!$B$38&lt;&gt;"pvp",Inputs!$B$43&gt;0),((Skills!F7*((R997-1)*IF(Skills!G7&gt;0,Skills!H7/Skills!G7,1)+IF(Skills!G7&gt;0,MIN(Skills!H7,MAX(0,MAX(0,Inputs!$B$43-B1024)-((R997-1)*IF(Inputs!$B$38="pvp",15,MAX(0.1,Skills!D7-IF(Skills!E7=TRUE,Inputs!$B$32,0))))))/Skills!G7,1)))/Inputs!$B$43),G997*Q997))*IF(Inputs!$B$38="pvp",1,(1+(Inputs!$B$21+Skills!P7+B1018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Skills!A8</f>
        <v/>
      </c>
      <c r="B998">
        <f>Skills!B8</f>
        <v/>
      </c>
      <c r="C998">
        <f>Inputs!$B$3&gt;=103</f>
        <v/>
      </c>
      <c r="D998">
        <f>IF(Skills!C8=1,60+Inputs!$B$25+Inputs!$B$29,IF(Skills!C8=2,90+Inputs!$B$26+Inputs!$B$29,IF(Skills!C8=3,120+Inputs!$B$27+Inputs!$B$29,MAX(0,(Inputs!$B$3-100)*3)+Inputs!$B$28+Inputs!$B$29)))</f>
        <v/>
      </c>
      <c r="E998">
        <f>INDEX(FactorTable!$B$2:$Y$301, MATCH(ROUND(MIN(300,MAX(1,D998)),0), FactorTable!$A$2:$A$301,0), Skills!L8+1)</f>
        <v/>
      </c>
      <c r="F998">
        <f>IF(Skills!M8=TRUE,(Skills!K8/10)*(E998/1000),Skills!K8/10)+Skills!N8</f>
        <v/>
      </c>
      <c r="G998">
        <f>Calc!G8</f>
        <v/>
      </c>
      <c r="H998">
        <f>Calc!H8</f>
        <v/>
      </c>
      <c r="I998">
        <f>IF(Skills!T8&lt;&gt;"",1+(Skills!T8/10)*(Z993/1000)/100,1)</f>
        <v/>
      </c>
      <c r="J998">
        <f>((Inputs!$B$6*(1+Inputs!$B$7/100))+(((Inputs!$B$12*(1+Inputs!$B$13/100))-(Inputs!$B$12*(1+Inputs!$B$13/100)))+0.25*(Inputs!$B$14-Inputs!$B$14))*(1+Inputs!$B$7/100))*(F998/100)</f>
        <v/>
      </c>
      <c r="K998">
        <f>J998*(1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8="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1008-Calc!F18),(Inputs!$B$23+(IF(ArtifactsInput!$M$15,CHOOSE(ArtifactsInput!$N$15+1,25,30,35,40,45,50)/100*(Inputs!$B$11-Inputs!$B$11),0))))/100+(Inputs!$B$23+(IF(ArtifactsInput!$M$15,CHOOSE(ArtifactsInput!$N$15+1,25,30,35,40,45,50)/100*(Inputs!$B$11-Inputs!$B$11),0)))/100)/2</f>
        <v/>
      </c>
      <c r="M998">
        <f>L998*(1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IF(B1027=0,0,O998/B1027)</f>
        <v/>
      </c>
      <c r="Q998">
        <f>IFERROR(1/IF(Inputs!$B$38="pvp",15,MAX(0.1,Skills!D8-IF(Skills!E8=TRUE,Inputs!$B$32,0))),0)</f>
        <v/>
      </c>
      <c r="R998">
        <f>IF(AND(Inputs!$B$38&lt;&gt;"pvp",Inputs!$B$43&gt;0),IF(MAX(0,Inputs!$B$43-B1024)&lt;=0,0,(INT(MAX(0,Inputs!$B$43-B1024)/IF(Inputs!$B$38="pvp",15,MAX(0.1,Skills!D8-IF(Skills!E8=TRUE,Inputs!$B$32,0))))+1)),0)</f>
        <v/>
      </c>
      <c r="S998">
        <f>IF(C998,(H998*N998*IF(AND(Inputs!$B$38&lt;&gt;"pvp",Inputs!$B$43&gt;0),((Skills!F8*((R998-1)*IF(Skills!G8&gt;0,Skills!H8/Skills!G8,1)+IF(Skills!G8&gt;0,MIN(Skills!H8,MAX(0,MAX(0,Inputs!$B$43-B1024)-((R998-1)*IF(Inputs!$B$38="pvp",15,MAX(0.1,Skills!D8-IF(Skills!E8=TRUE,Inputs!$B$32,0))))))/Skills!G8,1)))/Inputs!$B$43),G998*Q998))*IF(Inputs!$B$38="pvp",1,1+(Inputs!$B$20+Skills!O8+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F(C998,(H998*N998*IF(AND(Inputs!$B$38&lt;&gt;"pvp",Inputs!$B$43&gt;0),((Skills!F8*((R998-1)*IF(Skills!G8&gt;0,Skills!H8/Skills!G8,1)+IF(Skills!G8&gt;0,MIN(Skills!H8,MAX(0,MAX(0,Inputs!$B$43-B1024)-((R998-1)*IF(Inputs!$B$38="pvp",15,MAX(0.1,Skills!D8-IF(Skills!E8=TRUE,Inputs!$B$32,0))))))/Skills!G8,1)))/Inputs!$B$43),G998*Q998))*IF(Inputs!$B$38="pvp",1,(1+(Inputs!$B$21+Skills!P8+B1018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Skills!A9</f>
        <v/>
      </c>
      <c r="B999">
        <f>Skills!B9</f>
        <v/>
      </c>
      <c r="C999">
        <f>Inputs!$B$3&gt;=105</f>
        <v/>
      </c>
      <c r="D999">
        <f>IF(Skills!C9=1,60+Inputs!$B$25+Inputs!$B$29,IF(Skills!C9=2,90+Inputs!$B$26+Inputs!$B$29,IF(Skills!C9=3,120+Inputs!$B$27+Inputs!$B$29,MAX(0,(Inputs!$B$3-100)*3)+Inputs!$B$28+Inputs!$B$29)))</f>
        <v/>
      </c>
      <c r="E999">
        <f>INDEX(FactorTable!$B$2:$Y$301, MATCH(ROUND(MIN(300,MAX(1,D999)),0), FactorTable!$A$2:$A$301,0), Skills!L9+1)</f>
        <v/>
      </c>
      <c r="F999">
        <f>IF(Skills!M9=TRUE,(Skills!K9/10)*(E999/1000),Skills!K9/10)+Skills!N9</f>
        <v/>
      </c>
      <c r="G999">
        <f>Calc!G9</f>
        <v/>
      </c>
      <c r="H999">
        <f>Calc!H9</f>
        <v/>
      </c>
      <c r="I999">
        <f>IF(Skills!T9&lt;&gt;"",1+(Skills!T9/10)*(Z993/1000)/100,1)</f>
        <v/>
      </c>
      <c r="J999">
        <f>((Inputs!$B$6*(1+Inputs!$B$7/100))+(((Inputs!$B$12*(1+Inputs!$B$13/100))-(Inputs!$B$12*(1+Inputs!$B$13/100)))+0.25*(Inputs!$B$14-Inputs!$B$14))*(1+Inputs!$B$7/100))*(F999/100)</f>
        <v/>
      </c>
      <c r="K999">
        <f>J999*(1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9="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1008-Calc!F18),(Inputs!$B$23+(IF(ArtifactsInput!$M$15,CHOOSE(ArtifactsInput!$N$15+1,25,30,35,40,45,50)/100*(Inputs!$B$11-Inputs!$B$11),0))))/100+(Inputs!$B$23+(IF(ArtifactsInput!$M$15,CHOOSE(ArtifactsInput!$N$15+1,25,30,35,40,45,50)/100*(Inputs!$B$11-Inputs!$B$11),0)))/100)/2</f>
        <v/>
      </c>
      <c r="M999">
        <f>L999*(1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IF(B1027=0,0,O999/B1027)</f>
        <v/>
      </c>
      <c r="Q999">
        <f>IFERROR(1/IF(Inputs!$B$38="pvp",15,MAX(0.1,Skills!D9-IF(Skills!E9=TRUE,Inputs!$B$32,0))),0)</f>
        <v/>
      </c>
      <c r="R999">
        <f>IF(AND(Inputs!$B$38&lt;&gt;"pvp",Inputs!$B$43&gt;0),IF(MAX(0,Inputs!$B$43-B1024)&lt;=0,0,(INT(MAX(0,Inputs!$B$43-B1024)/IF(Inputs!$B$38="pvp",15,MAX(0.1,Skills!D9-IF(Skills!E9=TRUE,Inputs!$B$32,0))))+1)),0)</f>
        <v/>
      </c>
      <c r="S999">
        <f>IF(C999,(H999*N999*IF(AND(Inputs!$B$38&lt;&gt;"pvp",Inputs!$B$43&gt;0),((Skills!F9*((R999-1)*IF(Skills!G9&gt;0,Skills!H9/Skills!G9,1)+IF(Skills!G9&gt;0,MIN(Skills!H9,MAX(0,MAX(0,Inputs!$B$43-B1024)-((R999-1)*IF(Inputs!$B$38="pvp",15,MAX(0.1,Skills!D9-IF(Skills!E9=TRUE,Inputs!$B$32,0))))))/Skills!G9,1)))/Inputs!$B$43),G999*Q999))*IF(Inputs!$B$38="pvp",1,1+(Inputs!$B$20+Skills!O9+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F9*((R999-1)*IF(Skills!G9&gt;0,Skills!H9/Skills!G9,1)+IF(Skills!G9&gt;0,MIN(Skills!H9,MAX(0,MAX(0,Inputs!$B$43-B1024)-((R999-1)*IF(Inputs!$B$38="pvp",15,MAX(0.1,Skills!D9-IF(Skills!E9=TRUE,Inputs!$B$32,0))))))/Skills!G9,1)))/Inputs!$B$43),G999*Q999))*IF(Inputs!$B$38="pvp",1,(1+(Inputs!$B$21+Skills!P9+B1018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Skills!A10</f>
        <v/>
      </c>
      <c r="B1000">
        <f>Skills!B10</f>
        <v/>
      </c>
      <c r="C1000">
        <f>Inputs!$B$3&gt;=113</f>
        <v/>
      </c>
      <c r="D1000">
        <f>IF(Skills!C10=1,60+Inputs!$B$25+Inputs!$B$29,IF(Skills!C10=2,90+Inputs!$B$26+Inputs!$B$29,IF(Skills!C10=3,120+Inputs!$B$27+Inputs!$B$29,MAX(0,(Inputs!$B$3-100)*3)+Inputs!$B$28+Inputs!$B$29)))</f>
        <v/>
      </c>
      <c r="E1000">
        <f>INDEX(FactorTable!$B$2:$Y$301, MATCH(ROUND(MIN(300,MAX(1,D1000)),0), FactorTable!$A$2:$A$301,0), Skills!L10+1)</f>
        <v/>
      </c>
      <c r="F1000">
        <f>IF(Skills!M10=TRUE,(Skills!K10/10)*(E1000/1000),Skills!K10/10)+Skills!N10</f>
        <v/>
      </c>
      <c r="G1000">
        <f>Calc!G10</f>
        <v/>
      </c>
      <c r="H1000">
        <f>Calc!H10</f>
        <v/>
      </c>
      <c r="I1000">
        <f>IF(Skills!T10&lt;&gt;"",1+(Skills!T10/10)*(Z993/1000)/100,1)</f>
        <v/>
      </c>
      <c r="J1000">
        <f>((Inputs!$B$6*(1+Inputs!$B$7/100))+(((Inputs!$B$12*(1+Inputs!$B$13/100))-(Inputs!$B$12*(1+Inputs!$B$13/100)))+0.25*(Inputs!$B$14-Inputs!$B$14))*(1+Inputs!$B$7/100))*(F1000/100)</f>
        <v/>
      </c>
      <c r="K1000">
        <f>J1000*(1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10="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F1008-Calc!F18),(Inputs!$B$23+(IF(ArtifactsInput!$M$15,CHOOSE(ArtifactsInput!$N$15+1,25,30,35,40,45,50)/100*(Inputs!$B$11-Inputs!$B$11),0))))/100+(Inputs!$B$23+(IF(ArtifactsInput!$M$15,CHOOSE(ArtifactsInput!$N$15+1,25,30,35,40,45,50)/100*(Inputs!$B$11-Inputs!$B$11),0)))/100)/2</f>
        <v/>
      </c>
      <c r="M1000">
        <f>L1000*(1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(1-Summary!$B$11)*S1000+Summary!$B$11*U1000</f>
        <v/>
      </c>
      <c r="P1000">
        <f>IF(B1027=0,0,O1000/B1027)</f>
        <v/>
      </c>
      <c r="Q1000">
        <f>IFERROR(1/IF(Inputs!$B$38="pvp",15,MAX(0.1,Skills!D10-IF(Skills!E9=TRUE,Inputs!$B$32,0))),0)</f>
        <v/>
      </c>
      <c r="R1000">
        <f>IF(AND(Inputs!$B$38&lt;&gt;"pvp",Inputs!$B$43&gt;0),IF(MAX(0,Inputs!$B$43-B1024)&lt;=0,0,(INT(MAX(0,Inputs!$B$43-B1024)/IF(Inputs!$B$38="pvp",15,MAX(0.1,Skills!D10-IF(Skills!E9=TRUE,Inputs!$B$32,0))))+1)),0)</f>
        <v/>
      </c>
      <c r="S1000">
        <f>IF(C1000,(H1000*N1000*IF(AND(Inputs!$B$38&lt;&gt;"pvp",Inputs!$B$43&gt;0),((Skills!F10*((R1000-1)*IF(Skills!G10&gt;0,Skills!H10/Skills!G10,1)+IF(Skills!G10&gt;0,MIN(Skills!H10,MAX(0,MAX(0,Inputs!$B$43-B1024)-((R1000-1)*IF(Inputs!$B$38="pvp",15,MAX(0.1,Skills!D10-IF(Skills!E9=TRUE,Inputs!$B$32,0))))))/Skills!G10,1)))/Inputs!$B$43),G1000*Q1000))*IF(Inputs!$B$38="pvp",1,1+(Inputs!$B$20+Skills!O10+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1000*(1-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0">
        <f>IF(C1000,(H1000*N1000*IF(AND(Inputs!$B$38&lt;&gt;"pvp",Inputs!$B$43&gt;0),((Skills!F10*((R1000-1)*IF(Skills!G10&gt;0,Skills!H10/Skills!G10,1)+IF(Skills!G10&gt;0,MIN(Skills!H10,MAX(0,MAX(0,Inputs!$B$43-B1024)-((R1000-1)*IF(Inputs!$B$38="pvp",15,MAX(0.1,Skills!D10-IF(Skills!E9=TRUE,Inputs!$B$32,0))))))/Skills!G10,1)))/Inputs!$B$43),G1000*Q1000))*IF(Inputs!$B$38="pvp",1,(1+(Inputs!$B$21+Skills!P10+B1018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Skills!A11</f>
        <v/>
      </c>
      <c r="B1001">
        <f>Skills!B11</f>
        <v/>
      </c>
      <c r="C1001">
        <f>Inputs!$B$3&gt;=107</f>
        <v/>
      </c>
      <c r="D1001">
        <f>IF(Skills!C11=1,60+Inputs!$B$25+Inputs!$B$29,IF(Skills!C11=2,90+Inputs!$B$26+Inputs!$B$29,IF(Skills!C11=3,120+Inputs!$B$27+Inputs!$B$29,MAX(0,(Inputs!$B$3-100)*3)+Inputs!$B$28+Inputs!$B$29)))</f>
        <v/>
      </c>
      <c r="E1001">
        <f>INDEX(FactorTable!$B$2:$Y$301, MATCH(ROUND(MIN(300,MAX(1,D1001)),0), FactorTable!$A$2:$A$301,0), Skills!L11+1)</f>
        <v/>
      </c>
      <c r="F1001">
        <f>IF(Skills!M11=TRUE,(Skills!K11/10)*(E1001/1000),Skills!K11/10)+Skills!N11</f>
        <v/>
      </c>
      <c r="G1001">
        <f>Calc!G11</f>
        <v/>
      </c>
      <c r="H1001">
        <f>Calc!H11</f>
        <v/>
      </c>
      <c r="I1001">
        <f>IF(Skills!T11&lt;&gt;"",1+(Skills!T11/10)*(Z993/1000)/100,1)</f>
        <v/>
      </c>
      <c r="J1001">
        <f>((Inputs!$B$6*(1+Inputs!$B$7/100))+(((Inputs!$B$12*(1+Inputs!$B$13/100))-(Inputs!$B$12*(1+Inputs!$B$13/100)))+0.25*(Inputs!$B$14-Inputs!$B$14))*(1+Inputs!$B$7/100))*(F1001/100)</f>
        <v/>
      </c>
      <c r="K1001">
        <f>J1001*(1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11="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1008-Calc!F18),(Inputs!$B$23+(IF(ArtifactsInput!$M$15,CHOOSE(ArtifactsInput!$N$15+1,25,30,35,40,45,50)/100*(Inputs!$B$11-Inputs!$B$11),0))))/100+(Inputs!$B$23+(IF(ArtifactsInput!$M$15,CHOOSE(ArtifactsInput!$N$15+1,25,30,35,40,45,50)/100*(Inputs!$B$11-Inputs!$B$11),0)))/100)/2</f>
        <v/>
      </c>
      <c r="M1001">
        <f>L1001*(1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IF(B1027=0,0,O1001/B1027)</f>
        <v/>
      </c>
      <c r="Q1001">
        <f>IFERROR(1/IF(Inputs!$B$38="pvp",15,MAX(0.1,Skills!D11-IF(Skills!E11=TRUE,Inputs!$B$32,0))),0)</f>
        <v/>
      </c>
      <c r="R1001">
        <f>IF(AND(Inputs!$B$38&lt;&gt;"pvp",Inputs!$B$43&gt;0),IF(MAX(0,Inputs!$B$43-B1024)&lt;=0,0,(INT(MAX(0,Inputs!$B$43-B1024)/IF(Inputs!$B$38="pvp",15,MAX(0.1,Skills!D11-IF(Skills!E11=TRUE,Inputs!$B$32,0))))+1)),0)</f>
        <v/>
      </c>
      <c r="S1001">
        <f>IF(C1001,H1001*N1001*IF(AND(Inputs!$B$38&lt;&gt;"pvp",Inputs!$B$43&gt;0),((Skills!F11*((R1001-1)*IF(Skills!G11&gt;0,Skills!H11/Skills!G11,1)+IF(Skills!G11&gt;0,MIN(Skills!H11,MAX(0,MAX(0,Inputs!$B$43-B1024)-((R1001-1)*IF(Inputs!$B$38="pvp",15,MAX(0.1,Skills!D11-IF(Skills!E11=TRUE,Inputs!$B$32,0))))))/Skills!G11,1)))/Inputs!$B$43),G1001*Q1001)*0.5*IF(Inputs!$B$38="pvp",1,1+(Inputs!$B$20+Skills!O11+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F11*((R1001-1)*IF(Skills!G11&gt;0,Skills!H11/Skills!G11,1)+IF(Skills!G11&gt;0,MIN(Skills!H11,MAX(0,MAX(0,Inputs!$B$43-B1024)-((R1001-1)*IF(Inputs!$B$38="pvp",15,MAX(0.1,Skills!D11-IF(Skills!E11=TRUE,Inputs!$B$32,0))))))/Skills!G11,1)))/Inputs!$B$43),G1001*Q1001)*1*IF(Inputs!$B$38="pvp",1,(1+(Inputs!$B$21+Skills!P11+B1018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Skills!A12</f>
        <v/>
      </c>
      <c r="B1002">
        <f>Skills!B12</f>
        <v/>
      </c>
      <c r="C1002">
        <f>Inputs!$B$3&gt;=115</f>
        <v/>
      </c>
      <c r="D1002">
        <f>IF(Skills!C12=1,60+Inputs!$B$25+Inputs!$B$29,IF(Skills!C12=2,90+Inputs!$B$26+Inputs!$B$29,IF(Skills!C12=3,120+Inputs!$B$27+Inputs!$B$29,MAX(0,(Inputs!$B$3-100)*3)+Inputs!$B$28+Inputs!$B$29)))</f>
        <v/>
      </c>
      <c r="E1002">
        <f>INDEX(FactorTable!$B$2:$Y$301, MATCH(ROUND(MIN(300,MAX(1,D1002)),0), FactorTable!$A$2:$A$301,0), Skills!L12+1)</f>
        <v/>
      </c>
      <c r="F1002">
        <f>IF(Skills!M12=TRUE,(Skills!K12/10)*(E1002/1000),Skills!K12/10)+Skills!N12</f>
        <v/>
      </c>
      <c r="G1002">
        <f>Calc!G12</f>
        <v/>
      </c>
      <c r="H1002">
        <f>Calc!H12</f>
        <v/>
      </c>
      <c r="I1002">
        <f>IF(Skills!T12&lt;&gt;"",1+(Skills!T12/10)*(Z993/1000)/100,1)</f>
        <v/>
      </c>
      <c r="J1002">
        <f>((Inputs!$B$6*(1+Inputs!$B$7/100))+(((Inputs!$B$12*(1+Inputs!$B$13/100))-(Inputs!$B$12*(1+Inputs!$B$13/100)))+0.25*(Inputs!$B$14-Inputs!$B$14))*(1+Inputs!$B$7/100))*(F1002/100)</f>
        <v/>
      </c>
      <c r="K1002">
        <f>J1002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12="CHAIN_LIGHTNING",Inputs!$B$17+((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1008-Calc!F18),(Inputs!$B$23+(IF(ArtifactsInput!$M$15,CHOOSE(ArtifactsInput!$N$15+1,25,30,35,40,45,50)/100*(Inputs!$B$11-Inputs!$B$11),0))))/100+(Inputs!$B$23+(IF(ArtifactsInput!$M$15,CHOOSE(ArtifactsInput!$N$15+1,25,30,35,40,45,50)/100*(Inputs!$B$11-Inputs!$B$11),0)))/100)/2</f>
        <v/>
      </c>
      <c r="M1002">
        <f>L1002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IF(B1027=0,0,O1002/B1027)</f>
        <v/>
      </c>
      <c r="Q1002">
        <f>IFERROR(1/IF(Inputs!$B$38="pvp",15,MAX(0.1,Skills!D12-IF(Skills!E12=TRUE,Inputs!$B$32,0))),0)</f>
        <v/>
      </c>
      <c r="R1002">
        <f>IF(AND(Inputs!$B$38&lt;&gt;"pvp",Inputs!$B$43&gt;0),IF(MAX(0,Inputs!$B$43-B1024)&lt;=0,0,(INT(MAX(0,Inputs!$B$43-B1024)/IF(Inputs!$B$38="pvp",15,MAX(0.1,Skills!D12-IF(Skills!E12=TRUE,Inputs!$B$32,0))))+1)),0)</f>
        <v/>
      </c>
      <c r="S1002">
        <f>IF(C1002,(H1002*N1002*IF(AND(Inputs!$B$38&lt;&gt;"pvp",Inputs!$B$43&gt;0),((Skills!F12*((R1002-1)*IF(Skills!G12&gt;0,Skills!H12/Skills!G12,1)+IF(Skills!G12&gt;0,MIN(Skills!H12,MAX(0,MAX(0,Inputs!$B$43-B1024)-((R1002-1)*IF(Inputs!$B$38="pvp",15,MAX(0.1,Skills!D12-IF(Skills!E12=TRUE,Inputs!$B$32,0))))))/Skills!G12,1)))/Inputs!$B$43),G1002*Q1002))*IF(Inputs!$B$38="pvp",1,1+(Inputs!$B$20+Skills!O12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1010-Calc!F20)+(F1009-Calc!F19))+(ArtifactsInput!$M$24-ArtifactsInput!$M$24)*CHOOSE(ArtifactsInput!$N$24+1,10,12,14,16,18,20)+(IF(AND(Inputs!$B$38&lt;&gt;"pvp",Inputs!$B$43=0),1,IF(IF(Inputs!$B$38="pvp",15,Inputs!$B$43)-(B1024)&lt;=0,1,MAX(0,IF(Inputs!$B$38="pvp",15,Inputs!$B$43)-MAX(5,B1024))/(IF(Inputs!$B$38="pvp",15,Inputs!$B$43)-(B1024)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F12*((R1002-1)*IF(Skills!G12&gt;0,Skills!H12/Skills!G12,1)+IF(Skills!G12&gt;0,MIN(Skills!H12,MAX(0,MAX(0,Inputs!$B$43-B1024)-((R1002-1)*IF(Inputs!$B$38="pvp",15,MAX(0.1,Skills!D12-IF(Skills!E12=TRUE,Inputs!$B$32,0))))))/Skills!G12,1)))/Inputs!$B$43),G1002*Q1002))*IF(Inputs!$B$38="pvp",1,(1+(Inputs!$B$21+Skills!P12+B1018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Skills!A13</f>
        <v/>
      </c>
      <c r="B1003">
        <f>Skills!B13</f>
        <v/>
      </c>
      <c r="C1003">
        <f>Inputs!$B$3&gt;=49</f>
        <v/>
      </c>
      <c r="D1003">
        <f>IF(Skills!C13=1,60+Inputs!$B$25+Inputs!$B$29,IF(Skills!C13=2,90+Inputs!$B$26+Inputs!$B$29,IF(Skills!C13=3,120+Inputs!$B$27+Inputs!$B$29,MAX(0,(Inputs!$B$3-100)*3)+Inputs!$B$28+Inputs!$B$29)))</f>
        <v/>
      </c>
      <c r="E1003">
        <f>INDEX(FactorTable!$B$2:$Y$301, MATCH(ROUND(MIN(300,MAX(1,D1003)),0), FactorTable!$A$2:$A$301,0), Skills!L13+1)</f>
        <v/>
      </c>
      <c r="F1003">
        <f>IF(Skills!M13=TRUE,(Skills!K13/10)*(E1003/1000),Skills!K13/10)+Skills!N13</f>
        <v/>
      </c>
      <c r="G1003">
        <f>Calc!G13</f>
        <v/>
      </c>
      <c r="H1003">
        <f>Calc!H13</f>
        <v/>
      </c>
      <c r="I1003">
        <f>IF(Skills!T13&lt;&gt;"",1+(Skills!T13/10)*(Z993/1000)/100,1)</f>
        <v/>
      </c>
      <c r="J1003" t="inlineStr"/>
      <c r="K1003" t="inlineStr"/>
      <c r="L1003" t="inlineStr"/>
      <c r="M1003" t="inlineStr"/>
      <c r="N1003" t="inlineStr"/>
      <c r="O1003">
        <f>(1-Summary!$B$11)*S1003+Summary!$B$11*U1003</f>
        <v/>
      </c>
      <c r="P1003">
        <f>IF(B1027=0,0,O1003/B1027)</f>
        <v/>
      </c>
      <c r="Q1003">
        <f>IFERROR(1/IF(Inputs!$B$38="pvp",15,MAX(0.1,Skills!D13-IF(Skills!E13=TRUE,Inputs!$B$32,0))),0)</f>
        <v/>
      </c>
      <c r="R1003" t="n">
        <v>0</v>
      </c>
      <c r="S1003" t="n">
        <v>0</v>
      </c>
      <c r="U1003" t="n">
        <v>0</v>
      </c>
    </row>
    <row r="1004">
      <c r="A1004">
        <f>Skills!A14</f>
        <v/>
      </c>
      <c r="B1004">
        <f>Skills!B14</f>
        <v/>
      </c>
      <c r="C1004">
        <f>Inputs!$B$3&gt;=72</f>
        <v/>
      </c>
      <c r="D1004">
        <f>IF(Skills!C14=1,60+Inputs!$B$25+Inputs!$B$29,IF(Skills!C14=2,90+Inputs!$B$26+Inputs!$B$29,IF(Skills!C14=3,120+Inputs!$B$27+Inputs!$B$29,MAX(0,(Inputs!$B$3-100)*3)+Inputs!$B$28+Inputs!$B$29)))</f>
        <v/>
      </c>
      <c r="E1004">
        <f>INDEX(FactorTable!$B$2:$Y$301, MATCH(ROUND(MIN(300,MAX(1,D1004)),0), FactorTable!$A$2:$A$301,0), Skills!L14+1)</f>
        <v/>
      </c>
      <c r="F1004">
        <f>IF(Skills!M14=TRUE,(Skills!K14/10)*(E1004/1000),Skills!K14/10)+Skills!N14</f>
        <v/>
      </c>
      <c r="G1004">
        <f>Calc!G14</f>
        <v/>
      </c>
      <c r="H1004">
        <f>Calc!H14</f>
        <v/>
      </c>
      <c r="I1004">
        <f>IF(Skills!T14&lt;&gt;"",1+(Skills!T14/10)*(Z993/1000)/100,1)</f>
        <v/>
      </c>
      <c r="J1004" t="inlineStr"/>
      <c r="K1004" t="inlineStr"/>
      <c r="L1004" t="inlineStr"/>
      <c r="M1004" t="inlineStr"/>
      <c r="N1004" t="inlineStr"/>
      <c r="O1004">
        <f>(1-Summary!$B$11)*S1004+Summary!$B$11*U1004</f>
        <v/>
      </c>
      <c r="P1004">
        <f>IF(B1027=0,0,O1004/B1027)</f>
        <v/>
      </c>
      <c r="Q1004">
        <f>IFERROR(1/IF(Inputs!$B$38="pvp",15,MAX(0.1,Skills!D14-IF(Skills!E14=TRUE,Inputs!$B$32,0))),0)</f>
        <v/>
      </c>
      <c r="R1004" t="n">
        <v>0</v>
      </c>
      <c r="S1004" t="n">
        <v>0</v>
      </c>
      <c r="U1004" t="n">
        <v>0</v>
      </c>
    </row>
    <row r="1005">
      <c r="A1005">
        <f>Skills!A15</f>
        <v/>
      </c>
      <c r="B1005">
        <f>Skills!B15</f>
        <v/>
      </c>
      <c r="C1005">
        <f>Inputs!$B$3&gt;=75</f>
        <v/>
      </c>
      <c r="D1005">
        <f>IF(Skills!C15=1,60+Inputs!$B$25+Inputs!$B$29,IF(Skills!C15=2,90+Inputs!$B$26+Inputs!$B$29,IF(Skills!C15=3,120+Inputs!$B$27+Inputs!$B$29,MAX(0,(Inputs!$B$3-100)*3)+Inputs!$B$28+Inputs!$B$29)))</f>
        <v/>
      </c>
      <c r="E1005">
        <f>INDEX(FactorTable!$B$2:$Y$301, MATCH(ROUND(MIN(300,MAX(1,D1005)),0), FactorTable!$A$2:$A$301,0), Skills!L15+1)</f>
        <v/>
      </c>
      <c r="F1005">
        <f>IF(Skills!M15=TRUE,(Skills!K15/10)*(E1005/1000),Skills!K15/10)+Skills!N15</f>
        <v/>
      </c>
      <c r="G1005">
        <f>Calc!G15</f>
        <v/>
      </c>
      <c r="H1005">
        <f>Calc!H15</f>
        <v/>
      </c>
      <c r="I1005">
        <f>IF(Skills!T15&lt;&gt;"",1+(Skills!T15/10)*(Z993/1000)/100,1)</f>
        <v/>
      </c>
      <c r="J1005" t="inlineStr"/>
      <c r="K1005" t="inlineStr"/>
      <c r="L1005" t="inlineStr"/>
      <c r="M1005" t="inlineStr"/>
      <c r="N1005" t="inlineStr"/>
      <c r="O1005">
        <f>(1-Summary!$B$11)*S1005+Summary!$B$11*U1005</f>
        <v/>
      </c>
      <c r="P1005">
        <f>IF(B1027=0,0,O1005/B1027)</f>
        <v/>
      </c>
      <c r="Q1005">
        <f>IFERROR(1/IF(Inputs!$B$38="pvp",15,MAX(0.1,Skills!D15-IF(Skills!E15=TRUE,Inputs!$B$32,0))),0)</f>
        <v/>
      </c>
      <c r="R1005" t="n">
        <v>0</v>
      </c>
      <c r="S1005" t="n">
        <v>0</v>
      </c>
      <c r="U1005" t="n">
        <v>0</v>
      </c>
    </row>
    <row r="1006">
      <c r="A1006">
        <f>Skills!A16</f>
        <v/>
      </c>
      <c r="B1006">
        <f>Skills!B16</f>
        <v/>
      </c>
      <c r="C1006">
        <f>Inputs!$B$3&gt;=110</f>
        <v/>
      </c>
      <c r="D1006">
        <f>IF(Skills!C16=1,60+Inputs!$B$25+Inputs!$B$29,IF(Skills!C16=2,90+Inputs!$B$26+Inputs!$B$29,IF(Skills!C16=3,120+Inputs!$B$27+Inputs!$B$29,MAX(0,(Inputs!$B$3-100)*3)+Inputs!$B$28+Inputs!$B$29)))</f>
        <v/>
      </c>
      <c r="E1006">
        <f>INDEX(FactorTable!$B$2:$Y$301, MATCH(ROUND(MIN(300,MAX(1,D1006)),0), FactorTable!$A$2:$A$301,0), Skills!L16+1)</f>
        <v/>
      </c>
      <c r="F1006">
        <f>(Skills!K16/10)*(E1006/1000)*64/45+Skills!N16</f>
        <v/>
      </c>
      <c r="G1006">
        <f>Calc!G16</f>
        <v/>
      </c>
      <c r="H1006">
        <f>Calc!H16</f>
        <v/>
      </c>
      <c r="I1006">
        <f>IF(Skills!T16&lt;&gt;"",1+(Skills!T16/10)*(Z993/1000)/100,1)</f>
        <v/>
      </c>
      <c r="J1006" t="inlineStr"/>
      <c r="K1006" t="inlineStr"/>
      <c r="L1006" t="inlineStr"/>
      <c r="M1006" t="inlineStr"/>
      <c r="N1006" t="inlineStr"/>
      <c r="O1006">
        <f>(1-Summary!$B$11)*S1006+Summary!$B$11*U1006</f>
        <v/>
      </c>
      <c r="P1006">
        <f>IF(B1027=0,0,O1006/B1027)</f>
        <v/>
      </c>
      <c r="Q1006">
        <f>IFERROR(1/IF(Inputs!$B$38="pvp",15,MAX(0.1,Skills!D16-IF(Skills!E16=TRUE,Inputs!$B$32,0))),0)</f>
        <v/>
      </c>
      <c r="R1006">
        <f>IF(AND(Inputs!$B$38&lt;&gt;"pvp",Inputs!$B$43&gt;0),IF(Inputs!$B$43&lt;=0,0,(INT(Inputs!$B$43/IF(Inputs!$B$38="pvp",15,MAX(0.1,Skills!D16-IF(Skills!E16=TRUE,Inputs!$B$32,0))))+1)),0)</f>
        <v/>
      </c>
      <c r="S1006" t="n">
        <v>0</v>
      </c>
      <c r="U1006" t="n">
        <v>0</v>
      </c>
    </row>
    <row r="1007">
      <c r="A1007">
        <f>Skills!A17</f>
        <v/>
      </c>
      <c r="B1007">
        <f>Skills!B17</f>
        <v/>
      </c>
      <c r="C1007">
        <f>Inputs!$B$3&gt;=33</f>
        <v/>
      </c>
      <c r="D1007">
        <f>IF(Skills!C17=1,60+Inputs!$B$25+Inputs!$B$29,IF(Skills!C17=2,90+Inputs!$B$26+Inputs!$B$29,IF(Skills!C17=3,120+Inputs!$B$27+Inputs!$B$29,MAX(0,(Inputs!$B$3-100)*3)+Inputs!$B$28+Inputs!$B$29)))</f>
        <v/>
      </c>
      <c r="E1007">
        <f>INDEX(FactorTable!$B$2:$Y$301, MATCH(ROUND(MIN(300,MAX(1,D1007)),0), FactorTable!$A$2:$A$301,0), Skills!L17+1)</f>
        <v/>
      </c>
      <c r="F1007">
        <f>IF(Skills!M17=TRUE,(Skills!K17/10)*(E1007/1000),Skills!K17/10)+Skills!N17</f>
        <v/>
      </c>
      <c r="G1007">
        <f>Calc!G17</f>
        <v/>
      </c>
      <c r="H1007">
        <f>Calc!H17</f>
        <v/>
      </c>
      <c r="I1007">
        <f>IF(Skills!T17&lt;&gt;"",1+(Skills!T17/10)*(Z993/1000)/100,1)</f>
        <v/>
      </c>
      <c r="J1007" t="inlineStr"/>
      <c r="K1007" t="inlineStr"/>
      <c r="L1007" t="inlineStr"/>
      <c r="M1007" t="inlineStr"/>
      <c r="N1007" t="inlineStr"/>
      <c r="O1007">
        <f>(1-Summary!$B$11)*S1007+Summary!$B$11*U1007</f>
        <v/>
      </c>
      <c r="P1007">
        <f>IF(B1027=0,0,O1007/B1027)</f>
        <v/>
      </c>
      <c r="Q1007">
        <f>IFERROR(1/IF(Inputs!$B$38="pvp",15,MAX(0.1,Skills!D17-IF(Skills!E17=TRUE,Inputs!$B$32,0))),0)</f>
        <v/>
      </c>
      <c r="R1007" t="n">
        <v>0</v>
      </c>
      <c r="S1007" t="n">
        <v>0</v>
      </c>
      <c r="U1007" t="n">
        <v>0</v>
      </c>
    </row>
    <row r="1008">
      <c r="A1008">
        <f>Skills!A18</f>
        <v/>
      </c>
      <c r="B1008">
        <f>Skills!B18</f>
        <v/>
      </c>
      <c r="C1008">
        <f>Inputs!$B$3&gt;=43</f>
        <v/>
      </c>
      <c r="D1008">
        <f>IF(Skills!C18=1,60+Inputs!$B$25+Inputs!$B$29,IF(Skills!C18=2,90+Inputs!$B$26+Inputs!$B$29,IF(Skills!C18=3,120+Inputs!$B$27+Inputs!$B$29,MAX(0,(Inputs!$B$3-100)*3)+Inputs!$B$28+Inputs!$B$29)))</f>
        <v/>
      </c>
      <c r="E1008">
        <f>INDEX(FactorTable!$B$2:$Y$301, MATCH(ROUND(MIN(300,MAX(1,D1008)),0), FactorTable!$A$2:$A$301,0), Skills!L18+1)</f>
        <v/>
      </c>
      <c r="F1008">
        <f>IF(Skills!M18=TRUE,(Skills!K18/10)*(E1008/1000),Skills!K18/10)+Skills!N18</f>
        <v/>
      </c>
      <c r="G1008">
        <f>Calc!G18</f>
        <v/>
      </c>
      <c r="H1008">
        <f>Calc!H18</f>
        <v/>
      </c>
      <c r="I1008">
        <f>IF(Skills!T18&lt;&gt;"",1+(Skills!T18/10)*(Z993/1000)/100,1)</f>
        <v/>
      </c>
      <c r="J1008" t="inlineStr"/>
      <c r="K1008" t="inlineStr"/>
      <c r="L1008" t="inlineStr"/>
      <c r="M1008" t="inlineStr"/>
      <c r="N1008" t="inlineStr"/>
      <c r="O1008">
        <f>(1-Summary!$B$11)*S1008+Summary!$B$11*U1008</f>
        <v/>
      </c>
      <c r="P1008">
        <f>IF(B1027=0,0,O1008/B1027)</f>
        <v/>
      </c>
      <c r="Q1008">
        <f>IFERROR(1/IF(Inputs!$B$38="pvp",15,MAX(0.1,Skills!D18-IF(Skills!E18=TRUE,Inputs!$B$32,0))),0)</f>
        <v/>
      </c>
      <c r="R1008" t="n">
        <v>0</v>
      </c>
      <c r="S1008" t="n">
        <v>0</v>
      </c>
      <c r="U1008" t="n">
        <v>0</v>
      </c>
    </row>
    <row r="1009">
      <c r="A1009">
        <f>Skills!A19</f>
        <v/>
      </c>
      <c r="B1009">
        <f>Skills!B19</f>
        <v/>
      </c>
      <c r="C1009">
        <f>Inputs!$B$3&gt;=50</f>
        <v/>
      </c>
      <c r="D1009">
        <f>IF(Skills!C19=1,60+Inputs!$B$25+Inputs!$B$29,IF(Skills!C19=2,90+Inputs!$B$26+Inputs!$B$29,IF(Skills!C19=3,120+Inputs!$B$27+Inputs!$B$29,MAX(0,(Inputs!$B$3-100)*3)+Inputs!$B$28+Inputs!$B$29)))</f>
        <v/>
      </c>
      <c r="E1009">
        <f>INDEX(FactorTable!$B$2:$Y$301, MATCH(ROUND(MIN(300,MAX(1,D1009)),0), FactorTable!$A$2:$A$301,0), Skills!L19+1)</f>
        <v/>
      </c>
      <c r="F1009">
        <f>IF(Skills!M19=TRUE,(Skills!K19/10)*(E1009/1000),Skills!K19/10)+Skills!N19</f>
        <v/>
      </c>
      <c r="G1009">
        <f>Calc!G19</f>
        <v/>
      </c>
      <c r="H1009">
        <f>Calc!H19</f>
        <v/>
      </c>
      <c r="I1009">
        <f>IF(Skills!T19&lt;&gt;"",1+(Skills!T19/10)*(Z993/1000)/100,1)</f>
        <v/>
      </c>
      <c r="J1009" t="inlineStr"/>
      <c r="K1009" t="inlineStr"/>
      <c r="L1009" t="inlineStr"/>
      <c r="M1009" t="inlineStr"/>
      <c r="N1009" t="inlineStr"/>
      <c r="O1009">
        <f>(1-Summary!$B$11)*S1009+Summary!$B$11*U1009</f>
        <v/>
      </c>
      <c r="P1009">
        <f>IF(B1027=0,0,O1009/B1027)</f>
        <v/>
      </c>
      <c r="Q1009">
        <f>IFERROR(1/IF(Inputs!$B$38="pvp",15,MAX(0.1,Skills!D19-IF(Skills!E19=TRUE,Inputs!$B$32,0))),0)</f>
        <v/>
      </c>
      <c r="R1009" t="n">
        <v>0</v>
      </c>
      <c r="S1009" t="n">
        <v>0</v>
      </c>
      <c r="U1009" t="n">
        <v>0</v>
      </c>
    </row>
    <row r="1010">
      <c r="A1010">
        <f>Skills!A20</f>
        <v/>
      </c>
      <c r="B1010">
        <f>Skills!B20</f>
        <v/>
      </c>
      <c r="C1010">
        <f>Inputs!$B$3&gt;=74</f>
        <v/>
      </c>
      <c r="D1010">
        <f>IF(Skills!C20=1,60+Inputs!$B$25+Inputs!$B$29,IF(Skills!C20=2,90+Inputs!$B$26+Inputs!$B$29,IF(Skills!C20=3,120+Inputs!$B$27+Inputs!$B$29,MAX(0,(Inputs!$B$3-100)*3)+Inputs!$B$28+Inputs!$B$29)))</f>
        <v/>
      </c>
      <c r="E1010">
        <f>INDEX(FactorTable!$B$2:$Y$301, MATCH(ROUND(MIN(300,MAX(1,D1010)),0), FactorTable!$A$2:$A$301,0), Skills!L20+1)</f>
        <v/>
      </c>
      <c r="F1010">
        <f>IF(Skills!M20=TRUE,(Skills!K20/10)*(E1010/1000),Skills!K20/10)+Skills!N20</f>
        <v/>
      </c>
      <c r="G1010">
        <f>Calc!G20</f>
        <v/>
      </c>
      <c r="H1010">
        <f>Calc!H20</f>
        <v/>
      </c>
      <c r="I1010">
        <f>IF(Skills!T20&lt;&gt;"",1+(Skills!T20/10)*(Z993/1000)/100,1)</f>
        <v/>
      </c>
      <c r="J1010" t="inlineStr"/>
      <c r="K1010" t="inlineStr"/>
      <c r="L1010" t="inlineStr"/>
      <c r="M1010" t="inlineStr"/>
      <c r="N1010" t="inlineStr"/>
      <c r="O1010">
        <f>(1-Summary!$B$11)*S1010+Summary!$B$11*U1010</f>
        <v/>
      </c>
      <c r="P1010">
        <f>IF(B1027=0,0,O1010/B1027)</f>
        <v/>
      </c>
      <c r="Q1010">
        <f>IFERROR(1/IF(Inputs!$B$38="pvp",15,MAX(0.1,Skills!D20-IF(Skills!E20=TRUE,Inputs!$B$32,0))),0)</f>
        <v/>
      </c>
      <c r="R1010" t="n">
        <v>0</v>
      </c>
      <c r="S1010" t="n">
        <v>0</v>
      </c>
      <c r="U1010" t="n">
        <v>0</v>
      </c>
    </row>
    <row r="1011">
      <c r="A1011">
        <f>Skills!A21</f>
        <v/>
      </c>
      <c r="B1011">
        <f>Skills!B21</f>
        <v/>
      </c>
      <c r="C1011">
        <f>Inputs!$B$3&gt;=74</f>
        <v/>
      </c>
      <c r="D1011">
        <f>IF(Skills!C21=1,60+Inputs!$B$25+Inputs!$B$29,IF(Skills!C21=2,90+Inputs!$B$26+Inputs!$B$29,IF(Skills!C21=3,120+Inputs!$B$27+Inputs!$B$29,MAX(0,(Inputs!$B$3-100)*3)+Inputs!$B$28+Inputs!$B$29)))</f>
        <v/>
      </c>
      <c r="E1011">
        <f>INDEX(FactorTable!$B$2:$Y$301, MATCH(ROUND(MIN(300,MAX(1,D1011)),0), FactorTable!$A$2:$A$301,0), Skills!L21+1)</f>
        <v/>
      </c>
      <c r="F1011">
        <f>IF(Skills!M21=TRUE,(Skills!K21/10)*(E1011/1000),Skills!K21/10)+Skills!N21</f>
        <v/>
      </c>
      <c r="G1011">
        <f>Calc!G21</f>
        <v/>
      </c>
      <c r="H1011">
        <f>Calc!H21</f>
        <v/>
      </c>
      <c r="I1011">
        <f>IF(Skills!T21&lt;&gt;"",1+(Skills!T21/10)*(Z993/1000)/100,1)</f>
        <v/>
      </c>
      <c r="J1011" t="inlineStr"/>
      <c r="K1011" t="inlineStr"/>
      <c r="L1011" t="inlineStr"/>
      <c r="M1011" t="inlineStr"/>
      <c r="N1011" t="inlineStr"/>
      <c r="O1011">
        <f>(1-Summary!$B$11)*S1011+Summary!$B$11*U1011</f>
        <v/>
      </c>
      <c r="P1011">
        <f>IF(B1027=0,0,O1011/B1027)</f>
        <v/>
      </c>
      <c r="Q1011">
        <f>IFERROR(1/IF(Inputs!$B$38="pvp",15,MAX(0.1,Skills!D21-IF(Skills!E21=TRUE,Inputs!$B$32,0))),0)</f>
        <v/>
      </c>
      <c r="R1011" t="n">
        <v>0</v>
      </c>
      <c r="S1011" t="n">
        <v>0</v>
      </c>
      <c r="U1011" t="n">
        <v>0</v>
      </c>
    </row>
    <row r="1012">
      <c r="A1012">
        <f>Skills!A22</f>
        <v/>
      </c>
      <c r="B1012">
        <f>Skills!B22</f>
        <v/>
      </c>
      <c r="C1012">
        <f>Inputs!$B$3&gt;=117</f>
        <v/>
      </c>
      <c r="D1012">
        <f>IF(Skills!C22=1,60+Inputs!$B$25+Inputs!$B$29,IF(Skills!C22=2,90+Inputs!$B$26+Inputs!$B$29,IF(Skills!C22=3,120+Inputs!$B$27+Inputs!$B$29,MAX(0,(Inputs!$B$3-100)*3)+Inputs!$B$28+Inputs!$B$29)))</f>
        <v/>
      </c>
      <c r="E1012">
        <f>INDEX(FactorTable!$B$2:$Y$301, MATCH(ROUND(MIN(300,MAX(1,D1012)),0), FactorTable!$A$2:$A$301,0), Skills!L22+1)</f>
        <v/>
      </c>
      <c r="F1012">
        <f>IF(Skills!M22=TRUE,(Skills!K22/10)*(E1012/1000),Skills!K22/10)+Skills!N22</f>
        <v/>
      </c>
      <c r="G1012">
        <f>Calc!G22</f>
        <v/>
      </c>
      <c r="H1012">
        <f>Calc!H22</f>
        <v/>
      </c>
      <c r="I1012">
        <f>IF(Skills!T22&lt;&gt;"",1+(Skills!T22/10)*(Z993/1000)/100,1)</f>
        <v/>
      </c>
      <c r="J1012" t="inlineStr"/>
      <c r="K1012" t="inlineStr"/>
      <c r="L1012" t="inlineStr"/>
      <c r="M1012" t="inlineStr"/>
      <c r="N1012" t="inlineStr"/>
      <c r="O1012">
        <f>(1-Summary!$B$11)*S1012+Summary!$B$11*U1012</f>
        <v/>
      </c>
      <c r="P1012">
        <f>IF(B1027=0,0,O1012/B1027)</f>
        <v/>
      </c>
      <c r="Q1012">
        <f>IFERROR(1/IF(Inputs!$B$38="pvp",15,MAX(0.1,Skills!D22-IF(Skills!E22=TRUE,Inputs!$B$32,0))),0)</f>
        <v/>
      </c>
      <c r="R1012" t="n">
        <v>0</v>
      </c>
      <c r="S1012" t="n">
        <v>0</v>
      </c>
      <c r="U1012" t="n">
        <v>0</v>
      </c>
    </row>
    <row r="1013">
      <c r="A1013">
        <f>Skills!A23</f>
        <v/>
      </c>
      <c r="B1013">
        <f>Skills!B23</f>
        <v/>
      </c>
      <c r="C1013">
        <f>Inputs!$B$3&gt;=120</f>
        <v/>
      </c>
      <c r="D1013">
        <f>IF(Skills!C23=1,60+Inputs!$B$25+Inputs!$B$29,IF(Skills!C23=2,90+Inputs!$B$26+Inputs!$B$29,IF(Skills!C23=3,120+Inputs!$B$27+Inputs!$B$29,MAX(0,(Inputs!$B$3-100)*3)+Inputs!$B$28+Inputs!$B$29)))</f>
        <v/>
      </c>
      <c r="E1013">
        <f>INDEX(FactorTable!$B$2:$Y$301, MATCH(ROUND(MIN(300,MAX(1,D1013)),0), FactorTable!$A$2:$A$301,0), Skills!L23+1)</f>
        <v/>
      </c>
      <c r="F1013">
        <f>IF(Skills!M23=TRUE,(Skills!K23/10)*(E1013/1000),Skills!K23/10)+Skills!N23</f>
        <v/>
      </c>
      <c r="G1013">
        <f>Calc!G23</f>
        <v/>
      </c>
      <c r="H1013">
        <f>Calc!H23</f>
        <v/>
      </c>
      <c r="I1013">
        <f>IF(Skills!T23&lt;&gt;"",1+(Skills!T23/10)*(Z993/1000)/100,1)</f>
        <v/>
      </c>
      <c r="J1013" t="inlineStr"/>
      <c r="K1013" t="inlineStr"/>
      <c r="L1013" t="inlineStr"/>
      <c r="M1013" t="inlineStr"/>
      <c r="N1013" t="inlineStr"/>
      <c r="O1013">
        <f>(1-Summary!$B$11)*S1013+Summary!$B$11*U1013</f>
        <v/>
      </c>
      <c r="P1013">
        <f>IF(B1027=0,0,O1013/B1027)</f>
        <v/>
      </c>
      <c r="Q1013">
        <f>IFERROR(1/IF(Inputs!$B$38="pvp",15,MAX(0.1,Skills!D23-IF(Skills!E23=TRUE,Inputs!$B$32,0))),0)</f>
        <v/>
      </c>
      <c r="R1013" t="n">
        <v>0</v>
      </c>
      <c r="S1013" t="n">
        <v>0</v>
      </c>
      <c r="U1013" t="n">
        <v>0</v>
      </c>
    </row>
    <row r="1014">
      <c r="A1014">
        <f>Skills!A24</f>
        <v/>
      </c>
      <c r="B1014">
        <f>Skills!B24</f>
        <v/>
      </c>
      <c r="C1014">
        <f>TRUE</f>
        <v/>
      </c>
      <c r="D1014">
        <f>IF(Skills!C24=1,60+Inputs!$B$25+Inputs!$B$29,IF(Skills!C24=2,90+Inputs!$B$26+Inputs!$B$29,IF(Skills!C24=3,120+Inputs!$B$27+Inputs!$B$29,MAX(0,(Inputs!$B$3-100)*3)+Inputs!$B$28+Inputs!$B$29)))</f>
        <v/>
      </c>
      <c r="E1014">
        <f>INDEX(FactorTable!$B$2:$Y$301, MATCH(ROUND(MIN(300,MAX(1,D1014)),0), FactorTable!$A$2:$A$301,0), Skills!L24+1)</f>
        <v/>
      </c>
      <c r="F1014">
        <f>IF(Skills!M24=TRUE,(Skills!K24/10)*(E1014/1000),Skills!K24/10)+Skills!N24</f>
        <v/>
      </c>
      <c r="G1014">
        <f>Calc!G24</f>
        <v/>
      </c>
      <c r="H1014">
        <f>Calc!H24</f>
        <v/>
      </c>
      <c r="I1014">
        <f>IF(Skills!T24&lt;&gt;"",1+(Skills!T24/10)*(Z993/1000)/100,1)</f>
        <v/>
      </c>
      <c r="J1014" t="inlineStr"/>
      <c r="K1014" t="inlineStr"/>
      <c r="L1014" t="inlineStr"/>
      <c r="M1014" t="inlineStr"/>
      <c r="N1014" t="inlineStr"/>
      <c r="O1014">
        <f>(1-Summary!$B$11)*S1014+Summary!$B$11*U1014</f>
        <v/>
      </c>
      <c r="P1014">
        <f>IF(B1027=0,0,O1014/B1027)</f>
        <v/>
      </c>
      <c r="Q1014">
        <f>IFERROR(1/IF(Inputs!$B$38="pvp",15,MAX(0.1,Skills!D24-IF(Skills!E24=TRUE,Inputs!$B$32,0))),0)</f>
        <v/>
      </c>
      <c r="R1014">
        <f>IF(AND(Inputs!$B$38&lt;&gt;"pvp",Inputs!$B$43&gt;0),IF(Inputs!$B$43&lt;=0,0,(INT(Inputs!$B$43/IF(Inputs!$B$38="pvp",15,MAX(0.1,Skills!D24-IF(Skills!E24=TRUE,Inputs!$B$32,0))))+1)),0)</f>
        <v/>
      </c>
      <c r="S1014" t="n">
        <v>0</v>
      </c>
      <c r="U1014" t="n">
        <v>0</v>
      </c>
    </row>
    <row r="1017">
      <c r="A1017" t="inlineStr">
        <is>
          <t>Average Buff Multiplier (Magic Guard + Meditation + Artifact Attack%, summed; then Infinity)</t>
        </is>
      </c>
      <c r="B1017">
        <f>(1+(IF(C993=TRUE,F993*IF(AND(Inputs!$B$38&lt;&gt;"pvp",Inputs!$B$43&gt;0),(((R993-1)*(Skills!S3*(1+(Inputs!$B$34)/100))+MIN((Skills!S3*(1+(Inputs!$B$34)/100)),MAX(0,Inputs!$B$43-((R993-1)*Skills!D3))))/Inputs!$B$43),IF(Inputs!$B$38="pvp",MIN((Skills!S3*(1+(Inputs!$B$34)/100)),15)/15,(Skills!S3*(1+(Inputs!$B$34)/100))/Skills!D3)),0)+IF(C994=TRUE,F994*IF(AND(Inputs!$B$38&lt;&gt;"pvp",Inputs!$B$43&gt;0),(((R994-1)*(Skills!S4*(1+(Inputs!$B$34)/100))+MIN((Skills!S4*(1+(Inputs!$B$34)/100)),MAX(0,Inputs!$B$43-((R994-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1006=TRUE,(1+F1006*IF(AND(Inputs!$B$38&lt;&gt;"pvp",Inputs!$B$43&gt;0),(((R1006-1)*(Skills!S16*(1+(Inputs!$B$34)/100))+MIN((Skills!S16*(1+(Inputs!$B$34)/100)),MAX(0,Inputs!$B$43-((R1006-1)*Skills!D16))))/Inputs!$B$43),IF(Inputs!$B$38="pvp",MIN((Skills!S16*(1+(Inputs!$B$34)/100)),15)/15,(Skills!S16*(1+(Inputs!$B$34)/100))/Skills!D16))/100),1)</f>
        <v/>
      </c>
    </row>
    <row r="1018">
      <c r="A1018" t="inlineStr">
        <is>
          <t>Monster Damage Taken Bonus % (Freezing Breath - Weaken + Elemental Reset + Artifact Enemy Damage Taken, summed)</t>
        </is>
      </c>
      <c r="B1018">
        <f>IF(Inputs!$B$3&gt;=118,15*IF(Inputs!$B$38="pvp",MIN((30*(1+(Inputs!$B$34)/100)),15)/15,(30*(1+(Inputs!$B$34)/100))/Skills!D8),0)+IF(C1004=TRUE,F1004,0)+(IF(AND(ArtifactsInput!$M$35,Inputs!$B$4&lt;&gt;"Chapter Hunt"),CHOOSE(ArtifactsInput!$N$35+1,15,18,21,24,27,30)*(1-EXP(-(0.2*B1021)*5)),0)+IF(AND(ArtifactsInput!$M$22,Inputs!$B$4&lt;&gt;"Chapter Hunt"),CHOOSE(ArtifactsInput!$N$22+1,10,12,14,16,18,20)*((0*(((0.15*B1021*5))^0/1)+1*(((0.15*B1021*5))^1/1)+2*(((0.15*B1021*5))^2/2)+3*(((0.15*B1021*5))^3/6)+4*(((0.15*B1021*5))^4/24)+5*(((0.15*B1021*5))^5/120))/((((0.15*B1021*5))^0/1)+(((0.15*B1021*5))^1/1)+(((0.15*B1021*5))^2/2)+(((0.15*B1021*5))^3/6)+(((0.15*B1021*5))^4/24)+(((0.15*B1021*5))^5/120))),0))</f>
        <v/>
      </c>
    </row>
    <row r="1019">
      <c r="A1019" t="inlineStr">
        <is>
          <t>Damage % Bonus (Frozen Break + Frost Clutch, flat)</t>
        </is>
      </c>
      <c r="B1019">
        <f>IF(Inputs!$B$3&gt;=66,15,0)+IF(Inputs!$B$3&gt;=98,10,0)+IF(Inputs!$B$3&gt;=125,20,0)</f>
        <v/>
      </c>
    </row>
    <row r="1020">
      <c r="A1020" t="inlineStr">
        <is>
          <t>Attack Speed Bonus % (MP Eater - MP Boost, always-on + Nimble Feet, duty-cycle averaged)</t>
        </is>
      </c>
      <c r="B1020">
        <f>IF(C1003=TRUE,F1003+(F1007-Calc!F17),0)+((C1014=TRUE)*F1014*IF(AND(Inputs!$B$38&lt;&gt;"pvp",Inputs!$B$43&gt;0),(((R1014-1)*(Skills!S24*(1+(Inputs!$B$34)/100))+MIN((Skills!S24*(1+(Inputs!$B$34)/100)),MAX(0,Inputs!$B$43-((R1014-1)*Skills!D24))))/Inputs!$B$43),IF(Inputs!$B$38="pvp",MIN((Skills!S24*(1+(Inputs!$B$34)/100)),15)/15,(Skills!S24*(1+(Inputs!$B$34)/100))/Skills!D24)))</f>
        <v/>
      </c>
    </row>
    <row r="1021">
      <c r="A1021" t="inlineStr">
        <is>
          <t>Actions Per Second</t>
        </is>
      </c>
      <c r="B1021">
        <f>1+MIN(150,150*(1-(1-(Inputs!$B$11+(ArtifactsInput!$M$15-ArtifactsInput!$M$15)*CHOOSE(ArtifactsInput!$N$15+1,8,9.6,11.2,12.8,14.4,16))/150)*(1-B1020/150)))/100</f>
        <v/>
      </c>
    </row>
    <row r="1022">
      <c r="A1022" t="inlineStr">
        <is>
          <t>Skill + Buff Cast Rate</t>
        </is>
      </c>
      <c r="B1022">
        <f>IF(AND(Inputs!$B$38&lt;&gt;"pvp",Inputs!$B$43&gt;0),SUMPRODUCT((Skills!E2:E24=TRUE)*(C992:C1014=TRUE)*R992:R1014)/Inputs!$B$43,SUMPRODUCT((Skills!E2:E24=TRUE)*(C992:C1014=TRUE)*Q992:Q1014))</f>
        <v/>
      </c>
    </row>
    <row r="1023">
      <c r="A1023" t="inlineStr">
        <is>
          <t>Chain Lightning Casts Per Second</t>
        </is>
      </c>
      <c r="B1023">
        <f>MAX(0,B1021-B1022)</f>
        <v/>
      </c>
    </row>
    <row r="1024">
      <c r="A1024" t="inlineStr">
        <is>
          <t>Buff-Casting Startup Delay (s, fixed-duration only)</t>
        </is>
      </c>
      <c r="B1024">
        <f>IF(AND(Inputs!$B$38&lt;&gt;"pvp",Inputs!$B$43&gt;0),SUMPRODUCT((Skills!S2:S24&gt;0)*(Skills!E2:E24=TRUE)*(C992:C1014=TRUE))/B1021,0)</f>
        <v/>
      </c>
    </row>
    <row r="1025">
      <c r="A1025" t="inlineStr">
        <is>
          <t>Boss-Only Total DPS (this block's swept value)</t>
        </is>
      </c>
      <c r="B1025">
        <f>SUM(S992:S1014)</f>
        <v/>
      </c>
    </row>
    <row r="1026">
      <c r="A1026" t="inlineStr">
        <is>
          <t>Normal-Only Total DPS (this block's swept value)</t>
        </is>
      </c>
      <c r="B1026">
        <f>SUM(U992:U1014)</f>
        <v/>
      </c>
    </row>
    <row r="1027">
      <c r="A1027" s="6" t="inlineStr">
        <is>
          <t>TOTAL DPS</t>
        </is>
      </c>
      <c r="B1027" s="6">
        <f>SUM(O992:O1014)</f>
        <v/>
      </c>
    </row>
    <row r="1030">
      <c r="A1030" s="6" t="inlineStr">
        <is>
          <t>Stat: Buff Duration Increase %</t>
        </is>
      </c>
    </row>
    <row r="1031">
      <c r="A1031" s="5" t="inlineStr">
        <is>
          <t>Key</t>
        </is>
      </c>
      <c r="B1031" s="5" t="inlineStr">
        <is>
          <t>Name</t>
        </is>
      </c>
      <c r="C1031" s="5" t="inlineStr">
        <is>
          <t>Unlocked</t>
        </is>
      </c>
      <c r="D1031" s="5" t="inlineStr">
        <is>
          <t>InputLevel</t>
        </is>
      </c>
      <c r="E1031" s="5" t="inlineStr">
        <is>
          <t>Factor</t>
        </is>
      </c>
      <c r="F1031" s="5" t="inlineStr">
        <is>
          <t>CoefficientPercent</t>
        </is>
      </c>
      <c r="G1031" s="5" t="inlineStr">
        <is>
          <t>EffectiveHits</t>
        </is>
      </c>
      <c r="H1031" s="5" t="inlineStr">
        <is>
          <t>ProcProbability</t>
        </is>
      </c>
      <c r="I1031" s="5" t="inlineStr">
        <is>
          <t>MapleHeroMultiplier</t>
        </is>
      </c>
      <c r="J1031" s="5" t="inlineStr">
        <is>
          <t>BaseDamage</t>
        </is>
      </c>
      <c r="K1031" s="5" t="inlineStr">
        <is>
          <t>BaseHitDamage</t>
        </is>
      </c>
      <c r="L1031" s="5" t="inlineStr">
        <is>
          <t>NonCritAvg</t>
        </is>
      </c>
      <c r="M1031" s="5" t="inlineStr">
        <is>
          <t>CritAvg</t>
        </is>
      </c>
      <c r="N1031" s="5" t="inlineStr">
        <is>
          <t>ExpectedDamage(perHit)</t>
        </is>
      </c>
      <c r="O1031" s="5" t="inlineStr">
        <is>
          <t>DPS</t>
        </is>
      </c>
      <c r="P1031" s="5" t="inlineStr">
        <is>
          <t>% of Total</t>
        </is>
      </c>
      <c r="R1031" t="inlineStr">
        <is>
          <t>helpers</t>
        </is>
      </c>
    </row>
    <row r="1032">
      <c r="A1032">
        <f>Skills!A2</f>
        <v/>
      </c>
      <c r="B1032">
        <f>Skills!B2</f>
        <v/>
      </c>
      <c r="C1032">
        <f>Inputs!$B$3&gt;=100</f>
        <v/>
      </c>
      <c r="D1032" t="inlineStr"/>
      <c r="E1032" t="inlineStr"/>
      <c r="F1032">
        <f>T1034+Skills!N2</f>
        <v/>
      </c>
      <c r="G1032">
        <f>Calc!G2</f>
        <v/>
      </c>
      <c r="H1032">
        <f>Calc!H2</f>
        <v/>
      </c>
      <c r="I1032">
        <f>IF(Skills!T2&lt;&gt;"",1+(Skills!T2/10)*(Z1033/1000)/100,1)</f>
        <v/>
      </c>
      <c r="J1032">
        <f>((Inputs!$B$6*(1+Inputs!$B$7/100))+(((Inputs!$B$12*(1+Inputs!$B$13/100))-(Inputs!$B$12*(1+Inputs!$B$13/100)))+0.25*(Inputs!$B$14-Inputs!$B$14))*(1+Inputs!$B$7/100))*(F1032/100)</f>
        <v/>
      </c>
      <c r="K1032">
        <f>J1032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2="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F1048-Calc!F18),(Inputs!$B$23+(IF(ArtifactsInput!$M$15,CHOOSE(ArtifactsInput!$N$15+1,25,30,35,40,45,50)/100*(Inputs!$B$11-Inputs!$B$11),0))))/100+(Inputs!$B$23+(IF(ArtifactsInput!$M$15,CHOOSE(ArtifactsInput!$N$15+1,25,30,35,40,45,50)/100*(Inputs!$B$11-Inputs!$B$11),0)))/100)/2</f>
        <v/>
      </c>
      <c r="M1032">
        <f>L1032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(1-Summary!$B$11)*S1032+Summary!$B$11*U1032</f>
        <v/>
      </c>
      <c r="P1032">
        <f>IF(B1067=0,0,O1032/B1067)</f>
        <v/>
      </c>
      <c r="Q1032">
        <f>IFERROR(1/IF(Inputs!$B$38="pvp",15,MAX(0.1,Skills!D2-IF(Skills!E2=TRUE,Inputs!$B$32,0))),0)</f>
        <v/>
      </c>
      <c r="R1032" t="n">
        <v>0</v>
      </c>
      <c r="S1032">
        <f>IF(C1032,(Skills!F2*N1032*B1063)*IF(Inputs!$B$38="pvp",1,1+(Inputs!$B$20+Skills!O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1032*(1-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32">
        <f>MAX(0,(Inputs!$B$3-100)*3)+Inputs!$B$28+Inputs!$B$29</f>
        <v/>
      </c>
      <c r="U1032">
        <f>IF(C1032,(Skills!F2*N1032*B1063)*IF(Inputs!$B$38="pvp",1,(1+(Inputs!$B$21+Skills!P2+B1058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32">
        <f>MAX(0,(Inputs!$B$3-100)*3)+Inputs!$B$28+Inputs!$B$29</f>
        <v/>
      </c>
    </row>
    <row r="1033">
      <c r="A1033">
        <f>Skills!A3</f>
        <v/>
      </c>
      <c r="B1033">
        <f>Skills!B3</f>
        <v/>
      </c>
      <c r="C1033">
        <f>Inputs!$B$3&gt;=15</f>
        <v/>
      </c>
      <c r="D1033">
        <f>IF(Skills!C3=1,60+Inputs!$B$25+Inputs!$B$29,IF(Skills!C3=2,90+Inputs!$B$26+Inputs!$B$29,IF(Skills!C3=3,120+Inputs!$B$27+Inputs!$B$29,MAX(0,(Inputs!$B$3-100)*3)+Inputs!$B$28+Inputs!$B$29)))</f>
        <v/>
      </c>
      <c r="E1033">
        <f>INDEX(FactorTable!$B$2:$Y$301, MATCH(ROUND(MIN(300,MAX(1,D1033)),0), FactorTable!$A$2:$A$301,0), Skills!L3+1)</f>
        <v/>
      </c>
      <c r="F1033">
        <f>IF(Skills!M3=TRUE,(Skills!K3/10)*(E1033/1000),Skills!K3/10)+Skills!N3</f>
        <v/>
      </c>
      <c r="G1033">
        <f>Calc!G3</f>
        <v/>
      </c>
      <c r="H1033">
        <f>Calc!H3</f>
        <v/>
      </c>
      <c r="I1033">
        <f>IF(Skills!T3&lt;&gt;"",1+(Skills!T3/10)*(Z1033/1000)/100,1)</f>
        <v/>
      </c>
      <c r="J1033" t="inlineStr"/>
      <c r="K1033" t="inlineStr"/>
      <c r="L1033" t="inlineStr"/>
      <c r="M1033" t="inlineStr"/>
      <c r="N1033" t="inlineStr"/>
      <c r="O1033">
        <f>(1-Summary!$B$11)*S1033+Summary!$B$11*U1033</f>
        <v/>
      </c>
      <c r="P1033">
        <f>IF(B1067=0,0,O1033/B1067)</f>
        <v/>
      </c>
      <c r="Q1033">
        <f>IFERROR(1/IF(Inputs!$B$38="pvp",15,MAX(0.1,Skills!D3-IF(Skills!E3=TRUE,Inputs!$B$32,0))),0)</f>
        <v/>
      </c>
      <c r="R1033">
        <f>IF(AND(Inputs!$B$38&lt;&gt;"pvp",Inputs!$B$43&gt;0),IF(Inputs!$B$43&lt;=0,0,(INT(Inputs!$B$43/IF(Inputs!$B$38="pvp",15,MAX(0.1,Skills!D3-IF(Skills!E3=TRUE,Inputs!$B$32,0))))+1)),0)</f>
        <v/>
      </c>
      <c r="S1033" t="n">
        <v>0</v>
      </c>
      <c r="T1033">
        <f>INDEX(FactorTable!$B$2:$Y$301, MATCH(ROUND(MIN(300,MAX(1,T1032)),0), FactorTable!$A$2:$A$301,0), 22)</f>
        <v/>
      </c>
      <c r="U1033" t="n">
        <v>0</v>
      </c>
      <c r="Z1033">
        <f>INDEX(FactorTable!$B$2:$Y$301, MATCH(ROUND(MIN(300,MAX(1,Z1032)),0), FactorTable!$A$2:$A$301,0), 24)</f>
        <v/>
      </c>
    </row>
    <row r="1034">
      <c r="A1034">
        <f>Skills!A4</f>
        <v/>
      </c>
      <c r="B1034">
        <f>Skills!B4</f>
        <v/>
      </c>
      <c r="C1034">
        <f>Inputs!$B$3&gt;=40</f>
        <v/>
      </c>
      <c r="D1034">
        <f>IF(Skills!C4=1,60+Inputs!$B$25+Inputs!$B$29,IF(Skills!C4=2,90+Inputs!$B$26+Inputs!$B$29,IF(Skills!C4=3,120+Inputs!$B$27+Inputs!$B$29,MAX(0,(Inputs!$B$3-100)*3)+Inputs!$B$28+Inputs!$B$29)))</f>
        <v/>
      </c>
      <c r="E1034">
        <f>INDEX(FactorTable!$B$2:$Y$301, MATCH(ROUND(MIN(300,MAX(1,D1034)),0), FactorTable!$A$2:$A$301,0), Skills!L4+1)</f>
        <v/>
      </c>
      <c r="F1034">
        <f>IF(Skills!M4=TRUE,(Skills!K4/10)*(E1034/1000),Skills!K4/10)+Skills!N4</f>
        <v/>
      </c>
      <c r="G1034">
        <f>Calc!G4</f>
        <v/>
      </c>
      <c r="H1034">
        <f>Calc!H4</f>
        <v/>
      </c>
      <c r="I1034">
        <f>IF(Skills!T4&lt;&gt;"",1+(Skills!T4/10)*(Z1033/1000)/100,1)</f>
        <v/>
      </c>
      <c r="J1034" t="inlineStr"/>
      <c r="K1034" t="inlineStr"/>
      <c r="L1034" t="inlineStr"/>
      <c r="M1034" t="inlineStr"/>
      <c r="N1034" t="inlineStr"/>
      <c r="O1034">
        <f>(1-Summary!$B$11)*S1034+Summary!$B$11*U1034</f>
        <v/>
      </c>
      <c r="P1034">
        <f>IF(B1067=0,0,O1034/B1067)</f>
        <v/>
      </c>
      <c r="Q1034">
        <f>IFERROR(1/IF(Inputs!$B$38="pvp",15,MAX(0.1,Skills!D4-IF(Skills!E4=TRUE,Inputs!$B$32,0))),0)</f>
        <v/>
      </c>
      <c r="R1034">
        <f>IF(AND(Inputs!$B$38&lt;&gt;"pvp",Inputs!$B$43&gt;0),IF(Inputs!$B$43&lt;=0,0,(INT(Inputs!$B$43/IF(Inputs!$B$38="pvp",15,MAX(0.1,Skills!D4-IF(Skills!E4=TRUE,Inputs!$B$32,0))))+1)),0)</f>
        <v/>
      </c>
      <c r="S1034" t="n">
        <v>0</v>
      </c>
      <c r="T1034">
        <f>290*T1033/1000</f>
        <v/>
      </c>
      <c r="U1034" t="n">
        <v>0</v>
      </c>
    </row>
    <row r="1035">
      <c r="A1035">
        <f>Skills!A5</f>
        <v/>
      </c>
      <c r="B1035">
        <f>Skills!B5</f>
        <v/>
      </c>
      <c r="C1035">
        <f>Inputs!$B$3&gt;=38</f>
        <v/>
      </c>
      <c r="D1035">
        <f>IF(Skills!C5=1,60+Inputs!$B$25+Inputs!$B$29,IF(Skills!C5=2,90+Inputs!$B$26+Inputs!$B$29,IF(Skills!C5=3,120+Inputs!$B$27+Inputs!$B$29,MAX(0,(Inputs!$B$3-100)*3)+Inputs!$B$28+Inputs!$B$29)))</f>
        <v/>
      </c>
      <c r="E1035">
        <f>INDEX(FactorTable!$B$2:$Y$301, MATCH(ROUND(MIN(300,MAX(1,D1035)),0), FactorTable!$A$2:$A$301,0), Skills!L5+1)</f>
        <v/>
      </c>
      <c r="F1035">
        <f>IF(Skills!M5=TRUE,(Skills!K5/10)*(E1035/1000),Skills!K5/10)+Skills!N5</f>
        <v/>
      </c>
      <c r="G1035">
        <f>Calc!G5</f>
        <v/>
      </c>
      <c r="H1035">
        <f>Calc!H5</f>
        <v/>
      </c>
      <c r="I1035">
        <f>IF(Skills!T5&lt;&gt;"",1+(Skills!T5/10)*(Z1033/1000)/100,1)</f>
        <v/>
      </c>
      <c r="J1035">
        <f>((Inputs!$B$6*(1+Inputs!$B$7/100))+(((Inputs!$B$12*(1+Inputs!$B$13/100))-(Inputs!$B$12*(1+Inputs!$B$13/100)))+0.25*(Inputs!$B$14-Inputs!$B$14))*(1+Inputs!$B$7/100))*(F1035/100)</f>
        <v/>
      </c>
      <c r="K1035">
        <f>J1035*(1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5="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F1048-Calc!F18),(Inputs!$B$23+(IF(ArtifactsInput!$M$15,CHOOSE(ArtifactsInput!$N$15+1,25,30,35,40,45,50)/100*(Inputs!$B$11-Inputs!$B$11),0))))/100+(Inputs!$B$23+(IF(ArtifactsInput!$M$15,CHOOSE(ArtifactsInput!$N$15+1,25,30,35,40,45,50)/100*(Inputs!$B$11-Inputs!$B$11),0)))/100)/2</f>
        <v/>
      </c>
      <c r="M1035">
        <f>L1035*(1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(1-Summary!$B$11)*S1035+Summary!$B$11*U1035</f>
        <v/>
      </c>
      <c r="P1035">
        <f>IF(B1067=0,0,O1035/B1067)</f>
        <v/>
      </c>
      <c r="Q1035">
        <f>IFERROR(1/IF(Inputs!$B$38="pvp",15,MAX(0.1,Skills!D5-IF(Skills!E5=TRUE,Inputs!$B$32,0))),0)</f>
        <v/>
      </c>
      <c r="R1035">
        <f>IF(AND(Inputs!$B$38&lt;&gt;"pvp",Inputs!$B$43&gt;0),IF(MAX(0,Inputs!$B$43-B1064)&lt;=0,0,(INT(MAX(0,Inputs!$B$43-B1064)/IF(Inputs!$B$38="pvp",15,MAX(0.1,Skills!D5-IF(Skills!E5=TRUE,Inputs!$B$32,0))))+1)),0)</f>
        <v/>
      </c>
      <c r="S1035">
        <f>IF(C1035,(H1035*N1035*IF(AND(Inputs!$B$38&lt;&gt;"pvp",Inputs!$B$43&gt;0),((Skills!F5*((R1035-1)*IF(Skills!G5&gt;0,Skills!H5/Skills!G5,1)+IF(Skills!G5&gt;0,MIN(Skills!H5,MAX(0,MAX(0,Inputs!$B$43-B1064)-((R1035-1)*IF(Inputs!$B$38="pvp",15,MAX(0.1,Skills!D5-IF(Skills!E5=TRUE,Inputs!$B$32,0))))))/Skills!G5,1)))/Inputs!$B$43),G1035*Q1035))*IF(Inputs!$B$38="pvp",1,1+(Inputs!$B$20+Skills!O5+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1035*(1-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IF(C1035,(H1035*N1035*IF(AND(Inputs!$B$38&lt;&gt;"pvp",Inputs!$B$43&gt;0),((Skills!F5*((R1035-1)*IF(Skills!G5&gt;0,Skills!H5/Skills!G5,1)+IF(Skills!G5&gt;0,MIN(Skills!H5,MAX(0,MAX(0,Inputs!$B$43-B1064)-((R1035-1)*IF(Inputs!$B$38="pvp",15,MAX(0.1,Skills!D5-IF(Skills!E5=TRUE,Inputs!$B$32,0))))))/Skills!G5,1)))/Inputs!$B$43),G1035*Q1035))*IF(Inputs!$B$38="pvp",1,(1+(Inputs!$B$21+Skills!P5+B1058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Skills!A6</f>
        <v/>
      </c>
      <c r="B1036">
        <f>Skills!B6</f>
        <v/>
      </c>
      <c r="C1036">
        <f>Inputs!$B$3&gt;=63</f>
        <v/>
      </c>
      <c r="D1036">
        <f>IF(Skills!C6=1,60+Inputs!$B$25+Inputs!$B$29,IF(Skills!C6=2,90+Inputs!$B$26+Inputs!$B$29,IF(Skills!C6=3,120+Inputs!$B$27+Inputs!$B$29,MAX(0,(Inputs!$B$3-100)*3)+Inputs!$B$28+Inputs!$B$29)))</f>
        <v/>
      </c>
      <c r="E1036">
        <f>INDEX(FactorTable!$B$2:$Y$301, MATCH(ROUND(MIN(300,MAX(1,D1036)),0), FactorTable!$A$2:$A$301,0), Skills!L6+1)</f>
        <v/>
      </c>
      <c r="F1036">
        <f>IF(Skills!M6=TRUE,(Skills!K6/10)*(E1036/1000),Skills!K6/10)+Skills!N6</f>
        <v/>
      </c>
      <c r="G1036">
        <f>Calc!G6</f>
        <v/>
      </c>
      <c r="H1036">
        <f>Calc!H6</f>
        <v/>
      </c>
      <c r="I1036">
        <f>IF(Skills!T6&lt;&gt;"",1+(Skills!T6/10)*(Z1033/1000)/100,1)</f>
        <v/>
      </c>
      <c r="J1036">
        <f>((Inputs!$B$6*(1+Inputs!$B$7/100))+(((Inputs!$B$12*(1+Inputs!$B$13/100))-(Inputs!$B$12*(1+Inputs!$B$13/100)))+0.25*(Inputs!$B$14-Inputs!$B$14))*(1+Inputs!$B$7/100))*(F1036/100)</f>
        <v/>
      </c>
      <c r="K1036">
        <f>J1036*(1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6="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F1048-Calc!F18),(Inputs!$B$23+(IF(ArtifactsInput!$M$15,CHOOSE(ArtifactsInput!$N$15+1,25,30,35,40,45,50)/100*(Inputs!$B$11-Inputs!$B$11),0))))/100+(Inputs!$B$23+(IF(ArtifactsInput!$M$15,CHOOSE(ArtifactsInput!$N$15+1,25,30,35,40,45,50)/100*(Inputs!$B$11-Inputs!$B$11),0)))/100)/2</f>
        <v/>
      </c>
      <c r="M1036">
        <f>L1036*(1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(1-Summary!$B$11)*S1036+Summary!$B$11*U1036</f>
        <v/>
      </c>
      <c r="P1036">
        <f>IF(B1067=0,0,O1036/B1067)</f>
        <v/>
      </c>
      <c r="Q1036">
        <f>IFERROR(1/IF(Inputs!$B$38="pvp",15,MAX(0.1,Skills!D6-IF(Skills!E6=TRUE,Inputs!$B$32,0))),0)</f>
        <v/>
      </c>
      <c r="R1036">
        <f>IF(AND(Inputs!$B$38&lt;&gt;"pvp",Inputs!$B$43&gt;0),IF(MAX(0,Inputs!$B$43-B1064)&lt;=0,0,(INT(MAX(0,Inputs!$B$43-B1064)/IF(Inputs!$B$38="pvp",15,MAX(0.1,Skills!D6-IF(Skills!E6=TRUE,Inputs!$B$32,0))))+1)),0)</f>
        <v/>
      </c>
      <c r="S1036">
        <f>IF(C1036,(H1036*N1036*IF(AND(Inputs!$B$38&lt;&gt;"pvp",Inputs!$B$43&gt;0),((Skills!F6*((R1036-1)*IF(Skills!G6&gt;0,Skills!H6/Skills!G6,1)+IF(Skills!G6&gt;0,MIN(Skills!H6,MAX(0,MAX(0,Inputs!$B$43-B1064)-((R1036-1)*IF(Inputs!$B$38="pvp",15,MAX(0.1,Skills!D6-IF(Skills!E6=TRUE,Inputs!$B$32,0))))))/Skills!G6,1)))/Inputs!$B$43),G1036*Q1036))*IF(Inputs!$B$38="pvp",1,1+(Inputs!$B$20+Skills!O6+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1036*(1-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6">
        <f>IF(C1036,(H1036*N1036*IF(AND(Inputs!$B$38&lt;&gt;"pvp",Inputs!$B$43&gt;0),((Skills!F6*((R1036-1)*IF(Skills!G6&gt;0,Skills!H6/Skills!G6,1)+IF(Skills!G6&gt;0,MIN(Skills!H6,MAX(0,MAX(0,Inputs!$B$43-B1064)-((R1036-1)*IF(Inputs!$B$38="pvp",15,MAX(0.1,Skills!D6-IF(Skills!E6=TRUE,Inputs!$B$32,0))))))/Skills!G6,1)))/Inputs!$B$43),G1036*Q1036))*IF(Inputs!$B$38="pvp",1,(1+(Inputs!$B$21+Skills!P6+B1058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Skills!A7</f>
        <v/>
      </c>
      <c r="B1037">
        <f>Skills!B7</f>
        <v/>
      </c>
      <c r="C1037">
        <f>Inputs!$B$3&gt;=69</f>
        <v/>
      </c>
      <c r="D1037">
        <f>IF(Skills!C7=1,60+Inputs!$B$25+Inputs!$B$29,IF(Skills!C7=2,90+Inputs!$B$26+Inputs!$B$29,IF(Skills!C7=3,120+Inputs!$B$27+Inputs!$B$29,MAX(0,(Inputs!$B$3-100)*3)+Inputs!$B$28+Inputs!$B$29)))</f>
        <v/>
      </c>
      <c r="E1037">
        <f>INDEX(FactorTable!$B$2:$Y$301, MATCH(ROUND(MIN(300,MAX(1,D1037)),0), FactorTable!$A$2:$A$301,0), Skills!L7+1)</f>
        <v/>
      </c>
      <c r="F1037">
        <f>IF(Skills!M7=TRUE,(Skills!K7/10)*(E1037/1000),Skills!K7/10)+Skills!N7</f>
        <v/>
      </c>
      <c r="G1037">
        <f>Calc!G7</f>
        <v/>
      </c>
      <c r="H1037">
        <f>Calc!H7</f>
        <v/>
      </c>
      <c r="I1037">
        <f>IF(Skills!T7&lt;&gt;"",1+(Skills!T7/10)*(Z1033/1000)/100,1)</f>
        <v/>
      </c>
      <c r="J1037">
        <f>((Inputs!$B$6*(1+Inputs!$B$7/100))+(((Inputs!$B$12*(1+Inputs!$B$13/100))-(Inputs!$B$12*(1+Inputs!$B$13/100)))+0.25*(Inputs!$B$14-Inputs!$B$14))*(1+Inputs!$B$7/100))*(F1037/100)</f>
        <v/>
      </c>
      <c r="K1037">
        <f>J1037*(1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7="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F1048-Calc!F18),(Inputs!$B$23+(IF(ArtifactsInput!$M$15,CHOOSE(ArtifactsInput!$N$15+1,25,30,35,40,45,50)/100*(Inputs!$B$11-Inputs!$B$11),0))))/100+(Inputs!$B$23+(IF(ArtifactsInput!$M$15,CHOOSE(ArtifactsInput!$N$15+1,25,30,35,40,45,50)/100*(Inputs!$B$11-Inputs!$B$11),0)))/100)/2</f>
        <v/>
      </c>
      <c r="M1037">
        <f>L1037*(1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(1-Summary!$B$11)*S1037+Summary!$B$11*U1037</f>
        <v/>
      </c>
      <c r="P1037">
        <f>IF(B1067=0,0,O1037/B1067)</f>
        <v/>
      </c>
      <c r="Q1037">
        <f>IFERROR(1/IF(Inputs!$B$38="pvp",15,MAX(0.1,Skills!D7-IF(Skills!E7=TRUE,Inputs!$B$32,0))),0)</f>
        <v/>
      </c>
      <c r="R1037">
        <f>IF(AND(Inputs!$B$38&lt;&gt;"pvp",Inputs!$B$43&gt;0),IF(MAX(0,Inputs!$B$43-B1064)&lt;=0,0,(INT(MAX(0,Inputs!$B$43-B1064)/IF(Inputs!$B$38="pvp",15,MAX(0.1,Skills!D7-IF(Skills!E7=TRUE,Inputs!$B$32,0))))+1)),0)</f>
        <v/>
      </c>
      <c r="S1037">
        <f>IF(C1037,(H1037*N1037*IF(AND(Inputs!$B$38&lt;&gt;"pvp",Inputs!$B$43&gt;0),((Skills!F7*((R1037-1)*IF(Skills!G7&gt;0,Skills!H7/Skills!G7,1)+IF(Skills!G7&gt;0,MIN(Skills!H7,MAX(0,MAX(0,Inputs!$B$43-B1064)-((R1037-1)*IF(Inputs!$B$38="pvp",15,MAX(0.1,Skills!D7-IF(Skills!E7=TRUE,Inputs!$B$32,0))))))/Skills!G7,1)))/Inputs!$B$43),G1037*Q1037))*IF(Inputs!$B$38="pvp",1,1+(Inputs!$B$20+Skills!O7+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1037*(1-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7">
        <f>IF(C1037,(H1037*N1037*IF(AND(Inputs!$B$38&lt;&gt;"pvp",Inputs!$B$43&gt;0),((Skills!F7*((R1037-1)*IF(Skills!G7&gt;0,Skills!H7/Skills!G7,1)+IF(Skills!G7&gt;0,MIN(Skills!H7,MAX(0,MAX(0,Inputs!$B$43-B1064)-((R1037-1)*IF(Inputs!$B$38="pvp",15,MAX(0.1,Skills!D7-IF(Skills!E7=TRUE,Inputs!$B$32,0))))))/Skills!G7,1)))/Inputs!$B$43),G1037*Q1037))*IF(Inputs!$B$38="pvp",1,(1+(Inputs!$B$21+Skills!P7+B1058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Skills!A8</f>
        <v/>
      </c>
      <c r="B1038">
        <f>Skills!B8</f>
        <v/>
      </c>
      <c r="C1038">
        <f>Inputs!$B$3&gt;=103</f>
        <v/>
      </c>
      <c r="D1038">
        <f>IF(Skills!C8=1,60+Inputs!$B$25+Inputs!$B$29,IF(Skills!C8=2,90+Inputs!$B$26+Inputs!$B$29,IF(Skills!C8=3,120+Inputs!$B$27+Inputs!$B$29,MAX(0,(Inputs!$B$3-100)*3)+Inputs!$B$28+Inputs!$B$29)))</f>
        <v/>
      </c>
      <c r="E1038">
        <f>INDEX(FactorTable!$B$2:$Y$301, MATCH(ROUND(MIN(300,MAX(1,D1038)),0), FactorTable!$A$2:$A$301,0), Skills!L8+1)</f>
        <v/>
      </c>
      <c r="F1038">
        <f>IF(Skills!M8=TRUE,(Skills!K8/10)*(E1038/1000),Skills!K8/10)+Skills!N8</f>
        <v/>
      </c>
      <c r="G1038">
        <f>Calc!G8</f>
        <v/>
      </c>
      <c r="H1038">
        <f>Calc!H8</f>
        <v/>
      </c>
      <c r="I1038">
        <f>IF(Skills!T8&lt;&gt;"",1+(Skills!T8/10)*(Z1033/1000)/100,1)</f>
        <v/>
      </c>
      <c r="J1038">
        <f>((Inputs!$B$6*(1+Inputs!$B$7/100))+(((Inputs!$B$12*(1+Inputs!$B$13/100))-(Inputs!$B$12*(1+Inputs!$B$13/100)))+0.25*(Inputs!$B$14-Inputs!$B$14))*(1+Inputs!$B$7/100))*(F1038/100)</f>
        <v/>
      </c>
      <c r="K1038">
        <f>J1038*(1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8="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F1048-Calc!F18),(Inputs!$B$23+(IF(ArtifactsInput!$M$15,CHOOSE(ArtifactsInput!$N$15+1,25,30,35,40,45,50)/100*(Inputs!$B$11-Inputs!$B$11),0))))/100+(Inputs!$B$23+(IF(ArtifactsInput!$M$15,CHOOSE(ArtifactsInput!$N$15+1,25,30,35,40,45,50)/100*(Inputs!$B$11-Inputs!$B$11),0)))/100)/2</f>
        <v/>
      </c>
      <c r="M1038">
        <f>L1038*(1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(1-Summary!$B$11)*S1038+Summary!$B$11*U1038</f>
        <v/>
      </c>
      <c r="P1038">
        <f>IF(B1067=0,0,O1038/B1067)</f>
        <v/>
      </c>
      <c r="Q1038">
        <f>IFERROR(1/IF(Inputs!$B$38="pvp",15,MAX(0.1,Skills!D8-IF(Skills!E8=TRUE,Inputs!$B$32,0))),0)</f>
        <v/>
      </c>
      <c r="R1038">
        <f>IF(AND(Inputs!$B$38&lt;&gt;"pvp",Inputs!$B$43&gt;0),IF(MAX(0,Inputs!$B$43-B1064)&lt;=0,0,(INT(MAX(0,Inputs!$B$43-B1064)/IF(Inputs!$B$38="pvp",15,MAX(0.1,Skills!D8-IF(Skills!E8=TRUE,Inputs!$B$32,0))))+1)),0)</f>
        <v/>
      </c>
      <c r="S1038">
        <f>IF(C1038,(H1038*N1038*IF(AND(Inputs!$B$38&lt;&gt;"pvp",Inputs!$B$43&gt;0),((Skills!F8*((R1038-1)*IF(Skills!G8&gt;0,Skills!H8/Skills!G8,1)+IF(Skills!G8&gt;0,MIN(Skills!H8,MAX(0,MAX(0,Inputs!$B$43-B1064)-((R1038-1)*IF(Inputs!$B$38="pvp",15,MAX(0.1,Skills!D8-IF(Skills!E8=TRUE,Inputs!$B$32,0))))))/Skills!G8,1)))/Inputs!$B$43),G1038*Q1038))*IF(Inputs!$B$38="pvp",1,1+(Inputs!$B$20+Skills!O8+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1038*(1-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8">
        <f>IF(C1038,(H1038*N1038*IF(AND(Inputs!$B$38&lt;&gt;"pvp",Inputs!$B$43&gt;0),((Skills!F8*((R1038-1)*IF(Skills!G8&gt;0,Skills!H8/Skills!G8,1)+IF(Skills!G8&gt;0,MIN(Skills!H8,MAX(0,MAX(0,Inputs!$B$43-B1064)-((R1038-1)*IF(Inputs!$B$38="pvp",15,MAX(0.1,Skills!D8-IF(Skills!E8=TRUE,Inputs!$B$32,0))))))/Skills!G8,1)))/Inputs!$B$43),G1038*Q1038))*IF(Inputs!$B$38="pvp",1,(1+(Inputs!$B$21+Skills!P8+B1058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Skills!A9</f>
        <v/>
      </c>
      <c r="B1039">
        <f>Skills!B9</f>
        <v/>
      </c>
      <c r="C1039">
        <f>Inputs!$B$3&gt;=105</f>
        <v/>
      </c>
      <c r="D1039">
        <f>IF(Skills!C9=1,60+Inputs!$B$25+Inputs!$B$29,IF(Skills!C9=2,90+Inputs!$B$26+Inputs!$B$29,IF(Skills!C9=3,120+Inputs!$B$27+Inputs!$B$29,MAX(0,(Inputs!$B$3-100)*3)+Inputs!$B$28+Inputs!$B$29)))</f>
        <v/>
      </c>
      <c r="E1039">
        <f>INDEX(FactorTable!$B$2:$Y$301, MATCH(ROUND(MIN(300,MAX(1,D1039)),0), FactorTable!$A$2:$A$301,0), Skills!L9+1)</f>
        <v/>
      </c>
      <c r="F1039">
        <f>IF(Skills!M9=TRUE,(Skills!K9/10)*(E1039/1000),Skills!K9/10)+Skills!N9</f>
        <v/>
      </c>
      <c r="G1039">
        <f>Calc!G9</f>
        <v/>
      </c>
      <c r="H1039">
        <f>Calc!H9</f>
        <v/>
      </c>
      <c r="I1039">
        <f>IF(Skills!T9&lt;&gt;"",1+(Skills!T9/10)*(Z1033/1000)/100,1)</f>
        <v/>
      </c>
      <c r="J1039">
        <f>((Inputs!$B$6*(1+Inputs!$B$7/100))+(((Inputs!$B$12*(1+Inputs!$B$13/100))-(Inputs!$B$12*(1+Inputs!$B$13/100)))+0.25*(Inputs!$B$14-Inputs!$B$14))*(1+Inputs!$B$7/100))*(F1039/100)</f>
        <v/>
      </c>
      <c r="K1039">
        <f>J1039*(1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9="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F1048-Calc!F18),(Inputs!$B$23+(IF(ArtifactsInput!$M$15,CHOOSE(ArtifactsInput!$N$15+1,25,30,35,40,45,50)/100*(Inputs!$B$11-Inputs!$B$11),0))))/100+(Inputs!$B$23+(IF(ArtifactsInput!$M$15,CHOOSE(ArtifactsInput!$N$15+1,25,30,35,40,45,50)/100*(Inputs!$B$11-Inputs!$B$11),0)))/100)/2</f>
        <v/>
      </c>
      <c r="M1039">
        <f>L1039*(1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(1-Summary!$B$11)*S1039+Summary!$B$11*U1039</f>
        <v/>
      </c>
      <c r="P1039">
        <f>IF(B1067=0,0,O1039/B1067)</f>
        <v/>
      </c>
      <c r="Q1039">
        <f>IFERROR(1/IF(Inputs!$B$38="pvp",15,MAX(0.1,Skills!D9-IF(Skills!E9=TRUE,Inputs!$B$32,0))),0)</f>
        <v/>
      </c>
      <c r="R1039">
        <f>IF(AND(Inputs!$B$38&lt;&gt;"pvp",Inputs!$B$43&gt;0),IF(MAX(0,Inputs!$B$43-B1064)&lt;=0,0,(INT(MAX(0,Inputs!$B$43-B1064)/IF(Inputs!$B$38="pvp",15,MAX(0.1,Skills!D9-IF(Skills!E9=TRUE,Inputs!$B$32,0))))+1)),0)</f>
        <v/>
      </c>
      <c r="S1039">
        <f>IF(C1039,(H1039*N1039*IF(AND(Inputs!$B$38&lt;&gt;"pvp",Inputs!$B$43&gt;0),((Skills!F9*((R1039-1)*IF(Skills!G9&gt;0,Skills!H9/Skills!G9,1)+IF(Skills!G9&gt;0,MIN(Skills!H9,MAX(0,MAX(0,Inputs!$B$43-B1064)-((R1039-1)*IF(Inputs!$B$38="pvp",15,MAX(0.1,Skills!D9-IF(Skills!E9=TRUE,Inputs!$B$32,0))))))/Skills!G9,1)))/Inputs!$B$43),G1039*Q1039))*IF(Inputs!$B$38="pvp",1,1+(Inputs!$B$20+Skills!O9+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1039*(1-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IF(C1039,(H1039*N1039*IF(AND(Inputs!$B$38&lt;&gt;"pvp",Inputs!$B$43&gt;0),((Skills!F9*((R1039-1)*IF(Skills!G9&gt;0,Skills!H9/Skills!G9,1)+IF(Skills!G9&gt;0,MIN(Skills!H9,MAX(0,MAX(0,Inputs!$B$43-B1064)-((R1039-1)*IF(Inputs!$B$38="pvp",15,MAX(0.1,Skills!D9-IF(Skills!E9=TRUE,Inputs!$B$32,0))))))/Skills!G9,1)))/Inputs!$B$43),G1039*Q1039))*IF(Inputs!$B$38="pvp",1,(1+(Inputs!$B$21+Skills!P9+B1058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Skills!A10</f>
        <v/>
      </c>
      <c r="B1040">
        <f>Skills!B10</f>
        <v/>
      </c>
      <c r="C1040">
        <f>Inputs!$B$3&gt;=113</f>
        <v/>
      </c>
      <c r="D1040">
        <f>IF(Skills!C10=1,60+Inputs!$B$25+Inputs!$B$29,IF(Skills!C10=2,90+Inputs!$B$26+Inputs!$B$29,IF(Skills!C10=3,120+Inputs!$B$27+Inputs!$B$29,MAX(0,(Inputs!$B$3-100)*3)+Inputs!$B$28+Inputs!$B$29)))</f>
        <v/>
      </c>
      <c r="E1040">
        <f>INDEX(FactorTable!$B$2:$Y$301, MATCH(ROUND(MIN(300,MAX(1,D1040)),0), FactorTable!$A$2:$A$301,0), Skills!L10+1)</f>
        <v/>
      </c>
      <c r="F1040">
        <f>IF(Skills!M10=TRUE,(Skills!K10/10)*(E1040/1000),Skills!K10/10)+Skills!N10</f>
        <v/>
      </c>
      <c r="G1040">
        <f>Calc!G10</f>
        <v/>
      </c>
      <c r="H1040">
        <f>Calc!H10</f>
        <v/>
      </c>
      <c r="I1040">
        <f>IF(Skills!T10&lt;&gt;"",1+(Skills!T10/10)*(Z1033/1000)/100,1)</f>
        <v/>
      </c>
      <c r="J1040">
        <f>((Inputs!$B$6*(1+Inputs!$B$7/100))+(((Inputs!$B$12*(1+Inputs!$B$13/100))-(Inputs!$B$12*(1+Inputs!$B$13/100)))+0.25*(Inputs!$B$14-Inputs!$B$14))*(1+Inputs!$B$7/100))*(F1040/100)</f>
        <v/>
      </c>
      <c r="K1040">
        <f>J1040*(1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10="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1048-Calc!F18),(Inputs!$B$23+(IF(ArtifactsInput!$M$15,CHOOSE(ArtifactsInput!$N$15+1,25,30,35,40,45,50)/100*(Inputs!$B$11-Inputs!$B$11),0))))/100+(Inputs!$B$23+(IF(ArtifactsInput!$M$15,CHOOSE(ArtifactsInput!$N$15+1,25,30,35,40,45,50)/100*(Inputs!$B$11-Inputs!$B$11),0)))/100)/2</f>
        <v/>
      </c>
      <c r="M1040">
        <f>L1040*(1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IF(B1067=0,0,O1040/B1067)</f>
        <v/>
      </c>
      <c r="Q1040">
        <f>IFERROR(1/IF(Inputs!$B$38="pvp",15,MAX(0.1,Skills!D10-IF(Skills!E9=TRUE,Inputs!$B$32,0))),0)</f>
        <v/>
      </c>
      <c r="R1040">
        <f>IF(AND(Inputs!$B$38&lt;&gt;"pvp",Inputs!$B$43&gt;0),IF(MAX(0,Inputs!$B$43-B1064)&lt;=0,0,(INT(MAX(0,Inputs!$B$43-B1064)/IF(Inputs!$B$38="pvp",15,MAX(0.1,Skills!D10-IF(Skills!E9=TRUE,Inputs!$B$32,0))))+1)),0)</f>
        <v/>
      </c>
      <c r="S1040">
        <f>IF(C1040,(H1040*N1040*IF(AND(Inputs!$B$38&lt;&gt;"pvp",Inputs!$B$43&gt;0),((Skills!F10*((R1040-1)*IF(Skills!G10&gt;0,Skills!H10/Skills!G10,1)+IF(Skills!G10&gt;0,MIN(Skills!H10,MAX(0,MAX(0,Inputs!$B$43-B1064)-((R1040-1)*IF(Inputs!$B$38="pvp",15,MAX(0.1,Skills!D10-IF(Skills!E9=TRUE,Inputs!$B$32,0))))))/Skills!G10,1)))/Inputs!$B$43),G1040*Q1040))*IF(Inputs!$B$38="pvp",1,1+(Inputs!$B$20+Skills!O10+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0">
        <f>IF(C1040,(H1040*N1040*IF(AND(Inputs!$B$38&lt;&gt;"pvp",Inputs!$B$43&gt;0),((Skills!F10*((R1040-1)*IF(Skills!G10&gt;0,Skills!H10/Skills!G10,1)+IF(Skills!G10&gt;0,MIN(Skills!H10,MAX(0,MAX(0,Inputs!$B$43-B1064)-((R1040-1)*IF(Inputs!$B$38="pvp",15,MAX(0.1,Skills!D10-IF(Skills!E9=TRUE,Inputs!$B$32,0))))))/Skills!G10,1)))/Inputs!$B$43),G1040*Q1040))*IF(Inputs!$B$38="pvp",1,(1+(Inputs!$B$21+Skills!P10+B1058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Skills!A11</f>
        <v/>
      </c>
      <c r="B1041">
        <f>Skills!B11</f>
        <v/>
      </c>
      <c r="C1041">
        <f>Inputs!$B$3&gt;=107</f>
        <v/>
      </c>
      <c r="D1041">
        <f>IF(Skills!C11=1,60+Inputs!$B$25+Inputs!$B$29,IF(Skills!C11=2,90+Inputs!$B$26+Inputs!$B$29,IF(Skills!C11=3,120+Inputs!$B$27+Inputs!$B$29,MAX(0,(Inputs!$B$3-100)*3)+Inputs!$B$28+Inputs!$B$29)))</f>
        <v/>
      </c>
      <c r="E1041">
        <f>INDEX(FactorTable!$B$2:$Y$301, MATCH(ROUND(MIN(300,MAX(1,D1041)),0), FactorTable!$A$2:$A$301,0), Skills!L11+1)</f>
        <v/>
      </c>
      <c r="F1041">
        <f>IF(Skills!M11=TRUE,(Skills!K11/10)*(E1041/1000),Skills!K11/10)+Skills!N11</f>
        <v/>
      </c>
      <c r="G1041">
        <f>Calc!G11</f>
        <v/>
      </c>
      <c r="H1041">
        <f>Calc!H11</f>
        <v/>
      </c>
      <c r="I1041">
        <f>IF(Skills!T11&lt;&gt;"",1+(Skills!T11/10)*(Z1033/1000)/100,1)</f>
        <v/>
      </c>
      <c r="J1041">
        <f>((Inputs!$B$6*(1+Inputs!$B$7/100))+(((Inputs!$B$12*(1+Inputs!$B$13/100))-(Inputs!$B$12*(1+Inputs!$B$13/100)))+0.25*(Inputs!$B$14-Inputs!$B$14))*(1+Inputs!$B$7/100))*(F1041/100)</f>
        <v/>
      </c>
      <c r="K1041">
        <f>J1041*(1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11="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1048-Calc!F18),(Inputs!$B$23+(IF(ArtifactsInput!$M$15,CHOOSE(ArtifactsInput!$N$15+1,25,30,35,40,45,50)/100*(Inputs!$B$11-Inputs!$B$11),0))))/100+(Inputs!$B$23+(IF(ArtifactsInput!$M$15,CHOOSE(ArtifactsInput!$N$15+1,25,30,35,40,45,50)/100*(Inputs!$B$11-Inputs!$B$11),0)))/100)/2</f>
        <v/>
      </c>
      <c r="M1041">
        <f>L1041*(1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IF(B1067=0,0,O1041/B1067)</f>
        <v/>
      </c>
      <c r="Q1041">
        <f>IFERROR(1/IF(Inputs!$B$38="pvp",15,MAX(0.1,Skills!D11-IF(Skills!E11=TRUE,Inputs!$B$32,0))),0)</f>
        <v/>
      </c>
      <c r="R1041">
        <f>IF(AND(Inputs!$B$38&lt;&gt;"pvp",Inputs!$B$43&gt;0),IF(MAX(0,Inputs!$B$43-B1064)&lt;=0,0,(INT(MAX(0,Inputs!$B$43-B1064)/IF(Inputs!$B$38="pvp",15,MAX(0.1,Skills!D11-IF(Skills!E11=TRUE,Inputs!$B$32,0))))+1)),0)</f>
        <v/>
      </c>
      <c r="S1041">
        <f>IF(C1041,H1041*N1041*IF(AND(Inputs!$B$38&lt;&gt;"pvp",Inputs!$B$43&gt;0),((Skills!F11*((R1041-1)*IF(Skills!G11&gt;0,Skills!H11/Skills!G11,1)+IF(Skills!G11&gt;0,MIN(Skills!H11,MAX(0,MAX(0,Inputs!$B$43-B1064)-((R1041-1)*IF(Inputs!$B$38="pvp",15,MAX(0.1,Skills!D11-IF(Skills!E11=TRUE,Inputs!$B$32,0))))))/Skills!G11,1)))/Inputs!$B$43),G1041*Q1041)*0.5*IF(Inputs!$B$38="pvp",1,1+(Inputs!$B$20+Skills!O11+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IF(C1041,H1041*N1041*IF(AND(Inputs!$B$38&lt;&gt;"pvp",Inputs!$B$43&gt;0),((Skills!F11*((R1041-1)*IF(Skills!G11&gt;0,Skills!H11/Skills!G11,1)+IF(Skills!G11&gt;0,MIN(Skills!H11,MAX(0,MAX(0,Inputs!$B$43-B1064)-((R1041-1)*IF(Inputs!$B$38="pvp",15,MAX(0.1,Skills!D11-IF(Skills!E11=TRUE,Inputs!$B$32,0))))))/Skills!G11,1)))/Inputs!$B$43),G1041*Q1041)*1*IF(Inputs!$B$38="pvp",1,(1+(Inputs!$B$21+Skills!P11+B1058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Skills!A12</f>
        <v/>
      </c>
      <c r="B1042">
        <f>Skills!B12</f>
        <v/>
      </c>
      <c r="C1042">
        <f>Inputs!$B$3&gt;=115</f>
        <v/>
      </c>
      <c r="D1042">
        <f>IF(Skills!C12=1,60+Inputs!$B$25+Inputs!$B$29,IF(Skills!C12=2,90+Inputs!$B$26+Inputs!$B$29,IF(Skills!C12=3,120+Inputs!$B$27+Inputs!$B$29,MAX(0,(Inputs!$B$3-100)*3)+Inputs!$B$28+Inputs!$B$29)))</f>
        <v/>
      </c>
      <c r="E1042">
        <f>INDEX(FactorTable!$B$2:$Y$301, MATCH(ROUND(MIN(300,MAX(1,D1042)),0), FactorTable!$A$2:$A$301,0), Skills!L12+1)</f>
        <v/>
      </c>
      <c r="F1042">
        <f>IF(Skills!M12=TRUE,(Skills!K12/10)*(E1042/1000),Skills!K12/10)+Skills!N12</f>
        <v/>
      </c>
      <c r="G1042">
        <f>Calc!G12</f>
        <v/>
      </c>
      <c r="H1042">
        <f>Calc!H12</f>
        <v/>
      </c>
      <c r="I1042">
        <f>IF(Skills!T12&lt;&gt;"",1+(Skills!T12/10)*(Z1033/1000)/100,1)</f>
        <v/>
      </c>
      <c r="J1042">
        <f>((Inputs!$B$6*(1+Inputs!$B$7/100))+(((Inputs!$B$12*(1+Inputs!$B$13/100))-(Inputs!$B$12*(1+Inputs!$B$13/100)))+0.25*(Inputs!$B$14-Inputs!$B$14))*(1+Inputs!$B$7/100))*(F1042/100)</f>
        <v/>
      </c>
      <c r="K1042">
        <f>J1042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12="CHAIN_LIGHTNING",Inputs!$B$17+((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1048-Calc!F18),(Inputs!$B$23+(IF(ArtifactsInput!$M$15,CHOOSE(ArtifactsInput!$N$15+1,25,30,35,40,45,50)/100*(Inputs!$B$11-Inputs!$B$11),0))))/100+(Inputs!$B$23+(IF(ArtifactsInput!$M$15,CHOOSE(ArtifactsInput!$N$15+1,25,30,35,40,45,50)/100*(Inputs!$B$11-Inputs!$B$11),0)))/100)/2</f>
        <v/>
      </c>
      <c r="M1042">
        <f>L1042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IF(B1067=0,0,O1042/B1067)</f>
        <v/>
      </c>
      <c r="Q1042">
        <f>IFERROR(1/IF(Inputs!$B$38="pvp",15,MAX(0.1,Skills!D12-IF(Skills!E12=TRUE,Inputs!$B$32,0))),0)</f>
        <v/>
      </c>
      <c r="R1042">
        <f>IF(AND(Inputs!$B$38&lt;&gt;"pvp",Inputs!$B$43&gt;0),IF(MAX(0,Inputs!$B$43-B1064)&lt;=0,0,(INT(MAX(0,Inputs!$B$43-B1064)/IF(Inputs!$B$38="pvp",15,MAX(0.1,Skills!D12-IF(Skills!E12=TRUE,Inputs!$B$32,0))))+1)),0)</f>
        <v/>
      </c>
      <c r="S1042">
        <f>IF(C1042,(H1042*N1042*IF(AND(Inputs!$B$38&lt;&gt;"pvp",Inputs!$B$43&gt;0),((Skills!F12*((R1042-1)*IF(Skills!G12&gt;0,Skills!H12/Skills!G12,1)+IF(Skills!G12&gt;0,MIN(Skills!H12,MAX(0,MAX(0,Inputs!$B$43-B1064)-((R1042-1)*IF(Inputs!$B$38="pvp",15,MAX(0.1,Skills!D12-IF(Skills!E12=TRUE,Inputs!$B$32,0))))))/Skills!G12,1)))/Inputs!$B$43),G1042*Q1042))*IF(Inputs!$B$38="pvp",1,1+(Inputs!$B$20+Skills!O12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1050-Calc!F20)+(F1049-Calc!F19))+(ArtifactsInput!$M$24-ArtifactsInput!$M$24)*CHOOSE(ArtifactsInput!$N$24+1,10,12,14,16,18,20)+(IF(AND(Inputs!$B$38&lt;&gt;"pvp",Inputs!$B$43=0),1,IF(IF(Inputs!$B$38="pvp",15,Inputs!$B$43)-(B1064)&lt;=0,1,MAX(0,IF(Inputs!$B$38="pvp",15,Inputs!$B$43)-MAX(5,B1064))/(IF(Inputs!$B$38="pvp",15,Inputs!$B$43)-(B1064)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F(C1042,(H1042*N1042*IF(AND(Inputs!$B$38&lt;&gt;"pvp",Inputs!$B$43&gt;0),((Skills!F12*((R1042-1)*IF(Skills!G12&gt;0,Skills!H12/Skills!G12,1)+IF(Skills!G12&gt;0,MIN(Skills!H12,MAX(0,MAX(0,Inputs!$B$43-B1064)-((R1042-1)*IF(Inputs!$B$38="pvp",15,MAX(0.1,Skills!D12-IF(Skills!E12=TRUE,Inputs!$B$32,0))))))/Skills!G12,1)))/Inputs!$B$43),G1042*Q1042))*IF(Inputs!$B$38="pvp",1,(1+(Inputs!$B$21+Skills!P12+B1058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Skills!A13</f>
        <v/>
      </c>
      <c r="B1043">
        <f>Skills!B13</f>
        <v/>
      </c>
      <c r="C1043">
        <f>Inputs!$B$3&gt;=49</f>
        <v/>
      </c>
      <c r="D1043">
        <f>IF(Skills!C13=1,60+Inputs!$B$25+Inputs!$B$29,IF(Skills!C13=2,90+Inputs!$B$26+Inputs!$B$29,IF(Skills!C13=3,120+Inputs!$B$27+Inputs!$B$29,MAX(0,(Inputs!$B$3-100)*3)+Inputs!$B$28+Inputs!$B$29)))</f>
        <v/>
      </c>
      <c r="E1043">
        <f>INDEX(FactorTable!$B$2:$Y$301, MATCH(ROUND(MIN(300,MAX(1,D1043)),0), FactorTable!$A$2:$A$301,0), Skills!L13+1)</f>
        <v/>
      </c>
      <c r="F1043">
        <f>IF(Skills!M13=TRUE,(Skills!K13/10)*(E1043/1000),Skills!K13/10)+Skills!N13</f>
        <v/>
      </c>
      <c r="G1043">
        <f>Calc!G13</f>
        <v/>
      </c>
      <c r="H1043">
        <f>Calc!H13</f>
        <v/>
      </c>
      <c r="I1043">
        <f>IF(Skills!T13&lt;&gt;"",1+(Skills!T13/10)*(Z1033/1000)/100,1)</f>
        <v/>
      </c>
      <c r="J1043" t="inlineStr"/>
      <c r="K1043" t="inlineStr"/>
      <c r="L1043" t="inlineStr"/>
      <c r="M1043" t="inlineStr"/>
      <c r="N1043" t="inlineStr"/>
      <c r="O1043">
        <f>(1-Summary!$B$11)*S1043+Summary!$B$11*U1043</f>
        <v/>
      </c>
      <c r="P1043">
        <f>IF(B1067=0,0,O1043/B1067)</f>
        <v/>
      </c>
      <c r="Q1043">
        <f>IFERROR(1/IF(Inputs!$B$38="pvp",15,MAX(0.1,Skills!D13-IF(Skills!E13=TRUE,Inputs!$B$32,0))),0)</f>
        <v/>
      </c>
      <c r="R1043" t="n">
        <v>0</v>
      </c>
      <c r="S1043" t="n">
        <v>0</v>
      </c>
      <c r="U1043" t="n">
        <v>0</v>
      </c>
    </row>
    <row r="1044">
      <c r="A1044">
        <f>Skills!A14</f>
        <v/>
      </c>
      <c r="B1044">
        <f>Skills!B14</f>
        <v/>
      </c>
      <c r="C1044">
        <f>Inputs!$B$3&gt;=72</f>
        <v/>
      </c>
      <c r="D1044">
        <f>IF(Skills!C14=1,60+Inputs!$B$25+Inputs!$B$29,IF(Skills!C14=2,90+Inputs!$B$26+Inputs!$B$29,IF(Skills!C14=3,120+Inputs!$B$27+Inputs!$B$29,MAX(0,(Inputs!$B$3-100)*3)+Inputs!$B$28+Inputs!$B$29)))</f>
        <v/>
      </c>
      <c r="E1044">
        <f>INDEX(FactorTable!$B$2:$Y$301, MATCH(ROUND(MIN(300,MAX(1,D1044)),0), FactorTable!$A$2:$A$301,0), Skills!L14+1)</f>
        <v/>
      </c>
      <c r="F1044">
        <f>IF(Skills!M14=TRUE,(Skills!K14/10)*(E1044/1000),Skills!K14/10)+Skills!N14</f>
        <v/>
      </c>
      <c r="G1044">
        <f>Calc!G14</f>
        <v/>
      </c>
      <c r="H1044">
        <f>Calc!H14</f>
        <v/>
      </c>
      <c r="I1044">
        <f>IF(Skills!T14&lt;&gt;"",1+(Skills!T14/10)*(Z1033/1000)/100,1)</f>
        <v/>
      </c>
      <c r="J1044" t="inlineStr"/>
      <c r="K1044" t="inlineStr"/>
      <c r="L1044" t="inlineStr"/>
      <c r="M1044" t="inlineStr"/>
      <c r="N1044" t="inlineStr"/>
      <c r="O1044">
        <f>(1-Summary!$B$11)*S1044+Summary!$B$11*U1044</f>
        <v/>
      </c>
      <c r="P1044">
        <f>IF(B1067=0,0,O1044/B1067)</f>
        <v/>
      </c>
      <c r="Q1044">
        <f>IFERROR(1/IF(Inputs!$B$38="pvp",15,MAX(0.1,Skills!D14-IF(Skills!E14=TRUE,Inputs!$B$32,0))),0)</f>
        <v/>
      </c>
      <c r="R1044" t="n">
        <v>0</v>
      </c>
      <c r="S1044" t="n">
        <v>0</v>
      </c>
      <c r="U1044" t="n">
        <v>0</v>
      </c>
    </row>
    <row r="1045">
      <c r="A1045">
        <f>Skills!A15</f>
        <v/>
      </c>
      <c r="B1045">
        <f>Skills!B15</f>
        <v/>
      </c>
      <c r="C1045">
        <f>Inputs!$B$3&gt;=75</f>
        <v/>
      </c>
      <c r="D1045">
        <f>IF(Skills!C15=1,60+Inputs!$B$25+Inputs!$B$29,IF(Skills!C15=2,90+Inputs!$B$26+Inputs!$B$29,IF(Skills!C15=3,120+Inputs!$B$27+Inputs!$B$29,MAX(0,(Inputs!$B$3-100)*3)+Inputs!$B$28+Inputs!$B$29)))</f>
        <v/>
      </c>
      <c r="E1045">
        <f>INDEX(FactorTable!$B$2:$Y$301, MATCH(ROUND(MIN(300,MAX(1,D1045)),0), FactorTable!$A$2:$A$301,0), Skills!L15+1)</f>
        <v/>
      </c>
      <c r="F1045">
        <f>IF(Skills!M15=TRUE,(Skills!K15/10)*(E1045/1000),Skills!K15/10)+Skills!N15</f>
        <v/>
      </c>
      <c r="G1045">
        <f>Calc!G15</f>
        <v/>
      </c>
      <c r="H1045">
        <f>Calc!H15</f>
        <v/>
      </c>
      <c r="I1045">
        <f>IF(Skills!T15&lt;&gt;"",1+(Skills!T15/10)*(Z1033/1000)/100,1)</f>
        <v/>
      </c>
      <c r="J1045" t="inlineStr"/>
      <c r="K1045" t="inlineStr"/>
      <c r="L1045" t="inlineStr"/>
      <c r="M1045" t="inlineStr"/>
      <c r="N1045" t="inlineStr"/>
      <c r="O1045">
        <f>(1-Summary!$B$11)*S1045+Summary!$B$11*U1045</f>
        <v/>
      </c>
      <c r="P1045">
        <f>IF(B1067=0,0,O1045/B1067)</f>
        <v/>
      </c>
      <c r="Q1045">
        <f>IFERROR(1/IF(Inputs!$B$38="pvp",15,MAX(0.1,Skills!D15-IF(Skills!E15=TRUE,Inputs!$B$32,0))),0)</f>
        <v/>
      </c>
      <c r="R1045" t="n">
        <v>0</v>
      </c>
      <c r="S1045" t="n">
        <v>0</v>
      </c>
      <c r="U1045" t="n">
        <v>0</v>
      </c>
    </row>
    <row r="1046">
      <c r="A1046">
        <f>Skills!A16</f>
        <v/>
      </c>
      <c r="B1046">
        <f>Skills!B16</f>
        <v/>
      </c>
      <c r="C1046">
        <f>Inputs!$B$3&gt;=110</f>
        <v/>
      </c>
      <c r="D1046">
        <f>IF(Skills!C16=1,60+Inputs!$B$25+Inputs!$B$29,IF(Skills!C16=2,90+Inputs!$B$26+Inputs!$B$29,IF(Skills!C16=3,120+Inputs!$B$27+Inputs!$B$29,MAX(0,(Inputs!$B$3-100)*3)+Inputs!$B$28+Inputs!$B$29)))</f>
        <v/>
      </c>
      <c r="E1046">
        <f>INDEX(FactorTable!$B$2:$Y$301, MATCH(ROUND(MIN(300,MAX(1,D1046)),0), FactorTable!$A$2:$A$301,0), Skills!L16+1)</f>
        <v/>
      </c>
      <c r="F1046">
        <f>(Skills!K16/10)*(E1046/1000)*64/45+Skills!N16</f>
        <v/>
      </c>
      <c r="G1046">
        <f>Calc!G16</f>
        <v/>
      </c>
      <c r="H1046">
        <f>Calc!H16</f>
        <v/>
      </c>
      <c r="I1046">
        <f>IF(Skills!T16&lt;&gt;"",1+(Skills!T16/10)*(Z1033/1000)/100,1)</f>
        <v/>
      </c>
      <c r="J1046" t="inlineStr"/>
      <c r="K1046" t="inlineStr"/>
      <c r="L1046" t="inlineStr"/>
      <c r="M1046" t="inlineStr"/>
      <c r="N1046" t="inlineStr"/>
      <c r="O1046">
        <f>(1-Summary!$B$11)*S1046+Summary!$B$11*U1046</f>
        <v/>
      </c>
      <c r="P1046">
        <f>IF(B1067=0,0,O1046/B1067)</f>
        <v/>
      </c>
      <c r="Q1046">
        <f>IFERROR(1/IF(Inputs!$B$38="pvp",15,MAX(0.1,Skills!D16-IF(Skills!E16=TRUE,Inputs!$B$32,0))),0)</f>
        <v/>
      </c>
      <c r="R1046">
        <f>IF(AND(Inputs!$B$38&lt;&gt;"pvp",Inputs!$B$43&gt;0),IF(Inputs!$B$43&lt;=0,0,(INT(Inputs!$B$43/IF(Inputs!$B$38="pvp",15,MAX(0.1,Skills!D16-IF(Skills!E16=TRUE,Inputs!$B$32,0))))+1)),0)</f>
        <v/>
      </c>
      <c r="S1046" t="n">
        <v>0</v>
      </c>
      <c r="U1046" t="n">
        <v>0</v>
      </c>
    </row>
    <row r="1047">
      <c r="A1047">
        <f>Skills!A17</f>
        <v/>
      </c>
      <c r="B1047">
        <f>Skills!B17</f>
        <v/>
      </c>
      <c r="C1047">
        <f>Inputs!$B$3&gt;=33</f>
        <v/>
      </c>
      <c r="D1047">
        <f>IF(Skills!C17=1,60+Inputs!$B$25+Inputs!$B$29,IF(Skills!C17=2,90+Inputs!$B$26+Inputs!$B$29,IF(Skills!C17=3,120+Inputs!$B$27+Inputs!$B$29,MAX(0,(Inputs!$B$3-100)*3)+Inputs!$B$28+Inputs!$B$29)))</f>
        <v/>
      </c>
      <c r="E1047">
        <f>INDEX(FactorTable!$B$2:$Y$301, MATCH(ROUND(MIN(300,MAX(1,D1047)),0), FactorTable!$A$2:$A$301,0), Skills!L17+1)</f>
        <v/>
      </c>
      <c r="F1047">
        <f>IF(Skills!M17=TRUE,(Skills!K17/10)*(E1047/1000),Skills!K17/10)+Skills!N17</f>
        <v/>
      </c>
      <c r="G1047">
        <f>Calc!G17</f>
        <v/>
      </c>
      <c r="H1047">
        <f>Calc!H17</f>
        <v/>
      </c>
      <c r="I1047">
        <f>IF(Skills!T17&lt;&gt;"",1+(Skills!T17/10)*(Z1033/1000)/100,1)</f>
        <v/>
      </c>
      <c r="J1047" t="inlineStr"/>
      <c r="K1047" t="inlineStr"/>
      <c r="L1047" t="inlineStr"/>
      <c r="M1047" t="inlineStr"/>
      <c r="N1047" t="inlineStr"/>
      <c r="O1047">
        <f>(1-Summary!$B$11)*S1047+Summary!$B$11*U1047</f>
        <v/>
      </c>
      <c r="P1047">
        <f>IF(B1067=0,0,O1047/B1067)</f>
        <v/>
      </c>
      <c r="Q1047">
        <f>IFERROR(1/IF(Inputs!$B$38="pvp",15,MAX(0.1,Skills!D17-IF(Skills!E17=TRUE,Inputs!$B$32,0))),0)</f>
        <v/>
      </c>
      <c r="R1047" t="n">
        <v>0</v>
      </c>
      <c r="S1047" t="n">
        <v>0</v>
      </c>
      <c r="U1047" t="n">
        <v>0</v>
      </c>
    </row>
    <row r="1048">
      <c r="A1048">
        <f>Skills!A18</f>
        <v/>
      </c>
      <c r="B1048">
        <f>Skills!B18</f>
        <v/>
      </c>
      <c r="C1048">
        <f>Inputs!$B$3&gt;=43</f>
        <v/>
      </c>
      <c r="D1048">
        <f>IF(Skills!C18=1,60+Inputs!$B$25+Inputs!$B$29,IF(Skills!C18=2,90+Inputs!$B$26+Inputs!$B$29,IF(Skills!C18=3,120+Inputs!$B$27+Inputs!$B$29,MAX(0,(Inputs!$B$3-100)*3)+Inputs!$B$28+Inputs!$B$29)))</f>
        <v/>
      </c>
      <c r="E1048">
        <f>INDEX(FactorTable!$B$2:$Y$301, MATCH(ROUND(MIN(300,MAX(1,D1048)),0), FactorTable!$A$2:$A$301,0), Skills!L18+1)</f>
        <v/>
      </c>
      <c r="F1048">
        <f>IF(Skills!M18=TRUE,(Skills!K18/10)*(E1048/1000),Skills!K18/10)+Skills!N18</f>
        <v/>
      </c>
      <c r="G1048">
        <f>Calc!G18</f>
        <v/>
      </c>
      <c r="H1048">
        <f>Calc!H18</f>
        <v/>
      </c>
      <c r="I1048">
        <f>IF(Skills!T18&lt;&gt;"",1+(Skills!T18/10)*(Z1033/1000)/100,1)</f>
        <v/>
      </c>
      <c r="J1048" t="inlineStr"/>
      <c r="K1048" t="inlineStr"/>
      <c r="L1048" t="inlineStr"/>
      <c r="M1048" t="inlineStr"/>
      <c r="N1048" t="inlineStr"/>
      <c r="O1048">
        <f>(1-Summary!$B$11)*S1048+Summary!$B$11*U1048</f>
        <v/>
      </c>
      <c r="P1048">
        <f>IF(B1067=0,0,O1048/B1067)</f>
        <v/>
      </c>
      <c r="Q1048">
        <f>IFERROR(1/IF(Inputs!$B$38="pvp",15,MAX(0.1,Skills!D18-IF(Skills!E18=TRUE,Inputs!$B$32,0))),0)</f>
        <v/>
      </c>
      <c r="R1048" t="n">
        <v>0</v>
      </c>
      <c r="S1048" t="n">
        <v>0</v>
      </c>
      <c r="U1048" t="n">
        <v>0</v>
      </c>
    </row>
    <row r="1049">
      <c r="A1049">
        <f>Skills!A19</f>
        <v/>
      </c>
      <c r="B1049">
        <f>Skills!B19</f>
        <v/>
      </c>
      <c r="C1049">
        <f>Inputs!$B$3&gt;=50</f>
        <v/>
      </c>
      <c r="D1049">
        <f>IF(Skills!C19=1,60+Inputs!$B$25+Inputs!$B$29,IF(Skills!C19=2,90+Inputs!$B$26+Inputs!$B$29,IF(Skills!C19=3,120+Inputs!$B$27+Inputs!$B$29,MAX(0,(Inputs!$B$3-100)*3)+Inputs!$B$28+Inputs!$B$29)))</f>
        <v/>
      </c>
      <c r="E1049">
        <f>INDEX(FactorTable!$B$2:$Y$301, MATCH(ROUND(MIN(300,MAX(1,D1049)),0), FactorTable!$A$2:$A$301,0), Skills!L19+1)</f>
        <v/>
      </c>
      <c r="F1049">
        <f>IF(Skills!M19=TRUE,(Skills!K19/10)*(E1049/1000),Skills!K19/10)+Skills!N19</f>
        <v/>
      </c>
      <c r="G1049">
        <f>Calc!G19</f>
        <v/>
      </c>
      <c r="H1049">
        <f>Calc!H19</f>
        <v/>
      </c>
      <c r="I1049">
        <f>IF(Skills!T19&lt;&gt;"",1+(Skills!T19/10)*(Z1033/1000)/100,1)</f>
        <v/>
      </c>
      <c r="J1049" t="inlineStr"/>
      <c r="K1049" t="inlineStr"/>
      <c r="L1049" t="inlineStr"/>
      <c r="M1049" t="inlineStr"/>
      <c r="N1049" t="inlineStr"/>
      <c r="O1049">
        <f>(1-Summary!$B$11)*S1049+Summary!$B$11*U1049</f>
        <v/>
      </c>
      <c r="P1049">
        <f>IF(B1067=0,0,O1049/B1067)</f>
        <v/>
      </c>
      <c r="Q1049">
        <f>IFERROR(1/IF(Inputs!$B$38="pvp",15,MAX(0.1,Skills!D19-IF(Skills!E19=TRUE,Inputs!$B$32,0))),0)</f>
        <v/>
      </c>
      <c r="R1049" t="n">
        <v>0</v>
      </c>
      <c r="S1049" t="n">
        <v>0</v>
      </c>
      <c r="U1049" t="n">
        <v>0</v>
      </c>
    </row>
    <row r="1050">
      <c r="A1050">
        <f>Skills!A20</f>
        <v/>
      </c>
      <c r="B1050">
        <f>Skills!B20</f>
        <v/>
      </c>
      <c r="C1050">
        <f>Inputs!$B$3&gt;=74</f>
        <v/>
      </c>
      <c r="D1050">
        <f>IF(Skills!C20=1,60+Inputs!$B$25+Inputs!$B$29,IF(Skills!C20=2,90+Inputs!$B$26+Inputs!$B$29,IF(Skills!C20=3,120+Inputs!$B$27+Inputs!$B$29,MAX(0,(Inputs!$B$3-100)*3)+Inputs!$B$28+Inputs!$B$29)))</f>
        <v/>
      </c>
      <c r="E1050">
        <f>INDEX(FactorTable!$B$2:$Y$301, MATCH(ROUND(MIN(300,MAX(1,D1050)),0), FactorTable!$A$2:$A$301,0), Skills!L20+1)</f>
        <v/>
      </c>
      <c r="F1050">
        <f>IF(Skills!M20=TRUE,(Skills!K20/10)*(E1050/1000),Skills!K20/10)+Skills!N20</f>
        <v/>
      </c>
      <c r="G1050">
        <f>Calc!G20</f>
        <v/>
      </c>
      <c r="H1050">
        <f>Calc!H20</f>
        <v/>
      </c>
      <c r="I1050">
        <f>IF(Skills!T20&lt;&gt;"",1+(Skills!T20/10)*(Z1033/1000)/100,1)</f>
        <v/>
      </c>
      <c r="J1050" t="inlineStr"/>
      <c r="K1050" t="inlineStr"/>
      <c r="L1050" t="inlineStr"/>
      <c r="M1050" t="inlineStr"/>
      <c r="N1050" t="inlineStr"/>
      <c r="O1050">
        <f>(1-Summary!$B$11)*S1050+Summary!$B$11*U1050</f>
        <v/>
      </c>
      <c r="P1050">
        <f>IF(B1067=0,0,O1050/B1067)</f>
        <v/>
      </c>
      <c r="Q1050">
        <f>IFERROR(1/IF(Inputs!$B$38="pvp",15,MAX(0.1,Skills!D20-IF(Skills!E20=TRUE,Inputs!$B$32,0))),0)</f>
        <v/>
      </c>
      <c r="R1050" t="n">
        <v>0</v>
      </c>
      <c r="S1050" t="n">
        <v>0</v>
      </c>
      <c r="U1050" t="n">
        <v>0</v>
      </c>
    </row>
    <row r="1051">
      <c r="A1051">
        <f>Skills!A21</f>
        <v/>
      </c>
      <c r="B1051">
        <f>Skills!B21</f>
        <v/>
      </c>
      <c r="C1051">
        <f>Inputs!$B$3&gt;=74</f>
        <v/>
      </c>
      <c r="D1051">
        <f>IF(Skills!C21=1,60+Inputs!$B$25+Inputs!$B$29,IF(Skills!C21=2,90+Inputs!$B$26+Inputs!$B$29,IF(Skills!C21=3,120+Inputs!$B$27+Inputs!$B$29,MAX(0,(Inputs!$B$3-100)*3)+Inputs!$B$28+Inputs!$B$29)))</f>
        <v/>
      </c>
      <c r="E1051">
        <f>INDEX(FactorTable!$B$2:$Y$301, MATCH(ROUND(MIN(300,MAX(1,D1051)),0), FactorTable!$A$2:$A$301,0), Skills!L21+1)</f>
        <v/>
      </c>
      <c r="F1051">
        <f>IF(Skills!M21=TRUE,(Skills!K21/10)*(E1051/1000),Skills!K21/10)+Skills!N21</f>
        <v/>
      </c>
      <c r="G1051">
        <f>Calc!G21</f>
        <v/>
      </c>
      <c r="H1051">
        <f>Calc!H21</f>
        <v/>
      </c>
      <c r="I1051">
        <f>IF(Skills!T21&lt;&gt;"",1+(Skills!T21/10)*(Z1033/1000)/100,1)</f>
        <v/>
      </c>
      <c r="J1051" t="inlineStr"/>
      <c r="K1051" t="inlineStr"/>
      <c r="L1051" t="inlineStr"/>
      <c r="M1051" t="inlineStr"/>
      <c r="N1051" t="inlineStr"/>
      <c r="O1051">
        <f>(1-Summary!$B$11)*S1051+Summary!$B$11*U1051</f>
        <v/>
      </c>
      <c r="P1051">
        <f>IF(B1067=0,0,O1051/B1067)</f>
        <v/>
      </c>
      <c r="Q1051">
        <f>IFERROR(1/IF(Inputs!$B$38="pvp",15,MAX(0.1,Skills!D21-IF(Skills!E21=TRUE,Inputs!$B$32,0))),0)</f>
        <v/>
      </c>
      <c r="R1051" t="n">
        <v>0</v>
      </c>
      <c r="S1051" t="n">
        <v>0</v>
      </c>
      <c r="U1051" t="n">
        <v>0</v>
      </c>
    </row>
    <row r="1052">
      <c r="A1052">
        <f>Skills!A22</f>
        <v/>
      </c>
      <c r="B1052">
        <f>Skills!B22</f>
        <v/>
      </c>
      <c r="C1052">
        <f>Inputs!$B$3&gt;=117</f>
        <v/>
      </c>
      <c r="D1052">
        <f>IF(Skills!C22=1,60+Inputs!$B$25+Inputs!$B$29,IF(Skills!C22=2,90+Inputs!$B$26+Inputs!$B$29,IF(Skills!C22=3,120+Inputs!$B$27+Inputs!$B$29,MAX(0,(Inputs!$B$3-100)*3)+Inputs!$B$28+Inputs!$B$29)))</f>
        <v/>
      </c>
      <c r="E1052">
        <f>INDEX(FactorTable!$B$2:$Y$301, MATCH(ROUND(MIN(300,MAX(1,D1052)),0), FactorTable!$A$2:$A$301,0), Skills!L22+1)</f>
        <v/>
      </c>
      <c r="F1052">
        <f>IF(Skills!M22=TRUE,(Skills!K22/10)*(E1052/1000),Skills!K22/10)+Skills!N22</f>
        <v/>
      </c>
      <c r="G1052">
        <f>Calc!G22</f>
        <v/>
      </c>
      <c r="H1052">
        <f>Calc!H22</f>
        <v/>
      </c>
      <c r="I1052">
        <f>IF(Skills!T22&lt;&gt;"",1+(Skills!T22/10)*(Z1033/1000)/100,1)</f>
        <v/>
      </c>
      <c r="J1052" t="inlineStr"/>
      <c r="K1052" t="inlineStr"/>
      <c r="L1052" t="inlineStr"/>
      <c r="M1052" t="inlineStr"/>
      <c r="N1052" t="inlineStr"/>
      <c r="O1052">
        <f>(1-Summary!$B$11)*S1052+Summary!$B$11*U1052</f>
        <v/>
      </c>
      <c r="P1052">
        <f>IF(B1067=0,0,O1052/B1067)</f>
        <v/>
      </c>
      <c r="Q1052">
        <f>IFERROR(1/IF(Inputs!$B$38="pvp",15,MAX(0.1,Skills!D22-IF(Skills!E22=TRUE,Inputs!$B$32,0))),0)</f>
        <v/>
      </c>
      <c r="R1052" t="n">
        <v>0</v>
      </c>
      <c r="S1052" t="n">
        <v>0</v>
      </c>
      <c r="U1052" t="n">
        <v>0</v>
      </c>
    </row>
    <row r="1053">
      <c r="A1053">
        <f>Skills!A23</f>
        <v/>
      </c>
      <c r="B1053">
        <f>Skills!B23</f>
        <v/>
      </c>
      <c r="C1053">
        <f>Inputs!$B$3&gt;=120</f>
        <v/>
      </c>
      <c r="D1053">
        <f>IF(Skills!C23=1,60+Inputs!$B$25+Inputs!$B$29,IF(Skills!C23=2,90+Inputs!$B$26+Inputs!$B$29,IF(Skills!C23=3,120+Inputs!$B$27+Inputs!$B$29,MAX(0,(Inputs!$B$3-100)*3)+Inputs!$B$28+Inputs!$B$29)))</f>
        <v/>
      </c>
      <c r="E1053">
        <f>INDEX(FactorTable!$B$2:$Y$301, MATCH(ROUND(MIN(300,MAX(1,D1053)),0), FactorTable!$A$2:$A$301,0), Skills!L23+1)</f>
        <v/>
      </c>
      <c r="F1053">
        <f>IF(Skills!M23=TRUE,(Skills!K23/10)*(E1053/1000),Skills!K23/10)+Skills!N23</f>
        <v/>
      </c>
      <c r="G1053">
        <f>Calc!G23</f>
        <v/>
      </c>
      <c r="H1053">
        <f>Calc!H23</f>
        <v/>
      </c>
      <c r="I1053">
        <f>IF(Skills!T23&lt;&gt;"",1+(Skills!T23/10)*(Z1033/1000)/100,1)</f>
        <v/>
      </c>
      <c r="J1053" t="inlineStr"/>
      <c r="K1053" t="inlineStr"/>
      <c r="L1053" t="inlineStr"/>
      <c r="M1053" t="inlineStr"/>
      <c r="N1053" t="inlineStr"/>
      <c r="O1053">
        <f>(1-Summary!$B$11)*S1053+Summary!$B$11*U1053</f>
        <v/>
      </c>
      <c r="P1053">
        <f>IF(B1067=0,0,O1053/B1067)</f>
        <v/>
      </c>
      <c r="Q1053">
        <f>IFERROR(1/IF(Inputs!$B$38="pvp",15,MAX(0.1,Skills!D23-IF(Skills!E23=TRUE,Inputs!$B$32,0))),0)</f>
        <v/>
      </c>
      <c r="R1053" t="n">
        <v>0</v>
      </c>
      <c r="S1053" t="n">
        <v>0</v>
      </c>
      <c r="U1053" t="n">
        <v>0</v>
      </c>
    </row>
    <row r="1054">
      <c r="A1054">
        <f>Skills!A24</f>
        <v/>
      </c>
      <c r="B1054">
        <f>Skills!B24</f>
        <v/>
      </c>
      <c r="C1054">
        <f>TRUE</f>
        <v/>
      </c>
      <c r="D1054">
        <f>IF(Skills!C24=1,60+Inputs!$B$25+Inputs!$B$29,IF(Skills!C24=2,90+Inputs!$B$26+Inputs!$B$29,IF(Skills!C24=3,120+Inputs!$B$27+Inputs!$B$29,MAX(0,(Inputs!$B$3-100)*3)+Inputs!$B$28+Inputs!$B$29)))</f>
        <v/>
      </c>
      <c r="E1054">
        <f>INDEX(FactorTable!$B$2:$Y$301, MATCH(ROUND(MIN(300,MAX(1,D1054)),0), FactorTable!$A$2:$A$301,0), Skills!L24+1)</f>
        <v/>
      </c>
      <c r="F1054">
        <f>IF(Skills!M24=TRUE,(Skills!K24/10)*(E1054/1000),Skills!K24/10)+Skills!N24</f>
        <v/>
      </c>
      <c r="G1054">
        <f>Calc!G24</f>
        <v/>
      </c>
      <c r="H1054">
        <f>Calc!H24</f>
        <v/>
      </c>
      <c r="I1054">
        <f>IF(Skills!T24&lt;&gt;"",1+(Skills!T24/10)*(Z1033/1000)/100,1)</f>
        <v/>
      </c>
      <c r="J1054" t="inlineStr"/>
      <c r="K1054" t="inlineStr"/>
      <c r="L1054" t="inlineStr"/>
      <c r="M1054" t="inlineStr"/>
      <c r="N1054" t="inlineStr"/>
      <c r="O1054">
        <f>(1-Summary!$B$11)*S1054+Summary!$B$11*U1054</f>
        <v/>
      </c>
      <c r="P1054">
        <f>IF(B1067=0,0,O1054/B1067)</f>
        <v/>
      </c>
      <c r="Q1054">
        <f>IFERROR(1/IF(Inputs!$B$38="pvp",15,MAX(0.1,Skills!D24-IF(Skills!E24=TRUE,Inputs!$B$32,0))),0)</f>
        <v/>
      </c>
      <c r="R1054">
        <f>IF(AND(Inputs!$B$38&lt;&gt;"pvp",Inputs!$B$43&gt;0),IF(Inputs!$B$43&lt;=0,0,(INT(Inputs!$B$43/IF(Inputs!$B$38="pvp",15,MAX(0.1,Skills!D24-IF(Skills!E24=TRUE,Inputs!$B$32,0))))+1)),0)</f>
        <v/>
      </c>
      <c r="S1054" t="n">
        <v>0</v>
      </c>
      <c r="U1054" t="n">
        <v>0</v>
      </c>
    </row>
    <row r="1057">
      <c r="A1057" t="inlineStr">
        <is>
          <t>Average Buff Multiplier (Magic Guard + Meditation + Artifact Attack%, summed; then Infinity)</t>
        </is>
      </c>
      <c r="B1057">
        <f>(1+(IF(C1033=TRUE,F1033*IF(AND(Inputs!$B$38&lt;&gt;"pvp",Inputs!$B$43&gt;0),(((R1033-1)*(Skills!S3*(1+((Inputs!$B$34+1))/100))+MIN((Skills!S3*(1+((Inputs!$B$34+1))/100)),MAX(0,Inputs!$B$43-((R1033-1)*Skills!D3))))/Inputs!$B$43),IF(Inputs!$B$38="pvp",MIN((Skills!S3*(1+((Inputs!$B$34+1))/100)),15)/15,(Skills!S3*(1+((Inputs!$B$34+1))/100))/Skills!D3)),0)+IF(C1034=TRUE,F1034*IF(AND(Inputs!$B$38&lt;&gt;"pvp",Inputs!$B$43&gt;0),(((R1034-1)*(Skills!S4*(1+((Inputs!$B$34+1))/100))+MIN((Skills!S4*(1+((Inputs!$B$34+1))/100)),MAX(0,Inputs!$B$43-((R1034-1)*Skills!D4))))/Inputs!$B$43),IF(Inputs!$B$38="pvp",MIN((Skills!S4*(1+((Inputs!$B$34+1))/100)),15)/15,(Skills!S4*(1+((Inputs!$B$34+1))/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1046=TRUE,(1+F1046*IF(AND(Inputs!$B$38&lt;&gt;"pvp",Inputs!$B$43&gt;0),(((R1046-1)*(Skills!S16*(1+((Inputs!$B$34+1))/100))+MIN((Skills!S16*(1+((Inputs!$B$34+1))/100)),MAX(0,Inputs!$B$43-((R1046-1)*Skills!D16))))/Inputs!$B$43),IF(Inputs!$B$38="pvp",MIN((Skills!S16*(1+((Inputs!$B$34+1))/100)),15)/15,(Skills!S16*(1+((Inputs!$B$34+1))/100))/Skills!D16))/100),1)</f>
        <v/>
      </c>
    </row>
    <row r="1058">
      <c r="A1058" t="inlineStr">
        <is>
          <t>Monster Damage Taken Bonus % (Freezing Breath - Weaken + Elemental Reset + Artifact Enemy Damage Taken, summed)</t>
        </is>
      </c>
      <c r="B1058">
        <f>IF(Inputs!$B$3&gt;=118,15*IF(Inputs!$B$38="pvp",MIN((30*(1+((Inputs!$B$34+1))/100)),15)/15,(30*(1+((Inputs!$B$34+1))/100))/Skills!D8),0)+IF(C1044=TRUE,F1044,0)+(IF(AND(ArtifactsInput!$M$35,Inputs!$B$4&lt;&gt;"Chapter Hunt"),CHOOSE(ArtifactsInput!$N$35+1,15,18,21,24,27,30)*(1-EXP(-(0.2*B1061)*5)),0)+IF(AND(ArtifactsInput!$M$22,Inputs!$B$4&lt;&gt;"Chapter Hunt"),CHOOSE(ArtifactsInput!$N$22+1,10,12,14,16,18,20)*((0*(((0.15*B1061*5))^0/1)+1*(((0.15*B1061*5))^1/1)+2*(((0.15*B1061*5))^2/2)+3*(((0.15*B1061*5))^3/6)+4*(((0.15*B1061*5))^4/24)+5*(((0.15*B1061*5))^5/120))/((((0.15*B1061*5))^0/1)+(((0.15*B1061*5))^1/1)+(((0.15*B1061*5))^2/2)+(((0.15*B1061*5))^3/6)+(((0.15*B1061*5))^4/24)+(((0.15*B1061*5))^5/120))),0))</f>
        <v/>
      </c>
    </row>
    <row r="1059">
      <c r="A1059" t="inlineStr">
        <is>
          <t>Damage % Bonus (Frozen Break + Frost Clutch, flat)</t>
        </is>
      </c>
      <c r="B1059">
        <f>IF(Inputs!$B$3&gt;=66,15,0)+IF(Inputs!$B$3&gt;=98,10,0)+IF(Inputs!$B$3&gt;=125,20,0)</f>
        <v/>
      </c>
    </row>
    <row r="1060">
      <c r="A1060" t="inlineStr">
        <is>
          <t>Attack Speed Bonus % (MP Eater - MP Boost, always-on + Nimble Feet, duty-cycle averaged)</t>
        </is>
      </c>
      <c r="B1060">
        <f>IF(C1043=TRUE,F1043+(F1047-Calc!F17),0)+((C1054=TRUE)*F1054*IF(AND(Inputs!$B$38&lt;&gt;"pvp",Inputs!$B$43&gt;0),(((R1054-1)*(Skills!S24*(1+((Inputs!$B$34+1))/100))+MIN((Skills!S24*(1+((Inputs!$B$34+1))/100)),MAX(0,Inputs!$B$43-((R1054-1)*Skills!D24))))/Inputs!$B$43),IF(Inputs!$B$38="pvp",MIN((Skills!S24*(1+((Inputs!$B$34+1))/100)),15)/15,(Skills!S24*(1+((Inputs!$B$34+1))/100))/Skills!D24)))</f>
        <v/>
      </c>
    </row>
    <row r="1061">
      <c r="A1061" t="inlineStr">
        <is>
          <t>Actions Per Second</t>
        </is>
      </c>
      <c r="B1061">
        <f>1+MIN(150,150*(1-(1-(Inputs!$B$11+(ArtifactsInput!$M$15-ArtifactsInput!$M$15)*CHOOSE(ArtifactsInput!$N$15+1,8,9.6,11.2,12.8,14.4,16))/150)*(1-B1060/150)))/100</f>
        <v/>
      </c>
    </row>
    <row r="1062">
      <c r="A1062" t="inlineStr">
        <is>
          <t>Skill + Buff Cast Rate</t>
        </is>
      </c>
      <c r="B1062">
        <f>IF(AND(Inputs!$B$38&lt;&gt;"pvp",Inputs!$B$43&gt;0),SUMPRODUCT((Skills!E2:E24=TRUE)*(C1032:C1054=TRUE)*R1032:R1054)/Inputs!$B$43,SUMPRODUCT((Skills!E2:E24=TRUE)*(C1032:C1054=TRUE)*Q1032:Q1054))</f>
        <v/>
      </c>
    </row>
    <row r="1063">
      <c r="A1063" t="inlineStr">
        <is>
          <t>Chain Lightning Casts Per Second</t>
        </is>
      </c>
      <c r="B1063">
        <f>MAX(0,B1061-B1062)</f>
        <v/>
      </c>
    </row>
    <row r="1064">
      <c r="A1064" t="inlineStr">
        <is>
          <t>Buff-Casting Startup Delay (s, fixed-duration only)</t>
        </is>
      </c>
      <c r="B1064">
        <f>IF(AND(Inputs!$B$38&lt;&gt;"pvp",Inputs!$B$43&gt;0),SUMPRODUCT((Skills!S2:S24&gt;0)*(Skills!E2:E24=TRUE)*(C1032:C1054=TRUE))/B1061,0)</f>
        <v/>
      </c>
    </row>
    <row r="1065">
      <c r="A1065" t="inlineStr">
        <is>
          <t>Boss-Only Total DPS (this block's swept value)</t>
        </is>
      </c>
      <c r="B1065">
        <f>SUM(S1032:S1054)</f>
        <v/>
      </c>
    </row>
    <row r="1066">
      <c r="A1066" t="inlineStr">
        <is>
          <t>Normal-Only Total DPS (this block's swept value)</t>
        </is>
      </c>
      <c r="B1066">
        <f>SUM(U1032:U1054)</f>
        <v/>
      </c>
    </row>
    <row r="1067">
      <c r="A1067" s="6" t="inlineStr">
        <is>
          <t>TOTAL DPS</t>
        </is>
      </c>
      <c r="B1067" s="6">
        <f>SUM(O1032:O1054)</f>
        <v/>
      </c>
    </row>
    <row r="1070">
      <c r="A1070" s="6" t="inlineStr">
        <is>
          <t>Stat: Charm of the Undead (Equip)</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R1071" t="inlineStr">
        <is>
          <t>helpers</t>
        </is>
      </c>
    </row>
    <row r="1072">
      <c r="A1072">
        <f>Skills!A2</f>
        <v/>
      </c>
      <c r="B1072">
        <f>Skills!B2</f>
        <v/>
      </c>
      <c r="C1072">
        <f>Inputs!$B$3&gt;=100</f>
        <v/>
      </c>
      <c r="D1072" t="inlineStr"/>
      <c r="E1072" t="inlineStr"/>
      <c r="F1072">
        <f>T1074+Skills!N2</f>
        <v/>
      </c>
      <c r="G1072">
        <f>Calc!G2</f>
        <v/>
      </c>
      <c r="H1072">
        <f>Calc!H2</f>
        <v/>
      </c>
      <c r="I1072">
        <f>IF(Skills!T2&lt;&gt;"",1+(Skills!T2/10)*(Z1073/1000)/100,1)</f>
        <v/>
      </c>
      <c r="J1072">
        <f>((Inputs!$B$6*(1+Inputs!$B$7/100))+(((Inputs!$B$12*(1+Inputs!$B$13/100))-(Inputs!$B$12*(1+Inputs!$B$13/100)))+0.25*(Inputs!$B$14-Inputs!$B$14))*(1+Inputs!$B$7/100))*(F1072/100)</f>
        <v/>
      </c>
      <c r="K1072">
        <f>J1072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2="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F1088-Calc!F18),(Inputs!$B$23+(IF(ArtifactsInput!$M$15,CHOOSE(ArtifactsInput!$N$15+1,25,30,35,40,45,50)/100*(Inputs!$B$11-Inputs!$B$11),0))))/100+(Inputs!$B$23+(IF(ArtifactsInput!$M$15,CHOOSE(ArtifactsInput!$N$15+1,25,30,35,40,45,50)/100*(Inputs!$B$11-Inputs!$B$11),0)))/100)/2</f>
        <v/>
      </c>
      <c r="M1072">
        <f>L1072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(1-Summary!$B$11)*S1072+Summary!$B$11*U1072</f>
        <v/>
      </c>
      <c r="P1072">
        <f>IF(B1107=0,0,O1072/B1107)</f>
        <v/>
      </c>
      <c r="Q1072">
        <f>IFERROR(1/IF(Inputs!$B$38="pvp",15,MAX(0.1,Skills!D2-IF(Skills!E2=TRUE,Inputs!$B$32,0))),0)</f>
        <v/>
      </c>
      <c r="R1072" t="n">
        <v>0</v>
      </c>
      <c r="S1072">
        <f>IF(C1072,(Skills!F2*N1072*B1103)*IF(Inputs!$B$38="pvp",1,1+(Inputs!$B$20+Skills!O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1072*(1-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72">
        <f>MAX(0,(Inputs!$B$3-100)*3)+Inputs!$B$28+Inputs!$B$29</f>
        <v/>
      </c>
      <c r="U1072">
        <f>IF(C1072,(Skills!F2*N1072*B1103)*IF(Inputs!$B$38="pvp",1,(1+(Inputs!$B$21+Skills!P2+B1098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72">
        <f>MAX(0,(Inputs!$B$3-100)*3)+Inputs!$B$28+Inputs!$B$29</f>
        <v/>
      </c>
    </row>
    <row r="1073">
      <c r="A1073">
        <f>Skills!A3</f>
        <v/>
      </c>
      <c r="B1073">
        <f>Skills!B3</f>
        <v/>
      </c>
      <c r="C1073">
        <f>Inputs!$B$3&gt;=15</f>
        <v/>
      </c>
      <c r="D1073">
        <f>IF(Skills!C3=1,60+Inputs!$B$25+Inputs!$B$29,IF(Skills!C3=2,90+Inputs!$B$26+Inputs!$B$29,IF(Skills!C3=3,120+Inputs!$B$27+Inputs!$B$29,MAX(0,(Inputs!$B$3-100)*3)+Inputs!$B$28+Inputs!$B$29)))</f>
        <v/>
      </c>
      <c r="E1073">
        <f>INDEX(FactorTable!$B$2:$Y$301, MATCH(ROUND(MIN(300,MAX(1,D1073)),0), FactorTable!$A$2:$A$301,0), Skills!L3+1)</f>
        <v/>
      </c>
      <c r="F1073">
        <f>IF(Skills!M3=TRUE,(Skills!K3/10)*(E1073/1000),Skills!K3/10)+Skills!N3</f>
        <v/>
      </c>
      <c r="G1073">
        <f>Calc!G3</f>
        <v/>
      </c>
      <c r="H1073">
        <f>Calc!H3</f>
        <v/>
      </c>
      <c r="I1073">
        <f>IF(Skills!T3&lt;&gt;"",1+(Skills!T3/10)*(Z1073/1000)/100,1)</f>
        <v/>
      </c>
      <c r="J1073" t="inlineStr"/>
      <c r="K1073" t="inlineStr"/>
      <c r="L1073" t="inlineStr"/>
      <c r="M1073" t="inlineStr"/>
      <c r="N1073" t="inlineStr"/>
      <c r="O1073">
        <f>(1-Summary!$B$11)*S1073+Summary!$B$11*U1073</f>
        <v/>
      </c>
      <c r="P1073">
        <f>IF(B1107=0,0,O1073/B1107)</f>
        <v/>
      </c>
      <c r="Q1073">
        <f>IFERROR(1/IF(Inputs!$B$38="pvp",15,MAX(0.1,Skills!D3-IF(Skills!E3=TRUE,Inputs!$B$32,0))),0)</f>
        <v/>
      </c>
      <c r="R1073">
        <f>IF(AND(Inputs!$B$38&lt;&gt;"pvp",Inputs!$B$43&gt;0),IF(Inputs!$B$43&lt;=0,0,(INT(Inputs!$B$43/IF(Inputs!$B$38="pvp",15,MAX(0.1,Skills!D3-IF(Skills!E3=TRUE,Inputs!$B$32,0))))+1)),0)</f>
        <v/>
      </c>
      <c r="S1073" t="n">
        <v>0</v>
      </c>
      <c r="T1073">
        <f>INDEX(FactorTable!$B$2:$Y$301, MATCH(ROUND(MIN(300,MAX(1,T1072)),0), FactorTable!$A$2:$A$301,0), 22)</f>
        <v/>
      </c>
      <c r="U1073" t="n">
        <v>0</v>
      </c>
      <c r="Z1073">
        <f>INDEX(FactorTable!$B$2:$Y$301, MATCH(ROUND(MIN(300,MAX(1,Z1072)),0), FactorTable!$A$2:$A$301,0), 24)</f>
        <v/>
      </c>
    </row>
    <row r="1074">
      <c r="A1074">
        <f>Skills!A4</f>
        <v/>
      </c>
      <c r="B1074">
        <f>Skills!B4</f>
        <v/>
      </c>
      <c r="C1074">
        <f>Inputs!$B$3&gt;=40</f>
        <v/>
      </c>
      <c r="D1074">
        <f>IF(Skills!C4=1,60+Inputs!$B$25+Inputs!$B$29,IF(Skills!C4=2,90+Inputs!$B$26+Inputs!$B$29,IF(Skills!C4=3,120+Inputs!$B$27+Inputs!$B$29,MAX(0,(Inputs!$B$3-100)*3)+Inputs!$B$28+Inputs!$B$29)))</f>
        <v/>
      </c>
      <c r="E1074">
        <f>INDEX(FactorTable!$B$2:$Y$301, MATCH(ROUND(MIN(300,MAX(1,D1074)),0), FactorTable!$A$2:$A$301,0), Skills!L4+1)</f>
        <v/>
      </c>
      <c r="F1074">
        <f>IF(Skills!M4=TRUE,(Skills!K4/10)*(E1074/1000),Skills!K4/10)+Skills!N4</f>
        <v/>
      </c>
      <c r="G1074">
        <f>Calc!G4</f>
        <v/>
      </c>
      <c r="H1074">
        <f>Calc!H4</f>
        <v/>
      </c>
      <c r="I1074">
        <f>IF(Skills!T4&lt;&gt;"",1+(Skills!T4/10)*(Z1073/1000)/100,1)</f>
        <v/>
      </c>
      <c r="J1074" t="inlineStr"/>
      <c r="K1074" t="inlineStr"/>
      <c r="L1074" t="inlineStr"/>
      <c r="M1074" t="inlineStr"/>
      <c r="N1074" t="inlineStr"/>
      <c r="O1074">
        <f>(1-Summary!$B$11)*S1074+Summary!$B$11*U1074</f>
        <v/>
      </c>
      <c r="P1074">
        <f>IF(B1107=0,0,O1074/B1107)</f>
        <v/>
      </c>
      <c r="Q1074">
        <f>IFERROR(1/IF(Inputs!$B$38="pvp",15,MAX(0.1,Skills!D4-IF(Skills!E4=TRUE,Inputs!$B$32,0))),0)</f>
        <v/>
      </c>
      <c r="R1074">
        <f>IF(AND(Inputs!$B$38&lt;&gt;"pvp",Inputs!$B$43&gt;0),IF(Inputs!$B$43&lt;=0,0,(INT(Inputs!$B$43/IF(Inputs!$B$38="pvp",15,MAX(0.1,Skills!D4-IF(Skills!E4=TRUE,Inputs!$B$32,0))))+1)),0)</f>
        <v/>
      </c>
      <c r="S1074" t="n">
        <v>0</v>
      </c>
      <c r="T1074">
        <f>290*T1073/1000</f>
        <v/>
      </c>
      <c r="U1074" t="n">
        <v>0</v>
      </c>
    </row>
    <row r="1075">
      <c r="A1075">
        <f>Skills!A5</f>
        <v/>
      </c>
      <c r="B1075">
        <f>Skills!B5</f>
        <v/>
      </c>
      <c r="C1075">
        <f>Inputs!$B$3&gt;=38</f>
        <v/>
      </c>
      <c r="D1075">
        <f>IF(Skills!C5=1,60+Inputs!$B$25+Inputs!$B$29,IF(Skills!C5=2,90+Inputs!$B$26+Inputs!$B$29,IF(Skills!C5=3,120+Inputs!$B$27+Inputs!$B$29,MAX(0,(Inputs!$B$3-100)*3)+Inputs!$B$28+Inputs!$B$29)))</f>
        <v/>
      </c>
      <c r="E1075">
        <f>INDEX(FactorTable!$B$2:$Y$301, MATCH(ROUND(MIN(300,MAX(1,D1075)),0), FactorTable!$A$2:$A$301,0), Skills!L5+1)</f>
        <v/>
      </c>
      <c r="F1075">
        <f>IF(Skills!M5=TRUE,(Skills!K5/10)*(E1075/1000),Skills!K5/10)+Skills!N5</f>
        <v/>
      </c>
      <c r="G1075">
        <f>Calc!G5</f>
        <v/>
      </c>
      <c r="H1075">
        <f>Calc!H5</f>
        <v/>
      </c>
      <c r="I1075">
        <f>IF(Skills!T5&lt;&gt;"",1+(Skills!T5/10)*(Z1073/1000)/100,1)</f>
        <v/>
      </c>
      <c r="J1075">
        <f>((Inputs!$B$6*(1+Inputs!$B$7/100))+(((Inputs!$B$12*(1+Inputs!$B$13/100))-(Inputs!$B$12*(1+Inputs!$B$13/100)))+0.25*(Inputs!$B$14-Inputs!$B$14))*(1+Inputs!$B$7/100))*(F1075/100)</f>
        <v/>
      </c>
      <c r="K1075">
        <f>J1075*(1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5="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F1088-Calc!F18),(Inputs!$B$23+(IF(ArtifactsInput!$M$15,CHOOSE(ArtifactsInput!$N$15+1,25,30,35,40,45,50)/100*(Inputs!$B$11-Inputs!$B$11),0))))/100+(Inputs!$B$23+(IF(ArtifactsInput!$M$15,CHOOSE(ArtifactsInput!$N$15+1,25,30,35,40,45,50)/100*(Inputs!$B$11-Inputs!$B$11),0)))/100)/2</f>
        <v/>
      </c>
      <c r="M1075">
        <f>L1075*(1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(1-Summary!$B$11)*S1075+Summary!$B$11*U1075</f>
        <v/>
      </c>
      <c r="P1075">
        <f>IF(B1107=0,0,O1075/B1107)</f>
        <v/>
      </c>
      <c r="Q1075">
        <f>IFERROR(1/IF(Inputs!$B$38="pvp",15,MAX(0.1,Skills!D5-IF(Skills!E5=TRUE,Inputs!$B$32,0))),0)</f>
        <v/>
      </c>
      <c r="R1075">
        <f>IF(AND(Inputs!$B$38&lt;&gt;"pvp",Inputs!$B$43&gt;0),IF(MAX(0,Inputs!$B$43-B1104)&lt;=0,0,(INT(MAX(0,Inputs!$B$43-B1104)/IF(Inputs!$B$38="pvp",15,MAX(0.1,Skills!D5-IF(Skills!E5=TRUE,Inputs!$B$32,0))))+1)),0)</f>
        <v/>
      </c>
      <c r="S1075">
        <f>IF(C1075,(H1075*N1075*IF(AND(Inputs!$B$38&lt;&gt;"pvp",Inputs!$B$43&gt;0),((Skills!F5*((R1075-1)*IF(Skills!G5&gt;0,Skills!H5/Skills!G5,1)+IF(Skills!G5&gt;0,MIN(Skills!H5,MAX(0,MAX(0,Inputs!$B$43-B1104)-((R1075-1)*IF(Inputs!$B$38="pvp",15,MAX(0.1,Skills!D5-IF(Skills!E5=TRUE,Inputs!$B$32,0))))))/Skills!G5,1)))/Inputs!$B$43),G1075*Q1075))*IF(Inputs!$B$38="pvp",1,1+(Inputs!$B$20+Skills!O5+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1075*(1-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IF(C1075,(H1075*N1075*IF(AND(Inputs!$B$38&lt;&gt;"pvp",Inputs!$B$43&gt;0),((Skills!F5*((R1075-1)*IF(Skills!G5&gt;0,Skills!H5/Skills!G5,1)+IF(Skills!G5&gt;0,MIN(Skills!H5,MAX(0,MAX(0,Inputs!$B$43-B1104)-((R1075-1)*IF(Inputs!$B$38="pvp",15,MAX(0.1,Skills!D5-IF(Skills!E5=TRUE,Inputs!$B$32,0))))))/Skills!G5,1)))/Inputs!$B$43),G1075*Q1075))*IF(Inputs!$B$38="pvp",1,(1+(Inputs!$B$21+Skills!P5+B1098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Skills!A6</f>
        <v/>
      </c>
      <c r="B1076">
        <f>Skills!B6</f>
        <v/>
      </c>
      <c r="C1076">
        <f>Inputs!$B$3&gt;=63</f>
        <v/>
      </c>
      <c r="D1076">
        <f>IF(Skills!C6=1,60+Inputs!$B$25+Inputs!$B$29,IF(Skills!C6=2,90+Inputs!$B$26+Inputs!$B$29,IF(Skills!C6=3,120+Inputs!$B$27+Inputs!$B$29,MAX(0,(Inputs!$B$3-100)*3)+Inputs!$B$28+Inputs!$B$29)))</f>
        <v/>
      </c>
      <c r="E1076">
        <f>INDEX(FactorTable!$B$2:$Y$301, MATCH(ROUND(MIN(300,MAX(1,D1076)),0), FactorTable!$A$2:$A$301,0), Skills!L6+1)</f>
        <v/>
      </c>
      <c r="F1076">
        <f>IF(Skills!M6=TRUE,(Skills!K6/10)*(E1076/1000),Skills!K6/10)+Skills!N6</f>
        <v/>
      </c>
      <c r="G1076">
        <f>Calc!G6</f>
        <v/>
      </c>
      <c r="H1076">
        <f>Calc!H6</f>
        <v/>
      </c>
      <c r="I1076">
        <f>IF(Skills!T6&lt;&gt;"",1+(Skills!T6/10)*(Z1073/1000)/100,1)</f>
        <v/>
      </c>
      <c r="J1076">
        <f>((Inputs!$B$6*(1+Inputs!$B$7/100))+(((Inputs!$B$12*(1+Inputs!$B$13/100))-(Inputs!$B$12*(1+Inputs!$B$13/100)))+0.25*(Inputs!$B$14-Inputs!$B$14))*(1+Inputs!$B$7/100))*(F1076/100)</f>
        <v/>
      </c>
      <c r="K1076">
        <f>J1076*(1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6="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F1088-Calc!F18),(Inputs!$B$23+(IF(ArtifactsInput!$M$15,CHOOSE(ArtifactsInput!$N$15+1,25,30,35,40,45,50)/100*(Inputs!$B$11-Inputs!$B$11),0))))/100+(Inputs!$B$23+(IF(ArtifactsInput!$M$15,CHOOSE(ArtifactsInput!$N$15+1,25,30,35,40,45,50)/100*(Inputs!$B$11-Inputs!$B$11),0)))/100)/2</f>
        <v/>
      </c>
      <c r="M1076">
        <f>L1076*(1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(1-Summary!$B$11)*S1076+Summary!$B$11*U1076</f>
        <v/>
      </c>
      <c r="P1076">
        <f>IF(B1107=0,0,O1076/B1107)</f>
        <v/>
      </c>
      <c r="Q1076">
        <f>IFERROR(1/IF(Inputs!$B$38="pvp",15,MAX(0.1,Skills!D6-IF(Skills!E6=TRUE,Inputs!$B$32,0))),0)</f>
        <v/>
      </c>
      <c r="R1076">
        <f>IF(AND(Inputs!$B$38&lt;&gt;"pvp",Inputs!$B$43&gt;0),IF(MAX(0,Inputs!$B$43-B1104)&lt;=0,0,(INT(MAX(0,Inputs!$B$43-B1104)/IF(Inputs!$B$38="pvp",15,MAX(0.1,Skills!D6-IF(Skills!E6=TRUE,Inputs!$B$32,0))))+1)),0)</f>
        <v/>
      </c>
      <c r="S1076">
        <f>IF(C1076,(H1076*N1076*IF(AND(Inputs!$B$38&lt;&gt;"pvp",Inputs!$B$43&gt;0),((Skills!F6*((R1076-1)*IF(Skills!G6&gt;0,Skills!H6/Skills!G6,1)+IF(Skills!G6&gt;0,MIN(Skills!H6,MAX(0,MAX(0,Inputs!$B$43-B1104)-((R1076-1)*IF(Inputs!$B$38="pvp",15,MAX(0.1,Skills!D6-IF(Skills!E6=TRUE,Inputs!$B$32,0))))))/Skills!G6,1)))/Inputs!$B$43),G1076*Q1076))*IF(Inputs!$B$38="pvp",1,1+(Inputs!$B$20+Skills!O6+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1076*(1-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6">
        <f>IF(C1076,(H1076*N1076*IF(AND(Inputs!$B$38&lt;&gt;"pvp",Inputs!$B$43&gt;0),((Skills!F6*((R1076-1)*IF(Skills!G6&gt;0,Skills!H6/Skills!G6,1)+IF(Skills!G6&gt;0,MIN(Skills!H6,MAX(0,MAX(0,Inputs!$B$43-B1104)-((R1076-1)*IF(Inputs!$B$38="pvp",15,MAX(0.1,Skills!D6-IF(Skills!E6=TRUE,Inputs!$B$32,0))))))/Skills!G6,1)))/Inputs!$B$43),G1076*Q1076))*IF(Inputs!$B$38="pvp",1,(1+(Inputs!$B$21+Skills!P6+B1098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Skills!A7</f>
        <v/>
      </c>
      <c r="B1077">
        <f>Skills!B7</f>
        <v/>
      </c>
      <c r="C1077">
        <f>Inputs!$B$3&gt;=69</f>
        <v/>
      </c>
      <c r="D1077">
        <f>IF(Skills!C7=1,60+Inputs!$B$25+Inputs!$B$29,IF(Skills!C7=2,90+Inputs!$B$26+Inputs!$B$29,IF(Skills!C7=3,120+Inputs!$B$27+Inputs!$B$29,MAX(0,(Inputs!$B$3-100)*3)+Inputs!$B$28+Inputs!$B$29)))</f>
        <v/>
      </c>
      <c r="E1077">
        <f>INDEX(FactorTable!$B$2:$Y$301, MATCH(ROUND(MIN(300,MAX(1,D1077)),0), FactorTable!$A$2:$A$301,0), Skills!L7+1)</f>
        <v/>
      </c>
      <c r="F1077">
        <f>IF(Skills!M7=TRUE,(Skills!K7/10)*(E1077/1000),Skills!K7/10)+Skills!N7</f>
        <v/>
      </c>
      <c r="G1077">
        <f>Calc!G7</f>
        <v/>
      </c>
      <c r="H1077">
        <f>Calc!H7</f>
        <v/>
      </c>
      <c r="I1077">
        <f>IF(Skills!T7&lt;&gt;"",1+(Skills!T7/10)*(Z1073/1000)/100,1)</f>
        <v/>
      </c>
      <c r="J1077">
        <f>((Inputs!$B$6*(1+Inputs!$B$7/100))+(((Inputs!$B$12*(1+Inputs!$B$13/100))-(Inputs!$B$12*(1+Inputs!$B$13/100)))+0.25*(Inputs!$B$14-Inputs!$B$14))*(1+Inputs!$B$7/100))*(F1077/100)</f>
        <v/>
      </c>
      <c r="K1077">
        <f>J1077*(1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7="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F1088-Calc!F18),(Inputs!$B$23+(IF(ArtifactsInput!$M$15,CHOOSE(ArtifactsInput!$N$15+1,25,30,35,40,45,50)/100*(Inputs!$B$11-Inputs!$B$11),0))))/100+(Inputs!$B$23+(IF(ArtifactsInput!$M$15,CHOOSE(ArtifactsInput!$N$15+1,25,30,35,40,45,50)/100*(Inputs!$B$11-Inputs!$B$11),0)))/100)/2</f>
        <v/>
      </c>
      <c r="M1077">
        <f>L1077*(1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(1-Summary!$B$11)*S1077+Summary!$B$11*U1077</f>
        <v/>
      </c>
      <c r="P1077">
        <f>IF(B1107=0,0,O1077/B1107)</f>
        <v/>
      </c>
      <c r="Q1077">
        <f>IFERROR(1/IF(Inputs!$B$38="pvp",15,MAX(0.1,Skills!D7-IF(Skills!E7=TRUE,Inputs!$B$32,0))),0)</f>
        <v/>
      </c>
      <c r="R1077">
        <f>IF(AND(Inputs!$B$38&lt;&gt;"pvp",Inputs!$B$43&gt;0),IF(MAX(0,Inputs!$B$43-B1104)&lt;=0,0,(INT(MAX(0,Inputs!$B$43-B1104)/IF(Inputs!$B$38="pvp",15,MAX(0.1,Skills!D7-IF(Skills!E7=TRUE,Inputs!$B$32,0))))+1)),0)</f>
        <v/>
      </c>
      <c r="S1077">
        <f>IF(C1077,(H1077*N1077*IF(AND(Inputs!$B$38&lt;&gt;"pvp",Inputs!$B$43&gt;0),((Skills!F7*((R1077-1)*IF(Skills!G7&gt;0,Skills!H7/Skills!G7,1)+IF(Skills!G7&gt;0,MIN(Skills!H7,MAX(0,MAX(0,Inputs!$B$43-B1104)-((R1077-1)*IF(Inputs!$B$38="pvp",15,MAX(0.1,Skills!D7-IF(Skills!E7=TRUE,Inputs!$B$32,0))))))/Skills!G7,1)))/Inputs!$B$43),G1077*Q1077))*IF(Inputs!$B$38="pvp",1,1+(Inputs!$B$20+Skills!O7+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1077*(1-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7">
        <f>IF(C1077,(H1077*N1077*IF(AND(Inputs!$B$38&lt;&gt;"pvp",Inputs!$B$43&gt;0),((Skills!F7*((R1077-1)*IF(Skills!G7&gt;0,Skills!H7/Skills!G7,1)+IF(Skills!G7&gt;0,MIN(Skills!H7,MAX(0,MAX(0,Inputs!$B$43-B1104)-((R1077-1)*IF(Inputs!$B$38="pvp",15,MAX(0.1,Skills!D7-IF(Skills!E7=TRUE,Inputs!$B$32,0))))))/Skills!G7,1)))/Inputs!$B$43),G1077*Q1077))*IF(Inputs!$B$38="pvp",1,(1+(Inputs!$B$21+Skills!P7+B1098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Skills!A8</f>
        <v/>
      </c>
      <c r="B1078">
        <f>Skills!B8</f>
        <v/>
      </c>
      <c r="C1078">
        <f>Inputs!$B$3&gt;=103</f>
        <v/>
      </c>
      <c r="D1078">
        <f>IF(Skills!C8=1,60+Inputs!$B$25+Inputs!$B$29,IF(Skills!C8=2,90+Inputs!$B$26+Inputs!$B$29,IF(Skills!C8=3,120+Inputs!$B$27+Inputs!$B$29,MAX(0,(Inputs!$B$3-100)*3)+Inputs!$B$28+Inputs!$B$29)))</f>
        <v/>
      </c>
      <c r="E1078">
        <f>INDEX(FactorTable!$B$2:$Y$301, MATCH(ROUND(MIN(300,MAX(1,D1078)),0), FactorTable!$A$2:$A$301,0), Skills!L8+1)</f>
        <v/>
      </c>
      <c r="F1078">
        <f>IF(Skills!M8=TRUE,(Skills!K8/10)*(E1078/1000),Skills!K8/10)+Skills!N8</f>
        <v/>
      </c>
      <c r="G1078">
        <f>Calc!G8</f>
        <v/>
      </c>
      <c r="H1078">
        <f>Calc!H8</f>
        <v/>
      </c>
      <c r="I1078">
        <f>IF(Skills!T8&lt;&gt;"",1+(Skills!T8/10)*(Z1073/1000)/100,1)</f>
        <v/>
      </c>
      <c r="J1078">
        <f>((Inputs!$B$6*(1+Inputs!$B$7/100))+(((Inputs!$B$12*(1+Inputs!$B$13/100))-(Inputs!$B$12*(1+Inputs!$B$13/100)))+0.25*(Inputs!$B$14-Inputs!$B$14))*(1+Inputs!$B$7/100))*(F1078/100)</f>
        <v/>
      </c>
      <c r="K1078">
        <f>J1078*(1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8="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F1088-Calc!F18),(Inputs!$B$23+(IF(ArtifactsInput!$M$15,CHOOSE(ArtifactsInput!$N$15+1,25,30,35,40,45,50)/100*(Inputs!$B$11-Inputs!$B$11),0))))/100+(Inputs!$B$23+(IF(ArtifactsInput!$M$15,CHOOSE(ArtifactsInput!$N$15+1,25,30,35,40,45,50)/100*(Inputs!$B$11-Inputs!$B$11),0)))/100)/2</f>
        <v/>
      </c>
      <c r="M1078">
        <f>L1078*(1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(1-Summary!$B$11)*S1078+Summary!$B$11*U1078</f>
        <v/>
      </c>
      <c r="P1078">
        <f>IF(B1107=0,0,O1078/B1107)</f>
        <v/>
      </c>
      <c r="Q1078">
        <f>IFERROR(1/IF(Inputs!$B$38="pvp",15,MAX(0.1,Skills!D8-IF(Skills!E8=TRUE,Inputs!$B$32,0))),0)</f>
        <v/>
      </c>
      <c r="R1078">
        <f>IF(AND(Inputs!$B$38&lt;&gt;"pvp",Inputs!$B$43&gt;0),IF(MAX(0,Inputs!$B$43-B1104)&lt;=0,0,(INT(MAX(0,Inputs!$B$43-B1104)/IF(Inputs!$B$38="pvp",15,MAX(0.1,Skills!D8-IF(Skills!E8=TRUE,Inputs!$B$32,0))))+1)),0)</f>
        <v/>
      </c>
      <c r="S1078">
        <f>IF(C1078,(H1078*N1078*IF(AND(Inputs!$B$38&lt;&gt;"pvp",Inputs!$B$43&gt;0),((Skills!F8*((R1078-1)*IF(Skills!G8&gt;0,Skills!H8/Skills!G8,1)+IF(Skills!G8&gt;0,MIN(Skills!H8,MAX(0,MAX(0,Inputs!$B$43-B1104)-((R1078-1)*IF(Inputs!$B$38="pvp",15,MAX(0.1,Skills!D8-IF(Skills!E8=TRUE,Inputs!$B$32,0))))))/Skills!G8,1)))/Inputs!$B$43),G1078*Q1078))*IF(Inputs!$B$38="pvp",1,1+(Inputs!$B$20+Skills!O8+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1078*(1-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8">
        <f>IF(C1078,(H1078*N1078*IF(AND(Inputs!$B$38&lt;&gt;"pvp",Inputs!$B$43&gt;0),((Skills!F8*((R1078-1)*IF(Skills!G8&gt;0,Skills!H8/Skills!G8,1)+IF(Skills!G8&gt;0,MIN(Skills!H8,MAX(0,MAX(0,Inputs!$B$43-B1104)-((R1078-1)*IF(Inputs!$B$38="pvp",15,MAX(0.1,Skills!D8-IF(Skills!E8=TRUE,Inputs!$B$32,0))))))/Skills!G8,1)))/Inputs!$B$43),G1078*Q1078))*IF(Inputs!$B$38="pvp",1,(1+(Inputs!$B$21+Skills!P8+B1098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Skills!A9</f>
        <v/>
      </c>
      <c r="B1079">
        <f>Skills!B9</f>
        <v/>
      </c>
      <c r="C1079">
        <f>Inputs!$B$3&gt;=105</f>
        <v/>
      </c>
      <c r="D1079">
        <f>IF(Skills!C9=1,60+Inputs!$B$25+Inputs!$B$29,IF(Skills!C9=2,90+Inputs!$B$26+Inputs!$B$29,IF(Skills!C9=3,120+Inputs!$B$27+Inputs!$B$29,MAX(0,(Inputs!$B$3-100)*3)+Inputs!$B$28+Inputs!$B$29)))</f>
        <v/>
      </c>
      <c r="E1079">
        <f>INDEX(FactorTable!$B$2:$Y$301, MATCH(ROUND(MIN(300,MAX(1,D1079)),0), FactorTable!$A$2:$A$301,0), Skills!L9+1)</f>
        <v/>
      </c>
      <c r="F1079">
        <f>IF(Skills!M9=TRUE,(Skills!K9/10)*(E1079/1000),Skills!K9/10)+Skills!N9</f>
        <v/>
      </c>
      <c r="G1079">
        <f>Calc!G9</f>
        <v/>
      </c>
      <c r="H1079">
        <f>Calc!H9</f>
        <v/>
      </c>
      <c r="I1079">
        <f>IF(Skills!T9&lt;&gt;"",1+(Skills!T9/10)*(Z1073/1000)/100,1)</f>
        <v/>
      </c>
      <c r="J1079">
        <f>((Inputs!$B$6*(1+Inputs!$B$7/100))+(((Inputs!$B$12*(1+Inputs!$B$13/100))-(Inputs!$B$12*(1+Inputs!$B$13/100)))+0.25*(Inputs!$B$14-Inputs!$B$14))*(1+Inputs!$B$7/100))*(F1079/100)</f>
        <v/>
      </c>
      <c r="K1079">
        <f>J1079*(1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9="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F1088-Calc!F18),(Inputs!$B$23+(IF(ArtifactsInput!$M$15,CHOOSE(ArtifactsInput!$N$15+1,25,30,35,40,45,50)/100*(Inputs!$B$11-Inputs!$B$11),0))))/100+(Inputs!$B$23+(IF(ArtifactsInput!$M$15,CHOOSE(ArtifactsInput!$N$15+1,25,30,35,40,45,50)/100*(Inputs!$B$11-Inputs!$B$11),0)))/100)/2</f>
        <v/>
      </c>
      <c r="M1079">
        <f>L1079*(1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(1-Summary!$B$11)*S1079+Summary!$B$11*U1079</f>
        <v/>
      </c>
      <c r="P1079">
        <f>IF(B1107=0,0,O1079/B1107)</f>
        <v/>
      </c>
      <c r="Q1079">
        <f>IFERROR(1/IF(Inputs!$B$38="pvp",15,MAX(0.1,Skills!D9-IF(Skills!E9=TRUE,Inputs!$B$32,0))),0)</f>
        <v/>
      </c>
      <c r="R1079">
        <f>IF(AND(Inputs!$B$38&lt;&gt;"pvp",Inputs!$B$43&gt;0),IF(MAX(0,Inputs!$B$43-B1104)&lt;=0,0,(INT(MAX(0,Inputs!$B$43-B1104)/IF(Inputs!$B$38="pvp",15,MAX(0.1,Skills!D9-IF(Skills!E9=TRUE,Inputs!$B$32,0))))+1)),0)</f>
        <v/>
      </c>
      <c r="S1079">
        <f>IF(C1079,(H1079*N1079*IF(AND(Inputs!$B$38&lt;&gt;"pvp",Inputs!$B$43&gt;0),((Skills!F9*((R1079-1)*IF(Skills!G9&gt;0,Skills!H9/Skills!G9,1)+IF(Skills!G9&gt;0,MIN(Skills!H9,MAX(0,MAX(0,Inputs!$B$43-B1104)-((R1079-1)*IF(Inputs!$B$38="pvp",15,MAX(0.1,Skills!D9-IF(Skills!E9=TRUE,Inputs!$B$32,0))))))/Skills!G9,1)))/Inputs!$B$43),G1079*Q1079))*IF(Inputs!$B$38="pvp",1,1+(Inputs!$B$20+Skills!O9+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1079*(1-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9">
        <f>IF(C1079,(H1079*N1079*IF(AND(Inputs!$B$38&lt;&gt;"pvp",Inputs!$B$43&gt;0),((Skills!F9*((R1079-1)*IF(Skills!G9&gt;0,Skills!H9/Skills!G9,1)+IF(Skills!G9&gt;0,MIN(Skills!H9,MAX(0,MAX(0,Inputs!$B$43-B1104)-((R1079-1)*IF(Inputs!$B$38="pvp",15,MAX(0.1,Skills!D9-IF(Skills!E9=TRUE,Inputs!$B$32,0))))))/Skills!G9,1)))/Inputs!$B$43),G1079*Q1079))*IF(Inputs!$B$38="pvp",1,(1+(Inputs!$B$21+Skills!P9+B1098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Skills!A10</f>
        <v/>
      </c>
      <c r="B1080">
        <f>Skills!B10</f>
        <v/>
      </c>
      <c r="C1080">
        <f>Inputs!$B$3&gt;=113</f>
        <v/>
      </c>
      <c r="D1080">
        <f>IF(Skills!C10=1,60+Inputs!$B$25+Inputs!$B$29,IF(Skills!C10=2,90+Inputs!$B$26+Inputs!$B$29,IF(Skills!C10=3,120+Inputs!$B$27+Inputs!$B$29,MAX(0,(Inputs!$B$3-100)*3)+Inputs!$B$28+Inputs!$B$29)))</f>
        <v/>
      </c>
      <c r="E1080">
        <f>INDEX(FactorTable!$B$2:$Y$301, MATCH(ROUND(MIN(300,MAX(1,D1080)),0), FactorTable!$A$2:$A$301,0), Skills!L10+1)</f>
        <v/>
      </c>
      <c r="F1080">
        <f>IF(Skills!M10=TRUE,(Skills!K10/10)*(E1080/1000),Skills!K10/10)+Skills!N10</f>
        <v/>
      </c>
      <c r="G1080">
        <f>Calc!G10</f>
        <v/>
      </c>
      <c r="H1080">
        <f>Calc!H10</f>
        <v/>
      </c>
      <c r="I1080">
        <f>IF(Skills!T10&lt;&gt;"",1+(Skills!T10/10)*(Z1073/1000)/100,1)</f>
        <v/>
      </c>
      <c r="J1080">
        <f>((Inputs!$B$6*(1+Inputs!$B$7/100))+(((Inputs!$B$12*(1+Inputs!$B$13/100))-(Inputs!$B$12*(1+Inputs!$B$13/100)))+0.25*(Inputs!$B$14-Inputs!$B$14))*(1+Inputs!$B$7/100))*(F1080/100)</f>
        <v/>
      </c>
      <c r="K1080">
        <f>J1080*(1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10="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F1088-Calc!F18),(Inputs!$B$23+(IF(ArtifactsInput!$M$15,CHOOSE(ArtifactsInput!$N$15+1,25,30,35,40,45,50)/100*(Inputs!$B$11-Inputs!$B$11),0))))/100+(Inputs!$B$23+(IF(ArtifactsInput!$M$15,CHOOSE(ArtifactsInput!$N$15+1,25,30,35,40,45,50)/100*(Inputs!$B$11-Inputs!$B$11),0)))/100)/2</f>
        <v/>
      </c>
      <c r="M1080">
        <f>L1080*(1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(1-Summary!$B$11)*S1080+Summary!$B$11*U1080</f>
        <v/>
      </c>
      <c r="P1080">
        <f>IF(B1107=0,0,O1080/B1107)</f>
        <v/>
      </c>
      <c r="Q1080">
        <f>IFERROR(1/IF(Inputs!$B$38="pvp",15,MAX(0.1,Skills!D10-IF(Skills!E9=TRUE,Inputs!$B$32,0))),0)</f>
        <v/>
      </c>
      <c r="R1080">
        <f>IF(AND(Inputs!$B$38&lt;&gt;"pvp",Inputs!$B$43&gt;0),IF(MAX(0,Inputs!$B$43-B1104)&lt;=0,0,(INT(MAX(0,Inputs!$B$43-B1104)/IF(Inputs!$B$38="pvp",15,MAX(0.1,Skills!D10-IF(Skills!E9=TRUE,Inputs!$B$32,0))))+1)),0)</f>
        <v/>
      </c>
      <c r="S1080">
        <f>IF(C1080,(H1080*N1080*IF(AND(Inputs!$B$38&lt;&gt;"pvp",Inputs!$B$43&gt;0),((Skills!F10*((R1080-1)*IF(Skills!G10&gt;0,Skills!H10/Skills!G10,1)+IF(Skills!G10&gt;0,MIN(Skills!H10,MAX(0,MAX(0,Inputs!$B$43-B1104)-((R1080-1)*IF(Inputs!$B$38="pvp",15,MAX(0.1,Skills!D10-IF(Skills!E9=TRUE,Inputs!$B$32,0))))))/Skills!G10,1)))/Inputs!$B$43),G1080*Q1080))*IF(Inputs!$B$38="pvp",1,1+(Inputs!$B$20+Skills!O10+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1080*(1-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0">
        <f>IF(C1080,(H1080*N1080*IF(AND(Inputs!$B$38&lt;&gt;"pvp",Inputs!$B$43&gt;0),((Skills!F10*((R1080-1)*IF(Skills!G10&gt;0,Skills!H10/Skills!G10,1)+IF(Skills!G10&gt;0,MIN(Skills!H10,MAX(0,MAX(0,Inputs!$B$43-B1104)-((R1080-1)*IF(Inputs!$B$38="pvp",15,MAX(0.1,Skills!D10-IF(Skills!E9=TRUE,Inputs!$B$32,0))))))/Skills!G10,1)))/Inputs!$B$43),G1080*Q1080))*IF(Inputs!$B$38="pvp",1,(1+(Inputs!$B$21+Skills!P10+B1098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Skills!A11</f>
        <v/>
      </c>
      <c r="B1081">
        <f>Skills!B11</f>
        <v/>
      </c>
      <c r="C1081">
        <f>Inputs!$B$3&gt;=107</f>
        <v/>
      </c>
      <c r="D1081">
        <f>IF(Skills!C11=1,60+Inputs!$B$25+Inputs!$B$29,IF(Skills!C11=2,90+Inputs!$B$26+Inputs!$B$29,IF(Skills!C11=3,120+Inputs!$B$27+Inputs!$B$29,MAX(0,(Inputs!$B$3-100)*3)+Inputs!$B$28+Inputs!$B$29)))</f>
        <v/>
      </c>
      <c r="E1081">
        <f>INDEX(FactorTable!$B$2:$Y$301, MATCH(ROUND(MIN(300,MAX(1,D1081)),0), FactorTable!$A$2:$A$301,0), Skills!L11+1)</f>
        <v/>
      </c>
      <c r="F1081">
        <f>IF(Skills!M11=TRUE,(Skills!K11/10)*(E1081/1000),Skills!K11/10)+Skills!N11</f>
        <v/>
      </c>
      <c r="G1081">
        <f>Calc!G11</f>
        <v/>
      </c>
      <c r="H1081">
        <f>Calc!H11</f>
        <v/>
      </c>
      <c r="I1081">
        <f>IF(Skills!T11&lt;&gt;"",1+(Skills!T11/10)*(Z1073/1000)/100,1)</f>
        <v/>
      </c>
      <c r="J1081">
        <f>((Inputs!$B$6*(1+Inputs!$B$7/100))+(((Inputs!$B$12*(1+Inputs!$B$13/100))-(Inputs!$B$12*(1+Inputs!$B$13/100)))+0.25*(Inputs!$B$14-Inputs!$B$14))*(1+Inputs!$B$7/100))*(F1081/100)</f>
        <v/>
      </c>
      <c r="K1081">
        <f>J1081*(1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11="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F1088-Calc!F18),(Inputs!$B$23+(IF(ArtifactsInput!$M$15,CHOOSE(ArtifactsInput!$N$15+1,25,30,35,40,45,50)/100*(Inputs!$B$11-Inputs!$B$11),0))))/100+(Inputs!$B$23+(IF(ArtifactsInput!$M$15,CHOOSE(ArtifactsInput!$N$15+1,25,30,35,40,45,50)/100*(Inputs!$B$11-Inputs!$B$11),0)))/100)/2</f>
        <v/>
      </c>
      <c r="M1081">
        <f>L1081*(1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(1-Summary!$B$11)*S1081+Summary!$B$11*U1081</f>
        <v/>
      </c>
      <c r="P1081">
        <f>IF(B1107=0,0,O1081/B1107)</f>
        <v/>
      </c>
      <c r="Q1081">
        <f>IFERROR(1/IF(Inputs!$B$38="pvp",15,MAX(0.1,Skills!D11-IF(Skills!E11=TRUE,Inputs!$B$32,0))),0)</f>
        <v/>
      </c>
      <c r="R1081">
        <f>IF(AND(Inputs!$B$38&lt;&gt;"pvp",Inputs!$B$43&gt;0),IF(MAX(0,Inputs!$B$43-B1104)&lt;=0,0,(INT(MAX(0,Inputs!$B$43-B1104)/IF(Inputs!$B$38="pvp",15,MAX(0.1,Skills!D11-IF(Skills!E11=TRUE,Inputs!$B$32,0))))+1)),0)</f>
        <v/>
      </c>
      <c r="S1081">
        <f>IF(C1081,H1081*N1081*IF(AND(Inputs!$B$38&lt;&gt;"pvp",Inputs!$B$43&gt;0),((Skills!F11*((R1081-1)*IF(Skills!G11&gt;0,Skills!H11/Skills!G11,1)+IF(Skills!G11&gt;0,MIN(Skills!H11,MAX(0,MAX(0,Inputs!$B$43-B1104)-((R1081-1)*IF(Inputs!$B$38="pvp",15,MAX(0.1,Skills!D11-IF(Skills!E11=TRUE,Inputs!$B$32,0))))))/Skills!G11,1)))/Inputs!$B$43),G1081*Q1081)*0.5*IF(Inputs!$B$38="pvp",1,1+(Inputs!$B$20+Skills!O11+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1081*(1-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IF(C1081,H1081*N1081*IF(AND(Inputs!$B$38&lt;&gt;"pvp",Inputs!$B$43&gt;0),((Skills!F11*((R1081-1)*IF(Skills!G11&gt;0,Skills!H11/Skills!G11,1)+IF(Skills!G11&gt;0,MIN(Skills!H11,MAX(0,MAX(0,Inputs!$B$43-B1104)-((R1081-1)*IF(Inputs!$B$38="pvp",15,MAX(0.1,Skills!D11-IF(Skills!E11=TRUE,Inputs!$B$32,0))))))/Skills!G11,1)))/Inputs!$B$43),G1081*Q1081)*1*IF(Inputs!$B$38="pvp",1,(1+(Inputs!$B$21+Skills!P11+B1098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Skills!A12</f>
        <v/>
      </c>
      <c r="B1082">
        <f>Skills!B12</f>
        <v/>
      </c>
      <c r="C1082">
        <f>Inputs!$B$3&gt;=115</f>
        <v/>
      </c>
      <c r="D1082">
        <f>IF(Skills!C12=1,60+Inputs!$B$25+Inputs!$B$29,IF(Skills!C12=2,90+Inputs!$B$26+Inputs!$B$29,IF(Skills!C12=3,120+Inputs!$B$27+Inputs!$B$29,MAX(0,(Inputs!$B$3-100)*3)+Inputs!$B$28+Inputs!$B$29)))</f>
        <v/>
      </c>
      <c r="E1082">
        <f>INDEX(FactorTable!$B$2:$Y$301, MATCH(ROUND(MIN(300,MAX(1,D1082)),0), FactorTable!$A$2:$A$301,0), Skills!L12+1)</f>
        <v/>
      </c>
      <c r="F1082">
        <f>IF(Skills!M12=TRUE,(Skills!K12/10)*(E1082/1000),Skills!K12/10)+Skills!N12</f>
        <v/>
      </c>
      <c r="G1082">
        <f>Calc!G12</f>
        <v/>
      </c>
      <c r="H1082">
        <f>Calc!H12</f>
        <v/>
      </c>
      <c r="I1082">
        <f>IF(Skills!T12&lt;&gt;"",1+(Skills!T12/10)*(Z1073/1000)/100,1)</f>
        <v/>
      </c>
      <c r="J1082">
        <f>((Inputs!$B$6*(1+Inputs!$B$7/100))+(((Inputs!$B$12*(1+Inputs!$B$13/100))-(Inputs!$B$12*(1+Inputs!$B$13/100)))+0.25*(Inputs!$B$14-Inputs!$B$14))*(1+Inputs!$B$7/100))*(F1082/100)</f>
        <v/>
      </c>
      <c r="K1082">
        <f>J1082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12="CHAIN_LIGHTNING",Inputs!$B$17+((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F1088-Calc!F18),(Inputs!$B$23+(IF(ArtifactsInput!$M$15,CHOOSE(ArtifactsInput!$N$15+1,25,30,35,40,45,50)/100*(Inputs!$B$11-Inputs!$B$11),0))))/100+(Inputs!$B$23+(IF(ArtifactsInput!$M$15,CHOOSE(ArtifactsInput!$N$15+1,25,30,35,40,45,50)/100*(Inputs!$B$11-Inputs!$B$11),0)))/100)/2</f>
        <v/>
      </c>
      <c r="M1082">
        <f>L1082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(1-Summary!$B$11)*S1082+Summary!$B$11*U1082</f>
        <v/>
      </c>
      <c r="P1082">
        <f>IF(B1107=0,0,O1082/B1107)</f>
        <v/>
      </c>
      <c r="Q1082">
        <f>IFERROR(1/IF(Inputs!$B$38="pvp",15,MAX(0.1,Skills!D12-IF(Skills!E12=TRUE,Inputs!$B$32,0))),0)</f>
        <v/>
      </c>
      <c r="R1082">
        <f>IF(AND(Inputs!$B$38&lt;&gt;"pvp",Inputs!$B$43&gt;0),IF(MAX(0,Inputs!$B$43-B1104)&lt;=0,0,(INT(MAX(0,Inputs!$B$43-B1104)/IF(Inputs!$B$38="pvp",15,MAX(0.1,Skills!D12-IF(Skills!E12=TRUE,Inputs!$B$32,0))))+1)),0)</f>
        <v/>
      </c>
      <c r="S1082">
        <f>IF(C1082,(H1082*N1082*IF(AND(Inputs!$B$38&lt;&gt;"pvp",Inputs!$B$43&gt;0),((Skills!F12*((R1082-1)*IF(Skills!G12&gt;0,Skills!H12/Skills!G12,1)+IF(Skills!G12&gt;0,MIN(Skills!H12,MAX(0,MAX(0,Inputs!$B$43-B1104)-((R1082-1)*IF(Inputs!$B$38="pvp",15,MAX(0.1,Skills!D12-IF(Skills!E12=TRUE,Inputs!$B$32,0))))))/Skills!G12,1)))/Inputs!$B$43),G1082*Q1082))*IF(Inputs!$B$38="pvp",1,1+(Inputs!$B$20+Skills!O12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1082*(1-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F1090-Calc!F20)+(F1089-Calc!F19))+(ArtifactsInput!$M$24-ArtifactsInput!$M$24)*CHOOSE(ArtifactsInput!$N$24+1,10,12,14,16,18,20)+(IF(AND(Inputs!$B$38&lt;&gt;"pvp",Inputs!$B$43=0),1,IF(IF(Inputs!$B$38="pvp",15,Inputs!$B$43)-(B1104)&lt;=0,1,MAX(0,IF(Inputs!$B$38="pvp",15,Inputs!$B$43)-MAX(5,B1104))/(IF(Inputs!$B$38="pvp",15,Inputs!$B$43)-(B1104)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F(C1082,(H1082*N1082*IF(AND(Inputs!$B$38&lt;&gt;"pvp",Inputs!$B$43&gt;0),((Skills!F12*((R1082-1)*IF(Skills!G12&gt;0,Skills!H12/Skills!G12,1)+IF(Skills!G12&gt;0,MIN(Skills!H12,MAX(0,MAX(0,Inputs!$B$43-B1104)-((R1082-1)*IF(Inputs!$B$38="pvp",15,MAX(0.1,Skills!D12-IF(Skills!E12=TRUE,Inputs!$B$32,0))))))/Skills!G12,1)))/Inputs!$B$43),G1082*Q1082))*IF(Inputs!$B$38="pvp",1,(1+(Inputs!$B$21+Skills!P12+B1098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Skills!A13</f>
        <v/>
      </c>
      <c r="B1083">
        <f>Skills!B13</f>
        <v/>
      </c>
      <c r="C1083">
        <f>Inputs!$B$3&gt;=49</f>
        <v/>
      </c>
      <c r="D1083">
        <f>IF(Skills!C13=1,60+Inputs!$B$25+Inputs!$B$29,IF(Skills!C13=2,90+Inputs!$B$26+Inputs!$B$29,IF(Skills!C13=3,120+Inputs!$B$27+Inputs!$B$29,MAX(0,(Inputs!$B$3-100)*3)+Inputs!$B$28+Inputs!$B$29)))</f>
        <v/>
      </c>
      <c r="E1083">
        <f>INDEX(FactorTable!$B$2:$Y$301, MATCH(ROUND(MIN(300,MAX(1,D1083)),0), FactorTable!$A$2:$A$301,0), Skills!L13+1)</f>
        <v/>
      </c>
      <c r="F1083">
        <f>IF(Skills!M13=TRUE,(Skills!K13/10)*(E1083/1000),Skills!K13/10)+Skills!N13</f>
        <v/>
      </c>
      <c r="G1083">
        <f>Calc!G13</f>
        <v/>
      </c>
      <c r="H1083">
        <f>Calc!H13</f>
        <v/>
      </c>
      <c r="I1083">
        <f>IF(Skills!T13&lt;&gt;"",1+(Skills!T13/10)*(Z1073/1000)/100,1)</f>
        <v/>
      </c>
      <c r="J1083" t="inlineStr"/>
      <c r="K1083" t="inlineStr"/>
      <c r="L1083" t="inlineStr"/>
      <c r="M1083" t="inlineStr"/>
      <c r="N1083" t="inlineStr"/>
      <c r="O1083">
        <f>(1-Summary!$B$11)*S1083+Summary!$B$11*U1083</f>
        <v/>
      </c>
      <c r="P1083">
        <f>IF(B1107=0,0,O1083/B1107)</f>
        <v/>
      </c>
      <c r="Q1083">
        <f>IFERROR(1/IF(Inputs!$B$38="pvp",15,MAX(0.1,Skills!D13-IF(Skills!E13=TRUE,Inputs!$B$32,0))),0)</f>
        <v/>
      </c>
      <c r="R1083" t="n">
        <v>0</v>
      </c>
      <c r="S1083" t="n">
        <v>0</v>
      </c>
      <c r="U1083" t="n">
        <v>0</v>
      </c>
    </row>
    <row r="1084">
      <c r="A1084">
        <f>Skills!A14</f>
        <v/>
      </c>
      <c r="B1084">
        <f>Skills!B14</f>
        <v/>
      </c>
      <c r="C1084">
        <f>Inputs!$B$3&gt;=72</f>
        <v/>
      </c>
      <c r="D1084">
        <f>IF(Skills!C14=1,60+Inputs!$B$25+Inputs!$B$29,IF(Skills!C14=2,90+Inputs!$B$26+Inputs!$B$29,IF(Skills!C14=3,120+Inputs!$B$27+Inputs!$B$29,MAX(0,(Inputs!$B$3-100)*3)+Inputs!$B$28+Inputs!$B$29)))</f>
        <v/>
      </c>
      <c r="E1084">
        <f>INDEX(FactorTable!$B$2:$Y$301, MATCH(ROUND(MIN(300,MAX(1,D1084)),0), FactorTable!$A$2:$A$301,0), Skills!L14+1)</f>
        <v/>
      </c>
      <c r="F1084">
        <f>IF(Skills!M14=TRUE,(Skills!K14/10)*(E1084/1000),Skills!K14/10)+Skills!N14</f>
        <v/>
      </c>
      <c r="G1084">
        <f>Calc!G14</f>
        <v/>
      </c>
      <c r="H1084">
        <f>Calc!H14</f>
        <v/>
      </c>
      <c r="I1084">
        <f>IF(Skills!T14&lt;&gt;"",1+(Skills!T14/10)*(Z1073/1000)/100,1)</f>
        <v/>
      </c>
      <c r="J1084" t="inlineStr"/>
      <c r="K1084" t="inlineStr"/>
      <c r="L1084" t="inlineStr"/>
      <c r="M1084" t="inlineStr"/>
      <c r="N1084" t="inlineStr"/>
      <c r="O1084">
        <f>(1-Summary!$B$11)*S1084+Summary!$B$11*U1084</f>
        <v/>
      </c>
      <c r="P1084">
        <f>IF(B1107=0,0,O1084/B1107)</f>
        <v/>
      </c>
      <c r="Q1084">
        <f>IFERROR(1/IF(Inputs!$B$38="pvp",15,MAX(0.1,Skills!D14-IF(Skills!E14=TRUE,Inputs!$B$32,0))),0)</f>
        <v/>
      </c>
      <c r="R1084" t="n">
        <v>0</v>
      </c>
      <c r="S1084" t="n">
        <v>0</v>
      </c>
      <c r="U1084" t="n">
        <v>0</v>
      </c>
    </row>
    <row r="1085">
      <c r="A1085">
        <f>Skills!A15</f>
        <v/>
      </c>
      <c r="B1085">
        <f>Skills!B15</f>
        <v/>
      </c>
      <c r="C1085">
        <f>Inputs!$B$3&gt;=75</f>
        <v/>
      </c>
      <c r="D1085">
        <f>IF(Skills!C15=1,60+Inputs!$B$25+Inputs!$B$29,IF(Skills!C15=2,90+Inputs!$B$26+Inputs!$B$29,IF(Skills!C15=3,120+Inputs!$B$27+Inputs!$B$29,MAX(0,(Inputs!$B$3-100)*3)+Inputs!$B$28+Inputs!$B$29)))</f>
        <v/>
      </c>
      <c r="E1085">
        <f>INDEX(FactorTable!$B$2:$Y$301, MATCH(ROUND(MIN(300,MAX(1,D1085)),0), FactorTable!$A$2:$A$301,0), Skills!L15+1)</f>
        <v/>
      </c>
      <c r="F1085">
        <f>IF(Skills!M15=TRUE,(Skills!K15/10)*(E1085/1000),Skills!K15/10)+Skills!N15</f>
        <v/>
      </c>
      <c r="G1085">
        <f>Calc!G15</f>
        <v/>
      </c>
      <c r="H1085">
        <f>Calc!H15</f>
        <v/>
      </c>
      <c r="I1085">
        <f>IF(Skills!T15&lt;&gt;"",1+(Skills!T15/10)*(Z1073/1000)/100,1)</f>
        <v/>
      </c>
      <c r="J1085" t="inlineStr"/>
      <c r="K1085" t="inlineStr"/>
      <c r="L1085" t="inlineStr"/>
      <c r="M1085" t="inlineStr"/>
      <c r="N1085" t="inlineStr"/>
      <c r="O1085">
        <f>(1-Summary!$B$11)*S1085+Summary!$B$11*U1085</f>
        <v/>
      </c>
      <c r="P1085">
        <f>IF(B1107=0,0,O1085/B1107)</f>
        <v/>
      </c>
      <c r="Q1085">
        <f>IFERROR(1/IF(Inputs!$B$38="pvp",15,MAX(0.1,Skills!D15-IF(Skills!E15=TRUE,Inputs!$B$32,0))),0)</f>
        <v/>
      </c>
      <c r="R1085" t="n">
        <v>0</v>
      </c>
      <c r="S1085" t="n">
        <v>0</v>
      </c>
      <c r="U1085" t="n">
        <v>0</v>
      </c>
    </row>
    <row r="1086">
      <c r="A1086">
        <f>Skills!A16</f>
        <v/>
      </c>
      <c r="B1086">
        <f>Skills!B16</f>
        <v/>
      </c>
      <c r="C1086">
        <f>Inputs!$B$3&gt;=110</f>
        <v/>
      </c>
      <c r="D1086">
        <f>IF(Skills!C16=1,60+Inputs!$B$25+Inputs!$B$29,IF(Skills!C16=2,90+Inputs!$B$26+Inputs!$B$29,IF(Skills!C16=3,120+Inputs!$B$27+Inputs!$B$29,MAX(0,(Inputs!$B$3-100)*3)+Inputs!$B$28+Inputs!$B$29)))</f>
        <v/>
      </c>
      <c r="E1086">
        <f>INDEX(FactorTable!$B$2:$Y$301, MATCH(ROUND(MIN(300,MAX(1,D1086)),0), FactorTable!$A$2:$A$301,0), Skills!L16+1)</f>
        <v/>
      </c>
      <c r="F1086">
        <f>(Skills!K16/10)*(E1086/1000)*64/45+Skills!N16</f>
        <v/>
      </c>
      <c r="G1086">
        <f>Calc!G16</f>
        <v/>
      </c>
      <c r="H1086">
        <f>Calc!H16</f>
        <v/>
      </c>
      <c r="I1086">
        <f>IF(Skills!T16&lt;&gt;"",1+(Skills!T16/10)*(Z1073/1000)/100,1)</f>
        <v/>
      </c>
      <c r="J1086" t="inlineStr"/>
      <c r="K1086" t="inlineStr"/>
      <c r="L1086" t="inlineStr"/>
      <c r="M1086" t="inlineStr"/>
      <c r="N1086" t="inlineStr"/>
      <c r="O1086">
        <f>(1-Summary!$B$11)*S1086+Summary!$B$11*U1086</f>
        <v/>
      </c>
      <c r="P1086">
        <f>IF(B1107=0,0,O1086/B1107)</f>
        <v/>
      </c>
      <c r="Q1086">
        <f>IFERROR(1/IF(Inputs!$B$38="pvp",15,MAX(0.1,Skills!D16-IF(Skills!E16=TRUE,Inputs!$B$32,0))),0)</f>
        <v/>
      </c>
      <c r="R1086">
        <f>IF(AND(Inputs!$B$38&lt;&gt;"pvp",Inputs!$B$43&gt;0),IF(Inputs!$B$43&lt;=0,0,(INT(Inputs!$B$43/IF(Inputs!$B$38="pvp",15,MAX(0.1,Skills!D16-IF(Skills!E16=TRUE,Inputs!$B$32,0))))+1)),0)</f>
        <v/>
      </c>
      <c r="S1086" t="n">
        <v>0</v>
      </c>
      <c r="U1086" t="n">
        <v>0</v>
      </c>
    </row>
    <row r="1087">
      <c r="A1087">
        <f>Skills!A17</f>
        <v/>
      </c>
      <c r="B1087">
        <f>Skills!B17</f>
        <v/>
      </c>
      <c r="C1087">
        <f>Inputs!$B$3&gt;=33</f>
        <v/>
      </c>
      <c r="D1087">
        <f>IF(Skills!C17=1,60+Inputs!$B$25+Inputs!$B$29,IF(Skills!C17=2,90+Inputs!$B$26+Inputs!$B$29,IF(Skills!C17=3,120+Inputs!$B$27+Inputs!$B$29,MAX(0,(Inputs!$B$3-100)*3)+Inputs!$B$28+Inputs!$B$29)))</f>
        <v/>
      </c>
      <c r="E1087">
        <f>INDEX(FactorTable!$B$2:$Y$301, MATCH(ROUND(MIN(300,MAX(1,D1087)),0), FactorTable!$A$2:$A$301,0), Skills!L17+1)</f>
        <v/>
      </c>
      <c r="F1087">
        <f>IF(Skills!M17=TRUE,(Skills!K17/10)*(E1087/1000),Skills!K17/10)+Skills!N17</f>
        <v/>
      </c>
      <c r="G1087">
        <f>Calc!G17</f>
        <v/>
      </c>
      <c r="H1087">
        <f>Calc!H17</f>
        <v/>
      </c>
      <c r="I1087">
        <f>IF(Skills!T17&lt;&gt;"",1+(Skills!T17/10)*(Z1073/1000)/100,1)</f>
        <v/>
      </c>
      <c r="J1087" t="inlineStr"/>
      <c r="K1087" t="inlineStr"/>
      <c r="L1087" t="inlineStr"/>
      <c r="M1087" t="inlineStr"/>
      <c r="N1087" t="inlineStr"/>
      <c r="O1087">
        <f>(1-Summary!$B$11)*S1087+Summary!$B$11*U1087</f>
        <v/>
      </c>
      <c r="P1087">
        <f>IF(B1107=0,0,O1087/B1107)</f>
        <v/>
      </c>
      <c r="Q1087">
        <f>IFERROR(1/IF(Inputs!$B$38="pvp",15,MAX(0.1,Skills!D17-IF(Skills!E17=TRUE,Inputs!$B$32,0))),0)</f>
        <v/>
      </c>
      <c r="R1087" t="n">
        <v>0</v>
      </c>
      <c r="S1087" t="n">
        <v>0</v>
      </c>
      <c r="U1087" t="n">
        <v>0</v>
      </c>
    </row>
    <row r="1088">
      <c r="A1088">
        <f>Skills!A18</f>
        <v/>
      </c>
      <c r="B1088">
        <f>Skills!B18</f>
        <v/>
      </c>
      <c r="C1088">
        <f>Inputs!$B$3&gt;=43</f>
        <v/>
      </c>
      <c r="D1088">
        <f>IF(Skills!C18=1,60+Inputs!$B$25+Inputs!$B$29,IF(Skills!C18=2,90+Inputs!$B$26+Inputs!$B$29,IF(Skills!C18=3,120+Inputs!$B$27+Inputs!$B$29,MAX(0,(Inputs!$B$3-100)*3)+Inputs!$B$28+Inputs!$B$29)))</f>
        <v/>
      </c>
      <c r="E1088">
        <f>INDEX(FactorTable!$B$2:$Y$301, MATCH(ROUND(MIN(300,MAX(1,D1088)),0), FactorTable!$A$2:$A$301,0), Skills!L18+1)</f>
        <v/>
      </c>
      <c r="F1088">
        <f>IF(Skills!M18=TRUE,(Skills!K18/10)*(E1088/1000),Skills!K18/10)+Skills!N18</f>
        <v/>
      </c>
      <c r="G1088">
        <f>Calc!G18</f>
        <v/>
      </c>
      <c r="H1088">
        <f>Calc!H18</f>
        <v/>
      </c>
      <c r="I1088">
        <f>IF(Skills!T18&lt;&gt;"",1+(Skills!T18/10)*(Z1073/1000)/100,1)</f>
        <v/>
      </c>
      <c r="J1088" t="inlineStr"/>
      <c r="K1088" t="inlineStr"/>
      <c r="L1088" t="inlineStr"/>
      <c r="M1088" t="inlineStr"/>
      <c r="N1088" t="inlineStr"/>
      <c r="O1088">
        <f>(1-Summary!$B$11)*S1088+Summary!$B$11*U1088</f>
        <v/>
      </c>
      <c r="P1088">
        <f>IF(B1107=0,0,O1088/B1107)</f>
        <v/>
      </c>
      <c r="Q1088">
        <f>IFERROR(1/IF(Inputs!$B$38="pvp",15,MAX(0.1,Skills!D18-IF(Skills!E18=TRUE,Inputs!$B$32,0))),0)</f>
        <v/>
      </c>
      <c r="R1088" t="n">
        <v>0</v>
      </c>
      <c r="S1088" t="n">
        <v>0</v>
      </c>
      <c r="U1088" t="n">
        <v>0</v>
      </c>
    </row>
    <row r="1089">
      <c r="A1089">
        <f>Skills!A19</f>
        <v/>
      </c>
      <c r="B1089">
        <f>Skills!B19</f>
        <v/>
      </c>
      <c r="C1089">
        <f>Inputs!$B$3&gt;=50</f>
        <v/>
      </c>
      <c r="D1089">
        <f>IF(Skills!C19=1,60+Inputs!$B$25+Inputs!$B$29,IF(Skills!C19=2,90+Inputs!$B$26+Inputs!$B$29,IF(Skills!C19=3,120+Inputs!$B$27+Inputs!$B$29,MAX(0,(Inputs!$B$3-100)*3)+Inputs!$B$28+Inputs!$B$29)))</f>
        <v/>
      </c>
      <c r="E1089">
        <f>INDEX(FactorTable!$B$2:$Y$301, MATCH(ROUND(MIN(300,MAX(1,D1089)),0), FactorTable!$A$2:$A$301,0), Skills!L19+1)</f>
        <v/>
      </c>
      <c r="F1089">
        <f>IF(Skills!M19=TRUE,(Skills!K19/10)*(E1089/1000),Skills!K19/10)+Skills!N19</f>
        <v/>
      </c>
      <c r="G1089">
        <f>Calc!G19</f>
        <v/>
      </c>
      <c r="H1089">
        <f>Calc!H19</f>
        <v/>
      </c>
      <c r="I1089">
        <f>IF(Skills!T19&lt;&gt;"",1+(Skills!T19/10)*(Z1073/1000)/100,1)</f>
        <v/>
      </c>
      <c r="J1089" t="inlineStr"/>
      <c r="K1089" t="inlineStr"/>
      <c r="L1089" t="inlineStr"/>
      <c r="M1089" t="inlineStr"/>
      <c r="N1089" t="inlineStr"/>
      <c r="O1089">
        <f>(1-Summary!$B$11)*S1089+Summary!$B$11*U1089</f>
        <v/>
      </c>
      <c r="P1089">
        <f>IF(B1107=0,0,O1089/B1107)</f>
        <v/>
      </c>
      <c r="Q1089">
        <f>IFERROR(1/IF(Inputs!$B$38="pvp",15,MAX(0.1,Skills!D19-IF(Skills!E19=TRUE,Inputs!$B$32,0))),0)</f>
        <v/>
      </c>
      <c r="R1089" t="n">
        <v>0</v>
      </c>
      <c r="S1089" t="n">
        <v>0</v>
      </c>
      <c r="U1089" t="n">
        <v>0</v>
      </c>
    </row>
    <row r="1090">
      <c r="A1090">
        <f>Skills!A20</f>
        <v/>
      </c>
      <c r="B1090">
        <f>Skills!B20</f>
        <v/>
      </c>
      <c r="C1090">
        <f>Inputs!$B$3&gt;=74</f>
        <v/>
      </c>
      <c r="D1090">
        <f>IF(Skills!C20=1,60+Inputs!$B$25+Inputs!$B$29,IF(Skills!C20=2,90+Inputs!$B$26+Inputs!$B$29,IF(Skills!C20=3,120+Inputs!$B$27+Inputs!$B$29,MAX(0,(Inputs!$B$3-100)*3)+Inputs!$B$28+Inputs!$B$29)))</f>
        <v/>
      </c>
      <c r="E1090">
        <f>INDEX(FactorTable!$B$2:$Y$301, MATCH(ROUND(MIN(300,MAX(1,D1090)),0), FactorTable!$A$2:$A$301,0), Skills!L20+1)</f>
        <v/>
      </c>
      <c r="F1090">
        <f>IF(Skills!M20=TRUE,(Skills!K20/10)*(E1090/1000),Skills!K20/10)+Skills!N20</f>
        <v/>
      </c>
      <c r="G1090">
        <f>Calc!G20</f>
        <v/>
      </c>
      <c r="H1090">
        <f>Calc!H20</f>
        <v/>
      </c>
      <c r="I1090">
        <f>IF(Skills!T20&lt;&gt;"",1+(Skills!T20/10)*(Z1073/1000)/100,1)</f>
        <v/>
      </c>
      <c r="J1090" t="inlineStr"/>
      <c r="K1090" t="inlineStr"/>
      <c r="L1090" t="inlineStr"/>
      <c r="M1090" t="inlineStr"/>
      <c r="N1090" t="inlineStr"/>
      <c r="O1090">
        <f>(1-Summary!$B$11)*S1090+Summary!$B$11*U1090</f>
        <v/>
      </c>
      <c r="P1090">
        <f>IF(B1107=0,0,O1090/B1107)</f>
        <v/>
      </c>
      <c r="Q1090">
        <f>IFERROR(1/IF(Inputs!$B$38="pvp",15,MAX(0.1,Skills!D20-IF(Skills!E20=TRUE,Inputs!$B$32,0))),0)</f>
        <v/>
      </c>
      <c r="R1090" t="n">
        <v>0</v>
      </c>
      <c r="S1090" t="n">
        <v>0</v>
      </c>
      <c r="U1090" t="n">
        <v>0</v>
      </c>
    </row>
    <row r="1091">
      <c r="A1091">
        <f>Skills!A21</f>
        <v/>
      </c>
      <c r="B1091">
        <f>Skills!B21</f>
        <v/>
      </c>
      <c r="C1091">
        <f>Inputs!$B$3&gt;=74</f>
        <v/>
      </c>
      <c r="D1091">
        <f>IF(Skills!C21=1,60+Inputs!$B$25+Inputs!$B$29,IF(Skills!C21=2,90+Inputs!$B$26+Inputs!$B$29,IF(Skills!C21=3,120+Inputs!$B$27+Inputs!$B$29,MAX(0,(Inputs!$B$3-100)*3)+Inputs!$B$28+Inputs!$B$29)))</f>
        <v/>
      </c>
      <c r="E1091">
        <f>INDEX(FactorTable!$B$2:$Y$301, MATCH(ROUND(MIN(300,MAX(1,D1091)),0), FactorTable!$A$2:$A$301,0), Skills!L21+1)</f>
        <v/>
      </c>
      <c r="F1091">
        <f>IF(Skills!M21=TRUE,(Skills!K21/10)*(E1091/1000),Skills!K21/10)+Skills!N21</f>
        <v/>
      </c>
      <c r="G1091">
        <f>Calc!G21</f>
        <v/>
      </c>
      <c r="H1091">
        <f>Calc!H21</f>
        <v/>
      </c>
      <c r="I1091">
        <f>IF(Skills!T21&lt;&gt;"",1+(Skills!T21/10)*(Z1073/1000)/100,1)</f>
        <v/>
      </c>
      <c r="J1091" t="inlineStr"/>
      <c r="K1091" t="inlineStr"/>
      <c r="L1091" t="inlineStr"/>
      <c r="M1091" t="inlineStr"/>
      <c r="N1091" t="inlineStr"/>
      <c r="O1091">
        <f>(1-Summary!$B$11)*S1091+Summary!$B$11*U1091</f>
        <v/>
      </c>
      <c r="P1091">
        <f>IF(B1107=0,0,O1091/B1107)</f>
        <v/>
      </c>
      <c r="Q1091">
        <f>IFERROR(1/IF(Inputs!$B$38="pvp",15,MAX(0.1,Skills!D21-IF(Skills!E21=TRUE,Inputs!$B$32,0))),0)</f>
        <v/>
      </c>
      <c r="R1091" t="n">
        <v>0</v>
      </c>
      <c r="S1091" t="n">
        <v>0</v>
      </c>
      <c r="U1091" t="n">
        <v>0</v>
      </c>
    </row>
    <row r="1092">
      <c r="A1092">
        <f>Skills!A22</f>
        <v/>
      </c>
      <c r="B1092">
        <f>Skills!B22</f>
        <v/>
      </c>
      <c r="C1092">
        <f>Inputs!$B$3&gt;=117</f>
        <v/>
      </c>
      <c r="D1092">
        <f>IF(Skills!C22=1,60+Inputs!$B$25+Inputs!$B$29,IF(Skills!C22=2,90+Inputs!$B$26+Inputs!$B$29,IF(Skills!C22=3,120+Inputs!$B$27+Inputs!$B$29,MAX(0,(Inputs!$B$3-100)*3)+Inputs!$B$28+Inputs!$B$29)))</f>
        <v/>
      </c>
      <c r="E1092">
        <f>INDEX(FactorTable!$B$2:$Y$301, MATCH(ROUND(MIN(300,MAX(1,D1092)),0), FactorTable!$A$2:$A$301,0), Skills!L22+1)</f>
        <v/>
      </c>
      <c r="F1092">
        <f>IF(Skills!M22=TRUE,(Skills!K22/10)*(E1092/1000),Skills!K22/10)+Skills!N22</f>
        <v/>
      </c>
      <c r="G1092">
        <f>Calc!G22</f>
        <v/>
      </c>
      <c r="H1092">
        <f>Calc!H22</f>
        <v/>
      </c>
      <c r="I1092">
        <f>IF(Skills!T22&lt;&gt;"",1+(Skills!T22/10)*(Z1073/1000)/100,1)</f>
        <v/>
      </c>
      <c r="J1092" t="inlineStr"/>
      <c r="K1092" t="inlineStr"/>
      <c r="L1092" t="inlineStr"/>
      <c r="M1092" t="inlineStr"/>
      <c r="N1092" t="inlineStr"/>
      <c r="O1092">
        <f>(1-Summary!$B$11)*S1092+Summary!$B$11*U1092</f>
        <v/>
      </c>
      <c r="P1092">
        <f>IF(B1107=0,0,O1092/B1107)</f>
        <v/>
      </c>
      <c r="Q1092">
        <f>IFERROR(1/IF(Inputs!$B$38="pvp",15,MAX(0.1,Skills!D22-IF(Skills!E22=TRUE,Inputs!$B$32,0))),0)</f>
        <v/>
      </c>
      <c r="R1092" t="n">
        <v>0</v>
      </c>
      <c r="S1092" t="n">
        <v>0</v>
      </c>
      <c r="U1092" t="n">
        <v>0</v>
      </c>
    </row>
    <row r="1093">
      <c r="A1093">
        <f>Skills!A23</f>
        <v/>
      </c>
      <c r="B1093">
        <f>Skills!B23</f>
        <v/>
      </c>
      <c r="C1093">
        <f>Inputs!$B$3&gt;=120</f>
        <v/>
      </c>
      <c r="D1093">
        <f>IF(Skills!C23=1,60+Inputs!$B$25+Inputs!$B$29,IF(Skills!C23=2,90+Inputs!$B$26+Inputs!$B$29,IF(Skills!C23=3,120+Inputs!$B$27+Inputs!$B$29,MAX(0,(Inputs!$B$3-100)*3)+Inputs!$B$28+Inputs!$B$29)))</f>
        <v/>
      </c>
      <c r="E1093">
        <f>INDEX(FactorTable!$B$2:$Y$301, MATCH(ROUND(MIN(300,MAX(1,D1093)),0), FactorTable!$A$2:$A$301,0), Skills!L23+1)</f>
        <v/>
      </c>
      <c r="F1093">
        <f>IF(Skills!M23=TRUE,(Skills!K23/10)*(E1093/1000),Skills!K23/10)+Skills!N23</f>
        <v/>
      </c>
      <c r="G1093">
        <f>Calc!G23</f>
        <v/>
      </c>
      <c r="H1093">
        <f>Calc!H23</f>
        <v/>
      </c>
      <c r="I1093">
        <f>IF(Skills!T23&lt;&gt;"",1+(Skills!T23/10)*(Z1073/1000)/100,1)</f>
        <v/>
      </c>
      <c r="J1093" t="inlineStr"/>
      <c r="K1093" t="inlineStr"/>
      <c r="L1093" t="inlineStr"/>
      <c r="M1093" t="inlineStr"/>
      <c r="N1093" t="inlineStr"/>
      <c r="O1093">
        <f>(1-Summary!$B$11)*S1093+Summary!$B$11*U1093</f>
        <v/>
      </c>
      <c r="P1093">
        <f>IF(B1107=0,0,O1093/B1107)</f>
        <v/>
      </c>
      <c r="Q1093">
        <f>IFERROR(1/IF(Inputs!$B$38="pvp",15,MAX(0.1,Skills!D23-IF(Skills!E23=TRUE,Inputs!$B$32,0))),0)</f>
        <v/>
      </c>
      <c r="R1093" t="n">
        <v>0</v>
      </c>
      <c r="S1093" t="n">
        <v>0</v>
      </c>
      <c r="U1093" t="n">
        <v>0</v>
      </c>
    </row>
    <row r="1094">
      <c r="A1094">
        <f>Skills!A24</f>
        <v/>
      </c>
      <c r="B1094">
        <f>Skills!B24</f>
        <v/>
      </c>
      <c r="C1094">
        <f>TRUE</f>
        <v/>
      </c>
      <c r="D1094">
        <f>IF(Skills!C24=1,60+Inputs!$B$25+Inputs!$B$29,IF(Skills!C24=2,90+Inputs!$B$26+Inputs!$B$29,IF(Skills!C24=3,120+Inputs!$B$27+Inputs!$B$29,MAX(0,(Inputs!$B$3-100)*3)+Inputs!$B$28+Inputs!$B$29)))</f>
        <v/>
      </c>
      <c r="E1094">
        <f>INDEX(FactorTable!$B$2:$Y$301, MATCH(ROUND(MIN(300,MAX(1,D1094)),0), FactorTable!$A$2:$A$301,0), Skills!L24+1)</f>
        <v/>
      </c>
      <c r="F1094">
        <f>IF(Skills!M24=TRUE,(Skills!K24/10)*(E1094/1000),Skills!K24/10)+Skills!N24</f>
        <v/>
      </c>
      <c r="G1094">
        <f>Calc!G24</f>
        <v/>
      </c>
      <c r="H1094">
        <f>Calc!H24</f>
        <v/>
      </c>
      <c r="I1094">
        <f>IF(Skills!T24&lt;&gt;"",1+(Skills!T24/10)*(Z1073/1000)/100,1)</f>
        <v/>
      </c>
      <c r="J1094" t="inlineStr"/>
      <c r="K1094" t="inlineStr"/>
      <c r="L1094" t="inlineStr"/>
      <c r="M1094" t="inlineStr"/>
      <c r="N1094" t="inlineStr"/>
      <c r="O1094">
        <f>(1-Summary!$B$11)*S1094+Summary!$B$11*U1094</f>
        <v/>
      </c>
      <c r="P1094">
        <f>IF(B1107=0,0,O1094/B1107)</f>
        <v/>
      </c>
      <c r="Q1094">
        <f>IFERROR(1/IF(Inputs!$B$38="pvp",15,MAX(0.1,Skills!D24-IF(Skills!E24=TRUE,Inputs!$B$32,0))),0)</f>
        <v/>
      </c>
      <c r="R1094">
        <f>IF(AND(Inputs!$B$38&lt;&gt;"pvp",Inputs!$B$43&gt;0),IF(Inputs!$B$43&lt;=0,0,(INT(Inputs!$B$43/IF(Inputs!$B$38="pvp",15,MAX(0.1,Skills!D24-IF(Skills!E24=TRUE,Inputs!$B$32,0))))+1)),0)</f>
        <v/>
      </c>
      <c r="S1094" t="n">
        <v>0</v>
      </c>
      <c r="U1094" t="n">
        <v>0</v>
      </c>
    </row>
    <row r="1097">
      <c r="A1097" t="inlineStr">
        <is>
          <t>Average Buff Multiplier (Magic Guard + Meditation + Artifact Attack%, summed; then Infinity)</t>
        </is>
      </c>
      <c r="B1097">
        <f>(1+(IF(C1073=TRUE,F1073*IF(AND(Inputs!$B$38&lt;&gt;"pvp",Inputs!$B$43&gt;0),(((R1073-1)*(Skills!S3*(1+(Inputs!$B$34)/100))+MIN((Skills!S3*(1+(Inputs!$B$34)/100)),MAX(0,Inputs!$B$43-((R1073-1)*Skills!D3))))/Inputs!$B$43),IF(Inputs!$B$38="pvp",MIN((Skills!S3*(1+(Inputs!$B$34)/100)),15)/15,(Skills!S3*(1+(Inputs!$B$34)/100))/Skills!D3)),0)+IF(C1074=TRUE,F1074*IF(AND(Inputs!$B$38&lt;&gt;"pvp",Inputs!$B$43&gt;0),(((R1074-1)*(Skills!S4*(1+(Inputs!$B$34)/100))+MIN((Skills!S4*(1+(Inputs!$B$34)/100)),MAX(0,Inputs!$B$43-((R1074-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1086=TRUE,(1+F1086*IF(AND(Inputs!$B$38&lt;&gt;"pvp",Inputs!$B$43&gt;0),(((R1086-1)*(Skills!S16*(1+(Inputs!$B$34)/100))+MIN((Skills!S16*(1+(Inputs!$B$34)/100)),MAX(0,Inputs!$B$43-((R1086-1)*Skills!D16))))/Inputs!$B$43),IF(Inputs!$B$38="pvp",MIN((Skills!S16*(1+(Inputs!$B$34)/100)),15)/15,(Skills!S16*(1+(Inputs!$B$34)/100))/Skills!D16))/100),1)</f>
        <v/>
      </c>
    </row>
    <row r="1098">
      <c r="A1098" t="inlineStr">
        <is>
          <t>Monster Damage Taken Bonus % (Freezing Breath - Weaken + Elemental Reset + Artifact Enemy Damage Taken, summed)</t>
        </is>
      </c>
      <c r="B1098">
        <f>IF(Inputs!$B$3&gt;=118,15*IF(Inputs!$B$38="pvp",MIN((30*(1+(Inputs!$B$34)/100)),15)/15,(30*(1+(Inputs!$B$34)/100))/Skills!D8),0)+IF(C1084=TRUE,F1084,0)+(IF(AND(ArtifactsInput!$M$35,Inputs!$B$4&lt;&gt;"Chapter Hunt"),CHOOSE(ArtifactsInput!$N$35+1,15,18,21,24,27,30)*(1-EXP(-(0.2*B1101)*5)),0)+IF(AND(ArtifactsInput!$M$22,Inputs!$B$4&lt;&gt;"Chapter Hunt"),CHOOSE(ArtifactsInput!$N$22+1,10,12,14,16,18,20)*((0*(((0.15*B1101*5))^0/1)+1*(((0.15*B1101*5))^1/1)+2*(((0.15*B1101*5))^2/2)+3*(((0.15*B1101*5))^3/6)+4*(((0.15*B1101*5))^4/24)+5*(((0.15*B1101*5))^5/120))/((((0.15*B1101*5))^0/1)+(((0.15*B1101*5))^1/1)+(((0.15*B1101*5))^2/2)+(((0.15*B1101*5))^3/6)+(((0.15*B1101*5))^4/24)+(((0.15*B1101*5))^5/120))),0))</f>
        <v/>
      </c>
    </row>
    <row r="1099">
      <c r="A1099" t="inlineStr">
        <is>
          <t>Damage % Bonus (Frozen Break + Frost Clutch, flat)</t>
        </is>
      </c>
      <c r="B1099">
        <f>IF(Inputs!$B$3&gt;=66,15,0)+IF(Inputs!$B$3&gt;=98,10,0)+IF(Inputs!$B$3&gt;=125,20,0)</f>
        <v/>
      </c>
    </row>
    <row r="1100">
      <c r="A1100" t="inlineStr">
        <is>
          <t>Attack Speed Bonus % (MP Eater - MP Boost, always-on + Nimble Feet, duty-cycle averaged)</t>
        </is>
      </c>
      <c r="B1100">
        <f>IF(C1083=TRUE,F1083+(F1087-Calc!F17),0)+((C1094=TRUE)*F1094*IF(AND(Inputs!$B$38&lt;&gt;"pvp",Inputs!$B$43&gt;0),(((R1094-1)*(Skills!S24*(1+(Inputs!$B$34)/100))+MIN((Skills!S24*(1+(Inputs!$B$34)/100)),MAX(0,Inputs!$B$43-((R1094-1)*Skills!D24))))/Inputs!$B$43),IF(Inputs!$B$38="pvp",MIN((Skills!S24*(1+(Inputs!$B$34)/100)),15)/15,(Skills!S24*(1+(Inputs!$B$34)/100))/Skills!D24)))</f>
        <v/>
      </c>
    </row>
    <row r="1101">
      <c r="A1101" t="inlineStr">
        <is>
          <t>Actions Per Second</t>
        </is>
      </c>
      <c r="B1101">
        <f>1+MIN(150,150*(1-(1-(Inputs!$B$11+(ArtifactsInput!$M$15-ArtifactsInput!$M$15)*CHOOSE(ArtifactsInput!$N$15+1,8,9.6,11.2,12.8,14.4,16))/150)*(1-B1100/150)))/100</f>
        <v/>
      </c>
    </row>
    <row r="1102">
      <c r="A1102" t="inlineStr">
        <is>
          <t>Skill + Buff Cast Rate</t>
        </is>
      </c>
      <c r="B1102">
        <f>IF(AND(Inputs!$B$38&lt;&gt;"pvp",Inputs!$B$43&gt;0),SUMPRODUCT((Skills!E2:E24=TRUE)*(C1072:C1094=TRUE)*R1072:R1094)/Inputs!$B$43,SUMPRODUCT((Skills!E2:E24=TRUE)*(C1072:C1094=TRUE)*Q1072:Q1094))</f>
        <v/>
      </c>
    </row>
    <row r="1103">
      <c r="A1103" t="inlineStr">
        <is>
          <t>Chain Lightning Casts Per Second</t>
        </is>
      </c>
      <c r="B1103">
        <f>MAX(0,B1101-B1102)</f>
        <v/>
      </c>
    </row>
    <row r="1104">
      <c r="A1104" t="inlineStr">
        <is>
          <t>Buff-Casting Startup Delay (s, fixed-duration only)</t>
        </is>
      </c>
      <c r="B1104">
        <f>IF(AND(Inputs!$B$38&lt;&gt;"pvp",Inputs!$B$43&gt;0),SUMPRODUCT((Skills!S2:S24&gt;0)*(Skills!E2:E24=TRUE)*(C1072:C1094=TRUE))/B1101,0)</f>
        <v/>
      </c>
    </row>
    <row r="1105">
      <c r="A1105" t="inlineStr">
        <is>
          <t>Boss-Only Total DPS (this block's swept value)</t>
        </is>
      </c>
      <c r="B1105">
        <f>SUM(S1072:S1094)</f>
        <v/>
      </c>
    </row>
    <row r="1106">
      <c r="A1106" t="inlineStr">
        <is>
          <t>Normal-Only Total DPS (this block's swept value)</t>
        </is>
      </c>
      <c r="B1106">
        <f>SUM(U1072:U1094)</f>
        <v/>
      </c>
    </row>
    <row r="1107">
      <c r="A1107" s="6" t="inlineStr">
        <is>
          <t>TOTAL DPS</t>
        </is>
      </c>
      <c r="B1107" s="6">
        <f>SUM(O1072:O1094)</f>
        <v/>
      </c>
    </row>
    <row r="1110">
      <c r="A1110" s="6" t="inlineStr">
        <is>
          <t>Stat: Pig's Ribbon (Equip)</t>
        </is>
      </c>
    </row>
    <row r="1111">
      <c r="A1111" s="5" t="inlineStr">
        <is>
          <t>Key</t>
        </is>
      </c>
      <c r="B1111" s="5" t="inlineStr">
        <is>
          <t>Name</t>
        </is>
      </c>
      <c r="C1111" s="5" t="inlineStr">
        <is>
          <t>Unlocked</t>
        </is>
      </c>
      <c r="D1111" s="5" t="inlineStr">
        <is>
          <t>InputLevel</t>
        </is>
      </c>
      <c r="E1111" s="5" t="inlineStr">
        <is>
          <t>Factor</t>
        </is>
      </c>
      <c r="F1111" s="5" t="inlineStr">
        <is>
          <t>CoefficientPercent</t>
        </is>
      </c>
      <c r="G1111" s="5" t="inlineStr">
        <is>
          <t>EffectiveHits</t>
        </is>
      </c>
      <c r="H1111" s="5" t="inlineStr">
        <is>
          <t>ProcProbability</t>
        </is>
      </c>
      <c r="I1111" s="5" t="inlineStr">
        <is>
          <t>MapleHeroMultiplier</t>
        </is>
      </c>
      <c r="J1111" s="5" t="inlineStr">
        <is>
          <t>BaseDamage</t>
        </is>
      </c>
      <c r="K1111" s="5" t="inlineStr">
        <is>
          <t>BaseHitDamage</t>
        </is>
      </c>
      <c r="L1111" s="5" t="inlineStr">
        <is>
          <t>NonCritAvg</t>
        </is>
      </c>
      <c r="M1111" s="5" t="inlineStr">
        <is>
          <t>CritAvg</t>
        </is>
      </c>
      <c r="N1111" s="5" t="inlineStr">
        <is>
          <t>ExpectedDamage(perHit)</t>
        </is>
      </c>
      <c r="O1111" s="5" t="inlineStr">
        <is>
          <t>DPS</t>
        </is>
      </c>
      <c r="P1111" s="5" t="inlineStr">
        <is>
          <t>% of Total</t>
        </is>
      </c>
      <c r="R1111" t="inlineStr">
        <is>
          <t>helpers</t>
        </is>
      </c>
    </row>
    <row r="1112">
      <c r="A1112">
        <f>Skills!A2</f>
        <v/>
      </c>
      <c r="B1112">
        <f>Skills!B2</f>
        <v/>
      </c>
      <c r="C1112">
        <f>Inputs!$B$3&gt;=100</f>
        <v/>
      </c>
      <c r="D1112" t="inlineStr"/>
      <c r="E1112" t="inlineStr"/>
      <c r="F1112">
        <f>T1114+Skills!N2</f>
        <v/>
      </c>
      <c r="G1112">
        <f>Calc!G2</f>
        <v/>
      </c>
      <c r="H1112">
        <f>Calc!H2</f>
        <v/>
      </c>
      <c r="I1112">
        <f>IF(Skills!T2&lt;&gt;"",1+(Skills!T2/10)*(Z1113/1000)/100,1)</f>
        <v/>
      </c>
      <c r="J1112">
        <f>((Inputs!$B$6*(1+Inputs!$B$7/100))+(((Inputs!$B$12*(1+Inputs!$B$13/100))-(Inputs!$B$12*(1+Inputs!$B$13/100)))+0.25*(Inputs!$B$14-Inputs!$B$14))*(1+Inputs!$B$7/100))*(F1112/100)</f>
        <v/>
      </c>
      <c r="K1112">
        <f>J1112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2="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F1128-Calc!F18),(Inputs!$B$23+(IF(ArtifactsInput!$M$15,CHOOSE(ArtifactsInput!$N$15+1,25,30,35,40,45,50)/100*(Inputs!$B$11-Inputs!$B$11),0))))/100+(Inputs!$B$23+(IF(ArtifactsInput!$M$15,CHOOSE(ArtifactsInput!$N$15+1,25,30,35,40,45,50)/100*(Inputs!$B$11-Inputs!$B$11),0)))/100)/2</f>
        <v/>
      </c>
      <c r="M1112">
        <f>L1112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(1-Summary!$B$11)*S1112+Summary!$B$11*U1112</f>
        <v/>
      </c>
      <c r="P1112">
        <f>IF(B1147=0,0,O1112/B1147)</f>
        <v/>
      </c>
      <c r="Q1112">
        <f>IFERROR(1/IF(Inputs!$B$38="pvp",15,MAX(0.1,Skills!D2-IF(Skills!E2=TRUE,Inputs!$B$32,0))),0)</f>
        <v/>
      </c>
      <c r="R1112" t="n">
        <v>0</v>
      </c>
      <c r="S1112">
        <f>IF(C1112,(Skills!F2*N1112*B1143)*IF(Inputs!$B$38="pvp",1,1+(Inputs!$B$20+Skills!O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1112*(1-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12">
        <f>MAX(0,(Inputs!$B$3-100)*3)+Inputs!$B$28+Inputs!$B$29</f>
        <v/>
      </c>
      <c r="U1112">
        <f>IF(C1112,(Skills!F2*N1112*B1143)*IF(Inputs!$B$38="pvp",1,(1+(Inputs!$B$21+Skills!P2+B1138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12">
        <f>MAX(0,(Inputs!$B$3-100)*3)+Inputs!$B$28+Inputs!$B$29</f>
        <v/>
      </c>
    </row>
    <row r="1113">
      <c r="A1113">
        <f>Skills!A3</f>
        <v/>
      </c>
      <c r="B1113">
        <f>Skills!B3</f>
        <v/>
      </c>
      <c r="C1113">
        <f>Inputs!$B$3&gt;=15</f>
        <v/>
      </c>
      <c r="D1113">
        <f>IF(Skills!C3=1,60+Inputs!$B$25+Inputs!$B$29,IF(Skills!C3=2,90+Inputs!$B$26+Inputs!$B$29,IF(Skills!C3=3,120+Inputs!$B$27+Inputs!$B$29,MAX(0,(Inputs!$B$3-100)*3)+Inputs!$B$28+Inputs!$B$29)))</f>
        <v/>
      </c>
      <c r="E1113">
        <f>INDEX(FactorTable!$B$2:$Y$301, MATCH(ROUND(MIN(300,MAX(1,D1113)),0), FactorTable!$A$2:$A$301,0), Skills!L3+1)</f>
        <v/>
      </c>
      <c r="F1113">
        <f>IF(Skills!M3=TRUE,(Skills!K3/10)*(E1113/1000),Skills!K3/10)+Skills!N3</f>
        <v/>
      </c>
      <c r="G1113">
        <f>Calc!G3</f>
        <v/>
      </c>
      <c r="H1113">
        <f>Calc!H3</f>
        <v/>
      </c>
      <c r="I1113">
        <f>IF(Skills!T3&lt;&gt;"",1+(Skills!T3/10)*(Z1113/1000)/100,1)</f>
        <v/>
      </c>
      <c r="J1113" t="inlineStr"/>
      <c r="K1113" t="inlineStr"/>
      <c r="L1113" t="inlineStr"/>
      <c r="M1113" t="inlineStr"/>
      <c r="N1113" t="inlineStr"/>
      <c r="O1113">
        <f>(1-Summary!$B$11)*S1113+Summary!$B$11*U1113</f>
        <v/>
      </c>
      <c r="P1113">
        <f>IF(B1147=0,0,O1113/B1147)</f>
        <v/>
      </c>
      <c r="Q1113">
        <f>IFERROR(1/IF(Inputs!$B$38="pvp",15,MAX(0.1,Skills!D3-IF(Skills!E3=TRUE,Inputs!$B$32,0))),0)</f>
        <v/>
      </c>
      <c r="R1113">
        <f>IF(AND(Inputs!$B$38&lt;&gt;"pvp",Inputs!$B$43&gt;0),IF(Inputs!$B$43&lt;=0,0,(INT(Inputs!$B$43/IF(Inputs!$B$38="pvp",15,MAX(0.1,Skills!D3-IF(Skills!E3=TRUE,Inputs!$B$32,0))))+1)),0)</f>
        <v/>
      </c>
      <c r="S1113" t="n">
        <v>0</v>
      </c>
      <c r="T1113">
        <f>INDEX(FactorTable!$B$2:$Y$301, MATCH(ROUND(MIN(300,MAX(1,T1112)),0), FactorTable!$A$2:$A$301,0), 22)</f>
        <v/>
      </c>
      <c r="U1113" t="n">
        <v>0</v>
      </c>
      <c r="Z1113">
        <f>INDEX(FactorTable!$B$2:$Y$301, MATCH(ROUND(MIN(300,MAX(1,Z1112)),0), FactorTable!$A$2:$A$301,0), 24)</f>
        <v/>
      </c>
    </row>
    <row r="1114">
      <c r="A1114">
        <f>Skills!A4</f>
        <v/>
      </c>
      <c r="B1114">
        <f>Skills!B4</f>
        <v/>
      </c>
      <c r="C1114">
        <f>Inputs!$B$3&gt;=40</f>
        <v/>
      </c>
      <c r="D1114">
        <f>IF(Skills!C4=1,60+Inputs!$B$25+Inputs!$B$29,IF(Skills!C4=2,90+Inputs!$B$26+Inputs!$B$29,IF(Skills!C4=3,120+Inputs!$B$27+Inputs!$B$29,MAX(0,(Inputs!$B$3-100)*3)+Inputs!$B$28+Inputs!$B$29)))</f>
        <v/>
      </c>
      <c r="E1114">
        <f>INDEX(FactorTable!$B$2:$Y$301, MATCH(ROUND(MIN(300,MAX(1,D1114)),0), FactorTable!$A$2:$A$301,0), Skills!L4+1)</f>
        <v/>
      </c>
      <c r="F1114">
        <f>IF(Skills!M4=TRUE,(Skills!K4/10)*(E1114/1000),Skills!K4/10)+Skills!N4</f>
        <v/>
      </c>
      <c r="G1114">
        <f>Calc!G4</f>
        <v/>
      </c>
      <c r="H1114">
        <f>Calc!H4</f>
        <v/>
      </c>
      <c r="I1114">
        <f>IF(Skills!T4&lt;&gt;"",1+(Skills!T4/10)*(Z1113/1000)/100,1)</f>
        <v/>
      </c>
      <c r="J1114" t="inlineStr"/>
      <c r="K1114" t="inlineStr"/>
      <c r="L1114" t="inlineStr"/>
      <c r="M1114" t="inlineStr"/>
      <c r="N1114" t="inlineStr"/>
      <c r="O1114">
        <f>(1-Summary!$B$11)*S1114+Summary!$B$11*U1114</f>
        <v/>
      </c>
      <c r="P1114">
        <f>IF(B1147=0,0,O1114/B1147)</f>
        <v/>
      </c>
      <c r="Q1114">
        <f>IFERROR(1/IF(Inputs!$B$38="pvp",15,MAX(0.1,Skills!D4-IF(Skills!E4=TRUE,Inputs!$B$32,0))),0)</f>
        <v/>
      </c>
      <c r="R1114">
        <f>IF(AND(Inputs!$B$38&lt;&gt;"pvp",Inputs!$B$43&gt;0),IF(Inputs!$B$43&lt;=0,0,(INT(Inputs!$B$43/IF(Inputs!$B$38="pvp",15,MAX(0.1,Skills!D4-IF(Skills!E4=TRUE,Inputs!$B$32,0))))+1)),0)</f>
        <v/>
      </c>
      <c r="S1114" t="n">
        <v>0</v>
      </c>
      <c r="T1114">
        <f>290*T1113/1000</f>
        <v/>
      </c>
      <c r="U1114" t="n">
        <v>0</v>
      </c>
    </row>
    <row r="1115">
      <c r="A1115">
        <f>Skills!A5</f>
        <v/>
      </c>
      <c r="B1115">
        <f>Skills!B5</f>
        <v/>
      </c>
      <c r="C1115">
        <f>Inputs!$B$3&gt;=38</f>
        <v/>
      </c>
      <c r="D1115">
        <f>IF(Skills!C5=1,60+Inputs!$B$25+Inputs!$B$29,IF(Skills!C5=2,90+Inputs!$B$26+Inputs!$B$29,IF(Skills!C5=3,120+Inputs!$B$27+Inputs!$B$29,MAX(0,(Inputs!$B$3-100)*3)+Inputs!$B$28+Inputs!$B$29)))</f>
        <v/>
      </c>
      <c r="E1115">
        <f>INDEX(FactorTable!$B$2:$Y$301, MATCH(ROUND(MIN(300,MAX(1,D1115)),0), FactorTable!$A$2:$A$301,0), Skills!L5+1)</f>
        <v/>
      </c>
      <c r="F1115">
        <f>IF(Skills!M5=TRUE,(Skills!K5/10)*(E1115/1000),Skills!K5/10)+Skills!N5</f>
        <v/>
      </c>
      <c r="G1115">
        <f>Calc!G5</f>
        <v/>
      </c>
      <c r="H1115">
        <f>Calc!H5</f>
        <v/>
      </c>
      <c r="I1115">
        <f>IF(Skills!T5&lt;&gt;"",1+(Skills!T5/10)*(Z1113/1000)/100,1)</f>
        <v/>
      </c>
      <c r="J1115">
        <f>((Inputs!$B$6*(1+Inputs!$B$7/100))+(((Inputs!$B$12*(1+Inputs!$B$13/100))-(Inputs!$B$12*(1+Inputs!$B$13/100)))+0.25*(Inputs!$B$14-Inputs!$B$14))*(1+Inputs!$B$7/100))*(F1115/100)</f>
        <v/>
      </c>
      <c r="K1115">
        <f>J1115*(1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5="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F1128-Calc!F18),(Inputs!$B$23+(IF(ArtifactsInput!$M$15,CHOOSE(ArtifactsInput!$N$15+1,25,30,35,40,45,50)/100*(Inputs!$B$11-Inputs!$B$11),0))))/100+(Inputs!$B$23+(IF(ArtifactsInput!$M$15,CHOOSE(ArtifactsInput!$N$15+1,25,30,35,40,45,50)/100*(Inputs!$B$11-Inputs!$B$11),0)))/100)/2</f>
        <v/>
      </c>
      <c r="M1115">
        <f>L1115*(1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(1-Summary!$B$11)*S1115+Summary!$B$11*U1115</f>
        <v/>
      </c>
      <c r="P1115">
        <f>IF(B1147=0,0,O1115/B1147)</f>
        <v/>
      </c>
      <c r="Q1115">
        <f>IFERROR(1/IF(Inputs!$B$38="pvp",15,MAX(0.1,Skills!D5-IF(Skills!E5=TRUE,Inputs!$B$32,0))),0)</f>
        <v/>
      </c>
      <c r="R1115">
        <f>IF(AND(Inputs!$B$38&lt;&gt;"pvp",Inputs!$B$43&gt;0),IF(MAX(0,Inputs!$B$43-B1144)&lt;=0,0,(INT(MAX(0,Inputs!$B$43-B1144)/IF(Inputs!$B$38="pvp",15,MAX(0.1,Skills!D5-IF(Skills!E5=TRUE,Inputs!$B$32,0))))+1)),0)</f>
        <v/>
      </c>
      <c r="S1115">
        <f>IF(C1115,(H1115*N1115*IF(AND(Inputs!$B$38&lt;&gt;"pvp",Inputs!$B$43&gt;0),((Skills!F5*((R1115-1)*IF(Skills!G5&gt;0,Skills!H5/Skills!G5,1)+IF(Skills!G5&gt;0,MIN(Skills!H5,MAX(0,MAX(0,Inputs!$B$43-B1144)-((R1115-1)*IF(Inputs!$B$38="pvp",15,MAX(0.1,Skills!D5-IF(Skills!E5=TRUE,Inputs!$B$32,0))))))/Skills!G5,1)))/Inputs!$B$43),G1115*Q1115))*IF(Inputs!$B$38="pvp",1,1+(Inputs!$B$20+Skills!O5+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1115*(1-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IF(C1115,(H1115*N1115*IF(AND(Inputs!$B$38&lt;&gt;"pvp",Inputs!$B$43&gt;0),((Skills!F5*((R1115-1)*IF(Skills!G5&gt;0,Skills!H5/Skills!G5,1)+IF(Skills!G5&gt;0,MIN(Skills!H5,MAX(0,MAX(0,Inputs!$B$43-B1144)-((R1115-1)*IF(Inputs!$B$38="pvp",15,MAX(0.1,Skills!D5-IF(Skills!E5=TRUE,Inputs!$B$32,0))))))/Skills!G5,1)))/Inputs!$B$43),G1115*Q1115))*IF(Inputs!$B$38="pvp",1,(1+(Inputs!$B$21+Skills!P5+B1138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Skills!A6</f>
        <v/>
      </c>
      <c r="B1116">
        <f>Skills!B6</f>
        <v/>
      </c>
      <c r="C1116">
        <f>Inputs!$B$3&gt;=63</f>
        <v/>
      </c>
      <c r="D1116">
        <f>IF(Skills!C6=1,60+Inputs!$B$25+Inputs!$B$29,IF(Skills!C6=2,90+Inputs!$B$26+Inputs!$B$29,IF(Skills!C6=3,120+Inputs!$B$27+Inputs!$B$29,MAX(0,(Inputs!$B$3-100)*3)+Inputs!$B$28+Inputs!$B$29)))</f>
        <v/>
      </c>
      <c r="E1116">
        <f>INDEX(FactorTable!$B$2:$Y$301, MATCH(ROUND(MIN(300,MAX(1,D1116)),0), FactorTable!$A$2:$A$301,0), Skills!L6+1)</f>
        <v/>
      </c>
      <c r="F1116">
        <f>IF(Skills!M6=TRUE,(Skills!K6/10)*(E1116/1000),Skills!K6/10)+Skills!N6</f>
        <v/>
      </c>
      <c r="G1116">
        <f>Calc!G6</f>
        <v/>
      </c>
      <c r="H1116">
        <f>Calc!H6</f>
        <v/>
      </c>
      <c r="I1116">
        <f>IF(Skills!T6&lt;&gt;"",1+(Skills!T6/10)*(Z1113/1000)/100,1)</f>
        <v/>
      </c>
      <c r="J1116">
        <f>((Inputs!$B$6*(1+Inputs!$B$7/100))+(((Inputs!$B$12*(1+Inputs!$B$13/100))-(Inputs!$B$12*(1+Inputs!$B$13/100)))+0.25*(Inputs!$B$14-Inputs!$B$14))*(1+Inputs!$B$7/100))*(F1116/100)</f>
        <v/>
      </c>
      <c r="K1116">
        <f>J1116*(1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6="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F1128-Calc!F18),(Inputs!$B$23+(IF(ArtifactsInput!$M$15,CHOOSE(ArtifactsInput!$N$15+1,25,30,35,40,45,50)/100*(Inputs!$B$11-Inputs!$B$11),0))))/100+(Inputs!$B$23+(IF(ArtifactsInput!$M$15,CHOOSE(ArtifactsInput!$N$15+1,25,30,35,40,45,50)/100*(Inputs!$B$11-Inputs!$B$11),0)))/100)/2</f>
        <v/>
      </c>
      <c r="M1116">
        <f>L1116*(1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(1-Summary!$B$11)*S1116+Summary!$B$11*U1116</f>
        <v/>
      </c>
      <c r="P1116">
        <f>IF(B1147=0,0,O1116/B1147)</f>
        <v/>
      </c>
      <c r="Q1116">
        <f>IFERROR(1/IF(Inputs!$B$38="pvp",15,MAX(0.1,Skills!D6-IF(Skills!E6=TRUE,Inputs!$B$32,0))),0)</f>
        <v/>
      </c>
      <c r="R1116">
        <f>IF(AND(Inputs!$B$38&lt;&gt;"pvp",Inputs!$B$43&gt;0),IF(MAX(0,Inputs!$B$43-B1144)&lt;=0,0,(INT(MAX(0,Inputs!$B$43-B1144)/IF(Inputs!$B$38="pvp",15,MAX(0.1,Skills!D6-IF(Skills!E6=TRUE,Inputs!$B$32,0))))+1)),0)</f>
        <v/>
      </c>
      <c r="S1116">
        <f>IF(C1116,(H1116*N1116*IF(AND(Inputs!$B$38&lt;&gt;"pvp",Inputs!$B$43&gt;0),((Skills!F6*((R1116-1)*IF(Skills!G6&gt;0,Skills!H6/Skills!G6,1)+IF(Skills!G6&gt;0,MIN(Skills!H6,MAX(0,MAX(0,Inputs!$B$43-B1144)-((R1116-1)*IF(Inputs!$B$38="pvp",15,MAX(0.1,Skills!D6-IF(Skills!E6=TRUE,Inputs!$B$32,0))))))/Skills!G6,1)))/Inputs!$B$43),G1116*Q1116))*IF(Inputs!$B$38="pvp",1,1+(Inputs!$B$20+Skills!O6+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1116*(1-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6">
        <f>IF(C1116,(H1116*N1116*IF(AND(Inputs!$B$38&lt;&gt;"pvp",Inputs!$B$43&gt;0),((Skills!F6*((R1116-1)*IF(Skills!G6&gt;0,Skills!H6/Skills!G6,1)+IF(Skills!G6&gt;0,MIN(Skills!H6,MAX(0,MAX(0,Inputs!$B$43-B1144)-((R1116-1)*IF(Inputs!$B$38="pvp",15,MAX(0.1,Skills!D6-IF(Skills!E6=TRUE,Inputs!$B$32,0))))))/Skills!G6,1)))/Inputs!$B$43),G1116*Q1116))*IF(Inputs!$B$38="pvp",1,(1+(Inputs!$B$21+Skills!P6+B1138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Skills!A7</f>
        <v/>
      </c>
      <c r="B1117">
        <f>Skills!B7</f>
        <v/>
      </c>
      <c r="C1117">
        <f>Inputs!$B$3&gt;=69</f>
        <v/>
      </c>
      <c r="D1117">
        <f>IF(Skills!C7=1,60+Inputs!$B$25+Inputs!$B$29,IF(Skills!C7=2,90+Inputs!$B$26+Inputs!$B$29,IF(Skills!C7=3,120+Inputs!$B$27+Inputs!$B$29,MAX(0,(Inputs!$B$3-100)*3)+Inputs!$B$28+Inputs!$B$29)))</f>
        <v/>
      </c>
      <c r="E1117">
        <f>INDEX(FactorTable!$B$2:$Y$301, MATCH(ROUND(MIN(300,MAX(1,D1117)),0), FactorTable!$A$2:$A$301,0), Skills!L7+1)</f>
        <v/>
      </c>
      <c r="F1117">
        <f>IF(Skills!M7=TRUE,(Skills!K7/10)*(E1117/1000),Skills!K7/10)+Skills!N7</f>
        <v/>
      </c>
      <c r="G1117">
        <f>Calc!G7</f>
        <v/>
      </c>
      <c r="H1117">
        <f>Calc!H7</f>
        <v/>
      </c>
      <c r="I1117">
        <f>IF(Skills!T7&lt;&gt;"",1+(Skills!T7/10)*(Z1113/1000)/100,1)</f>
        <v/>
      </c>
      <c r="J1117">
        <f>((Inputs!$B$6*(1+Inputs!$B$7/100))+(((Inputs!$B$12*(1+Inputs!$B$13/100))-(Inputs!$B$12*(1+Inputs!$B$13/100)))+0.25*(Inputs!$B$14-Inputs!$B$14))*(1+Inputs!$B$7/100))*(F1117/100)</f>
        <v/>
      </c>
      <c r="K1117">
        <f>J1117*(1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7="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F1128-Calc!F18),(Inputs!$B$23+(IF(ArtifactsInput!$M$15,CHOOSE(ArtifactsInput!$N$15+1,25,30,35,40,45,50)/100*(Inputs!$B$11-Inputs!$B$11),0))))/100+(Inputs!$B$23+(IF(ArtifactsInput!$M$15,CHOOSE(ArtifactsInput!$N$15+1,25,30,35,40,45,50)/100*(Inputs!$B$11-Inputs!$B$11),0)))/100)/2</f>
        <v/>
      </c>
      <c r="M1117">
        <f>L1117*(1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(1-Summary!$B$11)*S1117+Summary!$B$11*U1117</f>
        <v/>
      </c>
      <c r="P1117">
        <f>IF(B1147=0,0,O1117/B1147)</f>
        <v/>
      </c>
      <c r="Q1117">
        <f>IFERROR(1/IF(Inputs!$B$38="pvp",15,MAX(0.1,Skills!D7-IF(Skills!E7=TRUE,Inputs!$B$32,0))),0)</f>
        <v/>
      </c>
      <c r="R1117">
        <f>IF(AND(Inputs!$B$38&lt;&gt;"pvp",Inputs!$B$43&gt;0),IF(MAX(0,Inputs!$B$43-B1144)&lt;=0,0,(INT(MAX(0,Inputs!$B$43-B1144)/IF(Inputs!$B$38="pvp",15,MAX(0.1,Skills!D7-IF(Skills!E7=TRUE,Inputs!$B$32,0))))+1)),0)</f>
        <v/>
      </c>
      <c r="S1117">
        <f>IF(C1117,(H1117*N1117*IF(AND(Inputs!$B$38&lt;&gt;"pvp",Inputs!$B$43&gt;0),((Skills!F7*((R1117-1)*IF(Skills!G7&gt;0,Skills!H7/Skills!G7,1)+IF(Skills!G7&gt;0,MIN(Skills!H7,MAX(0,MAX(0,Inputs!$B$43-B1144)-((R1117-1)*IF(Inputs!$B$38="pvp",15,MAX(0.1,Skills!D7-IF(Skills!E7=TRUE,Inputs!$B$32,0))))))/Skills!G7,1)))/Inputs!$B$43),G1117*Q1117))*IF(Inputs!$B$38="pvp",1,1+(Inputs!$B$20+Skills!O7+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1117*(1-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7">
        <f>IF(C1117,(H1117*N1117*IF(AND(Inputs!$B$38&lt;&gt;"pvp",Inputs!$B$43&gt;0),((Skills!F7*((R1117-1)*IF(Skills!G7&gt;0,Skills!H7/Skills!G7,1)+IF(Skills!G7&gt;0,MIN(Skills!H7,MAX(0,MAX(0,Inputs!$B$43-B1144)-((R1117-1)*IF(Inputs!$B$38="pvp",15,MAX(0.1,Skills!D7-IF(Skills!E7=TRUE,Inputs!$B$32,0))))))/Skills!G7,1)))/Inputs!$B$43),G1117*Q1117))*IF(Inputs!$B$38="pvp",1,(1+(Inputs!$B$21+Skills!P7+B1138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Skills!A8</f>
        <v/>
      </c>
      <c r="B1118">
        <f>Skills!B8</f>
        <v/>
      </c>
      <c r="C1118">
        <f>Inputs!$B$3&gt;=103</f>
        <v/>
      </c>
      <c r="D1118">
        <f>IF(Skills!C8=1,60+Inputs!$B$25+Inputs!$B$29,IF(Skills!C8=2,90+Inputs!$B$26+Inputs!$B$29,IF(Skills!C8=3,120+Inputs!$B$27+Inputs!$B$29,MAX(0,(Inputs!$B$3-100)*3)+Inputs!$B$28+Inputs!$B$29)))</f>
        <v/>
      </c>
      <c r="E1118">
        <f>INDEX(FactorTable!$B$2:$Y$301, MATCH(ROUND(MIN(300,MAX(1,D1118)),0), FactorTable!$A$2:$A$301,0), Skills!L8+1)</f>
        <v/>
      </c>
      <c r="F1118">
        <f>IF(Skills!M8=TRUE,(Skills!K8/10)*(E1118/1000),Skills!K8/10)+Skills!N8</f>
        <v/>
      </c>
      <c r="G1118">
        <f>Calc!G8</f>
        <v/>
      </c>
      <c r="H1118">
        <f>Calc!H8</f>
        <v/>
      </c>
      <c r="I1118">
        <f>IF(Skills!T8&lt;&gt;"",1+(Skills!T8/10)*(Z1113/1000)/100,1)</f>
        <v/>
      </c>
      <c r="J1118">
        <f>((Inputs!$B$6*(1+Inputs!$B$7/100))+(((Inputs!$B$12*(1+Inputs!$B$13/100))-(Inputs!$B$12*(1+Inputs!$B$13/100)))+0.25*(Inputs!$B$14-Inputs!$B$14))*(1+Inputs!$B$7/100))*(F1118/100)</f>
        <v/>
      </c>
      <c r="K1118">
        <f>J1118*(1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8="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F1128-Calc!F18),(Inputs!$B$23+(IF(ArtifactsInput!$M$15,CHOOSE(ArtifactsInput!$N$15+1,25,30,35,40,45,50)/100*(Inputs!$B$11-Inputs!$B$11),0))))/100+(Inputs!$B$23+(IF(ArtifactsInput!$M$15,CHOOSE(ArtifactsInput!$N$15+1,25,30,35,40,45,50)/100*(Inputs!$B$11-Inputs!$B$11),0)))/100)/2</f>
        <v/>
      </c>
      <c r="M1118">
        <f>L1118*(1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(1-Summary!$B$11)*S1118+Summary!$B$11*U1118</f>
        <v/>
      </c>
      <c r="P1118">
        <f>IF(B1147=0,0,O1118/B1147)</f>
        <v/>
      </c>
      <c r="Q1118">
        <f>IFERROR(1/IF(Inputs!$B$38="pvp",15,MAX(0.1,Skills!D8-IF(Skills!E8=TRUE,Inputs!$B$32,0))),0)</f>
        <v/>
      </c>
      <c r="R1118">
        <f>IF(AND(Inputs!$B$38&lt;&gt;"pvp",Inputs!$B$43&gt;0),IF(MAX(0,Inputs!$B$43-B1144)&lt;=0,0,(INT(MAX(0,Inputs!$B$43-B1144)/IF(Inputs!$B$38="pvp",15,MAX(0.1,Skills!D8-IF(Skills!E8=TRUE,Inputs!$B$32,0))))+1)),0)</f>
        <v/>
      </c>
      <c r="S1118">
        <f>IF(C1118,(H1118*N1118*IF(AND(Inputs!$B$38&lt;&gt;"pvp",Inputs!$B$43&gt;0),((Skills!F8*((R1118-1)*IF(Skills!G8&gt;0,Skills!H8/Skills!G8,1)+IF(Skills!G8&gt;0,MIN(Skills!H8,MAX(0,MAX(0,Inputs!$B$43-B1144)-((R1118-1)*IF(Inputs!$B$38="pvp",15,MAX(0.1,Skills!D8-IF(Skills!E8=TRUE,Inputs!$B$32,0))))))/Skills!G8,1)))/Inputs!$B$43),G1118*Q1118))*IF(Inputs!$B$38="pvp",1,1+(Inputs!$B$20+Skills!O8+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1118*(1-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8">
        <f>IF(C1118,(H1118*N1118*IF(AND(Inputs!$B$38&lt;&gt;"pvp",Inputs!$B$43&gt;0),((Skills!F8*((R1118-1)*IF(Skills!G8&gt;0,Skills!H8/Skills!G8,1)+IF(Skills!G8&gt;0,MIN(Skills!H8,MAX(0,MAX(0,Inputs!$B$43-B1144)-((R1118-1)*IF(Inputs!$B$38="pvp",15,MAX(0.1,Skills!D8-IF(Skills!E8=TRUE,Inputs!$B$32,0))))))/Skills!G8,1)))/Inputs!$B$43),G1118*Q1118))*IF(Inputs!$B$38="pvp",1,(1+(Inputs!$B$21+Skills!P8+B1138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Skills!A9</f>
        <v/>
      </c>
      <c r="B1119">
        <f>Skills!B9</f>
        <v/>
      </c>
      <c r="C1119">
        <f>Inputs!$B$3&gt;=105</f>
        <v/>
      </c>
      <c r="D1119">
        <f>IF(Skills!C9=1,60+Inputs!$B$25+Inputs!$B$29,IF(Skills!C9=2,90+Inputs!$B$26+Inputs!$B$29,IF(Skills!C9=3,120+Inputs!$B$27+Inputs!$B$29,MAX(0,(Inputs!$B$3-100)*3)+Inputs!$B$28+Inputs!$B$29)))</f>
        <v/>
      </c>
      <c r="E1119">
        <f>INDEX(FactorTable!$B$2:$Y$301, MATCH(ROUND(MIN(300,MAX(1,D1119)),0), FactorTable!$A$2:$A$301,0), Skills!L9+1)</f>
        <v/>
      </c>
      <c r="F1119">
        <f>IF(Skills!M9=TRUE,(Skills!K9/10)*(E1119/1000),Skills!K9/10)+Skills!N9</f>
        <v/>
      </c>
      <c r="G1119">
        <f>Calc!G9</f>
        <v/>
      </c>
      <c r="H1119">
        <f>Calc!H9</f>
        <v/>
      </c>
      <c r="I1119">
        <f>IF(Skills!T9&lt;&gt;"",1+(Skills!T9/10)*(Z1113/1000)/100,1)</f>
        <v/>
      </c>
      <c r="J1119">
        <f>((Inputs!$B$6*(1+Inputs!$B$7/100))+(((Inputs!$B$12*(1+Inputs!$B$13/100))-(Inputs!$B$12*(1+Inputs!$B$13/100)))+0.25*(Inputs!$B$14-Inputs!$B$14))*(1+Inputs!$B$7/100))*(F1119/100)</f>
        <v/>
      </c>
      <c r="K1119">
        <f>J1119*(1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9="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F1128-Calc!F18),(Inputs!$B$23+(IF(ArtifactsInput!$M$15,CHOOSE(ArtifactsInput!$N$15+1,25,30,35,40,45,50)/100*(Inputs!$B$11-Inputs!$B$11),0))))/100+(Inputs!$B$23+(IF(ArtifactsInput!$M$15,CHOOSE(ArtifactsInput!$N$15+1,25,30,35,40,45,50)/100*(Inputs!$B$11-Inputs!$B$11),0)))/100)/2</f>
        <v/>
      </c>
      <c r="M1119">
        <f>L1119*(1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(1-Summary!$B$11)*S1119+Summary!$B$11*U1119</f>
        <v/>
      </c>
      <c r="P1119">
        <f>IF(B1147=0,0,O1119/B1147)</f>
        <v/>
      </c>
      <c r="Q1119">
        <f>IFERROR(1/IF(Inputs!$B$38="pvp",15,MAX(0.1,Skills!D9-IF(Skills!E9=TRUE,Inputs!$B$32,0))),0)</f>
        <v/>
      </c>
      <c r="R1119">
        <f>IF(AND(Inputs!$B$38&lt;&gt;"pvp",Inputs!$B$43&gt;0),IF(MAX(0,Inputs!$B$43-B1144)&lt;=0,0,(INT(MAX(0,Inputs!$B$43-B1144)/IF(Inputs!$B$38="pvp",15,MAX(0.1,Skills!D9-IF(Skills!E9=TRUE,Inputs!$B$32,0))))+1)),0)</f>
        <v/>
      </c>
      <c r="S1119">
        <f>IF(C1119,(H1119*N1119*IF(AND(Inputs!$B$38&lt;&gt;"pvp",Inputs!$B$43&gt;0),((Skills!F9*((R1119-1)*IF(Skills!G9&gt;0,Skills!H9/Skills!G9,1)+IF(Skills!G9&gt;0,MIN(Skills!H9,MAX(0,MAX(0,Inputs!$B$43-B1144)-((R1119-1)*IF(Inputs!$B$38="pvp",15,MAX(0.1,Skills!D9-IF(Skills!E9=TRUE,Inputs!$B$32,0))))))/Skills!G9,1)))/Inputs!$B$43),G1119*Q1119))*IF(Inputs!$B$38="pvp",1,1+(Inputs!$B$20+Skills!O9+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1119*(1-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9">
        <f>IF(C1119,(H1119*N1119*IF(AND(Inputs!$B$38&lt;&gt;"pvp",Inputs!$B$43&gt;0),((Skills!F9*((R1119-1)*IF(Skills!G9&gt;0,Skills!H9/Skills!G9,1)+IF(Skills!G9&gt;0,MIN(Skills!H9,MAX(0,MAX(0,Inputs!$B$43-B1144)-((R1119-1)*IF(Inputs!$B$38="pvp",15,MAX(0.1,Skills!D9-IF(Skills!E9=TRUE,Inputs!$B$32,0))))))/Skills!G9,1)))/Inputs!$B$43),G1119*Q1119))*IF(Inputs!$B$38="pvp",1,(1+(Inputs!$B$21+Skills!P9+B1138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Skills!A10</f>
        <v/>
      </c>
      <c r="B1120">
        <f>Skills!B10</f>
        <v/>
      </c>
      <c r="C1120">
        <f>Inputs!$B$3&gt;=113</f>
        <v/>
      </c>
      <c r="D1120">
        <f>IF(Skills!C10=1,60+Inputs!$B$25+Inputs!$B$29,IF(Skills!C10=2,90+Inputs!$B$26+Inputs!$B$29,IF(Skills!C10=3,120+Inputs!$B$27+Inputs!$B$29,MAX(0,(Inputs!$B$3-100)*3)+Inputs!$B$28+Inputs!$B$29)))</f>
        <v/>
      </c>
      <c r="E1120">
        <f>INDEX(FactorTable!$B$2:$Y$301, MATCH(ROUND(MIN(300,MAX(1,D1120)),0), FactorTable!$A$2:$A$301,0), Skills!L10+1)</f>
        <v/>
      </c>
      <c r="F1120">
        <f>IF(Skills!M10=TRUE,(Skills!K10/10)*(E1120/1000),Skills!K10/10)+Skills!N10</f>
        <v/>
      </c>
      <c r="G1120">
        <f>Calc!G10</f>
        <v/>
      </c>
      <c r="H1120">
        <f>Calc!H10</f>
        <v/>
      </c>
      <c r="I1120">
        <f>IF(Skills!T10&lt;&gt;"",1+(Skills!T10/10)*(Z1113/1000)/100,1)</f>
        <v/>
      </c>
      <c r="J1120">
        <f>((Inputs!$B$6*(1+Inputs!$B$7/100))+(((Inputs!$B$12*(1+Inputs!$B$13/100))-(Inputs!$B$12*(1+Inputs!$B$13/100)))+0.25*(Inputs!$B$14-Inputs!$B$14))*(1+Inputs!$B$7/100))*(F1120/100)</f>
        <v/>
      </c>
      <c r="K1120">
        <f>J1120*(1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10="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F1128-Calc!F18),(Inputs!$B$23+(IF(ArtifactsInput!$M$15,CHOOSE(ArtifactsInput!$N$15+1,25,30,35,40,45,50)/100*(Inputs!$B$11-Inputs!$B$11),0))))/100+(Inputs!$B$23+(IF(ArtifactsInput!$M$15,CHOOSE(ArtifactsInput!$N$15+1,25,30,35,40,45,50)/100*(Inputs!$B$11-Inputs!$B$11),0)))/100)/2</f>
        <v/>
      </c>
      <c r="M1120">
        <f>L1120*(1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(1-Summary!$B$11)*S1120+Summary!$B$11*U1120</f>
        <v/>
      </c>
      <c r="P1120">
        <f>IF(B1147=0,0,O1120/B1147)</f>
        <v/>
      </c>
      <c r="Q1120">
        <f>IFERROR(1/IF(Inputs!$B$38="pvp",15,MAX(0.1,Skills!D10-IF(Skills!E9=TRUE,Inputs!$B$32,0))),0)</f>
        <v/>
      </c>
      <c r="R1120">
        <f>IF(AND(Inputs!$B$38&lt;&gt;"pvp",Inputs!$B$43&gt;0),IF(MAX(0,Inputs!$B$43-B1144)&lt;=0,0,(INT(MAX(0,Inputs!$B$43-B1144)/IF(Inputs!$B$38="pvp",15,MAX(0.1,Skills!D10-IF(Skills!E9=TRUE,Inputs!$B$32,0))))+1)),0)</f>
        <v/>
      </c>
      <c r="S1120">
        <f>IF(C1120,(H1120*N1120*IF(AND(Inputs!$B$38&lt;&gt;"pvp",Inputs!$B$43&gt;0),((Skills!F10*((R1120-1)*IF(Skills!G10&gt;0,Skills!H10/Skills!G10,1)+IF(Skills!G10&gt;0,MIN(Skills!H10,MAX(0,MAX(0,Inputs!$B$43-B1144)-((R1120-1)*IF(Inputs!$B$38="pvp",15,MAX(0.1,Skills!D10-IF(Skills!E9=TRUE,Inputs!$B$32,0))))))/Skills!G10,1)))/Inputs!$B$43),G1120*Q1120))*IF(Inputs!$B$38="pvp",1,1+(Inputs!$B$20+Skills!O10+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1120*(1-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0">
        <f>IF(C1120,(H1120*N1120*IF(AND(Inputs!$B$38&lt;&gt;"pvp",Inputs!$B$43&gt;0),((Skills!F10*((R1120-1)*IF(Skills!G10&gt;0,Skills!H10/Skills!G10,1)+IF(Skills!G10&gt;0,MIN(Skills!H10,MAX(0,MAX(0,Inputs!$B$43-B1144)-((R1120-1)*IF(Inputs!$B$38="pvp",15,MAX(0.1,Skills!D10-IF(Skills!E9=TRUE,Inputs!$B$32,0))))))/Skills!G10,1)))/Inputs!$B$43),G1120*Q1120))*IF(Inputs!$B$38="pvp",1,(1+(Inputs!$B$21+Skills!P10+B1138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Skills!A11</f>
        <v/>
      </c>
      <c r="B1121">
        <f>Skills!B11</f>
        <v/>
      </c>
      <c r="C1121">
        <f>Inputs!$B$3&gt;=107</f>
        <v/>
      </c>
      <c r="D1121">
        <f>IF(Skills!C11=1,60+Inputs!$B$25+Inputs!$B$29,IF(Skills!C11=2,90+Inputs!$B$26+Inputs!$B$29,IF(Skills!C11=3,120+Inputs!$B$27+Inputs!$B$29,MAX(0,(Inputs!$B$3-100)*3)+Inputs!$B$28+Inputs!$B$29)))</f>
        <v/>
      </c>
      <c r="E1121">
        <f>INDEX(FactorTable!$B$2:$Y$301, MATCH(ROUND(MIN(300,MAX(1,D1121)),0), FactorTable!$A$2:$A$301,0), Skills!L11+1)</f>
        <v/>
      </c>
      <c r="F1121">
        <f>IF(Skills!M11=TRUE,(Skills!K11/10)*(E1121/1000),Skills!K11/10)+Skills!N11</f>
        <v/>
      </c>
      <c r="G1121">
        <f>Calc!G11</f>
        <v/>
      </c>
      <c r="H1121">
        <f>Calc!H11</f>
        <v/>
      </c>
      <c r="I1121">
        <f>IF(Skills!T11&lt;&gt;"",1+(Skills!T11/10)*(Z1113/1000)/100,1)</f>
        <v/>
      </c>
      <c r="J1121">
        <f>((Inputs!$B$6*(1+Inputs!$B$7/100))+(((Inputs!$B$12*(1+Inputs!$B$13/100))-(Inputs!$B$12*(1+Inputs!$B$13/100)))+0.25*(Inputs!$B$14-Inputs!$B$14))*(1+Inputs!$B$7/100))*(F1121/100)</f>
        <v/>
      </c>
      <c r="K1121">
        <f>J1121*(1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11="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F1128-Calc!F18),(Inputs!$B$23+(IF(ArtifactsInput!$M$15,CHOOSE(ArtifactsInput!$N$15+1,25,30,35,40,45,50)/100*(Inputs!$B$11-Inputs!$B$11),0))))/100+(Inputs!$B$23+(IF(ArtifactsInput!$M$15,CHOOSE(ArtifactsInput!$N$15+1,25,30,35,40,45,50)/100*(Inputs!$B$11-Inputs!$B$11),0)))/100)/2</f>
        <v/>
      </c>
      <c r="M1121">
        <f>L1121*(1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(1-Summary!$B$11)*S1121+Summary!$B$11*U1121</f>
        <v/>
      </c>
      <c r="P1121">
        <f>IF(B1147=0,0,O1121/B1147)</f>
        <v/>
      </c>
      <c r="Q1121">
        <f>IFERROR(1/IF(Inputs!$B$38="pvp",15,MAX(0.1,Skills!D11-IF(Skills!E11=TRUE,Inputs!$B$32,0))),0)</f>
        <v/>
      </c>
      <c r="R1121">
        <f>IF(AND(Inputs!$B$38&lt;&gt;"pvp",Inputs!$B$43&gt;0),IF(MAX(0,Inputs!$B$43-B1144)&lt;=0,0,(INT(MAX(0,Inputs!$B$43-B1144)/IF(Inputs!$B$38="pvp",15,MAX(0.1,Skills!D11-IF(Skills!E11=TRUE,Inputs!$B$32,0))))+1)),0)</f>
        <v/>
      </c>
      <c r="S1121">
        <f>IF(C1121,H1121*N1121*IF(AND(Inputs!$B$38&lt;&gt;"pvp",Inputs!$B$43&gt;0),((Skills!F11*((R1121-1)*IF(Skills!G11&gt;0,Skills!H11/Skills!G11,1)+IF(Skills!G11&gt;0,MIN(Skills!H11,MAX(0,MAX(0,Inputs!$B$43-B1144)-((R1121-1)*IF(Inputs!$B$38="pvp",15,MAX(0.1,Skills!D11-IF(Skills!E11=TRUE,Inputs!$B$32,0))))))/Skills!G11,1)))/Inputs!$B$43),G1121*Q1121)*0.5*IF(Inputs!$B$38="pvp",1,1+(Inputs!$B$20+Skills!O11+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1">
        <f>IF(C1121,H1121*N1121*IF(AND(Inputs!$B$38&lt;&gt;"pvp",Inputs!$B$43&gt;0),((Skills!F11*((R1121-1)*IF(Skills!G11&gt;0,Skills!H11/Skills!G11,1)+IF(Skills!G11&gt;0,MIN(Skills!H11,MAX(0,MAX(0,Inputs!$B$43-B1144)-((R1121-1)*IF(Inputs!$B$38="pvp",15,MAX(0.1,Skills!D11-IF(Skills!E11=TRUE,Inputs!$B$32,0))))))/Skills!G11,1)))/Inputs!$B$43),G1121*Q1121)*1*IF(Inputs!$B$38="pvp",1,(1+(Inputs!$B$21+Skills!P11+B1138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Skills!A12</f>
        <v/>
      </c>
      <c r="B1122">
        <f>Skills!B12</f>
        <v/>
      </c>
      <c r="C1122">
        <f>Inputs!$B$3&gt;=115</f>
        <v/>
      </c>
      <c r="D1122">
        <f>IF(Skills!C12=1,60+Inputs!$B$25+Inputs!$B$29,IF(Skills!C12=2,90+Inputs!$B$26+Inputs!$B$29,IF(Skills!C12=3,120+Inputs!$B$27+Inputs!$B$29,MAX(0,(Inputs!$B$3-100)*3)+Inputs!$B$28+Inputs!$B$29)))</f>
        <v/>
      </c>
      <c r="E1122">
        <f>INDEX(FactorTable!$B$2:$Y$301, MATCH(ROUND(MIN(300,MAX(1,D1122)),0), FactorTable!$A$2:$A$301,0), Skills!L12+1)</f>
        <v/>
      </c>
      <c r="F1122">
        <f>IF(Skills!M12=TRUE,(Skills!K12/10)*(E1122/1000),Skills!K12/10)+Skills!N12</f>
        <v/>
      </c>
      <c r="G1122">
        <f>Calc!G12</f>
        <v/>
      </c>
      <c r="H1122">
        <f>Calc!H12</f>
        <v/>
      </c>
      <c r="I1122">
        <f>IF(Skills!T12&lt;&gt;"",1+(Skills!T12/10)*(Z1113/1000)/100,1)</f>
        <v/>
      </c>
      <c r="J1122">
        <f>((Inputs!$B$6*(1+Inputs!$B$7/100))+(((Inputs!$B$12*(1+Inputs!$B$13/100))-(Inputs!$B$12*(1+Inputs!$B$13/100)))+0.25*(Inputs!$B$14-Inputs!$B$14))*(1+Inputs!$B$7/100))*(F1122/100)</f>
        <v/>
      </c>
      <c r="K1122">
        <f>J1122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12="CHAIN_LIGHTNING",Inputs!$B$17+((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F1128-Calc!F18),(Inputs!$B$23+(IF(ArtifactsInput!$M$15,CHOOSE(ArtifactsInput!$N$15+1,25,30,35,40,45,50)/100*(Inputs!$B$11-Inputs!$B$11),0))))/100+(Inputs!$B$23+(IF(ArtifactsInput!$M$15,CHOOSE(ArtifactsInput!$N$15+1,25,30,35,40,45,50)/100*(Inputs!$B$11-Inputs!$B$11),0)))/100)/2</f>
        <v/>
      </c>
      <c r="M1122">
        <f>L1122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(1-Summary!$B$11)*S1122+Summary!$B$11*U1122</f>
        <v/>
      </c>
      <c r="P1122">
        <f>IF(B1147=0,0,O1122/B1147)</f>
        <v/>
      </c>
      <c r="Q1122">
        <f>IFERROR(1/IF(Inputs!$B$38="pvp",15,MAX(0.1,Skills!D12-IF(Skills!E12=TRUE,Inputs!$B$32,0))),0)</f>
        <v/>
      </c>
      <c r="R1122">
        <f>IF(AND(Inputs!$B$38&lt;&gt;"pvp",Inputs!$B$43&gt;0),IF(MAX(0,Inputs!$B$43-B1144)&lt;=0,0,(INT(MAX(0,Inputs!$B$43-B1144)/IF(Inputs!$B$38="pvp",15,MAX(0.1,Skills!D12-IF(Skills!E12=TRUE,Inputs!$B$32,0))))+1)),0)</f>
        <v/>
      </c>
      <c r="S1122">
        <f>IF(C1122,(H1122*N1122*IF(AND(Inputs!$B$38&lt;&gt;"pvp",Inputs!$B$43&gt;0),((Skills!F12*((R1122-1)*IF(Skills!G12&gt;0,Skills!H12/Skills!G12,1)+IF(Skills!G12&gt;0,MIN(Skills!H12,MAX(0,MAX(0,Inputs!$B$43-B1144)-((R1122-1)*IF(Inputs!$B$38="pvp",15,MAX(0.1,Skills!D12-IF(Skills!E12=TRUE,Inputs!$B$32,0))))))/Skills!G12,1)))/Inputs!$B$43),G1122*Q1122))*IF(Inputs!$B$38="pvp",1,1+(Inputs!$B$20+Skills!O12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1122*(1-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F1130-Calc!F20)+(F1129-Calc!F19))+(ArtifactsInput!$M$24-ArtifactsInput!$M$24)*CHOOSE(ArtifactsInput!$N$24+1,10,12,14,16,18,20)+(IF(AND(Inputs!$B$38&lt;&gt;"pvp",Inputs!$B$43=0),1,IF(IF(Inputs!$B$38="pvp",15,Inputs!$B$43)-(B1144)&lt;=0,1,MAX(0,IF(Inputs!$B$38="pvp",15,Inputs!$B$43)-MAX(5,B1144))/(IF(Inputs!$B$38="pvp",15,Inputs!$B$43)-(B1144)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2">
        <f>IF(C1122,(H1122*N1122*IF(AND(Inputs!$B$38&lt;&gt;"pvp",Inputs!$B$43&gt;0),((Skills!F12*((R1122-1)*IF(Skills!G12&gt;0,Skills!H12/Skills!G12,1)+IF(Skills!G12&gt;0,MIN(Skills!H12,MAX(0,MAX(0,Inputs!$B$43-B1144)-((R1122-1)*IF(Inputs!$B$38="pvp",15,MAX(0.1,Skills!D12-IF(Skills!E12=TRUE,Inputs!$B$32,0))))))/Skills!G12,1)))/Inputs!$B$43),G1122*Q1122))*IF(Inputs!$B$38="pvp",1,(1+(Inputs!$B$21+Skills!P12+B1138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Skills!A13</f>
        <v/>
      </c>
      <c r="B1123">
        <f>Skills!B13</f>
        <v/>
      </c>
      <c r="C1123">
        <f>Inputs!$B$3&gt;=49</f>
        <v/>
      </c>
      <c r="D1123">
        <f>IF(Skills!C13=1,60+Inputs!$B$25+Inputs!$B$29,IF(Skills!C13=2,90+Inputs!$B$26+Inputs!$B$29,IF(Skills!C13=3,120+Inputs!$B$27+Inputs!$B$29,MAX(0,(Inputs!$B$3-100)*3)+Inputs!$B$28+Inputs!$B$29)))</f>
        <v/>
      </c>
      <c r="E1123">
        <f>INDEX(FactorTable!$B$2:$Y$301, MATCH(ROUND(MIN(300,MAX(1,D1123)),0), FactorTable!$A$2:$A$301,0), Skills!L13+1)</f>
        <v/>
      </c>
      <c r="F1123">
        <f>IF(Skills!M13=TRUE,(Skills!K13/10)*(E1123/1000),Skills!K13/10)+Skills!N13</f>
        <v/>
      </c>
      <c r="G1123">
        <f>Calc!G13</f>
        <v/>
      </c>
      <c r="H1123">
        <f>Calc!H13</f>
        <v/>
      </c>
      <c r="I1123">
        <f>IF(Skills!T13&lt;&gt;"",1+(Skills!T13/10)*(Z1113/1000)/100,1)</f>
        <v/>
      </c>
      <c r="J1123" t="inlineStr"/>
      <c r="K1123" t="inlineStr"/>
      <c r="L1123" t="inlineStr"/>
      <c r="M1123" t="inlineStr"/>
      <c r="N1123" t="inlineStr"/>
      <c r="O1123">
        <f>(1-Summary!$B$11)*S1123+Summary!$B$11*U1123</f>
        <v/>
      </c>
      <c r="P1123">
        <f>IF(B1147=0,0,O1123/B1147)</f>
        <v/>
      </c>
      <c r="Q1123">
        <f>IFERROR(1/IF(Inputs!$B$38="pvp",15,MAX(0.1,Skills!D13-IF(Skills!E13=TRUE,Inputs!$B$32,0))),0)</f>
        <v/>
      </c>
      <c r="R1123" t="n">
        <v>0</v>
      </c>
      <c r="S1123" t="n">
        <v>0</v>
      </c>
      <c r="U1123" t="n">
        <v>0</v>
      </c>
    </row>
    <row r="1124">
      <c r="A1124">
        <f>Skills!A14</f>
        <v/>
      </c>
      <c r="B1124">
        <f>Skills!B14</f>
        <v/>
      </c>
      <c r="C1124">
        <f>Inputs!$B$3&gt;=72</f>
        <v/>
      </c>
      <c r="D1124">
        <f>IF(Skills!C14=1,60+Inputs!$B$25+Inputs!$B$29,IF(Skills!C14=2,90+Inputs!$B$26+Inputs!$B$29,IF(Skills!C14=3,120+Inputs!$B$27+Inputs!$B$29,MAX(0,(Inputs!$B$3-100)*3)+Inputs!$B$28+Inputs!$B$29)))</f>
        <v/>
      </c>
      <c r="E1124">
        <f>INDEX(FactorTable!$B$2:$Y$301, MATCH(ROUND(MIN(300,MAX(1,D1124)),0), FactorTable!$A$2:$A$301,0), Skills!L14+1)</f>
        <v/>
      </c>
      <c r="F1124">
        <f>IF(Skills!M14=TRUE,(Skills!K14/10)*(E1124/1000),Skills!K14/10)+Skills!N14</f>
        <v/>
      </c>
      <c r="G1124">
        <f>Calc!G14</f>
        <v/>
      </c>
      <c r="H1124">
        <f>Calc!H14</f>
        <v/>
      </c>
      <c r="I1124">
        <f>IF(Skills!T14&lt;&gt;"",1+(Skills!T14/10)*(Z1113/1000)/100,1)</f>
        <v/>
      </c>
      <c r="J1124" t="inlineStr"/>
      <c r="K1124" t="inlineStr"/>
      <c r="L1124" t="inlineStr"/>
      <c r="M1124" t="inlineStr"/>
      <c r="N1124" t="inlineStr"/>
      <c r="O1124">
        <f>(1-Summary!$B$11)*S1124+Summary!$B$11*U1124</f>
        <v/>
      </c>
      <c r="P1124">
        <f>IF(B1147=0,0,O1124/B1147)</f>
        <v/>
      </c>
      <c r="Q1124">
        <f>IFERROR(1/IF(Inputs!$B$38="pvp",15,MAX(0.1,Skills!D14-IF(Skills!E14=TRUE,Inputs!$B$32,0))),0)</f>
        <v/>
      </c>
      <c r="R1124" t="n">
        <v>0</v>
      </c>
      <c r="S1124" t="n">
        <v>0</v>
      </c>
      <c r="U1124" t="n">
        <v>0</v>
      </c>
    </row>
    <row r="1125">
      <c r="A1125">
        <f>Skills!A15</f>
        <v/>
      </c>
      <c r="B1125">
        <f>Skills!B15</f>
        <v/>
      </c>
      <c r="C1125">
        <f>Inputs!$B$3&gt;=75</f>
        <v/>
      </c>
      <c r="D1125">
        <f>IF(Skills!C15=1,60+Inputs!$B$25+Inputs!$B$29,IF(Skills!C15=2,90+Inputs!$B$26+Inputs!$B$29,IF(Skills!C15=3,120+Inputs!$B$27+Inputs!$B$29,MAX(0,(Inputs!$B$3-100)*3)+Inputs!$B$28+Inputs!$B$29)))</f>
        <v/>
      </c>
      <c r="E1125">
        <f>INDEX(FactorTable!$B$2:$Y$301, MATCH(ROUND(MIN(300,MAX(1,D1125)),0), FactorTable!$A$2:$A$301,0), Skills!L15+1)</f>
        <v/>
      </c>
      <c r="F1125">
        <f>IF(Skills!M15=TRUE,(Skills!K15/10)*(E1125/1000),Skills!K15/10)+Skills!N15</f>
        <v/>
      </c>
      <c r="G1125">
        <f>Calc!G15</f>
        <v/>
      </c>
      <c r="H1125">
        <f>Calc!H15</f>
        <v/>
      </c>
      <c r="I1125">
        <f>IF(Skills!T15&lt;&gt;"",1+(Skills!T15/10)*(Z1113/1000)/100,1)</f>
        <v/>
      </c>
      <c r="J1125" t="inlineStr"/>
      <c r="K1125" t="inlineStr"/>
      <c r="L1125" t="inlineStr"/>
      <c r="M1125" t="inlineStr"/>
      <c r="N1125" t="inlineStr"/>
      <c r="O1125">
        <f>(1-Summary!$B$11)*S1125+Summary!$B$11*U1125</f>
        <v/>
      </c>
      <c r="P1125">
        <f>IF(B1147=0,0,O1125/B1147)</f>
        <v/>
      </c>
      <c r="Q1125">
        <f>IFERROR(1/IF(Inputs!$B$38="pvp",15,MAX(0.1,Skills!D15-IF(Skills!E15=TRUE,Inputs!$B$32,0))),0)</f>
        <v/>
      </c>
      <c r="R1125" t="n">
        <v>0</v>
      </c>
      <c r="S1125" t="n">
        <v>0</v>
      </c>
      <c r="U1125" t="n">
        <v>0</v>
      </c>
    </row>
    <row r="1126">
      <c r="A1126">
        <f>Skills!A16</f>
        <v/>
      </c>
      <c r="B1126">
        <f>Skills!B16</f>
        <v/>
      </c>
      <c r="C1126">
        <f>Inputs!$B$3&gt;=110</f>
        <v/>
      </c>
      <c r="D1126">
        <f>IF(Skills!C16=1,60+Inputs!$B$25+Inputs!$B$29,IF(Skills!C16=2,90+Inputs!$B$26+Inputs!$B$29,IF(Skills!C16=3,120+Inputs!$B$27+Inputs!$B$29,MAX(0,(Inputs!$B$3-100)*3)+Inputs!$B$28+Inputs!$B$29)))</f>
        <v/>
      </c>
      <c r="E1126">
        <f>INDEX(FactorTable!$B$2:$Y$301, MATCH(ROUND(MIN(300,MAX(1,D1126)),0), FactorTable!$A$2:$A$301,0), Skills!L16+1)</f>
        <v/>
      </c>
      <c r="F1126">
        <f>(Skills!K16/10)*(E1126/1000)*64/45+Skills!N16</f>
        <v/>
      </c>
      <c r="G1126">
        <f>Calc!G16</f>
        <v/>
      </c>
      <c r="H1126">
        <f>Calc!H16</f>
        <v/>
      </c>
      <c r="I1126">
        <f>IF(Skills!T16&lt;&gt;"",1+(Skills!T16/10)*(Z1113/1000)/100,1)</f>
        <v/>
      </c>
      <c r="J1126" t="inlineStr"/>
      <c r="K1126" t="inlineStr"/>
      <c r="L1126" t="inlineStr"/>
      <c r="M1126" t="inlineStr"/>
      <c r="N1126" t="inlineStr"/>
      <c r="O1126">
        <f>(1-Summary!$B$11)*S1126+Summary!$B$11*U1126</f>
        <v/>
      </c>
      <c r="P1126">
        <f>IF(B1147=0,0,O1126/B1147)</f>
        <v/>
      </c>
      <c r="Q1126">
        <f>IFERROR(1/IF(Inputs!$B$38="pvp",15,MAX(0.1,Skills!D16-IF(Skills!E16=TRUE,Inputs!$B$32,0))),0)</f>
        <v/>
      </c>
      <c r="R1126">
        <f>IF(AND(Inputs!$B$38&lt;&gt;"pvp",Inputs!$B$43&gt;0),IF(Inputs!$B$43&lt;=0,0,(INT(Inputs!$B$43/IF(Inputs!$B$38="pvp",15,MAX(0.1,Skills!D16-IF(Skills!E16=TRUE,Inputs!$B$32,0))))+1)),0)</f>
        <v/>
      </c>
      <c r="S1126" t="n">
        <v>0</v>
      </c>
      <c r="U1126" t="n">
        <v>0</v>
      </c>
    </row>
    <row r="1127">
      <c r="A1127">
        <f>Skills!A17</f>
        <v/>
      </c>
      <c r="B1127">
        <f>Skills!B17</f>
        <v/>
      </c>
      <c r="C1127">
        <f>Inputs!$B$3&gt;=33</f>
        <v/>
      </c>
      <c r="D1127">
        <f>IF(Skills!C17=1,60+Inputs!$B$25+Inputs!$B$29,IF(Skills!C17=2,90+Inputs!$B$26+Inputs!$B$29,IF(Skills!C17=3,120+Inputs!$B$27+Inputs!$B$29,MAX(0,(Inputs!$B$3-100)*3)+Inputs!$B$28+Inputs!$B$29)))</f>
        <v/>
      </c>
      <c r="E1127">
        <f>INDEX(FactorTable!$B$2:$Y$301, MATCH(ROUND(MIN(300,MAX(1,D1127)),0), FactorTable!$A$2:$A$301,0), Skills!L17+1)</f>
        <v/>
      </c>
      <c r="F1127">
        <f>IF(Skills!M17=TRUE,(Skills!K17/10)*(E1127/1000),Skills!K17/10)+Skills!N17</f>
        <v/>
      </c>
      <c r="G1127">
        <f>Calc!G17</f>
        <v/>
      </c>
      <c r="H1127">
        <f>Calc!H17</f>
        <v/>
      </c>
      <c r="I1127">
        <f>IF(Skills!T17&lt;&gt;"",1+(Skills!T17/10)*(Z1113/1000)/100,1)</f>
        <v/>
      </c>
      <c r="J1127" t="inlineStr"/>
      <c r="K1127" t="inlineStr"/>
      <c r="L1127" t="inlineStr"/>
      <c r="M1127" t="inlineStr"/>
      <c r="N1127" t="inlineStr"/>
      <c r="O1127">
        <f>(1-Summary!$B$11)*S1127+Summary!$B$11*U1127</f>
        <v/>
      </c>
      <c r="P1127">
        <f>IF(B1147=0,0,O1127/B1147)</f>
        <v/>
      </c>
      <c r="Q1127">
        <f>IFERROR(1/IF(Inputs!$B$38="pvp",15,MAX(0.1,Skills!D17-IF(Skills!E17=TRUE,Inputs!$B$32,0))),0)</f>
        <v/>
      </c>
      <c r="R1127" t="n">
        <v>0</v>
      </c>
      <c r="S1127" t="n">
        <v>0</v>
      </c>
      <c r="U1127" t="n">
        <v>0</v>
      </c>
    </row>
    <row r="1128">
      <c r="A1128">
        <f>Skills!A18</f>
        <v/>
      </c>
      <c r="B1128">
        <f>Skills!B18</f>
        <v/>
      </c>
      <c r="C1128">
        <f>Inputs!$B$3&gt;=43</f>
        <v/>
      </c>
      <c r="D1128">
        <f>IF(Skills!C18=1,60+Inputs!$B$25+Inputs!$B$29,IF(Skills!C18=2,90+Inputs!$B$26+Inputs!$B$29,IF(Skills!C18=3,120+Inputs!$B$27+Inputs!$B$29,MAX(0,(Inputs!$B$3-100)*3)+Inputs!$B$28+Inputs!$B$29)))</f>
        <v/>
      </c>
      <c r="E1128">
        <f>INDEX(FactorTable!$B$2:$Y$301, MATCH(ROUND(MIN(300,MAX(1,D1128)),0), FactorTable!$A$2:$A$301,0), Skills!L18+1)</f>
        <v/>
      </c>
      <c r="F1128">
        <f>IF(Skills!M18=TRUE,(Skills!K18/10)*(E1128/1000),Skills!K18/10)+Skills!N18</f>
        <v/>
      </c>
      <c r="G1128">
        <f>Calc!G18</f>
        <v/>
      </c>
      <c r="H1128">
        <f>Calc!H18</f>
        <v/>
      </c>
      <c r="I1128">
        <f>IF(Skills!T18&lt;&gt;"",1+(Skills!T18/10)*(Z1113/1000)/100,1)</f>
        <v/>
      </c>
      <c r="J1128" t="inlineStr"/>
      <c r="K1128" t="inlineStr"/>
      <c r="L1128" t="inlineStr"/>
      <c r="M1128" t="inlineStr"/>
      <c r="N1128" t="inlineStr"/>
      <c r="O1128">
        <f>(1-Summary!$B$11)*S1128+Summary!$B$11*U1128</f>
        <v/>
      </c>
      <c r="P1128">
        <f>IF(B1147=0,0,O1128/B1147)</f>
        <v/>
      </c>
      <c r="Q1128">
        <f>IFERROR(1/IF(Inputs!$B$38="pvp",15,MAX(0.1,Skills!D18-IF(Skills!E18=TRUE,Inputs!$B$32,0))),0)</f>
        <v/>
      </c>
      <c r="R1128" t="n">
        <v>0</v>
      </c>
      <c r="S1128" t="n">
        <v>0</v>
      </c>
      <c r="U1128" t="n">
        <v>0</v>
      </c>
    </row>
    <row r="1129">
      <c r="A1129">
        <f>Skills!A19</f>
        <v/>
      </c>
      <c r="B1129">
        <f>Skills!B19</f>
        <v/>
      </c>
      <c r="C1129">
        <f>Inputs!$B$3&gt;=50</f>
        <v/>
      </c>
      <c r="D1129">
        <f>IF(Skills!C19=1,60+Inputs!$B$25+Inputs!$B$29,IF(Skills!C19=2,90+Inputs!$B$26+Inputs!$B$29,IF(Skills!C19=3,120+Inputs!$B$27+Inputs!$B$29,MAX(0,(Inputs!$B$3-100)*3)+Inputs!$B$28+Inputs!$B$29)))</f>
        <v/>
      </c>
      <c r="E1129">
        <f>INDEX(FactorTable!$B$2:$Y$301, MATCH(ROUND(MIN(300,MAX(1,D1129)),0), FactorTable!$A$2:$A$301,0), Skills!L19+1)</f>
        <v/>
      </c>
      <c r="F1129">
        <f>IF(Skills!M19=TRUE,(Skills!K19/10)*(E1129/1000),Skills!K19/10)+Skills!N19</f>
        <v/>
      </c>
      <c r="G1129">
        <f>Calc!G19</f>
        <v/>
      </c>
      <c r="H1129">
        <f>Calc!H19</f>
        <v/>
      </c>
      <c r="I1129">
        <f>IF(Skills!T19&lt;&gt;"",1+(Skills!T19/10)*(Z1113/1000)/100,1)</f>
        <v/>
      </c>
      <c r="J1129" t="inlineStr"/>
      <c r="K1129" t="inlineStr"/>
      <c r="L1129" t="inlineStr"/>
      <c r="M1129" t="inlineStr"/>
      <c r="N1129" t="inlineStr"/>
      <c r="O1129">
        <f>(1-Summary!$B$11)*S1129+Summary!$B$11*U1129</f>
        <v/>
      </c>
      <c r="P1129">
        <f>IF(B1147=0,0,O1129/B1147)</f>
        <v/>
      </c>
      <c r="Q1129">
        <f>IFERROR(1/IF(Inputs!$B$38="pvp",15,MAX(0.1,Skills!D19-IF(Skills!E19=TRUE,Inputs!$B$32,0))),0)</f>
        <v/>
      </c>
      <c r="R1129" t="n">
        <v>0</v>
      </c>
      <c r="S1129" t="n">
        <v>0</v>
      </c>
      <c r="U1129" t="n">
        <v>0</v>
      </c>
    </row>
    <row r="1130">
      <c r="A1130">
        <f>Skills!A20</f>
        <v/>
      </c>
      <c r="B1130">
        <f>Skills!B20</f>
        <v/>
      </c>
      <c r="C1130">
        <f>Inputs!$B$3&gt;=74</f>
        <v/>
      </c>
      <c r="D1130">
        <f>IF(Skills!C20=1,60+Inputs!$B$25+Inputs!$B$29,IF(Skills!C20=2,90+Inputs!$B$26+Inputs!$B$29,IF(Skills!C20=3,120+Inputs!$B$27+Inputs!$B$29,MAX(0,(Inputs!$B$3-100)*3)+Inputs!$B$28+Inputs!$B$29)))</f>
        <v/>
      </c>
      <c r="E1130">
        <f>INDEX(FactorTable!$B$2:$Y$301, MATCH(ROUND(MIN(300,MAX(1,D1130)),0), FactorTable!$A$2:$A$301,0), Skills!L20+1)</f>
        <v/>
      </c>
      <c r="F1130">
        <f>IF(Skills!M20=TRUE,(Skills!K20/10)*(E1130/1000),Skills!K20/10)+Skills!N20</f>
        <v/>
      </c>
      <c r="G1130">
        <f>Calc!G20</f>
        <v/>
      </c>
      <c r="H1130">
        <f>Calc!H20</f>
        <v/>
      </c>
      <c r="I1130">
        <f>IF(Skills!T20&lt;&gt;"",1+(Skills!T20/10)*(Z1113/1000)/100,1)</f>
        <v/>
      </c>
      <c r="J1130" t="inlineStr"/>
      <c r="K1130" t="inlineStr"/>
      <c r="L1130" t="inlineStr"/>
      <c r="M1130" t="inlineStr"/>
      <c r="N1130" t="inlineStr"/>
      <c r="O1130">
        <f>(1-Summary!$B$11)*S1130+Summary!$B$11*U1130</f>
        <v/>
      </c>
      <c r="P1130">
        <f>IF(B1147=0,0,O1130/B1147)</f>
        <v/>
      </c>
      <c r="Q1130">
        <f>IFERROR(1/IF(Inputs!$B$38="pvp",15,MAX(0.1,Skills!D20-IF(Skills!E20=TRUE,Inputs!$B$32,0))),0)</f>
        <v/>
      </c>
      <c r="R1130" t="n">
        <v>0</v>
      </c>
      <c r="S1130" t="n">
        <v>0</v>
      </c>
      <c r="U1130" t="n">
        <v>0</v>
      </c>
    </row>
    <row r="1131">
      <c r="A1131">
        <f>Skills!A21</f>
        <v/>
      </c>
      <c r="B1131">
        <f>Skills!B21</f>
        <v/>
      </c>
      <c r="C1131">
        <f>Inputs!$B$3&gt;=74</f>
        <v/>
      </c>
      <c r="D1131">
        <f>IF(Skills!C21=1,60+Inputs!$B$25+Inputs!$B$29,IF(Skills!C21=2,90+Inputs!$B$26+Inputs!$B$29,IF(Skills!C21=3,120+Inputs!$B$27+Inputs!$B$29,MAX(0,(Inputs!$B$3-100)*3)+Inputs!$B$28+Inputs!$B$29)))</f>
        <v/>
      </c>
      <c r="E1131">
        <f>INDEX(FactorTable!$B$2:$Y$301, MATCH(ROUND(MIN(300,MAX(1,D1131)),0), FactorTable!$A$2:$A$301,0), Skills!L21+1)</f>
        <v/>
      </c>
      <c r="F1131">
        <f>IF(Skills!M21=TRUE,(Skills!K21/10)*(E1131/1000),Skills!K21/10)+Skills!N21</f>
        <v/>
      </c>
      <c r="G1131">
        <f>Calc!G21</f>
        <v/>
      </c>
      <c r="H1131">
        <f>Calc!H21</f>
        <v/>
      </c>
      <c r="I1131">
        <f>IF(Skills!T21&lt;&gt;"",1+(Skills!T21/10)*(Z1113/1000)/100,1)</f>
        <v/>
      </c>
      <c r="J1131" t="inlineStr"/>
      <c r="K1131" t="inlineStr"/>
      <c r="L1131" t="inlineStr"/>
      <c r="M1131" t="inlineStr"/>
      <c r="N1131" t="inlineStr"/>
      <c r="O1131">
        <f>(1-Summary!$B$11)*S1131+Summary!$B$11*U1131</f>
        <v/>
      </c>
      <c r="P1131">
        <f>IF(B1147=0,0,O1131/B1147)</f>
        <v/>
      </c>
      <c r="Q1131">
        <f>IFERROR(1/IF(Inputs!$B$38="pvp",15,MAX(0.1,Skills!D21-IF(Skills!E21=TRUE,Inputs!$B$32,0))),0)</f>
        <v/>
      </c>
      <c r="R1131" t="n">
        <v>0</v>
      </c>
      <c r="S1131" t="n">
        <v>0</v>
      </c>
      <c r="U1131" t="n">
        <v>0</v>
      </c>
    </row>
    <row r="1132">
      <c r="A1132">
        <f>Skills!A22</f>
        <v/>
      </c>
      <c r="B1132">
        <f>Skills!B22</f>
        <v/>
      </c>
      <c r="C1132">
        <f>Inputs!$B$3&gt;=117</f>
        <v/>
      </c>
      <c r="D1132">
        <f>IF(Skills!C22=1,60+Inputs!$B$25+Inputs!$B$29,IF(Skills!C22=2,90+Inputs!$B$26+Inputs!$B$29,IF(Skills!C22=3,120+Inputs!$B$27+Inputs!$B$29,MAX(0,(Inputs!$B$3-100)*3)+Inputs!$B$28+Inputs!$B$29)))</f>
        <v/>
      </c>
      <c r="E1132">
        <f>INDEX(FactorTable!$B$2:$Y$301, MATCH(ROUND(MIN(300,MAX(1,D1132)),0), FactorTable!$A$2:$A$301,0), Skills!L22+1)</f>
        <v/>
      </c>
      <c r="F1132">
        <f>IF(Skills!M22=TRUE,(Skills!K22/10)*(E1132/1000),Skills!K22/10)+Skills!N22</f>
        <v/>
      </c>
      <c r="G1132">
        <f>Calc!G22</f>
        <v/>
      </c>
      <c r="H1132">
        <f>Calc!H22</f>
        <v/>
      </c>
      <c r="I1132">
        <f>IF(Skills!T22&lt;&gt;"",1+(Skills!T22/10)*(Z1113/1000)/100,1)</f>
        <v/>
      </c>
      <c r="J1132" t="inlineStr"/>
      <c r="K1132" t="inlineStr"/>
      <c r="L1132" t="inlineStr"/>
      <c r="M1132" t="inlineStr"/>
      <c r="N1132" t="inlineStr"/>
      <c r="O1132">
        <f>(1-Summary!$B$11)*S1132+Summary!$B$11*U1132</f>
        <v/>
      </c>
      <c r="P1132">
        <f>IF(B1147=0,0,O1132/B1147)</f>
        <v/>
      </c>
      <c r="Q1132">
        <f>IFERROR(1/IF(Inputs!$B$38="pvp",15,MAX(0.1,Skills!D22-IF(Skills!E22=TRUE,Inputs!$B$32,0))),0)</f>
        <v/>
      </c>
      <c r="R1132" t="n">
        <v>0</v>
      </c>
      <c r="S1132" t="n">
        <v>0</v>
      </c>
      <c r="U1132" t="n">
        <v>0</v>
      </c>
    </row>
    <row r="1133">
      <c r="A1133">
        <f>Skills!A23</f>
        <v/>
      </c>
      <c r="B1133">
        <f>Skills!B23</f>
        <v/>
      </c>
      <c r="C1133">
        <f>Inputs!$B$3&gt;=120</f>
        <v/>
      </c>
      <c r="D1133">
        <f>IF(Skills!C23=1,60+Inputs!$B$25+Inputs!$B$29,IF(Skills!C23=2,90+Inputs!$B$26+Inputs!$B$29,IF(Skills!C23=3,120+Inputs!$B$27+Inputs!$B$29,MAX(0,(Inputs!$B$3-100)*3)+Inputs!$B$28+Inputs!$B$29)))</f>
        <v/>
      </c>
      <c r="E1133">
        <f>INDEX(FactorTable!$B$2:$Y$301, MATCH(ROUND(MIN(300,MAX(1,D1133)),0), FactorTable!$A$2:$A$301,0), Skills!L23+1)</f>
        <v/>
      </c>
      <c r="F1133">
        <f>IF(Skills!M23=TRUE,(Skills!K23/10)*(E1133/1000),Skills!K23/10)+Skills!N23</f>
        <v/>
      </c>
      <c r="G1133">
        <f>Calc!G23</f>
        <v/>
      </c>
      <c r="H1133">
        <f>Calc!H23</f>
        <v/>
      </c>
      <c r="I1133">
        <f>IF(Skills!T23&lt;&gt;"",1+(Skills!T23/10)*(Z1113/1000)/100,1)</f>
        <v/>
      </c>
      <c r="J1133" t="inlineStr"/>
      <c r="K1133" t="inlineStr"/>
      <c r="L1133" t="inlineStr"/>
      <c r="M1133" t="inlineStr"/>
      <c r="N1133" t="inlineStr"/>
      <c r="O1133">
        <f>(1-Summary!$B$11)*S1133+Summary!$B$11*U1133</f>
        <v/>
      </c>
      <c r="P1133">
        <f>IF(B1147=0,0,O1133/B1147)</f>
        <v/>
      </c>
      <c r="Q1133">
        <f>IFERROR(1/IF(Inputs!$B$38="pvp",15,MAX(0.1,Skills!D23-IF(Skills!E23=TRUE,Inputs!$B$32,0))),0)</f>
        <v/>
      </c>
      <c r="R1133" t="n">
        <v>0</v>
      </c>
      <c r="S1133" t="n">
        <v>0</v>
      </c>
      <c r="U1133" t="n">
        <v>0</v>
      </c>
    </row>
    <row r="1134">
      <c r="A1134">
        <f>Skills!A24</f>
        <v/>
      </c>
      <c r="B1134">
        <f>Skills!B24</f>
        <v/>
      </c>
      <c r="C1134">
        <f>TRUE</f>
        <v/>
      </c>
      <c r="D1134">
        <f>IF(Skills!C24=1,60+Inputs!$B$25+Inputs!$B$29,IF(Skills!C24=2,90+Inputs!$B$26+Inputs!$B$29,IF(Skills!C24=3,120+Inputs!$B$27+Inputs!$B$29,MAX(0,(Inputs!$B$3-100)*3)+Inputs!$B$28+Inputs!$B$29)))</f>
        <v/>
      </c>
      <c r="E1134">
        <f>INDEX(FactorTable!$B$2:$Y$301, MATCH(ROUND(MIN(300,MAX(1,D1134)),0), FactorTable!$A$2:$A$301,0), Skills!L24+1)</f>
        <v/>
      </c>
      <c r="F1134">
        <f>IF(Skills!M24=TRUE,(Skills!K24/10)*(E1134/1000),Skills!K24/10)+Skills!N24</f>
        <v/>
      </c>
      <c r="G1134">
        <f>Calc!G24</f>
        <v/>
      </c>
      <c r="H1134">
        <f>Calc!H24</f>
        <v/>
      </c>
      <c r="I1134">
        <f>IF(Skills!T24&lt;&gt;"",1+(Skills!T24/10)*(Z1113/1000)/100,1)</f>
        <v/>
      </c>
      <c r="J1134" t="inlineStr"/>
      <c r="K1134" t="inlineStr"/>
      <c r="L1134" t="inlineStr"/>
      <c r="M1134" t="inlineStr"/>
      <c r="N1134" t="inlineStr"/>
      <c r="O1134">
        <f>(1-Summary!$B$11)*S1134+Summary!$B$11*U1134</f>
        <v/>
      </c>
      <c r="P1134">
        <f>IF(B1147=0,0,O1134/B1147)</f>
        <v/>
      </c>
      <c r="Q1134">
        <f>IFERROR(1/IF(Inputs!$B$38="pvp",15,MAX(0.1,Skills!D24-IF(Skills!E24=TRUE,Inputs!$B$32,0))),0)</f>
        <v/>
      </c>
      <c r="R1134">
        <f>IF(AND(Inputs!$B$38&lt;&gt;"pvp",Inputs!$B$43&gt;0),IF(Inputs!$B$43&lt;=0,0,(INT(Inputs!$B$43/IF(Inputs!$B$38="pvp",15,MAX(0.1,Skills!D24-IF(Skills!E24=TRUE,Inputs!$B$32,0))))+1)),0)</f>
        <v/>
      </c>
      <c r="S1134" t="n">
        <v>0</v>
      </c>
      <c r="U1134" t="n">
        <v>0</v>
      </c>
    </row>
    <row r="1137">
      <c r="A1137" t="inlineStr">
        <is>
          <t>Average Buff Multiplier (Magic Guard + Meditation + Artifact Attack%, summed; then Infinity)</t>
        </is>
      </c>
      <c r="B1137">
        <f>(1+(IF(C1113=TRUE,F1113*IF(AND(Inputs!$B$38&lt;&gt;"pvp",Inputs!$B$43&gt;0),(((R1113-1)*(Skills!S3*(1+(Inputs!$B$34)/100))+MIN((Skills!S3*(1+(Inputs!$B$34)/100)),MAX(0,Inputs!$B$43-((R1113-1)*Skills!D3))))/Inputs!$B$43),IF(Inputs!$B$38="pvp",MIN((Skills!S3*(1+(Inputs!$B$34)/100)),15)/15,(Skills!S3*(1+(Inputs!$B$34)/100))/Skills!D3)),0)+IF(C1114=TRUE,F1114*IF(AND(Inputs!$B$38&lt;&gt;"pvp",Inputs!$B$43&gt;0),(((R1114-1)*(Skills!S4*(1+(Inputs!$B$34)/100))+MIN((Skills!S4*(1+(Inputs!$B$34)/100)),MAX(0,Inputs!$B$43-((R1114-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1126=TRUE,(1+F1126*IF(AND(Inputs!$B$38&lt;&gt;"pvp",Inputs!$B$43&gt;0),(((R1126-1)*(Skills!S16*(1+(Inputs!$B$34)/100))+MIN((Skills!S16*(1+(Inputs!$B$34)/100)),MAX(0,Inputs!$B$43-((R1126-1)*Skills!D16))))/Inputs!$B$43),IF(Inputs!$B$38="pvp",MIN((Skills!S16*(1+(Inputs!$B$34)/100)),15)/15,(Skills!S16*(1+(Inputs!$B$34)/100))/Skills!D16))/100),1)</f>
        <v/>
      </c>
    </row>
    <row r="1138">
      <c r="A1138" t="inlineStr">
        <is>
          <t>Monster Damage Taken Bonus % (Freezing Breath - Weaken + Elemental Reset + Artifact Enemy Damage Taken, summed)</t>
        </is>
      </c>
      <c r="B1138">
        <f>IF(Inputs!$B$3&gt;=118,15*IF(Inputs!$B$38="pvp",MIN((30*(1+(Inputs!$B$34)/100)),15)/15,(30*(1+(Inputs!$B$34)/100))/Skills!D8),0)+IF(C1124=TRUE,F1124,0)+(IF(AND(ArtifactsInput!$M$35,Inputs!$B$4&lt;&gt;"Chapter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f>
        <v/>
      </c>
    </row>
    <row r="1139">
      <c r="A1139" t="inlineStr">
        <is>
          <t>Damage % Bonus (Frozen Break + Frost Clutch, flat)</t>
        </is>
      </c>
      <c r="B1139">
        <f>IF(Inputs!$B$3&gt;=66,15,0)+IF(Inputs!$B$3&gt;=98,10,0)+IF(Inputs!$B$3&gt;=125,20,0)</f>
        <v/>
      </c>
    </row>
    <row r="1140">
      <c r="A1140" t="inlineStr">
        <is>
          <t>Attack Speed Bonus % (MP Eater - MP Boost, always-on + Nimble Feet, duty-cycle averaged)</t>
        </is>
      </c>
      <c r="B1140">
        <f>IF(C1123=TRUE,F1123+(F1127-Calc!F17),0)+((C1134=TRUE)*F1134*IF(AND(Inputs!$B$38&lt;&gt;"pvp",Inputs!$B$43&gt;0),(((R1134-1)*(Skills!S24*(1+(Inputs!$B$34)/100))+MIN((Skills!S24*(1+(Inputs!$B$34)/100)),MAX(0,Inputs!$B$43-((R1134-1)*Skills!D24))))/Inputs!$B$43),IF(Inputs!$B$38="pvp",MIN((Skills!S24*(1+(Inputs!$B$34)/100)),15)/15,(Skills!S24*(1+(Inputs!$B$34)/100))/Skills!D24)))</f>
        <v/>
      </c>
    </row>
    <row r="1141">
      <c r="A1141" t="inlineStr">
        <is>
          <t>Actions Per Second</t>
        </is>
      </c>
      <c r="B1141">
        <f>1+MIN(150,150*(1-(1-(Inputs!$B$11+(ArtifactsInput!$M$15-ArtifactsInput!$M$15)*CHOOSE(ArtifactsInput!$N$15+1,8,9.6,11.2,12.8,14.4,16))/150)*(1-B1140/150)))/100</f>
        <v/>
      </c>
    </row>
    <row r="1142">
      <c r="A1142" t="inlineStr">
        <is>
          <t>Skill + Buff Cast Rate</t>
        </is>
      </c>
      <c r="B1142">
        <f>IF(AND(Inputs!$B$38&lt;&gt;"pvp",Inputs!$B$43&gt;0),SUMPRODUCT((Skills!E2:E24=TRUE)*(C1112:C1134=TRUE)*R1112:R1134)/Inputs!$B$43,SUMPRODUCT((Skills!E2:E24=TRUE)*(C1112:C1134=TRUE)*Q1112:Q1134))</f>
        <v/>
      </c>
    </row>
    <row r="1143">
      <c r="A1143" t="inlineStr">
        <is>
          <t>Chain Lightning Casts Per Second</t>
        </is>
      </c>
      <c r="B1143">
        <f>MAX(0,B1141-B1142)</f>
        <v/>
      </c>
    </row>
    <row r="1144">
      <c r="A1144" t="inlineStr">
        <is>
          <t>Buff-Casting Startup Delay (s, fixed-duration only)</t>
        </is>
      </c>
      <c r="B1144">
        <f>IF(AND(Inputs!$B$38&lt;&gt;"pvp",Inputs!$B$43&gt;0),SUMPRODUCT((Skills!S2:S24&gt;0)*(Skills!E2:E24=TRUE)*(C1112:C1134=TRUE))/B1141,0)</f>
        <v/>
      </c>
    </row>
    <row r="1145">
      <c r="A1145" t="inlineStr">
        <is>
          <t>Boss-Only Total DPS (this block's swept value)</t>
        </is>
      </c>
      <c r="B1145">
        <f>SUM(S1112:S1134)</f>
        <v/>
      </c>
    </row>
    <row r="1146">
      <c r="A1146" t="inlineStr">
        <is>
          <t>Normal-Only Total DPS (this block's swept value)</t>
        </is>
      </c>
      <c r="B1146">
        <f>SUM(U1112:U1134)</f>
        <v/>
      </c>
    </row>
    <row r="1147">
      <c r="A1147" s="6" t="inlineStr">
        <is>
          <t>TOTAL DPS</t>
        </is>
      </c>
      <c r="B1147" s="6">
        <f>SUM(O1112:O1134)</f>
        <v/>
      </c>
    </row>
    <row r="1150">
      <c r="A1150" s="6" t="inlineStr">
        <is>
          <t>Stat: Shamaness Marble (Equip)</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R1151" t="inlineStr">
        <is>
          <t>helpers</t>
        </is>
      </c>
    </row>
    <row r="1152">
      <c r="A1152">
        <f>Skills!A2</f>
        <v/>
      </c>
      <c r="B1152">
        <f>Skills!B2</f>
        <v/>
      </c>
      <c r="C1152">
        <f>Inputs!$B$3&gt;=100</f>
        <v/>
      </c>
      <c r="D1152" t="inlineStr"/>
      <c r="E1152" t="inlineStr"/>
      <c r="F1152">
        <f>T1154+Skills!N2</f>
        <v/>
      </c>
      <c r="G1152">
        <f>Calc!G2</f>
        <v/>
      </c>
      <c r="H1152">
        <f>Calc!H2</f>
        <v/>
      </c>
      <c r="I1152">
        <f>IF(Skills!T2&lt;&gt;"",1+(Skills!T2/10)*(Z1153/1000)/100,1)</f>
        <v/>
      </c>
      <c r="J1152">
        <f>((Inputs!$B$6*(1+Inputs!$B$7/100))+(((Inputs!$B$12*(1+Inputs!$B$13/100))-(Inputs!$B$12*(1+Inputs!$B$13/100)))+0.25*(Inputs!$B$14-Inputs!$B$14))*(1+Inputs!$B$7/100))*(F1152/100)</f>
        <v/>
      </c>
      <c r="K1152">
        <f>J1152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2="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F1168-Calc!F18),(Inputs!$B$23+(IF(ArtifactsInput!$M$15,CHOOSE(ArtifactsInput!$N$15+1,25,30,35,40,45,50)/100*(Inputs!$B$11-Inputs!$B$11),0))))/100+(Inputs!$B$23+(IF(ArtifactsInput!$M$15,CHOOSE(ArtifactsInput!$N$15+1,25,30,35,40,45,50)/100*(Inputs!$B$11-Inputs!$B$11),0)))/100)/2</f>
        <v/>
      </c>
      <c r="M1152">
        <f>L1152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(1-Summary!$B$11)*S1152+Summary!$B$11*U1152</f>
        <v/>
      </c>
      <c r="P1152">
        <f>IF(B1187=0,0,O1152/B1187)</f>
        <v/>
      </c>
      <c r="Q1152">
        <f>IFERROR(1/IF(Inputs!$B$38="pvp",15,MAX(0.1,Skills!D2-IF(Skills!E2=TRUE,Inputs!$B$32,0))),0)</f>
        <v/>
      </c>
      <c r="R1152" t="n">
        <v>0</v>
      </c>
      <c r="S1152">
        <f>IF(C1152,(Skills!F2*N1152*B1183)*IF(Inputs!$B$38="pvp",1,1+(Inputs!$B$20+Skills!O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1152*(1-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52">
        <f>MAX(0,(Inputs!$B$3-100)*3)+Inputs!$B$28+Inputs!$B$29</f>
        <v/>
      </c>
      <c r="U1152">
        <f>IF(C1152,(Skills!F2*N1152*B1183)*IF(Inputs!$B$38="pvp",1,(1+(Inputs!$B$21+Skills!P2+B1178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52">
        <f>MAX(0,(Inputs!$B$3-100)*3)+Inputs!$B$28+Inputs!$B$29</f>
        <v/>
      </c>
    </row>
    <row r="1153">
      <c r="A1153">
        <f>Skills!A3</f>
        <v/>
      </c>
      <c r="B1153">
        <f>Skills!B3</f>
        <v/>
      </c>
      <c r="C1153">
        <f>Inputs!$B$3&gt;=15</f>
        <v/>
      </c>
      <c r="D1153">
        <f>IF(Skills!C3=1,60+Inputs!$B$25+Inputs!$B$29,IF(Skills!C3=2,90+Inputs!$B$26+Inputs!$B$29,IF(Skills!C3=3,120+Inputs!$B$27+Inputs!$B$29,MAX(0,(Inputs!$B$3-100)*3)+Inputs!$B$28+Inputs!$B$29)))</f>
        <v/>
      </c>
      <c r="E1153">
        <f>INDEX(FactorTable!$B$2:$Y$301, MATCH(ROUND(MIN(300,MAX(1,D1153)),0), FactorTable!$A$2:$A$301,0), Skills!L3+1)</f>
        <v/>
      </c>
      <c r="F1153">
        <f>IF(Skills!M3=TRUE,(Skills!K3/10)*(E1153/1000),Skills!K3/10)+Skills!N3</f>
        <v/>
      </c>
      <c r="G1153">
        <f>Calc!G3</f>
        <v/>
      </c>
      <c r="H1153">
        <f>Calc!H3</f>
        <v/>
      </c>
      <c r="I1153">
        <f>IF(Skills!T3&lt;&gt;"",1+(Skills!T3/10)*(Z1153/1000)/100,1)</f>
        <v/>
      </c>
      <c r="J1153" t="inlineStr"/>
      <c r="K1153" t="inlineStr"/>
      <c r="L1153" t="inlineStr"/>
      <c r="M1153" t="inlineStr"/>
      <c r="N1153" t="inlineStr"/>
      <c r="O1153">
        <f>(1-Summary!$B$11)*S1153+Summary!$B$11*U1153</f>
        <v/>
      </c>
      <c r="P1153">
        <f>IF(B1187=0,0,O1153/B1187)</f>
        <v/>
      </c>
      <c r="Q1153">
        <f>IFERROR(1/IF(Inputs!$B$38="pvp",15,MAX(0.1,Skills!D3-IF(Skills!E3=TRUE,Inputs!$B$32,0))),0)</f>
        <v/>
      </c>
      <c r="R1153">
        <f>IF(AND(Inputs!$B$38&lt;&gt;"pvp",Inputs!$B$43&gt;0),IF(Inputs!$B$43&lt;=0,0,(INT(Inputs!$B$43/IF(Inputs!$B$38="pvp",15,MAX(0.1,Skills!D3-IF(Skills!E3=TRUE,Inputs!$B$32,0))))+1)),0)</f>
        <v/>
      </c>
      <c r="S1153" t="n">
        <v>0</v>
      </c>
      <c r="T1153">
        <f>INDEX(FactorTable!$B$2:$Y$301, MATCH(ROUND(MIN(300,MAX(1,T1152)),0), FactorTable!$A$2:$A$301,0), 22)</f>
        <v/>
      </c>
      <c r="U1153" t="n">
        <v>0</v>
      </c>
      <c r="Z1153">
        <f>INDEX(FactorTable!$B$2:$Y$301, MATCH(ROUND(MIN(300,MAX(1,Z1152)),0), FactorTable!$A$2:$A$301,0), 24)</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Skills!L4+1)</f>
        <v/>
      </c>
      <c r="F1154">
        <f>IF(Skills!M4=TRUE,(Skills!K4/10)*(E1154/1000),Skills!K4/10)+Skills!N4</f>
        <v/>
      </c>
      <c r="G1154">
        <f>Calc!G4</f>
        <v/>
      </c>
      <c r="H1154">
        <f>Calc!H4</f>
        <v/>
      </c>
      <c r="I1154">
        <f>IF(Skills!T4&lt;&gt;"",1+(Skills!T4/10)*(Z1153/1000)/100,1)</f>
        <v/>
      </c>
      <c r="J1154" t="inlineStr"/>
      <c r="K1154" t="inlineStr"/>
      <c r="L1154" t="inlineStr"/>
      <c r="M1154" t="inlineStr"/>
      <c r="N1154" t="inlineStr"/>
      <c r="O1154">
        <f>(1-Summary!$B$11)*S1154+Summary!$B$11*U1154</f>
        <v/>
      </c>
      <c r="P1154">
        <f>IF(B1187=0,0,O1154/B1187)</f>
        <v/>
      </c>
      <c r="Q1154">
        <f>IFERROR(1/IF(Inputs!$B$38="pvp",15,MAX(0.1,Skills!D4-IF(Skills!E4=TRUE,Inputs!$B$32,0))),0)</f>
        <v/>
      </c>
      <c r="R1154">
        <f>IF(AND(Inputs!$B$38&lt;&gt;"pvp",Inputs!$B$43&gt;0),IF(Inputs!$B$43&lt;=0,0,(INT(Inputs!$B$43/IF(Inputs!$B$38="pvp",15,MAX(0.1,Skills!D4-IF(Skills!E4=TRUE,Inputs!$B$32,0))))+1)),0)</f>
        <v/>
      </c>
      <c r="S1154" t="n">
        <v>0</v>
      </c>
      <c r="T1154">
        <f>290*T1153/1000</f>
        <v/>
      </c>
      <c r="U1154" t="n">
        <v>0</v>
      </c>
    </row>
    <row r="1155">
      <c r="A1155">
        <f>Skills!A5</f>
        <v/>
      </c>
      <c r="B1155">
        <f>Skills!B5</f>
        <v/>
      </c>
      <c r="C1155">
        <f>Inputs!$B$3&gt;=38</f>
        <v/>
      </c>
      <c r="D1155">
        <f>IF(Skills!C5=1,60+Inputs!$B$25+Inputs!$B$29,IF(Skills!C5=2,90+Inputs!$B$26+Inputs!$B$29,IF(Skills!C5=3,120+Inputs!$B$27+Inputs!$B$29,MAX(0,(Inputs!$B$3-100)*3)+Inputs!$B$28+Inputs!$B$29)))</f>
        <v/>
      </c>
      <c r="E1155">
        <f>INDEX(FactorTable!$B$2:$Y$301, MATCH(ROUND(MIN(300,MAX(1,D1155)),0), FactorTable!$A$2:$A$301,0), Skills!L5+1)</f>
        <v/>
      </c>
      <c r="F1155">
        <f>IF(Skills!M5=TRUE,(Skills!K5/10)*(E1155/1000),Skills!K5/10)+Skills!N5</f>
        <v/>
      </c>
      <c r="G1155">
        <f>Calc!G5</f>
        <v/>
      </c>
      <c r="H1155">
        <f>Calc!H5</f>
        <v/>
      </c>
      <c r="I1155">
        <f>IF(Skills!T5&lt;&gt;"",1+(Skills!T5/10)*(Z1153/1000)/100,1)</f>
        <v/>
      </c>
      <c r="J1155">
        <f>((Inputs!$B$6*(1+Inputs!$B$7/100))+(((Inputs!$B$12*(1+Inputs!$B$13/100))-(Inputs!$B$12*(1+Inputs!$B$13/100)))+0.25*(Inputs!$B$14-Inputs!$B$14))*(1+Inputs!$B$7/100))*(F1155/100)</f>
        <v/>
      </c>
      <c r="K1155">
        <f>J1155*(1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5="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F1168-Calc!F18),(Inputs!$B$23+(IF(ArtifactsInput!$M$15,CHOOSE(ArtifactsInput!$N$15+1,25,30,35,40,45,50)/100*(Inputs!$B$11-Inputs!$B$11),0))))/100+(Inputs!$B$23+(IF(ArtifactsInput!$M$15,CHOOSE(ArtifactsInput!$N$15+1,25,30,35,40,45,50)/100*(Inputs!$B$11-Inputs!$B$11),0)))/100)/2</f>
        <v/>
      </c>
      <c r="M1155">
        <f>L1155*(1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(1-Summary!$B$11)*S1155+Summary!$B$11*U1155</f>
        <v/>
      </c>
      <c r="P1155">
        <f>IF(B1187=0,0,O1155/B1187)</f>
        <v/>
      </c>
      <c r="Q1155">
        <f>IFERROR(1/IF(Inputs!$B$38="pvp",15,MAX(0.1,Skills!D5-IF(Skills!E5=TRUE,Inputs!$B$32,0))),0)</f>
        <v/>
      </c>
      <c r="R1155">
        <f>IF(AND(Inputs!$B$38&lt;&gt;"pvp",Inputs!$B$43&gt;0),IF(MAX(0,Inputs!$B$43-B1184)&lt;=0,0,(INT(MAX(0,Inputs!$B$43-B1184)/IF(Inputs!$B$38="pvp",15,MAX(0.1,Skills!D5-IF(Skills!E5=TRUE,Inputs!$B$32,0))))+1)),0)</f>
        <v/>
      </c>
      <c r="S1155">
        <f>IF(C1155,(H1155*N1155*IF(AND(Inputs!$B$38&lt;&gt;"pvp",Inputs!$B$43&gt;0),((Skills!F5*((R1155-1)*IF(Skills!G5&gt;0,Skills!H5/Skills!G5,1)+IF(Skills!G5&gt;0,MIN(Skills!H5,MAX(0,MAX(0,Inputs!$B$43-B1184)-((R1155-1)*IF(Inputs!$B$38="pvp",15,MAX(0.1,Skills!D5-IF(Skills!E5=TRUE,Inputs!$B$32,0))))))/Skills!G5,1)))/Inputs!$B$43),G1155*Q1155))*IF(Inputs!$B$38="pvp",1,1+(Inputs!$B$20+Skills!O5+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1155*(1-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F(C1155,(H1155*N1155*IF(AND(Inputs!$B$38&lt;&gt;"pvp",Inputs!$B$43&gt;0),((Skills!F5*((R1155-1)*IF(Skills!G5&gt;0,Skills!H5/Skills!G5,1)+IF(Skills!G5&gt;0,MIN(Skills!H5,MAX(0,MAX(0,Inputs!$B$43-B1184)-((R1155-1)*IF(Inputs!$B$38="pvp",15,MAX(0.1,Skills!D5-IF(Skills!E5=TRUE,Inputs!$B$32,0))))))/Skills!G5,1)))/Inputs!$B$43),G1155*Q1155))*IF(Inputs!$B$38="pvp",1,(1+(Inputs!$B$21+Skills!P5+B1178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Skills!A6</f>
        <v/>
      </c>
      <c r="B1156">
        <f>Skills!B6</f>
        <v/>
      </c>
      <c r="C1156">
        <f>Inputs!$B$3&gt;=63</f>
        <v/>
      </c>
      <c r="D1156">
        <f>IF(Skills!C6=1,60+Inputs!$B$25+Inputs!$B$29,IF(Skills!C6=2,90+Inputs!$B$26+Inputs!$B$29,IF(Skills!C6=3,120+Inputs!$B$27+Inputs!$B$29,MAX(0,(Inputs!$B$3-100)*3)+Inputs!$B$28+Inputs!$B$29)))</f>
        <v/>
      </c>
      <c r="E1156">
        <f>INDEX(FactorTable!$B$2:$Y$301, MATCH(ROUND(MIN(300,MAX(1,D1156)),0), FactorTable!$A$2:$A$301,0), Skills!L6+1)</f>
        <v/>
      </c>
      <c r="F1156">
        <f>IF(Skills!M6=TRUE,(Skills!K6/10)*(E1156/1000),Skills!K6/10)+Skills!N6</f>
        <v/>
      </c>
      <c r="G1156">
        <f>Calc!G6</f>
        <v/>
      </c>
      <c r="H1156">
        <f>Calc!H6</f>
        <v/>
      </c>
      <c r="I1156">
        <f>IF(Skills!T6&lt;&gt;"",1+(Skills!T6/10)*(Z1153/1000)/100,1)</f>
        <v/>
      </c>
      <c r="J1156">
        <f>((Inputs!$B$6*(1+Inputs!$B$7/100))+(((Inputs!$B$12*(1+Inputs!$B$13/100))-(Inputs!$B$12*(1+Inputs!$B$13/100)))+0.25*(Inputs!$B$14-Inputs!$B$14))*(1+Inputs!$B$7/100))*(F1156/100)</f>
        <v/>
      </c>
      <c r="K1156">
        <f>J1156*(1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6="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F1168-Calc!F18),(Inputs!$B$23+(IF(ArtifactsInput!$M$15,CHOOSE(ArtifactsInput!$N$15+1,25,30,35,40,45,50)/100*(Inputs!$B$11-Inputs!$B$11),0))))/100+(Inputs!$B$23+(IF(ArtifactsInput!$M$15,CHOOSE(ArtifactsInput!$N$15+1,25,30,35,40,45,50)/100*(Inputs!$B$11-Inputs!$B$11),0)))/100)/2</f>
        <v/>
      </c>
      <c r="M1156">
        <f>L1156*(1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(1-Summary!$B$11)*S1156+Summary!$B$11*U1156</f>
        <v/>
      </c>
      <c r="P1156">
        <f>IF(B1187=0,0,O1156/B1187)</f>
        <v/>
      </c>
      <c r="Q1156">
        <f>IFERROR(1/IF(Inputs!$B$38="pvp",15,MAX(0.1,Skills!D6-IF(Skills!E6=TRUE,Inputs!$B$32,0))),0)</f>
        <v/>
      </c>
      <c r="R1156">
        <f>IF(AND(Inputs!$B$38&lt;&gt;"pvp",Inputs!$B$43&gt;0),IF(MAX(0,Inputs!$B$43-B1184)&lt;=0,0,(INT(MAX(0,Inputs!$B$43-B1184)/IF(Inputs!$B$38="pvp",15,MAX(0.1,Skills!D6-IF(Skills!E6=TRUE,Inputs!$B$32,0))))+1)),0)</f>
        <v/>
      </c>
      <c r="S1156">
        <f>IF(C1156,(H1156*N1156*IF(AND(Inputs!$B$38&lt;&gt;"pvp",Inputs!$B$43&gt;0),((Skills!F6*((R1156-1)*IF(Skills!G6&gt;0,Skills!H6/Skills!G6,1)+IF(Skills!G6&gt;0,MIN(Skills!H6,MAX(0,MAX(0,Inputs!$B$43-B1184)-((R1156-1)*IF(Inputs!$B$38="pvp",15,MAX(0.1,Skills!D6-IF(Skills!E6=TRUE,Inputs!$B$32,0))))))/Skills!G6,1)))/Inputs!$B$43),G1156*Q1156))*IF(Inputs!$B$38="pvp",1,1+(Inputs!$B$20+Skills!O6+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1156*(1-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6">
        <f>IF(C1156,(H1156*N1156*IF(AND(Inputs!$B$38&lt;&gt;"pvp",Inputs!$B$43&gt;0),((Skills!F6*((R1156-1)*IF(Skills!G6&gt;0,Skills!H6/Skills!G6,1)+IF(Skills!G6&gt;0,MIN(Skills!H6,MAX(0,MAX(0,Inputs!$B$43-B1184)-((R1156-1)*IF(Inputs!$B$38="pvp",15,MAX(0.1,Skills!D6-IF(Skills!E6=TRUE,Inputs!$B$32,0))))))/Skills!G6,1)))/Inputs!$B$43),G1156*Q1156))*IF(Inputs!$B$38="pvp",1,(1+(Inputs!$B$21+Skills!P6+B1178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Skills!A7</f>
        <v/>
      </c>
      <c r="B1157">
        <f>Skills!B7</f>
        <v/>
      </c>
      <c r="C1157">
        <f>Inputs!$B$3&gt;=69</f>
        <v/>
      </c>
      <c r="D1157">
        <f>IF(Skills!C7=1,60+Inputs!$B$25+Inputs!$B$29,IF(Skills!C7=2,90+Inputs!$B$26+Inputs!$B$29,IF(Skills!C7=3,120+Inputs!$B$27+Inputs!$B$29,MAX(0,(Inputs!$B$3-100)*3)+Inputs!$B$28+Inputs!$B$29)))</f>
        <v/>
      </c>
      <c r="E1157">
        <f>INDEX(FactorTable!$B$2:$Y$301, MATCH(ROUND(MIN(300,MAX(1,D1157)),0), FactorTable!$A$2:$A$301,0), Skills!L7+1)</f>
        <v/>
      </c>
      <c r="F1157">
        <f>IF(Skills!M7=TRUE,(Skills!K7/10)*(E1157/1000),Skills!K7/10)+Skills!N7</f>
        <v/>
      </c>
      <c r="G1157">
        <f>Calc!G7</f>
        <v/>
      </c>
      <c r="H1157">
        <f>Calc!H7</f>
        <v/>
      </c>
      <c r="I1157">
        <f>IF(Skills!T7&lt;&gt;"",1+(Skills!T7/10)*(Z1153/1000)/100,1)</f>
        <v/>
      </c>
      <c r="J1157">
        <f>((Inputs!$B$6*(1+Inputs!$B$7/100))+(((Inputs!$B$12*(1+Inputs!$B$13/100))-(Inputs!$B$12*(1+Inputs!$B$13/100)))+0.25*(Inputs!$B$14-Inputs!$B$14))*(1+Inputs!$B$7/100))*(F1157/100)</f>
        <v/>
      </c>
      <c r="K1157">
        <f>J1157*(1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7="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F1168-Calc!F18),(Inputs!$B$23+(IF(ArtifactsInput!$M$15,CHOOSE(ArtifactsInput!$N$15+1,25,30,35,40,45,50)/100*(Inputs!$B$11-Inputs!$B$11),0))))/100+(Inputs!$B$23+(IF(ArtifactsInput!$M$15,CHOOSE(ArtifactsInput!$N$15+1,25,30,35,40,45,50)/100*(Inputs!$B$11-Inputs!$B$11),0)))/100)/2</f>
        <v/>
      </c>
      <c r="M1157">
        <f>L1157*(1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(1-Summary!$B$11)*S1157+Summary!$B$11*U1157</f>
        <v/>
      </c>
      <c r="P1157">
        <f>IF(B1187=0,0,O1157/B1187)</f>
        <v/>
      </c>
      <c r="Q1157">
        <f>IFERROR(1/IF(Inputs!$B$38="pvp",15,MAX(0.1,Skills!D7-IF(Skills!E7=TRUE,Inputs!$B$32,0))),0)</f>
        <v/>
      </c>
      <c r="R1157">
        <f>IF(AND(Inputs!$B$38&lt;&gt;"pvp",Inputs!$B$43&gt;0),IF(MAX(0,Inputs!$B$43-B1184)&lt;=0,0,(INT(MAX(0,Inputs!$B$43-B1184)/IF(Inputs!$B$38="pvp",15,MAX(0.1,Skills!D7-IF(Skills!E7=TRUE,Inputs!$B$32,0))))+1)),0)</f>
        <v/>
      </c>
      <c r="S1157">
        <f>IF(C1157,(H1157*N1157*IF(AND(Inputs!$B$38&lt;&gt;"pvp",Inputs!$B$43&gt;0),((Skills!F7*((R1157-1)*IF(Skills!G7&gt;0,Skills!H7/Skills!G7,1)+IF(Skills!G7&gt;0,MIN(Skills!H7,MAX(0,MAX(0,Inputs!$B$43-B1184)-((R1157-1)*IF(Inputs!$B$38="pvp",15,MAX(0.1,Skills!D7-IF(Skills!E7=TRUE,Inputs!$B$32,0))))))/Skills!G7,1)))/Inputs!$B$43),G1157*Q1157))*IF(Inputs!$B$38="pvp",1,1+(Inputs!$B$20+Skills!O7+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1157*(1-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7">
        <f>IF(C1157,(H1157*N1157*IF(AND(Inputs!$B$38&lt;&gt;"pvp",Inputs!$B$43&gt;0),((Skills!F7*((R1157-1)*IF(Skills!G7&gt;0,Skills!H7/Skills!G7,1)+IF(Skills!G7&gt;0,MIN(Skills!H7,MAX(0,MAX(0,Inputs!$B$43-B1184)-((R1157-1)*IF(Inputs!$B$38="pvp",15,MAX(0.1,Skills!D7-IF(Skills!E7=TRUE,Inputs!$B$32,0))))))/Skills!G7,1)))/Inputs!$B$43),G1157*Q1157))*IF(Inputs!$B$38="pvp",1,(1+(Inputs!$B$21+Skills!P7+B1178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Skills!A8</f>
        <v/>
      </c>
      <c r="B1158">
        <f>Skills!B8</f>
        <v/>
      </c>
      <c r="C1158">
        <f>Inputs!$B$3&gt;=103</f>
        <v/>
      </c>
      <c r="D1158">
        <f>IF(Skills!C8=1,60+Inputs!$B$25+Inputs!$B$29,IF(Skills!C8=2,90+Inputs!$B$26+Inputs!$B$29,IF(Skills!C8=3,120+Inputs!$B$27+Inputs!$B$29,MAX(0,(Inputs!$B$3-100)*3)+Inputs!$B$28+Inputs!$B$29)))</f>
        <v/>
      </c>
      <c r="E1158">
        <f>INDEX(FactorTable!$B$2:$Y$301, MATCH(ROUND(MIN(300,MAX(1,D1158)),0), FactorTable!$A$2:$A$301,0), Skills!L8+1)</f>
        <v/>
      </c>
      <c r="F1158">
        <f>IF(Skills!M8=TRUE,(Skills!K8/10)*(E1158/1000),Skills!K8/10)+Skills!N8</f>
        <v/>
      </c>
      <c r="G1158">
        <f>Calc!G8</f>
        <v/>
      </c>
      <c r="H1158">
        <f>Calc!H8</f>
        <v/>
      </c>
      <c r="I1158">
        <f>IF(Skills!T8&lt;&gt;"",1+(Skills!T8/10)*(Z1153/1000)/100,1)</f>
        <v/>
      </c>
      <c r="J1158">
        <f>((Inputs!$B$6*(1+Inputs!$B$7/100))+(((Inputs!$B$12*(1+Inputs!$B$13/100))-(Inputs!$B$12*(1+Inputs!$B$13/100)))+0.25*(Inputs!$B$14-Inputs!$B$14))*(1+Inputs!$B$7/100))*(F1158/100)</f>
        <v/>
      </c>
      <c r="K1158">
        <f>J1158*(1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8="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F1168-Calc!F18),(Inputs!$B$23+(IF(ArtifactsInput!$M$15,CHOOSE(ArtifactsInput!$N$15+1,25,30,35,40,45,50)/100*(Inputs!$B$11-Inputs!$B$11),0))))/100+(Inputs!$B$23+(IF(ArtifactsInput!$M$15,CHOOSE(ArtifactsInput!$N$15+1,25,30,35,40,45,50)/100*(Inputs!$B$11-Inputs!$B$11),0)))/100)/2</f>
        <v/>
      </c>
      <c r="M1158">
        <f>L1158*(1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(1-Summary!$B$11)*S1158+Summary!$B$11*U1158</f>
        <v/>
      </c>
      <c r="P1158">
        <f>IF(B1187=0,0,O1158/B1187)</f>
        <v/>
      </c>
      <c r="Q1158">
        <f>IFERROR(1/IF(Inputs!$B$38="pvp",15,MAX(0.1,Skills!D8-IF(Skills!E8=TRUE,Inputs!$B$32,0))),0)</f>
        <v/>
      </c>
      <c r="R1158">
        <f>IF(AND(Inputs!$B$38&lt;&gt;"pvp",Inputs!$B$43&gt;0),IF(MAX(0,Inputs!$B$43-B1184)&lt;=0,0,(INT(MAX(0,Inputs!$B$43-B1184)/IF(Inputs!$B$38="pvp",15,MAX(0.1,Skills!D8-IF(Skills!E8=TRUE,Inputs!$B$32,0))))+1)),0)</f>
        <v/>
      </c>
      <c r="S1158">
        <f>IF(C1158,(H1158*N1158*IF(AND(Inputs!$B$38&lt;&gt;"pvp",Inputs!$B$43&gt;0),((Skills!F8*((R1158-1)*IF(Skills!G8&gt;0,Skills!H8/Skills!G8,1)+IF(Skills!G8&gt;0,MIN(Skills!H8,MAX(0,MAX(0,Inputs!$B$43-B1184)-((R1158-1)*IF(Inputs!$B$38="pvp",15,MAX(0.1,Skills!D8-IF(Skills!E8=TRUE,Inputs!$B$32,0))))))/Skills!G8,1)))/Inputs!$B$43),G1158*Q1158))*IF(Inputs!$B$38="pvp",1,1+(Inputs!$B$20+Skills!O8+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1158*(1-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8">
        <f>IF(C1158,(H1158*N1158*IF(AND(Inputs!$B$38&lt;&gt;"pvp",Inputs!$B$43&gt;0),((Skills!F8*((R1158-1)*IF(Skills!G8&gt;0,Skills!H8/Skills!G8,1)+IF(Skills!G8&gt;0,MIN(Skills!H8,MAX(0,MAX(0,Inputs!$B$43-B1184)-((R1158-1)*IF(Inputs!$B$38="pvp",15,MAX(0.1,Skills!D8-IF(Skills!E8=TRUE,Inputs!$B$32,0))))))/Skills!G8,1)))/Inputs!$B$43),G1158*Q1158))*IF(Inputs!$B$38="pvp",1,(1+(Inputs!$B$21+Skills!P8+B1178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Skills!A9</f>
        <v/>
      </c>
      <c r="B1159">
        <f>Skills!B9</f>
        <v/>
      </c>
      <c r="C1159">
        <f>Inputs!$B$3&gt;=105</f>
        <v/>
      </c>
      <c r="D1159">
        <f>IF(Skills!C9=1,60+Inputs!$B$25+Inputs!$B$29,IF(Skills!C9=2,90+Inputs!$B$26+Inputs!$B$29,IF(Skills!C9=3,120+Inputs!$B$27+Inputs!$B$29,MAX(0,(Inputs!$B$3-100)*3)+Inputs!$B$28+Inputs!$B$29)))</f>
        <v/>
      </c>
      <c r="E1159">
        <f>INDEX(FactorTable!$B$2:$Y$301, MATCH(ROUND(MIN(300,MAX(1,D1159)),0), FactorTable!$A$2:$A$301,0), Skills!L9+1)</f>
        <v/>
      </c>
      <c r="F1159">
        <f>IF(Skills!M9=TRUE,(Skills!K9/10)*(E1159/1000),Skills!K9/10)+Skills!N9</f>
        <v/>
      </c>
      <c r="G1159">
        <f>Calc!G9</f>
        <v/>
      </c>
      <c r="H1159">
        <f>Calc!H9</f>
        <v/>
      </c>
      <c r="I1159">
        <f>IF(Skills!T9&lt;&gt;"",1+(Skills!T9/10)*(Z1153/1000)/100,1)</f>
        <v/>
      </c>
      <c r="J1159">
        <f>((Inputs!$B$6*(1+Inputs!$B$7/100))+(((Inputs!$B$12*(1+Inputs!$B$13/100))-(Inputs!$B$12*(1+Inputs!$B$13/100)))+0.25*(Inputs!$B$14-Inputs!$B$14))*(1+Inputs!$B$7/100))*(F1159/100)</f>
        <v/>
      </c>
      <c r="K1159">
        <f>J1159*(1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9="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F1168-Calc!F18),(Inputs!$B$23+(IF(ArtifactsInput!$M$15,CHOOSE(ArtifactsInput!$N$15+1,25,30,35,40,45,50)/100*(Inputs!$B$11-Inputs!$B$11),0))))/100+(Inputs!$B$23+(IF(ArtifactsInput!$M$15,CHOOSE(ArtifactsInput!$N$15+1,25,30,35,40,45,50)/100*(Inputs!$B$11-Inputs!$B$11),0)))/100)/2</f>
        <v/>
      </c>
      <c r="M1159">
        <f>L1159*(1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(1-Summary!$B$11)*S1159+Summary!$B$11*U1159</f>
        <v/>
      </c>
      <c r="P1159">
        <f>IF(B1187=0,0,O1159/B1187)</f>
        <v/>
      </c>
      <c r="Q1159">
        <f>IFERROR(1/IF(Inputs!$B$38="pvp",15,MAX(0.1,Skills!D9-IF(Skills!E9=TRUE,Inputs!$B$32,0))),0)</f>
        <v/>
      </c>
      <c r="R1159">
        <f>IF(AND(Inputs!$B$38&lt;&gt;"pvp",Inputs!$B$43&gt;0),IF(MAX(0,Inputs!$B$43-B1184)&lt;=0,0,(INT(MAX(0,Inputs!$B$43-B1184)/IF(Inputs!$B$38="pvp",15,MAX(0.1,Skills!D9-IF(Skills!E9=TRUE,Inputs!$B$32,0))))+1)),0)</f>
        <v/>
      </c>
      <c r="S1159">
        <f>IF(C1159,(H1159*N1159*IF(AND(Inputs!$B$38&lt;&gt;"pvp",Inputs!$B$43&gt;0),((Skills!F9*((R1159-1)*IF(Skills!G9&gt;0,Skills!H9/Skills!G9,1)+IF(Skills!G9&gt;0,MIN(Skills!H9,MAX(0,MAX(0,Inputs!$B$43-B1184)-((R1159-1)*IF(Inputs!$B$38="pvp",15,MAX(0.1,Skills!D9-IF(Skills!E9=TRUE,Inputs!$B$32,0))))))/Skills!G9,1)))/Inputs!$B$43),G1159*Q1159))*IF(Inputs!$B$38="pvp",1,1+(Inputs!$B$20+Skills!O9+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1159*(1-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9">
        <f>IF(C1159,(H1159*N1159*IF(AND(Inputs!$B$38&lt;&gt;"pvp",Inputs!$B$43&gt;0),((Skills!F9*((R1159-1)*IF(Skills!G9&gt;0,Skills!H9/Skills!G9,1)+IF(Skills!G9&gt;0,MIN(Skills!H9,MAX(0,MAX(0,Inputs!$B$43-B1184)-((R1159-1)*IF(Inputs!$B$38="pvp",15,MAX(0.1,Skills!D9-IF(Skills!E9=TRUE,Inputs!$B$32,0))))))/Skills!G9,1)))/Inputs!$B$43),G1159*Q1159))*IF(Inputs!$B$38="pvp",1,(1+(Inputs!$B$21+Skills!P9+B1178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Skills!A10</f>
        <v/>
      </c>
      <c r="B1160">
        <f>Skills!B10</f>
        <v/>
      </c>
      <c r="C1160">
        <f>Inputs!$B$3&gt;=113</f>
        <v/>
      </c>
      <c r="D1160">
        <f>IF(Skills!C10=1,60+Inputs!$B$25+Inputs!$B$29,IF(Skills!C10=2,90+Inputs!$B$26+Inputs!$B$29,IF(Skills!C10=3,120+Inputs!$B$27+Inputs!$B$29,MAX(0,(Inputs!$B$3-100)*3)+Inputs!$B$28+Inputs!$B$29)))</f>
        <v/>
      </c>
      <c r="E1160">
        <f>INDEX(FactorTable!$B$2:$Y$301, MATCH(ROUND(MIN(300,MAX(1,D1160)),0), FactorTable!$A$2:$A$301,0), Skills!L10+1)</f>
        <v/>
      </c>
      <c r="F1160">
        <f>IF(Skills!M10=TRUE,(Skills!K10/10)*(E1160/1000),Skills!K10/10)+Skills!N10</f>
        <v/>
      </c>
      <c r="G1160">
        <f>Calc!G10</f>
        <v/>
      </c>
      <c r="H1160">
        <f>Calc!H10</f>
        <v/>
      </c>
      <c r="I1160">
        <f>IF(Skills!T10&lt;&gt;"",1+(Skills!T10/10)*(Z1153/1000)/100,1)</f>
        <v/>
      </c>
      <c r="J1160">
        <f>((Inputs!$B$6*(1+Inputs!$B$7/100))+(((Inputs!$B$12*(1+Inputs!$B$13/100))-(Inputs!$B$12*(1+Inputs!$B$13/100)))+0.25*(Inputs!$B$14-Inputs!$B$14))*(1+Inputs!$B$7/100))*(F1160/100)</f>
        <v/>
      </c>
      <c r="K1160">
        <f>J1160*(1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10="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F1168-Calc!F18),(Inputs!$B$23+(IF(ArtifactsInput!$M$15,CHOOSE(ArtifactsInput!$N$15+1,25,30,35,40,45,50)/100*(Inputs!$B$11-Inputs!$B$11),0))))/100+(Inputs!$B$23+(IF(ArtifactsInput!$M$15,CHOOSE(ArtifactsInput!$N$15+1,25,30,35,40,45,50)/100*(Inputs!$B$11-Inputs!$B$11),0)))/100)/2</f>
        <v/>
      </c>
      <c r="M1160">
        <f>L1160*(1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(1-Summary!$B$11)*S1160+Summary!$B$11*U1160</f>
        <v/>
      </c>
      <c r="P1160">
        <f>IF(B1187=0,0,O1160/B1187)</f>
        <v/>
      </c>
      <c r="Q1160">
        <f>IFERROR(1/IF(Inputs!$B$38="pvp",15,MAX(0.1,Skills!D10-IF(Skills!E9=TRUE,Inputs!$B$32,0))),0)</f>
        <v/>
      </c>
      <c r="R1160">
        <f>IF(AND(Inputs!$B$38&lt;&gt;"pvp",Inputs!$B$43&gt;0),IF(MAX(0,Inputs!$B$43-B1184)&lt;=0,0,(INT(MAX(0,Inputs!$B$43-B1184)/IF(Inputs!$B$38="pvp",15,MAX(0.1,Skills!D10-IF(Skills!E9=TRUE,Inputs!$B$32,0))))+1)),0)</f>
        <v/>
      </c>
      <c r="S1160">
        <f>IF(C1160,(H1160*N1160*IF(AND(Inputs!$B$38&lt;&gt;"pvp",Inputs!$B$43&gt;0),((Skills!F10*((R1160-1)*IF(Skills!G10&gt;0,Skills!H10/Skills!G10,1)+IF(Skills!G10&gt;0,MIN(Skills!H10,MAX(0,MAX(0,Inputs!$B$43-B1184)-((R1160-1)*IF(Inputs!$B$38="pvp",15,MAX(0.1,Skills!D10-IF(Skills!E9=TRUE,Inputs!$B$32,0))))))/Skills!G10,1)))/Inputs!$B$43),G1160*Q1160))*IF(Inputs!$B$38="pvp",1,1+(Inputs!$B$20+Skills!O10+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1160*(1-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0">
        <f>IF(C1160,(H1160*N1160*IF(AND(Inputs!$B$38&lt;&gt;"pvp",Inputs!$B$43&gt;0),((Skills!F10*((R1160-1)*IF(Skills!G10&gt;0,Skills!H10/Skills!G10,1)+IF(Skills!G10&gt;0,MIN(Skills!H10,MAX(0,MAX(0,Inputs!$B$43-B1184)-((R1160-1)*IF(Inputs!$B$38="pvp",15,MAX(0.1,Skills!D10-IF(Skills!E9=TRUE,Inputs!$B$32,0))))))/Skills!G10,1)))/Inputs!$B$43),G1160*Q1160))*IF(Inputs!$B$38="pvp",1,(1+(Inputs!$B$21+Skills!P10+B1178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Skills!A11</f>
        <v/>
      </c>
      <c r="B1161">
        <f>Skills!B11</f>
        <v/>
      </c>
      <c r="C1161">
        <f>Inputs!$B$3&gt;=107</f>
        <v/>
      </c>
      <c r="D1161">
        <f>IF(Skills!C11=1,60+Inputs!$B$25+Inputs!$B$29,IF(Skills!C11=2,90+Inputs!$B$26+Inputs!$B$29,IF(Skills!C11=3,120+Inputs!$B$27+Inputs!$B$29,MAX(0,(Inputs!$B$3-100)*3)+Inputs!$B$28+Inputs!$B$29)))</f>
        <v/>
      </c>
      <c r="E1161">
        <f>INDEX(FactorTable!$B$2:$Y$301, MATCH(ROUND(MIN(300,MAX(1,D1161)),0), FactorTable!$A$2:$A$301,0), Skills!L11+1)</f>
        <v/>
      </c>
      <c r="F1161">
        <f>IF(Skills!M11=TRUE,(Skills!K11/10)*(E1161/1000),Skills!K11/10)+Skills!N11</f>
        <v/>
      </c>
      <c r="G1161">
        <f>Calc!G11</f>
        <v/>
      </c>
      <c r="H1161">
        <f>Calc!H11</f>
        <v/>
      </c>
      <c r="I1161">
        <f>IF(Skills!T11&lt;&gt;"",1+(Skills!T11/10)*(Z1153/1000)/100,1)</f>
        <v/>
      </c>
      <c r="J1161">
        <f>((Inputs!$B$6*(1+Inputs!$B$7/100))+(((Inputs!$B$12*(1+Inputs!$B$13/100))-(Inputs!$B$12*(1+Inputs!$B$13/100)))+0.25*(Inputs!$B$14-Inputs!$B$14))*(1+Inputs!$B$7/100))*(F1161/100)</f>
        <v/>
      </c>
      <c r="K1161">
        <f>J1161*(1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11="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F1168-Calc!F18),(Inputs!$B$23+(IF(ArtifactsInput!$M$15,CHOOSE(ArtifactsInput!$N$15+1,25,30,35,40,45,50)/100*(Inputs!$B$11-Inputs!$B$11),0))))/100+(Inputs!$B$23+(IF(ArtifactsInput!$M$15,CHOOSE(ArtifactsInput!$N$15+1,25,30,35,40,45,50)/100*(Inputs!$B$11-Inputs!$B$11),0)))/100)/2</f>
        <v/>
      </c>
      <c r="M1161">
        <f>L1161*(1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(1-Summary!$B$11)*S1161+Summary!$B$11*U1161</f>
        <v/>
      </c>
      <c r="P1161">
        <f>IF(B1187=0,0,O1161/B1187)</f>
        <v/>
      </c>
      <c r="Q1161">
        <f>IFERROR(1/IF(Inputs!$B$38="pvp",15,MAX(0.1,Skills!D11-IF(Skills!E11=TRUE,Inputs!$B$32,0))),0)</f>
        <v/>
      </c>
      <c r="R1161">
        <f>IF(AND(Inputs!$B$38&lt;&gt;"pvp",Inputs!$B$43&gt;0),IF(MAX(0,Inputs!$B$43-B1184)&lt;=0,0,(INT(MAX(0,Inputs!$B$43-B1184)/IF(Inputs!$B$38="pvp",15,MAX(0.1,Skills!D11-IF(Skills!E11=TRUE,Inputs!$B$32,0))))+1)),0)</f>
        <v/>
      </c>
      <c r="S1161">
        <f>IF(C1161,H1161*N1161*IF(AND(Inputs!$B$38&lt;&gt;"pvp",Inputs!$B$43&gt;0),((Skills!F11*((R1161-1)*IF(Skills!G11&gt;0,Skills!H11/Skills!G11,1)+IF(Skills!G11&gt;0,MIN(Skills!H11,MAX(0,MAX(0,Inputs!$B$43-B1184)-((R1161-1)*IF(Inputs!$B$38="pvp",15,MAX(0.1,Skills!D11-IF(Skills!E11=TRUE,Inputs!$B$32,0))))))/Skills!G11,1)))/Inputs!$B$43),G1161*Q1161)*0.5*IF(Inputs!$B$38="pvp",1,1+(Inputs!$B$20+Skills!O11+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1">
        <f>IF(C1161,H1161*N1161*IF(AND(Inputs!$B$38&lt;&gt;"pvp",Inputs!$B$43&gt;0),((Skills!F11*((R1161-1)*IF(Skills!G11&gt;0,Skills!H11/Skills!G11,1)+IF(Skills!G11&gt;0,MIN(Skills!H11,MAX(0,MAX(0,Inputs!$B$43-B1184)-((R1161-1)*IF(Inputs!$B$38="pvp",15,MAX(0.1,Skills!D11-IF(Skills!E11=TRUE,Inputs!$B$32,0))))))/Skills!G11,1)))/Inputs!$B$43),G1161*Q1161)*1*IF(Inputs!$B$38="pvp",1,(1+(Inputs!$B$21+Skills!P11+B1178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Skills!A12</f>
        <v/>
      </c>
      <c r="B1162">
        <f>Skills!B12</f>
        <v/>
      </c>
      <c r="C1162">
        <f>Inputs!$B$3&gt;=115</f>
        <v/>
      </c>
      <c r="D1162">
        <f>IF(Skills!C12=1,60+Inputs!$B$25+Inputs!$B$29,IF(Skills!C12=2,90+Inputs!$B$26+Inputs!$B$29,IF(Skills!C12=3,120+Inputs!$B$27+Inputs!$B$29,MAX(0,(Inputs!$B$3-100)*3)+Inputs!$B$28+Inputs!$B$29)))</f>
        <v/>
      </c>
      <c r="E1162">
        <f>INDEX(FactorTable!$B$2:$Y$301, MATCH(ROUND(MIN(300,MAX(1,D1162)),0), FactorTable!$A$2:$A$301,0), Skills!L12+1)</f>
        <v/>
      </c>
      <c r="F1162">
        <f>IF(Skills!M12=TRUE,(Skills!K12/10)*(E1162/1000),Skills!K12/10)+Skills!N12</f>
        <v/>
      </c>
      <c r="G1162">
        <f>Calc!G12</f>
        <v/>
      </c>
      <c r="H1162">
        <f>Calc!H12</f>
        <v/>
      </c>
      <c r="I1162">
        <f>IF(Skills!T12&lt;&gt;"",1+(Skills!T12/10)*(Z1153/1000)/100,1)</f>
        <v/>
      </c>
      <c r="J1162">
        <f>((Inputs!$B$6*(1+Inputs!$B$7/100))+(((Inputs!$B$12*(1+Inputs!$B$13/100))-(Inputs!$B$12*(1+Inputs!$B$13/100)))+0.25*(Inputs!$B$14-Inputs!$B$14))*(1+Inputs!$B$7/100))*(F1162/100)</f>
        <v/>
      </c>
      <c r="K1162">
        <f>J1162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12="CHAIN_LIGHTNING",Inputs!$B$17+((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F1168-Calc!F18),(Inputs!$B$23+(IF(ArtifactsInput!$M$15,CHOOSE(ArtifactsInput!$N$15+1,25,30,35,40,45,50)/100*(Inputs!$B$11-Inputs!$B$11),0))))/100+(Inputs!$B$23+(IF(ArtifactsInput!$M$15,CHOOSE(ArtifactsInput!$N$15+1,25,30,35,40,45,50)/100*(Inputs!$B$11-Inputs!$B$11),0)))/100)/2</f>
        <v/>
      </c>
      <c r="M1162">
        <f>L1162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(1-Summary!$B$11)*S1162+Summary!$B$11*U1162</f>
        <v/>
      </c>
      <c r="P1162">
        <f>IF(B1187=0,0,O1162/B1187)</f>
        <v/>
      </c>
      <c r="Q1162">
        <f>IFERROR(1/IF(Inputs!$B$38="pvp",15,MAX(0.1,Skills!D12-IF(Skills!E12=TRUE,Inputs!$B$32,0))),0)</f>
        <v/>
      </c>
      <c r="R1162">
        <f>IF(AND(Inputs!$B$38&lt;&gt;"pvp",Inputs!$B$43&gt;0),IF(MAX(0,Inputs!$B$43-B1184)&lt;=0,0,(INT(MAX(0,Inputs!$B$43-B1184)/IF(Inputs!$B$38="pvp",15,MAX(0.1,Skills!D12-IF(Skills!E12=TRUE,Inputs!$B$32,0))))+1)),0)</f>
        <v/>
      </c>
      <c r="S1162">
        <f>IF(C1162,(H1162*N1162*IF(AND(Inputs!$B$38&lt;&gt;"pvp",Inputs!$B$43&gt;0),((Skills!F12*((R1162-1)*IF(Skills!G12&gt;0,Skills!H12/Skills!G12,1)+IF(Skills!G12&gt;0,MIN(Skills!H12,MAX(0,MAX(0,Inputs!$B$43-B1184)-((R1162-1)*IF(Inputs!$B$38="pvp",15,MAX(0.1,Skills!D12-IF(Skills!E12=TRUE,Inputs!$B$32,0))))))/Skills!G12,1)))/Inputs!$B$43),G1162*Q1162))*IF(Inputs!$B$38="pvp",1,1+(Inputs!$B$20+Skills!O12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1162*(1-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F1170-Calc!F20)+(F1169-Calc!F19))+(ArtifactsInput!$M$24-ArtifactsInput!$M$24)*CHOOSE(ArtifactsInput!$N$24+1,10,12,14,16,18,20)+(IF(AND(Inputs!$B$38&lt;&gt;"pvp",Inputs!$B$43=0),1,IF(IF(Inputs!$B$38="pvp",15,Inputs!$B$43)-(B1184)&lt;=0,1,MAX(0,IF(Inputs!$B$38="pvp",15,Inputs!$B$43)-MAX(5,B1184))/(IF(Inputs!$B$38="pvp",15,Inputs!$B$43)-(B1184)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2">
        <f>IF(C1162,(H1162*N1162*IF(AND(Inputs!$B$38&lt;&gt;"pvp",Inputs!$B$43&gt;0),((Skills!F12*((R1162-1)*IF(Skills!G12&gt;0,Skills!H12/Skills!G12,1)+IF(Skills!G12&gt;0,MIN(Skills!H12,MAX(0,MAX(0,Inputs!$B$43-B1184)-((R1162-1)*IF(Inputs!$B$38="pvp",15,MAX(0.1,Skills!D12-IF(Skills!E12=TRUE,Inputs!$B$32,0))))))/Skills!G12,1)))/Inputs!$B$43),G1162*Q1162))*IF(Inputs!$B$38="pvp",1,(1+(Inputs!$B$21+Skills!P12+B1178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Skills!A13</f>
        <v/>
      </c>
      <c r="B1163">
        <f>Skills!B13</f>
        <v/>
      </c>
      <c r="C1163">
        <f>Inputs!$B$3&gt;=49</f>
        <v/>
      </c>
      <c r="D1163">
        <f>IF(Skills!C13=1,60+Inputs!$B$25+Inputs!$B$29,IF(Skills!C13=2,90+Inputs!$B$26+Inputs!$B$29,IF(Skills!C13=3,120+Inputs!$B$27+Inputs!$B$29,MAX(0,(Inputs!$B$3-100)*3)+Inputs!$B$28+Inputs!$B$29)))</f>
        <v/>
      </c>
      <c r="E1163">
        <f>INDEX(FactorTable!$B$2:$Y$301, MATCH(ROUND(MIN(300,MAX(1,D1163)),0), FactorTable!$A$2:$A$301,0), Skills!L13+1)</f>
        <v/>
      </c>
      <c r="F1163">
        <f>IF(Skills!M13=TRUE,(Skills!K13/10)*(E1163/1000),Skills!K13/10)+Skills!N13</f>
        <v/>
      </c>
      <c r="G1163">
        <f>Calc!G13</f>
        <v/>
      </c>
      <c r="H1163">
        <f>Calc!H13</f>
        <v/>
      </c>
      <c r="I1163">
        <f>IF(Skills!T13&lt;&gt;"",1+(Skills!T13/10)*(Z1153/1000)/100,1)</f>
        <v/>
      </c>
      <c r="J1163" t="inlineStr"/>
      <c r="K1163" t="inlineStr"/>
      <c r="L1163" t="inlineStr"/>
      <c r="M1163" t="inlineStr"/>
      <c r="N1163" t="inlineStr"/>
      <c r="O1163">
        <f>(1-Summary!$B$11)*S1163+Summary!$B$11*U1163</f>
        <v/>
      </c>
      <c r="P1163">
        <f>IF(B1187=0,0,O1163/B1187)</f>
        <v/>
      </c>
      <c r="Q1163">
        <f>IFERROR(1/IF(Inputs!$B$38="pvp",15,MAX(0.1,Skills!D13-IF(Skills!E13=TRUE,Inputs!$B$32,0))),0)</f>
        <v/>
      </c>
      <c r="R1163" t="n">
        <v>0</v>
      </c>
      <c r="S1163" t="n">
        <v>0</v>
      </c>
      <c r="U1163" t="n">
        <v>0</v>
      </c>
    </row>
    <row r="1164">
      <c r="A1164">
        <f>Skills!A14</f>
        <v/>
      </c>
      <c r="B1164">
        <f>Skills!B14</f>
        <v/>
      </c>
      <c r="C1164">
        <f>Inputs!$B$3&gt;=72</f>
        <v/>
      </c>
      <c r="D1164">
        <f>IF(Skills!C14=1,60+Inputs!$B$25+Inputs!$B$29,IF(Skills!C14=2,90+Inputs!$B$26+Inputs!$B$29,IF(Skills!C14=3,120+Inputs!$B$27+Inputs!$B$29,MAX(0,(Inputs!$B$3-100)*3)+Inputs!$B$28+Inputs!$B$29)))</f>
        <v/>
      </c>
      <c r="E1164">
        <f>INDEX(FactorTable!$B$2:$Y$301, MATCH(ROUND(MIN(300,MAX(1,D1164)),0), FactorTable!$A$2:$A$301,0), Skills!L14+1)</f>
        <v/>
      </c>
      <c r="F1164">
        <f>IF(Skills!M14=TRUE,(Skills!K14/10)*(E1164/1000),Skills!K14/10)+Skills!N14</f>
        <v/>
      </c>
      <c r="G1164">
        <f>Calc!G14</f>
        <v/>
      </c>
      <c r="H1164">
        <f>Calc!H14</f>
        <v/>
      </c>
      <c r="I1164">
        <f>IF(Skills!T14&lt;&gt;"",1+(Skills!T14/10)*(Z1153/1000)/100,1)</f>
        <v/>
      </c>
      <c r="J1164" t="inlineStr"/>
      <c r="K1164" t="inlineStr"/>
      <c r="L1164" t="inlineStr"/>
      <c r="M1164" t="inlineStr"/>
      <c r="N1164" t="inlineStr"/>
      <c r="O1164">
        <f>(1-Summary!$B$11)*S1164+Summary!$B$11*U1164</f>
        <v/>
      </c>
      <c r="P1164">
        <f>IF(B1187=0,0,O1164/B1187)</f>
        <v/>
      </c>
      <c r="Q1164">
        <f>IFERROR(1/IF(Inputs!$B$38="pvp",15,MAX(0.1,Skills!D14-IF(Skills!E14=TRUE,Inputs!$B$32,0))),0)</f>
        <v/>
      </c>
      <c r="R1164" t="n">
        <v>0</v>
      </c>
      <c r="S1164" t="n">
        <v>0</v>
      </c>
      <c r="U1164" t="n">
        <v>0</v>
      </c>
    </row>
    <row r="1165">
      <c r="A1165">
        <f>Skills!A15</f>
        <v/>
      </c>
      <c r="B1165">
        <f>Skills!B15</f>
        <v/>
      </c>
      <c r="C1165">
        <f>Inputs!$B$3&gt;=75</f>
        <v/>
      </c>
      <c r="D1165">
        <f>IF(Skills!C15=1,60+Inputs!$B$25+Inputs!$B$29,IF(Skills!C15=2,90+Inputs!$B$26+Inputs!$B$29,IF(Skills!C15=3,120+Inputs!$B$27+Inputs!$B$29,MAX(0,(Inputs!$B$3-100)*3)+Inputs!$B$28+Inputs!$B$29)))</f>
        <v/>
      </c>
      <c r="E1165">
        <f>INDEX(FactorTable!$B$2:$Y$301, MATCH(ROUND(MIN(300,MAX(1,D1165)),0), FactorTable!$A$2:$A$301,0), Skills!L15+1)</f>
        <v/>
      </c>
      <c r="F1165">
        <f>IF(Skills!M15=TRUE,(Skills!K15/10)*(E1165/1000),Skills!K15/10)+Skills!N15</f>
        <v/>
      </c>
      <c r="G1165">
        <f>Calc!G15</f>
        <v/>
      </c>
      <c r="H1165">
        <f>Calc!H15</f>
        <v/>
      </c>
      <c r="I1165">
        <f>IF(Skills!T15&lt;&gt;"",1+(Skills!T15/10)*(Z1153/1000)/100,1)</f>
        <v/>
      </c>
      <c r="J1165" t="inlineStr"/>
      <c r="K1165" t="inlineStr"/>
      <c r="L1165" t="inlineStr"/>
      <c r="M1165" t="inlineStr"/>
      <c r="N1165" t="inlineStr"/>
      <c r="O1165">
        <f>(1-Summary!$B$11)*S1165+Summary!$B$11*U1165</f>
        <v/>
      </c>
      <c r="P1165">
        <f>IF(B1187=0,0,O1165/B1187)</f>
        <v/>
      </c>
      <c r="Q1165">
        <f>IFERROR(1/IF(Inputs!$B$38="pvp",15,MAX(0.1,Skills!D15-IF(Skills!E15=TRUE,Inputs!$B$32,0))),0)</f>
        <v/>
      </c>
      <c r="R1165" t="n">
        <v>0</v>
      </c>
      <c r="S1165" t="n">
        <v>0</v>
      </c>
      <c r="U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Skills!L16+1)</f>
        <v/>
      </c>
      <c r="F1166">
        <f>(Skills!K16/10)*(E1166/1000)*64/45+Skills!N16</f>
        <v/>
      </c>
      <c r="G1166">
        <f>Calc!G16</f>
        <v/>
      </c>
      <c r="H1166">
        <f>Calc!H16</f>
        <v/>
      </c>
      <c r="I1166">
        <f>IF(Skills!T16&lt;&gt;"",1+(Skills!T16/10)*(Z1153/1000)/100,1)</f>
        <v/>
      </c>
      <c r="J1166" t="inlineStr"/>
      <c r="K1166" t="inlineStr"/>
      <c r="L1166" t="inlineStr"/>
      <c r="M1166" t="inlineStr"/>
      <c r="N1166" t="inlineStr"/>
      <c r="O1166">
        <f>(1-Summary!$B$11)*S1166+Summary!$B$11*U1166</f>
        <v/>
      </c>
      <c r="P1166">
        <f>IF(B1187=0,0,O1166/B1187)</f>
        <v/>
      </c>
      <c r="Q1166">
        <f>IFERROR(1/IF(Inputs!$B$38="pvp",15,MAX(0.1,Skills!D16-IF(Skills!E16=TRUE,Inputs!$B$32,0))),0)</f>
        <v/>
      </c>
      <c r="R1166">
        <f>IF(AND(Inputs!$B$38&lt;&gt;"pvp",Inputs!$B$43&gt;0),IF(Inputs!$B$43&lt;=0,0,(INT(Inputs!$B$43/IF(Inputs!$B$38="pvp",15,MAX(0.1,Skills!D16-IF(Skills!E16=TRUE,Inputs!$B$32,0))))+1)),0)</f>
        <v/>
      </c>
      <c r="S1166" t="n">
        <v>0</v>
      </c>
      <c r="U1166" t="n">
        <v>0</v>
      </c>
    </row>
    <row r="1167">
      <c r="A1167">
        <f>Skills!A17</f>
        <v/>
      </c>
      <c r="B1167">
        <f>Skills!B17</f>
        <v/>
      </c>
      <c r="C1167">
        <f>Inputs!$B$3&gt;=33</f>
        <v/>
      </c>
      <c r="D1167">
        <f>IF(Skills!C17=1,60+Inputs!$B$25+Inputs!$B$29,IF(Skills!C17=2,90+Inputs!$B$26+Inputs!$B$29,IF(Skills!C17=3,120+Inputs!$B$27+Inputs!$B$29,MAX(0,(Inputs!$B$3-100)*3)+Inputs!$B$28+Inputs!$B$29)))</f>
        <v/>
      </c>
      <c r="E1167">
        <f>INDEX(FactorTable!$B$2:$Y$301, MATCH(ROUND(MIN(300,MAX(1,D1167)),0), FactorTable!$A$2:$A$301,0), Skills!L17+1)</f>
        <v/>
      </c>
      <c r="F1167">
        <f>IF(Skills!M17=TRUE,(Skills!K17/10)*(E1167/1000),Skills!K17/10)+Skills!N17</f>
        <v/>
      </c>
      <c r="G1167">
        <f>Calc!G17</f>
        <v/>
      </c>
      <c r="H1167">
        <f>Calc!H17</f>
        <v/>
      </c>
      <c r="I1167">
        <f>IF(Skills!T17&lt;&gt;"",1+(Skills!T17/10)*(Z1153/1000)/100,1)</f>
        <v/>
      </c>
      <c r="J1167" t="inlineStr"/>
      <c r="K1167" t="inlineStr"/>
      <c r="L1167" t="inlineStr"/>
      <c r="M1167" t="inlineStr"/>
      <c r="N1167" t="inlineStr"/>
      <c r="O1167">
        <f>(1-Summary!$B$11)*S1167+Summary!$B$11*U1167</f>
        <v/>
      </c>
      <c r="P1167">
        <f>IF(B1187=0,0,O1167/B1187)</f>
        <v/>
      </c>
      <c r="Q1167">
        <f>IFERROR(1/IF(Inputs!$B$38="pvp",15,MAX(0.1,Skills!D17-IF(Skills!E17=TRUE,Inputs!$B$32,0))),0)</f>
        <v/>
      </c>
      <c r="R1167" t="n">
        <v>0</v>
      </c>
      <c r="S1167" t="n">
        <v>0</v>
      </c>
      <c r="U1167" t="n">
        <v>0</v>
      </c>
    </row>
    <row r="1168">
      <c r="A1168">
        <f>Skills!A18</f>
        <v/>
      </c>
      <c r="B1168">
        <f>Skills!B18</f>
        <v/>
      </c>
      <c r="C1168">
        <f>Inputs!$B$3&gt;=43</f>
        <v/>
      </c>
      <c r="D1168">
        <f>IF(Skills!C18=1,60+Inputs!$B$25+Inputs!$B$29,IF(Skills!C18=2,90+Inputs!$B$26+Inputs!$B$29,IF(Skills!C18=3,120+Inputs!$B$27+Inputs!$B$29,MAX(0,(Inputs!$B$3-100)*3)+Inputs!$B$28+Inputs!$B$29)))</f>
        <v/>
      </c>
      <c r="E1168">
        <f>INDEX(FactorTable!$B$2:$Y$301, MATCH(ROUND(MIN(300,MAX(1,D1168)),0), FactorTable!$A$2:$A$301,0), Skills!L18+1)</f>
        <v/>
      </c>
      <c r="F1168">
        <f>IF(Skills!M18=TRUE,(Skills!K18/10)*(E1168/1000),Skills!K18/10)+Skills!N18</f>
        <v/>
      </c>
      <c r="G1168">
        <f>Calc!G18</f>
        <v/>
      </c>
      <c r="H1168">
        <f>Calc!H18</f>
        <v/>
      </c>
      <c r="I1168">
        <f>IF(Skills!T18&lt;&gt;"",1+(Skills!T18/10)*(Z1153/1000)/100,1)</f>
        <v/>
      </c>
      <c r="J1168" t="inlineStr"/>
      <c r="K1168" t="inlineStr"/>
      <c r="L1168" t="inlineStr"/>
      <c r="M1168" t="inlineStr"/>
      <c r="N1168" t="inlineStr"/>
      <c r="O1168">
        <f>(1-Summary!$B$11)*S1168+Summary!$B$11*U1168</f>
        <v/>
      </c>
      <c r="P1168">
        <f>IF(B1187=0,0,O1168/B1187)</f>
        <v/>
      </c>
      <c r="Q1168">
        <f>IFERROR(1/IF(Inputs!$B$38="pvp",15,MAX(0.1,Skills!D18-IF(Skills!E18=TRUE,Inputs!$B$32,0))),0)</f>
        <v/>
      </c>
      <c r="R1168" t="n">
        <v>0</v>
      </c>
      <c r="S1168" t="n">
        <v>0</v>
      </c>
      <c r="U1168" t="n">
        <v>0</v>
      </c>
    </row>
    <row r="1169">
      <c r="A1169">
        <f>Skills!A19</f>
        <v/>
      </c>
      <c r="B1169">
        <f>Skills!B19</f>
        <v/>
      </c>
      <c r="C1169">
        <f>Inputs!$B$3&gt;=50</f>
        <v/>
      </c>
      <c r="D1169">
        <f>IF(Skills!C19=1,60+Inputs!$B$25+Inputs!$B$29,IF(Skills!C19=2,90+Inputs!$B$26+Inputs!$B$29,IF(Skills!C19=3,120+Inputs!$B$27+Inputs!$B$29,MAX(0,(Inputs!$B$3-100)*3)+Inputs!$B$28+Inputs!$B$29)))</f>
        <v/>
      </c>
      <c r="E1169">
        <f>INDEX(FactorTable!$B$2:$Y$301, MATCH(ROUND(MIN(300,MAX(1,D1169)),0), FactorTable!$A$2:$A$301,0), Skills!L19+1)</f>
        <v/>
      </c>
      <c r="F1169">
        <f>IF(Skills!M19=TRUE,(Skills!K19/10)*(E1169/1000),Skills!K19/10)+Skills!N19</f>
        <v/>
      </c>
      <c r="G1169">
        <f>Calc!G19</f>
        <v/>
      </c>
      <c r="H1169">
        <f>Calc!H19</f>
        <v/>
      </c>
      <c r="I1169">
        <f>IF(Skills!T19&lt;&gt;"",1+(Skills!T19/10)*(Z1153/1000)/100,1)</f>
        <v/>
      </c>
      <c r="J1169" t="inlineStr"/>
      <c r="K1169" t="inlineStr"/>
      <c r="L1169" t="inlineStr"/>
      <c r="M1169" t="inlineStr"/>
      <c r="N1169" t="inlineStr"/>
      <c r="O1169">
        <f>(1-Summary!$B$11)*S1169+Summary!$B$11*U1169</f>
        <v/>
      </c>
      <c r="P1169">
        <f>IF(B1187=0,0,O1169/B1187)</f>
        <v/>
      </c>
      <c r="Q1169">
        <f>IFERROR(1/IF(Inputs!$B$38="pvp",15,MAX(0.1,Skills!D19-IF(Skills!E19=TRUE,Inputs!$B$32,0))),0)</f>
        <v/>
      </c>
      <c r="R1169" t="n">
        <v>0</v>
      </c>
      <c r="S1169" t="n">
        <v>0</v>
      </c>
      <c r="U1169" t="n">
        <v>0</v>
      </c>
    </row>
    <row r="1170">
      <c r="A1170">
        <f>Skills!A20</f>
        <v/>
      </c>
      <c r="B1170">
        <f>Skills!B20</f>
        <v/>
      </c>
      <c r="C1170">
        <f>Inputs!$B$3&gt;=74</f>
        <v/>
      </c>
      <c r="D1170">
        <f>IF(Skills!C20=1,60+Inputs!$B$25+Inputs!$B$29,IF(Skills!C20=2,90+Inputs!$B$26+Inputs!$B$29,IF(Skills!C20=3,120+Inputs!$B$27+Inputs!$B$29,MAX(0,(Inputs!$B$3-100)*3)+Inputs!$B$28+Inputs!$B$29)))</f>
        <v/>
      </c>
      <c r="E1170">
        <f>INDEX(FactorTable!$B$2:$Y$301, MATCH(ROUND(MIN(300,MAX(1,D1170)),0), FactorTable!$A$2:$A$301,0), Skills!L20+1)</f>
        <v/>
      </c>
      <c r="F1170">
        <f>IF(Skills!M20=TRUE,(Skills!K20/10)*(E1170/1000),Skills!K20/10)+Skills!N20</f>
        <v/>
      </c>
      <c r="G1170">
        <f>Calc!G20</f>
        <v/>
      </c>
      <c r="H1170">
        <f>Calc!H20</f>
        <v/>
      </c>
      <c r="I1170">
        <f>IF(Skills!T20&lt;&gt;"",1+(Skills!T20/10)*(Z1153/1000)/100,1)</f>
        <v/>
      </c>
      <c r="J1170" t="inlineStr"/>
      <c r="K1170" t="inlineStr"/>
      <c r="L1170" t="inlineStr"/>
      <c r="M1170" t="inlineStr"/>
      <c r="N1170" t="inlineStr"/>
      <c r="O1170">
        <f>(1-Summary!$B$11)*S1170+Summary!$B$11*U1170</f>
        <v/>
      </c>
      <c r="P1170">
        <f>IF(B1187=0,0,O1170/B1187)</f>
        <v/>
      </c>
      <c r="Q1170">
        <f>IFERROR(1/IF(Inputs!$B$38="pvp",15,MAX(0.1,Skills!D20-IF(Skills!E20=TRUE,Inputs!$B$32,0))),0)</f>
        <v/>
      </c>
      <c r="R1170" t="n">
        <v>0</v>
      </c>
      <c r="S1170" t="n">
        <v>0</v>
      </c>
      <c r="U1170" t="n">
        <v>0</v>
      </c>
    </row>
    <row r="1171">
      <c r="A1171">
        <f>Skills!A21</f>
        <v/>
      </c>
      <c r="B1171">
        <f>Skills!B21</f>
        <v/>
      </c>
      <c r="C1171">
        <f>Inputs!$B$3&gt;=74</f>
        <v/>
      </c>
      <c r="D1171">
        <f>IF(Skills!C21=1,60+Inputs!$B$25+Inputs!$B$29,IF(Skills!C21=2,90+Inputs!$B$26+Inputs!$B$29,IF(Skills!C21=3,120+Inputs!$B$27+Inputs!$B$29,MAX(0,(Inputs!$B$3-100)*3)+Inputs!$B$28+Inputs!$B$29)))</f>
        <v/>
      </c>
      <c r="E1171">
        <f>INDEX(FactorTable!$B$2:$Y$301, MATCH(ROUND(MIN(300,MAX(1,D1171)),0), FactorTable!$A$2:$A$301,0), Skills!L21+1)</f>
        <v/>
      </c>
      <c r="F1171">
        <f>IF(Skills!M21=TRUE,(Skills!K21/10)*(E1171/1000),Skills!K21/10)+Skills!N21</f>
        <v/>
      </c>
      <c r="G1171">
        <f>Calc!G21</f>
        <v/>
      </c>
      <c r="H1171">
        <f>Calc!H21</f>
        <v/>
      </c>
      <c r="I1171">
        <f>IF(Skills!T21&lt;&gt;"",1+(Skills!T21/10)*(Z1153/1000)/100,1)</f>
        <v/>
      </c>
      <c r="J1171" t="inlineStr"/>
      <c r="K1171" t="inlineStr"/>
      <c r="L1171" t="inlineStr"/>
      <c r="M1171" t="inlineStr"/>
      <c r="N1171" t="inlineStr"/>
      <c r="O1171">
        <f>(1-Summary!$B$11)*S1171+Summary!$B$11*U1171</f>
        <v/>
      </c>
      <c r="P1171">
        <f>IF(B1187=0,0,O1171/B1187)</f>
        <v/>
      </c>
      <c r="Q1171">
        <f>IFERROR(1/IF(Inputs!$B$38="pvp",15,MAX(0.1,Skills!D21-IF(Skills!E21=TRUE,Inputs!$B$32,0))),0)</f>
        <v/>
      </c>
      <c r="R1171" t="n">
        <v>0</v>
      </c>
      <c r="S1171" t="n">
        <v>0</v>
      </c>
      <c r="U1171" t="n">
        <v>0</v>
      </c>
    </row>
    <row r="1172">
      <c r="A1172">
        <f>Skills!A22</f>
        <v/>
      </c>
      <c r="B1172">
        <f>Skills!B22</f>
        <v/>
      </c>
      <c r="C1172">
        <f>Inputs!$B$3&gt;=117</f>
        <v/>
      </c>
      <c r="D1172">
        <f>IF(Skills!C22=1,60+Inputs!$B$25+Inputs!$B$29,IF(Skills!C22=2,90+Inputs!$B$26+Inputs!$B$29,IF(Skills!C22=3,120+Inputs!$B$27+Inputs!$B$29,MAX(0,(Inputs!$B$3-100)*3)+Inputs!$B$28+Inputs!$B$29)))</f>
        <v/>
      </c>
      <c r="E1172">
        <f>INDEX(FactorTable!$B$2:$Y$301, MATCH(ROUND(MIN(300,MAX(1,D1172)),0), FactorTable!$A$2:$A$301,0), Skills!L22+1)</f>
        <v/>
      </c>
      <c r="F1172">
        <f>IF(Skills!M22=TRUE,(Skills!K22/10)*(E1172/1000),Skills!K22/10)+Skills!N22</f>
        <v/>
      </c>
      <c r="G1172">
        <f>Calc!G22</f>
        <v/>
      </c>
      <c r="H1172">
        <f>Calc!H22</f>
        <v/>
      </c>
      <c r="I1172">
        <f>IF(Skills!T22&lt;&gt;"",1+(Skills!T22/10)*(Z1153/1000)/100,1)</f>
        <v/>
      </c>
      <c r="J1172" t="inlineStr"/>
      <c r="K1172" t="inlineStr"/>
      <c r="L1172" t="inlineStr"/>
      <c r="M1172" t="inlineStr"/>
      <c r="N1172" t="inlineStr"/>
      <c r="O1172">
        <f>(1-Summary!$B$11)*S1172+Summary!$B$11*U1172</f>
        <v/>
      </c>
      <c r="P1172">
        <f>IF(B1187=0,0,O1172/B1187)</f>
        <v/>
      </c>
      <c r="Q1172">
        <f>IFERROR(1/IF(Inputs!$B$38="pvp",15,MAX(0.1,Skills!D22-IF(Skills!E22=TRUE,Inputs!$B$32,0))),0)</f>
        <v/>
      </c>
      <c r="R1172" t="n">
        <v>0</v>
      </c>
      <c r="S1172" t="n">
        <v>0</v>
      </c>
      <c r="U1172" t="n">
        <v>0</v>
      </c>
    </row>
    <row r="1173">
      <c r="A1173">
        <f>Skills!A23</f>
        <v/>
      </c>
      <c r="B1173">
        <f>Skills!B23</f>
        <v/>
      </c>
      <c r="C1173">
        <f>Inputs!$B$3&gt;=120</f>
        <v/>
      </c>
      <c r="D1173">
        <f>IF(Skills!C23=1,60+Inputs!$B$25+Inputs!$B$29,IF(Skills!C23=2,90+Inputs!$B$26+Inputs!$B$29,IF(Skills!C23=3,120+Inputs!$B$27+Inputs!$B$29,MAX(0,(Inputs!$B$3-100)*3)+Inputs!$B$28+Inputs!$B$29)))</f>
        <v/>
      </c>
      <c r="E1173">
        <f>INDEX(FactorTable!$B$2:$Y$301, MATCH(ROUND(MIN(300,MAX(1,D1173)),0), FactorTable!$A$2:$A$301,0), Skills!L23+1)</f>
        <v/>
      </c>
      <c r="F1173">
        <f>IF(Skills!M23=TRUE,(Skills!K23/10)*(E1173/1000),Skills!K23/10)+Skills!N23</f>
        <v/>
      </c>
      <c r="G1173">
        <f>Calc!G23</f>
        <v/>
      </c>
      <c r="H1173">
        <f>Calc!H23</f>
        <v/>
      </c>
      <c r="I1173">
        <f>IF(Skills!T23&lt;&gt;"",1+(Skills!T23/10)*(Z1153/1000)/100,1)</f>
        <v/>
      </c>
      <c r="J1173" t="inlineStr"/>
      <c r="K1173" t="inlineStr"/>
      <c r="L1173" t="inlineStr"/>
      <c r="M1173" t="inlineStr"/>
      <c r="N1173" t="inlineStr"/>
      <c r="O1173">
        <f>(1-Summary!$B$11)*S1173+Summary!$B$11*U1173</f>
        <v/>
      </c>
      <c r="P1173">
        <f>IF(B1187=0,0,O1173/B1187)</f>
        <v/>
      </c>
      <c r="Q1173">
        <f>IFERROR(1/IF(Inputs!$B$38="pvp",15,MAX(0.1,Skills!D23-IF(Skills!E23=TRUE,Inputs!$B$32,0))),0)</f>
        <v/>
      </c>
      <c r="R1173" t="n">
        <v>0</v>
      </c>
      <c r="S1173" t="n">
        <v>0</v>
      </c>
      <c r="U1173" t="n">
        <v>0</v>
      </c>
    </row>
    <row r="1174">
      <c r="A1174">
        <f>Skills!A24</f>
        <v/>
      </c>
      <c r="B1174">
        <f>Skills!B24</f>
        <v/>
      </c>
      <c r="C1174">
        <f>TRUE</f>
        <v/>
      </c>
      <c r="D1174">
        <f>IF(Skills!C24=1,60+Inputs!$B$25+Inputs!$B$29,IF(Skills!C24=2,90+Inputs!$B$26+Inputs!$B$29,IF(Skills!C24=3,120+Inputs!$B$27+Inputs!$B$29,MAX(0,(Inputs!$B$3-100)*3)+Inputs!$B$28+Inputs!$B$29)))</f>
        <v/>
      </c>
      <c r="E1174">
        <f>INDEX(FactorTable!$B$2:$Y$301, MATCH(ROUND(MIN(300,MAX(1,D1174)),0), FactorTable!$A$2:$A$301,0), Skills!L24+1)</f>
        <v/>
      </c>
      <c r="F1174">
        <f>IF(Skills!M24=TRUE,(Skills!K24/10)*(E1174/1000),Skills!K24/10)+Skills!N24</f>
        <v/>
      </c>
      <c r="G1174">
        <f>Calc!G24</f>
        <v/>
      </c>
      <c r="H1174">
        <f>Calc!H24</f>
        <v/>
      </c>
      <c r="I1174">
        <f>IF(Skills!T24&lt;&gt;"",1+(Skills!T24/10)*(Z1153/1000)/100,1)</f>
        <v/>
      </c>
      <c r="J1174" t="inlineStr"/>
      <c r="K1174" t="inlineStr"/>
      <c r="L1174" t="inlineStr"/>
      <c r="M1174" t="inlineStr"/>
      <c r="N1174" t="inlineStr"/>
      <c r="O1174">
        <f>(1-Summary!$B$11)*S1174+Summary!$B$11*U1174</f>
        <v/>
      </c>
      <c r="P1174">
        <f>IF(B1187=0,0,O1174/B1187)</f>
        <v/>
      </c>
      <c r="Q1174">
        <f>IFERROR(1/IF(Inputs!$B$38="pvp",15,MAX(0.1,Skills!D24-IF(Skills!E24=TRUE,Inputs!$B$32,0))),0)</f>
        <v/>
      </c>
      <c r="R1174">
        <f>IF(AND(Inputs!$B$38&lt;&gt;"pvp",Inputs!$B$43&gt;0),IF(Inputs!$B$43&lt;=0,0,(INT(Inputs!$B$43/IF(Inputs!$B$38="pvp",15,MAX(0.1,Skills!D24-IF(Skills!E24=TRUE,Inputs!$B$32,0))))+1)),0)</f>
        <v/>
      </c>
      <c r="S1174" t="n">
        <v>0</v>
      </c>
      <c r="U1174" t="n">
        <v>0</v>
      </c>
    </row>
    <row r="1177">
      <c r="A1177" t="inlineStr">
        <is>
          <t>Average Buff Multiplier (Magic Guard + Meditation + Artifact Attack%, summed; then Infinity)</t>
        </is>
      </c>
      <c r="B1177">
        <f>(1+(IF(C1153=TRUE,F1153*IF(AND(Inputs!$B$38&lt;&gt;"pvp",Inputs!$B$43&gt;0),(((R1153-1)*(Skills!S3*(1+(Inputs!$B$34)/100))+MIN((Skills!S3*(1+(Inputs!$B$34)/100)),MAX(0,Inputs!$B$43-((R1153-1)*Skills!D3))))/Inputs!$B$43),IF(Inputs!$B$38="pvp",MIN((Skills!S3*(1+(Inputs!$B$34)/100)),15)/15,(Skills!S3*(1+(Inputs!$B$34)/100))/Skills!D3)),0)+IF(C1154=TRUE,F1154*IF(AND(Inputs!$B$38&lt;&gt;"pvp",Inputs!$B$43&gt;0),(((R1154-1)*(Skills!S4*(1+(Inputs!$B$34)/100))+MIN((Skills!S4*(1+(Inputs!$B$34)/100)),MAX(0,Inputs!$B$43-((R1154-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1166=TRUE,(1+F1166*IF(AND(Inputs!$B$38&lt;&gt;"pvp",Inputs!$B$43&gt;0),(((R1166-1)*(Skills!S16*(1+(Inputs!$B$34)/100))+MIN((Skills!S16*(1+(Inputs!$B$34)/100)),MAX(0,Inputs!$B$43-((R1166-1)*Skills!D16))))/Inputs!$B$43),IF(Inputs!$B$38="pvp",MIN((Skills!S16*(1+(Inputs!$B$34)/100)),15)/15,(Skills!S16*(1+(Inputs!$B$34)/100))/Skills!D16))/100),1)</f>
        <v/>
      </c>
    </row>
    <row r="1178">
      <c r="A1178" t="inlineStr">
        <is>
          <t>Monster Damage Taken Bonus % (Freezing Breath - Weaken + Elemental Reset + Artifact Enemy Damage Taken, summed)</t>
        </is>
      </c>
      <c r="B1178">
        <f>IF(Inputs!$B$3&gt;=118,15*IF(Inputs!$B$38="pvp",MIN((30*(1+(Inputs!$B$34)/100)),15)/15,(30*(1+(Inputs!$B$34)/100))/Skills!D8),0)+IF(C1164=TRUE,F1164,0)+(IF(AND(ArtifactsInput!$M$35,Inputs!$B$4&lt;&gt;"Chapter Hunt"),CHOOSE(ArtifactsInput!$N$35+1,15,18,21,24,27,30)*(1-EXP(-(0.2*B1181)*5)),0)+IF(AND(ArtifactsInput!$M$22,Inputs!$B$4&lt;&gt;"Chapter Hunt"),CHOOSE(ArtifactsInput!$N$22+1,10,12,14,16,18,20)*((0*(((0.15*B1181*5))^0/1)+1*(((0.15*B1181*5))^1/1)+2*(((0.15*B1181*5))^2/2)+3*(((0.15*B1181*5))^3/6)+4*(((0.15*B1181*5))^4/24)+5*(((0.15*B1181*5))^5/120))/((((0.15*B1181*5))^0/1)+(((0.15*B1181*5))^1/1)+(((0.15*B1181*5))^2/2)+(((0.15*B1181*5))^3/6)+(((0.15*B1181*5))^4/24)+(((0.15*B1181*5))^5/120))),0))</f>
        <v/>
      </c>
    </row>
    <row r="1179">
      <c r="A1179" t="inlineStr">
        <is>
          <t>Damage % Bonus (Frozen Break + Frost Clutch, flat)</t>
        </is>
      </c>
      <c r="B1179">
        <f>IF(Inputs!$B$3&gt;=66,15,0)+IF(Inputs!$B$3&gt;=98,10,0)+IF(Inputs!$B$3&gt;=125,20,0)</f>
        <v/>
      </c>
    </row>
    <row r="1180">
      <c r="A1180" t="inlineStr">
        <is>
          <t>Attack Speed Bonus % (MP Eater - MP Boost, always-on + Nimble Feet, duty-cycle averaged)</t>
        </is>
      </c>
      <c r="B1180">
        <f>IF(C1163=TRUE,F1163+(F1167-Calc!F17),0)+((C1174=TRUE)*F1174*IF(AND(Inputs!$B$38&lt;&gt;"pvp",Inputs!$B$43&gt;0),(((R1174-1)*(Skills!S24*(1+(Inputs!$B$34)/100))+MIN((Skills!S24*(1+(Inputs!$B$34)/100)),MAX(0,Inputs!$B$43-((R1174-1)*Skills!D24))))/Inputs!$B$43),IF(Inputs!$B$38="pvp",MIN((Skills!S24*(1+(Inputs!$B$34)/100)),15)/15,(Skills!S24*(1+(Inputs!$B$34)/100))/Skills!D24)))</f>
        <v/>
      </c>
    </row>
    <row r="1181">
      <c r="A1181" t="inlineStr">
        <is>
          <t>Actions Per Second</t>
        </is>
      </c>
      <c r="B1181">
        <f>1+MIN(150,150*(1-(1-(Inputs!$B$11+(ArtifactsInput!$M$15-ArtifactsInput!$M$15)*CHOOSE(ArtifactsInput!$N$15+1,8,9.6,11.2,12.8,14.4,16))/150)*(1-B1180/150)))/100</f>
        <v/>
      </c>
    </row>
    <row r="1182">
      <c r="A1182" t="inlineStr">
        <is>
          <t>Skill + Buff Cast Rate</t>
        </is>
      </c>
      <c r="B1182">
        <f>IF(AND(Inputs!$B$38&lt;&gt;"pvp",Inputs!$B$43&gt;0),SUMPRODUCT((Skills!E2:E24=TRUE)*(C1152:C1174=TRUE)*R1152:R1174)/Inputs!$B$43,SUMPRODUCT((Skills!E2:E24=TRUE)*(C1152:C1174=TRUE)*Q1152:Q1174))</f>
        <v/>
      </c>
    </row>
    <row r="1183">
      <c r="A1183" t="inlineStr">
        <is>
          <t>Chain Lightning Casts Per Second</t>
        </is>
      </c>
      <c r="B1183">
        <f>MAX(0,B1181-B1182)</f>
        <v/>
      </c>
    </row>
    <row r="1184">
      <c r="A1184" t="inlineStr">
        <is>
          <t>Buff-Casting Startup Delay (s, fixed-duration only)</t>
        </is>
      </c>
      <c r="B1184">
        <f>IF(AND(Inputs!$B$38&lt;&gt;"pvp",Inputs!$B$43&gt;0),SUMPRODUCT((Skills!S2:S24&gt;0)*(Skills!E2:E24=TRUE)*(C1152:C1174=TRUE))/B1181,0)</f>
        <v/>
      </c>
    </row>
    <row r="1185">
      <c r="A1185" t="inlineStr">
        <is>
          <t>Boss-Only Total DPS (this block's swept value)</t>
        </is>
      </c>
      <c r="B1185">
        <f>SUM(S1152:S1174)</f>
        <v/>
      </c>
    </row>
    <row r="1186">
      <c r="A1186" t="inlineStr">
        <is>
          <t>Normal-Only Total DPS (this block's swept value)</t>
        </is>
      </c>
      <c r="B1186">
        <f>SUM(U1152:U1174)</f>
        <v/>
      </c>
    </row>
    <row r="1187">
      <c r="A1187" s="6" t="inlineStr">
        <is>
          <t>TOTAL DPS</t>
        </is>
      </c>
      <c r="B1187" s="6">
        <f>SUM(O1152:O1174)</f>
        <v/>
      </c>
    </row>
    <row r="1190">
      <c r="A1190" s="6" t="inlineStr">
        <is>
          <t>Stat: The Contract of Darkness (Equip)</t>
        </is>
      </c>
    </row>
    <row r="1191">
      <c r="A1191" s="5" t="inlineStr">
        <is>
          <t>Key</t>
        </is>
      </c>
      <c r="B1191" s="5" t="inlineStr">
        <is>
          <t>Name</t>
        </is>
      </c>
      <c r="C1191" s="5" t="inlineStr">
        <is>
          <t>Unlocked</t>
        </is>
      </c>
      <c r="D1191" s="5" t="inlineStr">
        <is>
          <t>InputLevel</t>
        </is>
      </c>
      <c r="E1191" s="5" t="inlineStr">
        <is>
          <t>Factor</t>
        </is>
      </c>
      <c r="F1191" s="5" t="inlineStr">
        <is>
          <t>CoefficientPercent</t>
        </is>
      </c>
      <c r="G1191" s="5" t="inlineStr">
        <is>
          <t>EffectiveHits</t>
        </is>
      </c>
      <c r="H1191" s="5" t="inlineStr">
        <is>
          <t>ProcProbability</t>
        </is>
      </c>
      <c r="I1191" s="5" t="inlineStr">
        <is>
          <t>MapleHeroMultiplier</t>
        </is>
      </c>
      <c r="J1191" s="5" t="inlineStr">
        <is>
          <t>BaseDamage</t>
        </is>
      </c>
      <c r="K1191" s="5" t="inlineStr">
        <is>
          <t>BaseHitDamage</t>
        </is>
      </c>
      <c r="L1191" s="5" t="inlineStr">
        <is>
          <t>NonCritAvg</t>
        </is>
      </c>
      <c r="M1191" s="5" t="inlineStr">
        <is>
          <t>CritAvg</t>
        </is>
      </c>
      <c r="N1191" s="5" t="inlineStr">
        <is>
          <t>ExpectedDamage(perHit)</t>
        </is>
      </c>
      <c r="O1191" s="5" t="inlineStr">
        <is>
          <t>DPS</t>
        </is>
      </c>
      <c r="P1191" s="5" t="inlineStr">
        <is>
          <t>% of Total</t>
        </is>
      </c>
      <c r="R1191" t="inlineStr">
        <is>
          <t>helpers</t>
        </is>
      </c>
    </row>
    <row r="1192">
      <c r="A1192">
        <f>Skills!A2</f>
        <v/>
      </c>
      <c r="B1192">
        <f>Skills!B2</f>
        <v/>
      </c>
      <c r="C1192">
        <f>Inputs!$B$3&gt;=100</f>
        <v/>
      </c>
      <c r="D1192" t="inlineStr"/>
      <c r="E1192" t="inlineStr"/>
      <c r="F1192">
        <f>T1194+Skills!N2</f>
        <v/>
      </c>
      <c r="G1192">
        <f>Calc!G2</f>
        <v/>
      </c>
      <c r="H1192">
        <f>Calc!H2</f>
        <v/>
      </c>
      <c r="I1192">
        <f>IF(Skills!T2&lt;&gt;"",1+(Skills!T2/10)*(Z1193/1000)/100,1)</f>
        <v/>
      </c>
      <c r="J1192">
        <f>((Inputs!$B$6*(1+Inputs!$B$7/100))+(((Inputs!$B$12*(1+Inputs!$B$13/100))-(Inputs!$B$12*(1+Inputs!$B$13/100)))+0.25*(Inputs!$B$14-Inputs!$B$14))*(1+Inputs!$B$7/100))*(F1192/100)</f>
        <v/>
      </c>
      <c r="K1192">
        <f>J1192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2="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F1208-Calc!F18),(Inputs!$B$23+(IF(ArtifactsInput!$M$15,CHOOSE(ArtifactsInput!$N$15+1,25,30,35,40,45,50)/100*(Inputs!$B$11-Inputs!$B$11),0))))/100+(Inputs!$B$23+(IF(ArtifactsInput!$M$15,CHOOSE(ArtifactsInput!$N$15+1,25,30,35,40,45,50)/100*(Inputs!$B$11-Inputs!$B$11),0)))/100)/2</f>
        <v/>
      </c>
      <c r="M1192">
        <f>L1192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(1-Summary!$B$11)*S1192+Summary!$B$11*U1192</f>
        <v/>
      </c>
      <c r="P1192">
        <f>IF(B1227=0,0,O1192/B1227)</f>
        <v/>
      </c>
      <c r="Q1192">
        <f>IFERROR(1/IF(Inputs!$B$38="pvp",15,MAX(0.1,Skills!D2-IF(Skills!E2=TRUE,Inputs!$B$32,0))),0)</f>
        <v/>
      </c>
      <c r="R1192" t="n">
        <v>0</v>
      </c>
      <c r="S1192">
        <f>IF(C1192,(Skills!F2*N1192*B1223)*IF(Inputs!$B$38="pvp",1,1+(Inputs!$B$20+Skills!O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1192*(1-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1192*(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1192*(1-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92">
        <f>MAX(0,(Inputs!$B$3-100)*3)+Inputs!$B$28+Inputs!$B$29</f>
        <v/>
      </c>
      <c r="U1192">
        <f>IF(C1192,(Skills!F2*N1192*B1223)*IF(Inputs!$B$38="pvp",1,(1+(Inputs!$B$21+Skills!P2+B1218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92">
        <f>MAX(0,(Inputs!$B$3-100)*3)+Inputs!$B$28+Inputs!$B$29</f>
        <v/>
      </c>
    </row>
    <row r="1193">
      <c r="A1193">
        <f>Skills!A3</f>
        <v/>
      </c>
      <c r="B1193">
        <f>Skills!B3</f>
        <v/>
      </c>
      <c r="C1193">
        <f>Inputs!$B$3&gt;=15</f>
        <v/>
      </c>
      <c r="D1193">
        <f>IF(Skills!C3=1,60+Inputs!$B$25+Inputs!$B$29,IF(Skills!C3=2,90+Inputs!$B$26+Inputs!$B$29,IF(Skills!C3=3,120+Inputs!$B$27+Inputs!$B$29,MAX(0,(Inputs!$B$3-100)*3)+Inputs!$B$28+Inputs!$B$29)))</f>
        <v/>
      </c>
      <c r="E1193">
        <f>INDEX(FactorTable!$B$2:$Y$301, MATCH(ROUND(MIN(300,MAX(1,D1193)),0), FactorTable!$A$2:$A$301,0), Skills!L3+1)</f>
        <v/>
      </c>
      <c r="F1193">
        <f>IF(Skills!M3=TRUE,(Skills!K3/10)*(E1193/1000),Skills!K3/10)+Skills!N3</f>
        <v/>
      </c>
      <c r="G1193">
        <f>Calc!G3</f>
        <v/>
      </c>
      <c r="H1193">
        <f>Calc!H3</f>
        <v/>
      </c>
      <c r="I1193">
        <f>IF(Skills!T3&lt;&gt;"",1+(Skills!T3/10)*(Z1193/1000)/100,1)</f>
        <v/>
      </c>
      <c r="J1193" t="inlineStr"/>
      <c r="K1193" t="inlineStr"/>
      <c r="L1193" t="inlineStr"/>
      <c r="M1193" t="inlineStr"/>
      <c r="N1193" t="inlineStr"/>
      <c r="O1193">
        <f>(1-Summary!$B$11)*S1193+Summary!$B$11*U1193</f>
        <v/>
      </c>
      <c r="P1193">
        <f>IF(B1227=0,0,O1193/B1227)</f>
        <v/>
      </c>
      <c r="Q1193">
        <f>IFERROR(1/IF(Inputs!$B$38="pvp",15,MAX(0.1,Skills!D3-IF(Skills!E3=TRUE,Inputs!$B$32,0))),0)</f>
        <v/>
      </c>
      <c r="R1193">
        <f>IF(AND(Inputs!$B$38&lt;&gt;"pvp",Inputs!$B$43&gt;0),IF(Inputs!$B$43&lt;=0,0,(INT(Inputs!$B$43/IF(Inputs!$B$38="pvp",15,MAX(0.1,Skills!D3-IF(Skills!E3=TRUE,Inputs!$B$32,0))))+1)),0)</f>
        <v/>
      </c>
      <c r="S1193" t="n">
        <v>0</v>
      </c>
      <c r="T1193">
        <f>INDEX(FactorTable!$B$2:$Y$301, MATCH(ROUND(MIN(300,MAX(1,T1192)),0), FactorTable!$A$2:$A$301,0), 22)</f>
        <v/>
      </c>
      <c r="U1193" t="n">
        <v>0</v>
      </c>
      <c r="Z1193">
        <f>INDEX(FactorTable!$B$2:$Y$301, MATCH(ROUND(MIN(300,MAX(1,Z1192)),0), FactorTable!$A$2:$A$301,0), 24)</f>
        <v/>
      </c>
    </row>
    <row r="1194">
      <c r="A1194">
        <f>Skills!A4</f>
        <v/>
      </c>
      <c r="B1194">
        <f>Skills!B4</f>
        <v/>
      </c>
      <c r="C1194">
        <f>Inputs!$B$3&gt;=40</f>
        <v/>
      </c>
      <c r="D1194">
        <f>IF(Skills!C4=1,60+Inputs!$B$25+Inputs!$B$29,IF(Skills!C4=2,90+Inputs!$B$26+Inputs!$B$29,IF(Skills!C4=3,120+Inputs!$B$27+Inputs!$B$29,MAX(0,(Inputs!$B$3-100)*3)+Inputs!$B$28+Inputs!$B$29)))</f>
        <v/>
      </c>
      <c r="E1194">
        <f>INDEX(FactorTable!$B$2:$Y$301, MATCH(ROUND(MIN(300,MAX(1,D1194)),0), FactorTable!$A$2:$A$301,0), Skills!L4+1)</f>
        <v/>
      </c>
      <c r="F1194">
        <f>IF(Skills!M4=TRUE,(Skills!K4/10)*(E1194/1000),Skills!K4/10)+Skills!N4</f>
        <v/>
      </c>
      <c r="G1194">
        <f>Calc!G4</f>
        <v/>
      </c>
      <c r="H1194">
        <f>Calc!H4</f>
        <v/>
      </c>
      <c r="I1194">
        <f>IF(Skills!T4&lt;&gt;"",1+(Skills!T4/10)*(Z1193/1000)/100,1)</f>
        <v/>
      </c>
      <c r="J1194" t="inlineStr"/>
      <c r="K1194" t="inlineStr"/>
      <c r="L1194" t="inlineStr"/>
      <c r="M1194" t="inlineStr"/>
      <c r="N1194" t="inlineStr"/>
      <c r="O1194">
        <f>(1-Summary!$B$11)*S1194+Summary!$B$11*U1194</f>
        <v/>
      </c>
      <c r="P1194">
        <f>IF(B1227=0,0,O1194/B1227)</f>
        <v/>
      </c>
      <c r="Q1194">
        <f>IFERROR(1/IF(Inputs!$B$38="pvp",15,MAX(0.1,Skills!D4-IF(Skills!E4=TRUE,Inputs!$B$32,0))),0)</f>
        <v/>
      </c>
      <c r="R1194">
        <f>IF(AND(Inputs!$B$38&lt;&gt;"pvp",Inputs!$B$43&gt;0),IF(Inputs!$B$43&lt;=0,0,(INT(Inputs!$B$43/IF(Inputs!$B$38="pvp",15,MAX(0.1,Skills!D4-IF(Skills!E4=TRUE,Inputs!$B$32,0))))+1)),0)</f>
        <v/>
      </c>
      <c r="S1194" t="n">
        <v>0</v>
      </c>
      <c r="T1194">
        <f>290*T1193/1000</f>
        <v/>
      </c>
      <c r="U1194" t="n">
        <v>0</v>
      </c>
    </row>
    <row r="1195">
      <c r="A1195">
        <f>Skills!A5</f>
        <v/>
      </c>
      <c r="B1195">
        <f>Skills!B5</f>
        <v/>
      </c>
      <c r="C1195">
        <f>Inputs!$B$3&gt;=38</f>
        <v/>
      </c>
      <c r="D1195">
        <f>IF(Skills!C5=1,60+Inputs!$B$25+Inputs!$B$29,IF(Skills!C5=2,90+Inputs!$B$26+Inputs!$B$29,IF(Skills!C5=3,120+Inputs!$B$27+Inputs!$B$29,MAX(0,(Inputs!$B$3-100)*3)+Inputs!$B$28+Inputs!$B$29)))</f>
        <v/>
      </c>
      <c r="E1195">
        <f>INDEX(FactorTable!$B$2:$Y$301, MATCH(ROUND(MIN(300,MAX(1,D1195)),0), FactorTable!$A$2:$A$301,0), Skills!L5+1)</f>
        <v/>
      </c>
      <c r="F1195">
        <f>IF(Skills!M5=TRUE,(Skills!K5/10)*(E1195/1000),Skills!K5/10)+Skills!N5</f>
        <v/>
      </c>
      <c r="G1195">
        <f>Calc!G5</f>
        <v/>
      </c>
      <c r="H1195">
        <f>Calc!H5</f>
        <v/>
      </c>
      <c r="I1195">
        <f>IF(Skills!T5&lt;&gt;"",1+(Skills!T5/10)*(Z1193/1000)/100,1)</f>
        <v/>
      </c>
      <c r="J1195">
        <f>((Inputs!$B$6*(1+Inputs!$B$7/100))+(((Inputs!$B$12*(1+Inputs!$B$13/100))-(Inputs!$B$12*(1+Inputs!$B$13/100)))+0.25*(Inputs!$B$14-Inputs!$B$14))*(1+Inputs!$B$7/100))*(F1195/100)</f>
        <v/>
      </c>
      <c r="K1195">
        <f>J1195*(1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5="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F1208-Calc!F18),(Inputs!$B$23+(IF(ArtifactsInput!$M$15,CHOOSE(ArtifactsInput!$N$15+1,25,30,35,40,45,50)/100*(Inputs!$B$11-Inputs!$B$11),0))))/100+(Inputs!$B$23+(IF(ArtifactsInput!$M$15,CHOOSE(ArtifactsInput!$N$15+1,25,30,35,40,45,50)/100*(Inputs!$B$11-Inputs!$B$11),0)))/100)/2</f>
        <v/>
      </c>
      <c r="M1195">
        <f>L1195*(1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(1-Summary!$B$11)*S1195+Summary!$B$11*U1195</f>
        <v/>
      </c>
      <c r="P1195">
        <f>IF(B1227=0,0,O1195/B1227)</f>
        <v/>
      </c>
      <c r="Q1195">
        <f>IFERROR(1/IF(Inputs!$B$38="pvp",15,MAX(0.1,Skills!D5-IF(Skills!E5=TRUE,Inputs!$B$32,0))),0)</f>
        <v/>
      </c>
      <c r="R1195">
        <f>IF(AND(Inputs!$B$38&lt;&gt;"pvp",Inputs!$B$43&gt;0),IF(MAX(0,Inputs!$B$43-B1224)&lt;=0,0,(INT(MAX(0,Inputs!$B$43-B1224)/IF(Inputs!$B$38="pvp",15,MAX(0.1,Skills!D5-IF(Skills!E5=TRUE,Inputs!$B$32,0))))+1)),0)</f>
        <v/>
      </c>
      <c r="S1195">
        <f>IF(C1195,(H1195*N1195*IF(AND(Inputs!$B$38&lt;&gt;"pvp",Inputs!$B$43&gt;0),((Skills!F5*((R1195-1)*IF(Skills!G5&gt;0,Skills!H5/Skills!G5,1)+IF(Skills!G5&gt;0,MIN(Skills!H5,MAX(0,MAX(0,Inputs!$B$43-B1224)-((R1195-1)*IF(Inputs!$B$38="pvp",15,MAX(0.1,Skills!D5-IF(Skills!E5=TRUE,Inputs!$B$32,0))))))/Skills!G5,1)))/Inputs!$B$43),G1195*Q1195))*IF(Inputs!$B$38="pvp",1,1+(Inputs!$B$20+Skills!O5+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1195*(1-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1195*(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1195*(1-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IF(C1195,(H1195*N1195*IF(AND(Inputs!$B$38&lt;&gt;"pvp",Inputs!$B$43&gt;0),((Skills!F5*((R1195-1)*IF(Skills!G5&gt;0,Skills!H5/Skills!G5,1)+IF(Skills!G5&gt;0,MIN(Skills!H5,MAX(0,MAX(0,Inputs!$B$43-B1224)-((R1195-1)*IF(Inputs!$B$38="pvp",15,MAX(0.1,Skills!D5-IF(Skills!E5=TRUE,Inputs!$B$32,0))))))/Skills!G5,1)))/Inputs!$B$43),G1195*Q1195))*IF(Inputs!$B$38="pvp",1,(1+(Inputs!$B$21+Skills!P5+B1218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Skills!A6</f>
        <v/>
      </c>
      <c r="B1196">
        <f>Skills!B6</f>
        <v/>
      </c>
      <c r="C1196">
        <f>Inputs!$B$3&gt;=63</f>
        <v/>
      </c>
      <c r="D1196">
        <f>IF(Skills!C6=1,60+Inputs!$B$25+Inputs!$B$29,IF(Skills!C6=2,90+Inputs!$B$26+Inputs!$B$29,IF(Skills!C6=3,120+Inputs!$B$27+Inputs!$B$29,MAX(0,(Inputs!$B$3-100)*3)+Inputs!$B$28+Inputs!$B$29)))</f>
        <v/>
      </c>
      <c r="E1196">
        <f>INDEX(FactorTable!$B$2:$Y$301, MATCH(ROUND(MIN(300,MAX(1,D1196)),0), FactorTable!$A$2:$A$301,0), Skills!L6+1)</f>
        <v/>
      </c>
      <c r="F1196">
        <f>IF(Skills!M6=TRUE,(Skills!K6/10)*(E1196/1000),Skills!K6/10)+Skills!N6</f>
        <v/>
      </c>
      <c r="G1196">
        <f>Calc!G6</f>
        <v/>
      </c>
      <c r="H1196">
        <f>Calc!H6</f>
        <v/>
      </c>
      <c r="I1196">
        <f>IF(Skills!T6&lt;&gt;"",1+(Skills!T6/10)*(Z1193/1000)/100,1)</f>
        <v/>
      </c>
      <c r="J1196">
        <f>((Inputs!$B$6*(1+Inputs!$B$7/100))+(((Inputs!$B$12*(1+Inputs!$B$13/100))-(Inputs!$B$12*(1+Inputs!$B$13/100)))+0.25*(Inputs!$B$14-Inputs!$B$14))*(1+Inputs!$B$7/100))*(F1196/100)</f>
        <v/>
      </c>
      <c r="K1196">
        <f>J1196*(1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6="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F1208-Calc!F18),(Inputs!$B$23+(IF(ArtifactsInput!$M$15,CHOOSE(ArtifactsInput!$N$15+1,25,30,35,40,45,50)/100*(Inputs!$B$11-Inputs!$B$11),0))))/100+(Inputs!$B$23+(IF(ArtifactsInput!$M$15,CHOOSE(ArtifactsInput!$N$15+1,25,30,35,40,45,50)/100*(Inputs!$B$11-Inputs!$B$11),0)))/100)/2</f>
        <v/>
      </c>
      <c r="M1196">
        <f>L1196*(1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(1-Summary!$B$11)*S1196+Summary!$B$11*U1196</f>
        <v/>
      </c>
      <c r="P1196">
        <f>IF(B1227=0,0,O1196/B1227)</f>
        <v/>
      </c>
      <c r="Q1196">
        <f>IFERROR(1/IF(Inputs!$B$38="pvp",15,MAX(0.1,Skills!D6-IF(Skills!E6=TRUE,Inputs!$B$32,0))),0)</f>
        <v/>
      </c>
      <c r="R1196">
        <f>IF(AND(Inputs!$B$38&lt;&gt;"pvp",Inputs!$B$43&gt;0),IF(MAX(0,Inputs!$B$43-B1224)&lt;=0,0,(INT(MAX(0,Inputs!$B$43-B1224)/IF(Inputs!$B$38="pvp",15,MAX(0.1,Skills!D6-IF(Skills!E6=TRUE,Inputs!$B$32,0))))+1)),0)</f>
        <v/>
      </c>
      <c r="S1196">
        <f>IF(C1196,(H1196*N1196*IF(AND(Inputs!$B$38&lt;&gt;"pvp",Inputs!$B$43&gt;0),((Skills!F6*((R1196-1)*IF(Skills!G6&gt;0,Skills!H6/Skills!G6,1)+IF(Skills!G6&gt;0,MIN(Skills!H6,MAX(0,MAX(0,Inputs!$B$43-B1224)-((R1196-1)*IF(Inputs!$B$38="pvp",15,MAX(0.1,Skills!D6-IF(Skills!E6=TRUE,Inputs!$B$32,0))))))/Skills!G6,1)))/Inputs!$B$43),G1196*Q1196))*IF(Inputs!$B$38="pvp",1,1+(Inputs!$B$20+Skills!O6+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1196*(1-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1196*(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1196*(1-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6">
        <f>IF(C1196,(H1196*N1196*IF(AND(Inputs!$B$38&lt;&gt;"pvp",Inputs!$B$43&gt;0),((Skills!F6*((R1196-1)*IF(Skills!G6&gt;0,Skills!H6/Skills!G6,1)+IF(Skills!G6&gt;0,MIN(Skills!H6,MAX(0,MAX(0,Inputs!$B$43-B1224)-((R1196-1)*IF(Inputs!$B$38="pvp",15,MAX(0.1,Skills!D6-IF(Skills!E6=TRUE,Inputs!$B$32,0))))))/Skills!G6,1)))/Inputs!$B$43),G1196*Q1196))*IF(Inputs!$B$38="pvp",1,(1+(Inputs!$B$21+Skills!P6+B1218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Skills!A7</f>
        <v/>
      </c>
      <c r="B1197">
        <f>Skills!B7</f>
        <v/>
      </c>
      <c r="C1197">
        <f>Inputs!$B$3&gt;=69</f>
        <v/>
      </c>
      <c r="D1197">
        <f>IF(Skills!C7=1,60+Inputs!$B$25+Inputs!$B$29,IF(Skills!C7=2,90+Inputs!$B$26+Inputs!$B$29,IF(Skills!C7=3,120+Inputs!$B$27+Inputs!$B$29,MAX(0,(Inputs!$B$3-100)*3)+Inputs!$B$28+Inputs!$B$29)))</f>
        <v/>
      </c>
      <c r="E1197">
        <f>INDEX(FactorTable!$B$2:$Y$301, MATCH(ROUND(MIN(300,MAX(1,D1197)),0), FactorTable!$A$2:$A$301,0), Skills!L7+1)</f>
        <v/>
      </c>
      <c r="F1197">
        <f>IF(Skills!M7=TRUE,(Skills!K7/10)*(E1197/1000),Skills!K7/10)+Skills!N7</f>
        <v/>
      </c>
      <c r="G1197">
        <f>Calc!G7</f>
        <v/>
      </c>
      <c r="H1197">
        <f>Calc!H7</f>
        <v/>
      </c>
      <c r="I1197">
        <f>IF(Skills!T7&lt;&gt;"",1+(Skills!T7/10)*(Z1193/1000)/100,1)</f>
        <v/>
      </c>
      <c r="J1197">
        <f>((Inputs!$B$6*(1+Inputs!$B$7/100))+(((Inputs!$B$12*(1+Inputs!$B$13/100))-(Inputs!$B$12*(1+Inputs!$B$13/100)))+0.25*(Inputs!$B$14-Inputs!$B$14))*(1+Inputs!$B$7/100))*(F1197/100)</f>
        <v/>
      </c>
      <c r="K1197">
        <f>J1197*(1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7="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F1208-Calc!F18),(Inputs!$B$23+(IF(ArtifactsInput!$M$15,CHOOSE(ArtifactsInput!$N$15+1,25,30,35,40,45,50)/100*(Inputs!$B$11-Inputs!$B$11),0))))/100+(Inputs!$B$23+(IF(ArtifactsInput!$M$15,CHOOSE(ArtifactsInput!$N$15+1,25,30,35,40,45,50)/100*(Inputs!$B$11-Inputs!$B$11),0)))/100)/2</f>
        <v/>
      </c>
      <c r="M1197">
        <f>L1197*(1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(1-Summary!$B$11)*S1197+Summary!$B$11*U1197</f>
        <v/>
      </c>
      <c r="P1197">
        <f>IF(B1227=0,0,O1197/B1227)</f>
        <v/>
      </c>
      <c r="Q1197">
        <f>IFERROR(1/IF(Inputs!$B$38="pvp",15,MAX(0.1,Skills!D7-IF(Skills!E7=TRUE,Inputs!$B$32,0))),0)</f>
        <v/>
      </c>
      <c r="R1197">
        <f>IF(AND(Inputs!$B$38&lt;&gt;"pvp",Inputs!$B$43&gt;0),IF(MAX(0,Inputs!$B$43-B1224)&lt;=0,0,(INT(MAX(0,Inputs!$B$43-B1224)/IF(Inputs!$B$38="pvp",15,MAX(0.1,Skills!D7-IF(Skills!E7=TRUE,Inputs!$B$32,0))))+1)),0)</f>
        <v/>
      </c>
      <c r="S1197">
        <f>IF(C1197,(H1197*N1197*IF(AND(Inputs!$B$38&lt;&gt;"pvp",Inputs!$B$43&gt;0),((Skills!F7*((R1197-1)*IF(Skills!G7&gt;0,Skills!H7/Skills!G7,1)+IF(Skills!G7&gt;0,MIN(Skills!H7,MAX(0,MAX(0,Inputs!$B$43-B1224)-((R1197-1)*IF(Inputs!$B$38="pvp",15,MAX(0.1,Skills!D7-IF(Skills!E7=TRUE,Inputs!$B$32,0))))))/Skills!G7,1)))/Inputs!$B$43),G1197*Q1197))*IF(Inputs!$B$38="pvp",1,1+(Inputs!$B$20+Skills!O7+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1197*(1-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1197*(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1197*(1-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7">
        <f>IF(C1197,(H1197*N1197*IF(AND(Inputs!$B$38&lt;&gt;"pvp",Inputs!$B$43&gt;0),((Skills!F7*((R1197-1)*IF(Skills!G7&gt;0,Skills!H7/Skills!G7,1)+IF(Skills!G7&gt;0,MIN(Skills!H7,MAX(0,MAX(0,Inputs!$B$43-B1224)-((R1197-1)*IF(Inputs!$B$38="pvp",15,MAX(0.1,Skills!D7-IF(Skills!E7=TRUE,Inputs!$B$32,0))))))/Skills!G7,1)))/Inputs!$B$43),G1197*Q1197))*IF(Inputs!$B$38="pvp",1,(1+(Inputs!$B$21+Skills!P7+B1218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Skills!A8</f>
        <v/>
      </c>
      <c r="B1198">
        <f>Skills!B8</f>
        <v/>
      </c>
      <c r="C1198">
        <f>Inputs!$B$3&gt;=103</f>
        <v/>
      </c>
      <c r="D1198">
        <f>IF(Skills!C8=1,60+Inputs!$B$25+Inputs!$B$29,IF(Skills!C8=2,90+Inputs!$B$26+Inputs!$B$29,IF(Skills!C8=3,120+Inputs!$B$27+Inputs!$B$29,MAX(0,(Inputs!$B$3-100)*3)+Inputs!$B$28+Inputs!$B$29)))</f>
        <v/>
      </c>
      <c r="E1198">
        <f>INDEX(FactorTable!$B$2:$Y$301, MATCH(ROUND(MIN(300,MAX(1,D1198)),0), FactorTable!$A$2:$A$301,0), Skills!L8+1)</f>
        <v/>
      </c>
      <c r="F1198">
        <f>IF(Skills!M8=TRUE,(Skills!K8/10)*(E1198/1000),Skills!K8/10)+Skills!N8</f>
        <v/>
      </c>
      <c r="G1198">
        <f>Calc!G8</f>
        <v/>
      </c>
      <c r="H1198">
        <f>Calc!H8</f>
        <v/>
      </c>
      <c r="I1198">
        <f>IF(Skills!T8&lt;&gt;"",1+(Skills!T8/10)*(Z1193/1000)/100,1)</f>
        <v/>
      </c>
      <c r="J1198">
        <f>((Inputs!$B$6*(1+Inputs!$B$7/100))+(((Inputs!$B$12*(1+Inputs!$B$13/100))-(Inputs!$B$12*(1+Inputs!$B$13/100)))+0.25*(Inputs!$B$14-Inputs!$B$14))*(1+Inputs!$B$7/100))*(F1198/100)</f>
        <v/>
      </c>
      <c r="K1198">
        <f>J1198*(1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8="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1208-Calc!F18),(Inputs!$B$23+(IF(ArtifactsInput!$M$15,CHOOSE(ArtifactsInput!$N$15+1,25,30,35,40,45,50)/100*(Inputs!$B$11-Inputs!$B$11),0))))/100+(Inputs!$B$23+(IF(ArtifactsInput!$M$15,CHOOSE(ArtifactsInput!$N$15+1,25,30,35,40,45,50)/100*(Inputs!$B$11-Inputs!$B$11),0)))/100)/2</f>
        <v/>
      </c>
      <c r="M1198">
        <f>L1198*(1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IF(B1227=0,0,O1198/B1227)</f>
        <v/>
      </c>
      <c r="Q1198">
        <f>IFERROR(1/IF(Inputs!$B$38="pvp",15,MAX(0.1,Skills!D8-IF(Skills!E8=TRUE,Inputs!$B$32,0))),0)</f>
        <v/>
      </c>
      <c r="R1198">
        <f>IF(AND(Inputs!$B$38&lt;&gt;"pvp",Inputs!$B$43&gt;0),IF(MAX(0,Inputs!$B$43-B1224)&lt;=0,0,(INT(MAX(0,Inputs!$B$43-B1224)/IF(Inputs!$B$38="pvp",15,MAX(0.1,Skills!D8-IF(Skills!E8=TRUE,Inputs!$B$32,0))))+1)),0)</f>
        <v/>
      </c>
      <c r="S1198">
        <f>IF(C1198,(H1198*N1198*IF(AND(Inputs!$B$38&lt;&gt;"pvp",Inputs!$B$43&gt;0),((Skills!F8*((R1198-1)*IF(Skills!G8&gt;0,Skills!H8/Skills!G8,1)+IF(Skills!G8&gt;0,MIN(Skills!H8,MAX(0,MAX(0,Inputs!$B$43-B1224)-((R1198-1)*IF(Inputs!$B$38="pvp",15,MAX(0.1,Skills!D8-IF(Skills!E8=TRUE,Inputs!$B$32,0))))))/Skills!G8,1)))/Inputs!$B$43),G1198*Q1198))*IF(Inputs!$B$38="pvp",1,1+(Inputs!$B$20+Skills!O8+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1198*(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1198*(1-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F8*((R1198-1)*IF(Skills!G8&gt;0,Skills!H8/Skills!G8,1)+IF(Skills!G8&gt;0,MIN(Skills!H8,MAX(0,MAX(0,Inputs!$B$43-B1224)-((R1198-1)*IF(Inputs!$B$38="pvp",15,MAX(0.1,Skills!D8-IF(Skills!E8=TRUE,Inputs!$B$32,0))))))/Skills!G8,1)))/Inputs!$B$43),G1198*Q1198))*IF(Inputs!$B$38="pvp",1,(1+(Inputs!$B$21+Skills!P8+B1218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Skills!A9</f>
        <v/>
      </c>
      <c r="B1199">
        <f>Skills!B9</f>
        <v/>
      </c>
      <c r="C1199">
        <f>Inputs!$B$3&gt;=105</f>
        <v/>
      </c>
      <c r="D1199">
        <f>IF(Skills!C9=1,60+Inputs!$B$25+Inputs!$B$29,IF(Skills!C9=2,90+Inputs!$B$26+Inputs!$B$29,IF(Skills!C9=3,120+Inputs!$B$27+Inputs!$B$29,MAX(0,(Inputs!$B$3-100)*3)+Inputs!$B$28+Inputs!$B$29)))</f>
        <v/>
      </c>
      <c r="E1199">
        <f>INDEX(FactorTable!$B$2:$Y$301, MATCH(ROUND(MIN(300,MAX(1,D1199)),0), FactorTable!$A$2:$A$301,0), Skills!L9+1)</f>
        <v/>
      </c>
      <c r="F1199">
        <f>IF(Skills!M9=TRUE,(Skills!K9/10)*(E1199/1000),Skills!K9/10)+Skills!N9</f>
        <v/>
      </c>
      <c r="G1199">
        <f>Calc!G9</f>
        <v/>
      </c>
      <c r="H1199">
        <f>Calc!H9</f>
        <v/>
      </c>
      <c r="I1199">
        <f>IF(Skills!T9&lt;&gt;"",1+(Skills!T9/10)*(Z1193/1000)/100,1)</f>
        <v/>
      </c>
      <c r="J1199">
        <f>((Inputs!$B$6*(1+Inputs!$B$7/100))+(((Inputs!$B$12*(1+Inputs!$B$13/100))-(Inputs!$B$12*(1+Inputs!$B$13/100)))+0.25*(Inputs!$B$14-Inputs!$B$14))*(1+Inputs!$B$7/100))*(F1199/100)</f>
        <v/>
      </c>
      <c r="K1199">
        <f>J1199*(1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9="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F1208-Calc!F18),(Inputs!$B$23+(IF(ArtifactsInput!$M$15,CHOOSE(ArtifactsInput!$N$15+1,25,30,35,40,45,50)/100*(Inputs!$B$11-Inputs!$B$11),0))))/100+(Inputs!$B$23+(IF(ArtifactsInput!$M$15,CHOOSE(ArtifactsInput!$N$15+1,25,30,35,40,45,50)/100*(Inputs!$B$11-Inputs!$B$11),0)))/100)/2</f>
        <v/>
      </c>
      <c r="M1199">
        <f>L1199*(1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(1-Summary!$B$11)*S1199+Summary!$B$11*U1199</f>
        <v/>
      </c>
      <c r="P1199">
        <f>IF(B1227=0,0,O1199/B1227)</f>
        <v/>
      </c>
      <c r="Q1199">
        <f>IFERROR(1/IF(Inputs!$B$38="pvp",15,MAX(0.1,Skills!D9-IF(Skills!E9=TRUE,Inputs!$B$32,0))),0)</f>
        <v/>
      </c>
      <c r="R1199">
        <f>IF(AND(Inputs!$B$38&lt;&gt;"pvp",Inputs!$B$43&gt;0),IF(MAX(0,Inputs!$B$43-B1224)&lt;=0,0,(INT(MAX(0,Inputs!$B$43-B1224)/IF(Inputs!$B$38="pvp",15,MAX(0.1,Skills!D9-IF(Skills!E9=TRUE,Inputs!$B$32,0))))+1)),0)</f>
        <v/>
      </c>
      <c r="S1199">
        <f>IF(C1199,(H1199*N1199*IF(AND(Inputs!$B$38&lt;&gt;"pvp",Inputs!$B$43&gt;0),((Skills!F9*((R1199-1)*IF(Skills!G9&gt;0,Skills!H9/Skills!G9,1)+IF(Skills!G9&gt;0,MIN(Skills!H9,MAX(0,MAX(0,Inputs!$B$43-B1224)-((R1199-1)*IF(Inputs!$B$38="pvp",15,MAX(0.1,Skills!D9-IF(Skills!E9=TRUE,Inputs!$B$32,0))))))/Skills!G9,1)))/Inputs!$B$43),G1199*Q1199))*IF(Inputs!$B$38="pvp",1,1+(Inputs!$B$20+Skills!O9+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1199*(1-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1199*(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1199*(1-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9">
        <f>IF(C1199,(H1199*N1199*IF(AND(Inputs!$B$38&lt;&gt;"pvp",Inputs!$B$43&gt;0),((Skills!F9*((R1199-1)*IF(Skills!G9&gt;0,Skills!H9/Skills!G9,1)+IF(Skills!G9&gt;0,MIN(Skills!H9,MAX(0,MAX(0,Inputs!$B$43-B1224)-((R1199-1)*IF(Inputs!$B$38="pvp",15,MAX(0.1,Skills!D9-IF(Skills!E9=TRUE,Inputs!$B$32,0))))))/Skills!G9,1)))/Inputs!$B$43),G1199*Q1199))*IF(Inputs!$B$38="pvp",1,(1+(Inputs!$B$21+Skills!P9+B1218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Skills!A10</f>
        <v/>
      </c>
      <c r="B1200">
        <f>Skills!B10</f>
        <v/>
      </c>
      <c r="C1200">
        <f>Inputs!$B$3&gt;=113</f>
        <v/>
      </c>
      <c r="D1200">
        <f>IF(Skills!C10=1,60+Inputs!$B$25+Inputs!$B$29,IF(Skills!C10=2,90+Inputs!$B$26+Inputs!$B$29,IF(Skills!C10=3,120+Inputs!$B$27+Inputs!$B$29,MAX(0,(Inputs!$B$3-100)*3)+Inputs!$B$28+Inputs!$B$29)))</f>
        <v/>
      </c>
      <c r="E1200">
        <f>INDEX(FactorTable!$B$2:$Y$301, MATCH(ROUND(MIN(300,MAX(1,D1200)),0), FactorTable!$A$2:$A$301,0), Skills!L10+1)</f>
        <v/>
      </c>
      <c r="F1200">
        <f>IF(Skills!M10=TRUE,(Skills!K10/10)*(E1200/1000),Skills!K10/10)+Skills!N10</f>
        <v/>
      </c>
      <c r="G1200">
        <f>Calc!G10</f>
        <v/>
      </c>
      <c r="H1200">
        <f>Calc!H10</f>
        <v/>
      </c>
      <c r="I1200">
        <f>IF(Skills!T10&lt;&gt;"",1+(Skills!T10/10)*(Z1193/1000)/100,1)</f>
        <v/>
      </c>
      <c r="J1200">
        <f>((Inputs!$B$6*(1+Inputs!$B$7/100))+(((Inputs!$B$12*(1+Inputs!$B$13/100))-(Inputs!$B$12*(1+Inputs!$B$13/100)))+0.25*(Inputs!$B$14-Inputs!$B$14))*(1+Inputs!$B$7/100))*(F1200/100)</f>
        <v/>
      </c>
      <c r="K1200">
        <f>J1200*(1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10="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F1208-Calc!F18),(Inputs!$B$23+(IF(ArtifactsInput!$M$15,CHOOSE(ArtifactsInput!$N$15+1,25,30,35,40,45,50)/100*(Inputs!$B$11-Inputs!$B$11),0))))/100+(Inputs!$B$23+(IF(ArtifactsInput!$M$15,CHOOSE(ArtifactsInput!$N$15+1,25,30,35,40,45,50)/100*(Inputs!$B$11-Inputs!$B$11),0)))/100)/2</f>
        <v/>
      </c>
      <c r="M1200">
        <f>L1200*(1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(1-Summary!$B$11)*S1200+Summary!$B$11*U1200</f>
        <v/>
      </c>
      <c r="P1200">
        <f>IF(B1227=0,0,O1200/B1227)</f>
        <v/>
      </c>
      <c r="Q1200">
        <f>IFERROR(1/IF(Inputs!$B$38="pvp",15,MAX(0.1,Skills!D10-IF(Skills!E9=TRUE,Inputs!$B$32,0))),0)</f>
        <v/>
      </c>
      <c r="R1200">
        <f>IF(AND(Inputs!$B$38&lt;&gt;"pvp",Inputs!$B$43&gt;0),IF(MAX(0,Inputs!$B$43-B1224)&lt;=0,0,(INT(MAX(0,Inputs!$B$43-B1224)/IF(Inputs!$B$38="pvp",15,MAX(0.1,Skills!D10-IF(Skills!E9=TRUE,Inputs!$B$32,0))))+1)),0)</f>
        <v/>
      </c>
      <c r="S1200">
        <f>IF(C1200,(H1200*N1200*IF(AND(Inputs!$B$38&lt;&gt;"pvp",Inputs!$B$43&gt;0),((Skills!F10*((R1200-1)*IF(Skills!G10&gt;0,Skills!H10/Skills!G10,1)+IF(Skills!G10&gt;0,MIN(Skills!H10,MAX(0,MAX(0,Inputs!$B$43-B1224)-((R1200-1)*IF(Inputs!$B$38="pvp",15,MAX(0.1,Skills!D10-IF(Skills!E9=TRUE,Inputs!$B$32,0))))))/Skills!G10,1)))/Inputs!$B$43),G1200*Q1200))*IF(Inputs!$B$38="pvp",1,1+(Inputs!$B$20+Skills!O10+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1200*(1-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1200*(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1200*(1-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0">
        <f>IF(C1200,(H1200*N1200*IF(AND(Inputs!$B$38&lt;&gt;"pvp",Inputs!$B$43&gt;0),((Skills!F10*((R1200-1)*IF(Skills!G10&gt;0,Skills!H10/Skills!G10,1)+IF(Skills!G10&gt;0,MIN(Skills!H10,MAX(0,MAX(0,Inputs!$B$43-B1224)-((R1200-1)*IF(Inputs!$B$38="pvp",15,MAX(0.1,Skills!D10-IF(Skills!E9=TRUE,Inputs!$B$32,0))))))/Skills!G10,1)))/Inputs!$B$43),G1200*Q1200))*IF(Inputs!$B$38="pvp",1,(1+(Inputs!$B$21+Skills!P10+B1218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Skills!A11</f>
        <v/>
      </c>
      <c r="B1201">
        <f>Skills!B11</f>
        <v/>
      </c>
      <c r="C1201">
        <f>Inputs!$B$3&gt;=107</f>
        <v/>
      </c>
      <c r="D1201">
        <f>IF(Skills!C11=1,60+Inputs!$B$25+Inputs!$B$29,IF(Skills!C11=2,90+Inputs!$B$26+Inputs!$B$29,IF(Skills!C11=3,120+Inputs!$B$27+Inputs!$B$29,MAX(0,(Inputs!$B$3-100)*3)+Inputs!$B$28+Inputs!$B$29)))</f>
        <v/>
      </c>
      <c r="E1201">
        <f>INDEX(FactorTable!$B$2:$Y$301, MATCH(ROUND(MIN(300,MAX(1,D1201)),0), FactorTable!$A$2:$A$301,0), Skills!L11+1)</f>
        <v/>
      </c>
      <c r="F1201">
        <f>IF(Skills!M11=TRUE,(Skills!K11/10)*(E1201/1000),Skills!K11/10)+Skills!N11</f>
        <v/>
      </c>
      <c r="G1201">
        <f>Calc!G11</f>
        <v/>
      </c>
      <c r="H1201">
        <f>Calc!H11</f>
        <v/>
      </c>
      <c r="I1201">
        <f>IF(Skills!T11&lt;&gt;"",1+(Skills!T11/10)*(Z1193/1000)/100,1)</f>
        <v/>
      </c>
      <c r="J1201">
        <f>((Inputs!$B$6*(1+Inputs!$B$7/100))+(((Inputs!$B$12*(1+Inputs!$B$13/100))-(Inputs!$B$12*(1+Inputs!$B$13/100)))+0.25*(Inputs!$B$14-Inputs!$B$14))*(1+Inputs!$B$7/100))*(F1201/100)</f>
        <v/>
      </c>
      <c r="K1201">
        <f>J1201*(1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11="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F1208-Calc!F18),(Inputs!$B$23+(IF(ArtifactsInput!$M$15,CHOOSE(ArtifactsInput!$N$15+1,25,30,35,40,45,50)/100*(Inputs!$B$11-Inputs!$B$11),0))))/100+(Inputs!$B$23+(IF(ArtifactsInput!$M$15,CHOOSE(ArtifactsInput!$N$15+1,25,30,35,40,45,50)/100*(Inputs!$B$11-Inputs!$B$11),0)))/100)/2</f>
        <v/>
      </c>
      <c r="M1201">
        <f>L1201*(1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(1-Summary!$B$11)*S1201+Summary!$B$11*U1201</f>
        <v/>
      </c>
      <c r="P1201">
        <f>IF(B1227=0,0,O1201/B1227)</f>
        <v/>
      </c>
      <c r="Q1201">
        <f>IFERROR(1/IF(Inputs!$B$38="pvp",15,MAX(0.1,Skills!D11-IF(Skills!E11=TRUE,Inputs!$B$32,0))),0)</f>
        <v/>
      </c>
      <c r="R1201">
        <f>IF(AND(Inputs!$B$38&lt;&gt;"pvp",Inputs!$B$43&gt;0),IF(MAX(0,Inputs!$B$43-B1224)&lt;=0,0,(INT(MAX(0,Inputs!$B$43-B1224)/IF(Inputs!$B$38="pvp",15,MAX(0.1,Skills!D11-IF(Skills!E11=TRUE,Inputs!$B$32,0))))+1)),0)</f>
        <v/>
      </c>
      <c r="S1201">
        <f>IF(C1201,H1201*N1201*IF(AND(Inputs!$B$38&lt;&gt;"pvp",Inputs!$B$43&gt;0),((Skills!F11*((R1201-1)*IF(Skills!G11&gt;0,Skills!H11/Skills!G11,1)+IF(Skills!G11&gt;0,MIN(Skills!H11,MAX(0,MAX(0,Inputs!$B$43-B1224)-((R1201-1)*IF(Inputs!$B$38="pvp",15,MAX(0.1,Skills!D11-IF(Skills!E11=TRUE,Inputs!$B$32,0))))))/Skills!G11,1)))/Inputs!$B$43),G1201*Q1201)*0.5*IF(Inputs!$B$38="pvp",1,1+(Inputs!$B$20+Skills!O11+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1201*(1-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IF(C1201,H1201*N1201*IF(AND(Inputs!$B$38&lt;&gt;"pvp",Inputs!$B$43&gt;0),((Skills!F11*((R1201-1)*IF(Skills!G11&gt;0,Skills!H11/Skills!G11,1)+IF(Skills!G11&gt;0,MIN(Skills!H11,MAX(0,MAX(0,Inputs!$B$43-B1224)-((R1201-1)*IF(Inputs!$B$38="pvp",15,MAX(0.1,Skills!D11-IF(Skills!E11=TRUE,Inputs!$B$32,0))))))/Skills!G11,1)))/Inputs!$B$43),G1201*Q1201)*1*IF(Inputs!$B$38="pvp",1,(1+(Inputs!$B$21+Skills!P11+B1218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Skills!A12</f>
        <v/>
      </c>
      <c r="B1202">
        <f>Skills!B12</f>
        <v/>
      </c>
      <c r="C1202">
        <f>Inputs!$B$3&gt;=115</f>
        <v/>
      </c>
      <c r="D1202">
        <f>IF(Skills!C12=1,60+Inputs!$B$25+Inputs!$B$29,IF(Skills!C12=2,90+Inputs!$B$26+Inputs!$B$29,IF(Skills!C12=3,120+Inputs!$B$27+Inputs!$B$29,MAX(0,(Inputs!$B$3-100)*3)+Inputs!$B$28+Inputs!$B$29)))</f>
        <v/>
      </c>
      <c r="E1202">
        <f>INDEX(FactorTable!$B$2:$Y$301, MATCH(ROUND(MIN(300,MAX(1,D1202)),0), FactorTable!$A$2:$A$301,0), Skills!L12+1)</f>
        <v/>
      </c>
      <c r="F1202">
        <f>IF(Skills!M12=TRUE,(Skills!K12/10)*(E1202/1000),Skills!K12/10)+Skills!N12</f>
        <v/>
      </c>
      <c r="G1202">
        <f>Calc!G12</f>
        <v/>
      </c>
      <c r="H1202">
        <f>Calc!H12</f>
        <v/>
      </c>
      <c r="I1202">
        <f>IF(Skills!T12&lt;&gt;"",1+(Skills!T12/10)*(Z1193/1000)/100,1)</f>
        <v/>
      </c>
      <c r="J1202">
        <f>((Inputs!$B$6*(1+Inputs!$B$7/100))+(((Inputs!$B$12*(1+Inputs!$B$13/100))-(Inputs!$B$12*(1+Inputs!$B$13/100)))+0.25*(Inputs!$B$14-Inputs!$B$14))*(1+Inputs!$B$7/100))*(F1202/100)</f>
        <v/>
      </c>
      <c r="K1202">
        <f>J1202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12="CHAIN_LIGHTNING",Inputs!$B$17+((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F1208-Calc!F18),(Inputs!$B$23+(IF(ArtifactsInput!$M$15,CHOOSE(ArtifactsInput!$N$15+1,25,30,35,40,45,50)/100*(Inputs!$B$11-Inputs!$B$11),0))))/100+(Inputs!$B$23+(IF(ArtifactsInput!$M$15,CHOOSE(ArtifactsInput!$N$15+1,25,30,35,40,45,50)/100*(Inputs!$B$11-Inputs!$B$11),0)))/100)/2</f>
        <v/>
      </c>
      <c r="M1202">
        <f>L1202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(1-Summary!$B$11)*S1202+Summary!$B$11*U1202</f>
        <v/>
      </c>
      <c r="P1202">
        <f>IF(B1227=0,0,O1202/B1227)</f>
        <v/>
      </c>
      <c r="Q1202">
        <f>IFERROR(1/IF(Inputs!$B$38="pvp",15,MAX(0.1,Skills!D12-IF(Skills!E12=TRUE,Inputs!$B$32,0))),0)</f>
        <v/>
      </c>
      <c r="R1202">
        <f>IF(AND(Inputs!$B$38&lt;&gt;"pvp",Inputs!$B$43&gt;0),IF(MAX(0,Inputs!$B$43-B1224)&lt;=0,0,(INT(MAX(0,Inputs!$B$43-B1224)/IF(Inputs!$B$38="pvp",15,MAX(0.1,Skills!D12-IF(Skills!E12=TRUE,Inputs!$B$32,0))))+1)),0)</f>
        <v/>
      </c>
      <c r="S1202">
        <f>IF(C1202,(H1202*N1202*IF(AND(Inputs!$B$38&lt;&gt;"pvp",Inputs!$B$43&gt;0),((Skills!F12*((R1202-1)*IF(Skills!G12&gt;0,Skills!H12/Skills!G12,1)+IF(Skills!G12&gt;0,MIN(Skills!H12,MAX(0,MAX(0,Inputs!$B$43-B1224)-((R1202-1)*IF(Inputs!$B$38="pvp",15,MAX(0.1,Skills!D12-IF(Skills!E12=TRUE,Inputs!$B$32,0))))))/Skills!G12,1)))/Inputs!$B$43),G1202*Q1202))*IF(Inputs!$B$38="pvp",1,1+(Inputs!$B$20+Skills!O12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1202*(1-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1202*(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1202*(1-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F1210-Calc!F20)+(F1209-Calc!F19))+(ArtifactsInput!$M$24-ArtifactsInput!$M$24)*CHOOSE(ArtifactsInput!$N$24+1,10,12,14,16,18,20)+(IF(AND(Inputs!$B$38&lt;&gt;"pvp",Inputs!$B$43=0),1,IF(IF(Inputs!$B$38="pvp",15,Inputs!$B$43)-(B1224)&lt;=0,1,MAX(0,IF(Inputs!$B$38="pvp",15,Inputs!$B$43)-MAX(5,B1224))/(IF(Inputs!$B$38="pvp",15,Inputs!$B$43)-(B1224)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F(C1202,(H1202*N1202*IF(AND(Inputs!$B$38&lt;&gt;"pvp",Inputs!$B$43&gt;0),((Skills!F12*((R1202-1)*IF(Skills!G12&gt;0,Skills!H12/Skills!G12,1)+IF(Skills!G12&gt;0,MIN(Skills!H12,MAX(0,MAX(0,Inputs!$B$43-B1224)-((R1202-1)*IF(Inputs!$B$38="pvp",15,MAX(0.1,Skills!D12-IF(Skills!E12=TRUE,Inputs!$B$32,0))))))/Skills!G12,1)))/Inputs!$B$43),G1202*Q1202))*IF(Inputs!$B$38="pvp",1,(1+(Inputs!$B$21+Skills!P12+B1218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Skills!A13</f>
        <v/>
      </c>
      <c r="B1203">
        <f>Skills!B13</f>
        <v/>
      </c>
      <c r="C1203">
        <f>Inputs!$B$3&gt;=49</f>
        <v/>
      </c>
      <c r="D1203">
        <f>IF(Skills!C13=1,60+Inputs!$B$25+Inputs!$B$29,IF(Skills!C13=2,90+Inputs!$B$26+Inputs!$B$29,IF(Skills!C13=3,120+Inputs!$B$27+Inputs!$B$29,MAX(0,(Inputs!$B$3-100)*3)+Inputs!$B$28+Inputs!$B$29)))</f>
        <v/>
      </c>
      <c r="E1203">
        <f>INDEX(FactorTable!$B$2:$Y$301, MATCH(ROUND(MIN(300,MAX(1,D1203)),0), FactorTable!$A$2:$A$301,0), Skills!L13+1)</f>
        <v/>
      </c>
      <c r="F1203">
        <f>IF(Skills!M13=TRUE,(Skills!K13/10)*(E1203/1000),Skills!K13/10)+Skills!N13</f>
        <v/>
      </c>
      <c r="G1203">
        <f>Calc!G13</f>
        <v/>
      </c>
      <c r="H1203">
        <f>Calc!H13</f>
        <v/>
      </c>
      <c r="I1203">
        <f>IF(Skills!T13&lt;&gt;"",1+(Skills!T13/10)*(Z1193/1000)/100,1)</f>
        <v/>
      </c>
      <c r="J1203" t="inlineStr"/>
      <c r="K1203" t="inlineStr"/>
      <c r="L1203" t="inlineStr"/>
      <c r="M1203" t="inlineStr"/>
      <c r="N1203" t="inlineStr"/>
      <c r="O1203">
        <f>(1-Summary!$B$11)*S1203+Summary!$B$11*U1203</f>
        <v/>
      </c>
      <c r="P1203">
        <f>IF(B1227=0,0,O1203/B1227)</f>
        <v/>
      </c>
      <c r="Q1203">
        <f>IFERROR(1/IF(Inputs!$B$38="pvp",15,MAX(0.1,Skills!D13-IF(Skills!E13=TRUE,Inputs!$B$32,0))),0)</f>
        <v/>
      </c>
      <c r="R1203" t="n">
        <v>0</v>
      </c>
      <c r="S1203" t="n">
        <v>0</v>
      </c>
      <c r="U1203" t="n">
        <v>0</v>
      </c>
    </row>
    <row r="1204">
      <c r="A1204">
        <f>Skills!A14</f>
        <v/>
      </c>
      <c r="B1204">
        <f>Skills!B14</f>
        <v/>
      </c>
      <c r="C1204">
        <f>Inputs!$B$3&gt;=72</f>
        <v/>
      </c>
      <c r="D1204">
        <f>IF(Skills!C14=1,60+Inputs!$B$25+Inputs!$B$29,IF(Skills!C14=2,90+Inputs!$B$26+Inputs!$B$29,IF(Skills!C14=3,120+Inputs!$B$27+Inputs!$B$29,MAX(0,(Inputs!$B$3-100)*3)+Inputs!$B$28+Inputs!$B$29)))</f>
        <v/>
      </c>
      <c r="E1204">
        <f>INDEX(FactorTable!$B$2:$Y$301, MATCH(ROUND(MIN(300,MAX(1,D1204)),0), FactorTable!$A$2:$A$301,0), Skills!L14+1)</f>
        <v/>
      </c>
      <c r="F1204">
        <f>IF(Skills!M14=TRUE,(Skills!K14/10)*(E1204/1000),Skills!K14/10)+Skills!N14</f>
        <v/>
      </c>
      <c r="G1204">
        <f>Calc!G14</f>
        <v/>
      </c>
      <c r="H1204">
        <f>Calc!H14</f>
        <v/>
      </c>
      <c r="I1204">
        <f>IF(Skills!T14&lt;&gt;"",1+(Skills!T14/10)*(Z1193/1000)/100,1)</f>
        <v/>
      </c>
      <c r="J1204" t="inlineStr"/>
      <c r="K1204" t="inlineStr"/>
      <c r="L1204" t="inlineStr"/>
      <c r="M1204" t="inlineStr"/>
      <c r="N1204" t="inlineStr"/>
      <c r="O1204">
        <f>(1-Summary!$B$11)*S1204+Summary!$B$11*U1204</f>
        <v/>
      </c>
      <c r="P1204">
        <f>IF(B1227=0,0,O1204/B1227)</f>
        <v/>
      </c>
      <c r="Q1204">
        <f>IFERROR(1/IF(Inputs!$B$38="pvp",15,MAX(0.1,Skills!D14-IF(Skills!E14=TRUE,Inputs!$B$32,0))),0)</f>
        <v/>
      </c>
      <c r="R1204" t="n">
        <v>0</v>
      </c>
      <c r="S1204" t="n">
        <v>0</v>
      </c>
      <c r="U1204" t="n">
        <v>0</v>
      </c>
    </row>
    <row r="1205">
      <c r="A1205">
        <f>Skills!A15</f>
        <v/>
      </c>
      <c r="B1205">
        <f>Skills!B15</f>
        <v/>
      </c>
      <c r="C1205">
        <f>Inputs!$B$3&gt;=75</f>
        <v/>
      </c>
      <c r="D1205">
        <f>IF(Skills!C15=1,60+Inputs!$B$25+Inputs!$B$29,IF(Skills!C15=2,90+Inputs!$B$26+Inputs!$B$29,IF(Skills!C15=3,120+Inputs!$B$27+Inputs!$B$29,MAX(0,(Inputs!$B$3-100)*3)+Inputs!$B$28+Inputs!$B$29)))</f>
        <v/>
      </c>
      <c r="E1205">
        <f>INDEX(FactorTable!$B$2:$Y$301, MATCH(ROUND(MIN(300,MAX(1,D1205)),0), FactorTable!$A$2:$A$301,0), Skills!L15+1)</f>
        <v/>
      </c>
      <c r="F1205">
        <f>IF(Skills!M15=TRUE,(Skills!K15/10)*(E1205/1000),Skills!K15/10)+Skills!N15</f>
        <v/>
      </c>
      <c r="G1205">
        <f>Calc!G15</f>
        <v/>
      </c>
      <c r="H1205">
        <f>Calc!H15</f>
        <v/>
      </c>
      <c r="I1205">
        <f>IF(Skills!T15&lt;&gt;"",1+(Skills!T15/10)*(Z1193/1000)/100,1)</f>
        <v/>
      </c>
      <c r="J1205" t="inlineStr"/>
      <c r="K1205" t="inlineStr"/>
      <c r="L1205" t="inlineStr"/>
      <c r="M1205" t="inlineStr"/>
      <c r="N1205" t="inlineStr"/>
      <c r="O1205">
        <f>(1-Summary!$B$11)*S1205+Summary!$B$11*U1205</f>
        <v/>
      </c>
      <c r="P1205">
        <f>IF(B1227=0,0,O1205/B1227)</f>
        <v/>
      </c>
      <c r="Q1205">
        <f>IFERROR(1/IF(Inputs!$B$38="pvp",15,MAX(0.1,Skills!D15-IF(Skills!E15=TRUE,Inputs!$B$32,0))),0)</f>
        <v/>
      </c>
      <c r="R1205" t="n">
        <v>0</v>
      </c>
      <c r="S1205" t="n">
        <v>0</v>
      </c>
      <c r="U1205" t="n">
        <v>0</v>
      </c>
    </row>
    <row r="1206">
      <c r="A1206">
        <f>Skills!A16</f>
        <v/>
      </c>
      <c r="B1206">
        <f>Skills!B16</f>
        <v/>
      </c>
      <c r="C1206">
        <f>Inputs!$B$3&gt;=110</f>
        <v/>
      </c>
      <c r="D1206">
        <f>IF(Skills!C16=1,60+Inputs!$B$25+Inputs!$B$29,IF(Skills!C16=2,90+Inputs!$B$26+Inputs!$B$29,IF(Skills!C16=3,120+Inputs!$B$27+Inputs!$B$29,MAX(0,(Inputs!$B$3-100)*3)+Inputs!$B$28+Inputs!$B$29)))</f>
        <v/>
      </c>
      <c r="E1206">
        <f>INDEX(FactorTable!$B$2:$Y$301, MATCH(ROUND(MIN(300,MAX(1,D1206)),0), FactorTable!$A$2:$A$301,0), Skills!L16+1)</f>
        <v/>
      </c>
      <c r="F1206">
        <f>(Skills!K16/10)*(E1206/1000)*64/45+Skills!N16</f>
        <v/>
      </c>
      <c r="G1206">
        <f>Calc!G16</f>
        <v/>
      </c>
      <c r="H1206">
        <f>Calc!H16</f>
        <v/>
      </c>
      <c r="I1206">
        <f>IF(Skills!T16&lt;&gt;"",1+(Skills!T16/10)*(Z1193/1000)/100,1)</f>
        <v/>
      </c>
      <c r="J1206" t="inlineStr"/>
      <c r="K1206" t="inlineStr"/>
      <c r="L1206" t="inlineStr"/>
      <c r="M1206" t="inlineStr"/>
      <c r="N1206" t="inlineStr"/>
      <c r="O1206">
        <f>(1-Summary!$B$11)*S1206+Summary!$B$11*U1206</f>
        <v/>
      </c>
      <c r="P1206">
        <f>IF(B1227=0,0,O1206/B1227)</f>
        <v/>
      </c>
      <c r="Q1206">
        <f>IFERROR(1/IF(Inputs!$B$38="pvp",15,MAX(0.1,Skills!D16-IF(Skills!E16=TRUE,Inputs!$B$32,0))),0)</f>
        <v/>
      </c>
      <c r="R1206">
        <f>IF(AND(Inputs!$B$38&lt;&gt;"pvp",Inputs!$B$43&gt;0),IF(Inputs!$B$43&lt;=0,0,(INT(Inputs!$B$43/IF(Inputs!$B$38="pvp",15,MAX(0.1,Skills!D16-IF(Skills!E16=TRUE,Inputs!$B$32,0))))+1)),0)</f>
        <v/>
      </c>
      <c r="S1206" t="n">
        <v>0</v>
      </c>
      <c r="U1206" t="n">
        <v>0</v>
      </c>
    </row>
    <row r="1207">
      <c r="A1207">
        <f>Skills!A17</f>
        <v/>
      </c>
      <c r="B1207">
        <f>Skills!B17</f>
        <v/>
      </c>
      <c r="C1207">
        <f>Inputs!$B$3&gt;=33</f>
        <v/>
      </c>
      <c r="D1207">
        <f>IF(Skills!C17=1,60+Inputs!$B$25+Inputs!$B$29,IF(Skills!C17=2,90+Inputs!$B$26+Inputs!$B$29,IF(Skills!C17=3,120+Inputs!$B$27+Inputs!$B$29,MAX(0,(Inputs!$B$3-100)*3)+Inputs!$B$28+Inputs!$B$29)))</f>
        <v/>
      </c>
      <c r="E1207">
        <f>INDEX(FactorTable!$B$2:$Y$301, MATCH(ROUND(MIN(300,MAX(1,D1207)),0), FactorTable!$A$2:$A$301,0), Skills!L17+1)</f>
        <v/>
      </c>
      <c r="F1207">
        <f>IF(Skills!M17=TRUE,(Skills!K17/10)*(E1207/1000),Skills!K17/10)+Skills!N17</f>
        <v/>
      </c>
      <c r="G1207">
        <f>Calc!G17</f>
        <v/>
      </c>
      <c r="H1207">
        <f>Calc!H17</f>
        <v/>
      </c>
      <c r="I1207">
        <f>IF(Skills!T17&lt;&gt;"",1+(Skills!T17/10)*(Z1193/1000)/100,1)</f>
        <v/>
      </c>
      <c r="J1207" t="inlineStr"/>
      <c r="K1207" t="inlineStr"/>
      <c r="L1207" t="inlineStr"/>
      <c r="M1207" t="inlineStr"/>
      <c r="N1207" t="inlineStr"/>
      <c r="O1207">
        <f>(1-Summary!$B$11)*S1207+Summary!$B$11*U1207</f>
        <v/>
      </c>
      <c r="P1207">
        <f>IF(B1227=0,0,O1207/B1227)</f>
        <v/>
      </c>
      <c r="Q1207">
        <f>IFERROR(1/IF(Inputs!$B$38="pvp",15,MAX(0.1,Skills!D17-IF(Skills!E17=TRUE,Inputs!$B$32,0))),0)</f>
        <v/>
      </c>
      <c r="R1207" t="n">
        <v>0</v>
      </c>
      <c r="S1207" t="n">
        <v>0</v>
      </c>
      <c r="U1207" t="n">
        <v>0</v>
      </c>
    </row>
    <row r="1208">
      <c r="A1208">
        <f>Skills!A18</f>
        <v/>
      </c>
      <c r="B1208">
        <f>Skills!B18</f>
        <v/>
      </c>
      <c r="C1208">
        <f>Inputs!$B$3&gt;=43</f>
        <v/>
      </c>
      <c r="D1208">
        <f>IF(Skills!C18=1,60+Inputs!$B$25+Inputs!$B$29,IF(Skills!C18=2,90+Inputs!$B$26+Inputs!$B$29,IF(Skills!C18=3,120+Inputs!$B$27+Inputs!$B$29,MAX(0,(Inputs!$B$3-100)*3)+Inputs!$B$28+Inputs!$B$29)))</f>
        <v/>
      </c>
      <c r="E1208">
        <f>INDEX(FactorTable!$B$2:$Y$301, MATCH(ROUND(MIN(300,MAX(1,D1208)),0), FactorTable!$A$2:$A$301,0), Skills!L18+1)</f>
        <v/>
      </c>
      <c r="F1208">
        <f>IF(Skills!M18=TRUE,(Skills!K18/10)*(E1208/1000),Skills!K18/10)+Skills!N18</f>
        <v/>
      </c>
      <c r="G1208">
        <f>Calc!G18</f>
        <v/>
      </c>
      <c r="H1208">
        <f>Calc!H18</f>
        <v/>
      </c>
      <c r="I1208">
        <f>IF(Skills!T18&lt;&gt;"",1+(Skills!T18/10)*(Z1193/1000)/100,1)</f>
        <v/>
      </c>
      <c r="J1208" t="inlineStr"/>
      <c r="K1208" t="inlineStr"/>
      <c r="L1208" t="inlineStr"/>
      <c r="M1208" t="inlineStr"/>
      <c r="N1208" t="inlineStr"/>
      <c r="O1208">
        <f>(1-Summary!$B$11)*S1208+Summary!$B$11*U1208</f>
        <v/>
      </c>
      <c r="P1208">
        <f>IF(B1227=0,0,O1208/B1227)</f>
        <v/>
      </c>
      <c r="Q1208">
        <f>IFERROR(1/IF(Inputs!$B$38="pvp",15,MAX(0.1,Skills!D18-IF(Skills!E18=TRUE,Inputs!$B$32,0))),0)</f>
        <v/>
      </c>
      <c r="R1208" t="n">
        <v>0</v>
      </c>
      <c r="S1208" t="n">
        <v>0</v>
      </c>
      <c r="U1208" t="n">
        <v>0</v>
      </c>
    </row>
    <row r="1209">
      <c r="A1209">
        <f>Skills!A19</f>
        <v/>
      </c>
      <c r="B1209">
        <f>Skills!B19</f>
        <v/>
      </c>
      <c r="C1209">
        <f>Inputs!$B$3&gt;=50</f>
        <v/>
      </c>
      <c r="D1209">
        <f>IF(Skills!C19=1,60+Inputs!$B$25+Inputs!$B$29,IF(Skills!C19=2,90+Inputs!$B$26+Inputs!$B$29,IF(Skills!C19=3,120+Inputs!$B$27+Inputs!$B$29,MAX(0,(Inputs!$B$3-100)*3)+Inputs!$B$28+Inputs!$B$29)))</f>
        <v/>
      </c>
      <c r="E1209">
        <f>INDEX(FactorTable!$B$2:$Y$301, MATCH(ROUND(MIN(300,MAX(1,D1209)),0), FactorTable!$A$2:$A$301,0), Skills!L19+1)</f>
        <v/>
      </c>
      <c r="F1209">
        <f>IF(Skills!M19=TRUE,(Skills!K19/10)*(E1209/1000),Skills!K19/10)+Skills!N19</f>
        <v/>
      </c>
      <c r="G1209">
        <f>Calc!G19</f>
        <v/>
      </c>
      <c r="H1209">
        <f>Calc!H19</f>
        <v/>
      </c>
      <c r="I1209">
        <f>IF(Skills!T19&lt;&gt;"",1+(Skills!T19/10)*(Z1193/1000)/100,1)</f>
        <v/>
      </c>
      <c r="J1209" t="inlineStr"/>
      <c r="K1209" t="inlineStr"/>
      <c r="L1209" t="inlineStr"/>
      <c r="M1209" t="inlineStr"/>
      <c r="N1209" t="inlineStr"/>
      <c r="O1209">
        <f>(1-Summary!$B$11)*S1209+Summary!$B$11*U1209</f>
        <v/>
      </c>
      <c r="P1209">
        <f>IF(B1227=0,0,O1209/B1227)</f>
        <v/>
      </c>
      <c r="Q1209">
        <f>IFERROR(1/IF(Inputs!$B$38="pvp",15,MAX(0.1,Skills!D19-IF(Skills!E19=TRUE,Inputs!$B$32,0))),0)</f>
        <v/>
      </c>
      <c r="R1209" t="n">
        <v>0</v>
      </c>
      <c r="S1209" t="n">
        <v>0</v>
      </c>
      <c r="U1209" t="n">
        <v>0</v>
      </c>
    </row>
    <row r="1210">
      <c r="A1210">
        <f>Skills!A20</f>
        <v/>
      </c>
      <c r="B1210">
        <f>Skills!B20</f>
        <v/>
      </c>
      <c r="C1210">
        <f>Inputs!$B$3&gt;=74</f>
        <v/>
      </c>
      <c r="D1210">
        <f>IF(Skills!C20=1,60+Inputs!$B$25+Inputs!$B$29,IF(Skills!C20=2,90+Inputs!$B$26+Inputs!$B$29,IF(Skills!C20=3,120+Inputs!$B$27+Inputs!$B$29,MAX(0,(Inputs!$B$3-100)*3)+Inputs!$B$28+Inputs!$B$29)))</f>
        <v/>
      </c>
      <c r="E1210">
        <f>INDEX(FactorTable!$B$2:$Y$301, MATCH(ROUND(MIN(300,MAX(1,D1210)),0), FactorTable!$A$2:$A$301,0), Skills!L20+1)</f>
        <v/>
      </c>
      <c r="F1210">
        <f>IF(Skills!M20=TRUE,(Skills!K20/10)*(E1210/1000),Skills!K20/10)+Skills!N20</f>
        <v/>
      </c>
      <c r="G1210">
        <f>Calc!G20</f>
        <v/>
      </c>
      <c r="H1210">
        <f>Calc!H20</f>
        <v/>
      </c>
      <c r="I1210">
        <f>IF(Skills!T20&lt;&gt;"",1+(Skills!T20/10)*(Z1193/1000)/100,1)</f>
        <v/>
      </c>
      <c r="J1210" t="inlineStr"/>
      <c r="K1210" t="inlineStr"/>
      <c r="L1210" t="inlineStr"/>
      <c r="M1210" t="inlineStr"/>
      <c r="N1210" t="inlineStr"/>
      <c r="O1210">
        <f>(1-Summary!$B$11)*S1210+Summary!$B$11*U1210</f>
        <v/>
      </c>
      <c r="P1210">
        <f>IF(B1227=0,0,O1210/B1227)</f>
        <v/>
      </c>
      <c r="Q1210">
        <f>IFERROR(1/IF(Inputs!$B$38="pvp",15,MAX(0.1,Skills!D20-IF(Skills!E20=TRUE,Inputs!$B$32,0))),0)</f>
        <v/>
      </c>
      <c r="R1210" t="n">
        <v>0</v>
      </c>
      <c r="S1210" t="n">
        <v>0</v>
      </c>
      <c r="U1210" t="n">
        <v>0</v>
      </c>
    </row>
    <row r="1211">
      <c r="A1211">
        <f>Skills!A21</f>
        <v/>
      </c>
      <c r="B1211">
        <f>Skills!B21</f>
        <v/>
      </c>
      <c r="C1211">
        <f>Inputs!$B$3&gt;=74</f>
        <v/>
      </c>
      <c r="D1211">
        <f>IF(Skills!C21=1,60+Inputs!$B$25+Inputs!$B$29,IF(Skills!C21=2,90+Inputs!$B$26+Inputs!$B$29,IF(Skills!C21=3,120+Inputs!$B$27+Inputs!$B$29,MAX(0,(Inputs!$B$3-100)*3)+Inputs!$B$28+Inputs!$B$29)))</f>
        <v/>
      </c>
      <c r="E1211">
        <f>INDEX(FactorTable!$B$2:$Y$301, MATCH(ROUND(MIN(300,MAX(1,D1211)),0), FactorTable!$A$2:$A$301,0), Skills!L21+1)</f>
        <v/>
      </c>
      <c r="F1211">
        <f>IF(Skills!M21=TRUE,(Skills!K21/10)*(E1211/1000),Skills!K21/10)+Skills!N21</f>
        <v/>
      </c>
      <c r="G1211">
        <f>Calc!G21</f>
        <v/>
      </c>
      <c r="H1211">
        <f>Calc!H21</f>
        <v/>
      </c>
      <c r="I1211">
        <f>IF(Skills!T21&lt;&gt;"",1+(Skills!T21/10)*(Z1193/1000)/100,1)</f>
        <v/>
      </c>
      <c r="J1211" t="inlineStr"/>
      <c r="K1211" t="inlineStr"/>
      <c r="L1211" t="inlineStr"/>
      <c r="M1211" t="inlineStr"/>
      <c r="N1211" t="inlineStr"/>
      <c r="O1211">
        <f>(1-Summary!$B$11)*S1211+Summary!$B$11*U1211</f>
        <v/>
      </c>
      <c r="P1211">
        <f>IF(B1227=0,0,O1211/B1227)</f>
        <v/>
      </c>
      <c r="Q1211">
        <f>IFERROR(1/IF(Inputs!$B$38="pvp",15,MAX(0.1,Skills!D21-IF(Skills!E21=TRUE,Inputs!$B$32,0))),0)</f>
        <v/>
      </c>
      <c r="R1211" t="n">
        <v>0</v>
      </c>
      <c r="S1211" t="n">
        <v>0</v>
      </c>
      <c r="U1211" t="n">
        <v>0</v>
      </c>
    </row>
    <row r="1212">
      <c r="A1212">
        <f>Skills!A22</f>
        <v/>
      </c>
      <c r="B1212">
        <f>Skills!B22</f>
        <v/>
      </c>
      <c r="C1212">
        <f>Inputs!$B$3&gt;=117</f>
        <v/>
      </c>
      <c r="D1212">
        <f>IF(Skills!C22=1,60+Inputs!$B$25+Inputs!$B$29,IF(Skills!C22=2,90+Inputs!$B$26+Inputs!$B$29,IF(Skills!C22=3,120+Inputs!$B$27+Inputs!$B$29,MAX(0,(Inputs!$B$3-100)*3)+Inputs!$B$28+Inputs!$B$29)))</f>
        <v/>
      </c>
      <c r="E1212">
        <f>INDEX(FactorTable!$B$2:$Y$301, MATCH(ROUND(MIN(300,MAX(1,D1212)),0), FactorTable!$A$2:$A$301,0), Skills!L22+1)</f>
        <v/>
      </c>
      <c r="F1212">
        <f>IF(Skills!M22=TRUE,(Skills!K22/10)*(E1212/1000),Skills!K22/10)+Skills!N22</f>
        <v/>
      </c>
      <c r="G1212">
        <f>Calc!G22</f>
        <v/>
      </c>
      <c r="H1212">
        <f>Calc!H22</f>
        <v/>
      </c>
      <c r="I1212">
        <f>IF(Skills!T22&lt;&gt;"",1+(Skills!T22/10)*(Z1193/1000)/100,1)</f>
        <v/>
      </c>
      <c r="J1212" t="inlineStr"/>
      <c r="K1212" t="inlineStr"/>
      <c r="L1212" t="inlineStr"/>
      <c r="M1212" t="inlineStr"/>
      <c r="N1212" t="inlineStr"/>
      <c r="O1212">
        <f>(1-Summary!$B$11)*S1212+Summary!$B$11*U1212</f>
        <v/>
      </c>
      <c r="P1212">
        <f>IF(B1227=0,0,O1212/B1227)</f>
        <v/>
      </c>
      <c r="Q1212">
        <f>IFERROR(1/IF(Inputs!$B$38="pvp",15,MAX(0.1,Skills!D22-IF(Skills!E22=TRUE,Inputs!$B$32,0))),0)</f>
        <v/>
      </c>
      <c r="R1212" t="n">
        <v>0</v>
      </c>
      <c r="S1212" t="n">
        <v>0</v>
      </c>
      <c r="U1212" t="n">
        <v>0</v>
      </c>
    </row>
    <row r="1213">
      <c r="A1213">
        <f>Skills!A23</f>
        <v/>
      </c>
      <c r="B1213">
        <f>Skills!B23</f>
        <v/>
      </c>
      <c r="C1213">
        <f>Inputs!$B$3&gt;=120</f>
        <v/>
      </c>
      <c r="D1213">
        <f>IF(Skills!C23=1,60+Inputs!$B$25+Inputs!$B$29,IF(Skills!C23=2,90+Inputs!$B$26+Inputs!$B$29,IF(Skills!C23=3,120+Inputs!$B$27+Inputs!$B$29,MAX(0,(Inputs!$B$3-100)*3)+Inputs!$B$28+Inputs!$B$29)))</f>
        <v/>
      </c>
      <c r="E1213">
        <f>INDEX(FactorTable!$B$2:$Y$301, MATCH(ROUND(MIN(300,MAX(1,D1213)),0), FactorTable!$A$2:$A$301,0), Skills!L23+1)</f>
        <v/>
      </c>
      <c r="F1213">
        <f>IF(Skills!M23=TRUE,(Skills!K23/10)*(E1213/1000),Skills!K23/10)+Skills!N23</f>
        <v/>
      </c>
      <c r="G1213">
        <f>Calc!G23</f>
        <v/>
      </c>
      <c r="H1213">
        <f>Calc!H23</f>
        <v/>
      </c>
      <c r="I1213">
        <f>IF(Skills!T23&lt;&gt;"",1+(Skills!T23/10)*(Z1193/1000)/100,1)</f>
        <v/>
      </c>
      <c r="J1213" t="inlineStr"/>
      <c r="K1213" t="inlineStr"/>
      <c r="L1213" t="inlineStr"/>
      <c r="M1213" t="inlineStr"/>
      <c r="N1213" t="inlineStr"/>
      <c r="O1213">
        <f>(1-Summary!$B$11)*S1213+Summary!$B$11*U1213</f>
        <v/>
      </c>
      <c r="P1213">
        <f>IF(B1227=0,0,O1213/B1227)</f>
        <v/>
      </c>
      <c r="Q1213">
        <f>IFERROR(1/IF(Inputs!$B$38="pvp",15,MAX(0.1,Skills!D23-IF(Skills!E23=TRUE,Inputs!$B$32,0))),0)</f>
        <v/>
      </c>
      <c r="R1213" t="n">
        <v>0</v>
      </c>
      <c r="S1213" t="n">
        <v>0</v>
      </c>
      <c r="U1213" t="n">
        <v>0</v>
      </c>
    </row>
    <row r="1214">
      <c r="A1214">
        <f>Skills!A24</f>
        <v/>
      </c>
      <c r="B1214">
        <f>Skills!B24</f>
        <v/>
      </c>
      <c r="C1214">
        <f>TRUE</f>
        <v/>
      </c>
      <c r="D1214">
        <f>IF(Skills!C24=1,60+Inputs!$B$25+Inputs!$B$29,IF(Skills!C24=2,90+Inputs!$B$26+Inputs!$B$29,IF(Skills!C24=3,120+Inputs!$B$27+Inputs!$B$29,MAX(0,(Inputs!$B$3-100)*3)+Inputs!$B$28+Inputs!$B$29)))</f>
        <v/>
      </c>
      <c r="E1214">
        <f>INDEX(FactorTable!$B$2:$Y$301, MATCH(ROUND(MIN(300,MAX(1,D1214)),0), FactorTable!$A$2:$A$301,0), Skills!L24+1)</f>
        <v/>
      </c>
      <c r="F1214">
        <f>IF(Skills!M24=TRUE,(Skills!K24/10)*(E1214/1000),Skills!K24/10)+Skills!N24</f>
        <v/>
      </c>
      <c r="G1214">
        <f>Calc!G24</f>
        <v/>
      </c>
      <c r="H1214">
        <f>Calc!H24</f>
        <v/>
      </c>
      <c r="I1214">
        <f>IF(Skills!T24&lt;&gt;"",1+(Skills!T24/10)*(Z1193/1000)/100,1)</f>
        <v/>
      </c>
      <c r="J1214" t="inlineStr"/>
      <c r="K1214" t="inlineStr"/>
      <c r="L1214" t="inlineStr"/>
      <c r="M1214" t="inlineStr"/>
      <c r="N1214" t="inlineStr"/>
      <c r="O1214">
        <f>(1-Summary!$B$11)*S1214+Summary!$B$11*U1214</f>
        <v/>
      </c>
      <c r="P1214">
        <f>IF(B1227=0,0,O1214/B1227)</f>
        <v/>
      </c>
      <c r="Q1214">
        <f>IFERROR(1/IF(Inputs!$B$38="pvp",15,MAX(0.1,Skills!D24-IF(Skills!E24=TRUE,Inputs!$B$32,0))),0)</f>
        <v/>
      </c>
      <c r="R1214">
        <f>IF(AND(Inputs!$B$38&lt;&gt;"pvp",Inputs!$B$43&gt;0),IF(Inputs!$B$43&lt;=0,0,(INT(Inputs!$B$43/IF(Inputs!$B$38="pvp",15,MAX(0.1,Skills!D24-IF(Skills!E24=TRUE,Inputs!$B$32,0))))+1)),0)</f>
        <v/>
      </c>
      <c r="S1214" t="n">
        <v>0</v>
      </c>
      <c r="U1214" t="n">
        <v>0</v>
      </c>
    </row>
    <row r="1217">
      <c r="A1217" t="inlineStr">
        <is>
          <t>Average Buff Multiplier (Magic Guard + Meditation + Artifact Attack%, summed; then Infinity)</t>
        </is>
      </c>
      <c r="B1217">
        <f>(1+(IF(C1193=TRUE,F1193*IF(AND(Inputs!$B$38&lt;&gt;"pvp",Inputs!$B$43&gt;0),(((R1193-1)*(Skills!S3*(1+(Inputs!$B$34)/100))+MIN((Skills!S3*(1+(Inputs!$B$34)/100)),MAX(0,Inputs!$B$43-((R1193-1)*Skills!D3))))/Inputs!$B$43),IF(Inputs!$B$38="pvp",MIN((Skills!S3*(1+(Inputs!$B$34)/100)),15)/15,(Skills!S3*(1+(Inputs!$B$34)/100))/Skills!D3)),0)+IF(C1194=TRUE,F1194*IF(AND(Inputs!$B$38&lt;&gt;"pvp",Inputs!$B$43&gt;0),(((R1194-1)*(Skills!S4*(1+(Inputs!$B$34)/100))+MIN((Skills!S4*(1+(Inputs!$B$34)/100)),MAX(0,Inputs!$B$43-((R1194-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1206=TRUE,(1+F1206*IF(AND(Inputs!$B$38&lt;&gt;"pvp",Inputs!$B$43&gt;0),(((R1206-1)*(Skills!S16*(1+(Inputs!$B$34)/100))+MIN((Skills!S16*(1+(Inputs!$B$34)/100)),MAX(0,Inputs!$B$43-((R1206-1)*Skills!D16))))/Inputs!$B$43),IF(Inputs!$B$38="pvp",MIN((Skills!S16*(1+(Inputs!$B$34)/100)),15)/15,(Skills!S16*(1+(Inputs!$B$34)/100))/Skills!D16))/100),1)</f>
        <v/>
      </c>
    </row>
    <row r="1218">
      <c r="A1218" t="inlineStr">
        <is>
          <t>Monster Damage Taken Bonus % (Freezing Breath - Weaken + Elemental Reset + Artifact Enemy Damage Taken, summed)</t>
        </is>
      </c>
      <c r="B1218">
        <f>IF(Inputs!$B$3&gt;=118,15*IF(Inputs!$B$38="pvp",MIN((30*(1+(Inputs!$B$34)/100)),15)/15,(30*(1+(Inputs!$B$34)/100))/Skills!D8),0)+IF(C1204=TRUE,F1204,0)+(IF(AND(ArtifactsInput!$M$35,Inputs!$B$4&lt;&gt;"Chapter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f>
        <v/>
      </c>
    </row>
    <row r="1219">
      <c r="A1219" t="inlineStr">
        <is>
          <t>Damage % Bonus (Frozen Break + Frost Clutch, flat)</t>
        </is>
      </c>
      <c r="B1219">
        <f>IF(Inputs!$B$3&gt;=66,15,0)+IF(Inputs!$B$3&gt;=98,10,0)+IF(Inputs!$B$3&gt;=125,20,0)</f>
        <v/>
      </c>
    </row>
    <row r="1220">
      <c r="A1220" t="inlineStr">
        <is>
          <t>Attack Speed Bonus % (MP Eater - MP Boost, always-on + Nimble Feet, duty-cycle averaged)</t>
        </is>
      </c>
      <c r="B1220">
        <f>IF(C1203=TRUE,F1203+(F1207-Calc!F17),0)+((C1214=TRUE)*F1214*IF(AND(Inputs!$B$38&lt;&gt;"pvp",Inputs!$B$43&gt;0),(((R1214-1)*(Skills!S24*(1+(Inputs!$B$34)/100))+MIN((Skills!S24*(1+(Inputs!$B$34)/100)),MAX(0,Inputs!$B$43-((R1214-1)*Skills!D24))))/Inputs!$B$43),IF(Inputs!$B$38="pvp",MIN((Skills!S24*(1+(Inputs!$B$34)/100)),15)/15,(Skills!S24*(1+(Inputs!$B$34)/100))/Skills!D24)))</f>
        <v/>
      </c>
    </row>
    <row r="1221">
      <c r="A1221" t="inlineStr">
        <is>
          <t>Actions Per Second</t>
        </is>
      </c>
      <c r="B1221">
        <f>1+MIN(150,150*(1-(1-(Inputs!$B$11+(ArtifactsInput!$M$15-ArtifactsInput!$M$15)*CHOOSE(ArtifactsInput!$N$15+1,8,9.6,11.2,12.8,14.4,16))/150)*(1-B1220/150)))/100</f>
        <v/>
      </c>
    </row>
    <row r="1222">
      <c r="A1222" t="inlineStr">
        <is>
          <t>Skill + Buff Cast Rate</t>
        </is>
      </c>
      <c r="B1222">
        <f>IF(AND(Inputs!$B$38&lt;&gt;"pvp",Inputs!$B$43&gt;0),SUMPRODUCT((Skills!E2:E24=TRUE)*(C1192:C1214=TRUE)*R1192:R1214)/Inputs!$B$43,SUMPRODUCT((Skills!E2:E24=TRUE)*(C1192:C1214=TRUE)*Q1192:Q1214))</f>
        <v/>
      </c>
    </row>
    <row r="1223">
      <c r="A1223" t="inlineStr">
        <is>
          <t>Chain Lightning Casts Per Second</t>
        </is>
      </c>
      <c r="B1223">
        <f>MAX(0,B1221-B1222)</f>
        <v/>
      </c>
    </row>
    <row r="1224">
      <c r="A1224" t="inlineStr">
        <is>
          <t>Buff-Casting Startup Delay (s, fixed-duration only)</t>
        </is>
      </c>
      <c r="B1224">
        <f>IF(AND(Inputs!$B$38&lt;&gt;"pvp",Inputs!$B$43&gt;0),SUMPRODUCT((Skills!S2:S24&gt;0)*(Skills!E2:E24=TRUE)*(C1192:C1214=TRUE))/B1221,0)</f>
        <v/>
      </c>
    </row>
    <row r="1225">
      <c r="A1225" t="inlineStr">
        <is>
          <t>Boss-Only Total DPS (this block's swept value)</t>
        </is>
      </c>
      <c r="B1225">
        <f>SUM(S1192:S1214)</f>
        <v/>
      </c>
    </row>
    <row r="1226">
      <c r="A1226" t="inlineStr">
        <is>
          <t>Normal-Only Total DPS (this block's swept value)</t>
        </is>
      </c>
      <c r="B1226">
        <f>SUM(U1192:U1214)</f>
        <v/>
      </c>
    </row>
    <row r="1227">
      <c r="A1227" s="6" t="inlineStr">
        <is>
          <t>TOTAL DPS</t>
        </is>
      </c>
      <c r="B1227" s="6">
        <f>SUM(O1192:O1214)</f>
        <v/>
      </c>
    </row>
    <row r="1230">
      <c r="A1230" s="6" t="inlineStr">
        <is>
          <t>Stat: Rainbow-colored Snail Shell (Equip)</t>
        </is>
      </c>
    </row>
    <row r="1231">
      <c r="A1231" s="5" t="inlineStr">
        <is>
          <t>Key</t>
        </is>
      </c>
      <c r="B1231" s="5" t="inlineStr">
        <is>
          <t>Name</t>
        </is>
      </c>
      <c r="C1231" s="5" t="inlineStr">
        <is>
          <t>Unlocked</t>
        </is>
      </c>
      <c r="D1231" s="5" t="inlineStr">
        <is>
          <t>InputLevel</t>
        </is>
      </c>
      <c r="E1231" s="5" t="inlineStr">
        <is>
          <t>Factor</t>
        </is>
      </c>
      <c r="F1231" s="5" t="inlineStr">
        <is>
          <t>CoefficientPercent</t>
        </is>
      </c>
      <c r="G1231" s="5" t="inlineStr">
        <is>
          <t>EffectiveHits</t>
        </is>
      </c>
      <c r="H1231" s="5" t="inlineStr">
        <is>
          <t>ProcProbability</t>
        </is>
      </c>
      <c r="I1231" s="5" t="inlineStr">
        <is>
          <t>MapleHeroMultiplier</t>
        </is>
      </c>
      <c r="J1231" s="5" t="inlineStr">
        <is>
          <t>BaseDamage</t>
        </is>
      </c>
      <c r="K1231" s="5" t="inlineStr">
        <is>
          <t>BaseHitDamage</t>
        </is>
      </c>
      <c r="L1231" s="5" t="inlineStr">
        <is>
          <t>NonCritAvg</t>
        </is>
      </c>
      <c r="M1231" s="5" t="inlineStr">
        <is>
          <t>CritAvg</t>
        </is>
      </c>
      <c r="N1231" s="5" t="inlineStr">
        <is>
          <t>ExpectedDamage(perHit)</t>
        </is>
      </c>
      <c r="O1231" s="5" t="inlineStr">
        <is>
          <t>DPS</t>
        </is>
      </c>
      <c r="P1231" s="5" t="inlineStr">
        <is>
          <t>% of Total</t>
        </is>
      </c>
      <c r="R1231" t="inlineStr">
        <is>
          <t>helpers</t>
        </is>
      </c>
    </row>
    <row r="1232">
      <c r="A1232">
        <f>Skills!A2</f>
        <v/>
      </c>
      <c r="B1232">
        <f>Skills!B2</f>
        <v/>
      </c>
      <c r="C1232">
        <f>Inputs!$B$3&gt;=100</f>
        <v/>
      </c>
      <c r="D1232" t="inlineStr"/>
      <c r="E1232" t="inlineStr"/>
      <c r="F1232">
        <f>T1234+Skills!N2</f>
        <v/>
      </c>
      <c r="G1232">
        <f>Calc!G2</f>
        <v/>
      </c>
      <c r="H1232">
        <f>Calc!H2</f>
        <v/>
      </c>
      <c r="I1232">
        <f>IF(Skills!T2&lt;&gt;"",1+(Skills!T2/10)*(Z1233/1000)/100,1)</f>
        <v/>
      </c>
      <c r="J1232">
        <f>((Inputs!$B$6*(1+Inputs!$B$7/100))+(((Inputs!$B$12*(1+Inputs!$B$13/100))-(Inputs!$B$12*(1+Inputs!$B$13/100)))+0.25*(Inputs!$B$14-Inputs!$B$14))*(1+Inputs!$B$7/100))*(F1232/100)</f>
        <v/>
      </c>
      <c r="K1232">
        <f>J1232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2="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F1248-Calc!F18),(Inputs!$B$23+(IF(ArtifactsInput!$M$15,CHOOSE(ArtifactsInput!$N$15+1,25,30,35,40,45,50)/100*(Inputs!$B$11-Inputs!$B$11),0))))/100+(Inputs!$B$23+(IF(ArtifactsInput!$M$15,CHOOSE(ArtifactsInput!$N$15+1,25,30,35,40,45,50)/100*(Inputs!$B$11-Inputs!$B$11),0)))/100)/2</f>
        <v/>
      </c>
      <c r="M1232">
        <f>L1232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2">
        <f>L1232*(1-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1232*(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2">
        <f>(1-Summary!$B$11)*S1232+Summary!$B$11*U1232</f>
        <v/>
      </c>
      <c r="P1232">
        <f>IF(B1267=0,0,O1232/B1267)</f>
        <v/>
      </c>
      <c r="Q1232">
        <f>IFERROR(1/IF(Inputs!$B$38="pvp",15,MAX(0.1,Skills!D2-IF(Skills!E2=TRUE,Inputs!$B$32,0))),0)</f>
        <v/>
      </c>
      <c r="R1232" t="n">
        <v>0</v>
      </c>
      <c r="S1232">
        <f>IF(C1232,(Skills!F2*N1232*B1263)*IF(Inputs!$B$38="pvp",1,1+(Inputs!$B$20+Skills!O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1232*(1-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1232*(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1232*(1-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1232*(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32">
        <f>MAX(0,(Inputs!$B$3-100)*3)+Inputs!$B$28+Inputs!$B$29</f>
        <v/>
      </c>
      <c r="U1232">
        <f>IF(C1232,(Skills!F2*N1232*B1263)*IF(Inputs!$B$38="pvp",1,(1+(Inputs!$B$21+Skills!P2+B1258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32">
        <f>MAX(0,(Inputs!$B$3-100)*3)+Inputs!$B$28+Inputs!$B$29</f>
        <v/>
      </c>
    </row>
    <row r="1233">
      <c r="A1233">
        <f>Skills!A3</f>
        <v/>
      </c>
      <c r="B1233">
        <f>Skills!B3</f>
        <v/>
      </c>
      <c r="C1233">
        <f>Inputs!$B$3&gt;=15</f>
        <v/>
      </c>
      <c r="D1233">
        <f>IF(Skills!C3=1,60+Inputs!$B$25+Inputs!$B$29,IF(Skills!C3=2,90+Inputs!$B$26+Inputs!$B$29,IF(Skills!C3=3,120+Inputs!$B$27+Inputs!$B$29,MAX(0,(Inputs!$B$3-100)*3)+Inputs!$B$28+Inputs!$B$29)))</f>
        <v/>
      </c>
      <c r="E1233">
        <f>INDEX(FactorTable!$B$2:$Y$301, MATCH(ROUND(MIN(300,MAX(1,D1233)),0), FactorTable!$A$2:$A$301,0), Skills!L3+1)</f>
        <v/>
      </c>
      <c r="F1233">
        <f>IF(Skills!M3=TRUE,(Skills!K3/10)*(E1233/1000),Skills!K3/10)+Skills!N3</f>
        <v/>
      </c>
      <c r="G1233">
        <f>Calc!G3</f>
        <v/>
      </c>
      <c r="H1233">
        <f>Calc!H3</f>
        <v/>
      </c>
      <c r="I1233">
        <f>IF(Skills!T3&lt;&gt;"",1+(Skills!T3/10)*(Z1233/1000)/100,1)</f>
        <v/>
      </c>
      <c r="J1233" t="inlineStr"/>
      <c r="K1233" t="inlineStr"/>
      <c r="L1233" t="inlineStr"/>
      <c r="M1233" t="inlineStr"/>
      <c r="N1233" t="inlineStr"/>
      <c r="O1233">
        <f>(1-Summary!$B$11)*S1233+Summary!$B$11*U1233</f>
        <v/>
      </c>
      <c r="P1233">
        <f>IF(B1267=0,0,O1233/B1267)</f>
        <v/>
      </c>
      <c r="Q1233">
        <f>IFERROR(1/IF(Inputs!$B$38="pvp",15,MAX(0.1,Skills!D3-IF(Skills!E3=TRUE,Inputs!$B$32,0))),0)</f>
        <v/>
      </c>
      <c r="R1233">
        <f>IF(AND(Inputs!$B$38&lt;&gt;"pvp",Inputs!$B$43&gt;0),IF(Inputs!$B$43&lt;=0,0,(INT(Inputs!$B$43/IF(Inputs!$B$38="pvp",15,MAX(0.1,Skills!D3-IF(Skills!E3=TRUE,Inputs!$B$32,0))))+1)),0)</f>
        <v/>
      </c>
      <c r="S1233" t="n">
        <v>0</v>
      </c>
      <c r="T1233">
        <f>INDEX(FactorTable!$B$2:$Y$301, MATCH(ROUND(MIN(300,MAX(1,T1232)),0), FactorTable!$A$2:$A$301,0), 22)</f>
        <v/>
      </c>
      <c r="U1233" t="n">
        <v>0</v>
      </c>
      <c r="Z1233">
        <f>INDEX(FactorTable!$B$2:$Y$301, MATCH(ROUND(MIN(300,MAX(1,Z1232)),0), FactorTable!$A$2:$A$301,0), 24)</f>
        <v/>
      </c>
    </row>
    <row r="1234">
      <c r="A1234">
        <f>Skills!A4</f>
        <v/>
      </c>
      <c r="B1234">
        <f>Skills!B4</f>
        <v/>
      </c>
      <c r="C1234">
        <f>Inputs!$B$3&gt;=40</f>
        <v/>
      </c>
      <c r="D1234">
        <f>IF(Skills!C4=1,60+Inputs!$B$25+Inputs!$B$29,IF(Skills!C4=2,90+Inputs!$B$26+Inputs!$B$29,IF(Skills!C4=3,120+Inputs!$B$27+Inputs!$B$29,MAX(0,(Inputs!$B$3-100)*3)+Inputs!$B$28+Inputs!$B$29)))</f>
        <v/>
      </c>
      <c r="E1234">
        <f>INDEX(FactorTable!$B$2:$Y$301, MATCH(ROUND(MIN(300,MAX(1,D1234)),0), FactorTable!$A$2:$A$301,0), Skills!L4+1)</f>
        <v/>
      </c>
      <c r="F1234">
        <f>IF(Skills!M4=TRUE,(Skills!K4/10)*(E1234/1000),Skills!K4/10)+Skills!N4</f>
        <v/>
      </c>
      <c r="G1234">
        <f>Calc!G4</f>
        <v/>
      </c>
      <c r="H1234">
        <f>Calc!H4</f>
        <v/>
      </c>
      <c r="I1234">
        <f>IF(Skills!T4&lt;&gt;"",1+(Skills!T4/10)*(Z1233/1000)/100,1)</f>
        <v/>
      </c>
      <c r="J1234" t="inlineStr"/>
      <c r="K1234" t="inlineStr"/>
      <c r="L1234" t="inlineStr"/>
      <c r="M1234" t="inlineStr"/>
      <c r="N1234" t="inlineStr"/>
      <c r="O1234">
        <f>(1-Summary!$B$11)*S1234+Summary!$B$11*U1234</f>
        <v/>
      </c>
      <c r="P1234">
        <f>IF(B1267=0,0,O1234/B1267)</f>
        <v/>
      </c>
      <c r="Q1234">
        <f>IFERROR(1/IF(Inputs!$B$38="pvp",15,MAX(0.1,Skills!D4-IF(Skills!E4=TRUE,Inputs!$B$32,0))),0)</f>
        <v/>
      </c>
      <c r="R1234">
        <f>IF(AND(Inputs!$B$38&lt;&gt;"pvp",Inputs!$B$43&gt;0),IF(Inputs!$B$43&lt;=0,0,(INT(Inputs!$B$43/IF(Inputs!$B$38="pvp",15,MAX(0.1,Skills!D4-IF(Skills!E4=TRUE,Inputs!$B$32,0))))+1)),0)</f>
        <v/>
      </c>
      <c r="S1234" t="n">
        <v>0</v>
      </c>
      <c r="T1234">
        <f>290*T1233/1000</f>
        <v/>
      </c>
      <c r="U1234" t="n">
        <v>0</v>
      </c>
    </row>
    <row r="1235">
      <c r="A1235">
        <f>Skills!A5</f>
        <v/>
      </c>
      <c r="B1235">
        <f>Skills!B5</f>
        <v/>
      </c>
      <c r="C1235">
        <f>Inputs!$B$3&gt;=38</f>
        <v/>
      </c>
      <c r="D1235">
        <f>IF(Skills!C5=1,60+Inputs!$B$25+Inputs!$B$29,IF(Skills!C5=2,90+Inputs!$B$26+Inputs!$B$29,IF(Skills!C5=3,120+Inputs!$B$27+Inputs!$B$29,MAX(0,(Inputs!$B$3-100)*3)+Inputs!$B$28+Inputs!$B$29)))</f>
        <v/>
      </c>
      <c r="E1235">
        <f>INDEX(FactorTable!$B$2:$Y$301, MATCH(ROUND(MIN(300,MAX(1,D1235)),0), FactorTable!$A$2:$A$301,0), Skills!L5+1)</f>
        <v/>
      </c>
      <c r="F1235">
        <f>IF(Skills!M5=TRUE,(Skills!K5/10)*(E1235/1000),Skills!K5/10)+Skills!N5</f>
        <v/>
      </c>
      <c r="G1235">
        <f>Calc!G5</f>
        <v/>
      </c>
      <c r="H1235">
        <f>Calc!H5</f>
        <v/>
      </c>
      <c r="I1235">
        <f>IF(Skills!T5&lt;&gt;"",1+(Skills!T5/10)*(Z1233/1000)/100,1)</f>
        <v/>
      </c>
      <c r="J1235">
        <f>((Inputs!$B$6*(1+Inputs!$B$7/100))+(((Inputs!$B$12*(1+Inputs!$B$13/100))-(Inputs!$B$12*(1+Inputs!$B$13/100)))+0.25*(Inputs!$B$14-Inputs!$B$14))*(1+Inputs!$B$7/100))*(F1235/100)</f>
        <v/>
      </c>
      <c r="K1235">
        <f>J1235*(1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5="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F1248-Calc!F18),(Inputs!$B$23+(IF(ArtifactsInput!$M$15,CHOOSE(ArtifactsInput!$N$15+1,25,30,35,40,45,50)/100*(Inputs!$B$11-Inputs!$B$11),0))))/100+(Inputs!$B$23+(IF(ArtifactsInput!$M$15,CHOOSE(ArtifactsInput!$N$15+1,25,30,35,40,45,50)/100*(Inputs!$B$11-Inputs!$B$11),0)))/100)/2</f>
        <v/>
      </c>
      <c r="M1235">
        <f>L1235*(1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5">
        <f>L1235*(1-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1235*(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5">
        <f>(1-Summary!$B$11)*S1235+Summary!$B$11*U1235</f>
        <v/>
      </c>
      <c r="P1235">
        <f>IF(B1267=0,0,O1235/B1267)</f>
        <v/>
      </c>
      <c r="Q1235">
        <f>IFERROR(1/IF(Inputs!$B$38="pvp",15,MAX(0.1,Skills!D5-IF(Skills!E5=TRUE,Inputs!$B$32,0))),0)</f>
        <v/>
      </c>
      <c r="R1235">
        <f>IF(AND(Inputs!$B$38&lt;&gt;"pvp",Inputs!$B$43&gt;0),IF(MAX(0,Inputs!$B$43-B1264)&lt;=0,0,(INT(MAX(0,Inputs!$B$43-B1264)/IF(Inputs!$B$38="pvp",15,MAX(0.1,Skills!D5-IF(Skills!E5=TRUE,Inputs!$B$32,0))))+1)),0)</f>
        <v/>
      </c>
      <c r="S1235">
        <f>IF(C1235,(H1235*N1235*IF(AND(Inputs!$B$38&lt;&gt;"pvp",Inputs!$B$43&gt;0),((Skills!F5*((R1235-1)*IF(Skills!G5&gt;0,Skills!H5/Skills!G5,1)+IF(Skills!G5&gt;0,MIN(Skills!H5,MAX(0,MAX(0,Inputs!$B$43-B1264)-((R1235-1)*IF(Inputs!$B$38="pvp",15,MAX(0.1,Skills!D5-IF(Skills!E5=TRUE,Inputs!$B$32,0))))))/Skills!G5,1)))/Inputs!$B$43),G1235*Q1235))*IF(Inputs!$B$38="pvp",1,1+(Inputs!$B$20+Skills!O5+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1235*(1-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1235*(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1235*(1-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1235*(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F(C1235,(H1235*N1235*IF(AND(Inputs!$B$38&lt;&gt;"pvp",Inputs!$B$43&gt;0),((Skills!F5*((R1235-1)*IF(Skills!G5&gt;0,Skills!H5/Skills!G5,1)+IF(Skills!G5&gt;0,MIN(Skills!H5,MAX(0,MAX(0,Inputs!$B$43-B1264)-((R1235-1)*IF(Inputs!$B$38="pvp",15,MAX(0.1,Skills!D5-IF(Skills!E5=TRUE,Inputs!$B$32,0))))))/Skills!G5,1)))/Inputs!$B$43),G1235*Q1235))*IF(Inputs!$B$38="pvp",1,(1+(Inputs!$B$21+Skills!P5+B1258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Skills!A6</f>
        <v/>
      </c>
      <c r="B1236">
        <f>Skills!B6</f>
        <v/>
      </c>
      <c r="C1236">
        <f>Inputs!$B$3&gt;=63</f>
        <v/>
      </c>
      <c r="D1236">
        <f>IF(Skills!C6=1,60+Inputs!$B$25+Inputs!$B$29,IF(Skills!C6=2,90+Inputs!$B$26+Inputs!$B$29,IF(Skills!C6=3,120+Inputs!$B$27+Inputs!$B$29,MAX(0,(Inputs!$B$3-100)*3)+Inputs!$B$28+Inputs!$B$29)))</f>
        <v/>
      </c>
      <c r="E1236">
        <f>INDEX(FactorTable!$B$2:$Y$301, MATCH(ROUND(MIN(300,MAX(1,D1236)),0), FactorTable!$A$2:$A$301,0), Skills!L6+1)</f>
        <v/>
      </c>
      <c r="F1236">
        <f>IF(Skills!M6=TRUE,(Skills!K6/10)*(E1236/1000),Skills!K6/10)+Skills!N6</f>
        <v/>
      </c>
      <c r="G1236">
        <f>Calc!G6</f>
        <v/>
      </c>
      <c r="H1236">
        <f>Calc!H6</f>
        <v/>
      </c>
      <c r="I1236">
        <f>IF(Skills!T6&lt;&gt;"",1+(Skills!T6/10)*(Z1233/1000)/100,1)</f>
        <v/>
      </c>
      <c r="J1236">
        <f>((Inputs!$B$6*(1+Inputs!$B$7/100))+(((Inputs!$B$12*(1+Inputs!$B$13/100))-(Inputs!$B$12*(1+Inputs!$B$13/100)))+0.25*(Inputs!$B$14-Inputs!$B$14))*(1+Inputs!$B$7/100))*(F1236/100)</f>
        <v/>
      </c>
      <c r="K1236">
        <f>J1236*(1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6="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F1248-Calc!F18),(Inputs!$B$23+(IF(ArtifactsInput!$M$15,CHOOSE(ArtifactsInput!$N$15+1,25,30,35,40,45,50)/100*(Inputs!$B$11-Inputs!$B$11),0))))/100+(Inputs!$B$23+(IF(ArtifactsInput!$M$15,CHOOSE(ArtifactsInput!$N$15+1,25,30,35,40,45,50)/100*(Inputs!$B$11-Inputs!$B$11),0)))/100)/2</f>
        <v/>
      </c>
      <c r="M1236">
        <f>L1236*(1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6">
        <f>L1236*(1-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1236*(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6">
        <f>(1-Summary!$B$11)*S1236+Summary!$B$11*U1236</f>
        <v/>
      </c>
      <c r="P1236">
        <f>IF(B1267=0,0,O1236/B1267)</f>
        <v/>
      </c>
      <c r="Q1236">
        <f>IFERROR(1/IF(Inputs!$B$38="pvp",15,MAX(0.1,Skills!D6-IF(Skills!E6=TRUE,Inputs!$B$32,0))),0)</f>
        <v/>
      </c>
      <c r="R1236">
        <f>IF(AND(Inputs!$B$38&lt;&gt;"pvp",Inputs!$B$43&gt;0),IF(MAX(0,Inputs!$B$43-B1264)&lt;=0,0,(INT(MAX(0,Inputs!$B$43-B1264)/IF(Inputs!$B$38="pvp",15,MAX(0.1,Skills!D6-IF(Skills!E6=TRUE,Inputs!$B$32,0))))+1)),0)</f>
        <v/>
      </c>
      <c r="S1236">
        <f>IF(C1236,(H1236*N1236*IF(AND(Inputs!$B$38&lt;&gt;"pvp",Inputs!$B$43&gt;0),((Skills!F6*((R1236-1)*IF(Skills!G6&gt;0,Skills!H6/Skills!G6,1)+IF(Skills!G6&gt;0,MIN(Skills!H6,MAX(0,MAX(0,Inputs!$B$43-B1264)-((R1236-1)*IF(Inputs!$B$38="pvp",15,MAX(0.1,Skills!D6-IF(Skills!E6=TRUE,Inputs!$B$32,0))))))/Skills!G6,1)))/Inputs!$B$43),G1236*Q1236))*IF(Inputs!$B$38="pvp",1,1+(Inputs!$B$20+Skills!O6+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1236*(1-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1236*(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1236*(1-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1236*(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IF(C1236,(H1236*N1236*IF(AND(Inputs!$B$38&lt;&gt;"pvp",Inputs!$B$43&gt;0),((Skills!F6*((R1236-1)*IF(Skills!G6&gt;0,Skills!H6/Skills!G6,1)+IF(Skills!G6&gt;0,MIN(Skills!H6,MAX(0,MAX(0,Inputs!$B$43-B1264)-((R1236-1)*IF(Inputs!$B$38="pvp",15,MAX(0.1,Skills!D6-IF(Skills!E6=TRUE,Inputs!$B$32,0))))))/Skills!G6,1)))/Inputs!$B$43),G1236*Q1236))*IF(Inputs!$B$38="pvp",1,(1+(Inputs!$B$21+Skills!P6+B1258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Skills!A7</f>
        <v/>
      </c>
      <c r="B1237">
        <f>Skills!B7</f>
        <v/>
      </c>
      <c r="C1237">
        <f>Inputs!$B$3&gt;=69</f>
        <v/>
      </c>
      <c r="D1237">
        <f>IF(Skills!C7=1,60+Inputs!$B$25+Inputs!$B$29,IF(Skills!C7=2,90+Inputs!$B$26+Inputs!$B$29,IF(Skills!C7=3,120+Inputs!$B$27+Inputs!$B$29,MAX(0,(Inputs!$B$3-100)*3)+Inputs!$B$28+Inputs!$B$29)))</f>
        <v/>
      </c>
      <c r="E1237">
        <f>INDEX(FactorTable!$B$2:$Y$301, MATCH(ROUND(MIN(300,MAX(1,D1237)),0), FactorTable!$A$2:$A$301,0), Skills!L7+1)</f>
        <v/>
      </c>
      <c r="F1237">
        <f>IF(Skills!M7=TRUE,(Skills!K7/10)*(E1237/1000),Skills!K7/10)+Skills!N7</f>
        <v/>
      </c>
      <c r="G1237">
        <f>Calc!G7</f>
        <v/>
      </c>
      <c r="H1237">
        <f>Calc!H7</f>
        <v/>
      </c>
      <c r="I1237">
        <f>IF(Skills!T7&lt;&gt;"",1+(Skills!T7/10)*(Z1233/1000)/100,1)</f>
        <v/>
      </c>
      <c r="J1237">
        <f>((Inputs!$B$6*(1+Inputs!$B$7/100))+(((Inputs!$B$12*(1+Inputs!$B$13/100))-(Inputs!$B$12*(1+Inputs!$B$13/100)))+0.25*(Inputs!$B$14-Inputs!$B$14))*(1+Inputs!$B$7/100))*(F1237/100)</f>
        <v/>
      </c>
      <c r="K1237">
        <f>J1237*(1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7="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F1248-Calc!F18),(Inputs!$B$23+(IF(ArtifactsInput!$M$15,CHOOSE(ArtifactsInput!$N$15+1,25,30,35,40,45,50)/100*(Inputs!$B$11-Inputs!$B$11),0))))/100+(Inputs!$B$23+(IF(ArtifactsInput!$M$15,CHOOSE(ArtifactsInput!$N$15+1,25,30,35,40,45,50)/100*(Inputs!$B$11-Inputs!$B$11),0)))/100)/2</f>
        <v/>
      </c>
      <c r="M1237">
        <f>L1237*(1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7">
        <f>L1237*(1-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1237*(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7">
        <f>(1-Summary!$B$11)*S1237+Summary!$B$11*U1237</f>
        <v/>
      </c>
      <c r="P1237">
        <f>IF(B1267=0,0,O1237/B1267)</f>
        <v/>
      </c>
      <c r="Q1237">
        <f>IFERROR(1/IF(Inputs!$B$38="pvp",15,MAX(0.1,Skills!D7-IF(Skills!E7=TRUE,Inputs!$B$32,0))),0)</f>
        <v/>
      </c>
      <c r="R1237">
        <f>IF(AND(Inputs!$B$38&lt;&gt;"pvp",Inputs!$B$43&gt;0),IF(MAX(0,Inputs!$B$43-B1264)&lt;=0,0,(INT(MAX(0,Inputs!$B$43-B1264)/IF(Inputs!$B$38="pvp",15,MAX(0.1,Skills!D7-IF(Skills!E7=TRUE,Inputs!$B$32,0))))+1)),0)</f>
        <v/>
      </c>
      <c r="S1237">
        <f>IF(C1237,(H1237*N1237*IF(AND(Inputs!$B$38&lt;&gt;"pvp",Inputs!$B$43&gt;0),((Skills!F7*((R1237-1)*IF(Skills!G7&gt;0,Skills!H7/Skills!G7,1)+IF(Skills!G7&gt;0,MIN(Skills!H7,MAX(0,MAX(0,Inputs!$B$43-B1264)-((R1237-1)*IF(Inputs!$B$38="pvp",15,MAX(0.1,Skills!D7-IF(Skills!E7=TRUE,Inputs!$B$32,0))))))/Skills!G7,1)))/Inputs!$B$43),G1237*Q1237))*IF(Inputs!$B$38="pvp",1,1+(Inputs!$B$20+Skills!O7+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1237*(1-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1237*(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1237*(1-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1237*(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7">
        <f>IF(C1237,(H1237*N1237*IF(AND(Inputs!$B$38&lt;&gt;"pvp",Inputs!$B$43&gt;0),((Skills!F7*((R1237-1)*IF(Skills!G7&gt;0,Skills!H7/Skills!G7,1)+IF(Skills!G7&gt;0,MIN(Skills!H7,MAX(0,MAX(0,Inputs!$B$43-B1264)-((R1237-1)*IF(Inputs!$B$38="pvp",15,MAX(0.1,Skills!D7-IF(Skills!E7=TRUE,Inputs!$B$32,0))))))/Skills!G7,1)))/Inputs!$B$43),G1237*Q1237))*IF(Inputs!$B$38="pvp",1,(1+(Inputs!$B$21+Skills!P7+B1258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Skills!A8</f>
        <v/>
      </c>
      <c r="B1238">
        <f>Skills!B8</f>
        <v/>
      </c>
      <c r="C1238">
        <f>Inputs!$B$3&gt;=103</f>
        <v/>
      </c>
      <c r="D1238">
        <f>IF(Skills!C8=1,60+Inputs!$B$25+Inputs!$B$29,IF(Skills!C8=2,90+Inputs!$B$26+Inputs!$B$29,IF(Skills!C8=3,120+Inputs!$B$27+Inputs!$B$29,MAX(0,(Inputs!$B$3-100)*3)+Inputs!$B$28+Inputs!$B$29)))</f>
        <v/>
      </c>
      <c r="E1238">
        <f>INDEX(FactorTable!$B$2:$Y$301, MATCH(ROUND(MIN(300,MAX(1,D1238)),0), FactorTable!$A$2:$A$301,0), Skills!L8+1)</f>
        <v/>
      </c>
      <c r="F1238">
        <f>IF(Skills!M8=TRUE,(Skills!K8/10)*(E1238/1000),Skills!K8/10)+Skills!N8</f>
        <v/>
      </c>
      <c r="G1238">
        <f>Calc!G8</f>
        <v/>
      </c>
      <c r="H1238">
        <f>Calc!H8</f>
        <v/>
      </c>
      <c r="I1238">
        <f>IF(Skills!T8&lt;&gt;"",1+(Skills!T8/10)*(Z1233/1000)/100,1)</f>
        <v/>
      </c>
      <c r="J1238">
        <f>((Inputs!$B$6*(1+Inputs!$B$7/100))+(((Inputs!$B$12*(1+Inputs!$B$13/100))-(Inputs!$B$12*(1+Inputs!$B$13/100)))+0.25*(Inputs!$B$14-Inputs!$B$14))*(1+Inputs!$B$7/100))*(F1238/100)</f>
        <v/>
      </c>
      <c r="K1238">
        <f>J1238*(1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8="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1248-Calc!F18),(Inputs!$B$23+(IF(ArtifactsInput!$M$15,CHOOSE(ArtifactsInput!$N$15+1,25,30,35,40,45,50)/100*(Inputs!$B$11-Inputs!$B$11),0))))/100+(Inputs!$B$23+(IF(ArtifactsInput!$M$15,CHOOSE(ArtifactsInput!$N$15+1,25,30,35,40,45,50)/100*(Inputs!$B$11-Inputs!$B$11),0)))/100)/2</f>
        <v/>
      </c>
      <c r="M1238">
        <f>L1238*(1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8">
        <f>L1238*(1-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1238*(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8">
        <f>(1-Summary!$B$11)*S1238+Summary!$B$11*U1238</f>
        <v/>
      </c>
      <c r="P1238">
        <f>IF(B1267=0,0,O1238/B1267)</f>
        <v/>
      </c>
      <c r="Q1238">
        <f>IFERROR(1/IF(Inputs!$B$38="pvp",15,MAX(0.1,Skills!D8-IF(Skills!E8=TRUE,Inputs!$B$32,0))),0)</f>
        <v/>
      </c>
      <c r="R1238">
        <f>IF(AND(Inputs!$B$38&lt;&gt;"pvp",Inputs!$B$43&gt;0),IF(MAX(0,Inputs!$B$43-B1264)&lt;=0,0,(INT(MAX(0,Inputs!$B$43-B1264)/IF(Inputs!$B$38="pvp",15,MAX(0.1,Skills!D8-IF(Skills!E8=TRUE,Inputs!$B$32,0))))+1)),0)</f>
        <v/>
      </c>
      <c r="S1238">
        <f>IF(C1238,(H1238*N1238*IF(AND(Inputs!$B$38&lt;&gt;"pvp",Inputs!$B$43&gt;0),((Skills!F8*((R1238-1)*IF(Skills!G8&gt;0,Skills!H8/Skills!G8,1)+IF(Skills!G8&gt;0,MIN(Skills!H8,MAX(0,MAX(0,Inputs!$B$43-B1264)-((R1238-1)*IF(Inputs!$B$38="pvp",15,MAX(0.1,Skills!D8-IF(Skills!E8=TRUE,Inputs!$B$32,0))))))/Skills!G8,1)))/Inputs!$B$43),G1238*Q1238))*IF(Inputs!$B$38="pvp",1,1+(Inputs!$B$20+Skills!O8+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1238*(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1238*(1-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1238*(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F8*((R1238-1)*IF(Skills!G8&gt;0,Skills!H8/Skills!G8,1)+IF(Skills!G8&gt;0,MIN(Skills!H8,MAX(0,MAX(0,Inputs!$B$43-B1264)-((R1238-1)*IF(Inputs!$B$38="pvp",15,MAX(0.1,Skills!D8-IF(Skills!E8=TRUE,Inputs!$B$32,0))))))/Skills!G8,1)))/Inputs!$B$43),G1238*Q1238))*IF(Inputs!$B$38="pvp",1,(1+(Inputs!$B$21+Skills!P8+B1258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Skills!A9</f>
        <v/>
      </c>
      <c r="B1239">
        <f>Skills!B9</f>
        <v/>
      </c>
      <c r="C1239">
        <f>Inputs!$B$3&gt;=105</f>
        <v/>
      </c>
      <c r="D1239">
        <f>IF(Skills!C9=1,60+Inputs!$B$25+Inputs!$B$29,IF(Skills!C9=2,90+Inputs!$B$26+Inputs!$B$29,IF(Skills!C9=3,120+Inputs!$B$27+Inputs!$B$29,MAX(0,(Inputs!$B$3-100)*3)+Inputs!$B$28+Inputs!$B$29)))</f>
        <v/>
      </c>
      <c r="E1239">
        <f>INDEX(FactorTable!$B$2:$Y$301, MATCH(ROUND(MIN(300,MAX(1,D1239)),0), FactorTable!$A$2:$A$301,0), Skills!L9+1)</f>
        <v/>
      </c>
      <c r="F1239">
        <f>IF(Skills!M9=TRUE,(Skills!K9/10)*(E1239/1000),Skills!K9/10)+Skills!N9</f>
        <v/>
      </c>
      <c r="G1239">
        <f>Calc!G9</f>
        <v/>
      </c>
      <c r="H1239">
        <f>Calc!H9</f>
        <v/>
      </c>
      <c r="I1239">
        <f>IF(Skills!T9&lt;&gt;"",1+(Skills!T9/10)*(Z1233/1000)/100,1)</f>
        <v/>
      </c>
      <c r="J1239">
        <f>((Inputs!$B$6*(1+Inputs!$B$7/100))+(((Inputs!$B$12*(1+Inputs!$B$13/100))-(Inputs!$B$12*(1+Inputs!$B$13/100)))+0.25*(Inputs!$B$14-Inputs!$B$14))*(1+Inputs!$B$7/100))*(F1239/100)</f>
        <v/>
      </c>
      <c r="K1239">
        <f>J1239*(1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9="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F1248-Calc!F18),(Inputs!$B$23+(IF(ArtifactsInput!$M$15,CHOOSE(ArtifactsInput!$N$15+1,25,30,35,40,45,50)/100*(Inputs!$B$11-Inputs!$B$11),0))))/100+(Inputs!$B$23+(IF(ArtifactsInput!$M$15,CHOOSE(ArtifactsInput!$N$15+1,25,30,35,40,45,50)/100*(Inputs!$B$11-Inputs!$B$11),0)))/100)/2</f>
        <v/>
      </c>
      <c r="M1239">
        <f>L1239*(1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9">
        <f>L1239*(1-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1239*(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9">
        <f>(1-Summary!$B$11)*S1239+Summary!$B$11*U1239</f>
        <v/>
      </c>
      <c r="P1239">
        <f>IF(B1267=0,0,O1239/B1267)</f>
        <v/>
      </c>
      <c r="Q1239">
        <f>IFERROR(1/IF(Inputs!$B$38="pvp",15,MAX(0.1,Skills!D9-IF(Skills!E9=TRUE,Inputs!$B$32,0))),0)</f>
        <v/>
      </c>
      <c r="R1239">
        <f>IF(AND(Inputs!$B$38&lt;&gt;"pvp",Inputs!$B$43&gt;0),IF(MAX(0,Inputs!$B$43-B1264)&lt;=0,0,(INT(MAX(0,Inputs!$B$43-B1264)/IF(Inputs!$B$38="pvp",15,MAX(0.1,Skills!D9-IF(Skills!E9=TRUE,Inputs!$B$32,0))))+1)),0)</f>
        <v/>
      </c>
      <c r="S1239">
        <f>IF(C1239,(H1239*N1239*IF(AND(Inputs!$B$38&lt;&gt;"pvp",Inputs!$B$43&gt;0),((Skills!F9*((R1239-1)*IF(Skills!G9&gt;0,Skills!H9/Skills!G9,1)+IF(Skills!G9&gt;0,MIN(Skills!H9,MAX(0,MAX(0,Inputs!$B$43-B1264)-((R1239-1)*IF(Inputs!$B$38="pvp",15,MAX(0.1,Skills!D9-IF(Skills!E9=TRUE,Inputs!$B$32,0))))))/Skills!G9,1)))/Inputs!$B$43),G1239*Q1239))*IF(Inputs!$B$38="pvp",1,1+(Inputs!$B$20+Skills!O9+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1239*(1-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1239*(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1239*(1-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1239*(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9">
        <f>IF(C1239,(H1239*N1239*IF(AND(Inputs!$B$38&lt;&gt;"pvp",Inputs!$B$43&gt;0),((Skills!F9*((R1239-1)*IF(Skills!G9&gt;0,Skills!H9/Skills!G9,1)+IF(Skills!G9&gt;0,MIN(Skills!H9,MAX(0,MAX(0,Inputs!$B$43-B1264)-((R1239-1)*IF(Inputs!$B$38="pvp",15,MAX(0.1,Skills!D9-IF(Skills!E9=TRUE,Inputs!$B$32,0))))))/Skills!G9,1)))/Inputs!$B$43),G1239*Q1239))*IF(Inputs!$B$38="pvp",1,(1+(Inputs!$B$21+Skills!P9+B1258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Skills!A10</f>
        <v/>
      </c>
      <c r="B1240">
        <f>Skills!B10</f>
        <v/>
      </c>
      <c r="C1240">
        <f>Inputs!$B$3&gt;=113</f>
        <v/>
      </c>
      <c r="D1240">
        <f>IF(Skills!C10=1,60+Inputs!$B$25+Inputs!$B$29,IF(Skills!C10=2,90+Inputs!$B$26+Inputs!$B$29,IF(Skills!C10=3,120+Inputs!$B$27+Inputs!$B$29,MAX(0,(Inputs!$B$3-100)*3)+Inputs!$B$28+Inputs!$B$29)))</f>
        <v/>
      </c>
      <c r="E1240">
        <f>INDEX(FactorTable!$B$2:$Y$301, MATCH(ROUND(MIN(300,MAX(1,D1240)),0), FactorTable!$A$2:$A$301,0), Skills!L10+1)</f>
        <v/>
      </c>
      <c r="F1240">
        <f>IF(Skills!M10=TRUE,(Skills!K10/10)*(E1240/1000),Skills!K10/10)+Skills!N10</f>
        <v/>
      </c>
      <c r="G1240">
        <f>Calc!G10</f>
        <v/>
      </c>
      <c r="H1240">
        <f>Calc!H10</f>
        <v/>
      </c>
      <c r="I1240">
        <f>IF(Skills!T10&lt;&gt;"",1+(Skills!T10/10)*(Z1233/1000)/100,1)</f>
        <v/>
      </c>
      <c r="J1240">
        <f>((Inputs!$B$6*(1+Inputs!$B$7/100))+(((Inputs!$B$12*(1+Inputs!$B$13/100))-(Inputs!$B$12*(1+Inputs!$B$13/100)))+0.25*(Inputs!$B$14-Inputs!$B$14))*(1+Inputs!$B$7/100))*(F1240/100)</f>
        <v/>
      </c>
      <c r="K1240">
        <f>J1240*(1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10="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F1248-Calc!F18),(Inputs!$B$23+(IF(ArtifactsInput!$M$15,CHOOSE(ArtifactsInput!$N$15+1,25,30,35,40,45,50)/100*(Inputs!$B$11-Inputs!$B$11),0))))/100+(Inputs!$B$23+(IF(ArtifactsInput!$M$15,CHOOSE(ArtifactsInput!$N$15+1,25,30,35,40,45,50)/100*(Inputs!$B$11-Inputs!$B$11),0)))/100)/2</f>
        <v/>
      </c>
      <c r="M1240">
        <f>L1240*(1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0">
        <f>L1240*(1-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1240*(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0">
        <f>(1-Summary!$B$11)*S1240+Summary!$B$11*U1240</f>
        <v/>
      </c>
      <c r="P1240">
        <f>IF(B1267=0,0,O1240/B1267)</f>
        <v/>
      </c>
      <c r="Q1240">
        <f>IFERROR(1/IF(Inputs!$B$38="pvp",15,MAX(0.1,Skills!D10-IF(Skills!E9=TRUE,Inputs!$B$32,0))),0)</f>
        <v/>
      </c>
      <c r="R1240">
        <f>IF(AND(Inputs!$B$38&lt;&gt;"pvp",Inputs!$B$43&gt;0),IF(MAX(0,Inputs!$B$43-B1264)&lt;=0,0,(INT(MAX(0,Inputs!$B$43-B1264)/IF(Inputs!$B$38="pvp",15,MAX(0.1,Skills!D10-IF(Skills!E9=TRUE,Inputs!$B$32,0))))+1)),0)</f>
        <v/>
      </c>
      <c r="S1240">
        <f>IF(C1240,(H1240*N1240*IF(AND(Inputs!$B$38&lt;&gt;"pvp",Inputs!$B$43&gt;0),((Skills!F10*((R1240-1)*IF(Skills!G10&gt;0,Skills!H10/Skills!G10,1)+IF(Skills!G10&gt;0,MIN(Skills!H10,MAX(0,MAX(0,Inputs!$B$43-B1264)-((R1240-1)*IF(Inputs!$B$38="pvp",15,MAX(0.1,Skills!D10-IF(Skills!E9=TRUE,Inputs!$B$32,0))))))/Skills!G10,1)))/Inputs!$B$43),G1240*Q1240))*IF(Inputs!$B$38="pvp",1,1+(Inputs!$B$20+Skills!O10+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1240*(1-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1240*(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1240*(1-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1240*(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0">
        <f>IF(C1240,(H1240*N1240*IF(AND(Inputs!$B$38&lt;&gt;"pvp",Inputs!$B$43&gt;0),((Skills!F10*((R1240-1)*IF(Skills!G10&gt;0,Skills!H10/Skills!G10,1)+IF(Skills!G10&gt;0,MIN(Skills!H10,MAX(0,MAX(0,Inputs!$B$43-B1264)-((R1240-1)*IF(Inputs!$B$38="pvp",15,MAX(0.1,Skills!D10-IF(Skills!E9=TRUE,Inputs!$B$32,0))))))/Skills!G10,1)))/Inputs!$B$43),G1240*Q1240))*IF(Inputs!$B$38="pvp",1,(1+(Inputs!$B$21+Skills!P10+B1258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Skills!A11</f>
        <v/>
      </c>
      <c r="B1241">
        <f>Skills!B11</f>
        <v/>
      </c>
      <c r="C1241">
        <f>Inputs!$B$3&gt;=107</f>
        <v/>
      </c>
      <c r="D1241">
        <f>IF(Skills!C11=1,60+Inputs!$B$25+Inputs!$B$29,IF(Skills!C11=2,90+Inputs!$B$26+Inputs!$B$29,IF(Skills!C11=3,120+Inputs!$B$27+Inputs!$B$29,MAX(0,(Inputs!$B$3-100)*3)+Inputs!$B$28+Inputs!$B$29)))</f>
        <v/>
      </c>
      <c r="E1241">
        <f>INDEX(FactorTable!$B$2:$Y$301, MATCH(ROUND(MIN(300,MAX(1,D1241)),0), FactorTable!$A$2:$A$301,0), Skills!L11+1)</f>
        <v/>
      </c>
      <c r="F1241">
        <f>IF(Skills!M11=TRUE,(Skills!K11/10)*(E1241/1000),Skills!K11/10)+Skills!N11</f>
        <v/>
      </c>
      <c r="G1241">
        <f>Calc!G11</f>
        <v/>
      </c>
      <c r="H1241">
        <f>Calc!H11</f>
        <v/>
      </c>
      <c r="I1241">
        <f>IF(Skills!T11&lt;&gt;"",1+(Skills!T11/10)*(Z1233/1000)/100,1)</f>
        <v/>
      </c>
      <c r="J1241">
        <f>((Inputs!$B$6*(1+Inputs!$B$7/100))+(((Inputs!$B$12*(1+Inputs!$B$13/100))-(Inputs!$B$12*(1+Inputs!$B$13/100)))+0.25*(Inputs!$B$14-Inputs!$B$14))*(1+Inputs!$B$7/100))*(F1241/100)</f>
        <v/>
      </c>
      <c r="K1241">
        <f>J1241*(1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11="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F1248-Calc!F18),(Inputs!$B$23+(IF(ArtifactsInput!$M$15,CHOOSE(ArtifactsInput!$N$15+1,25,30,35,40,45,50)/100*(Inputs!$B$11-Inputs!$B$11),0))))/100+(Inputs!$B$23+(IF(ArtifactsInput!$M$15,CHOOSE(ArtifactsInput!$N$15+1,25,30,35,40,45,50)/100*(Inputs!$B$11-Inputs!$B$11),0)))/100)/2</f>
        <v/>
      </c>
      <c r="M1241">
        <f>L1241*(1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1">
        <f>L1241*(1-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1">
        <f>(1-Summary!$B$11)*S1241+Summary!$B$11*U1241</f>
        <v/>
      </c>
      <c r="P1241">
        <f>IF(B1267=0,0,O1241/B1267)</f>
        <v/>
      </c>
      <c r="Q1241">
        <f>IFERROR(1/IF(Inputs!$B$38="pvp",15,MAX(0.1,Skills!D11-IF(Skills!E11=TRUE,Inputs!$B$32,0))),0)</f>
        <v/>
      </c>
      <c r="R1241">
        <f>IF(AND(Inputs!$B$38&lt;&gt;"pvp",Inputs!$B$43&gt;0),IF(MAX(0,Inputs!$B$43-B1264)&lt;=0,0,(INT(MAX(0,Inputs!$B$43-B1264)/IF(Inputs!$B$38="pvp",15,MAX(0.1,Skills!D11-IF(Skills!E11=TRUE,Inputs!$B$32,0))))+1)),0)</f>
        <v/>
      </c>
      <c r="S1241">
        <f>IF(C1241,H1241*N1241*IF(AND(Inputs!$B$38&lt;&gt;"pvp",Inputs!$B$43&gt;0),((Skills!F11*((R1241-1)*IF(Skills!G11&gt;0,Skills!H11/Skills!G11,1)+IF(Skills!G11&gt;0,MIN(Skills!H11,MAX(0,MAX(0,Inputs!$B$43-B1264)-((R1241-1)*IF(Inputs!$B$38="pvp",15,MAX(0.1,Skills!D11-IF(Skills!E11=TRUE,Inputs!$B$32,0))))))/Skills!G11,1)))/Inputs!$B$43),G1241*Q1241)*0.5*IF(Inputs!$B$38="pvp",1,1+(Inputs!$B$20+Skills!O11+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1241*(1-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1">
        <f>IF(C1241,H1241*N1241*IF(AND(Inputs!$B$38&lt;&gt;"pvp",Inputs!$B$43&gt;0),((Skills!F11*((R1241-1)*IF(Skills!G11&gt;0,Skills!H11/Skills!G11,1)+IF(Skills!G11&gt;0,MIN(Skills!H11,MAX(0,MAX(0,Inputs!$B$43-B1264)-((R1241-1)*IF(Inputs!$B$38="pvp",15,MAX(0.1,Skills!D11-IF(Skills!E11=TRUE,Inputs!$B$32,0))))))/Skills!G11,1)))/Inputs!$B$43),G1241*Q1241)*1*IF(Inputs!$B$38="pvp",1,(1+(Inputs!$B$21+Skills!P11+B1258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Skills!A12</f>
        <v/>
      </c>
      <c r="B1242">
        <f>Skills!B12</f>
        <v/>
      </c>
      <c r="C1242">
        <f>Inputs!$B$3&gt;=115</f>
        <v/>
      </c>
      <c r="D1242">
        <f>IF(Skills!C12=1,60+Inputs!$B$25+Inputs!$B$29,IF(Skills!C12=2,90+Inputs!$B$26+Inputs!$B$29,IF(Skills!C12=3,120+Inputs!$B$27+Inputs!$B$29,MAX(0,(Inputs!$B$3-100)*3)+Inputs!$B$28+Inputs!$B$29)))</f>
        <v/>
      </c>
      <c r="E1242">
        <f>INDEX(FactorTable!$B$2:$Y$301, MATCH(ROUND(MIN(300,MAX(1,D1242)),0), FactorTable!$A$2:$A$301,0), Skills!L12+1)</f>
        <v/>
      </c>
      <c r="F1242">
        <f>IF(Skills!M12=TRUE,(Skills!K12/10)*(E1242/1000),Skills!K12/10)+Skills!N12</f>
        <v/>
      </c>
      <c r="G1242">
        <f>Calc!G12</f>
        <v/>
      </c>
      <c r="H1242">
        <f>Calc!H12</f>
        <v/>
      </c>
      <c r="I1242">
        <f>IF(Skills!T12&lt;&gt;"",1+(Skills!T12/10)*(Z1233/1000)/100,1)</f>
        <v/>
      </c>
      <c r="J1242">
        <f>((Inputs!$B$6*(1+Inputs!$B$7/100))+(((Inputs!$B$12*(1+Inputs!$B$13/100))-(Inputs!$B$12*(1+Inputs!$B$13/100)))+0.25*(Inputs!$B$14-Inputs!$B$14))*(1+Inputs!$B$7/100))*(F1242/100)</f>
        <v/>
      </c>
      <c r="K1242">
        <f>J1242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12="CHAIN_LIGHTNING",Inputs!$B$17+((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1248-Calc!F18),(Inputs!$B$23+(IF(ArtifactsInput!$M$15,CHOOSE(ArtifactsInput!$N$15+1,25,30,35,40,45,50)/100*(Inputs!$B$11-Inputs!$B$11),0))))/100+(Inputs!$B$23+(IF(ArtifactsInput!$M$15,CHOOSE(ArtifactsInput!$N$15+1,25,30,35,40,45,50)/100*(Inputs!$B$11-Inputs!$B$11),0)))/100)/2</f>
        <v/>
      </c>
      <c r="M1242">
        <f>L1242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2">
        <f>L1242*(1-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1242*(MIN((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2">
        <f>(1-Summary!$B$11)*S1242+Summary!$B$11*U1242</f>
        <v/>
      </c>
      <c r="P1242">
        <f>IF(B1267=0,0,O1242/B1267)</f>
        <v/>
      </c>
      <c r="Q1242">
        <f>IFERROR(1/IF(Inputs!$B$38="pvp",15,MAX(0.1,Skills!D12-IF(Skills!E12=TRUE,Inputs!$B$32,0))),0)</f>
        <v/>
      </c>
      <c r="R1242">
        <f>IF(AND(Inputs!$B$38&lt;&gt;"pvp",Inputs!$B$43&gt;0),IF(MAX(0,Inputs!$B$43-B1264)&lt;=0,0,(INT(MAX(0,Inputs!$B$43-B1264)/IF(Inputs!$B$38="pvp",15,MAX(0.1,Skills!D12-IF(Skills!E12=TRUE,Inputs!$B$32,0))))+1)),0)</f>
        <v/>
      </c>
      <c r="S1242">
        <f>IF(C1242,(H1242*N1242*IF(AND(Inputs!$B$38&lt;&gt;"pvp",Inputs!$B$43&gt;0),((Skills!F12*((R1242-1)*IF(Skills!G12&gt;0,Skills!H12/Skills!G12,1)+IF(Skills!G12&gt;0,MIN(Skills!H12,MAX(0,MAX(0,Inputs!$B$43-B1264)-((R1242-1)*IF(Inputs!$B$38="pvp",15,MAX(0.1,Skills!D12-IF(Skills!E12=TRUE,Inputs!$B$32,0))))))/Skills!G12,1)))/Inputs!$B$43),G1242*Q1242))*IF(Inputs!$B$38="pvp",1,1+(Inputs!$B$20+Skills!O12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1242*(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1242*(1-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1242*(MIN(100,(Inputs!$B$9+((F1250-Calc!F20)+(F1249-Calc!F19))+(ArtifactsInput!$M$24-ArtifactsInput!$M$24)*CHOOSE(ArtifactsInput!$N$24+1,10,12,14,16,18,20)+(IF(AND(Inputs!$B$38&lt;&gt;"pvp",Inputs!$B$43=0),1,IF(IF(Inputs!$B$38="pvp",15,Inputs!$B$43)-(B1264)&lt;=0,1,MAX(0,IF(Inputs!$B$38="pvp",15,Inputs!$B$43)-MAX(5,B1264))/(IF(Inputs!$B$38="pvp",15,Inputs!$B$43)-(B1264)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F12*((R1242-1)*IF(Skills!G12&gt;0,Skills!H12/Skills!G12,1)+IF(Skills!G12&gt;0,MIN(Skills!H12,MAX(0,MAX(0,Inputs!$B$43-B1264)-((R1242-1)*IF(Inputs!$B$38="pvp",15,MAX(0.1,Skills!D12-IF(Skills!E12=TRUE,Inputs!$B$32,0))))))/Skills!G12,1)))/Inputs!$B$43),G1242*Q1242))*IF(Inputs!$B$38="pvp",1,(1+(Inputs!$B$21+Skills!P12+B1258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Skills!A13</f>
        <v/>
      </c>
      <c r="B1243">
        <f>Skills!B13</f>
        <v/>
      </c>
      <c r="C1243">
        <f>Inputs!$B$3&gt;=49</f>
        <v/>
      </c>
      <c r="D1243">
        <f>IF(Skills!C13=1,60+Inputs!$B$25+Inputs!$B$29,IF(Skills!C13=2,90+Inputs!$B$26+Inputs!$B$29,IF(Skills!C13=3,120+Inputs!$B$27+Inputs!$B$29,MAX(0,(Inputs!$B$3-100)*3)+Inputs!$B$28+Inputs!$B$29)))</f>
        <v/>
      </c>
      <c r="E1243">
        <f>INDEX(FactorTable!$B$2:$Y$301, MATCH(ROUND(MIN(300,MAX(1,D1243)),0), FactorTable!$A$2:$A$301,0), Skills!L13+1)</f>
        <v/>
      </c>
      <c r="F1243">
        <f>IF(Skills!M13=TRUE,(Skills!K13/10)*(E1243/1000),Skills!K13/10)+Skills!N13</f>
        <v/>
      </c>
      <c r="G1243">
        <f>Calc!G13</f>
        <v/>
      </c>
      <c r="H1243">
        <f>Calc!H13</f>
        <v/>
      </c>
      <c r="I1243">
        <f>IF(Skills!T13&lt;&gt;"",1+(Skills!T13/10)*(Z1233/1000)/100,1)</f>
        <v/>
      </c>
      <c r="J1243" t="inlineStr"/>
      <c r="K1243" t="inlineStr"/>
      <c r="L1243" t="inlineStr"/>
      <c r="M1243" t="inlineStr"/>
      <c r="N1243" t="inlineStr"/>
      <c r="O1243">
        <f>(1-Summary!$B$11)*S1243+Summary!$B$11*U1243</f>
        <v/>
      </c>
      <c r="P1243">
        <f>IF(B1267=0,0,O1243/B1267)</f>
        <v/>
      </c>
      <c r="Q1243">
        <f>IFERROR(1/IF(Inputs!$B$38="pvp",15,MAX(0.1,Skills!D13-IF(Skills!E13=TRUE,Inputs!$B$32,0))),0)</f>
        <v/>
      </c>
      <c r="R1243" t="n">
        <v>0</v>
      </c>
      <c r="S1243" t="n">
        <v>0</v>
      </c>
      <c r="U1243" t="n">
        <v>0</v>
      </c>
    </row>
    <row r="1244">
      <c r="A1244">
        <f>Skills!A14</f>
        <v/>
      </c>
      <c r="B1244">
        <f>Skills!B14</f>
        <v/>
      </c>
      <c r="C1244">
        <f>Inputs!$B$3&gt;=72</f>
        <v/>
      </c>
      <c r="D1244">
        <f>IF(Skills!C14=1,60+Inputs!$B$25+Inputs!$B$29,IF(Skills!C14=2,90+Inputs!$B$26+Inputs!$B$29,IF(Skills!C14=3,120+Inputs!$B$27+Inputs!$B$29,MAX(0,(Inputs!$B$3-100)*3)+Inputs!$B$28+Inputs!$B$29)))</f>
        <v/>
      </c>
      <c r="E1244">
        <f>INDEX(FactorTable!$B$2:$Y$301, MATCH(ROUND(MIN(300,MAX(1,D1244)),0), FactorTable!$A$2:$A$301,0), Skills!L14+1)</f>
        <v/>
      </c>
      <c r="F1244">
        <f>IF(Skills!M14=TRUE,(Skills!K14/10)*(E1244/1000),Skills!K14/10)+Skills!N14</f>
        <v/>
      </c>
      <c r="G1244">
        <f>Calc!G14</f>
        <v/>
      </c>
      <c r="H1244">
        <f>Calc!H14</f>
        <v/>
      </c>
      <c r="I1244">
        <f>IF(Skills!T14&lt;&gt;"",1+(Skills!T14/10)*(Z1233/1000)/100,1)</f>
        <v/>
      </c>
      <c r="J1244" t="inlineStr"/>
      <c r="K1244" t="inlineStr"/>
      <c r="L1244" t="inlineStr"/>
      <c r="M1244" t="inlineStr"/>
      <c r="N1244" t="inlineStr"/>
      <c r="O1244">
        <f>(1-Summary!$B$11)*S1244+Summary!$B$11*U1244</f>
        <v/>
      </c>
      <c r="P1244">
        <f>IF(B1267=0,0,O1244/B1267)</f>
        <v/>
      </c>
      <c r="Q1244">
        <f>IFERROR(1/IF(Inputs!$B$38="pvp",15,MAX(0.1,Skills!D14-IF(Skills!E14=TRUE,Inputs!$B$32,0))),0)</f>
        <v/>
      </c>
      <c r="R1244" t="n">
        <v>0</v>
      </c>
      <c r="S1244" t="n">
        <v>0</v>
      </c>
      <c r="U1244" t="n">
        <v>0</v>
      </c>
    </row>
    <row r="1245">
      <c r="A1245">
        <f>Skills!A15</f>
        <v/>
      </c>
      <c r="B1245">
        <f>Skills!B15</f>
        <v/>
      </c>
      <c r="C1245">
        <f>Inputs!$B$3&gt;=75</f>
        <v/>
      </c>
      <c r="D1245">
        <f>IF(Skills!C15=1,60+Inputs!$B$25+Inputs!$B$29,IF(Skills!C15=2,90+Inputs!$B$26+Inputs!$B$29,IF(Skills!C15=3,120+Inputs!$B$27+Inputs!$B$29,MAX(0,(Inputs!$B$3-100)*3)+Inputs!$B$28+Inputs!$B$29)))</f>
        <v/>
      </c>
      <c r="E1245">
        <f>INDEX(FactorTable!$B$2:$Y$301, MATCH(ROUND(MIN(300,MAX(1,D1245)),0), FactorTable!$A$2:$A$301,0), Skills!L15+1)</f>
        <v/>
      </c>
      <c r="F1245">
        <f>IF(Skills!M15=TRUE,(Skills!K15/10)*(E1245/1000),Skills!K15/10)+Skills!N15</f>
        <v/>
      </c>
      <c r="G1245">
        <f>Calc!G15</f>
        <v/>
      </c>
      <c r="H1245">
        <f>Calc!H15</f>
        <v/>
      </c>
      <c r="I1245">
        <f>IF(Skills!T15&lt;&gt;"",1+(Skills!T15/10)*(Z1233/1000)/100,1)</f>
        <v/>
      </c>
      <c r="J1245" t="inlineStr"/>
      <c r="K1245" t="inlineStr"/>
      <c r="L1245" t="inlineStr"/>
      <c r="M1245" t="inlineStr"/>
      <c r="N1245" t="inlineStr"/>
      <c r="O1245">
        <f>(1-Summary!$B$11)*S1245+Summary!$B$11*U1245</f>
        <v/>
      </c>
      <c r="P1245">
        <f>IF(B1267=0,0,O1245/B1267)</f>
        <v/>
      </c>
      <c r="Q1245">
        <f>IFERROR(1/IF(Inputs!$B$38="pvp",15,MAX(0.1,Skills!D15-IF(Skills!E15=TRUE,Inputs!$B$32,0))),0)</f>
        <v/>
      </c>
      <c r="R1245" t="n">
        <v>0</v>
      </c>
      <c r="S1245" t="n">
        <v>0</v>
      </c>
      <c r="U1245" t="n">
        <v>0</v>
      </c>
    </row>
    <row r="1246">
      <c r="A1246">
        <f>Skills!A16</f>
        <v/>
      </c>
      <c r="B1246">
        <f>Skills!B16</f>
        <v/>
      </c>
      <c r="C1246">
        <f>Inputs!$B$3&gt;=110</f>
        <v/>
      </c>
      <c r="D1246">
        <f>IF(Skills!C16=1,60+Inputs!$B$25+Inputs!$B$29,IF(Skills!C16=2,90+Inputs!$B$26+Inputs!$B$29,IF(Skills!C16=3,120+Inputs!$B$27+Inputs!$B$29,MAX(0,(Inputs!$B$3-100)*3)+Inputs!$B$28+Inputs!$B$29)))</f>
        <v/>
      </c>
      <c r="E1246">
        <f>INDEX(FactorTable!$B$2:$Y$301, MATCH(ROUND(MIN(300,MAX(1,D1246)),0), FactorTable!$A$2:$A$301,0), Skills!L16+1)</f>
        <v/>
      </c>
      <c r="F1246">
        <f>(Skills!K16/10)*(E1246/1000)*64/45+Skills!N16</f>
        <v/>
      </c>
      <c r="G1246">
        <f>Calc!G16</f>
        <v/>
      </c>
      <c r="H1246">
        <f>Calc!H16</f>
        <v/>
      </c>
      <c r="I1246">
        <f>IF(Skills!T16&lt;&gt;"",1+(Skills!T16/10)*(Z1233/1000)/100,1)</f>
        <v/>
      </c>
      <c r="J1246" t="inlineStr"/>
      <c r="K1246" t="inlineStr"/>
      <c r="L1246" t="inlineStr"/>
      <c r="M1246" t="inlineStr"/>
      <c r="N1246" t="inlineStr"/>
      <c r="O1246">
        <f>(1-Summary!$B$11)*S1246+Summary!$B$11*U1246</f>
        <v/>
      </c>
      <c r="P1246">
        <f>IF(B1267=0,0,O1246/B1267)</f>
        <v/>
      </c>
      <c r="Q1246">
        <f>IFERROR(1/IF(Inputs!$B$38="pvp",15,MAX(0.1,Skills!D16-IF(Skills!E16=TRUE,Inputs!$B$32,0))),0)</f>
        <v/>
      </c>
      <c r="R1246">
        <f>IF(AND(Inputs!$B$38&lt;&gt;"pvp",Inputs!$B$43&gt;0),IF(Inputs!$B$43&lt;=0,0,(INT(Inputs!$B$43/IF(Inputs!$B$38="pvp",15,MAX(0.1,Skills!D16-IF(Skills!E16=TRUE,Inputs!$B$32,0))))+1)),0)</f>
        <v/>
      </c>
      <c r="S1246" t="n">
        <v>0</v>
      </c>
      <c r="U1246" t="n">
        <v>0</v>
      </c>
    </row>
    <row r="1247">
      <c r="A1247">
        <f>Skills!A17</f>
        <v/>
      </c>
      <c r="B1247">
        <f>Skills!B17</f>
        <v/>
      </c>
      <c r="C1247">
        <f>Inputs!$B$3&gt;=33</f>
        <v/>
      </c>
      <c r="D1247">
        <f>IF(Skills!C17=1,60+Inputs!$B$25+Inputs!$B$29,IF(Skills!C17=2,90+Inputs!$B$26+Inputs!$B$29,IF(Skills!C17=3,120+Inputs!$B$27+Inputs!$B$29,MAX(0,(Inputs!$B$3-100)*3)+Inputs!$B$28+Inputs!$B$29)))</f>
        <v/>
      </c>
      <c r="E1247">
        <f>INDEX(FactorTable!$B$2:$Y$301, MATCH(ROUND(MIN(300,MAX(1,D1247)),0), FactorTable!$A$2:$A$301,0), Skills!L17+1)</f>
        <v/>
      </c>
      <c r="F1247">
        <f>IF(Skills!M17=TRUE,(Skills!K17/10)*(E1247/1000),Skills!K17/10)+Skills!N17</f>
        <v/>
      </c>
      <c r="G1247">
        <f>Calc!G17</f>
        <v/>
      </c>
      <c r="H1247">
        <f>Calc!H17</f>
        <v/>
      </c>
      <c r="I1247">
        <f>IF(Skills!T17&lt;&gt;"",1+(Skills!T17/10)*(Z1233/1000)/100,1)</f>
        <v/>
      </c>
      <c r="J1247" t="inlineStr"/>
      <c r="K1247" t="inlineStr"/>
      <c r="L1247" t="inlineStr"/>
      <c r="M1247" t="inlineStr"/>
      <c r="N1247" t="inlineStr"/>
      <c r="O1247">
        <f>(1-Summary!$B$11)*S1247+Summary!$B$11*U1247</f>
        <v/>
      </c>
      <c r="P1247">
        <f>IF(B1267=0,0,O1247/B1267)</f>
        <v/>
      </c>
      <c r="Q1247">
        <f>IFERROR(1/IF(Inputs!$B$38="pvp",15,MAX(0.1,Skills!D17-IF(Skills!E17=TRUE,Inputs!$B$32,0))),0)</f>
        <v/>
      </c>
      <c r="R1247" t="n">
        <v>0</v>
      </c>
      <c r="S1247" t="n">
        <v>0</v>
      </c>
      <c r="U1247" t="n">
        <v>0</v>
      </c>
    </row>
    <row r="1248">
      <c r="A1248">
        <f>Skills!A18</f>
        <v/>
      </c>
      <c r="B1248">
        <f>Skills!B18</f>
        <v/>
      </c>
      <c r="C1248">
        <f>Inputs!$B$3&gt;=43</f>
        <v/>
      </c>
      <c r="D1248">
        <f>IF(Skills!C18=1,60+Inputs!$B$25+Inputs!$B$29,IF(Skills!C18=2,90+Inputs!$B$26+Inputs!$B$29,IF(Skills!C18=3,120+Inputs!$B$27+Inputs!$B$29,MAX(0,(Inputs!$B$3-100)*3)+Inputs!$B$28+Inputs!$B$29)))</f>
        <v/>
      </c>
      <c r="E1248">
        <f>INDEX(FactorTable!$B$2:$Y$301, MATCH(ROUND(MIN(300,MAX(1,D1248)),0), FactorTable!$A$2:$A$301,0), Skills!L18+1)</f>
        <v/>
      </c>
      <c r="F1248">
        <f>IF(Skills!M18=TRUE,(Skills!K18/10)*(E1248/1000),Skills!K18/10)+Skills!N18</f>
        <v/>
      </c>
      <c r="G1248">
        <f>Calc!G18</f>
        <v/>
      </c>
      <c r="H1248">
        <f>Calc!H18</f>
        <v/>
      </c>
      <c r="I1248">
        <f>IF(Skills!T18&lt;&gt;"",1+(Skills!T18/10)*(Z1233/1000)/100,1)</f>
        <v/>
      </c>
      <c r="J1248" t="inlineStr"/>
      <c r="K1248" t="inlineStr"/>
      <c r="L1248" t="inlineStr"/>
      <c r="M1248" t="inlineStr"/>
      <c r="N1248" t="inlineStr"/>
      <c r="O1248">
        <f>(1-Summary!$B$11)*S1248+Summary!$B$11*U1248</f>
        <v/>
      </c>
      <c r="P1248">
        <f>IF(B1267=0,0,O1248/B1267)</f>
        <v/>
      </c>
      <c r="Q1248">
        <f>IFERROR(1/IF(Inputs!$B$38="pvp",15,MAX(0.1,Skills!D18-IF(Skills!E18=TRUE,Inputs!$B$32,0))),0)</f>
        <v/>
      </c>
      <c r="R1248" t="n">
        <v>0</v>
      </c>
      <c r="S1248" t="n">
        <v>0</v>
      </c>
      <c r="U1248" t="n">
        <v>0</v>
      </c>
    </row>
    <row r="1249">
      <c r="A1249">
        <f>Skills!A19</f>
        <v/>
      </c>
      <c r="B1249">
        <f>Skills!B19</f>
        <v/>
      </c>
      <c r="C1249">
        <f>Inputs!$B$3&gt;=50</f>
        <v/>
      </c>
      <c r="D1249">
        <f>IF(Skills!C19=1,60+Inputs!$B$25+Inputs!$B$29,IF(Skills!C19=2,90+Inputs!$B$26+Inputs!$B$29,IF(Skills!C19=3,120+Inputs!$B$27+Inputs!$B$29,MAX(0,(Inputs!$B$3-100)*3)+Inputs!$B$28+Inputs!$B$29)))</f>
        <v/>
      </c>
      <c r="E1249">
        <f>INDEX(FactorTable!$B$2:$Y$301, MATCH(ROUND(MIN(300,MAX(1,D1249)),0), FactorTable!$A$2:$A$301,0), Skills!L19+1)</f>
        <v/>
      </c>
      <c r="F1249">
        <f>IF(Skills!M19=TRUE,(Skills!K19/10)*(E1249/1000),Skills!K19/10)+Skills!N19</f>
        <v/>
      </c>
      <c r="G1249">
        <f>Calc!G19</f>
        <v/>
      </c>
      <c r="H1249">
        <f>Calc!H19</f>
        <v/>
      </c>
      <c r="I1249">
        <f>IF(Skills!T19&lt;&gt;"",1+(Skills!T19/10)*(Z1233/1000)/100,1)</f>
        <v/>
      </c>
      <c r="J1249" t="inlineStr"/>
      <c r="K1249" t="inlineStr"/>
      <c r="L1249" t="inlineStr"/>
      <c r="M1249" t="inlineStr"/>
      <c r="N1249" t="inlineStr"/>
      <c r="O1249">
        <f>(1-Summary!$B$11)*S1249+Summary!$B$11*U1249</f>
        <v/>
      </c>
      <c r="P1249">
        <f>IF(B1267=0,0,O1249/B1267)</f>
        <v/>
      </c>
      <c r="Q1249">
        <f>IFERROR(1/IF(Inputs!$B$38="pvp",15,MAX(0.1,Skills!D19-IF(Skills!E19=TRUE,Inputs!$B$32,0))),0)</f>
        <v/>
      </c>
      <c r="R1249" t="n">
        <v>0</v>
      </c>
      <c r="S1249" t="n">
        <v>0</v>
      </c>
      <c r="U1249" t="n">
        <v>0</v>
      </c>
    </row>
    <row r="1250">
      <c r="A1250">
        <f>Skills!A20</f>
        <v/>
      </c>
      <c r="B1250">
        <f>Skills!B20</f>
        <v/>
      </c>
      <c r="C1250">
        <f>Inputs!$B$3&gt;=74</f>
        <v/>
      </c>
      <c r="D1250">
        <f>IF(Skills!C20=1,60+Inputs!$B$25+Inputs!$B$29,IF(Skills!C20=2,90+Inputs!$B$26+Inputs!$B$29,IF(Skills!C20=3,120+Inputs!$B$27+Inputs!$B$29,MAX(0,(Inputs!$B$3-100)*3)+Inputs!$B$28+Inputs!$B$29)))</f>
        <v/>
      </c>
      <c r="E1250">
        <f>INDEX(FactorTable!$B$2:$Y$301, MATCH(ROUND(MIN(300,MAX(1,D1250)),0), FactorTable!$A$2:$A$301,0), Skills!L20+1)</f>
        <v/>
      </c>
      <c r="F1250">
        <f>IF(Skills!M20=TRUE,(Skills!K20/10)*(E1250/1000),Skills!K20/10)+Skills!N20</f>
        <v/>
      </c>
      <c r="G1250">
        <f>Calc!G20</f>
        <v/>
      </c>
      <c r="H1250">
        <f>Calc!H20</f>
        <v/>
      </c>
      <c r="I1250">
        <f>IF(Skills!T20&lt;&gt;"",1+(Skills!T20/10)*(Z1233/1000)/100,1)</f>
        <v/>
      </c>
      <c r="J1250" t="inlineStr"/>
      <c r="K1250" t="inlineStr"/>
      <c r="L1250" t="inlineStr"/>
      <c r="M1250" t="inlineStr"/>
      <c r="N1250" t="inlineStr"/>
      <c r="O1250">
        <f>(1-Summary!$B$11)*S1250+Summary!$B$11*U1250</f>
        <v/>
      </c>
      <c r="P1250">
        <f>IF(B1267=0,0,O1250/B1267)</f>
        <v/>
      </c>
      <c r="Q1250">
        <f>IFERROR(1/IF(Inputs!$B$38="pvp",15,MAX(0.1,Skills!D20-IF(Skills!E20=TRUE,Inputs!$B$32,0))),0)</f>
        <v/>
      </c>
      <c r="R1250" t="n">
        <v>0</v>
      </c>
      <c r="S1250" t="n">
        <v>0</v>
      </c>
      <c r="U1250" t="n">
        <v>0</v>
      </c>
    </row>
    <row r="1251">
      <c r="A1251">
        <f>Skills!A21</f>
        <v/>
      </c>
      <c r="B1251">
        <f>Skills!B21</f>
        <v/>
      </c>
      <c r="C1251">
        <f>Inputs!$B$3&gt;=74</f>
        <v/>
      </c>
      <c r="D1251">
        <f>IF(Skills!C21=1,60+Inputs!$B$25+Inputs!$B$29,IF(Skills!C21=2,90+Inputs!$B$26+Inputs!$B$29,IF(Skills!C21=3,120+Inputs!$B$27+Inputs!$B$29,MAX(0,(Inputs!$B$3-100)*3)+Inputs!$B$28+Inputs!$B$29)))</f>
        <v/>
      </c>
      <c r="E1251">
        <f>INDEX(FactorTable!$B$2:$Y$301, MATCH(ROUND(MIN(300,MAX(1,D1251)),0), FactorTable!$A$2:$A$301,0), Skills!L21+1)</f>
        <v/>
      </c>
      <c r="F1251">
        <f>IF(Skills!M21=TRUE,(Skills!K21/10)*(E1251/1000),Skills!K21/10)+Skills!N21</f>
        <v/>
      </c>
      <c r="G1251">
        <f>Calc!G21</f>
        <v/>
      </c>
      <c r="H1251">
        <f>Calc!H21</f>
        <v/>
      </c>
      <c r="I1251">
        <f>IF(Skills!T21&lt;&gt;"",1+(Skills!T21/10)*(Z1233/1000)/100,1)</f>
        <v/>
      </c>
      <c r="J1251" t="inlineStr"/>
      <c r="K1251" t="inlineStr"/>
      <c r="L1251" t="inlineStr"/>
      <c r="M1251" t="inlineStr"/>
      <c r="N1251" t="inlineStr"/>
      <c r="O1251">
        <f>(1-Summary!$B$11)*S1251+Summary!$B$11*U1251</f>
        <v/>
      </c>
      <c r="P1251">
        <f>IF(B1267=0,0,O1251/B1267)</f>
        <v/>
      </c>
      <c r="Q1251">
        <f>IFERROR(1/IF(Inputs!$B$38="pvp",15,MAX(0.1,Skills!D21-IF(Skills!E21=TRUE,Inputs!$B$32,0))),0)</f>
        <v/>
      </c>
      <c r="R1251" t="n">
        <v>0</v>
      </c>
      <c r="S1251" t="n">
        <v>0</v>
      </c>
      <c r="U1251" t="n">
        <v>0</v>
      </c>
    </row>
    <row r="1252">
      <c r="A1252">
        <f>Skills!A22</f>
        <v/>
      </c>
      <c r="B1252">
        <f>Skills!B22</f>
        <v/>
      </c>
      <c r="C1252">
        <f>Inputs!$B$3&gt;=117</f>
        <v/>
      </c>
      <c r="D1252">
        <f>IF(Skills!C22=1,60+Inputs!$B$25+Inputs!$B$29,IF(Skills!C22=2,90+Inputs!$B$26+Inputs!$B$29,IF(Skills!C22=3,120+Inputs!$B$27+Inputs!$B$29,MAX(0,(Inputs!$B$3-100)*3)+Inputs!$B$28+Inputs!$B$29)))</f>
        <v/>
      </c>
      <c r="E1252">
        <f>INDEX(FactorTable!$B$2:$Y$301, MATCH(ROUND(MIN(300,MAX(1,D1252)),0), FactorTable!$A$2:$A$301,0), Skills!L22+1)</f>
        <v/>
      </c>
      <c r="F1252">
        <f>IF(Skills!M22=TRUE,(Skills!K22/10)*(E1252/1000),Skills!K22/10)+Skills!N22</f>
        <v/>
      </c>
      <c r="G1252">
        <f>Calc!G22</f>
        <v/>
      </c>
      <c r="H1252">
        <f>Calc!H22</f>
        <v/>
      </c>
      <c r="I1252">
        <f>IF(Skills!T22&lt;&gt;"",1+(Skills!T22/10)*(Z1233/1000)/100,1)</f>
        <v/>
      </c>
      <c r="J1252" t="inlineStr"/>
      <c r="K1252" t="inlineStr"/>
      <c r="L1252" t="inlineStr"/>
      <c r="M1252" t="inlineStr"/>
      <c r="N1252" t="inlineStr"/>
      <c r="O1252">
        <f>(1-Summary!$B$11)*S1252+Summary!$B$11*U1252</f>
        <v/>
      </c>
      <c r="P1252">
        <f>IF(B1267=0,0,O1252/B1267)</f>
        <v/>
      </c>
      <c r="Q1252">
        <f>IFERROR(1/IF(Inputs!$B$38="pvp",15,MAX(0.1,Skills!D22-IF(Skills!E22=TRUE,Inputs!$B$32,0))),0)</f>
        <v/>
      </c>
      <c r="R1252" t="n">
        <v>0</v>
      </c>
      <c r="S1252" t="n">
        <v>0</v>
      </c>
      <c r="U1252" t="n">
        <v>0</v>
      </c>
    </row>
    <row r="1253">
      <c r="A1253">
        <f>Skills!A23</f>
        <v/>
      </c>
      <c r="B1253">
        <f>Skills!B23</f>
        <v/>
      </c>
      <c r="C1253">
        <f>Inputs!$B$3&gt;=120</f>
        <v/>
      </c>
      <c r="D1253">
        <f>IF(Skills!C23=1,60+Inputs!$B$25+Inputs!$B$29,IF(Skills!C23=2,90+Inputs!$B$26+Inputs!$B$29,IF(Skills!C23=3,120+Inputs!$B$27+Inputs!$B$29,MAX(0,(Inputs!$B$3-100)*3)+Inputs!$B$28+Inputs!$B$29)))</f>
        <v/>
      </c>
      <c r="E1253">
        <f>INDEX(FactorTable!$B$2:$Y$301, MATCH(ROUND(MIN(300,MAX(1,D1253)),0), FactorTable!$A$2:$A$301,0), Skills!L23+1)</f>
        <v/>
      </c>
      <c r="F1253">
        <f>IF(Skills!M23=TRUE,(Skills!K23/10)*(E1253/1000),Skills!K23/10)+Skills!N23</f>
        <v/>
      </c>
      <c r="G1253">
        <f>Calc!G23</f>
        <v/>
      </c>
      <c r="H1253">
        <f>Calc!H23</f>
        <v/>
      </c>
      <c r="I1253">
        <f>IF(Skills!T23&lt;&gt;"",1+(Skills!T23/10)*(Z1233/1000)/100,1)</f>
        <v/>
      </c>
      <c r="J1253" t="inlineStr"/>
      <c r="K1253" t="inlineStr"/>
      <c r="L1253" t="inlineStr"/>
      <c r="M1253" t="inlineStr"/>
      <c r="N1253" t="inlineStr"/>
      <c r="O1253">
        <f>(1-Summary!$B$11)*S1253+Summary!$B$11*U1253</f>
        <v/>
      </c>
      <c r="P1253">
        <f>IF(B1267=0,0,O1253/B1267)</f>
        <v/>
      </c>
      <c r="Q1253">
        <f>IFERROR(1/IF(Inputs!$B$38="pvp",15,MAX(0.1,Skills!D23-IF(Skills!E23=TRUE,Inputs!$B$32,0))),0)</f>
        <v/>
      </c>
      <c r="R1253" t="n">
        <v>0</v>
      </c>
      <c r="S1253" t="n">
        <v>0</v>
      </c>
      <c r="U1253" t="n">
        <v>0</v>
      </c>
    </row>
    <row r="1254">
      <c r="A1254">
        <f>Skills!A24</f>
        <v/>
      </c>
      <c r="B1254">
        <f>Skills!B24</f>
        <v/>
      </c>
      <c r="C1254">
        <f>TRUE</f>
        <v/>
      </c>
      <c r="D1254">
        <f>IF(Skills!C24=1,60+Inputs!$B$25+Inputs!$B$29,IF(Skills!C24=2,90+Inputs!$B$26+Inputs!$B$29,IF(Skills!C24=3,120+Inputs!$B$27+Inputs!$B$29,MAX(0,(Inputs!$B$3-100)*3)+Inputs!$B$28+Inputs!$B$29)))</f>
        <v/>
      </c>
      <c r="E1254">
        <f>INDEX(FactorTable!$B$2:$Y$301, MATCH(ROUND(MIN(300,MAX(1,D1254)),0), FactorTable!$A$2:$A$301,0), Skills!L24+1)</f>
        <v/>
      </c>
      <c r="F1254">
        <f>IF(Skills!M24=TRUE,(Skills!K24/10)*(E1254/1000),Skills!K24/10)+Skills!N24</f>
        <v/>
      </c>
      <c r="G1254">
        <f>Calc!G24</f>
        <v/>
      </c>
      <c r="H1254">
        <f>Calc!H24</f>
        <v/>
      </c>
      <c r="I1254">
        <f>IF(Skills!T24&lt;&gt;"",1+(Skills!T24/10)*(Z1233/1000)/100,1)</f>
        <v/>
      </c>
      <c r="J1254" t="inlineStr"/>
      <c r="K1254" t="inlineStr"/>
      <c r="L1254" t="inlineStr"/>
      <c r="M1254" t="inlineStr"/>
      <c r="N1254" t="inlineStr"/>
      <c r="O1254">
        <f>(1-Summary!$B$11)*S1254+Summary!$B$11*U1254</f>
        <v/>
      </c>
      <c r="P1254">
        <f>IF(B1267=0,0,O1254/B1267)</f>
        <v/>
      </c>
      <c r="Q1254">
        <f>IFERROR(1/IF(Inputs!$B$38="pvp",15,MAX(0.1,Skills!D24-IF(Skills!E24=TRUE,Inputs!$B$32,0))),0)</f>
        <v/>
      </c>
      <c r="R1254">
        <f>IF(AND(Inputs!$B$38&lt;&gt;"pvp",Inputs!$B$43&gt;0),IF(Inputs!$B$43&lt;=0,0,(INT(Inputs!$B$43/IF(Inputs!$B$38="pvp",15,MAX(0.1,Skills!D24-IF(Skills!E24=TRUE,Inputs!$B$32,0))))+1)),0)</f>
        <v/>
      </c>
      <c r="S1254" t="n">
        <v>0</v>
      </c>
      <c r="U1254" t="n">
        <v>0</v>
      </c>
    </row>
    <row r="1257">
      <c r="A1257" t="inlineStr">
        <is>
          <t>Average Buff Multiplier (Magic Guard + Meditation + Artifact Attack%, summed; then Infinity)</t>
        </is>
      </c>
      <c r="B1257">
        <f>(1+(IF(C1233=TRUE,F1233*IF(AND(Inputs!$B$38&lt;&gt;"pvp",Inputs!$B$43&gt;0),(((R1233-1)*(Skills!S3*(1+(Inputs!$B$34)/100))+MIN((Skills!S3*(1+(Inputs!$B$34)/100)),MAX(0,Inputs!$B$43-((R1233-1)*Skills!D3))))/Inputs!$B$43),IF(Inputs!$B$38="pvp",MIN((Skills!S3*(1+(Inputs!$B$34)/100)),15)/15,(Skills!S3*(1+(Inputs!$B$34)/100))/Skills!D3)),0)+IF(C1234=TRUE,F1234*IF(AND(Inputs!$B$38&lt;&gt;"pvp",Inputs!$B$43&gt;0),(((R1234-1)*(Skills!S4*(1+(Inputs!$B$34)/100))+MIN((Skills!S4*(1+(Inputs!$B$34)/100)),MAX(0,Inputs!$B$43-((R1234-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1246=TRUE,(1+F1246*IF(AND(Inputs!$B$38&lt;&gt;"pvp",Inputs!$B$43&gt;0),(((R1246-1)*(Skills!S16*(1+(Inputs!$B$34)/100))+MIN((Skills!S16*(1+(Inputs!$B$34)/100)),MAX(0,Inputs!$B$43-((R1246-1)*Skills!D16))))/Inputs!$B$43),IF(Inputs!$B$38="pvp",MIN((Skills!S16*(1+(Inputs!$B$34)/100)),15)/15,(Skills!S16*(1+(Inputs!$B$34)/100))/Skills!D16))/100),1)</f>
        <v/>
      </c>
    </row>
    <row r="1258">
      <c r="A1258" t="inlineStr">
        <is>
          <t>Monster Damage Taken Bonus % (Freezing Breath - Weaken + Elemental Reset + Artifact Enemy Damage Taken, summed)</t>
        </is>
      </c>
      <c r="B1258">
        <f>IF(Inputs!$B$3&gt;=118,15*IF(Inputs!$B$38="pvp",MIN((30*(1+(Inputs!$B$34)/100)),15)/15,(30*(1+(Inputs!$B$34)/100))/Skills!D8),0)+IF(C1244=TRUE,F1244,0)+(IF(AND(ArtifactsInput!$M$35,Inputs!$B$4&lt;&gt;"Chapter Hunt"),CHOOSE(ArtifactsInput!$N$35+1,15,18,21,24,27,30)*(1-EXP(-(0.2*B1261)*5)),0)+IF(AND(ArtifactsInput!$M$22,Inputs!$B$4&lt;&gt;"Chapter Hunt"),CHOOSE(ArtifactsInput!$N$22+1,10,12,14,16,18,20)*((0*(((0.15*B1261*5))^0/1)+1*(((0.15*B1261*5))^1/1)+2*(((0.15*B1261*5))^2/2)+3*(((0.15*B1261*5))^3/6)+4*(((0.15*B1261*5))^4/24)+5*(((0.15*B1261*5))^5/120))/((((0.15*B1261*5))^0/1)+(((0.15*B1261*5))^1/1)+(((0.15*B1261*5))^2/2)+(((0.15*B1261*5))^3/6)+(((0.15*B1261*5))^4/24)+(((0.15*B1261*5))^5/120))),0))</f>
        <v/>
      </c>
    </row>
    <row r="1259">
      <c r="A1259" t="inlineStr">
        <is>
          <t>Damage % Bonus (Frozen Break + Frost Clutch, flat)</t>
        </is>
      </c>
      <c r="B1259">
        <f>IF(Inputs!$B$3&gt;=66,15,0)+IF(Inputs!$B$3&gt;=98,10,0)+IF(Inputs!$B$3&gt;=125,20,0)</f>
        <v/>
      </c>
    </row>
    <row r="1260">
      <c r="A1260" t="inlineStr">
        <is>
          <t>Attack Speed Bonus % (MP Eater - MP Boost, always-on + Nimble Feet, duty-cycle averaged)</t>
        </is>
      </c>
      <c r="B1260">
        <f>IF(C1243=TRUE,F1243+(F1247-Calc!F17),0)+((C1254=TRUE)*F1254*IF(AND(Inputs!$B$38&lt;&gt;"pvp",Inputs!$B$43&gt;0),(((R1254-1)*(Skills!S24*(1+(Inputs!$B$34)/100))+MIN((Skills!S24*(1+(Inputs!$B$34)/100)),MAX(0,Inputs!$B$43-((R1254-1)*Skills!D24))))/Inputs!$B$43),IF(Inputs!$B$38="pvp",MIN((Skills!S24*(1+(Inputs!$B$34)/100)),15)/15,(Skills!S24*(1+(Inputs!$B$34)/100))/Skills!D24)))</f>
        <v/>
      </c>
    </row>
    <row r="1261">
      <c r="A1261" t="inlineStr">
        <is>
          <t>Actions Per Second</t>
        </is>
      </c>
      <c r="B1261">
        <f>1+MIN(150,150*(1-(1-(Inputs!$B$11+(ArtifactsInput!$M$15-ArtifactsInput!$M$15)*CHOOSE(ArtifactsInput!$N$15+1,8,9.6,11.2,12.8,14.4,16))/150)*(1-B1260/150)))/100</f>
        <v/>
      </c>
    </row>
    <row r="1262">
      <c r="A1262" t="inlineStr">
        <is>
          <t>Skill + Buff Cast Rate</t>
        </is>
      </c>
      <c r="B1262">
        <f>IF(AND(Inputs!$B$38&lt;&gt;"pvp",Inputs!$B$43&gt;0),SUMPRODUCT((Skills!E2:E24=TRUE)*(C1232:C1254=TRUE)*R1232:R1254)/Inputs!$B$43,SUMPRODUCT((Skills!E2:E24=TRUE)*(C1232:C1254=TRUE)*Q1232:Q1254))</f>
        <v/>
      </c>
    </row>
    <row r="1263">
      <c r="A1263" t="inlineStr">
        <is>
          <t>Chain Lightning Casts Per Second</t>
        </is>
      </c>
      <c r="B1263">
        <f>MAX(0,B1261-B1262)</f>
        <v/>
      </c>
    </row>
    <row r="1264">
      <c r="A1264" t="inlineStr">
        <is>
          <t>Buff-Casting Startup Delay (s, fixed-duration only)</t>
        </is>
      </c>
      <c r="B1264">
        <f>IF(AND(Inputs!$B$38&lt;&gt;"pvp",Inputs!$B$43&gt;0),SUMPRODUCT((Skills!S2:S24&gt;0)*(Skills!E2:E24=TRUE)*(C1232:C1254=TRUE))/B1261,0)</f>
        <v/>
      </c>
    </row>
    <row r="1265">
      <c r="A1265" t="inlineStr">
        <is>
          <t>Boss-Only Total DPS (this block's swept value)</t>
        </is>
      </c>
      <c r="B1265">
        <f>SUM(S1232:S1254)</f>
        <v/>
      </c>
    </row>
    <row r="1266">
      <c r="A1266" t="inlineStr">
        <is>
          <t>Normal-Only Total DPS (this block's swept value)</t>
        </is>
      </c>
      <c r="B1266">
        <f>SUM(U1232:U1254)</f>
        <v/>
      </c>
    </row>
    <row r="1267">
      <c r="A1267" s="6" t="inlineStr">
        <is>
          <t>TOTAL DPS</t>
        </is>
      </c>
      <c r="B1267" s="6">
        <f>SUM(O1232:O1254)</f>
        <v/>
      </c>
    </row>
    <row r="1270">
      <c r="A1270" s="6" t="inlineStr">
        <is>
          <t>Stat: Hexagon Necklace (Equip)</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R1271" t="inlineStr">
        <is>
          <t>helpers</t>
        </is>
      </c>
    </row>
    <row r="1272">
      <c r="A1272">
        <f>Skills!A2</f>
        <v/>
      </c>
      <c r="B1272">
        <f>Skills!B2</f>
        <v/>
      </c>
      <c r="C1272">
        <f>Inputs!$B$3&gt;=100</f>
        <v/>
      </c>
      <c r="D1272" t="inlineStr"/>
      <c r="E1272" t="inlineStr"/>
      <c r="F1272">
        <f>T1274+Skills!N2</f>
        <v/>
      </c>
      <c r="G1272">
        <f>Calc!G2</f>
        <v/>
      </c>
      <c r="H1272">
        <f>Calc!H2</f>
        <v/>
      </c>
      <c r="I1272">
        <f>IF(Skills!T2&lt;&gt;"",1+(Skills!T2/10)*(Z1273/1000)/100,1)</f>
        <v/>
      </c>
      <c r="J1272">
        <f>((Inputs!$B$6*(1+Inputs!$B$7/100))+(((Inputs!$B$12*(1+Inputs!$B$13/100))-(Inputs!$B$12*(1+Inputs!$B$13/100)))+0.25*(Inputs!$B$14-Inputs!$B$14))*(1+Inputs!$B$7/100))*(F1272/100)</f>
        <v/>
      </c>
      <c r="K1272">
        <f>J1272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2="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1288-Calc!F18),(Inputs!$B$23+(IF(ArtifactsInput!$M$15,CHOOSE(ArtifactsInput!$N$15+1,25,30,35,40,45,50)/100*(Inputs!$B$11-Inputs!$B$11),0))))/100+(Inputs!$B$23+(IF(ArtifactsInput!$M$15,CHOOSE(ArtifactsInput!$N$15+1,25,30,35,40,45,50)/100*(Inputs!$B$11-Inputs!$B$11),0)))/100)/2</f>
        <v/>
      </c>
      <c r="M1272">
        <f>L1272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IF(B1307=0,0,O1272/B1307)</f>
        <v/>
      </c>
      <c r="Q1272">
        <f>IFERROR(1/IF(Inputs!$B$38="pvp",15,MAX(0.1,Skills!D2-IF(Skills!E2=TRUE,Inputs!$B$32,0))),0)</f>
        <v/>
      </c>
      <c r="R1272" t="n">
        <v>0</v>
      </c>
      <c r="S1272">
        <f>IF(C1272,(Skills!F2*N1272*B1303)*IF(Inputs!$B$38="pvp",1,1+(Inputs!$B$20+Skills!O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72">
        <f>MAX(0,(Inputs!$B$3-100)*3)+Inputs!$B$28+Inputs!$B$29</f>
        <v/>
      </c>
      <c r="U1272">
        <f>IF(C1272,(Skills!F2*N1272*B1303)*IF(Inputs!$B$38="pvp",1,(1+(Inputs!$B$21+Skills!P2+B1298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72">
        <f>MAX(0,(Inputs!$B$3-100)*3)+Inputs!$B$28+Inputs!$B$29</f>
        <v/>
      </c>
    </row>
    <row r="1273">
      <c r="A1273">
        <f>Skills!A3</f>
        <v/>
      </c>
      <c r="B1273">
        <f>Skills!B3</f>
        <v/>
      </c>
      <c r="C1273">
        <f>Inputs!$B$3&gt;=15</f>
        <v/>
      </c>
      <c r="D1273">
        <f>IF(Skills!C3=1,60+Inputs!$B$25+Inputs!$B$29,IF(Skills!C3=2,90+Inputs!$B$26+Inputs!$B$29,IF(Skills!C3=3,120+Inputs!$B$27+Inputs!$B$29,MAX(0,(Inputs!$B$3-100)*3)+Inputs!$B$28+Inputs!$B$29)))</f>
        <v/>
      </c>
      <c r="E1273">
        <f>INDEX(FactorTable!$B$2:$Y$301, MATCH(ROUND(MIN(300,MAX(1,D1273)),0), FactorTable!$A$2:$A$301,0), Skills!L3+1)</f>
        <v/>
      </c>
      <c r="F1273">
        <f>IF(Skills!M3=TRUE,(Skills!K3/10)*(E1273/1000),Skills!K3/10)+Skills!N3</f>
        <v/>
      </c>
      <c r="G1273">
        <f>Calc!G3</f>
        <v/>
      </c>
      <c r="H1273">
        <f>Calc!H3</f>
        <v/>
      </c>
      <c r="I1273">
        <f>IF(Skills!T3&lt;&gt;"",1+(Skills!T3/10)*(Z1273/1000)/100,1)</f>
        <v/>
      </c>
      <c r="J1273" t="inlineStr"/>
      <c r="K1273" t="inlineStr"/>
      <c r="L1273" t="inlineStr"/>
      <c r="M1273" t="inlineStr"/>
      <c r="N1273" t="inlineStr"/>
      <c r="O1273">
        <f>(1-Summary!$B$11)*S1273+Summary!$B$11*U1273</f>
        <v/>
      </c>
      <c r="P1273">
        <f>IF(B1307=0,0,O1273/B1307)</f>
        <v/>
      </c>
      <c r="Q1273">
        <f>IFERROR(1/IF(Inputs!$B$38="pvp",15,MAX(0.1,Skills!D3-IF(Skills!E3=TRUE,Inputs!$B$32,0))),0)</f>
        <v/>
      </c>
      <c r="R1273">
        <f>IF(AND(Inputs!$B$38&lt;&gt;"pvp",Inputs!$B$43&gt;0),IF(Inputs!$B$43&lt;=0,0,(INT(Inputs!$B$43/IF(Inputs!$B$38="pvp",15,MAX(0.1,Skills!D3-IF(Skills!E3=TRUE,Inputs!$B$32,0))))+1)),0)</f>
        <v/>
      </c>
      <c r="S1273" t="n">
        <v>0</v>
      </c>
      <c r="T1273">
        <f>INDEX(FactorTable!$B$2:$Y$301, MATCH(ROUND(MIN(300,MAX(1,T1272)),0), FactorTable!$A$2:$A$301,0), 22)</f>
        <v/>
      </c>
      <c r="U1273" t="n">
        <v>0</v>
      </c>
      <c r="Z1273">
        <f>INDEX(FactorTable!$B$2:$Y$301, MATCH(ROUND(MIN(300,MAX(1,Z1272)),0), FactorTable!$A$2:$A$301,0), 24)</f>
        <v/>
      </c>
    </row>
    <row r="1274">
      <c r="A1274">
        <f>Skills!A4</f>
        <v/>
      </c>
      <c r="B1274">
        <f>Skills!B4</f>
        <v/>
      </c>
      <c r="C1274">
        <f>Inputs!$B$3&gt;=40</f>
        <v/>
      </c>
      <c r="D1274">
        <f>IF(Skills!C4=1,60+Inputs!$B$25+Inputs!$B$29,IF(Skills!C4=2,90+Inputs!$B$26+Inputs!$B$29,IF(Skills!C4=3,120+Inputs!$B$27+Inputs!$B$29,MAX(0,(Inputs!$B$3-100)*3)+Inputs!$B$28+Inputs!$B$29)))</f>
        <v/>
      </c>
      <c r="E1274">
        <f>INDEX(FactorTable!$B$2:$Y$301, MATCH(ROUND(MIN(300,MAX(1,D1274)),0), FactorTable!$A$2:$A$301,0), Skills!L4+1)</f>
        <v/>
      </c>
      <c r="F1274">
        <f>IF(Skills!M4=TRUE,(Skills!K4/10)*(E1274/1000),Skills!K4/10)+Skills!N4</f>
        <v/>
      </c>
      <c r="G1274">
        <f>Calc!G4</f>
        <v/>
      </c>
      <c r="H1274">
        <f>Calc!H4</f>
        <v/>
      </c>
      <c r="I1274">
        <f>IF(Skills!T4&lt;&gt;"",1+(Skills!T4/10)*(Z1273/1000)/100,1)</f>
        <v/>
      </c>
      <c r="J1274" t="inlineStr"/>
      <c r="K1274" t="inlineStr"/>
      <c r="L1274" t="inlineStr"/>
      <c r="M1274" t="inlineStr"/>
      <c r="N1274" t="inlineStr"/>
      <c r="O1274">
        <f>(1-Summary!$B$11)*S1274+Summary!$B$11*U1274</f>
        <v/>
      </c>
      <c r="P1274">
        <f>IF(B1307=0,0,O1274/B1307)</f>
        <v/>
      </c>
      <c r="Q1274">
        <f>IFERROR(1/IF(Inputs!$B$38="pvp",15,MAX(0.1,Skills!D4-IF(Skills!E4=TRUE,Inputs!$B$32,0))),0)</f>
        <v/>
      </c>
      <c r="R1274">
        <f>IF(AND(Inputs!$B$38&lt;&gt;"pvp",Inputs!$B$43&gt;0),IF(Inputs!$B$43&lt;=0,0,(INT(Inputs!$B$43/IF(Inputs!$B$38="pvp",15,MAX(0.1,Skills!D4-IF(Skills!E4=TRUE,Inputs!$B$32,0))))+1)),0)</f>
        <v/>
      </c>
      <c r="S1274" t="n">
        <v>0</v>
      </c>
      <c r="T1274">
        <f>290*T1273/1000</f>
        <v/>
      </c>
      <c r="U1274" t="n">
        <v>0</v>
      </c>
    </row>
    <row r="1275">
      <c r="A1275">
        <f>Skills!A5</f>
        <v/>
      </c>
      <c r="B1275">
        <f>Skills!B5</f>
        <v/>
      </c>
      <c r="C1275">
        <f>Inputs!$B$3&gt;=38</f>
        <v/>
      </c>
      <c r="D1275">
        <f>IF(Skills!C5=1,60+Inputs!$B$25+Inputs!$B$29,IF(Skills!C5=2,90+Inputs!$B$26+Inputs!$B$29,IF(Skills!C5=3,120+Inputs!$B$27+Inputs!$B$29,MAX(0,(Inputs!$B$3-100)*3)+Inputs!$B$28+Inputs!$B$29)))</f>
        <v/>
      </c>
      <c r="E1275">
        <f>INDEX(FactorTable!$B$2:$Y$301, MATCH(ROUND(MIN(300,MAX(1,D1275)),0), FactorTable!$A$2:$A$301,0), Skills!L5+1)</f>
        <v/>
      </c>
      <c r="F1275">
        <f>IF(Skills!M5=TRUE,(Skills!K5/10)*(E1275/1000),Skills!K5/10)+Skills!N5</f>
        <v/>
      </c>
      <c r="G1275">
        <f>Calc!G5</f>
        <v/>
      </c>
      <c r="H1275">
        <f>Calc!H5</f>
        <v/>
      </c>
      <c r="I1275">
        <f>IF(Skills!T5&lt;&gt;"",1+(Skills!T5/10)*(Z1273/1000)/100,1)</f>
        <v/>
      </c>
      <c r="J1275">
        <f>((Inputs!$B$6*(1+Inputs!$B$7/100))+(((Inputs!$B$12*(1+Inputs!$B$13/100))-(Inputs!$B$12*(1+Inputs!$B$13/100)))+0.25*(Inputs!$B$14-Inputs!$B$14))*(1+Inputs!$B$7/100))*(F1275/100)</f>
        <v/>
      </c>
      <c r="K1275">
        <f>J1275*(1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5="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F1288-Calc!F18),(Inputs!$B$23+(IF(ArtifactsInput!$M$15,CHOOSE(ArtifactsInput!$N$15+1,25,30,35,40,45,50)/100*(Inputs!$B$11-Inputs!$B$11),0))))/100+(Inputs!$B$23+(IF(ArtifactsInput!$M$15,CHOOSE(ArtifactsInput!$N$15+1,25,30,35,40,45,50)/100*(Inputs!$B$11-Inputs!$B$11),0)))/100)/2</f>
        <v/>
      </c>
      <c r="M1275">
        <f>L1275*(1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(1-Summary!$B$11)*S1275+Summary!$B$11*U1275</f>
        <v/>
      </c>
      <c r="P1275">
        <f>IF(B1307=0,0,O1275/B1307)</f>
        <v/>
      </c>
      <c r="Q1275">
        <f>IFERROR(1/IF(Inputs!$B$38="pvp",15,MAX(0.1,Skills!D5-IF(Skills!E5=TRUE,Inputs!$B$32,0))),0)</f>
        <v/>
      </c>
      <c r="R1275">
        <f>IF(AND(Inputs!$B$38&lt;&gt;"pvp",Inputs!$B$43&gt;0),IF(MAX(0,Inputs!$B$43-B1304)&lt;=0,0,(INT(MAX(0,Inputs!$B$43-B1304)/IF(Inputs!$B$38="pvp",15,MAX(0.1,Skills!D5-IF(Skills!E5=TRUE,Inputs!$B$32,0))))+1)),0)</f>
        <v/>
      </c>
      <c r="S1275">
        <f>IF(C1275,(H1275*N1275*IF(AND(Inputs!$B$38&lt;&gt;"pvp",Inputs!$B$43&gt;0),((Skills!F5*((R1275-1)*IF(Skills!G5&gt;0,Skills!H5/Skills!G5,1)+IF(Skills!G5&gt;0,MIN(Skills!H5,MAX(0,MAX(0,Inputs!$B$43-B1304)-((R1275-1)*IF(Inputs!$B$38="pvp",15,MAX(0.1,Skills!D5-IF(Skills!E5=TRUE,Inputs!$B$32,0))))))/Skills!G5,1)))/Inputs!$B$43),G1275*Q1275))*IF(Inputs!$B$38="pvp",1,1+(Inputs!$B$20+Skills!O5+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1275*(1-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IF(C1275,(H1275*N1275*IF(AND(Inputs!$B$38&lt;&gt;"pvp",Inputs!$B$43&gt;0),((Skills!F5*((R1275-1)*IF(Skills!G5&gt;0,Skills!H5/Skills!G5,1)+IF(Skills!G5&gt;0,MIN(Skills!H5,MAX(0,MAX(0,Inputs!$B$43-B1304)-((R1275-1)*IF(Inputs!$B$38="pvp",15,MAX(0.1,Skills!D5-IF(Skills!E5=TRUE,Inputs!$B$32,0))))))/Skills!G5,1)))/Inputs!$B$43),G1275*Q1275))*IF(Inputs!$B$38="pvp",1,(1+(Inputs!$B$21+Skills!P5+B1298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Skills!A6</f>
        <v/>
      </c>
      <c r="B1276">
        <f>Skills!B6</f>
        <v/>
      </c>
      <c r="C1276">
        <f>Inputs!$B$3&gt;=63</f>
        <v/>
      </c>
      <c r="D1276">
        <f>IF(Skills!C6=1,60+Inputs!$B$25+Inputs!$B$29,IF(Skills!C6=2,90+Inputs!$B$26+Inputs!$B$29,IF(Skills!C6=3,120+Inputs!$B$27+Inputs!$B$29,MAX(0,(Inputs!$B$3-100)*3)+Inputs!$B$28+Inputs!$B$29)))</f>
        <v/>
      </c>
      <c r="E1276">
        <f>INDEX(FactorTable!$B$2:$Y$301, MATCH(ROUND(MIN(300,MAX(1,D1276)),0), FactorTable!$A$2:$A$301,0), Skills!L6+1)</f>
        <v/>
      </c>
      <c r="F1276">
        <f>IF(Skills!M6=TRUE,(Skills!K6/10)*(E1276/1000),Skills!K6/10)+Skills!N6</f>
        <v/>
      </c>
      <c r="G1276">
        <f>Calc!G6</f>
        <v/>
      </c>
      <c r="H1276">
        <f>Calc!H6</f>
        <v/>
      </c>
      <c r="I1276">
        <f>IF(Skills!T6&lt;&gt;"",1+(Skills!T6/10)*(Z1273/1000)/100,1)</f>
        <v/>
      </c>
      <c r="J1276">
        <f>((Inputs!$B$6*(1+Inputs!$B$7/100))+(((Inputs!$B$12*(1+Inputs!$B$13/100))-(Inputs!$B$12*(1+Inputs!$B$13/100)))+0.25*(Inputs!$B$14-Inputs!$B$14))*(1+Inputs!$B$7/100))*(F1276/100)</f>
        <v/>
      </c>
      <c r="K1276">
        <f>J1276*(1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6="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F1288-Calc!F18),(Inputs!$B$23+(IF(ArtifactsInput!$M$15,CHOOSE(ArtifactsInput!$N$15+1,25,30,35,40,45,50)/100*(Inputs!$B$11-Inputs!$B$11),0))))/100+(Inputs!$B$23+(IF(ArtifactsInput!$M$15,CHOOSE(ArtifactsInput!$N$15+1,25,30,35,40,45,50)/100*(Inputs!$B$11-Inputs!$B$11),0)))/100)/2</f>
        <v/>
      </c>
      <c r="M1276">
        <f>L1276*(1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(1-Summary!$B$11)*S1276+Summary!$B$11*U1276</f>
        <v/>
      </c>
      <c r="P1276">
        <f>IF(B1307=0,0,O1276/B1307)</f>
        <v/>
      </c>
      <c r="Q1276">
        <f>IFERROR(1/IF(Inputs!$B$38="pvp",15,MAX(0.1,Skills!D6-IF(Skills!E6=TRUE,Inputs!$B$32,0))),0)</f>
        <v/>
      </c>
      <c r="R1276">
        <f>IF(AND(Inputs!$B$38&lt;&gt;"pvp",Inputs!$B$43&gt;0),IF(MAX(0,Inputs!$B$43-B1304)&lt;=0,0,(INT(MAX(0,Inputs!$B$43-B1304)/IF(Inputs!$B$38="pvp",15,MAX(0.1,Skills!D6-IF(Skills!E6=TRUE,Inputs!$B$32,0))))+1)),0)</f>
        <v/>
      </c>
      <c r="S1276">
        <f>IF(C1276,(H1276*N1276*IF(AND(Inputs!$B$38&lt;&gt;"pvp",Inputs!$B$43&gt;0),((Skills!F6*((R1276-1)*IF(Skills!G6&gt;0,Skills!H6/Skills!G6,1)+IF(Skills!G6&gt;0,MIN(Skills!H6,MAX(0,MAX(0,Inputs!$B$43-B1304)-((R1276-1)*IF(Inputs!$B$38="pvp",15,MAX(0.1,Skills!D6-IF(Skills!E6=TRUE,Inputs!$B$32,0))))))/Skills!G6,1)))/Inputs!$B$43),G1276*Q1276))*IF(Inputs!$B$38="pvp",1,1+(Inputs!$B$20+Skills!O6+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1276*(1-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6">
        <f>IF(C1276,(H1276*N1276*IF(AND(Inputs!$B$38&lt;&gt;"pvp",Inputs!$B$43&gt;0),((Skills!F6*((R1276-1)*IF(Skills!G6&gt;0,Skills!H6/Skills!G6,1)+IF(Skills!G6&gt;0,MIN(Skills!H6,MAX(0,MAX(0,Inputs!$B$43-B1304)-((R1276-1)*IF(Inputs!$B$38="pvp",15,MAX(0.1,Skills!D6-IF(Skills!E6=TRUE,Inputs!$B$32,0))))))/Skills!G6,1)))/Inputs!$B$43),G1276*Q1276))*IF(Inputs!$B$38="pvp",1,(1+(Inputs!$B$21+Skills!P6+B1298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Skills!A7</f>
        <v/>
      </c>
      <c r="B1277">
        <f>Skills!B7</f>
        <v/>
      </c>
      <c r="C1277">
        <f>Inputs!$B$3&gt;=69</f>
        <v/>
      </c>
      <c r="D1277">
        <f>IF(Skills!C7=1,60+Inputs!$B$25+Inputs!$B$29,IF(Skills!C7=2,90+Inputs!$B$26+Inputs!$B$29,IF(Skills!C7=3,120+Inputs!$B$27+Inputs!$B$29,MAX(0,(Inputs!$B$3-100)*3)+Inputs!$B$28+Inputs!$B$29)))</f>
        <v/>
      </c>
      <c r="E1277">
        <f>INDEX(FactorTable!$B$2:$Y$301, MATCH(ROUND(MIN(300,MAX(1,D1277)),0), FactorTable!$A$2:$A$301,0), Skills!L7+1)</f>
        <v/>
      </c>
      <c r="F1277">
        <f>IF(Skills!M7=TRUE,(Skills!K7/10)*(E1277/1000),Skills!K7/10)+Skills!N7</f>
        <v/>
      </c>
      <c r="G1277">
        <f>Calc!G7</f>
        <v/>
      </c>
      <c r="H1277">
        <f>Calc!H7</f>
        <v/>
      </c>
      <c r="I1277">
        <f>IF(Skills!T7&lt;&gt;"",1+(Skills!T7/10)*(Z1273/1000)/100,1)</f>
        <v/>
      </c>
      <c r="J1277">
        <f>((Inputs!$B$6*(1+Inputs!$B$7/100))+(((Inputs!$B$12*(1+Inputs!$B$13/100))-(Inputs!$B$12*(1+Inputs!$B$13/100)))+0.25*(Inputs!$B$14-Inputs!$B$14))*(1+Inputs!$B$7/100))*(F1277/100)</f>
        <v/>
      </c>
      <c r="K1277">
        <f>J1277*(1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7="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F1288-Calc!F18),(Inputs!$B$23+(IF(ArtifactsInput!$M$15,CHOOSE(ArtifactsInput!$N$15+1,25,30,35,40,45,50)/100*(Inputs!$B$11-Inputs!$B$11),0))))/100+(Inputs!$B$23+(IF(ArtifactsInput!$M$15,CHOOSE(ArtifactsInput!$N$15+1,25,30,35,40,45,50)/100*(Inputs!$B$11-Inputs!$B$11),0)))/100)/2</f>
        <v/>
      </c>
      <c r="M1277">
        <f>L1277*(1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(1-Summary!$B$11)*S1277+Summary!$B$11*U1277</f>
        <v/>
      </c>
      <c r="P1277">
        <f>IF(B1307=0,0,O1277/B1307)</f>
        <v/>
      </c>
      <c r="Q1277">
        <f>IFERROR(1/IF(Inputs!$B$38="pvp",15,MAX(0.1,Skills!D7-IF(Skills!E7=TRUE,Inputs!$B$32,0))),0)</f>
        <v/>
      </c>
      <c r="R1277">
        <f>IF(AND(Inputs!$B$38&lt;&gt;"pvp",Inputs!$B$43&gt;0),IF(MAX(0,Inputs!$B$43-B1304)&lt;=0,0,(INT(MAX(0,Inputs!$B$43-B1304)/IF(Inputs!$B$38="pvp",15,MAX(0.1,Skills!D7-IF(Skills!E7=TRUE,Inputs!$B$32,0))))+1)),0)</f>
        <v/>
      </c>
      <c r="S1277">
        <f>IF(C1277,(H1277*N1277*IF(AND(Inputs!$B$38&lt;&gt;"pvp",Inputs!$B$43&gt;0),((Skills!F7*((R1277-1)*IF(Skills!G7&gt;0,Skills!H7/Skills!G7,1)+IF(Skills!G7&gt;0,MIN(Skills!H7,MAX(0,MAX(0,Inputs!$B$43-B1304)-((R1277-1)*IF(Inputs!$B$38="pvp",15,MAX(0.1,Skills!D7-IF(Skills!E7=TRUE,Inputs!$B$32,0))))))/Skills!G7,1)))/Inputs!$B$43),G1277*Q1277))*IF(Inputs!$B$38="pvp",1,1+(Inputs!$B$20+Skills!O7+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1277*(1-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IF(C1277,(H1277*N1277*IF(AND(Inputs!$B$38&lt;&gt;"pvp",Inputs!$B$43&gt;0),((Skills!F7*((R1277-1)*IF(Skills!G7&gt;0,Skills!H7/Skills!G7,1)+IF(Skills!G7&gt;0,MIN(Skills!H7,MAX(0,MAX(0,Inputs!$B$43-B1304)-((R1277-1)*IF(Inputs!$B$38="pvp",15,MAX(0.1,Skills!D7-IF(Skills!E7=TRUE,Inputs!$B$32,0))))))/Skills!G7,1)))/Inputs!$B$43),G1277*Q1277))*IF(Inputs!$B$38="pvp",1,(1+(Inputs!$B$21+Skills!P7+B1298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Skills!A8</f>
        <v/>
      </c>
      <c r="B1278">
        <f>Skills!B8</f>
        <v/>
      </c>
      <c r="C1278">
        <f>Inputs!$B$3&gt;=103</f>
        <v/>
      </c>
      <c r="D1278">
        <f>IF(Skills!C8=1,60+Inputs!$B$25+Inputs!$B$29,IF(Skills!C8=2,90+Inputs!$B$26+Inputs!$B$29,IF(Skills!C8=3,120+Inputs!$B$27+Inputs!$B$29,MAX(0,(Inputs!$B$3-100)*3)+Inputs!$B$28+Inputs!$B$29)))</f>
        <v/>
      </c>
      <c r="E1278">
        <f>INDEX(FactorTable!$B$2:$Y$301, MATCH(ROUND(MIN(300,MAX(1,D1278)),0), FactorTable!$A$2:$A$301,0), Skills!L8+1)</f>
        <v/>
      </c>
      <c r="F1278">
        <f>IF(Skills!M8=TRUE,(Skills!K8/10)*(E1278/1000),Skills!K8/10)+Skills!N8</f>
        <v/>
      </c>
      <c r="G1278">
        <f>Calc!G8</f>
        <v/>
      </c>
      <c r="H1278">
        <f>Calc!H8</f>
        <v/>
      </c>
      <c r="I1278">
        <f>IF(Skills!T8&lt;&gt;"",1+(Skills!T8/10)*(Z1273/1000)/100,1)</f>
        <v/>
      </c>
      <c r="J1278">
        <f>((Inputs!$B$6*(1+Inputs!$B$7/100))+(((Inputs!$B$12*(1+Inputs!$B$13/100))-(Inputs!$B$12*(1+Inputs!$B$13/100)))+0.25*(Inputs!$B$14-Inputs!$B$14))*(1+Inputs!$B$7/100))*(F1278/100)</f>
        <v/>
      </c>
      <c r="K1278">
        <f>J1278*(1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8="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F1288-Calc!F18),(Inputs!$B$23+(IF(ArtifactsInput!$M$15,CHOOSE(ArtifactsInput!$N$15+1,25,30,35,40,45,50)/100*(Inputs!$B$11-Inputs!$B$11),0))))/100+(Inputs!$B$23+(IF(ArtifactsInput!$M$15,CHOOSE(ArtifactsInput!$N$15+1,25,30,35,40,45,50)/100*(Inputs!$B$11-Inputs!$B$11),0)))/100)/2</f>
        <v/>
      </c>
      <c r="M1278">
        <f>L1278*(1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(1-Summary!$B$11)*S1278+Summary!$B$11*U1278</f>
        <v/>
      </c>
      <c r="P1278">
        <f>IF(B1307=0,0,O1278/B1307)</f>
        <v/>
      </c>
      <c r="Q1278">
        <f>IFERROR(1/IF(Inputs!$B$38="pvp",15,MAX(0.1,Skills!D8-IF(Skills!E8=TRUE,Inputs!$B$32,0))),0)</f>
        <v/>
      </c>
      <c r="R1278">
        <f>IF(AND(Inputs!$B$38&lt;&gt;"pvp",Inputs!$B$43&gt;0),IF(MAX(0,Inputs!$B$43-B1304)&lt;=0,0,(INT(MAX(0,Inputs!$B$43-B1304)/IF(Inputs!$B$38="pvp",15,MAX(0.1,Skills!D8-IF(Skills!E8=TRUE,Inputs!$B$32,0))))+1)),0)</f>
        <v/>
      </c>
      <c r="S1278">
        <f>IF(C1278,(H1278*N1278*IF(AND(Inputs!$B$38&lt;&gt;"pvp",Inputs!$B$43&gt;0),((Skills!F8*((R1278-1)*IF(Skills!G8&gt;0,Skills!H8/Skills!G8,1)+IF(Skills!G8&gt;0,MIN(Skills!H8,MAX(0,MAX(0,Inputs!$B$43-B1304)-((R1278-1)*IF(Inputs!$B$38="pvp",15,MAX(0.1,Skills!D8-IF(Skills!E8=TRUE,Inputs!$B$32,0))))))/Skills!G8,1)))/Inputs!$B$43),G1278*Q1278))*IF(Inputs!$B$38="pvp",1,1+(Inputs!$B$20+Skills!O8+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1278*(1-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F(C1278,(H1278*N1278*IF(AND(Inputs!$B$38&lt;&gt;"pvp",Inputs!$B$43&gt;0),((Skills!F8*((R1278-1)*IF(Skills!G8&gt;0,Skills!H8/Skills!G8,1)+IF(Skills!G8&gt;0,MIN(Skills!H8,MAX(0,MAX(0,Inputs!$B$43-B1304)-((R1278-1)*IF(Inputs!$B$38="pvp",15,MAX(0.1,Skills!D8-IF(Skills!E8=TRUE,Inputs!$B$32,0))))))/Skills!G8,1)))/Inputs!$B$43),G1278*Q1278))*IF(Inputs!$B$38="pvp",1,(1+(Inputs!$B$21+Skills!P8+B1298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Skills!A9</f>
        <v/>
      </c>
      <c r="B1279">
        <f>Skills!B9</f>
        <v/>
      </c>
      <c r="C1279">
        <f>Inputs!$B$3&gt;=105</f>
        <v/>
      </c>
      <c r="D1279">
        <f>IF(Skills!C9=1,60+Inputs!$B$25+Inputs!$B$29,IF(Skills!C9=2,90+Inputs!$B$26+Inputs!$B$29,IF(Skills!C9=3,120+Inputs!$B$27+Inputs!$B$29,MAX(0,(Inputs!$B$3-100)*3)+Inputs!$B$28+Inputs!$B$29)))</f>
        <v/>
      </c>
      <c r="E1279">
        <f>INDEX(FactorTable!$B$2:$Y$301, MATCH(ROUND(MIN(300,MAX(1,D1279)),0), FactorTable!$A$2:$A$301,0), Skills!L9+1)</f>
        <v/>
      </c>
      <c r="F1279">
        <f>IF(Skills!M9=TRUE,(Skills!K9/10)*(E1279/1000),Skills!K9/10)+Skills!N9</f>
        <v/>
      </c>
      <c r="G1279">
        <f>Calc!G9</f>
        <v/>
      </c>
      <c r="H1279">
        <f>Calc!H9</f>
        <v/>
      </c>
      <c r="I1279">
        <f>IF(Skills!T9&lt;&gt;"",1+(Skills!T9/10)*(Z1273/1000)/100,1)</f>
        <v/>
      </c>
      <c r="J1279">
        <f>((Inputs!$B$6*(1+Inputs!$B$7/100))+(((Inputs!$B$12*(1+Inputs!$B$13/100))-(Inputs!$B$12*(1+Inputs!$B$13/100)))+0.25*(Inputs!$B$14-Inputs!$B$14))*(1+Inputs!$B$7/100))*(F1279/100)</f>
        <v/>
      </c>
      <c r="K1279">
        <f>J1279*(1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9="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F1288-Calc!F18),(Inputs!$B$23+(IF(ArtifactsInput!$M$15,CHOOSE(ArtifactsInput!$N$15+1,25,30,35,40,45,50)/100*(Inputs!$B$11-Inputs!$B$11),0))))/100+(Inputs!$B$23+(IF(ArtifactsInput!$M$15,CHOOSE(ArtifactsInput!$N$15+1,25,30,35,40,45,50)/100*(Inputs!$B$11-Inputs!$B$11),0)))/100)/2</f>
        <v/>
      </c>
      <c r="M1279">
        <f>L1279*(1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(1-Summary!$B$11)*S1279+Summary!$B$11*U1279</f>
        <v/>
      </c>
      <c r="P1279">
        <f>IF(B1307=0,0,O1279/B1307)</f>
        <v/>
      </c>
      <c r="Q1279">
        <f>IFERROR(1/IF(Inputs!$B$38="pvp",15,MAX(0.1,Skills!D9-IF(Skills!E9=TRUE,Inputs!$B$32,0))),0)</f>
        <v/>
      </c>
      <c r="R1279">
        <f>IF(AND(Inputs!$B$38&lt;&gt;"pvp",Inputs!$B$43&gt;0),IF(MAX(0,Inputs!$B$43-B1304)&lt;=0,0,(INT(MAX(0,Inputs!$B$43-B1304)/IF(Inputs!$B$38="pvp",15,MAX(0.1,Skills!D9-IF(Skills!E9=TRUE,Inputs!$B$32,0))))+1)),0)</f>
        <v/>
      </c>
      <c r="S1279">
        <f>IF(C1279,(H1279*N1279*IF(AND(Inputs!$B$38&lt;&gt;"pvp",Inputs!$B$43&gt;0),((Skills!F9*((R1279-1)*IF(Skills!G9&gt;0,Skills!H9/Skills!G9,1)+IF(Skills!G9&gt;0,MIN(Skills!H9,MAX(0,MAX(0,Inputs!$B$43-B1304)-((R1279-1)*IF(Inputs!$B$38="pvp",15,MAX(0.1,Skills!D9-IF(Skills!E9=TRUE,Inputs!$B$32,0))))))/Skills!G9,1)))/Inputs!$B$43),G1279*Q1279))*IF(Inputs!$B$38="pvp",1,1+(Inputs!$B$20+Skills!O9+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1279*(1-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IF(C1279,(H1279*N1279*IF(AND(Inputs!$B$38&lt;&gt;"pvp",Inputs!$B$43&gt;0),((Skills!F9*((R1279-1)*IF(Skills!G9&gt;0,Skills!H9/Skills!G9,1)+IF(Skills!G9&gt;0,MIN(Skills!H9,MAX(0,MAX(0,Inputs!$B$43-B1304)-((R1279-1)*IF(Inputs!$B$38="pvp",15,MAX(0.1,Skills!D9-IF(Skills!E9=TRUE,Inputs!$B$32,0))))))/Skills!G9,1)))/Inputs!$B$43),G1279*Q1279))*IF(Inputs!$B$38="pvp",1,(1+(Inputs!$B$21+Skills!P9+B1298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Skills!A10</f>
        <v/>
      </c>
      <c r="B1280">
        <f>Skills!B10</f>
        <v/>
      </c>
      <c r="C1280">
        <f>Inputs!$B$3&gt;=113</f>
        <v/>
      </c>
      <c r="D1280">
        <f>IF(Skills!C10=1,60+Inputs!$B$25+Inputs!$B$29,IF(Skills!C10=2,90+Inputs!$B$26+Inputs!$B$29,IF(Skills!C10=3,120+Inputs!$B$27+Inputs!$B$29,MAX(0,(Inputs!$B$3-100)*3)+Inputs!$B$28+Inputs!$B$29)))</f>
        <v/>
      </c>
      <c r="E1280">
        <f>INDEX(FactorTable!$B$2:$Y$301, MATCH(ROUND(MIN(300,MAX(1,D1280)),0), FactorTable!$A$2:$A$301,0), Skills!L10+1)</f>
        <v/>
      </c>
      <c r="F1280">
        <f>IF(Skills!M10=TRUE,(Skills!K10/10)*(E1280/1000),Skills!K10/10)+Skills!N10</f>
        <v/>
      </c>
      <c r="G1280">
        <f>Calc!G10</f>
        <v/>
      </c>
      <c r="H1280">
        <f>Calc!H10</f>
        <v/>
      </c>
      <c r="I1280">
        <f>IF(Skills!T10&lt;&gt;"",1+(Skills!T10/10)*(Z1273/1000)/100,1)</f>
        <v/>
      </c>
      <c r="J1280">
        <f>((Inputs!$B$6*(1+Inputs!$B$7/100))+(((Inputs!$B$12*(1+Inputs!$B$13/100))-(Inputs!$B$12*(1+Inputs!$B$13/100)))+0.25*(Inputs!$B$14-Inputs!$B$14))*(1+Inputs!$B$7/100))*(F1280/100)</f>
        <v/>
      </c>
      <c r="K1280">
        <f>J1280*(1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10="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F1288-Calc!F18),(Inputs!$B$23+(IF(ArtifactsInput!$M$15,CHOOSE(ArtifactsInput!$N$15+1,25,30,35,40,45,50)/100*(Inputs!$B$11-Inputs!$B$11),0))))/100+(Inputs!$B$23+(IF(ArtifactsInput!$M$15,CHOOSE(ArtifactsInput!$N$15+1,25,30,35,40,45,50)/100*(Inputs!$B$11-Inputs!$B$11),0)))/100)/2</f>
        <v/>
      </c>
      <c r="M1280">
        <f>L1280*(1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(1-Summary!$B$11)*S1280+Summary!$B$11*U1280</f>
        <v/>
      </c>
      <c r="P1280">
        <f>IF(B1307=0,0,O1280/B1307)</f>
        <v/>
      </c>
      <c r="Q1280">
        <f>IFERROR(1/IF(Inputs!$B$38="pvp",15,MAX(0.1,Skills!D10-IF(Skills!E9=TRUE,Inputs!$B$32,0))),0)</f>
        <v/>
      </c>
      <c r="R1280">
        <f>IF(AND(Inputs!$B$38&lt;&gt;"pvp",Inputs!$B$43&gt;0),IF(MAX(0,Inputs!$B$43-B1304)&lt;=0,0,(INT(MAX(0,Inputs!$B$43-B1304)/IF(Inputs!$B$38="pvp",15,MAX(0.1,Skills!D10-IF(Skills!E9=TRUE,Inputs!$B$32,0))))+1)),0)</f>
        <v/>
      </c>
      <c r="S1280">
        <f>IF(C1280,(H1280*N1280*IF(AND(Inputs!$B$38&lt;&gt;"pvp",Inputs!$B$43&gt;0),((Skills!F10*((R1280-1)*IF(Skills!G10&gt;0,Skills!H10/Skills!G10,1)+IF(Skills!G10&gt;0,MIN(Skills!H10,MAX(0,MAX(0,Inputs!$B$43-B1304)-((R1280-1)*IF(Inputs!$B$38="pvp",15,MAX(0.1,Skills!D10-IF(Skills!E9=TRUE,Inputs!$B$32,0))))))/Skills!G10,1)))/Inputs!$B$43),G1280*Q1280))*IF(Inputs!$B$38="pvp",1,1+(Inputs!$B$20+Skills!O10+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1280*(1-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0">
        <f>IF(C1280,(H1280*N1280*IF(AND(Inputs!$B$38&lt;&gt;"pvp",Inputs!$B$43&gt;0),((Skills!F10*((R1280-1)*IF(Skills!G10&gt;0,Skills!H10/Skills!G10,1)+IF(Skills!G10&gt;0,MIN(Skills!H10,MAX(0,MAX(0,Inputs!$B$43-B1304)-((R1280-1)*IF(Inputs!$B$38="pvp",15,MAX(0.1,Skills!D10-IF(Skills!E9=TRUE,Inputs!$B$32,0))))))/Skills!G10,1)))/Inputs!$B$43),G1280*Q1280))*IF(Inputs!$B$38="pvp",1,(1+(Inputs!$B$21+Skills!P10+B1298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Skills!A11</f>
        <v/>
      </c>
      <c r="B1281">
        <f>Skills!B11</f>
        <v/>
      </c>
      <c r="C1281">
        <f>Inputs!$B$3&gt;=107</f>
        <v/>
      </c>
      <c r="D1281">
        <f>IF(Skills!C11=1,60+Inputs!$B$25+Inputs!$B$29,IF(Skills!C11=2,90+Inputs!$B$26+Inputs!$B$29,IF(Skills!C11=3,120+Inputs!$B$27+Inputs!$B$29,MAX(0,(Inputs!$B$3-100)*3)+Inputs!$B$28+Inputs!$B$29)))</f>
        <v/>
      </c>
      <c r="E1281">
        <f>INDEX(FactorTable!$B$2:$Y$301, MATCH(ROUND(MIN(300,MAX(1,D1281)),0), FactorTable!$A$2:$A$301,0), Skills!L11+1)</f>
        <v/>
      </c>
      <c r="F1281">
        <f>IF(Skills!M11=TRUE,(Skills!K11/10)*(E1281/1000),Skills!K11/10)+Skills!N11</f>
        <v/>
      </c>
      <c r="G1281">
        <f>Calc!G11</f>
        <v/>
      </c>
      <c r="H1281">
        <f>Calc!H11</f>
        <v/>
      </c>
      <c r="I1281">
        <f>IF(Skills!T11&lt;&gt;"",1+(Skills!T11/10)*(Z1273/1000)/100,1)</f>
        <v/>
      </c>
      <c r="J1281">
        <f>((Inputs!$B$6*(1+Inputs!$B$7/100))+(((Inputs!$B$12*(1+Inputs!$B$13/100))-(Inputs!$B$12*(1+Inputs!$B$13/100)))+0.25*(Inputs!$B$14-Inputs!$B$14))*(1+Inputs!$B$7/100))*(F1281/100)</f>
        <v/>
      </c>
      <c r="K1281">
        <f>J1281*(1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11="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F1288-Calc!F18),(Inputs!$B$23+(IF(ArtifactsInput!$M$15,CHOOSE(ArtifactsInput!$N$15+1,25,30,35,40,45,50)/100*(Inputs!$B$11-Inputs!$B$11),0))))/100+(Inputs!$B$23+(IF(ArtifactsInput!$M$15,CHOOSE(ArtifactsInput!$N$15+1,25,30,35,40,45,50)/100*(Inputs!$B$11-Inputs!$B$11),0)))/100)/2</f>
        <v/>
      </c>
      <c r="M1281">
        <f>L1281*(1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(1-Summary!$B$11)*S1281+Summary!$B$11*U1281</f>
        <v/>
      </c>
      <c r="P1281">
        <f>IF(B1307=0,0,O1281/B1307)</f>
        <v/>
      </c>
      <c r="Q1281">
        <f>IFERROR(1/IF(Inputs!$B$38="pvp",15,MAX(0.1,Skills!D11-IF(Skills!E11=TRUE,Inputs!$B$32,0))),0)</f>
        <v/>
      </c>
      <c r="R1281">
        <f>IF(AND(Inputs!$B$38&lt;&gt;"pvp",Inputs!$B$43&gt;0),IF(MAX(0,Inputs!$B$43-B1304)&lt;=0,0,(INT(MAX(0,Inputs!$B$43-B1304)/IF(Inputs!$B$38="pvp",15,MAX(0.1,Skills!D11-IF(Skills!E11=TRUE,Inputs!$B$32,0))))+1)),0)</f>
        <v/>
      </c>
      <c r="S1281">
        <f>IF(C1281,H1281*N1281*IF(AND(Inputs!$B$38&lt;&gt;"pvp",Inputs!$B$43&gt;0),((Skills!F11*((R1281-1)*IF(Skills!G11&gt;0,Skills!H11/Skills!G11,1)+IF(Skills!G11&gt;0,MIN(Skills!H11,MAX(0,MAX(0,Inputs!$B$43-B1304)-((R1281-1)*IF(Inputs!$B$38="pvp",15,MAX(0.1,Skills!D11-IF(Skills!E11=TRUE,Inputs!$B$32,0))))))/Skills!G11,1)))/Inputs!$B$43),G1281*Q1281)*0.5*IF(Inputs!$B$38="pvp",1,1+(Inputs!$B$20+Skills!O11+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1">
        <f>IF(C1281,H1281*N1281*IF(AND(Inputs!$B$38&lt;&gt;"pvp",Inputs!$B$43&gt;0),((Skills!F11*((R1281-1)*IF(Skills!G11&gt;0,Skills!H11/Skills!G11,1)+IF(Skills!G11&gt;0,MIN(Skills!H11,MAX(0,MAX(0,Inputs!$B$43-B1304)-((R1281-1)*IF(Inputs!$B$38="pvp",15,MAX(0.1,Skills!D11-IF(Skills!E11=TRUE,Inputs!$B$32,0))))))/Skills!G11,1)))/Inputs!$B$43),G1281*Q1281)*1*IF(Inputs!$B$38="pvp",1,(1+(Inputs!$B$21+Skills!P11+B1298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Skills!A12</f>
        <v/>
      </c>
      <c r="B1282">
        <f>Skills!B12</f>
        <v/>
      </c>
      <c r="C1282">
        <f>Inputs!$B$3&gt;=115</f>
        <v/>
      </c>
      <c r="D1282">
        <f>IF(Skills!C12=1,60+Inputs!$B$25+Inputs!$B$29,IF(Skills!C12=2,90+Inputs!$B$26+Inputs!$B$29,IF(Skills!C12=3,120+Inputs!$B$27+Inputs!$B$29,MAX(0,(Inputs!$B$3-100)*3)+Inputs!$B$28+Inputs!$B$29)))</f>
        <v/>
      </c>
      <c r="E1282">
        <f>INDEX(FactorTable!$B$2:$Y$301, MATCH(ROUND(MIN(300,MAX(1,D1282)),0), FactorTable!$A$2:$A$301,0), Skills!L12+1)</f>
        <v/>
      </c>
      <c r="F1282">
        <f>IF(Skills!M12=TRUE,(Skills!K12/10)*(E1282/1000),Skills!K12/10)+Skills!N12</f>
        <v/>
      </c>
      <c r="G1282">
        <f>Calc!G12</f>
        <v/>
      </c>
      <c r="H1282">
        <f>Calc!H12</f>
        <v/>
      </c>
      <c r="I1282">
        <f>IF(Skills!T12&lt;&gt;"",1+(Skills!T12/10)*(Z1273/1000)/100,1)</f>
        <v/>
      </c>
      <c r="J1282">
        <f>((Inputs!$B$6*(1+Inputs!$B$7/100))+(((Inputs!$B$12*(1+Inputs!$B$13/100))-(Inputs!$B$12*(1+Inputs!$B$13/100)))+0.25*(Inputs!$B$14-Inputs!$B$14))*(1+Inputs!$B$7/100))*(F1282/100)</f>
        <v/>
      </c>
      <c r="K1282">
        <f>J1282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12="CHAIN_LIGHTNING",Inputs!$B$17+((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1288-Calc!F18),(Inputs!$B$23+(IF(ArtifactsInput!$M$15,CHOOSE(ArtifactsInput!$N$15+1,25,30,35,40,45,50)/100*(Inputs!$B$11-Inputs!$B$11),0))))/100+(Inputs!$B$23+(IF(ArtifactsInput!$M$15,CHOOSE(ArtifactsInput!$N$15+1,25,30,35,40,45,50)/100*(Inputs!$B$11-Inputs!$B$11),0)))/100)/2</f>
        <v/>
      </c>
      <c r="M1282">
        <f>L1282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IF(B1307=0,0,O1282/B1307)</f>
        <v/>
      </c>
      <c r="Q1282">
        <f>IFERROR(1/IF(Inputs!$B$38="pvp",15,MAX(0.1,Skills!D12-IF(Skills!E12=TRUE,Inputs!$B$32,0))),0)</f>
        <v/>
      </c>
      <c r="R1282">
        <f>IF(AND(Inputs!$B$38&lt;&gt;"pvp",Inputs!$B$43&gt;0),IF(MAX(0,Inputs!$B$43-B1304)&lt;=0,0,(INT(MAX(0,Inputs!$B$43-B1304)/IF(Inputs!$B$38="pvp",15,MAX(0.1,Skills!D12-IF(Skills!E12=TRUE,Inputs!$B$32,0))))+1)),0)</f>
        <v/>
      </c>
      <c r="S1282">
        <f>IF(C1282,(H1282*N1282*IF(AND(Inputs!$B$38&lt;&gt;"pvp",Inputs!$B$43&gt;0),((Skills!F12*((R1282-1)*IF(Skills!G12&gt;0,Skills!H12/Skills!G12,1)+IF(Skills!G12&gt;0,MIN(Skills!H12,MAX(0,MAX(0,Inputs!$B$43-B1304)-((R1282-1)*IF(Inputs!$B$38="pvp",15,MAX(0.1,Skills!D12-IF(Skills!E12=TRUE,Inputs!$B$32,0))))))/Skills!G12,1)))/Inputs!$B$43),G1282*Q1282))*IF(Inputs!$B$38="pvp",1,1+(Inputs!$B$20+Skills!O12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1290-Calc!F20)+(F1289-Calc!F19))+(ArtifactsInput!$M$24-ArtifactsInput!$M$24)*CHOOSE(ArtifactsInput!$N$24+1,10,12,14,16,18,20)+(IF(AND(Inputs!$B$38&lt;&gt;"pvp",Inputs!$B$43=0),1,IF(IF(Inputs!$B$38="pvp",15,Inputs!$B$43)-(B1304)&lt;=0,1,MAX(0,IF(Inputs!$B$38="pvp",15,Inputs!$B$43)-MAX(5,B1304))/(IF(Inputs!$B$38="pvp",15,Inputs!$B$43)-(B1304)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F12*((R1282-1)*IF(Skills!G12&gt;0,Skills!H12/Skills!G12,1)+IF(Skills!G12&gt;0,MIN(Skills!H12,MAX(0,MAX(0,Inputs!$B$43-B1304)-((R1282-1)*IF(Inputs!$B$38="pvp",15,MAX(0.1,Skills!D12-IF(Skills!E12=TRUE,Inputs!$B$32,0))))))/Skills!G12,1)))/Inputs!$B$43),G1282*Q1282))*IF(Inputs!$B$38="pvp",1,(1+(Inputs!$B$21+Skills!P12+B1298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Skills!A13</f>
        <v/>
      </c>
      <c r="B1283">
        <f>Skills!B13</f>
        <v/>
      </c>
      <c r="C1283">
        <f>Inputs!$B$3&gt;=49</f>
        <v/>
      </c>
      <c r="D1283">
        <f>IF(Skills!C13=1,60+Inputs!$B$25+Inputs!$B$29,IF(Skills!C13=2,90+Inputs!$B$26+Inputs!$B$29,IF(Skills!C13=3,120+Inputs!$B$27+Inputs!$B$29,MAX(0,(Inputs!$B$3-100)*3)+Inputs!$B$28+Inputs!$B$29)))</f>
        <v/>
      </c>
      <c r="E1283">
        <f>INDEX(FactorTable!$B$2:$Y$301, MATCH(ROUND(MIN(300,MAX(1,D1283)),0), FactorTable!$A$2:$A$301,0), Skills!L13+1)</f>
        <v/>
      </c>
      <c r="F1283">
        <f>IF(Skills!M13=TRUE,(Skills!K13/10)*(E1283/1000),Skills!K13/10)+Skills!N13</f>
        <v/>
      </c>
      <c r="G1283">
        <f>Calc!G13</f>
        <v/>
      </c>
      <c r="H1283">
        <f>Calc!H13</f>
        <v/>
      </c>
      <c r="I1283">
        <f>IF(Skills!T13&lt;&gt;"",1+(Skills!T13/10)*(Z1273/1000)/100,1)</f>
        <v/>
      </c>
      <c r="J1283" t="inlineStr"/>
      <c r="K1283" t="inlineStr"/>
      <c r="L1283" t="inlineStr"/>
      <c r="M1283" t="inlineStr"/>
      <c r="N1283" t="inlineStr"/>
      <c r="O1283">
        <f>(1-Summary!$B$11)*S1283+Summary!$B$11*U1283</f>
        <v/>
      </c>
      <c r="P1283">
        <f>IF(B1307=0,0,O1283/B1307)</f>
        <v/>
      </c>
      <c r="Q1283">
        <f>IFERROR(1/IF(Inputs!$B$38="pvp",15,MAX(0.1,Skills!D13-IF(Skills!E13=TRUE,Inputs!$B$32,0))),0)</f>
        <v/>
      </c>
      <c r="R1283" t="n">
        <v>0</v>
      </c>
      <c r="S1283" t="n">
        <v>0</v>
      </c>
      <c r="U1283" t="n">
        <v>0</v>
      </c>
    </row>
    <row r="1284">
      <c r="A1284">
        <f>Skills!A14</f>
        <v/>
      </c>
      <c r="B1284">
        <f>Skills!B14</f>
        <v/>
      </c>
      <c r="C1284">
        <f>Inputs!$B$3&gt;=72</f>
        <v/>
      </c>
      <c r="D1284">
        <f>IF(Skills!C14=1,60+Inputs!$B$25+Inputs!$B$29,IF(Skills!C14=2,90+Inputs!$B$26+Inputs!$B$29,IF(Skills!C14=3,120+Inputs!$B$27+Inputs!$B$29,MAX(0,(Inputs!$B$3-100)*3)+Inputs!$B$28+Inputs!$B$29)))</f>
        <v/>
      </c>
      <c r="E1284">
        <f>INDEX(FactorTable!$B$2:$Y$301, MATCH(ROUND(MIN(300,MAX(1,D1284)),0), FactorTable!$A$2:$A$301,0), Skills!L14+1)</f>
        <v/>
      </c>
      <c r="F1284">
        <f>IF(Skills!M14=TRUE,(Skills!K14/10)*(E1284/1000),Skills!K14/10)+Skills!N14</f>
        <v/>
      </c>
      <c r="G1284">
        <f>Calc!G14</f>
        <v/>
      </c>
      <c r="H1284">
        <f>Calc!H14</f>
        <v/>
      </c>
      <c r="I1284">
        <f>IF(Skills!T14&lt;&gt;"",1+(Skills!T14/10)*(Z1273/1000)/100,1)</f>
        <v/>
      </c>
      <c r="J1284" t="inlineStr"/>
      <c r="K1284" t="inlineStr"/>
      <c r="L1284" t="inlineStr"/>
      <c r="M1284" t="inlineStr"/>
      <c r="N1284" t="inlineStr"/>
      <c r="O1284">
        <f>(1-Summary!$B$11)*S1284+Summary!$B$11*U1284</f>
        <v/>
      </c>
      <c r="P1284">
        <f>IF(B1307=0,0,O1284/B1307)</f>
        <v/>
      </c>
      <c r="Q1284">
        <f>IFERROR(1/IF(Inputs!$B$38="pvp",15,MAX(0.1,Skills!D14-IF(Skills!E14=TRUE,Inputs!$B$32,0))),0)</f>
        <v/>
      </c>
      <c r="R1284" t="n">
        <v>0</v>
      </c>
      <c r="S1284" t="n">
        <v>0</v>
      </c>
      <c r="U1284" t="n">
        <v>0</v>
      </c>
    </row>
    <row r="1285">
      <c r="A1285">
        <f>Skills!A15</f>
        <v/>
      </c>
      <c r="B1285">
        <f>Skills!B15</f>
        <v/>
      </c>
      <c r="C1285">
        <f>Inputs!$B$3&gt;=75</f>
        <v/>
      </c>
      <c r="D1285">
        <f>IF(Skills!C15=1,60+Inputs!$B$25+Inputs!$B$29,IF(Skills!C15=2,90+Inputs!$B$26+Inputs!$B$29,IF(Skills!C15=3,120+Inputs!$B$27+Inputs!$B$29,MAX(0,(Inputs!$B$3-100)*3)+Inputs!$B$28+Inputs!$B$29)))</f>
        <v/>
      </c>
      <c r="E1285">
        <f>INDEX(FactorTable!$B$2:$Y$301, MATCH(ROUND(MIN(300,MAX(1,D1285)),0), FactorTable!$A$2:$A$301,0), Skills!L15+1)</f>
        <v/>
      </c>
      <c r="F1285">
        <f>IF(Skills!M15=TRUE,(Skills!K15/10)*(E1285/1000),Skills!K15/10)+Skills!N15</f>
        <v/>
      </c>
      <c r="G1285">
        <f>Calc!G15</f>
        <v/>
      </c>
      <c r="H1285">
        <f>Calc!H15</f>
        <v/>
      </c>
      <c r="I1285">
        <f>IF(Skills!T15&lt;&gt;"",1+(Skills!T15/10)*(Z1273/1000)/100,1)</f>
        <v/>
      </c>
      <c r="J1285" t="inlineStr"/>
      <c r="K1285" t="inlineStr"/>
      <c r="L1285" t="inlineStr"/>
      <c r="M1285" t="inlineStr"/>
      <c r="N1285" t="inlineStr"/>
      <c r="O1285">
        <f>(1-Summary!$B$11)*S1285+Summary!$B$11*U1285</f>
        <v/>
      </c>
      <c r="P1285">
        <f>IF(B1307=0,0,O1285/B1307)</f>
        <v/>
      </c>
      <c r="Q1285">
        <f>IFERROR(1/IF(Inputs!$B$38="pvp",15,MAX(0.1,Skills!D15-IF(Skills!E15=TRUE,Inputs!$B$32,0))),0)</f>
        <v/>
      </c>
      <c r="R1285" t="n">
        <v>0</v>
      </c>
      <c r="S1285" t="n">
        <v>0</v>
      </c>
      <c r="U1285" t="n">
        <v>0</v>
      </c>
    </row>
    <row r="1286">
      <c r="A1286">
        <f>Skills!A16</f>
        <v/>
      </c>
      <c r="B1286">
        <f>Skills!B16</f>
        <v/>
      </c>
      <c r="C1286">
        <f>Inputs!$B$3&gt;=110</f>
        <v/>
      </c>
      <c r="D1286">
        <f>IF(Skills!C16=1,60+Inputs!$B$25+Inputs!$B$29,IF(Skills!C16=2,90+Inputs!$B$26+Inputs!$B$29,IF(Skills!C16=3,120+Inputs!$B$27+Inputs!$B$29,MAX(0,(Inputs!$B$3-100)*3)+Inputs!$B$28+Inputs!$B$29)))</f>
        <v/>
      </c>
      <c r="E1286">
        <f>INDEX(FactorTable!$B$2:$Y$301, MATCH(ROUND(MIN(300,MAX(1,D1286)),0), FactorTable!$A$2:$A$301,0), Skills!L16+1)</f>
        <v/>
      </c>
      <c r="F1286">
        <f>(Skills!K16/10)*(E1286/1000)*64/45+Skills!N16</f>
        <v/>
      </c>
      <c r="G1286">
        <f>Calc!G16</f>
        <v/>
      </c>
      <c r="H1286">
        <f>Calc!H16</f>
        <v/>
      </c>
      <c r="I1286">
        <f>IF(Skills!T16&lt;&gt;"",1+(Skills!T16/10)*(Z1273/1000)/100,1)</f>
        <v/>
      </c>
      <c r="J1286" t="inlineStr"/>
      <c r="K1286" t="inlineStr"/>
      <c r="L1286" t="inlineStr"/>
      <c r="M1286" t="inlineStr"/>
      <c r="N1286" t="inlineStr"/>
      <c r="O1286">
        <f>(1-Summary!$B$11)*S1286+Summary!$B$11*U1286</f>
        <v/>
      </c>
      <c r="P1286">
        <f>IF(B1307=0,0,O1286/B1307)</f>
        <v/>
      </c>
      <c r="Q1286">
        <f>IFERROR(1/IF(Inputs!$B$38="pvp",15,MAX(0.1,Skills!D16-IF(Skills!E16=TRUE,Inputs!$B$32,0))),0)</f>
        <v/>
      </c>
      <c r="R1286">
        <f>IF(AND(Inputs!$B$38&lt;&gt;"pvp",Inputs!$B$43&gt;0),IF(Inputs!$B$43&lt;=0,0,(INT(Inputs!$B$43/IF(Inputs!$B$38="pvp",15,MAX(0.1,Skills!D16-IF(Skills!E16=TRUE,Inputs!$B$32,0))))+1)),0)</f>
        <v/>
      </c>
      <c r="S1286" t="n">
        <v>0</v>
      </c>
      <c r="U1286" t="n">
        <v>0</v>
      </c>
    </row>
    <row r="1287">
      <c r="A1287">
        <f>Skills!A17</f>
        <v/>
      </c>
      <c r="B1287">
        <f>Skills!B17</f>
        <v/>
      </c>
      <c r="C1287">
        <f>Inputs!$B$3&gt;=33</f>
        <v/>
      </c>
      <c r="D1287">
        <f>IF(Skills!C17=1,60+Inputs!$B$25+Inputs!$B$29,IF(Skills!C17=2,90+Inputs!$B$26+Inputs!$B$29,IF(Skills!C17=3,120+Inputs!$B$27+Inputs!$B$29,MAX(0,(Inputs!$B$3-100)*3)+Inputs!$B$28+Inputs!$B$29)))</f>
        <v/>
      </c>
      <c r="E1287">
        <f>INDEX(FactorTable!$B$2:$Y$301, MATCH(ROUND(MIN(300,MAX(1,D1287)),0), FactorTable!$A$2:$A$301,0), Skills!L17+1)</f>
        <v/>
      </c>
      <c r="F1287">
        <f>IF(Skills!M17=TRUE,(Skills!K17/10)*(E1287/1000),Skills!K17/10)+Skills!N17</f>
        <v/>
      </c>
      <c r="G1287">
        <f>Calc!G17</f>
        <v/>
      </c>
      <c r="H1287">
        <f>Calc!H17</f>
        <v/>
      </c>
      <c r="I1287">
        <f>IF(Skills!T17&lt;&gt;"",1+(Skills!T17/10)*(Z1273/1000)/100,1)</f>
        <v/>
      </c>
      <c r="J1287" t="inlineStr"/>
      <c r="K1287" t="inlineStr"/>
      <c r="L1287" t="inlineStr"/>
      <c r="M1287" t="inlineStr"/>
      <c r="N1287" t="inlineStr"/>
      <c r="O1287">
        <f>(1-Summary!$B$11)*S1287+Summary!$B$11*U1287</f>
        <v/>
      </c>
      <c r="P1287">
        <f>IF(B1307=0,0,O1287/B1307)</f>
        <v/>
      </c>
      <c r="Q1287">
        <f>IFERROR(1/IF(Inputs!$B$38="pvp",15,MAX(0.1,Skills!D17-IF(Skills!E17=TRUE,Inputs!$B$32,0))),0)</f>
        <v/>
      </c>
      <c r="R1287" t="n">
        <v>0</v>
      </c>
      <c r="S1287" t="n">
        <v>0</v>
      </c>
      <c r="U1287" t="n">
        <v>0</v>
      </c>
    </row>
    <row r="1288">
      <c r="A1288">
        <f>Skills!A18</f>
        <v/>
      </c>
      <c r="B1288">
        <f>Skills!B18</f>
        <v/>
      </c>
      <c r="C1288">
        <f>Inputs!$B$3&gt;=43</f>
        <v/>
      </c>
      <c r="D1288">
        <f>IF(Skills!C18=1,60+Inputs!$B$25+Inputs!$B$29,IF(Skills!C18=2,90+Inputs!$B$26+Inputs!$B$29,IF(Skills!C18=3,120+Inputs!$B$27+Inputs!$B$29,MAX(0,(Inputs!$B$3-100)*3)+Inputs!$B$28+Inputs!$B$29)))</f>
        <v/>
      </c>
      <c r="E1288">
        <f>INDEX(FactorTable!$B$2:$Y$301, MATCH(ROUND(MIN(300,MAX(1,D1288)),0), FactorTable!$A$2:$A$301,0), Skills!L18+1)</f>
        <v/>
      </c>
      <c r="F1288">
        <f>IF(Skills!M18=TRUE,(Skills!K18/10)*(E1288/1000),Skills!K18/10)+Skills!N18</f>
        <v/>
      </c>
      <c r="G1288">
        <f>Calc!G18</f>
        <v/>
      </c>
      <c r="H1288">
        <f>Calc!H18</f>
        <v/>
      </c>
      <c r="I1288">
        <f>IF(Skills!T18&lt;&gt;"",1+(Skills!T18/10)*(Z1273/1000)/100,1)</f>
        <v/>
      </c>
      <c r="J1288" t="inlineStr"/>
      <c r="K1288" t="inlineStr"/>
      <c r="L1288" t="inlineStr"/>
      <c r="M1288" t="inlineStr"/>
      <c r="N1288" t="inlineStr"/>
      <c r="O1288">
        <f>(1-Summary!$B$11)*S1288+Summary!$B$11*U1288</f>
        <v/>
      </c>
      <c r="P1288">
        <f>IF(B1307=0,0,O1288/B1307)</f>
        <v/>
      </c>
      <c r="Q1288">
        <f>IFERROR(1/IF(Inputs!$B$38="pvp",15,MAX(0.1,Skills!D18-IF(Skills!E18=TRUE,Inputs!$B$32,0))),0)</f>
        <v/>
      </c>
      <c r="R1288" t="n">
        <v>0</v>
      </c>
      <c r="S1288" t="n">
        <v>0</v>
      </c>
      <c r="U1288" t="n">
        <v>0</v>
      </c>
    </row>
    <row r="1289">
      <c r="A1289">
        <f>Skills!A19</f>
        <v/>
      </c>
      <c r="B1289">
        <f>Skills!B19</f>
        <v/>
      </c>
      <c r="C1289">
        <f>Inputs!$B$3&gt;=50</f>
        <v/>
      </c>
      <c r="D1289">
        <f>IF(Skills!C19=1,60+Inputs!$B$25+Inputs!$B$29,IF(Skills!C19=2,90+Inputs!$B$26+Inputs!$B$29,IF(Skills!C19=3,120+Inputs!$B$27+Inputs!$B$29,MAX(0,(Inputs!$B$3-100)*3)+Inputs!$B$28+Inputs!$B$29)))</f>
        <v/>
      </c>
      <c r="E1289">
        <f>INDEX(FactorTable!$B$2:$Y$301, MATCH(ROUND(MIN(300,MAX(1,D1289)),0), FactorTable!$A$2:$A$301,0), Skills!L19+1)</f>
        <v/>
      </c>
      <c r="F1289">
        <f>IF(Skills!M19=TRUE,(Skills!K19/10)*(E1289/1000),Skills!K19/10)+Skills!N19</f>
        <v/>
      </c>
      <c r="G1289">
        <f>Calc!G19</f>
        <v/>
      </c>
      <c r="H1289">
        <f>Calc!H19</f>
        <v/>
      </c>
      <c r="I1289">
        <f>IF(Skills!T19&lt;&gt;"",1+(Skills!T19/10)*(Z1273/1000)/100,1)</f>
        <v/>
      </c>
      <c r="J1289" t="inlineStr"/>
      <c r="K1289" t="inlineStr"/>
      <c r="L1289" t="inlineStr"/>
      <c r="M1289" t="inlineStr"/>
      <c r="N1289" t="inlineStr"/>
      <c r="O1289">
        <f>(1-Summary!$B$11)*S1289+Summary!$B$11*U1289</f>
        <v/>
      </c>
      <c r="P1289">
        <f>IF(B1307=0,0,O1289/B1307)</f>
        <v/>
      </c>
      <c r="Q1289">
        <f>IFERROR(1/IF(Inputs!$B$38="pvp",15,MAX(0.1,Skills!D19-IF(Skills!E19=TRUE,Inputs!$B$32,0))),0)</f>
        <v/>
      </c>
      <c r="R1289" t="n">
        <v>0</v>
      </c>
      <c r="S1289" t="n">
        <v>0</v>
      </c>
      <c r="U1289" t="n">
        <v>0</v>
      </c>
    </row>
    <row r="1290">
      <c r="A1290">
        <f>Skills!A20</f>
        <v/>
      </c>
      <c r="B1290">
        <f>Skills!B20</f>
        <v/>
      </c>
      <c r="C1290">
        <f>Inputs!$B$3&gt;=74</f>
        <v/>
      </c>
      <c r="D1290">
        <f>IF(Skills!C20=1,60+Inputs!$B$25+Inputs!$B$29,IF(Skills!C20=2,90+Inputs!$B$26+Inputs!$B$29,IF(Skills!C20=3,120+Inputs!$B$27+Inputs!$B$29,MAX(0,(Inputs!$B$3-100)*3)+Inputs!$B$28+Inputs!$B$29)))</f>
        <v/>
      </c>
      <c r="E1290">
        <f>INDEX(FactorTable!$B$2:$Y$301, MATCH(ROUND(MIN(300,MAX(1,D1290)),0), FactorTable!$A$2:$A$301,0), Skills!L20+1)</f>
        <v/>
      </c>
      <c r="F1290">
        <f>IF(Skills!M20=TRUE,(Skills!K20/10)*(E1290/1000),Skills!K20/10)+Skills!N20</f>
        <v/>
      </c>
      <c r="G1290">
        <f>Calc!G20</f>
        <v/>
      </c>
      <c r="H1290">
        <f>Calc!H20</f>
        <v/>
      </c>
      <c r="I1290">
        <f>IF(Skills!T20&lt;&gt;"",1+(Skills!T20/10)*(Z1273/1000)/100,1)</f>
        <v/>
      </c>
      <c r="J1290" t="inlineStr"/>
      <c r="K1290" t="inlineStr"/>
      <c r="L1290" t="inlineStr"/>
      <c r="M1290" t="inlineStr"/>
      <c r="N1290" t="inlineStr"/>
      <c r="O1290">
        <f>(1-Summary!$B$11)*S1290+Summary!$B$11*U1290</f>
        <v/>
      </c>
      <c r="P1290">
        <f>IF(B1307=0,0,O1290/B1307)</f>
        <v/>
      </c>
      <c r="Q1290">
        <f>IFERROR(1/IF(Inputs!$B$38="pvp",15,MAX(0.1,Skills!D20-IF(Skills!E20=TRUE,Inputs!$B$32,0))),0)</f>
        <v/>
      </c>
      <c r="R1290" t="n">
        <v>0</v>
      </c>
      <c r="S1290" t="n">
        <v>0</v>
      </c>
      <c r="U1290" t="n">
        <v>0</v>
      </c>
    </row>
    <row r="1291">
      <c r="A1291">
        <f>Skills!A21</f>
        <v/>
      </c>
      <c r="B1291">
        <f>Skills!B21</f>
        <v/>
      </c>
      <c r="C1291">
        <f>Inputs!$B$3&gt;=74</f>
        <v/>
      </c>
      <c r="D1291">
        <f>IF(Skills!C21=1,60+Inputs!$B$25+Inputs!$B$29,IF(Skills!C21=2,90+Inputs!$B$26+Inputs!$B$29,IF(Skills!C21=3,120+Inputs!$B$27+Inputs!$B$29,MAX(0,(Inputs!$B$3-100)*3)+Inputs!$B$28+Inputs!$B$29)))</f>
        <v/>
      </c>
      <c r="E1291">
        <f>INDEX(FactorTable!$B$2:$Y$301, MATCH(ROUND(MIN(300,MAX(1,D1291)),0), FactorTable!$A$2:$A$301,0), Skills!L21+1)</f>
        <v/>
      </c>
      <c r="F1291">
        <f>IF(Skills!M21=TRUE,(Skills!K21/10)*(E1291/1000),Skills!K21/10)+Skills!N21</f>
        <v/>
      </c>
      <c r="G1291">
        <f>Calc!G21</f>
        <v/>
      </c>
      <c r="H1291">
        <f>Calc!H21</f>
        <v/>
      </c>
      <c r="I1291">
        <f>IF(Skills!T21&lt;&gt;"",1+(Skills!T21/10)*(Z1273/1000)/100,1)</f>
        <v/>
      </c>
      <c r="J1291" t="inlineStr"/>
      <c r="K1291" t="inlineStr"/>
      <c r="L1291" t="inlineStr"/>
      <c r="M1291" t="inlineStr"/>
      <c r="N1291" t="inlineStr"/>
      <c r="O1291">
        <f>(1-Summary!$B$11)*S1291+Summary!$B$11*U1291</f>
        <v/>
      </c>
      <c r="P1291">
        <f>IF(B1307=0,0,O1291/B1307)</f>
        <v/>
      </c>
      <c r="Q1291">
        <f>IFERROR(1/IF(Inputs!$B$38="pvp",15,MAX(0.1,Skills!D21-IF(Skills!E21=TRUE,Inputs!$B$32,0))),0)</f>
        <v/>
      </c>
      <c r="R1291" t="n">
        <v>0</v>
      </c>
      <c r="S1291" t="n">
        <v>0</v>
      </c>
      <c r="U1291" t="n">
        <v>0</v>
      </c>
    </row>
    <row r="1292">
      <c r="A1292">
        <f>Skills!A22</f>
        <v/>
      </c>
      <c r="B1292">
        <f>Skills!B22</f>
        <v/>
      </c>
      <c r="C1292">
        <f>Inputs!$B$3&gt;=117</f>
        <v/>
      </c>
      <c r="D1292">
        <f>IF(Skills!C22=1,60+Inputs!$B$25+Inputs!$B$29,IF(Skills!C22=2,90+Inputs!$B$26+Inputs!$B$29,IF(Skills!C22=3,120+Inputs!$B$27+Inputs!$B$29,MAX(0,(Inputs!$B$3-100)*3)+Inputs!$B$28+Inputs!$B$29)))</f>
        <v/>
      </c>
      <c r="E1292">
        <f>INDEX(FactorTable!$B$2:$Y$301, MATCH(ROUND(MIN(300,MAX(1,D1292)),0), FactorTable!$A$2:$A$301,0), Skills!L22+1)</f>
        <v/>
      </c>
      <c r="F1292">
        <f>IF(Skills!M22=TRUE,(Skills!K22/10)*(E1292/1000),Skills!K22/10)+Skills!N22</f>
        <v/>
      </c>
      <c r="G1292">
        <f>Calc!G22</f>
        <v/>
      </c>
      <c r="H1292">
        <f>Calc!H22</f>
        <v/>
      </c>
      <c r="I1292">
        <f>IF(Skills!T22&lt;&gt;"",1+(Skills!T22/10)*(Z1273/1000)/100,1)</f>
        <v/>
      </c>
      <c r="J1292" t="inlineStr"/>
      <c r="K1292" t="inlineStr"/>
      <c r="L1292" t="inlineStr"/>
      <c r="M1292" t="inlineStr"/>
      <c r="N1292" t="inlineStr"/>
      <c r="O1292">
        <f>(1-Summary!$B$11)*S1292+Summary!$B$11*U1292</f>
        <v/>
      </c>
      <c r="P1292">
        <f>IF(B1307=0,0,O1292/B1307)</f>
        <v/>
      </c>
      <c r="Q1292">
        <f>IFERROR(1/IF(Inputs!$B$38="pvp",15,MAX(0.1,Skills!D22-IF(Skills!E22=TRUE,Inputs!$B$32,0))),0)</f>
        <v/>
      </c>
      <c r="R1292" t="n">
        <v>0</v>
      </c>
      <c r="S1292" t="n">
        <v>0</v>
      </c>
      <c r="U1292" t="n">
        <v>0</v>
      </c>
    </row>
    <row r="1293">
      <c r="A1293">
        <f>Skills!A23</f>
        <v/>
      </c>
      <c r="B1293">
        <f>Skills!B23</f>
        <v/>
      </c>
      <c r="C1293">
        <f>Inputs!$B$3&gt;=120</f>
        <v/>
      </c>
      <c r="D1293">
        <f>IF(Skills!C23=1,60+Inputs!$B$25+Inputs!$B$29,IF(Skills!C23=2,90+Inputs!$B$26+Inputs!$B$29,IF(Skills!C23=3,120+Inputs!$B$27+Inputs!$B$29,MAX(0,(Inputs!$B$3-100)*3)+Inputs!$B$28+Inputs!$B$29)))</f>
        <v/>
      </c>
      <c r="E1293">
        <f>INDEX(FactorTable!$B$2:$Y$301, MATCH(ROUND(MIN(300,MAX(1,D1293)),0), FactorTable!$A$2:$A$301,0), Skills!L23+1)</f>
        <v/>
      </c>
      <c r="F1293">
        <f>IF(Skills!M23=TRUE,(Skills!K23/10)*(E1293/1000),Skills!K23/10)+Skills!N23</f>
        <v/>
      </c>
      <c r="G1293">
        <f>Calc!G23</f>
        <v/>
      </c>
      <c r="H1293">
        <f>Calc!H23</f>
        <v/>
      </c>
      <c r="I1293">
        <f>IF(Skills!T23&lt;&gt;"",1+(Skills!T23/10)*(Z1273/1000)/100,1)</f>
        <v/>
      </c>
      <c r="J1293" t="inlineStr"/>
      <c r="K1293" t="inlineStr"/>
      <c r="L1293" t="inlineStr"/>
      <c r="M1293" t="inlineStr"/>
      <c r="N1293" t="inlineStr"/>
      <c r="O1293">
        <f>(1-Summary!$B$11)*S1293+Summary!$B$11*U1293</f>
        <v/>
      </c>
      <c r="P1293">
        <f>IF(B1307=0,0,O1293/B1307)</f>
        <v/>
      </c>
      <c r="Q1293">
        <f>IFERROR(1/IF(Inputs!$B$38="pvp",15,MAX(0.1,Skills!D23-IF(Skills!E23=TRUE,Inputs!$B$32,0))),0)</f>
        <v/>
      </c>
      <c r="R1293" t="n">
        <v>0</v>
      </c>
      <c r="S1293" t="n">
        <v>0</v>
      </c>
      <c r="U1293" t="n">
        <v>0</v>
      </c>
    </row>
    <row r="1294">
      <c r="A1294">
        <f>Skills!A24</f>
        <v/>
      </c>
      <c r="B1294">
        <f>Skills!B24</f>
        <v/>
      </c>
      <c r="C1294">
        <f>TRUE</f>
        <v/>
      </c>
      <c r="D1294">
        <f>IF(Skills!C24=1,60+Inputs!$B$25+Inputs!$B$29,IF(Skills!C24=2,90+Inputs!$B$26+Inputs!$B$29,IF(Skills!C24=3,120+Inputs!$B$27+Inputs!$B$29,MAX(0,(Inputs!$B$3-100)*3)+Inputs!$B$28+Inputs!$B$29)))</f>
        <v/>
      </c>
      <c r="E1294">
        <f>INDEX(FactorTable!$B$2:$Y$301, MATCH(ROUND(MIN(300,MAX(1,D1294)),0), FactorTable!$A$2:$A$301,0), Skills!L24+1)</f>
        <v/>
      </c>
      <c r="F1294">
        <f>IF(Skills!M24=TRUE,(Skills!K24/10)*(E1294/1000),Skills!K24/10)+Skills!N24</f>
        <v/>
      </c>
      <c r="G1294">
        <f>Calc!G24</f>
        <v/>
      </c>
      <c r="H1294">
        <f>Calc!H24</f>
        <v/>
      </c>
      <c r="I1294">
        <f>IF(Skills!T24&lt;&gt;"",1+(Skills!T24/10)*(Z1273/1000)/100,1)</f>
        <v/>
      </c>
      <c r="J1294" t="inlineStr"/>
      <c r="K1294" t="inlineStr"/>
      <c r="L1294" t="inlineStr"/>
      <c r="M1294" t="inlineStr"/>
      <c r="N1294" t="inlineStr"/>
      <c r="O1294">
        <f>(1-Summary!$B$11)*S1294+Summary!$B$11*U1294</f>
        <v/>
      </c>
      <c r="P1294">
        <f>IF(B1307=0,0,O1294/B1307)</f>
        <v/>
      </c>
      <c r="Q1294">
        <f>IFERROR(1/IF(Inputs!$B$38="pvp",15,MAX(0.1,Skills!D24-IF(Skills!E24=TRUE,Inputs!$B$32,0))),0)</f>
        <v/>
      </c>
      <c r="R1294">
        <f>IF(AND(Inputs!$B$38&lt;&gt;"pvp",Inputs!$B$43&gt;0),IF(Inputs!$B$43&lt;=0,0,(INT(Inputs!$B$43/IF(Inputs!$B$38="pvp",15,MAX(0.1,Skills!D24-IF(Skills!E24=TRUE,Inputs!$B$32,0))))+1)),0)</f>
        <v/>
      </c>
      <c r="S1294" t="n">
        <v>0</v>
      </c>
      <c r="U1294" t="n">
        <v>0</v>
      </c>
    </row>
    <row r="1297">
      <c r="A1297" t="inlineStr">
        <is>
          <t>Average Buff Multiplier (Magic Guard + Meditation + Artifact Attack%, summed; then Infinity)</t>
        </is>
      </c>
      <c r="B1297">
        <f>(1+(IF(C1273=TRUE,F1273*IF(AND(Inputs!$B$38&lt;&gt;"pvp",Inputs!$B$43&gt;0),(((R1273-1)*(Skills!S3*(1+(Inputs!$B$34)/100))+MIN((Skills!S3*(1+(Inputs!$B$34)/100)),MAX(0,Inputs!$B$43-((R1273-1)*Skills!D3))))/Inputs!$B$43),IF(Inputs!$B$38="pvp",MIN((Skills!S3*(1+(Inputs!$B$34)/100)),15)/15,(Skills!S3*(1+(Inputs!$B$34)/100))/Skills!D3)),0)+IF(C1274=TRUE,F1274*IF(AND(Inputs!$B$38&lt;&gt;"pvp",Inputs!$B$43&gt;0),(((R1274-1)*(Skills!S4*(1+(Inputs!$B$34)/100))+MIN((Skills!S4*(1+(Inputs!$B$34)/100)),MAX(0,Inputs!$B$43-((R1274-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1286=TRUE,(1+F1286*IF(AND(Inputs!$B$38&lt;&gt;"pvp",Inputs!$B$43&gt;0),(((R1286-1)*(Skills!S16*(1+(Inputs!$B$34)/100))+MIN((Skills!S16*(1+(Inputs!$B$34)/100)),MAX(0,Inputs!$B$43-((R1286-1)*Skills!D16))))/Inputs!$B$43),IF(Inputs!$B$38="pvp",MIN((Skills!S16*(1+(Inputs!$B$34)/100)),15)/15,(Skills!S16*(1+(Inputs!$B$34)/100))/Skills!D16))/100),1)</f>
        <v/>
      </c>
    </row>
    <row r="1298">
      <c r="A1298" t="inlineStr">
        <is>
          <t>Monster Damage Taken Bonus % (Freezing Breath - Weaken + Elemental Reset + Artifact Enemy Damage Taken, summed)</t>
        </is>
      </c>
      <c r="B1298">
        <f>IF(Inputs!$B$3&gt;=118,15*IF(Inputs!$B$38="pvp",MIN((30*(1+(Inputs!$B$34)/100)),15)/15,(30*(1+(Inputs!$B$34)/100))/Skills!D8),0)+IF(C1284=TRUE,F1284,0)+(IF(AND(ArtifactsInput!$M$35,Inputs!$B$4&lt;&gt;"Chapter Hunt"),CHOOSE(ArtifactsInput!$N$35+1,15,18,21,24,27,30)*(1-EXP(-(0.2*B1301)*5)),0)+IF(AND(ArtifactsInput!$M$22,Inputs!$B$4&lt;&gt;"Chapter Hunt"),CHOOSE(ArtifactsInput!$N$22+1,10,12,14,16,18,20)*((0*(((0.15*B1301*5))^0/1)+1*(((0.15*B1301*5))^1/1)+2*(((0.15*B1301*5))^2/2)+3*(((0.15*B1301*5))^3/6)+4*(((0.15*B1301*5))^4/24)+5*(((0.15*B1301*5))^5/120))/((((0.15*B1301*5))^0/1)+(((0.15*B1301*5))^1/1)+(((0.15*B1301*5))^2/2)+(((0.15*B1301*5))^3/6)+(((0.15*B1301*5))^4/24)+(((0.15*B1301*5))^5/120))),0))</f>
        <v/>
      </c>
    </row>
    <row r="1299">
      <c r="A1299" t="inlineStr">
        <is>
          <t>Damage % Bonus (Frozen Break + Frost Clutch, flat)</t>
        </is>
      </c>
      <c r="B1299">
        <f>IF(Inputs!$B$3&gt;=66,15,0)+IF(Inputs!$B$3&gt;=98,10,0)+IF(Inputs!$B$3&gt;=125,20,0)</f>
        <v/>
      </c>
    </row>
    <row r="1300">
      <c r="A1300" t="inlineStr">
        <is>
          <t>Attack Speed Bonus % (MP Eater - MP Boost, always-on + Nimble Feet, duty-cycle averaged)</t>
        </is>
      </c>
      <c r="B1300">
        <f>IF(C1283=TRUE,F1283+(F1287-Calc!F17),0)+((C1294=TRUE)*F1294*IF(AND(Inputs!$B$38&lt;&gt;"pvp",Inputs!$B$43&gt;0),(((R1294-1)*(Skills!S24*(1+(Inputs!$B$34)/100))+MIN((Skills!S24*(1+(Inputs!$B$34)/100)),MAX(0,Inputs!$B$43-((R1294-1)*Skills!D24))))/Inputs!$B$43),IF(Inputs!$B$38="pvp",MIN((Skills!S24*(1+(Inputs!$B$34)/100)),15)/15,(Skills!S24*(1+(Inputs!$B$34)/100))/Skills!D24)))</f>
        <v/>
      </c>
    </row>
    <row r="1301">
      <c r="A1301" t="inlineStr">
        <is>
          <t>Actions Per Second</t>
        </is>
      </c>
      <c r="B1301">
        <f>1+MIN(150,150*(1-(1-(Inputs!$B$11+(ArtifactsInput!$M$15-ArtifactsInput!$M$15)*CHOOSE(ArtifactsInput!$N$15+1,8,9.6,11.2,12.8,14.4,16))/150)*(1-B1300/150)))/100</f>
        <v/>
      </c>
    </row>
    <row r="1302">
      <c r="A1302" t="inlineStr">
        <is>
          <t>Skill + Buff Cast Rate</t>
        </is>
      </c>
      <c r="B1302">
        <f>IF(AND(Inputs!$B$38&lt;&gt;"pvp",Inputs!$B$43&gt;0),SUMPRODUCT((Skills!E2:E24=TRUE)*(C1272:C1294=TRUE)*R1272:R1294)/Inputs!$B$43,SUMPRODUCT((Skills!E2:E24=TRUE)*(C1272:C1294=TRUE)*Q1272:Q1294))</f>
        <v/>
      </c>
    </row>
    <row r="1303">
      <c r="A1303" t="inlineStr">
        <is>
          <t>Chain Lightning Casts Per Second</t>
        </is>
      </c>
      <c r="B1303">
        <f>MAX(0,B1301-B1302)</f>
        <v/>
      </c>
    </row>
    <row r="1304">
      <c r="A1304" t="inlineStr">
        <is>
          <t>Buff-Casting Startup Delay (s, fixed-duration only)</t>
        </is>
      </c>
      <c r="B1304">
        <f>IF(AND(Inputs!$B$38&lt;&gt;"pvp",Inputs!$B$43&gt;0),SUMPRODUCT((Skills!S2:S24&gt;0)*(Skills!E2:E24=TRUE)*(C1272:C1294=TRUE))/B1301,0)</f>
        <v/>
      </c>
    </row>
    <row r="1305">
      <c r="A1305" t="inlineStr">
        <is>
          <t>Boss-Only Total DPS (this block's swept value)</t>
        </is>
      </c>
      <c r="B1305">
        <f>SUM(S1272:S1294)</f>
        <v/>
      </c>
    </row>
    <row r="1306">
      <c r="A1306" t="inlineStr">
        <is>
          <t>Normal-Only Total DPS (this block's swept value)</t>
        </is>
      </c>
      <c r="B1306">
        <f>SUM(U1272:U1294)</f>
        <v/>
      </c>
    </row>
    <row r="1307">
      <c r="A1307" s="6" t="inlineStr">
        <is>
          <t>TOTAL DPS</t>
        </is>
      </c>
      <c r="B1307" s="6">
        <f>SUM(O1272:O1294)</f>
        <v/>
      </c>
    </row>
    <row r="1310">
      <c r="A1310" s="6" t="inlineStr">
        <is>
          <t>Stat: Arwen's Glass Shoes (Equip)</t>
        </is>
      </c>
    </row>
    <row r="1311">
      <c r="A1311" s="5" t="inlineStr">
        <is>
          <t>Key</t>
        </is>
      </c>
      <c r="B1311" s="5" t="inlineStr">
        <is>
          <t>Name</t>
        </is>
      </c>
      <c r="C1311" s="5" t="inlineStr">
        <is>
          <t>Unlocked</t>
        </is>
      </c>
      <c r="D1311" s="5" t="inlineStr">
        <is>
          <t>InputLevel</t>
        </is>
      </c>
      <c r="E1311" s="5" t="inlineStr">
        <is>
          <t>Factor</t>
        </is>
      </c>
      <c r="F1311" s="5" t="inlineStr">
        <is>
          <t>CoefficientPercent</t>
        </is>
      </c>
      <c r="G1311" s="5" t="inlineStr">
        <is>
          <t>EffectiveHits</t>
        </is>
      </c>
      <c r="H1311" s="5" t="inlineStr">
        <is>
          <t>ProcProbability</t>
        </is>
      </c>
      <c r="I1311" s="5" t="inlineStr">
        <is>
          <t>MapleHeroMultiplier</t>
        </is>
      </c>
      <c r="J1311" s="5" t="inlineStr">
        <is>
          <t>BaseDamage</t>
        </is>
      </c>
      <c r="K1311" s="5" t="inlineStr">
        <is>
          <t>BaseHitDamage</t>
        </is>
      </c>
      <c r="L1311" s="5" t="inlineStr">
        <is>
          <t>NonCritAvg</t>
        </is>
      </c>
      <c r="M1311" s="5" t="inlineStr">
        <is>
          <t>CritAvg</t>
        </is>
      </c>
      <c r="N1311" s="5" t="inlineStr">
        <is>
          <t>ExpectedDamage(perHit)</t>
        </is>
      </c>
      <c r="O1311" s="5" t="inlineStr">
        <is>
          <t>DPS</t>
        </is>
      </c>
      <c r="P1311" s="5" t="inlineStr">
        <is>
          <t>% of Total</t>
        </is>
      </c>
      <c r="R1311" t="inlineStr">
        <is>
          <t>helpers</t>
        </is>
      </c>
    </row>
    <row r="1312">
      <c r="A1312">
        <f>Skills!A2</f>
        <v/>
      </c>
      <c r="B1312">
        <f>Skills!B2</f>
        <v/>
      </c>
      <c r="C1312">
        <f>Inputs!$B$3&gt;=100</f>
        <v/>
      </c>
      <c r="D1312" t="inlineStr"/>
      <c r="E1312" t="inlineStr"/>
      <c r="F1312">
        <f>T1314+Skills!N2</f>
        <v/>
      </c>
      <c r="G1312">
        <f>Calc!G2</f>
        <v/>
      </c>
      <c r="H1312">
        <f>Calc!H2</f>
        <v/>
      </c>
      <c r="I1312">
        <f>IF(Skills!T2&lt;&gt;"",1+(Skills!T2/10)*(Z1313/1000)/100,1)</f>
        <v/>
      </c>
      <c r="J1312">
        <f>((Inputs!$B$6*(1+Inputs!$B$7/100))+(((Inputs!$B$12*(1+Inputs!$B$13/100))-(Inputs!$B$12*(1+Inputs!$B$13/100)))+0.25*(Inputs!$B$14-Inputs!$B$14))*(1+Inputs!$B$7/100))*(F1312/100)</f>
        <v/>
      </c>
      <c r="K1312">
        <f>J1312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2="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1328-Calc!F18),(Inputs!$B$23+(IF(ArtifactsInput!$M$15,CHOOSE(ArtifactsInput!$N$15+1,25,30,35,40,45,50)/100*(Inputs!$B$11-Inputs!$B$11),0))))/100+(Inputs!$B$23+(IF(ArtifactsInput!$M$15,CHOOSE(ArtifactsInput!$N$15+1,25,30,35,40,45,50)/100*(Inputs!$B$11-Inputs!$B$11),0)))/100)/2</f>
        <v/>
      </c>
      <c r="M1312">
        <f>L1312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IF(B1347=0,0,O1312/B1347)</f>
        <v/>
      </c>
      <c r="Q1312">
        <f>IFERROR(1/IF(Inputs!$B$38="pvp",15,MAX(0.1,Skills!D2-IF(Skills!E2=TRUE,Inputs!$B$32,0))),0)</f>
        <v/>
      </c>
      <c r="R1312" t="n">
        <v>0</v>
      </c>
      <c r="S1312">
        <f>IF(C1312,(Skills!F2*N1312*B1343)*IF(Inputs!$B$38="pvp",1,1+(Inputs!$B$20+Skills!O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12">
        <f>MAX(0,(Inputs!$B$3-100)*3)+Inputs!$B$28+Inputs!$B$29</f>
        <v/>
      </c>
      <c r="U1312">
        <f>IF(C1312,(Skills!F2*N1312*B1343)*IF(Inputs!$B$38="pvp",1,(1+(Inputs!$B$21+Skills!P2+B1338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12">
        <f>MAX(0,(Inputs!$B$3-100)*3)+Inputs!$B$28+Inputs!$B$29</f>
        <v/>
      </c>
    </row>
    <row r="1313">
      <c r="A1313">
        <f>Skills!A3</f>
        <v/>
      </c>
      <c r="B1313">
        <f>Skills!B3</f>
        <v/>
      </c>
      <c r="C1313">
        <f>Inputs!$B$3&gt;=15</f>
        <v/>
      </c>
      <c r="D1313">
        <f>IF(Skills!C3=1,60+Inputs!$B$25+Inputs!$B$29,IF(Skills!C3=2,90+Inputs!$B$26+Inputs!$B$29,IF(Skills!C3=3,120+Inputs!$B$27+Inputs!$B$29,MAX(0,(Inputs!$B$3-100)*3)+Inputs!$B$28+Inputs!$B$29)))</f>
        <v/>
      </c>
      <c r="E1313">
        <f>INDEX(FactorTable!$B$2:$Y$301, MATCH(ROUND(MIN(300,MAX(1,D1313)),0), FactorTable!$A$2:$A$301,0), Skills!L3+1)</f>
        <v/>
      </c>
      <c r="F1313">
        <f>IF(Skills!M3=TRUE,(Skills!K3/10)*(E1313/1000),Skills!K3/10)+Skills!N3</f>
        <v/>
      </c>
      <c r="G1313">
        <f>Calc!G3</f>
        <v/>
      </c>
      <c r="H1313">
        <f>Calc!H3</f>
        <v/>
      </c>
      <c r="I1313">
        <f>IF(Skills!T3&lt;&gt;"",1+(Skills!T3/10)*(Z1313/1000)/100,1)</f>
        <v/>
      </c>
      <c r="J1313" t="inlineStr"/>
      <c r="K1313" t="inlineStr"/>
      <c r="L1313" t="inlineStr"/>
      <c r="M1313" t="inlineStr"/>
      <c r="N1313" t="inlineStr"/>
      <c r="O1313">
        <f>(1-Summary!$B$11)*S1313+Summary!$B$11*U1313</f>
        <v/>
      </c>
      <c r="P1313">
        <f>IF(B1347=0,0,O1313/B1347)</f>
        <v/>
      </c>
      <c r="Q1313">
        <f>IFERROR(1/IF(Inputs!$B$38="pvp",15,MAX(0.1,Skills!D3-IF(Skills!E3=TRUE,Inputs!$B$32,0))),0)</f>
        <v/>
      </c>
      <c r="R1313">
        <f>IF(AND(Inputs!$B$38&lt;&gt;"pvp",Inputs!$B$43&gt;0),IF(Inputs!$B$43&lt;=0,0,(INT(Inputs!$B$43/IF(Inputs!$B$38="pvp",15,MAX(0.1,Skills!D3-IF(Skills!E3=TRUE,Inputs!$B$32,0))))+1)),0)</f>
        <v/>
      </c>
      <c r="S1313" t="n">
        <v>0</v>
      </c>
      <c r="T1313">
        <f>INDEX(FactorTable!$B$2:$Y$301, MATCH(ROUND(MIN(300,MAX(1,T1312)),0), FactorTable!$A$2:$A$301,0), 22)</f>
        <v/>
      </c>
      <c r="U1313" t="n">
        <v>0</v>
      </c>
      <c r="Z1313">
        <f>INDEX(FactorTable!$B$2:$Y$301, MATCH(ROUND(MIN(300,MAX(1,Z1312)),0), FactorTable!$A$2:$A$301,0), 24)</f>
        <v/>
      </c>
    </row>
    <row r="1314">
      <c r="A1314">
        <f>Skills!A4</f>
        <v/>
      </c>
      <c r="B1314">
        <f>Skills!B4</f>
        <v/>
      </c>
      <c r="C1314">
        <f>Inputs!$B$3&gt;=40</f>
        <v/>
      </c>
      <c r="D1314">
        <f>IF(Skills!C4=1,60+Inputs!$B$25+Inputs!$B$29,IF(Skills!C4=2,90+Inputs!$B$26+Inputs!$B$29,IF(Skills!C4=3,120+Inputs!$B$27+Inputs!$B$29,MAX(0,(Inputs!$B$3-100)*3)+Inputs!$B$28+Inputs!$B$29)))</f>
        <v/>
      </c>
      <c r="E1314">
        <f>INDEX(FactorTable!$B$2:$Y$301, MATCH(ROUND(MIN(300,MAX(1,D1314)),0), FactorTable!$A$2:$A$301,0), Skills!L4+1)</f>
        <v/>
      </c>
      <c r="F1314">
        <f>IF(Skills!M4=TRUE,(Skills!K4/10)*(E1314/1000),Skills!K4/10)+Skills!N4</f>
        <v/>
      </c>
      <c r="G1314">
        <f>Calc!G4</f>
        <v/>
      </c>
      <c r="H1314">
        <f>Calc!H4</f>
        <v/>
      </c>
      <c r="I1314">
        <f>IF(Skills!T4&lt;&gt;"",1+(Skills!T4/10)*(Z1313/1000)/100,1)</f>
        <v/>
      </c>
      <c r="J1314" t="inlineStr"/>
      <c r="K1314" t="inlineStr"/>
      <c r="L1314" t="inlineStr"/>
      <c r="M1314" t="inlineStr"/>
      <c r="N1314" t="inlineStr"/>
      <c r="O1314">
        <f>(1-Summary!$B$11)*S1314+Summary!$B$11*U1314</f>
        <v/>
      </c>
      <c r="P1314">
        <f>IF(B1347=0,0,O1314/B1347)</f>
        <v/>
      </c>
      <c r="Q1314">
        <f>IFERROR(1/IF(Inputs!$B$38="pvp",15,MAX(0.1,Skills!D4-IF(Skills!E4=TRUE,Inputs!$B$32,0))),0)</f>
        <v/>
      </c>
      <c r="R1314">
        <f>IF(AND(Inputs!$B$38&lt;&gt;"pvp",Inputs!$B$43&gt;0),IF(Inputs!$B$43&lt;=0,0,(INT(Inputs!$B$43/IF(Inputs!$B$38="pvp",15,MAX(0.1,Skills!D4-IF(Skills!E4=TRUE,Inputs!$B$32,0))))+1)),0)</f>
        <v/>
      </c>
      <c r="S1314" t="n">
        <v>0</v>
      </c>
      <c r="T1314">
        <f>290*T1313/1000</f>
        <v/>
      </c>
      <c r="U1314" t="n">
        <v>0</v>
      </c>
    </row>
    <row r="1315">
      <c r="A1315">
        <f>Skills!A5</f>
        <v/>
      </c>
      <c r="B1315">
        <f>Skills!B5</f>
        <v/>
      </c>
      <c r="C1315">
        <f>Inputs!$B$3&gt;=38</f>
        <v/>
      </c>
      <c r="D1315">
        <f>IF(Skills!C5=1,60+Inputs!$B$25+Inputs!$B$29,IF(Skills!C5=2,90+Inputs!$B$26+Inputs!$B$29,IF(Skills!C5=3,120+Inputs!$B$27+Inputs!$B$29,MAX(0,(Inputs!$B$3-100)*3)+Inputs!$B$28+Inputs!$B$29)))</f>
        <v/>
      </c>
      <c r="E1315">
        <f>INDEX(FactorTable!$B$2:$Y$301, MATCH(ROUND(MIN(300,MAX(1,D1315)),0), FactorTable!$A$2:$A$301,0), Skills!L5+1)</f>
        <v/>
      </c>
      <c r="F1315">
        <f>IF(Skills!M5=TRUE,(Skills!K5/10)*(E1315/1000),Skills!K5/10)+Skills!N5</f>
        <v/>
      </c>
      <c r="G1315">
        <f>Calc!G5</f>
        <v/>
      </c>
      <c r="H1315">
        <f>Calc!H5</f>
        <v/>
      </c>
      <c r="I1315">
        <f>IF(Skills!T5&lt;&gt;"",1+(Skills!T5/10)*(Z1313/1000)/100,1)</f>
        <v/>
      </c>
      <c r="J1315">
        <f>((Inputs!$B$6*(1+Inputs!$B$7/100))+(((Inputs!$B$12*(1+Inputs!$B$13/100))-(Inputs!$B$12*(1+Inputs!$B$13/100)))+0.25*(Inputs!$B$14-Inputs!$B$14))*(1+Inputs!$B$7/100))*(F1315/100)</f>
        <v/>
      </c>
      <c r="K1315">
        <f>J1315*(1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5="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1328-Calc!F18),(Inputs!$B$23+(IF(ArtifactsInput!$M$15,CHOOSE(ArtifactsInput!$N$15+1,25,30,35,40,45,50)/100*(Inputs!$B$11-Inputs!$B$11),0))))/100+(Inputs!$B$23+(IF(ArtifactsInput!$M$15,CHOOSE(ArtifactsInput!$N$15+1,25,30,35,40,45,50)/100*(Inputs!$B$11-Inputs!$B$11),0)))/100)/2</f>
        <v/>
      </c>
      <c r="M1315">
        <f>L1315*(1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IF(B1347=0,0,O1315/B1347)</f>
        <v/>
      </c>
      <c r="Q1315">
        <f>IFERROR(1/IF(Inputs!$B$38="pvp",15,MAX(0.1,Skills!D5-IF(Skills!E5=TRUE,Inputs!$B$32,0))),0)</f>
        <v/>
      </c>
      <c r="R1315">
        <f>IF(AND(Inputs!$B$38&lt;&gt;"pvp",Inputs!$B$43&gt;0),IF(MAX(0,Inputs!$B$43-B1344)&lt;=0,0,(INT(MAX(0,Inputs!$B$43-B1344)/IF(Inputs!$B$38="pvp",15,MAX(0.1,Skills!D5-IF(Skills!E5=TRUE,Inputs!$B$32,0))))+1)),0)</f>
        <v/>
      </c>
      <c r="S1315">
        <f>IF(C1315,(H1315*N1315*IF(AND(Inputs!$B$38&lt;&gt;"pvp",Inputs!$B$43&gt;0),((Skills!F5*((R1315-1)*IF(Skills!G5&gt;0,Skills!H5/Skills!G5,1)+IF(Skills!G5&gt;0,MIN(Skills!H5,MAX(0,MAX(0,Inputs!$B$43-B1344)-((R1315-1)*IF(Inputs!$B$38="pvp",15,MAX(0.1,Skills!D5-IF(Skills!E5=TRUE,Inputs!$B$32,0))))))/Skills!G5,1)))/Inputs!$B$43),G1315*Q1315))*IF(Inputs!$B$38="pvp",1,1+(Inputs!$B$20+Skills!O5+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F5*((R1315-1)*IF(Skills!G5&gt;0,Skills!H5/Skills!G5,1)+IF(Skills!G5&gt;0,MIN(Skills!H5,MAX(0,MAX(0,Inputs!$B$43-B1344)-((R1315-1)*IF(Inputs!$B$38="pvp",15,MAX(0.1,Skills!D5-IF(Skills!E5=TRUE,Inputs!$B$32,0))))))/Skills!G5,1)))/Inputs!$B$43),G1315*Q1315))*IF(Inputs!$B$38="pvp",1,(1+(Inputs!$B$21+Skills!P5+B1338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Skills!A6</f>
        <v/>
      </c>
      <c r="B1316">
        <f>Skills!B6</f>
        <v/>
      </c>
      <c r="C1316">
        <f>Inputs!$B$3&gt;=63</f>
        <v/>
      </c>
      <c r="D1316">
        <f>IF(Skills!C6=1,60+Inputs!$B$25+Inputs!$B$29,IF(Skills!C6=2,90+Inputs!$B$26+Inputs!$B$29,IF(Skills!C6=3,120+Inputs!$B$27+Inputs!$B$29,MAX(0,(Inputs!$B$3-100)*3)+Inputs!$B$28+Inputs!$B$29)))</f>
        <v/>
      </c>
      <c r="E1316">
        <f>INDEX(FactorTable!$B$2:$Y$301, MATCH(ROUND(MIN(300,MAX(1,D1316)),0), FactorTable!$A$2:$A$301,0), Skills!L6+1)</f>
        <v/>
      </c>
      <c r="F1316">
        <f>IF(Skills!M6=TRUE,(Skills!K6/10)*(E1316/1000),Skills!K6/10)+Skills!N6</f>
        <v/>
      </c>
      <c r="G1316">
        <f>Calc!G6</f>
        <v/>
      </c>
      <c r="H1316">
        <f>Calc!H6</f>
        <v/>
      </c>
      <c r="I1316">
        <f>IF(Skills!T6&lt;&gt;"",1+(Skills!T6/10)*(Z1313/1000)/100,1)</f>
        <v/>
      </c>
      <c r="J1316">
        <f>((Inputs!$B$6*(1+Inputs!$B$7/100))+(((Inputs!$B$12*(1+Inputs!$B$13/100))-(Inputs!$B$12*(1+Inputs!$B$13/100)))+0.25*(Inputs!$B$14-Inputs!$B$14))*(1+Inputs!$B$7/100))*(F1316/100)</f>
        <v/>
      </c>
      <c r="K1316">
        <f>J1316*(1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6="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1328-Calc!F18),(Inputs!$B$23+(IF(ArtifactsInput!$M$15,CHOOSE(ArtifactsInput!$N$15+1,25,30,35,40,45,50)/100*(Inputs!$B$11-Inputs!$B$11),0))))/100+(Inputs!$B$23+(IF(ArtifactsInput!$M$15,CHOOSE(ArtifactsInput!$N$15+1,25,30,35,40,45,50)/100*(Inputs!$B$11-Inputs!$B$11),0)))/100)/2</f>
        <v/>
      </c>
      <c r="M1316">
        <f>L1316*(1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IF(B1347=0,0,O1316/B1347)</f>
        <v/>
      </c>
      <c r="Q1316">
        <f>IFERROR(1/IF(Inputs!$B$38="pvp",15,MAX(0.1,Skills!D6-IF(Skills!E6=TRUE,Inputs!$B$32,0))),0)</f>
        <v/>
      </c>
      <c r="R1316">
        <f>IF(AND(Inputs!$B$38&lt;&gt;"pvp",Inputs!$B$43&gt;0),IF(MAX(0,Inputs!$B$43-B1344)&lt;=0,0,(INT(MAX(0,Inputs!$B$43-B1344)/IF(Inputs!$B$38="pvp",15,MAX(0.1,Skills!D6-IF(Skills!E6=TRUE,Inputs!$B$32,0))))+1)),0)</f>
        <v/>
      </c>
      <c r="S1316">
        <f>IF(C1316,(H1316*N1316*IF(AND(Inputs!$B$38&lt;&gt;"pvp",Inputs!$B$43&gt;0),((Skills!F6*((R1316-1)*IF(Skills!G6&gt;0,Skills!H6/Skills!G6,1)+IF(Skills!G6&gt;0,MIN(Skills!H6,MAX(0,MAX(0,Inputs!$B$43-B1344)-((R1316-1)*IF(Inputs!$B$38="pvp",15,MAX(0.1,Skills!D6-IF(Skills!E6=TRUE,Inputs!$B$32,0))))))/Skills!G6,1)))/Inputs!$B$43),G1316*Q1316))*IF(Inputs!$B$38="pvp",1,1+(Inputs!$B$20+Skills!O6+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N1316*IF(AND(Inputs!$B$38&lt;&gt;"pvp",Inputs!$B$43&gt;0),((Skills!F6*((R1316-1)*IF(Skills!G6&gt;0,Skills!H6/Skills!G6,1)+IF(Skills!G6&gt;0,MIN(Skills!H6,MAX(0,MAX(0,Inputs!$B$43-B1344)-((R1316-1)*IF(Inputs!$B$38="pvp",15,MAX(0.1,Skills!D6-IF(Skills!E6=TRUE,Inputs!$B$32,0))))))/Skills!G6,1)))/Inputs!$B$43),G1316*Q1316))*IF(Inputs!$B$38="pvp",1,(1+(Inputs!$B$21+Skills!P6+B1338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Skills!A7</f>
        <v/>
      </c>
      <c r="B1317">
        <f>Skills!B7</f>
        <v/>
      </c>
      <c r="C1317">
        <f>Inputs!$B$3&gt;=69</f>
        <v/>
      </c>
      <c r="D1317">
        <f>IF(Skills!C7=1,60+Inputs!$B$25+Inputs!$B$29,IF(Skills!C7=2,90+Inputs!$B$26+Inputs!$B$29,IF(Skills!C7=3,120+Inputs!$B$27+Inputs!$B$29,MAX(0,(Inputs!$B$3-100)*3)+Inputs!$B$28+Inputs!$B$29)))</f>
        <v/>
      </c>
      <c r="E1317">
        <f>INDEX(FactorTable!$B$2:$Y$301, MATCH(ROUND(MIN(300,MAX(1,D1317)),0), FactorTable!$A$2:$A$301,0), Skills!L7+1)</f>
        <v/>
      </c>
      <c r="F1317">
        <f>IF(Skills!M7=TRUE,(Skills!K7/10)*(E1317/1000),Skills!K7/10)+Skills!N7</f>
        <v/>
      </c>
      <c r="G1317">
        <f>Calc!G7</f>
        <v/>
      </c>
      <c r="H1317">
        <f>Calc!H7</f>
        <v/>
      </c>
      <c r="I1317">
        <f>IF(Skills!T7&lt;&gt;"",1+(Skills!T7/10)*(Z1313/1000)/100,1)</f>
        <v/>
      </c>
      <c r="J1317">
        <f>((Inputs!$B$6*(1+Inputs!$B$7/100))+(((Inputs!$B$12*(1+Inputs!$B$13/100))-(Inputs!$B$12*(1+Inputs!$B$13/100)))+0.25*(Inputs!$B$14-Inputs!$B$14))*(1+Inputs!$B$7/100))*(F1317/100)</f>
        <v/>
      </c>
      <c r="K1317">
        <f>J1317*(1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7="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1328-Calc!F18),(Inputs!$B$23+(IF(ArtifactsInput!$M$15,CHOOSE(ArtifactsInput!$N$15+1,25,30,35,40,45,50)/100*(Inputs!$B$11-Inputs!$B$11),0))))/100+(Inputs!$B$23+(IF(ArtifactsInput!$M$15,CHOOSE(ArtifactsInput!$N$15+1,25,30,35,40,45,50)/100*(Inputs!$B$11-Inputs!$B$11),0)))/100)/2</f>
        <v/>
      </c>
      <c r="M1317">
        <f>L1317*(1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IF(B1347=0,0,O1317/B1347)</f>
        <v/>
      </c>
      <c r="Q1317">
        <f>IFERROR(1/IF(Inputs!$B$38="pvp",15,MAX(0.1,Skills!D7-IF(Skills!E7=TRUE,Inputs!$B$32,0))),0)</f>
        <v/>
      </c>
      <c r="R1317">
        <f>IF(AND(Inputs!$B$38&lt;&gt;"pvp",Inputs!$B$43&gt;0),IF(MAX(0,Inputs!$B$43-B1344)&lt;=0,0,(INT(MAX(0,Inputs!$B$43-B1344)/IF(Inputs!$B$38="pvp",15,MAX(0.1,Skills!D7-IF(Skills!E7=TRUE,Inputs!$B$32,0))))+1)),0)</f>
        <v/>
      </c>
      <c r="S1317">
        <f>IF(C1317,(H1317*N1317*IF(AND(Inputs!$B$38&lt;&gt;"pvp",Inputs!$B$43&gt;0),((Skills!F7*((R1317-1)*IF(Skills!G7&gt;0,Skills!H7/Skills!G7,1)+IF(Skills!G7&gt;0,MIN(Skills!H7,MAX(0,MAX(0,Inputs!$B$43-B1344)-((R1317-1)*IF(Inputs!$B$38="pvp",15,MAX(0.1,Skills!D7-IF(Skills!E7=TRUE,Inputs!$B$32,0))))))/Skills!G7,1)))/Inputs!$B$43),G1317*Q1317))*IF(Inputs!$B$38="pvp",1,1+(Inputs!$B$20+Skills!O7+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F7*((R1317-1)*IF(Skills!G7&gt;0,Skills!H7/Skills!G7,1)+IF(Skills!G7&gt;0,MIN(Skills!H7,MAX(0,MAX(0,Inputs!$B$43-B1344)-((R1317-1)*IF(Inputs!$B$38="pvp",15,MAX(0.1,Skills!D7-IF(Skills!E7=TRUE,Inputs!$B$32,0))))))/Skills!G7,1)))/Inputs!$B$43),G1317*Q1317))*IF(Inputs!$B$38="pvp",1,(1+(Inputs!$B$21+Skills!P7+B1338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Skills!A8</f>
        <v/>
      </c>
      <c r="B1318">
        <f>Skills!B8</f>
        <v/>
      </c>
      <c r="C1318">
        <f>Inputs!$B$3&gt;=103</f>
        <v/>
      </c>
      <c r="D1318">
        <f>IF(Skills!C8=1,60+Inputs!$B$25+Inputs!$B$29,IF(Skills!C8=2,90+Inputs!$B$26+Inputs!$B$29,IF(Skills!C8=3,120+Inputs!$B$27+Inputs!$B$29,MAX(0,(Inputs!$B$3-100)*3)+Inputs!$B$28+Inputs!$B$29)))</f>
        <v/>
      </c>
      <c r="E1318">
        <f>INDEX(FactorTable!$B$2:$Y$301, MATCH(ROUND(MIN(300,MAX(1,D1318)),0), FactorTable!$A$2:$A$301,0), Skills!L8+1)</f>
        <v/>
      </c>
      <c r="F1318">
        <f>IF(Skills!M8=TRUE,(Skills!K8/10)*(E1318/1000),Skills!K8/10)+Skills!N8</f>
        <v/>
      </c>
      <c r="G1318">
        <f>Calc!G8</f>
        <v/>
      </c>
      <c r="H1318">
        <f>Calc!H8</f>
        <v/>
      </c>
      <c r="I1318">
        <f>IF(Skills!T8&lt;&gt;"",1+(Skills!T8/10)*(Z1313/1000)/100,1)</f>
        <v/>
      </c>
      <c r="J1318">
        <f>((Inputs!$B$6*(1+Inputs!$B$7/100))+(((Inputs!$B$12*(1+Inputs!$B$13/100))-(Inputs!$B$12*(1+Inputs!$B$13/100)))+0.25*(Inputs!$B$14-Inputs!$B$14))*(1+Inputs!$B$7/100))*(F1318/100)</f>
        <v/>
      </c>
      <c r="K1318">
        <f>J1318*(1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8="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1328-Calc!F18),(Inputs!$B$23+(IF(ArtifactsInput!$M$15,CHOOSE(ArtifactsInput!$N$15+1,25,30,35,40,45,50)/100*(Inputs!$B$11-Inputs!$B$11),0))))/100+(Inputs!$B$23+(IF(ArtifactsInput!$M$15,CHOOSE(ArtifactsInput!$N$15+1,25,30,35,40,45,50)/100*(Inputs!$B$11-Inputs!$B$11),0)))/100)/2</f>
        <v/>
      </c>
      <c r="M1318">
        <f>L1318*(1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IF(B1347=0,0,O1318/B1347)</f>
        <v/>
      </c>
      <c r="Q1318">
        <f>IFERROR(1/IF(Inputs!$B$38="pvp",15,MAX(0.1,Skills!D8-IF(Skills!E8=TRUE,Inputs!$B$32,0))),0)</f>
        <v/>
      </c>
      <c r="R1318">
        <f>IF(AND(Inputs!$B$38&lt;&gt;"pvp",Inputs!$B$43&gt;0),IF(MAX(0,Inputs!$B$43-B1344)&lt;=0,0,(INT(MAX(0,Inputs!$B$43-B1344)/IF(Inputs!$B$38="pvp",15,MAX(0.1,Skills!D8-IF(Skills!E8=TRUE,Inputs!$B$32,0))))+1)),0)</f>
        <v/>
      </c>
      <c r="S1318">
        <f>IF(C1318,(H1318*N1318*IF(AND(Inputs!$B$38&lt;&gt;"pvp",Inputs!$B$43&gt;0),((Skills!F8*((R1318-1)*IF(Skills!G8&gt;0,Skills!H8/Skills!G8,1)+IF(Skills!G8&gt;0,MIN(Skills!H8,MAX(0,MAX(0,Inputs!$B$43-B1344)-((R1318-1)*IF(Inputs!$B$38="pvp",15,MAX(0.1,Skills!D8-IF(Skills!E8=TRUE,Inputs!$B$32,0))))))/Skills!G8,1)))/Inputs!$B$43),G1318*Q1318))*IF(Inputs!$B$38="pvp",1,1+(Inputs!$B$20+Skills!O8+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F8*((R1318-1)*IF(Skills!G8&gt;0,Skills!H8/Skills!G8,1)+IF(Skills!G8&gt;0,MIN(Skills!H8,MAX(0,MAX(0,Inputs!$B$43-B1344)-((R1318-1)*IF(Inputs!$B$38="pvp",15,MAX(0.1,Skills!D8-IF(Skills!E8=TRUE,Inputs!$B$32,0))))))/Skills!G8,1)))/Inputs!$B$43),G1318*Q1318))*IF(Inputs!$B$38="pvp",1,(1+(Inputs!$B$21+Skills!P8+B1338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Skills!A9</f>
        <v/>
      </c>
      <c r="B1319">
        <f>Skills!B9</f>
        <v/>
      </c>
      <c r="C1319">
        <f>Inputs!$B$3&gt;=105</f>
        <v/>
      </c>
      <c r="D1319">
        <f>IF(Skills!C9=1,60+Inputs!$B$25+Inputs!$B$29,IF(Skills!C9=2,90+Inputs!$B$26+Inputs!$B$29,IF(Skills!C9=3,120+Inputs!$B$27+Inputs!$B$29,MAX(0,(Inputs!$B$3-100)*3)+Inputs!$B$28+Inputs!$B$29)))</f>
        <v/>
      </c>
      <c r="E1319">
        <f>INDEX(FactorTable!$B$2:$Y$301, MATCH(ROUND(MIN(300,MAX(1,D1319)),0), FactorTable!$A$2:$A$301,0), Skills!L9+1)</f>
        <v/>
      </c>
      <c r="F1319">
        <f>IF(Skills!M9=TRUE,(Skills!K9/10)*(E1319/1000),Skills!K9/10)+Skills!N9</f>
        <v/>
      </c>
      <c r="G1319">
        <f>Calc!G9</f>
        <v/>
      </c>
      <c r="H1319">
        <f>Calc!H9</f>
        <v/>
      </c>
      <c r="I1319">
        <f>IF(Skills!T9&lt;&gt;"",1+(Skills!T9/10)*(Z1313/1000)/100,1)</f>
        <v/>
      </c>
      <c r="J1319">
        <f>((Inputs!$B$6*(1+Inputs!$B$7/100))+(((Inputs!$B$12*(1+Inputs!$B$13/100))-(Inputs!$B$12*(1+Inputs!$B$13/100)))+0.25*(Inputs!$B$14-Inputs!$B$14))*(1+Inputs!$B$7/100))*(F1319/100)</f>
        <v/>
      </c>
      <c r="K1319">
        <f>J1319*(1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9="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F1328-Calc!F18),(Inputs!$B$23+(IF(ArtifactsInput!$M$15,CHOOSE(ArtifactsInput!$N$15+1,25,30,35,40,45,50)/100*(Inputs!$B$11-Inputs!$B$11),0))))/100+(Inputs!$B$23+(IF(ArtifactsInput!$M$15,CHOOSE(ArtifactsInput!$N$15+1,25,30,35,40,45,50)/100*(Inputs!$B$11-Inputs!$B$11),0)))/100)/2</f>
        <v/>
      </c>
      <c r="M1319">
        <f>L1319*(1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(1-Summary!$B$11)*S1319+Summary!$B$11*U1319</f>
        <v/>
      </c>
      <c r="P1319">
        <f>IF(B1347=0,0,O1319/B1347)</f>
        <v/>
      </c>
      <c r="Q1319">
        <f>IFERROR(1/IF(Inputs!$B$38="pvp",15,MAX(0.1,Skills!D9-IF(Skills!E9=TRUE,Inputs!$B$32,0))),0)</f>
        <v/>
      </c>
      <c r="R1319">
        <f>IF(AND(Inputs!$B$38&lt;&gt;"pvp",Inputs!$B$43&gt;0),IF(MAX(0,Inputs!$B$43-B1344)&lt;=0,0,(INT(MAX(0,Inputs!$B$43-B1344)/IF(Inputs!$B$38="pvp",15,MAX(0.1,Skills!D9-IF(Skills!E9=TRUE,Inputs!$B$32,0))))+1)),0)</f>
        <v/>
      </c>
      <c r="S1319">
        <f>IF(C1319,(H1319*N1319*IF(AND(Inputs!$B$38&lt;&gt;"pvp",Inputs!$B$43&gt;0),((Skills!F9*((R1319-1)*IF(Skills!G9&gt;0,Skills!H9/Skills!G9,1)+IF(Skills!G9&gt;0,MIN(Skills!H9,MAX(0,MAX(0,Inputs!$B$43-B1344)-((R1319-1)*IF(Inputs!$B$38="pvp",15,MAX(0.1,Skills!D9-IF(Skills!E9=TRUE,Inputs!$B$32,0))))))/Skills!G9,1)))/Inputs!$B$43),G1319*Q1319))*IF(Inputs!$B$38="pvp",1,1+(Inputs!$B$20+Skills!O9+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1319*(1-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9">
        <f>IF(C1319,(H1319*N1319*IF(AND(Inputs!$B$38&lt;&gt;"pvp",Inputs!$B$43&gt;0),((Skills!F9*((R1319-1)*IF(Skills!G9&gt;0,Skills!H9/Skills!G9,1)+IF(Skills!G9&gt;0,MIN(Skills!H9,MAX(0,MAX(0,Inputs!$B$43-B1344)-((R1319-1)*IF(Inputs!$B$38="pvp",15,MAX(0.1,Skills!D9-IF(Skills!E9=TRUE,Inputs!$B$32,0))))))/Skills!G9,1)))/Inputs!$B$43),G1319*Q1319))*IF(Inputs!$B$38="pvp",1,(1+(Inputs!$B$21+Skills!P9+B1338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Skills!A10</f>
        <v/>
      </c>
      <c r="B1320">
        <f>Skills!B10</f>
        <v/>
      </c>
      <c r="C1320">
        <f>Inputs!$B$3&gt;=113</f>
        <v/>
      </c>
      <c r="D1320">
        <f>IF(Skills!C10=1,60+Inputs!$B$25+Inputs!$B$29,IF(Skills!C10=2,90+Inputs!$B$26+Inputs!$B$29,IF(Skills!C10=3,120+Inputs!$B$27+Inputs!$B$29,MAX(0,(Inputs!$B$3-100)*3)+Inputs!$B$28+Inputs!$B$29)))</f>
        <v/>
      </c>
      <c r="E1320">
        <f>INDEX(FactorTable!$B$2:$Y$301, MATCH(ROUND(MIN(300,MAX(1,D1320)),0), FactorTable!$A$2:$A$301,0), Skills!L10+1)</f>
        <v/>
      </c>
      <c r="F1320">
        <f>IF(Skills!M10=TRUE,(Skills!K10/10)*(E1320/1000),Skills!K10/10)+Skills!N10</f>
        <v/>
      </c>
      <c r="G1320">
        <f>Calc!G10</f>
        <v/>
      </c>
      <c r="H1320">
        <f>Calc!H10</f>
        <v/>
      </c>
      <c r="I1320">
        <f>IF(Skills!T10&lt;&gt;"",1+(Skills!T10/10)*(Z1313/1000)/100,1)</f>
        <v/>
      </c>
      <c r="J1320">
        <f>((Inputs!$B$6*(1+Inputs!$B$7/100))+(((Inputs!$B$12*(1+Inputs!$B$13/100))-(Inputs!$B$12*(1+Inputs!$B$13/100)))+0.25*(Inputs!$B$14-Inputs!$B$14))*(1+Inputs!$B$7/100))*(F1320/100)</f>
        <v/>
      </c>
      <c r="K1320">
        <f>J1320*(1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10="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F1328-Calc!F18),(Inputs!$B$23+(IF(ArtifactsInput!$M$15,CHOOSE(ArtifactsInput!$N$15+1,25,30,35,40,45,50)/100*(Inputs!$B$11-Inputs!$B$11),0))))/100+(Inputs!$B$23+(IF(ArtifactsInput!$M$15,CHOOSE(ArtifactsInput!$N$15+1,25,30,35,40,45,50)/100*(Inputs!$B$11-Inputs!$B$11),0)))/100)/2</f>
        <v/>
      </c>
      <c r="M1320">
        <f>L1320*(1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(1-Summary!$B$11)*S1320+Summary!$B$11*U1320</f>
        <v/>
      </c>
      <c r="P1320">
        <f>IF(B1347=0,0,O1320/B1347)</f>
        <v/>
      </c>
      <c r="Q1320">
        <f>IFERROR(1/IF(Inputs!$B$38="pvp",15,MAX(0.1,Skills!D10-IF(Skills!E9=TRUE,Inputs!$B$32,0))),0)</f>
        <v/>
      </c>
      <c r="R1320">
        <f>IF(AND(Inputs!$B$38&lt;&gt;"pvp",Inputs!$B$43&gt;0),IF(MAX(0,Inputs!$B$43-B1344)&lt;=0,0,(INT(MAX(0,Inputs!$B$43-B1344)/IF(Inputs!$B$38="pvp",15,MAX(0.1,Skills!D10-IF(Skills!E9=TRUE,Inputs!$B$32,0))))+1)),0)</f>
        <v/>
      </c>
      <c r="S1320">
        <f>IF(C1320,(H1320*N1320*IF(AND(Inputs!$B$38&lt;&gt;"pvp",Inputs!$B$43&gt;0),((Skills!F10*((R1320-1)*IF(Skills!G10&gt;0,Skills!H10/Skills!G10,1)+IF(Skills!G10&gt;0,MIN(Skills!H10,MAX(0,MAX(0,Inputs!$B$43-B1344)-((R1320-1)*IF(Inputs!$B$38="pvp",15,MAX(0.1,Skills!D10-IF(Skills!E9=TRUE,Inputs!$B$32,0))))))/Skills!G10,1)))/Inputs!$B$43),G1320*Q1320))*IF(Inputs!$B$38="pvp",1,1+(Inputs!$B$20+Skills!O10+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1320*(1-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IF(C1320,(H1320*N1320*IF(AND(Inputs!$B$38&lt;&gt;"pvp",Inputs!$B$43&gt;0),((Skills!F10*((R1320-1)*IF(Skills!G10&gt;0,Skills!H10/Skills!G10,1)+IF(Skills!G10&gt;0,MIN(Skills!H10,MAX(0,MAX(0,Inputs!$B$43-B1344)-((R1320-1)*IF(Inputs!$B$38="pvp",15,MAX(0.1,Skills!D10-IF(Skills!E9=TRUE,Inputs!$B$32,0))))))/Skills!G10,1)))/Inputs!$B$43),G1320*Q1320))*IF(Inputs!$B$38="pvp",1,(1+(Inputs!$B$21+Skills!P10+B1338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Skills!A11</f>
        <v/>
      </c>
      <c r="B1321">
        <f>Skills!B11</f>
        <v/>
      </c>
      <c r="C1321">
        <f>Inputs!$B$3&gt;=107</f>
        <v/>
      </c>
      <c r="D1321">
        <f>IF(Skills!C11=1,60+Inputs!$B$25+Inputs!$B$29,IF(Skills!C11=2,90+Inputs!$B$26+Inputs!$B$29,IF(Skills!C11=3,120+Inputs!$B$27+Inputs!$B$29,MAX(0,(Inputs!$B$3-100)*3)+Inputs!$B$28+Inputs!$B$29)))</f>
        <v/>
      </c>
      <c r="E1321">
        <f>INDEX(FactorTable!$B$2:$Y$301, MATCH(ROUND(MIN(300,MAX(1,D1321)),0), FactorTable!$A$2:$A$301,0), Skills!L11+1)</f>
        <v/>
      </c>
      <c r="F1321">
        <f>IF(Skills!M11=TRUE,(Skills!K11/10)*(E1321/1000),Skills!K11/10)+Skills!N11</f>
        <v/>
      </c>
      <c r="G1321">
        <f>Calc!G11</f>
        <v/>
      </c>
      <c r="H1321">
        <f>Calc!H11</f>
        <v/>
      </c>
      <c r="I1321">
        <f>IF(Skills!T11&lt;&gt;"",1+(Skills!T11/10)*(Z1313/1000)/100,1)</f>
        <v/>
      </c>
      <c r="J1321">
        <f>((Inputs!$B$6*(1+Inputs!$B$7/100))+(((Inputs!$B$12*(1+Inputs!$B$13/100))-(Inputs!$B$12*(1+Inputs!$B$13/100)))+0.25*(Inputs!$B$14-Inputs!$B$14))*(1+Inputs!$B$7/100))*(F1321/100)</f>
        <v/>
      </c>
      <c r="K1321">
        <f>J1321*(1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11="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F1328-Calc!F18),(Inputs!$B$23+(IF(ArtifactsInput!$M$15,CHOOSE(ArtifactsInput!$N$15+1,25,30,35,40,45,50)/100*(Inputs!$B$11-Inputs!$B$11),0))))/100+(Inputs!$B$23+(IF(ArtifactsInput!$M$15,CHOOSE(ArtifactsInput!$N$15+1,25,30,35,40,45,50)/100*(Inputs!$B$11-Inputs!$B$11),0)))/100)/2</f>
        <v/>
      </c>
      <c r="M1321">
        <f>L1321*(1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(1-Summary!$B$11)*S1321+Summary!$B$11*U1321</f>
        <v/>
      </c>
      <c r="P1321">
        <f>IF(B1347=0,0,O1321/B1347)</f>
        <v/>
      </c>
      <c r="Q1321">
        <f>IFERROR(1/IF(Inputs!$B$38="pvp",15,MAX(0.1,Skills!D11-IF(Skills!E11=TRUE,Inputs!$B$32,0))),0)</f>
        <v/>
      </c>
      <c r="R1321">
        <f>IF(AND(Inputs!$B$38&lt;&gt;"pvp",Inputs!$B$43&gt;0),IF(MAX(0,Inputs!$B$43-B1344)&lt;=0,0,(INT(MAX(0,Inputs!$B$43-B1344)/IF(Inputs!$B$38="pvp",15,MAX(0.1,Skills!D11-IF(Skills!E11=TRUE,Inputs!$B$32,0))))+1)),0)</f>
        <v/>
      </c>
      <c r="S1321">
        <f>IF(C1321,H1321*N1321*IF(AND(Inputs!$B$38&lt;&gt;"pvp",Inputs!$B$43&gt;0),((Skills!F11*((R1321-1)*IF(Skills!G11&gt;0,Skills!H11/Skills!G11,1)+IF(Skills!G11&gt;0,MIN(Skills!H11,MAX(0,MAX(0,Inputs!$B$43-B1344)-((R1321-1)*IF(Inputs!$B$38="pvp",15,MAX(0.1,Skills!D11-IF(Skills!E11=TRUE,Inputs!$B$32,0))))))/Skills!G11,1)))/Inputs!$B$43),G1321*Q1321)*0.5*IF(Inputs!$B$38="pvp",1,1+(Inputs!$B$20+Skills!O11+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1321*(1-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F(C1321,H1321*N1321*IF(AND(Inputs!$B$38&lt;&gt;"pvp",Inputs!$B$43&gt;0),((Skills!F11*((R1321-1)*IF(Skills!G11&gt;0,Skills!H11/Skills!G11,1)+IF(Skills!G11&gt;0,MIN(Skills!H11,MAX(0,MAX(0,Inputs!$B$43-B1344)-((R1321-1)*IF(Inputs!$B$38="pvp",15,MAX(0.1,Skills!D11-IF(Skills!E11=TRUE,Inputs!$B$32,0))))))/Skills!G11,1)))/Inputs!$B$43),G1321*Q1321)*1*IF(Inputs!$B$38="pvp",1,(1+(Inputs!$B$21+Skills!P11+B1338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Skills!A12</f>
        <v/>
      </c>
      <c r="B1322">
        <f>Skills!B12</f>
        <v/>
      </c>
      <c r="C1322">
        <f>Inputs!$B$3&gt;=115</f>
        <v/>
      </c>
      <c r="D1322">
        <f>IF(Skills!C12=1,60+Inputs!$B$25+Inputs!$B$29,IF(Skills!C12=2,90+Inputs!$B$26+Inputs!$B$29,IF(Skills!C12=3,120+Inputs!$B$27+Inputs!$B$29,MAX(0,(Inputs!$B$3-100)*3)+Inputs!$B$28+Inputs!$B$29)))</f>
        <v/>
      </c>
      <c r="E1322">
        <f>INDEX(FactorTable!$B$2:$Y$301, MATCH(ROUND(MIN(300,MAX(1,D1322)),0), FactorTable!$A$2:$A$301,0), Skills!L12+1)</f>
        <v/>
      </c>
      <c r="F1322">
        <f>IF(Skills!M12=TRUE,(Skills!K12/10)*(E1322/1000),Skills!K12/10)+Skills!N12</f>
        <v/>
      </c>
      <c r="G1322">
        <f>Calc!G12</f>
        <v/>
      </c>
      <c r="H1322">
        <f>Calc!H12</f>
        <v/>
      </c>
      <c r="I1322">
        <f>IF(Skills!T12&lt;&gt;"",1+(Skills!T12/10)*(Z1313/1000)/100,1)</f>
        <v/>
      </c>
      <c r="J1322">
        <f>((Inputs!$B$6*(1+Inputs!$B$7/100))+(((Inputs!$B$12*(1+Inputs!$B$13/100))-(Inputs!$B$12*(1+Inputs!$B$13/100)))+0.25*(Inputs!$B$14-Inputs!$B$14))*(1+Inputs!$B$7/100))*(F1322/100)</f>
        <v/>
      </c>
      <c r="K1322">
        <f>J1322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12="CHAIN_LIGHTNING",Inputs!$B$17+((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F1328-Calc!F18),(Inputs!$B$23+(IF(ArtifactsInput!$M$15,CHOOSE(ArtifactsInput!$N$15+1,25,30,35,40,45,50)/100*(Inputs!$B$11-Inputs!$B$11),0))))/100+(Inputs!$B$23+(IF(ArtifactsInput!$M$15,CHOOSE(ArtifactsInput!$N$15+1,25,30,35,40,45,50)/100*(Inputs!$B$11-Inputs!$B$11),0)))/100)/2</f>
        <v/>
      </c>
      <c r="M1322">
        <f>L1322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(1-Summary!$B$11)*S1322+Summary!$B$11*U1322</f>
        <v/>
      </c>
      <c r="P1322">
        <f>IF(B1347=0,0,O1322/B1347)</f>
        <v/>
      </c>
      <c r="Q1322">
        <f>IFERROR(1/IF(Inputs!$B$38="pvp",15,MAX(0.1,Skills!D12-IF(Skills!E12=TRUE,Inputs!$B$32,0))),0)</f>
        <v/>
      </c>
      <c r="R1322">
        <f>IF(AND(Inputs!$B$38&lt;&gt;"pvp",Inputs!$B$43&gt;0),IF(MAX(0,Inputs!$B$43-B1344)&lt;=0,0,(INT(MAX(0,Inputs!$B$43-B1344)/IF(Inputs!$B$38="pvp",15,MAX(0.1,Skills!D12-IF(Skills!E12=TRUE,Inputs!$B$32,0))))+1)),0)</f>
        <v/>
      </c>
      <c r="S1322">
        <f>IF(C1322,(H1322*N1322*IF(AND(Inputs!$B$38&lt;&gt;"pvp",Inputs!$B$43&gt;0),((Skills!F12*((R1322-1)*IF(Skills!G12&gt;0,Skills!H12/Skills!G12,1)+IF(Skills!G12&gt;0,MIN(Skills!H12,MAX(0,MAX(0,Inputs!$B$43-B1344)-((R1322-1)*IF(Inputs!$B$38="pvp",15,MAX(0.1,Skills!D12-IF(Skills!E12=TRUE,Inputs!$B$32,0))))))/Skills!G12,1)))/Inputs!$B$43),G1322*Q1322))*IF(Inputs!$B$38="pvp",1,1+(Inputs!$B$20+Skills!O12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1322*(1-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F1330-Calc!F20)+(F1329-Calc!F19))+(ArtifactsInput!$M$24-ArtifactsInput!$M$24)*CHOOSE(ArtifactsInput!$N$24+1,10,12,14,16,18,20)+(IF(AND(Inputs!$B$38&lt;&gt;"pvp",Inputs!$B$43=0),1,IF(IF(Inputs!$B$38="pvp",15,Inputs!$B$43)-(B1344)&lt;=0,1,MAX(0,IF(Inputs!$B$38="pvp",15,Inputs!$B$43)-MAX(5,B1344))/(IF(Inputs!$B$38="pvp",15,Inputs!$B$43)-(B1344)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F(C1322,(H1322*N1322*IF(AND(Inputs!$B$38&lt;&gt;"pvp",Inputs!$B$43&gt;0),((Skills!F12*((R1322-1)*IF(Skills!G12&gt;0,Skills!H12/Skills!G12,1)+IF(Skills!G12&gt;0,MIN(Skills!H12,MAX(0,MAX(0,Inputs!$B$43-B1344)-((R1322-1)*IF(Inputs!$B$38="pvp",15,MAX(0.1,Skills!D12-IF(Skills!E12=TRUE,Inputs!$B$32,0))))))/Skills!G12,1)))/Inputs!$B$43),G1322*Q1322))*IF(Inputs!$B$38="pvp",1,(1+(Inputs!$B$21+Skills!P12+B1338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Skills!A13</f>
        <v/>
      </c>
      <c r="B1323">
        <f>Skills!B13</f>
        <v/>
      </c>
      <c r="C1323">
        <f>Inputs!$B$3&gt;=49</f>
        <v/>
      </c>
      <c r="D1323">
        <f>IF(Skills!C13=1,60+Inputs!$B$25+Inputs!$B$29,IF(Skills!C13=2,90+Inputs!$B$26+Inputs!$B$29,IF(Skills!C13=3,120+Inputs!$B$27+Inputs!$B$29,MAX(0,(Inputs!$B$3-100)*3)+Inputs!$B$28+Inputs!$B$29)))</f>
        <v/>
      </c>
      <c r="E1323">
        <f>INDEX(FactorTable!$B$2:$Y$301, MATCH(ROUND(MIN(300,MAX(1,D1323)),0), FactorTable!$A$2:$A$301,0), Skills!L13+1)</f>
        <v/>
      </c>
      <c r="F1323">
        <f>IF(Skills!M13=TRUE,(Skills!K13/10)*(E1323/1000),Skills!K13/10)+Skills!N13</f>
        <v/>
      </c>
      <c r="G1323">
        <f>Calc!G13</f>
        <v/>
      </c>
      <c r="H1323">
        <f>Calc!H13</f>
        <v/>
      </c>
      <c r="I1323">
        <f>IF(Skills!T13&lt;&gt;"",1+(Skills!T13/10)*(Z1313/1000)/100,1)</f>
        <v/>
      </c>
      <c r="J1323" t="inlineStr"/>
      <c r="K1323" t="inlineStr"/>
      <c r="L1323" t="inlineStr"/>
      <c r="M1323" t="inlineStr"/>
      <c r="N1323" t="inlineStr"/>
      <c r="O1323">
        <f>(1-Summary!$B$11)*S1323+Summary!$B$11*U1323</f>
        <v/>
      </c>
      <c r="P1323">
        <f>IF(B1347=0,0,O1323/B1347)</f>
        <v/>
      </c>
      <c r="Q1323">
        <f>IFERROR(1/IF(Inputs!$B$38="pvp",15,MAX(0.1,Skills!D13-IF(Skills!E13=TRUE,Inputs!$B$32,0))),0)</f>
        <v/>
      </c>
      <c r="R1323" t="n">
        <v>0</v>
      </c>
      <c r="S1323" t="n">
        <v>0</v>
      </c>
      <c r="U1323" t="n">
        <v>0</v>
      </c>
    </row>
    <row r="1324">
      <c r="A1324">
        <f>Skills!A14</f>
        <v/>
      </c>
      <c r="B1324">
        <f>Skills!B14</f>
        <v/>
      </c>
      <c r="C1324">
        <f>Inputs!$B$3&gt;=72</f>
        <v/>
      </c>
      <c r="D1324">
        <f>IF(Skills!C14=1,60+Inputs!$B$25+Inputs!$B$29,IF(Skills!C14=2,90+Inputs!$B$26+Inputs!$B$29,IF(Skills!C14=3,120+Inputs!$B$27+Inputs!$B$29,MAX(0,(Inputs!$B$3-100)*3)+Inputs!$B$28+Inputs!$B$29)))</f>
        <v/>
      </c>
      <c r="E1324">
        <f>INDEX(FactorTable!$B$2:$Y$301, MATCH(ROUND(MIN(300,MAX(1,D1324)),0), FactorTable!$A$2:$A$301,0), Skills!L14+1)</f>
        <v/>
      </c>
      <c r="F1324">
        <f>IF(Skills!M14=TRUE,(Skills!K14/10)*(E1324/1000),Skills!K14/10)+Skills!N14</f>
        <v/>
      </c>
      <c r="G1324">
        <f>Calc!G14</f>
        <v/>
      </c>
      <c r="H1324">
        <f>Calc!H14</f>
        <v/>
      </c>
      <c r="I1324">
        <f>IF(Skills!T14&lt;&gt;"",1+(Skills!T14/10)*(Z1313/1000)/100,1)</f>
        <v/>
      </c>
      <c r="J1324" t="inlineStr"/>
      <c r="K1324" t="inlineStr"/>
      <c r="L1324" t="inlineStr"/>
      <c r="M1324" t="inlineStr"/>
      <c r="N1324" t="inlineStr"/>
      <c r="O1324">
        <f>(1-Summary!$B$11)*S1324+Summary!$B$11*U1324</f>
        <v/>
      </c>
      <c r="P1324">
        <f>IF(B1347=0,0,O1324/B1347)</f>
        <v/>
      </c>
      <c r="Q1324">
        <f>IFERROR(1/IF(Inputs!$B$38="pvp",15,MAX(0.1,Skills!D14-IF(Skills!E14=TRUE,Inputs!$B$32,0))),0)</f>
        <v/>
      </c>
      <c r="R1324" t="n">
        <v>0</v>
      </c>
      <c r="S1324" t="n">
        <v>0</v>
      </c>
      <c r="U1324" t="n">
        <v>0</v>
      </c>
    </row>
    <row r="1325">
      <c r="A1325">
        <f>Skills!A15</f>
        <v/>
      </c>
      <c r="B1325">
        <f>Skills!B15</f>
        <v/>
      </c>
      <c r="C1325">
        <f>Inputs!$B$3&gt;=75</f>
        <v/>
      </c>
      <c r="D1325">
        <f>IF(Skills!C15=1,60+Inputs!$B$25+Inputs!$B$29,IF(Skills!C15=2,90+Inputs!$B$26+Inputs!$B$29,IF(Skills!C15=3,120+Inputs!$B$27+Inputs!$B$29,MAX(0,(Inputs!$B$3-100)*3)+Inputs!$B$28+Inputs!$B$29)))</f>
        <v/>
      </c>
      <c r="E1325">
        <f>INDEX(FactorTable!$B$2:$Y$301, MATCH(ROUND(MIN(300,MAX(1,D1325)),0), FactorTable!$A$2:$A$301,0), Skills!L15+1)</f>
        <v/>
      </c>
      <c r="F1325">
        <f>IF(Skills!M15=TRUE,(Skills!K15/10)*(E1325/1000),Skills!K15/10)+Skills!N15</f>
        <v/>
      </c>
      <c r="G1325">
        <f>Calc!G15</f>
        <v/>
      </c>
      <c r="H1325">
        <f>Calc!H15</f>
        <v/>
      </c>
      <c r="I1325">
        <f>IF(Skills!T15&lt;&gt;"",1+(Skills!T15/10)*(Z1313/1000)/100,1)</f>
        <v/>
      </c>
      <c r="J1325" t="inlineStr"/>
      <c r="K1325" t="inlineStr"/>
      <c r="L1325" t="inlineStr"/>
      <c r="M1325" t="inlineStr"/>
      <c r="N1325" t="inlineStr"/>
      <c r="O1325">
        <f>(1-Summary!$B$11)*S1325+Summary!$B$11*U1325</f>
        <v/>
      </c>
      <c r="P1325">
        <f>IF(B1347=0,0,O1325/B1347)</f>
        <v/>
      </c>
      <c r="Q1325">
        <f>IFERROR(1/IF(Inputs!$B$38="pvp",15,MAX(0.1,Skills!D15-IF(Skills!E15=TRUE,Inputs!$B$32,0))),0)</f>
        <v/>
      </c>
      <c r="R1325" t="n">
        <v>0</v>
      </c>
      <c r="S1325" t="n">
        <v>0</v>
      </c>
      <c r="U1325" t="n">
        <v>0</v>
      </c>
    </row>
    <row r="1326">
      <c r="A1326">
        <f>Skills!A16</f>
        <v/>
      </c>
      <c r="B1326">
        <f>Skills!B16</f>
        <v/>
      </c>
      <c r="C1326">
        <f>Inputs!$B$3&gt;=110</f>
        <v/>
      </c>
      <c r="D1326">
        <f>IF(Skills!C16=1,60+Inputs!$B$25+Inputs!$B$29,IF(Skills!C16=2,90+Inputs!$B$26+Inputs!$B$29,IF(Skills!C16=3,120+Inputs!$B$27+Inputs!$B$29,MAX(0,(Inputs!$B$3-100)*3)+Inputs!$B$28+Inputs!$B$29)))</f>
        <v/>
      </c>
      <c r="E1326">
        <f>INDEX(FactorTable!$B$2:$Y$301, MATCH(ROUND(MIN(300,MAX(1,D1326)),0), FactorTable!$A$2:$A$301,0), Skills!L16+1)</f>
        <v/>
      </c>
      <c r="F1326">
        <f>(Skills!K16/10)*(E1326/1000)*64/45+Skills!N16</f>
        <v/>
      </c>
      <c r="G1326">
        <f>Calc!G16</f>
        <v/>
      </c>
      <c r="H1326">
        <f>Calc!H16</f>
        <v/>
      </c>
      <c r="I1326">
        <f>IF(Skills!T16&lt;&gt;"",1+(Skills!T16/10)*(Z1313/1000)/100,1)</f>
        <v/>
      </c>
      <c r="J1326" t="inlineStr"/>
      <c r="K1326" t="inlineStr"/>
      <c r="L1326" t="inlineStr"/>
      <c r="M1326" t="inlineStr"/>
      <c r="N1326" t="inlineStr"/>
      <c r="O1326">
        <f>(1-Summary!$B$11)*S1326+Summary!$B$11*U1326</f>
        <v/>
      </c>
      <c r="P1326">
        <f>IF(B1347=0,0,O1326/B1347)</f>
        <v/>
      </c>
      <c r="Q1326">
        <f>IFERROR(1/IF(Inputs!$B$38="pvp",15,MAX(0.1,Skills!D16-IF(Skills!E16=TRUE,Inputs!$B$32,0))),0)</f>
        <v/>
      </c>
      <c r="R1326">
        <f>IF(AND(Inputs!$B$38&lt;&gt;"pvp",Inputs!$B$43&gt;0),IF(Inputs!$B$43&lt;=0,0,(INT(Inputs!$B$43/IF(Inputs!$B$38="pvp",15,MAX(0.1,Skills!D16-IF(Skills!E16=TRUE,Inputs!$B$32,0))))+1)),0)</f>
        <v/>
      </c>
      <c r="S1326" t="n">
        <v>0</v>
      </c>
      <c r="U1326" t="n">
        <v>0</v>
      </c>
    </row>
    <row r="1327">
      <c r="A1327">
        <f>Skills!A17</f>
        <v/>
      </c>
      <c r="B1327">
        <f>Skills!B17</f>
        <v/>
      </c>
      <c r="C1327">
        <f>Inputs!$B$3&gt;=33</f>
        <v/>
      </c>
      <c r="D1327">
        <f>IF(Skills!C17=1,60+Inputs!$B$25+Inputs!$B$29,IF(Skills!C17=2,90+Inputs!$B$26+Inputs!$B$29,IF(Skills!C17=3,120+Inputs!$B$27+Inputs!$B$29,MAX(0,(Inputs!$B$3-100)*3)+Inputs!$B$28+Inputs!$B$29)))</f>
        <v/>
      </c>
      <c r="E1327">
        <f>INDEX(FactorTable!$B$2:$Y$301, MATCH(ROUND(MIN(300,MAX(1,D1327)),0), FactorTable!$A$2:$A$301,0), Skills!L17+1)</f>
        <v/>
      </c>
      <c r="F1327">
        <f>IF(Skills!M17=TRUE,(Skills!K17/10)*(E1327/1000),Skills!K17/10)+Skills!N17</f>
        <v/>
      </c>
      <c r="G1327">
        <f>Calc!G17</f>
        <v/>
      </c>
      <c r="H1327">
        <f>Calc!H17</f>
        <v/>
      </c>
      <c r="I1327">
        <f>IF(Skills!T17&lt;&gt;"",1+(Skills!T17/10)*(Z1313/1000)/100,1)</f>
        <v/>
      </c>
      <c r="J1327" t="inlineStr"/>
      <c r="K1327" t="inlineStr"/>
      <c r="L1327" t="inlineStr"/>
      <c r="M1327" t="inlineStr"/>
      <c r="N1327" t="inlineStr"/>
      <c r="O1327">
        <f>(1-Summary!$B$11)*S1327+Summary!$B$11*U1327</f>
        <v/>
      </c>
      <c r="P1327">
        <f>IF(B1347=0,0,O1327/B1347)</f>
        <v/>
      </c>
      <c r="Q1327">
        <f>IFERROR(1/IF(Inputs!$B$38="pvp",15,MAX(0.1,Skills!D17-IF(Skills!E17=TRUE,Inputs!$B$32,0))),0)</f>
        <v/>
      </c>
      <c r="R1327" t="n">
        <v>0</v>
      </c>
      <c r="S1327" t="n">
        <v>0</v>
      </c>
      <c r="U1327" t="n">
        <v>0</v>
      </c>
    </row>
    <row r="1328">
      <c r="A1328">
        <f>Skills!A18</f>
        <v/>
      </c>
      <c r="B1328">
        <f>Skills!B18</f>
        <v/>
      </c>
      <c r="C1328">
        <f>Inputs!$B$3&gt;=43</f>
        <v/>
      </c>
      <c r="D1328">
        <f>IF(Skills!C18=1,60+Inputs!$B$25+Inputs!$B$29,IF(Skills!C18=2,90+Inputs!$B$26+Inputs!$B$29,IF(Skills!C18=3,120+Inputs!$B$27+Inputs!$B$29,MAX(0,(Inputs!$B$3-100)*3)+Inputs!$B$28+Inputs!$B$29)))</f>
        <v/>
      </c>
      <c r="E1328">
        <f>INDEX(FactorTable!$B$2:$Y$301, MATCH(ROUND(MIN(300,MAX(1,D1328)),0), FactorTable!$A$2:$A$301,0), Skills!L18+1)</f>
        <v/>
      </c>
      <c r="F1328">
        <f>IF(Skills!M18=TRUE,(Skills!K18/10)*(E1328/1000),Skills!K18/10)+Skills!N18</f>
        <v/>
      </c>
      <c r="G1328">
        <f>Calc!G18</f>
        <v/>
      </c>
      <c r="H1328">
        <f>Calc!H18</f>
        <v/>
      </c>
      <c r="I1328">
        <f>IF(Skills!T18&lt;&gt;"",1+(Skills!T18/10)*(Z1313/1000)/100,1)</f>
        <v/>
      </c>
      <c r="J1328" t="inlineStr"/>
      <c r="K1328" t="inlineStr"/>
      <c r="L1328" t="inlineStr"/>
      <c r="M1328" t="inlineStr"/>
      <c r="N1328" t="inlineStr"/>
      <c r="O1328">
        <f>(1-Summary!$B$11)*S1328+Summary!$B$11*U1328</f>
        <v/>
      </c>
      <c r="P1328">
        <f>IF(B1347=0,0,O1328/B1347)</f>
        <v/>
      </c>
      <c r="Q1328">
        <f>IFERROR(1/IF(Inputs!$B$38="pvp",15,MAX(0.1,Skills!D18-IF(Skills!E18=TRUE,Inputs!$B$32,0))),0)</f>
        <v/>
      </c>
      <c r="R1328" t="n">
        <v>0</v>
      </c>
      <c r="S1328" t="n">
        <v>0</v>
      </c>
      <c r="U1328" t="n">
        <v>0</v>
      </c>
    </row>
    <row r="1329">
      <c r="A1329">
        <f>Skills!A19</f>
        <v/>
      </c>
      <c r="B1329">
        <f>Skills!B19</f>
        <v/>
      </c>
      <c r="C1329">
        <f>Inputs!$B$3&gt;=50</f>
        <v/>
      </c>
      <c r="D1329">
        <f>IF(Skills!C19=1,60+Inputs!$B$25+Inputs!$B$29,IF(Skills!C19=2,90+Inputs!$B$26+Inputs!$B$29,IF(Skills!C19=3,120+Inputs!$B$27+Inputs!$B$29,MAX(0,(Inputs!$B$3-100)*3)+Inputs!$B$28+Inputs!$B$29)))</f>
        <v/>
      </c>
      <c r="E1329">
        <f>INDEX(FactorTable!$B$2:$Y$301, MATCH(ROUND(MIN(300,MAX(1,D1329)),0), FactorTable!$A$2:$A$301,0), Skills!L19+1)</f>
        <v/>
      </c>
      <c r="F1329">
        <f>IF(Skills!M19=TRUE,(Skills!K19/10)*(E1329/1000),Skills!K19/10)+Skills!N19</f>
        <v/>
      </c>
      <c r="G1329">
        <f>Calc!G19</f>
        <v/>
      </c>
      <c r="H1329">
        <f>Calc!H19</f>
        <v/>
      </c>
      <c r="I1329">
        <f>IF(Skills!T19&lt;&gt;"",1+(Skills!T19/10)*(Z1313/1000)/100,1)</f>
        <v/>
      </c>
      <c r="J1329" t="inlineStr"/>
      <c r="K1329" t="inlineStr"/>
      <c r="L1329" t="inlineStr"/>
      <c r="M1329" t="inlineStr"/>
      <c r="N1329" t="inlineStr"/>
      <c r="O1329">
        <f>(1-Summary!$B$11)*S1329+Summary!$B$11*U1329</f>
        <v/>
      </c>
      <c r="P1329">
        <f>IF(B1347=0,0,O1329/B1347)</f>
        <v/>
      </c>
      <c r="Q1329">
        <f>IFERROR(1/IF(Inputs!$B$38="pvp",15,MAX(0.1,Skills!D19-IF(Skills!E19=TRUE,Inputs!$B$32,0))),0)</f>
        <v/>
      </c>
      <c r="R1329" t="n">
        <v>0</v>
      </c>
      <c r="S1329" t="n">
        <v>0</v>
      </c>
      <c r="U1329" t="n">
        <v>0</v>
      </c>
    </row>
    <row r="1330">
      <c r="A1330">
        <f>Skills!A20</f>
        <v/>
      </c>
      <c r="B1330">
        <f>Skills!B20</f>
        <v/>
      </c>
      <c r="C1330">
        <f>Inputs!$B$3&gt;=74</f>
        <v/>
      </c>
      <c r="D1330">
        <f>IF(Skills!C20=1,60+Inputs!$B$25+Inputs!$B$29,IF(Skills!C20=2,90+Inputs!$B$26+Inputs!$B$29,IF(Skills!C20=3,120+Inputs!$B$27+Inputs!$B$29,MAX(0,(Inputs!$B$3-100)*3)+Inputs!$B$28+Inputs!$B$29)))</f>
        <v/>
      </c>
      <c r="E1330">
        <f>INDEX(FactorTable!$B$2:$Y$301, MATCH(ROUND(MIN(300,MAX(1,D1330)),0), FactorTable!$A$2:$A$301,0), Skills!L20+1)</f>
        <v/>
      </c>
      <c r="F1330">
        <f>IF(Skills!M20=TRUE,(Skills!K20/10)*(E1330/1000),Skills!K20/10)+Skills!N20</f>
        <v/>
      </c>
      <c r="G1330">
        <f>Calc!G20</f>
        <v/>
      </c>
      <c r="H1330">
        <f>Calc!H20</f>
        <v/>
      </c>
      <c r="I1330">
        <f>IF(Skills!T20&lt;&gt;"",1+(Skills!T20/10)*(Z1313/1000)/100,1)</f>
        <v/>
      </c>
      <c r="J1330" t="inlineStr"/>
      <c r="K1330" t="inlineStr"/>
      <c r="L1330" t="inlineStr"/>
      <c r="M1330" t="inlineStr"/>
      <c r="N1330" t="inlineStr"/>
      <c r="O1330">
        <f>(1-Summary!$B$11)*S1330+Summary!$B$11*U1330</f>
        <v/>
      </c>
      <c r="P1330">
        <f>IF(B1347=0,0,O1330/B1347)</f>
        <v/>
      </c>
      <c r="Q1330">
        <f>IFERROR(1/IF(Inputs!$B$38="pvp",15,MAX(0.1,Skills!D20-IF(Skills!E20=TRUE,Inputs!$B$32,0))),0)</f>
        <v/>
      </c>
      <c r="R1330" t="n">
        <v>0</v>
      </c>
      <c r="S1330" t="n">
        <v>0</v>
      </c>
      <c r="U1330" t="n">
        <v>0</v>
      </c>
    </row>
    <row r="1331">
      <c r="A1331">
        <f>Skills!A21</f>
        <v/>
      </c>
      <c r="B1331">
        <f>Skills!B21</f>
        <v/>
      </c>
      <c r="C1331">
        <f>Inputs!$B$3&gt;=74</f>
        <v/>
      </c>
      <c r="D1331">
        <f>IF(Skills!C21=1,60+Inputs!$B$25+Inputs!$B$29,IF(Skills!C21=2,90+Inputs!$B$26+Inputs!$B$29,IF(Skills!C21=3,120+Inputs!$B$27+Inputs!$B$29,MAX(0,(Inputs!$B$3-100)*3)+Inputs!$B$28+Inputs!$B$29)))</f>
        <v/>
      </c>
      <c r="E1331">
        <f>INDEX(FactorTable!$B$2:$Y$301, MATCH(ROUND(MIN(300,MAX(1,D1331)),0), FactorTable!$A$2:$A$301,0), Skills!L21+1)</f>
        <v/>
      </c>
      <c r="F1331">
        <f>IF(Skills!M21=TRUE,(Skills!K21/10)*(E1331/1000),Skills!K21/10)+Skills!N21</f>
        <v/>
      </c>
      <c r="G1331">
        <f>Calc!G21</f>
        <v/>
      </c>
      <c r="H1331">
        <f>Calc!H21</f>
        <v/>
      </c>
      <c r="I1331">
        <f>IF(Skills!T21&lt;&gt;"",1+(Skills!T21/10)*(Z1313/1000)/100,1)</f>
        <v/>
      </c>
      <c r="J1331" t="inlineStr"/>
      <c r="K1331" t="inlineStr"/>
      <c r="L1331" t="inlineStr"/>
      <c r="M1331" t="inlineStr"/>
      <c r="N1331" t="inlineStr"/>
      <c r="O1331">
        <f>(1-Summary!$B$11)*S1331+Summary!$B$11*U1331</f>
        <v/>
      </c>
      <c r="P1331">
        <f>IF(B1347=0,0,O1331/B1347)</f>
        <v/>
      </c>
      <c r="Q1331">
        <f>IFERROR(1/IF(Inputs!$B$38="pvp",15,MAX(0.1,Skills!D21-IF(Skills!E21=TRUE,Inputs!$B$32,0))),0)</f>
        <v/>
      </c>
      <c r="R1331" t="n">
        <v>0</v>
      </c>
      <c r="S1331" t="n">
        <v>0</v>
      </c>
      <c r="U1331" t="n">
        <v>0</v>
      </c>
    </row>
    <row r="1332">
      <c r="A1332">
        <f>Skills!A22</f>
        <v/>
      </c>
      <c r="B1332">
        <f>Skills!B22</f>
        <v/>
      </c>
      <c r="C1332">
        <f>Inputs!$B$3&gt;=117</f>
        <v/>
      </c>
      <c r="D1332">
        <f>IF(Skills!C22=1,60+Inputs!$B$25+Inputs!$B$29,IF(Skills!C22=2,90+Inputs!$B$26+Inputs!$B$29,IF(Skills!C22=3,120+Inputs!$B$27+Inputs!$B$29,MAX(0,(Inputs!$B$3-100)*3)+Inputs!$B$28+Inputs!$B$29)))</f>
        <v/>
      </c>
      <c r="E1332">
        <f>INDEX(FactorTable!$B$2:$Y$301, MATCH(ROUND(MIN(300,MAX(1,D1332)),0), FactorTable!$A$2:$A$301,0), Skills!L22+1)</f>
        <v/>
      </c>
      <c r="F1332">
        <f>IF(Skills!M22=TRUE,(Skills!K22/10)*(E1332/1000),Skills!K22/10)+Skills!N22</f>
        <v/>
      </c>
      <c r="G1332">
        <f>Calc!G22</f>
        <v/>
      </c>
      <c r="H1332">
        <f>Calc!H22</f>
        <v/>
      </c>
      <c r="I1332">
        <f>IF(Skills!T22&lt;&gt;"",1+(Skills!T22/10)*(Z1313/1000)/100,1)</f>
        <v/>
      </c>
      <c r="J1332" t="inlineStr"/>
      <c r="K1332" t="inlineStr"/>
      <c r="L1332" t="inlineStr"/>
      <c r="M1332" t="inlineStr"/>
      <c r="N1332" t="inlineStr"/>
      <c r="O1332">
        <f>(1-Summary!$B$11)*S1332+Summary!$B$11*U1332</f>
        <v/>
      </c>
      <c r="P1332">
        <f>IF(B1347=0,0,O1332/B1347)</f>
        <v/>
      </c>
      <c r="Q1332">
        <f>IFERROR(1/IF(Inputs!$B$38="pvp",15,MAX(0.1,Skills!D22-IF(Skills!E22=TRUE,Inputs!$B$32,0))),0)</f>
        <v/>
      </c>
      <c r="R1332" t="n">
        <v>0</v>
      </c>
      <c r="S1332" t="n">
        <v>0</v>
      </c>
      <c r="U1332" t="n">
        <v>0</v>
      </c>
    </row>
    <row r="1333">
      <c r="A1333">
        <f>Skills!A23</f>
        <v/>
      </c>
      <c r="B1333">
        <f>Skills!B23</f>
        <v/>
      </c>
      <c r="C1333">
        <f>Inputs!$B$3&gt;=120</f>
        <v/>
      </c>
      <c r="D1333">
        <f>IF(Skills!C23=1,60+Inputs!$B$25+Inputs!$B$29,IF(Skills!C23=2,90+Inputs!$B$26+Inputs!$B$29,IF(Skills!C23=3,120+Inputs!$B$27+Inputs!$B$29,MAX(0,(Inputs!$B$3-100)*3)+Inputs!$B$28+Inputs!$B$29)))</f>
        <v/>
      </c>
      <c r="E1333">
        <f>INDEX(FactorTable!$B$2:$Y$301, MATCH(ROUND(MIN(300,MAX(1,D1333)),0), FactorTable!$A$2:$A$301,0), Skills!L23+1)</f>
        <v/>
      </c>
      <c r="F1333">
        <f>IF(Skills!M23=TRUE,(Skills!K23/10)*(E1333/1000),Skills!K23/10)+Skills!N23</f>
        <v/>
      </c>
      <c r="G1333">
        <f>Calc!G23</f>
        <v/>
      </c>
      <c r="H1333">
        <f>Calc!H23</f>
        <v/>
      </c>
      <c r="I1333">
        <f>IF(Skills!T23&lt;&gt;"",1+(Skills!T23/10)*(Z1313/1000)/100,1)</f>
        <v/>
      </c>
      <c r="J1333" t="inlineStr"/>
      <c r="K1333" t="inlineStr"/>
      <c r="L1333" t="inlineStr"/>
      <c r="M1333" t="inlineStr"/>
      <c r="N1333" t="inlineStr"/>
      <c r="O1333">
        <f>(1-Summary!$B$11)*S1333+Summary!$B$11*U1333</f>
        <v/>
      </c>
      <c r="P1333">
        <f>IF(B1347=0,0,O1333/B1347)</f>
        <v/>
      </c>
      <c r="Q1333">
        <f>IFERROR(1/IF(Inputs!$B$38="pvp",15,MAX(0.1,Skills!D23-IF(Skills!E23=TRUE,Inputs!$B$32,0))),0)</f>
        <v/>
      </c>
      <c r="R1333" t="n">
        <v>0</v>
      </c>
      <c r="S1333" t="n">
        <v>0</v>
      </c>
      <c r="U1333" t="n">
        <v>0</v>
      </c>
    </row>
    <row r="1334">
      <c r="A1334">
        <f>Skills!A24</f>
        <v/>
      </c>
      <c r="B1334">
        <f>Skills!B24</f>
        <v/>
      </c>
      <c r="C1334">
        <f>TRUE</f>
        <v/>
      </c>
      <c r="D1334">
        <f>IF(Skills!C24=1,60+Inputs!$B$25+Inputs!$B$29,IF(Skills!C24=2,90+Inputs!$B$26+Inputs!$B$29,IF(Skills!C24=3,120+Inputs!$B$27+Inputs!$B$29,MAX(0,(Inputs!$B$3-100)*3)+Inputs!$B$28+Inputs!$B$29)))</f>
        <v/>
      </c>
      <c r="E1334">
        <f>INDEX(FactorTable!$B$2:$Y$301, MATCH(ROUND(MIN(300,MAX(1,D1334)),0), FactorTable!$A$2:$A$301,0), Skills!L24+1)</f>
        <v/>
      </c>
      <c r="F1334">
        <f>IF(Skills!M24=TRUE,(Skills!K24/10)*(E1334/1000),Skills!K24/10)+Skills!N24</f>
        <v/>
      </c>
      <c r="G1334">
        <f>Calc!G24</f>
        <v/>
      </c>
      <c r="H1334">
        <f>Calc!H24</f>
        <v/>
      </c>
      <c r="I1334">
        <f>IF(Skills!T24&lt;&gt;"",1+(Skills!T24/10)*(Z1313/1000)/100,1)</f>
        <v/>
      </c>
      <c r="J1334" t="inlineStr"/>
      <c r="K1334" t="inlineStr"/>
      <c r="L1334" t="inlineStr"/>
      <c r="M1334" t="inlineStr"/>
      <c r="N1334" t="inlineStr"/>
      <c r="O1334">
        <f>(1-Summary!$B$11)*S1334+Summary!$B$11*U1334</f>
        <v/>
      </c>
      <c r="P1334">
        <f>IF(B1347=0,0,O1334/B1347)</f>
        <v/>
      </c>
      <c r="Q1334">
        <f>IFERROR(1/IF(Inputs!$B$38="pvp",15,MAX(0.1,Skills!D24-IF(Skills!E24=TRUE,Inputs!$B$32,0))),0)</f>
        <v/>
      </c>
      <c r="R1334">
        <f>IF(AND(Inputs!$B$38&lt;&gt;"pvp",Inputs!$B$43&gt;0),IF(Inputs!$B$43&lt;=0,0,(INT(Inputs!$B$43/IF(Inputs!$B$38="pvp",15,MAX(0.1,Skills!D24-IF(Skills!E24=TRUE,Inputs!$B$32,0))))+1)),0)</f>
        <v/>
      </c>
      <c r="S1334" t="n">
        <v>0</v>
      </c>
      <c r="U1334" t="n">
        <v>0</v>
      </c>
    </row>
    <row r="1337">
      <c r="A1337" t="inlineStr">
        <is>
          <t>Average Buff Multiplier (Magic Guard + Meditation + Artifact Attack%, summed; then Infinity)</t>
        </is>
      </c>
      <c r="B1337">
        <f>(1+(IF(C1313=TRUE,F1313*IF(AND(Inputs!$B$38&lt;&gt;"pvp",Inputs!$B$43&gt;0),(((R1313-1)*(Skills!S3*(1+(Inputs!$B$34)/100))+MIN((Skills!S3*(1+(Inputs!$B$34)/100)),MAX(0,Inputs!$B$43-((R1313-1)*Skills!D3))))/Inputs!$B$43),IF(Inputs!$B$38="pvp",MIN((Skills!S3*(1+(Inputs!$B$34)/100)),15)/15,(Skills!S3*(1+(Inputs!$B$34)/100))/Skills!D3)),0)+IF(C1314=TRUE,F1314*IF(AND(Inputs!$B$38&lt;&gt;"pvp",Inputs!$B$43&gt;0),(((R1314-1)*(Skills!S4*(1+(Inputs!$B$34)/100))+MIN((Skills!S4*(1+(Inputs!$B$34)/100)),MAX(0,Inputs!$B$43-((R1314-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1326=TRUE,(1+F1326*IF(AND(Inputs!$B$38&lt;&gt;"pvp",Inputs!$B$43&gt;0),(((R1326-1)*(Skills!S16*(1+(Inputs!$B$34)/100))+MIN((Skills!S16*(1+(Inputs!$B$34)/100)),MAX(0,Inputs!$B$43-((R1326-1)*Skills!D16))))/Inputs!$B$43),IF(Inputs!$B$38="pvp",MIN((Skills!S16*(1+(Inputs!$B$34)/100)),15)/15,(Skills!S16*(1+(Inputs!$B$34)/100))/Skills!D16))/100),1)</f>
        <v/>
      </c>
    </row>
    <row r="1338">
      <c r="A1338" t="inlineStr">
        <is>
          <t>Monster Damage Taken Bonus % (Freezing Breath - Weaken + Elemental Reset + Artifact Enemy Damage Taken, summed)</t>
        </is>
      </c>
      <c r="B1338">
        <f>IF(Inputs!$B$3&gt;=118,15*IF(Inputs!$B$38="pvp",MIN((30*(1+(Inputs!$B$34)/100)),15)/15,(30*(1+(Inputs!$B$34)/100))/Skills!D8),0)+IF(C1324=TRUE,F1324,0)+(IF(AND(ArtifactsInput!$M$35,Inputs!$B$4&lt;&gt;"Chapter Hunt"),CHOOSE(ArtifactsInput!$N$35+1,15,18,21,24,27,30)*(1-EXP(-(0.2*B1341)*5)),0)+IF(AND(ArtifactsInput!$M$22,Inputs!$B$4&lt;&gt;"Chapter Hunt"),CHOOSE(ArtifactsInput!$N$22+1,10,12,14,16,18,20)*((0*(((0.15*B1341*5))^0/1)+1*(((0.15*B1341*5))^1/1)+2*(((0.15*B1341*5))^2/2)+3*(((0.15*B1341*5))^3/6)+4*(((0.15*B1341*5))^4/24)+5*(((0.15*B1341*5))^5/120))/((((0.15*B1341*5))^0/1)+(((0.15*B1341*5))^1/1)+(((0.15*B1341*5))^2/2)+(((0.15*B1341*5))^3/6)+(((0.15*B1341*5))^4/24)+(((0.15*B1341*5))^5/120))),0))</f>
        <v/>
      </c>
    </row>
    <row r="1339">
      <c r="A1339" t="inlineStr">
        <is>
          <t>Damage % Bonus (Frozen Break + Frost Clutch, flat)</t>
        </is>
      </c>
      <c r="B1339">
        <f>IF(Inputs!$B$3&gt;=66,15,0)+IF(Inputs!$B$3&gt;=98,10,0)+IF(Inputs!$B$3&gt;=125,20,0)</f>
        <v/>
      </c>
    </row>
    <row r="1340">
      <c r="A1340" t="inlineStr">
        <is>
          <t>Attack Speed Bonus % (MP Eater - MP Boost, always-on + Nimble Feet, duty-cycle averaged)</t>
        </is>
      </c>
      <c r="B1340">
        <f>IF(C1323=TRUE,F1323+(F1327-Calc!F17),0)+((C1334=TRUE)*F1334*IF(AND(Inputs!$B$38&lt;&gt;"pvp",Inputs!$B$43&gt;0),(((R1334-1)*(Skills!S24*(1+(Inputs!$B$34)/100))+MIN((Skills!S24*(1+(Inputs!$B$34)/100)),MAX(0,Inputs!$B$43-((R1334-1)*Skills!D24))))/Inputs!$B$43),IF(Inputs!$B$38="pvp",MIN((Skills!S24*(1+(Inputs!$B$34)/100)),15)/15,(Skills!S24*(1+(Inputs!$B$34)/100))/Skills!D24)))</f>
        <v/>
      </c>
    </row>
    <row r="1341">
      <c r="A1341" t="inlineStr">
        <is>
          <t>Actions Per Second</t>
        </is>
      </c>
      <c r="B1341">
        <f>1+MIN(150,150*(1-(1-(Inputs!$B$11+(ArtifactsInput!$M$15-ArtifactsInput!$M$15)*CHOOSE(ArtifactsInput!$N$15+1,8,9.6,11.2,12.8,14.4,16))/150)*(1-B1340/150)))/100</f>
        <v/>
      </c>
    </row>
    <row r="1342">
      <c r="A1342" t="inlineStr">
        <is>
          <t>Skill + Buff Cast Rate</t>
        </is>
      </c>
      <c r="B1342">
        <f>IF(AND(Inputs!$B$38&lt;&gt;"pvp",Inputs!$B$43&gt;0),SUMPRODUCT((Skills!E2:E24=TRUE)*(C1312:C1334=TRUE)*R1312:R1334)/Inputs!$B$43,SUMPRODUCT((Skills!E2:E24=TRUE)*(C1312:C1334=TRUE)*Q1312:Q1334))</f>
        <v/>
      </c>
    </row>
    <row r="1343">
      <c r="A1343" t="inlineStr">
        <is>
          <t>Chain Lightning Casts Per Second</t>
        </is>
      </c>
      <c r="B1343">
        <f>MAX(0,B1341-B1342)</f>
        <v/>
      </c>
    </row>
    <row r="1344">
      <c r="A1344" t="inlineStr">
        <is>
          <t>Buff-Casting Startup Delay (s, fixed-duration only)</t>
        </is>
      </c>
      <c r="B1344">
        <f>IF(AND(Inputs!$B$38&lt;&gt;"pvp",Inputs!$B$43&gt;0),SUMPRODUCT((Skills!S2:S24&gt;0)*(Skills!E2:E24=TRUE)*(C1312:C1334=TRUE))/B1341,0)</f>
        <v/>
      </c>
    </row>
    <row r="1345">
      <c r="A1345" t="inlineStr">
        <is>
          <t>Boss-Only Total DPS (this block's swept value)</t>
        </is>
      </c>
      <c r="B1345">
        <f>SUM(S1312:S1334)</f>
        <v/>
      </c>
    </row>
    <row r="1346">
      <c r="A1346" t="inlineStr">
        <is>
          <t>Normal-Only Total DPS (this block's swept value)</t>
        </is>
      </c>
      <c r="B1346">
        <f>SUM(U1312:U1334)</f>
        <v/>
      </c>
    </row>
    <row r="1347">
      <c r="A1347" s="6" t="inlineStr">
        <is>
          <t>TOTAL DPS</t>
        </is>
      </c>
      <c r="B1347" s="6">
        <f>SUM(O1312:O1334)</f>
        <v/>
      </c>
    </row>
    <row r="1350">
      <c r="A1350" s="6" t="inlineStr">
        <is>
          <t>Stat: Mushmom's Cap (Equip)</t>
        </is>
      </c>
    </row>
    <row r="1351">
      <c r="A1351" s="5" t="inlineStr">
        <is>
          <t>Key</t>
        </is>
      </c>
      <c r="B1351" s="5" t="inlineStr">
        <is>
          <t>Name</t>
        </is>
      </c>
      <c r="C1351" s="5" t="inlineStr">
        <is>
          <t>Unlocked</t>
        </is>
      </c>
      <c r="D1351" s="5" t="inlineStr">
        <is>
          <t>InputLevel</t>
        </is>
      </c>
      <c r="E1351" s="5" t="inlineStr">
        <is>
          <t>Factor</t>
        </is>
      </c>
      <c r="F1351" s="5" t="inlineStr">
        <is>
          <t>CoefficientPercent</t>
        </is>
      </c>
      <c r="G1351" s="5" t="inlineStr">
        <is>
          <t>EffectiveHits</t>
        </is>
      </c>
      <c r="H1351" s="5" t="inlineStr">
        <is>
          <t>ProcProbability</t>
        </is>
      </c>
      <c r="I1351" s="5" t="inlineStr">
        <is>
          <t>MapleHeroMultiplier</t>
        </is>
      </c>
      <c r="J1351" s="5" t="inlineStr">
        <is>
          <t>BaseDamage</t>
        </is>
      </c>
      <c r="K1351" s="5" t="inlineStr">
        <is>
          <t>BaseHitDamage</t>
        </is>
      </c>
      <c r="L1351" s="5" t="inlineStr">
        <is>
          <t>NonCritAvg</t>
        </is>
      </c>
      <c r="M1351" s="5" t="inlineStr">
        <is>
          <t>CritAvg</t>
        </is>
      </c>
      <c r="N1351" s="5" t="inlineStr">
        <is>
          <t>ExpectedDamage(perHit)</t>
        </is>
      </c>
      <c r="O1351" s="5" t="inlineStr">
        <is>
          <t>DPS</t>
        </is>
      </c>
      <c r="P1351" s="5" t="inlineStr">
        <is>
          <t>% of Total</t>
        </is>
      </c>
      <c r="R1351" t="inlineStr">
        <is>
          <t>helpers</t>
        </is>
      </c>
    </row>
    <row r="1352">
      <c r="A1352">
        <f>Skills!A2</f>
        <v/>
      </c>
      <c r="B1352">
        <f>Skills!B2</f>
        <v/>
      </c>
      <c r="C1352">
        <f>Inputs!$B$3&gt;=100</f>
        <v/>
      </c>
      <c r="D1352" t="inlineStr"/>
      <c r="E1352" t="inlineStr"/>
      <c r="F1352">
        <f>T1354+Skills!N2</f>
        <v/>
      </c>
      <c r="G1352">
        <f>Calc!G2</f>
        <v/>
      </c>
      <c r="H1352">
        <f>Calc!H2</f>
        <v/>
      </c>
      <c r="I1352">
        <f>IF(Skills!T2&lt;&gt;"",1+(Skills!T2/10)*(Z1353/1000)/100,1)</f>
        <v/>
      </c>
      <c r="J1352">
        <f>((Inputs!$B$6*(1+Inputs!$B$7/100))+(((Inputs!$B$12*(1+Inputs!$B$13/100))-(Inputs!$B$12*(1+Inputs!$B$13/100)))+0.25*(Inputs!$B$14-Inputs!$B$14))*(1+Inputs!$B$7/100))*(F1352/100)</f>
        <v/>
      </c>
      <c r="K1352">
        <f>J1352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2="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F1368-Calc!F18),(Inputs!$B$23+(IF(ArtifactsInput!$M$15,CHOOSE(ArtifactsInput!$N$15+1,25,30,35,40,45,50)/100*(Inputs!$B$11-Inputs!$B$11),0))))/100+(Inputs!$B$23+(IF(ArtifactsInput!$M$15,CHOOSE(ArtifactsInput!$N$15+1,25,30,35,40,45,50)/100*(Inputs!$B$11-Inputs!$B$11),0)))/100)/2</f>
        <v/>
      </c>
      <c r="M1352">
        <f>L1352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(1-Summary!$B$11)*S1352+Summary!$B$11*U1352</f>
        <v/>
      </c>
      <c r="P1352">
        <f>IF(B1387=0,0,O1352/B1387)</f>
        <v/>
      </c>
      <c r="Q1352">
        <f>IFERROR(1/IF(Inputs!$B$38="pvp",15,MAX(0.1,Skills!D2-IF(Skills!E2=TRUE,Inputs!$B$32,0))),0)</f>
        <v/>
      </c>
      <c r="R1352" t="n">
        <v>0</v>
      </c>
      <c r="S1352">
        <f>IF(C1352,(Skills!F2*N1352*B1383)*IF(Inputs!$B$38="pvp",1,1+(Inputs!$B$20+Skills!O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1352*(1-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2">
        <f>MAX(0,(Inputs!$B$3-100)*3)+Inputs!$B$28+Inputs!$B$29</f>
        <v/>
      </c>
      <c r="U1352">
        <f>IF(C1352,(Skills!F2*N1352*B1383)*IF(Inputs!$B$38="pvp",1,(1+(Inputs!$B$21+Skills!P2+B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52">
        <f>MAX(0,(Inputs!$B$3-100)*3)+Inputs!$B$28+Inputs!$B$29</f>
        <v/>
      </c>
    </row>
    <row r="1353">
      <c r="A1353">
        <f>Skills!A3</f>
        <v/>
      </c>
      <c r="B1353">
        <f>Skills!B3</f>
        <v/>
      </c>
      <c r="C1353">
        <f>Inputs!$B$3&gt;=15</f>
        <v/>
      </c>
      <c r="D1353">
        <f>IF(Skills!C3=1,60+Inputs!$B$25+Inputs!$B$29,IF(Skills!C3=2,90+Inputs!$B$26+Inputs!$B$29,IF(Skills!C3=3,120+Inputs!$B$27+Inputs!$B$29,MAX(0,(Inputs!$B$3-100)*3)+Inputs!$B$28+Inputs!$B$29)))</f>
        <v/>
      </c>
      <c r="E1353">
        <f>INDEX(FactorTable!$B$2:$Y$301, MATCH(ROUND(MIN(300,MAX(1,D1353)),0), FactorTable!$A$2:$A$301,0), Skills!L3+1)</f>
        <v/>
      </c>
      <c r="F1353">
        <f>IF(Skills!M3=TRUE,(Skills!K3/10)*(E1353/1000),Skills!K3/10)+Skills!N3</f>
        <v/>
      </c>
      <c r="G1353">
        <f>Calc!G3</f>
        <v/>
      </c>
      <c r="H1353">
        <f>Calc!H3</f>
        <v/>
      </c>
      <c r="I1353">
        <f>IF(Skills!T3&lt;&gt;"",1+(Skills!T3/10)*(Z1353/1000)/100,1)</f>
        <v/>
      </c>
      <c r="J1353" t="inlineStr"/>
      <c r="K1353" t="inlineStr"/>
      <c r="L1353" t="inlineStr"/>
      <c r="M1353" t="inlineStr"/>
      <c r="N1353" t="inlineStr"/>
      <c r="O1353">
        <f>(1-Summary!$B$11)*S1353+Summary!$B$11*U1353</f>
        <v/>
      </c>
      <c r="P1353">
        <f>IF(B1387=0,0,O1353/B1387)</f>
        <v/>
      </c>
      <c r="Q1353">
        <f>IFERROR(1/IF(Inputs!$B$38="pvp",15,MAX(0.1,Skills!D3-IF(Skills!E3=TRUE,Inputs!$B$32,0))),0)</f>
        <v/>
      </c>
      <c r="R1353">
        <f>IF(AND(Inputs!$B$38&lt;&gt;"pvp",Inputs!$B$43&gt;0),IF(Inputs!$B$43&lt;=0,0,(INT(Inputs!$B$43/IF(Inputs!$B$38="pvp",15,MAX(0.1,Skills!D3-IF(Skills!E3=TRUE,Inputs!$B$32,0))))+1)),0)</f>
        <v/>
      </c>
      <c r="S1353" t="n">
        <v>0</v>
      </c>
      <c r="T1353">
        <f>INDEX(FactorTable!$B$2:$Y$301, MATCH(ROUND(MIN(300,MAX(1,T1352)),0), FactorTable!$A$2:$A$301,0), 22)</f>
        <v/>
      </c>
      <c r="U1353" t="n">
        <v>0</v>
      </c>
      <c r="Z1353">
        <f>INDEX(FactorTable!$B$2:$Y$301, MATCH(ROUND(MIN(300,MAX(1,Z1352)),0), FactorTable!$A$2:$A$301,0), 24)</f>
        <v/>
      </c>
    </row>
    <row r="1354">
      <c r="A1354">
        <f>Skills!A4</f>
        <v/>
      </c>
      <c r="B1354">
        <f>Skills!B4</f>
        <v/>
      </c>
      <c r="C1354">
        <f>Inputs!$B$3&gt;=40</f>
        <v/>
      </c>
      <c r="D1354">
        <f>IF(Skills!C4=1,60+Inputs!$B$25+Inputs!$B$29,IF(Skills!C4=2,90+Inputs!$B$26+Inputs!$B$29,IF(Skills!C4=3,120+Inputs!$B$27+Inputs!$B$29,MAX(0,(Inputs!$B$3-100)*3)+Inputs!$B$28+Inputs!$B$29)))</f>
        <v/>
      </c>
      <c r="E1354">
        <f>INDEX(FactorTable!$B$2:$Y$301, MATCH(ROUND(MIN(300,MAX(1,D1354)),0), FactorTable!$A$2:$A$301,0), Skills!L4+1)</f>
        <v/>
      </c>
      <c r="F1354">
        <f>IF(Skills!M4=TRUE,(Skills!K4/10)*(E1354/1000),Skills!K4/10)+Skills!N4</f>
        <v/>
      </c>
      <c r="G1354">
        <f>Calc!G4</f>
        <v/>
      </c>
      <c r="H1354">
        <f>Calc!H4</f>
        <v/>
      </c>
      <c r="I1354">
        <f>IF(Skills!T4&lt;&gt;"",1+(Skills!T4/10)*(Z1353/1000)/100,1)</f>
        <v/>
      </c>
      <c r="J1354" t="inlineStr"/>
      <c r="K1354" t="inlineStr"/>
      <c r="L1354" t="inlineStr"/>
      <c r="M1354" t="inlineStr"/>
      <c r="N1354" t="inlineStr"/>
      <c r="O1354">
        <f>(1-Summary!$B$11)*S1354+Summary!$B$11*U1354</f>
        <v/>
      </c>
      <c r="P1354">
        <f>IF(B1387=0,0,O1354/B1387)</f>
        <v/>
      </c>
      <c r="Q1354">
        <f>IFERROR(1/IF(Inputs!$B$38="pvp",15,MAX(0.1,Skills!D4-IF(Skills!E4=TRUE,Inputs!$B$32,0))),0)</f>
        <v/>
      </c>
      <c r="R1354">
        <f>IF(AND(Inputs!$B$38&lt;&gt;"pvp",Inputs!$B$43&gt;0),IF(Inputs!$B$43&lt;=0,0,(INT(Inputs!$B$43/IF(Inputs!$B$38="pvp",15,MAX(0.1,Skills!D4-IF(Skills!E4=TRUE,Inputs!$B$32,0))))+1)),0)</f>
        <v/>
      </c>
      <c r="S1354" t="n">
        <v>0</v>
      </c>
      <c r="T1354">
        <f>290*T1353/1000</f>
        <v/>
      </c>
      <c r="U1354" t="n">
        <v>0</v>
      </c>
    </row>
    <row r="1355">
      <c r="A1355">
        <f>Skills!A5</f>
        <v/>
      </c>
      <c r="B1355">
        <f>Skills!B5</f>
        <v/>
      </c>
      <c r="C1355">
        <f>Inputs!$B$3&gt;=38</f>
        <v/>
      </c>
      <c r="D1355">
        <f>IF(Skills!C5=1,60+Inputs!$B$25+Inputs!$B$29,IF(Skills!C5=2,90+Inputs!$B$26+Inputs!$B$29,IF(Skills!C5=3,120+Inputs!$B$27+Inputs!$B$29,MAX(0,(Inputs!$B$3-100)*3)+Inputs!$B$28+Inputs!$B$29)))</f>
        <v/>
      </c>
      <c r="E1355">
        <f>INDEX(FactorTable!$B$2:$Y$301, MATCH(ROUND(MIN(300,MAX(1,D1355)),0), FactorTable!$A$2:$A$301,0), Skills!L5+1)</f>
        <v/>
      </c>
      <c r="F1355">
        <f>IF(Skills!M5=TRUE,(Skills!K5/10)*(E1355/1000),Skills!K5/10)+Skills!N5</f>
        <v/>
      </c>
      <c r="G1355">
        <f>Calc!G5</f>
        <v/>
      </c>
      <c r="H1355">
        <f>Calc!H5</f>
        <v/>
      </c>
      <c r="I1355">
        <f>IF(Skills!T5&lt;&gt;"",1+(Skills!T5/10)*(Z1353/1000)/100,1)</f>
        <v/>
      </c>
      <c r="J1355">
        <f>((Inputs!$B$6*(1+Inputs!$B$7/100))+(((Inputs!$B$12*(1+Inputs!$B$13/100))-(Inputs!$B$12*(1+Inputs!$B$13/100)))+0.25*(Inputs!$B$14-Inputs!$B$14))*(1+Inputs!$B$7/100))*(F1355/100)</f>
        <v/>
      </c>
      <c r="K1355">
        <f>J1355*(1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5="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18),(Inputs!$B$23+(IF(ArtifactsInput!$M$15,CHOOSE(ArtifactsInput!$N$15+1,25,30,35,40,45,50)/100*(Inputs!$B$11-Inputs!$B$11),0))))/100+(Inputs!$B$23+(IF(ArtifactsInput!$M$15,CHOOSE(ArtifactsInput!$N$15+1,25,30,35,40,45,50)/100*(Inputs!$B$11-Inputs!$B$11),0)))/100)/2</f>
        <v/>
      </c>
      <c r="M1355">
        <f>L1355*(1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(1-Summary!$B$11)*S1355+Summary!$B$11*U1355</f>
        <v/>
      </c>
      <c r="P1355">
        <f>IF(B1387=0,0,O1355/B1387)</f>
        <v/>
      </c>
      <c r="Q1355">
        <f>IFERROR(1/IF(Inputs!$B$38="pvp",15,MAX(0.1,Skills!D5-IF(Skills!E5=TRUE,Inputs!$B$32,0))),0)</f>
        <v/>
      </c>
      <c r="R1355">
        <f>IF(AND(Inputs!$B$38&lt;&gt;"pvp",Inputs!$B$43&gt;0),IF(MAX(0,Inputs!$B$43-B1384)&lt;=0,0,(INT(MAX(0,Inputs!$B$43-B1384)/IF(Inputs!$B$38="pvp",15,MAX(0.1,Skills!D5-IF(Skills!E5=TRUE,Inputs!$B$32,0))))+1)),0)</f>
        <v/>
      </c>
      <c r="S1355">
        <f>IF(C1355,(H1355*N1355*IF(AND(Inputs!$B$38&lt;&gt;"pvp",Inputs!$B$43&gt;0),((Skills!F5*((R1355-1)*IF(Skills!G5&gt;0,Skills!H5/Skills!G5,1)+IF(Skills!G5&gt;0,MIN(Skills!H5,MAX(0,MAX(0,Inputs!$B$43-B1384)-((R1355-1)*IF(Inputs!$B$38="pvp",15,MAX(0.1,Skills!D5-IF(Skills!E5=TRUE,Inputs!$B$32,0))))))/Skills!G5,1)))/Inputs!$B$43),G1355*Q1355))*IF(Inputs!$B$38="pvp",1,1+(Inputs!$B$20+Skills!O5+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F5*((R1355-1)*IF(Skills!G5&gt;0,Skills!H5/Skills!G5,1)+IF(Skills!G5&gt;0,MIN(Skills!H5,MAX(0,MAX(0,Inputs!$B$43-B1384)-((R1355-1)*IF(Inputs!$B$38="pvp",15,MAX(0.1,Skills!D5-IF(Skills!E5=TRUE,Inputs!$B$32,0))))))/Skills!G5,1)))/Inputs!$B$43),G1355*Q1355))*IF(Inputs!$B$38="pvp",1,(1+(Inputs!$B$21+Skills!P5+B1378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Skills!A6</f>
        <v/>
      </c>
      <c r="B1356">
        <f>Skills!B6</f>
        <v/>
      </c>
      <c r="C1356">
        <f>Inputs!$B$3&gt;=63</f>
        <v/>
      </c>
      <c r="D1356">
        <f>IF(Skills!C6=1,60+Inputs!$B$25+Inputs!$B$29,IF(Skills!C6=2,90+Inputs!$B$26+Inputs!$B$29,IF(Skills!C6=3,120+Inputs!$B$27+Inputs!$B$29,MAX(0,(Inputs!$B$3-100)*3)+Inputs!$B$28+Inputs!$B$29)))</f>
        <v/>
      </c>
      <c r="E1356">
        <f>INDEX(FactorTable!$B$2:$Y$301, MATCH(ROUND(MIN(300,MAX(1,D1356)),0), FactorTable!$A$2:$A$301,0), Skills!L6+1)</f>
        <v/>
      </c>
      <c r="F1356">
        <f>IF(Skills!M6=TRUE,(Skills!K6/10)*(E1356/1000),Skills!K6/10)+Skills!N6</f>
        <v/>
      </c>
      <c r="G1356">
        <f>Calc!G6</f>
        <v/>
      </c>
      <c r="H1356">
        <f>Calc!H6</f>
        <v/>
      </c>
      <c r="I1356">
        <f>IF(Skills!T6&lt;&gt;"",1+(Skills!T6/10)*(Z1353/1000)/100,1)</f>
        <v/>
      </c>
      <c r="J1356">
        <f>((Inputs!$B$6*(1+Inputs!$B$7/100))+(((Inputs!$B$12*(1+Inputs!$B$13/100))-(Inputs!$B$12*(1+Inputs!$B$13/100)))+0.25*(Inputs!$B$14-Inputs!$B$14))*(1+Inputs!$B$7/100))*(F1356/100)</f>
        <v/>
      </c>
      <c r="K1356">
        <f>J1356*(1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6="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18),(Inputs!$B$23+(IF(ArtifactsInput!$M$15,CHOOSE(ArtifactsInput!$N$15+1,25,30,35,40,45,50)/100*(Inputs!$B$11-Inputs!$B$11),0))))/100+(Inputs!$B$23+(IF(ArtifactsInput!$M$15,CHOOSE(ArtifactsInput!$N$15+1,25,30,35,40,45,50)/100*(Inputs!$B$11-Inputs!$B$11),0)))/100)/2</f>
        <v/>
      </c>
      <c r="M1356">
        <f>L1356*(1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(1-Summary!$B$11)*S1356+Summary!$B$11*U1356</f>
        <v/>
      </c>
      <c r="P1356">
        <f>IF(B1387=0,0,O1356/B1387)</f>
        <v/>
      </c>
      <c r="Q1356">
        <f>IFERROR(1/IF(Inputs!$B$38="pvp",15,MAX(0.1,Skills!D6-IF(Skills!E6=TRUE,Inputs!$B$32,0))),0)</f>
        <v/>
      </c>
      <c r="R1356">
        <f>IF(AND(Inputs!$B$38&lt;&gt;"pvp",Inputs!$B$43&gt;0),IF(MAX(0,Inputs!$B$43-B1384)&lt;=0,0,(INT(MAX(0,Inputs!$B$43-B1384)/IF(Inputs!$B$38="pvp",15,MAX(0.1,Skills!D6-IF(Skills!E6=TRUE,Inputs!$B$32,0))))+1)),0)</f>
        <v/>
      </c>
      <c r="S1356">
        <f>IF(C1356,(H1356*N1356*IF(AND(Inputs!$B$38&lt;&gt;"pvp",Inputs!$B$43&gt;0),((Skills!F6*((R1356-1)*IF(Skills!G6&gt;0,Skills!H6/Skills!G6,1)+IF(Skills!G6&gt;0,MIN(Skills!H6,MAX(0,MAX(0,Inputs!$B$43-B1384)-((R1356-1)*IF(Inputs!$B$38="pvp",15,MAX(0.1,Skills!D6-IF(Skills!E6=TRUE,Inputs!$B$32,0))))))/Skills!G6,1)))/Inputs!$B$43),G1356*Q1356))*IF(Inputs!$B$38="pvp",1,1+(Inputs!$B$20+Skills!O6+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F6*((R1356-1)*IF(Skills!G6&gt;0,Skills!H6/Skills!G6,1)+IF(Skills!G6&gt;0,MIN(Skills!H6,MAX(0,MAX(0,Inputs!$B$43-B1384)-((R1356-1)*IF(Inputs!$B$38="pvp",15,MAX(0.1,Skills!D6-IF(Skills!E6=TRUE,Inputs!$B$32,0))))))/Skills!G6,1)))/Inputs!$B$43),G1356*Q1356))*IF(Inputs!$B$38="pvp",1,(1+(Inputs!$B$21+Skills!P6+B1378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Skills!A7</f>
        <v/>
      </c>
      <c r="B1357">
        <f>Skills!B7</f>
        <v/>
      </c>
      <c r="C1357">
        <f>Inputs!$B$3&gt;=69</f>
        <v/>
      </c>
      <c r="D1357">
        <f>IF(Skills!C7=1,60+Inputs!$B$25+Inputs!$B$29,IF(Skills!C7=2,90+Inputs!$B$26+Inputs!$B$29,IF(Skills!C7=3,120+Inputs!$B$27+Inputs!$B$29,MAX(0,(Inputs!$B$3-100)*3)+Inputs!$B$28+Inputs!$B$29)))</f>
        <v/>
      </c>
      <c r="E1357">
        <f>INDEX(FactorTable!$B$2:$Y$301, MATCH(ROUND(MIN(300,MAX(1,D1357)),0), FactorTable!$A$2:$A$301,0), Skills!L7+1)</f>
        <v/>
      </c>
      <c r="F1357">
        <f>IF(Skills!M7=TRUE,(Skills!K7/10)*(E1357/1000),Skills!K7/10)+Skills!N7</f>
        <v/>
      </c>
      <c r="G1357">
        <f>Calc!G7</f>
        <v/>
      </c>
      <c r="H1357">
        <f>Calc!H7</f>
        <v/>
      </c>
      <c r="I1357">
        <f>IF(Skills!T7&lt;&gt;"",1+(Skills!T7/10)*(Z1353/1000)/100,1)</f>
        <v/>
      </c>
      <c r="J1357">
        <f>((Inputs!$B$6*(1+Inputs!$B$7/100))+(((Inputs!$B$12*(1+Inputs!$B$13/100))-(Inputs!$B$12*(1+Inputs!$B$13/100)))+0.25*(Inputs!$B$14-Inputs!$B$14))*(1+Inputs!$B$7/100))*(F1357/100)</f>
        <v/>
      </c>
      <c r="K1357">
        <f>J1357*(1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7="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F1368-Calc!F18),(Inputs!$B$23+(IF(ArtifactsInput!$M$15,CHOOSE(ArtifactsInput!$N$15+1,25,30,35,40,45,50)/100*(Inputs!$B$11-Inputs!$B$11),0))))/100+(Inputs!$B$23+(IF(ArtifactsInput!$M$15,CHOOSE(ArtifactsInput!$N$15+1,25,30,35,40,45,50)/100*(Inputs!$B$11-Inputs!$B$11),0)))/100)/2</f>
        <v/>
      </c>
      <c r="M1357">
        <f>L1357*(1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(1-Summary!$B$11)*S1357+Summary!$B$11*U1357</f>
        <v/>
      </c>
      <c r="P1357">
        <f>IF(B1387=0,0,O1357/B1387)</f>
        <v/>
      </c>
      <c r="Q1357">
        <f>IFERROR(1/IF(Inputs!$B$38="pvp",15,MAX(0.1,Skills!D7-IF(Skills!E7=TRUE,Inputs!$B$32,0))),0)</f>
        <v/>
      </c>
      <c r="R1357">
        <f>IF(AND(Inputs!$B$38&lt;&gt;"pvp",Inputs!$B$43&gt;0),IF(MAX(0,Inputs!$B$43-B1384)&lt;=0,0,(INT(MAX(0,Inputs!$B$43-B1384)/IF(Inputs!$B$38="pvp",15,MAX(0.1,Skills!D7-IF(Skills!E7=TRUE,Inputs!$B$32,0))))+1)),0)</f>
        <v/>
      </c>
      <c r="S1357">
        <f>IF(C1357,(H1357*N1357*IF(AND(Inputs!$B$38&lt;&gt;"pvp",Inputs!$B$43&gt;0),((Skills!F7*((R1357-1)*IF(Skills!G7&gt;0,Skills!H7/Skills!G7,1)+IF(Skills!G7&gt;0,MIN(Skills!H7,MAX(0,MAX(0,Inputs!$B$43-B1384)-((R1357-1)*IF(Inputs!$B$38="pvp",15,MAX(0.1,Skills!D7-IF(Skills!E7=TRUE,Inputs!$B$32,0))))))/Skills!G7,1)))/Inputs!$B$43),G1357*Q1357))*IF(Inputs!$B$38="pvp",1,1+(Inputs!$B$20+Skills!O7+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1357*(1-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7">
        <f>IF(C1357,(H1357*N1357*IF(AND(Inputs!$B$38&lt;&gt;"pvp",Inputs!$B$43&gt;0),((Skills!F7*((R1357-1)*IF(Skills!G7&gt;0,Skills!H7/Skills!G7,1)+IF(Skills!G7&gt;0,MIN(Skills!H7,MAX(0,MAX(0,Inputs!$B$43-B1384)-((R1357-1)*IF(Inputs!$B$38="pvp",15,MAX(0.1,Skills!D7-IF(Skills!E7=TRUE,Inputs!$B$32,0))))))/Skills!G7,1)))/Inputs!$B$43),G1357*Q1357))*IF(Inputs!$B$38="pvp",1,(1+(Inputs!$B$21+Skills!P7+B1378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Skills!A8</f>
        <v/>
      </c>
      <c r="B1358">
        <f>Skills!B8</f>
        <v/>
      </c>
      <c r="C1358">
        <f>Inputs!$B$3&gt;=103</f>
        <v/>
      </c>
      <c r="D1358">
        <f>IF(Skills!C8=1,60+Inputs!$B$25+Inputs!$B$29,IF(Skills!C8=2,90+Inputs!$B$26+Inputs!$B$29,IF(Skills!C8=3,120+Inputs!$B$27+Inputs!$B$29,MAX(0,(Inputs!$B$3-100)*3)+Inputs!$B$28+Inputs!$B$29)))</f>
        <v/>
      </c>
      <c r="E1358">
        <f>INDEX(FactorTable!$B$2:$Y$301, MATCH(ROUND(MIN(300,MAX(1,D1358)),0), FactorTable!$A$2:$A$301,0), Skills!L8+1)</f>
        <v/>
      </c>
      <c r="F1358">
        <f>IF(Skills!M8=TRUE,(Skills!K8/10)*(E1358/1000),Skills!K8/10)+Skills!N8</f>
        <v/>
      </c>
      <c r="G1358">
        <f>Calc!G8</f>
        <v/>
      </c>
      <c r="H1358">
        <f>Calc!H8</f>
        <v/>
      </c>
      <c r="I1358">
        <f>IF(Skills!T8&lt;&gt;"",1+(Skills!T8/10)*(Z1353/1000)/100,1)</f>
        <v/>
      </c>
      <c r="J1358">
        <f>((Inputs!$B$6*(1+Inputs!$B$7/100))+(((Inputs!$B$12*(1+Inputs!$B$13/100))-(Inputs!$B$12*(1+Inputs!$B$13/100)))+0.25*(Inputs!$B$14-Inputs!$B$14))*(1+Inputs!$B$7/100))*(F1358/100)</f>
        <v/>
      </c>
      <c r="K1358">
        <f>J1358*(1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8="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F1368-Calc!F18),(Inputs!$B$23+(IF(ArtifactsInput!$M$15,CHOOSE(ArtifactsInput!$N$15+1,25,30,35,40,45,50)/100*(Inputs!$B$11-Inputs!$B$11),0))))/100+(Inputs!$B$23+(IF(ArtifactsInput!$M$15,CHOOSE(ArtifactsInput!$N$15+1,25,30,35,40,45,50)/100*(Inputs!$B$11-Inputs!$B$11),0)))/100)/2</f>
        <v/>
      </c>
      <c r="M1358">
        <f>L1358*(1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(1-Summary!$B$11)*S1358+Summary!$B$11*U1358</f>
        <v/>
      </c>
      <c r="P1358">
        <f>IF(B1387=0,0,O1358/B1387)</f>
        <v/>
      </c>
      <c r="Q1358">
        <f>IFERROR(1/IF(Inputs!$B$38="pvp",15,MAX(0.1,Skills!D8-IF(Skills!E8=TRUE,Inputs!$B$32,0))),0)</f>
        <v/>
      </c>
      <c r="R1358">
        <f>IF(AND(Inputs!$B$38&lt;&gt;"pvp",Inputs!$B$43&gt;0),IF(MAX(0,Inputs!$B$43-B1384)&lt;=0,0,(INT(MAX(0,Inputs!$B$43-B1384)/IF(Inputs!$B$38="pvp",15,MAX(0.1,Skills!D8-IF(Skills!E8=TRUE,Inputs!$B$32,0))))+1)),0)</f>
        <v/>
      </c>
      <c r="S1358">
        <f>IF(C1358,(H1358*N1358*IF(AND(Inputs!$B$38&lt;&gt;"pvp",Inputs!$B$43&gt;0),((Skills!F8*((R1358-1)*IF(Skills!G8&gt;0,Skills!H8/Skills!G8,1)+IF(Skills!G8&gt;0,MIN(Skills!H8,MAX(0,MAX(0,Inputs!$B$43-B1384)-((R1358-1)*IF(Inputs!$B$38="pvp",15,MAX(0.1,Skills!D8-IF(Skills!E8=TRUE,Inputs!$B$32,0))))))/Skills!G8,1)))/Inputs!$B$43),G1358*Q1358))*IF(Inputs!$B$38="pvp",1,1+(Inputs!$B$20+Skills!O8+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1358*(1-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8">
        <f>IF(C1358,(H1358*N1358*IF(AND(Inputs!$B$38&lt;&gt;"pvp",Inputs!$B$43&gt;0),((Skills!F8*((R1358-1)*IF(Skills!G8&gt;0,Skills!H8/Skills!G8,1)+IF(Skills!G8&gt;0,MIN(Skills!H8,MAX(0,MAX(0,Inputs!$B$43-B1384)-((R1358-1)*IF(Inputs!$B$38="pvp",15,MAX(0.1,Skills!D8-IF(Skills!E8=TRUE,Inputs!$B$32,0))))))/Skills!G8,1)))/Inputs!$B$43),G1358*Q1358))*IF(Inputs!$B$38="pvp",1,(1+(Inputs!$B$21+Skills!P8+B1378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Skills!A9</f>
        <v/>
      </c>
      <c r="B1359">
        <f>Skills!B9</f>
        <v/>
      </c>
      <c r="C1359">
        <f>Inputs!$B$3&gt;=105</f>
        <v/>
      </c>
      <c r="D1359">
        <f>IF(Skills!C9=1,60+Inputs!$B$25+Inputs!$B$29,IF(Skills!C9=2,90+Inputs!$B$26+Inputs!$B$29,IF(Skills!C9=3,120+Inputs!$B$27+Inputs!$B$29,MAX(0,(Inputs!$B$3-100)*3)+Inputs!$B$28+Inputs!$B$29)))</f>
        <v/>
      </c>
      <c r="E1359">
        <f>INDEX(FactorTable!$B$2:$Y$301, MATCH(ROUND(MIN(300,MAX(1,D1359)),0), FactorTable!$A$2:$A$301,0), Skills!L9+1)</f>
        <v/>
      </c>
      <c r="F1359">
        <f>IF(Skills!M9=TRUE,(Skills!K9/10)*(E1359/1000),Skills!K9/10)+Skills!N9</f>
        <v/>
      </c>
      <c r="G1359">
        <f>Calc!G9</f>
        <v/>
      </c>
      <c r="H1359">
        <f>Calc!H9</f>
        <v/>
      </c>
      <c r="I1359">
        <f>IF(Skills!T9&lt;&gt;"",1+(Skills!T9/10)*(Z1353/1000)/100,1)</f>
        <v/>
      </c>
      <c r="J1359">
        <f>((Inputs!$B$6*(1+Inputs!$B$7/100))+(((Inputs!$B$12*(1+Inputs!$B$13/100))-(Inputs!$B$12*(1+Inputs!$B$13/100)))+0.25*(Inputs!$B$14-Inputs!$B$14))*(1+Inputs!$B$7/100))*(F1359/100)</f>
        <v/>
      </c>
      <c r="K1359">
        <f>J1359*(1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9="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18),(Inputs!$B$23+(IF(ArtifactsInput!$M$15,CHOOSE(ArtifactsInput!$N$15+1,25,30,35,40,45,50)/100*(Inputs!$B$11-Inputs!$B$11),0))))/100+(Inputs!$B$23+(IF(ArtifactsInput!$M$15,CHOOSE(ArtifactsInput!$N$15+1,25,30,35,40,45,50)/100*(Inputs!$B$11-Inputs!$B$11),0)))/100)/2</f>
        <v/>
      </c>
      <c r="M1359">
        <f>L1359*(1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(1-Summary!$B$11)*S1359+Summary!$B$11*U1359</f>
        <v/>
      </c>
      <c r="P1359">
        <f>IF(B1387=0,0,O1359/B1387)</f>
        <v/>
      </c>
      <c r="Q1359">
        <f>IFERROR(1/IF(Inputs!$B$38="pvp",15,MAX(0.1,Skills!D9-IF(Skills!E9=TRUE,Inputs!$B$32,0))),0)</f>
        <v/>
      </c>
      <c r="R1359">
        <f>IF(AND(Inputs!$B$38&lt;&gt;"pvp",Inputs!$B$43&gt;0),IF(MAX(0,Inputs!$B$43-B1384)&lt;=0,0,(INT(MAX(0,Inputs!$B$43-B1384)/IF(Inputs!$B$38="pvp",15,MAX(0.1,Skills!D9-IF(Skills!E9=TRUE,Inputs!$B$32,0))))+1)),0)</f>
        <v/>
      </c>
      <c r="S1359">
        <f>IF(C1359,(H1359*N1359*IF(AND(Inputs!$B$38&lt;&gt;"pvp",Inputs!$B$43&gt;0),((Skills!F9*((R1359-1)*IF(Skills!G9&gt;0,Skills!H9/Skills!G9,1)+IF(Skills!G9&gt;0,MIN(Skills!H9,MAX(0,MAX(0,Inputs!$B$43-B1384)-((R1359-1)*IF(Inputs!$B$38="pvp",15,MAX(0.1,Skills!D9-IF(Skills!E9=TRUE,Inputs!$B$32,0))))))/Skills!G9,1)))/Inputs!$B$43),G1359*Q1359))*IF(Inputs!$B$38="pvp",1,1+(Inputs!$B$20+Skills!O9+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F9*((R1359-1)*IF(Skills!G9&gt;0,Skills!H9/Skills!G9,1)+IF(Skills!G9&gt;0,MIN(Skills!H9,MAX(0,MAX(0,Inputs!$B$43-B1384)-((R1359-1)*IF(Inputs!$B$38="pvp",15,MAX(0.1,Skills!D9-IF(Skills!E9=TRUE,Inputs!$B$32,0))))))/Skills!G9,1)))/Inputs!$B$43),G1359*Q1359))*IF(Inputs!$B$38="pvp",1,(1+(Inputs!$B$21+Skills!P9+B1378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Skills!A10</f>
        <v/>
      </c>
      <c r="B1360">
        <f>Skills!B10</f>
        <v/>
      </c>
      <c r="C1360">
        <f>Inputs!$B$3&gt;=113</f>
        <v/>
      </c>
      <c r="D1360">
        <f>IF(Skills!C10=1,60+Inputs!$B$25+Inputs!$B$29,IF(Skills!C10=2,90+Inputs!$B$26+Inputs!$B$29,IF(Skills!C10=3,120+Inputs!$B$27+Inputs!$B$29,MAX(0,(Inputs!$B$3-100)*3)+Inputs!$B$28+Inputs!$B$29)))</f>
        <v/>
      </c>
      <c r="E1360">
        <f>INDEX(FactorTable!$B$2:$Y$301, MATCH(ROUND(MIN(300,MAX(1,D1360)),0), FactorTable!$A$2:$A$301,0), Skills!L10+1)</f>
        <v/>
      </c>
      <c r="F1360">
        <f>IF(Skills!M10=TRUE,(Skills!K10/10)*(E1360/1000),Skills!K10/10)+Skills!N10</f>
        <v/>
      </c>
      <c r="G1360">
        <f>Calc!G10</f>
        <v/>
      </c>
      <c r="H1360">
        <f>Calc!H10</f>
        <v/>
      </c>
      <c r="I1360">
        <f>IF(Skills!T10&lt;&gt;"",1+(Skills!T10/10)*(Z1353/1000)/100,1)</f>
        <v/>
      </c>
      <c r="J1360">
        <f>((Inputs!$B$6*(1+Inputs!$B$7/100))+(((Inputs!$B$12*(1+Inputs!$B$13/100))-(Inputs!$B$12*(1+Inputs!$B$13/100)))+0.25*(Inputs!$B$14-Inputs!$B$14))*(1+Inputs!$B$7/100))*(F1360/100)</f>
        <v/>
      </c>
      <c r="K1360">
        <f>J1360*(1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10="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18),(Inputs!$B$23+(IF(ArtifactsInput!$M$15,CHOOSE(ArtifactsInput!$N$15+1,25,30,35,40,45,50)/100*(Inputs!$B$11-Inputs!$B$11),0))))/100+(Inputs!$B$23+(IF(ArtifactsInput!$M$15,CHOOSE(ArtifactsInput!$N$15+1,25,30,35,40,45,50)/100*(Inputs!$B$11-Inputs!$B$11),0)))/100)/2</f>
        <v/>
      </c>
      <c r="M1360">
        <f>L1360*(1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(1-Summary!$B$11)*S1360+Summary!$B$11*U1360</f>
        <v/>
      </c>
      <c r="P1360">
        <f>IF(B1387=0,0,O1360/B1387)</f>
        <v/>
      </c>
      <c r="Q1360">
        <f>IFERROR(1/IF(Inputs!$B$38="pvp",15,MAX(0.1,Skills!D10-IF(Skills!E9=TRUE,Inputs!$B$32,0))),0)</f>
        <v/>
      </c>
      <c r="R1360">
        <f>IF(AND(Inputs!$B$38&lt;&gt;"pvp",Inputs!$B$43&gt;0),IF(MAX(0,Inputs!$B$43-B1384)&lt;=0,0,(INT(MAX(0,Inputs!$B$43-B1384)/IF(Inputs!$B$38="pvp",15,MAX(0.1,Skills!D10-IF(Skills!E9=TRUE,Inputs!$B$32,0))))+1)),0)</f>
        <v/>
      </c>
      <c r="S1360">
        <f>IF(C1360,(H1360*N1360*IF(AND(Inputs!$B$38&lt;&gt;"pvp",Inputs!$B$43&gt;0),((Skills!F10*((R1360-1)*IF(Skills!G10&gt;0,Skills!H10/Skills!G10,1)+IF(Skills!G10&gt;0,MIN(Skills!H10,MAX(0,MAX(0,Inputs!$B$43-B1384)-((R1360-1)*IF(Inputs!$B$38="pvp",15,MAX(0.1,Skills!D10-IF(Skills!E9=TRUE,Inputs!$B$32,0))))))/Skills!G10,1)))/Inputs!$B$43),G1360*Q1360))*IF(Inputs!$B$38="pvp",1,1+(Inputs!$B$20+Skills!O10+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N1360*IF(AND(Inputs!$B$38&lt;&gt;"pvp",Inputs!$B$43&gt;0),((Skills!F10*((R1360-1)*IF(Skills!G10&gt;0,Skills!H10/Skills!G10,1)+IF(Skills!G10&gt;0,MIN(Skills!H10,MAX(0,MAX(0,Inputs!$B$43-B1384)-((R1360-1)*IF(Inputs!$B$38="pvp",15,MAX(0.1,Skills!D10-IF(Skills!E9=TRUE,Inputs!$B$32,0))))))/Skills!G10,1)))/Inputs!$B$43),G1360*Q1360))*IF(Inputs!$B$38="pvp",1,(1+(Inputs!$B$21+Skills!P10+B1378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Skills!A11</f>
        <v/>
      </c>
      <c r="B1361">
        <f>Skills!B11</f>
        <v/>
      </c>
      <c r="C1361">
        <f>Inputs!$B$3&gt;=107</f>
        <v/>
      </c>
      <c r="D1361">
        <f>IF(Skills!C11=1,60+Inputs!$B$25+Inputs!$B$29,IF(Skills!C11=2,90+Inputs!$B$26+Inputs!$B$29,IF(Skills!C11=3,120+Inputs!$B$27+Inputs!$B$29,MAX(0,(Inputs!$B$3-100)*3)+Inputs!$B$28+Inputs!$B$29)))</f>
        <v/>
      </c>
      <c r="E1361">
        <f>INDEX(FactorTable!$B$2:$Y$301, MATCH(ROUND(MIN(300,MAX(1,D1361)),0), FactorTable!$A$2:$A$301,0), Skills!L11+1)</f>
        <v/>
      </c>
      <c r="F1361">
        <f>IF(Skills!M11=TRUE,(Skills!K11/10)*(E1361/1000),Skills!K11/10)+Skills!N11</f>
        <v/>
      </c>
      <c r="G1361">
        <f>Calc!G11</f>
        <v/>
      </c>
      <c r="H1361">
        <f>Calc!H11</f>
        <v/>
      </c>
      <c r="I1361">
        <f>IF(Skills!T11&lt;&gt;"",1+(Skills!T11/10)*(Z1353/1000)/100,1)</f>
        <v/>
      </c>
      <c r="J1361">
        <f>((Inputs!$B$6*(1+Inputs!$B$7/100))+(((Inputs!$B$12*(1+Inputs!$B$13/100))-(Inputs!$B$12*(1+Inputs!$B$13/100)))+0.25*(Inputs!$B$14-Inputs!$B$14))*(1+Inputs!$B$7/100))*(F1361/100)</f>
        <v/>
      </c>
      <c r="K1361">
        <f>J1361*(1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11="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18),(Inputs!$B$23+(IF(ArtifactsInput!$M$15,CHOOSE(ArtifactsInput!$N$15+1,25,30,35,40,45,50)/100*(Inputs!$B$11-Inputs!$B$11),0))))/100+(Inputs!$B$23+(IF(ArtifactsInput!$M$15,CHOOSE(ArtifactsInput!$N$15+1,25,30,35,40,45,50)/100*(Inputs!$B$11-Inputs!$B$11),0)))/100)/2</f>
        <v/>
      </c>
      <c r="M1361">
        <f>L1361*(1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(1-Summary!$B$11)*S1361+Summary!$B$11*U1361</f>
        <v/>
      </c>
      <c r="P1361">
        <f>IF(B1387=0,0,O1361/B1387)</f>
        <v/>
      </c>
      <c r="Q1361">
        <f>IFERROR(1/IF(Inputs!$B$38="pvp",15,MAX(0.1,Skills!D11-IF(Skills!E11=TRUE,Inputs!$B$32,0))),0)</f>
        <v/>
      </c>
      <c r="R1361">
        <f>IF(AND(Inputs!$B$38&lt;&gt;"pvp",Inputs!$B$43&gt;0),IF(MAX(0,Inputs!$B$43-B1384)&lt;=0,0,(INT(MAX(0,Inputs!$B$43-B1384)/IF(Inputs!$B$38="pvp",15,MAX(0.1,Skills!D11-IF(Skills!E11=TRUE,Inputs!$B$32,0))))+1)),0)</f>
        <v/>
      </c>
      <c r="S1361">
        <f>IF(C1361,H1361*N1361*IF(AND(Inputs!$B$38&lt;&gt;"pvp",Inputs!$B$43&gt;0),((Skills!F11*((R1361-1)*IF(Skills!G11&gt;0,Skills!H11/Skills!G11,1)+IF(Skills!G11&gt;0,MIN(Skills!H11,MAX(0,MAX(0,Inputs!$B$43-B1384)-((R1361-1)*IF(Inputs!$B$38="pvp",15,MAX(0.1,Skills!D11-IF(Skills!E11=TRUE,Inputs!$B$32,0))))))/Skills!G11,1)))/Inputs!$B$43),G1361*Q1361)*0.5*IF(Inputs!$B$38="pvp",1,1+(Inputs!$B$20+Skills!O11+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F11*((R1361-1)*IF(Skills!G11&gt;0,Skills!H11/Skills!G11,1)+IF(Skills!G11&gt;0,MIN(Skills!H11,MAX(0,MAX(0,Inputs!$B$43-B1384)-((R1361-1)*IF(Inputs!$B$38="pvp",15,MAX(0.1,Skills!D11-IF(Skills!E11=TRUE,Inputs!$B$32,0))))))/Skills!G11,1)))/Inputs!$B$43),G1361*Q1361)*1*IF(Inputs!$B$38="pvp",1,(1+(Inputs!$B$21+Skills!P11+B1378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Skills!A12</f>
        <v/>
      </c>
      <c r="B1362">
        <f>Skills!B12</f>
        <v/>
      </c>
      <c r="C1362">
        <f>Inputs!$B$3&gt;=115</f>
        <v/>
      </c>
      <c r="D1362">
        <f>IF(Skills!C12=1,60+Inputs!$B$25+Inputs!$B$29,IF(Skills!C12=2,90+Inputs!$B$26+Inputs!$B$29,IF(Skills!C12=3,120+Inputs!$B$27+Inputs!$B$29,MAX(0,(Inputs!$B$3-100)*3)+Inputs!$B$28+Inputs!$B$29)))</f>
        <v/>
      </c>
      <c r="E1362">
        <f>INDEX(FactorTable!$B$2:$Y$301, MATCH(ROUND(MIN(300,MAX(1,D1362)),0), FactorTable!$A$2:$A$301,0), Skills!L12+1)</f>
        <v/>
      </c>
      <c r="F1362">
        <f>IF(Skills!M12=TRUE,(Skills!K12/10)*(E1362/1000),Skills!K12/10)+Skills!N12</f>
        <v/>
      </c>
      <c r="G1362">
        <f>Calc!G12</f>
        <v/>
      </c>
      <c r="H1362">
        <f>Calc!H12</f>
        <v/>
      </c>
      <c r="I1362">
        <f>IF(Skills!T12&lt;&gt;"",1+(Skills!T12/10)*(Z1353/1000)/100,1)</f>
        <v/>
      </c>
      <c r="J1362">
        <f>((Inputs!$B$6*(1+Inputs!$B$7/100))+(((Inputs!$B$12*(1+Inputs!$B$13/100))-(Inputs!$B$12*(1+Inputs!$B$13/100)))+0.25*(Inputs!$B$14-Inputs!$B$14))*(1+Inputs!$B$7/100))*(F1362/100)</f>
        <v/>
      </c>
      <c r="K1362">
        <f>J1362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12="CHAIN_LIGHTNING",Inputs!$B$17+((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18),(Inputs!$B$23+(IF(ArtifactsInput!$M$15,CHOOSE(ArtifactsInput!$N$15+1,25,30,35,40,45,50)/100*(Inputs!$B$11-Inputs!$B$11),0))))/100+(Inputs!$B$23+(IF(ArtifactsInput!$M$15,CHOOSE(ArtifactsInput!$N$15+1,25,30,35,40,45,50)/100*(Inputs!$B$11-Inputs!$B$11),0)))/100)/2</f>
        <v/>
      </c>
      <c r="M1362">
        <f>L1362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(1-Summary!$B$11)*S1362+Summary!$B$11*U1362</f>
        <v/>
      </c>
      <c r="P1362">
        <f>IF(B1387=0,0,O1362/B1387)</f>
        <v/>
      </c>
      <c r="Q1362">
        <f>IFERROR(1/IF(Inputs!$B$38="pvp",15,MAX(0.1,Skills!D12-IF(Skills!E12=TRUE,Inputs!$B$32,0))),0)</f>
        <v/>
      </c>
      <c r="R1362">
        <f>IF(AND(Inputs!$B$38&lt;&gt;"pvp",Inputs!$B$43&gt;0),IF(MAX(0,Inputs!$B$43-B1384)&lt;=0,0,(INT(MAX(0,Inputs!$B$43-B1384)/IF(Inputs!$B$38="pvp",15,MAX(0.1,Skills!D12-IF(Skills!E12=TRUE,Inputs!$B$32,0))))+1)),0)</f>
        <v/>
      </c>
      <c r="S1362">
        <f>IF(C1362,(H1362*N1362*IF(AND(Inputs!$B$38&lt;&gt;"pvp",Inputs!$B$43&gt;0),((Skills!F12*((R1362-1)*IF(Skills!G12&gt;0,Skills!H12/Skills!G12,1)+IF(Skills!G12&gt;0,MIN(Skills!H12,MAX(0,MAX(0,Inputs!$B$43-B1384)-((R1362-1)*IF(Inputs!$B$38="pvp",15,MAX(0.1,Skills!D12-IF(Skills!E12=TRUE,Inputs!$B$32,0))))))/Skills!G12,1)))/Inputs!$B$43),G1362*Q1362))*IF(Inputs!$B$38="pvp",1,1+(Inputs!$B$20+Skills!O12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F1370-Calc!F20)+(F1369-Calc!F19))+(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F12*((R1362-1)*IF(Skills!G12&gt;0,Skills!H12/Skills!G12,1)+IF(Skills!G12&gt;0,MIN(Skills!H12,MAX(0,MAX(0,Inputs!$B$43-B1384)-((R1362-1)*IF(Inputs!$B$38="pvp",15,MAX(0.1,Skills!D12-IF(Skills!E12=TRUE,Inputs!$B$32,0))))))/Skills!G12,1)))/Inputs!$B$43),G1362*Q1362))*IF(Inputs!$B$38="pvp",1,(1+(Inputs!$B$21+Skills!P12+B1378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Skills!A13</f>
        <v/>
      </c>
      <c r="B1363">
        <f>Skills!B13</f>
        <v/>
      </c>
      <c r="C1363">
        <f>Inputs!$B$3&gt;=49</f>
        <v/>
      </c>
      <c r="D1363">
        <f>IF(Skills!C13=1,60+Inputs!$B$25+Inputs!$B$29,IF(Skills!C13=2,90+Inputs!$B$26+Inputs!$B$29,IF(Skills!C13=3,120+Inputs!$B$27+Inputs!$B$29,MAX(0,(Inputs!$B$3-100)*3)+Inputs!$B$28+Inputs!$B$29)))</f>
        <v/>
      </c>
      <c r="E1363">
        <f>INDEX(FactorTable!$B$2:$Y$301, MATCH(ROUND(MIN(300,MAX(1,D1363)),0), FactorTable!$A$2:$A$301,0), Skills!L13+1)</f>
        <v/>
      </c>
      <c r="F1363">
        <f>IF(Skills!M13=TRUE,(Skills!K13/10)*(E1363/1000),Skills!K13/10)+Skills!N13</f>
        <v/>
      </c>
      <c r="G1363">
        <f>Calc!G13</f>
        <v/>
      </c>
      <c r="H1363">
        <f>Calc!H13</f>
        <v/>
      </c>
      <c r="I1363">
        <f>IF(Skills!T13&lt;&gt;"",1+(Skills!T13/10)*(Z1353/1000)/100,1)</f>
        <v/>
      </c>
      <c r="J1363" t="inlineStr"/>
      <c r="K1363" t="inlineStr"/>
      <c r="L1363" t="inlineStr"/>
      <c r="M1363" t="inlineStr"/>
      <c r="N1363" t="inlineStr"/>
      <c r="O1363">
        <f>(1-Summary!$B$11)*S1363+Summary!$B$11*U1363</f>
        <v/>
      </c>
      <c r="P1363">
        <f>IF(B1387=0,0,O1363/B1387)</f>
        <v/>
      </c>
      <c r="Q1363">
        <f>IFERROR(1/IF(Inputs!$B$38="pvp",15,MAX(0.1,Skills!D13-IF(Skills!E13=TRUE,Inputs!$B$32,0))),0)</f>
        <v/>
      </c>
      <c r="R1363" t="n">
        <v>0</v>
      </c>
      <c r="S1363" t="n">
        <v>0</v>
      </c>
      <c r="U1363" t="n">
        <v>0</v>
      </c>
    </row>
    <row r="1364">
      <c r="A1364">
        <f>Skills!A14</f>
        <v/>
      </c>
      <c r="B1364">
        <f>Skills!B14</f>
        <v/>
      </c>
      <c r="C1364">
        <f>Inputs!$B$3&gt;=72</f>
        <v/>
      </c>
      <c r="D1364">
        <f>IF(Skills!C14=1,60+Inputs!$B$25+Inputs!$B$29,IF(Skills!C14=2,90+Inputs!$B$26+Inputs!$B$29,IF(Skills!C14=3,120+Inputs!$B$27+Inputs!$B$29,MAX(0,(Inputs!$B$3-100)*3)+Inputs!$B$28+Inputs!$B$29)))</f>
        <v/>
      </c>
      <c r="E1364">
        <f>INDEX(FactorTable!$B$2:$Y$301, MATCH(ROUND(MIN(300,MAX(1,D1364)),0), FactorTable!$A$2:$A$301,0), Skills!L14+1)</f>
        <v/>
      </c>
      <c r="F1364">
        <f>IF(Skills!M14=TRUE,(Skills!K14/10)*(E1364/1000),Skills!K14/10)+Skills!N14</f>
        <v/>
      </c>
      <c r="G1364">
        <f>Calc!G14</f>
        <v/>
      </c>
      <c r="H1364">
        <f>Calc!H14</f>
        <v/>
      </c>
      <c r="I1364">
        <f>IF(Skills!T14&lt;&gt;"",1+(Skills!T14/10)*(Z1353/1000)/100,1)</f>
        <v/>
      </c>
      <c r="J1364" t="inlineStr"/>
      <c r="K1364" t="inlineStr"/>
      <c r="L1364" t="inlineStr"/>
      <c r="M1364" t="inlineStr"/>
      <c r="N1364" t="inlineStr"/>
      <c r="O1364">
        <f>(1-Summary!$B$11)*S1364+Summary!$B$11*U1364</f>
        <v/>
      </c>
      <c r="P1364">
        <f>IF(B1387=0,0,O1364/B1387)</f>
        <v/>
      </c>
      <c r="Q1364">
        <f>IFERROR(1/IF(Inputs!$B$38="pvp",15,MAX(0.1,Skills!D14-IF(Skills!E14=TRUE,Inputs!$B$32,0))),0)</f>
        <v/>
      </c>
      <c r="R1364" t="n">
        <v>0</v>
      </c>
      <c r="S1364" t="n">
        <v>0</v>
      </c>
      <c r="U1364" t="n">
        <v>0</v>
      </c>
    </row>
    <row r="1365">
      <c r="A1365">
        <f>Skills!A15</f>
        <v/>
      </c>
      <c r="B1365">
        <f>Skills!B15</f>
        <v/>
      </c>
      <c r="C1365">
        <f>Inputs!$B$3&gt;=75</f>
        <v/>
      </c>
      <c r="D1365">
        <f>IF(Skills!C15=1,60+Inputs!$B$25+Inputs!$B$29,IF(Skills!C15=2,90+Inputs!$B$26+Inputs!$B$29,IF(Skills!C15=3,120+Inputs!$B$27+Inputs!$B$29,MAX(0,(Inputs!$B$3-100)*3)+Inputs!$B$28+Inputs!$B$29)))</f>
        <v/>
      </c>
      <c r="E1365">
        <f>INDEX(FactorTable!$B$2:$Y$301, MATCH(ROUND(MIN(300,MAX(1,D1365)),0), FactorTable!$A$2:$A$301,0), Skills!L15+1)</f>
        <v/>
      </c>
      <c r="F1365">
        <f>IF(Skills!M15=TRUE,(Skills!K15/10)*(E1365/1000),Skills!K15/10)+Skills!N15</f>
        <v/>
      </c>
      <c r="G1365">
        <f>Calc!G15</f>
        <v/>
      </c>
      <c r="H1365">
        <f>Calc!H15</f>
        <v/>
      </c>
      <c r="I1365">
        <f>IF(Skills!T15&lt;&gt;"",1+(Skills!T15/10)*(Z1353/1000)/100,1)</f>
        <v/>
      </c>
      <c r="J1365" t="inlineStr"/>
      <c r="K1365" t="inlineStr"/>
      <c r="L1365" t="inlineStr"/>
      <c r="M1365" t="inlineStr"/>
      <c r="N1365" t="inlineStr"/>
      <c r="O1365">
        <f>(1-Summary!$B$11)*S1365+Summary!$B$11*U1365</f>
        <v/>
      </c>
      <c r="P1365">
        <f>IF(B1387=0,0,O1365/B1387)</f>
        <v/>
      </c>
      <c r="Q1365">
        <f>IFERROR(1/IF(Inputs!$B$38="pvp",15,MAX(0.1,Skills!D15-IF(Skills!E15=TRUE,Inputs!$B$32,0))),0)</f>
        <v/>
      </c>
      <c r="R1365" t="n">
        <v>0</v>
      </c>
      <c r="S1365" t="n">
        <v>0</v>
      </c>
      <c r="U1365" t="n">
        <v>0</v>
      </c>
    </row>
    <row r="1366">
      <c r="A1366">
        <f>Skills!A16</f>
        <v/>
      </c>
      <c r="B1366">
        <f>Skills!B16</f>
        <v/>
      </c>
      <c r="C1366">
        <f>Inputs!$B$3&gt;=110</f>
        <v/>
      </c>
      <c r="D1366">
        <f>IF(Skills!C16=1,60+Inputs!$B$25+Inputs!$B$29,IF(Skills!C16=2,90+Inputs!$B$26+Inputs!$B$29,IF(Skills!C16=3,120+Inputs!$B$27+Inputs!$B$29,MAX(0,(Inputs!$B$3-100)*3)+Inputs!$B$28+Inputs!$B$29)))</f>
        <v/>
      </c>
      <c r="E1366">
        <f>INDEX(FactorTable!$B$2:$Y$301, MATCH(ROUND(MIN(300,MAX(1,D1366)),0), FactorTable!$A$2:$A$301,0), Skills!L16+1)</f>
        <v/>
      </c>
      <c r="F1366">
        <f>(Skills!K16/10)*(E1366/1000)*64/45+Skills!N16</f>
        <v/>
      </c>
      <c r="G1366">
        <f>Calc!G16</f>
        <v/>
      </c>
      <c r="H1366">
        <f>Calc!H16</f>
        <v/>
      </c>
      <c r="I1366">
        <f>IF(Skills!T16&lt;&gt;"",1+(Skills!T16/10)*(Z1353/1000)/100,1)</f>
        <v/>
      </c>
      <c r="J1366" t="inlineStr"/>
      <c r="K1366" t="inlineStr"/>
      <c r="L1366" t="inlineStr"/>
      <c r="M1366" t="inlineStr"/>
      <c r="N1366" t="inlineStr"/>
      <c r="O1366">
        <f>(1-Summary!$B$11)*S1366+Summary!$B$11*U1366</f>
        <v/>
      </c>
      <c r="P1366">
        <f>IF(B1387=0,0,O1366/B1387)</f>
        <v/>
      </c>
      <c r="Q1366">
        <f>IFERROR(1/IF(Inputs!$B$38="pvp",15,MAX(0.1,Skills!D16-IF(Skills!E16=TRUE,Inputs!$B$32,0))),0)</f>
        <v/>
      </c>
      <c r="R1366">
        <f>IF(AND(Inputs!$B$38&lt;&gt;"pvp",Inputs!$B$43&gt;0),IF(Inputs!$B$43&lt;=0,0,(INT(Inputs!$B$43/IF(Inputs!$B$38="pvp",15,MAX(0.1,Skills!D16-IF(Skills!E16=TRUE,Inputs!$B$32,0))))+1)),0)</f>
        <v/>
      </c>
      <c r="S1366" t="n">
        <v>0</v>
      </c>
      <c r="U1366" t="n">
        <v>0</v>
      </c>
    </row>
    <row r="1367">
      <c r="A1367">
        <f>Skills!A17</f>
        <v/>
      </c>
      <c r="B1367">
        <f>Skills!B17</f>
        <v/>
      </c>
      <c r="C1367">
        <f>Inputs!$B$3&gt;=33</f>
        <v/>
      </c>
      <c r="D1367">
        <f>IF(Skills!C17=1,60+Inputs!$B$25+Inputs!$B$29,IF(Skills!C17=2,90+Inputs!$B$26+Inputs!$B$29,IF(Skills!C17=3,120+Inputs!$B$27+Inputs!$B$29,MAX(0,(Inputs!$B$3-100)*3)+Inputs!$B$28+Inputs!$B$29)))</f>
        <v/>
      </c>
      <c r="E1367">
        <f>INDEX(FactorTable!$B$2:$Y$301, MATCH(ROUND(MIN(300,MAX(1,D1367)),0), FactorTable!$A$2:$A$301,0), Skills!L17+1)</f>
        <v/>
      </c>
      <c r="F1367">
        <f>IF(Skills!M17=TRUE,(Skills!K17/10)*(E1367/1000),Skills!K17/10)+Skills!N17</f>
        <v/>
      </c>
      <c r="G1367">
        <f>Calc!G17</f>
        <v/>
      </c>
      <c r="H1367">
        <f>Calc!H17</f>
        <v/>
      </c>
      <c r="I1367">
        <f>IF(Skills!T17&lt;&gt;"",1+(Skills!T17/10)*(Z1353/1000)/100,1)</f>
        <v/>
      </c>
      <c r="J1367" t="inlineStr"/>
      <c r="K1367" t="inlineStr"/>
      <c r="L1367" t="inlineStr"/>
      <c r="M1367" t="inlineStr"/>
      <c r="N1367" t="inlineStr"/>
      <c r="O1367">
        <f>(1-Summary!$B$11)*S1367+Summary!$B$11*U1367</f>
        <v/>
      </c>
      <c r="P1367">
        <f>IF(B1387=0,0,O1367/B1387)</f>
        <v/>
      </c>
      <c r="Q1367">
        <f>IFERROR(1/IF(Inputs!$B$38="pvp",15,MAX(0.1,Skills!D17-IF(Skills!E17=TRUE,Inputs!$B$32,0))),0)</f>
        <v/>
      </c>
      <c r="R1367" t="n">
        <v>0</v>
      </c>
      <c r="S1367" t="n">
        <v>0</v>
      </c>
      <c r="U1367" t="n">
        <v>0</v>
      </c>
    </row>
    <row r="1368">
      <c r="A1368">
        <f>Skills!A18</f>
        <v/>
      </c>
      <c r="B1368">
        <f>Skills!B18</f>
        <v/>
      </c>
      <c r="C1368">
        <f>Inputs!$B$3&gt;=43</f>
        <v/>
      </c>
      <c r="D1368">
        <f>IF(Skills!C18=1,60+Inputs!$B$25+Inputs!$B$29,IF(Skills!C18=2,90+Inputs!$B$26+Inputs!$B$29,IF(Skills!C18=3,120+Inputs!$B$27+Inputs!$B$29,MAX(0,(Inputs!$B$3-100)*3)+Inputs!$B$28+Inputs!$B$29)))</f>
        <v/>
      </c>
      <c r="E1368">
        <f>INDEX(FactorTable!$B$2:$Y$301, MATCH(ROUND(MIN(300,MAX(1,D1368)),0), FactorTable!$A$2:$A$301,0), Skills!L18+1)</f>
        <v/>
      </c>
      <c r="F1368">
        <f>IF(Skills!M18=TRUE,(Skills!K18/10)*(E1368/1000),Skills!K18/10)+Skills!N18</f>
        <v/>
      </c>
      <c r="G1368">
        <f>Calc!G18</f>
        <v/>
      </c>
      <c r="H1368">
        <f>Calc!H18</f>
        <v/>
      </c>
      <c r="I1368">
        <f>IF(Skills!T18&lt;&gt;"",1+(Skills!T18/10)*(Z1353/1000)/100,1)</f>
        <v/>
      </c>
      <c r="J1368" t="inlineStr"/>
      <c r="K1368" t="inlineStr"/>
      <c r="L1368" t="inlineStr"/>
      <c r="M1368" t="inlineStr"/>
      <c r="N1368" t="inlineStr"/>
      <c r="O1368">
        <f>(1-Summary!$B$11)*S1368+Summary!$B$11*U1368</f>
        <v/>
      </c>
      <c r="P1368">
        <f>IF(B1387=0,0,O1368/B1387)</f>
        <v/>
      </c>
      <c r="Q1368">
        <f>IFERROR(1/IF(Inputs!$B$38="pvp",15,MAX(0.1,Skills!D18-IF(Skills!E18=TRUE,Inputs!$B$32,0))),0)</f>
        <v/>
      </c>
      <c r="R1368" t="n">
        <v>0</v>
      </c>
      <c r="S1368" t="n">
        <v>0</v>
      </c>
      <c r="U1368" t="n">
        <v>0</v>
      </c>
    </row>
    <row r="1369">
      <c r="A1369">
        <f>Skills!A19</f>
        <v/>
      </c>
      <c r="B1369">
        <f>Skills!B19</f>
        <v/>
      </c>
      <c r="C1369">
        <f>Inputs!$B$3&gt;=50</f>
        <v/>
      </c>
      <c r="D1369">
        <f>IF(Skills!C19=1,60+Inputs!$B$25+Inputs!$B$29,IF(Skills!C19=2,90+Inputs!$B$26+Inputs!$B$29,IF(Skills!C19=3,120+Inputs!$B$27+Inputs!$B$29,MAX(0,(Inputs!$B$3-100)*3)+Inputs!$B$28+Inputs!$B$29)))</f>
        <v/>
      </c>
      <c r="E1369">
        <f>INDEX(FactorTable!$B$2:$Y$301, MATCH(ROUND(MIN(300,MAX(1,D1369)),0), FactorTable!$A$2:$A$301,0), Skills!L19+1)</f>
        <v/>
      </c>
      <c r="F1369">
        <f>IF(Skills!M19=TRUE,(Skills!K19/10)*(E1369/1000),Skills!K19/10)+Skills!N19</f>
        <v/>
      </c>
      <c r="G1369">
        <f>Calc!G19</f>
        <v/>
      </c>
      <c r="H1369">
        <f>Calc!H19</f>
        <v/>
      </c>
      <c r="I1369">
        <f>IF(Skills!T19&lt;&gt;"",1+(Skills!T19/10)*(Z1353/1000)/100,1)</f>
        <v/>
      </c>
      <c r="J1369" t="inlineStr"/>
      <c r="K1369" t="inlineStr"/>
      <c r="L1369" t="inlineStr"/>
      <c r="M1369" t="inlineStr"/>
      <c r="N1369" t="inlineStr"/>
      <c r="O1369">
        <f>(1-Summary!$B$11)*S1369+Summary!$B$11*U1369</f>
        <v/>
      </c>
      <c r="P1369">
        <f>IF(B1387=0,0,O1369/B1387)</f>
        <v/>
      </c>
      <c r="Q1369">
        <f>IFERROR(1/IF(Inputs!$B$38="pvp",15,MAX(0.1,Skills!D19-IF(Skills!E19=TRUE,Inputs!$B$32,0))),0)</f>
        <v/>
      </c>
      <c r="R1369" t="n">
        <v>0</v>
      </c>
      <c r="S1369" t="n">
        <v>0</v>
      </c>
      <c r="U1369" t="n">
        <v>0</v>
      </c>
    </row>
    <row r="1370">
      <c r="A1370">
        <f>Skills!A20</f>
        <v/>
      </c>
      <c r="B1370">
        <f>Skills!B20</f>
        <v/>
      </c>
      <c r="C1370">
        <f>Inputs!$B$3&gt;=74</f>
        <v/>
      </c>
      <c r="D1370">
        <f>IF(Skills!C20=1,60+Inputs!$B$25+Inputs!$B$29,IF(Skills!C20=2,90+Inputs!$B$26+Inputs!$B$29,IF(Skills!C20=3,120+Inputs!$B$27+Inputs!$B$29,MAX(0,(Inputs!$B$3-100)*3)+Inputs!$B$28+Inputs!$B$29)))</f>
        <v/>
      </c>
      <c r="E1370">
        <f>INDEX(FactorTable!$B$2:$Y$301, MATCH(ROUND(MIN(300,MAX(1,D1370)),0), FactorTable!$A$2:$A$301,0), Skills!L20+1)</f>
        <v/>
      </c>
      <c r="F1370">
        <f>IF(Skills!M20=TRUE,(Skills!K20/10)*(E1370/1000),Skills!K20/10)+Skills!N20</f>
        <v/>
      </c>
      <c r="G1370">
        <f>Calc!G20</f>
        <v/>
      </c>
      <c r="H1370">
        <f>Calc!H20</f>
        <v/>
      </c>
      <c r="I1370">
        <f>IF(Skills!T20&lt;&gt;"",1+(Skills!T20/10)*(Z1353/1000)/100,1)</f>
        <v/>
      </c>
      <c r="J1370" t="inlineStr"/>
      <c r="K1370" t="inlineStr"/>
      <c r="L1370" t="inlineStr"/>
      <c r="M1370" t="inlineStr"/>
      <c r="N1370" t="inlineStr"/>
      <c r="O1370">
        <f>(1-Summary!$B$11)*S1370+Summary!$B$11*U1370</f>
        <v/>
      </c>
      <c r="P1370">
        <f>IF(B1387=0,0,O1370/B1387)</f>
        <v/>
      </c>
      <c r="Q1370">
        <f>IFERROR(1/IF(Inputs!$B$38="pvp",15,MAX(0.1,Skills!D20-IF(Skills!E20=TRUE,Inputs!$B$32,0))),0)</f>
        <v/>
      </c>
      <c r="R1370" t="n">
        <v>0</v>
      </c>
      <c r="S1370" t="n">
        <v>0</v>
      </c>
      <c r="U1370" t="n">
        <v>0</v>
      </c>
    </row>
    <row r="1371">
      <c r="A1371">
        <f>Skills!A21</f>
        <v/>
      </c>
      <c r="B1371">
        <f>Skills!B21</f>
        <v/>
      </c>
      <c r="C1371">
        <f>Inputs!$B$3&gt;=74</f>
        <v/>
      </c>
      <c r="D1371">
        <f>IF(Skills!C21=1,60+Inputs!$B$25+Inputs!$B$29,IF(Skills!C21=2,90+Inputs!$B$26+Inputs!$B$29,IF(Skills!C21=3,120+Inputs!$B$27+Inputs!$B$29,MAX(0,(Inputs!$B$3-100)*3)+Inputs!$B$28+Inputs!$B$29)))</f>
        <v/>
      </c>
      <c r="E1371">
        <f>INDEX(FactorTable!$B$2:$Y$301, MATCH(ROUND(MIN(300,MAX(1,D1371)),0), FactorTable!$A$2:$A$301,0), Skills!L21+1)</f>
        <v/>
      </c>
      <c r="F1371">
        <f>IF(Skills!M21=TRUE,(Skills!K21/10)*(E1371/1000),Skills!K21/10)+Skills!N21</f>
        <v/>
      </c>
      <c r="G1371">
        <f>Calc!G21</f>
        <v/>
      </c>
      <c r="H1371">
        <f>Calc!H21</f>
        <v/>
      </c>
      <c r="I1371">
        <f>IF(Skills!T21&lt;&gt;"",1+(Skills!T21/10)*(Z1353/1000)/100,1)</f>
        <v/>
      </c>
      <c r="J1371" t="inlineStr"/>
      <c r="K1371" t="inlineStr"/>
      <c r="L1371" t="inlineStr"/>
      <c r="M1371" t="inlineStr"/>
      <c r="N1371" t="inlineStr"/>
      <c r="O1371">
        <f>(1-Summary!$B$11)*S1371+Summary!$B$11*U1371</f>
        <v/>
      </c>
      <c r="P1371">
        <f>IF(B1387=0,0,O1371/B1387)</f>
        <v/>
      </c>
      <c r="Q1371">
        <f>IFERROR(1/IF(Inputs!$B$38="pvp",15,MAX(0.1,Skills!D21-IF(Skills!E21=TRUE,Inputs!$B$32,0))),0)</f>
        <v/>
      </c>
      <c r="R1371" t="n">
        <v>0</v>
      </c>
      <c r="S1371" t="n">
        <v>0</v>
      </c>
      <c r="U1371" t="n">
        <v>0</v>
      </c>
    </row>
    <row r="1372">
      <c r="A1372">
        <f>Skills!A22</f>
        <v/>
      </c>
      <c r="B1372">
        <f>Skills!B22</f>
        <v/>
      </c>
      <c r="C1372">
        <f>Inputs!$B$3&gt;=117</f>
        <v/>
      </c>
      <c r="D1372">
        <f>IF(Skills!C22=1,60+Inputs!$B$25+Inputs!$B$29,IF(Skills!C22=2,90+Inputs!$B$26+Inputs!$B$29,IF(Skills!C22=3,120+Inputs!$B$27+Inputs!$B$29,MAX(0,(Inputs!$B$3-100)*3)+Inputs!$B$28+Inputs!$B$29)))</f>
        <v/>
      </c>
      <c r="E1372">
        <f>INDEX(FactorTable!$B$2:$Y$301, MATCH(ROUND(MIN(300,MAX(1,D1372)),0), FactorTable!$A$2:$A$301,0), Skills!L22+1)</f>
        <v/>
      </c>
      <c r="F1372">
        <f>IF(Skills!M22=TRUE,(Skills!K22/10)*(E1372/1000),Skills!K22/10)+Skills!N22</f>
        <v/>
      </c>
      <c r="G1372">
        <f>Calc!G22</f>
        <v/>
      </c>
      <c r="H1372">
        <f>Calc!H22</f>
        <v/>
      </c>
      <c r="I1372">
        <f>IF(Skills!T22&lt;&gt;"",1+(Skills!T22/10)*(Z1353/1000)/100,1)</f>
        <v/>
      </c>
      <c r="J1372" t="inlineStr"/>
      <c r="K1372" t="inlineStr"/>
      <c r="L1372" t="inlineStr"/>
      <c r="M1372" t="inlineStr"/>
      <c r="N1372" t="inlineStr"/>
      <c r="O1372">
        <f>(1-Summary!$B$11)*S1372+Summary!$B$11*U1372</f>
        <v/>
      </c>
      <c r="P1372">
        <f>IF(B1387=0,0,O1372/B1387)</f>
        <v/>
      </c>
      <c r="Q1372">
        <f>IFERROR(1/IF(Inputs!$B$38="pvp",15,MAX(0.1,Skills!D22-IF(Skills!E22=TRUE,Inputs!$B$32,0))),0)</f>
        <v/>
      </c>
      <c r="R1372" t="n">
        <v>0</v>
      </c>
      <c r="S1372" t="n">
        <v>0</v>
      </c>
      <c r="U1372" t="n">
        <v>0</v>
      </c>
    </row>
    <row r="1373">
      <c r="A1373">
        <f>Skills!A23</f>
        <v/>
      </c>
      <c r="B1373">
        <f>Skills!B23</f>
        <v/>
      </c>
      <c r="C1373">
        <f>Inputs!$B$3&gt;=120</f>
        <v/>
      </c>
      <c r="D1373">
        <f>IF(Skills!C23=1,60+Inputs!$B$25+Inputs!$B$29,IF(Skills!C23=2,90+Inputs!$B$26+Inputs!$B$29,IF(Skills!C23=3,120+Inputs!$B$27+Inputs!$B$29,MAX(0,(Inputs!$B$3-100)*3)+Inputs!$B$28+Inputs!$B$29)))</f>
        <v/>
      </c>
      <c r="E1373">
        <f>INDEX(FactorTable!$B$2:$Y$301, MATCH(ROUND(MIN(300,MAX(1,D1373)),0), FactorTable!$A$2:$A$301,0), Skills!L23+1)</f>
        <v/>
      </c>
      <c r="F1373">
        <f>IF(Skills!M23=TRUE,(Skills!K23/10)*(E1373/1000),Skills!K23/10)+Skills!N23</f>
        <v/>
      </c>
      <c r="G1373">
        <f>Calc!G23</f>
        <v/>
      </c>
      <c r="H1373">
        <f>Calc!H23</f>
        <v/>
      </c>
      <c r="I1373">
        <f>IF(Skills!T23&lt;&gt;"",1+(Skills!T23/10)*(Z1353/1000)/100,1)</f>
        <v/>
      </c>
      <c r="J1373" t="inlineStr"/>
      <c r="K1373" t="inlineStr"/>
      <c r="L1373" t="inlineStr"/>
      <c r="M1373" t="inlineStr"/>
      <c r="N1373" t="inlineStr"/>
      <c r="O1373">
        <f>(1-Summary!$B$11)*S1373+Summary!$B$11*U1373</f>
        <v/>
      </c>
      <c r="P1373">
        <f>IF(B1387=0,0,O1373/B1387)</f>
        <v/>
      </c>
      <c r="Q1373">
        <f>IFERROR(1/IF(Inputs!$B$38="pvp",15,MAX(0.1,Skills!D23-IF(Skills!E23=TRUE,Inputs!$B$32,0))),0)</f>
        <v/>
      </c>
      <c r="R1373" t="n">
        <v>0</v>
      </c>
      <c r="S1373" t="n">
        <v>0</v>
      </c>
      <c r="U1373" t="n">
        <v>0</v>
      </c>
    </row>
    <row r="1374">
      <c r="A1374">
        <f>Skills!A24</f>
        <v/>
      </c>
      <c r="B1374">
        <f>Skills!B24</f>
        <v/>
      </c>
      <c r="C1374">
        <f>TRUE</f>
        <v/>
      </c>
      <c r="D1374">
        <f>IF(Skills!C24=1,60+Inputs!$B$25+Inputs!$B$29,IF(Skills!C24=2,90+Inputs!$B$26+Inputs!$B$29,IF(Skills!C24=3,120+Inputs!$B$27+Inputs!$B$29,MAX(0,(Inputs!$B$3-100)*3)+Inputs!$B$28+Inputs!$B$29)))</f>
        <v/>
      </c>
      <c r="E1374">
        <f>INDEX(FactorTable!$B$2:$Y$301, MATCH(ROUND(MIN(300,MAX(1,D1374)),0), FactorTable!$A$2:$A$301,0), Skills!L24+1)</f>
        <v/>
      </c>
      <c r="F1374">
        <f>IF(Skills!M24=TRUE,(Skills!K24/10)*(E1374/1000),Skills!K24/10)+Skills!N24</f>
        <v/>
      </c>
      <c r="G1374">
        <f>Calc!G24</f>
        <v/>
      </c>
      <c r="H1374">
        <f>Calc!H24</f>
        <v/>
      </c>
      <c r="I1374">
        <f>IF(Skills!T24&lt;&gt;"",1+(Skills!T24/10)*(Z1353/1000)/100,1)</f>
        <v/>
      </c>
      <c r="J1374" t="inlineStr"/>
      <c r="K1374" t="inlineStr"/>
      <c r="L1374" t="inlineStr"/>
      <c r="M1374" t="inlineStr"/>
      <c r="N1374" t="inlineStr"/>
      <c r="O1374">
        <f>(1-Summary!$B$11)*S1374+Summary!$B$11*U1374</f>
        <v/>
      </c>
      <c r="P1374">
        <f>IF(B1387=0,0,O1374/B1387)</f>
        <v/>
      </c>
      <c r="Q1374">
        <f>IFERROR(1/IF(Inputs!$B$38="pvp",15,MAX(0.1,Skills!D24-IF(Skills!E24=TRUE,Inputs!$B$32,0))),0)</f>
        <v/>
      </c>
      <c r="R1374">
        <f>IF(AND(Inputs!$B$38&lt;&gt;"pvp",Inputs!$B$43&gt;0),IF(Inputs!$B$43&lt;=0,0,(INT(Inputs!$B$43/IF(Inputs!$B$38="pvp",15,MAX(0.1,Skills!D24-IF(Skills!E24=TRUE,Inputs!$B$32,0))))+1)),0)</f>
        <v/>
      </c>
      <c r="S1374" t="n">
        <v>0</v>
      </c>
      <c r="U1374" t="n">
        <v>0</v>
      </c>
    </row>
    <row r="1377">
      <c r="A1377" t="inlineStr">
        <is>
          <t>Average Buff Multiplier (Magic Guard + Meditation + Artifact Attack%, summed; then Infinity)</t>
        </is>
      </c>
      <c r="B1377">
        <f>(1+(IF(C1353=TRUE,F1353*IF(AND(Inputs!$B$38&lt;&gt;"pvp",Inputs!$B$43&gt;0),(((R1353-1)*(Skills!S3*(1+(Inputs!$B$34)/100))+MIN((Skills!S3*(1+(Inputs!$B$34)/100)),MAX(0,Inputs!$B$43-((R1353-1)*Skills!D3))))/Inputs!$B$43),IF(Inputs!$B$38="pvp",MIN((Skills!S3*(1+(Inputs!$B$34)/100)),15)/15,(Skills!S3*(1+(Inputs!$B$34)/100))/Skills!D3)),0)+IF(C1354=TRUE,F1354*IF(AND(Inputs!$B$38&lt;&gt;"pvp",Inputs!$B$43&gt;0),(((R1354-1)*(Skills!S4*(1+(Inputs!$B$34)/100))+MIN((Skills!S4*(1+(Inputs!$B$34)/100)),MAX(0,Inputs!$B$43-((R1354-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1366=TRUE,(1+F1366*IF(AND(Inputs!$B$38&lt;&gt;"pvp",Inputs!$B$43&gt;0),(((R1366-1)*(Skills!S16*(1+(Inputs!$B$34)/100))+MIN((Skills!S16*(1+(Inputs!$B$34)/100)),MAX(0,Inputs!$B$43-((R1366-1)*Skills!D16))))/Inputs!$B$43),IF(Inputs!$B$38="pvp",MIN((Skills!S16*(1+(Inputs!$B$34)/100)),15)/15,(Skills!S16*(1+(Inputs!$B$34)/100))/Skills!D16))/100),1)</f>
        <v/>
      </c>
    </row>
    <row r="1378">
      <c r="A1378" t="inlineStr">
        <is>
          <t>Monster Damage Taken Bonus % (Freezing Breath - Weaken + Elemental Reset + Artifact Enemy Damage Taken, summed)</t>
        </is>
      </c>
      <c r="B1378">
        <f>IF(Inputs!$B$3&gt;=118,15*IF(Inputs!$B$38="pvp",MIN((30*(1+(Inputs!$B$34)/100)),15)/15,(30*(1+(Inputs!$B$34)/100))/Skills!D8),0)+IF(C1364=TRUE,F1364,0)+(IF(AND(ArtifactsInput!$M$35,Inputs!$B$4&lt;&gt;"Chapter Hunt"),CHOOSE(ArtifactsInput!$N$35+1,15,18,21,24,27,30)*(1-EXP(-(0.2*B1381)*5)),0)+IF(AND(ArtifactsInput!$M$22,Inputs!$B$4&lt;&gt;"Chapter Hunt"),CHOOSE(ArtifactsInput!$N$22+1,10,12,14,16,18,20)*((0*(((0.15*B1381*5))^0/1)+1*(((0.15*B1381*5))^1/1)+2*(((0.15*B1381*5))^2/2)+3*(((0.15*B1381*5))^3/6)+4*(((0.15*B1381*5))^4/24)+5*(((0.15*B1381*5))^5/120))/((((0.15*B1381*5))^0/1)+(((0.15*B1381*5))^1/1)+(((0.15*B1381*5))^2/2)+(((0.15*B1381*5))^3/6)+(((0.15*B1381*5))^4/24)+(((0.15*B1381*5))^5/120))),0))</f>
        <v/>
      </c>
    </row>
    <row r="1379">
      <c r="A1379" t="inlineStr">
        <is>
          <t>Damage % Bonus (Frozen Break + Frost Clutch, flat)</t>
        </is>
      </c>
      <c r="B1379">
        <f>IF(Inputs!$B$3&gt;=66,15,0)+IF(Inputs!$B$3&gt;=98,10,0)+IF(Inputs!$B$3&gt;=125,20,0)</f>
        <v/>
      </c>
    </row>
    <row r="1380">
      <c r="A1380" t="inlineStr">
        <is>
          <t>Attack Speed Bonus % (MP Eater - MP Boost, always-on + Nimble Feet, duty-cycle averaged)</t>
        </is>
      </c>
      <c r="B1380">
        <f>IF(C1363=TRUE,F1363+(F1367-Calc!F17),0)+((C1374=TRUE)*F1374*IF(AND(Inputs!$B$38&lt;&gt;"pvp",Inputs!$B$43&gt;0),(((R1374-1)*(Skills!S24*(1+(Inputs!$B$34)/100))+MIN((Skills!S24*(1+(Inputs!$B$34)/100)),MAX(0,Inputs!$B$43-((R1374-1)*Skills!D24))))/Inputs!$B$43),IF(Inputs!$B$38="pvp",MIN((Skills!S24*(1+(Inputs!$B$34)/100)),15)/15,(Skills!S24*(1+(Inputs!$B$34)/100))/Skills!D24)))</f>
        <v/>
      </c>
    </row>
    <row r="1381">
      <c r="A1381" t="inlineStr">
        <is>
          <t>Actions Per Second</t>
        </is>
      </c>
      <c r="B1381">
        <f>1+MIN(150,150*(1-(1-(Inputs!$B$11+(ArtifactsInput!$M$15-ArtifactsInput!$M$15)*CHOOSE(ArtifactsInput!$N$15+1,8,9.6,11.2,12.8,14.4,16))/150)*(1-B1380/150)))/100</f>
        <v/>
      </c>
    </row>
    <row r="1382">
      <c r="A1382" t="inlineStr">
        <is>
          <t>Skill + Buff Cast Rate</t>
        </is>
      </c>
      <c r="B1382">
        <f>IF(AND(Inputs!$B$38&lt;&gt;"pvp",Inputs!$B$43&gt;0),SUMPRODUCT((Skills!E2:E24=TRUE)*(C1352:C1374=TRUE)*R1352:R1374)/Inputs!$B$43,SUMPRODUCT((Skills!E2:E24=TRUE)*(C1352:C1374=TRUE)*Q1352:Q1374))</f>
        <v/>
      </c>
    </row>
    <row r="1383">
      <c r="A1383" t="inlineStr">
        <is>
          <t>Chain Lightning Casts Per Second</t>
        </is>
      </c>
      <c r="B1383">
        <f>MAX(0,B1381-B1382)</f>
        <v/>
      </c>
    </row>
    <row r="1384">
      <c r="A1384" t="inlineStr">
        <is>
          <t>Buff-Casting Startup Delay (s, fixed-duration only)</t>
        </is>
      </c>
      <c r="B1384">
        <f>IF(AND(Inputs!$B$38&lt;&gt;"pvp",Inputs!$B$43&gt;0),SUMPRODUCT((Skills!S2:S24&gt;0)*(Skills!E2:E24=TRUE)*(C1352:C1374=TRUE))/B1381,0)</f>
        <v/>
      </c>
    </row>
    <row r="1385">
      <c r="A1385" t="inlineStr">
        <is>
          <t>Boss-Only Total DPS (this block's swept value)</t>
        </is>
      </c>
      <c r="B1385">
        <f>SUM(S1352:S1374)</f>
        <v/>
      </c>
    </row>
    <row r="1386">
      <c r="A1386" t="inlineStr">
        <is>
          <t>Normal-Only Total DPS (this block's swept value)</t>
        </is>
      </c>
      <c r="B1386">
        <f>SUM(U1352:U1374)</f>
        <v/>
      </c>
    </row>
    <row r="1387">
      <c r="A1387" s="6" t="inlineStr">
        <is>
          <t>TOTAL DPS</t>
        </is>
      </c>
      <c r="B1387" s="6">
        <f>SUM(O1352:O1374)</f>
        <v/>
      </c>
    </row>
    <row r="1390">
      <c r="A1390" s="6" t="inlineStr">
        <is>
          <t>Stat: Clear Spring Water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Inputs!$B$3&gt;=100</f>
        <v/>
      </c>
      <c r="D1392" t="inlineStr"/>
      <c r="E1392" t="inlineStr"/>
      <c r="F1392">
        <f>T1394+Skills!N2</f>
        <v/>
      </c>
      <c r="G1392">
        <f>Calc!G2</f>
        <v/>
      </c>
      <c r="H1392">
        <f>Calc!H2</f>
        <v/>
      </c>
      <c r="I1392">
        <f>IF(Skills!T2&lt;&gt;"",1+(Skills!T2/10)*(Z1393/1000)/100,1)</f>
        <v/>
      </c>
      <c r="J1392">
        <f>((Inputs!$B$6*(1+Inputs!$B$7/100))+(((Inputs!$B$12*(1+Inputs!$B$13/100))-(Inputs!$B$12*(1+Inputs!$B$13/100)))+0.25*(Inputs!$B$14-Inputs!$B$14))*(1+Inputs!$B$7/100))*(F1392/100)</f>
        <v/>
      </c>
      <c r="K1392">
        <f>J1392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2="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1408-Calc!F18),(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IF(B1427=0,0,O1392/B1427)</f>
        <v/>
      </c>
      <c r="Q1392">
        <f>IFERROR(1/IF(Inputs!$B$38="pvp",15,MAX(0.1,Skills!D2-IF(Skills!E2=TRUE,Inputs!$B$32,0))),0)</f>
        <v/>
      </c>
      <c r="R1392" t="n">
        <v>0</v>
      </c>
      <c r="S1392">
        <f>IF(C1392,(Skills!F2*N1392*B1423)*IF(Inputs!$B$38="pvp",1,1+(Inputs!$B$20+Skills!O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2">
        <f>MAX(0,(Inputs!$B$3-100)*3)+Inputs!$B$28+Inputs!$B$29</f>
        <v/>
      </c>
      <c r="U1392">
        <f>IF(C1392,(Skills!F2*N1392*B1423)*IF(Inputs!$B$38="pvp",1,(1+(Inputs!$B$21+Skills!P2+B1418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2">
        <f>MAX(0,(Inputs!$B$3-100)*3)+Inputs!$B$28+Inputs!$B$29</f>
        <v/>
      </c>
    </row>
    <row r="1393">
      <c r="A1393">
        <f>Skills!A3</f>
        <v/>
      </c>
      <c r="B1393">
        <f>Skills!B3</f>
        <v/>
      </c>
      <c r="C1393">
        <f>Inputs!$B$3&gt;=15</f>
        <v/>
      </c>
      <c r="D1393">
        <f>IF(Skills!C3=1,60+Inputs!$B$25+Inputs!$B$29,IF(Skills!C3=2,90+Inputs!$B$26+Inputs!$B$29,IF(Skills!C3=3,120+Inputs!$B$27+Inputs!$B$29,MAX(0,(Inputs!$B$3-100)*3)+Inputs!$B$28+Inputs!$B$29)))</f>
        <v/>
      </c>
      <c r="E1393">
        <f>INDEX(FactorTable!$B$2:$Y$301, MATCH(ROUND(MIN(300,MAX(1,D1393)),0), FactorTable!$A$2:$A$301,0), Skills!L3+1)</f>
        <v/>
      </c>
      <c r="F1393">
        <f>IF(Skills!M3=TRUE,(Skills!K3/10)*(E1393/1000),Skills!K3/10)+Skills!N3</f>
        <v/>
      </c>
      <c r="G1393">
        <f>Calc!G3</f>
        <v/>
      </c>
      <c r="H1393">
        <f>Calc!H3</f>
        <v/>
      </c>
      <c r="I1393">
        <f>IF(Skills!T3&lt;&gt;"",1+(Skills!T3/10)*(Z1393/1000)/100,1)</f>
        <v/>
      </c>
      <c r="J1393" t="inlineStr"/>
      <c r="K1393" t="inlineStr"/>
      <c r="L1393" t="inlineStr"/>
      <c r="M1393" t="inlineStr"/>
      <c r="N1393" t="inlineStr"/>
      <c r="O1393">
        <f>(1-Summary!$B$11)*S1393+Summary!$B$11*U1393</f>
        <v/>
      </c>
      <c r="P1393">
        <f>IF(B1427=0,0,O1393/B1427)</f>
        <v/>
      </c>
      <c r="Q1393">
        <f>IFERROR(1/IF(Inputs!$B$38="pvp",15,MAX(0.1,Skills!D3-IF(Skills!E3=TRUE,Inputs!$B$32,0))),0)</f>
        <v/>
      </c>
      <c r="R1393">
        <f>IF(AND(Inputs!$B$38&lt;&gt;"pvp",Inputs!$B$43&gt;0),IF(Inputs!$B$43&lt;=0,0,(INT(Inputs!$B$43/IF(Inputs!$B$38="pvp",15,MAX(0.1,Skills!D3-IF(Skills!E3=TRUE,Inputs!$B$32,0))))+1)),0)</f>
        <v/>
      </c>
      <c r="S1393" t="n">
        <v>0</v>
      </c>
      <c r="T1393">
        <f>INDEX(FactorTable!$B$2:$Y$301, MATCH(ROUND(MIN(300,MAX(1,T1392)),0), FactorTable!$A$2:$A$301,0), 22)</f>
        <v/>
      </c>
      <c r="U1393" t="n">
        <v>0</v>
      </c>
      <c r="Z1393">
        <f>INDEX(FactorTable!$B$2:$Y$301, MATCH(ROUND(MIN(300,MAX(1,Z1392)),0), FactorTable!$A$2:$A$301,0), 24)</f>
        <v/>
      </c>
    </row>
    <row r="1394">
      <c r="A1394">
        <f>Skills!A4</f>
        <v/>
      </c>
      <c r="B1394">
        <f>Skills!B4</f>
        <v/>
      </c>
      <c r="C1394">
        <f>Inputs!$B$3&gt;=40</f>
        <v/>
      </c>
      <c r="D1394">
        <f>IF(Skills!C4=1,60+Inputs!$B$25+Inputs!$B$29,IF(Skills!C4=2,90+Inputs!$B$26+Inputs!$B$29,IF(Skills!C4=3,120+Inputs!$B$27+Inputs!$B$29,MAX(0,(Inputs!$B$3-100)*3)+Inputs!$B$28+Inputs!$B$29)))</f>
        <v/>
      </c>
      <c r="E1394">
        <f>INDEX(FactorTable!$B$2:$Y$301, MATCH(ROUND(MIN(300,MAX(1,D1394)),0), FactorTable!$A$2:$A$301,0), Skills!L4+1)</f>
        <v/>
      </c>
      <c r="F1394">
        <f>IF(Skills!M4=TRUE,(Skills!K4/10)*(E1394/1000),Skills!K4/10)+Skills!N4</f>
        <v/>
      </c>
      <c r="G1394">
        <f>Calc!G4</f>
        <v/>
      </c>
      <c r="H1394">
        <f>Calc!H4</f>
        <v/>
      </c>
      <c r="I1394">
        <f>IF(Skills!T4&lt;&gt;"",1+(Skills!T4/10)*(Z1393/1000)/100,1)</f>
        <v/>
      </c>
      <c r="J1394" t="inlineStr"/>
      <c r="K1394" t="inlineStr"/>
      <c r="L1394" t="inlineStr"/>
      <c r="M1394" t="inlineStr"/>
      <c r="N1394" t="inlineStr"/>
      <c r="O1394">
        <f>(1-Summary!$B$11)*S1394+Summary!$B$11*U1394</f>
        <v/>
      </c>
      <c r="P1394">
        <f>IF(B1427=0,0,O1394/B1427)</f>
        <v/>
      </c>
      <c r="Q1394">
        <f>IFERROR(1/IF(Inputs!$B$38="pvp",15,MAX(0.1,Skills!D4-IF(Skills!E4=TRUE,Inputs!$B$32,0))),0)</f>
        <v/>
      </c>
      <c r="R1394">
        <f>IF(AND(Inputs!$B$38&lt;&gt;"pvp",Inputs!$B$43&gt;0),IF(Inputs!$B$43&lt;=0,0,(INT(Inputs!$B$43/IF(Inputs!$B$38="pvp",15,MAX(0.1,Skills!D4-IF(Skills!E4=TRUE,Inputs!$B$32,0))))+1)),0)</f>
        <v/>
      </c>
      <c r="S1394" t="n">
        <v>0</v>
      </c>
      <c r="T1394">
        <f>290*T1393/1000</f>
        <v/>
      </c>
      <c r="U1394" t="n">
        <v>0</v>
      </c>
    </row>
    <row r="1395">
      <c r="A1395">
        <f>Skills!A5</f>
        <v/>
      </c>
      <c r="B1395">
        <f>Skills!B5</f>
        <v/>
      </c>
      <c r="C1395">
        <f>Inputs!$B$3&gt;=38</f>
        <v/>
      </c>
      <c r="D1395">
        <f>IF(Skills!C5=1,60+Inputs!$B$25+Inputs!$B$29,IF(Skills!C5=2,90+Inputs!$B$26+Inputs!$B$29,IF(Skills!C5=3,120+Inputs!$B$27+Inputs!$B$29,MAX(0,(Inputs!$B$3-100)*3)+Inputs!$B$28+Inputs!$B$29)))</f>
        <v/>
      </c>
      <c r="E1395">
        <f>INDEX(FactorTable!$B$2:$Y$301, MATCH(ROUND(MIN(300,MAX(1,D1395)),0), FactorTable!$A$2:$A$301,0), Skills!L5+1)</f>
        <v/>
      </c>
      <c r="F1395">
        <f>IF(Skills!M5=TRUE,(Skills!K5/10)*(E1395/1000),Skills!K5/10)+Skills!N5</f>
        <v/>
      </c>
      <c r="G1395">
        <f>Calc!G5</f>
        <v/>
      </c>
      <c r="H1395">
        <f>Calc!H5</f>
        <v/>
      </c>
      <c r="I1395">
        <f>IF(Skills!T5&lt;&gt;"",1+(Skills!T5/10)*(Z1393/1000)/100,1)</f>
        <v/>
      </c>
      <c r="J1395">
        <f>((Inputs!$B$6*(1+Inputs!$B$7/100))+(((Inputs!$B$12*(1+Inputs!$B$13/100))-(Inputs!$B$12*(1+Inputs!$B$13/100)))+0.25*(Inputs!$B$14-Inputs!$B$14))*(1+Inputs!$B$7/100))*(F1395/100)</f>
        <v/>
      </c>
      <c r="K1395">
        <f>J1395*(1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5="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1408-Calc!F18),(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IF(B1427=0,0,O1395/B1427)</f>
        <v/>
      </c>
      <c r="Q1395">
        <f>IFERROR(1/IF(Inputs!$B$38="pvp",15,MAX(0.1,Skills!D5-IF(Skills!E5=TRUE,Inputs!$B$32,0))),0)</f>
        <v/>
      </c>
      <c r="R1395">
        <f>IF(AND(Inputs!$B$38&lt;&gt;"pvp",Inputs!$B$43&gt;0),IF(MAX(0,Inputs!$B$43-B1424)&lt;=0,0,(INT(MAX(0,Inputs!$B$43-B1424)/IF(Inputs!$B$38="pvp",15,MAX(0.1,Skills!D5-IF(Skills!E5=TRUE,Inputs!$B$32,0))))+1)),0)</f>
        <v/>
      </c>
      <c r="S1395">
        <f>IF(C1395,(H1395*N1395*IF(AND(Inputs!$B$38&lt;&gt;"pvp",Inputs!$B$43&gt;0),((Skills!F5*((R1395-1)*IF(Skills!G5&gt;0,Skills!H5/Skills!G5,1)+IF(Skills!G5&gt;0,MIN(Skills!H5,MAX(0,MAX(0,Inputs!$B$43-B1424)-((R1395-1)*IF(Inputs!$B$38="pvp",15,MAX(0.1,Skills!D5-IF(Skills!E5=TRUE,Inputs!$B$32,0))))))/Skills!G5,1)))/Inputs!$B$43),G1395*Q1395))*IF(Inputs!$B$38="pvp",1,1+(Inputs!$B$20+Skills!O5+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F5*((R1395-1)*IF(Skills!G5&gt;0,Skills!H5/Skills!G5,1)+IF(Skills!G5&gt;0,MIN(Skills!H5,MAX(0,MAX(0,Inputs!$B$43-B1424)-((R1395-1)*IF(Inputs!$B$38="pvp",15,MAX(0.1,Skills!D5-IF(Skills!E5=TRUE,Inputs!$B$32,0))))))/Skills!G5,1)))/Inputs!$B$43),G1395*Q1395))*IF(Inputs!$B$38="pvp",1,(1+(Inputs!$B$21+Skills!P5+B1418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Inputs!$B$3&gt;=63</f>
        <v/>
      </c>
      <c r="D1396">
        <f>IF(Skills!C6=1,60+Inputs!$B$25+Inputs!$B$29,IF(Skills!C6=2,90+Inputs!$B$26+Inputs!$B$29,IF(Skills!C6=3,120+Inputs!$B$27+Inputs!$B$29,MAX(0,(Inputs!$B$3-100)*3)+Inputs!$B$28+Inputs!$B$29)))</f>
        <v/>
      </c>
      <c r="E1396">
        <f>INDEX(FactorTable!$B$2:$Y$301, MATCH(ROUND(MIN(300,MAX(1,D1396)),0), FactorTable!$A$2:$A$301,0), Skills!L6+1)</f>
        <v/>
      </c>
      <c r="F1396">
        <f>IF(Skills!M6=TRUE,(Skills!K6/10)*(E1396/1000),Skills!K6/10)+Skills!N6</f>
        <v/>
      </c>
      <c r="G1396">
        <f>Calc!G6</f>
        <v/>
      </c>
      <c r="H1396">
        <f>Calc!H6</f>
        <v/>
      </c>
      <c r="I1396">
        <f>IF(Skills!T6&lt;&gt;"",1+(Skills!T6/10)*(Z1393/1000)/100,1)</f>
        <v/>
      </c>
      <c r="J1396">
        <f>((Inputs!$B$6*(1+Inputs!$B$7/100))+(((Inputs!$B$12*(1+Inputs!$B$13/100))-(Inputs!$B$12*(1+Inputs!$B$13/100)))+0.25*(Inputs!$B$14-Inputs!$B$14))*(1+Inputs!$B$7/100))*(F1396/100)</f>
        <v/>
      </c>
      <c r="K1396">
        <f>J1396*(1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6="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F1408-Calc!F18),(Inputs!$B$23+(IF(ArtifactsInput!$M$15,CHOOSE(ArtifactsInput!$N$15+1,25,30,35,40,45,50)/100*(Inputs!$B$11-Inputs!$B$11),0))))/100+(Inputs!$B$23+(IF(ArtifactsInput!$M$15,CHOOSE(ArtifactsInput!$N$15+1,25,30,35,40,45,50)/100*(Inputs!$B$11-Inputs!$B$11),0)))/100)/2</f>
        <v/>
      </c>
      <c r="M1396">
        <f>L1396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(1-Summary!$B$11)*S1396+Summary!$B$11*U1396</f>
        <v/>
      </c>
      <c r="P1396">
        <f>IF(B1427=0,0,O1396/B1427)</f>
        <v/>
      </c>
      <c r="Q1396">
        <f>IFERROR(1/IF(Inputs!$B$38="pvp",15,MAX(0.1,Skills!D6-IF(Skills!E6=TRUE,Inputs!$B$32,0))),0)</f>
        <v/>
      </c>
      <c r="R1396">
        <f>IF(AND(Inputs!$B$38&lt;&gt;"pvp",Inputs!$B$43&gt;0),IF(MAX(0,Inputs!$B$43-B1424)&lt;=0,0,(INT(MAX(0,Inputs!$B$43-B1424)/IF(Inputs!$B$38="pvp",15,MAX(0.1,Skills!D6-IF(Skills!E6=TRUE,Inputs!$B$32,0))))+1)),0)</f>
        <v/>
      </c>
      <c r="S1396">
        <f>IF(C1396,(H1396*N1396*IF(AND(Inputs!$B$38&lt;&gt;"pvp",Inputs!$B$43&gt;0),((Skills!F6*((R1396-1)*IF(Skills!G6&gt;0,Skills!H6/Skills!G6,1)+IF(Skills!G6&gt;0,MIN(Skills!H6,MAX(0,MAX(0,Inputs!$B$43-B1424)-((R1396-1)*IF(Inputs!$B$38="pvp",15,MAX(0.1,Skills!D6-IF(Skills!E6=TRUE,Inputs!$B$32,0))))))/Skills!G6,1)))/Inputs!$B$43),G1396*Q1396))*IF(Inputs!$B$38="pvp",1,1+(Inputs!$B$20+Skills!O6+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1396*(1-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6">
        <f>IF(C1396,(H1396*N1396*IF(AND(Inputs!$B$38&lt;&gt;"pvp",Inputs!$B$43&gt;0),((Skills!F6*((R1396-1)*IF(Skills!G6&gt;0,Skills!H6/Skills!G6,1)+IF(Skills!G6&gt;0,MIN(Skills!H6,MAX(0,MAX(0,Inputs!$B$43-B1424)-((R1396-1)*IF(Inputs!$B$38="pvp",15,MAX(0.1,Skills!D6-IF(Skills!E6=TRUE,Inputs!$B$32,0))))))/Skills!G6,1)))/Inputs!$B$43),G1396*Q1396))*IF(Inputs!$B$38="pvp",1,(1+(Inputs!$B$21+Skills!P6+B1418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Skills!A7</f>
        <v/>
      </c>
      <c r="B1397">
        <f>Skills!B7</f>
        <v/>
      </c>
      <c r="C1397">
        <f>Inputs!$B$3&gt;=69</f>
        <v/>
      </c>
      <c r="D1397">
        <f>IF(Skills!C7=1,60+Inputs!$B$25+Inputs!$B$29,IF(Skills!C7=2,90+Inputs!$B$26+Inputs!$B$29,IF(Skills!C7=3,120+Inputs!$B$27+Inputs!$B$29,MAX(0,(Inputs!$B$3-100)*3)+Inputs!$B$28+Inputs!$B$29)))</f>
        <v/>
      </c>
      <c r="E1397">
        <f>INDEX(FactorTable!$B$2:$Y$301, MATCH(ROUND(MIN(300,MAX(1,D1397)),0), FactorTable!$A$2:$A$301,0), Skills!L7+1)</f>
        <v/>
      </c>
      <c r="F1397">
        <f>IF(Skills!M7=TRUE,(Skills!K7/10)*(E1397/1000),Skills!K7/10)+Skills!N7</f>
        <v/>
      </c>
      <c r="G1397">
        <f>Calc!G7</f>
        <v/>
      </c>
      <c r="H1397">
        <f>Calc!H7</f>
        <v/>
      </c>
      <c r="I1397">
        <f>IF(Skills!T7&lt;&gt;"",1+(Skills!T7/10)*(Z1393/1000)/100,1)</f>
        <v/>
      </c>
      <c r="J1397">
        <f>((Inputs!$B$6*(1+Inputs!$B$7/100))+(((Inputs!$B$12*(1+Inputs!$B$13/100))-(Inputs!$B$12*(1+Inputs!$B$13/100)))+0.25*(Inputs!$B$14-Inputs!$B$14))*(1+Inputs!$B$7/100))*(F1397/100)</f>
        <v/>
      </c>
      <c r="K1397">
        <f>J1397*(1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7="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1408-Calc!F18),(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IF(B1427=0,0,O1397/B1427)</f>
        <v/>
      </c>
      <c r="Q1397">
        <f>IFERROR(1/IF(Inputs!$B$38="pvp",15,MAX(0.1,Skills!D7-IF(Skills!E7=TRUE,Inputs!$B$32,0))),0)</f>
        <v/>
      </c>
      <c r="R1397">
        <f>IF(AND(Inputs!$B$38&lt;&gt;"pvp",Inputs!$B$43&gt;0),IF(MAX(0,Inputs!$B$43-B1424)&lt;=0,0,(INT(MAX(0,Inputs!$B$43-B1424)/IF(Inputs!$B$38="pvp",15,MAX(0.1,Skills!D7-IF(Skills!E7=TRUE,Inputs!$B$32,0))))+1)),0)</f>
        <v/>
      </c>
      <c r="S1397">
        <f>IF(C1397,(H1397*N1397*IF(AND(Inputs!$B$38&lt;&gt;"pvp",Inputs!$B$43&gt;0),((Skills!F7*((R1397-1)*IF(Skills!G7&gt;0,Skills!H7/Skills!G7,1)+IF(Skills!G7&gt;0,MIN(Skills!H7,MAX(0,MAX(0,Inputs!$B$43-B1424)-((R1397-1)*IF(Inputs!$B$38="pvp",15,MAX(0.1,Skills!D7-IF(Skills!E7=TRUE,Inputs!$B$32,0))))))/Skills!G7,1)))/Inputs!$B$43),G1397*Q1397))*IF(Inputs!$B$38="pvp",1,1+(Inputs!$B$20+Skills!O7+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F7*((R1397-1)*IF(Skills!G7&gt;0,Skills!H7/Skills!G7,1)+IF(Skills!G7&gt;0,MIN(Skills!H7,MAX(0,MAX(0,Inputs!$B$43-B1424)-((R1397-1)*IF(Inputs!$B$38="pvp",15,MAX(0.1,Skills!D7-IF(Skills!E7=TRUE,Inputs!$B$32,0))))))/Skills!G7,1)))/Inputs!$B$43),G1397*Q1397))*IF(Inputs!$B$38="pvp",1,(1+(Inputs!$B$21+Skills!P7+B1418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Inputs!$B$3&gt;=103</f>
        <v/>
      </c>
      <c r="D1398">
        <f>IF(Skills!C8=1,60+Inputs!$B$25+Inputs!$B$29,IF(Skills!C8=2,90+Inputs!$B$26+Inputs!$B$29,IF(Skills!C8=3,120+Inputs!$B$27+Inputs!$B$29,MAX(0,(Inputs!$B$3-100)*3)+Inputs!$B$28+Inputs!$B$29)))</f>
        <v/>
      </c>
      <c r="E1398">
        <f>INDEX(FactorTable!$B$2:$Y$301, MATCH(ROUND(MIN(300,MAX(1,D1398)),0), FactorTable!$A$2:$A$301,0), Skills!L8+1)</f>
        <v/>
      </c>
      <c r="F1398">
        <f>IF(Skills!M8=TRUE,(Skills!K8/10)*(E1398/1000),Skills!K8/10)+Skills!N8</f>
        <v/>
      </c>
      <c r="G1398">
        <f>Calc!G8</f>
        <v/>
      </c>
      <c r="H1398">
        <f>Calc!H8</f>
        <v/>
      </c>
      <c r="I1398">
        <f>IF(Skills!T8&lt;&gt;"",1+(Skills!T8/10)*(Z1393/1000)/100,1)</f>
        <v/>
      </c>
      <c r="J1398">
        <f>((Inputs!$B$6*(1+Inputs!$B$7/100))+(((Inputs!$B$12*(1+Inputs!$B$13/100))-(Inputs!$B$12*(1+Inputs!$B$13/100)))+0.25*(Inputs!$B$14-Inputs!$B$14))*(1+Inputs!$B$7/100))*(F1398/100)</f>
        <v/>
      </c>
      <c r="K1398">
        <f>J1398*(1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8="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1408-Calc!F18),(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IF(B1427=0,0,O1398/B1427)</f>
        <v/>
      </c>
      <c r="Q1398">
        <f>IFERROR(1/IF(Inputs!$B$38="pvp",15,MAX(0.1,Skills!D8-IF(Skills!E8=TRUE,Inputs!$B$32,0))),0)</f>
        <v/>
      </c>
      <c r="R1398">
        <f>IF(AND(Inputs!$B$38&lt;&gt;"pvp",Inputs!$B$43&gt;0),IF(MAX(0,Inputs!$B$43-B1424)&lt;=0,0,(INT(MAX(0,Inputs!$B$43-B1424)/IF(Inputs!$B$38="pvp",15,MAX(0.1,Skills!D8-IF(Skills!E8=TRUE,Inputs!$B$32,0))))+1)),0)</f>
        <v/>
      </c>
      <c r="S1398">
        <f>IF(C1398,(H1398*N1398*IF(AND(Inputs!$B$38&lt;&gt;"pvp",Inputs!$B$43&gt;0),((Skills!F8*((R1398-1)*IF(Skills!G8&gt;0,Skills!H8/Skills!G8,1)+IF(Skills!G8&gt;0,MIN(Skills!H8,MAX(0,MAX(0,Inputs!$B$43-B1424)-((R1398-1)*IF(Inputs!$B$38="pvp",15,MAX(0.1,Skills!D8-IF(Skills!E8=TRUE,Inputs!$B$32,0))))))/Skills!G8,1)))/Inputs!$B$43),G1398*Q1398))*IF(Inputs!$B$38="pvp",1,1+(Inputs!$B$20+Skills!O8+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F8*((R1398-1)*IF(Skills!G8&gt;0,Skills!H8/Skills!G8,1)+IF(Skills!G8&gt;0,MIN(Skills!H8,MAX(0,MAX(0,Inputs!$B$43-B1424)-((R1398-1)*IF(Inputs!$B$38="pvp",15,MAX(0.1,Skills!D8-IF(Skills!E8=TRUE,Inputs!$B$32,0))))))/Skills!G8,1)))/Inputs!$B$43),G1398*Q1398))*IF(Inputs!$B$38="pvp",1,(1+(Inputs!$B$21+Skills!P8+B1418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Inputs!$B$3&gt;=105</f>
        <v/>
      </c>
      <c r="D1399">
        <f>IF(Skills!C9=1,60+Inputs!$B$25+Inputs!$B$29,IF(Skills!C9=2,90+Inputs!$B$26+Inputs!$B$29,IF(Skills!C9=3,120+Inputs!$B$27+Inputs!$B$29,MAX(0,(Inputs!$B$3-100)*3)+Inputs!$B$28+Inputs!$B$29)))</f>
        <v/>
      </c>
      <c r="E1399">
        <f>INDEX(FactorTable!$B$2:$Y$301, MATCH(ROUND(MIN(300,MAX(1,D1399)),0), FactorTable!$A$2:$A$301,0), Skills!L9+1)</f>
        <v/>
      </c>
      <c r="F1399">
        <f>IF(Skills!M9=TRUE,(Skills!K9/10)*(E1399/1000),Skills!K9/10)+Skills!N9</f>
        <v/>
      </c>
      <c r="G1399">
        <f>Calc!G9</f>
        <v/>
      </c>
      <c r="H1399">
        <f>Calc!H9</f>
        <v/>
      </c>
      <c r="I1399">
        <f>IF(Skills!T9&lt;&gt;"",1+(Skills!T9/10)*(Z1393/1000)/100,1)</f>
        <v/>
      </c>
      <c r="J1399">
        <f>((Inputs!$B$6*(1+Inputs!$B$7/100))+(((Inputs!$B$12*(1+Inputs!$B$13/100))-(Inputs!$B$12*(1+Inputs!$B$13/100)))+0.25*(Inputs!$B$14-Inputs!$B$14))*(1+Inputs!$B$7/100))*(F1399/100)</f>
        <v/>
      </c>
      <c r="K1399">
        <f>J1399*(1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9="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1408-Calc!F18),(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IF(B1427=0,0,O1399/B1427)</f>
        <v/>
      </c>
      <c r="Q1399">
        <f>IFERROR(1/IF(Inputs!$B$38="pvp",15,MAX(0.1,Skills!D9-IF(Skills!E9=TRUE,Inputs!$B$32,0))),0)</f>
        <v/>
      </c>
      <c r="R1399">
        <f>IF(AND(Inputs!$B$38&lt;&gt;"pvp",Inputs!$B$43&gt;0),IF(MAX(0,Inputs!$B$43-B1424)&lt;=0,0,(INT(MAX(0,Inputs!$B$43-B1424)/IF(Inputs!$B$38="pvp",15,MAX(0.1,Skills!D9-IF(Skills!E9=TRUE,Inputs!$B$32,0))))+1)),0)</f>
        <v/>
      </c>
      <c r="S1399">
        <f>IF(C1399,(H1399*N1399*IF(AND(Inputs!$B$38&lt;&gt;"pvp",Inputs!$B$43&gt;0),((Skills!F9*((R1399-1)*IF(Skills!G9&gt;0,Skills!H9/Skills!G9,1)+IF(Skills!G9&gt;0,MIN(Skills!H9,MAX(0,MAX(0,Inputs!$B$43-B1424)-((R1399-1)*IF(Inputs!$B$38="pvp",15,MAX(0.1,Skills!D9-IF(Skills!E9=TRUE,Inputs!$B$32,0))))))/Skills!G9,1)))/Inputs!$B$43),G1399*Q1399))*IF(Inputs!$B$38="pvp",1,1+(Inputs!$B$20+Skills!O9+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F9*((R1399-1)*IF(Skills!G9&gt;0,Skills!H9/Skills!G9,1)+IF(Skills!G9&gt;0,MIN(Skills!H9,MAX(0,MAX(0,Inputs!$B$43-B1424)-((R1399-1)*IF(Inputs!$B$38="pvp",15,MAX(0.1,Skills!D9-IF(Skills!E9=TRUE,Inputs!$B$32,0))))))/Skills!G9,1)))/Inputs!$B$43),G1399*Q1399))*IF(Inputs!$B$38="pvp",1,(1+(Inputs!$B$21+Skills!P9+B1418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Inputs!$B$3&gt;=113</f>
        <v/>
      </c>
      <c r="D1400">
        <f>IF(Skills!C10=1,60+Inputs!$B$25+Inputs!$B$29,IF(Skills!C10=2,90+Inputs!$B$26+Inputs!$B$29,IF(Skills!C10=3,120+Inputs!$B$27+Inputs!$B$29,MAX(0,(Inputs!$B$3-100)*3)+Inputs!$B$28+Inputs!$B$29)))</f>
        <v/>
      </c>
      <c r="E1400">
        <f>INDEX(FactorTable!$B$2:$Y$301, MATCH(ROUND(MIN(300,MAX(1,D1400)),0), FactorTable!$A$2:$A$301,0), Skills!L10+1)</f>
        <v/>
      </c>
      <c r="F1400">
        <f>IF(Skills!M10=TRUE,(Skills!K10/10)*(E1400/1000),Skills!K10/10)+Skills!N10</f>
        <v/>
      </c>
      <c r="G1400">
        <f>Calc!G10</f>
        <v/>
      </c>
      <c r="H1400">
        <f>Calc!H10</f>
        <v/>
      </c>
      <c r="I1400">
        <f>IF(Skills!T10&lt;&gt;"",1+(Skills!T10/10)*(Z1393/1000)/100,1)</f>
        <v/>
      </c>
      <c r="J1400">
        <f>((Inputs!$B$6*(1+Inputs!$B$7/100))+(((Inputs!$B$12*(1+Inputs!$B$13/100))-(Inputs!$B$12*(1+Inputs!$B$13/100)))+0.25*(Inputs!$B$14-Inputs!$B$14))*(1+Inputs!$B$7/100))*(F1400/100)</f>
        <v/>
      </c>
      <c r="K1400">
        <f>J1400*(1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10="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1408-Calc!F18),(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IF(B1427=0,0,O1400/B1427)</f>
        <v/>
      </c>
      <c r="Q1400">
        <f>IFERROR(1/IF(Inputs!$B$38="pvp",15,MAX(0.1,Skills!D10-IF(Skills!E9=TRUE,Inputs!$B$32,0))),0)</f>
        <v/>
      </c>
      <c r="R1400">
        <f>IF(AND(Inputs!$B$38&lt;&gt;"pvp",Inputs!$B$43&gt;0),IF(MAX(0,Inputs!$B$43-B1424)&lt;=0,0,(INT(MAX(0,Inputs!$B$43-B1424)/IF(Inputs!$B$38="pvp",15,MAX(0.1,Skills!D10-IF(Skills!E9=TRUE,Inputs!$B$32,0))))+1)),0)</f>
        <v/>
      </c>
      <c r="S1400">
        <f>IF(C1400,(H1400*N1400*IF(AND(Inputs!$B$38&lt;&gt;"pvp",Inputs!$B$43&gt;0),((Skills!F10*((R1400-1)*IF(Skills!G10&gt;0,Skills!H10/Skills!G10,1)+IF(Skills!G10&gt;0,MIN(Skills!H10,MAX(0,MAX(0,Inputs!$B$43-B1424)-((R1400-1)*IF(Inputs!$B$38="pvp",15,MAX(0.1,Skills!D10-IF(Skills!E9=TRUE,Inputs!$B$32,0))))))/Skills!G10,1)))/Inputs!$B$43),G1400*Q1400))*IF(Inputs!$B$38="pvp",1,1+(Inputs!$B$20+Skills!O10+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F10*((R1400-1)*IF(Skills!G10&gt;0,Skills!H10/Skills!G10,1)+IF(Skills!G10&gt;0,MIN(Skills!H10,MAX(0,MAX(0,Inputs!$B$43-B1424)-((R1400-1)*IF(Inputs!$B$38="pvp",15,MAX(0.1,Skills!D10-IF(Skills!E9=TRUE,Inputs!$B$32,0))))))/Skills!G10,1)))/Inputs!$B$43),G1400*Q1400))*IF(Inputs!$B$38="pvp",1,(1+(Inputs!$B$21+Skills!P10+B1418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Inputs!$B$3&gt;=107</f>
        <v/>
      </c>
      <c r="D1401">
        <f>IF(Skills!C11=1,60+Inputs!$B$25+Inputs!$B$29,IF(Skills!C11=2,90+Inputs!$B$26+Inputs!$B$29,IF(Skills!C11=3,120+Inputs!$B$27+Inputs!$B$29,MAX(0,(Inputs!$B$3-100)*3)+Inputs!$B$28+Inputs!$B$29)))</f>
        <v/>
      </c>
      <c r="E1401">
        <f>INDEX(FactorTable!$B$2:$Y$301, MATCH(ROUND(MIN(300,MAX(1,D1401)),0), FactorTable!$A$2:$A$301,0), Skills!L11+1)</f>
        <v/>
      </c>
      <c r="F1401">
        <f>IF(Skills!M11=TRUE,(Skills!K11/10)*(E1401/1000),Skills!K11/10)+Skills!N11</f>
        <v/>
      </c>
      <c r="G1401">
        <f>Calc!G11</f>
        <v/>
      </c>
      <c r="H1401">
        <f>Calc!H11</f>
        <v/>
      </c>
      <c r="I1401">
        <f>IF(Skills!T11&lt;&gt;"",1+(Skills!T11/10)*(Z1393/1000)/100,1)</f>
        <v/>
      </c>
      <c r="J1401">
        <f>((Inputs!$B$6*(1+Inputs!$B$7/100))+(((Inputs!$B$12*(1+Inputs!$B$13/100))-(Inputs!$B$12*(1+Inputs!$B$13/100)))+0.25*(Inputs!$B$14-Inputs!$B$14))*(1+Inputs!$B$7/100))*(F1401/100)</f>
        <v/>
      </c>
      <c r="K1401">
        <f>J1401*(1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11="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F1408-Calc!F18),(Inputs!$B$23+(IF(ArtifactsInput!$M$15,CHOOSE(ArtifactsInput!$N$15+1,25,30,35,40,45,50)/100*(Inputs!$B$11-Inputs!$B$11),0))))/100+(Inputs!$B$23+(IF(ArtifactsInput!$M$15,CHOOSE(ArtifactsInput!$N$15+1,25,30,35,40,45,50)/100*(Inputs!$B$11-Inputs!$B$11),0)))/100)/2</f>
        <v/>
      </c>
      <c r="M1401">
        <f>L1401*(1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(1-Summary!$B$11)*S1401+Summary!$B$11*U1401</f>
        <v/>
      </c>
      <c r="P1401">
        <f>IF(B1427=0,0,O1401/B1427)</f>
        <v/>
      </c>
      <c r="Q1401">
        <f>IFERROR(1/IF(Inputs!$B$38="pvp",15,MAX(0.1,Skills!D11-IF(Skills!E11=TRUE,Inputs!$B$32,0))),0)</f>
        <v/>
      </c>
      <c r="R1401">
        <f>IF(AND(Inputs!$B$38&lt;&gt;"pvp",Inputs!$B$43&gt;0),IF(MAX(0,Inputs!$B$43-B1424)&lt;=0,0,(INT(MAX(0,Inputs!$B$43-B1424)/IF(Inputs!$B$38="pvp",15,MAX(0.1,Skills!D11-IF(Skills!E11=TRUE,Inputs!$B$32,0))))+1)),0)</f>
        <v/>
      </c>
      <c r="S1401">
        <f>IF(C1401,H1401*N1401*IF(AND(Inputs!$B$38&lt;&gt;"pvp",Inputs!$B$43&gt;0),((Skills!F11*((R1401-1)*IF(Skills!G11&gt;0,Skills!H11/Skills!G11,1)+IF(Skills!G11&gt;0,MIN(Skills!H11,MAX(0,MAX(0,Inputs!$B$43-B1424)-((R1401-1)*IF(Inputs!$B$38="pvp",15,MAX(0.1,Skills!D11-IF(Skills!E11=TRUE,Inputs!$B$32,0))))))/Skills!G11,1)))/Inputs!$B$43),G1401*Q1401)*0.5*IF(Inputs!$B$38="pvp",1,1+(Inputs!$B$20+Skills!O11+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1401*(1-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IF(C1401,H1401*N1401*IF(AND(Inputs!$B$38&lt;&gt;"pvp",Inputs!$B$43&gt;0),((Skills!F11*((R1401-1)*IF(Skills!G11&gt;0,Skills!H11/Skills!G11,1)+IF(Skills!G11&gt;0,MIN(Skills!H11,MAX(0,MAX(0,Inputs!$B$43-B1424)-((R1401-1)*IF(Inputs!$B$38="pvp",15,MAX(0.1,Skills!D11-IF(Skills!E11=TRUE,Inputs!$B$32,0))))))/Skills!G11,1)))/Inputs!$B$43),G1401*Q1401)*1*IF(Inputs!$B$38="pvp",1,(1+(Inputs!$B$21+Skills!P11+B1418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Skills!A12</f>
        <v/>
      </c>
      <c r="B1402">
        <f>Skills!B12</f>
        <v/>
      </c>
      <c r="C1402">
        <f>Inputs!$B$3&gt;=115</f>
        <v/>
      </c>
      <c r="D1402">
        <f>IF(Skills!C12=1,60+Inputs!$B$25+Inputs!$B$29,IF(Skills!C12=2,90+Inputs!$B$26+Inputs!$B$29,IF(Skills!C12=3,120+Inputs!$B$27+Inputs!$B$29,MAX(0,(Inputs!$B$3-100)*3)+Inputs!$B$28+Inputs!$B$29)))</f>
        <v/>
      </c>
      <c r="E1402">
        <f>INDEX(FactorTable!$B$2:$Y$301, MATCH(ROUND(MIN(300,MAX(1,D1402)),0), FactorTable!$A$2:$A$301,0), Skills!L12+1)</f>
        <v/>
      </c>
      <c r="F1402">
        <f>IF(Skills!M12=TRUE,(Skills!K12/10)*(E1402/1000),Skills!K12/10)+Skills!N12</f>
        <v/>
      </c>
      <c r="G1402">
        <f>Calc!G12</f>
        <v/>
      </c>
      <c r="H1402">
        <f>Calc!H12</f>
        <v/>
      </c>
      <c r="I1402">
        <f>IF(Skills!T12&lt;&gt;"",1+(Skills!T12/10)*(Z1393/1000)/100,1)</f>
        <v/>
      </c>
      <c r="J1402">
        <f>((Inputs!$B$6*(1+Inputs!$B$7/100))+(((Inputs!$B$12*(1+Inputs!$B$13/100))-(Inputs!$B$12*(1+Inputs!$B$13/100)))+0.25*(Inputs!$B$14-Inputs!$B$14))*(1+Inputs!$B$7/100))*(F1402/100)</f>
        <v/>
      </c>
      <c r="K1402">
        <f>J1402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12="CHAIN_LIGHTNING",Inputs!$B$17+((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F1408-Calc!F18),(Inputs!$B$23+(IF(ArtifactsInput!$M$15,CHOOSE(ArtifactsInput!$N$15+1,25,30,35,40,45,50)/100*(Inputs!$B$11-Inputs!$B$11),0))))/100+(Inputs!$B$23+(IF(ArtifactsInput!$M$15,CHOOSE(ArtifactsInput!$N$15+1,25,30,35,40,45,50)/100*(Inputs!$B$11-Inputs!$B$11),0)))/100)/2</f>
        <v/>
      </c>
      <c r="M1402">
        <f>L1402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(1-Summary!$B$11)*S1402+Summary!$B$11*U1402</f>
        <v/>
      </c>
      <c r="P1402">
        <f>IF(B1427=0,0,O1402/B1427)</f>
        <v/>
      </c>
      <c r="Q1402">
        <f>IFERROR(1/IF(Inputs!$B$38="pvp",15,MAX(0.1,Skills!D12-IF(Skills!E12=TRUE,Inputs!$B$32,0))),0)</f>
        <v/>
      </c>
      <c r="R1402">
        <f>IF(AND(Inputs!$B$38&lt;&gt;"pvp",Inputs!$B$43&gt;0),IF(MAX(0,Inputs!$B$43-B1424)&lt;=0,0,(INT(MAX(0,Inputs!$B$43-B1424)/IF(Inputs!$B$38="pvp",15,MAX(0.1,Skills!D12-IF(Skills!E12=TRUE,Inputs!$B$32,0))))+1)),0)</f>
        <v/>
      </c>
      <c r="S1402">
        <f>IF(C1402,(H1402*N1402*IF(AND(Inputs!$B$38&lt;&gt;"pvp",Inputs!$B$43&gt;0),((Skills!F12*((R1402-1)*IF(Skills!G12&gt;0,Skills!H12/Skills!G12,1)+IF(Skills!G12&gt;0,MIN(Skills!H12,MAX(0,MAX(0,Inputs!$B$43-B1424)-((R1402-1)*IF(Inputs!$B$38="pvp",15,MAX(0.1,Skills!D12-IF(Skills!E12=TRUE,Inputs!$B$32,0))))))/Skills!G12,1)))/Inputs!$B$43),G1402*Q1402))*IF(Inputs!$B$38="pvp",1,1+(Inputs!$B$20+Skills!O12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1402*(1-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F1410-Calc!F20)+(F1409-Calc!F19))+(ArtifactsInput!$M$24-ArtifactsInput!$M$24)*CHOOSE(ArtifactsInput!$N$24+1,10,12,14,16,18,20)+(IF(AND(Inputs!$B$38&lt;&gt;"pvp",Inputs!$B$43=0),1,IF(IF(Inputs!$B$38="pvp",15,Inputs!$B$43)-(B1424)&lt;=0,1,MAX(0,IF(Inputs!$B$38="pvp",15,Inputs!$B$43)-MAX(5,B1424))/(IF(Inputs!$B$38="pvp",15,Inputs!$B$43)-(B1424)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2">
        <f>IF(C1402,(H1402*N1402*IF(AND(Inputs!$B$38&lt;&gt;"pvp",Inputs!$B$43&gt;0),((Skills!F12*((R1402-1)*IF(Skills!G12&gt;0,Skills!H12/Skills!G12,1)+IF(Skills!G12&gt;0,MIN(Skills!H12,MAX(0,MAX(0,Inputs!$B$43-B1424)-((R1402-1)*IF(Inputs!$B$38="pvp",15,MAX(0.1,Skills!D12-IF(Skills!E12=TRUE,Inputs!$B$32,0))))))/Skills!G12,1)))/Inputs!$B$43),G1402*Q1402))*IF(Inputs!$B$38="pvp",1,(1+(Inputs!$B$21+Skills!P12+B1418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Skills!A13</f>
        <v/>
      </c>
      <c r="B1403">
        <f>Skills!B13</f>
        <v/>
      </c>
      <c r="C1403">
        <f>Inputs!$B$3&gt;=49</f>
        <v/>
      </c>
      <c r="D1403">
        <f>IF(Skills!C13=1,60+Inputs!$B$25+Inputs!$B$29,IF(Skills!C13=2,90+Inputs!$B$26+Inputs!$B$29,IF(Skills!C13=3,120+Inputs!$B$27+Inputs!$B$29,MAX(0,(Inputs!$B$3-100)*3)+Inputs!$B$28+Inputs!$B$29)))</f>
        <v/>
      </c>
      <c r="E1403">
        <f>INDEX(FactorTable!$B$2:$Y$301, MATCH(ROUND(MIN(300,MAX(1,D1403)),0), FactorTable!$A$2:$A$301,0), Skills!L13+1)</f>
        <v/>
      </c>
      <c r="F1403">
        <f>IF(Skills!M13=TRUE,(Skills!K13/10)*(E1403/1000),Skills!K13/10)+Skills!N13</f>
        <v/>
      </c>
      <c r="G1403">
        <f>Calc!G13</f>
        <v/>
      </c>
      <c r="H1403">
        <f>Calc!H13</f>
        <v/>
      </c>
      <c r="I1403">
        <f>IF(Skills!T13&lt;&gt;"",1+(Skills!T13/10)*(Z1393/1000)/100,1)</f>
        <v/>
      </c>
      <c r="J1403" t="inlineStr"/>
      <c r="K1403" t="inlineStr"/>
      <c r="L1403" t="inlineStr"/>
      <c r="M1403" t="inlineStr"/>
      <c r="N1403" t="inlineStr"/>
      <c r="O1403">
        <f>(1-Summary!$B$11)*S1403+Summary!$B$11*U1403</f>
        <v/>
      </c>
      <c r="P1403">
        <f>IF(B1427=0,0,O1403/B1427)</f>
        <v/>
      </c>
      <c r="Q1403">
        <f>IFERROR(1/IF(Inputs!$B$38="pvp",15,MAX(0.1,Skills!D13-IF(Skills!E13=TRUE,Inputs!$B$32,0))),0)</f>
        <v/>
      </c>
      <c r="R1403" t="n">
        <v>0</v>
      </c>
      <c r="S1403" t="n">
        <v>0</v>
      </c>
      <c r="U1403" t="n">
        <v>0</v>
      </c>
    </row>
    <row r="1404">
      <c r="A1404">
        <f>Skills!A14</f>
        <v/>
      </c>
      <c r="B1404">
        <f>Skills!B14</f>
        <v/>
      </c>
      <c r="C1404">
        <f>Inputs!$B$3&gt;=72</f>
        <v/>
      </c>
      <c r="D1404">
        <f>IF(Skills!C14=1,60+Inputs!$B$25+Inputs!$B$29,IF(Skills!C14=2,90+Inputs!$B$26+Inputs!$B$29,IF(Skills!C14=3,120+Inputs!$B$27+Inputs!$B$29,MAX(0,(Inputs!$B$3-100)*3)+Inputs!$B$28+Inputs!$B$29)))</f>
        <v/>
      </c>
      <c r="E1404">
        <f>INDEX(FactorTable!$B$2:$Y$301, MATCH(ROUND(MIN(300,MAX(1,D1404)),0), FactorTable!$A$2:$A$301,0), Skills!L14+1)</f>
        <v/>
      </c>
      <c r="F1404">
        <f>IF(Skills!M14=TRUE,(Skills!K14/10)*(E1404/1000),Skills!K14/10)+Skills!N14</f>
        <v/>
      </c>
      <c r="G1404">
        <f>Calc!G14</f>
        <v/>
      </c>
      <c r="H1404">
        <f>Calc!H14</f>
        <v/>
      </c>
      <c r="I1404">
        <f>IF(Skills!T14&lt;&gt;"",1+(Skills!T14/10)*(Z1393/1000)/100,1)</f>
        <v/>
      </c>
      <c r="J1404" t="inlineStr"/>
      <c r="K1404" t="inlineStr"/>
      <c r="L1404" t="inlineStr"/>
      <c r="M1404" t="inlineStr"/>
      <c r="N1404" t="inlineStr"/>
      <c r="O1404">
        <f>(1-Summary!$B$11)*S1404+Summary!$B$11*U1404</f>
        <v/>
      </c>
      <c r="P1404">
        <f>IF(B1427=0,0,O1404/B1427)</f>
        <v/>
      </c>
      <c r="Q1404">
        <f>IFERROR(1/IF(Inputs!$B$38="pvp",15,MAX(0.1,Skills!D14-IF(Skills!E14=TRUE,Inputs!$B$32,0))),0)</f>
        <v/>
      </c>
      <c r="R1404" t="n">
        <v>0</v>
      </c>
      <c r="S1404" t="n">
        <v>0</v>
      </c>
      <c r="U1404" t="n">
        <v>0</v>
      </c>
    </row>
    <row r="1405">
      <c r="A1405">
        <f>Skills!A15</f>
        <v/>
      </c>
      <c r="B1405">
        <f>Skills!B15</f>
        <v/>
      </c>
      <c r="C1405">
        <f>Inputs!$B$3&gt;=75</f>
        <v/>
      </c>
      <c r="D1405">
        <f>IF(Skills!C15=1,60+Inputs!$B$25+Inputs!$B$29,IF(Skills!C15=2,90+Inputs!$B$26+Inputs!$B$29,IF(Skills!C15=3,120+Inputs!$B$27+Inputs!$B$29,MAX(0,(Inputs!$B$3-100)*3)+Inputs!$B$28+Inputs!$B$29)))</f>
        <v/>
      </c>
      <c r="E1405">
        <f>INDEX(FactorTable!$B$2:$Y$301, MATCH(ROUND(MIN(300,MAX(1,D1405)),0), FactorTable!$A$2:$A$301,0), Skills!L15+1)</f>
        <v/>
      </c>
      <c r="F1405">
        <f>IF(Skills!M15=TRUE,(Skills!K15/10)*(E1405/1000),Skills!K15/10)+Skills!N15</f>
        <v/>
      </c>
      <c r="G1405">
        <f>Calc!G15</f>
        <v/>
      </c>
      <c r="H1405">
        <f>Calc!H15</f>
        <v/>
      </c>
      <c r="I1405">
        <f>IF(Skills!T15&lt;&gt;"",1+(Skills!T15/10)*(Z1393/1000)/100,1)</f>
        <v/>
      </c>
      <c r="J1405" t="inlineStr"/>
      <c r="K1405" t="inlineStr"/>
      <c r="L1405" t="inlineStr"/>
      <c r="M1405" t="inlineStr"/>
      <c r="N1405" t="inlineStr"/>
      <c r="O1405">
        <f>(1-Summary!$B$11)*S1405+Summary!$B$11*U1405</f>
        <v/>
      </c>
      <c r="P1405">
        <f>IF(B1427=0,0,O1405/B1427)</f>
        <v/>
      </c>
      <c r="Q1405">
        <f>IFERROR(1/IF(Inputs!$B$38="pvp",15,MAX(0.1,Skills!D15-IF(Skills!E15=TRUE,Inputs!$B$32,0))),0)</f>
        <v/>
      </c>
      <c r="R1405" t="n">
        <v>0</v>
      </c>
      <c r="S1405" t="n">
        <v>0</v>
      </c>
      <c r="U1405" t="n">
        <v>0</v>
      </c>
    </row>
    <row r="1406">
      <c r="A1406">
        <f>Skills!A16</f>
        <v/>
      </c>
      <c r="B1406">
        <f>Skills!B16</f>
        <v/>
      </c>
      <c r="C1406">
        <f>Inputs!$B$3&gt;=110</f>
        <v/>
      </c>
      <c r="D1406">
        <f>IF(Skills!C16=1,60+Inputs!$B$25+Inputs!$B$29,IF(Skills!C16=2,90+Inputs!$B$26+Inputs!$B$29,IF(Skills!C16=3,120+Inputs!$B$27+Inputs!$B$29,MAX(0,(Inputs!$B$3-100)*3)+Inputs!$B$28+Inputs!$B$29)))</f>
        <v/>
      </c>
      <c r="E1406">
        <f>INDEX(FactorTable!$B$2:$Y$301, MATCH(ROUND(MIN(300,MAX(1,D1406)),0), FactorTable!$A$2:$A$301,0), Skills!L16+1)</f>
        <v/>
      </c>
      <c r="F1406">
        <f>(Skills!K16/10)*(E1406/1000)*64/45+Skills!N16</f>
        <v/>
      </c>
      <c r="G1406">
        <f>Calc!G16</f>
        <v/>
      </c>
      <c r="H1406">
        <f>Calc!H16</f>
        <v/>
      </c>
      <c r="I1406">
        <f>IF(Skills!T16&lt;&gt;"",1+(Skills!T16/10)*(Z1393/1000)/100,1)</f>
        <v/>
      </c>
      <c r="J1406" t="inlineStr"/>
      <c r="K1406" t="inlineStr"/>
      <c r="L1406" t="inlineStr"/>
      <c r="M1406" t="inlineStr"/>
      <c r="N1406" t="inlineStr"/>
      <c r="O1406">
        <f>(1-Summary!$B$11)*S1406+Summary!$B$11*U1406</f>
        <v/>
      </c>
      <c r="P1406">
        <f>IF(B1427=0,0,O1406/B1427)</f>
        <v/>
      </c>
      <c r="Q1406">
        <f>IFERROR(1/IF(Inputs!$B$38="pvp",15,MAX(0.1,Skills!D16-IF(Skills!E16=TRUE,Inputs!$B$32,0))),0)</f>
        <v/>
      </c>
      <c r="R1406">
        <f>IF(AND(Inputs!$B$38&lt;&gt;"pvp",Inputs!$B$43&gt;0),IF(Inputs!$B$43&lt;=0,0,(INT(Inputs!$B$43/IF(Inputs!$B$38="pvp",15,MAX(0.1,Skills!D16-IF(Skills!E16=TRUE,Inputs!$B$32,0))))+1)),0)</f>
        <v/>
      </c>
      <c r="S1406" t="n">
        <v>0</v>
      </c>
      <c r="U1406" t="n">
        <v>0</v>
      </c>
    </row>
    <row r="1407">
      <c r="A1407">
        <f>Skills!A17</f>
        <v/>
      </c>
      <c r="B1407">
        <f>Skills!B17</f>
        <v/>
      </c>
      <c r="C1407">
        <f>Inputs!$B$3&gt;=33</f>
        <v/>
      </c>
      <c r="D1407">
        <f>IF(Skills!C17=1,60+Inputs!$B$25+Inputs!$B$29,IF(Skills!C17=2,90+Inputs!$B$26+Inputs!$B$29,IF(Skills!C17=3,120+Inputs!$B$27+Inputs!$B$29,MAX(0,(Inputs!$B$3-100)*3)+Inputs!$B$28+Inputs!$B$29)))</f>
        <v/>
      </c>
      <c r="E1407">
        <f>INDEX(FactorTable!$B$2:$Y$301, MATCH(ROUND(MIN(300,MAX(1,D1407)),0), FactorTable!$A$2:$A$301,0), Skills!L17+1)</f>
        <v/>
      </c>
      <c r="F1407">
        <f>IF(Skills!M17=TRUE,(Skills!K17/10)*(E1407/1000),Skills!K17/10)+Skills!N17</f>
        <v/>
      </c>
      <c r="G1407">
        <f>Calc!G17</f>
        <v/>
      </c>
      <c r="H1407">
        <f>Calc!H17</f>
        <v/>
      </c>
      <c r="I1407">
        <f>IF(Skills!T17&lt;&gt;"",1+(Skills!T17/10)*(Z1393/1000)/100,1)</f>
        <v/>
      </c>
      <c r="J1407" t="inlineStr"/>
      <c r="K1407" t="inlineStr"/>
      <c r="L1407" t="inlineStr"/>
      <c r="M1407" t="inlineStr"/>
      <c r="N1407" t="inlineStr"/>
      <c r="O1407">
        <f>(1-Summary!$B$11)*S1407+Summary!$B$11*U1407</f>
        <v/>
      </c>
      <c r="P1407">
        <f>IF(B1427=0,0,O1407/B1427)</f>
        <v/>
      </c>
      <c r="Q1407">
        <f>IFERROR(1/IF(Inputs!$B$38="pvp",15,MAX(0.1,Skills!D17-IF(Skills!E17=TRUE,Inputs!$B$32,0))),0)</f>
        <v/>
      </c>
      <c r="R1407" t="n">
        <v>0</v>
      </c>
      <c r="S1407" t="n">
        <v>0</v>
      </c>
      <c r="U1407" t="n">
        <v>0</v>
      </c>
    </row>
    <row r="1408">
      <c r="A1408">
        <f>Skills!A18</f>
        <v/>
      </c>
      <c r="B1408">
        <f>Skills!B18</f>
        <v/>
      </c>
      <c r="C1408">
        <f>Inputs!$B$3&gt;=43</f>
        <v/>
      </c>
      <c r="D1408">
        <f>IF(Skills!C18=1,60+Inputs!$B$25+Inputs!$B$29,IF(Skills!C18=2,90+Inputs!$B$26+Inputs!$B$29,IF(Skills!C18=3,120+Inputs!$B$27+Inputs!$B$29,MAX(0,(Inputs!$B$3-100)*3)+Inputs!$B$28+Inputs!$B$29)))</f>
        <v/>
      </c>
      <c r="E1408">
        <f>INDEX(FactorTable!$B$2:$Y$301, MATCH(ROUND(MIN(300,MAX(1,D1408)),0), FactorTable!$A$2:$A$301,0), Skills!L18+1)</f>
        <v/>
      </c>
      <c r="F1408">
        <f>IF(Skills!M18=TRUE,(Skills!K18/10)*(E1408/1000),Skills!K18/10)+Skills!N18</f>
        <v/>
      </c>
      <c r="G1408">
        <f>Calc!G18</f>
        <v/>
      </c>
      <c r="H1408">
        <f>Calc!H18</f>
        <v/>
      </c>
      <c r="I1408">
        <f>IF(Skills!T18&lt;&gt;"",1+(Skills!T18/10)*(Z1393/1000)/100,1)</f>
        <v/>
      </c>
      <c r="J1408" t="inlineStr"/>
      <c r="K1408" t="inlineStr"/>
      <c r="L1408" t="inlineStr"/>
      <c r="M1408" t="inlineStr"/>
      <c r="N1408" t="inlineStr"/>
      <c r="O1408">
        <f>(1-Summary!$B$11)*S1408+Summary!$B$11*U1408</f>
        <v/>
      </c>
      <c r="P1408">
        <f>IF(B1427=0,0,O1408/B1427)</f>
        <v/>
      </c>
      <c r="Q1408">
        <f>IFERROR(1/IF(Inputs!$B$38="pvp",15,MAX(0.1,Skills!D18-IF(Skills!E18=TRUE,Inputs!$B$32,0))),0)</f>
        <v/>
      </c>
      <c r="R1408" t="n">
        <v>0</v>
      </c>
      <c r="S1408" t="n">
        <v>0</v>
      </c>
      <c r="U1408" t="n">
        <v>0</v>
      </c>
    </row>
    <row r="1409">
      <c r="A1409">
        <f>Skills!A19</f>
        <v/>
      </c>
      <c r="B1409">
        <f>Skills!B19</f>
        <v/>
      </c>
      <c r="C1409">
        <f>Inputs!$B$3&gt;=50</f>
        <v/>
      </c>
      <c r="D1409">
        <f>IF(Skills!C19=1,60+Inputs!$B$25+Inputs!$B$29,IF(Skills!C19=2,90+Inputs!$B$26+Inputs!$B$29,IF(Skills!C19=3,120+Inputs!$B$27+Inputs!$B$29,MAX(0,(Inputs!$B$3-100)*3)+Inputs!$B$28+Inputs!$B$29)))</f>
        <v/>
      </c>
      <c r="E1409">
        <f>INDEX(FactorTable!$B$2:$Y$301, MATCH(ROUND(MIN(300,MAX(1,D1409)),0), FactorTable!$A$2:$A$301,0), Skills!L19+1)</f>
        <v/>
      </c>
      <c r="F1409">
        <f>IF(Skills!M19=TRUE,(Skills!K19/10)*(E1409/1000),Skills!K19/10)+Skills!N19</f>
        <v/>
      </c>
      <c r="G1409">
        <f>Calc!G19</f>
        <v/>
      </c>
      <c r="H1409">
        <f>Calc!H19</f>
        <v/>
      </c>
      <c r="I1409">
        <f>IF(Skills!T19&lt;&gt;"",1+(Skills!T19/10)*(Z1393/1000)/100,1)</f>
        <v/>
      </c>
      <c r="J1409" t="inlineStr"/>
      <c r="K1409" t="inlineStr"/>
      <c r="L1409" t="inlineStr"/>
      <c r="M1409" t="inlineStr"/>
      <c r="N1409" t="inlineStr"/>
      <c r="O1409">
        <f>(1-Summary!$B$11)*S1409+Summary!$B$11*U1409</f>
        <v/>
      </c>
      <c r="P1409">
        <f>IF(B1427=0,0,O1409/B1427)</f>
        <v/>
      </c>
      <c r="Q1409">
        <f>IFERROR(1/IF(Inputs!$B$38="pvp",15,MAX(0.1,Skills!D19-IF(Skills!E19=TRUE,Inputs!$B$32,0))),0)</f>
        <v/>
      </c>
      <c r="R1409" t="n">
        <v>0</v>
      </c>
      <c r="S1409" t="n">
        <v>0</v>
      </c>
      <c r="U1409" t="n">
        <v>0</v>
      </c>
    </row>
    <row r="1410">
      <c r="A1410">
        <f>Skills!A20</f>
        <v/>
      </c>
      <c r="B1410">
        <f>Skills!B20</f>
        <v/>
      </c>
      <c r="C1410">
        <f>Inputs!$B$3&gt;=74</f>
        <v/>
      </c>
      <c r="D1410">
        <f>IF(Skills!C20=1,60+Inputs!$B$25+Inputs!$B$29,IF(Skills!C20=2,90+Inputs!$B$26+Inputs!$B$29,IF(Skills!C20=3,120+Inputs!$B$27+Inputs!$B$29,MAX(0,(Inputs!$B$3-100)*3)+Inputs!$B$28+Inputs!$B$29)))</f>
        <v/>
      </c>
      <c r="E1410">
        <f>INDEX(FactorTable!$B$2:$Y$301, MATCH(ROUND(MIN(300,MAX(1,D1410)),0), FactorTable!$A$2:$A$301,0), Skills!L20+1)</f>
        <v/>
      </c>
      <c r="F1410">
        <f>IF(Skills!M20=TRUE,(Skills!K20/10)*(E1410/1000),Skills!K20/10)+Skills!N20</f>
        <v/>
      </c>
      <c r="G1410">
        <f>Calc!G20</f>
        <v/>
      </c>
      <c r="H1410">
        <f>Calc!H20</f>
        <v/>
      </c>
      <c r="I1410">
        <f>IF(Skills!T20&lt;&gt;"",1+(Skills!T20/10)*(Z1393/1000)/100,1)</f>
        <v/>
      </c>
      <c r="J1410" t="inlineStr"/>
      <c r="K1410" t="inlineStr"/>
      <c r="L1410" t="inlineStr"/>
      <c r="M1410" t="inlineStr"/>
      <c r="N1410" t="inlineStr"/>
      <c r="O1410">
        <f>(1-Summary!$B$11)*S1410+Summary!$B$11*U1410</f>
        <v/>
      </c>
      <c r="P1410">
        <f>IF(B1427=0,0,O1410/B1427)</f>
        <v/>
      </c>
      <c r="Q1410">
        <f>IFERROR(1/IF(Inputs!$B$38="pvp",15,MAX(0.1,Skills!D20-IF(Skills!E20=TRUE,Inputs!$B$32,0))),0)</f>
        <v/>
      </c>
      <c r="R1410" t="n">
        <v>0</v>
      </c>
      <c r="S1410" t="n">
        <v>0</v>
      </c>
      <c r="U1410" t="n">
        <v>0</v>
      </c>
    </row>
    <row r="1411">
      <c r="A1411">
        <f>Skills!A21</f>
        <v/>
      </c>
      <c r="B1411">
        <f>Skills!B21</f>
        <v/>
      </c>
      <c r="C1411">
        <f>Inputs!$B$3&gt;=74</f>
        <v/>
      </c>
      <c r="D1411">
        <f>IF(Skills!C21=1,60+Inputs!$B$25+Inputs!$B$29,IF(Skills!C21=2,90+Inputs!$B$26+Inputs!$B$29,IF(Skills!C21=3,120+Inputs!$B$27+Inputs!$B$29,MAX(0,(Inputs!$B$3-100)*3)+Inputs!$B$28+Inputs!$B$29)))</f>
        <v/>
      </c>
      <c r="E1411">
        <f>INDEX(FactorTable!$B$2:$Y$301, MATCH(ROUND(MIN(300,MAX(1,D1411)),0), FactorTable!$A$2:$A$301,0), Skills!L21+1)</f>
        <v/>
      </c>
      <c r="F1411">
        <f>IF(Skills!M21=TRUE,(Skills!K21/10)*(E1411/1000),Skills!K21/10)+Skills!N21</f>
        <v/>
      </c>
      <c r="G1411">
        <f>Calc!G21</f>
        <v/>
      </c>
      <c r="H1411">
        <f>Calc!H21</f>
        <v/>
      </c>
      <c r="I1411">
        <f>IF(Skills!T21&lt;&gt;"",1+(Skills!T21/10)*(Z1393/1000)/100,1)</f>
        <v/>
      </c>
      <c r="J1411" t="inlineStr"/>
      <c r="K1411" t="inlineStr"/>
      <c r="L1411" t="inlineStr"/>
      <c r="M1411" t="inlineStr"/>
      <c r="N1411" t="inlineStr"/>
      <c r="O1411">
        <f>(1-Summary!$B$11)*S1411+Summary!$B$11*U1411</f>
        <v/>
      </c>
      <c r="P1411">
        <f>IF(B1427=0,0,O1411/B1427)</f>
        <v/>
      </c>
      <c r="Q1411">
        <f>IFERROR(1/IF(Inputs!$B$38="pvp",15,MAX(0.1,Skills!D21-IF(Skills!E21=TRUE,Inputs!$B$32,0))),0)</f>
        <v/>
      </c>
      <c r="R1411" t="n">
        <v>0</v>
      </c>
      <c r="S1411" t="n">
        <v>0</v>
      </c>
      <c r="U1411" t="n">
        <v>0</v>
      </c>
    </row>
    <row r="1412">
      <c r="A1412">
        <f>Skills!A22</f>
        <v/>
      </c>
      <c r="B1412">
        <f>Skills!B22</f>
        <v/>
      </c>
      <c r="C1412">
        <f>Inputs!$B$3&gt;=117</f>
        <v/>
      </c>
      <c r="D1412">
        <f>IF(Skills!C22=1,60+Inputs!$B$25+Inputs!$B$29,IF(Skills!C22=2,90+Inputs!$B$26+Inputs!$B$29,IF(Skills!C22=3,120+Inputs!$B$27+Inputs!$B$29,MAX(0,(Inputs!$B$3-100)*3)+Inputs!$B$28+Inputs!$B$29)))</f>
        <v/>
      </c>
      <c r="E1412">
        <f>INDEX(FactorTable!$B$2:$Y$301, MATCH(ROUND(MIN(300,MAX(1,D1412)),0), FactorTable!$A$2:$A$301,0), Skills!L22+1)</f>
        <v/>
      </c>
      <c r="F1412">
        <f>IF(Skills!M22=TRUE,(Skills!K22/10)*(E1412/1000),Skills!K22/10)+Skills!N22</f>
        <v/>
      </c>
      <c r="G1412">
        <f>Calc!G22</f>
        <v/>
      </c>
      <c r="H1412">
        <f>Calc!H22</f>
        <v/>
      </c>
      <c r="I1412">
        <f>IF(Skills!T22&lt;&gt;"",1+(Skills!T22/10)*(Z1393/1000)/100,1)</f>
        <v/>
      </c>
      <c r="J1412" t="inlineStr"/>
      <c r="K1412" t="inlineStr"/>
      <c r="L1412" t="inlineStr"/>
      <c r="M1412" t="inlineStr"/>
      <c r="N1412" t="inlineStr"/>
      <c r="O1412">
        <f>(1-Summary!$B$11)*S1412+Summary!$B$11*U1412</f>
        <v/>
      </c>
      <c r="P1412">
        <f>IF(B1427=0,0,O1412/B1427)</f>
        <v/>
      </c>
      <c r="Q1412">
        <f>IFERROR(1/IF(Inputs!$B$38="pvp",15,MAX(0.1,Skills!D22-IF(Skills!E22=TRUE,Inputs!$B$32,0))),0)</f>
        <v/>
      </c>
      <c r="R1412" t="n">
        <v>0</v>
      </c>
      <c r="S1412" t="n">
        <v>0</v>
      </c>
      <c r="U1412" t="n">
        <v>0</v>
      </c>
    </row>
    <row r="1413">
      <c r="A1413">
        <f>Skills!A23</f>
        <v/>
      </c>
      <c r="B1413">
        <f>Skills!B23</f>
        <v/>
      </c>
      <c r="C1413">
        <f>Inputs!$B$3&gt;=120</f>
        <v/>
      </c>
      <c r="D1413">
        <f>IF(Skills!C23=1,60+Inputs!$B$25+Inputs!$B$29,IF(Skills!C23=2,90+Inputs!$B$26+Inputs!$B$29,IF(Skills!C23=3,120+Inputs!$B$27+Inputs!$B$29,MAX(0,(Inputs!$B$3-100)*3)+Inputs!$B$28+Inputs!$B$29)))</f>
        <v/>
      </c>
      <c r="E1413">
        <f>INDEX(FactorTable!$B$2:$Y$301, MATCH(ROUND(MIN(300,MAX(1,D1413)),0), FactorTable!$A$2:$A$301,0), Skills!L23+1)</f>
        <v/>
      </c>
      <c r="F1413">
        <f>IF(Skills!M23=TRUE,(Skills!K23/10)*(E1413/1000),Skills!K23/10)+Skills!N23</f>
        <v/>
      </c>
      <c r="G1413">
        <f>Calc!G23</f>
        <v/>
      </c>
      <c r="H1413">
        <f>Calc!H23</f>
        <v/>
      </c>
      <c r="I1413">
        <f>IF(Skills!T23&lt;&gt;"",1+(Skills!T23/10)*(Z1393/1000)/100,1)</f>
        <v/>
      </c>
      <c r="J1413" t="inlineStr"/>
      <c r="K1413" t="inlineStr"/>
      <c r="L1413" t="inlineStr"/>
      <c r="M1413" t="inlineStr"/>
      <c r="N1413" t="inlineStr"/>
      <c r="O1413">
        <f>(1-Summary!$B$11)*S1413+Summary!$B$11*U1413</f>
        <v/>
      </c>
      <c r="P1413">
        <f>IF(B1427=0,0,O1413/B1427)</f>
        <v/>
      </c>
      <c r="Q1413">
        <f>IFERROR(1/IF(Inputs!$B$38="pvp",15,MAX(0.1,Skills!D23-IF(Skills!E23=TRUE,Inputs!$B$32,0))),0)</f>
        <v/>
      </c>
      <c r="R1413" t="n">
        <v>0</v>
      </c>
      <c r="S1413" t="n">
        <v>0</v>
      </c>
      <c r="U1413" t="n">
        <v>0</v>
      </c>
    </row>
    <row r="1414">
      <c r="A1414">
        <f>Skills!A24</f>
        <v/>
      </c>
      <c r="B1414">
        <f>Skills!B24</f>
        <v/>
      </c>
      <c r="C1414">
        <f>TRUE</f>
        <v/>
      </c>
      <c r="D1414">
        <f>IF(Skills!C24=1,60+Inputs!$B$25+Inputs!$B$29,IF(Skills!C24=2,90+Inputs!$B$26+Inputs!$B$29,IF(Skills!C24=3,120+Inputs!$B$27+Inputs!$B$29,MAX(0,(Inputs!$B$3-100)*3)+Inputs!$B$28+Inputs!$B$29)))</f>
        <v/>
      </c>
      <c r="E1414">
        <f>INDEX(FactorTable!$B$2:$Y$301, MATCH(ROUND(MIN(300,MAX(1,D1414)),0), FactorTable!$A$2:$A$301,0), Skills!L24+1)</f>
        <v/>
      </c>
      <c r="F1414">
        <f>IF(Skills!M24=TRUE,(Skills!K24/10)*(E1414/1000),Skills!K24/10)+Skills!N24</f>
        <v/>
      </c>
      <c r="G1414">
        <f>Calc!G24</f>
        <v/>
      </c>
      <c r="H1414">
        <f>Calc!H24</f>
        <v/>
      </c>
      <c r="I1414">
        <f>IF(Skills!T24&lt;&gt;"",1+(Skills!T24/10)*(Z1393/1000)/100,1)</f>
        <v/>
      </c>
      <c r="J1414" t="inlineStr"/>
      <c r="K1414" t="inlineStr"/>
      <c r="L1414" t="inlineStr"/>
      <c r="M1414" t="inlineStr"/>
      <c r="N1414" t="inlineStr"/>
      <c r="O1414">
        <f>(1-Summary!$B$11)*S1414+Summary!$B$11*U1414</f>
        <v/>
      </c>
      <c r="P1414">
        <f>IF(B1427=0,0,O1414/B1427)</f>
        <v/>
      </c>
      <c r="Q1414">
        <f>IFERROR(1/IF(Inputs!$B$38="pvp",15,MAX(0.1,Skills!D24-IF(Skills!E24=TRUE,Inputs!$B$32,0))),0)</f>
        <v/>
      </c>
      <c r="R1414">
        <f>IF(AND(Inputs!$B$38&lt;&gt;"pvp",Inputs!$B$43&gt;0),IF(Inputs!$B$43&lt;=0,0,(INT(Inputs!$B$43/IF(Inputs!$B$38="pvp",15,MAX(0.1,Skills!D24-IF(Skills!E24=TRUE,Inputs!$B$32,0))))+1)),0)</f>
        <v/>
      </c>
      <c r="S1414" t="n">
        <v>0</v>
      </c>
      <c r="U1414" t="n">
        <v>0</v>
      </c>
    </row>
    <row r="1417">
      <c r="A1417" t="inlineStr">
        <is>
          <t>Average Buff Multiplier (Magic Guard + Meditation + Artifact Attack%, summed; then Infinity)</t>
        </is>
      </c>
      <c r="B1417">
        <f>(1+(IF(C1393=TRUE,F1393*IF(AND(Inputs!$B$38&lt;&gt;"pvp",Inputs!$B$43&gt;0),(((R1393-1)*(Skills!S3*(1+(Inputs!$B$34)/100))+MIN((Skills!S3*(1+(Inputs!$B$34)/100)),MAX(0,Inputs!$B$43-((R1393-1)*Skills!D3))))/Inputs!$B$43),IF(Inputs!$B$38="pvp",MIN((Skills!S3*(1+(Inputs!$B$34)/100)),15)/15,(Skills!S3*(1+(Inputs!$B$34)/100))/Skills!D3)),0)+IF(C1394=TRUE,F1394*IF(AND(Inputs!$B$38&lt;&gt;"pvp",Inputs!$B$43&gt;0),(((R1394-1)*(Skills!S4*(1+(Inputs!$B$34)/100))+MIN((Skills!S4*(1+(Inputs!$B$34)/100)),MAX(0,Inputs!$B$43-((R1394-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1406=TRUE,(1+F1406*IF(AND(Inputs!$B$38&lt;&gt;"pvp",Inputs!$B$43&gt;0),(((R1406-1)*(Skills!S16*(1+(Inputs!$B$34)/100))+MIN((Skills!S16*(1+(Inputs!$B$34)/100)),MAX(0,Inputs!$B$43-((R1406-1)*Skills!D16))))/Inputs!$B$43),IF(Inputs!$B$38="pvp",MIN((Skills!S16*(1+(Inputs!$B$34)/100)),15)/15,(Skills!S16*(1+(Inputs!$B$34)/100))/Skills!D16))/100),1)</f>
        <v/>
      </c>
    </row>
    <row r="1418">
      <c r="A1418" t="inlineStr">
        <is>
          <t>Monster Damage Taken Bonus % (Freezing Breath - Weaken + Elemental Reset + Artifact Enemy Damage Taken, summed)</t>
        </is>
      </c>
      <c r="B1418">
        <f>IF(Inputs!$B$3&gt;=118,15*IF(Inputs!$B$38="pvp",MIN((30*(1+(Inputs!$B$34)/100)),15)/15,(30*(1+(Inputs!$B$34)/100))/Skills!D8),0)+IF(C1404=TRUE,F1404,0)+(IF(AND(ArtifactsInput!$M$35,Inputs!$B$4&lt;&gt;"Chapter Hunt"),CHOOSE(ArtifactsInput!$N$35+1,15,18,21,24,27,30)*(1-EXP(-(0.2*B1421)*5)),0)+IF(AND(ArtifactsInput!$M$22,Inputs!$B$4&lt;&gt;"Chapter Hunt"),CHOOSE(ArtifactsInput!$N$22+1,10,12,14,16,18,20)*((0*(((0.15*B1421*5))^0/1)+1*(((0.15*B1421*5))^1/1)+2*(((0.15*B1421*5))^2/2)+3*(((0.15*B1421*5))^3/6)+4*(((0.15*B1421*5))^4/24)+5*(((0.15*B1421*5))^5/120))/((((0.15*B1421*5))^0/1)+(((0.15*B1421*5))^1/1)+(((0.15*B1421*5))^2/2)+(((0.15*B1421*5))^3/6)+(((0.15*B1421*5))^4/24)+(((0.15*B1421*5))^5/120))),0))</f>
        <v/>
      </c>
    </row>
    <row r="1419">
      <c r="A1419" t="inlineStr">
        <is>
          <t>Damage % Bonus (Frozen Break + Frost Clutch, flat)</t>
        </is>
      </c>
      <c r="B1419">
        <f>IF(Inputs!$B$3&gt;=66,15,0)+IF(Inputs!$B$3&gt;=98,10,0)+IF(Inputs!$B$3&gt;=125,20,0)</f>
        <v/>
      </c>
    </row>
    <row r="1420">
      <c r="A1420" t="inlineStr">
        <is>
          <t>Attack Speed Bonus % (MP Eater - MP Boost, always-on + Nimble Feet, duty-cycle averaged)</t>
        </is>
      </c>
      <c r="B1420">
        <f>IF(C1403=TRUE,F1403+(F1407-Calc!F17),0)+((C1414=TRUE)*F1414*IF(AND(Inputs!$B$38&lt;&gt;"pvp",Inputs!$B$43&gt;0),(((R1414-1)*(Skills!S24*(1+(Inputs!$B$34)/100))+MIN((Skills!S24*(1+(Inputs!$B$34)/100)),MAX(0,Inputs!$B$43-((R1414-1)*Skills!D24))))/Inputs!$B$43),IF(Inputs!$B$38="pvp",MIN((Skills!S24*(1+(Inputs!$B$34)/100)),15)/15,(Skills!S24*(1+(Inputs!$B$34)/100))/Skills!D24)))</f>
        <v/>
      </c>
    </row>
    <row r="1421">
      <c r="A1421" t="inlineStr">
        <is>
          <t>Actions Per Second</t>
        </is>
      </c>
      <c r="B1421">
        <f>1+MIN(150,150*(1-(1-(Inputs!$B$11+(ArtifactsInput!$M$15-ArtifactsInput!$M$15)*CHOOSE(ArtifactsInput!$N$15+1,8,9.6,11.2,12.8,14.4,16))/150)*(1-B1420/150)))/100</f>
        <v/>
      </c>
    </row>
    <row r="1422">
      <c r="A1422" t="inlineStr">
        <is>
          <t>Skill + Buff Cast Rate</t>
        </is>
      </c>
      <c r="B1422">
        <f>IF(AND(Inputs!$B$38&lt;&gt;"pvp",Inputs!$B$43&gt;0),SUMPRODUCT((Skills!E2:E24=TRUE)*(C1392:C1414=TRUE)*R1392:R1414)/Inputs!$B$43,SUMPRODUCT((Skills!E2:E24=TRUE)*(C1392:C1414=TRUE)*Q1392:Q1414))</f>
        <v/>
      </c>
    </row>
    <row r="1423">
      <c r="A1423" t="inlineStr">
        <is>
          <t>Chain Lightning Casts Per Second</t>
        </is>
      </c>
      <c r="B1423">
        <f>MAX(0,B1421-B1422)</f>
        <v/>
      </c>
    </row>
    <row r="1424">
      <c r="A1424" t="inlineStr">
        <is>
          <t>Buff-Casting Startup Delay (s, fixed-duration only)</t>
        </is>
      </c>
      <c r="B1424">
        <f>IF(AND(Inputs!$B$38&lt;&gt;"pvp",Inputs!$B$43&gt;0),SUMPRODUCT((Skills!S2:S24&gt;0)*(Skills!E2:E24=TRUE)*(C1392:C1414=TRUE))/B1421,0)</f>
        <v/>
      </c>
    </row>
    <row r="1425">
      <c r="A1425" t="inlineStr">
        <is>
          <t>Boss-Only Total DPS (this block's swept value)</t>
        </is>
      </c>
      <c r="B1425">
        <f>SUM(S1392:S1414)</f>
        <v/>
      </c>
    </row>
    <row r="1426">
      <c r="A1426" t="inlineStr">
        <is>
          <t>Normal-Only Total DPS (this block's swept value)</t>
        </is>
      </c>
      <c r="B1426">
        <f>SUM(U1392:U1414)</f>
        <v/>
      </c>
    </row>
    <row r="1427">
      <c r="A1427" s="6" t="inlineStr">
        <is>
          <t>TOTAL DPS</t>
        </is>
      </c>
      <c r="B1427" s="6">
        <f>SUM(O1392:O1414)</f>
        <v/>
      </c>
    </row>
    <row r="1430">
      <c r="A1430" s="6" t="inlineStr">
        <is>
          <t>Stat: Athena Pierce's Old Gloves (Equip)</t>
        </is>
      </c>
    </row>
    <row r="1431">
      <c r="A1431" s="5" t="inlineStr">
        <is>
          <t>Key</t>
        </is>
      </c>
      <c r="B1431" s="5" t="inlineStr">
        <is>
          <t>Name</t>
        </is>
      </c>
      <c r="C1431" s="5" t="inlineStr">
        <is>
          <t>Unlocked</t>
        </is>
      </c>
      <c r="D1431" s="5" t="inlineStr">
        <is>
          <t>InputLevel</t>
        </is>
      </c>
      <c r="E1431" s="5" t="inlineStr">
        <is>
          <t>Factor</t>
        </is>
      </c>
      <c r="F1431" s="5" t="inlineStr">
        <is>
          <t>CoefficientPercent</t>
        </is>
      </c>
      <c r="G1431" s="5" t="inlineStr">
        <is>
          <t>EffectiveHits</t>
        </is>
      </c>
      <c r="H1431" s="5" t="inlineStr">
        <is>
          <t>ProcProbability</t>
        </is>
      </c>
      <c r="I1431" s="5" t="inlineStr">
        <is>
          <t>MapleHeroMultiplier</t>
        </is>
      </c>
      <c r="J1431" s="5" t="inlineStr">
        <is>
          <t>BaseDamage</t>
        </is>
      </c>
      <c r="K1431" s="5" t="inlineStr">
        <is>
          <t>BaseHitDamage</t>
        </is>
      </c>
      <c r="L1431" s="5" t="inlineStr">
        <is>
          <t>NonCritAvg</t>
        </is>
      </c>
      <c r="M1431" s="5" t="inlineStr">
        <is>
          <t>CritAvg</t>
        </is>
      </c>
      <c r="N1431" s="5" t="inlineStr">
        <is>
          <t>ExpectedDamage(perHit)</t>
        </is>
      </c>
      <c r="O1431" s="5" t="inlineStr">
        <is>
          <t>DPS</t>
        </is>
      </c>
      <c r="P1431" s="5" t="inlineStr">
        <is>
          <t>% of Total</t>
        </is>
      </c>
      <c r="R1431" t="inlineStr">
        <is>
          <t>helpers</t>
        </is>
      </c>
    </row>
    <row r="1432">
      <c r="A1432">
        <f>Skills!A2</f>
        <v/>
      </c>
      <c r="B1432">
        <f>Skills!B2</f>
        <v/>
      </c>
      <c r="C1432">
        <f>Inputs!$B$3&gt;=100</f>
        <v/>
      </c>
      <c r="D1432" t="inlineStr"/>
      <c r="E1432" t="inlineStr"/>
      <c r="F1432">
        <f>T1434+Skills!N2</f>
        <v/>
      </c>
      <c r="G1432">
        <f>Calc!G2</f>
        <v/>
      </c>
      <c r="H1432">
        <f>Calc!H2</f>
        <v/>
      </c>
      <c r="I1432">
        <f>IF(Skills!T2&lt;&gt;"",1+(Skills!T2/10)*(Z1433/1000)/100,1)</f>
        <v/>
      </c>
      <c r="J1432">
        <f>((Inputs!$B$6*(1+Inputs!$B$7/100))+(((Inputs!$B$12*(1+Inputs!$B$13/100))-(Inputs!$B$12*(1+Inputs!$B$13/100)))+0.25*(Inputs!$B$14-Inputs!$B$14))*(1+Inputs!$B$7/100))*(F1432/100)</f>
        <v/>
      </c>
      <c r="K1432">
        <f>J1432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2="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2">
        <f>L1432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2">
        <f>L1432*(1-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1432*(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2">
        <f>(1-Summary!$B$11)*S1432+Summary!$B$11*U1432</f>
        <v/>
      </c>
      <c r="P1432">
        <f>IF(B1467=0,0,O1432/B1467)</f>
        <v/>
      </c>
      <c r="Q1432">
        <f>IFERROR(1/IF(Inputs!$B$38="pvp",15,MAX(0.1,Skills!D2-IF(Skills!E2=TRUE,Inputs!$B$32,0))),0)</f>
        <v/>
      </c>
      <c r="R1432" t="n">
        <v>0</v>
      </c>
      <c r="S1432">
        <f>IF(C1432,(Skills!F2*N1432*B1463)*IF(Inputs!$B$38="pvp",1,1+(Inputs!$B$20+Skills!O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1432*(1-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1432*(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1432*(1-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1432*(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2">
        <f>MAX(0,(Inputs!$B$3-100)*3)+Inputs!$B$28+Inputs!$B$29</f>
        <v/>
      </c>
      <c r="U1432">
        <f>IF(C1432,(Skills!F2*N1432*B1463)*IF(Inputs!$B$38="pvp",1,(1+(Inputs!$B$21+Skills!P2+B1458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2">
        <f>MAX(0,(Inputs!$B$3-100)*3)+Inputs!$B$28+Inputs!$B$29</f>
        <v/>
      </c>
    </row>
    <row r="1433">
      <c r="A1433">
        <f>Skills!A3</f>
        <v/>
      </c>
      <c r="B1433">
        <f>Skills!B3</f>
        <v/>
      </c>
      <c r="C1433">
        <f>Inputs!$B$3&gt;=15</f>
        <v/>
      </c>
      <c r="D1433">
        <f>IF(Skills!C3=1,60+Inputs!$B$25+Inputs!$B$29,IF(Skills!C3=2,90+Inputs!$B$26+Inputs!$B$29,IF(Skills!C3=3,120+Inputs!$B$27+Inputs!$B$29,MAX(0,(Inputs!$B$3-100)*3)+Inputs!$B$28+Inputs!$B$29)))</f>
        <v/>
      </c>
      <c r="E1433">
        <f>INDEX(FactorTable!$B$2:$Y$301, MATCH(ROUND(MIN(300,MAX(1,D1433)),0), FactorTable!$A$2:$A$301,0), Skills!L3+1)</f>
        <v/>
      </c>
      <c r="F1433">
        <f>IF(Skills!M3=TRUE,(Skills!K3/10)*(E1433/1000),Skills!K3/10)+Skills!N3</f>
        <v/>
      </c>
      <c r="G1433">
        <f>Calc!G3</f>
        <v/>
      </c>
      <c r="H1433">
        <f>Calc!H3</f>
        <v/>
      </c>
      <c r="I1433">
        <f>IF(Skills!T3&lt;&gt;"",1+(Skills!T3/10)*(Z1433/1000)/100,1)</f>
        <v/>
      </c>
      <c r="J1433" t="inlineStr"/>
      <c r="K1433" t="inlineStr"/>
      <c r="L1433" t="inlineStr"/>
      <c r="M1433" t="inlineStr"/>
      <c r="N1433" t="inlineStr"/>
      <c r="O1433">
        <f>(1-Summary!$B$11)*S1433+Summary!$B$11*U1433</f>
        <v/>
      </c>
      <c r="P1433">
        <f>IF(B1467=0,0,O1433/B1467)</f>
        <v/>
      </c>
      <c r="Q1433">
        <f>IFERROR(1/IF(Inputs!$B$38="pvp",15,MAX(0.1,Skills!D3-IF(Skills!E3=TRUE,Inputs!$B$32,0))),0)</f>
        <v/>
      </c>
      <c r="R1433">
        <f>IF(AND(Inputs!$B$38&lt;&gt;"pvp",Inputs!$B$43&gt;0),IF(Inputs!$B$43&lt;=0,0,(INT(Inputs!$B$43/IF(Inputs!$B$38="pvp",15,MAX(0.1,Skills!D3-IF(Skills!E3=TRUE,Inputs!$B$32,0))))+1)),0)</f>
        <v/>
      </c>
      <c r="S1433" t="n">
        <v>0</v>
      </c>
      <c r="T1433">
        <f>INDEX(FactorTable!$B$2:$Y$301, MATCH(ROUND(MIN(300,MAX(1,T1432)),0), FactorTable!$A$2:$A$301,0), 22)</f>
        <v/>
      </c>
      <c r="U1433" t="n">
        <v>0</v>
      </c>
      <c r="Z1433">
        <f>INDEX(FactorTable!$B$2:$Y$301, MATCH(ROUND(MIN(300,MAX(1,Z1432)),0), FactorTable!$A$2:$A$301,0), 24)</f>
        <v/>
      </c>
    </row>
    <row r="1434">
      <c r="A1434">
        <f>Skills!A4</f>
        <v/>
      </c>
      <c r="B1434">
        <f>Skills!B4</f>
        <v/>
      </c>
      <c r="C1434">
        <f>Inputs!$B$3&gt;=40</f>
        <v/>
      </c>
      <c r="D1434">
        <f>IF(Skills!C4=1,60+Inputs!$B$25+Inputs!$B$29,IF(Skills!C4=2,90+Inputs!$B$26+Inputs!$B$29,IF(Skills!C4=3,120+Inputs!$B$27+Inputs!$B$29,MAX(0,(Inputs!$B$3-100)*3)+Inputs!$B$28+Inputs!$B$29)))</f>
        <v/>
      </c>
      <c r="E1434">
        <f>INDEX(FactorTable!$B$2:$Y$301, MATCH(ROUND(MIN(300,MAX(1,D1434)),0), FactorTable!$A$2:$A$301,0), Skills!L4+1)</f>
        <v/>
      </c>
      <c r="F1434">
        <f>IF(Skills!M4=TRUE,(Skills!K4/10)*(E1434/1000),Skills!K4/10)+Skills!N4</f>
        <v/>
      </c>
      <c r="G1434">
        <f>Calc!G4</f>
        <v/>
      </c>
      <c r="H1434">
        <f>Calc!H4</f>
        <v/>
      </c>
      <c r="I1434">
        <f>IF(Skills!T4&lt;&gt;"",1+(Skills!T4/10)*(Z1433/1000)/100,1)</f>
        <v/>
      </c>
      <c r="J1434" t="inlineStr"/>
      <c r="K1434" t="inlineStr"/>
      <c r="L1434" t="inlineStr"/>
      <c r="M1434" t="inlineStr"/>
      <c r="N1434" t="inlineStr"/>
      <c r="O1434">
        <f>(1-Summary!$B$11)*S1434+Summary!$B$11*U1434</f>
        <v/>
      </c>
      <c r="P1434">
        <f>IF(B1467=0,0,O1434/B1467)</f>
        <v/>
      </c>
      <c r="Q1434">
        <f>IFERROR(1/IF(Inputs!$B$38="pvp",15,MAX(0.1,Skills!D4-IF(Skills!E4=TRUE,Inputs!$B$32,0))),0)</f>
        <v/>
      </c>
      <c r="R1434">
        <f>IF(AND(Inputs!$B$38&lt;&gt;"pvp",Inputs!$B$43&gt;0),IF(Inputs!$B$43&lt;=0,0,(INT(Inputs!$B$43/IF(Inputs!$B$38="pvp",15,MAX(0.1,Skills!D4-IF(Skills!E4=TRUE,Inputs!$B$32,0))))+1)),0)</f>
        <v/>
      </c>
      <c r="S1434" t="n">
        <v>0</v>
      </c>
      <c r="T1434">
        <f>290*T1433/1000</f>
        <v/>
      </c>
      <c r="U1434" t="n">
        <v>0</v>
      </c>
    </row>
    <row r="1435">
      <c r="A1435">
        <f>Skills!A5</f>
        <v/>
      </c>
      <c r="B1435">
        <f>Skills!B5</f>
        <v/>
      </c>
      <c r="C1435">
        <f>Inputs!$B$3&gt;=38</f>
        <v/>
      </c>
      <c r="D1435">
        <f>IF(Skills!C5=1,60+Inputs!$B$25+Inputs!$B$29,IF(Skills!C5=2,90+Inputs!$B$26+Inputs!$B$29,IF(Skills!C5=3,120+Inputs!$B$27+Inputs!$B$29,MAX(0,(Inputs!$B$3-100)*3)+Inputs!$B$28+Inputs!$B$29)))</f>
        <v/>
      </c>
      <c r="E1435">
        <f>INDEX(FactorTable!$B$2:$Y$301, MATCH(ROUND(MIN(300,MAX(1,D1435)),0), FactorTable!$A$2:$A$301,0), Skills!L5+1)</f>
        <v/>
      </c>
      <c r="F1435">
        <f>IF(Skills!M5=TRUE,(Skills!K5/10)*(E1435/1000),Skills!K5/10)+Skills!N5</f>
        <v/>
      </c>
      <c r="G1435">
        <f>Calc!G5</f>
        <v/>
      </c>
      <c r="H1435">
        <f>Calc!H5</f>
        <v/>
      </c>
      <c r="I1435">
        <f>IF(Skills!T5&lt;&gt;"",1+(Skills!T5/10)*(Z1433/1000)/100,1)</f>
        <v/>
      </c>
      <c r="J1435">
        <f>((Inputs!$B$6*(1+Inputs!$B$7/100))+(((Inputs!$B$12*(1+Inputs!$B$13/100))-(Inputs!$B$12*(1+Inputs!$B$13/100)))+0.25*(Inputs!$B$14-Inputs!$B$14))*(1+Inputs!$B$7/100))*(F1435/100)</f>
        <v/>
      </c>
      <c r="K1435">
        <f>J1435*(1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5="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5">
        <f>L1435*(1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(1-Summary!$B$11)*S1435+Summary!$B$11*U1435</f>
        <v/>
      </c>
      <c r="P1435">
        <f>IF(B1467=0,0,O1435/B1467)</f>
        <v/>
      </c>
      <c r="Q1435">
        <f>IFERROR(1/IF(Inputs!$B$38="pvp",15,MAX(0.1,Skills!D5-IF(Skills!E5=TRUE,Inputs!$B$32,0))),0)</f>
        <v/>
      </c>
      <c r="R1435">
        <f>IF(AND(Inputs!$B$38&lt;&gt;"pvp",Inputs!$B$43&gt;0),IF(MAX(0,Inputs!$B$43-B1464)&lt;=0,0,(INT(MAX(0,Inputs!$B$43-B1464)/IF(Inputs!$B$38="pvp",15,MAX(0.1,Skills!D5-IF(Skills!E5=TRUE,Inputs!$B$32,0))))+1)),0)</f>
        <v/>
      </c>
      <c r="S1435">
        <f>IF(C1435,(H1435*N1435*IF(AND(Inputs!$B$38&lt;&gt;"pvp",Inputs!$B$43&gt;0),((Skills!F5*((R1435-1)*IF(Skills!G5&gt;0,Skills!H5/Skills!G5,1)+IF(Skills!G5&gt;0,MIN(Skills!H5,MAX(0,MAX(0,Inputs!$B$43-B1464)-((R1435-1)*IF(Inputs!$B$38="pvp",15,MAX(0.1,Skills!D5-IF(Skills!E5=TRUE,Inputs!$B$32,0))))))/Skills!G5,1)))/Inputs!$B$43),G1435*Q1435))*IF(Inputs!$B$38="pvp",1,1+(Inputs!$B$20+Skills!O5+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1435*(1-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IF(C1435,(H1435*N1435*IF(AND(Inputs!$B$38&lt;&gt;"pvp",Inputs!$B$43&gt;0),((Skills!F5*((R1435-1)*IF(Skills!G5&gt;0,Skills!H5/Skills!G5,1)+IF(Skills!G5&gt;0,MIN(Skills!H5,MAX(0,MAX(0,Inputs!$B$43-B1464)-((R1435-1)*IF(Inputs!$B$38="pvp",15,MAX(0.1,Skills!D5-IF(Skills!E5=TRUE,Inputs!$B$32,0))))))/Skills!G5,1)))/Inputs!$B$43),G1435*Q1435))*IF(Inputs!$B$38="pvp",1,(1+(Inputs!$B$21+Skills!P5+B1458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Skills!A6</f>
        <v/>
      </c>
      <c r="B1436">
        <f>Skills!B6</f>
        <v/>
      </c>
      <c r="C1436">
        <f>Inputs!$B$3&gt;=63</f>
        <v/>
      </c>
      <c r="D1436">
        <f>IF(Skills!C6=1,60+Inputs!$B$25+Inputs!$B$29,IF(Skills!C6=2,90+Inputs!$B$26+Inputs!$B$29,IF(Skills!C6=3,120+Inputs!$B$27+Inputs!$B$29,MAX(0,(Inputs!$B$3-100)*3)+Inputs!$B$28+Inputs!$B$29)))</f>
        <v/>
      </c>
      <c r="E1436">
        <f>INDEX(FactorTable!$B$2:$Y$301, MATCH(ROUND(MIN(300,MAX(1,D1436)),0), FactorTable!$A$2:$A$301,0), Skills!L6+1)</f>
        <v/>
      </c>
      <c r="F1436">
        <f>IF(Skills!M6=TRUE,(Skills!K6/10)*(E1436/1000),Skills!K6/10)+Skills!N6</f>
        <v/>
      </c>
      <c r="G1436">
        <f>Calc!G6</f>
        <v/>
      </c>
      <c r="H1436">
        <f>Calc!H6</f>
        <v/>
      </c>
      <c r="I1436">
        <f>IF(Skills!T6&lt;&gt;"",1+(Skills!T6/10)*(Z1433/1000)/100,1)</f>
        <v/>
      </c>
      <c r="J1436">
        <f>((Inputs!$B$6*(1+Inputs!$B$7/100))+(((Inputs!$B$12*(1+Inputs!$B$13/100))-(Inputs!$B$12*(1+Inputs!$B$13/100)))+0.25*(Inputs!$B$14-Inputs!$B$14))*(1+Inputs!$B$7/100))*(F1436/100)</f>
        <v/>
      </c>
      <c r="K1436">
        <f>J1436*(1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6="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6">
        <f>L1436*(1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IF(B1467=0,0,O1436/B1467)</f>
        <v/>
      </c>
      <c r="Q1436">
        <f>IFERROR(1/IF(Inputs!$B$38="pvp",15,MAX(0.1,Skills!D6-IF(Skills!E6=TRUE,Inputs!$B$32,0))),0)</f>
        <v/>
      </c>
      <c r="R1436">
        <f>IF(AND(Inputs!$B$38&lt;&gt;"pvp",Inputs!$B$43&gt;0),IF(MAX(0,Inputs!$B$43-B1464)&lt;=0,0,(INT(MAX(0,Inputs!$B$43-B1464)/IF(Inputs!$B$38="pvp",15,MAX(0.1,Skills!D6-IF(Skills!E6=TRUE,Inputs!$B$32,0))))+1)),0)</f>
        <v/>
      </c>
      <c r="S1436">
        <f>IF(C1436,(H1436*N1436*IF(AND(Inputs!$B$38&lt;&gt;"pvp",Inputs!$B$43&gt;0),((Skills!F6*((R1436-1)*IF(Skills!G6&gt;0,Skills!H6/Skills!G6,1)+IF(Skills!G6&gt;0,MIN(Skills!H6,MAX(0,MAX(0,Inputs!$B$43-B1464)-((R1436-1)*IF(Inputs!$B$38="pvp",15,MAX(0.1,Skills!D6-IF(Skills!E6=TRUE,Inputs!$B$32,0))))))/Skills!G6,1)))/Inputs!$B$43),G1436*Q1436))*IF(Inputs!$B$38="pvp",1,1+(Inputs!$B$20+Skills!O6+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IF(C1436,(H1436*N1436*IF(AND(Inputs!$B$38&lt;&gt;"pvp",Inputs!$B$43&gt;0),((Skills!F6*((R1436-1)*IF(Skills!G6&gt;0,Skills!H6/Skills!G6,1)+IF(Skills!G6&gt;0,MIN(Skills!H6,MAX(0,MAX(0,Inputs!$B$43-B1464)-((R1436-1)*IF(Inputs!$B$38="pvp",15,MAX(0.1,Skills!D6-IF(Skills!E6=TRUE,Inputs!$B$32,0))))))/Skills!G6,1)))/Inputs!$B$43),G1436*Q1436))*IF(Inputs!$B$38="pvp",1,(1+(Inputs!$B$21+Skills!P6+B1458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Skills!A7</f>
        <v/>
      </c>
      <c r="B1437">
        <f>Skills!B7</f>
        <v/>
      </c>
      <c r="C1437">
        <f>Inputs!$B$3&gt;=69</f>
        <v/>
      </c>
      <c r="D1437">
        <f>IF(Skills!C7=1,60+Inputs!$B$25+Inputs!$B$29,IF(Skills!C7=2,90+Inputs!$B$26+Inputs!$B$29,IF(Skills!C7=3,120+Inputs!$B$27+Inputs!$B$29,MAX(0,(Inputs!$B$3-100)*3)+Inputs!$B$28+Inputs!$B$29)))</f>
        <v/>
      </c>
      <c r="E1437">
        <f>INDEX(FactorTable!$B$2:$Y$301, MATCH(ROUND(MIN(300,MAX(1,D1437)),0), FactorTable!$A$2:$A$301,0), Skills!L7+1)</f>
        <v/>
      </c>
      <c r="F1437">
        <f>IF(Skills!M7=TRUE,(Skills!K7/10)*(E1437/1000),Skills!K7/10)+Skills!N7</f>
        <v/>
      </c>
      <c r="G1437">
        <f>Calc!G7</f>
        <v/>
      </c>
      <c r="H1437">
        <f>Calc!H7</f>
        <v/>
      </c>
      <c r="I1437">
        <f>IF(Skills!T7&lt;&gt;"",1+(Skills!T7/10)*(Z1433/1000)/100,1)</f>
        <v/>
      </c>
      <c r="J1437">
        <f>((Inputs!$B$6*(1+Inputs!$B$7/100))+(((Inputs!$B$12*(1+Inputs!$B$13/100))-(Inputs!$B$12*(1+Inputs!$B$13/100)))+0.25*(Inputs!$B$14-Inputs!$B$14))*(1+Inputs!$B$7/100))*(F1437/100)</f>
        <v/>
      </c>
      <c r="K1437">
        <f>J1437*(1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7="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7">
        <f>L1437*(1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IF(B1467=0,0,O1437/B1467)</f>
        <v/>
      </c>
      <c r="Q1437">
        <f>IFERROR(1/IF(Inputs!$B$38="pvp",15,MAX(0.1,Skills!D7-IF(Skills!E7=TRUE,Inputs!$B$32,0))),0)</f>
        <v/>
      </c>
      <c r="R1437">
        <f>IF(AND(Inputs!$B$38&lt;&gt;"pvp",Inputs!$B$43&gt;0),IF(MAX(0,Inputs!$B$43-B1464)&lt;=0,0,(INT(MAX(0,Inputs!$B$43-B1464)/IF(Inputs!$B$38="pvp",15,MAX(0.1,Skills!D7-IF(Skills!E7=TRUE,Inputs!$B$32,0))))+1)),0)</f>
        <v/>
      </c>
      <c r="S1437">
        <f>IF(C1437,(H1437*N1437*IF(AND(Inputs!$B$38&lt;&gt;"pvp",Inputs!$B$43&gt;0),((Skills!F7*((R1437-1)*IF(Skills!G7&gt;0,Skills!H7/Skills!G7,1)+IF(Skills!G7&gt;0,MIN(Skills!H7,MAX(0,MAX(0,Inputs!$B$43-B1464)-((R1437-1)*IF(Inputs!$B$38="pvp",15,MAX(0.1,Skills!D7-IF(Skills!E7=TRUE,Inputs!$B$32,0))))))/Skills!G7,1)))/Inputs!$B$43),G1437*Q1437))*IF(Inputs!$B$38="pvp",1,1+(Inputs!$B$20+Skills!O7+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F(C1437,(H1437*N1437*IF(AND(Inputs!$B$38&lt;&gt;"pvp",Inputs!$B$43&gt;0),((Skills!F7*((R1437-1)*IF(Skills!G7&gt;0,Skills!H7/Skills!G7,1)+IF(Skills!G7&gt;0,MIN(Skills!H7,MAX(0,MAX(0,Inputs!$B$43-B1464)-((R1437-1)*IF(Inputs!$B$38="pvp",15,MAX(0.1,Skills!D7-IF(Skills!E7=TRUE,Inputs!$B$32,0))))))/Skills!G7,1)))/Inputs!$B$43),G1437*Q1437))*IF(Inputs!$B$38="pvp",1,(1+(Inputs!$B$21+Skills!P7+B1458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Skills!A8</f>
        <v/>
      </c>
      <c r="B1438">
        <f>Skills!B8</f>
        <v/>
      </c>
      <c r="C1438">
        <f>Inputs!$B$3&gt;=103</f>
        <v/>
      </c>
      <c r="D1438">
        <f>IF(Skills!C8=1,60+Inputs!$B$25+Inputs!$B$29,IF(Skills!C8=2,90+Inputs!$B$26+Inputs!$B$29,IF(Skills!C8=3,120+Inputs!$B$27+Inputs!$B$29,MAX(0,(Inputs!$B$3-100)*3)+Inputs!$B$28+Inputs!$B$29)))</f>
        <v/>
      </c>
      <c r="E1438">
        <f>INDEX(FactorTable!$B$2:$Y$301, MATCH(ROUND(MIN(300,MAX(1,D1438)),0), FactorTable!$A$2:$A$301,0), Skills!L8+1)</f>
        <v/>
      </c>
      <c r="F1438">
        <f>IF(Skills!M8=TRUE,(Skills!K8/10)*(E1438/1000),Skills!K8/10)+Skills!N8</f>
        <v/>
      </c>
      <c r="G1438">
        <f>Calc!G8</f>
        <v/>
      </c>
      <c r="H1438">
        <f>Calc!H8</f>
        <v/>
      </c>
      <c r="I1438">
        <f>IF(Skills!T8&lt;&gt;"",1+(Skills!T8/10)*(Z1433/1000)/100,1)</f>
        <v/>
      </c>
      <c r="J1438">
        <f>((Inputs!$B$6*(1+Inputs!$B$7/100))+(((Inputs!$B$12*(1+Inputs!$B$13/100))-(Inputs!$B$12*(1+Inputs!$B$13/100)))+0.25*(Inputs!$B$14-Inputs!$B$14))*(1+Inputs!$B$7/100))*(F1438/100)</f>
        <v/>
      </c>
      <c r="K1438">
        <f>J1438*(1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8="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8">
        <f>L1438*(1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IF(B1467=0,0,O1438/B1467)</f>
        <v/>
      </c>
      <c r="Q1438">
        <f>IFERROR(1/IF(Inputs!$B$38="pvp",15,MAX(0.1,Skills!D8-IF(Skills!E8=TRUE,Inputs!$B$32,0))),0)</f>
        <v/>
      </c>
      <c r="R1438">
        <f>IF(AND(Inputs!$B$38&lt;&gt;"pvp",Inputs!$B$43&gt;0),IF(MAX(0,Inputs!$B$43-B1464)&lt;=0,0,(INT(MAX(0,Inputs!$B$43-B1464)/IF(Inputs!$B$38="pvp",15,MAX(0.1,Skills!D8-IF(Skills!E8=TRUE,Inputs!$B$32,0))))+1)),0)</f>
        <v/>
      </c>
      <c r="S1438">
        <f>IF(C1438,(H1438*N1438*IF(AND(Inputs!$B$38&lt;&gt;"pvp",Inputs!$B$43&gt;0),((Skills!F8*((R1438-1)*IF(Skills!G8&gt;0,Skills!H8/Skills!G8,1)+IF(Skills!G8&gt;0,MIN(Skills!H8,MAX(0,MAX(0,Inputs!$B$43-B1464)-((R1438-1)*IF(Inputs!$B$38="pvp",15,MAX(0.1,Skills!D8-IF(Skills!E8=TRUE,Inputs!$B$32,0))))))/Skills!G8,1)))/Inputs!$B$43),G1438*Q1438))*IF(Inputs!$B$38="pvp",1,1+(Inputs!$B$20+Skills!O8+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F(C1438,(H1438*N1438*IF(AND(Inputs!$B$38&lt;&gt;"pvp",Inputs!$B$43&gt;0),((Skills!F8*((R1438-1)*IF(Skills!G8&gt;0,Skills!H8/Skills!G8,1)+IF(Skills!G8&gt;0,MIN(Skills!H8,MAX(0,MAX(0,Inputs!$B$43-B1464)-((R1438-1)*IF(Inputs!$B$38="pvp",15,MAX(0.1,Skills!D8-IF(Skills!E8=TRUE,Inputs!$B$32,0))))))/Skills!G8,1)))/Inputs!$B$43),G1438*Q1438))*IF(Inputs!$B$38="pvp",1,(1+(Inputs!$B$21+Skills!P8+B1458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Skills!A9</f>
        <v/>
      </c>
      <c r="B1439">
        <f>Skills!B9</f>
        <v/>
      </c>
      <c r="C1439">
        <f>Inputs!$B$3&gt;=105</f>
        <v/>
      </c>
      <c r="D1439">
        <f>IF(Skills!C9=1,60+Inputs!$B$25+Inputs!$B$29,IF(Skills!C9=2,90+Inputs!$B$26+Inputs!$B$29,IF(Skills!C9=3,120+Inputs!$B$27+Inputs!$B$29,MAX(0,(Inputs!$B$3-100)*3)+Inputs!$B$28+Inputs!$B$29)))</f>
        <v/>
      </c>
      <c r="E1439">
        <f>INDEX(FactorTable!$B$2:$Y$301, MATCH(ROUND(MIN(300,MAX(1,D1439)),0), FactorTable!$A$2:$A$301,0), Skills!L9+1)</f>
        <v/>
      </c>
      <c r="F1439">
        <f>IF(Skills!M9=TRUE,(Skills!K9/10)*(E1439/1000),Skills!K9/10)+Skills!N9</f>
        <v/>
      </c>
      <c r="G1439">
        <f>Calc!G9</f>
        <v/>
      </c>
      <c r="H1439">
        <f>Calc!H9</f>
        <v/>
      </c>
      <c r="I1439">
        <f>IF(Skills!T9&lt;&gt;"",1+(Skills!T9/10)*(Z1433/1000)/100,1)</f>
        <v/>
      </c>
      <c r="J1439">
        <f>((Inputs!$B$6*(1+Inputs!$B$7/100))+(((Inputs!$B$12*(1+Inputs!$B$13/100))-(Inputs!$B$12*(1+Inputs!$B$13/100)))+0.25*(Inputs!$B$14-Inputs!$B$14))*(1+Inputs!$B$7/100))*(F1439/100)</f>
        <v/>
      </c>
      <c r="K1439">
        <f>J1439*(1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9="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9">
        <f>L1439*(1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IF(B1467=0,0,O1439/B1467)</f>
        <v/>
      </c>
      <c r="Q1439">
        <f>IFERROR(1/IF(Inputs!$B$38="pvp",15,MAX(0.1,Skills!D9-IF(Skills!E9=TRUE,Inputs!$B$32,0))),0)</f>
        <v/>
      </c>
      <c r="R1439">
        <f>IF(AND(Inputs!$B$38&lt;&gt;"pvp",Inputs!$B$43&gt;0),IF(MAX(0,Inputs!$B$43-B1464)&lt;=0,0,(INT(MAX(0,Inputs!$B$43-B1464)/IF(Inputs!$B$38="pvp",15,MAX(0.1,Skills!D9-IF(Skills!E9=TRUE,Inputs!$B$32,0))))+1)),0)</f>
        <v/>
      </c>
      <c r="S1439">
        <f>IF(C1439,(H1439*N1439*IF(AND(Inputs!$B$38&lt;&gt;"pvp",Inputs!$B$43&gt;0),((Skills!F9*((R1439-1)*IF(Skills!G9&gt;0,Skills!H9/Skills!G9,1)+IF(Skills!G9&gt;0,MIN(Skills!H9,MAX(0,MAX(0,Inputs!$B$43-B1464)-((R1439-1)*IF(Inputs!$B$38="pvp",15,MAX(0.1,Skills!D9-IF(Skills!E9=TRUE,Inputs!$B$32,0))))))/Skills!G9,1)))/Inputs!$B$43),G1439*Q1439))*IF(Inputs!$B$38="pvp",1,1+(Inputs!$B$20+Skills!O9+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F9*((R1439-1)*IF(Skills!G9&gt;0,Skills!H9/Skills!G9,1)+IF(Skills!G9&gt;0,MIN(Skills!H9,MAX(0,MAX(0,Inputs!$B$43-B1464)-((R1439-1)*IF(Inputs!$B$38="pvp",15,MAX(0.1,Skills!D9-IF(Skills!E9=TRUE,Inputs!$B$32,0))))))/Skills!G9,1)))/Inputs!$B$43),G1439*Q1439))*IF(Inputs!$B$38="pvp",1,(1+(Inputs!$B$21+Skills!P9+B1458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Skills!A10</f>
        <v/>
      </c>
      <c r="B1440">
        <f>Skills!B10</f>
        <v/>
      </c>
      <c r="C1440">
        <f>Inputs!$B$3&gt;=113</f>
        <v/>
      </c>
      <c r="D1440">
        <f>IF(Skills!C10=1,60+Inputs!$B$25+Inputs!$B$29,IF(Skills!C10=2,90+Inputs!$B$26+Inputs!$B$29,IF(Skills!C10=3,120+Inputs!$B$27+Inputs!$B$29,MAX(0,(Inputs!$B$3-100)*3)+Inputs!$B$28+Inputs!$B$29)))</f>
        <v/>
      </c>
      <c r="E1440">
        <f>INDEX(FactorTable!$B$2:$Y$301, MATCH(ROUND(MIN(300,MAX(1,D1440)),0), FactorTable!$A$2:$A$301,0), Skills!L10+1)</f>
        <v/>
      </c>
      <c r="F1440">
        <f>IF(Skills!M10=TRUE,(Skills!K10/10)*(E1440/1000),Skills!K10/10)+Skills!N10</f>
        <v/>
      </c>
      <c r="G1440">
        <f>Calc!G10</f>
        <v/>
      </c>
      <c r="H1440">
        <f>Calc!H10</f>
        <v/>
      </c>
      <c r="I1440">
        <f>IF(Skills!T10&lt;&gt;"",1+(Skills!T10/10)*(Z1433/1000)/100,1)</f>
        <v/>
      </c>
      <c r="J1440">
        <f>((Inputs!$B$6*(1+Inputs!$B$7/100))+(((Inputs!$B$12*(1+Inputs!$B$13/100))-(Inputs!$B$12*(1+Inputs!$B$13/100)))+0.25*(Inputs!$B$14-Inputs!$B$14))*(1+Inputs!$B$7/100))*(F1440/100)</f>
        <v/>
      </c>
      <c r="K1440">
        <f>J1440*(1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10="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0">
        <f>L1440*(1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(1-Summary!$B$11)*S1440+Summary!$B$11*U1440</f>
        <v/>
      </c>
      <c r="P1440">
        <f>IF(B1467=0,0,O1440/B1467)</f>
        <v/>
      </c>
      <c r="Q1440">
        <f>IFERROR(1/IF(Inputs!$B$38="pvp",15,MAX(0.1,Skills!D10-IF(Skills!E9=TRUE,Inputs!$B$32,0))),0)</f>
        <v/>
      </c>
      <c r="R1440">
        <f>IF(AND(Inputs!$B$38&lt;&gt;"pvp",Inputs!$B$43&gt;0),IF(MAX(0,Inputs!$B$43-B1464)&lt;=0,0,(INT(MAX(0,Inputs!$B$43-B1464)/IF(Inputs!$B$38="pvp",15,MAX(0.1,Skills!D10-IF(Skills!E9=TRUE,Inputs!$B$32,0))))+1)),0)</f>
        <v/>
      </c>
      <c r="S1440">
        <f>IF(C1440,(H1440*N1440*IF(AND(Inputs!$B$38&lt;&gt;"pvp",Inputs!$B$43&gt;0),((Skills!F10*((R1440-1)*IF(Skills!G10&gt;0,Skills!H10/Skills!G10,1)+IF(Skills!G10&gt;0,MIN(Skills!H10,MAX(0,MAX(0,Inputs!$B$43-B1464)-((R1440-1)*IF(Inputs!$B$38="pvp",15,MAX(0.1,Skills!D10-IF(Skills!E9=TRUE,Inputs!$B$32,0))))))/Skills!G10,1)))/Inputs!$B$43),G1440*Q1440))*IF(Inputs!$B$38="pvp",1,1+(Inputs!$B$20+Skills!O10+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1440*(1-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IF(C1440,(H1440*N1440*IF(AND(Inputs!$B$38&lt;&gt;"pvp",Inputs!$B$43&gt;0),((Skills!F10*((R1440-1)*IF(Skills!G10&gt;0,Skills!H10/Skills!G10,1)+IF(Skills!G10&gt;0,MIN(Skills!H10,MAX(0,MAX(0,Inputs!$B$43-B1464)-((R1440-1)*IF(Inputs!$B$38="pvp",15,MAX(0.1,Skills!D10-IF(Skills!E9=TRUE,Inputs!$B$32,0))))))/Skills!G10,1)))/Inputs!$B$43),G1440*Q1440))*IF(Inputs!$B$38="pvp",1,(1+(Inputs!$B$21+Skills!P10+B1458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Skills!A11</f>
        <v/>
      </c>
      <c r="B1441">
        <f>Skills!B11</f>
        <v/>
      </c>
      <c r="C1441">
        <f>Inputs!$B$3&gt;=107</f>
        <v/>
      </c>
      <c r="D1441">
        <f>IF(Skills!C11=1,60+Inputs!$B$25+Inputs!$B$29,IF(Skills!C11=2,90+Inputs!$B$26+Inputs!$B$29,IF(Skills!C11=3,120+Inputs!$B$27+Inputs!$B$29,MAX(0,(Inputs!$B$3-100)*3)+Inputs!$B$28+Inputs!$B$29)))</f>
        <v/>
      </c>
      <c r="E1441">
        <f>INDEX(FactorTable!$B$2:$Y$301, MATCH(ROUND(MIN(300,MAX(1,D1441)),0), FactorTable!$A$2:$A$301,0), Skills!L11+1)</f>
        <v/>
      </c>
      <c r="F1441">
        <f>IF(Skills!M11=TRUE,(Skills!K11/10)*(E1441/1000),Skills!K11/10)+Skills!N11</f>
        <v/>
      </c>
      <c r="G1441">
        <f>Calc!G11</f>
        <v/>
      </c>
      <c r="H1441">
        <f>Calc!H11</f>
        <v/>
      </c>
      <c r="I1441">
        <f>IF(Skills!T11&lt;&gt;"",1+(Skills!T11/10)*(Z1433/1000)/100,1)</f>
        <v/>
      </c>
      <c r="J1441">
        <f>((Inputs!$B$6*(1+Inputs!$B$7/100))+(((Inputs!$B$12*(1+Inputs!$B$13/100))-(Inputs!$B$12*(1+Inputs!$B$13/100)))+0.25*(Inputs!$B$14-Inputs!$B$14))*(1+Inputs!$B$7/100))*(F1441/100)</f>
        <v/>
      </c>
      <c r="K1441">
        <f>J1441*(1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11="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1">
        <f>L1441*(1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IF(B1467=0,0,O1441/B1467)</f>
        <v/>
      </c>
      <c r="Q1441">
        <f>IFERROR(1/IF(Inputs!$B$38="pvp",15,MAX(0.1,Skills!D11-IF(Skills!E11=TRUE,Inputs!$B$32,0))),0)</f>
        <v/>
      </c>
      <c r="R1441">
        <f>IF(AND(Inputs!$B$38&lt;&gt;"pvp",Inputs!$B$43&gt;0),IF(MAX(0,Inputs!$B$43-B1464)&lt;=0,0,(INT(MAX(0,Inputs!$B$43-B1464)/IF(Inputs!$B$38="pvp",15,MAX(0.1,Skills!D11-IF(Skills!E11=TRUE,Inputs!$B$32,0))))+1)),0)</f>
        <v/>
      </c>
      <c r="S1441">
        <f>IF(C1441,H1441*N1441*IF(AND(Inputs!$B$38&lt;&gt;"pvp",Inputs!$B$43&gt;0),((Skills!F11*((R1441-1)*IF(Skills!G11&gt;0,Skills!H11/Skills!G11,1)+IF(Skills!G11&gt;0,MIN(Skills!H11,MAX(0,MAX(0,Inputs!$B$43-B1464)-((R1441-1)*IF(Inputs!$B$38="pvp",15,MAX(0.1,Skills!D11-IF(Skills!E11=TRUE,Inputs!$B$32,0))))))/Skills!G11,1)))/Inputs!$B$43),G1441*Q1441)*0.5*IF(Inputs!$B$38="pvp",1,1+(Inputs!$B$20+Skills!O11+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F11*((R1441-1)*IF(Skills!G11&gt;0,Skills!H11/Skills!G11,1)+IF(Skills!G11&gt;0,MIN(Skills!H11,MAX(0,MAX(0,Inputs!$B$43-B1464)-((R1441-1)*IF(Inputs!$B$38="pvp",15,MAX(0.1,Skills!D11-IF(Skills!E11=TRUE,Inputs!$B$32,0))))))/Skills!G11,1)))/Inputs!$B$43),G1441*Q1441)*1*IF(Inputs!$B$38="pvp",1,(1+(Inputs!$B$21+Skills!P11+B1458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Skills!A12</f>
        <v/>
      </c>
      <c r="B1442">
        <f>Skills!B12</f>
        <v/>
      </c>
      <c r="C1442">
        <f>Inputs!$B$3&gt;=115</f>
        <v/>
      </c>
      <c r="D1442">
        <f>IF(Skills!C12=1,60+Inputs!$B$25+Inputs!$B$29,IF(Skills!C12=2,90+Inputs!$B$26+Inputs!$B$29,IF(Skills!C12=3,120+Inputs!$B$27+Inputs!$B$29,MAX(0,(Inputs!$B$3-100)*3)+Inputs!$B$28+Inputs!$B$29)))</f>
        <v/>
      </c>
      <c r="E1442">
        <f>INDEX(FactorTable!$B$2:$Y$301, MATCH(ROUND(MIN(300,MAX(1,D1442)),0), FactorTable!$A$2:$A$301,0), Skills!L12+1)</f>
        <v/>
      </c>
      <c r="F1442">
        <f>IF(Skills!M12=TRUE,(Skills!K12/10)*(E1442/1000),Skills!K12/10)+Skills!N12</f>
        <v/>
      </c>
      <c r="G1442">
        <f>Calc!G12</f>
        <v/>
      </c>
      <c r="H1442">
        <f>Calc!H12</f>
        <v/>
      </c>
      <c r="I1442">
        <f>IF(Skills!T12&lt;&gt;"",1+(Skills!T12/10)*(Z1433/1000)/100,1)</f>
        <v/>
      </c>
      <c r="J1442">
        <f>((Inputs!$B$6*(1+Inputs!$B$7/100))+(((Inputs!$B$12*(1+Inputs!$B$13/100))-(Inputs!$B$12*(1+Inputs!$B$13/100)))+0.25*(Inputs!$B$14-Inputs!$B$14))*(1+Inputs!$B$7/100))*(F1442/100)</f>
        <v/>
      </c>
      <c r="K1442">
        <f>J1442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12="CHAIN_LIGHTNING",Inputs!$B$17+((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2">
        <f>L1442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IF(B1467=0,0,O1442/B1467)</f>
        <v/>
      </c>
      <c r="Q1442">
        <f>IFERROR(1/IF(Inputs!$B$38="pvp",15,MAX(0.1,Skills!D12-IF(Skills!E12=TRUE,Inputs!$B$32,0))),0)</f>
        <v/>
      </c>
      <c r="R1442">
        <f>IF(AND(Inputs!$B$38&lt;&gt;"pvp",Inputs!$B$43&gt;0),IF(MAX(0,Inputs!$B$43-B1464)&lt;=0,0,(INT(MAX(0,Inputs!$B$43-B1464)/IF(Inputs!$B$38="pvp",15,MAX(0.1,Skills!D12-IF(Skills!E12=TRUE,Inputs!$B$32,0))))+1)),0)</f>
        <v/>
      </c>
      <c r="S1442">
        <f>IF(C1442,(H1442*N1442*IF(AND(Inputs!$B$38&lt;&gt;"pvp",Inputs!$B$43&gt;0),((Skills!F12*((R1442-1)*IF(Skills!G12&gt;0,Skills!H12/Skills!G12,1)+IF(Skills!G12&gt;0,MIN(Skills!H12,MAX(0,MAX(0,Inputs!$B$43-B1464)-((R1442-1)*IF(Inputs!$B$38="pvp",15,MAX(0.1,Skills!D12-IF(Skills!E12=TRUE,Inputs!$B$32,0))))))/Skills!G12,1)))/Inputs!$B$43),G1442*Q1442))*IF(Inputs!$B$38="pvp",1,1+(Inputs!$B$20+Skills!O12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1450-Calc!F20)+(F1449-Calc!F19))+(ArtifactsInput!$M$24-ArtifactsInput!$M$24)*CHOOSE(ArtifactsInput!$N$24+1,10,12,14,16,18,20)+(IF(AND(Inputs!$B$38&lt;&gt;"pvp",Inputs!$B$43=0),1,IF(IF(Inputs!$B$38="pvp",15,Inputs!$B$43)-(B1464)&lt;=0,1,MAX(0,IF(Inputs!$B$38="pvp",15,Inputs!$B$43)-MAX(5,B1464))/(IF(Inputs!$B$38="pvp",15,Inputs!$B$43)-(B1464)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F12*((R1442-1)*IF(Skills!G12&gt;0,Skills!H12/Skills!G12,1)+IF(Skills!G12&gt;0,MIN(Skills!H12,MAX(0,MAX(0,Inputs!$B$43-B1464)-((R1442-1)*IF(Inputs!$B$38="pvp",15,MAX(0.1,Skills!D12-IF(Skills!E12=TRUE,Inputs!$B$32,0))))))/Skills!G12,1)))/Inputs!$B$43),G1442*Q1442))*IF(Inputs!$B$38="pvp",1,(1+(Inputs!$B$21+Skills!P12+B1458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Skills!A13</f>
        <v/>
      </c>
      <c r="B1443">
        <f>Skills!B13</f>
        <v/>
      </c>
      <c r="C1443">
        <f>Inputs!$B$3&gt;=49</f>
        <v/>
      </c>
      <c r="D1443">
        <f>IF(Skills!C13=1,60+Inputs!$B$25+Inputs!$B$29,IF(Skills!C13=2,90+Inputs!$B$26+Inputs!$B$29,IF(Skills!C13=3,120+Inputs!$B$27+Inputs!$B$29,MAX(0,(Inputs!$B$3-100)*3)+Inputs!$B$28+Inputs!$B$29)))</f>
        <v/>
      </c>
      <c r="E1443">
        <f>INDEX(FactorTable!$B$2:$Y$301, MATCH(ROUND(MIN(300,MAX(1,D1443)),0), FactorTable!$A$2:$A$301,0), Skills!L13+1)</f>
        <v/>
      </c>
      <c r="F1443">
        <f>IF(Skills!M13=TRUE,(Skills!K13/10)*(E1443/1000),Skills!K13/10)+Skills!N13</f>
        <v/>
      </c>
      <c r="G1443">
        <f>Calc!G13</f>
        <v/>
      </c>
      <c r="H1443">
        <f>Calc!H13</f>
        <v/>
      </c>
      <c r="I1443">
        <f>IF(Skills!T13&lt;&gt;"",1+(Skills!T13/10)*(Z1433/1000)/100,1)</f>
        <v/>
      </c>
      <c r="J1443" t="inlineStr"/>
      <c r="K1443" t="inlineStr"/>
      <c r="L1443" t="inlineStr"/>
      <c r="M1443" t="inlineStr"/>
      <c r="N1443" t="inlineStr"/>
      <c r="O1443">
        <f>(1-Summary!$B$11)*S1443+Summary!$B$11*U1443</f>
        <v/>
      </c>
      <c r="P1443">
        <f>IF(B1467=0,0,O1443/B1467)</f>
        <v/>
      </c>
      <c r="Q1443">
        <f>IFERROR(1/IF(Inputs!$B$38="pvp",15,MAX(0.1,Skills!D13-IF(Skills!E13=TRUE,Inputs!$B$32,0))),0)</f>
        <v/>
      </c>
      <c r="R1443" t="n">
        <v>0</v>
      </c>
      <c r="S1443" t="n">
        <v>0</v>
      </c>
      <c r="U1443" t="n">
        <v>0</v>
      </c>
    </row>
    <row r="1444">
      <c r="A1444">
        <f>Skills!A14</f>
        <v/>
      </c>
      <c r="B1444">
        <f>Skills!B14</f>
        <v/>
      </c>
      <c r="C1444">
        <f>Inputs!$B$3&gt;=72</f>
        <v/>
      </c>
      <c r="D1444">
        <f>IF(Skills!C14=1,60+Inputs!$B$25+Inputs!$B$29,IF(Skills!C14=2,90+Inputs!$B$26+Inputs!$B$29,IF(Skills!C14=3,120+Inputs!$B$27+Inputs!$B$29,MAX(0,(Inputs!$B$3-100)*3)+Inputs!$B$28+Inputs!$B$29)))</f>
        <v/>
      </c>
      <c r="E1444">
        <f>INDEX(FactorTable!$B$2:$Y$301, MATCH(ROUND(MIN(300,MAX(1,D1444)),0), FactorTable!$A$2:$A$301,0), Skills!L14+1)</f>
        <v/>
      </c>
      <c r="F1444">
        <f>IF(Skills!M14=TRUE,(Skills!K14/10)*(E1444/1000),Skills!K14/10)+Skills!N14</f>
        <v/>
      </c>
      <c r="G1444">
        <f>Calc!G14</f>
        <v/>
      </c>
      <c r="H1444">
        <f>Calc!H14</f>
        <v/>
      </c>
      <c r="I1444">
        <f>IF(Skills!T14&lt;&gt;"",1+(Skills!T14/10)*(Z1433/1000)/100,1)</f>
        <v/>
      </c>
      <c r="J1444" t="inlineStr"/>
      <c r="K1444" t="inlineStr"/>
      <c r="L1444" t="inlineStr"/>
      <c r="M1444" t="inlineStr"/>
      <c r="N1444" t="inlineStr"/>
      <c r="O1444">
        <f>(1-Summary!$B$11)*S1444+Summary!$B$11*U1444</f>
        <v/>
      </c>
      <c r="P1444">
        <f>IF(B1467=0,0,O1444/B1467)</f>
        <v/>
      </c>
      <c r="Q1444">
        <f>IFERROR(1/IF(Inputs!$B$38="pvp",15,MAX(0.1,Skills!D14-IF(Skills!E14=TRUE,Inputs!$B$32,0))),0)</f>
        <v/>
      </c>
      <c r="R1444" t="n">
        <v>0</v>
      </c>
      <c r="S1444" t="n">
        <v>0</v>
      </c>
      <c r="U1444" t="n">
        <v>0</v>
      </c>
    </row>
    <row r="1445">
      <c r="A1445">
        <f>Skills!A15</f>
        <v/>
      </c>
      <c r="B1445">
        <f>Skills!B15</f>
        <v/>
      </c>
      <c r="C1445">
        <f>Inputs!$B$3&gt;=75</f>
        <v/>
      </c>
      <c r="D1445">
        <f>IF(Skills!C15=1,60+Inputs!$B$25+Inputs!$B$29,IF(Skills!C15=2,90+Inputs!$B$26+Inputs!$B$29,IF(Skills!C15=3,120+Inputs!$B$27+Inputs!$B$29,MAX(0,(Inputs!$B$3-100)*3)+Inputs!$B$28+Inputs!$B$29)))</f>
        <v/>
      </c>
      <c r="E1445">
        <f>INDEX(FactorTable!$B$2:$Y$301, MATCH(ROUND(MIN(300,MAX(1,D1445)),0), FactorTable!$A$2:$A$301,0), Skills!L15+1)</f>
        <v/>
      </c>
      <c r="F1445">
        <f>IF(Skills!M15=TRUE,(Skills!K15/10)*(E1445/1000),Skills!K15/10)+Skills!N15</f>
        <v/>
      </c>
      <c r="G1445">
        <f>Calc!G15</f>
        <v/>
      </c>
      <c r="H1445">
        <f>Calc!H15</f>
        <v/>
      </c>
      <c r="I1445">
        <f>IF(Skills!T15&lt;&gt;"",1+(Skills!T15/10)*(Z1433/1000)/100,1)</f>
        <v/>
      </c>
      <c r="J1445" t="inlineStr"/>
      <c r="K1445" t="inlineStr"/>
      <c r="L1445" t="inlineStr"/>
      <c r="M1445" t="inlineStr"/>
      <c r="N1445" t="inlineStr"/>
      <c r="O1445">
        <f>(1-Summary!$B$11)*S1445+Summary!$B$11*U1445</f>
        <v/>
      </c>
      <c r="P1445">
        <f>IF(B1467=0,0,O1445/B1467)</f>
        <v/>
      </c>
      <c r="Q1445">
        <f>IFERROR(1/IF(Inputs!$B$38="pvp",15,MAX(0.1,Skills!D15-IF(Skills!E15=TRUE,Inputs!$B$32,0))),0)</f>
        <v/>
      </c>
      <c r="R1445" t="n">
        <v>0</v>
      </c>
      <c r="S1445" t="n">
        <v>0</v>
      </c>
      <c r="U1445" t="n">
        <v>0</v>
      </c>
    </row>
    <row r="1446">
      <c r="A1446">
        <f>Skills!A16</f>
        <v/>
      </c>
      <c r="B1446">
        <f>Skills!B16</f>
        <v/>
      </c>
      <c r="C1446">
        <f>Inputs!$B$3&gt;=110</f>
        <v/>
      </c>
      <c r="D1446">
        <f>IF(Skills!C16=1,60+Inputs!$B$25+Inputs!$B$29,IF(Skills!C16=2,90+Inputs!$B$26+Inputs!$B$29,IF(Skills!C16=3,120+Inputs!$B$27+Inputs!$B$29,MAX(0,(Inputs!$B$3-100)*3)+Inputs!$B$28+Inputs!$B$29)))</f>
        <v/>
      </c>
      <c r="E1446">
        <f>INDEX(FactorTable!$B$2:$Y$301, MATCH(ROUND(MIN(300,MAX(1,D1446)),0), FactorTable!$A$2:$A$301,0), Skills!L16+1)</f>
        <v/>
      </c>
      <c r="F1446">
        <f>(Skills!K16/10)*(E1446/1000)*64/45+Skills!N16</f>
        <v/>
      </c>
      <c r="G1446">
        <f>Calc!G16</f>
        <v/>
      </c>
      <c r="H1446">
        <f>Calc!H16</f>
        <v/>
      </c>
      <c r="I1446">
        <f>IF(Skills!T16&lt;&gt;"",1+(Skills!T16/10)*(Z1433/1000)/100,1)</f>
        <v/>
      </c>
      <c r="J1446" t="inlineStr"/>
      <c r="K1446" t="inlineStr"/>
      <c r="L1446" t="inlineStr"/>
      <c r="M1446" t="inlineStr"/>
      <c r="N1446" t="inlineStr"/>
      <c r="O1446">
        <f>(1-Summary!$B$11)*S1446+Summary!$B$11*U1446</f>
        <v/>
      </c>
      <c r="P1446">
        <f>IF(B1467=0,0,O1446/B1467)</f>
        <v/>
      </c>
      <c r="Q1446">
        <f>IFERROR(1/IF(Inputs!$B$38="pvp",15,MAX(0.1,Skills!D16-IF(Skills!E16=TRUE,Inputs!$B$32,0))),0)</f>
        <v/>
      </c>
      <c r="R1446">
        <f>IF(AND(Inputs!$B$38&lt;&gt;"pvp",Inputs!$B$43&gt;0),IF(Inputs!$B$43&lt;=0,0,(INT(Inputs!$B$43/IF(Inputs!$B$38="pvp",15,MAX(0.1,Skills!D16-IF(Skills!E16=TRUE,Inputs!$B$32,0))))+1)),0)</f>
        <v/>
      </c>
      <c r="S1446" t="n">
        <v>0</v>
      </c>
      <c r="U1446" t="n">
        <v>0</v>
      </c>
    </row>
    <row r="1447">
      <c r="A1447">
        <f>Skills!A17</f>
        <v/>
      </c>
      <c r="B1447">
        <f>Skills!B17</f>
        <v/>
      </c>
      <c r="C1447">
        <f>Inputs!$B$3&gt;=33</f>
        <v/>
      </c>
      <c r="D1447">
        <f>IF(Skills!C17=1,60+Inputs!$B$25+Inputs!$B$29,IF(Skills!C17=2,90+Inputs!$B$26+Inputs!$B$29,IF(Skills!C17=3,120+Inputs!$B$27+Inputs!$B$29,MAX(0,(Inputs!$B$3-100)*3)+Inputs!$B$28+Inputs!$B$29)))</f>
        <v/>
      </c>
      <c r="E1447">
        <f>INDEX(FactorTable!$B$2:$Y$301, MATCH(ROUND(MIN(300,MAX(1,D1447)),0), FactorTable!$A$2:$A$301,0), Skills!L17+1)</f>
        <v/>
      </c>
      <c r="F1447">
        <f>IF(Skills!M17=TRUE,(Skills!K17/10)*(E1447/1000),Skills!K17/10)+Skills!N17</f>
        <v/>
      </c>
      <c r="G1447">
        <f>Calc!G17</f>
        <v/>
      </c>
      <c r="H1447">
        <f>Calc!H17</f>
        <v/>
      </c>
      <c r="I1447">
        <f>IF(Skills!T17&lt;&gt;"",1+(Skills!T17/10)*(Z1433/1000)/100,1)</f>
        <v/>
      </c>
      <c r="J1447" t="inlineStr"/>
      <c r="K1447" t="inlineStr"/>
      <c r="L1447" t="inlineStr"/>
      <c r="M1447" t="inlineStr"/>
      <c r="N1447" t="inlineStr"/>
      <c r="O1447">
        <f>(1-Summary!$B$11)*S1447+Summary!$B$11*U1447</f>
        <v/>
      </c>
      <c r="P1447">
        <f>IF(B1467=0,0,O1447/B1467)</f>
        <v/>
      </c>
      <c r="Q1447">
        <f>IFERROR(1/IF(Inputs!$B$38="pvp",15,MAX(0.1,Skills!D17-IF(Skills!E17=TRUE,Inputs!$B$32,0))),0)</f>
        <v/>
      </c>
      <c r="R1447" t="n">
        <v>0</v>
      </c>
      <c r="S1447" t="n">
        <v>0</v>
      </c>
      <c r="U1447" t="n">
        <v>0</v>
      </c>
    </row>
    <row r="1448">
      <c r="A1448">
        <f>Skills!A18</f>
        <v/>
      </c>
      <c r="B1448">
        <f>Skills!B18</f>
        <v/>
      </c>
      <c r="C1448">
        <f>Inputs!$B$3&gt;=43</f>
        <v/>
      </c>
      <c r="D1448">
        <f>IF(Skills!C18=1,60+Inputs!$B$25+Inputs!$B$29,IF(Skills!C18=2,90+Inputs!$B$26+Inputs!$B$29,IF(Skills!C18=3,120+Inputs!$B$27+Inputs!$B$29,MAX(0,(Inputs!$B$3-100)*3)+Inputs!$B$28+Inputs!$B$29)))</f>
        <v/>
      </c>
      <c r="E1448">
        <f>INDEX(FactorTable!$B$2:$Y$301, MATCH(ROUND(MIN(300,MAX(1,D1448)),0), FactorTable!$A$2:$A$301,0), Skills!L18+1)</f>
        <v/>
      </c>
      <c r="F1448">
        <f>IF(Skills!M18=TRUE,(Skills!K18/10)*(E1448/1000),Skills!K18/10)+Skills!N18</f>
        <v/>
      </c>
      <c r="G1448">
        <f>Calc!G18</f>
        <v/>
      </c>
      <c r="H1448">
        <f>Calc!H18</f>
        <v/>
      </c>
      <c r="I1448">
        <f>IF(Skills!T18&lt;&gt;"",1+(Skills!T18/10)*(Z1433/1000)/100,1)</f>
        <v/>
      </c>
      <c r="J1448" t="inlineStr"/>
      <c r="K1448" t="inlineStr"/>
      <c r="L1448" t="inlineStr"/>
      <c r="M1448" t="inlineStr"/>
      <c r="N1448" t="inlineStr"/>
      <c r="O1448">
        <f>(1-Summary!$B$11)*S1448+Summary!$B$11*U1448</f>
        <v/>
      </c>
      <c r="P1448">
        <f>IF(B1467=0,0,O1448/B1467)</f>
        <v/>
      </c>
      <c r="Q1448">
        <f>IFERROR(1/IF(Inputs!$B$38="pvp",15,MAX(0.1,Skills!D18-IF(Skills!E18=TRUE,Inputs!$B$32,0))),0)</f>
        <v/>
      </c>
      <c r="R1448" t="n">
        <v>0</v>
      </c>
      <c r="S1448" t="n">
        <v>0</v>
      </c>
      <c r="U1448" t="n">
        <v>0</v>
      </c>
    </row>
    <row r="1449">
      <c r="A1449">
        <f>Skills!A19</f>
        <v/>
      </c>
      <c r="B1449">
        <f>Skills!B19</f>
        <v/>
      </c>
      <c r="C1449">
        <f>Inputs!$B$3&gt;=50</f>
        <v/>
      </c>
      <c r="D1449">
        <f>IF(Skills!C19=1,60+Inputs!$B$25+Inputs!$B$29,IF(Skills!C19=2,90+Inputs!$B$26+Inputs!$B$29,IF(Skills!C19=3,120+Inputs!$B$27+Inputs!$B$29,MAX(0,(Inputs!$B$3-100)*3)+Inputs!$B$28+Inputs!$B$29)))</f>
        <v/>
      </c>
      <c r="E1449">
        <f>INDEX(FactorTable!$B$2:$Y$301, MATCH(ROUND(MIN(300,MAX(1,D1449)),0), FactorTable!$A$2:$A$301,0), Skills!L19+1)</f>
        <v/>
      </c>
      <c r="F1449">
        <f>IF(Skills!M19=TRUE,(Skills!K19/10)*(E1449/1000),Skills!K19/10)+Skills!N19</f>
        <v/>
      </c>
      <c r="G1449">
        <f>Calc!G19</f>
        <v/>
      </c>
      <c r="H1449">
        <f>Calc!H19</f>
        <v/>
      </c>
      <c r="I1449">
        <f>IF(Skills!T19&lt;&gt;"",1+(Skills!T19/10)*(Z1433/1000)/100,1)</f>
        <v/>
      </c>
      <c r="J1449" t="inlineStr"/>
      <c r="K1449" t="inlineStr"/>
      <c r="L1449" t="inlineStr"/>
      <c r="M1449" t="inlineStr"/>
      <c r="N1449" t="inlineStr"/>
      <c r="O1449">
        <f>(1-Summary!$B$11)*S1449+Summary!$B$11*U1449</f>
        <v/>
      </c>
      <c r="P1449">
        <f>IF(B1467=0,0,O1449/B1467)</f>
        <v/>
      </c>
      <c r="Q1449">
        <f>IFERROR(1/IF(Inputs!$B$38="pvp",15,MAX(0.1,Skills!D19-IF(Skills!E19=TRUE,Inputs!$B$32,0))),0)</f>
        <v/>
      </c>
      <c r="R1449" t="n">
        <v>0</v>
      </c>
      <c r="S1449" t="n">
        <v>0</v>
      </c>
      <c r="U1449" t="n">
        <v>0</v>
      </c>
    </row>
    <row r="1450">
      <c r="A1450">
        <f>Skills!A20</f>
        <v/>
      </c>
      <c r="B1450">
        <f>Skills!B20</f>
        <v/>
      </c>
      <c r="C1450">
        <f>Inputs!$B$3&gt;=74</f>
        <v/>
      </c>
      <c r="D1450">
        <f>IF(Skills!C20=1,60+Inputs!$B$25+Inputs!$B$29,IF(Skills!C20=2,90+Inputs!$B$26+Inputs!$B$29,IF(Skills!C20=3,120+Inputs!$B$27+Inputs!$B$29,MAX(0,(Inputs!$B$3-100)*3)+Inputs!$B$28+Inputs!$B$29)))</f>
        <v/>
      </c>
      <c r="E1450">
        <f>INDEX(FactorTable!$B$2:$Y$301, MATCH(ROUND(MIN(300,MAX(1,D1450)),0), FactorTable!$A$2:$A$301,0), Skills!L20+1)</f>
        <v/>
      </c>
      <c r="F1450">
        <f>IF(Skills!M20=TRUE,(Skills!K20/10)*(E1450/1000),Skills!K20/10)+Skills!N20</f>
        <v/>
      </c>
      <c r="G1450">
        <f>Calc!G20</f>
        <v/>
      </c>
      <c r="H1450">
        <f>Calc!H20</f>
        <v/>
      </c>
      <c r="I1450">
        <f>IF(Skills!T20&lt;&gt;"",1+(Skills!T20/10)*(Z1433/1000)/100,1)</f>
        <v/>
      </c>
      <c r="J1450" t="inlineStr"/>
      <c r="K1450" t="inlineStr"/>
      <c r="L1450" t="inlineStr"/>
      <c r="M1450" t="inlineStr"/>
      <c r="N1450" t="inlineStr"/>
      <c r="O1450">
        <f>(1-Summary!$B$11)*S1450+Summary!$B$11*U1450</f>
        <v/>
      </c>
      <c r="P1450">
        <f>IF(B1467=0,0,O1450/B1467)</f>
        <v/>
      </c>
      <c r="Q1450">
        <f>IFERROR(1/IF(Inputs!$B$38="pvp",15,MAX(0.1,Skills!D20-IF(Skills!E20=TRUE,Inputs!$B$32,0))),0)</f>
        <v/>
      </c>
      <c r="R1450" t="n">
        <v>0</v>
      </c>
      <c r="S1450" t="n">
        <v>0</v>
      </c>
      <c r="U1450" t="n">
        <v>0</v>
      </c>
    </row>
    <row r="1451">
      <c r="A1451">
        <f>Skills!A21</f>
        <v/>
      </c>
      <c r="B1451">
        <f>Skills!B21</f>
        <v/>
      </c>
      <c r="C1451">
        <f>Inputs!$B$3&gt;=74</f>
        <v/>
      </c>
      <c r="D1451">
        <f>IF(Skills!C21=1,60+Inputs!$B$25+Inputs!$B$29,IF(Skills!C21=2,90+Inputs!$B$26+Inputs!$B$29,IF(Skills!C21=3,120+Inputs!$B$27+Inputs!$B$29,MAX(0,(Inputs!$B$3-100)*3)+Inputs!$B$28+Inputs!$B$29)))</f>
        <v/>
      </c>
      <c r="E1451">
        <f>INDEX(FactorTable!$B$2:$Y$301, MATCH(ROUND(MIN(300,MAX(1,D1451)),0), FactorTable!$A$2:$A$301,0), Skills!L21+1)</f>
        <v/>
      </c>
      <c r="F1451">
        <f>IF(Skills!M21=TRUE,(Skills!K21/10)*(E1451/1000),Skills!K21/10)+Skills!N21</f>
        <v/>
      </c>
      <c r="G1451">
        <f>Calc!G21</f>
        <v/>
      </c>
      <c r="H1451">
        <f>Calc!H21</f>
        <v/>
      </c>
      <c r="I1451">
        <f>IF(Skills!T21&lt;&gt;"",1+(Skills!T21/10)*(Z1433/1000)/100,1)</f>
        <v/>
      </c>
      <c r="J1451" t="inlineStr"/>
      <c r="K1451" t="inlineStr"/>
      <c r="L1451" t="inlineStr"/>
      <c r="M1451" t="inlineStr"/>
      <c r="N1451" t="inlineStr"/>
      <c r="O1451">
        <f>(1-Summary!$B$11)*S1451+Summary!$B$11*U1451</f>
        <v/>
      </c>
      <c r="P1451">
        <f>IF(B1467=0,0,O1451/B1467)</f>
        <v/>
      </c>
      <c r="Q1451">
        <f>IFERROR(1/IF(Inputs!$B$38="pvp",15,MAX(0.1,Skills!D21-IF(Skills!E21=TRUE,Inputs!$B$32,0))),0)</f>
        <v/>
      </c>
      <c r="R1451" t="n">
        <v>0</v>
      </c>
      <c r="S1451" t="n">
        <v>0</v>
      </c>
      <c r="U1451" t="n">
        <v>0</v>
      </c>
    </row>
    <row r="1452">
      <c r="A1452">
        <f>Skills!A22</f>
        <v/>
      </c>
      <c r="B1452">
        <f>Skills!B22</f>
        <v/>
      </c>
      <c r="C1452">
        <f>Inputs!$B$3&gt;=117</f>
        <v/>
      </c>
      <c r="D1452">
        <f>IF(Skills!C22=1,60+Inputs!$B$25+Inputs!$B$29,IF(Skills!C22=2,90+Inputs!$B$26+Inputs!$B$29,IF(Skills!C22=3,120+Inputs!$B$27+Inputs!$B$29,MAX(0,(Inputs!$B$3-100)*3)+Inputs!$B$28+Inputs!$B$29)))</f>
        <v/>
      </c>
      <c r="E1452">
        <f>INDEX(FactorTable!$B$2:$Y$301, MATCH(ROUND(MIN(300,MAX(1,D1452)),0), FactorTable!$A$2:$A$301,0), Skills!L22+1)</f>
        <v/>
      </c>
      <c r="F1452">
        <f>IF(Skills!M22=TRUE,(Skills!K22/10)*(E1452/1000),Skills!K22/10)+Skills!N22</f>
        <v/>
      </c>
      <c r="G1452">
        <f>Calc!G22</f>
        <v/>
      </c>
      <c r="H1452">
        <f>Calc!H22</f>
        <v/>
      </c>
      <c r="I1452">
        <f>IF(Skills!T22&lt;&gt;"",1+(Skills!T22/10)*(Z1433/1000)/100,1)</f>
        <v/>
      </c>
      <c r="J1452" t="inlineStr"/>
      <c r="K1452" t="inlineStr"/>
      <c r="L1452" t="inlineStr"/>
      <c r="M1452" t="inlineStr"/>
      <c r="N1452" t="inlineStr"/>
      <c r="O1452">
        <f>(1-Summary!$B$11)*S1452+Summary!$B$11*U1452</f>
        <v/>
      </c>
      <c r="P1452">
        <f>IF(B1467=0,0,O1452/B1467)</f>
        <v/>
      </c>
      <c r="Q1452">
        <f>IFERROR(1/IF(Inputs!$B$38="pvp",15,MAX(0.1,Skills!D22-IF(Skills!E22=TRUE,Inputs!$B$32,0))),0)</f>
        <v/>
      </c>
      <c r="R1452" t="n">
        <v>0</v>
      </c>
      <c r="S1452" t="n">
        <v>0</v>
      </c>
      <c r="U1452" t="n">
        <v>0</v>
      </c>
    </row>
    <row r="1453">
      <c r="A1453">
        <f>Skills!A23</f>
        <v/>
      </c>
      <c r="B1453">
        <f>Skills!B23</f>
        <v/>
      </c>
      <c r="C1453">
        <f>Inputs!$B$3&gt;=120</f>
        <v/>
      </c>
      <c r="D1453">
        <f>IF(Skills!C23=1,60+Inputs!$B$25+Inputs!$B$29,IF(Skills!C23=2,90+Inputs!$B$26+Inputs!$B$29,IF(Skills!C23=3,120+Inputs!$B$27+Inputs!$B$29,MAX(0,(Inputs!$B$3-100)*3)+Inputs!$B$28+Inputs!$B$29)))</f>
        <v/>
      </c>
      <c r="E1453">
        <f>INDEX(FactorTable!$B$2:$Y$301, MATCH(ROUND(MIN(300,MAX(1,D1453)),0), FactorTable!$A$2:$A$301,0), Skills!L23+1)</f>
        <v/>
      </c>
      <c r="F1453">
        <f>IF(Skills!M23=TRUE,(Skills!K23/10)*(E1453/1000),Skills!K23/10)+Skills!N23</f>
        <v/>
      </c>
      <c r="G1453">
        <f>Calc!G23</f>
        <v/>
      </c>
      <c r="H1453">
        <f>Calc!H23</f>
        <v/>
      </c>
      <c r="I1453">
        <f>IF(Skills!T23&lt;&gt;"",1+(Skills!T23/10)*(Z1433/1000)/100,1)</f>
        <v/>
      </c>
      <c r="J1453" t="inlineStr"/>
      <c r="K1453" t="inlineStr"/>
      <c r="L1453" t="inlineStr"/>
      <c r="M1453" t="inlineStr"/>
      <c r="N1453" t="inlineStr"/>
      <c r="O1453">
        <f>(1-Summary!$B$11)*S1453+Summary!$B$11*U1453</f>
        <v/>
      </c>
      <c r="P1453">
        <f>IF(B1467=0,0,O1453/B1467)</f>
        <v/>
      </c>
      <c r="Q1453">
        <f>IFERROR(1/IF(Inputs!$B$38="pvp",15,MAX(0.1,Skills!D23-IF(Skills!E23=TRUE,Inputs!$B$32,0))),0)</f>
        <v/>
      </c>
      <c r="R1453" t="n">
        <v>0</v>
      </c>
      <c r="S1453" t="n">
        <v>0</v>
      </c>
      <c r="U1453" t="n">
        <v>0</v>
      </c>
    </row>
    <row r="1454">
      <c r="A1454">
        <f>Skills!A24</f>
        <v/>
      </c>
      <c r="B1454">
        <f>Skills!B24</f>
        <v/>
      </c>
      <c r="C1454">
        <f>TRUE</f>
        <v/>
      </c>
      <c r="D1454">
        <f>IF(Skills!C24=1,60+Inputs!$B$25+Inputs!$B$29,IF(Skills!C24=2,90+Inputs!$B$26+Inputs!$B$29,IF(Skills!C24=3,120+Inputs!$B$27+Inputs!$B$29,MAX(0,(Inputs!$B$3-100)*3)+Inputs!$B$28+Inputs!$B$29)))</f>
        <v/>
      </c>
      <c r="E1454">
        <f>INDEX(FactorTable!$B$2:$Y$301, MATCH(ROUND(MIN(300,MAX(1,D1454)),0), FactorTable!$A$2:$A$301,0), Skills!L24+1)</f>
        <v/>
      </c>
      <c r="F1454">
        <f>IF(Skills!M24=TRUE,(Skills!K24/10)*(E1454/1000),Skills!K24/10)+Skills!N24</f>
        <v/>
      </c>
      <c r="G1454">
        <f>Calc!G24</f>
        <v/>
      </c>
      <c r="H1454">
        <f>Calc!H24</f>
        <v/>
      </c>
      <c r="I1454">
        <f>IF(Skills!T24&lt;&gt;"",1+(Skills!T24/10)*(Z1433/1000)/100,1)</f>
        <v/>
      </c>
      <c r="J1454" t="inlineStr"/>
      <c r="K1454" t="inlineStr"/>
      <c r="L1454" t="inlineStr"/>
      <c r="M1454" t="inlineStr"/>
      <c r="N1454" t="inlineStr"/>
      <c r="O1454">
        <f>(1-Summary!$B$11)*S1454+Summary!$B$11*U1454</f>
        <v/>
      </c>
      <c r="P1454">
        <f>IF(B1467=0,0,O1454/B1467)</f>
        <v/>
      </c>
      <c r="Q1454">
        <f>IFERROR(1/IF(Inputs!$B$38="pvp",15,MAX(0.1,Skills!D24-IF(Skills!E24=TRUE,Inputs!$B$32,0))),0)</f>
        <v/>
      </c>
      <c r="R1454">
        <f>IF(AND(Inputs!$B$38&lt;&gt;"pvp",Inputs!$B$43&gt;0),IF(Inputs!$B$43&lt;=0,0,(INT(Inputs!$B$43/IF(Inputs!$B$38="pvp",15,MAX(0.1,Skills!D24-IF(Skills!E24=TRUE,Inputs!$B$32,0))))+1)),0)</f>
        <v/>
      </c>
      <c r="S1454" t="n">
        <v>0</v>
      </c>
      <c r="U1454" t="n">
        <v>0</v>
      </c>
    </row>
    <row r="1457">
      <c r="A1457" t="inlineStr">
        <is>
          <t>Average Buff Multiplier (Magic Guard + Meditation + Artifact Attack%, summed; then Infinity)</t>
        </is>
      </c>
      <c r="B1457">
        <f>(1+(IF(C1433=TRUE,F1433*IF(AND(Inputs!$B$38&lt;&gt;"pvp",Inputs!$B$43&gt;0),(((R1433-1)*(Skills!S3*(1+(Inputs!$B$34)/100))+MIN((Skills!S3*(1+(Inputs!$B$34)/100)),MAX(0,Inputs!$B$43-((R1433-1)*Skills!D3))))/Inputs!$B$43),IF(Inputs!$B$38="pvp",MIN((Skills!S3*(1+(Inputs!$B$34)/100)),15)/15,(Skills!S3*(1+(Inputs!$B$34)/100))/Skills!D3)),0)+IF(C1434=TRUE,F1434*IF(AND(Inputs!$B$38&lt;&gt;"pvp",Inputs!$B$43&gt;0),(((R1434-1)*(Skills!S4*(1+(Inputs!$B$34)/100))+MIN((Skills!S4*(1+(Inputs!$B$34)/100)),MAX(0,Inputs!$B$43-((R1434-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1446=TRUE,(1+F1446*IF(AND(Inputs!$B$38&lt;&gt;"pvp",Inputs!$B$43&gt;0),(((R1446-1)*(Skills!S16*(1+(Inputs!$B$34)/100))+MIN((Skills!S16*(1+(Inputs!$B$34)/100)),MAX(0,Inputs!$B$43-((R1446-1)*Skills!D16))))/Inputs!$B$43),IF(Inputs!$B$38="pvp",MIN((Skills!S16*(1+(Inputs!$B$34)/100)),15)/15,(Skills!S16*(1+(Inputs!$B$34)/100))/Skills!D16))/100),1)</f>
        <v/>
      </c>
    </row>
    <row r="1458">
      <c r="A1458" t="inlineStr">
        <is>
          <t>Monster Damage Taken Bonus % (Freezing Breath - Weaken + Elemental Reset + Artifact Enemy Damage Taken, summed)</t>
        </is>
      </c>
      <c r="B1458">
        <f>IF(Inputs!$B$3&gt;=118,15*IF(Inputs!$B$38="pvp",MIN((30*(1+(Inputs!$B$34)/100)),15)/15,(30*(1+(Inputs!$B$34)/100))/Skills!D8),0)+IF(C1444=TRUE,F1444,0)+(IF(AND(ArtifactsInput!$M$35,Inputs!$B$4&lt;&gt;"Chapter Hunt"),CHOOSE(ArtifactsInput!$N$35+1,15,18,21,24,27,30)*(1-EXP(-(0.2*B1461)*5)),0)+IF(AND(ArtifactsInput!$M$22,Inputs!$B$4&lt;&gt;"Chapter Hunt"),CHOOSE(ArtifactsInput!$N$22+1,10,12,14,16,18,20)*((0*(((0.15*B1461*5))^0/1)+1*(((0.15*B1461*5))^1/1)+2*(((0.15*B1461*5))^2/2)+3*(((0.15*B1461*5))^3/6)+4*(((0.15*B1461*5))^4/24)+5*(((0.15*B1461*5))^5/120))/((((0.15*B1461*5))^0/1)+(((0.15*B1461*5))^1/1)+(((0.15*B1461*5))^2/2)+(((0.15*B1461*5))^3/6)+(((0.15*B1461*5))^4/24)+(((0.15*B1461*5))^5/120))),0))</f>
        <v/>
      </c>
    </row>
    <row r="1459">
      <c r="A1459" t="inlineStr">
        <is>
          <t>Damage % Bonus (Frozen Break + Frost Clutch, flat)</t>
        </is>
      </c>
      <c r="B1459">
        <f>IF(Inputs!$B$3&gt;=66,15,0)+IF(Inputs!$B$3&gt;=98,10,0)+IF(Inputs!$B$3&gt;=125,20,0)</f>
        <v/>
      </c>
    </row>
    <row r="1460">
      <c r="A1460" t="inlineStr">
        <is>
          <t>Attack Speed Bonus % (MP Eater - MP Boost, always-on + Nimble Feet, duty-cycle averaged)</t>
        </is>
      </c>
      <c r="B1460">
        <f>IF(C1443=TRUE,F1443+(F1447-Calc!F17),0)+((C1454=TRUE)*F1454*IF(AND(Inputs!$B$38&lt;&gt;"pvp",Inputs!$B$43&gt;0),(((R1454-1)*(Skills!S24*(1+(Inputs!$B$34)/100))+MIN((Skills!S24*(1+(Inputs!$B$34)/100)),MAX(0,Inputs!$B$43-((R1454-1)*Skills!D24))))/Inputs!$B$43),IF(Inputs!$B$38="pvp",MIN((Skills!S24*(1+(Inputs!$B$34)/100)),15)/15,(Skills!S24*(1+(Inputs!$B$34)/100))/Skills!D24)))</f>
        <v/>
      </c>
    </row>
    <row r="1461">
      <c r="A1461" t="inlineStr">
        <is>
          <t>Actions Per Second</t>
        </is>
      </c>
      <c r="B1461">
        <f>1+MIN(150,150*(1-(1-(Inputs!$B$11+(IF(ArtifactsInput!$M$15,FALSE,TRUE)-ArtifactsInput!$M$15)*CHOOSE(ArtifactsInput!$N$15+1,8,9.6,11.2,12.8,14.4,16))/150)*(1-B1460/150)))/100</f>
        <v/>
      </c>
    </row>
    <row r="1462">
      <c r="A1462" t="inlineStr">
        <is>
          <t>Skill + Buff Cast Rate</t>
        </is>
      </c>
      <c r="B1462">
        <f>IF(AND(Inputs!$B$38&lt;&gt;"pvp",Inputs!$B$43&gt;0),SUMPRODUCT((Skills!E2:E24=TRUE)*(C1432:C1454=TRUE)*R1432:R1454)/Inputs!$B$43,SUMPRODUCT((Skills!E2:E24=TRUE)*(C1432:C1454=TRUE)*Q1432:Q1454))</f>
        <v/>
      </c>
    </row>
    <row r="1463">
      <c r="A1463" t="inlineStr">
        <is>
          <t>Chain Lightning Casts Per Second</t>
        </is>
      </c>
      <c r="B1463">
        <f>MAX(0,B1461-B1462)</f>
        <v/>
      </c>
    </row>
    <row r="1464">
      <c r="A1464" t="inlineStr">
        <is>
          <t>Buff-Casting Startup Delay (s, fixed-duration only)</t>
        </is>
      </c>
      <c r="B1464">
        <f>IF(AND(Inputs!$B$38&lt;&gt;"pvp",Inputs!$B$43&gt;0),SUMPRODUCT((Skills!S2:S24&gt;0)*(Skills!E2:E24=TRUE)*(C1432:C1454=TRUE))/B1461,0)</f>
        <v/>
      </c>
    </row>
    <row r="1465">
      <c r="A1465" t="inlineStr">
        <is>
          <t>Boss-Only Total DPS (this block's swept value)</t>
        </is>
      </c>
      <c r="B1465">
        <f>SUM(S1432:S1454)</f>
        <v/>
      </c>
    </row>
    <row r="1466">
      <c r="A1466" t="inlineStr">
        <is>
          <t>Normal-Only Total DPS (this block's swept value)</t>
        </is>
      </c>
      <c r="B1466">
        <f>SUM(U1432:U1454)</f>
        <v/>
      </c>
    </row>
    <row r="1467">
      <c r="A1467" s="6" t="inlineStr">
        <is>
          <t>TOTAL DPS</t>
        </is>
      </c>
      <c r="B1467" s="6">
        <f>SUM(O1432:O1454)</f>
        <v/>
      </c>
    </row>
    <row r="1470">
      <c r="A1470" s="6" t="inlineStr">
        <is>
          <t>Stat: Zakum's Stone Piece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R1471" t="inlineStr">
        <is>
          <t>helpers</t>
        </is>
      </c>
    </row>
    <row r="1472">
      <c r="A1472">
        <f>Skills!A2</f>
        <v/>
      </c>
      <c r="B1472">
        <f>Skills!B2</f>
        <v/>
      </c>
      <c r="C1472">
        <f>Inputs!$B$3&gt;=100</f>
        <v/>
      </c>
      <c r="D1472" t="inlineStr"/>
      <c r="E1472" t="inlineStr"/>
      <c r="F1472">
        <f>T1474+Skills!N2</f>
        <v/>
      </c>
      <c r="G1472">
        <f>Calc!G2</f>
        <v/>
      </c>
      <c r="H1472">
        <f>Calc!H2</f>
        <v/>
      </c>
      <c r="I1472">
        <f>IF(Skills!T2&lt;&gt;"",1+(Skills!T2/10)*(Z1473/1000)/100,1)</f>
        <v/>
      </c>
      <c r="J1472">
        <f>((Inputs!$B$6*(1+Inputs!$B$7/100))+(((Inputs!$B$12*(1+Inputs!$B$13/100))-(Inputs!$B$12*(1+Inputs!$B$13/100)))+0.25*(Inputs!$B$14-Inputs!$B$14))*(1+Inputs!$B$7/100))*(F1472/100)</f>
        <v/>
      </c>
      <c r="K1472">
        <f>J1472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2="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F1488-Calc!F18),(Inputs!$B$23+(IF(ArtifactsInput!$M$15,CHOOSE(ArtifactsInput!$N$15+1,25,30,35,40,45,50)/100*(Inputs!$B$11-Inputs!$B$11),0))))/100+(Inputs!$B$23+(IF(ArtifactsInput!$M$15,CHOOSE(ArtifactsInput!$N$15+1,25,30,35,40,45,50)/100*(Inputs!$B$11-Inputs!$B$11),0)))/100)/2</f>
        <v/>
      </c>
      <c r="M1472">
        <f>L1472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(1-Summary!$B$11)*S1472+Summary!$B$11*U1472</f>
        <v/>
      </c>
      <c r="P1472">
        <f>IF(B1507=0,0,O1472/B1507)</f>
        <v/>
      </c>
      <c r="Q1472">
        <f>IFERROR(1/IF(Inputs!$B$38="pvp",15,MAX(0.1,Skills!D2-IF(Skills!E2=TRUE,Inputs!$B$32,0))),0)</f>
        <v/>
      </c>
      <c r="R1472" t="n">
        <v>0</v>
      </c>
      <c r="S1472">
        <f>IF(C1472,(Skills!F2*N1472*B1503)*IF(Inputs!$B$38="pvp",1,1+(Inputs!$B$20+Skills!O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1472*(1-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72">
        <f>MAX(0,(Inputs!$B$3-100)*3)+Inputs!$B$28+Inputs!$B$29</f>
        <v/>
      </c>
      <c r="U1472">
        <f>IF(C1472,(Skills!F2*N1472*B1503)*IF(Inputs!$B$38="pvp",1,(1+(Inputs!$B$21+Skills!P2+B1498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72">
        <f>MAX(0,(Inputs!$B$3-100)*3)+Inputs!$B$28+Inputs!$B$29</f>
        <v/>
      </c>
    </row>
    <row r="1473">
      <c r="A1473">
        <f>Skills!A3</f>
        <v/>
      </c>
      <c r="B1473">
        <f>Skills!B3</f>
        <v/>
      </c>
      <c r="C1473">
        <f>Inputs!$B$3&gt;=15</f>
        <v/>
      </c>
      <c r="D1473">
        <f>IF(Skills!C3=1,60+Inputs!$B$25+Inputs!$B$29,IF(Skills!C3=2,90+Inputs!$B$26+Inputs!$B$29,IF(Skills!C3=3,120+Inputs!$B$27+Inputs!$B$29,MAX(0,(Inputs!$B$3-100)*3)+Inputs!$B$28+Inputs!$B$29)))</f>
        <v/>
      </c>
      <c r="E1473">
        <f>INDEX(FactorTable!$B$2:$Y$301, MATCH(ROUND(MIN(300,MAX(1,D1473)),0), FactorTable!$A$2:$A$301,0), Skills!L3+1)</f>
        <v/>
      </c>
      <c r="F1473">
        <f>IF(Skills!M3=TRUE,(Skills!K3/10)*(E1473/1000),Skills!K3/10)+Skills!N3</f>
        <v/>
      </c>
      <c r="G1473">
        <f>Calc!G3</f>
        <v/>
      </c>
      <c r="H1473">
        <f>Calc!H3</f>
        <v/>
      </c>
      <c r="I1473">
        <f>IF(Skills!T3&lt;&gt;"",1+(Skills!T3/10)*(Z1473/1000)/100,1)</f>
        <v/>
      </c>
      <c r="J1473" t="inlineStr"/>
      <c r="K1473" t="inlineStr"/>
      <c r="L1473" t="inlineStr"/>
      <c r="M1473" t="inlineStr"/>
      <c r="N1473" t="inlineStr"/>
      <c r="O1473">
        <f>(1-Summary!$B$11)*S1473+Summary!$B$11*U1473</f>
        <v/>
      </c>
      <c r="P1473">
        <f>IF(B1507=0,0,O1473/B1507)</f>
        <v/>
      </c>
      <c r="Q1473">
        <f>IFERROR(1/IF(Inputs!$B$38="pvp",15,MAX(0.1,Skills!D3-IF(Skills!E3=TRUE,Inputs!$B$32,0))),0)</f>
        <v/>
      </c>
      <c r="R1473">
        <f>IF(AND(Inputs!$B$38&lt;&gt;"pvp",Inputs!$B$43&gt;0),IF(Inputs!$B$43&lt;=0,0,(INT(Inputs!$B$43/IF(Inputs!$B$38="pvp",15,MAX(0.1,Skills!D3-IF(Skills!E3=TRUE,Inputs!$B$32,0))))+1)),0)</f>
        <v/>
      </c>
      <c r="S1473" t="n">
        <v>0</v>
      </c>
      <c r="T1473">
        <f>INDEX(FactorTable!$B$2:$Y$301, MATCH(ROUND(MIN(300,MAX(1,T1472)),0), FactorTable!$A$2:$A$301,0), 22)</f>
        <v/>
      </c>
      <c r="U1473" t="n">
        <v>0</v>
      </c>
      <c r="Z1473">
        <f>INDEX(FactorTable!$B$2:$Y$301, MATCH(ROUND(MIN(300,MAX(1,Z1472)),0), FactorTable!$A$2:$A$301,0), 24)</f>
        <v/>
      </c>
    </row>
    <row r="1474">
      <c r="A1474">
        <f>Skills!A4</f>
        <v/>
      </c>
      <c r="B1474">
        <f>Skills!B4</f>
        <v/>
      </c>
      <c r="C1474">
        <f>Inputs!$B$3&gt;=40</f>
        <v/>
      </c>
      <c r="D1474">
        <f>IF(Skills!C4=1,60+Inputs!$B$25+Inputs!$B$29,IF(Skills!C4=2,90+Inputs!$B$26+Inputs!$B$29,IF(Skills!C4=3,120+Inputs!$B$27+Inputs!$B$29,MAX(0,(Inputs!$B$3-100)*3)+Inputs!$B$28+Inputs!$B$29)))</f>
        <v/>
      </c>
      <c r="E1474">
        <f>INDEX(FactorTable!$B$2:$Y$301, MATCH(ROUND(MIN(300,MAX(1,D1474)),0), FactorTable!$A$2:$A$301,0), Skills!L4+1)</f>
        <v/>
      </c>
      <c r="F1474">
        <f>IF(Skills!M4=TRUE,(Skills!K4/10)*(E1474/1000),Skills!K4/10)+Skills!N4</f>
        <v/>
      </c>
      <c r="G1474">
        <f>Calc!G4</f>
        <v/>
      </c>
      <c r="H1474">
        <f>Calc!H4</f>
        <v/>
      </c>
      <c r="I1474">
        <f>IF(Skills!T4&lt;&gt;"",1+(Skills!T4/10)*(Z1473/1000)/100,1)</f>
        <v/>
      </c>
      <c r="J1474" t="inlineStr"/>
      <c r="K1474" t="inlineStr"/>
      <c r="L1474" t="inlineStr"/>
      <c r="M1474" t="inlineStr"/>
      <c r="N1474" t="inlineStr"/>
      <c r="O1474">
        <f>(1-Summary!$B$11)*S1474+Summary!$B$11*U1474</f>
        <v/>
      </c>
      <c r="P1474">
        <f>IF(B1507=0,0,O1474/B1507)</f>
        <v/>
      </c>
      <c r="Q1474">
        <f>IFERROR(1/IF(Inputs!$B$38="pvp",15,MAX(0.1,Skills!D4-IF(Skills!E4=TRUE,Inputs!$B$32,0))),0)</f>
        <v/>
      </c>
      <c r="R1474">
        <f>IF(AND(Inputs!$B$38&lt;&gt;"pvp",Inputs!$B$43&gt;0),IF(Inputs!$B$43&lt;=0,0,(INT(Inputs!$B$43/IF(Inputs!$B$38="pvp",15,MAX(0.1,Skills!D4-IF(Skills!E4=TRUE,Inputs!$B$32,0))))+1)),0)</f>
        <v/>
      </c>
      <c r="S1474" t="n">
        <v>0</v>
      </c>
      <c r="T1474">
        <f>290*T1473/1000</f>
        <v/>
      </c>
      <c r="U1474" t="n">
        <v>0</v>
      </c>
    </row>
    <row r="1475">
      <c r="A1475">
        <f>Skills!A5</f>
        <v/>
      </c>
      <c r="B1475">
        <f>Skills!B5</f>
        <v/>
      </c>
      <c r="C1475">
        <f>Inputs!$B$3&gt;=38</f>
        <v/>
      </c>
      <c r="D1475">
        <f>IF(Skills!C5=1,60+Inputs!$B$25+Inputs!$B$29,IF(Skills!C5=2,90+Inputs!$B$26+Inputs!$B$29,IF(Skills!C5=3,120+Inputs!$B$27+Inputs!$B$29,MAX(0,(Inputs!$B$3-100)*3)+Inputs!$B$28+Inputs!$B$29)))</f>
        <v/>
      </c>
      <c r="E1475">
        <f>INDEX(FactorTable!$B$2:$Y$301, MATCH(ROUND(MIN(300,MAX(1,D1475)),0), FactorTable!$A$2:$A$301,0), Skills!L5+1)</f>
        <v/>
      </c>
      <c r="F1475">
        <f>IF(Skills!M5=TRUE,(Skills!K5/10)*(E1475/1000),Skills!K5/10)+Skills!N5</f>
        <v/>
      </c>
      <c r="G1475">
        <f>Calc!G5</f>
        <v/>
      </c>
      <c r="H1475">
        <f>Calc!H5</f>
        <v/>
      </c>
      <c r="I1475">
        <f>IF(Skills!T5&lt;&gt;"",1+(Skills!T5/10)*(Z1473/1000)/100,1)</f>
        <v/>
      </c>
      <c r="J1475">
        <f>((Inputs!$B$6*(1+Inputs!$B$7/100))+(((Inputs!$B$12*(1+Inputs!$B$13/100))-(Inputs!$B$12*(1+Inputs!$B$13/100)))+0.25*(Inputs!$B$14-Inputs!$B$14))*(1+Inputs!$B$7/100))*(F1475/100)</f>
        <v/>
      </c>
      <c r="K1475">
        <f>J1475*(1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5="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F1488-Calc!F18),(Inputs!$B$23+(IF(ArtifactsInput!$M$15,CHOOSE(ArtifactsInput!$N$15+1,25,30,35,40,45,50)/100*(Inputs!$B$11-Inputs!$B$11),0))))/100+(Inputs!$B$23+(IF(ArtifactsInput!$M$15,CHOOSE(ArtifactsInput!$N$15+1,25,30,35,40,45,50)/100*(Inputs!$B$11-Inputs!$B$11),0)))/100)/2</f>
        <v/>
      </c>
      <c r="M1475">
        <f>L1475*(1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(1-Summary!$B$11)*S1475+Summary!$B$11*U1475</f>
        <v/>
      </c>
      <c r="P1475">
        <f>IF(B1507=0,0,O1475/B1507)</f>
        <v/>
      </c>
      <c r="Q1475">
        <f>IFERROR(1/IF(Inputs!$B$38="pvp",15,MAX(0.1,Skills!D5-IF(Skills!E5=TRUE,Inputs!$B$32,0))),0)</f>
        <v/>
      </c>
      <c r="R1475">
        <f>IF(AND(Inputs!$B$38&lt;&gt;"pvp",Inputs!$B$43&gt;0),IF(MAX(0,Inputs!$B$43-B1504)&lt;=0,0,(INT(MAX(0,Inputs!$B$43-B1504)/IF(Inputs!$B$38="pvp",15,MAX(0.1,Skills!D5-IF(Skills!E5=TRUE,Inputs!$B$32,0))))+1)),0)</f>
        <v/>
      </c>
      <c r="S1475">
        <f>IF(C1475,(H1475*N1475*IF(AND(Inputs!$B$38&lt;&gt;"pvp",Inputs!$B$43&gt;0),((Skills!F5*((R1475-1)*IF(Skills!G5&gt;0,Skills!H5/Skills!G5,1)+IF(Skills!G5&gt;0,MIN(Skills!H5,MAX(0,MAX(0,Inputs!$B$43-B1504)-((R1475-1)*IF(Inputs!$B$38="pvp",15,MAX(0.1,Skills!D5-IF(Skills!E5=TRUE,Inputs!$B$32,0))))))/Skills!G5,1)))/Inputs!$B$43),G1475*Q1475))*IF(Inputs!$B$38="pvp",1,1+(Inputs!$B$20+Skills!O5+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1475*(1-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IF(C1475,(H1475*N1475*IF(AND(Inputs!$B$38&lt;&gt;"pvp",Inputs!$B$43&gt;0),((Skills!F5*((R1475-1)*IF(Skills!G5&gt;0,Skills!H5/Skills!G5,1)+IF(Skills!G5&gt;0,MIN(Skills!H5,MAX(0,MAX(0,Inputs!$B$43-B1504)-((R1475-1)*IF(Inputs!$B$38="pvp",15,MAX(0.1,Skills!D5-IF(Skills!E5=TRUE,Inputs!$B$32,0))))))/Skills!G5,1)))/Inputs!$B$43),G1475*Q1475))*IF(Inputs!$B$38="pvp",1,(1+(Inputs!$B$21+Skills!P5+B1498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Skills!A6</f>
        <v/>
      </c>
      <c r="B1476">
        <f>Skills!B6</f>
        <v/>
      </c>
      <c r="C1476">
        <f>Inputs!$B$3&gt;=63</f>
        <v/>
      </c>
      <c r="D1476">
        <f>IF(Skills!C6=1,60+Inputs!$B$25+Inputs!$B$29,IF(Skills!C6=2,90+Inputs!$B$26+Inputs!$B$29,IF(Skills!C6=3,120+Inputs!$B$27+Inputs!$B$29,MAX(0,(Inputs!$B$3-100)*3)+Inputs!$B$28+Inputs!$B$29)))</f>
        <v/>
      </c>
      <c r="E1476">
        <f>INDEX(FactorTable!$B$2:$Y$301, MATCH(ROUND(MIN(300,MAX(1,D1476)),0), FactorTable!$A$2:$A$301,0), Skills!L6+1)</f>
        <v/>
      </c>
      <c r="F1476">
        <f>IF(Skills!M6=TRUE,(Skills!K6/10)*(E1476/1000),Skills!K6/10)+Skills!N6</f>
        <v/>
      </c>
      <c r="G1476">
        <f>Calc!G6</f>
        <v/>
      </c>
      <c r="H1476">
        <f>Calc!H6</f>
        <v/>
      </c>
      <c r="I1476">
        <f>IF(Skills!T6&lt;&gt;"",1+(Skills!T6/10)*(Z1473/1000)/100,1)</f>
        <v/>
      </c>
      <c r="J1476">
        <f>((Inputs!$B$6*(1+Inputs!$B$7/100))+(((Inputs!$B$12*(1+Inputs!$B$13/100))-(Inputs!$B$12*(1+Inputs!$B$13/100)))+0.25*(Inputs!$B$14-Inputs!$B$14))*(1+Inputs!$B$7/100))*(F1476/100)</f>
        <v/>
      </c>
      <c r="K1476">
        <f>J1476*(1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6="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1488-Calc!F18),(Inputs!$B$23+(IF(ArtifactsInput!$M$15,CHOOSE(ArtifactsInput!$N$15+1,25,30,35,40,45,50)/100*(Inputs!$B$11-Inputs!$B$11),0))))/100+(Inputs!$B$23+(IF(ArtifactsInput!$M$15,CHOOSE(ArtifactsInput!$N$15+1,25,30,35,40,45,50)/100*(Inputs!$B$11-Inputs!$B$11),0)))/100)/2</f>
        <v/>
      </c>
      <c r="M1476">
        <f>L1476*(1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IF(B1507=0,0,O1476/B1507)</f>
        <v/>
      </c>
      <c r="Q1476">
        <f>IFERROR(1/IF(Inputs!$B$38="pvp",15,MAX(0.1,Skills!D6-IF(Skills!E6=TRUE,Inputs!$B$32,0))),0)</f>
        <v/>
      </c>
      <c r="R1476">
        <f>IF(AND(Inputs!$B$38&lt;&gt;"pvp",Inputs!$B$43&gt;0),IF(MAX(0,Inputs!$B$43-B1504)&lt;=0,0,(INT(MAX(0,Inputs!$B$43-B1504)/IF(Inputs!$B$38="pvp",15,MAX(0.1,Skills!D6-IF(Skills!E6=TRUE,Inputs!$B$32,0))))+1)),0)</f>
        <v/>
      </c>
      <c r="S1476">
        <f>IF(C1476,(H1476*N1476*IF(AND(Inputs!$B$38&lt;&gt;"pvp",Inputs!$B$43&gt;0),((Skills!F6*((R1476-1)*IF(Skills!G6&gt;0,Skills!H6/Skills!G6,1)+IF(Skills!G6&gt;0,MIN(Skills!H6,MAX(0,MAX(0,Inputs!$B$43-B1504)-((R1476-1)*IF(Inputs!$B$38="pvp",15,MAX(0.1,Skills!D6-IF(Skills!E6=TRUE,Inputs!$B$32,0))))))/Skills!G6,1)))/Inputs!$B$43),G1476*Q1476))*IF(Inputs!$B$38="pvp",1,1+(Inputs!$B$20+Skills!O6+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6">
        <f>IF(C1476,(H1476*N1476*IF(AND(Inputs!$B$38&lt;&gt;"pvp",Inputs!$B$43&gt;0),((Skills!F6*((R1476-1)*IF(Skills!G6&gt;0,Skills!H6/Skills!G6,1)+IF(Skills!G6&gt;0,MIN(Skills!H6,MAX(0,MAX(0,Inputs!$B$43-B1504)-((R1476-1)*IF(Inputs!$B$38="pvp",15,MAX(0.1,Skills!D6-IF(Skills!E6=TRUE,Inputs!$B$32,0))))))/Skills!G6,1)))/Inputs!$B$43),G1476*Q1476))*IF(Inputs!$B$38="pvp",1,(1+(Inputs!$B$21+Skills!P6+B1498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Skills!A7</f>
        <v/>
      </c>
      <c r="B1477">
        <f>Skills!B7</f>
        <v/>
      </c>
      <c r="C1477">
        <f>Inputs!$B$3&gt;=69</f>
        <v/>
      </c>
      <c r="D1477">
        <f>IF(Skills!C7=1,60+Inputs!$B$25+Inputs!$B$29,IF(Skills!C7=2,90+Inputs!$B$26+Inputs!$B$29,IF(Skills!C7=3,120+Inputs!$B$27+Inputs!$B$29,MAX(0,(Inputs!$B$3-100)*3)+Inputs!$B$28+Inputs!$B$29)))</f>
        <v/>
      </c>
      <c r="E1477">
        <f>INDEX(FactorTable!$B$2:$Y$301, MATCH(ROUND(MIN(300,MAX(1,D1477)),0), FactorTable!$A$2:$A$301,0), Skills!L7+1)</f>
        <v/>
      </c>
      <c r="F1477">
        <f>IF(Skills!M7=TRUE,(Skills!K7/10)*(E1477/1000),Skills!K7/10)+Skills!N7</f>
        <v/>
      </c>
      <c r="G1477">
        <f>Calc!G7</f>
        <v/>
      </c>
      <c r="H1477">
        <f>Calc!H7</f>
        <v/>
      </c>
      <c r="I1477">
        <f>IF(Skills!T7&lt;&gt;"",1+(Skills!T7/10)*(Z1473/1000)/100,1)</f>
        <v/>
      </c>
      <c r="J1477">
        <f>((Inputs!$B$6*(1+Inputs!$B$7/100))+(((Inputs!$B$12*(1+Inputs!$B$13/100))-(Inputs!$B$12*(1+Inputs!$B$13/100)))+0.25*(Inputs!$B$14-Inputs!$B$14))*(1+Inputs!$B$7/100))*(F1477/100)</f>
        <v/>
      </c>
      <c r="K1477">
        <f>J1477*(1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7="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F1488-Calc!F18),(Inputs!$B$23+(IF(ArtifactsInput!$M$15,CHOOSE(ArtifactsInput!$N$15+1,25,30,35,40,45,50)/100*(Inputs!$B$11-Inputs!$B$11),0))))/100+(Inputs!$B$23+(IF(ArtifactsInput!$M$15,CHOOSE(ArtifactsInput!$N$15+1,25,30,35,40,45,50)/100*(Inputs!$B$11-Inputs!$B$11),0)))/100)/2</f>
        <v/>
      </c>
      <c r="M1477">
        <f>L1477*(1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(1-Summary!$B$11)*S1477+Summary!$B$11*U1477</f>
        <v/>
      </c>
      <c r="P1477">
        <f>IF(B1507=0,0,O1477/B1507)</f>
        <v/>
      </c>
      <c r="Q1477">
        <f>IFERROR(1/IF(Inputs!$B$38="pvp",15,MAX(0.1,Skills!D7-IF(Skills!E7=TRUE,Inputs!$B$32,0))),0)</f>
        <v/>
      </c>
      <c r="R1477">
        <f>IF(AND(Inputs!$B$38&lt;&gt;"pvp",Inputs!$B$43&gt;0),IF(MAX(0,Inputs!$B$43-B1504)&lt;=0,0,(INT(MAX(0,Inputs!$B$43-B1504)/IF(Inputs!$B$38="pvp",15,MAX(0.1,Skills!D7-IF(Skills!E7=TRUE,Inputs!$B$32,0))))+1)),0)</f>
        <v/>
      </c>
      <c r="S1477">
        <f>IF(C1477,(H1477*N1477*IF(AND(Inputs!$B$38&lt;&gt;"pvp",Inputs!$B$43&gt;0),((Skills!F7*((R1477-1)*IF(Skills!G7&gt;0,Skills!H7/Skills!G7,1)+IF(Skills!G7&gt;0,MIN(Skills!H7,MAX(0,MAX(0,Inputs!$B$43-B1504)-((R1477-1)*IF(Inputs!$B$38="pvp",15,MAX(0.1,Skills!D7-IF(Skills!E7=TRUE,Inputs!$B$32,0))))))/Skills!G7,1)))/Inputs!$B$43),G1477*Q1477))*IF(Inputs!$B$38="pvp",1,1+(Inputs!$B$20+Skills!O7+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1477*(1-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IF(C1477,(H1477*N1477*IF(AND(Inputs!$B$38&lt;&gt;"pvp",Inputs!$B$43&gt;0),((Skills!F7*((R1477-1)*IF(Skills!G7&gt;0,Skills!H7/Skills!G7,1)+IF(Skills!G7&gt;0,MIN(Skills!H7,MAX(0,MAX(0,Inputs!$B$43-B1504)-((R1477-1)*IF(Inputs!$B$38="pvp",15,MAX(0.1,Skills!D7-IF(Skills!E7=TRUE,Inputs!$B$32,0))))))/Skills!G7,1)))/Inputs!$B$43),G1477*Q1477))*IF(Inputs!$B$38="pvp",1,(1+(Inputs!$B$21+Skills!P7+B1498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Skills!A8</f>
        <v/>
      </c>
      <c r="B1478">
        <f>Skills!B8</f>
        <v/>
      </c>
      <c r="C1478">
        <f>Inputs!$B$3&gt;=103</f>
        <v/>
      </c>
      <c r="D1478">
        <f>IF(Skills!C8=1,60+Inputs!$B$25+Inputs!$B$29,IF(Skills!C8=2,90+Inputs!$B$26+Inputs!$B$29,IF(Skills!C8=3,120+Inputs!$B$27+Inputs!$B$29,MAX(0,(Inputs!$B$3-100)*3)+Inputs!$B$28+Inputs!$B$29)))</f>
        <v/>
      </c>
      <c r="E1478">
        <f>INDEX(FactorTable!$B$2:$Y$301, MATCH(ROUND(MIN(300,MAX(1,D1478)),0), FactorTable!$A$2:$A$301,0), Skills!L8+1)</f>
        <v/>
      </c>
      <c r="F1478">
        <f>IF(Skills!M8=TRUE,(Skills!K8/10)*(E1478/1000),Skills!K8/10)+Skills!N8</f>
        <v/>
      </c>
      <c r="G1478">
        <f>Calc!G8</f>
        <v/>
      </c>
      <c r="H1478">
        <f>Calc!H8</f>
        <v/>
      </c>
      <c r="I1478">
        <f>IF(Skills!T8&lt;&gt;"",1+(Skills!T8/10)*(Z1473/1000)/100,1)</f>
        <v/>
      </c>
      <c r="J1478">
        <f>((Inputs!$B$6*(1+Inputs!$B$7/100))+(((Inputs!$B$12*(1+Inputs!$B$13/100))-(Inputs!$B$12*(1+Inputs!$B$13/100)))+0.25*(Inputs!$B$14-Inputs!$B$14))*(1+Inputs!$B$7/100))*(F1478/100)</f>
        <v/>
      </c>
      <c r="K1478">
        <f>J1478*(1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8="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F1488-Calc!F18),(Inputs!$B$23+(IF(ArtifactsInput!$M$15,CHOOSE(ArtifactsInput!$N$15+1,25,30,35,40,45,50)/100*(Inputs!$B$11-Inputs!$B$11),0))))/100+(Inputs!$B$23+(IF(ArtifactsInput!$M$15,CHOOSE(ArtifactsInput!$N$15+1,25,30,35,40,45,50)/100*(Inputs!$B$11-Inputs!$B$11),0)))/100)/2</f>
        <v/>
      </c>
      <c r="M1478">
        <f>L1478*(1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(1-Summary!$B$11)*S1478+Summary!$B$11*U1478</f>
        <v/>
      </c>
      <c r="P1478">
        <f>IF(B1507=0,0,O1478/B1507)</f>
        <v/>
      </c>
      <c r="Q1478">
        <f>IFERROR(1/IF(Inputs!$B$38="pvp",15,MAX(0.1,Skills!D8-IF(Skills!E8=TRUE,Inputs!$B$32,0))),0)</f>
        <v/>
      </c>
      <c r="R1478">
        <f>IF(AND(Inputs!$B$38&lt;&gt;"pvp",Inputs!$B$43&gt;0),IF(MAX(0,Inputs!$B$43-B1504)&lt;=0,0,(INT(MAX(0,Inputs!$B$43-B1504)/IF(Inputs!$B$38="pvp",15,MAX(0.1,Skills!D8-IF(Skills!E8=TRUE,Inputs!$B$32,0))))+1)),0)</f>
        <v/>
      </c>
      <c r="S1478">
        <f>IF(C1478,(H1478*N1478*IF(AND(Inputs!$B$38&lt;&gt;"pvp",Inputs!$B$43&gt;0),((Skills!F8*((R1478-1)*IF(Skills!G8&gt;0,Skills!H8/Skills!G8,1)+IF(Skills!G8&gt;0,MIN(Skills!H8,MAX(0,MAX(0,Inputs!$B$43-B1504)-((R1478-1)*IF(Inputs!$B$38="pvp",15,MAX(0.1,Skills!D8-IF(Skills!E8=TRUE,Inputs!$B$32,0))))))/Skills!G8,1)))/Inputs!$B$43),G1478*Q1478))*IF(Inputs!$B$38="pvp",1,1+(Inputs!$B$20+Skills!O8+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1478*(1-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F(C1478,(H1478*N1478*IF(AND(Inputs!$B$38&lt;&gt;"pvp",Inputs!$B$43&gt;0),((Skills!F8*((R1478-1)*IF(Skills!G8&gt;0,Skills!H8/Skills!G8,1)+IF(Skills!G8&gt;0,MIN(Skills!H8,MAX(0,MAX(0,Inputs!$B$43-B1504)-((R1478-1)*IF(Inputs!$B$38="pvp",15,MAX(0.1,Skills!D8-IF(Skills!E8=TRUE,Inputs!$B$32,0))))))/Skills!G8,1)))/Inputs!$B$43),G1478*Q1478))*IF(Inputs!$B$38="pvp",1,(1+(Inputs!$B$21+Skills!P8+B1498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Skills!A9</f>
        <v/>
      </c>
      <c r="B1479">
        <f>Skills!B9</f>
        <v/>
      </c>
      <c r="C1479">
        <f>Inputs!$B$3&gt;=105</f>
        <v/>
      </c>
      <c r="D1479">
        <f>IF(Skills!C9=1,60+Inputs!$B$25+Inputs!$B$29,IF(Skills!C9=2,90+Inputs!$B$26+Inputs!$B$29,IF(Skills!C9=3,120+Inputs!$B$27+Inputs!$B$29,MAX(0,(Inputs!$B$3-100)*3)+Inputs!$B$28+Inputs!$B$29)))</f>
        <v/>
      </c>
      <c r="E1479">
        <f>INDEX(FactorTable!$B$2:$Y$301, MATCH(ROUND(MIN(300,MAX(1,D1479)),0), FactorTable!$A$2:$A$301,0), Skills!L9+1)</f>
        <v/>
      </c>
      <c r="F1479">
        <f>IF(Skills!M9=TRUE,(Skills!K9/10)*(E1479/1000),Skills!K9/10)+Skills!N9</f>
        <v/>
      </c>
      <c r="G1479">
        <f>Calc!G9</f>
        <v/>
      </c>
      <c r="H1479">
        <f>Calc!H9</f>
        <v/>
      </c>
      <c r="I1479">
        <f>IF(Skills!T9&lt;&gt;"",1+(Skills!T9/10)*(Z1473/1000)/100,1)</f>
        <v/>
      </c>
      <c r="J1479">
        <f>((Inputs!$B$6*(1+Inputs!$B$7/100))+(((Inputs!$B$12*(1+Inputs!$B$13/100))-(Inputs!$B$12*(1+Inputs!$B$13/100)))+0.25*(Inputs!$B$14-Inputs!$B$14))*(1+Inputs!$B$7/100))*(F1479/100)</f>
        <v/>
      </c>
      <c r="K1479">
        <f>J1479*(1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9="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F1488-Calc!F18),(Inputs!$B$23+(IF(ArtifactsInput!$M$15,CHOOSE(ArtifactsInput!$N$15+1,25,30,35,40,45,50)/100*(Inputs!$B$11-Inputs!$B$11),0))))/100+(Inputs!$B$23+(IF(ArtifactsInput!$M$15,CHOOSE(ArtifactsInput!$N$15+1,25,30,35,40,45,50)/100*(Inputs!$B$11-Inputs!$B$11),0)))/100)/2</f>
        <v/>
      </c>
      <c r="M1479">
        <f>L1479*(1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(1-Summary!$B$11)*S1479+Summary!$B$11*U1479</f>
        <v/>
      </c>
      <c r="P1479">
        <f>IF(B1507=0,0,O1479/B1507)</f>
        <v/>
      </c>
      <c r="Q1479">
        <f>IFERROR(1/IF(Inputs!$B$38="pvp",15,MAX(0.1,Skills!D9-IF(Skills!E9=TRUE,Inputs!$B$32,0))),0)</f>
        <v/>
      </c>
      <c r="R1479">
        <f>IF(AND(Inputs!$B$38&lt;&gt;"pvp",Inputs!$B$43&gt;0),IF(MAX(0,Inputs!$B$43-B1504)&lt;=0,0,(INT(MAX(0,Inputs!$B$43-B1504)/IF(Inputs!$B$38="pvp",15,MAX(0.1,Skills!D9-IF(Skills!E9=TRUE,Inputs!$B$32,0))))+1)),0)</f>
        <v/>
      </c>
      <c r="S1479">
        <f>IF(C1479,(H1479*N1479*IF(AND(Inputs!$B$38&lt;&gt;"pvp",Inputs!$B$43&gt;0),((Skills!F9*((R1479-1)*IF(Skills!G9&gt;0,Skills!H9/Skills!G9,1)+IF(Skills!G9&gt;0,MIN(Skills!H9,MAX(0,MAX(0,Inputs!$B$43-B1504)-((R1479-1)*IF(Inputs!$B$38="pvp",15,MAX(0.1,Skills!D9-IF(Skills!E9=TRUE,Inputs!$B$32,0))))))/Skills!G9,1)))/Inputs!$B$43),G1479*Q1479))*IF(Inputs!$B$38="pvp",1,1+(Inputs!$B$20+Skills!O9+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1479*(1-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IF(C1479,(H1479*N1479*IF(AND(Inputs!$B$38&lt;&gt;"pvp",Inputs!$B$43&gt;0),((Skills!F9*((R1479-1)*IF(Skills!G9&gt;0,Skills!H9/Skills!G9,1)+IF(Skills!G9&gt;0,MIN(Skills!H9,MAX(0,MAX(0,Inputs!$B$43-B1504)-((R1479-1)*IF(Inputs!$B$38="pvp",15,MAX(0.1,Skills!D9-IF(Skills!E9=TRUE,Inputs!$B$32,0))))))/Skills!G9,1)))/Inputs!$B$43),G1479*Q1479))*IF(Inputs!$B$38="pvp",1,(1+(Inputs!$B$21+Skills!P9+B1498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Skills!A10</f>
        <v/>
      </c>
      <c r="B1480">
        <f>Skills!B10</f>
        <v/>
      </c>
      <c r="C1480">
        <f>Inputs!$B$3&gt;=113</f>
        <v/>
      </c>
      <c r="D1480">
        <f>IF(Skills!C10=1,60+Inputs!$B$25+Inputs!$B$29,IF(Skills!C10=2,90+Inputs!$B$26+Inputs!$B$29,IF(Skills!C10=3,120+Inputs!$B$27+Inputs!$B$29,MAX(0,(Inputs!$B$3-100)*3)+Inputs!$B$28+Inputs!$B$29)))</f>
        <v/>
      </c>
      <c r="E1480">
        <f>INDEX(FactorTable!$B$2:$Y$301, MATCH(ROUND(MIN(300,MAX(1,D1480)),0), FactorTable!$A$2:$A$301,0), Skills!L10+1)</f>
        <v/>
      </c>
      <c r="F1480">
        <f>IF(Skills!M10=TRUE,(Skills!K10/10)*(E1480/1000),Skills!K10/10)+Skills!N10</f>
        <v/>
      </c>
      <c r="G1480">
        <f>Calc!G10</f>
        <v/>
      </c>
      <c r="H1480">
        <f>Calc!H10</f>
        <v/>
      </c>
      <c r="I1480">
        <f>IF(Skills!T10&lt;&gt;"",1+(Skills!T10/10)*(Z1473/1000)/100,1)</f>
        <v/>
      </c>
      <c r="J1480">
        <f>((Inputs!$B$6*(1+Inputs!$B$7/100))+(((Inputs!$B$12*(1+Inputs!$B$13/100))-(Inputs!$B$12*(1+Inputs!$B$13/100)))+0.25*(Inputs!$B$14-Inputs!$B$14))*(1+Inputs!$B$7/100))*(F1480/100)</f>
        <v/>
      </c>
      <c r="K1480">
        <f>J1480*(1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10="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1488-Calc!F18),(Inputs!$B$23+(IF(ArtifactsInput!$M$15,CHOOSE(ArtifactsInput!$N$15+1,25,30,35,40,45,50)/100*(Inputs!$B$11-Inputs!$B$11),0))))/100+(Inputs!$B$23+(IF(ArtifactsInput!$M$15,CHOOSE(ArtifactsInput!$N$15+1,25,30,35,40,45,50)/100*(Inputs!$B$11-Inputs!$B$11),0)))/100)/2</f>
        <v/>
      </c>
      <c r="M1480">
        <f>L1480*(1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IF(B1507=0,0,O1480/B1507)</f>
        <v/>
      </c>
      <c r="Q1480">
        <f>IFERROR(1/IF(Inputs!$B$38="pvp",15,MAX(0.1,Skills!D10-IF(Skills!E9=TRUE,Inputs!$B$32,0))),0)</f>
        <v/>
      </c>
      <c r="R1480">
        <f>IF(AND(Inputs!$B$38&lt;&gt;"pvp",Inputs!$B$43&gt;0),IF(MAX(0,Inputs!$B$43-B1504)&lt;=0,0,(INT(MAX(0,Inputs!$B$43-B1504)/IF(Inputs!$B$38="pvp",15,MAX(0.1,Skills!D10-IF(Skills!E9=TRUE,Inputs!$B$32,0))))+1)),0)</f>
        <v/>
      </c>
      <c r="S1480">
        <f>IF(C1480,(H1480*N1480*IF(AND(Inputs!$B$38&lt;&gt;"pvp",Inputs!$B$43&gt;0),((Skills!F10*((R1480-1)*IF(Skills!G10&gt;0,Skills!H10/Skills!G10,1)+IF(Skills!G10&gt;0,MIN(Skills!H10,MAX(0,MAX(0,Inputs!$B$43-B1504)-((R1480-1)*IF(Inputs!$B$38="pvp",15,MAX(0.1,Skills!D10-IF(Skills!E9=TRUE,Inputs!$B$32,0))))))/Skills!G10,1)))/Inputs!$B$43),G1480*Q1480))*IF(Inputs!$B$38="pvp",1,1+(Inputs!$B$20+Skills!O10+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F(C1480,(H1480*N1480*IF(AND(Inputs!$B$38&lt;&gt;"pvp",Inputs!$B$43&gt;0),((Skills!F10*((R1480-1)*IF(Skills!G10&gt;0,Skills!H10/Skills!G10,1)+IF(Skills!G10&gt;0,MIN(Skills!H10,MAX(0,MAX(0,Inputs!$B$43-B1504)-((R1480-1)*IF(Inputs!$B$38="pvp",15,MAX(0.1,Skills!D10-IF(Skills!E9=TRUE,Inputs!$B$32,0))))))/Skills!G10,1)))/Inputs!$B$43),G1480*Q1480))*IF(Inputs!$B$38="pvp",1,(1+(Inputs!$B$21+Skills!P10+B1498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Skills!A11</f>
        <v/>
      </c>
      <c r="B1481">
        <f>Skills!B11</f>
        <v/>
      </c>
      <c r="C1481">
        <f>Inputs!$B$3&gt;=107</f>
        <v/>
      </c>
      <c r="D1481">
        <f>IF(Skills!C11=1,60+Inputs!$B$25+Inputs!$B$29,IF(Skills!C11=2,90+Inputs!$B$26+Inputs!$B$29,IF(Skills!C11=3,120+Inputs!$B$27+Inputs!$B$29,MAX(0,(Inputs!$B$3-100)*3)+Inputs!$B$28+Inputs!$B$29)))</f>
        <v/>
      </c>
      <c r="E1481">
        <f>INDEX(FactorTable!$B$2:$Y$301, MATCH(ROUND(MIN(300,MAX(1,D1481)),0), FactorTable!$A$2:$A$301,0), Skills!L11+1)</f>
        <v/>
      </c>
      <c r="F1481">
        <f>IF(Skills!M11=TRUE,(Skills!K11/10)*(E1481/1000),Skills!K11/10)+Skills!N11</f>
        <v/>
      </c>
      <c r="G1481">
        <f>Calc!G11</f>
        <v/>
      </c>
      <c r="H1481">
        <f>Calc!H11</f>
        <v/>
      </c>
      <c r="I1481">
        <f>IF(Skills!T11&lt;&gt;"",1+(Skills!T11/10)*(Z1473/1000)/100,1)</f>
        <v/>
      </c>
      <c r="J1481">
        <f>((Inputs!$B$6*(1+Inputs!$B$7/100))+(((Inputs!$B$12*(1+Inputs!$B$13/100))-(Inputs!$B$12*(1+Inputs!$B$13/100)))+0.25*(Inputs!$B$14-Inputs!$B$14))*(1+Inputs!$B$7/100))*(F1481/100)</f>
        <v/>
      </c>
      <c r="K1481">
        <f>J1481*(1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11="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1488-Calc!F18),(Inputs!$B$23+(IF(ArtifactsInput!$M$15,CHOOSE(ArtifactsInput!$N$15+1,25,30,35,40,45,50)/100*(Inputs!$B$11-Inputs!$B$11),0))))/100+(Inputs!$B$23+(IF(ArtifactsInput!$M$15,CHOOSE(ArtifactsInput!$N$15+1,25,30,35,40,45,50)/100*(Inputs!$B$11-Inputs!$B$11),0)))/100)/2</f>
        <v/>
      </c>
      <c r="M1481">
        <f>L1481*(1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IF(B1507=0,0,O1481/B1507)</f>
        <v/>
      </c>
      <c r="Q1481">
        <f>IFERROR(1/IF(Inputs!$B$38="pvp",15,MAX(0.1,Skills!D11-IF(Skills!E11=TRUE,Inputs!$B$32,0))),0)</f>
        <v/>
      </c>
      <c r="R1481">
        <f>IF(AND(Inputs!$B$38&lt;&gt;"pvp",Inputs!$B$43&gt;0),IF(MAX(0,Inputs!$B$43-B1504)&lt;=0,0,(INT(MAX(0,Inputs!$B$43-B1504)/IF(Inputs!$B$38="pvp",15,MAX(0.1,Skills!D11-IF(Skills!E11=TRUE,Inputs!$B$32,0))))+1)),0)</f>
        <v/>
      </c>
      <c r="S1481">
        <f>IF(C1481,H1481*N1481*IF(AND(Inputs!$B$38&lt;&gt;"pvp",Inputs!$B$43&gt;0),((Skills!F11*((R1481-1)*IF(Skills!G11&gt;0,Skills!H11/Skills!G11,1)+IF(Skills!G11&gt;0,MIN(Skills!H11,MAX(0,MAX(0,Inputs!$B$43-B1504)-((R1481-1)*IF(Inputs!$B$38="pvp",15,MAX(0.1,Skills!D11-IF(Skills!E11=TRUE,Inputs!$B$32,0))))))/Skills!G11,1)))/Inputs!$B$43),G1481*Q1481)*0.5*IF(Inputs!$B$38="pvp",1,1+(Inputs!$B$20+Skills!O11+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IF(C1481,H1481*N1481*IF(AND(Inputs!$B$38&lt;&gt;"pvp",Inputs!$B$43&gt;0),((Skills!F11*((R1481-1)*IF(Skills!G11&gt;0,Skills!H11/Skills!G11,1)+IF(Skills!G11&gt;0,MIN(Skills!H11,MAX(0,MAX(0,Inputs!$B$43-B1504)-((R1481-1)*IF(Inputs!$B$38="pvp",15,MAX(0.1,Skills!D11-IF(Skills!E11=TRUE,Inputs!$B$32,0))))))/Skills!G11,1)))/Inputs!$B$43),G1481*Q1481)*1*IF(Inputs!$B$38="pvp",1,(1+(Inputs!$B$21+Skills!P11+B1498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Skills!A12</f>
        <v/>
      </c>
      <c r="B1482">
        <f>Skills!B12</f>
        <v/>
      </c>
      <c r="C1482">
        <f>Inputs!$B$3&gt;=115</f>
        <v/>
      </c>
      <c r="D1482">
        <f>IF(Skills!C12=1,60+Inputs!$B$25+Inputs!$B$29,IF(Skills!C12=2,90+Inputs!$B$26+Inputs!$B$29,IF(Skills!C12=3,120+Inputs!$B$27+Inputs!$B$29,MAX(0,(Inputs!$B$3-100)*3)+Inputs!$B$28+Inputs!$B$29)))</f>
        <v/>
      </c>
      <c r="E1482">
        <f>INDEX(FactorTable!$B$2:$Y$301, MATCH(ROUND(MIN(300,MAX(1,D1482)),0), FactorTable!$A$2:$A$301,0), Skills!L12+1)</f>
        <v/>
      </c>
      <c r="F1482">
        <f>IF(Skills!M12=TRUE,(Skills!K12/10)*(E1482/1000),Skills!K12/10)+Skills!N12</f>
        <v/>
      </c>
      <c r="G1482">
        <f>Calc!G12</f>
        <v/>
      </c>
      <c r="H1482">
        <f>Calc!H12</f>
        <v/>
      </c>
      <c r="I1482">
        <f>IF(Skills!T12&lt;&gt;"",1+(Skills!T12/10)*(Z1473/1000)/100,1)</f>
        <v/>
      </c>
      <c r="J1482">
        <f>((Inputs!$B$6*(1+Inputs!$B$7/100))+(((Inputs!$B$12*(1+Inputs!$B$13/100))-(Inputs!$B$12*(1+Inputs!$B$13/100)))+0.25*(Inputs!$B$14-Inputs!$B$14))*(1+Inputs!$B$7/100))*(F1482/100)</f>
        <v/>
      </c>
      <c r="K1482">
        <f>J1482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12="CHAIN_LIGHTNING",Inputs!$B$17+((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1488-Calc!F18),(Inputs!$B$23+(IF(ArtifactsInput!$M$15,CHOOSE(ArtifactsInput!$N$15+1,25,30,35,40,45,50)/100*(Inputs!$B$11-Inputs!$B$11),0))))/100+(Inputs!$B$23+(IF(ArtifactsInput!$M$15,CHOOSE(ArtifactsInput!$N$15+1,25,30,35,40,45,50)/100*(Inputs!$B$11-Inputs!$B$11),0)))/100)/2</f>
        <v/>
      </c>
      <c r="M1482">
        <f>L1482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IF(B1507=0,0,O1482/B1507)</f>
        <v/>
      </c>
      <c r="Q1482">
        <f>IFERROR(1/IF(Inputs!$B$38="pvp",15,MAX(0.1,Skills!D12-IF(Skills!E12=TRUE,Inputs!$B$32,0))),0)</f>
        <v/>
      </c>
      <c r="R1482">
        <f>IF(AND(Inputs!$B$38&lt;&gt;"pvp",Inputs!$B$43&gt;0),IF(MAX(0,Inputs!$B$43-B1504)&lt;=0,0,(INT(MAX(0,Inputs!$B$43-B1504)/IF(Inputs!$B$38="pvp",15,MAX(0.1,Skills!D12-IF(Skills!E12=TRUE,Inputs!$B$32,0))))+1)),0)</f>
        <v/>
      </c>
      <c r="S1482">
        <f>IF(C1482,(H1482*N1482*IF(AND(Inputs!$B$38&lt;&gt;"pvp",Inputs!$B$43&gt;0),((Skills!F12*((R1482-1)*IF(Skills!G12&gt;0,Skills!H12/Skills!G12,1)+IF(Skills!G12&gt;0,MIN(Skills!H12,MAX(0,MAX(0,Inputs!$B$43-B1504)-((R1482-1)*IF(Inputs!$B$38="pvp",15,MAX(0.1,Skills!D12-IF(Skills!E12=TRUE,Inputs!$B$32,0))))))/Skills!G12,1)))/Inputs!$B$43),G1482*Q1482))*IF(Inputs!$B$38="pvp",1,1+(Inputs!$B$20+Skills!O12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1490-Calc!F20)+(F1489-Calc!F19))+(ArtifactsInput!$M$24-ArtifactsInput!$M$24)*CHOOSE(ArtifactsInput!$N$24+1,10,12,14,16,18,20)+(IF(AND(Inputs!$B$38&lt;&gt;"pvp",Inputs!$B$43=0),1,IF(IF(Inputs!$B$38="pvp",15,Inputs!$B$43)-(B1504)&lt;=0,1,MAX(0,IF(Inputs!$B$38="pvp",15,Inputs!$B$43)-MAX(5,B1504))/(IF(Inputs!$B$38="pvp",15,Inputs!$B$43)-(B1504)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F(C1482,(H1482*N1482*IF(AND(Inputs!$B$38&lt;&gt;"pvp",Inputs!$B$43&gt;0),((Skills!F12*((R1482-1)*IF(Skills!G12&gt;0,Skills!H12/Skills!G12,1)+IF(Skills!G12&gt;0,MIN(Skills!H12,MAX(0,MAX(0,Inputs!$B$43-B1504)-((R1482-1)*IF(Inputs!$B$38="pvp",15,MAX(0.1,Skills!D12-IF(Skills!E12=TRUE,Inputs!$B$32,0))))))/Skills!G12,1)))/Inputs!$B$43),G1482*Q1482))*IF(Inputs!$B$38="pvp",1,(1+(Inputs!$B$21+Skills!P12+B1498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Skills!A13</f>
        <v/>
      </c>
      <c r="B1483">
        <f>Skills!B13</f>
        <v/>
      </c>
      <c r="C1483">
        <f>Inputs!$B$3&gt;=49</f>
        <v/>
      </c>
      <c r="D1483">
        <f>IF(Skills!C13=1,60+Inputs!$B$25+Inputs!$B$29,IF(Skills!C13=2,90+Inputs!$B$26+Inputs!$B$29,IF(Skills!C13=3,120+Inputs!$B$27+Inputs!$B$29,MAX(0,(Inputs!$B$3-100)*3)+Inputs!$B$28+Inputs!$B$29)))</f>
        <v/>
      </c>
      <c r="E1483">
        <f>INDEX(FactorTable!$B$2:$Y$301, MATCH(ROUND(MIN(300,MAX(1,D1483)),0), FactorTable!$A$2:$A$301,0), Skills!L13+1)</f>
        <v/>
      </c>
      <c r="F1483">
        <f>IF(Skills!M13=TRUE,(Skills!K13/10)*(E1483/1000),Skills!K13/10)+Skills!N13</f>
        <v/>
      </c>
      <c r="G1483">
        <f>Calc!G13</f>
        <v/>
      </c>
      <c r="H1483">
        <f>Calc!H13</f>
        <v/>
      </c>
      <c r="I1483">
        <f>IF(Skills!T13&lt;&gt;"",1+(Skills!T13/10)*(Z1473/1000)/100,1)</f>
        <v/>
      </c>
      <c r="J1483" t="inlineStr"/>
      <c r="K1483" t="inlineStr"/>
      <c r="L1483" t="inlineStr"/>
      <c r="M1483" t="inlineStr"/>
      <c r="N1483" t="inlineStr"/>
      <c r="O1483">
        <f>(1-Summary!$B$11)*S1483+Summary!$B$11*U1483</f>
        <v/>
      </c>
      <c r="P1483">
        <f>IF(B1507=0,0,O1483/B1507)</f>
        <v/>
      </c>
      <c r="Q1483">
        <f>IFERROR(1/IF(Inputs!$B$38="pvp",15,MAX(0.1,Skills!D13-IF(Skills!E13=TRUE,Inputs!$B$32,0))),0)</f>
        <v/>
      </c>
      <c r="R1483" t="n">
        <v>0</v>
      </c>
      <c r="S1483" t="n">
        <v>0</v>
      </c>
      <c r="U1483" t="n">
        <v>0</v>
      </c>
    </row>
    <row r="1484">
      <c r="A1484">
        <f>Skills!A14</f>
        <v/>
      </c>
      <c r="B1484">
        <f>Skills!B14</f>
        <v/>
      </c>
      <c r="C1484">
        <f>Inputs!$B$3&gt;=72</f>
        <v/>
      </c>
      <c r="D1484">
        <f>IF(Skills!C14=1,60+Inputs!$B$25+Inputs!$B$29,IF(Skills!C14=2,90+Inputs!$B$26+Inputs!$B$29,IF(Skills!C14=3,120+Inputs!$B$27+Inputs!$B$29,MAX(0,(Inputs!$B$3-100)*3)+Inputs!$B$28+Inputs!$B$29)))</f>
        <v/>
      </c>
      <c r="E1484">
        <f>INDEX(FactorTable!$B$2:$Y$301, MATCH(ROUND(MIN(300,MAX(1,D1484)),0), FactorTable!$A$2:$A$301,0), Skills!L14+1)</f>
        <v/>
      </c>
      <c r="F1484">
        <f>IF(Skills!M14=TRUE,(Skills!K14/10)*(E1484/1000),Skills!K14/10)+Skills!N14</f>
        <v/>
      </c>
      <c r="G1484">
        <f>Calc!G14</f>
        <v/>
      </c>
      <c r="H1484">
        <f>Calc!H14</f>
        <v/>
      </c>
      <c r="I1484">
        <f>IF(Skills!T14&lt;&gt;"",1+(Skills!T14/10)*(Z1473/1000)/100,1)</f>
        <v/>
      </c>
      <c r="J1484" t="inlineStr"/>
      <c r="K1484" t="inlineStr"/>
      <c r="L1484" t="inlineStr"/>
      <c r="M1484" t="inlineStr"/>
      <c r="N1484" t="inlineStr"/>
      <c r="O1484">
        <f>(1-Summary!$B$11)*S1484+Summary!$B$11*U1484</f>
        <v/>
      </c>
      <c r="P1484">
        <f>IF(B1507=0,0,O1484/B1507)</f>
        <v/>
      </c>
      <c r="Q1484">
        <f>IFERROR(1/IF(Inputs!$B$38="pvp",15,MAX(0.1,Skills!D14-IF(Skills!E14=TRUE,Inputs!$B$32,0))),0)</f>
        <v/>
      </c>
      <c r="R1484" t="n">
        <v>0</v>
      </c>
      <c r="S1484" t="n">
        <v>0</v>
      </c>
      <c r="U1484" t="n">
        <v>0</v>
      </c>
    </row>
    <row r="1485">
      <c r="A1485">
        <f>Skills!A15</f>
        <v/>
      </c>
      <c r="B1485">
        <f>Skills!B15</f>
        <v/>
      </c>
      <c r="C1485">
        <f>Inputs!$B$3&gt;=75</f>
        <v/>
      </c>
      <c r="D1485">
        <f>IF(Skills!C15=1,60+Inputs!$B$25+Inputs!$B$29,IF(Skills!C15=2,90+Inputs!$B$26+Inputs!$B$29,IF(Skills!C15=3,120+Inputs!$B$27+Inputs!$B$29,MAX(0,(Inputs!$B$3-100)*3)+Inputs!$B$28+Inputs!$B$29)))</f>
        <v/>
      </c>
      <c r="E1485">
        <f>INDEX(FactorTable!$B$2:$Y$301, MATCH(ROUND(MIN(300,MAX(1,D1485)),0), FactorTable!$A$2:$A$301,0), Skills!L15+1)</f>
        <v/>
      </c>
      <c r="F1485">
        <f>IF(Skills!M15=TRUE,(Skills!K15/10)*(E1485/1000),Skills!K15/10)+Skills!N15</f>
        <v/>
      </c>
      <c r="G1485">
        <f>Calc!G15</f>
        <v/>
      </c>
      <c r="H1485">
        <f>Calc!H15</f>
        <v/>
      </c>
      <c r="I1485">
        <f>IF(Skills!T15&lt;&gt;"",1+(Skills!T15/10)*(Z1473/1000)/100,1)</f>
        <v/>
      </c>
      <c r="J1485" t="inlineStr"/>
      <c r="K1485" t="inlineStr"/>
      <c r="L1485" t="inlineStr"/>
      <c r="M1485" t="inlineStr"/>
      <c r="N1485" t="inlineStr"/>
      <c r="O1485">
        <f>(1-Summary!$B$11)*S1485+Summary!$B$11*U1485</f>
        <v/>
      </c>
      <c r="P1485">
        <f>IF(B1507=0,0,O1485/B1507)</f>
        <v/>
      </c>
      <c r="Q1485">
        <f>IFERROR(1/IF(Inputs!$B$38="pvp",15,MAX(0.1,Skills!D15-IF(Skills!E15=TRUE,Inputs!$B$32,0))),0)</f>
        <v/>
      </c>
      <c r="R1485" t="n">
        <v>0</v>
      </c>
      <c r="S1485" t="n">
        <v>0</v>
      </c>
      <c r="U1485" t="n">
        <v>0</v>
      </c>
    </row>
    <row r="1486">
      <c r="A1486">
        <f>Skills!A16</f>
        <v/>
      </c>
      <c r="B1486">
        <f>Skills!B16</f>
        <v/>
      </c>
      <c r="C1486">
        <f>Inputs!$B$3&gt;=110</f>
        <v/>
      </c>
      <c r="D1486">
        <f>IF(Skills!C16=1,60+Inputs!$B$25+Inputs!$B$29,IF(Skills!C16=2,90+Inputs!$B$26+Inputs!$B$29,IF(Skills!C16=3,120+Inputs!$B$27+Inputs!$B$29,MAX(0,(Inputs!$B$3-100)*3)+Inputs!$B$28+Inputs!$B$29)))</f>
        <v/>
      </c>
      <c r="E1486">
        <f>INDEX(FactorTable!$B$2:$Y$301, MATCH(ROUND(MIN(300,MAX(1,D1486)),0), FactorTable!$A$2:$A$301,0), Skills!L16+1)</f>
        <v/>
      </c>
      <c r="F1486">
        <f>(Skills!K16/10)*(E1486/1000)*64/45+Skills!N16</f>
        <v/>
      </c>
      <c r="G1486">
        <f>Calc!G16</f>
        <v/>
      </c>
      <c r="H1486">
        <f>Calc!H16</f>
        <v/>
      </c>
      <c r="I1486">
        <f>IF(Skills!T16&lt;&gt;"",1+(Skills!T16/10)*(Z1473/1000)/100,1)</f>
        <v/>
      </c>
      <c r="J1486" t="inlineStr"/>
      <c r="K1486" t="inlineStr"/>
      <c r="L1486" t="inlineStr"/>
      <c r="M1486" t="inlineStr"/>
      <c r="N1486" t="inlineStr"/>
      <c r="O1486">
        <f>(1-Summary!$B$11)*S1486+Summary!$B$11*U1486</f>
        <v/>
      </c>
      <c r="P1486">
        <f>IF(B1507=0,0,O1486/B1507)</f>
        <v/>
      </c>
      <c r="Q1486">
        <f>IFERROR(1/IF(Inputs!$B$38="pvp",15,MAX(0.1,Skills!D16-IF(Skills!E16=TRUE,Inputs!$B$32,0))),0)</f>
        <v/>
      </c>
      <c r="R1486">
        <f>IF(AND(Inputs!$B$38&lt;&gt;"pvp",Inputs!$B$43&gt;0),IF(Inputs!$B$43&lt;=0,0,(INT(Inputs!$B$43/IF(Inputs!$B$38="pvp",15,MAX(0.1,Skills!D16-IF(Skills!E16=TRUE,Inputs!$B$32,0))))+1)),0)</f>
        <v/>
      </c>
      <c r="S1486" t="n">
        <v>0</v>
      </c>
      <c r="U1486" t="n">
        <v>0</v>
      </c>
    </row>
    <row r="1487">
      <c r="A1487">
        <f>Skills!A17</f>
        <v/>
      </c>
      <c r="B1487">
        <f>Skills!B17</f>
        <v/>
      </c>
      <c r="C1487">
        <f>Inputs!$B$3&gt;=33</f>
        <v/>
      </c>
      <c r="D1487">
        <f>IF(Skills!C17=1,60+Inputs!$B$25+Inputs!$B$29,IF(Skills!C17=2,90+Inputs!$B$26+Inputs!$B$29,IF(Skills!C17=3,120+Inputs!$B$27+Inputs!$B$29,MAX(0,(Inputs!$B$3-100)*3)+Inputs!$B$28+Inputs!$B$29)))</f>
        <v/>
      </c>
      <c r="E1487">
        <f>INDEX(FactorTable!$B$2:$Y$301, MATCH(ROUND(MIN(300,MAX(1,D1487)),0), FactorTable!$A$2:$A$301,0), Skills!L17+1)</f>
        <v/>
      </c>
      <c r="F1487">
        <f>IF(Skills!M17=TRUE,(Skills!K17/10)*(E1487/1000),Skills!K17/10)+Skills!N17</f>
        <v/>
      </c>
      <c r="G1487">
        <f>Calc!G17</f>
        <v/>
      </c>
      <c r="H1487">
        <f>Calc!H17</f>
        <v/>
      </c>
      <c r="I1487">
        <f>IF(Skills!T17&lt;&gt;"",1+(Skills!T17/10)*(Z1473/1000)/100,1)</f>
        <v/>
      </c>
      <c r="J1487" t="inlineStr"/>
      <c r="K1487" t="inlineStr"/>
      <c r="L1487" t="inlineStr"/>
      <c r="M1487" t="inlineStr"/>
      <c r="N1487" t="inlineStr"/>
      <c r="O1487">
        <f>(1-Summary!$B$11)*S1487+Summary!$B$11*U1487</f>
        <v/>
      </c>
      <c r="P1487">
        <f>IF(B1507=0,0,O1487/B1507)</f>
        <v/>
      </c>
      <c r="Q1487">
        <f>IFERROR(1/IF(Inputs!$B$38="pvp",15,MAX(0.1,Skills!D17-IF(Skills!E17=TRUE,Inputs!$B$32,0))),0)</f>
        <v/>
      </c>
      <c r="R1487" t="n">
        <v>0</v>
      </c>
      <c r="S1487" t="n">
        <v>0</v>
      </c>
      <c r="U1487" t="n">
        <v>0</v>
      </c>
    </row>
    <row r="1488">
      <c r="A1488">
        <f>Skills!A18</f>
        <v/>
      </c>
      <c r="B1488">
        <f>Skills!B18</f>
        <v/>
      </c>
      <c r="C1488">
        <f>Inputs!$B$3&gt;=43</f>
        <v/>
      </c>
      <c r="D1488">
        <f>IF(Skills!C18=1,60+Inputs!$B$25+Inputs!$B$29,IF(Skills!C18=2,90+Inputs!$B$26+Inputs!$B$29,IF(Skills!C18=3,120+Inputs!$B$27+Inputs!$B$29,MAX(0,(Inputs!$B$3-100)*3)+Inputs!$B$28+Inputs!$B$29)))</f>
        <v/>
      </c>
      <c r="E1488">
        <f>INDEX(FactorTable!$B$2:$Y$301, MATCH(ROUND(MIN(300,MAX(1,D1488)),0), FactorTable!$A$2:$A$301,0), Skills!L18+1)</f>
        <v/>
      </c>
      <c r="F1488">
        <f>IF(Skills!M18=TRUE,(Skills!K18/10)*(E1488/1000),Skills!K18/10)+Skills!N18</f>
        <v/>
      </c>
      <c r="G1488">
        <f>Calc!G18</f>
        <v/>
      </c>
      <c r="H1488">
        <f>Calc!H18</f>
        <v/>
      </c>
      <c r="I1488">
        <f>IF(Skills!T18&lt;&gt;"",1+(Skills!T18/10)*(Z1473/1000)/100,1)</f>
        <v/>
      </c>
      <c r="J1488" t="inlineStr"/>
      <c r="K1488" t="inlineStr"/>
      <c r="L1488" t="inlineStr"/>
      <c r="M1488" t="inlineStr"/>
      <c r="N1488" t="inlineStr"/>
      <c r="O1488">
        <f>(1-Summary!$B$11)*S1488+Summary!$B$11*U1488</f>
        <v/>
      </c>
      <c r="P1488">
        <f>IF(B1507=0,0,O1488/B1507)</f>
        <v/>
      </c>
      <c r="Q1488">
        <f>IFERROR(1/IF(Inputs!$B$38="pvp",15,MAX(0.1,Skills!D18-IF(Skills!E18=TRUE,Inputs!$B$32,0))),0)</f>
        <v/>
      </c>
      <c r="R1488" t="n">
        <v>0</v>
      </c>
      <c r="S1488" t="n">
        <v>0</v>
      </c>
      <c r="U1488" t="n">
        <v>0</v>
      </c>
    </row>
    <row r="1489">
      <c r="A1489">
        <f>Skills!A19</f>
        <v/>
      </c>
      <c r="B1489">
        <f>Skills!B19</f>
        <v/>
      </c>
      <c r="C1489">
        <f>Inputs!$B$3&gt;=50</f>
        <v/>
      </c>
      <c r="D1489">
        <f>IF(Skills!C19=1,60+Inputs!$B$25+Inputs!$B$29,IF(Skills!C19=2,90+Inputs!$B$26+Inputs!$B$29,IF(Skills!C19=3,120+Inputs!$B$27+Inputs!$B$29,MAX(0,(Inputs!$B$3-100)*3)+Inputs!$B$28+Inputs!$B$29)))</f>
        <v/>
      </c>
      <c r="E1489">
        <f>INDEX(FactorTable!$B$2:$Y$301, MATCH(ROUND(MIN(300,MAX(1,D1489)),0), FactorTable!$A$2:$A$301,0), Skills!L19+1)</f>
        <v/>
      </c>
      <c r="F1489">
        <f>IF(Skills!M19=TRUE,(Skills!K19/10)*(E1489/1000),Skills!K19/10)+Skills!N19</f>
        <v/>
      </c>
      <c r="G1489">
        <f>Calc!G19</f>
        <v/>
      </c>
      <c r="H1489">
        <f>Calc!H19</f>
        <v/>
      </c>
      <c r="I1489">
        <f>IF(Skills!T19&lt;&gt;"",1+(Skills!T19/10)*(Z1473/1000)/100,1)</f>
        <v/>
      </c>
      <c r="J1489" t="inlineStr"/>
      <c r="K1489" t="inlineStr"/>
      <c r="L1489" t="inlineStr"/>
      <c r="M1489" t="inlineStr"/>
      <c r="N1489" t="inlineStr"/>
      <c r="O1489">
        <f>(1-Summary!$B$11)*S1489+Summary!$B$11*U1489</f>
        <v/>
      </c>
      <c r="P1489">
        <f>IF(B1507=0,0,O1489/B1507)</f>
        <v/>
      </c>
      <c r="Q1489">
        <f>IFERROR(1/IF(Inputs!$B$38="pvp",15,MAX(0.1,Skills!D19-IF(Skills!E19=TRUE,Inputs!$B$32,0))),0)</f>
        <v/>
      </c>
      <c r="R1489" t="n">
        <v>0</v>
      </c>
      <c r="S1489" t="n">
        <v>0</v>
      </c>
      <c r="U1489" t="n">
        <v>0</v>
      </c>
    </row>
    <row r="1490">
      <c r="A1490">
        <f>Skills!A20</f>
        <v/>
      </c>
      <c r="B1490">
        <f>Skills!B20</f>
        <v/>
      </c>
      <c r="C1490">
        <f>Inputs!$B$3&gt;=74</f>
        <v/>
      </c>
      <c r="D1490">
        <f>IF(Skills!C20=1,60+Inputs!$B$25+Inputs!$B$29,IF(Skills!C20=2,90+Inputs!$B$26+Inputs!$B$29,IF(Skills!C20=3,120+Inputs!$B$27+Inputs!$B$29,MAX(0,(Inputs!$B$3-100)*3)+Inputs!$B$28+Inputs!$B$29)))</f>
        <v/>
      </c>
      <c r="E1490">
        <f>INDEX(FactorTable!$B$2:$Y$301, MATCH(ROUND(MIN(300,MAX(1,D1490)),0), FactorTable!$A$2:$A$301,0), Skills!L20+1)</f>
        <v/>
      </c>
      <c r="F1490">
        <f>IF(Skills!M20=TRUE,(Skills!K20/10)*(E1490/1000),Skills!K20/10)+Skills!N20</f>
        <v/>
      </c>
      <c r="G1490">
        <f>Calc!G20</f>
        <v/>
      </c>
      <c r="H1490">
        <f>Calc!H20</f>
        <v/>
      </c>
      <c r="I1490">
        <f>IF(Skills!T20&lt;&gt;"",1+(Skills!T20/10)*(Z1473/1000)/100,1)</f>
        <v/>
      </c>
      <c r="J1490" t="inlineStr"/>
      <c r="K1490" t="inlineStr"/>
      <c r="L1490" t="inlineStr"/>
      <c r="M1490" t="inlineStr"/>
      <c r="N1490" t="inlineStr"/>
      <c r="O1490">
        <f>(1-Summary!$B$11)*S1490+Summary!$B$11*U1490</f>
        <v/>
      </c>
      <c r="P1490">
        <f>IF(B1507=0,0,O1490/B1507)</f>
        <v/>
      </c>
      <c r="Q1490">
        <f>IFERROR(1/IF(Inputs!$B$38="pvp",15,MAX(0.1,Skills!D20-IF(Skills!E20=TRUE,Inputs!$B$32,0))),0)</f>
        <v/>
      </c>
      <c r="R1490" t="n">
        <v>0</v>
      </c>
      <c r="S1490" t="n">
        <v>0</v>
      </c>
      <c r="U1490" t="n">
        <v>0</v>
      </c>
    </row>
    <row r="1491">
      <c r="A1491">
        <f>Skills!A21</f>
        <v/>
      </c>
      <c r="B1491">
        <f>Skills!B21</f>
        <v/>
      </c>
      <c r="C1491">
        <f>Inputs!$B$3&gt;=74</f>
        <v/>
      </c>
      <c r="D1491">
        <f>IF(Skills!C21=1,60+Inputs!$B$25+Inputs!$B$29,IF(Skills!C21=2,90+Inputs!$B$26+Inputs!$B$29,IF(Skills!C21=3,120+Inputs!$B$27+Inputs!$B$29,MAX(0,(Inputs!$B$3-100)*3)+Inputs!$B$28+Inputs!$B$29)))</f>
        <v/>
      </c>
      <c r="E1491">
        <f>INDEX(FactorTable!$B$2:$Y$301, MATCH(ROUND(MIN(300,MAX(1,D1491)),0), FactorTable!$A$2:$A$301,0), Skills!L21+1)</f>
        <v/>
      </c>
      <c r="F1491">
        <f>IF(Skills!M21=TRUE,(Skills!K21/10)*(E1491/1000),Skills!K21/10)+Skills!N21</f>
        <v/>
      </c>
      <c r="G1491">
        <f>Calc!G21</f>
        <v/>
      </c>
      <c r="H1491">
        <f>Calc!H21</f>
        <v/>
      </c>
      <c r="I1491">
        <f>IF(Skills!T21&lt;&gt;"",1+(Skills!T21/10)*(Z1473/1000)/100,1)</f>
        <v/>
      </c>
      <c r="J1491" t="inlineStr"/>
      <c r="K1491" t="inlineStr"/>
      <c r="L1491" t="inlineStr"/>
      <c r="M1491" t="inlineStr"/>
      <c r="N1491" t="inlineStr"/>
      <c r="O1491">
        <f>(1-Summary!$B$11)*S1491+Summary!$B$11*U1491</f>
        <v/>
      </c>
      <c r="P1491">
        <f>IF(B1507=0,0,O1491/B1507)</f>
        <v/>
      </c>
      <c r="Q1491">
        <f>IFERROR(1/IF(Inputs!$B$38="pvp",15,MAX(0.1,Skills!D21-IF(Skills!E21=TRUE,Inputs!$B$32,0))),0)</f>
        <v/>
      </c>
      <c r="R1491" t="n">
        <v>0</v>
      </c>
      <c r="S1491" t="n">
        <v>0</v>
      </c>
      <c r="U1491" t="n">
        <v>0</v>
      </c>
    </row>
    <row r="1492">
      <c r="A1492">
        <f>Skills!A22</f>
        <v/>
      </c>
      <c r="B1492">
        <f>Skills!B22</f>
        <v/>
      </c>
      <c r="C1492">
        <f>Inputs!$B$3&gt;=117</f>
        <v/>
      </c>
      <c r="D1492">
        <f>IF(Skills!C22=1,60+Inputs!$B$25+Inputs!$B$29,IF(Skills!C22=2,90+Inputs!$B$26+Inputs!$B$29,IF(Skills!C22=3,120+Inputs!$B$27+Inputs!$B$29,MAX(0,(Inputs!$B$3-100)*3)+Inputs!$B$28+Inputs!$B$29)))</f>
        <v/>
      </c>
      <c r="E1492">
        <f>INDEX(FactorTable!$B$2:$Y$301, MATCH(ROUND(MIN(300,MAX(1,D1492)),0), FactorTable!$A$2:$A$301,0), Skills!L22+1)</f>
        <v/>
      </c>
      <c r="F1492">
        <f>IF(Skills!M22=TRUE,(Skills!K22/10)*(E1492/1000),Skills!K22/10)+Skills!N22</f>
        <v/>
      </c>
      <c r="G1492">
        <f>Calc!G22</f>
        <v/>
      </c>
      <c r="H1492">
        <f>Calc!H22</f>
        <v/>
      </c>
      <c r="I1492">
        <f>IF(Skills!T22&lt;&gt;"",1+(Skills!T22/10)*(Z1473/1000)/100,1)</f>
        <v/>
      </c>
      <c r="J1492" t="inlineStr"/>
      <c r="K1492" t="inlineStr"/>
      <c r="L1492" t="inlineStr"/>
      <c r="M1492" t="inlineStr"/>
      <c r="N1492" t="inlineStr"/>
      <c r="O1492">
        <f>(1-Summary!$B$11)*S1492+Summary!$B$11*U1492</f>
        <v/>
      </c>
      <c r="P1492">
        <f>IF(B1507=0,0,O1492/B1507)</f>
        <v/>
      </c>
      <c r="Q1492">
        <f>IFERROR(1/IF(Inputs!$B$38="pvp",15,MAX(0.1,Skills!D22-IF(Skills!E22=TRUE,Inputs!$B$32,0))),0)</f>
        <v/>
      </c>
      <c r="R1492" t="n">
        <v>0</v>
      </c>
      <c r="S1492" t="n">
        <v>0</v>
      </c>
      <c r="U1492" t="n">
        <v>0</v>
      </c>
    </row>
    <row r="1493">
      <c r="A1493">
        <f>Skills!A23</f>
        <v/>
      </c>
      <c r="B1493">
        <f>Skills!B23</f>
        <v/>
      </c>
      <c r="C1493">
        <f>Inputs!$B$3&gt;=120</f>
        <v/>
      </c>
      <c r="D1493">
        <f>IF(Skills!C23=1,60+Inputs!$B$25+Inputs!$B$29,IF(Skills!C23=2,90+Inputs!$B$26+Inputs!$B$29,IF(Skills!C23=3,120+Inputs!$B$27+Inputs!$B$29,MAX(0,(Inputs!$B$3-100)*3)+Inputs!$B$28+Inputs!$B$29)))</f>
        <v/>
      </c>
      <c r="E1493">
        <f>INDEX(FactorTable!$B$2:$Y$301, MATCH(ROUND(MIN(300,MAX(1,D1493)),0), FactorTable!$A$2:$A$301,0), Skills!L23+1)</f>
        <v/>
      </c>
      <c r="F1493">
        <f>IF(Skills!M23=TRUE,(Skills!K23/10)*(E1493/1000),Skills!K23/10)+Skills!N23</f>
        <v/>
      </c>
      <c r="G1493">
        <f>Calc!G23</f>
        <v/>
      </c>
      <c r="H1493">
        <f>Calc!H23</f>
        <v/>
      </c>
      <c r="I1493">
        <f>IF(Skills!T23&lt;&gt;"",1+(Skills!T23/10)*(Z1473/1000)/100,1)</f>
        <v/>
      </c>
      <c r="J1493" t="inlineStr"/>
      <c r="K1493" t="inlineStr"/>
      <c r="L1493" t="inlineStr"/>
      <c r="M1493" t="inlineStr"/>
      <c r="N1493" t="inlineStr"/>
      <c r="O1493">
        <f>(1-Summary!$B$11)*S1493+Summary!$B$11*U1493</f>
        <v/>
      </c>
      <c r="P1493">
        <f>IF(B1507=0,0,O1493/B1507)</f>
        <v/>
      </c>
      <c r="Q1493">
        <f>IFERROR(1/IF(Inputs!$B$38="pvp",15,MAX(0.1,Skills!D23-IF(Skills!E23=TRUE,Inputs!$B$32,0))),0)</f>
        <v/>
      </c>
      <c r="R1493" t="n">
        <v>0</v>
      </c>
      <c r="S1493" t="n">
        <v>0</v>
      </c>
      <c r="U1493" t="n">
        <v>0</v>
      </c>
    </row>
    <row r="1494">
      <c r="A1494">
        <f>Skills!A24</f>
        <v/>
      </c>
      <c r="B1494">
        <f>Skills!B24</f>
        <v/>
      </c>
      <c r="C1494">
        <f>TRUE</f>
        <v/>
      </c>
      <c r="D1494">
        <f>IF(Skills!C24=1,60+Inputs!$B$25+Inputs!$B$29,IF(Skills!C24=2,90+Inputs!$B$26+Inputs!$B$29,IF(Skills!C24=3,120+Inputs!$B$27+Inputs!$B$29,MAX(0,(Inputs!$B$3-100)*3)+Inputs!$B$28+Inputs!$B$29)))</f>
        <v/>
      </c>
      <c r="E1494">
        <f>INDEX(FactorTable!$B$2:$Y$301, MATCH(ROUND(MIN(300,MAX(1,D1494)),0), FactorTable!$A$2:$A$301,0), Skills!L24+1)</f>
        <v/>
      </c>
      <c r="F1494">
        <f>IF(Skills!M24=TRUE,(Skills!K24/10)*(E1494/1000),Skills!K24/10)+Skills!N24</f>
        <v/>
      </c>
      <c r="G1494">
        <f>Calc!G24</f>
        <v/>
      </c>
      <c r="H1494">
        <f>Calc!H24</f>
        <v/>
      </c>
      <c r="I1494">
        <f>IF(Skills!T24&lt;&gt;"",1+(Skills!T24/10)*(Z1473/1000)/100,1)</f>
        <v/>
      </c>
      <c r="J1494" t="inlineStr"/>
      <c r="K1494" t="inlineStr"/>
      <c r="L1494" t="inlineStr"/>
      <c r="M1494" t="inlineStr"/>
      <c r="N1494" t="inlineStr"/>
      <c r="O1494">
        <f>(1-Summary!$B$11)*S1494+Summary!$B$11*U1494</f>
        <v/>
      </c>
      <c r="P1494">
        <f>IF(B1507=0,0,O1494/B1507)</f>
        <v/>
      </c>
      <c r="Q1494">
        <f>IFERROR(1/IF(Inputs!$B$38="pvp",15,MAX(0.1,Skills!D24-IF(Skills!E24=TRUE,Inputs!$B$32,0))),0)</f>
        <v/>
      </c>
      <c r="R1494">
        <f>IF(AND(Inputs!$B$38&lt;&gt;"pvp",Inputs!$B$43&gt;0),IF(Inputs!$B$43&lt;=0,0,(INT(Inputs!$B$43/IF(Inputs!$B$38="pvp",15,MAX(0.1,Skills!D24-IF(Skills!E24=TRUE,Inputs!$B$32,0))))+1)),0)</f>
        <v/>
      </c>
      <c r="S1494" t="n">
        <v>0</v>
      </c>
      <c r="U1494" t="n">
        <v>0</v>
      </c>
    </row>
    <row r="1497">
      <c r="A1497" t="inlineStr">
        <is>
          <t>Average Buff Multiplier (Magic Guard + Meditation + Artifact Attack%, summed; then Infinity)</t>
        </is>
      </c>
      <c r="B1497">
        <f>(1+(IF(C1473=TRUE,F1473*IF(AND(Inputs!$B$38&lt;&gt;"pvp",Inputs!$B$43&gt;0),(((R1473-1)*(Skills!S3*(1+(Inputs!$B$34)/100))+MIN((Skills!S3*(1+(Inputs!$B$34)/100)),MAX(0,Inputs!$B$43-((R1473-1)*Skills!D3))))/Inputs!$B$43),IF(Inputs!$B$38="pvp",MIN((Skills!S3*(1+(Inputs!$B$34)/100)),15)/15,(Skills!S3*(1+(Inputs!$B$34)/100))/Skills!D3)),0)+IF(C1474=TRUE,F1474*IF(AND(Inputs!$B$38&lt;&gt;"pvp",Inputs!$B$43&gt;0),(((R1474-1)*(Skills!S4*(1+(Inputs!$B$34)/100))+MIN((Skills!S4*(1+(Inputs!$B$34)/100)),MAX(0,Inputs!$B$43-((R1474-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1486=TRUE,(1+F1486*IF(AND(Inputs!$B$38&lt;&gt;"pvp",Inputs!$B$43&gt;0),(((R1486-1)*(Skills!S16*(1+(Inputs!$B$34)/100))+MIN((Skills!S16*(1+(Inputs!$B$34)/100)),MAX(0,Inputs!$B$43-((R1486-1)*Skills!D16))))/Inputs!$B$43),IF(Inputs!$B$38="pvp",MIN((Skills!S16*(1+(Inputs!$B$34)/100)),15)/15,(Skills!S16*(1+(Inputs!$B$34)/100))/Skills!D16))/100),1)</f>
        <v/>
      </c>
    </row>
    <row r="1498">
      <c r="A1498" t="inlineStr">
        <is>
          <t>Monster Damage Taken Bonus % (Freezing Breath - Weaken + Elemental Reset + Artifact Enemy Damage Taken, summed)</t>
        </is>
      </c>
      <c r="B1498">
        <f>IF(Inputs!$B$3&gt;=118,15*IF(Inputs!$B$38="pvp",MIN((30*(1+(Inputs!$B$34)/100)),15)/15,(30*(1+(Inputs!$B$34)/100))/Skills!D8),0)+IF(C1484=TRUE,F1484,0)+(IF(AND(ArtifactsInput!$M$35,Inputs!$B$4&lt;&gt;"Chapter Hunt"),CHOOSE(ArtifactsInput!$N$35+1,15,18,21,24,27,30)*(1-EXP(-(0.2*B1501)*5)),0)+IF(AND(ArtifactsInput!$M$22,Inputs!$B$4&lt;&gt;"Chapter Hunt"),CHOOSE(ArtifactsInput!$N$22+1,10,12,14,16,18,20)*((0*(((0.15*B1501*5))^0/1)+1*(((0.15*B1501*5))^1/1)+2*(((0.15*B1501*5))^2/2)+3*(((0.15*B1501*5))^3/6)+4*(((0.15*B1501*5))^4/24)+5*(((0.15*B1501*5))^5/120))/((((0.15*B1501*5))^0/1)+(((0.15*B1501*5))^1/1)+(((0.15*B1501*5))^2/2)+(((0.15*B1501*5))^3/6)+(((0.15*B1501*5))^4/24)+(((0.15*B1501*5))^5/120))),0))</f>
        <v/>
      </c>
    </row>
    <row r="1499">
      <c r="A1499" t="inlineStr">
        <is>
          <t>Damage % Bonus (Frozen Break + Frost Clutch, flat)</t>
        </is>
      </c>
      <c r="B1499">
        <f>IF(Inputs!$B$3&gt;=66,15,0)+IF(Inputs!$B$3&gt;=98,10,0)+IF(Inputs!$B$3&gt;=125,20,0)</f>
        <v/>
      </c>
    </row>
    <row r="1500">
      <c r="A1500" t="inlineStr">
        <is>
          <t>Attack Speed Bonus % (MP Eater - MP Boost, always-on + Nimble Feet, duty-cycle averaged)</t>
        </is>
      </c>
      <c r="B1500">
        <f>IF(C1483=TRUE,F1483+(F1487-Calc!F17),0)+((C1494=TRUE)*F1494*IF(AND(Inputs!$B$38&lt;&gt;"pvp",Inputs!$B$43&gt;0),(((R1494-1)*(Skills!S24*(1+(Inputs!$B$34)/100))+MIN((Skills!S24*(1+(Inputs!$B$34)/100)),MAX(0,Inputs!$B$43-((R1494-1)*Skills!D24))))/Inputs!$B$43),IF(Inputs!$B$38="pvp",MIN((Skills!S24*(1+(Inputs!$B$34)/100)),15)/15,(Skills!S24*(1+(Inputs!$B$34)/100))/Skills!D24)))</f>
        <v/>
      </c>
    </row>
    <row r="1501">
      <c r="A1501" t="inlineStr">
        <is>
          <t>Actions Per Second</t>
        </is>
      </c>
      <c r="B1501">
        <f>1+MIN(150,150*(1-(1-(Inputs!$B$11+(ArtifactsInput!$M$15-ArtifactsInput!$M$15)*CHOOSE(ArtifactsInput!$N$15+1,8,9.6,11.2,12.8,14.4,16))/150)*(1-B1500/150)))/100</f>
        <v/>
      </c>
    </row>
    <row r="1502">
      <c r="A1502" t="inlineStr">
        <is>
          <t>Skill + Buff Cast Rate</t>
        </is>
      </c>
      <c r="B1502">
        <f>IF(AND(Inputs!$B$38&lt;&gt;"pvp",Inputs!$B$43&gt;0),SUMPRODUCT((Skills!E2:E24=TRUE)*(C1472:C1494=TRUE)*R1472:R1494)/Inputs!$B$43,SUMPRODUCT((Skills!E2:E24=TRUE)*(C1472:C1494=TRUE)*Q1472:Q1494))</f>
        <v/>
      </c>
    </row>
    <row r="1503">
      <c r="A1503" t="inlineStr">
        <is>
          <t>Chain Lightning Casts Per Second</t>
        </is>
      </c>
      <c r="B1503">
        <f>MAX(0,B1501-B1502)</f>
        <v/>
      </c>
    </row>
    <row r="1504">
      <c r="A1504" t="inlineStr">
        <is>
          <t>Buff-Casting Startup Delay (s, fixed-duration only)</t>
        </is>
      </c>
      <c r="B1504">
        <f>IF(AND(Inputs!$B$38&lt;&gt;"pvp",Inputs!$B$43&gt;0),SUMPRODUCT((Skills!S2:S24&gt;0)*(Skills!E2:E24=TRUE)*(C1472:C1494=TRUE))/B1501,0)</f>
        <v/>
      </c>
    </row>
    <row r="1505">
      <c r="A1505" t="inlineStr">
        <is>
          <t>Boss-Only Total DPS (this block's swept value)</t>
        </is>
      </c>
      <c r="B1505">
        <f>SUM(S1472:S1494)</f>
        <v/>
      </c>
    </row>
    <row r="1506">
      <c r="A1506" t="inlineStr">
        <is>
          <t>Normal-Only Total DPS (this block's swept value)</t>
        </is>
      </c>
      <c r="B1506">
        <f>SUM(U1472:U1494)</f>
        <v/>
      </c>
    </row>
    <row r="1507">
      <c r="A1507" s="6" t="inlineStr">
        <is>
          <t>TOTAL DPS</t>
        </is>
      </c>
      <c r="B1507" s="6">
        <f>SUM(O1472:O1494)</f>
        <v/>
      </c>
    </row>
    <row r="1510">
      <c r="A1510" s="6" t="inlineStr">
        <is>
          <t>Stat: Horntail's Scale (Equip)</t>
        </is>
      </c>
    </row>
    <row r="1511">
      <c r="A1511" s="5" t="inlineStr">
        <is>
          <t>Key</t>
        </is>
      </c>
      <c r="B1511" s="5" t="inlineStr">
        <is>
          <t>Name</t>
        </is>
      </c>
      <c r="C1511" s="5" t="inlineStr">
        <is>
          <t>Unlocked</t>
        </is>
      </c>
      <c r="D1511" s="5" t="inlineStr">
        <is>
          <t>InputLevel</t>
        </is>
      </c>
      <c r="E1511" s="5" t="inlineStr">
        <is>
          <t>Factor</t>
        </is>
      </c>
      <c r="F1511" s="5" t="inlineStr">
        <is>
          <t>CoefficientPercent</t>
        </is>
      </c>
      <c r="G1511" s="5" t="inlineStr">
        <is>
          <t>EffectiveHits</t>
        </is>
      </c>
      <c r="H1511" s="5" t="inlineStr">
        <is>
          <t>ProcProbability</t>
        </is>
      </c>
      <c r="I1511" s="5" t="inlineStr">
        <is>
          <t>MapleHeroMultiplier</t>
        </is>
      </c>
      <c r="J1511" s="5" t="inlineStr">
        <is>
          <t>BaseDamage</t>
        </is>
      </c>
      <c r="K1511" s="5" t="inlineStr">
        <is>
          <t>BaseHitDamage</t>
        </is>
      </c>
      <c r="L1511" s="5" t="inlineStr">
        <is>
          <t>NonCritAvg</t>
        </is>
      </c>
      <c r="M1511" s="5" t="inlineStr">
        <is>
          <t>CritAvg</t>
        </is>
      </c>
      <c r="N1511" s="5" t="inlineStr">
        <is>
          <t>ExpectedDamage(perHit)</t>
        </is>
      </c>
      <c r="O1511" s="5" t="inlineStr">
        <is>
          <t>DPS</t>
        </is>
      </c>
      <c r="P1511" s="5" t="inlineStr">
        <is>
          <t>% of Total</t>
        </is>
      </c>
      <c r="R1511" t="inlineStr">
        <is>
          <t>helpers</t>
        </is>
      </c>
    </row>
    <row r="1512">
      <c r="A1512">
        <f>Skills!A2</f>
        <v/>
      </c>
      <c r="B1512">
        <f>Skills!B2</f>
        <v/>
      </c>
      <c r="C1512">
        <f>Inputs!$B$3&gt;=100</f>
        <v/>
      </c>
      <c r="D1512" t="inlineStr"/>
      <c r="E1512" t="inlineStr"/>
      <c r="F1512">
        <f>T1514+Skills!N2</f>
        <v/>
      </c>
      <c r="G1512">
        <f>Calc!G2</f>
        <v/>
      </c>
      <c r="H1512">
        <f>Calc!H2</f>
        <v/>
      </c>
      <c r="I1512">
        <f>IF(Skills!T2&lt;&gt;"",1+(Skills!T2/10)*(Z1513/1000)/100,1)</f>
        <v/>
      </c>
      <c r="J1512">
        <f>((Inputs!$B$6*(1+Inputs!$B$7/100))+(((Inputs!$B$12*(1+Inputs!$B$13/100))-(Inputs!$B$12*(1+Inputs!$B$13/100)))+0.25*(Inputs!$B$14-Inputs!$B$14))*(1+Inputs!$B$7/100))*(F1512/100)</f>
        <v/>
      </c>
      <c r="K1512">
        <f>J1512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2="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1512)</f>
        <v/>
      </c>
      <c r="L1512">
        <f>K1512*(MIN(Inputs!$B$22+(F1528-Calc!F18),(Inputs!$B$23+(IF(ArtifactsInput!$M$15,CHOOSE(ArtifactsInput!$N$15+1,25,30,35,40,45,50)/100*(Inputs!$B$11-Inputs!$B$11),0))))/100+(Inputs!$B$23+(IF(ArtifactsInput!$M$15,CHOOSE(ArtifactsInput!$N$15+1,25,30,35,40,45,50)/100*(Inputs!$B$11-Inputs!$B$11),0)))/100)/2</f>
        <v/>
      </c>
      <c r="M1512">
        <f>L1512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2">
        <f>L1512*(1-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1512*(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2">
        <f>(1-Summary!$B$11)*S1512+Summary!$B$11*U1512</f>
        <v/>
      </c>
      <c r="P1512">
        <f>IF(B1547=0,0,O1512/B1547)</f>
        <v/>
      </c>
      <c r="Q1512">
        <f>IFERROR(1/IF(Inputs!$B$38="pvp",15,MAX(0.1,Skills!D2-IF(Skills!E2=TRUE,Inputs!$B$32,0))),0)</f>
        <v/>
      </c>
      <c r="R1512" t="n">
        <v>0</v>
      </c>
      <c r="S1512">
        <f>IF(C1512,(Skills!F2*N1512*B1543)*IF(Inputs!$B$38="pvp",1,1+(Inputs!$B$20+Skills!O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1512*(1-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1512*(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1512*(1-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1512*(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12">
        <f>MAX(0,(Inputs!$B$3-100)*3)+Inputs!$B$28+Inputs!$B$29</f>
        <v/>
      </c>
      <c r="U1512">
        <f>IF(C1512,(Skills!F2*N1512*B1543)*IF(Inputs!$B$38="pvp",1,(1+(Inputs!$B$21+Skills!P2+B1538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12">
        <f>MAX(0,(Inputs!$B$3-100)*3)+Inputs!$B$28+Inputs!$B$29</f>
        <v/>
      </c>
    </row>
    <row r="1513">
      <c r="A1513">
        <f>Skills!A3</f>
        <v/>
      </c>
      <c r="B1513">
        <f>Skills!B3</f>
        <v/>
      </c>
      <c r="C1513">
        <f>Inputs!$B$3&gt;=15</f>
        <v/>
      </c>
      <c r="D1513">
        <f>IF(Skills!C3=1,60+Inputs!$B$25+Inputs!$B$29,IF(Skills!C3=2,90+Inputs!$B$26+Inputs!$B$29,IF(Skills!C3=3,120+Inputs!$B$27+Inputs!$B$29,MAX(0,(Inputs!$B$3-100)*3)+Inputs!$B$28+Inputs!$B$29)))</f>
        <v/>
      </c>
      <c r="E1513">
        <f>INDEX(FactorTable!$B$2:$Y$301, MATCH(ROUND(MIN(300,MAX(1,D1513)),0), FactorTable!$A$2:$A$301,0), Skills!L3+1)</f>
        <v/>
      </c>
      <c r="F1513">
        <f>IF(Skills!M3=TRUE,(Skills!K3/10)*(E1513/1000),Skills!K3/10)+Skills!N3</f>
        <v/>
      </c>
      <c r="G1513">
        <f>Calc!G3</f>
        <v/>
      </c>
      <c r="H1513">
        <f>Calc!H3</f>
        <v/>
      </c>
      <c r="I1513">
        <f>IF(Skills!T3&lt;&gt;"",1+(Skills!T3/10)*(Z1513/1000)/100,1)</f>
        <v/>
      </c>
      <c r="J1513" t="inlineStr"/>
      <c r="K1513" t="inlineStr"/>
      <c r="L1513" t="inlineStr"/>
      <c r="M1513" t="inlineStr"/>
      <c r="N1513" t="inlineStr"/>
      <c r="O1513">
        <f>(1-Summary!$B$11)*S1513+Summary!$B$11*U1513</f>
        <v/>
      </c>
      <c r="P1513">
        <f>IF(B1547=0,0,O1513/B1547)</f>
        <v/>
      </c>
      <c r="Q1513">
        <f>IFERROR(1/IF(Inputs!$B$38="pvp",15,MAX(0.1,Skills!D3-IF(Skills!E3=TRUE,Inputs!$B$32,0))),0)</f>
        <v/>
      </c>
      <c r="R1513">
        <f>IF(AND(Inputs!$B$38&lt;&gt;"pvp",Inputs!$B$43&gt;0),IF(Inputs!$B$43&lt;=0,0,(INT(Inputs!$B$43/IF(Inputs!$B$38="pvp",15,MAX(0.1,Skills!D3-IF(Skills!E3=TRUE,Inputs!$B$32,0))))+1)),0)</f>
        <v/>
      </c>
      <c r="S1513" t="n">
        <v>0</v>
      </c>
      <c r="T1513">
        <f>INDEX(FactorTable!$B$2:$Y$301, MATCH(ROUND(MIN(300,MAX(1,T1512)),0), FactorTable!$A$2:$A$301,0), 22)</f>
        <v/>
      </c>
      <c r="U1513" t="n">
        <v>0</v>
      </c>
      <c r="Z1513">
        <f>INDEX(FactorTable!$B$2:$Y$301, MATCH(ROUND(MIN(300,MAX(1,Z1512)),0), FactorTable!$A$2:$A$301,0), 24)</f>
        <v/>
      </c>
    </row>
    <row r="1514">
      <c r="A1514">
        <f>Skills!A4</f>
        <v/>
      </c>
      <c r="B1514">
        <f>Skills!B4</f>
        <v/>
      </c>
      <c r="C1514">
        <f>Inputs!$B$3&gt;=40</f>
        <v/>
      </c>
      <c r="D1514">
        <f>IF(Skills!C4=1,60+Inputs!$B$25+Inputs!$B$29,IF(Skills!C4=2,90+Inputs!$B$26+Inputs!$B$29,IF(Skills!C4=3,120+Inputs!$B$27+Inputs!$B$29,MAX(0,(Inputs!$B$3-100)*3)+Inputs!$B$28+Inputs!$B$29)))</f>
        <v/>
      </c>
      <c r="E1514">
        <f>INDEX(FactorTable!$B$2:$Y$301, MATCH(ROUND(MIN(300,MAX(1,D1514)),0), FactorTable!$A$2:$A$301,0), Skills!L4+1)</f>
        <v/>
      </c>
      <c r="F1514">
        <f>IF(Skills!M4=TRUE,(Skills!K4/10)*(E1514/1000),Skills!K4/10)+Skills!N4</f>
        <v/>
      </c>
      <c r="G1514">
        <f>Calc!G4</f>
        <v/>
      </c>
      <c r="H1514">
        <f>Calc!H4</f>
        <v/>
      </c>
      <c r="I1514">
        <f>IF(Skills!T4&lt;&gt;"",1+(Skills!T4/10)*(Z1513/1000)/100,1)</f>
        <v/>
      </c>
      <c r="J1514" t="inlineStr"/>
      <c r="K1514" t="inlineStr"/>
      <c r="L1514" t="inlineStr"/>
      <c r="M1514" t="inlineStr"/>
      <c r="N1514" t="inlineStr"/>
      <c r="O1514">
        <f>(1-Summary!$B$11)*S1514+Summary!$B$11*U1514</f>
        <v/>
      </c>
      <c r="P1514">
        <f>IF(B1547=0,0,O1514/B1547)</f>
        <v/>
      </c>
      <c r="Q1514">
        <f>IFERROR(1/IF(Inputs!$B$38="pvp",15,MAX(0.1,Skills!D4-IF(Skills!E4=TRUE,Inputs!$B$32,0))),0)</f>
        <v/>
      </c>
      <c r="R1514">
        <f>IF(AND(Inputs!$B$38&lt;&gt;"pvp",Inputs!$B$43&gt;0),IF(Inputs!$B$43&lt;=0,0,(INT(Inputs!$B$43/IF(Inputs!$B$38="pvp",15,MAX(0.1,Skills!D4-IF(Skills!E4=TRUE,Inputs!$B$32,0))))+1)),0)</f>
        <v/>
      </c>
      <c r="S1514" t="n">
        <v>0</v>
      </c>
      <c r="T1514">
        <f>290*T1513/1000</f>
        <v/>
      </c>
      <c r="U1514" t="n">
        <v>0</v>
      </c>
    </row>
    <row r="1515">
      <c r="A1515">
        <f>Skills!A5</f>
        <v/>
      </c>
      <c r="B1515">
        <f>Skills!B5</f>
        <v/>
      </c>
      <c r="C1515">
        <f>Inputs!$B$3&gt;=38</f>
        <v/>
      </c>
      <c r="D1515">
        <f>IF(Skills!C5=1,60+Inputs!$B$25+Inputs!$B$29,IF(Skills!C5=2,90+Inputs!$B$26+Inputs!$B$29,IF(Skills!C5=3,120+Inputs!$B$27+Inputs!$B$29,MAX(0,(Inputs!$B$3-100)*3)+Inputs!$B$28+Inputs!$B$29)))</f>
        <v/>
      </c>
      <c r="E1515">
        <f>INDEX(FactorTable!$B$2:$Y$301, MATCH(ROUND(MIN(300,MAX(1,D1515)),0), FactorTable!$A$2:$A$301,0), Skills!L5+1)</f>
        <v/>
      </c>
      <c r="F1515">
        <f>IF(Skills!M5=TRUE,(Skills!K5/10)*(E1515/1000),Skills!K5/10)+Skills!N5</f>
        <v/>
      </c>
      <c r="G1515">
        <f>Calc!G5</f>
        <v/>
      </c>
      <c r="H1515">
        <f>Calc!H5</f>
        <v/>
      </c>
      <c r="I1515">
        <f>IF(Skills!T5&lt;&gt;"",1+(Skills!T5/10)*(Z1513/1000)/100,1)</f>
        <v/>
      </c>
      <c r="J1515">
        <f>((Inputs!$B$6*(1+Inputs!$B$7/100))+(((Inputs!$B$12*(1+Inputs!$B$13/100))-(Inputs!$B$12*(1+Inputs!$B$13/100)))+0.25*(Inputs!$B$14-Inputs!$B$14))*(1+Inputs!$B$7/100))*(F1515/100)</f>
        <v/>
      </c>
      <c r="K1515">
        <f>J1515*(1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5="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1528-Calc!F18),(Inputs!$B$23+(IF(ArtifactsInput!$M$15,CHOOSE(ArtifactsInput!$N$15+1,25,30,35,40,45,50)/100*(Inputs!$B$11-Inputs!$B$11),0))))/100+(Inputs!$B$23+(IF(ArtifactsInput!$M$15,CHOOSE(ArtifactsInput!$N$15+1,25,30,35,40,45,50)/100*(Inputs!$B$11-Inputs!$B$11),0)))/100)/2</f>
        <v/>
      </c>
      <c r="M1515">
        <f>L1515*(1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IF(B1547=0,0,O1515/B1547)</f>
        <v/>
      </c>
      <c r="Q1515">
        <f>IFERROR(1/IF(Inputs!$B$38="pvp",15,MAX(0.1,Skills!D5-IF(Skills!E5=TRUE,Inputs!$B$32,0))),0)</f>
        <v/>
      </c>
      <c r="R1515">
        <f>IF(AND(Inputs!$B$38&lt;&gt;"pvp",Inputs!$B$43&gt;0),IF(MAX(0,Inputs!$B$43-B1544)&lt;=0,0,(INT(MAX(0,Inputs!$B$43-B1544)/IF(Inputs!$B$38="pvp",15,MAX(0.1,Skills!D5-IF(Skills!E5=TRUE,Inputs!$B$32,0))))+1)),0)</f>
        <v/>
      </c>
      <c r="S1515">
        <f>IF(C1515,(H1515*N1515*IF(AND(Inputs!$B$38&lt;&gt;"pvp",Inputs!$B$43&gt;0),((Skills!F5*((R1515-1)*IF(Skills!G5&gt;0,Skills!H5/Skills!G5,1)+IF(Skills!G5&gt;0,MIN(Skills!H5,MAX(0,MAX(0,Inputs!$B$43-B1544)-((R1515-1)*IF(Inputs!$B$38="pvp",15,MAX(0.1,Skills!D5-IF(Skills!E5=TRUE,Inputs!$B$32,0))))))/Skills!G5,1)))/Inputs!$B$43),G1515*Q1515))*IF(Inputs!$B$38="pvp",1,1+(Inputs!$B$20+Skills!O5+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IF(C1515,(H1515*N1515*IF(AND(Inputs!$B$38&lt;&gt;"pvp",Inputs!$B$43&gt;0),((Skills!F5*((R1515-1)*IF(Skills!G5&gt;0,Skills!H5/Skills!G5,1)+IF(Skills!G5&gt;0,MIN(Skills!H5,MAX(0,MAX(0,Inputs!$B$43-B1544)-((R1515-1)*IF(Inputs!$B$38="pvp",15,MAX(0.1,Skills!D5-IF(Skills!E5=TRUE,Inputs!$B$32,0))))))/Skills!G5,1)))/Inputs!$B$43),G1515*Q1515))*IF(Inputs!$B$38="pvp",1,(1+(Inputs!$B$21+Skills!P5+B1538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Skills!A6</f>
        <v/>
      </c>
      <c r="B1516">
        <f>Skills!B6</f>
        <v/>
      </c>
      <c r="C1516">
        <f>Inputs!$B$3&gt;=63</f>
        <v/>
      </c>
      <c r="D1516">
        <f>IF(Skills!C6=1,60+Inputs!$B$25+Inputs!$B$29,IF(Skills!C6=2,90+Inputs!$B$26+Inputs!$B$29,IF(Skills!C6=3,120+Inputs!$B$27+Inputs!$B$29,MAX(0,(Inputs!$B$3-100)*3)+Inputs!$B$28+Inputs!$B$29)))</f>
        <v/>
      </c>
      <c r="E1516">
        <f>INDEX(FactorTable!$B$2:$Y$301, MATCH(ROUND(MIN(300,MAX(1,D1516)),0), FactorTable!$A$2:$A$301,0), Skills!L6+1)</f>
        <v/>
      </c>
      <c r="F1516">
        <f>IF(Skills!M6=TRUE,(Skills!K6/10)*(E1516/1000),Skills!K6/10)+Skills!N6</f>
        <v/>
      </c>
      <c r="G1516">
        <f>Calc!G6</f>
        <v/>
      </c>
      <c r="H1516">
        <f>Calc!H6</f>
        <v/>
      </c>
      <c r="I1516">
        <f>IF(Skills!T6&lt;&gt;"",1+(Skills!T6/10)*(Z1513/1000)/100,1)</f>
        <v/>
      </c>
      <c r="J1516">
        <f>((Inputs!$B$6*(1+Inputs!$B$7/100))+(((Inputs!$B$12*(1+Inputs!$B$13/100))-(Inputs!$B$12*(1+Inputs!$B$13/100)))+0.25*(Inputs!$B$14-Inputs!$B$14))*(1+Inputs!$B$7/100))*(F1516/100)</f>
        <v/>
      </c>
      <c r="K1516">
        <f>J1516*(1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6="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F1528-Calc!F18),(Inputs!$B$23+(IF(ArtifactsInput!$M$15,CHOOSE(ArtifactsInput!$N$15+1,25,30,35,40,45,50)/100*(Inputs!$B$11-Inputs!$B$11),0))))/100+(Inputs!$B$23+(IF(ArtifactsInput!$M$15,CHOOSE(ArtifactsInput!$N$15+1,25,30,35,40,45,50)/100*(Inputs!$B$11-Inputs!$B$11),0)))/100)/2</f>
        <v/>
      </c>
      <c r="M1516">
        <f>L1516*(1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(1-Summary!$B$11)*S1516+Summary!$B$11*U1516</f>
        <v/>
      </c>
      <c r="P1516">
        <f>IF(B1547=0,0,O1516/B1547)</f>
        <v/>
      </c>
      <c r="Q1516">
        <f>IFERROR(1/IF(Inputs!$B$38="pvp",15,MAX(0.1,Skills!D6-IF(Skills!E6=TRUE,Inputs!$B$32,0))),0)</f>
        <v/>
      </c>
      <c r="R1516">
        <f>IF(AND(Inputs!$B$38&lt;&gt;"pvp",Inputs!$B$43&gt;0),IF(MAX(0,Inputs!$B$43-B1544)&lt;=0,0,(INT(MAX(0,Inputs!$B$43-B1544)/IF(Inputs!$B$38="pvp",15,MAX(0.1,Skills!D6-IF(Skills!E6=TRUE,Inputs!$B$32,0))))+1)),0)</f>
        <v/>
      </c>
      <c r="S1516">
        <f>IF(C1516,(H1516*N1516*IF(AND(Inputs!$B$38&lt;&gt;"pvp",Inputs!$B$43&gt;0),((Skills!F6*((R1516-1)*IF(Skills!G6&gt;0,Skills!H6/Skills!G6,1)+IF(Skills!G6&gt;0,MIN(Skills!H6,MAX(0,MAX(0,Inputs!$B$43-B1544)-((R1516-1)*IF(Inputs!$B$38="pvp",15,MAX(0.1,Skills!D6-IF(Skills!E6=TRUE,Inputs!$B$32,0))))))/Skills!G6,1)))/Inputs!$B$43),G1516*Q1516))*IF(Inputs!$B$38="pvp",1,1+(Inputs!$B$20+Skills!O6+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1516*(1-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IF(C1516,(H1516*N1516*IF(AND(Inputs!$B$38&lt;&gt;"pvp",Inputs!$B$43&gt;0),((Skills!F6*((R1516-1)*IF(Skills!G6&gt;0,Skills!H6/Skills!G6,1)+IF(Skills!G6&gt;0,MIN(Skills!H6,MAX(0,MAX(0,Inputs!$B$43-B1544)-((R1516-1)*IF(Inputs!$B$38="pvp",15,MAX(0.1,Skills!D6-IF(Skills!E6=TRUE,Inputs!$B$32,0))))))/Skills!G6,1)))/Inputs!$B$43),G1516*Q1516))*IF(Inputs!$B$38="pvp",1,(1+(Inputs!$B$21+Skills!P6+B1538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Skills!A7</f>
        <v/>
      </c>
      <c r="B1517">
        <f>Skills!B7</f>
        <v/>
      </c>
      <c r="C1517">
        <f>Inputs!$B$3&gt;=69</f>
        <v/>
      </c>
      <c r="D1517">
        <f>IF(Skills!C7=1,60+Inputs!$B$25+Inputs!$B$29,IF(Skills!C7=2,90+Inputs!$B$26+Inputs!$B$29,IF(Skills!C7=3,120+Inputs!$B$27+Inputs!$B$29,MAX(0,(Inputs!$B$3-100)*3)+Inputs!$B$28+Inputs!$B$29)))</f>
        <v/>
      </c>
      <c r="E1517">
        <f>INDEX(FactorTable!$B$2:$Y$301, MATCH(ROUND(MIN(300,MAX(1,D1517)),0), FactorTable!$A$2:$A$301,0), Skills!L7+1)</f>
        <v/>
      </c>
      <c r="F1517">
        <f>IF(Skills!M7=TRUE,(Skills!K7/10)*(E1517/1000),Skills!K7/10)+Skills!N7</f>
        <v/>
      </c>
      <c r="G1517">
        <f>Calc!G7</f>
        <v/>
      </c>
      <c r="H1517">
        <f>Calc!H7</f>
        <v/>
      </c>
      <c r="I1517">
        <f>IF(Skills!T7&lt;&gt;"",1+(Skills!T7/10)*(Z1513/1000)/100,1)</f>
        <v/>
      </c>
      <c r="J1517">
        <f>((Inputs!$B$6*(1+Inputs!$B$7/100))+(((Inputs!$B$12*(1+Inputs!$B$13/100))-(Inputs!$B$12*(1+Inputs!$B$13/100)))+0.25*(Inputs!$B$14-Inputs!$B$14))*(1+Inputs!$B$7/100))*(F1517/100)</f>
        <v/>
      </c>
      <c r="K1517">
        <f>J1517*(1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7="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F1528-Calc!F18),(Inputs!$B$23+(IF(ArtifactsInput!$M$15,CHOOSE(ArtifactsInput!$N$15+1,25,30,35,40,45,50)/100*(Inputs!$B$11-Inputs!$B$11),0))))/100+(Inputs!$B$23+(IF(ArtifactsInput!$M$15,CHOOSE(ArtifactsInput!$N$15+1,25,30,35,40,45,50)/100*(Inputs!$B$11-Inputs!$B$11),0)))/100)/2</f>
        <v/>
      </c>
      <c r="M1517">
        <f>L1517*(1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(1-Summary!$B$11)*S1517+Summary!$B$11*U1517</f>
        <v/>
      </c>
      <c r="P1517">
        <f>IF(B1547=0,0,O1517/B1547)</f>
        <v/>
      </c>
      <c r="Q1517">
        <f>IFERROR(1/IF(Inputs!$B$38="pvp",15,MAX(0.1,Skills!D7-IF(Skills!E7=TRUE,Inputs!$B$32,0))),0)</f>
        <v/>
      </c>
      <c r="R1517">
        <f>IF(AND(Inputs!$B$38&lt;&gt;"pvp",Inputs!$B$43&gt;0),IF(MAX(0,Inputs!$B$43-B1544)&lt;=0,0,(INT(MAX(0,Inputs!$B$43-B1544)/IF(Inputs!$B$38="pvp",15,MAX(0.1,Skills!D7-IF(Skills!E7=TRUE,Inputs!$B$32,0))))+1)),0)</f>
        <v/>
      </c>
      <c r="S1517">
        <f>IF(C1517,(H1517*N1517*IF(AND(Inputs!$B$38&lt;&gt;"pvp",Inputs!$B$43&gt;0),((Skills!F7*((R1517-1)*IF(Skills!G7&gt;0,Skills!H7/Skills!G7,1)+IF(Skills!G7&gt;0,MIN(Skills!H7,MAX(0,MAX(0,Inputs!$B$43-B1544)-((R1517-1)*IF(Inputs!$B$38="pvp",15,MAX(0.1,Skills!D7-IF(Skills!E7=TRUE,Inputs!$B$32,0))))))/Skills!G7,1)))/Inputs!$B$43),G1517*Q1517))*IF(Inputs!$B$38="pvp",1,1+(Inputs!$B$20+Skills!O7+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1517*(1-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F(C1517,(H1517*N1517*IF(AND(Inputs!$B$38&lt;&gt;"pvp",Inputs!$B$43&gt;0),((Skills!F7*((R1517-1)*IF(Skills!G7&gt;0,Skills!H7/Skills!G7,1)+IF(Skills!G7&gt;0,MIN(Skills!H7,MAX(0,MAX(0,Inputs!$B$43-B1544)-((R1517-1)*IF(Inputs!$B$38="pvp",15,MAX(0.1,Skills!D7-IF(Skills!E7=TRUE,Inputs!$B$32,0))))))/Skills!G7,1)))/Inputs!$B$43),G1517*Q1517))*IF(Inputs!$B$38="pvp",1,(1+(Inputs!$B$21+Skills!P7+B1538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Skills!A8</f>
        <v/>
      </c>
      <c r="B1518">
        <f>Skills!B8</f>
        <v/>
      </c>
      <c r="C1518">
        <f>Inputs!$B$3&gt;=103</f>
        <v/>
      </c>
      <c r="D1518">
        <f>IF(Skills!C8=1,60+Inputs!$B$25+Inputs!$B$29,IF(Skills!C8=2,90+Inputs!$B$26+Inputs!$B$29,IF(Skills!C8=3,120+Inputs!$B$27+Inputs!$B$29,MAX(0,(Inputs!$B$3-100)*3)+Inputs!$B$28+Inputs!$B$29)))</f>
        <v/>
      </c>
      <c r="E1518">
        <f>INDEX(FactorTable!$B$2:$Y$301, MATCH(ROUND(MIN(300,MAX(1,D1518)),0), FactorTable!$A$2:$A$301,0), Skills!L8+1)</f>
        <v/>
      </c>
      <c r="F1518">
        <f>IF(Skills!M8=TRUE,(Skills!K8/10)*(E1518/1000),Skills!K8/10)+Skills!N8</f>
        <v/>
      </c>
      <c r="G1518">
        <f>Calc!G8</f>
        <v/>
      </c>
      <c r="H1518">
        <f>Calc!H8</f>
        <v/>
      </c>
      <c r="I1518">
        <f>IF(Skills!T8&lt;&gt;"",1+(Skills!T8/10)*(Z1513/1000)/100,1)</f>
        <v/>
      </c>
      <c r="J1518">
        <f>((Inputs!$B$6*(1+Inputs!$B$7/100))+(((Inputs!$B$12*(1+Inputs!$B$13/100))-(Inputs!$B$12*(1+Inputs!$B$13/100)))+0.25*(Inputs!$B$14-Inputs!$B$14))*(1+Inputs!$B$7/100))*(F1518/100)</f>
        <v/>
      </c>
      <c r="K1518">
        <f>J1518*(1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8="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F1528-Calc!F18),(Inputs!$B$23+(IF(ArtifactsInput!$M$15,CHOOSE(ArtifactsInput!$N$15+1,25,30,35,40,45,50)/100*(Inputs!$B$11-Inputs!$B$11),0))))/100+(Inputs!$B$23+(IF(ArtifactsInput!$M$15,CHOOSE(ArtifactsInput!$N$15+1,25,30,35,40,45,50)/100*(Inputs!$B$11-Inputs!$B$11),0)))/100)/2</f>
        <v/>
      </c>
      <c r="M1518">
        <f>L1518*(1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(1-Summary!$B$11)*S1518+Summary!$B$11*U1518</f>
        <v/>
      </c>
      <c r="P1518">
        <f>IF(B1547=0,0,O1518/B1547)</f>
        <v/>
      </c>
      <c r="Q1518">
        <f>IFERROR(1/IF(Inputs!$B$38="pvp",15,MAX(0.1,Skills!D8-IF(Skills!E8=TRUE,Inputs!$B$32,0))),0)</f>
        <v/>
      </c>
      <c r="R1518">
        <f>IF(AND(Inputs!$B$38&lt;&gt;"pvp",Inputs!$B$43&gt;0),IF(MAX(0,Inputs!$B$43-B1544)&lt;=0,0,(INT(MAX(0,Inputs!$B$43-B1544)/IF(Inputs!$B$38="pvp",15,MAX(0.1,Skills!D8-IF(Skills!E8=TRUE,Inputs!$B$32,0))))+1)),0)</f>
        <v/>
      </c>
      <c r="S1518">
        <f>IF(C1518,(H1518*N1518*IF(AND(Inputs!$B$38&lt;&gt;"pvp",Inputs!$B$43&gt;0),((Skills!F8*((R1518-1)*IF(Skills!G8&gt;0,Skills!H8/Skills!G8,1)+IF(Skills!G8&gt;0,MIN(Skills!H8,MAX(0,MAX(0,Inputs!$B$43-B1544)-((R1518-1)*IF(Inputs!$B$38="pvp",15,MAX(0.1,Skills!D8-IF(Skills!E8=TRUE,Inputs!$B$32,0))))))/Skills!G8,1)))/Inputs!$B$43),G1518*Q1518))*IF(Inputs!$B$38="pvp",1,1+(Inputs!$B$20+Skills!O8+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1518*(1-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F(C1518,(H1518*N1518*IF(AND(Inputs!$B$38&lt;&gt;"pvp",Inputs!$B$43&gt;0),((Skills!F8*((R1518-1)*IF(Skills!G8&gt;0,Skills!H8/Skills!G8,1)+IF(Skills!G8&gt;0,MIN(Skills!H8,MAX(0,MAX(0,Inputs!$B$43-B1544)-((R1518-1)*IF(Inputs!$B$38="pvp",15,MAX(0.1,Skills!D8-IF(Skills!E8=TRUE,Inputs!$B$32,0))))))/Skills!G8,1)))/Inputs!$B$43),G1518*Q1518))*IF(Inputs!$B$38="pvp",1,(1+(Inputs!$B$21+Skills!P8+B1538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Skills!A9</f>
        <v/>
      </c>
      <c r="B1519">
        <f>Skills!B9</f>
        <v/>
      </c>
      <c r="C1519">
        <f>Inputs!$B$3&gt;=105</f>
        <v/>
      </c>
      <c r="D1519">
        <f>IF(Skills!C9=1,60+Inputs!$B$25+Inputs!$B$29,IF(Skills!C9=2,90+Inputs!$B$26+Inputs!$B$29,IF(Skills!C9=3,120+Inputs!$B$27+Inputs!$B$29,MAX(0,(Inputs!$B$3-100)*3)+Inputs!$B$28+Inputs!$B$29)))</f>
        <v/>
      </c>
      <c r="E1519">
        <f>INDEX(FactorTable!$B$2:$Y$301, MATCH(ROUND(MIN(300,MAX(1,D1519)),0), FactorTable!$A$2:$A$301,0), Skills!L9+1)</f>
        <v/>
      </c>
      <c r="F1519">
        <f>IF(Skills!M9=TRUE,(Skills!K9/10)*(E1519/1000),Skills!K9/10)+Skills!N9</f>
        <v/>
      </c>
      <c r="G1519">
        <f>Calc!G9</f>
        <v/>
      </c>
      <c r="H1519">
        <f>Calc!H9</f>
        <v/>
      </c>
      <c r="I1519">
        <f>IF(Skills!T9&lt;&gt;"",1+(Skills!T9/10)*(Z1513/1000)/100,1)</f>
        <v/>
      </c>
      <c r="J1519">
        <f>((Inputs!$B$6*(1+Inputs!$B$7/100))+(((Inputs!$B$12*(1+Inputs!$B$13/100))-(Inputs!$B$12*(1+Inputs!$B$13/100)))+0.25*(Inputs!$B$14-Inputs!$B$14))*(1+Inputs!$B$7/100))*(F1519/100)</f>
        <v/>
      </c>
      <c r="K1519">
        <f>J1519*(1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9="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F1528-Calc!F18),(Inputs!$B$23+(IF(ArtifactsInput!$M$15,CHOOSE(ArtifactsInput!$N$15+1,25,30,35,40,45,50)/100*(Inputs!$B$11-Inputs!$B$11),0))))/100+(Inputs!$B$23+(IF(ArtifactsInput!$M$15,CHOOSE(ArtifactsInput!$N$15+1,25,30,35,40,45,50)/100*(Inputs!$B$11-Inputs!$B$11),0)))/100)/2</f>
        <v/>
      </c>
      <c r="M1519">
        <f>L1519*(1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(1-Summary!$B$11)*S1519+Summary!$B$11*U1519</f>
        <v/>
      </c>
      <c r="P1519">
        <f>IF(B1547=0,0,O1519/B1547)</f>
        <v/>
      </c>
      <c r="Q1519">
        <f>IFERROR(1/IF(Inputs!$B$38="pvp",15,MAX(0.1,Skills!D9-IF(Skills!E9=TRUE,Inputs!$B$32,0))),0)</f>
        <v/>
      </c>
      <c r="R1519">
        <f>IF(AND(Inputs!$B$38&lt;&gt;"pvp",Inputs!$B$43&gt;0),IF(MAX(0,Inputs!$B$43-B1544)&lt;=0,0,(INT(MAX(0,Inputs!$B$43-B1544)/IF(Inputs!$B$38="pvp",15,MAX(0.1,Skills!D9-IF(Skills!E9=TRUE,Inputs!$B$32,0))))+1)),0)</f>
        <v/>
      </c>
      <c r="S1519">
        <f>IF(C1519,(H1519*N1519*IF(AND(Inputs!$B$38&lt;&gt;"pvp",Inputs!$B$43&gt;0),((Skills!F9*((R1519-1)*IF(Skills!G9&gt;0,Skills!H9/Skills!G9,1)+IF(Skills!G9&gt;0,MIN(Skills!H9,MAX(0,MAX(0,Inputs!$B$43-B1544)-((R1519-1)*IF(Inputs!$B$38="pvp",15,MAX(0.1,Skills!D9-IF(Skills!E9=TRUE,Inputs!$B$32,0))))))/Skills!G9,1)))/Inputs!$B$43),G1519*Q1519))*IF(Inputs!$B$38="pvp",1,1+(Inputs!$B$20+Skills!O9+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1519*(1-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IF(C1519,(H1519*N1519*IF(AND(Inputs!$B$38&lt;&gt;"pvp",Inputs!$B$43&gt;0),((Skills!F9*((R1519-1)*IF(Skills!G9&gt;0,Skills!H9/Skills!G9,1)+IF(Skills!G9&gt;0,MIN(Skills!H9,MAX(0,MAX(0,Inputs!$B$43-B1544)-((R1519-1)*IF(Inputs!$B$38="pvp",15,MAX(0.1,Skills!D9-IF(Skills!E9=TRUE,Inputs!$B$32,0))))))/Skills!G9,1)))/Inputs!$B$43),G1519*Q1519))*IF(Inputs!$B$38="pvp",1,(1+(Inputs!$B$21+Skills!P9+B1538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Skills!A10</f>
        <v/>
      </c>
      <c r="B1520">
        <f>Skills!B10</f>
        <v/>
      </c>
      <c r="C1520">
        <f>Inputs!$B$3&gt;=113</f>
        <v/>
      </c>
      <c r="D1520">
        <f>IF(Skills!C10=1,60+Inputs!$B$25+Inputs!$B$29,IF(Skills!C10=2,90+Inputs!$B$26+Inputs!$B$29,IF(Skills!C10=3,120+Inputs!$B$27+Inputs!$B$29,MAX(0,(Inputs!$B$3-100)*3)+Inputs!$B$28+Inputs!$B$29)))</f>
        <v/>
      </c>
      <c r="E1520">
        <f>INDEX(FactorTable!$B$2:$Y$301, MATCH(ROUND(MIN(300,MAX(1,D1520)),0), FactorTable!$A$2:$A$301,0), Skills!L10+1)</f>
        <v/>
      </c>
      <c r="F1520">
        <f>IF(Skills!M10=TRUE,(Skills!K10/10)*(E1520/1000),Skills!K10/10)+Skills!N10</f>
        <v/>
      </c>
      <c r="G1520">
        <f>Calc!G10</f>
        <v/>
      </c>
      <c r="H1520">
        <f>Calc!H10</f>
        <v/>
      </c>
      <c r="I1520">
        <f>IF(Skills!T10&lt;&gt;"",1+(Skills!T10/10)*(Z1513/1000)/100,1)</f>
        <v/>
      </c>
      <c r="J1520">
        <f>((Inputs!$B$6*(1+Inputs!$B$7/100))+(((Inputs!$B$12*(1+Inputs!$B$13/100))-(Inputs!$B$12*(1+Inputs!$B$13/100)))+0.25*(Inputs!$B$14-Inputs!$B$14))*(1+Inputs!$B$7/100))*(F1520/100)</f>
        <v/>
      </c>
      <c r="K1520">
        <f>J1520*(1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10="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F1528-Calc!F18),(Inputs!$B$23+(IF(ArtifactsInput!$M$15,CHOOSE(ArtifactsInput!$N$15+1,25,30,35,40,45,50)/100*(Inputs!$B$11-Inputs!$B$11),0))))/100+(Inputs!$B$23+(IF(ArtifactsInput!$M$15,CHOOSE(ArtifactsInput!$N$15+1,25,30,35,40,45,50)/100*(Inputs!$B$11-Inputs!$B$11),0)))/100)/2</f>
        <v/>
      </c>
      <c r="M1520">
        <f>L1520*(1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(1-Summary!$B$11)*S1520+Summary!$B$11*U1520</f>
        <v/>
      </c>
      <c r="P1520">
        <f>IF(B1547=0,0,O1520/B1547)</f>
        <v/>
      </c>
      <c r="Q1520">
        <f>IFERROR(1/IF(Inputs!$B$38="pvp",15,MAX(0.1,Skills!D10-IF(Skills!E9=TRUE,Inputs!$B$32,0))),0)</f>
        <v/>
      </c>
      <c r="R1520">
        <f>IF(AND(Inputs!$B$38&lt;&gt;"pvp",Inputs!$B$43&gt;0),IF(MAX(0,Inputs!$B$43-B1544)&lt;=0,0,(INT(MAX(0,Inputs!$B$43-B1544)/IF(Inputs!$B$38="pvp",15,MAX(0.1,Skills!D10-IF(Skills!E9=TRUE,Inputs!$B$32,0))))+1)),0)</f>
        <v/>
      </c>
      <c r="S1520">
        <f>IF(C1520,(H1520*N1520*IF(AND(Inputs!$B$38&lt;&gt;"pvp",Inputs!$B$43&gt;0),((Skills!F10*((R1520-1)*IF(Skills!G10&gt;0,Skills!H10/Skills!G10,1)+IF(Skills!G10&gt;0,MIN(Skills!H10,MAX(0,MAX(0,Inputs!$B$43-B1544)-((R1520-1)*IF(Inputs!$B$38="pvp",15,MAX(0.1,Skills!D10-IF(Skills!E9=TRUE,Inputs!$B$32,0))))))/Skills!G10,1)))/Inputs!$B$43),G1520*Q1520))*IF(Inputs!$B$38="pvp",1,1+(Inputs!$B$20+Skills!O10+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1520*(1-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0">
        <f>IF(C1520,(H1520*N1520*IF(AND(Inputs!$B$38&lt;&gt;"pvp",Inputs!$B$43&gt;0),((Skills!F10*((R1520-1)*IF(Skills!G10&gt;0,Skills!H10/Skills!G10,1)+IF(Skills!G10&gt;0,MIN(Skills!H10,MAX(0,MAX(0,Inputs!$B$43-B1544)-((R1520-1)*IF(Inputs!$B$38="pvp",15,MAX(0.1,Skills!D10-IF(Skills!E9=TRUE,Inputs!$B$32,0))))))/Skills!G10,1)))/Inputs!$B$43),G1520*Q1520))*IF(Inputs!$B$38="pvp",1,(1+(Inputs!$B$21+Skills!P10+B1538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Skills!A11</f>
        <v/>
      </c>
      <c r="B1521">
        <f>Skills!B11</f>
        <v/>
      </c>
      <c r="C1521">
        <f>Inputs!$B$3&gt;=107</f>
        <v/>
      </c>
      <c r="D1521">
        <f>IF(Skills!C11=1,60+Inputs!$B$25+Inputs!$B$29,IF(Skills!C11=2,90+Inputs!$B$26+Inputs!$B$29,IF(Skills!C11=3,120+Inputs!$B$27+Inputs!$B$29,MAX(0,(Inputs!$B$3-100)*3)+Inputs!$B$28+Inputs!$B$29)))</f>
        <v/>
      </c>
      <c r="E1521">
        <f>INDEX(FactorTable!$B$2:$Y$301, MATCH(ROUND(MIN(300,MAX(1,D1521)),0), FactorTable!$A$2:$A$301,0), Skills!L11+1)</f>
        <v/>
      </c>
      <c r="F1521">
        <f>IF(Skills!M11=TRUE,(Skills!K11/10)*(E1521/1000),Skills!K11/10)+Skills!N11</f>
        <v/>
      </c>
      <c r="G1521">
        <f>Calc!G11</f>
        <v/>
      </c>
      <c r="H1521">
        <f>Calc!H11</f>
        <v/>
      </c>
      <c r="I1521">
        <f>IF(Skills!T11&lt;&gt;"",1+(Skills!T11/10)*(Z1513/1000)/100,1)</f>
        <v/>
      </c>
      <c r="J1521">
        <f>((Inputs!$B$6*(1+Inputs!$B$7/100))+(((Inputs!$B$12*(1+Inputs!$B$13/100))-(Inputs!$B$12*(1+Inputs!$B$13/100)))+0.25*(Inputs!$B$14-Inputs!$B$14))*(1+Inputs!$B$7/100))*(F1521/100)</f>
        <v/>
      </c>
      <c r="K1521">
        <f>J1521*(1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11="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F1528-Calc!F18),(Inputs!$B$23+(IF(ArtifactsInput!$M$15,CHOOSE(ArtifactsInput!$N$15+1,25,30,35,40,45,50)/100*(Inputs!$B$11-Inputs!$B$11),0))))/100+(Inputs!$B$23+(IF(ArtifactsInput!$M$15,CHOOSE(ArtifactsInput!$N$15+1,25,30,35,40,45,50)/100*(Inputs!$B$11-Inputs!$B$11),0)))/100)/2</f>
        <v/>
      </c>
      <c r="M1521">
        <f>L1521*(1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(1-Summary!$B$11)*S1521+Summary!$B$11*U1521</f>
        <v/>
      </c>
      <c r="P1521">
        <f>IF(B1547=0,0,O1521/B1547)</f>
        <v/>
      </c>
      <c r="Q1521">
        <f>IFERROR(1/IF(Inputs!$B$38="pvp",15,MAX(0.1,Skills!D11-IF(Skills!E11=TRUE,Inputs!$B$32,0))),0)</f>
        <v/>
      </c>
      <c r="R1521">
        <f>IF(AND(Inputs!$B$38&lt;&gt;"pvp",Inputs!$B$43&gt;0),IF(MAX(0,Inputs!$B$43-B1544)&lt;=0,0,(INT(MAX(0,Inputs!$B$43-B1544)/IF(Inputs!$B$38="pvp",15,MAX(0.1,Skills!D11-IF(Skills!E11=TRUE,Inputs!$B$32,0))))+1)),0)</f>
        <v/>
      </c>
      <c r="S1521">
        <f>IF(C1521,H1521*N1521*IF(AND(Inputs!$B$38&lt;&gt;"pvp",Inputs!$B$43&gt;0),((Skills!F11*((R1521-1)*IF(Skills!G11&gt;0,Skills!H11/Skills!G11,1)+IF(Skills!G11&gt;0,MIN(Skills!H11,MAX(0,MAX(0,Inputs!$B$43-B1544)-((R1521-1)*IF(Inputs!$B$38="pvp",15,MAX(0.1,Skills!D11-IF(Skills!E11=TRUE,Inputs!$B$32,0))))))/Skills!G11,1)))/Inputs!$B$43),G1521*Q1521)*0.5*IF(Inputs!$B$38="pvp",1,1+(Inputs!$B$20+Skills!O11+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1">
        <f>IF(C1521,H1521*N1521*IF(AND(Inputs!$B$38&lt;&gt;"pvp",Inputs!$B$43&gt;0),((Skills!F11*((R1521-1)*IF(Skills!G11&gt;0,Skills!H11/Skills!G11,1)+IF(Skills!G11&gt;0,MIN(Skills!H11,MAX(0,MAX(0,Inputs!$B$43-B1544)-((R1521-1)*IF(Inputs!$B$38="pvp",15,MAX(0.1,Skills!D11-IF(Skills!E11=TRUE,Inputs!$B$32,0))))))/Skills!G11,1)))/Inputs!$B$43),G1521*Q1521)*1*IF(Inputs!$B$38="pvp",1,(1+(Inputs!$B$21+Skills!P11+B1538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Skills!A12</f>
        <v/>
      </c>
      <c r="B1522">
        <f>Skills!B12</f>
        <v/>
      </c>
      <c r="C1522">
        <f>Inputs!$B$3&gt;=115</f>
        <v/>
      </c>
      <c r="D1522">
        <f>IF(Skills!C12=1,60+Inputs!$B$25+Inputs!$B$29,IF(Skills!C12=2,90+Inputs!$B$26+Inputs!$B$29,IF(Skills!C12=3,120+Inputs!$B$27+Inputs!$B$29,MAX(0,(Inputs!$B$3-100)*3)+Inputs!$B$28+Inputs!$B$29)))</f>
        <v/>
      </c>
      <c r="E1522">
        <f>INDEX(FactorTable!$B$2:$Y$301, MATCH(ROUND(MIN(300,MAX(1,D1522)),0), FactorTable!$A$2:$A$301,0), Skills!L12+1)</f>
        <v/>
      </c>
      <c r="F1522">
        <f>IF(Skills!M12=TRUE,(Skills!K12/10)*(E1522/1000),Skills!K12/10)+Skills!N12</f>
        <v/>
      </c>
      <c r="G1522">
        <f>Calc!G12</f>
        <v/>
      </c>
      <c r="H1522">
        <f>Calc!H12</f>
        <v/>
      </c>
      <c r="I1522">
        <f>IF(Skills!T12&lt;&gt;"",1+(Skills!T12/10)*(Z1513/1000)/100,1)</f>
        <v/>
      </c>
      <c r="J1522">
        <f>((Inputs!$B$6*(1+Inputs!$B$7/100))+(((Inputs!$B$12*(1+Inputs!$B$13/100))-(Inputs!$B$12*(1+Inputs!$B$13/100)))+0.25*(Inputs!$B$14-Inputs!$B$14))*(1+Inputs!$B$7/100))*(F1522/100)</f>
        <v/>
      </c>
      <c r="K1522">
        <f>J1522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12="CHAIN_LIGHTNING",Inputs!$B$17+((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F1528-Calc!F18),(Inputs!$B$23+(IF(ArtifactsInput!$M$15,CHOOSE(ArtifactsInput!$N$15+1,25,30,35,40,45,50)/100*(Inputs!$B$11-Inputs!$B$11),0))))/100+(Inputs!$B$23+(IF(ArtifactsInput!$M$15,CHOOSE(ArtifactsInput!$N$15+1,25,30,35,40,45,50)/100*(Inputs!$B$11-Inputs!$B$11),0)))/100)/2</f>
        <v/>
      </c>
      <c r="M1522">
        <f>L1522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(1-Summary!$B$11)*S1522+Summary!$B$11*U1522</f>
        <v/>
      </c>
      <c r="P1522">
        <f>IF(B1547=0,0,O1522/B1547)</f>
        <v/>
      </c>
      <c r="Q1522">
        <f>IFERROR(1/IF(Inputs!$B$38="pvp",15,MAX(0.1,Skills!D12-IF(Skills!E12=TRUE,Inputs!$B$32,0))),0)</f>
        <v/>
      </c>
      <c r="R1522">
        <f>IF(AND(Inputs!$B$38&lt;&gt;"pvp",Inputs!$B$43&gt;0),IF(MAX(0,Inputs!$B$43-B1544)&lt;=0,0,(INT(MAX(0,Inputs!$B$43-B1544)/IF(Inputs!$B$38="pvp",15,MAX(0.1,Skills!D12-IF(Skills!E12=TRUE,Inputs!$B$32,0))))+1)),0)</f>
        <v/>
      </c>
      <c r="S1522">
        <f>IF(C1522,(H1522*N1522*IF(AND(Inputs!$B$38&lt;&gt;"pvp",Inputs!$B$43&gt;0),((Skills!F12*((R1522-1)*IF(Skills!G12&gt;0,Skills!H12/Skills!G12,1)+IF(Skills!G12&gt;0,MIN(Skills!H12,MAX(0,MAX(0,Inputs!$B$43-B1544)-((R1522-1)*IF(Inputs!$B$38="pvp",15,MAX(0.1,Skills!D12-IF(Skills!E12=TRUE,Inputs!$B$32,0))))))/Skills!G12,1)))/Inputs!$B$43),G1522*Q1522))*IF(Inputs!$B$38="pvp",1,1+(Inputs!$B$20+Skills!O12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1522*(1-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F1530-Calc!F20)+(F1529-Calc!F19))+(ArtifactsInput!$M$24-ArtifactsInput!$M$24)*CHOOSE(ArtifactsInput!$N$24+1,10,12,14,16,18,20)+(IF(AND(Inputs!$B$38&lt;&gt;"pvp",Inputs!$B$43=0),1,IF(IF(Inputs!$B$38="pvp",15,Inputs!$B$43)-(B1544)&lt;=0,1,MAX(0,IF(Inputs!$B$38="pvp",15,Inputs!$B$43)-MAX(5,B1544))/(IF(Inputs!$B$38="pvp",15,Inputs!$B$43)-(B1544)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2">
        <f>IF(C1522,(H1522*N1522*IF(AND(Inputs!$B$38&lt;&gt;"pvp",Inputs!$B$43&gt;0),((Skills!F12*((R1522-1)*IF(Skills!G12&gt;0,Skills!H12/Skills!G12,1)+IF(Skills!G12&gt;0,MIN(Skills!H12,MAX(0,MAX(0,Inputs!$B$43-B1544)-((R1522-1)*IF(Inputs!$B$38="pvp",15,MAX(0.1,Skills!D12-IF(Skills!E12=TRUE,Inputs!$B$32,0))))))/Skills!G12,1)))/Inputs!$B$43),G1522*Q1522))*IF(Inputs!$B$38="pvp",1,(1+(Inputs!$B$21+Skills!P12+B1538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Skills!A13</f>
        <v/>
      </c>
      <c r="B1523">
        <f>Skills!B13</f>
        <v/>
      </c>
      <c r="C1523">
        <f>Inputs!$B$3&gt;=49</f>
        <v/>
      </c>
      <c r="D1523">
        <f>IF(Skills!C13=1,60+Inputs!$B$25+Inputs!$B$29,IF(Skills!C13=2,90+Inputs!$B$26+Inputs!$B$29,IF(Skills!C13=3,120+Inputs!$B$27+Inputs!$B$29,MAX(0,(Inputs!$B$3-100)*3)+Inputs!$B$28+Inputs!$B$29)))</f>
        <v/>
      </c>
      <c r="E1523">
        <f>INDEX(FactorTable!$B$2:$Y$301, MATCH(ROUND(MIN(300,MAX(1,D1523)),0), FactorTable!$A$2:$A$301,0), Skills!L13+1)</f>
        <v/>
      </c>
      <c r="F1523">
        <f>IF(Skills!M13=TRUE,(Skills!K13/10)*(E1523/1000),Skills!K13/10)+Skills!N13</f>
        <v/>
      </c>
      <c r="G1523">
        <f>Calc!G13</f>
        <v/>
      </c>
      <c r="H1523">
        <f>Calc!H13</f>
        <v/>
      </c>
      <c r="I1523">
        <f>IF(Skills!T13&lt;&gt;"",1+(Skills!T13/10)*(Z1513/1000)/100,1)</f>
        <v/>
      </c>
      <c r="J1523" t="inlineStr"/>
      <c r="K1523" t="inlineStr"/>
      <c r="L1523" t="inlineStr"/>
      <c r="M1523" t="inlineStr"/>
      <c r="N1523" t="inlineStr"/>
      <c r="O1523">
        <f>(1-Summary!$B$11)*S1523+Summary!$B$11*U1523</f>
        <v/>
      </c>
      <c r="P1523">
        <f>IF(B1547=0,0,O1523/B1547)</f>
        <v/>
      </c>
      <c r="Q1523">
        <f>IFERROR(1/IF(Inputs!$B$38="pvp",15,MAX(0.1,Skills!D13-IF(Skills!E13=TRUE,Inputs!$B$32,0))),0)</f>
        <v/>
      </c>
      <c r="R1523" t="n">
        <v>0</v>
      </c>
      <c r="S1523" t="n">
        <v>0</v>
      </c>
      <c r="U1523" t="n">
        <v>0</v>
      </c>
    </row>
    <row r="1524">
      <c r="A1524">
        <f>Skills!A14</f>
        <v/>
      </c>
      <c r="B1524">
        <f>Skills!B14</f>
        <v/>
      </c>
      <c r="C1524">
        <f>Inputs!$B$3&gt;=72</f>
        <v/>
      </c>
      <c r="D1524">
        <f>IF(Skills!C14=1,60+Inputs!$B$25+Inputs!$B$29,IF(Skills!C14=2,90+Inputs!$B$26+Inputs!$B$29,IF(Skills!C14=3,120+Inputs!$B$27+Inputs!$B$29,MAX(0,(Inputs!$B$3-100)*3)+Inputs!$B$28+Inputs!$B$29)))</f>
        <v/>
      </c>
      <c r="E1524">
        <f>INDEX(FactorTable!$B$2:$Y$301, MATCH(ROUND(MIN(300,MAX(1,D1524)),0), FactorTable!$A$2:$A$301,0), Skills!L14+1)</f>
        <v/>
      </c>
      <c r="F1524">
        <f>IF(Skills!M14=TRUE,(Skills!K14/10)*(E1524/1000),Skills!K14/10)+Skills!N14</f>
        <v/>
      </c>
      <c r="G1524">
        <f>Calc!G14</f>
        <v/>
      </c>
      <c r="H1524">
        <f>Calc!H14</f>
        <v/>
      </c>
      <c r="I1524">
        <f>IF(Skills!T14&lt;&gt;"",1+(Skills!T14/10)*(Z1513/1000)/100,1)</f>
        <v/>
      </c>
      <c r="J1524" t="inlineStr"/>
      <c r="K1524" t="inlineStr"/>
      <c r="L1524" t="inlineStr"/>
      <c r="M1524" t="inlineStr"/>
      <c r="N1524" t="inlineStr"/>
      <c r="O1524">
        <f>(1-Summary!$B$11)*S1524+Summary!$B$11*U1524</f>
        <v/>
      </c>
      <c r="P1524">
        <f>IF(B1547=0,0,O1524/B1547)</f>
        <v/>
      </c>
      <c r="Q1524">
        <f>IFERROR(1/IF(Inputs!$B$38="pvp",15,MAX(0.1,Skills!D14-IF(Skills!E14=TRUE,Inputs!$B$32,0))),0)</f>
        <v/>
      </c>
      <c r="R1524" t="n">
        <v>0</v>
      </c>
      <c r="S1524" t="n">
        <v>0</v>
      </c>
      <c r="U1524" t="n">
        <v>0</v>
      </c>
    </row>
    <row r="1525">
      <c r="A1525">
        <f>Skills!A15</f>
        <v/>
      </c>
      <c r="B1525">
        <f>Skills!B15</f>
        <v/>
      </c>
      <c r="C1525">
        <f>Inputs!$B$3&gt;=75</f>
        <v/>
      </c>
      <c r="D1525">
        <f>IF(Skills!C15=1,60+Inputs!$B$25+Inputs!$B$29,IF(Skills!C15=2,90+Inputs!$B$26+Inputs!$B$29,IF(Skills!C15=3,120+Inputs!$B$27+Inputs!$B$29,MAX(0,(Inputs!$B$3-100)*3)+Inputs!$B$28+Inputs!$B$29)))</f>
        <v/>
      </c>
      <c r="E1525">
        <f>INDEX(FactorTable!$B$2:$Y$301, MATCH(ROUND(MIN(300,MAX(1,D1525)),0), FactorTable!$A$2:$A$301,0), Skills!L15+1)</f>
        <v/>
      </c>
      <c r="F1525">
        <f>IF(Skills!M15=TRUE,(Skills!K15/10)*(E1525/1000),Skills!K15/10)+Skills!N15</f>
        <v/>
      </c>
      <c r="G1525">
        <f>Calc!G15</f>
        <v/>
      </c>
      <c r="H1525">
        <f>Calc!H15</f>
        <v/>
      </c>
      <c r="I1525">
        <f>IF(Skills!T15&lt;&gt;"",1+(Skills!T15/10)*(Z1513/1000)/100,1)</f>
        <v/>
      </c>
      <c r="J1525" t="inlineStr"/>
      <c r="K1525" t="inlineStr"/>
      <c r="L1525" t="inlineStr"/>
      <c r="M1525" t="inlineStr"/>
      <c r="N1525" t="inlineStr"/>
      <c r="O1525">
        <f>(1-Summary!$B$11)*S1525+Summary!$B$11*U1525</f>
        <v/>
      </c>
      <c r="P1525">
        <f>IF(B1547=0,0,O1525/B1547)</f>
        <v/>
      </c>
      <c r="Q1525">
        <f>IFERROR(1/IF(Inputs!$B$38="pvp",15,MAX(0.1,Skills!D15-IF(Skills!E15=TRUE,Inputs!$B$32,0))),0)</f>
        <v/>
      </c>
      <c r="R1525" t="n">
        <v>0</v>
      </c>
      <c r="S1525" t="n">
        <v>0</v>
      </c>
      <c r="U1525" t="n">
        <v>0</v>
      </c>
    </row>
    <row r="1526">
      <c r="A1526">
        <f>Skills!A16</f>
        <v/>
      </c>
      <c r="B1526">
        <f>Skills!B16</f>
        <v/>
      </c>
      <c r="C1526">
        <f>Inputs!$B$3&gt;=110</f>
        <v/>
      </c>
      <c r="D1526">
        <f>IF(Skills!C16=1,60+Inputs!$B$25+Inputs!$B$29,IF(Skills!C16=2,90+Inputs!$B$26+Inputs!$B$29,IF(Skills!C16=3,120+Inputs!$B$27+Inputs!$B$29,MAX(0,(Inputs!$B$3-100)*3)+Inputs!$B$28+Inputs!$B$29)))</f>
        <v/>
      </c>
      <c r="E1526">
        <f>INDEX(FactorTable!$B$2:$Y$301, MATCH(ROUND(MIN(300,MAX(1,D1526)),0), FactorTable!$A$2:$A$301,0), Skills!L16+1)</f>
        <v/>
      </c>
      <c r="F1526">
        <f>(Skills!K16/10)*(E1526/1000)*64/45+Skills!N16</f>
        <v/>
      </c>
      <c r="G1526">
        <f>Calc!G16</f>
        <v/>
      </c>
      <c r="H1526">
        <f>Calc!H16</f>
        <v/>
      </c>
      <c r="I1526">
        <f>IF(Skills!T16&lt;&gt;"",1+(Skills!T16/10)*(Z1513/1000)/100,1)</f>
        <v/>
      </c>
      <c r="J1526" t="inlineStr"/>
      <c r="K1526" t="inlineStr"/>
      <c r="L1526" t="inlineStr"/>
      <c r="M1526" t="inlineStr"/>
      <c r="N1526" t="inlineStr"/>
      <c r="O1526">
        <f>(1-Summary!$B$11)*S1526+Summary!$B$11*U1526</f>
        <v/>
      </c>
      <c r="P1526">
        <f>IF(B1547=0,0,O1526/B1547)</f>
        <v/>
      </c>
      <c r="Q1526">
        <f>IFERROR(1/IF(Inputs!$B$38="pvp",15,MAX(0.1,Skills!D16-IF(Skills!E16=TRUE,Inputs!$B$32,0))),0)</f>
        <v/>
      </c>
      <c r="R1526">
        <f>IF(AND(Inputs!$B$38&lt;&gt;"pvp",Inputs!$B$43&gt;0),IF(Inputs!$B$43&lt;=0,0,(INT(Inputs!$B$43/IF(Inputs!$B$38="pvp",15,MAX(0.1,Skills!D16-IF(Skills!E16=TRUE,Inputs!$B$32,0))))+1)),0)</f>
        <v/>
      </c>
      <c r="S1526" t="n">
        <v>0</v>
      </c>
      <c r="U1526" t="n">
        <v>0</v>
      </c>
    </row>
    <row r="1527">
      <c r="A1527">
        <f>Skills!A17</f>
        <v/>
      </c>
      <c r="B1527">
        <f>Skills!B17</f>
        <v/>
      </c>
      <c r="C1527">
        <f>Inputs!$B$3&gt;=33</f>
        <v/>
      </c>
      <c r="D1527">
        <f>IF(Skills!C17=1,60+Inputs!$B$25+Inputs!$B$29,IF(Skills!C17=2,90+Inputs!$B$26+Inputs!$B$29,IF(Skills!C17=3,120+Inputs!$B$27+Inputs!$B$29,MAX(0,(Inputs!$B$3-100)*3)+Inputs!$B$28+Inputs!$B$29)))</f>
        <v/>
      </c>
      <c r="E1527">
        <f>INDEX(FactorTable!$B$2:$Y$301, MATCH(ROUND(MIN(300,MAX(1,D1527)),0), FactorTable!$A$2:$A$301,0), Skills!L17+1)</f>
        <v/>
      </c>
      <c r="F1527">
        <f>IF(Skills!M17=TRUE,(Skills!K17/10)*(E1527/1000),Skills!K17/10)+Skills!N17</f>
        <v/>
      </c>
      <c r="G1527">
        <f>Calc!G17</f>
        <v/>
      </c>
      <c r="H1527">
        <f>Calc!H17</f>
        <v/>
      </c>
      <c r="I1527">
        <f>IF(Skills!T17&lt;&gt;"",1+(Skills!T17/10)*(Z1513/1000)/100,1)</f>
        <v/>
      </c>
      <c r="J1527" t="inlineStr"/>
      <c r="K1527" t="inlineStr"/>
      <c r="L1527" t="inlineStr"/>
      <c r="M1527" t="inlineStr"/>
      <c r="N1527" t="inlineStr"/>
      <c r="O1527">
        <f>(1-Summary!$B$11)*S1527+Summary!$B$11*U1527</f>
        <v/>
      </c>
      <c r="P1527">
        <f>IF(B1547=0,0,O1527/B1547)</f>
        <v/>
      </c>
      <c r="Q1527">
        <f>IFERROR(1/IF(Inputs!$B$38="pvp",15,MAX(0.1,Skills!D17-IF(Skills!E17=TRUE,Inputs!$B$32,0))),0)</f>
        <v/>
      </c>
      <c r="R1527" t="n">
        <v>0</v>
      </c>
      <c r="S1527" t="n">
        <v>0</v>
      </c>
      <c r="U1527" t="n">
        <v>0</v>
      </c>
    </row>
    <row r="1528">
      <c r="A1528">
        <f>Skills!A18</f>
        <v/>
      </c>
      <c r="B1528">
        <f>Skills!B18</f>
        <v/>
      </c>
      <c r="C1528">
        <f>Inputs!$B$3&gt;=43</f>
        <v/>
      </c>
      <c r="D1528">
        <f>IF(Skills!C18=1,60+Inputs!$B$25+Inputs!$B$29,IF(Skills!C18=2,90+Inputs!$B$26+Inputs!$B$29,IF(Skills!C18=3,120+Inputs!$B$27+Inputs!$B$29,MAX(0,(Inputs!$B$3-100)*3)+Inputs!$B$28+Inputs!$B$29)))</f>
        <v/>
      </c>
      <c r="E1528">
        <f>INDEX(FactorTable!$B$2:$Y$301, MATCH(ROUND(MIN(300,MAX(1,D1528)),0), FactorTable!$A$2:$A$301,0), Skills!L18+1)</f>
        <v/>
      </c>
      <c r="F1528">
        <f>IF(Skills!M18=TRUE,(Skills!K18/10)*(E1528/1000),Skills!K18/10)+Skills!N18</f>
        <v/>
      </c>
      <c r="G1528">
        <f>Calc!G18</f>
        <v/>
      </c>
      <c r="H1528">
        <f>Calc!H18</f>
        <v/>
      </c>
      <c r="I1528">
        <f>IF(Skills!T18&lt;&gt;"",1+(Skills!T18/10)*(Z1513/1000)/100,1)</f>
        <v/>
      </c>
      <c r="J1528" t="inlineStr"/>
      <c r="K1528" t="inlineStr"/>
      <c r="L1528" t="inlineStr"/>
      <c r="M1528" t="inlineStr"/>
      <c r="N1528" t="inlineStr"/>
      <c r="O1528">
        <f>(1-Summary!$B$11)*S1528+Summary!$B$11*U1528</f>
        <v/>
      </c>
      <c r="P1528">
        <f>IF(B1547=0,0,O1528/B1547)</f>
        <v/>
      </c>
      <c r="Q1528">
        <f>IFERROR(1/IF(Inputs!$B$38="pvp",15,MAX(0.1,Skills!D18-IF(Skills!E18=TRUE,Inputs!$B$32,0))),0)</f>
        <v/>
      </c>
      <c r="R1528" t="n">
        <v>0</v>
      </c>
      <c r="S1528" t="n">
        <v>0</v>
      </c>
      <c r="U1528" t="n">
        <v>0</v>
      </c>
    </row>
    <row r="1529">
      <c r="A1529">
        <f>Skills!A19</f>
        <v/>
      </c>
      <c r="B1529">
        <f>Skills!B19</f>
        <v/>
      </c>
      <c r="C1529">
        <f>Inputs!$B$3&gt;=50</f>
        <v/>
      </c>
      <c r="D1529">
        <f>IF(Skills!C19=1,60+Inputs!$B$25+Inputs!$B$29,IF(Skills!C19=2,90+Inputs!$B$26+Inputs!$B$29,IF(Skills!C19=3,120+Inputs!$B$27+Inputs!$B$29,MAX(0,(Inputs!$B$3-100)*3)+Inputs!$B$28+Inputs!$B$29)))</f>
        <v/>
      </c>
      <c r="E1529">
        <f>INDEX(FactorTable!$B$2:$Y$301, MATCH(ROUND(MIN(300,MAX(1,D1529)),0), FactorTable!$A$2:$A$301,0), Skills!L19+1)</f>
        <v/>
      </c>
      <c r="F1529">
        <f>IF(Skills!M19=TRUE,(Skills!K19/10)*(E1529/1000),Skills!K19/10)+Skills!N19</f>
        <v/>
      </c>
      <c r="G1529">
        <f>Calc!G19</f>
        <v/>
      </c>
      <c r="H1529">
        <f>Calc!H19</f>
        <v/>
      </c>
      <c r="I1529">
        <f>IF(Skills!T19&lt;&gt;"",1+(Skills!T19/10)*(Z1513/1000)/100,1)</f>
        <v/>
      </c>
      <c r="J1529" t="inlineStr"/>
      <c r="K1529" t="inlineStr"/>
      <c r="L1529" t="inlineStr"/>
      <c r="M1529" t="inlineStr"/>
      <c r="N1529" t="inlineStr"/>
      <c r="O1529">
        <f>(1-Summary!$B$11)*S1529+Summary!$B$11*U1529</f>
        <v/>
      </c>
      <c r="P1529">
        <f>IF(B1547=0,0,O1529/B1547)</f>
        <v/>
      </c>
      <c r="Q1529">
        <f>IFERROR(1/IF(Inputs!$B$38="pvp",15,MAX(0.1,Skills!D19-IF(Skills!E19=TRUE,Inputs!$B$32,0))),0)</f>
        <v/>
      </c>
      <c r="R1529" t="n">
        <v>0</v>
      </c>
      <c r="S1529" t="n">
        <v>0</v>
      </c>
      <c r="U1529" t="n">
        <v>0</v>
      </c>
    </row>
    <row r="1530">
      <c r="A1530">
        <f>Skills!A20</f>
        <v/>
      </c>
      <c r="B1530">
        <f>Skills!B20</f>
        <v/>
      </c>
      <c r="C1530">
        <f>Inputs!$B$3&gt;=74</f>
        <v/>
      </c>
      <c r="D1530">
        <f>IF(Skills!C20=1,60+Inputs!$B$25+Inputs!$B$29,IF(Skills!C20=2,90+Inputs!$B$26+Inputs!$B$29,IF(Skills!C20=3,120+Inputs!$B$27+Inputs!$B$29,MAX(0,(Inputs!$B$3-100)*3)+Inputs!$B$28+Inputs!$B$29)))</f>
        <v/>
      </c>
      <c r="E1530">
        <f>INDEX(FactorTable!$B$2:$Y$301, MATCH(ROUND(MIN(300,MAX(1,D1530)),0), FactorTable!$A$2:$A$301,0), Skills!L20+1)</f>
        <v/>
      </c>
      <c r="F1530">
        <f>IF(Skills!M20=TRUE,(Skills!K20/10)*(E1530/1000),Skills!K20/10)+Skills!N20</f>
        <v/>
      </c>
      <c r="G1530">
        <f>Calc!G20</f>
        <v/>
      </c>
      <c r="H1530">
        <f>Calc!H20</f>
        <v/>
      </c>
      <c r="I1530">
        <f>IF(Skills!T20&lt;&gt;"",1+(Skills!T20/10)*(Z1513/1000)/100,1)</f>
        <v/>
      </c>
      <c r="J1530" t="inlineStr"/>
      <c r="K1530" t="inlineStr"/>
      <c r="L1530" t="inlineStr"/>
      <c r="M1530" t="inlineStr"/>
      <c r="N1530" t="inlineStr"/>
      <c r="O1530">
        <f>(1-Summary!$B$11)*S1530+Summary!$B$11*U1530</f>
        <v/>
      </c>
      <c r="P1530">
        <f>IF(B1547=0,0,O1530/B1547)</f>
        <v/>
      </c>
      <c r="Q1530">
        <f>IFERROR(1/IF(Inputs!$B$38="pvp",15,MAX(0.1,Skills!D20-IF(Skills!E20=TRUE,Inputs!$B$32,0))),0)</f>
        <v/>
      </c>
      <c r="R1530" t="n">
        <v>0</v>
      </c>
      <c r="S1530" t="n">
        <v>0</v>
      </c>
      <c r="U1530" t="n">
        <v>0</v>
      </c>
    </row>
    <row r="1531">
      <c r="A1531">
        <f>Skills!A21</f>
        <v/>
      </c>
      <c r="B1531">
        <f>Skills!B21</f>
        <v/>
      </c>
      <c r="C1531">
        <f>Inputs!$B$3&gt;=74</f>
        <v/>
      </c>
      <c r="D1531">
        <f>IF(Skills!C21=1,60+Inputs!$B$25+Inputs!$B$29,IF(Skills!C21=2,90+Inputs!$B$26+Inputs!$B$29,IF(Skills!C21=3,120+Inputs!$B$27+Inputs!$B$29,MAX(0,(Inputs!$B$3-100)*3)+Inputs!$B$28+Inputs!$B$29)))</f>
        <v/>
      </c>
      <c r="E1531">
        <f>INDEX(FactorTable!$B$2:$Y$301, MATCH(ROUND(MIN(300,MAX(1,D1531)),0), FactorTable!$A$2:$A$301,0), Skills!L21+1)</f>
        <v/>
      </c>
      <c r="F1531">
        <f>IF(Skills!M21=TRUE,(Skills!K21/10)*(E1531/1000),Skills!K21/10)+Skills!N21</f>
        <v/>
      </c>
      <c r="G1531">
        <f>Calc!G21</f>
        <v/>
      </c>
      <c r="H1531">
        <f>Calc!H21</f>
        <v/>
      </c>
      <c r="I1531">
        <f>IF(Skills!T21&lt;&gt;"",1+(Skills!T21/10)*(Z1513/1000)/100,1)</f>
        <v/>
      </c>
      <c r="J1531" t="inlineStr"/>
      <c r="K1531" t="inlineStr"/>
      <c r="L1531" t="inlineStr"/>
      <c r="M1531" t="inlineStr"/>
      <c r="N1531" t="inlineStr"/>
      <c r="O1531">
        <f>(1-Summary!$B$11)*S1531+Summary!$B$11*U1531</f>
        <v/>
      </c>
      <c r="P1531">
        <f>IF(B1547=0,0,O1531/B1547)</f>
        <v/>
      </c>
      <c r="Q1531">
        <f>IFERROR(1/IF(Inputs!$B$38="pvp",15,MAX(0.1,Skills!D21-IF(Skills!E21=TRUE,Inputs!$B$32,0))),0)</f>
        <v/>
      </c>
      <c r="R1531" t="n">
        <v>0</v>
      </c>
      <c r="S1531" t="n">
        <v>0</v>
      </c>
      <c r="U1531" t="n">
        <v>0</v>
      </c>
    </row>
    <row r="1532">
      <c r="A1532">
        <f>Skills!A22</f>
        <v/>
      </c>
      <c r="B1532">
        <f>Skills!B22</f>
        <v/>
      </c>
      <c r="C1532">
        <f>Inputs!$B$3&gt;=117</f>
        <v/>
      </c>
      <c r="D1532">
        <f>IF(Skills!C22=1,60+Inputs!$B$25+Inputs!$B$29,IF(Skills!C22=2,90+Inputs!$B$26+Inputs!$B$29,IF(Skills!C22=3,120+Inputs!$B$27+Inputs!$B$29,MAX(0,(Inputs!$B$3-100)*3)+Inputs!$B$28+Inputs!$B$29)))</f>
        <v/>
      </c>
      <c r="E1532">
        <f>INDEX(FactorTable!$B$2:$Y$301, MATCH(ROUND(MIN(300,MAX(1,D1532)),0), FactorTable!$A$2:$A$301,0), Skills!L22+1)</f>
        <v/>
      </c>
      <c r="F1532">
        <f>IF(Skills!M22=TRUE,(Skills!K22/10)*(E1532/1000),Skills!K22/10)+Skills!N22</f>
        <v/>
      </c>
      <c r="G1532">
        <f>Calc!G22</f>
        <v/>
      </c>
      <c r="H1532">
        <f>Calc!H22</f>
        <v/>
      </c>
      <c r="I1532">
        <f>IF(Skills!T22&lt;&gt;"",1+(Skills!T22/10)*(Z1513/1000)/100,1)</f>
        <v/>
      </c>
      <c r="J1532" t="inlineStr"/>
      <c r="K1532" t="inlineStr"/>
      <c r="L1532" t="inlineStr"/>
      <c r="M1532" t="inlineStr"/>
      <c r="N1532" t="inlineStr"/>
      <c r="O1532">
        <f>(1-Summary!$B$11)*S1532+Summary!$B$11*U1532</f>
        <v/>
      </c>
      <c r="P1532">
        <f>IF(B1547=0,0,O1532/B1547)</f>
        <v/>
      </c>
      <c r="Q1532">
        <f>IFERROR(1/IF(Inputs!$B$38="pvp",15,MAX(0.1,Skills!D22-IF(Skills!E22=TRUE,Inputs!$B$32,0))),0)</f>
        <v/>
      </c>
      <c r="R1532" t="n">
        <v>0</v>
      </c>
      <c r="S1532" t="n">
        <v>0</v>
      </c>
      <c r="U1532" t="n">
        <v>0</v>
      </c>
    </row>
    <row r="1533">
      <c r="A1533">
        <f>Skills!A23</f>
        <v/>
      </c>
      <c r="B1533">
        <f>Skills!B23</f>
        <v/>
      </c>
      <c r="C1533">
        <f>Inputs!$B$3&gt;=120</f>
        <v/>
      </c>
      <c r="D1533">
        <f>IF(Skills!C23=1,60+Inputs!$B$25+Inputs!$B$29,IF(Skills!C23=2,90+Inputs!$B$26+Inputs!$B$29,IF(Skills!C23=3,120+Inputs!$B$27+Inputs!$B$29,MAX(0,(Inputs!$B$3-100)*3)+Inputs!$B$28+Inputs!$B$29)))</f>
        <v/>
      </c>
      <c r="E1533">
        <f>INDEX(FactorTable!$B$2:$Y$301, MATCH(ROUND(MIN(300,MAX(1,D1533)),0), FactorTable!$A$2:$A$301,0), Skills!L23+1)</f>
        <v/>
      </c>
      <c r="F1533">
        <f>IF(Skills!M23=TRUE,(Skills!K23/10)*(E1533/1000),Skills!K23/10)+Skills!N23</f>
        <v/>
      </c>
      <c r="G1533">
        <f>Calc!G23</f>
        <v/>
      </c>
      <c r="H1533">
        <f>Calc!H23</f>
        <v/>
      </c>
      <c r="I1533">
        <f>IF(Skills!T23&lt;&gt;"",1+(Skills!T23/10)*(Z1513/1000)/100,1)</f>
        <v/>
      </c>
      <c r="J1533" t="inlineStr"/>
      <c r="K1533" t="inlineStr"/>
      <c r="L1533" t="inlineStr"/>
      <c r="M1533" t="inlineStr"/>
      <c r="N1533" t="inlineStr"/>
      <c r="O1533">
        <f>(1-Summary!$B$11)*S1533+Summary!$B$11*U1533</f>
        <v/>
      </c>
      <c r="P1533">
        <f>IF(B1547=0,0,O1533/B1547)</f>
        <v/>
      </c>
      <c r="Q1533">
        <f>IFERROR(1/IF(Inputs!$B$38="pvp",15,MAX(0.1,Skills!D23-IF(Skills!E23=TRUE,Inputs!$B$32,0))),0)</f>
        <v/>
      </c>
      <c r="R1533" t="n">
        <v>0</v>
      </c>
      <c r="S1533" t="n">
        <v>0</v>
      </c>
      <c r="U1533" t="n">
        <v>0</v>
      </c>
    </row>
    <row r="1534">
      <c r="A1534">
        <f>Skills!A24</f>
        <v/>
      </c>
      <c r="B1534">
        <f>Skills!B24</f>
        <v/>
      </c>
      <c r="C1534">
        <f>TRUE</f>
        <v/>
      </c>
      <c r="D1534">
        <f>IF(Skills!C24=1,60+Inputs!$B$25+Inputs!$B$29,IF(Skills!C24=2,90+Inputs!$B$26+Inputs!$B$29,IF(Skills!C24=3,120+Inputs!$B$27+Inputs!$B$29,MAX(0,(Inputs!$B$3-100)*3)+Inputs!$B$28+Inputs!$B$29)))</f>
        <v/>
      </c>
      <c r="E1534">
        <f>INDEX(FactorTable!$B$2:$Y$301, MATCH(ROUND(MIN(300,MAX(1,D1534)),0), FactorTable!$A$2:$A$301,0), Skills!L24+1)</f>
        <v/>
      </c>
      <c r="F1534">
        <f>IF(Skills!M24=TRUE,(Skills!K24/10)*(E1534/1000),Skills!K24/10)+Skills!N24</f>
        <v/>
      </c>
      <c r="G1534">
        <f>Calc!G24</f>
        <v/>
      </c>
      <c r="H1534">
        <f>Calc!H24</f>
        <v/>
      </c>
      <c r="I1534">
        <f>IF(Skills!T24&lt;&gt;"",1+(Skills!T24/10)*(Z1513/1000)/100,1)</f>
        <v/>
      </c>
      <c r="J1534" t="inlineStr"/>
      <c r="K1534" t="inlineStr"/>
      <c r="L1534" t="inlineStr"/>
      <c r="M1534" t="inlineStr"/>
      <c r="N1534" t="inlineStr"/>
      <c r="O1534">
        <f>(1-Summary!$B$11)*S1534+Summary!$B$11*U1534</f>
        <v/>
      </c>
      <c r="P1534">
        <f>IF(B1547=0,0,O1534/B1547)</f>
        <v/>
      </c>
      <c r="Q1534">
        <f>IFERROR(1/IF(Inputs!$B$38="pvp",15,MAX(0.1,Skills!D24-IF(Skills!E24=TRUE,Inputs!$B$32,0))),0)</f>
        <v/>
      </c>
      <c r="R1534">
        <f>IF(AND(Inputs!$B$38&lt;&gt;"pvp",Inputs!$B$43&gt;0),IF(Inputs!$B$43&lt;=0,0,(INT(Inputs!$B$43/IF(Inputs!$B$38="pvp",15,MAX(0.1,Skills!D24-IF(Skills!E24=TRUE,Inputs!$B$32,0))))+1)),0)</f>
        <v/>
      </c>
      <c r="S1534" t="n">
        <v>0</v>
      </c>
      <c r="U1534" t="n">
        <v>0</v>
      </c>
    </row>
    <row r="1537">
      <c r="A1537" t="inlineStr">
        <is>
          <t>Average Buff Multiplier (Magic Guard + Meditation + Artifact Attack%, summed; then Infinity)</t>
        </is>
      </c>
      <c r="B1537">
        <f>(1+(IF(C1513=TRUE,F1513*IF(AND(Inputs!$B$38&lt;&gt;"pvp",Inputs!$B$43&gt;0),(((R1513-1)*(Skills!S3*(1+(Inputs!$B$34)/100))+MIN((Skills!S3*(1+(Inputs!$B$34)/100)),MAX(0,Inputs!$B$43-((R1513-1)*Skills!D3))))/Inputs!$B$43),IF(Inputs!$B$38="pvp",MIN((Skills!S3*(1+(Inputs!$B$34)/100)),15)/15,(Skills!S3*(1+(Inputs!$B$34)/100))/Skills!D3)),0)+IF(C1514=TRUE,F1514*IF(AND(Inputs!$B$38&lt;&gt;"pvp",Inputs!$B$43&gt;0),(((R1514-1)*(Skills!S4*(1+(Inputs!$B$34)/100))+MIN((Skills!S4*(1+(Inputs!$B$34)/100)),MAX(0,Inputs!$B$43-((R1514-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1526=TRUE,(1+F1526*IF(AND(Inputs!$B$38&lt;&gt;"pvp",Inputs!$B$43&gt;0),(((R1526-1)*(Skills!S16*(1+(Inputs!$B$34)/100))+MIN((Skills!S16*(1+(Inputs!$B$34)/100)),MAX(0,Inputs!$B$43-((R1526-1)*Skills!D16))))/Inputs!$B$43),IF(Inputs!$B$38="pvp",MIN((Skills!S16*(1+(Inputs!$B$34)/100)),15)/15,(Skills!S16*(1+(Inputs!$B$34)/100))/Skills!D16))/100),1)</f>
        <v/>
      </c>
    </row>
    <row r="1538">
      <c r="A1538" t="inlineStr">
        <is>
          <t>Monster Damage Taken Bonus % (Freezing Breath - Weaken + Elemental Reset + Artifact Enemy Damage Taken, summed)</t>
        </is>
      </c>
      <c r="B1538">
        <f>IF(Inputs!$B$3&gt;=118,15*IF(Inputs!$B$38="pvp",MIN((30*(1+(Inputs!$B$34)/100)),15)/15,(30*(1+(Inputs!$B$34)/100))/Skills!D8),0)+IF(C1524=TRUE,F1524,0)+(IF(AND(ArtifactsInput!$M$35,Inputs!$B$4&lt;&gt;"Chapter Hunt"),CHOOSE(ArtifactsInput!$N$35+1,15,18,21,24,27,30)*(1-EXP(-(0.2*B1541)*5)),0)+IF(AND(ArtifactsInput!$M$22,Inputs!$B$4&lt;&gt;"Chapter Hunt"),CHOOSE(ArtifactsInput!$N$22+1,10,12,14,16,18,20)*((0*(((0.15*B1541*5))^0/1)+1*(((0.15*B1541*5))^1/1)+2*(((0.15*B1541*5))^2/2)+3*(((0.15*B1541*5))^3/6)+4*(((0.15*B1541*5))^4/24)+5*(((0.15*B1541*5))^5/120))/((((0.15*B1541*5))^0/1)+(((0.15*B1541*5))^1/1)+(((0.15*B1541*5))^2/2)+(((0.15*B1541*5))^3/6)+(((0.15*B1541*5))^4/24)+(((0.15*B1541*5))^5/120))),0))</f>
        <v/>
      </c>
    </row>
    <row r="1539">
      <c r="A1539" t="inlineStr">
        <is>
          <t>Damage % Bonus (Frozen Break + Frost Clutch, flat)</t>
        </is>
      </c>
      <c r="B1539">
        <f>IF(Inputs!$B$3&gt;=66,15,0)+IF(Inputs!$B$3&gt;=98,10,0)+IF(Inputs!$B$3&gt;=125,20,0)</f>
        <v/>
      </c>
    </row>
    <row r="1540">
      <c r="A1540" t="inlineStr">
        <is>
          <t>Attack Speed Bonus % (MP Eater - MP Boost, always-on + Nimble Feet, duty-cycle averaged)</t>
        </is>
      </c>
      <c r="B1540">
        <f>IF(C1523=TRUE,F1523+(F1527-Calc!F17),0)+((C1534=TRUE)*F1534*IF(AND(Inputs!$B$38&lt;&gt;"pvp",Inputs!$B$43&gt;0),(((R1534-1)*(Skills!S24*(1+(Inputs!$B$34)/100))+MIN((Skills!S24*(1+(Inputs!$B$34)/100)),MAX(0,Inputs!$B$43-((R1534-1)*Skills!D24))))/Inputs!$B$43),IF(Inputs!$B$38="pvp",MIN((Skills!S24*(1+(Inputs!$B$34)/100)),15)/15,(Skills!S24*(1+(Inputs!$B$34)/100))/Skills!D24)))</f>
        <v/>
      </c>
    </row>
    <row r="1541">
      <c r="A1541" t="inlineStr">
        <is>
          <t>Actions Per Second</t>
        </is>
      </c>
      <c r="B1541">
        <f>1+MIN(150,150*(1-(1-(Inputs!$B$11+(ArtifactsInput!$M$15-ArtifactsInput!$M$15)*CHOOSE(ArtifactsInput!$N$15+1,8,9.6,11.2,12.8,14.4,16))/150)*(1-B1540/150)))/100</f>
        <v/>
      </c>
    </row>
    <row r="1542">
      <c r="A1542" t="inlineStr">
        <is>
          <t>Skill + Buff Cast Rate</t>
        </is>
      </c>
      <c r="B1542">
        <f>IF(AND(Inputs!$B$38&lt;&gt;"pvp",Inputs!$B$43&gt;0),SUMPRODUCT((Skills!E2:E24=TRUE)*(C1512:C1534=TRUE)*R1512:R1534)/Inputs!$B$43,SUMPRODUCT((Skills!E2:E24=TRUE)*(C1512:C1534=TRUE)*Q1512:Q1534))</f>
        <v/>
      </c>
    </row>
    <row r="1543">
      <c r="A1543" t="inlineStr">
        <is>
          <t>Chain Lightning Casts Per Second</t>
        </is>
      </c>
      <c r="B1543">
        <f>MAX(0,B1541-B1542)</f>
        <v/>
      </c>
    </row>
    <row r="1544">
      <c r="A1544" t="inlineStr">
        <is>
          <t>Buff-Casting Startup Delay (s, fixed-duration only)</t>
        </is>
      </c>
      <c r="B1544">
        <f>IF(AND(Inputs!$B$38&lt;&gt;"pvp",Inputs!$B$43&gt;0),SUMPRODUCT((Skills!S2:S24&gt;0)*(Skills!E2:E24=TRUE)*(C1512:C1534=TRUE))/B1541,0)</f>
        <v/>
      </c>
    </row>
    <row r="1545">
      <c r="A1545" t="inlineStr">
        <is>
          <t>Boss-Only Total DPS (this block's swept value)</t>
        </is>
      </c>
      <c r="B1545">
        <f>SUM(S1512:S1534)</f>
        <v/>
      </c>
    </row>
    <row r="1546">
      <c r="A1546" t="inlineStr">
        <is>
          <t>Normal-Only Total DPS (this block's swept value)</t>
        </is>
      </c>
      <c r="B1546">
        <f>SUM(U1512:U1534)</f>
        <v/>
      </c>
    </row>
    <row r="1547">
      <c r="A1547" s="6" t="inlineStr">
        <is>
          <t>TOTAL DPS</t>
        </is>
      </c>
      <c r="B1547" s="6">
        <f>SUM(O1512:O1534)</f>
        <v/>
      </c>
    </row>
    <row r="1550">
      <c r="A1550" s="6" t="inlineStr">
        <is>
          <t>Stat: Pink Bean's Giant Rib (Equip)</t>
        </is>
      </c>
    </row>
    <row r="1551">
      <c r="A1551" s="5" t="inlineStr">
        <is>
          <t>Key</t>
        </is>
      </c>
      <c r="B1551" s="5" t="inlineStr">
        <is>
          <t>Name</t>
        </is>
      </c>
      <c r="C1551" s="5" t="inlineStr">
        <is>
          <t>Unlocked</t>
        </is>
      </c>
      <c r="D1551" s="5" t="inlineStr">
        <is>
          <t>InputLevel</t>
        </is>
      </c>
      <c r="E1551" s="5" t="inlineStr">
        <is>
          <t>Factor</t>
        </is>
      </c>
      <c r="F1551" s="5" t="inlineStr">
        <is>
          <t>CoefficientPercent</t>
        </is>
      </c>
      <c r="G1551" s="5" t="inlineStr">
        <is>
          <t>EffectiveHits</t>
        </is>
      </c>
      <c r="H1551" s="5" t="inlineStr">
        <is>
          <t>ProcProbability</t>
        </is>
      </c>
      <c r="I1551" s="5" t="inlineStr">
        <is>
          <t>MapleHeroMultiplier</t>
        </is>
      </c>
      <c r="J1551" s="5" t="inlineStr">
        <is>
          <t>BaseDamage</t>
        </is>
      </c>
      <c r="K1551" s="5" t="inlineStr">
        <is>
          <t>BaseHitDamage</t>
        </is>
      </c>
      <c r="L1551" s="5" t="inlineStr">
        <is>
          <t>NonCritAvg</t>
        </is>
      </c>
      <c r="M1551" s="5" t="inlineStr">
        <is>
          <t>CritAvg</t>
        </is>
      </c>
      <c r="N1551" s="5" t="inlineStr">
        <is>
          <t>ExpectedDamage(perHit)</t>
        </is>
      </c>
      <c r="O1551" s="5" t="inlineStr">
        <is>
          <t>DPS</t>
        </is>
      </c>
      <c r="P1551" s="5" t="inlineStr">
        <is>
          <t>% of Total</t>
        </is>
      </c>
      <c r="R1551" t="inlineStr">
        <is>
          <t>helpers</t>
        </is>
      </c>
    </row>
    <row r="1552">
      <c r="A1552">
        <f>Skills!A2</f>
        <v/>
      </c>
      <c r="B1552">
        <f>Skills!B2</f>
        <v/>
      </c>
      <c r="C1552">
        <f>Inputs!$B$3&gt;=100</f>
        <v/>
      </c>
      <c r="D1552" t="inlineStr"/>
      <c r="E1552" t="inlineStr"/>
      <c r="F1552">
        <f>T1554+Skills!N2</f>
        <v/>
      </c>
      <c r="G1552">
        <f>Calc!G2</f>
        <v/>
      </c>
      <c r="H1552">
        <f>Calc!H2</f>
        <v/>
      </c>
      <c r="I1552">
        <f>IF(Skills!T2&lt;&gt;"",1+(Skills!T2/10)*(Z1553/1000)/100,1)</f>
        <v/>
      </c>
      <c r="J1552">
        <f>((Inputs!$B$6*(1+Inputs!$B$7/100))+(((Inputs!$B$12*(1+Inputs!$B$13/100))-(Inputs!$B$12*(1+Inputs!$B$13/100)))+0.25*(Inputs!$B$14-Inputs!$B$14))*(1+Inputs!$B$7/100))*(F1552/100)</f>
        <v/>
      </c>
      <c r="K1552">
        <f>J1552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2="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F1568-Calc!F18),(Inputs!$B$23+(IF(ArtifactsInput!$M$15,CHOOSE(ArtifactsInput!$N$15+1,25,30,35,40,45,50)/100*(Inputs!$B$11-Inputs!$B$11),0))))/100+(Inputs!$B$23+(IF(ArtifactsInput!$M$15,CHOOSE(ArtifactsInput!$N$15+1,25,30,35,40,45,50)/100*(Inputs!$B$11-Inputs!$B$11),0)))/100)/2</f>
        <v/>
      </c>
      <c r="M1552">
        <f>L1552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(1-Summary!$B$11)*S1552+Summary!$B$11*U1552</f>
        <v/>
      </c>
      <c r="P1552">
        <f>IF(B1587=0,0,O1552/B1587)</f>
        <v/>
      </c>
      <c r="Q1552">
        <f>IFERROR(1/IF(Inputs!$B$38="pvp",15,MAX(0.1,Skills!D2-IF(Skills!E2=TRUE,Inputs!$B$32,0))),0)</f>
        <v/>
      </c>
      <c r="R1552" t="n">
        <v>0</v>
      </c>
      <c r="S1552">
        <f>IF(C1552,(Skills!F2*N1552*B1583)*IF(Inputs!$B$38="pvp",1,1+(Inputs!$B$20+Skills!O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1552*(1-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52">
        <f>MAX(0,(Inputs!$B$3-100)*3)+Inputs!$B$28+Inputs!$B$29</f>
        <v/>
      </c>
      <c r="U1552">
        <f>IF(C1552,(Skills!F2*N1552*B1583)*IF(Inputs!$B$38="pvp",1,(1+(Inputs!$B$21+Skills!P2+B1578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52">
        <f>MAX(0,(Inputs!$B$3-100)*3)+Inputs!$B$28+Inputs!$B$29</f>
        <v/>
      </c>
    </row>
    <row r="1553">
      <c r="A1553">
        <f>Skills!A3</f>
        <v/>
      </c>
      <c r="B1553">
        <f>Skills!B3</f>
        <v/>
      </c>
      <c r="C1553">
        <f>Inputs!$B$3&gt;=15</f>
        <v/>
      </c>
      <c r="D1553">
        <f>IF(Skills!C3=1,60+Inputs!$B$25+Inputs!$B$29,IF(Skills!C3=2,90+Inputs!$B$26+Inputs!$B$29,IF(Skills!C3=3,120+Inputs!$B$27+Inputs!$B$29,MAX(0,(Inputs!$B$3-100)*3)+Inputs!$B$28+Inputs!$B$29)))</f>
        <v/>
      </c>
      <c r="E1553">
        <f>INDEX(FactorTable!$B$2:$Y$301, MATCH(ROUND(MIN(300,MAX(1,D1553)),0), FactorTable!$A$2:$A$301,0), Skills!L3+1)</f>
        <v/>
      </c>
      <c r="F1553">
        <f>IF(Skills!M3=TRUE,(Skills!K3/10)*(E1553/1000),Skills!K3/10)+Skills!N3</f>
        <v/>
      </c>
      <c r="G1553">
        <f>Calc!G3</f>
        <v/>
      </c>
      <c r="H1553">
        <f>Calc!H3</f>
        <v/>
      </c>
      <c r="I1553">
        <f>IF(Skills!T3&lt;&gt;"",1+(Skills!T3/10)*(Z1553/1000)/100,1)</f>
        <v/>
      </c>
      <c r="J1553" t="inlineStr"/>
      <c r="K1553" t="inlineStr"/>
      <c r="L1553" t="inlineStr"/>
      <c r="M1553" t="inlineStr"/>
      <c r="N1553" t="inlineStr"/>
      <c r="O1553">
        <f>(1-Summary!$B$11)*S1553+Summary!$B$11*U1553</f>
        <v/>
      </c>
      <c r="P1553">
        <f>IF(B1587=0,0,O1553/B1587)</f>
        <v/>
      </c>
      <c r="Q1553">
        <f>IFERROR(1/IF(Inputs!$B$38="pvp",15,MAX(0.1,Skills!D3-IF(Skills!E3=TRUE,Inputs!$B$32,0))),0)</f>
        <v/>
      </c>
      <c r="R1553">
        <f>IF(AND(Inputs!$B$38&lt;&gt;"pvp",Inputs!$B$43&gt;0),IF(Inputs!$B$43&lt;=0,0,(INT(Inputs!$B$43/IF(Inputs!$B$38="pvp",15,MAX(0.1,Skills!D3-IF(Skills!E3=TRUE,Inputs!$B$32,0))))+1)),0)</f>
        <v/>
      </c>
      <c r="S1553" t="n">
        <v>0</v>
      </c>
      <c r="T1553">
        <f>INDEX(FactorTable!$B$2:$Y$301, MATCH(ROUND(MIN(300,MAX(1,T1552)),0), FactorTable!$A$2:$A$301,0), 22)</f>
        <v/>
      </c>
      <c r="U1553" t="n">
        <v>0</v>
      </c>
      <c r="Z1553">
        <f>INDEX(FactorTable!$B$2:$Y$301, MATCH(ROUND(MIN(300,MAX(1,Z1552)),0), FactorTable!$A$2:$A$301,0), 24)</f>
        <v/>
      </c>
    </row>
    <row r="1554">
      <c r="A1554">
        <f>Skills!A4</f>
        <v/>
      </c>
      <c r="B1554">
        <f>Skills!B4</f>
        <v/>
      </c>
      <c r="C1554">
        <f>Inputs!$B$3&gt;=40</f>
        <v/>
      </c>
      <c r="D1554">
        <f>IF(Skills!C4=1,60+Inputs!$B$25+Inputs!$B$29,IF(Skills!C4=2,90+Inputs!$B$26+Inputs!$B$29,IF(Skills!C4=3,120+Inputs!$B$27+Inputs!$B$29,MAX(0,(Inputs!$B$3-100)*3)+Inputs!$B$28+Inputs!$B$29)))</f>
        <v/>
      </c>
      <c r="E1554">
        <f>INDEX(FactorTable!$B$2:$Y$301, MATCH(ROUND(MIN(300,MAX(1,D1554)),0), FactorTable!$A$2:$A$301,0), Skills!L4+1)</f>
        <v/>
      </c>
      <c r="F1554">
        <f>IF(Skills!M4=TRUE,(Skills!K4/10)*(E1554/1000),Skills!K4/10)+Skills!N4</f>
        <v/>
      </c>
      <c r="G1554">
        <f>Calc!G4</f>
        <v/>
      </c>
      <c r="H1554">
        <f>Calc!H4</f>
        <v/>
      </c>
      <c r="I1554">
        <f>IF(Skills!T4&lt;&gt;"",1+(Skills!T4/10)*(Z1553/1000)/100,1)</f>
        <v/>
      </c>
      <c r="J1554" t="inlineStr"/>
      <c r="K1554" t="inlineStr"/>
      <c r="L1554" t="inlineStr"/>
      <c r="M1554" t="inlineStr"/>
      <c r="N1554" t="inlineStr"/>
      <c r="O1554">
        <f>(1-Summary!$B$11)*S1554+Summary!$B$11*U1554</f>
        <v/>
      </c>
      <c r="P1554">
        <f>IF(B1587=0,0,O1554/B1587)</f>
        <v/>
      </c>
      <c r="Q1554">
        <f>IFERROR(1/IF(Inputs!$B$38="pvp",15,MAX(0.1,Skills!D4-IF(Skills!E4=TRUE,Inputs!$B$32,0))),0)</f>
        <v/>
      </c>
      <c r="R1554">
        <f>IF(AND(Inputs!$B$38&lt;&gt;"pvp",Inputs!$B$43&gt;0),IF(Inputs!$B$43&lt;=0,0,(INT(Inputs!$B$43/IF(Inputs!$B$38="pvp",15,MAX(0.1,Skills!D4-IF(Skills!E4=TRUE,Inputs!$B$32,0))))+1)),0)</f>
        <v/>
      </c>
      <c r="S1554" t="n">
        <v>0</v>
      </c>
      <c r="T1554">
        <f>290*T1553/1000</f>
        <v/>
      </c>
      <c r="U1554" t="n">
        <v>0</v>
      </c>
    </row>
    <row r="1555">
      <c r="A1555">
        <f>Skills!A5</f>
        <v/>
      </c>
      <c r="B1555">
        <f>Skills!B5</f>
        <v/>
      </c>
      <c r="C1555">
        <f>Inputs!$B$3&gt;=38</f>
        <v/>
      </c>
      <c r="D1555">
        <f>IF(Skills!C5=1,60+Inputs!$B$25+Inputs!$B$29,IF(Skills!C5=2,90+Inputs!$B$26+Inputs!$B$29,IF(Skills!C5=3,120+Inputs!$B$27+Inputs!$B$29,MAX(0,(Inputs!$B$3-100)*3)+Inputs!$B$28+Inputs!$B$29)))</f>
        <v/>
      </c>
      <c r="E1555">
        <f>INDEX(FactorTable!$B$2:$Y$301, MATCH(ROUND(MIN(300,MAX(1,D1555)),0), FactorTable!$A$2:$A$301,0), Skills!L5+1)</f>
        <v/>
      </c>
      <c r="F1555">
        <f>IF(Skills!M5=TRUE,(Skills!K5/10)*(E1555/1000),Skills!K5/10)+Skills!N5</f>
        <v/>
      </c>
      <c r="G1555">
        <f>Calc!G5</f>
        <v/>
      </c>
      <c r="H1555">
        <f>Calc!H5</f>
        <v/>
      </c>
      <c r="I1555">
        <f>IF(Skills!T5&lt;&gt;"",1+(Skills!T5/10)*(Z1553/1000)/100,1)</f>
        <v/>
      </c>
      <c r="J1555">
        <f>((Inputs!$B$6*(1+Inputs!$B$7/100))+(((Inputs!$B$12*(1+Inputs!$B$13/100))-(Inputs!$B$12*(1+Inputs!$B$13/100)))+0.25*(Inputs!$B$14-Inputs!$B$14))*(1+Inputs!$B$7/100))*(F1555/100)</f>
        <v/>
      </c>
      <c r="K1555">
        <f>J1555*(1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5="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F1568-Calc!F18),(Inputs!$B$23+(IF(ArtifactsInput!$M$15,CHOOSE(ArtifactsInput!$N$15+1,25,30,35,40,45,50)/100*(Inputs!$B$11-Inputs!$B$11),0))))/100+(Inputs!$B$23+(IF(ArtifactsInput!$M$15,CHOOSE(ArtifactsInput!$N$15+1,25,30,35,40,45,50)/100*(Inputs!$B$11-Inputs!$B$11),0)))/100)/2</f>
        <v/>
      </c>
      <c r="M1555">
        <f>L1555*(1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(1-Summary!$B$11)*S1555+Summary!$B$11*U1555</f>
        <v/>
      </c>
      <c r="P1555">
        <f>IF(B1587=0,0,O1555/B1587)</f>
        <v/>
      </c>
      <c r="Q1555">
        <f>IFERROR(1/IF(Inputs!$B$38="pvp",15,MAX(0.1,Skills!D5-IF(Skills!E5=TRUE,Inputs!$B$32,0))),0)</f>
        <v/>
      </c>
      <c r="R1555">
        <f>IF(AND(Inputs!$B$38&lt;&gt;"pvp",Inputs!$B$43&gt;0),IF(MAX(0,Inputs!$B$43-B1584)&lt;=0,0,(INT(MAX(0,Inputs!$B$43-B1584)/IF(Inputs!$B$38="pvp",15,MAX(0.1,Skills!D5-IF(Skills!E5=TRUE,Inputs!$B$32,0))))+1)),0)</f>
        <v/>
      </c>
      <c r="S1555">
        <f>IF(C1555,(H1555*N1555*IF(AND(Inputs!$B$38&lt;&gt;"pvp",Inputs!$B$43&gt;0),((Skills!F5*((R1555-1)*IF(Skills!G5&gt;0,Skills!H5/Skills!G5,1)+IF(Skills!G5&gt;0,MIN(Skills!H5,MAX(0,MAX(0,Inputs!$B$43-B1584)-((R1555-1)*IF(Inputs!$B$38="pvp",15,MAX(0.1,Skills!D5-IF(Skills!E5=TRUE,Inputs!$B$32,0))))))/Skills!G5,1)))/Inputs!$B$43),G1555*Q1555))*IF(Inputs!$B$38="pvp",1,1+(Inputs!$B$20+Skills!O5+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1555*(1-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IF(C1555,(H1555*N1555*IF(AND(Inputs!$B$38&lt;&gt;"pvp",Inputs!$B$43&gt;0),((Skills!F5*((R1555-1)*IF(Skills!G5&gt;0,Skills!H5/Skills!G5,1)+IF(Skills!G5&gt;0,MIN(Skills!H5,MAX(0,MAX(0,Inputs!$B$43-B1584)-((R1555-1)*IF(Inputs!$B$38="pvp",15,MAX(0.1,Skills!D5-IF(Skills!E5=TRUE,Inputs!$B$32,0))))))/Skills!G5,1)))/Inputs!$B$43),G1555*Q1555))*IF(Inputs!$B$38="pvp",1,(1+(Inputs!$B$21+Skills!P5+B1578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Skills!A6</f>
        <v/>
      </c>
      <c r="B1556">
        <f>Skills!B6</f>
        <v/>
      </c>
      <c r="C1556">
        <f>Inputs!$B$3&gt;=63</f>
        <v/>
      </c>
      <c r="D1556">
        <f>IF(Skills!C6=1,60+Inputs!$B$25+Inputs!$B$29,IF(Skills!C6=2,90+Inputs!$B$26+Inputs!$B$29,IF(Skills!C6=3,120+Inputs!$B$27+Inputs!$B$29,MAX(0,(Inputs!$B$3-100)*3)+Inputs!$B$28+Inputs!$B$29)))</f>
        <v/>
      </c>
      <c r="E1556">
        <f>INDEX(FactorTable!$B$2:$Y$301, MATCH(ROUND(MIN(300,MAX(1,D1556)),0), FactorTable!$A$2:$A$301,0), Skills!L6+1)</f>
        <v/>
      </c>
      <c r="F1556">
        <f>IF(Skills!M6=TRUE,(Skills!K6/10)*(E1556/1000),Skills!K6/10)+Skills!N6</f>
        <v/>
      </c>
      <c r="G1556">
        <f>Calc!G6</f>
        <v/>
      </c>
      <c r="H1556">
        <f>Calc!H6</f>
        <v/>
      </c>
      <c r="I1556">
        <f>IF(Skills!T6&lt;&gt;"",1+(Skills!T6/10)*(Z1553/1000)/100,1)</f>
        <v/>
      </c>
      <c r="J1556">
        <f>((Inputs!$B$6*(1+Inputs!$B$7/100))+(((Inputs!$B$12*(1+Inputs!$B$13/100))-(Inputs!$B$12*(1+Inputs!$B$13/100)))+0.25*(Inputs!$B$14-Inputs!$B$14))*(1+Inputs!$B$7/100))*(F1556/100)</f>
        <v/>
      </c>
      <c r="K1556">
        <f>J1556*(1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6="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F1568-Calc!F18),(Inputs!$B$23+(IF(ArtifactsInput!$M$15,CHOOSE(ArtifactsInput!$N$15+1,25,30,35,40,45,50)/100*(Inputs!$B$11-Inputs!$B$11),0))))/100+(Inputs!$B$23+(IF(ArtifactsInput!$M$15,CHOOSE(ArtifactsInput!$N$15+1,25,30,35,40,45,50)/100*(Inputs!$B$11-Inputs!$B$11),0)))/100)/2</f>
        <v/>
      </c>
      <c r="M1556">
        <f>L1556*(1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(1-Summary!$B$11)*S1556+Summary!$B$11*U1556</f>
        <v/>
      </c>
      <c r="P1556">
        <f>IF(B1587=0,0,O1556/B1587)</f>
        <v/>
      </c>
      <c r="Q1556">
        <f>IFERROR(1/IF(Inputs!$B$38="pvp",15,MAX(0.1,Skills!D6-IF(Skills!E6=TRUE,Inputs!$B$32,0))),0)</f>
        <v/>
      </c>
      <c r="R1556">
        <f>IF(AND(Inputs!$B$38&lt;&gt;"pvp",Inputs!$B$43&gt;0),IF(MAX(0,Inputs!$B$43-B1584)&lt;=0,0,(INT(MAX(0,Inputs!$B$43-B1584)/IF(Inputs!$B$38="pvp",15,MAX(0.1,Skills!D6-IF(Skills!E6=TRUE,Inputs!$B$32,0))))+1)),0)</f>
        <v/>
      </c>
      <c r="S1556">
        <f>IF(C1556,(H1556*N1556*IF(AND(Inputs!$B$38&lt;&gt;"pvp",Inputs!$B$43&gt;0),((Skills!F6*((R1556-1)*IF(Skills!G6&gt;0,Skills!H6/Skills!G6,1)+IF(Skills!G6&gt;0,MIN(Skills!H6,MAX(0,MAX(0,Inputs!$B$43-B1584)-((R1556-1)*IF(Inputs!$B$38="pvp",15,MAX(0.1,Skills!D6-IF(Skills!E6=TRUE,Inputs!$B$32,0))))))/Skills!G6,1)))/Inputs!$B$43),G1556*Q1556))*IF(Inputs!$B$38="pvp",1,1+(Inputs!$B$20+Skills!O6+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1556*(1-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F(C1556,(H1556*N1556*IF(AND(Inputs!$B$38&lt;&gt;"pvp",Inputs!$B$43&gt;0),((Skills!F6*((R1556-1)*IF(Skills!G6&gt;0,Skills!H6/Skills!G6,1)+IF(Skills!G6&gt;0,MIN(Skills!H6,MAX(0,MAX(0,Inputs!$B$43-B1584)-((R1556-1)*IF(Inputs!$B$38="pvp",15,MAX(0.1,Skills!D6-IF(Skills!E6=TRUE,Inputs!$B$32,0))))))/Skills!G6,1)))/Inputs!$B$43),G1556*Q1556))*IF(Inputs!$B$38="pvp",1,(1+(Inputs!$B$21+Skills!P6+B1578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Skills!A7</f>
        <v/>
      </c>
      <c r="B1557">
        <f>Skills!B7</f>
        <v/>
      </c>
      <c r="C1557">
        <f>Inputs!$B$3&gt;=69</f>
        <v/>
      </c>
      <c r="D1557">
        <f>IF(Skills!C7=1,60+Inputs!$B$25+Inputs!$B$29,IF(Skills!C7=2,90+Inputs!$B$26+Inputs!$B$29,IF(Skills!C7=3,120+Inputs!$B$27+Inputs!$B$29,MAX(0,(Inputs!$B$3-100)*3)+Inputs!$B$28+Inputs!$B$29)))</f>
        <v/>
      </c>
      <c r="E1557">
        <f>INDEX(FactorTable!$B$2:$Y$301, MATCH(ROUND(MIN(300,MAX(1,D1557)),0), FactorTable!$A$2:$A$301,0), Skills!L7+1)</f>
        <v/>
      </c>
      <c r="F1557">
        <f>IF(Skills!M7=TRUE,(Skills!K7/10)*(E1557/1000),Skills!K7/10)+Skills!N7</f>
        <v/>
      </c>
      <c r="G1557">
        <f>Calc!G7</f>
        <v/>
      </c>
      <c r="H1557">
        <f>Calc!H7</f>
        <v/>
      </c>
      <c r="I1557">
        <f>IF(Skills!T7&lt;&gt;"",1+(Skills!T7/10)*(Z1553/1000)/100,1)</f>
        <v/>
      </c>
      <c r="J1557">
        <f>((Inputs!$B$6*(1+Inputs!$B$7/100))+(((Inputs!$B$12*(1+Inputs!$B$13/100))-(Inputs!$B$12*(1+Inputs!$B$13/100)))+0.25*(Inputs!$B$14-Inputs!$B$14))*(1+Inputs!$B$7/100))*(F1557/100)</f>
        <v/>
      </c>
      <c r="K1557">
        <f>J1557*(1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7="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1568-Calc!F18),(Inputs!$B$23+(IF(ArtifactsInput!$M$15,CHOOSE(ArtifactsInput!$N$15+1,25,30,35,40,45,50)/100*(Inputs!$B$11-Inputs!$B$11),0))))/100+(Inputs!$B$23+(IF(ArtifactsInput!$M$15,CHOOSE(ArtifactsInput!$N$15+1,25,30,35,40,45,50)/100*(Inputs!$B$11-Inputs!$B$11),0)))/100)/2</f>
        <v/>
      </c>
      <c r="M1557">
        <f>L1557*(1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IF(B1587=0,0,O1557/B1587)</f>
        <v/>
      </c>
      <c r="Q1557">
        <f>IFERROR(1/IF(Inputs!$B$38="pvp",15,MAX(0.1,Skills!D7-IF(Skills!E7=TRUE,Inputs!$B$32,0))),0)</f>
        <v/>
      </c>
      <c r="R1557">
        <f>IF(AND(Inputs!$B$38&lt;&gt;"pvp",Inputs!$B$43&gt;0),IF(MAX(0,Inputs!$B$43-B1584)&lt;=0,0,(INT(MAX(0,Inputs!$B$43-B1584)/IF(Inputs!$B$38="pvp",15,MAX(0.1,Skills!D7-IF(Skills!E7=TRUE,Inputs!$B$32,0))))+1)),0)</f>
        <v/>
      </c>
      <c r="S1557">
        <f>IF(C1557,(H1557*N1557*IF(AND(Inputs!$B$38&lt;&gt;"pvp",Inputs!$B$43&gt;0),((Skills!F7*((R1557-1)*IF(Skills!G7&gt;0,Skills!H7/Skills!G7,1)+IF(Skills!G7&gt;0,MIN(Skills!H7,MAX(0,MAX(0,Inputs!$B$43-B1584)-((R1557-1)*IF(Inputs!$B$38="pvp",15,MAX(0.1,Skills!D7-IF(Skills!E7=TRUE,Inputs!$B$32,0))))))/Skills!G7,1)))/Inputs!$B$43),G1557*Q1557))*IF(Inputs!$B$38="pvp",1,1+(Inputs!$B$20+Skills!O7+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7*((R1557-1)*IF(Skills!G7&gt;0,Skills!H7/Skills!G7,1)+IF(Skills!G7&gt;0,MIN(Skills!H7,MAX(0,MAX(0,Inputs!$B$43-B1584)-((R1557-1)*IF(Inputs!$B$38="pvp",15,MAX(0.1,Skills!D7-IF(Skills!E7=TRUE,Inputs!$B$32,0))))))/Skills!G7,1)))/Inputs!$B$43),G1557*Q1557))*IF(Inputs!$B$38="pvp",1,(1+(Inputs!$B$21+Skills!P7+B1578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Skills!A8</f>
        <v/>
      </c>
      <c r="B1558">
        <f>Skills!B8</f>
        <v/>
      </c>
      <c r="C1558">
        <f>Inputs!$B$3&gt;=103</f>
        <v/>
      </c>
      <c r="D1558">
        <f>IF(Skills!C8=1,60+Inputs!$B$25+Inputs!$B$29,IF(Skills!C8=2,90+Inputs!$B$26+Inputs!$B$29,IF(Skills!C8=3,120+Inputs!$B$27+Inputs!$B$29,MAX(0,(Inputs!$B$3-100)*3)+Inputs!$B$28+Inputs!$B$29)))</f>
        <v/>
      </c>
      <c r="E1558">
        <f>INDEX(FactorTable!$B$2:$Y$301, MATCH(ROUND(MIN(300,MAX(1,D1558)),0), FactorTable!$A$2:$A$301,0), Skills!L8+1)</f>
        <v/>
      </c>
      <c r="F1558">
        <f>IF(Skills!M8=TRUE,(Skills!K8/10)*(E1558/1000),Skills!K8/10)+Skills!N8</f>
        <v/>
      </c>
      <c r="G1558">
        <f>Calc!G8</f>
        <v/>
      </c>
      <c r="H1558">
        <f>Calc!H8</f>
        <v/>
      </c>
      <c r="I1558">
        <f>IF(Skills!T8&lt;&gt;"",1+(Skills!T8/10)*(Z1553/1000)/100,1)</f>
        <v/>
      </c>
      <c r="J1558">
        <f>((Inputs!$B$6*(1+Inputs!$B$7/100))+(((Inputs!$B$12*(1+Inputs!$B$13/100))-(Inputs!$B$12*(1+Inputs!$B$13/100)))+0.25*(Inputs!$B$14-Inputs!$B$14))*(1+Inputs!$B$7/100))*(F1558/100)</f>
        <v/>
      </c>
      <c r="K1558">
        <f>J1558*(1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8="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1568-Calc!F18),(Inputs!$B$23+(IF(ArtifactsInput!$M$15,CHOOSE(ArtifactsInput!$N$15+1,25,30,35,40,45,50)/100*(Inputs!$B$11-Inputs!$B$11),0))))/100+(Inputs!$B$23+(IF(ArtifactsInput!$M$15,CHOOSE(ArtifactsInput!$N$15+1,25,30,35,40,45,50)/100*(Inputs!$B$11-Inputs!$B$11),0)))/100)/2</f>
        <v/>
      </c>
      <c r="M1558">
        <f>L1558*(1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IF(B1587=0,0,O1558/B1587)</f>
        <v/>
      </c>
      <c r="Q1558">
        <f>IFERROR(1/IF(Inputs!$B$38="pvp",15,MAX(0.1,Skills!D8-IF(Skills!E8=TRUE,Inputs!$B$32,0))),0)</f>
        <v/>
      </c>
      <c r="R1558">
        <f>IF(AND(Inputs!$B$38&lt;&gt;"pvp",Inputs!$B$43&gt;0),IF(MAX(0,Inputs!$B$43-B1584)&lt;=0,0,(INT(MAX(0,Inputs!$B$43-B1584)/IF(Inputs!$B$38="pvp",15,MAX(0.1,Skills!D8-IF(Skills!E8=TRUE,Inputs!$B$32,0))))+1)),0)</f>
        <v/>
      </c>
      <c r="S1558">
        <f>IF(C1558,(H1558*N1558*IF(AND(Inputs!$B$38&lt;&gt;"pvp",Inputs!$B$43&gt;0),((Skills!F8*((R1558-1)*IF(Skills!G8&gt;0,Skills!H8/Skills!G8,1)+IF(Skills!G8&gt;0,MIN(Skills!H8,MAX(0,MAX(0,Inputs!$B$43-B1584)-((R1558-1)*IF(Inputs!$B$38="pvp",15,MAX(0.1,Skills!D8-IF(Skills!E8=TRUE,Inputs!$B$32,0))))))/Skills!G8,1)))/Inputs!$B$43),G1558*Q1558))*IF(Inputs!$B$38="pvp",1,1+(Inputs!$B$20+Skills!O8+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8*((R1558-1)*IF(Skills!G8&gt;0,Skills!H8/Skills!G8,1)+IF(Skills!G8&gt;0,MIN(Skills!H8,MAX(0,MAX(0,Inputs!$B$43-B1584)-((R1558-1)*IF(Inputs!$B$38="pvp",15,MAX(0.1,Skills!D8-IF(Skills!E8=TRUE,Inputs!$B$32,0))))))/Skills!G8,1)))/Inputs!$B$43),G1558*Q1558))*IF(Inputs!$B$38="pvp",1,(1+(Inputs!$B$21+Skills!P8+B1578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Skills!A9</f>
        <v/>
      </c>
      <c r="B1559">
        <f>Skills!B9</f>
        <v/>
      </c>
      <c r="C1559">
        <f>Inputs!$B$3&gt;=105</f>
        <v/>
      </c>
      <c r="D1559">
        <f>IF(Skills!C9=1,60+Inputs!$B$25+Inputs!$B$29,IF(Skills!C9=2,90+Inputs!$B$26+Inputs!$B$29,IF(Skills!C9=3,120+Inputs!$B$27+Inputs!$B$29,MAX(0,(Inputs!$B$3-100)*3)+Inputs!$B$28+Inputs!$B$29)))</f>
        <v/>
      </c>
      <c r="E1559">
        <f>INDEX(FactorTable!$B$2:$Y$301, MATCH(ROUND(MIN(300,MAX(1,D1559)),0), FactorTable!$A$2:$A$301,0), Skills!L9+1)</f>
        <v/>
      </c>
      <c r="F1559">
        <f>IF(Skills!M9=TRUE,(Skills!K9/10)*(E1559/1000),Skills!K9/10)+Skills!N9</f>
        <v/>
      </c>
      <c r="G1559">
        <f>Calc!G9</f>
        <v/>
      </c>
      <c r="H1559">
        <f>Calc!H9</f>
        <v/>
      </c>
      <c r="I1559">
        <f>IF(Skills!T9&lt;&gt;"",1+(Skills!T9/10)*(Z1553/1000)/100,1)</f>
        <v/>
      </c>
      <c r="J1559">
        <f>((Inputs!$B$6*(1+Inputs!$B$7/100))+(((Inputs!$B$12*(1+Inputs!$B$13/100))-(Inputs!$B$12*(1+Inputs!$B$13/100)))+0.25*(Inputs!$B$14-Inputs!$B$14))*(1+Inputs!$B$7/100))*(F1559/100)</f>
        <v/>
      </c>
      <c r="K1559">
        <f>J1559*(1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9="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F1568-Calc!F18),(Inputs!$B$23+(IF(ArtifactsInput!$M$15,CHOOSE(ArtifactsInput!$N$15+1,25,30,35,40,45,50)/100*(Inputs!$B$11-Inputs!$B$11),0))))/100+(Inputs!$B$23+(IF(ArtifactsInput!$M$15,CHOOSE(ArtifactsInput!$N$15+1,25,30,35,40,45,50)/100*(Inputs!$B$11-Inputs!$B$11),0)))/100)/2</f>
        <v/>
      </c>
      <c r="M1559">
        <f>L1559*(1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(1-Summary!$B$11)*S1559+Summary!$B$11*U1559</f>
        <v/>
      </c>
      <c r="P1559">
        <f>IF(B1587=0,0,O1559/B1587)</f>
        <v/>
      </c>
      <c r="Q1559">
        <f>IFERROR(1/IF(Inputs!$B$38="pvp",15,MAX(0.1,Skills!D9-IF(Skills!E9=TRUE,Inputs!$B$32,0))),0)</f>
        <v/>
      </c>
      <c r="R1559">
        <f>IF(AND(Inputs!$B$38&lt;&gt;"pvp",Inputs!$B$43&gt;0),IF(MAX(0,Inputs!$B$43-B1584)&lt;=0,0,(INT(MAX(0,Inputs!$B$43-B1584)/IF(Inputs!$B$38="pvp",15,MAX(0.1,Skills!D9-IF(Skills!E9=TRUE,Inputs!$B$32,0))))+1)),0)</f>
        <v/>
      </c>
      <c r="S1559">
        <f>IF(C1559,(H1559*N1559*IF(AND(Inputs!$B$38&lt;&gt;"pvp",Inputs!$B$43&gt;0),((Skills!F9*((R1559-1)*IF(Skills!G9&gt;0,Skills!H9/Skills!G9,1)+IF(Skills!G9&gt;0,MIN(Skills!H9,MAX(0,MAX(0,Inputs!$B$43-B1584)-((R1559-1)*IF(Inputs!$B$38="pvp",15,MAX(0.1,Skills!D9-IF(Skills!E9=TRUE,Inputs!$B$32,0))))))/Skills!G9,1)))/Inputs!$B$43),G1559*Q1559))*IF(Inputs!$B$38="pvp",1,1+(Inputs!$B$20+Skills!O9+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1559*(1-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F(C1559,(H1559*N1559*IF(AND(Inputs!$B$38&lt;&gt;"pvp",Inputs!$B$43&gt;0),((Skills!F9*((R1559-1)*IF(Skills!G9&gt;0,Skills!H9/Skills!G9,1)+IF(Skills!G9&gt;0,MIN(Skills!H9,MAX(0,MAX(0,Inputs!$B$43-B1584)-((R1559-1)*IF(Inputs!$B$38="pvp",15,MAX(0.1,Skills!D9-IF(Skills!E9=TRUE,Inputs!$B$32,0))))))/Skills!G9,1)))/Inputs!$B$43),G1559*Q1559))*IF(Inputs!$B$38="pvp",1,(1+(Inputs!$B$21+Skills!P9+B1578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Skills!A10</f>
        <v/>
      </c>
      <c r="B1560">
        <f>Skills!B10</f>
        <v/>
      </c>
      <c r="C1560">
        <f>Inputs!$B$3&gt;=113</f>
        <v/>
      </c>
      <c r="D1560">
        <f>IF(Skills!C10=1,60+Inputs!$B$25+Inputs!$B$29,IF(Skills!C10=2,90+Inputs!$B$26+Inputs!$B$29,IF(Skills!C10=3,120+Inputs!$B$27+Inputs!$B$29,MAX(0,(Inputs!$B$3-100)*3)+Inputs!$B$28+Inputs!$B$29)))</f>
        <v/>
      </c>
      <c r="E1560">
        <f>INDEX(FactorTable!$B$2:$Y$301, MATCH(ROUND(MIN(300,MAX(1,D1560)),0), FactorTable!$A$2:$A$301,0), Skills!L10+1)</f>
        <v/>
      </c>
      <c r="F1560">
        <f>IF(Skills!M10=TRUE,(Skills!K10/10)*(E1560/1000),Skills!K10/10)+Skills!N10</f>
        <v/>
      </c>
      <c r="G1560">
        <f>Calc!G10</f>
        <v/>
      </c>
      <c r="H1560">
        <f>Calc!H10</f>
        <v/>
      </c>
      <c r="I1560">
        <f>IF(Skills!T10&lt;&gt;"",1+(Skills!T10/10)*(Z1553/1000)/100,1)</f>
        <v/>
      </c>
      <c r="J1560">
        <f>((Inputs!$B$6*(1+Inputs!$B$7/100))+(((Inputs!$B$12*(1+Inputs!$B$13/100))-(Inputs!$B$12*(1+Inputs!$B$13/100)))+0.25*(Inputs!$B$14-Inputs!$B$14))*(1+Inputs!$B$7/100))*(F1560/100)</f>
        <v/>
      </c>
      <c r="K1560">
        <f>J1560*(1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10="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F1568-Calc!F18),(Inputs!$B$23+(IF(ArtifactsInput!$M$15,CHOOSE(ArtifactsInput!$N$15+1,25,30,35,40,45,50)/100*(Inputs!$B$11-Inputs!$B$11),0))))/100+(Inputs!$B$23+(IF(ArtifactsInput!$M$15,CHOOSE(ArtifactsInput!$N$15+1,25,30,35,40,45,50)/100*(Inputs!$B$11-Inputs!$B$11),0)))/100)/2</f>
        <v/>
      </c>
      <c r="M1560">
        <f>L1560*(1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(1-Summary!$B$11)*S1560+Summary!$B$11*U1560</f>
        <v/>
      </c>
      <c r="P1560">
        <f>IF(B1587=0,0,O1560/B1587)</f>
        <v/>
      </c>
      <c r="Q1560">
        <f>IFERROR(1/IF(Inputs!$B$38="pvp",15,MAX(0.1,Skills!D10-IF(Skills!E9=TRUE,Inputs!$B$32,0))),0)</f>
        <v/>
      </c>
      <c r="R1560">
        <f>IF(AND(Inputs!$B$38&lt;&gt;"pvp",Inputs!$B$43&gt;0),IF(MAX(0,Inputs!$B$43-B1584)&lt;=0,0,(INT(MAX(0,Inputs!$B$43-B1584)/IF(Inputs!$B$38="pvp",15,MAX(0.1,Skills!D10-IF(Skills!E9=TRUE,Inputs!$B$32,0))))+1)),0)</f>
        <v/>
      </c>
      <c r="S1560">
        <f>IF(C1560,(H1560*N1560*IF(AND(Inputs!$B$38&lt;&gt;"pvp",Inputs!$B$43&gt;0),((Skills!F10*((R1560-1)*IF(Skills!G10&gt;0,Skills!H10/Skills!G10,1)+IF(Skills!G10&gt;0,MIN(Skills!H10,MAX(0,MAX(0,Inputs!$B$43-B1584)-((R1560-1)*IF(Inputs!$B$38="pvp",15,MAX(0.1,Skills!D10-IF(Skills!E9=TRUE,Inputs!$B$32,0))))))/Skills!G10,1)))/Inputs!$B$43),G1560*Q1560))*IF(Inputs!$B$38="pvp",1,1+(Inputs!$B$20+Skills!O10+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1560*(1-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IF(C1560,(H1560*N1560*IF(AND(Inputs!$B$38&lt;&gt;"pvp",Inputs!$B$43&gt;0),((Skills!F10*((R1560-1)*IF(Skills!G10&gt;0,Skills!H10/Skills!G10,1)+IF(Skills!G10&gt;0,MIN(Skills!H10,MAX(0,MAX(0,Inputs!$B$43-B1584)-((R1560-1)*IF(Inputs!$B$38="pvp",15,MAX(0.1,Skills!D10-IF(Skills!E9=TRUE,Inputs!$B$32,0))))))/Skills!G10,1)))/Inputs!$B$43),G1560*Q1560))*IF(Inputs!$B$38="pvp",1,(1+(Inputs!$B$21+Skills!P10+B1578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Skills!A11</f>
        <v/>
      </c>
      <c r="B1561">
        <f>Skills!B11</f>
        <v/>
      </c>
      <c r="C1561">
        <f>Inputs!$B$3&gt;=107</f>
        <v/>
      </c>
      <c r="D1561">
        <f>IF(Skills!C11=1,60+Inputs!$B$25+Inputs!$B$29,IF(Skills!C11=2,90+Inputs!$B$26+Inputs!$B$29,IF(Skills!C11=3,120+Inputs!$B$27+Inputs!$B$29,MAX(0,(Inputs!$B$3-100)*3)+Inputs!$B$28+Inputs!$B$29)))</f>
        <v/>
      </c>
      <c r="E1561">
        <f>INDEX(FactorTable!$B$2:$Y$301, MATCH(ROUND(MIN(300,MAX(1,D1561)),0), FactorTable!$A$2:$A$301,0), Skills!L11+1)</f>
        <v/>
      </c>
      <c r="F1561">
        <f>IF(Skills!M11=TRUE,(Skills!K11/10)*(E1561/1000),Skills!K11/10)+Skills!N11</f>
        <v/>
      </c>
      <c r="G1561">
        <f>Calc!G11</f>
        <v/>
      </c>
      <c r="H1561">
        <f>Calc!H11</f>
        <v/>
      </c>
      <c r="I1561">
        <f>IF(Skills!T11&lt;&gt;"",1+(Skills!T11/10)*(Z1553/1000)/100,1)</f>
        <v/>
      </c>
      <c r="J1561">
        <f>((Inputs!$B$6*(1+Inputs!$B$7/100))+(((Inputs!$B$12*(1+Inputs!$B$13/100))-(Inputs!$B$12*(1+Inputs!$B$13/100)))+0.25*(Inputs!$B$14-Inputs!$B$14))*(1+Inputs!$B$7/100))*(F1561/100)</f>
        <v/>
      </c>
      <c r="K1561">
        <f>J1561*(1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11="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F1568-Calc!F18),(Inputs!$B$23+(IF(ArtifactsInput!$M$15,CHOOSE(ArtifactsInput!$N$15+1,25,30,35,40,45,50)/100*(Inputs!$B$11-Inputs!$B$11),0))))/100+(Inputs!$B$23+(IF(ArtifactsInput!$M$15,CHOOSE(ArtifactsInput!$N$15+1,25,30,35,40,45,50)/100*(Inputs!$B$11-Inputs!$B$11),0)))/100)/2</f>
        <v/>
      </c>
      <c r="M1561">
        <f>L1561*(1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(1-Summary!$B$11)*S1561+Summary!$B$11*U1561</f>
        <v/>
      </c>
      <c r="P1561">
        <f>IF(B1587=0,0,O1561/B1587)</f>
        <v/>
      </c>
      <c r="Q1561">
        <f>IFERROR(1/IF(Inputs!$B$38="pvp",15,MAX(0.1,Skills!D11-IF(Skills!E11=TRUE,Inputs!$B$32,0))),0)</f>
        <v/>
      </c>
      <c r="R1561">
        <f>IF(AND(Inputs!$B$38&lt;&gt;"pvp",Inputs!$B$43&gt;0),IF(MAX(0,Inputs!$B$43-B1584)&lt;=0,0,(INT(MAX(0,Inputs!$B$43-B1584)/IF(Inputs!$B$38="pvp",15,MAX(0.1,Skills!D11-IF(Skills!E11=TRUE,Inputs!$B$32,0))))+1)),0)</f>
        <v/>
      </c>
      <c r="S1561">
        <f>IF(C1561,H1561*N1561*IF(AND(Inputs!$B$38&lt;&gt;"pvp",Inputs!$B$43&gt;0),((Skills!F11*((R1561-1)*IF(Skills!G11&gt;0,Skills!H11/Skills!G11,1)+IF(Skills!G11&gt;0,MIN(Skills!H11,MAX(0,MAX(0,Inputs!$B$43-B1584)-((R1561-1)*IF(Inputs!$B$38="pvp",15,MAX(0.1,Skills!D11-IF(Skills!E11=TRUE,Inputs!$B$32,0))))))/Skills!G11,1)))/Inputs!$B$43),G1561*Q1561)*0.5*IF(Inputs!$B$38="pvp",1,1+(Inputs!$B$20+Skills!O11+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IF(C1561,H1561*N1561*IF(AND(Inputs!$B$38&lt;&gt;"pvp",Inputs!$B$43&gt;0),((Skills!F11*((R1561-1)*IF(Skills!G11&gt;0,Skills!H11/Skills!G11,1)+IF(Skills!G11&gt;0,MIN(Skills!H11,MAX(0,MAX(0,Inputs!$B$43-B1584)-((R1561-1)*IF(Inputs!$B$38="pvp",15,MAX(0.1,Skills!D11-IF(Skills!E11=TRUE,Inputs!$B$32,0))))))/Skills!G11,1)))/Inputs!$B$43),G1561*Q1561)*1*IF(Inputs!$B$38="pvp",1,(1+(Inputs!$B$21+Skills!P11+B1578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Skills!A12</f>
        <v/>
      </c>
      <c r="B1562">
        <f>Skills!B12</f>
        <v/>
      </c>
      <c r="C1562">
        <f>Inputs!$B$3&gt;=115</f>
        <v/>
      </c>
      <c r="D1562">
        <f>IF(Skills!C12=1,60+Inputs!$B$25+Inputs!$B$29,IF(Skills!C12=2,90+Inputs!$B$26+Inputs!$B$29,IF(Skills!C12=3,120+Inputs!$B$27+Inputs!$B$29,MAX(0,(Inputs!$B$3-100)*3)+Inputs!$B$28+Inputs!$B$29)))</f>
        <v/>
      </c>
      <c r="E1562">
        <f>INDEX(FactorTable!$B$2:$Y$301, MATCH(ROUND(MIN(300,MAX(1,D1562)),0), FactorTable!$A$2:$A$301,0), Skills!L12+1)</f>
        <v/>
      </c>
      <c r="F1562">
        <f>IF(Skills!M12=TRUE,(Skills!K12/10)*(E1562/1000),Skills!K12/10)+Skills!N12</f>
        <v/>
      </c>
      <c r="G1562">
        <f>Calc!G12</f>
        <v/>
      </c>
      <c r="H1562">
        <f>Calc!H12</f>
        <v/>
      </c>
      <c r="I1562">
        <f>IF(Skills!T12&lt;&gt;"",1+(Skills!T12/10)*(Z1553/1000)/100,1)</f>
        <v/>
      </c>
      <c r="J1562">
        <f>((Inputs!$B$6*(1+Inputs!$B$7/100))+(((Inputs!$B$12*(1+Inputs!$B$13/100))-(Inputs!$B$12*(1+Inputs!$B$13/100)))+0.25*(Inputs!$B$14-Inputs!$B$14))*(1+Inputs!$B$7/100))*(F1562/100)</f>
        <v/>
      </c>
      <c r="K1562">
        <f>J1562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12="CHAIN_LIGHTNING",Inputs!$B$17+((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F1568-Calc!F18),(Inputs!$B$23+(IF(ArtifactsInput!$M$15,CHOOSE(ArtifactsInput!$N$15+1,25,30,35,40,45,50)/100*(Inputs!$B$11-Inputs!$B$11),0))))/100+(Inputs!$B$23+(IF(ArtifactsInput!$M$15,CHOOSE(ArtifactsInput!$N$15+1,25,30,35,40,45,50)/100*(Inputs!$B$11-Inputs!$B$11),0)))/100)/2</f>
        <v/>
      </c>
      <c r="M1562">
        <f>L1562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(1-Summary!$B$11)*S1562+Summary!$B$11*U1562</f>
        <v/>
      </c>
      <c r="P1562">
        <f>IF(B1587=0,0,O1562/B1587)</f>
        <v/>
      </c>
      <c r="Q1562">
        <f>IFERROR(1/IF(Inputs!$B$38="pvp",15,MAX(0.1,Skills!D12-IF(Skills!E12=TRUE,Inputs!$B$32,0))),0)</f>
        <v/>
      </c>
      <c r="R1562">
        <f>IF(AND(Inputs!$B$38&lt;&gt;"pvp",Inputs!$B$43&gt;0),IF(MAX(0,Inputs!$B$43-B1584)&lt;=0,0,(INT(MAX(0,Inputs!$B$43-B1584)/IF(Inputs!$B$38="pvp",15,MAX(0.1,Skills!D12-IF(Skills!E12=TRUE,Inputs!$B$32,0))))+1)),0)</f>
        <v/>
      </c>
      <c r="S1562">
        <f>IF(C1562,(H1562*N1562*IF(AND(Inputs!$B$38&lt;&gt;"pvp",Inputs!$B$43&gt;0),((Skills!F12*((R1562-1)*IF(Skills!G12&gt;0,Skills!H12/Skills!G12,1)+IF(Skills!G12&gt;0,MIN(Skills!H12,MAX(0,MAX(0,Inputs!$B$43-B1584)-((R1562-1)*IF(Inputs!$B$38="pvp",15,MAX(0.1,Skills!D12-IF(Skills!E12=TRUE,Inputs!$B$32,0))))))/Skills!G12,1)))/Inputs!$B$43),G1562*Q1562))*IF(Inputs!$B$38="pvp",1,1+(Inputs!$B$20+Skills!O12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1562*(1-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F1570-Calc!F20)+(F1569-Calc!F19))+(ArtifactsInput!$M$24-ArtifactsInput!$M$24)*CHOOSE(ArtifactsInput!$N$24+1,10,12,14,16,18,20)+(IF(AND(Inputs!$B$38&lt;&gt;"pvp",Inputs!$B$43=0),1,IF(IF(Inputs!$B$38="pvp",15,Inputs!$B$43)-(B1584)&lt;=0,1,MAX(0,IF(Inputs!$B$38="pvp",15,Inputs!$B$43)-MAX(5,B1584))/(IF(Inputs!$B$38="pvp",15,Inputs!$B$43)-(B1584)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F(C1562,(H1562*N1562*IF(AND(Inputs!$B$38&lt;&gt;"pvp",Inputs!$B$43&gt;0),((Skills!F12*((R1562-1)*IF(Skills!G12&gt;0,Skills!H12/Skills!G12,1)+IF(Skills!G12&gt;0,MIN(Skills!H12,MAX(0,MAX(0,Inputs!$B$43-B1584)-((R1562-1)*IF(Inputs!$B$38="pvp",15,MAX(0.1,Skills!D12-IF(Skills!E12=TRUE,Inputs!$B$32,0))))))/Skills!G12,1)))/Inputs!$B$43),G1562*Q1562))*IF(Inputs!$B$38="pvp",1,(1+(Inputs!$B$21+Skills!P12+B1578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Skills!A13</f>
        <v/>
      </c>
      <c r="B1563">
        <f>Skills!B13</f>
        <v/>
      </c>
      <c r="C1563">
        <f>Inputs!$B$3&gt;=49</f>
        <v/>
      </c>
      <c r="D1563">
        <f>IF(Skills!C13=1,60+Inputs!$B$25+Inputs!$B$29,IF(Skills!C13=2,90+Inputs!$B$26+Inputs!$B$29,IF(Skills!C13=3,120+Inputs!$B$27+Inputs!$B$29,MAX(0,(Inputs!$B$3-100)*3)+Inputs!$B$28+Inputs!$B$29)))</f>
        <v/>
      </c>
      <c r="E1563">
        <f>INDEX(FactorTable!$B$2:$Y$301, MATCH(ROUND(MIN(300,MAX(1,D1563)),0), FactorTable!$A$2:$A$301,0), Skills!L13+1)</f>
        <v/>
      </c>
      <c r="F1563">
        <f>IF(Skills!M13=TRUE,(Skills!K13/10)*(E1563/1000),Skills!K13/10)+Skills!N13</f>
        <v/>
      </c>
      <c r="G1563">
        <f>Calc!G13</f>
        <v/>
      </c>
      <c r="H1563">
        <f>Calc!H13</f>
        <v/>
      </c>
      <c r="I1563">
        <f>IF(Skills!T13&lt;&gt;"",1+(Skills!T13/10)*(Z1553/1000)/100,1)</f>
        <v/>
      </c>
      <c r="J1563" t="inlineStr"/>
      <c r="K1563" t="inlineStr"/>
      <c r="L1563" t="inlineStr"/>
      <c r="M1563" t="inlineStr"/>
      <c r="N1563" t="inlineStr"/>
      <c r="O1563">
        <f>(1-Summary!$B$11)*S1563+Summary!$B$11*U1563</f>
        <v/>
      </c>
      <c r="P1563">
        <f>IF(B1587=0,0,O1563/B1587)</f>
        <v/>
      </c>
      <c r="Q1563">
        <f>IFERROR(1/IF(Inputs!$B$38="pvp",15,MAX(0.1,Skills!D13-IF(Skills!E13=TRUE,Inputs!$B$32,0))),0)</f>
        <v/>
      </c>
      <c r="R1563" t="n">
        <v>0</v>
      </c>
      <c r="S1563" t="n">
        <v>0</v>
      </c>
      <c r="U1563" t="n">
        <v>0</v>
      </c>
    </row>
    <row r="1564">
      <c r="A1564">
        <f>Skills!A14</f>
        <v/>
      </c>
      <c r="B1564">
        <f>Skills!B14</f>
        <v/>
      </c>
      <c r="C1564">
        <f>Inputs!$B$3&gt;=72</f>
        <v/>
      </c>
      <c r="D1564">
        <f>IF(Skills!C14=1,60+Inputs!$B$25+Inputs!$B$29,IF(Skills!C14=2,90+Inputs!$B$26+Inputs!$B$29,IF(Skills!C14=3,120+Inputs!$B$27+Inputs!$B$29,MAX(0,(Inputs!$B$3-100)*3)+Inputs!$B$28+Inputs!$B$29)))</f>
        <v/>
      </c>
      <c r="E1564">
        <f>INDEX(FactorTable!$B$2:$Y$301, MATCH(ROUND(MIN(300,MAX(1,D1564)),0), FactorTable!$A$2:$A$301,0), Skills!L14+1)</f>
        <v/>
      </c>
      <c r="F1564">
        <f>IF(Skills!M14=TRUE,(Skills!K14/10)*(E1564/1000),Skills!K14/10)+Skills!N14</f>
        <v/>
      </c>
      <c r="G1564">
        <f>Calc!G14</f>
        <v/>
      </c>
      <c r="H1564">
        <f>Calc!H14</f>
        <v/>
      </c>
      <c r="I1564">
        <f>IF(Skills!T14&lt;&gt;"",1+(Skills!T14/10)*(Z1553/1000)/100,1)</f>
        <v/>
      </c>
      <c r="J1564" t="inlineStr"/>
      <c r="K1564" t="inlineStr"/>
      <c r="L1564" t="inlineStr"/>
      <c r="M1564" t="inlineStr"/>
      <c r="N1564" t="inlineStr"/>
      <c r="O1564">
        <f>(1-Summary!$B$11)*S1564+Summary!$B$11*U1564</f>
        <v/>
      </c>
      <c r="P1564">
        <f>IF(B1587=0,0,O1564/B1587)</f>
        <v/>
      </c>
      <c r="Q1564">
        <f>IFERROR(1/IF(Inputs!$B$38="pvp",15,MAX(0.1,Skills!D14-IF(Skills!E14=TRUE,Inputs!$B$32,0))),0)</f>
        <v/>
      </c>
      <c r="R1564" t="n">
        <v>0</v>
      </c>
      <c r="S1564" t="n">
        <v>0</v>
      </c>
      <c r="U1564" t="n">
        <v>0</v>
      </c>
    </row>
    <row r="1565">
      <c r="A1565">
        <f>Skills!A15</f>
        <v/>
      </c>
      <c r="B1565">
        <f>Skills!B15</f>
        <v/>
      </c>
      <c r="C1565">
        <f>Inputs!$B$3&gt;=75</f>
        <v/>
      </c>
      <c r="D1565">
        <f>IF(Skills!C15=1,60+Inputs!$B$25+Inputs!$B$29,IF(Skills!C15=2,90+Inputs!$B$26+Inputs!$B$29,IF(Skills!C15=3,120+Inputs!$B$27+Inputs!$B$29,MAX(0,(Inputs!$B$3-100)*3)+Inputs!$B$28+Inputs!$B$29)))</f>
        <v/>
      </c>
      <c r="E1565">
        <f>INDEX(FactorTable!$B$2:$Y$301, MATCH(ROUND(MIN(300,MAX(1,D1565)),0), FactorTable!$A$2:$A$301,0), Skills!L15+1)</f>
        <v/>
      </c>
      <c r="F1565">
        <f>IF(Skills!M15=TRUE,(Skills!K15/10)*(E1565/1000),Skills!K15/10)+Skills!N15</f>
        <v/>
      </c>
      <c r="G1565">
        <f>Calc!G15</f>
        <v/>
      </c>
      <c r="H1565">
        <f>Calc!H15</f>
        <v/>
      </c>
      <c r="I1565">
        <f>IF(Skills!T15&lt;&gt;"",1+(Skills!T15/10)*(Z1553/1000)/100,1)</f>
        <v/>
      </c>
      <c r="J1565" t="inlineStr"/>
      <c r="K1565" t="inlineStr"/>
      <c r="L1565" t="inlineStr"/>
      <c r="M1565" t="inlineStr"/>
      <c r="N1565" t="inlineStr"/>
      <c r="O1565">
        <f>(1-Summary!$B$11)*S1565+Summary!$B$11*U1565</f>
        <v/>
      </c>
      <c r="P1565">
        <f>IF(B1587=0,0,O1565/B1587)</f>
        <v/>
      </c>
      <c r="Q1565">
        <f>IFERROR(1/IF(Inputs!$B$38="pvp",15,MAX(0.1,Skills!D15-IF(Skills!E15=TRUE,Inputs!$B$32,0))),0)</f>
        <v/>
      </c>
      <c r="R1565" t="n">
        <v>0</v>
      </c>
      <c r="S1565" t="n">
        <v>0</v>
      </c>
      <c r="U1565" t="n">
        <v>0</v>
      </c>
    </row>
    <row r="1566">
      <c r="A1566">
        <f>Skills!A16</f>
        <v/>
      </c>
      <c r="B1566">
        <f>Skills!B16</f>
        <v/>
      </c>
      <c r="C1566">
        <f>Inputs!$B$3&gt;=110</f>
        <v/>
      </c>
      <c r="D1566">
        <f>IF(Skills!C16=1,60+Inputs!$B$25+Inputs!$B$29,IF(Skills!C16=2,90+Inputs!$B$26+Inputs!$B$29,IF(Skills!C16=3,120+Inputs!$B$27+Inputs!$B$29,MAX(0,(Inputs!$B$3-100)*3)+Inputs!$B$28+Inputs!$B$29)))</f>
        <v/>
      </c>
      <c r="E1566">
        <f>INDEX(FactorTable!$B$2:$Y$301, MATCH(ROUND(MIN(300,MAX(1,D1566)),0), FactorTable!$A$2:$A$301,0), Skills!L16+1)</f>
        <v/>
      </c>
      <c r="F1566">
        <f>(Skills!K16/10)*(E1566/1000)*64/45+Skills!N16</f>
        <v/>
      </c>
      <c r="G1566">
        <f>Calc!G16</f>
        <v/>
      </c>
      <c r="H1566">
        <f>Calc!H16</f>
        <v/>
      </c>
      <c r="I1566">
        <f>IF(Skills!T16&lt;&gt;"",1+(Skills!T16/10)*(Z1553/1000)/100,1)</f>
        <v/>
      </c>
      <c r="J1566" t="inlineStr"/>
      <c r="K1566" t="inlineStr"/>
      <c r="L1566" t="inlineStr"/>
      <c r="M1566" t="inlineStr"/>
      <c r="N1566" t="inlineStr"/>
      <c r="O1566">
        <f>(1-Summary!$B$11)*S1566+Summary!$B$11*U1566</f>
        <v/>
      </c>
      <c r="P1566">
        <f>IF(B1587=0,0,O1566/B1587)</f>
        <v/>
      </c>
      <c r="Q1566">
        <f>IFERROR(1/IF(Inputs!$B$38="pvp",15,MAX(0.1,Skills!D16-IF(Skills!E16=TRUE,Inputs!$B$32,0))),0)</f>
        <v/>
      </c>
      <c r="R1566">
        <f>IF(AND(Inputs!$B$38&lt;&gt;"pvp",Inputs!$B$43&gt;0),IF(Inputs!$B$43&lt;=0,0,(INT(Inputs!$B$43/IF(Inputs!$B$38="pvp",15,MAX(0.1,Skills!D16-IF(Skills!E16=TRUE,Inputs!$B$32,0))))+1)),0)</f>
        <v/>
      </c>
      <c r="S1566" t="n">
        <v>0</v>
      </c>
      <c r="U1566" t="n">
        <v>0</v>
      </c>
    </row>
    <row r="1567">
      <c r="A1567">
        <f>Skills!A17</f>
        <v/>
      </c>
      <c r="B1567">
        <f>Skills!B17</f>
        <v/>
      </c>
      <c r="C1567">
        <f>Inputs!$B$3&gt;=33</f>
        <v/>
      </c>
      <c r="D1567">
        <f>IF(Skills!C17=1,60+Inputs!$B$25+Inputs!$B$29,IF(Skills!C17=2,90+Inputs!$B$26+Inputs!$B$29,IF(Skills!C17=3,120+Inputs!$B$27+Inputs!$B$29,MAX(0,(Inputs!$B$3-100)*3)+Inputs!$B$28+Inputs!$B$29)))</f>
        <v/>
      </c>
      <c r="E1567">
        <f>INDEX(FactorTable!$B$2:$Y$301, MATCH(ROUND(MIN(300,MAX(1,D1567)),0), FactorTable!$A$2:$A$301,0), Skills!L17+1)</f>
        <v/>
      </c>
      <c r="F1567">
        <f>IF(Skills!M17=TRUE,(Skills!K17/10)*(E1567/1000),Skills!K17/10)+Skills!N17</f>
        <v/>
      </c>
      <c r="G1567">
        <f>Calc!G17</f>
        <v/>
      </c>
      <c r="H1567">
        <f>Calc!H17</f>
        <v/>
      </c>
      <c r="I1567">
        <f>IF(Skills!T17&lt;&gt;"",1+(Skills!T17/10)*(Z1553/1000)/100,1)</f>
        <v/>
      </c>
      <c r="J1567" t="inlineStr"/>
      <c r="K1567" t="inlineStr"/>
      <c r="L1567" t="inlineStr"/>
      <c r="M1567" t="inlineStr"/>
      <c r="N1567" t="inlineStr"/>
      <c r="O1567">
        <f>(1-Summary!$B$11)*S1567+Summary!$B$11*U1567</f>
        <v/>
      </c>
      <c r="P1567">
        <f>IF(B1587=0,0,O1567/B1587)</f>
        <v/>
      </c>
      <c r="Q1567">
        <f>IFERROR(1/IF(Inputs!$B$38="pvp",15,MAX(0.1,Skills!D17-IF(Skills!E17=TRUE,Inputs!$B$32,0))),0)</f>
        <v/>
      </c>
      <c r="R1567" t="n">
        <v>0</v>
      </c>
      <c r="S1567" t="n">
        <v>0</v>
      </c>
      <c r="U1567" t="n">
        <v>0</v>
      </c>
    </row>
    <row r="1568">
      <c r="A1568">
        <f>Skills!A18</f>
        <v/>
      </c>
      <c r="B1568">
        <f>Skills!B18</f>
        <v/>
      </c>
      <c r="C1568">
        <f>Inputs!$B$3&gt;=43</f>
        <v/>
      </c>
      <c r="D1568">
        <f>IF(Skills!C18=1,60+Inputs!$B$25+Inputs!$B$29,IF(Skills!C18=2,90+Inputs!$B$26+Inputs!$B$29,IF(Skills!C18=3,120+Inputs!$B$27+Inputs!$B$29,MAX(0,(Inputs!$B$3-100)*3)+Inputs!$B$28+Inputs!$B$29)))</f>
        <v/>
      </c>
      <c r="E1568">
        <f>INDEX(FactorTable!$B$2:$Y$301, MATCH(ROUND(MIN(300,MAX(1,D1568)),0), FactorTable!$A$2:$A$301,0), Skills!L18+1)</f>
        <v/>
      </c>
      <c r="F1568">
        <f>IF(Skills!M18=TRUE,(Skills!K18/10)*(E1568/1000),Skills!K18/10)+Skills!N18</f>
        <v/>
      </c>
      <c r="G1568">
        <f>Calc!G18</f>
        <v/>
      </c>
      <c r="H1568">
        <f>Calc!H18</f>
        <v/>
      </c>
      <c r="I1568">
        <f>IF(Skills!T18&lt;&gt;"",1+(Skills!T18/10)*(Z1553/1000)/100,1)</f>
        <v/>
      </c>
      <c r="J1568" t="inlineStr"/>
      <c r="K1568" t="inlineStr"/>
      <c r="L1568" t="inlineStr"/>
      <c r="M1568" t="inlineStr"/>
      <c r="N1568" t="inlineStr"/>
      <c r="O1568">
        <f>(1-Summary!$B$11)*S1568+Summary!$B$11*U1568</f>
        <v/>
      </c>
      <c r="P1568">
        <f>IF(B1587=0,0,O1568/B1587)</f>
        <v/>
      </c>
      <c r="Q1568">
        <f>IFERROR(1/IF(Inputs!$B$38="pvp",15,MAX(0.1,Skills!D18-IF(Skills!E18=TRUE,Inputs!$B$32,0))),0)</f>
        <v/>
      </c>
      <c r="R1568" t="n">
        <v>0</v>
      </c>
      <c r="S1568" t="n">
        <v>0</v>
      </c>
      <c r="U1568" t="n">
        <v>0</v>
      </c>
    </row>
    <row r="1569">
      <c r="A1569">
        <f>Skills!A19</f>
        <v/>
      </c>
      <c r="B1569">
        <f>Skills!B19</f>
        <v/>
      </c>
      <c r="C1569">
        <f>Inputs!$B$3&gt;=50</f>
        <v/>
      </c>
      <c r="D1569">
        <f>IF(Skills!C19=1,60+Inputs!$B$25+Inputs!$B$29,IF(Skills!C19=2,90+Inputs!$B$26+Inputs!$B$29,IF(Skills!C19=3,120+Inputs!$B$27+Inputs!$B$29,MAX(0,(Inputs!$B$3-100)*3)+Inputs!$B$28+Inputs!$B$29)))</f>
        <v/>
      </c>
      <c r="E1569">
        <f>INDEX(FactorTable!$B$2:$Y$301, MATCH(ROUND(MIN(300,MAX(1,D1569)),0), FactorTable!$A$2:$A$301,0), Skills!L19+1)</f>
        <v/>
      </c>
      <c r="F1569">
        <f>IF(Skills!M19=TRUE,(Skills!K19/10)*(E1569/1000),Skills!K19/10)+Skills!N19</f>
        <v/>
      </c>
      <c r="G1569">
        <f>Calc!G19</f>
        <v/>
      </c>
      <c r="H1569">
        <f>Calc!H19</f>
        <v/>
      </c>
      <c r="I1569">
        <f>IF(Skills!T19&lt;&gt;"",1+(Skills!T19/10)*(Z1553/1000)/100,1)</f>
        <v/>
      </c>
      <c r="J1569" t="inlineStr"/>
      <c r="K1569" t="inlineStr"/>
      <c r="L1569" t="inlineStr"/>
      <c r="M1569" t="inlineStr"/>
      <c r="N1569" t="inlineStr"/>
      <c r="O1569">
        <f>(1-Summary!$B$11)*S1569+Summary!$B$11*U1569</f>
        <v/>
      </c>
      <c r="P1569">
        <f>IF(B1587=0,0,O1569/B1587)</f>
        <v/>
      </c>
      <c r="Q1569">
        <f>IFERROR(1/IF(Inputs!$B$38="pvp",15,MAX(0.1,Skills!D19-IF(Skills!E19=TRUE,Inputs!$B$32,0))),0)</f>
        <v/>
      </c>
      <c r="R1569" t="n">
        <v>0</v>
      </c>
      <c r="S1569" t="n">
        <v>0</v>
      </c>
      <c r="U1569" t="n">
        <v>0</v>
      </c>
    </row>
    <row r="1570">
      <c r="A1570">
        <f>Skills!A20</f>
        <v/>
      </c>
      <c r="B1570">
        <f>Skills!B20</f>
        <v/>
      </c>
      <c r="C1570">
        <f>Inputs!$B$3&gt;=74</f>
        <v/>
      </c>
      <c r="D1570">
        <f>IF(Skills!C20=1,60+Inputs!$B$25+Inputs!$B$29,IF(Skills!C20=2,90+Inputs!$B$26+Inputs!$B$29,IF(Skills!C20=3,120+Inputs!$B$27+Inputs!$B$29,MAX(0,(Inputs!$B$3-100)*3)+Inputs!$B$28+Inputs!$B$29)))</f>
        <v/>
      </c>
      <c r="E1570">
        <f>INDEX(FactorTable!$B$2:$Y$301, MATCH(ROUND(MIN(300,MAX(1,D1570)),0), FactorTable!$A$2:$A$301,0), Skills!L20+1)</f>
        <v/>
      </c>
      <c r="F1570">
        <f>IF(Skills!M20=TRUE,(Skills!K20/10)*(E1570/1000),Skills!K20/10)+Skills!N20</f>
        <v/>
      </c>
      <c r="G1570">
        <f>Calc!G20</f>
        <v/>
      </c>
      <c r="H1570">
        <f>Calc!H20</f>
        <v/>
      </c>
      <c r="I1570">
        <f>IF(Skills!T20&lt;&gt;"",1+(Skills!T20/10)*(Z1553/1000)/100,1)</f>
        <v/>
      </c>
      <c r="J1570" t="inlineStr"/>
      <c r="K1570" t="inlineStr"/>
      <c r="L1570" t="inlineStr"/>
      <c r="M1570" t="inlineStr"/>
      <c r="N1570" t="inlineStr"/>
      <c r="O1570">
        <f>(1-Summary!$B$11)*S1570+Summary!$B$11*U1570</f>
        <v/>
      </c>
      <c r="P1570">
        <f>IF(B1587=0,0,O1570/B1587)</f>
        <v/>
      </c>
      <c r="Q1570">
        <f>IFERROR(1/IF(Inputs!$B$38="pvp",15,MAX(0.1,Skills!D20-IF(Skills!E20=TRUE,Inputs!$B$32,0))),0)</f>
        <v/>
      </c>
      <c r="R1570" t="n">
        <v>0</v>
      </c>
      <c r="S1570" t="n">
        <v>0</v>
      </c>
      <c r="U1570" t="n">
        <v>0</v>
      </c>
    </row>
    <row r="1571">
      <c r="A1571">
        <f>Skills!A21</f>
        <v/>
      </c>
      <c r="B1571">
        <f>Skills!B21</f>
        <v/>
      </c>
      <c r="C1571">
        <f>Inputs!$B$3&gt;=74</f>
        <v/>
      </c>
      <c r="D1571">
        <f>IF(Skills!C21=1,60+Inputs!$B$25+Inputs!$B$29,IF(Skills!C21=2,90+Inputs!$B$26+Inputs!$B$29,IF(Skills!C21=3,120+Inputs!$B$27+Inputs!$B$29,MAX(0,(Inputs!$B$3-100)*3)+Inputs!$B$28+Inputs!$B$29)))</f>
        <v/>
      </c>
      <c r="E1571">
        <f>INDEX(FactorTable!$B$2:$Y$301, MATCH(ROUND(MIN(300,MAX(1,D1571)),0), FactorTable!$A$2:$A$301,0), Skills!L21+1)</f>
        <v/>
      </c>
      <c r="F1571">
        <f>IF(Skills!M21=TRUE,(Skills!K21/10)*(E1571/1000),Skills!K21/10)+Skills!N21</f>
        <v/>
      </c>
      <c r="G1571">
        <f>Calc!G21</f>
        <v/>
      </c>
      <c r="H1571">
        <f>Calc!H21</f>
        <v/>
      </c>
      <c r="I1571">
        <f>IF(Skills!T21&lt;&gt;"",1+(Skills!T21/10)*(Z1553/1000)/100,1)</f>
        <v/>
      </c>
      <c r="J1571" t="inlineStr"/>
      <c r="K1571" t="inlineStr"/>
      <c r="L1571" t="inlineStr"/>
      <c r="M1571" t="inlineStr"/>
      <c r="N1571" t="inlineStr"/>
      <c r="O1571">
        <f>(1-Summary!$B$11)*S1571+Summary!$B$11*U1571</f>
        <v/>
      </c>
      <c r="P1571">
        <f>IF(B1587=0,0,O1571/B1587)</f>
        <v/>
      </c>
      <c r="Q1571">
        <f>IFERROR(1/IF(Inputs!$B$38="pvp",15,MAX(0.1,Skills!D21-IF(Skills!E21=TRUE,Inputs!$B$32,0))),0)</f>
        <v/>
      </c>
      <c r="R1571" t="n">
        <v>0</v>
      </c>
      <c r="S1571" t="n">
        <v>0</v>
      </c>
      <c r="U1571" t="n">
        <v>0</v>
      </c>
    </row>
    <row r="1572">
      <c r="A1572">
        <f>Skills!A22</f>
        <v/>
      </c>
      <c r="B1572">
        <f>Skills!B22</f>
        <v/>
      </c>
      <c r="C1572">
        <f>Inputs!$B$3&gt;=117</f>
        <v/>
      </c>
      <c r="D1572">
        <f>IF(Skills!C22=1,60+Inputs!$B$25+Inputs!$B$29,IF(Skills!C22=2,90+Inputs!$B$26+Inputs!$B$29,IF(Skills!C22=3,120+Inputs!$B$27+Inputs!$B$29,MAX(0,(Inputs!$B$3-100)*3)+Inputs!$B$28+Inputs!$B$29)))</f>
        <v/>
      </c>
      <c r="E1572">
        <f>INDEX(FactorTable!$B$2:$Y$301, MATCH(ROUND(MIN(300,MAX(1,D1572)),0), FactorTable!$A$2:$A$301,0), Skills!L22+1)</f>
        <v/>
      </c>
      <c r="F1572">
        <f>IF(Skills!M22=TRUE,(Skills!K22/10)*(E1572/1000),Skills!K22/10)+Skills!N22</f>
        <v/>
      </c>
      <c r="G1572">
        <f>Calc!G22</f>
        <v/>
      </c>
      <c r="H1572">
        <f>Calc!H22</f>
        <v/>
      </c>
      <c r="I1572">
        <f>IF(Skills!T22&lt;&gt;"",1+(Skills!T22/10)*(Z1553/1000)/100,1)</f>
        <v/>
      </c>
      <c r="J1572" t="inlineStr"/>
      <c r="K1572" t="inlineStr"/>
      <c r="L1572" t="inlineStr"/>
      <c r="M1572" t="inlineStr"/>
      <c r="N1572" t="inlineStr"/>
      <c r="O1572">
        <f>(1-Summary!$B$11)*S1572+Summary!$B$11*U1572</f>
        <v/>
      </c>
      <c r="P1572">
        <f>IF(B1587=0,0,O1572/B1587)</f>
        <v/>
      </c>
      <c r="Q1572">
        <f>IFERROR(1/IF(Inputs!$B$38="pvp",15,MAX(0.1,Skills!D22-IF(Skills!E22=TRUE,Inputs!$B$32,0))),0)</f>
        <v/>
      </c>
      <c r="R1572" t="n">
        <v>0</v>
      </c>
      <c r="S1572" t="n">
        <v>0</v>
      </c>
      <c r="U1572" t="n">
        <v>0</v>
      </c>
    </row>
    <row r="1573">
      <c r="A1573">
        <f>Skills!A23</f>
        <v/>
      </c>
      <c r="B1573">
        <f>Skills!B23</f>
        <v/>
      </c>
      <c r="C1573">
        <f>Inputs!$B$3&gt;=120</f>
        <v/>
      </c>
      <c r="D1573">
        <f>IF(Skills!C23=1,60+Inputs!$B$25+Inputs!$B$29,IF(Skills!C23=2,90+Inputs!$B$26+Inputs!$B$29,IF(Skills!C23=3,120+Inputs!$B$27+Inputs!$B$29,MAX(0,(Inputs!$B$3-100)*3)+Inputs!$B$28+Inputs!$B$29)))</f>
        <v/>
      </c>
      <c r="E1573">
        <f>INDEX(FactorTable!$B$2:$Y$301, MATCH(ROUND(MIN(300,MAX(1,D1573)),0), FactorTable!$A$2:$A$301,0), Skills!L23+1)</f>
        <v/>
      </c>
      <c r="F1573">
        <f>IF(Skills!M23=TRUE,(Skills!K23/10)*(E1573/1000),Skills!K23/10)+Skills!N23</f>
        <v/>
      </c>
      <c r="G1573">
        <f>Calc!G23</f>
        <v/>
      </c>
      <c r="H1573">
        <f>Calc!H23</f>
        <v/>
      </c>
      <c r="I1573">
        <f>IF(Skills!T23&lt;&gt;"",1+(Skills!T23/10)*(Z1553/1000)/100,1)</f>
        <v/>
      </c>
      <c r="J1573" t="inlineStr"/>
      <c r="K1573" t="inlineStr"/>
      <c r="L1573" t="inlineStr"/>
      <c r="M1573" t="inlineStr"/>
      <c r="N1573" t="inlineStr"/>
      <c r="O1573">
        <f>(1-Summary!$B$11)*S1573+Summary!$B$11*U1573</f>
        <v/>
      </c>
      <c r="P1573">
        <f>IF(B1587=0,0,O1573/B1587)</f>
        <v/>
      </c>
      <c r="Q1573">
        <f>IFERROR(1/IF(Inputs!$B$38="pvp",15,MAX(0.1,Skills!D23-IF(Skills!E23=TRUE,Inputs!$B$32,0))),0)</f>
        <v/>
      </c>
      <c r="R1573" t="n">
        <v>0</v>
      </c>
      <c r="S1573" t="n">
        <v>0</v>
      </c>
      <c r="U1573" t="n">
        <v>0</v>
      </c>
    </row>
    <row r="1574">
      <c r="A1574">
        <f>Skills!A24</f>
        <v/>
      </c>
      <c r="B1574">
        <f>Skills!B24</f>
        <v/>
      </c>
      <c r="C1574">
        <f>TRUE</f>
        <v/>
      </c>
      <c r="D1574">
        <f>IF(Skills!C24=1,60+Inputs!$B$25+Inputs!$B$29,IF(Skills!C24=2,90+Inputs!$B$26+Inputs!$B$29,IF(Skills!C24=3,120+Inputs!$B$27+Inputs!$B$29,MAX(0,(Inputs!$B$3-100)*3)+Inputs!$B$28+Inputs!$B$29)))</f>
        <v/>
      </c>
      <c r="E1574">
        <f>INDEX(FactorTable!$B$2:$Y$301, MATCH(ROUND(MIN(300,MAX(1,D1574)),0), FactorTable!$A$2:$A$301,0), Skills!L24+1)</f>
        <v/>
      </c>
      <c r="F1574">
        <f>IF(Skills!M24=TRUE,(Skills!K24/10)*(E1574/1000),Skills!K24/10)+Skills!N24</f>
        <v/>
      </c>
      <c r="G1574">
        <f>Calc!G24</f>
        <v/>
      </c>
      <c r="H1574">
        <f>Calc!H24</f>
        <v/>
      </c>
      <c r="I1574">
        <f>IF(Skills!T24&lt;&gt;"",1+(Skills!T24/10)*(Z1553/1000)/100,1)</f>
        <v/>
      </c>
      <c r="J1574" t="inlineStr"/>
      <c r="K1574" t="inlineStr"/>
      <c r="L1574" t="inlineStr"/>
      <c r="M1574" t="inlineStr"/>
      <c r="N1574" t="inlineStr"/>
      <c r="O1574">
        <f>(1-Summary!$B$11)*S1574+Summary!$B$11*U1574</f>
        <v/>
      </c>
      <c r="P1574">
        <f>IF(B1587=0,0,O1574/B1587)</f>
        <v/>
      </c>
      <c r="Q1574">
        <f>IFERROR(1/IF(Inputs!$B$38="pvp",15,MAX(0.1,Skills!D24-IF(Skills!E24=TRUE,Inputs!$B$32,0))),0)</f>
        <v/>
      </c>
      <c r="R1574">
        <f>IF(AND(Inputs!$B$38&lt;&gt;"pvp",Inputs!$B$43&gt;0),IF(Inputs!$B$43&lt;=0,0,(INT(Inputs!$B$43/IF(Inputs!$B$38="pvp",15,MAX(0.1,Skills!D24-IF(Skills!E24=TRUE,Inputs!$B$32,0))))+1)),0)</f>
        <v/>
      </c>
      <c r="S1574" t="n">
        <v>0</v>
      </c>
      <c r="U1574" t="n">
        <v>0</v>
      </c>
    </row>
    <row r="1577">
      <c r="A1577" t="inlineStr">
        <is>
          <t>Average Buff Multiplier (Magic Guard + Meditation + Artifact Attack%, summed; then Infinity)</t>
        </is>
      </c>
      <c r="B1577">
        <f>(1+(IF(C1553=TRUE,F1553*IF(AND(Inputs!$B$38&lt;&gt;"pvp",Inputs!$B$43&gt;0),(((R1553-1)*(Skills!S3*(1+(Inputs!$B$34)/100))+MIN((Skills!S3*(1+(Inputs!$B$34)/100)),MAX(0,Inputs!$B$43-((R1553-1)*Skills!D3))))/Inputs!$B$43),IF(Inputs!$B$38="pvp",MIN((Skills!S3*(1+(Inputs!$B$34)/100)),15)/15,(Skills!S3*(1+(Inputs!$B$34)/100))/Skills!D3)),0)+IF(C1554=TRUE,F1554*IF(AND(Inputs!$B$38&lt;&gt;"pvp",Inputs!$B$43&gt;0),(((R1554-1)*(Skills!S4*(1+(Inputs!$B$34)/100))+MIN((Skills!S4*(1+(Inputs!$B$34)/100)),MAX(0,Inputs!$B$43-((R1554-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1566=TRUE,(1+F1566*IF(AND(Inputs!$B$38&lt;&gt;"pvp",Inputs!$B$43&gt;0),(((R1566-1)*(Skills!S16*(1+(Inputs!$B$34)/100))+MIN((Skills!S16*(1+(Inputs!$B$34)/100)),MAX(0,Inputs!$B$43-((R1566-1)*Skills!D16))))/Inputs!$B$43),IF(Inputs!$B$38="pvp",MIN((Skills!S16*(1+(Inputs!$B$34)/100)),15)/15,(Skills!S16*(1+(Inputs!$B$34)/100))/Skills!D16))/100),1)</f>
        <v/>
      </c>
    </row>
    <row r="1578">
      <c r="A1578" t="inlineStr">
        <is>
          <t>Monster Damage Taken Bonus % (Freezing Breath - Weaken + Elemental Reset + Artifact Enemy Damage Taken, summed)</t>
        </is>
      </c>
      <c r="B1578">
        <f>IF(Inputs!$B$3&gt;=118,15*IF(Inputs!$B$38="pvp",MIN((30*(1+(Inputs!$B$34)/100)),15)/15,(30*(1+(Inputs!$B$34)/100))/Skills!D8),0)+IF(C1564=TRUE,F1564,0)+(IF(AND(ArtifactsInput!$M$35,Inputs!$B$4&lt;&gt;"Chapter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f>
        <v/>
      </c>
    </row>
    <row r="1579">
      <c r="A1579" t="inlineStr">
        <is>
          <t>Damage % Bonus (Frozen Break + Frost Clutch, flat)</t>
        </is>
      </c>
      <c r="B1579">
        <f>IF(Inputs!$B$3&gt;=66,15,0)+IF(Inputs!$B$3&gt;=98,10,0)+IF(Inputs!$B$3&gt;=125,20,0)</f>
        <v/>
      </c>
    </row>
    <row r="1580">
      <c r="A1580" t="inlineStr">
        <is>
          <t>Attack Speed Bonus % (MP Eater - MP Boost, always-on + Nimble Feet, duty-cycle averaged)</t>
        </is>
      </c>
      <c r="B1580">
        <f>IF(C1563=TRUE,F1563+(F1567-Calc!F17),0)+((C1574=TRUE)*F1574*IF(AND(Inputs!$B$38&lt;&gt;"pvp",Inputs!$B$43&gt;0),(((R1574-1)*(Skills!S24*(1+(Inputs!$B$34)/100))+MIN((Skills!S24*(1+(Inputs!$B$34)/100)),MAX(0,Inputs!$B$43-((R1574-1)*Skills!D24))))/Inputs!$B$43),IF(Inputs!$B$38="pvp",MIN((Skills!S24*(1+(Inputs!$B$34)/100)),15)/15,(Skills!S24*(1+(Inputs!$B$34)/100))/Skills!D24)))</f>
        <v/>
      </c>
    </row>
    <row r="1581">
      <c r="A1581" t="inlineStr">
        <is>
          <t>Actions Per Second</t>
        </is>
      </c>
      <c r="B1581">
        <f>1+MIN(150,150*(1-(1-(Inputs!$B$11+(ArtifactsInput!$M$15-ArtifactsInput!$M$15)*CHOOSE(ArtifactsInput!$N$15+1,8,9.6,11.2,12.8,14.4,16))/150)*(1-B1580/150)))/100</f>
        <v/>
      </c>
    </row>
    <row r="1582">
      <c r="A1582" t="inlineStr">
        <is>
          <t>Skill + Buff Cast Rate</t>
        </is>
      </c>
      <c r="B1582">
        <f>IF(AND(Inputs!$B$38&lt;&gt;"pvp",Inputs!$B$43&gt;0),SUMPRODUCT((Skills!E2:E24=TRUE)*(C1552:C1574=TRUE)*R1552:R1574)/Inputs!$B$43,SUMPRODUCT((Skills!E2:E24=TRUE)*(C1552:C1574=TRUE)*Q1552:Q1574))</f>
        <v/>
      </c>
    </row>
    <row r="1583">
      <c r="A1583" t="inlineStr">
        <is>
          <t>Chain Lightning Casts Per Second</t>
        </is>
      </c>
      <c r="B1583">
        <f>MAX(0,B1581-B1582)</f>
        <v/>
      </c>
    </row>
    <row r="1584">
      <c r="A1584" t="inlineStr">
        <is>
          <t>Buff-Casting Startup Delay (s, fixed-duration only)</t>
        </is>
      </c>
      <c r="B1584">
        <f>IF(AND(Inputs!$B$38&lt;&gt;"pvp",Inputs!$B$43&gt;0),SUMPRODUCT((Skills!S2:S24&gt;0)*(Skills!E2:E24=TRUE)*(C1552:C1574=TRUE))/B1581,0)</f>
        <v/>
      </c>
    </row>
    <row r="1585">
      <c r="A1585" t="inlineStr">
        <is>
          <t>Boss-Only Total DPS (this block's swept value)</t>
        </is>
      </c>
      <c r="B1585">
        <f>SUM(S1552:S1574)</f>
        <v/>
      </c>
    </row>
    <row r="1586">
      <c r="A1586" t="inlineStr">
        <is>
          <t>Normal-Only Total DPS (this block's swept value)</t>
        </is>
      </c>
      <c r="B1586">
        <f>SUM(U1552:U1574)</f>
        <v/>
      </c>
    </row>
    <row r="1587">
      <c r="A1587" s="6" t="inlineStr">
        <is>
          <t>TOTAL DPS</t>
        </is>
      </c>
      <c r="B1587" s="6">
        <f>SUM(O1552:O1574)</f>
        <v/>
      </c>
    </row>
    <row r="1590">
      <c r="A1590" s="6" t="inlineStr">
        <is>
          <t>Stat: Chalice (Equip)</t>
        </is>
      </c>
    </row>
    <row r="1591">
      <c r="A1591" s="5" t="inlineStr">
        <is>
          <t>Key</t>
        </is>
      </c>
      <c r="B1591" s="5" t="inlineStr">
        <is>
          <t>Name</t>
        </is>
      </c>
      <c r="C1591" s="5" t="inlineStr">
        <is>
          <t>Unlocked</t>
        </is>
      </c>
      <c r="D1591" s="5" t="inlineStr">
        <is>
          <t>InputLevel</t>
        </is>
      </c>
      <c r="E1591" s="5" t="inlineStr">
        <is>
          <t>Factor</t>
        </is>
      </c>
      <c r="F1591" s="5" t="inlineStr">
        <is>
          <t>CoefficientPercent</t>
        </is>
      </c>
      <c r="G1591" s="5" t="inlineStr">
        <is>
          <t>EffectiveHits</t>
        </is>
      </c>
      <c r="H1591" s="5" t="inlineStr">
        <is>
          <t>ProcProbability</t>
        </is>
      </c>
      <c r="I1591" s="5" t="inlineStr">
        <is>
          <t>MapleHeroMultiplier</t>
        </is>
      </c>
      <c r="J1591" s="5" t="inlineStr">
        <is>
          <t>BaseDamage</t>
        </is>
      </c>
      <c r="K1591" s="5" t="inlineStr">
        <is>
          <t>BaseHitDamage</t>
        </is>
      </c>
      <c r="L1591" s="5" t="inlineStr">
        <is>
          <t>NonCritAvg</t>
        </is>
      </c>
      <c r="M1591" s="5" t="inlineStr">
        <is>
          <t>CritAvg</t>
        </is>
      </c>
      <c r="N1591" s="5" t="inlineStr">
        <is>
          <t>ExpectedDamage(perHit)</t>
        </is>
      </c>
      <c r="O1591" s="5" t="inlineStr">
        <is>
          <t>DPS</t>
        </is>
      </c>
      <c r="P1591" s="5" t="inlineStr">
        <is>
          <t>% of Total</t>
        </is>
      </c>
      <c r="R1591" t="inlineStr">
        <is>
          <t>helpers</t>
        </is>
      </c>
    </row>
    <row r="1592">
      <c r="A1592">
        <f>Skills!A2</f>
        <v/>
      </c>
      <c r="B1592">
        <f>Skills!B2</f>
        <v/>
      </c>
      <c r="C1592">
        <f>Inputs!$B$3&gt;=100</f>
        <v/>
      </c>
      <c r="D1592" t="inlineStr"/>
      <c r="E1592" t="inlineStr"/>
      <c r="F1592">
        <f>T1594+Skills!N2</f>
        <v/>
      </c>
      <c r="G1592">
        <f>Calc!G2</f>
        <v/>
      </c>
      <c r="H1592">
        <f>Calc!H2</f>
        <v/>
      </c>
      <c r="I1592">
        <f>IF(Skills!T2&lt;&gt;"",1+(Skills!T2/10)*(Z1593/1000)/100,1)</f>
        <v/>
      </c>
      <c r="J1592">
        <f>((Inputs!$B$6*(1+Inputs!$B$7/100))+(((Inputs!$B$12*(1+Inputs!$B$13/100))-(Inputs!$B$12*(1+Inputs!$B$13/100)))+0.25*(Inputs!$B$14-Inputs!$B$14))*(1+Inputs!$B$7/100))*(F1592/100)</f>
        <v/>
      </c>
      <c r="K1592">
        <f>J1592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2="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F1608-Calc!F18),(Inputs!$B$23+(IF(ArtifactsInput!$M$15,CHOOSE(ArtifactsInput!$N$15+1,25,30,35,40,45,50)/100*(Inputs!$B$11-Inputs!$B$11),0))))/100+(Inputs!$B$23+(IF(ArtifactsInput!$M$15,CHOOSE(ArtifactsInput!$N$15+1,25,30,35,40,45,50)/100*(Inputs!$B$11-Inputs!$B$11),0)))/100)/2</f>
        <v/>
      </c>
      <c r="M1592">
        <f>L1592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(1-Summary!$B$11)*S1592+Summary!$B$11*U1592</f>
        <v/>
      </c>
      <c r="P1592">
        <f>IF(B1627=0,0,O1592/B1627)</f>
        <v/>
      </c>
      <c r="Q1592">
        <f>IFERROR(1/IF(Inputs!$B$38="pvp",15,MAX(0.1,Skills!D2-IF(Skills!E2=TRUE,Inputs!$B$32,0))),0)</f>
        <v/>
      </c>
      <c r="R1592" t="n">
        <v>0</v>
      </c>
      <c r="S1592">
        <f>IF(C1592,(Skills!F2*N1592*B1623)*IF(Inputs!$B$38="pvp",1,1+(Inputs!$B$20+Skills!O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1592*(1-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92">
        <f>MAX(0,(Inputs!$B$3-100)*3)+Inputs!$B$28+Inputs!$B$29</f>
        <v/>
      </c>
      <c r="U1592">
        <f>IF(C1592,(Skills!F2*N1592*B1623)*IF(Inputs!$B$38="pvp",1,(1+(Inputs!$B$21+Skills!P2+B1618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92">
        <f>MAX(0,(Inputs!$B$3-100)*3)+Inputs!$B$28+Inputs!$B$29</f>
        <v/>
      </c>
    </row>
    <row r="1593">
      <c r="A1593">
        <f>Skills!A3</f>
        <v/>
      </c>
      <c r="B1593">
        <f>Skills!B3</f>
        <v/>
      </c>
      <c r="C1593">
        <f>Inputs!$B$3&gt;=15</f>
        <v/>
      </c>
      <c r="D1593">
        <f>IF(Skills!C3=1,60+Inputs!$B$25+Inputs!$B$29,IF(Skills!C3=2,90+Inputs!$B$26+Inputs!$B$29,IF(Skills!C3=3,120+Inputs!$B$27+Inputs!$B$29,MAX(0,(Inputs!$B$3-100)*3)+Inputs!$B$28+Inputs!$B$29)))</f>
        <v/>
      </c>
      <c r="E1593">
        <f>INDEX(FactorTable!$B$2:$Y$301, MATCH(ROUND(MIN(300,MAX(1,D1593)),0), FactorTable!$A$2:$A$301,0), Skills!L3+1)</f>
        <v/>
      </c>
      <c r="F1593">
        <f>IF(Skills!M3=TRUE,(Skills!K3/10)*(E1593/1000),Skills!K3/10)+Skills!N3</f>
        <v/>
      </c>
      <c r="G1593">
        <f>Calc!G3</f>
        <v/>
      </c>
      <c r="H1593">
        <f>Calc!H3</f>
        <v/>
      </c>
      <c r="I1593">
        <f>IF(Skills!T3&lt;&gt;"",1+(Skills!T3/10)*(Z1593/1000)/100,1)</f>
        <v/>
      </c>
      <c r="J1593" t="inlineStr"/>
      <c r="K1593" t="inlineStr"/>
      <c r="L1593" t="inlineStr"/>
      <c r="M1593" t="inlineStr"/>
      <c r="N1593" t="inlineStr"/>
      <c r="O1593">
        <f>(1-Summary!$B$11)*S1593+Summary!$B$11*U1593</f>
        <v/>
      </c>
      <c r="P1593">
        <f>IF(B1627=0,0,O1593/B1627)</f>
        <v/>
      </c>
      <c r="Q1593">
        <f>IFERROR(1/IF(Inputs!$B$38="pvp",15,MAX(0.1,Skills!D3-IF(Skills!E3=TRUE,Inputs!$B$32,0))),0)</f>
        <v/>
      </c>
      <c r="R1593">
        <f>IF(AND(Inputs!$B$38&lt;&gt;"pvp",Inputs!$B$43&gt;0),IF(Inputs!$B$43&lt;=0,0,(INT(Inputs!$B$43/IF(Inputs!$B$38="pvp",15,MAX(0.1,Skills!D3-IF(Skills!E3=TRUE,Inputs!$B$32,0))))+1)),0)</f>
        <v/>
      </c>
      <c r="S1593" t="n">
        <v>0</v>
      </c>
      <c r="T1593">
        <f>INDEX(FactorTable!$B$2:$Y$301, MATCH(ROUND(MIN(300,MAX(1,T1592)),0), FactorTable!$A$2:$A$301,0), 22)</f>
        <v/>
      </c>
      <c r="U1593" t="n">
        <v>0</v>
      </c>
      <c r="Z1593">
        <f>INDEX(FactorTable!$B$2:$Y$301, MATCH(ROUND(MIN(300,MAX(1,Z1592)),0), FactorTable!$A$2:$A$301,0), 24)</f>
        <v/>
      </c>
    </row>
    <row r="1594">
      <c r="A1594">
        <f>Skills!A4</f>
        <v/>
      </c>
      <c r="B1594">
        <f>Skills!B4</f>
        <v/>
      </c>
      <c r="C1594">
        <f>Inputs!$B$3&gt;=40</f>
        <v/>
      </c>
      <c r="D1594">
        <f>IF(Skills!C4=1,60+Inputs!$B$25+Inputs!$B$29,IF(Skills!C4=2,90+Inputs!$B$26+Inputs!$B$29,IF(Skills!C4=3,120+Inputs!$B$27+Inputs!$B$29,MAX(0,(Inputs!$B$3-100)*3)+Inputs!$B$28+Inputs!$B$29)))</f>
        <v/>
      </c>
      <c r="E1594">
        <f>INDEX(FactorTable!$B$2:$Y$301, MATCH(ROUND(MIN(300,MAX(1,D1594)),0), FactorTable!$A$2:$A$301,0), Skills!L4+1)</f>
        <v/>
      </c>
      <c r="F1594">
        <f>IF(Skills!M4=TRUE,(Skills!K4/10)*(E1594/1000),Skills!K4/10)+Skills!N4</f>
        <v/>
      </c>
      <c r="G1594">
        <f>Calc!G4</f>
        <v/>
      </c>
      <c r="H1594">
        <f>Calc!H4</f>
        <v/>
      </c>
      <c r="I1594">
        <f>IF(Skills!T4&lt;&gt;"",1+(Skills!T4/10)*(Z1593/1000)/100,1)</f>
        <v/>
      </c>
      <c r="J1594" t="inlineStr"/>
      <c r="K1594" t="inlineStr"/>
      <c r="L1594" t="inlineStr"/>
      <c r="M1594" t="inlineStr"/>
      <c r="N1594" t="inlineStr"/>
      <c r="O1594">
        <f>(1-Summary!$B$11)*S1594+Summary!$B$11*U1594</f>
        <v/>
      </c>
      <c r="P1594">
        <f>IF(B1627=0,0,O1594/B1627)</f>
        <v/>
      </c>
      <c r="Q1594">
        <f>IFERROR(1/IF(Inputs!$B$38="pvp",15,MAX(0.1,Skills!D4-IF(Skills!E4=TRUE,Inputs!$B$32,0))),0)</f>
        <v/>
      </c>
      <c r="R1594">
        <f>IF(AND(Inputs!$B$38&lt;&gt;"pvp",Inputs!$B$43&gt;0),IF(Inputs!$B$43&lt;=0,0,(INT(Inputs!$B$43/IF(Inputs!$B$38="pvp",15,MAX(0.1,Skills!D4-IF(Skills!E4=TRUE,Inputs!$B$32,0))))+1)),0)</f>
        <v/>
      </c>
      <c r="S1594" t="n">
        <v>0</v>
      </c>
      <c r="T1594">
        <f>290*T1593/1000</f>
        <v/>
      </c>
      <c r="U1594" t="n">
        <v>0</v>
      </c>
    </row>
    <row r="1595">
      <c r="A1595">
        <f>Skills!A5</f>
        <v/>
      </c>
      <c r="B1595">
        <f>Skills!B5</f>
        <v/>
      </c>
      <c r="C1595">
        <f>Inputs!$B$3&gt;=38</f>
        <v/>
      </c>
      <c r="D1595">
        <f>IF(Skills!C5=1,60+Inputs!$B$25+Inputs!$B$29,IF(Skills!C5=2,90+Inputs!$B$26+Inputs!$B$29,IF(Skills!C5=3,120+Inputs!$B$27+Inputs!$B$29,MAX(0,(Inputs!$B$3-100)*3)+Inputs!$B$28+Inputs!$B$29)))</f>
        <v/>
      </c>
      <c r="E1595">
        <f>INDEX(FactorTable!$B$2:$Y$301, MATCH(ROUND(MIN(300,MAX(1,D1595)),0), FactorTable!$A$2:$A$301,0), Skills!L5+1)</f>
        <v/>
      </c>
      <c r="F1595">
        <f>IF(Skills!M5=TRUE,(Skills!K5/10)*(E1595/1000),Skills!K5/10)+Skills!N5</f>
        <v/>
      </c>
      <c r="G1595">
        <f>Calc!G5</f>
        <v/>
      </c>
      <c r="H1595">
        <f>Calc!H5</f>
        <v/>
      </c>
      <c r="I1595">
        <f>IF(Skills!T5&lt;&gt;"",1+(Skills!T5/10)*(Z1593/1000)/100,1)</f>
        <v/>
      </c>
      <c r="J1595">
        <f>((Inputs!$B$6*(1+Inputs!$B$7/100))+(((Inputs!$B$12*(1+Inputs!$B$13/100))-(Inputs!$B$12*(1+Inputs!$B$13/100)))+0.25*(Inputs!$B$14-Inputs!$B$14))*(1+Inputs!$B$7/100))*(F1595/100)</f>
        <v/>
      </c>
      <c r="K1595">
        <f>J1595*(1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5="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F1608-Calc!F18),(Inputs!$B$23+(IF(ArtifactsInput!$M$15,CHOOSE(ArtifactsInput!$N$15+1,25,30,35,40,45,50)/100*(Inputs!$B$11-Inputs!$B$11),0))))/100+(Inputs!$B$23+(IF(ArtifactsInput!$M$15,CHOOSE(ArtifactsInput!$N$15+1,25,30,35,40,45,50)/100*(Inputs!$B$11-Inputs!$B$11),0)))/100)/2</f>
        <v/>
      </c>
      <c r="M1595">
        <f>L1595*(1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(1-Summary!$B$11)*S1595+Summary!$B$11*U1595</f>
        <v/>
      </c>
      <c r="P1595">
        <f>IF(B1627=0,0,O1595/B1627)</f>
        <v/>
      </c>
      <c r="Q1595">
        <f>IFERROR(1/IF(Inputs!$B$38="pvp",15,MAX(0.1,Skills!D5-IF(Skills!E5=TRUE,Inputs!$B$32,0))),0)</f>
        <v/>
      </c>
      <c r="R1595">
        <f>IF(AND(Inputs!$B$38&lt;&gt;"pvp",Inputs!$B$43&gt;0),IF(MAX(0,Inputs!$B$43-B1624)&lt;=0,0,(INT(MAX(0,Inputs!$B$43-B1624)/IF(Inputs!$B$38="pvp",15,MAX(0.1,Skills!D5-IF(Skills!E5=TRUE,Inputs!$B$32,0))))+1)),0)</f>
        <v/>
      </c>
      <c r="S1595">
        <f>IF(C1595,(H1595*N1595*IF(AND(Inputs!$B$38&lt;&gt;"pvp",Inputs!$B$43&gt;0),((Skills!F5*((R1595-1)*IF(Skills!G5&gt;0,Skills!H5/Skills!G5,1)+IF(Skills!G5&gt;0,MIN(Skills!H5,MAX(0,MAX(0,Inputs!$B$43-B1624)-((R1595-1)*IF(Inputs!$B$38="pvp",15,MAX(0.1,Skills!D5-IF(Skills!E5=TRUE,Inputs!$B$32,0))))))/Skills!G5,1)))/Inputs!$B$43),G1595*Q1595))*IF(Inputs!$B$38="pvp",1,1+(Inputs!$B$20+Skills!O5+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1595*(1-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F(C1595,(H1595*N1595*IF(AND(Inputs!$B$38&lt;&gt;"pvp",Inputs!$B$43&gt;0),((Skills!F5*((R1595-1)*IF(Skills!G5&gt;0,Skills!H5/Skills!G5,1)+IF(Skills!G5&gt;0,MIN(Skills!H5,MAX(0,MAX(0,Inputs!$B$43-B1624)-((R1595-1)*IF(Inputs!$B$38="pvp",15,MAX(0.1,Skills!D5-IF(Skills!E5=TRUE,Inputs!$B$32,0))))))/Skills!G5,1)))/Inputs!$B$43),G1595*Q1595))*IF(Inputs!$B$38="pvp",1,(1+(Inputs!$B$21+Skills!P5+B1618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Skills!A6</f>
        <v/>
      </c>
      <c r="B1596">
        <f>Skills!B6</f>
        <v/>
      </c>
      <c r="C1596">
        <f>Inputs!$B$3&gt;=63</f>
        <v/>
      </c>
      <c r="D1596">
        <f>IF(Skills!C6=1,60+Inputs!$B$25+Inputs!$B$29,IF(Skills!C6=2,90+Inputs!$B$26+Inputs!$B$29,IF(Skills!C6=3,120+Inputs!$B$27+Inputs!$B$29,MAX(0,(Inputs!$B$3-100)*3)+Inputs!$B$28+Inputs!$B$29)))</f>
        <v/>
      </c>
      <c r="E1596">
        <f>INDEX(FactorTable!$B$2:$Y$301, MATCH(ROUND(MIN(300,MAX(1,D1596)),0), FactorTable!$A$2:$A$301,0), Skills!L6+1)</f>
        <v/>
      </c>
      <c r="F1596">
        <f>IF(Skills!M6=TRUE,(Skills!K6/10)*(E1596/1000),Skills!K6/10)+Skills!N6</f>
        <v/>
      </c>
      <c r="G1596">
        <f>Calc!G6</f>
        <v/>
      </c>
      <c r="H1596">
        <f>Calc!H6</f>
        <v/>
      </c>
      <c r="I1596">
        <f>IF(Skills!T6&lt;&gt;"",1+(Skills!T6/10)*(Z1593/1000)/100,1)</f>
        <v/>
      </c>
      <c r="J1596">
        <f>((Inputs!$B$6*(1+Inputs!$B$7/100))+(((Inputs!$B$12*(1+Inputs!$B$13/100))-(Inputs!$B$12*(1+Inputs!$B$13/100)))+0.25*(Inputs!$B$14-Inputs!$B$14))*(1+Inputs!$B$7/100))*(F1596/100)</f>
        <v/>
      </c>
      <c r="K1596">
        <f>J1596*(1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6="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1608-Calc!F18),(Inputs!$B$23+(IF(ArtifactsInput!$M$15,CHOOSE(ArtifactsInput!$N$15+1,25,30,35,40,45,50)/100*(Inputs!$B$11-Inputs!$B$11),0))))/100+(Inputs!$B$23+(IF(ArtifactsInput!$M$15,CHOOSE(ArtifactsInput!$N$15+1,25,30,35,40,45,50)/100*(Inputs!$B$11-Inputs!$B$11),0)))/100)/2</f>
        <v/>
      </c>
      <c r="M1596">
        <f>L1596*(1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IF(B1627=0,0,O1596/B1627)</f>
        <v/>
      </c>
      <c r="Q1596">
        <f>IFERROR(1/IF(Inputs!$B$38="pvp",15,MAX(0.1,Skills!D6-IF(Skills!E6=TRUE,Inputs!$B$32,0))),0)</f>
        <v/>
      </c>
      <c r="R1596">
        <f>IF(AND(Inputs!$B$38&lt;&gt;"pvp",Inputs!$B$43&gt;0),IF(MAX(0,Inputs!$B$43-B1624)&lt;=0,0,(INT(MAX(0,Inputs!$B$43-B1624)/IF(Inputs!$B$38="pvp",15,MAX(0.1,Skills!D6-IF(Skills!E6=TRUE,Inputs!$B$32,0))))+1)),0)</f>
        <v/>
      </c>
      <c r="S1596">
        <f>IF(C1596,(H1596*N1596*IF(AND(Inputs!$B$38&lt;&gt;"pvp",Inputs!$B$43&gt;0),((Skills!F6*((R1596-1)*IF(Skills!G6&gt;0,Skills!H6/Skills!G6,1)+IF(Skills!G6&gt;0,MIN(Skills!H6,MAX(0,MAX(0,Inputs!$B$43-B1624)-((R1596-1)*IF(Inputs!$B$38="pvp",15,MAX(0.1,Skills!D6-IF(Skills!E6=TRUE,Inputs!$B$32,0))))))/Skills!G6,1)))/Inputs!$B$43),G1596*Q1596))*IF(Inputs!$B$38="pvp",1,1+(Inputs!$B$20+Skills!O6+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6*((R1596-1)*IF(Skills!G6&gt;0,Skills!H6/Skills!G6,1)+IF(Skills!G6&gt;0,MIN(Skills!H6,MAX(0,MAX(0,Inputs!$B$43-B1624)-((R1596-1)*IF(Inputs!$B$38="pvp",15,MAX(0.1,Skills!D6-IF(Skills!E6=TRUE,Inputs!$B$32,0))))))/Skills!G6,1)))/Inputs!$B$43),G1596*Q1596))*IF(Inputs!$B$38="pvp",1,(1+(Inputs!$B$21+Skills!P6+B1618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Skills!A7</f>
        <v/>
      </c>
      <c r="B1597">
        <f>Skills!B7</f>
        <v/>
      </c>
      <c r="C1597">
        <f>Inputs!$B$3&gt;=69</f>
        <v/>
      </c>
      <c r="D1597">
        <f>IF(Skills!C7=1,60+Inputs!$B$25+Inputs!$B$29,IF(Skills!C7=2,90+Inputs!$B$26+Inputs!$B$29,IF(Skills!C7=3,120+Inputs!$B$27+Inputs!$B$29,MAX(0,(Inputs!$B$3-100)*3)+Inputs!$B$28+Inputs!$B$29)))</f>
        <v/>
      </c>
      <c r="E1597">
        <f>INDEX(FactorTable!$B$2:$Y$301, MATCH(ROUND(MIN(300,MAX(1,D1597)),0), FactorTable!$A$2:$A$301,0), Skills!L7+1)</f>
        <v/>
      </c>
      <c r="F1597">
        <f>IF(Skills!M7=TRUE,(Skills!K7/10)*(E1597/1000),Skills!K7/10)+Skills!N7</f>
        <v/>
      </c>
      <c r="G1597">
        <f>Calc!G7</f>
        <v/>
      </c>
      <c r="H1597">
        <f>Calc!H7</f>
        <v/>
      </c>
      <c r="I1597">
        <f>IF(Skills!T7&lt;&gt;"",1+(Skills!T7/10)*(Z1593/1000)/100,1)</f>
        <v/>
      </c>
      <c r="J1597">
        <f>((Inputs!$B$6*(1+Inputs!$B$7/100))+(((Inputs!$B$12*(1+Inputs!$B$13/100))-(Inputs!$B$12*(1+Inputs!$B$13/100)))+0.25*(Inputs!$B$14-Inputs!$B$14))*(1+Inputs!$B$7/100))*(F1597/100)</f>
        <v/>
      </c>
      <c r="K1597">
        <f>J1597*(1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7="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1608-Calc!F18),(Inputs!$B$23+(IF(ArtifactsInput!$M$15,CHOOSE(ArtifactsInput!$N$15+1,25,30,35,40,45,50)/100*(Inputs!$B$11-Inputs!$B$11),0))))/100+(Inputs!$B$23+(IF(ArtifactsInput!$M$15,CHOOSE(ArtifactsInput!$N$15+1,25,30,35,40,45,50)/100*(Inputs!$B$11-Inputs!$B$11),0)))/100)/2</f>
        <v/>
      </c>
      <c r="M1597">
        <f>L1597*(1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IF(B1627=0,0,O1597/B1627)</f>
        <v/>
      </c>
      <c r="Q1597">
        <f>IFERROR(1/IF(Inputs!$B$38="pvp",15,MAX(0.1,Skills!D7-IF(Skills!E7=TRUE,Inputs!$B$32,0))),0)</f>
        <v/>
      </c>
      <c r="R1597">
        <f>IF(AND(Inputs!$B$38&lt;&gt;"pvp",Inputs!$B$43&gt;0),IF(MAX(0,Inputs!$B$43-B1624)&lt;=0,0,(INT(MAX(0,Inputs!$B$43-B1624)/IF(Inputs!$B$38="pvp",15,MAX(0.1,Skills!D7-IF(Skills!E7=TRUE,Inputs!$B$32,0))))+1)),0)</f>
        <v/>
      </c>
      <c r="S1597">
        <f>IF(C1597,(H1597*N1597*IF(AND(Inputs!$B$38&lt;&gt;"pvp",Inputs!$B$43&gt;0),((Skills!F7*((R1597-1)*IF(Skills!G7&gt;0,Skills!H7/Skills!G7,1)+IF(Skills!G7&gt;0,MIN(Skills!H7,MAX(0,MAX(0,Inputs!$B$43-B1624)-((R1597-1)*IF(Inputs!$B$38="pvp",15,MAX(0.1,Skills!D7-IF(Skills!E7=TRUE,Inputs!$B$32,0))))))/Skills!G7,1)))/Inputs!$B$43),G1597*Q1597))*IF(Inputs!$B$38="pvp",1,1+(Inputs!$B$20+Skills!O7+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N1597*IF(AND(Inputs!$B$38&lt;&gt;"pvp",Inputs!$B$43&gt;0),((Skills!F7*((R1597-1)*IF(Skills!G7&gt;0,Skills!H7/Skills!G7,1)+IF(Skills!G7&gt;0,MIN(Skills!H7,MAX(0,MAX(0,Inputs!$B$43-B1624)-((R1597-1)*IF(Inputs!$B$38="pvp",15,MAX(0.1,Skills!D7-IF(Skills!E7=TRUE,Inputs!$B$32,0))))))/Skills!G7,1)))/Inputs!$B$43),G1597*Q1597))*IF(Inputs!$B$38="pvp",1,(1+(Inputs!$B$21+Skills!P7+B1618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Skills!A8</f>
        <v/>
      </c>
      <c r="B1598">
        <f>Skills!B8</f>
        <v/>
      </c>
      <c r="C1598">
        <f>Inputs!$B$3&gt;=103</f>
        <v/>
      </c>
      <c r="D1598">
        <f>IF(Skills!C8=1,60+Inputs!$B$25+Inputs!$B$29,IF(Skills!C8=2,90+Inputs!$B$26+Inputs!$B$29,IF(Skills!C8=3,120+Inputs!$B$27+Inputs!$B$29,MAX(0,(Inputs!$B$3-100)*3)+Inputs!$B$28+Inputs!$B$29)))</f>
        <v/>
      </c>
      <c r="E1598">
        <f>INDEX(FactorTable!$B$2:$Y$301, MATCH(ROUND(MIN(300,MAX(1,D1598)),0), FactorTable!$A$2:$A$301,0), Skills!L8+1)</f>
        <v/>
      </c>
      <c r="F1598">
        <f>IF(Skills!M8=TRUE,(Skills!K8/10)*(E1598/1000),Skills!K8/10)+Skills!N8</f>
        <v/>
      </c>
      <c r="G1598">
        <f>Calc!G8</f>
        <v/>
      </c>
      <c r="H1598">
        <f>Calc!H8</f>
        <v/>
      </c>
      <c r="I1598">
        <f>IF(Skills!T8&lt;&gt;"",1+(Skills!T8/10)*(Z1593/1000)/100,1)</f>
        <v/>
      </c>
      <c r="J1598">
        <f>((Inputs!$B$6*(1+Inputs!$B$7/100))+(((Inputs!$B$12*(1+Inputs!$B$13/100))-(Inputs!$B$12*(1+Inputs!$B$13/100)))+0.25*(Inputs!$B$14-Inputs!$B$14))*(1+Inputs!$B$7/100))*(F1598/100)</f>
        <v/>
      </c>
      <c r="K1598">
        <f>J1598*(1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8="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1608-Calc!F18),(Inputs!$B$23+(IF(ArtifactsInput!$M$15,CHOOSE(ArtifactsInput!$N$15+1,25,30,35,40,45,50)/100*(Inputs!$B$11-Inputs!$B$11),0))))/100+(Inputs!$B$23+(IF(ArtifactsInput!$M$15,CHOOSE(ArtifactsInput!$N$15+1,25,30,35,40,45,50)/100*(Inputs!$B$11-Inputs!$B$11),0)))/100)/2</f>
        <v/>
      </c>
      <c r="M1598">
        <f>L1598*(1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IF(B1627=0,0,O1598/B1627)</f>
        <v/>
      </c>
      <c r="Q1598">
        <f>IFERROR(1/IF(Inputs!$B$38="pvp",15,MAX(0.1,Skills!D8-IF(Skills!E8=TRUE,Inputs!$B$32,0))),0)</f>
        <v/>
      </c>
      <c r="R1598">
        <f>IF(AND(Inputs!$B$38&lt;&gt;"pvp",Inputs!$B$43&gt;0),IF(MAX(0,Inputs!$B$43-B1624)&lt;=0,0,(INT(MAX(0,Inputs!$B$43-B1624)/IF(Inputs!$B$38="pvp",15,MAX(0.1,Skills!D8-IF(Skills!E8=TRUE,Inputs!$B$32,0))))+1)),0)</f>
        <v/>
      </c>
      <c r="S1598">
        <f>IF(C1598,(H1598*N1598*IF(AND(Inputs!$B$38&lt;&gt;"pvp",Inputs!$B$43&gt;0),((Skills!F8*((R1598-1)*IF(Skills!G8&gt;0,Skills!H8/Skills!G8,1)+IF(Skills!G8&gt;0,MIN(Skills!H8,MAX(0,MAX(0,Inputs!$B$43-B1624)-((R1598-1)*IF(Inputs!$B$38="pvp",15,MAX(0.1,Skills!D8-IF(Skills!E8=TRUE,Inputs!$B$32,0))))))/Skills!G8,1)))/Inputs!$B$43),G1598*Q1598))*IF(Inputs!$B$38="pvp",1,1+(Inputs!$B$20+Skills!O8+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8*((R1598-1)*IF(Skills!G8&gt;0,Skills!H8/Skills!G8,1)+IF(Skills!G8&gt;0,MIN(Skills!H8,MAX(0,MAX(0,Inputs!$B$43-B1624)-((R1598-1)*IF(Inputs!$B$38="pvp",15,MAX(0.1,Skills!D8-IF(Skills!E8=TRUE,Inputs!$B$32,0))))))/Skills!G8,1)))/Inputs!$B$43),G1598*Q1598))*IF(Inputs!$B$38="pvp",1,(1+(Inputs!$B$21+Skills!P8+B1618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Skills!A9</f>
        <v/>
      </c>
      <c r="B1599">
        <f>Skills!B9</f>
        <v/>
      </c>
      <c r="C1599">
        <f>Inputs!$B$3&gt;=105</f>
        <v/>
      </c>
      <c r="D1599">
        <f>IF(Skills!C9=1,60+Inputs!$B$25+Inputs!$B$29,IF(Skills!C9=2,90+Inputs!$B$26+Inputs!$B$29,IF(Skills!C9=3,120+Inputs!$B$27+Inputs!$B$29,MAX(0,(Inputs!$B$3-100)*3)+Inputs!$B$28+Inputs!$B$29)))</f>
        <v/>
      </c>
      <c r="E1599">
        <f>INDEX(FactorTable!$B$2:$Y$301, MATCH(ROUND(MIN(300,MAX(1,D1599)),0), FactorTable!$A$2:$A$301,0), Skills!L9+1)</f>
        <v/>
      </c>
      <c r="F1599">
        <f>IF(Skills!M9=TRUE,(Skills!K9/10)*(E1599/1000),Skills!K9/10)+Skills!N9</f>
        <v/>
      </c>
      <c r="G1599">
        <f>Calc!G9</f>
        <v/>
      </c>
      <c r="H1599">
        <f>Calc!H9</f>
        <v/>
      </c>
      <c r="I1599">
        <f>IF(Skills!T9&lt;&gt;"",1+(Skills!T9/10)*(Z1593/1000)/100,1)</f>
        <v/>
      </c>
      <c r="J1599">
        <f>((Inputs!$B$6*(1+Inputs!$B$7/100))+(((Inputs!$B$12*(1+Inputs!$B$13/100))-(Inputs!$B$12*(1+Inputs!$B$13/100)))+0.25*(Inputs!$B$14-Inputs!$B$14))*(1+Inputs!$B$7/100))*(F1599/100)</f>
        <v/>
      </c>
      <c r="K1599">
        <f>J1599*(1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9="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1608-Calc!F18),(Inputs!$B$23+(IF(ArtifactsInput!$M$15,CHOOSE(ArtifactsInput!$N$15+1,25,30,35,40,45,50)/100*(Inputs!$B$11-Inputs!$B$11),0))))/100+(Inputs!$B$23+(IF(ArtifactsInput!$M$15,CHOOSE(ArtifactsInput!$N$15+1,25,30,35,40,45,50)/100*(Inputs!$B$11-Inputs!$B$11),0)))/100)/2</f>
        <v/>
      </c>
      <c r="M1599">
        <f>L1599*(1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IF(B1627=0,0,O1599/B1627)</f>
        <v/>
      </c>
      <c r="Q1599">
        <f>IFERROR(1/IF(Inputs!$B$38="pvp",15,MAX(0.1,Skills!D9-IF(Skills!E9=TRUE,Inputs!$B$32,0))),0)</f>
        <v/>
      </c>
      <c r="R1599">
        <f>IF(AND(Inputs!$B$38&lt;&gt;"pvp",Inputs!$B$43&gt;0),IF(MAX(0,Inputs!$B$43-B1624)&lt;=0,0,(INT(MAX(0,Inputs!$B$43-B1624)/IF(Inputs!$B$38="pvp",15,MAX(0.1,Skills!D9-IF(Skills!E9=TRUE,Inputs!$B$32,0))))+1)),0)</f>
        <v/>
      </c>
      <c r="S1599">
        <f>IF(C1599,(H1599*N1599*IF(AND(Inputs!$B$38&lt;&gt;"pvp",Inputs!$B$43&gt;0),((Skills!F9*((R1599-1)*IF(Skills!G9&gt;0,Skills!H9/Skills!G9,1)+IF(Skills!G9&gt;0,MIN(Skills!H9,MAX(0,MAX(0,Inputs!$B$43-B1624)-((R1599-1)*IF(Inputs!$B$38="pvp",15,MAX(0.1,Skills!D9-IF(Skills!E9=TRUE,Inputs!$B$32,0))))))/Skills!G9,1)))/Inputs!$B$43),G1599*Q1599))*IF(Inputs!$B$38="pvp",1,1+(Inputs!$B$20+Skills!O9+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9*((R1599-1)*IF(Skills!G9&gt;0,Skills!H9/Skills!G9,1)+IF(Skills!G9&gt;0,MIN(Skills!H9,MAX(0,MAX(0,Inputs!$B$43-B1624)-((R1599-1)*IF(Inputs!$B$38="pvp",15,MAX(0.1,Skills!D9-IF(Skills!E9=TRUE,Inputs!$B$32,0))))))/Skills!G9,1)))/Inputs!$B$43),G1599*Q1599))*IF(Inputs!$B$38="pvp",1,(1+(Inputs!$B$21+Skills!P9+B1618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Skills!A10</f>
        <v/>
      </c>
      <c r="B1600">
        <f>Skills!B10</f>
        <v/>
      </c>
      <c r="C1600">
        <f>Inputs!$B$3&gt;=113</f>
        <v/>
      </c>
      <c r="D1600">
        <f>IF(Skills!C10=1,60+Inputs!$B$25+Inputs!$B$29,IF(Skills!C10=2,90+Inputs!$B$26+Inputs!$B$29,IF(Skills!C10=3,120+Inputs!$B$27+Inputs!$B$29,MAX(0,(Inputs!$B$3-100)*3)+Inputs!$B$28+Inputs!$B$29)))</f>
        <v/>
      </c>
      <c r="E1600">
        <f>INDEX(FactorTable!$B$2:$Y$301, MATCH(ROUND(MIN(300,MAX(1,D1600)),0), FactorTable!$A$2:$A$301,0), Skills!L10+1)</f>
        <v/>
      </c>
      <c r="F1600">
        <f>IF(Skills!M10=TRUE,(Skills!K10/10)*(E1600/1000),Skills!K10/10)+Skills!N10</f>
        <v/>
      </c>
      <c r="G1600">
        <f>Calc!G10</f>
        <v/>
      </c>
      <c r="H1600">
        <f>Calc!H10</f>
        <v/>
      </c>
      <c r="I1600">
        <f>IF(Skills!T10&lt;&gt;"",1+(Skills!T10/10)*(Z1593/1000)/100,1)</f>
        <v/>
      </c>
      <c r="J1600">
        <f>((Inputs!$B$6*(1+Inputs!$B$7/100))+(((Inputs!$B$12*(1+Inputs!$B$13/100))-(Inputs!$B$12*(1+Inputs!$B$13/100)))+0.25*(Inputs!$B$14-Inputs!$B$14))*(1+Inputs!$B$7/100))*(F1600/100)</f>
        <v/>
      </c>
      <c r="K1600">
        <f>J1600*(1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10="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F1608-Calc!F18),(Inputs!$B$23+(IF(ArtifactsInput!$M$15,CHOOSE(ArtifactsInput!$N$15+1,25,30,35,40,45,50)/100*(Inputs!$B$11-Inputs!$B$11),0))))/100+(Inputs!$B$23+(IF(ArtifactsInput!$M$15,CHOOSE(ArtifactsInput!$N$15+1,25,30,35,40,45,50)/100*(Inputs!$B$11-Inputs!$B$11),0)))/100)/2</f>
        <v/>
      </c>
      <c r="M1600">
        <f>L1600*(1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(1-Summary!$B$11)*S1600+Summary!$B$11*U1600</f>
        <v/>
      </c>
      <c r="P1600">
        <f>IF(B1627=0,0,O1600/B1627)</f>
        <v/>
      </c>
      <c r="Q1600">
        <f>IFERROR(1/IF(Inputs!$B$38="pvp",15,MAX(0.1,Skills!D10-IF(Skills!E9=TRUE,Inputs!$B$32,0))),0)</f>
        <v/>
      </c>
      <c r="R1600">
        <f>IF(AND(Inputs!$B$38&lt;&gt;"pvp",Inputs!$B$43&gt;0),IF(MAX(0,Inputs!$B$43-B1624)&lt;=0,0,(INT(MAX(0,Inputs!$B$43-B1624)/IF(Inputs!$B$38="pvp",15,MAX(0.1,Skills!D10-IF(Skills!E9=TRUE,Inputs!$B$32,0))))+1)),0)</f>
        <v/>
      </c>
      <c r="S1600">
        <f>IF(C1600,(H1600*N1600*IF(AND(Inputs!$B$38&lt;&gt;"pvp",Inputs!$B$43&gt;0),((Skills!F10*((R1600-1)*IF(Skills!G10&gt;0,Skills!H10/Skills!G10,1)+IF(Skills!G10&gt;0,MIN(Skills!H10,MAX(0,MAX(0,Inputs!$B$43-B1624)-((R1600-1)*IF(Inputs!$B$38="pvp",15,MAX(0.1,Skills!D10-IF(Skills!E9=TRUE,Inputs!$B$32,0))))))/Skills!G10,1)))/Inputs!$B$43),G1600*Q1600))*IF(Inputs!$B$38="pvp",1,1+(Inputs!$B$20+Skills!O10+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1600*(1-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0">
        <f>IF(C1600,(H1600*N1600*IF(AND(Inputs!$B$38&lt;&gt;"pvp",Inputs!$B$43&gt;0),((Skills!F10*((R1600-1)*IF(Skills!G10&gt;0,Skills!H10/Skills!G10,1)+IF(Skills!G10&gt;0,MIN(Skills!H10,MAX(0,MAX(0,Inputs!$B$43-B1624)-((R1600-1)*IF(Inputs!$B$38="pvp",15,MAX(0.1,Skills!D10-IF(Skills!E9=TRUE,Inputs!$B$32,0))))))/Skills!G10,1)))/Inputs!$B$43),G1600*Q1600))*IF(Inputs!$B$38="pvp",1,(1+(Inputs!$B$21+Skills!P10+B1618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Skills!A11</f>
        <v/>
      </c>
      <c r="B1601">
        <f>Skills!B11</f>
        <v/>
      </c>
      <c r="C1601">
        <f>Inputs!$B$3&gt;=107</f>
        <v/>
      </c>
      <c r="D1601">
        <f>IF(Skills!C11=1,60+Inputs!$B$25+Inputs!$B$29,IF(Skills!C11=2,90+Inputs!$B$26+Inputs!$B$29,IF(Skills!C11=3,120+Inputs!$B$27+Inputs!$B$29,MAX(0,(Inputs!$B$3-100)*3)+Inputs!$B$28+Inputs!$B$29)))</f>
        <v/>
      </c>
      <c r="E1601">
        <f>INDEX(FactorTable!$B$2:$Y$301, MATCH(ROUND(MIN(300,MAX(1,D1601)),0), FactorTable!$A$2:$A$301,0), Skills!L11+1)</f>
        <v/>
      </c>
      <c r="F1601">
        <f>IF(Skills!M11=TRUE,(Skills!K11/10)*(E1601/1000),Skills!K11/10)+Skills!N11</f>
        <v/>
      </c>
      <c r="G1601">
        <f>Calc!G11</f>
        <v/>
      </c>
      <c r="H1601">
        <f>Calc!H11</f>
        <v/>
      </c>
      <c r="I1601">
        <f>IF(Skills!T11&lt;&gt;"",1+(Skills!T11/10)*(Z1593/1000)/100,1)</f>
        <v/>
      </c>
      <c r="J1601">
        <f>((Inputs!$B$6*(1+Inputs!$B$7/100))+(((Inputs!$B$12*(1+Inputs!$B$13/100))-(Inputs!$B$12*(1+Inputs!$B$13/100)))+0.25*(Inputs!$B$14-Inputs!$B$14))*(1+Inputs!$B$7/100))*(F1601/100)</f>
        <v/>
      </c>
      <c r="K1601">
        <f>J1601*(1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11="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F1608-Calc!F18),(Inputs!$B$23+(IF(ArtifactsInput!$M$15,CHOOSE(ArtifactsInput!$N$15+1,25,30,35,40,45,50)/100*(Inputs!$B$11-Inputs!$B$11),0))))/100+(Inputs!$B$23+(IF(ArtifactsInput!$M$15,CHOOSE(ArtifactsInput!$N$15+1,25,30,35,40,45,50)/100*(Inputs!$B$11-Inputs!$B$11),0)))/100)/2</f>
        <v/>
      </c>
      <c r="M1601">
        <f>L1601*(1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(1-Summary!$B$11)*S1601+Summary!$B$11*U1601</f>
        <v/>
      </c>
      <c r="P1601">
        <f>IF(B1627=0,0,O1601/B1627)</f>
        <v/>
      </c>
      <c r="Q1601">
        <f>IFERROR(1/IF(Inputs!$B$38="pvp",15,MAX(0.1,Skills!D11-IF(Skills!E11=TRUE,Inputs!$B$32,0))),0)</f>
        <v/>
      </c>
      <c r="R1601">
        <f>IF(AND(Inputs!$B$38&lt;&gt;"pvp",Inputs!$B$43&gt;0),IF(MAX(0,Inputs!$B$43-B1624)&lt;=0,0,(INT(MAX(0,Inputs!$B$43-B1624)/IF(Inputs!$B$38="pvp",15,MAX(0.1,Skills!D11-IF(Skills!E11=TRUE,Inputs!$B$32,0))))+1)),0)</f>
        <v/>
      </c>
      <c r="S1601">
        <f>IF(C1601,H1601*N1601*IF(AND(Inputs!$B$38&lt;&gt;"pvp",Inputs!$B$43&gt;0),((Skills!F11*((R1601-1)*IF(Skills!G11&gt;0,Skills!H11/Skills!G11,1)+IF(Skills!G11&gt;0,MIN(Skills!H11,MAX(0,MAX(0,Inputs!$B$43-B1624)-((R1601-1)*IF(Inputs!$B$38="pvp",15,MAX(0.1,Skills!D11-IF(Skills!E11=TRUE,Inputs!$B$32,0))))))/Skills!G11,1)))/Inputs!$B$43),G1601*Q1601)*0.5*IF(Inputs!$B$38="pvp",1,1+(Inputs!$B$20+Skills!O11+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1">
        <f>IF(C1601,H1601*N1601*IF(AND(Inputs!$B$38&lt;&gt;"pvp",Inputs!$B$43&gt;0),((Skills!F11*((R1601-1)*IF(Skills!G11&gt;0,Skills!H11/Skills!G11,1)+IF(Skills!G11&gt;0,MIN(Skills!H11,MAX(0,MAX(0,Inputs!$B$43-B1624)-((R1601-1)*IF(Inputs!$B$38="pvp",15,MAX(0.1,Skills!D11-IF(Skills!E11=TRUE,Inputs!$B$32,0))))))/Skills!G11,1)))/Inputs!$B$43),G1601*Q1601)*1*IF(Inputs!$B$38="pvp",1,(1+(Inputs!$B$21+Skills!P11+B1618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Skills!A12</f>
        <v/>
      </c>
      <c r="B1602">
        <f>Skills!B12</f>
        <v/>
      </c>
      <c r="C1602">
        <f>Inputs!$B$3&gt;=115</f>
        <v/>
      </c>
      <c r="D1602">
        <f>IF(Skills!C12=1,60+Inputs!$B$25+Inputs!$B$29,IF(Skills!C12=2,90+Inputs!$B$26+Inputs!$B$29,IF(Skills!C12=3,120+Inputs!$B$27+Inputs!$B$29,MAX(0,(Inputs!$B$3-100)*3)+Inputs!$B$28+Inputs!$B$29)))</f>
        <v/>
      </c>
      <c r="E1602">
        <f>INDEX(FactorTable!$B$2:$Y$301, MATCH(ROUND(MIN(300,MAX(1,D1602)),0), FactorTable!$A$2:$A$301,0), Skills!L12+1)</f>
        <v/>
      </c>
      <c r="F1602">
        <f>IF(Skills!M12=TRUE,(Skills!K12/10)*(E1602/1000),Skills!K12/10)+Skills!N12</f>
        <v/>
      </c>
      <c r="G1602">
        <f>Calc!G12</f>
        <v/>
      </c>
      <c r="H1602">
        <f>Calc!H12</f>
        <v/>
      </c>
      <c r="I1602">
        <f>IF(Skills!T12&lt;&gt;"",1+(Skills!T12/10)*(Z1593/1000)/100,1)</f>
        <v/>
      </c>
      <c r="J1602">
        <f>((Inputs!$B$6*(1+Inputs!$B$7/100))+(((Inputs!$B$12*(1+Inputs!$B$13/100))-(Inputs!$B$12*(1+Inputs!$B$13/100)))+0.25*(Inputs!$B$14-Inputs!$B$14))*(1+Inputs!$B$7/100))*(F1602/100)</f>
        <v/>
      </c>
      <c r="K1602">
        <f>J1602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12="CHAIN_LIGHTNING",Inputs!$B$17+((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F1608-Calc!F18),(Inputs!$B$23+(IF(ArtifactsInput!$M$15,CHOOSE(ArtifactsInput!$N$15+1,25,30,35,40,45,50)/100*(Inputs!$B$11-Inputs!$B$11),0))))/100+(Inputs!$B$23+(IF(ArtifactsInput!$M$15,CHOOSE(ArtifactsInput!$N$15+1,25,30,35,40,45,50)/100*(Inputs!$B$11-Inputs!$B$11),0)))/100)/2</f>
        <v/>
      </c>
      <c r="M1602">
        <f>L1602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(1-Summary!$B$11)*S1602+Summary!$B$11*U1602</f>
        <v/>
      </c>
      <c r="P1602">
        <f>IF(B1627=0,0,O1602/B1627)</f>
        <v/>
      </c>
      <c r="Q1602">
        <f>IFERROR(1/IF(Inputs!$B$38="pvp",15,MAX(0.1,Skills!D12-IF(Skills!E12=TRUE,Inputs!$B$32,0))),0)</f>
        <v/>
      </c>
      <c r="R1602">
        <f>IF(AND(Inputs!$B$38&lt;&gt;"pvp",Inputs!$B$43&gt;0),IF(MAX(0,Inputs!$B$43-B1624)&lt;=0,0,(INT(MAX(0,Inputs!$B$43-B1624)/IF(Inputs!$B$38="pvp",15,MAX(0.1,Skills!D12-IF(Skills!E12=TRUE,Inputs!$B$32,0))))+1)),0)</f>
        <v/>
      </c>
      <c r="S1602">
        <f>IF(C1602,(H1602*N1602*IF(AND(Inputs!$B$38&lt;&gt;"pvp",Inputs!$B$43&gt;0),((Skills!F12*((R1602-1)*IF(Skills!G12&gt;0,Skills!H12/Skills!G12,1)+IF(Skills!G12&gt;0,MIN(Skills!H12,MAX(0,MAX(0,Inputs!$B$43-B1624)-((R1602-1)*IF(Inputs!$B$38="pvp",15,MAX(0.1,Skills!D12-IF(Skills!E12=TRUE,Inputs!$B$32,0))))))/Skills!G12,1)))/Inputs!$B$43),G1602*Q1602))*IF(Inputs!$B$38="pvp",1,1+(Inputs!$B$20+Skills!O12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1602*(1-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F1610-Calc!F20)+(F1609-Calc!F19))+(ArtifactsInput!$M$24-ArtifactsInput!$M$24)*CHOOSE(ArtifactsInput!$N$24+1,10,12,14,16,18,20)+(IF(AND(Inputs!$B$38&lt;&gt;"pvp",Inputs!$B$43=0),1,IF(IF(Inputs!$B$38="pvp",15,Inputs!$B$43)-(B1624)&lt;=0,1,MAX(0,IF(Inputs!$B$38="pvp",15,Inputs!$B$43)-MAX(5,B1624))/(IF(Inputs!$B$38="pvp",15,Inputs!$B$43)-(B1624)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2">
        <f>IF(C1602,(H1602*N1602*IF(AND(Inputs!$B$38&lt;&gt;"pvp",Inputs!$B$43&gt;0),((Skills!F12*((R1602-1)*IF(Skills!G12&gt;0,Skills!H12/Skills!G12,1)+IF(Skills!G12&gt;0,MIN(Skills!H12,MAX(0,MAX(0,Inputs!$B$43-B1624)-((R1602-1)*IF(Inputs!$B$38="pvp",15,MAX(0.1,Skills!D12-IF(Skills!E12=TRUE,Inputs!$B$32,0))))))/Skills!G12,1)))/Inputs!$B$43),G1602*Q1602))*IF(Inputs!$B$38="pvp",1,(1+(Inputs!$B$21+Skills!P12+B1618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Skills!A13</f>
        <v/>
      </c>
      <c r="B1603">
        <f>Skills!B13</f>
        <v/>
      </c>
      <c r="C1603">
        <f>Inputs!$B$3&gt;=49</f>
        <v/>
      </c>
      <c r="D1603">
        <f>IF(Skills!C13=1,60+Inputs!$B$25+Inputs!$B$29,IF(Skills!C13=2,90+Inputs!$B$26+Inputs!$B$29,IF(Skills!C13=3,120+Inputs!$B$27+Inputs!$B$29,MAX(0,(Inputs!$B$3-100)*3)+Inputs!$B$28+Inputs!$B$29)))</f>
        <v/>
      </c>
      <c r="E1603">
        <f>INDEX(FactorTable!$B$2:$Y$301, MATCH(ROUND(MIN(300,MAX(1,D1603)),0), FactorTable!$A$2:$A$301,0), Skills!L13+1)</f>
        <v/>
      </c>
      <c r="F1603">
        <f>IF(Skills!M13=TRUE,(Skills!K13/10)*(E1603/1000),Skills!K13/10)+Skills!N13</f>
        <v/>
      </c>
      <c r="G1603">
        <f>Calc!G13</f>
        <v/>
      </c>
      <c r="H1603">
        <f>Calc!H13</f>
        <v/>
      </c>
      <c r="I1603">
        <f>IF(Skills!T13&lt;&gt;"",1+(Skills!T13/10)*(Z1593/1000)/100,1)</f>
        <v/>
      </c>
      <c r="J1603" t="inlineStr"/>
      <c r="K1603" t="inlineStr"/>
      <c r="L1603" t="inlineStr"/>
      <c r="M1603" t="inlineStr"/>
      <c r="N1603" t="inlineStr"/>
      <c r="O1603">
        <f>(1-Summary!$B$11)*S1603+Summary!$B$11*U1603</f>
        <v/>
      </c>
      <c r="P1603">
        <f>IF(B1627=0,0,O1603/B1627)</f>
        <v/>
      </c>
      <c r="Q1603">
        <f>IFERROR(1/IF(Inputs!$B$38="pvp",15,MAX(0.1,Skills!D13-IF(Skills!E13=TRUE,Inputs!$B$32,0))),0)</f>
        <v/>
      </c>
      <c r="R1603" t="n">
        <v>0</v>
      </c>
      <c r="S1603" t="n">
        <v>0</v>
      </c>
      <c r="U1603" t="n">
        <v>0</v>
      </c>
    </row>
    <row r="1604">
      <c r="A1604">
        <f>Skills!A14</f>
        <v/>
      </c>
      <c r="B1604">
        <f>Skills!B14</f>
        <v/>
      </c>
      <c r="C1604">
        <f>Inputs!$B$3&gt;=72</f>
        <v/>
      </c>
      <c r="D1604">
        <f>IF(Skills!C14=1,60+Inputs!$B$25+Inputs!$B$29,IF(Skills!C14=2,90+Inputs!$B$26+Inputs!$B$29,IF(Skills!C14=3,120+Inputs!$B$27+Inputs!$B$29,MAX(0,(Inputs!$B$3-100)*3)+Inputs!$B$28+Inputs!$B$29)))</f>
        <v/>
      </c>
      <c r="E1604">
        <f>INDEX(FactorTable!$B$2:$Y$301, MATCH(ROUND(MIN(300,MAX(1,D1604)),0), FactorTable!$A$2:$A$301,0), Skills!L14+1)</f>
        <v/>
      </c>
      <c r="F1604">
        <f>IF(Skills!M14=TRUE,(Skills!K14/10)*(E1604/1000),Skills!K14/10)+Skills!N14</f>
        <v/>
      </c>
      <c r="G1604">
        <f>Calc!G14</f>
        <v/>
      </c>
      <c r="H1604">
        <f>Calc!H14</f>
        <v/>
      </c>
      <c r="I1604">
        <f>IF(Skills!T14&lt;&gt;"",1+(Skills!T14/10)*(Z1593/1000)/100,1)</f>
        <v/>
      </c>
      <c r="J1604" t="inlineStr"/>
      <c r="K1604" t="inlineStr"/>
      <c r="L1604" t="inlineStr"/>
      <c r="M1604" t="inlineStr"/>
      <c r="N1604" t="inlineStr"/>
      <c r="O1604">
        <f>(1-Summary!$B$11)*S1604+Summary!$B$11*U1604</f>
        <v/>
      </c>
      <c r="P1604">
        <f>IF(B1627=0,0,O1604/B1627)</f>
        <v/>
      </c>
      <c r="Q1604">
        <f>IFERROR(1/IF(Inputs!$B$38="pvp",15,MAX(0.1,Skills!D14-IF(Skills!E14=TRUE,Inputs!$B$32,0))),0)</f>
        <v/>
      </c>
      <c r="R1604" t="n">
        <v>0</v>
      </c>
      <c r="S1604" t="n">
        <v>0</v>
      </c>
      <c r="U1604" t="n">
        <v>0</v>
      </c>
    </row>
    <row r="1605">
      <c r="A1605">
        <f>Skills!A15</f>
        <v/>
      </c>
      <c r="B1605">
        <f>Skills!B15</f>
        <v/>
      </c>
      <c r="C1605">
        <f>Inputs!$B$3&gt;=75</f>
        <v/>
      </c>
      <c r="D1605">
        <f>IF(Skills!C15=1,60+Inputs!$B$25+Inputs!$B$29,IF(Skills!C15=2,90+Inputs!$B$26+Inputs!$B$29,IF(Skills!C15=3,120+Inputs!$B$27+Inputs!$B$29,MAX(0,(Inputs!$B$3-100)*3)+Inputs!$B$28+Inputs!$B$29)))</f>
        <v/>
      </c>
      <c r="E1605">
        <f>INDEX(FactorTable!$B$2:$Y$301, MATCH(ROUND(MIN(300,MAX(1,D1605)),0), FactorTable!$A$2:$A$301,0), Skills!L15+1)</f>
        <v/>
      </c>
      <c r="F1605">
        <f>IF(Skills!M15=TRUE,(Skills!K15/10)*(E1605/1000),Skills!K15/10)+Skills!N15</f>
        <v/>
      </c>
      <c r="G1605">
        <f>Calc!G15</f>
        <v/>
      </c>
      <c r="H1605">
        <f>Calc!H15</f>
        <v/>
      </c>
      <c r="I1605">
        <f>IF(Skills!T15&lt;&gt;"",1+(Skills!T15/10)*(Z1593/1000)/100,1)</f>
        <v/>
      </c>
      <c r="J1605" t="inlineStr"/>
      <c r="K1605" t="inlineStr"/>
      <c r="L1605" t="inlineStr"/>
      <c r="M1605" t="inlineStr"/>
      <c r="N1605" t="inlineStr"/>
      <c r="O1605">
        <f>(1-Summary!$B$11)*S1605+Summary!$B$11*U1605</f>
        <v/>
      </c>
      <c r="P1605">
        <f>IF(B1627=0,0,O1605/B1627)</f>
        <v/>
      </c>
      <c r="Q1605">
        <f>IFERROR(1/IF(Inputs!$B$38="pvp",15,MAX(0.1,Skills!D15-IF(Skills!E15=TRUE,Inputs!$B$32,0))),0)</f>
        <v/>
      </c>
      <c r="R1605" t="n">
        <v>0</v>
      </c>
      <c r="S1605" t="n">
        <v>0</v>
      </c>
      <c r="U1605" t="n">
        <v>0</v>
      </c>
    </row>
    <row r="1606">
      <c r="A1606">
        <f>Skills!A16</f>
        <v/>
      </c>
      <c r="B1606">
        <f>Skills!B16</f>
        <v/>
      </c>
      <c r="C1606">
        <f>Inputs!$B$3&gt;=110</f>
        <v/>
      </c>
      <c r="D1606">
        <f>IF(Skills!C16=1,60+Inputs!$B$25+Inputs!$B$29,IF(Skills!C16=2,90+Inputs!$B$26+Inputs!$B$29,IF(Skills!C16=3,120+Inputs!$B$27+Inputs!$B$29,MAX(0,(Inputs!$B$3-100)*3)+Inputs!$B$28+Inputs!$B$29)))</f>
        <v/>
      </c>
      <c r="E1606">
        <f>INDEX(FactorTable!$B$2:$Y$301, MATCH(ROUND(MIN(300,MAX(1,D1606)),0), FactorTable!$A$2:$A$301,0), Skills!L16+1)</f>
        <v/>
      </c>
      <c r="F1606">
        <f>(Skills!K16/10)*(E1606/1000)*64/45+Skills!N16</f>
        <v/>
      </c>
      <c r="G1606">
        <f>Calc!G16</f>
        <v/>
      </c>
      <c r="H1606">
        <f>Calc!H16</f>
        <v/>
      </c>
      <c r="I1606">
        <f>IF(Skills!T16&lt;&gt;"",1+(Skills!T16/10)*(Z1593/1000)/100,1)</f>
        <v/>
      </c>
      <c r="J1606" t="inlineStr"/>
      <c r="K1606" t="inlineStr"/>
      <c r="L1606" t="inlineStr"/>
      <c r="M1606" t="inlineStr"/>
      <c r="N1606" t="inlineStr"/>
      <c r="O1606">
        <f>(1-Summary!$B$11)*S1606+Summary!$B$11*U1606</f>
        <v/>
      </c>
      <c r="P1606">
        <f>IF(B1627=0,0,O1606/B1627)</f>
        <v/>
      </c>
      <c r="Q1606">
        <f>IFERROR(1/IF(Inputs!$B$38="pvp",15,MAX(0.1,Skills!D16-IF(Skills!E16=TRUE,Inputs!$B$32,0))),0)</f>
        <v/>
      </c>
      <c r="R1606">
        <f>IF(AND(Inputs!$B$38&lt;&gt;"pvp",Inputs!$B$43&gt;0),IF(Inputs!$B$43&lt;=0,0,(INT(Inputs!$B$43/IF(Inputs!$B$38="pvp",15,MAX(0.1,Skills!D16-IF(Skills!E16=TRUE,Inputs!$B$32,0))))+1)),0)</f>
        <v/>
      </c>
      <c r="S1606" t="n">
        <v>0</v>
      </c>
      <c r="U1606" t="n">
        <v>0</v>
      </c>
    </row>
    <row r="1607">
      <c r="A1607">
        <f>Skills!A17</f>
        <v/>
      </c>
      <c r="B1607">
        <f>Skills!B17</f>
        <v/>
      </c>
      <c r="C1607">
        <f>Inputs!$B$3&gt;=33</f>
        <v/>
      </c>
      <c r="D1607">
        <f>IF(Skills!C17=1,60+Inputs!$B$25+Inputs!$B$29,IF(Skills!C17=2,90+Inputs!$B$26+Inputs!$B$29,IF(Skills!C17=3,120+Inputs!$B$27+Inputs!$B$29,MAX(0,(Inputs!$B$3-100)*3)+Inputs!$B$28+Inputs!$B$29)))</f>
        <v/>
      </c>
      <c r="E1607">
        <f>INDEX(FactorTable!$B$2:$Y$301, MATCH(ROUND(MIN(300,MAX(1,D1607)),0), FactorTable!$A$2:$A$301,0), Skills!L17+1)</f>
        <v/>
      </c>
      <c r="F1607">
        <f>IF(Skills!M17=TRUE,(Skills!K17/10)*(E1607/1000),Skills!K17/10)+Skills!N17</f>
        <v/>
      </c>
      <c r="G1607">
        <f>Calc!G17</f>
        <v/>
      </c>
      <c r="H1607">
        <f>Calc!H17</f>
        <v/>
      </c>
      <c r="I1607">
        <f>IF(Skills!T17&lt;&gt;"",1+(Skills!T17/10)*(Z1593/1000)/100,1)</f>
        <v/>
      </c>
      <c r="J1607" t="inlineStr"/>
      <c r="K1607" t="inlineStr"/>
      <c r="L1607" t="inlineStr"/>
      <c r="M1607" t="inlineStr"/>
      <c r="N1607" t="inlineStr"/>
      <c r="O1607">
        <f>(1-Summary!$B$11)*S1607+Summary!$B$11*U1607</f>
        <v/>
      </c>
      <c r="P1607">
        <f>IF(B1627=0,0,O1607/B1627)</f>
        <v/>
      </c>
      <c r="Q1607">
        <f>IFERROR(1/IF(Inputs!$B$38="pvp",15,MAX(0.1,Skills!D17-IF(Skills!E17=TRUE,Inputs!$B$32,0))),0)</f>
        <v/>
      </c>
      <c r="R1607" t="n">
        <v>0</v>
      </c>
      <c r="S1607" t="n">
        <v>0</v>
      </c>
      <c r="U1607" t="n">
        <v>0</v>
      </c>
    </row>
    <row r="1608">
      <c r="A1608">
        <f>Skills!A18</f>
        <v/>
      </c>
      <c r="B1608">
        <f>Skills!B18</f>
        <v/>
      </c>
      <c r="C1608">
        <f>Inputs!$B$3&gt;=43</f>
        <v/>
      </c>
      <c r="D1608">
        <f>IF(Skills!C18=1,60+Inputs!$B$25+Inputs!$B$29,IF(Skills!C18=2,90+Inputs!$B$26+Inputs!$B$29,IF(Skills!C18=3,120+Inputs!$B$27+Inputs!$B$29,MAX(0,(Inputs!$B$3-100)*3)+Inputs!$B$28+Inputs!$B$29)))</f>
        <v/>
      </c>
      <c r="E1608">
        <f>INDEX(FactorTable!$B$2:$Y$301, MATCH(ROUND(MIN(300,MAX(1,D1608)),0), FactorTable!$A$2:$A$301,0), Skills!L18+1)</f>
        <v/>
      </c>
      <c r="F1608">
        <f>IF(Skills!M18=TRUE,(Skills!K18/10)*(E1608/1000),Skills!K18/10)+Skills!N18</f>
        <v/>
      </c>
      <c r="G1608">
        <f>Calc!G18</f>
        <v/>
      </c>
      <c r="H1608">
        <f>Calc!H18</f>
        <v/>
      </c>
      <c r="I1608">
        <f>IF(Skills!T18&lt;&gt;"",1+(Skills!T18/10)*(Z1593/1000)/100,1)</f>
        <v/>
      </c>
      <c r="J1608" t="inlineStr"/>
      <c r="K1608" t="inlineStr"/>
      <c r="L1608" t="inlineStr"/>
      <c r="M1608" t="inlineStr"/>
      <c r="N1608" t="inlineStr"/>
      <c r="O1608">
        <f>(1-Summary!$B$11)*S1608+Summary!$B$11*U1608</f>
        <v/>
      </c>
      <c r="P1608">
        <f>IF(B1627=0,0,O1608/B1627)</f>
        <v/>
      </c>
      <c r="Q1608">
        <f>IFERROR(1/IF(Inputs!$B$38="pvp",15,MAX(0.1,Skills!D18-IF(Skills!E18=TRUE,Inputs!$B$32,0))),0)</f>
        <v/>
      </c>
      <c r="R1608" t="n">
        <v>0</v>
      </c>
      <c r="S1608" t="n">
        <v>0</v>
      </c>
      <c r="U1608" t="n">
        <v>0</v>
      </c>
    </row>
    <row r="1609">
      <c r="A1609">
        <f>Skills!A19</f>
        <v/>
      </c>
      <c r="B1609">
        <f>Skills!B19</f>
        <v/>
      </c>
      <c r="C1609">
        <f>Inputs!$B$3&gt;=50</f>
        <v/>
      </c>
      <c r="D1609">
        <f>IF(Skills!C19=1,60+Inputs!$B$25+Inputs!$B$29,IF(Skills!C19=2,90+Inputs!$B$26+Inputs!$B$29,IF(Skills!C19=3,120+Inputs!$B$27+Inputs!$B$29,MAX(0,(Inputs!$B$3-100)*3)+Inputs!$B$28+Inputs!$B$29)))</f>
        <v/>
      </c>
      <c r="E1609">
        <f>INDEX(FactorTable!$B$2:$Y$301, MATCH(ROUND(MIN(300,MAX(1,D1609)),0), FactorTable!$A$2:$A$301,0), Skills!L19+1)</f>
        <v/>
      </c>
      <c r="F1609">
        <f>IF(Skills!M19=TRUE,(Skills!K19/10)*(E1609/1000),Skills!K19/10)+Skills!N19</f>
        <v/>
      </c>
      <c r="G1609">
        <f>Calc!G19</f>
        <v/>
      </c>
      <c r="H1609">
        <f>Calc!H19</f>
        <v/>
      </c>
      <c r="I1609">
        <f>IF(Skills!T19&lt;&gt;"",1+(Skills!T19/10)*(Z1593/1000)/100,1)</f>
        <v/>
      </c>
      <c r="J1609" t="inlineStr"/>
      <c r="K1609" t="inlineStr"/>
      <c r="L1609" t="inlineStr"/>
      <c r="M1609" t="inlineStr"/>
      <c r="N1609" t="inlineStr"/>
      <c r="O1609">
        <f>(1-Summary!$B$11)*S1609+Summary!$B$11*U1609</f>
        <v/>
      </c>
      <c r="P1609">
        <f>IF(B1627=0,0,O1609/B1627)</f>
        <v/>
      </c>
      <c r="Q1609">
        <f>IFERROR(1/IF(Inputs!$B$38="pvp",15,MAX(0.1,Skills!D19-IF(Skills!E19=TRUE,Inputs!$B$32,0))),0)</f>
        <v/>
      </c>
      <c r="R1609" t="n">
        <v>0</v>
      </c>
      <c r="S1609" t="n">
        <v>0</v>
      </c>
      <c r="U1609" t="n">
        <v>0</v>
      </c>
    </row>
    <row r="1610">
      <c r="A1610">
        <f>Skills!A20</f>
        <v/>
      </c>
      <c r="B1610">
        <f>Skills!B20</f>
        <v/>
      </c>
      <c r="C1610">
        <f>Inputs!$B$3&gt;=74</f>
        <v/>
      </c>
      <c r="D1610">
        <f>IF(Skills!C20=1,60+Inputs!$B$25+Inputs!$B$29,IF(Skills!C20=2,90+Inputs!$B$26+Inputs!$B$29,IF(Skills!C20=3,120+Inputs!$B$27+Inputs!$B$29,MAX(0,(Inputs!$B$3-100)*3)+Inputs!$B$28+Inputs!$B$29)))</f>
        <v/>
      </c>
      <c r="E1610">
        <f>INDEX(FactorTable!$B$2:$Y$301, MATCH(ROUND(MIN(300,MAX(1,D1610)),0), FactorTable!$A$2:$A$301,0), Skills!L20+1)</f>
        <v/>
      </c>
      <c r="F1610">
        <f>IF(Skills!M20=TRUE,(Skills!K20/10)*(E1610/1000),Skills!K20/10)+Skills!N20</f>
        <v/>
      </c>
      <c r="G1610">
        <f>Calc!G20</f>
        <v/>
      </c>
      <c r="H1610">
        <f>Calc!H20</f>
        <v/>
      </c>
      <c r="I1610">
        <f>IF(Skills!T20&lt;&gt;"",1+(Skills!T20/10)*(Z1593/1000)/100,1)</f>
        <v/>
      </c>
      <c r="J1610" t="inlineStr"/>
      <c r="K1610" t="inlineStr"/>
      <c r="L1610" t="inlineStr"/>
      <c r="M1610" t="inlineStr"/>
      <c r="N1610" t="inlineStr"/>
      <c r="O1610">
        <f>(1-Summary!$B$11)*S1610+Summary!$B$11*U1610</f>
        <v/>
      </c>
      <c r="P1610">
        <f>IF(B1627=0,0,O1610/B1627)</f>
        <v/>
      </c>
      <c r="Q1610">
        <f>IFERROR(1/IF(Inputs!$B$38="pvp",15,MAX(0.1,Skills!D20-IF(Skills!E20=TRUE,Inputs!$B$32,0))),0)</f>
        <v/>
      </c>
      <c r="R1610" t="n">
        <v>0</v>
      </c>
      <c r="S1610" t="n">
        <v>0</v>
      </c>
      <c r="U1610" t="n">
        <v>0</v>
      </c>
    </row>
    <row r="1611">
      <c r="A1611">
        <f>Skills!A21</f>
        <v/>
      </c>
      <c r="B1611">
        <f>Skills!B21</f>
        <v/>
      </c>
      <c r="C1611">
        <f>Inputs!$B$3&gt;=74</f>
        <v/>
      </c>
      <c r="D1611">
        <f>IF(Skills!C21=1,60+Inputs!$B$25+Inputs!$B$29,IF(Skills!C21=2,90+Inputs!$B$26+Inputs!$B$29,IF(Skills!C21=3,120+Inputs!$B$27+Inputs!$B$29,MAX(0,(Inputs!$B$3-100)*3)+Inputs!$B$28+Inputs!$B$29)))</f>
        <v/>
      </c>
      <c r="E1611">
        <f>INDEX(FactorTable!$B$2:$Y$301, MATCH(ROUND(MIN(300,MAX(1,D1611)),0), FactorTable!$A$2:$A$301,0), Skills!L21+1)</f>
        <v/>
      </c>
      <c r="F1611">
        <f>IF(Skills!M21=TRUE,(Skills!K21/10)*(E1611/1000),Skills!K21/10)+Skills!N21</f>
        <v/>
      </c>
      <c r="G1611">
        <f>Calc!G21</f>
        <v/>
      </c>
      <c r="H1611">
        <f>Calc!H21</f>
        <v/>
      </c>
      <c r="I1611">
        <f>IF(Skills!T21&lt;&gt;"",1+(Skills!T21/10)*(Z1593/1000)/100,1)</f>
        <v/>
      </c>
      <c r="J1611" t="inlineStr"/>
      <c r="K1611" t="inlineStr"/>
      <c r="L1611" t="inlineStr"/>
      <c r="M1611" t="inlineStr"/>
      <c r="N1611" t="inlineStr"/>
      <c r="O1611">
        <f>(1-Summary!$B$11)*S1611+Summary!$B$11*U1611</f>
        <v/>
      </c>
      <c r="P1611">
        <f>IF(B1627=0,0,O1611/B1627)</f>
        <v/>
      </c>
      <c r="Q1611">
        <f>IFERROR(1/IF(Inputs!$B$38="pvp",15,MAX(0.1,Skills!D21-IF(Skills!E21=TRUE,Inputs!$B$32,0))),0)</f>
        <v/>
      </c>
      <c r="R1611" t="n">
        <v>0</v>
      </c>
      <c r="S1611" t="n">
        <v>0</v>
      </c>
      <c r="U1611" t="n">
        <v>0</v>
      </c>
    </row>
    <row r="1612">
      <c r="A1612">
        <f>Skills!A22</f>
        <v/>
      </c>
      <c r="B1612">
        <f>Skills!B22</f>
        <v/>
      </c>
      <c r="C1612">
        <f>Inputs!$B$3&gt;=117</f>
        <v/>
      </c>
      <c r="D1612">
        <f>IF(Skills!C22=1,60+Inputs!$B$25+Inputs!$B$29,IF(Skills!C22=2,90+Inputs!$B$26+Inputs!$B$29,IF(Skills!C22=3,120+Inputs!$B$27+Inputs!$B$29,MAX(0,(Inputs!$B$3-100)*3)+Inputs!$B$28+Inputs!$B$29)))</f>
        <v/>
      </c>
      <c r="E1612">
        <f>INDEX(FactorTable!$B$2:$Y$301, MATCH(ROUND(MIN(300,MAX(1,D1612)),0), FactorTable!$A$2:$A$301,0), Skills!L22+1)</f>
        <v/>
      </c>
      <c r="F1612">
        <f>IF(Skills!M22=TRUE,(Skills!K22/10)*(E1612/1000),Skills!K22/10)+Skills!N22</f>
        <v/>
      </c>
      <c r="G1612">
        <f>Calc!G22</f>
        <v/>
      </c>
      <c r="H1612">
        <f>Calc!H22</f>
        <v/>
      </c>
      <c r="I1612">
        <f>IF(Skills!T22&lt;&gt;"",1+(Skills!T22/10)*(Z1593/1000)/100,1)</f>
        <v/>
      </c>
      <c r="J1612" t="inlineStr"/>
      <c r="K1612" t="inlineStr"/>
      <c r="L1612" t="inlineStr"/>
      <c r="M1612" t="inlineStr"/>
      <c r="N1612" t="inlineStr"/>
      <c r="O1612">
        <f>(1-Summary!$B$11)*S1612+Summary!$B$11*U1612</f>
        <v/>
      </c>
      <c r="P1612">
        <f>IF(B1627=0,0,O1612/B1627)</f>
        <v/>
      </c>
      <c r="Q1612">
        <f>IFERROR(1/IF(Inputs!$B$38="pvp",15,MAX(0.1,Skills!D22-IF(Skills!E22=TRUE,Inputs!$B$32,0))),0)</f>
        <v/>
      </c>
      <c r="R1612" t="n">
        <v>0</v>
      </c>
      <c r="S1612" t="n">
        <v>0</v>
      </c>
      <c r="U1612" t="n">
        <v>0</v>
      </c>
    </row>
    <row r="1613">
      <c r="A1613">
        <f>Skills!A23</f>
        <v/>
      </c>
      <c r="B1613">
        <f>Skills!B23</f>
        <v/>
      </c>
      <c r="C1613">
        <f>Inputs!$B$3&gt;=120</f>
        <v/>
      </c>
      <c r="D1613">
        <f>IF(Skills!C23=1,60+Inputs!$B$25+Inputs!$B$29,IF(Skills!C23=2,90+Inputs!$B$26+Inputs!$B$29,IF(Skills!C23=3,120+Inputs!$B$27+Inputs!$B$29,MAX(0,(Inputs!$B$3-100)*3)+Inputs!$B$28+Inputs!$B$29)))</f>
        <v/>
      </c>
      <c r="E1613">
        <f>INDEX(FactorTable!$B$2:$Y$301, MATCH(ROUND(MIN(300,MAX(1,D1613)),0), FactorTable!$A$2:$A$301,0), Skills!L23+1)</f>
        <v/>
      </c>
      <c r="F1613">
        <f>IF(Skills!M23=TRUE,(Skills!K23/10)*(E1613/1000),Skills!K23/10)+Skills!N23</f>
        <v/>
      </c>
      <c r="G1613">
        <f>Calc!G23</f>
        <v/>
      </c>
      <c r="H1613">
        <f>Calc!H23</f>
        <v/>
      </c>
      <c r="I1613">
        <f>IF(Skills!T23&lt;&gt;"",1+(Skills!T23/10)*(Z1593/1000)/100,1)</f>
        <v/>
      </c>
      <c r="J1613" t="inlineStr"/>
      <c r="K1613" t="inlineStr"/>
      <c r="L1613" t="inlineStr"/>
      <c r="M1613" t="inlineStr"/>
      <c r="N1613" t="inlineStr"/>
      <c r="O1613">
        <f>(1-Summary!$B$11)*S1613+Summary!$B$11*U1613</f>
        <v/>
      </c>
      <c r="P1613">
        <f>IF(B1627=0,0,O1613/B1627)</f>
        <v/>
      </c>
      <c r="Q1613">
        <f>IFERROR(1/IF(Inputs!$B$38="pvp",15,MAX(0.1,Skills!D23-IF(Skills!E23=TRUE,Inputs!$B$32,0))),0)</f>
        <v/>
      </c>
      <c r="R1613" t="n">
        <v>0</v>
      </c>
      <c r="S1613" t="n">
        <v>0</v>
      </c>
      <c r="U1613" t="n">
        <v>0</v>
      </c>
    </row>
    <row r="1614">
      <c r="A1614">
        <f>Skills!A24</f>
        <v/>
      </c>
      <c r="B1614">
        <f>Skills!B24</f>
        <v/>
      </c>
      <c r="C1614">
        <f>TRUE</f>
        <v/>
      </c>
      <c r="D1614">
        <f>IF(Skills!C24=1,60+Inputs!$B$25+Inputs!$B$29,IF(Skills!C24=2,90+Inputs!$B$26+Inputs!$B$29,IF(Skills!C24=3,120+Inputs!$B$27+Inputs!$B$29,MAX(0,(Inputs!$B$3-100)*3)+Inputs!$B$28+Inputs!$B$29)))</f>
        <v/>
      </c>
      <c r="E1614">
        <f>INDEX(FactorTable!$B$2:$Y$301, MATCH(ROUND(MIN(300,MAX(1,D1614)),0), FactorTable!$A$2:$A$301,0), Skills!L24+1)</f>
        <v/>
      </c>
      <c r="F1614">
        <f>IF(Skills!M24=TRUE,(Skills!K24/10)*(E1614/1000),Skills!K24/10)+Skills!N24</f>
        <v/>
      </c>
      <c r="G1614">
        <f>Calc!G24</f>
        <v/>
      </c>
      <c r="H1614">
        <f>Calc!H24</f>
        <v/>
      </c>
      <c r="I1614">
        <f>IF(Skills!T24&lt;&gt;"",1+(Skills!T24/10)*(Z1593/1000)/100,1)</f>
        <v/>
      </c>
      <c r="J1614" t="inlineStr"/>
      <c r="K1614" t="inlineStr"/>
      <c r="L1614" t="inlineStr"/>
      <c r="M1614" t="inlineStr"/>
      <c r="N1614" t="inlineStr"/>
      <c r="O1614">
        <f>(1-Summary!$B$11)*S1614+Summary!$B$11*U1614</f>
        <v/>
      </c>
      <c r="P1614">
        <f>IF(B1627=0,0,O1614/B1627)</f>
        <v/>
      </c>
      <c r="Q1614">
        <f>IFERROR(1/IF(Inputs!$B$38="pvp",15,MAX(0.1,Skills!D24-IF(Skills!E24=TRUE,Inputs!$B$32,0))),0)</f>
        <v/>
      </c>
      <c r="R1614">
        <f>IF(AND(Inputs!$B$38&lt;&gt;"pvp",Inputs!$B$43&gt;0),IF(Inputs!$B$43&lt;=0,0,(INT(Inputs!$B$43/IF(Inputs!$B$38="pvp",15,MAX(0.1,Skills!D24-IF(Skills!E24=TRUE,Inputs!$B$32,0))))+1)),0)</f>
        <v/>
      </c>
      <c r="S1614" t="n">
        <v>0</v>
      </c>
      <c r="U1614" t="n">
        <v>0</v>
      </c>
    </row>
    <row r="1617">
      <c r="A1617" t="inlineStr">
        <is>
          <t>Average Buff Multiplier (Magic Guard + Meditation + Artifact Attack%, summed; then Infinity)</t>
        </is>
      </c>
      <c r="B1617">
        <f>(1+(IF(C1593=TRUE,F1593*IF(AND(Inputs!$B$38&lt;&gt;"pvp",Inputs!$B$43&gt;0),(((R1593-1)*(Skills!S3*(1+(Inputs!$B$34)/100))+MIN((Skills!S3*(1+(Inputs!$B$34)/100)),MAX(0,Inputs!$B$43-((R1593-1)*Skills!D3))))/Inputs!$B$43),IF(Inputs!$B$38="pvp",MIN((Skills!S3*(1+(Inputs!$B$34)/100)),15)/15,(Skills!S3*(1+(Inputs!$B$34)/100))/Skills!D3)),0)+IF(C1594=TRUE,F1594*IF(AND(Inputs!$B$38&lt;&gt;"pvp",Inputs!$B$43&gt;0),(((R1594-1)*(Skills!S4*(1+(Inputs!$B$34)/100))+MIN((Skills!S4*(1+(Inputs!$B$34)/100)),MAX(0,Inputs!$B$43-((R1594-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1606=TRUE,(1+F1606*IF(AND(Inputs!$B$38&lt;&gt;"pvp",Inputs!$B$43&gt;0),(((R1606-1)*(Skills!S16*(1+(Inputs!$B$34)/100))+MIN((Skills!S16*(1+(Inputs!$B$34)/100)),MAX(0,Inputs!$B$43-((R1606-1)*Skills!D16))))/Inputs!$B$43),IF(Inputs!$B$38="pvp",MIN((Skills!S16*(1+(Inputs!$B$34)/100)),15)/15,(Skills!S16*(1+(Inputs!$B$34)/100))/Skills!D16))/100),1)</f>
        <v/>
      </c>
    </row>
    <row r="1618">
      <c r="A1618" t="inlineStr">
        <is>
          <t>Monster Damage Taken Bonus % (Freezing Breath - Weaken + Elemental Reset + Artifact Enemy Damage Taken, summed)</t>
        </is>
      </c>
      <c r="B1618">
        <f>IF(Inputs!$B$3&gt;=118,15*IF(Inputs!$B$38="pvp",MIN((30*(1+(Inputs!$B$34)/100)),15)/15,(30*(1+(Inputs!$B$34)/100))/Skills!D8),0)+IF(C1604=TRUE,F1604,0)+(IF(AND(ArtifactsInput!$M$35,Inputs!$B$4&lt;&gt;"Chapter Hunt"),CHOOSE(ArtifactsInput!$N$35+1,15,18,21,24,27,30)*(1-EXP(-(0.2*B1621)*5)),0)+IF(AND(ArtifactsInput!$M$22,Inputs!$B$4&lt;&gt;"Chapter Hunt"),CHOOSE(ArtifactsInput!$N$22+1,10,12,14,16,18,20)*((0*(((0.15*B1621*5))^0/1)+1*(((0.15*B1621*5))^1/1)+2*(((0.15*B1621*5))^2/2)+3*(((0.15*B1621*5))^3/6)+4*(((0.15*B1621*5))^4/24)+5*(((0.15*B1621*5))^5/120))/((((0.15*B1621*5))^0/1)+(((0.15*B1621*5))^1/1)+(((0.15*B1621*5))^2/2)+(((0.15*B1621*5))^3/6)+(((0.15*B1621*5))^4/24)+(((0.15*B1621*5))^5/120))),0))</f>
        <v/>
      </c>
    </row>
    <row r="1619">
      <c r="A1619" t="inlineStr">
        <is>
          <t>Damage % Bonus (Frozen Break + Frost Clutch, flat)</t>
        </is>
      </c>
      <c r="B1619">
        <f>IF(Inputs!$B$3&gt;=66,15,0)+IF(Inputs!$B$3&gt;=98,10,0)+IF(Inputs!$B$3&gt;=125,20,0)</f>
        <v/>
      </c>
    </row>
    <row r="1620">
      <c r="A1620" t="inlineStr">
        <is>
          <t>Attack Speed Bonus % (MP Eater - MP Boost, always-on + Nimble Feet, duty-cycle averaged)</t>
        </is>
      </c>
      <c r="B1620">
        <f>IF(C1603=TRUE,F1603+(F1607-Calc!F17),0)+((C1614=TRUE)*F1614*IF(AND(Inputs!$B$38&lt;&gt;"pvp",Inputs!$B$43&gt;0),(((R1614-1)*(Skills!S24*(1+(Inputs!$B$34)/100))+MIN((Skills!S24*(1+(Inputs!$B$34)/100)),MAX(0,Inputs!$B$43-((R1614-1)*Skills!D24))))/Inputs!$B$43),IF(Inputs!$B$38="pvp",MIN((Skills!S24*(1+(Inputs!$B$34)/100)),15)/15,(Skills!S24*(1+(Inputs!$B$34)/100))/Skills!D24)))</f>
        <v/>
      </c>
    </row>
    <row r="1621">
      <c r="A1621" t="inlineStr">
        <is>
          <t>Actions Per Second</t>
        </is>
      </c>
      <c r="B1621">
        <f>1+MIN(150,150*(1-(1-(Inputs!$B$11+(ArtifactsInput!$M$15-ArtifactsInput!$M$15)*CHOOSE(ArtifactsInput!$N$15+1,8,9.6,11.2,12.8,14.4,16))/150)*(1-B1620/150)))/100</f>
        <v/>
      </c>
    </row>
    <row r="1622">
      <c r="A1622" t="inlineStr">
        <is>
          <t>Skill + Buff Cast Rate</t>
        </is>
      </c>
      <c r="B1622">
        <f>IF(AND(Inputs!$B$38&lt;&gt;"pvp",Inputs!$B$43&gt;0),SUMPRODUCT((Skills!E2:E24=TRUE)*(C1592:C1614=TRUE)*R1592:R1614)/Inputs!$B$43,SUMPRODUCT((Skills!E2:E24=TRUE)*(C1592:C1614=TRUE)*Q1592:Q1614))</f>
        <v/>
      </c>
    </row>
    <row r="1623">
      <c r="A1623" t="inlineStr">
        <is>
          <t>Chain Lightning Casts Per Second</t>
        </is>
      </c>
      <c r="B1623">
        <f>MAX(0,B1621-B1622)</f>
        <v/>
      </c>
    </row>
    <row r="1624">
      <c r="A1624" t="inlineStr">
        <is>
          <t>Buff-Casting Startup Delay (s, fixed-duration only)</t>
        </is>
      </c>
      <c r="B1624">
        <f>IF(AND(Inputs!$B$38&lt;&gt;"pvp",Inputs!$B$43&gt;0),SUMPRODUCT((Skills!S2:S24&gt;0)*(Skills!E2:E24=TRUE)*(C1592:C1614=TRUE))/B1621,0)</f>
        <v/>
      </c>
    </row>
    <row r="1625">
      <c r="A1625" t="inlineStr">
        <is>
          <t>Boss-Only Total DPS (this block's swept value)</t>
        </is>
      </c>
      <c r="B1625">
        <f>SUM(S1592:S1614)</f>
        <v/>
      </c>
    </row>
    <row r="1626">
      <c r="A1626" t="inlineStr">
        <is>
          <t>Normal-Only Total DPS (this block's swept value)</t>
        </is>
      </c>
      <c r="B1626">
        <f>SUM(U1592:U1614)</f>
        <v/>
      </c>
    </row>
    <row r="1627">
      <c r="A1627" s="6" t="inlineStr">
        <is>
          <t>TOTAL DPS</t>
        </is>
      </c>
      <c r="B1627" s="6">
        <f>SUM(O1592:O1614)</f>
        <v/>
      </c>
    </row>
    <row r="1630">
      <c r="A1630" s="6" t="inlineStr">
        <is>
          <t>Stat: Old Music Box (Equip)</t>
        </is>
      </c>
    </row>
    <row r="1631">
      <c r="A1631" s="5" t="inlineStr">
        <is>
          <t>Key</t>
        </is>
      </c>
      <c r="B1631" s="5" t="inlineStr">
        <is>
          <t>Name</t>
        </is>
      </c>
      <c r="C1631" s="5" t="inlineStr">
        <is>
          <t>Unlocked</t>
        </is>
      </c>
      <c r="D1631" s="5" t="inlineStr">
        <is>
          <t>InputLevel</t>
        </is>
      </c>
      <c r="E1631" s="5" t="inlineStr">
        <is>
          <t>Factor</t>
        </is>
      </c>
      <c r="F1631" s="5" t="inlineStr">
        <is>
          <t>CoefficientPercent</t>
        </is>
      </c>
      <c r="G1631" s="5" t="inlineStr">
        <is>
          <t>EffectiveHits</t>
        </is>
      </c>
      <c r="H1631" s="5" t="inlineStr">
        <is>
          <t>ProcProbability</t>
        </is>
      </c>
      <c r="I1631" s="5" t="inlineStr">
        <is>
          <t>MapleHeroMultiplier</t>
        </is>
      </c>
      <c r="J1631" s="5" t="inlineStr">
        <is>
          <t>BaseDamage</t>
        </is>
      </c>
      <c r="K1631" s="5" t="inlineStr">
        <is>
          <t>BaseHitDamage</t>
        </is>
      </c>
      <c r="L1631" s="5" t="inlineStr">
        <is>
          <t>NonCritAvg</t>
        </is>
      </c>
      <c r="M1631" s="5" t="inlineStr">
        <is>
          <t>CritAvg</t>
        </is>
      </c>
      <c r="N1631" s="5" t="inlineStr">
        <is>
          <t>ExpectedDamage(perHit)</t>
        </is>
      </c>
      <c r="O1631" s="5" t="inlineStr">
        <is>
          <t>DPS</t>
        </is>
      </c>
      <c r="P1631" s="5" t="inlineStr">
        <is>
          <t>% of Total</t>
        </is>
      </c>
      <c r="R1631" t="inlineStr">
        <is>
          <t>helpers</t>
        </is>
      </c>
    </row>
    <row r="1632">
      <c r="A1632">
        <f>Skills!A2</f>
        <v/>
      </c>
      <c r="B1632">
        <f>Skills!B2</f>
        <v/>
      </c>
      <c r="C1632">
        <f>Inputs!$B$3&gt;=100</f>
        <v/>
      </c>
      <c r="D1632" t="inlineStr"/>
      <c r="E1632" t="inlineStr"/>
      <c r="F1632">
        <f>T1634+Skills!N2</f>
        <v/>
      </c>
      <c r="G1632">
        <f>Calc!G2</f>
        <v/>
      </c>
      <c r="H1632">
        <f>Calc!H2</f>
        <v/>
      </c>
      <c r="I1632">
        <f>IF(Skills!T2&lt;&gt;"",1+(Skills!T2/10)*(Z1633/1000)/100,1)</f>
        <v/>
      </c>
      <c r="J1632">
        <f>((Inputs!$B$6*(1+Inputs!$B$7/100))+(((Inputs!$B$12*(1+Inputs!$B$13/100))-(Inputs!$B$12*(1+Inputs!$B$13/100)))+0.25*(Inputs!$B$14-Inputs!$B$14))*(1+Inputs!$B$7/100))*(F1632/100)</f>
        <v/>
      </c>
      <c r="K1632">
        <f>J1632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2="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F1648-Calc!F18),(Inputs!$B$23+(IF(ArtifactsInput!$M$15,CHOOSE(ArtifactsInput!$N$15+1,25,30,35,40,45,50)/100*(Inputs!$B$11-Inputs!$B$11),0))))/100+(Inputs!$B$23+(IF(ArtifactsInput!$M$15,CHOOSE(ArtifactsInput!$N$15+1,25,30,35,40,45,50)/100*(Inputs!$B$11-Inputs!$B$11),0)))/100)/2</f>
        <v/>
      </c>
      <c r="M1632">
        <f>L1632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(1-Summary!$B$11)*S1632+Summary!$B$11*U1632</f>
        <v/>
      </c>
      <c r="P1632">
        <f>IF(B1667=0,0,O1632/B1667)</f>
        <v/>
      </c>
      <c r="Q1632">
        <f>IFERROR(1/IF(Inputs!$B$38="pvp",15,MAX(0.1,Skills!D2-IF(Skills!E2=TRUE,Inputs!$B$32,0))),0)</f>
        <v/>
      </c>
      <c r="R1632" t="n">
        <v>0</v>
      </c>
      <c r="S1632">
        <f>IF(C1632,(Skills!F2*N1632*B1663)*IF(Inputs!$B$38="pvp",1,1+(Inputs!$B$20+Skills!O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1632*(1-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2">
        <f>MAX(0,(Inputs!$B$3-100)*3)+Inputs!$B$28+Inputs!$B$29</f>
        <v/>
      </c>
      <c r="U1632">
        <f>IF(C1632,(Skills!F2*N1632*B1663)*IF(Inputs!$B$38="pvp",1,(1+(Inputs!$B$21+Skills!P2+B1658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2">
        <f>MAX(0,(Inputs!$B$3-100)*3)+Inputs!$B$28+Inputs!$B$29</f>
        <v/>
      </c>
    </row>
    <row r="1633">
      <c r="A1633">
        <f>Skills!A3</f>
        <v/>
      </c>
      <c r="B1633">
        <f>Skills!B3</f>
        <v/>
      </c>
      <c r="C1633">
        <f>Inputs!$B$3&gt;=15</f>
        <v/>
      </c>
      <c r="D1633">
        <f>IF(Skills!C3=1,60+Inputs!$B$25+Inputs!$B$29,IF(Skills!C3=2,90+Inputs!$B$26+Inputs!$B$29,IF(Skills!C3=3,120+Inputs!$B$27+Inputs!$B$29,MAX(0,(Inputs!$B$3-100)*3)+Inputs!$B$28+Inputs!$B$29)))</f>
        <v/>
      </c>
      <c r="E1633">
        <f>INDEX(FactorTable!$B$2:$Y$301, MATCH(ROUND(MIN(300,MAX(1,D1633)),0), FactorTable!$A$2:$A$301,0), Skills!L3+1)</f>
        <v/>
      </c>
      <c r="F1633">
        <f>IF(Skills!M3=TRUE,(Skills!K3/10)*(E1633/1000),Skills!K3/10)+Skills!N3</f>
        <v/>
      </c>
      <c r="G1633">
        <f>Calc!G3</f>
        <v/>
      </c>
      <c r="H1633">
        <f>Calc!H3</f>
        <v/>
      </c>
      <c r="I1633">
        <f>IF(Skills!T3&lt;&gt;"",1+(Skills!T3/10)*(Z1633/1000)/100,1)</f>
        <v/>
      </c>
      <c r="J1633" t="inlineStr"/>
      <c r="K1633" t="inlineStr"/>
      <c r="L1633" t="inlineStr"/>
      <c r="M1633" t="inlineStr"/>
      <c r="N1633" t="inlineStr"/>
      <c r="O1633">
        <f>(1-Summary!$B$11)*S1633+Summary!$B$11*U1633</f>
        <v/>
      </c>
      <c r="P1633">
        <f>IF(B1667=0,0,O1633/B1667)</f>
        <v/>
      </c>
      <c r="Q1633">
        <f>IFERROR(1/IF(Inputs!$B$38="pvp",15,MAX(0.1,Skills!D3-IF(Skills!E3=TRUE,Inputs!$B$32,0))),0)</f>
        <v/>
      </c>
      <c r="R1633">
        <f>IF(AND(Inputs!$B$38&lt;&gt;"pvp",Inputs!$B$43&gt;0),IF(Inputs!$B$43&lt;=0,0,(INT(Inputs!$B$43/IF(Inputs!$B$38="pvp",15,MAX(0.1,Skills!D3-IF(Skills!E3=TRUE,Inputs!$B$32,0))))+1)),0)</f>
        <v/>
      </c>
      <c r="S1633" t="n">
        <v>0</v>
      </c>
      <c r="T1633">
        <f>INDEX(FactorTable!$B$2:$Y$301, MATCH(ROUND(MIN(300,MAX(1,T1632)),0), FactorTable!$A$2:$A$301,0), 22)</f>
        <v/>
      </c>
      <c r="U1633" t="n">
        <v>0</v>
      </c>
      <c r="Z1633">
        <f>INDEX(FactorTable!$B$2:$Y$301, MATCH(ROUND(MIN(300,MAX(1,Z1632)),0), FactorTable!$A$2:$A$301,0), 24)</f>
        <v/>
      </c>
    </row>
    <row r="1634">
      <c r="A1634">
        <f>Skills!A4</f>
        <v/>
      </c>
      <c r="B1634">
        <f>Skills!B4</f>
        <v/>
      </c>
      <c r="C1634">
        <f>Inputs!$B$3&gt;=40</f>
        <v/>
      </c>
      <c r="D1634">
        <f>IF(Skills!C4=1,60+Inputs!$B$25+Inputs!$B$29,IF(Skills!C4=2,90+Inputs!$B$26+Inputs!$B$29,IF(Skills!C4=3,120+Inputs!$B$27+Inputs!$B$29,MAX(0,(Inputs!$B$3-100)*3)+Inputs!$B$28+Inputs!$B$29)))</f>
        <v/>
      </c>
      <c r="E1634">
        <f>INDEX(FactorTable!$B$2:$Y$301, MATCH(ROUND(MIN(300,MAX(1,D1634)),0), FactorTable!$A$2:$A$301,0), Skills!L4+1)</f>
        <v/>
      </c>
      <c r="F1634">
        <f>IF(Skills!M4=TRUE,(Skills!K4/10)*(E1634/1000),Skills!K4/10)+Skills!N4</f>
        <v/>
      </c>
      <c r="G1634">
        <f>Calc!G4</f>
        <v/>
      </c>
      <c r="H1634">
        <f>Calc!H4</f>
        <v/>
      </c>
      <c r="I1634">
        <f>IF(Skills!T4&lt;&gt;"",1+(Skills!T4/10)*(Z1633/1000)/100,1)</f>
        <v/>
      </c>
      <c r="J1634" t="inlineStr"/>
      <c r="K1634" t="inlineStr"/>
      <c r="L1634" t="inlineStr"/>
      <c r="M1634" t="inlineStr"/>
      <c r="N1634" t="inlineStr"/>
      <c r="O1634">
        <f>(1-Summary!$B$11)*S1634+Summary!$B$11*U1634</f>
        <v/>
      </c>
      <c r="P1634">
        <f>IF(B1667=0,0,O1634/B1667)</f>
        <v/>
      </c>
      <c r="Q1634">
        <f>IFERROR(1/IF(Inputs!$B$38="pvp",15,MAX(0.1,Skills!D4-IF(Skills!E4=TRUE,Inputs!$B$32,0))),0)</f>
        <v/>
      </c>
      <c r="R1634">
        <f>IF(AND(Inputs!$B$38&lt;&gt;"pvp",Inputs!$B$43&gt;0),IF(Inputs!$B$43&lt;=0,0,(INT(Inputs!$B$43/IF(Inputs!$B$38="pvp",15,MAX(0.1,Skills!D4-IF(Skills!E4=TRUE,Inputs!$B$32,0))))+1)),0)</f>
        <v/>
      </c>
      <c r="S1634" t="n">
        <v>0</v>
      </c>
      <c r="T1634">
        <f>290*T1633/1000</f>
        <v/>
      </c>
      <c r="U1634" t="n">
        <v>0</v>
      </c>
    </row>
    <row r="1635">
      <c r="A1635">
        <f>Skills!A5</f>
        <v/>
      </c>
      <c r="B1635">
        <f>Skills!B5</f>
        <v/>
      </c>
      <c r="C1635">
        <f>Inputs!$B$3&gt;=38</f>
        <v/>
      </c>
      <c r="D1635">
        <f>IF(Skills!C5=1,60+Inputs!$B$25+Inputs!$B$29,IF(Skills!C5=2,90+Inputs!$B$26+Inputs!$B$29,IF(Skills!C5=3,120+Inputs!$B$27+Inputs!$B$29,MAX(0,(Inputs!$B$3-100)*3)+Inputs!$B$28+Inputs!$B$29)))</f>
        <v/>
      </c>
      <c r="E1635">
        <f>INDEX(FactorTable!$B$2:$Y$301, MATCH(ROUND(MIN(300,MAX(1,D1635)),0), FactorTable!$A$2:$A$301,0), Skills!L5+1)</f>
        <v/>
      </c>
      <c r="F1635">
        <f>IF(Skills!M5=TRUE,(Skills!K5/10)*(E1635/1000),Skills!K5/10)+Skills!N5</f>
        <v/>
      </c>
      <c r="G1635">
        <f>Calc!G5</f>
        <v/>
      </c>
      <c r="H1635">
        <f>Calc!H5</f>
        <v/>
      </c>
      <c r="I1635">
        <f>IF(Skills!T5&lt;&gt;"",1+(Skills!T5/10)*(Z1633/1000)/100,1)</f>
        <v/>
      </c>
      <c r="J1635">
        <f>((Inputs!$B$6*(1+Inputs!$B$7/100))+(((Inputs!$B$12*(1+Inputs!$B$13/100))-(Inputs!$B$12*(1+Inputs!$B$13/100)))+0.25*(Inputs!$B$14-Inputs!$B$14))*(1+Inputs!$B$7/100))*(F1635/100)</f>
        <v/>
      </c>
      <c r="K1635">
        <f>J1635*(1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5="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1648-Calc!F18),(Inputs!$B$23+(IF(ArtifactsInput!$M$15,CHOOSE(ArtifactsInput!$N$15+1,25,30,35,40,45,50)/100*(Inputs!$B$11-Inputs!$B$11),0))))/100+(Inputs!$B$23+(IF(ArtifactsInput!$M$15,CHOOSE(ArtifactsInput!$N$15+1,25,30,35,40,45,50)/100*(Inputs!$B$11-Inputs!$B$11),0)))/100)/2</f>
        <v/>
      </c>
      <c r="M1635">
        <f>L1635*(1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IF(B1667=0,0,O1635/B1667)</f>
        <v/>
      </c>
      <c r="Q1635">
        <f>IFERROR(1/IF(Inputs!$B$38="pvp",15,MAX(0.1,Skills!D5-IF(Skills!E5=TRUE,Inputs!$B$32,0))),0)</f>
        <v/>
      </c>
      <c r="R1635">
        <f>IF(AND(Inputs!$B$38&lt;&gt;"pvp",Inputs!$B$43&gt;0),IF(MAX(0,Inputs!$B$43-B1664)&lt;=0,0,(INT(MAX(0,Inputs!$B$43-B1664)/IF(Inputs!$B$38="pvp",15,MAX(0.1,Skills!D5-IF(Skills!E5=TRUE,Inputs!$B$32,0))))+1)),0)</f>
        <v/>
      </c>
      <c r="S1635">
        <f>IF(C1635,(H1635*N1635*IF(AND(Inputs!$B$38&lt;&gt;"pvp",Inputs!$B$43&gt;0),((Skills!F5*((R1635-1)*IF(Skills!G5&gt;0,Skills!H5/Skills!G5,1)+IF(Skills!G5&gt;0,MIN(Skills!H5,MAX(0,MAX(0,Inputs!$B$43-B1664)-((R1635-1)*IF(Inputs!$B$38="pvp",15,MAX(0.1,Skills!D5-IF(Skills!E5=TRUE,Inputs!$B$32,0))))))/Skills!G5,1)))/Inputs!$B$43),G1635*Q1635))*IF(Inputs!$B$38="pvp",1,1+(Inputs!$B$20+Skills!O5+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5*((R1635-1)*IF(Skills!G5&gt;0,Skills!H5/Skills!G5,1)+IF(Skills!G5&gt;0,MIN(Skills!H5,MAX(0,MAX(0,Inputs!$B$43-B1664)-((R1635-1)*IF(Inputs!$B$38="pvp",15,MAX(0.1,Skills!D5-IF(Skills!E5=TRUE,Inputs!$B$32,0))))))/Skills!G5,1)))/Inputs!$B$43),G1635*Q1635))*IF(Inputs!$B$38="pvp",1,(1+(Inputs!$B$21+Skills!P5+B1658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Skills!A6</f>
        <v/>
      </c>
      <c r="B1636">
        <f>Skills!B6</f>
        <v/>
      </c>
      <c r="C1636">
        <f>Inputs!$B$3&gt;=63</f>
        <v/>
      </c>
      <c r="D1636">
        <f>IF(Skills!C6=1,60+Inputs!$B$25+Inputs!$B$29,IF(Skills!C6=2,90+Inputs!$B$26+Inputs!$B$29,IF(Skills!C6=3,120+Inputs!$B$27+Inputs!$B$29,MAX(0,(Inputs!$B$3-100)*3)+Inputs!$B$28+Inputs!$B$29)))</f>
        <v/>
      </c>
      <c r="E1636">
        <f>INDEX(FactorTable!$B$2:$Y$301, MATCH(ROUND(MIN(300,MAX(1,D1636)),0), FactorTable!$A$2:$A$301,0), Skills!L6+1)</f>
        <v/>
      </c>
      <c r="F1636">
        <f>IF(Skills!M6=TRUE,(Skills!K6/10)*(E1636/1000),Skills!K6/10)+Skills!N6</f>
        <v/>
      </c>
      <c r="G1636">
        <f>Calc!G6</f>
        <v/>
      </c>
      <c r="H1636">
        <f>Calc!H6</f>
        <v/>
      </c>
      <c r="I1636">
        <f>IF(Skills!T6&lt;&gt;"",1+(Skills!T6/10)*(Z1633/1000)/100,1)</f>
        <v/>
      </c>
      <c r="J1636">
        <f>((Inputs!$B$6*(1+Inputs!$B$7/100))+(((Inputs!$B$12*(1+Inputs!$B$13/100))-(Inputs!$B$12*(1+Inputs!$B$13/100)))+0.25*(Inputs!$B$14-Inputs!$B$14))*(1+Inputs!$B$7/100))*(F1636/100)</f>
        <v/>
      </c>
      <c r="K1636">
        <f>J1636*(1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6="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1648-Calc!F18),(Inputs!$B$23+(IF(ArtifactsInput!$M$15,CHOOSE(ArtifactsInput!$N$15+1,25,30,35,40,45,50)/100*(Inputs!$B$11-Inputs!$B$11),0))))/100+(Inputs!$B$23+(IF(ArtifactsInput!$M$15,CHOOSE(ArtifactsInput!$N$15+1,25,30,35,40,45,50)/100*(Inputs!$B$11-Inputs!$B$11),0)))/100)/2</f>
        <v/>
      </c>
      <c r="M1636">
        <f>L1636*(1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IF(B1667=0,0,O1636/B1667)</f>
        <v/>
      </c>
      <c r="Q1636">
        <f>IFERROR(1/IF(Inputs!$B$38="pvp",15,MAX(0.1,Skills!D6-IF(Skills!E6=TRUE,Inputs!$B$32,0))),0)</f>
        <v/>
      </c>
      <c r="R1636">
        <f>IF(AND(Inputs!$B$38&lt;&gt;"pvp",Inputs!$B$43&gt;0),IF(MAX(0,Inputs!$B$43-B1664)&lt;=0,0,(INT(MAX(0,Inputs!$B$43-B1664)/IF(Inputs!$B$38="pvp",15,MAX(0.1,Skills!D6-IF(Skills!E6=TRUE,Inputs!$B$32,0))))+1)),0)</f>
        <v/>
      </c>
      <c r="S1636">
        <f>IF(C1636,(H1636*N1636*IF(AND(Inputs!$B$38&lt;&gt;"pvp",Inputs!$B$43&gt;0),((Skills!F6*((R1636-1)*IF(Skills!G6&gt;0,Skills!H6/Skills!G6,1)+IF(Skills!G6&gt;0,MIN(Skills!H6,MAX(0,MAX(0,Inputs!$B$43-B1664)-((R1636-1)*IF(Inputs!$B$38="pvp",15,MAX(0.1,Skills!D6-IF(Skills!E6=TRUE,Inputs!$B$32,0))))))/Skills!G6,1)))/Inputs!$B$43),G1636*Q1636))*IF(Inputs!$B$38="pvp",1,1+(Inputs!$B$20+Skills!O6+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6*((R1636-1)*IF(Skills!G6&gt;0,Skills!H6/Skills!G6,1)+IF(Skills!G6&gt;0,MIN(Skills!H6,MAX(0,MAX(0,Inputs!$B$43-B1664)-((R1636-1)*IF(Inputs!$B$38="pvp",15,MAX(0.1,Skills!D6-IF(Skills!E6=TRUE,Inputs!$B$32,0))))))/Skills!G6,1)))/Inputs!$B$43),G1636*Q1636))*IF(Inputs!$B$38="pvp",1,(1+(Inputs!$B$21+Skills!P6+B1658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Skills!A7</f>
        <v/>
      </c>
      <c r="B1637">
        <f>Skills!B7</f>
        <v/>
      </c>
      <c r="C1637">
        <f>Inputs!$B$3&gt;=69</f>
        <v/>
      </c>
      <c r="D1637">
        <f>IF(Skills!C7=1,60+Inputs!$B$25+Inputs!$B$29,IF(Skills!C7=2,90+Inputs!$B$26+Inputs!$B$29,IF(Skills!C7=3,120+Inputs!$B$27+Inputs!$B$29,MAX(0,(Inputs!$B$3-100)*3)+Inputs!$B$28+Inputs!$B$29)))</f>
        <v/>
      </c>
      <c r="E1637">
        <f>INDEX(FactorTable!$B$2:$Y$301, MATCH(ROUND(MIN(300,MAX(1,D1637)),0), FactorTable!$A$2:$A$301,0), Skills!L7+1)</f>
        <v/>
      </c>
      <c r="F1637">
        <f>IF(Skills!M7=TRUE,(Skills!K7/10)*(E1637/1000),Skills!K7/10)+Skills!N7</f>
        <v/>
      </c>
      <c r="G1637">
        <f>Calc!G7</f>
        <v/>
      </c>
      <c r="H1637">
        <f>Calc!H7</f>
        <v/>
      </c>
      <c r="I1637">
        <f>IF(Skills!T7&lt;&gt;"",1+(Skills!T7/10)*(Z1633/1000)/100,1)</f>
        <v/>
      </c>
      <c r="J1637">
        <f>((Inputs!$B$6*(1+Inputs!$B$7/100))+(((Inputs!$B$12*(1+Inputs!$B$13/100))-(Inputs!$B$12*(1+Inputs!$B$13/100)))+0.25*(Inputs!$B$14-Inputs!$B$14))*(1+Inputs!$B$7/100))*(F1637/100)</f>
        <v/>
      </c>
      <c r="K1637">
        <f>J1637*(1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7="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1648-Calc!F18),(Inputs!$B$23+(IF(ArtifactsInput!$M$15,CHOOSE(ArtifactsInput!$N$15+1,25,30,35,40,45,50)/100*(Inputs!$B$11-Inputs!$B$11),0))))/100+(Inputs!$B$23+(IF(ArtifactsInput!$M$15,CHOOSE(ArtifactsInput!$N$15+1,25,30,35,40,45,50)/100*(Inputs!$B$11-Inputs!$B$11),0)))/100)/2</f>
        <v/>
      </c>
      <c r="M1637">
        <f>L1637*(1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IF(B1667=0,0,O1637/B1667)</f>
        <v/>
      </c>
      <c r="Q1637">
        <f>IFERROR(1/IF(Inputs!$B$38="pvp",15,MAX(0.1,Skills!D7-IF(Skills!E7=TRUE,Inputs!$B$32,0))),0)</f>
        <v/>
      </c>
      <c r="R1637">
        <f>IF(AND(Inputs!$B$38&lt;&gt;"pvp",Inputs!$B$43&gt;0),IF(MAX(0,Inputs!$B$43-B1664)&lt;=0,0,(INT(MAX(0,Inputs!$B$43-B1664)/IF(Inputs!$B$38="pvp",15,MAX(0.1,Skills!D7-IF(Skills!E7=TRUE,Inputs!$B$32,0))))+1)),0)</f>
        <v/>
      </c>
      <c r="S1637">
        <f>IF(C1637,(H1637*N1637*IF(AND(Inputs!$B$38&lt;&gt;"pvp",Inputs!$B$43&gt;0),((Skills!F7*((R1637-1)*IF(Skills!G7&gt;0,Skills!H7/Skills!G7,1)+IF(Skills!G7&gt;0,MIN(Skills!H7,MAX(0,MAX(0,Inputs!$B$43-B1664)-((R1637-1)*IF(Inputs!$B$38="pvp",15,MAX(0.1,Skills!D7-IF(Skills!E7=TRUE,Inputs!$B$32,0))))))/Skills!G7,1)))/Inputs!$B$43),G1637*Q1637))*IF(Inputs!$B$38="pvp",1,1+(Inputs!$B$20+Skills!O7+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7*((R1637-1)*IF(Skills!G7&gt;0,Skills!H7/Skills!G7,1)+IF(Skills!G7&gt;0,MIN(Skills!H7,MAX(0,MAX(0,Inputs!$B$43-B1664)-((R1637-1)*IF(Inputs!$B$38="pvp",15,MAX(0.1,Skills!D7-IF(Skills!E7=TRUE,Inputs!$B$32,0))))))/Skills!G7,1)))/Inputs!$B$43),G1637*Q1637))*IF(Inputs!$B$38="pvp",1,(1+(Inputs!$B$21+Skills!P7+B1658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Skills!A8</f>
        <v/>
      </c>
      <c r="B1638">
        <f>Skills!B8</f>
        <v/>
      </c>
      <c r="C1638">
        <f>Inputs!$B$3&gt;=103</f>
        <v/>
      </c>
      <c r="D1638">
        <f>IF(Skills!C8=1,60+Inputs!$B$25+Inputs!$B$29,IF(Skills!C8=2,90+Inputs!$B$26+Inputs!$B$29,IF(Skills!C8=3,120+Inputs!$B$27+Inputs!$B$29,MAX(0,(Inputs!$B$3-100)*3)+Inputs!$B$28+Inputs!$B$29)))</f>
        <v/>
      </c>
      <c r="E1638">
        <f>INDEX(FactorTable!$B$2:$Y$301, MATCH(ROUND(MIN(300,MAX(1,D1638)),0), FactorTable!$A$2:$A$301,0), Skills!L8+1)</f>
        <v/>
      </c>
      <c r="F1638">
        <f>IF(Skills!M8=TRUE,(Skills!K8/10)*(E1638/1000),Skills!K8/10)+Skills!N8</f>
        <v/>
      </c>
      <c r="G1638">
        <f>Calc!G8</f>
        <v/>
      </c>
      <c r="H1638">
        <f>Calc!H8</f>
        <v/>
      </c>
      <c r="I1638">
        <f>IF(Skills!T8&lt;&gt;"",1+(Skills!T8/10)*(Z1633/1000)/100,1)</f>
        <v/>
      </c>
      <c r="J1638">
        <f>((Inputs!$B$6*(1+Inputs!$B$7/100))+(((Inputs!$B$12*(1+Inputs!$B$13/100))-(Inputs!$B$12*(1+Inputs!$B$13/100)))+0.25*(Inputs!$B$14-Inputs!$B$14))*(1+Inputs!$B$7/100))*(F1638/100)</f>
        <v/>
      </c>
      <c r="K1638">
        <f>J1638*(1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8="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1648-Calc!F18),(Inputs!$B$23+(IF(ArtifactsInput!$M$15,CHOOSE(ArtifactsInput!$N$15+1,25,30,35,40,45,50)/100*(Inputs!$B$11-Inputs!$B$11),0))))/100+(Inputs!$B$23+(IF(ArtifactsInput!$M$15,CHOOSE(ArtifactsInput!$N$15+1,25,30,35,40,45,50)/100*(Inputs!$B$11-Inputs!$B$11),0)))/100)/2</f>
        <v/>
      </c>
      <c r="M1638">
        <f>L1638*(1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IF(B1667=0,0,O1638/B1667)</f>
        <v/>
      </c>
      <c r="Q1638">
        <f>IFERROR(1/IF(Inputs!$B$38="pvp",15,MAX(0.1,Skills!D8-IF(Skills!E8=TRUE,Inputs!$B$32,0))),0)</f>
        <v/>
      </c>
      <c r="R1638">
        <f>IF(AND(Inputs!$B$38&lt;&gt;"pvp",Inputs!$B$43&gt;0),IF(MAX(0,Inputs!$B$43-B1664)&lt;=0,0,(INT(MAX(0,Inputs!$B$43-B1664)/IF(Inputs!$B$38="pvp",15,MAX(0.1,Skills!D8-IF(Skills!E8=TRUE,Inputs!$B$32,0))))+1)),0)</f>
        <v/>
      </c>
      <c r="S1638">
        <f>IF(C1638,(H1638*N1638*IF(AND(Inputs!$B$38&lt;&gt;"pvp",Inputs!$B$43&gt;0),((Skills!F8*((R1638-1)*IF(Skills!G8&gt;0,Skills!H8/Skills!G8,1)+IF(Skills!G8&gt;0,MIN(Skills!H8,MAX(0,MAX(0,Inputs!$B$43-B1664)-((R1638-1)*IF(Inputs!$B$38="pvp",15,MAX(0.1,Skills!D8-IF(Skills!E8=TRUE,Inputs!$B$32,0))))))/Skills!G8,1)))/Inputs!$B$43),G1638*Q1638))*IF(Inputs!$B$38="pvp",1,1+(Inputs!$B$20+Skills!O8+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F8*((R1638-1)*IF(Skills!G8&gt;0,Skills!H8/Skills!G8,1)+IF(Skills!G8&gt;0,MIN(Skills!H8,MAX(0,MAX(0,Inputs!$B$43-B1664)-((R1638-1)*IF(Inputs!$B$38="pvp",15,MAX(0.1,Skills!D8-IF(Skills!E8=TRUE,Inputs!$B$32,0))))))/Skills!G8,1)))/Inputs!$B$43),G1638*Q1638))*IF(Inputs!$B$38="pvp",1,(1+(Inputs!$B$21+Skills!P8+B1658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Skills!A9</f>
        <v/>
      </c>
      <c r="B1639">
        <f>Skills!B9</f>
        <v/>
      </c>
      <c r="C1639">
        <f>Inputs!$B$3&gt;=105</f>
        <v/>
      </c>
      <c r="D1639">
        <f>IF(Skills!C9=1,60+Inputs!$B$25+Inputs!$B$29,IF(Skills!C9=2,90+Inputs!$B$26+Inputs!$B$29,IF(Skills!C9=3,120+Inputs!$B$27+Inputs!$B$29,MAX(0,(Inputs!$B$3-100)*3)+Inputs!$B$28+Inputs!$B$29)))</f>
        <v/>
      </c>
      <c r="E1639">
        <f>INDEX(FactorTable!$B$2:$Y$301, MATCH(ROUND(MIN(300,MAX(1,D1639)),0), FactorTable!$A$2:$A$301,0), Skills!L9+1)</f>
        <v/>
      </c>
      <c r="F1639">
        <f>IF(Skills!M9=TRUE,(Skills!K9/10)*(E1639/1000),Skills!K9/10)+Skills!N9</f>
        <v/>
      </c>
      <c r="G1639">
        <f>Calc!G9</f>
        <v/>
      </c>
      <c r="H1639">
        <f>Calc!H9</f>
        <v/>
      </c>
      <c r="I1639">
        <f>IF(Skills!T9&lt;&gt;"",1+(Skills!T9/10)*(Z1633/1000)/100,1)</f>
        <v/>
      </c>
      <c r="J1639">
        <f>((Inputs!$B$6*(1+Inputs!$B$7/100))+(((Inputs!$B$12*(1+Inputs!$B$13/100))-(Inputs!$B$12*(1+Inputs!$B$13/100)))+0.25*(Inputs!$B$14-Inputs!$B$14))*(1+Inputs!$B$7/100))*(F1639/100)</f>
        <v/>
      </c>
      <c r="K1639">
        <f>J1639*(1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9="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1648-Calc!F18),(Inputs!$B$23+(IF(ArtifactsInput!$M$15,CHOOSE(ArtifactsInput!$N$15+1,25,30,35,40,45,50)/100*(Inputs!$B$11-Inputs!$B$11),0))))/100+(Inputs!$B$23+(IF(ArtifactsInput!$M$15,CHOOSE(ArtifactsInput!$N$15+1,25,30,35,40,45,50)/100*(Inputs!$B$11-Inputs!$B$11),0)))/100)/2</f>
        <v/>
      </c>
      <c r="M1639">
        <f>L1639*(1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IF(B1667=0,0,O1639/B1667)</f>
        <v/>
      </c>
      <c r="Q1639">
        <f>IFERROR(1/IF(Inputs!$B$38="pvp",15,MAX(0.1,Skills!D9-IF(Skills!E9=TRUE,Inputs!$B$32,0))),0)</f>
        <v/>
      </c>
      <c r="R1639">
        <f>IF(AND(Inputs!$B$38&lt;&gt;"pvp",Inputs!$B$43&gt;0),IF(MAX(0,Inputs!$B$43-B1664)&lt;=0,0,(INT(MAX(0,Inputs!$B$43-B1664)/IF(Inputs!$B$38="pvp",15,MAX(0.1,Skills!D9-IF(Skills!E9=TRUE,Inputs!$B$32,0))))+1)),0)</f>
        <v/>
      </c>
      <c r="S1639">
        <f>IF(C1639,(H1639*N1639*IF(AND(Inputs!$B$38&lt;&gt;"pvp",Inputs!$B$43&gt;0),((Skills!F9*((R1639-1)*IF(Skills!G9&gt;0,Skills!H9/Skills!G9,1)+IF(Skills!G9&gt;0,MIN(Skills!H9,MAX(0,MAX(0,Inputs!$B$43-B1664)-((R1639-1)*IF(Inputs!$B$38="pvp",15,MAX(0.1,Skills!D9-IF(Skills!E9=TRUE,Inputs!$B$32,0))))))/Skills!G9,1)))/Inputs!$B$43),G1639*Q1639))*IF(Inputs!$B$38="pvp",1,1+(Inputs!$B$20+Skills!O9+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9*((R1639-1)*IF(Skills!G9&gt;0,Skills!H9/Skills!G9,1)+IF(Skills!G9&gt;0,MIN(Skills!H9,MAX(0,MAX(0,Inputs!$B$43-B1664)-((R1639-1)*IF(Inputs!$B$38="pvp",15,MAX(0.1,Skills!D9-IF(Skills!E9=TRUE,Inputs!$B$32,0))))))/Skills!G9,1)))/Inputs!$B$43),G1639*Q1639))*IF(Inputs!$B$38="pvp",1,(1+(Inputs!$B$21+Skills!P9+B1658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Skills!A10</f>
        <v/>
      </c>
      <c r="B1640">
        <f>Skills!B10</f>
        <v/>
      </c>
      <c r="C1640">
        <f>Inputs!$B$3&gt;=113</f>
        <v/>
      </c>
      <c r="D1640">
        <f>IF(Skills!C10=1,60+Inputs!$B$25+Inputs!$B$29,IF(Skills!C10=2,90+Inputs!$B$26+Inputs!$B$29,IF(Skills!C10=3,120+Inputs!$B$27+Inputs!$B$29,MAX(0,(Inputs!$B$3-100)*3)+Inputs!$B$28+Inputs!$B$29)))</f>
        <v/>
      </c>
      <c r="E1640">
        <f>INDEX(FactorTable!$B$2:$Y$301, MATCH(ROUND(MIN(300,MAX(1,D1640)),0), FactorTable!$A$2:$A$301,0), Skills!L10+1)</f>
        <v/>
      </c>
      <c r="F1640">
        <f>IF(Skills!M10=TRUE,(Skills!K10/10)*(E1640/1000),Skills!K10/10)+Skills!N10</f>
        <v/>
      </c>
      <c r="G1640">
        <f>Calc!G10</f>
        <v/>
      </c>
      <c r="H1640">
        <f>Calc!H10</f>
        <v/>
      </c>
      <c r="I1640">
        <f>IF(Skills!T10&lt;&gt;"",1+(Skills!T10/10)*(Z1633/1000)/100,1)</f>
        <v/>
      </c>
      <c r="J1640">
        <f>((Inputs!$B$6*(1+Inputs!$B$7/100))+(((Inputs!$B$12*(1+Inputs!$B$13/100))-(Inputs!$B$12*(1+Inputs!$B$13/100)))+0.25*(Inputs!$B$14-Inputs!$B$14))*(1+Inputs!$B$7/100))*(F1640/100)</f>
        <v/>
      </c>
      <c r="K1640">
        <f>J1640*(1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10="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1648-Calc!F18),(Inputs!$B$23+(IF(ArtifactsInput!$M$15,CHOOSE(ArtifactsInput!$N$15+1,25,30,35,40,45,50)/100*(Inputs!$B$11-Inputs!$B$11),0))))/100+(Inputs!$B$23+(IF(ArtifactsInput!$M$15,CHOOSE(ArtifactsInput!$N$15+1,25,30,35,40,45,50)/100*(Inputs!$B$11-Inputs!$B$11),0)))/100)/2</f>
        <v/>
      </c>
      <c r="M1640">
        <f>L1640*(1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IF(B1667=0,0,O1640/B1667)</f>
        <v/>
      </c>
      <c r="Q1640">
        <f>IFERROR(1/IF(Inputs!$B$38="pvp",15,MAX(0.1,Skills!D10-IF(Skills!E9=TRUE,Inputs!$B$32,0))),0)</f>
        <v/>
      </c>
      <c r="R1640">
        <f>IF(AND(Inputs!$B$38&lt;&gt;"pvp",Inputs!$B$43&gt;0),IF(MAX(0,Inputs!$B$43-B1664)&lt;=0,0,(INT(MAX(0,Inputs!$B$43-B1664)/IF(Inputs!$B$38="pvp",15,MAX(0.1,Skills!D10-IF(Skills!E9=TRUE,Inputs!$B$32,0))))+1)),0)</f>
        <v/>
      </c>
      <c r="S1640">
        <f>IF(C1640,(H1640*N1640*IF(AND(Inputs!$B$38&lt;&gt;"pvp",Inputs!$B$43&gt;0),((Skills!F10*((R1640-1)*IF(Skills!G10&gt;0,Skills!H10/Skills!G10,1)+IF(Skills!G10&gt;0,MIN(Skills!H10,MAX(0,MAX(0,Inputs!$B$43-B1664)-((R1640-1)*IF(Inputs!$B$38="pvp",15,MAX(0.1,Skills!D10-IF(Skills!E9=TRUE,Inputs!$B$32,0))))))/Skills!G10,1)))/Inputs!$B$43),G1640*Q1640))*IF(Inputs!$B$38="pvp",1,1+(Inputs!$B$20+Skills!O10+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10*((R1640-1)*IF(Skills!G10&gt;0,Skills!H10/Skills!G10,1)+IF(Skills!G10&gt;0,MIN(Skills!H10,MAX(0,MAX(0,Inputs!$B$43-B1664)-((R1640-1)*IF(Inputs!$B$38="pvp",15,MAX(0.1,Skills!D10-IF(Skills!E9=TRUE,Inputs!$B$32,0))))))/Skills!G10,1)))/Inputs!$B$43),G1640*Q1640))*IF(Inputs!$B$38="pvp",1,(1+(Inputs!$B$21+Skills!P10+B1658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Skills!A11</f>
        <v/>
      </c>
      <c r="B1641">
        <f>Skills!B11</f>
        <v/>
      </c>
      <c r="C1641">
        <f>Inputs!$B$3&gt;=107</f>
        <v/>
      </c>
      <c r="D1641">
        <f>IF(Skills!C11=1,60+Inputs!$B$25+Inputs!$B$29,IF(Skills!C11=2,90+Inputs!$B$26+Inputs!$B$29,IF(Skills!C11=3,120+Inputs!$B$27+Inputs!$B$29,MAX(0,(Inputs!$B$3-100)*3)+Inputs!$B$28+Inputs!$B$29)))</f>
        <v/>
      </c>
      <c r="E1641">
        <f>INDEX(FactorTable!$B$2:$Y$301, MATCH(ROUND(MIN(300,MAX(1,D1641)),0), FactorTable!$A$2:$A$301,0), Skills!L11+1)</f>
        <v/>
      </c>
      <c r="F1641">
        <f>IF(Skills!M11=TRUE,(Skills!K11/10)*(E1641/1000),Skills!K11/10)+Skills!N11</f>
        <v/>
      </c>
      <c r="G1641">
        <f>Calc!G11</f>
        <v/>
      </c>
      <c r="H1641">
        <f>Calc!H11</f>
        <v/>
      </c>
      <c r="I1641">
        <f>IF(Skills!T11&lt;&gt;"",1+(Skills!T11/10)*(Z1633/1000)/100,1)</f>
        <v/>
      </c>
      <c r="J1641">
        <f>((Inputs!$B$6*(1+Inputs!$B$7/100))+(((Inputs!$B$12*(1+Inputs!$B$13/100))-(Inputs!$B$12*(1+Inputs!$B$13/100)))+0.25*(Inputs!$B$14-Inputs!$B$14))*(1+Inputs!$B$7/100))*(F1641/100)</f>
        <v/>
      </c>
      <c r="K1641">
        <f>J1641*(1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11="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F1648-Calc!F18),(Inputs!$B$23+(IF(ArtifactsInput!$M$15,CHOOSE(ArtifactsInput!$N$15+1,25,30,35,40,45,50)/100*(Inputs!$B$11-Inputs!$B$11),0))))/100+(Inputs!$B$23+(IF(ArtifactsInput!$M$15,CHOOSE(ArtifactsInput!$N$15+1,25,30,35,40,45,50)/100*(Inputs!$B$11-Inputs!$B$11),0)))/100)/2</f>
        <v/>
      </c>
      <c r="M1641">
        <f>L1641*(1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(1-Summary!$B$11)*S1641+Summary!$B$11*U1641</f>
        <v/>
      </c>
      <c r="P1641">
        <f>IF(B1667=0,0,O1641/B1667)</f>
        <v/>
      </c>
      <c r="Q1641">
        <f>IFERROR(1/IF(Inputs!$B$38="pvp",15,MAX(0.1,Skills!D11-IF(Skills!E11=TRUE,Inputs!$B$32,0))),0)</f>
        <v/>
      </c>
      <c r="R1641">
        <f>IF(AND(Inputs!$B$38&lt;&gt;"pvp",Inputs!$B$43&gt;0),IF(MAX(0,Inputs!$B$43-B1664)&lt;=0,0,(INT(MAX(0,Inputs!$B$43-B1664)/IF(Inputs!$B$38="pvp",15,MAX(0.1,Skills!D11-IF(Skills!E11=TRUE,Inputs!$B$32,0))))+1)),0)</f>
        <v/>
      </c>
      <c r="S1641">
        <f>IF(C1641,H1641*N1641*IF(AND(Inputs!$B$38&lt;&gt;"pvp",Inputs!$B$43&gt;0),((Skills!F11*((R1641-1)*IF(Skills!G11&gt;0,Skills!H11/Skills!G11,1)+IF(Skills!G11&gt;0,MIN(Skills!H11,MAX(0,MAX(0,Inputs!$B$43-B1664)-((R1641-1)*IF(Inputs!$B$38="pvp",15,MAX(0.1,Skills!D11-IF(Skills!E11=TRUE,Inputs!$B$32,0))))))/Skills!G11,1)))/Inputs!$B$43),G1641*Q1641)*0.5*IF(Inputs!$B$38="pvp",1,1+(Inputs!$B$20+Skills!O11+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1">
        <f>IF(C1641,H1641*N1641*IF(AND(Inputs!$B$38&lt;&gt;"pvp",Inputs!$B$43&gt;0),((Skills!F11*((R1641-1)*IF(Skills!G11&gt;0,Skills!H11/Skills!G11,1)+IF(Skills!G11&gt;0,MIN(Skills!H11,MAX(0,MAX(0,Inputs!$B$43-B1664)-((R1641-1)*IF(Inputs!$B$38="pvp",15,MAX(0.1,Skills!D11-IF(Skills!E11=TRUE,Inputs!$B$32,0))))))/Skills!G11,1)))/Inputs!$B$43),G1641*Q1641)*1*IF(Inputs!$B$38="pvp",1,(1+(Inputs!$B$21+Skills!P11+B1658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Skills!A12</f>
        <v/>
      </c>
      <c r="B1642">
        <f>Skills!B12</f>
        <v/>
      </c>
      <c r="C1642">
        <f>Inputs!$B$3&gt;=115</f>
        <v/>
      </c>
      <c r="D1642">
        <f>IF(Skills!C12=1,60+Inputs!$B$25+Inputs!$B$29,IF(Skills!C12=2,90+Inputs!$B$26+Inputs!$B$29,IF(Skills!C12=3,120+Inputs!$B$27+Inputs!$B$29,MAX(0,(Inputs!$B$3-100)*3)+Inputs!$B$28+Inputs!$B$29)))</f>
        <v/>
      </c>
      <c r="E1642">
        <f>INDEX(FactorTable!$B$2:$Y$301, MATCH(ROUND(MIN(300,MAX(1,D1642)),0), FactorTable!$A$2:$A$301,0), Skills!L12+1)</f>
        <v/>
      </c>
      <c r="F1642">
        <f>IF(Skills!M12=TRUE,(Skills!K12/10)*(E1642/1000),Skills!K12/10)+Skills!N12</f>
        <v/>
      </c>
      <c r="G1642">
        <f>Calc!G12</f>
        <v/>
      </c>
      <c r="H1642">
        <f>Calc!H12</f>
        <v/>
      </c>
      <c r="I1642">
        <f>IF(Skills!T12&lt;&gt;"",1+(Skills!T12/10)*(Z1633/1000)/100,1)</f>
        <v/>
      </c>
      <c r="J1642">
        <f>((Inputs!$B$6*(1+Inputs!$B$7/100))+(((Inputs!$B$12*(1+Inputs!$B$13/100))-(Inputs!$B$12*(1+Inputs!$B$13/100)))+0.25*(Inputs!$B$14-Inputs!$B$14))*(1+Inputs!$B$7/100))*(F1642/100)</f>
        <v/>
      </c>
      <c r="K1642">
        <f>J1642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12="CHAIN_LIGHTNING",Inputs!$B$17+((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F1648-Calc!F18),(Inputs!$B$23+(IF(ArtifactsInput!$M$15,CHOOSE(ArtifactsInput!$N$15+1,25,30,35,40,45,50)/100*(Inputs!$B$11-Inputs!$B$11),0))))/100+(Inputs!$B$23+(IF(ArtifactsInput!$M$15,CHOOSE(ArtifactsInput!$N$15+1,25,30,35,40,45,50)/100*(Inputs!$B$11-Inputs!$B$11),0)))/100)/2</f>
        <v/>
      </c>
      <c r="M1642">
        <f>L1642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(1-Summary!$B$11)*S1642+Summary!$B$11*U1642</f>
        <v/>
      </c>
      <c r="P1642">
        <f>IF(B1667=0,0,O1642/B1667)</f>
        <v/>
      </c>
      <c r="Q1642">
        <f>IFERROR(1/IF(Inputs!$B$38="pvp",15,MAX(0.1,Skills!D12-IF(Skills!E12=TRUE,Inputs!$B$32,0))),0)</f>
        <v/>
      </c>
      <c r="R1642">
        <f>IF(AND(Inputs!$B$38&lt;&gt;"pvp",Inputs!$B$43&gt;0),IF(MAX(0,Inputs!$B$43-B1664)&lt;=0,0,(INT(MAX(0,Inputs!$B$43-B1664)/IF(Inputs!$B$38="pvp",15,MAX(0.1,Skills!D12-IF(Skills!E12=TRUE,Inputs!$B$32,0))))+1)),0)</f>
        <v/>
      </c>
      <c r="S1642">
        <f>IF(C1642,(H1642*N1642*IF(AND(Inputs!$B$38&lt;&gt;"pvp",Inputs!$B$43&gt;0),((Skills!F12*((R1642-1)*IF(Skills!G12&gt;0,Skills!H12/Skills!G12,1)+IF(Skills!G12&gt;0,MIN(Skills!H12,MAX(0,MAX(0,Inputs!$B$43-B1664)-((R1642-1)*IF(Inputs!$B$38="pvp",15,MAX(0.1,Skills!D12-IF(Skills!E12=TRUE,Inputs!$B$32,0))))))/Skills!G12,1)))/Inputs!$B$43),G1642*Q1642))*IF(Inputs!$B$38="pvp",1,1+(Inputs!$B$20+Skills!O12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1642*(1-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F1650-Calc!F20)+(F1649-Calc!F19))+(ArtifactsInput!$M$24-ArtifactsInput!$M$24)*CHOOSE(ArtifactsInput!$N$24+1,10,12,14,16,18,20)+(IF(AND(Inputs!$B$38&lt;&gt;"pvp",Inputs!$B$43=0),1,IF(IF(Inputs!$B$38="pvp",15,Inputs!$B$43)-(B1664)&lt;=0,1,MAX(0,IF(Inputs!$B$38="pvp",15,Inputs!$B$43)-MAX(5,B1664))/(IF(Inputs!$B$38="pvp",15,Inputs!$B$43)-(B1664)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2">
        <f>IF(C1642,(H1642*N1642*IF(AND(Inputs!$B$38&lt;&gt;"pvp",Inputs!$B$43&gt;0),((Skills!F12*((R1642-1)*IF(Skills!G12&gt;0,Skills!H12/Skills!G12,1)+IF(Skills!G12&gt;0,MIN(Skills!H12,MAX(0,MAX(0,Inputs!$B$43-B1664)-((R1642-1)*IF(Inputs!$B$38="pvp",15,MAX(0.1,Skills!D12-IF(Skills!E12=TRUE,Inputs!$B$32,0))))))/Skills!G12,1)))/Inputs!$B$43),G1642*Q1642))*IF(Inputs!$B$38="pvp",1,(1+(Inputs!$B$21+Skills!P12+B1658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Skills!A13</f>
        <v/>
      </c>
      <c r="B1643">
        <f>Skills!B13</f>
        <v/>
      </c>
      <c r="C1643">
        <f>Inputs!$B$3&gt;=49</f>
        <v/>
      </c>
      <c r="D1643">
        <f>IF(Skills!C13=1,60+Inputs!$B$25+Inputs!$B$29,IF(Skills!C13=2,90+Inputs!$B$26+Inputs!$B$29,IF(Skills!C13=3,120+Inputs!$B$27+Inputs!$B$29,MAX(0,(Inputs!$B$3-100)*3)+Inputs!$B$28+Inputs!$B$29)))</f>
        <v/>
      </c>
      <c r="E1643">
        <f>INDEX(FactorTable!$B$2:$Y$301, MATCH(ROUND(MIN(300,MAX(1,D1643)),0), FactorTable!$A$2:$A$301,0), Skills!L13+1)</f>
        <v/>
      </c>
      <c r="F1643">
        <f>IF(Skills!M13=TRUE,(Skills!K13/10)*(E1643/1000),Skills!K13/10)+Skills!N13</f>
        <v/>
      </c>
      <c r="G1643">
        <f>Calc!G13</f>
        <v/>
      </c>
      <c r="H1643">
        <f>Calc!H13</f>
        <v/>
      </c>
      <c r="I1643">
        <f>IF(Skills!T13&lt;&gt;"",1+(Skills!T13/10)*(Z1633/1000)/100,1)</f>
        <v/>
      </c>
      <c r="J1643" t="inlineStr"/>
      <c r="K1643" t="inlineStr"/>
      <c r="L1643" t="inlineStr"/>
      <c r="M1643" t="inlineStr"/>
      <c r="N1643" t="inlineStr"/>
      <c r="O1643">
        <f>(1-Summary!$B$11)*S1643+Summary!$B$11*U1643</f>
        <v/>
      </c>
      <c r="P1643">
        <f>IF(B1667=0,0,O1643/B1667)</f>
        <v/>
      </c>
      <c r="Q1643">
        <f>IFERROR(1/IF(Inputs!$B$38="pvp",15,MAX(0.1,Skills!D13-IF(Skills!E13=TRUE,Inputs!$B$32,0))),0)</f>
        <v/>
      </c>
      <c r="R1643" t="n">
        <v>0</v>
      </c>
      <c r="S1643" t="n">
        <v>0</v>
      </c>
      <c r="U1643" t="n">
        <v>0</v>
      </c>
    </row>
    <row r="1644">
      <c r="A1644">
        <f>Skills!A14</f>
        <v/>
      </c>
      <c r="B1644">
        <f>Skills!B14</f>
        <v/>
      </c>
      <c r="C1644">
        <f>Inputs!$B$3&gt;=72</f>
        <v/>
      </c>
      <c r="D1644">
        <f>IF(Skills!C14=1,60+Inputs!$B$25+Inputs!$B$29,IF(Skills!C14=2,90+Inputs!$B$26+Inputs!$B$29,IF(Skills!C14=3,120+Inputs!$B$27+Inputs!$B$29,MAX(0,(Inputs!$B$3-100)*3)+Inputs!$B$28+Inputs!$B$29)))</f>
        <v/>
      </c>
      <c r="E1644">
        <f>INDEX(FactorTable!$B$2:$Y$301, MATCH(ROUND(MIN(300,MAX(1,D1644)),0), FactorTable!$A$2:$A$301,0), Skills!L14+1)</f>
        <v/>
      </c>
      <c r="F1644">
        <f>IF(Skills!M14=TRUE,(Skills!K14/10)*(E1644/1000),Skills!K14/10)+Skills!N14</f>
        <v/>
      </c>
      <c r="G1644">
        <f>Calc!G14</f>
        <v/>
      </c>
      <c r="H1644">
        <f>Calc!H14</f>
        <v/>
      </c>
      <c r="I1644">
        <f>IF(Skills!T14&lt;&gt;"",1+(Skills!T14/10)*(Z1633/1000)/100,1)</f>
        <v/>
      </c>
      <c r="J1644" t="inlineStr"/>
      <c r="K1644" t="inlineStr"/>
      <c r="L1644" t="inlineStr"/>
      <c r="M1644" t="inlineStr"/>
      <c r="N1644" t="inlineStr"/>
      <c r="O1644">
        <f>(1-Summary!$B$11)*S1644+Summary!$B$11*U1644</f>
        <v/>
      </c>
      <c r="P1644">
        <f>IF(B1667=0,0,O1644/B1667)</f>
        <v/>
      </c>
      <c r="Q1644">
        <f>IFERROR(1/IF(Inputs!$B$38="pvp",15,MAX(0.1,Skills!D14-IF(Skills!E14=TRUE,Inputs!$B$32,0))),0)</f>
        <v/>
      </c>
      <c r="R1644" t="n">
        <v>0</v>
      </c>
      <c r="S1644" t="n">
        <v>0</v>
      </c>
      <c r="U1644" t="n">
        <v>0</v>
      </c>
    </row>
    <row r="1645">
      <c r="A1645">
        <f>Skills!A15</f>
        <v/>
      </c>
      <c r="B1645">
        <f>Skills!B15</f>
        <v/>
      </c>
      <c r="C1645">
        <f>Inputs!$B$3&gt;=75</f>
        <v/>
      </c>
      <c r="D1645">
        <f>IF(Skills!C15=1,60+Inputs!$B$25+Inputs!$B$29,IF(Skills!C15=2,90+Inputs!$B$26+Inputs!$B$29,IF(Skills!C15=3,120+Inputs!$B$27+Inputs!$B$29,MAX(0,(Inputs!$B$3-100)*3)+Inputs!$B$28+Inputs!$B$29)))</f>
        <v/>
      </c>
      <c r="E1645">
        <f>INDEX(FactorTable!$B$2:$Y$301, MATCH(ROUND(MIN(300,MAX(1,D1645)),0), FactorTable!$A$2:$A$301,0), Skills!L15+1)</f>
        <v/>
      </c>
      <c r="F1645">
        <f>IF(Skills!M15=TRUE,(Skills!K15/10)*(E1645/1000),Skills!K15/10)+Skills!N15</f>
        <v/>
      </c>
      <c r="G1645">
        <f>Calc!G15</f>
        <v/>
      </c>
      <c r="H1645">
        <f>Calc!H15</f>
        <v/>
      </c>
      <c r="I1645">
        <f>IF(Skills!T15&lt;&gt;"",1+(Skills!T15/10)*(Z1633/1000)/100,1)</f>
        <v/>
      </c>
      <c r="J1645" t="inlineStr"/>
      <c r="K1645" t="inlineStr"/>
      <c r="L1645" t="inlineStr"/>
      <c r="M1645" t="inlineStr"/>
      <c r="N1645" t="inlineStr"/>
      <c r="O1645">
        <f>(1-Summary!$B$11)*S1645+Summary!$B$11*U1645</f>
        <v/>
      </c>
      <c r="P1645">
        <f>IF(B1667=0,0,O1645/B1667)</f>
        <v/>
      </c>
      <c r="Q1645">
        <f>IFERROR(1/IF(Inputs!$B$38="pvp",15,MAX(0.1,Skills!D15-IF(Skills!E15=TRUE,Inputs!$B$32,0))),0)</f>
        <v/>
      </c>
      <c r="R1645" t="n">
        <v>0</v>
      </c>
      <c r="S1645" t="n">
        <v>0</v>
      </c>
      <c r="U1645" t="n">
        <v>0</v>
      </c>
    </row>
    <row r="1646">
      <c r="A1646">
        <f>Skills!A16</f>
        <v/>
      </c>
      <c r="B1646">
        <f>Skills!B16</f>
        <v/>
      </c>
      <c r="C1646">
        <f>Inputs!$B$3&gt;=110</f>
        <v/>
      </c>
      <c r="D1646">
        <f>IF(Skills!C16=1,60+Inputs!$B$25+Inputs!$B$29,IF(Skills!C16=2,90+Inputs!$B$26+Inputs!$B$29,IF(Skills!C16=3,120+Inputs!$B$27+Inputs!$B$29,MAX(0,(Inputs!$B$3-100)*3)+Inputs!$B$28+Inputs!$B$29)))</f>
        <v/>
      </c>
      <c r="E1646">
        <f>INDEX(FactorTable!$B$2:$Y$301, MATCH(ROUND(MIN(300,MAX(1,D1646)),0), FactorTable!$A$2:$A$301,0), Skills!L16+1)</f>
        <v/>
      </c>
      <c r="F1646">
        <f>(Skills!K16/10)*(E1646/1000)*64/45+Skills!N16</f>
        <v/>
      </c>
      <c r="G1646">
        <f>Calc!G16</f>
        <v/>
      </c>
      <c r="H1646">
        <f>Calc!H16</f>
        <v/>
      </c>
      <c r="I1646">
        <f>IF(Skills!T16&lt;&gt;"",1+(Skills!T16/10)*(Z1633/1000)/100,1)</f>
        <v/>
      </c>
      <c r="J1646" t="inlineStr"/>
      <c r="K1646" t="inlineStr"/>
      <c r="L1646" t="inlineStr"/>
      <c r="M1646" t="inlineStr"/>
      <c r="N1646" t="inlineStr"/>
      <c r="O1646">
        <f>(1-Summary!$B$11)*S1646+Summary!$B$11*U1646</f>
        <v/>
      </c>
      <c r="P1646">
        <f>IF(B1667=0,0,O1646/B1667)</f>
        <v/>
      </c>
      <c r="Q1646">
        <f>IFERROR(1/IF(Inputs!$B$38="pvp",15,MAX(0.1,Skills!D16-IF(Skills!E16=TRUE,Inputs!$B$32,0))),0)</f>
        <v/>
      </c>
      <c r="R1646">
        <f>IF(AND(Inputs!$B$38&lt;&gt;"pvp",Inputs!$B$43&gt;0),IF(Inputs!$B$43&lt;=0,0,(INT(Inputs!$B$43/IF(Inputs!$B$38="pvp",15,MAX(0.1,Skills!D16-IF(Skills!E16=TRUE,Inputs!$B$32,0))))+1)),0)</f>
        <v/>
      </c>
      <c r="S1646" t="n">
        <v>0</v>
      </c>
      <c r="U1646" t="n">
        <v>0</v>
      </c>
    </row>
    <row r="1647">
      <c r="A1647">
        <f>Skills!A17</f>
        <v/>
      </c>
      <c r="B1647">
        <f>Skills!B17</f>
        <v/>
      </c>
      <c r="C1647">
        <f>Inputs!$B$3&gt;=33</f>
        <v/>
      </c>
      <c r="D1647">
        <f>IF(Skills!C17=1,60+Inputs!$B$25+Inputs!$B$29,IF(Skills!C17=2,90+Inputs!$B$26+Inputs!$B$29,IF(Skills!C17=3,120+Inputs!$B$27+Inputs!$B$29,MAX(0,(Inputs!$B$3-100)*3)+Inputs!$B$28+Inputs!$B$29)))</f>
        <v/>
      </c>
      <c r="E1647">
        <f>INDEX(FactorTable!$B$2:$Y$301, MATCH(ROUND(MIN(300,MAX(1,D1647)),0), FactorTable!$A$2:$A$301,0), Skills!L17+1)</f>
        <v/>
      </c>
      <c r="F1647">
        <f>IF(Skills!M17=TRUE,(Skills!K17/10)*(E1647/1000),Skills!K17/10)+Skills!N17</f>
        <v/>
      </c>
      <c r="G1647">
        <f>Calc!G17</f>
        <v/>
      </c>
      <c r="H1647">
        <f>Calc!H17</f>
        <v/>
      </c>
      <c r="I1647">
        <f>IF(Skills!T17&lt;&gt;"",1+(Skills!T17/10)*(Z1633/1000)/100,1)</f>
        <v/>
      </c>
      <c r="J1647" t="inlineStr"/>
      <c r="K1647" t="inlineStr"/>
      <c r="L1647" t="inlineStr"/>
      <c r="M1647" t="inlineStr"/>
      <c r="N1647" t="inlineStr"/>
      <c r="O1647">
        <f>(1-Summary!$B$11)*S1647+Summary!$B$11*U1647</f>
        <v/>
      </c>
      <c r="P1647">
        <f>IF(B1667=0,0,O1647/B1667)</f>
        <v/>
      </c>
      <c r="Q1647">
        <f>IFERROR(1/IF(Inputs!$B$38="pvp",15,MAX(0.1,Skills!D17-IF(Skills!E17=TRUE,Inputs!$B$32,0))),0)</f>
        <v/>
      </c>
      <c r="R1647" t="n">
        <v>0</v>
      </c>
      <c r="S1647" t="n">
        <v>0</v>
      </c>
      <c r="U1647" t="n">
        <v>0</v>
      </c>
    </row>
    <row r="1648">
      <c r="A1648">
        <f>Skills!A18</f>
        <v/>
      </c>
      <c r="B1648">
        <f>Skills!B18</f>
        <v/>
      </c>
      <c r="C1648">
        <f>Inputs!$B$3&gt;=43</f>
        <v/>
      </c>
      <c r="D1648">
        <f>IF(Skills!C18=1,60+Inputs!$B$25+Inputs!$B$29,IF(Skills!C18=2,90+Inputs!$B$26+Inputs!$B$29,IF(Skills!C18=3,120+Inputs!$B$27+Inputs!$B$29,MAX(0,(Inputs!$B$3-100)*3)+Inputs!$B$28+Inputs!$B$29)))</f>
        <v/>
      </c>
      <c r="E1648">
        <f>INDEX(FactorTable!$B$2:$Y$301, MATCH(ROUND(MIN(300,MAX(1,D1648)),0), FactorTable!$A$2:$A$301,0), Skills!L18+1)</f>
        <v/>
      </c>
      <c r="F1648">
        <f>IF(Skills!M18=TRUE,(Skills!K18/10)*(E1648/1000),Skills!K18/10)+Skills!N18</f>
        <v/>
      </c>
      <c r="G1648">
        <f>Calc!G18</f>
        <v/>
      </c>
      <c r="H1648">
        <f>Calc!H18</f>
        <v/>
      </c>
      <c r="I1648">
        <f>IF(Skills!T18&lt;&gt;"",1+(Skills!T18/10)*(Z1633/1000)/100,1)</f>
        <v/>
      </c>
      <c r="J1648" t="inlineStr"/>
      <c r="K1648" t="inlineStr"/>
      <c r="L1648" t="inlineStr"/>
      <c r="M1648" t="inlineStr"/>
      <c r="N1648" t="inlineStr"/>
      <c r="O1648">
        <f>(1-Summary!$B$11)*S1648+Summary!$B$11*U1648</f>
        <v/>
      </c>
      <c r="P1648">
        <f>IF(B1667=0,0,O1648/B1667)</f>
        <v/>
      </c>
      <c r="Q1648">
        <f>IFERROR(1/IF(Inputs!$B$38="pvp",15,MAX(0.1,Skills!D18-IF(Skills!E18=TRUE,Inputs!$B$32,0))),0)</f>
        <v/>
      </c>
      <c r="R1648" t="n">
        <v>0</v>
      </c>
      <c r="S1648" t="n">
        <v>0</v>
      </c>
      <c r="U1648" t="n">
        <v>0</v>
      </c>
    </row>
    <row r="1649">
      <c r="A1649">
        <f>Skills!A19</f>
        <v/>
      </c>
      <c r="B1649">
        <f>Skills!B19</f>
        <v/>
      </c>
      <c r="C1649">
        <f>Inputs!$B$3&gt;=50</f>
        <v/>
      </c>
      <c r="D1649">
        <f>IF(Skills!C19=1,60+Inputs!$B$25+Inputs!$B$29,IF(Skills!C19=2,90+Inputs!$B$26+Inputs!$B$29,IF(Skills!C19=3,120+Inputs!$B$27+Inputs!$B$29,MAX(0,(Inputs!$B$3-100)*3)+Inputs!$B$28+Inputs!$B$29)))</f>
        <v/>
      </c>
      <c r="E1649">
        <f>INDEX(FactorTable!$B$2:$Y$301, MATCH(ROUND(MIN(300,MAX(1,D1649)),0), FactorTable!$A$2:$A$301,0), Skills!L19+1)</f>
        <v/>
      </c>
      <c r="F1649">
        <f>IF(Skills!M19=TRUE,(Skills!K19/10)*(E1649/1000),Skills!K19/10)+Skills!N19</f>
        <v/>
      </c>
      <c r="G1649">
        <f>Calc!G19</f>
        <v/>
      </c>
      <c r="H1649">
        <f>Calc!H19</f>
        <v/>
      </c>
      <c r="I1649">
        <f>IF(Skills!T19&lt;&gt;"",1+(Skills!T19/10)*(Z1633/1000)/100,1)</f>
        <v/>
      </c>
      <c r="J1649" t="inlineStr"/>
      <c r="K1649" t="inlineStr"/>
      <c r="L1649" t="inlineStr"/>
      <c r="M1649" t="inlineStr"/>
      <c r="N1649" t="inlineStr"/>
      <c r="O1649">
        <f>(1-Summary!$B$11)*S1649+Summary!$B$11*U1649</f>
        <v/>
      </c>
      <c r="P1649">
        <f>IF(B1667=0,0,O1649/B1667)</f>
        <v/>
      </c>
      <c r="Q1649">
        <f>IFERROR(1/IF(Inputs!$B$38="pvp",15,MAX(0.1,Skills!D19-IF(Skills!E19=TRUE,Inputs!$B$32,0))),0)</f>
        <v/>
      </c>
      <c r="R1649" t="n">
        <v>0</v>
      </c>
      <c r="S1649" t="n">
        <v>0</v>
      </c>
      <c r="U1649" t="n">
        <v>0</v>
      </c>
    </row>
    <row r="1650">
      <c r="A1650">
        <f>Skills!A20</f>
        <v/>
      </c>
      <c r="B1650">
        <f>Skills!B20</f>
        <v/>
      </c>
      <c r="C1650">
        <f>Inputs!$B$3&gt;=74</f>
        <v/>
      </c>
      <c r="D1650">
        <f>IF(Skills!C20=1,60+Inputs!$B$25+Inputs!$B$29,IF(Skills!C20=2,90+Inputs!$B$26+Inputs!$B$29,IF(Skills!C20=3,120+Inputs!$B$27+Inputs!$B$29,MAX(0,(Inputs!$B$3-100)*3)+Inputs!$B$28+Inputs!$B$29)))</f>
        <v/>
      </c>
      <c r="E1650">
        <f>INDEX(FactorTable!$B$2:$Y$301, MATCH(ROUND(MIN(300,MAX(1,D1650)),0), FactorTable!$A$2:$A$301,0), Skills!L20+1)</f>
        <v/>
      </c>
      <c r="F1650">
        <f>IF(Skills!M20=TRUE,(Skills!K20/10)*(E1650/1000),Skills!K20/10)+Skills!N20</f>
        <v/>
      </c>
      <c r="G1650">
        <f>Calc!G20</f>
        <v/>
      </c>
      <c r="H1650">
        <f>Calc!H20</f>
        <v/>
      </c>
      <c r="I1650">
        <f>IF(Skills!T20&lt;&gt;"",1+(Skills!T20/10)*(Z1633/1000)/100,1)</f>
        <v/>
      </c>
      <c r="J1650" t="inlineStr"/>
      <c r="K1650" t="inlineStr"/>
      <c r="L1650" t="inlineStr"/>
      <c r="M1650" t="inlineStr"/>
      <c r="N1650" t="inlineStr"/>
      <c r="O1650">
        <f>(1-Summary!$B$11)*S1650+Summary!$B$11*U1650</f>
        <v/>
      </c>
      <c r="P1650">
        <f>IF(B1667=0,0,O1650/B1667)</f>
        <v/>
      </c>
      <c r="Q1650">
        <f>IFERROR(1/IF(Inputs!$B$38="pvp",15,MAX(0.1,Skills!D20-IF(Skills!E20=TRUE,Inputs!$B$32,0))),0)</f>
        <v/>
      </c>
      <c r="R1650" t="n">
        <v>0</v>
      </c>
      <c r="S1650" t="n">
        <v>0</v>
      </c>
      <c r="U1650" t="n">
        <v>0</v>
      </c>
    </row>
    <row r="1651">
      <c r="A1651">
        <f>Skills!A21</f>
        <v/>
      </c>
      <c r="B1651">
        <f>Skills!B21</f>
        <v/>
      </c>
      <c r="C1651">
        <f>Inputs!$B$3&gt;=74</f>
        <v/>
      </c>
      <c r="D1651">
        <f>IF(Skills!C21=1,60+Inputs!$B$25+Inputs!$B$29,IF(Skills!C21=2,90+Inputs!$B$26+Inputs!$B$29,IF(Skills!C21=3,120+Inputs!$B$27+Inputs!$B$29,MAX(0,(Inputs!$B$3-100)*3)+Inputs!$B$28+Inputs!$B$29)))</f>
        <v/>
      </c>
      <c r="E1651">
        <f>INDEX(FactorTable!$B$2:$Y$301, MATCH(ROUND(MIN(300,MAX(1,D1651)),0), FactorTable!$A$2:$A$301,0), Skills!L21+1)</f>
        <v/>
      </c>
      <c r="F1651">
        <f>IF(Skills!M21=TRUE,(Skills!K21/10)*(E1651/1000),Skills!K21/10)+Skills!N21</f>
        <v/>
      </c>
      <c r="G1651">
        <f>Calc!G21</f>
        <v/>
      </c>
      <c r="H1651">
        <f>Calc!H21</f>
        <v/>
      </c>
      <c r="I1651">
        <f>IF(Skills!T21&lt;&gt;"",1+(Skills!T21/10)*(Z1633/1000)/100,1)</f>
        <v/>
      </c>
      <c r="J1651" t="inlineStr"/>
      <c r="K1651" t="inlineStr"/>
      <c r="L1651" t="inlineStr"/>
      <c r="M1651" t="inlineStr"/>
      <c r="N1651" t="inlineStr"/>
      <c r="O1651">
        <f>(1-Summary!$B$11)*S1651+Summary!$B$11*U1651</f>
        <v/>
      </c>
      <c r="P1651">
        <f>IF(B1667=0,0,O1651/B1667)</f>
        <v/>
      </c>
      <c r="Q1651">
        <f>IFERROR(1/IF(Inputs!$B$38="pvp",15,MAX(0.1,Skills!D21-IF(Skills!E21=TRUE,Inputs!$B$32,0))),0)</f>
        <v/>
      </c>
      <c r="R1651" t="n">
        <v>0</v>
      </c>
      <c r="S1651" t="n">
        <v>0</v>
      </c>
      <c r="U1651" t="n">
        <v>0</v>
      </c>
    </row>
    <row r="1652">
      <c r="A1652">
        <f>Skills!A22</f>
        <v/>
      </c>
      <c r="B1652">
        <f>Skills!B22</f>
        <v/>
      </c>
      <c r="C1652">
        <f>Inputs!$B$3&gt;=117</f>
        <v/>
      </c>
      <c r="D1652">
        <f>IF(Skills!C22=1,60+Inputs!$B$25+Inputs!$B$29,IF(Skills!C22=2,90+Inputs!$B$26+Inputs!$B$29,IF(Skills!C22=3,120+Inputs!$B$27+Inputs!$B$29,MAX(0,(Inputs!$B$3-100)*3)+Inputs!$B$28+Inputs!$B$29)))</f>
        <v/>
      </c>
      <c r="E1652">
        <f>INDEX(FactorTable!$B$2:$Y$301, MATCH(ROUND(MIN(300,MAX(1,D1652)),0), FactorTable!$A$2:$A$301,0), Skills!L22+1)</f>
        <v/>
      </c>
      <c r="F1652">
        <f>IF(Skills!M22=TRUE,(Skills!K22/10)*(E1652/1000),Skills!K22/10)+Skills!N22</f>
        <v/>
      </c>
      <c r="G1652">
        <f>Calc!G22</f>
        <v/>
      </c>
      <c r="H1652">
        <f>Calc!H22</f>
        <v/>
      </c>
      <c r="I1652">
        <f>IF(Skills!T22&lt;&gt;"",1+(Skills!T22/10)*(Z1633/1000)/100,1)</f>
        <v/>
      </c>
      <c r="J1652" t="inlineStr"/>
      <c r="K1652" t="inlineStr"/>
      <c r="L1652" t="inlineStr"/>
      <c r="M1652" t="inlineStr"/>
      <c r="N1652" t="inlineStr"/>
      <c r="O1652">
        <f>(1-Summary!$B$11)*S1652+Summary!$B$11*U1652</f>
        <v/>
      </c>
      <c r="P1652">
        <f>IF(B1667=0,0,O1652/B1667)</f>
        <v/>
      </c>
      <c r="Q1652">
        <f>IFERROR(1/IF(Inputs!$B$38="pvp",15,MAX(0.1,Skills!D22-IF(Skills!E22=TRUE,Inputs!$B$32,0))),0)</f>
        <v/>
      </c>
      <c r="R1652" t="n">
        <v>0</v>
      </c>
      <c r="S1652" t="n">
        <v>0</v>
      </c>
      <c r="U1652" t="n">
        <v>0</v>
      </c>
    </row>
    <row r="1653">
      <c r="A1653">
        <f>Skills!A23</f>
        <v/>
      </c>
      <c r="B1653">
        <f>Skills!B23</f>
        <v/>
      </c>
      <c r="C1653">
        <f>Inputs!$B$3&gt;=120</f>
        <v/>
      </c>
      <c r="D1653">
        <f>IF(Skills!C23=1,60+Inputs!$B$25+Inputs!$B$29,IF(Skills!C23=2,90+Inputs!$B$26+Inputs!$B$29,IF(Skills!C23=3,120+Inputs!$B$27+Inputs!$B$29,MAX(0,(Inputs!$B$3-100)*3)+Inputs!$B$28+Inputs!$B$29)))</f>
        <v/>
      </c>
      <c r="E1653">
        <f>INDEX(FactorTable!$B$2:$Y$301, MATCH(ROUND(MIN(300,MAX(1,D1653)),0), FactorTable!$A$2:$A$301,0), Skills!L23+1)</f>
        <v/>
      </c>
      <c r="F1653">
        <f>IF(Skills!M23=TRUE,(Skills!K23/10)*(E1653/1000),Skills!K23/10)+Skills!N23</f>
        <v/>
      </c>
      <c r="G1653">
        <f>Calc!G23</f>
        <v/>
      </c>
      <c r="H1653">
        <f>Calc!H23</f>
        <v/>
      </c>
      <c r="I1653">
        <f>IF(Skills!T23&lt;&gt;"",1+(Skills!T23/10)*(Z1633/1000)/100,1)</f>
        <v/>
      </c>
      <c r="J1653" t="inlineStr"/>
      <c r="K1653" t="inlineStr"/>
      <c r="L1653" t="inlineStr"/>
      <c r="M1653" t="inlineStr"/>
      <c r="N1653" t="inlineStr"/>
      <c r="O1653">
        <f>(1-Summary!$B$11)*S1653+Summary!$B$11*U1653</f>
        <v/>
      </c>
      <c r="P1653">
        <f>IF(B1667=0,0,O1653/B1667)</f>
        <v/>
      </c>
      <c r="Q1653">
        <f>IFERROR(1/IF(Inputs!$B$38="pvp",15,MAX(0.1,Skills!D23-IF(Skills!E23=TRUE,Inputs!$B$32,0))),0)</f>
        <v/>
      </c>
      <c r="R1653" t="n">
        <v>0</v>
      </c>
      <c r="S1653" t="n">
        <v>0</v>
      </c>
      <c r="U1653" t="n">
        <v>0</v>
      </c>
    </row>
    <row r="1654">
      <c r="A1654">
        <f>Skills!A24</f>
        <v/>
      </c>
      <c r="B1654">
        <f>Skills!B24</f>
        <v/>
      </c>
      <c r="C1654">
        <f>TRUE</f>
        <v/>
      </c>
      <c r="D1654">
        <f>IF(Skills!C24=1,60+Inputs!$B$25+Inputs!$B$29,IF(Skills!C24=2,90+Inputs!$B$26+Inputs!$B$29,IF(Skills!C24=3,120+Inputs!$B$27+Inputs!$B$29,MAX(0,(Inputs!$B$3-100)*3)+Inputs!$B$28+Inputs!$B$29)))</f>
        <v/>
      </c>
      <c r="E1654">
        <f>INDEX(FactorTable!$B$2:$Y$301, MATCH(ROUND(MIN(300,MAX(1,D1654)),0), FactorTable!$A$2:$A$301,0), Skills!L24+1)</f>
        <v/>
      </c>
      <c r="F1654">
        <f>IF(Skills!M24=TRUE,(Skills!K24/10)*(E1654/1000),Skills!K24/10)+Skills!N24</f>
        <v/>
      </c>
      <c r="G1654">
        <f>Calc!G24</f>
        <v/>
      </c>
      <c r="H1654">
        <f>Calc!H24</f>
        <v/>
      </c>
      <c r="I1654">
        <f>IF(Skills!T24&lt;&gt;"",1+(Skills!T24/10)*(Z1633/1000)/100,1)</f>
        <v/>
      </c>
      <c r="J1654" t="inlineStr"/>
      <c r="K1654" t="inlineStr"/>
      <c r="L1654" t="inlineStr"/>
      <c r="M1654" t="inlineStr"/>
      <c r="N1654" t="inlineStr"/>
      <c r="O1654">
        <f>(1-Summary!$B$11)*S1654+Summary!$B$11*U1654</f>
        <v/>
      </c>
      <c r="P1654">
        <f>IF(B1667=0,0,O1654/B1667)</f>
        <v/>
      </c>
      <c r="Q1654">
        <f>IFERROR(1/IF(Inputs!$B$38="pvp",15,MAX(0.1,Skills!D24-IF(Skills!E24=TRUE,Inputs!$B$32,0))),0)</f>
        <v/>
      </c>
      <c r="R1654">
        <f>IF(AND(Inputs!$B$38&lt;&gt;"pvp",Inputs!$B$43&gt;0),IF(Inputs!$B$43&lt;=0,0,(INT(Inputs!$B$43/IF(Inputs!$B$38="pvp",15,MAX(0.1,Skills!D24-IF(Skills!E24=TRUE,Inputs!$B$32,0))))+1)),0)</f>
        <v/>
      </c>
      <c r="S1654" t="n">
        <v>0</v>
      </c>
      <c r="U1654" t="n">
        <v>0</v>
      </c>
    </row>
    <row r="1657">
      <c r="A1657" t="inlineStr">
        <is>
          <t>Average Buff Multiplier (Magic Guard + Meditation + Artifact Attack%, summed; then Infinity)</t>
        </is>
      </c>
      <c r="B1657">
        <f>(1+(IF(C1633=TRUE,F1633*IF(AND(Inputs!$B$38&lt;&gt;"pvp",Inputs!$B$43&gt;0),(((R1633-1)*(Skills!S3*(1+(Inputs!$B$34)/100))+MIN((Skills!S3*(1+(Inputs!$B$34)/100)),MAX(0,Inputs!$B$43-((R1633-1)*Skills!D3))))/Inputs!$B$43),IF(Inputs!$B$38="pvp",MIN((Skills!S3*(1+(Inputs!$B$34)/100)),15)/15,(Skills!S3*(1+(Inputs!$B$34)/100))/Skills!D3)),0)+IF(C1634=TRUE,F1634*IF(AND(Inputs!$B$38&lt;&gt;"pvp",Inputs!$B$43&gt;0),(((R1634-1)*(Skills!S4*(1+(Inputs!$B$34)/100))+MIN((Skills!S4*(1+(Inputs!$B$34)/100)),MAX(0,Inputs!$B$43-((R1634-1)*Skills!D4))))/Inputs!$B$43),IF(Inputs!$B$38="pvp",MIN((Skills!S4*(1+(Inputs!$B$34)/100)),15)/15,(Skills!S4*(1+(Inputs!$B$34)/100))/Skills!D4)),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1646=TRUE,(1+F1646*IF(AND(Inputs!$B$38&lt;&gt;"pvp",Inputs!$B$43&gt;0),(((R1646-1)*(Skills!S16*(1+(Inputs!$B$34)/100))+MIN((Skills!S16*(1+(Inputs!$B$34)/100)),MAX(0,Inputs!$B$43-((R1646-1)*Skills!D16))))/Inputs!$B$43),IF(Inputs!$B$38="pvp",MIN((Skills!S16*(1+(Inputs!$B$34)/100)),15)/15,(Skills!S16*(1+(Inputs!$B$34)/100))/Skills!D16))/100),1)</f>
        <v/>
      </c>
    </row>
    <row r="1658">
      <c r="A1658" t="inlineStr">
        <is>
          <t>Monster Damage Taken Bonus % (Freezing Breath - Weaken + Elemental Reset + Artifact Enemy Damage Taken, summed)</t>
        </is>
      </c>
      <c r="B1658">
        <f>IF(Inputs!$B$3&gt;=118,15*IF(Inputs!$B$38="pvp",MIN((30*(1+(Inputs!$B$34)/100)),15)/15,(30*(1+(Inputs!$B$34)/100))/Skills!D8),0)+IF(C1644=TRUE,F1644,0)+(IF(AND(ArtifactsInput!$M$35,Inputs!$B$4&lt;&gt;"Chapter Hunt"),CHOOSE(ArtifactsInput!$N$35+1,15,18,21,24,27,30)*(1-EXP(-(0.2*B1661)*5)),0)+IF(AND(ArtifactsInput!$M$22,Inputs!$B$4&lt;&gt;"Chapter Hunt"),CHOOSE(ArtifactsInput!$N$22+1,10,12,14,16,18,20)*((0*(((0.15*B1661*5))^0/1)+1*(((0.15*B1661*5))^1/1)+2*(((0.15*B1661*5))^2/2)+3*(((0.15*B1661*5))^3/6)+4*(((0.15*B1661*5))^4/24)+5*(((0.15*B1661*5))^5/120))/((((0.15*B1661*5))^0/1)+(((0.15*B1661*5))^1/1)+(((0.15*B1661*5))^2/2)+(((0.15*B1661*5))^3/6)+(((0.15*B1661*5))^4/24)+(((0.15*B1661*5))^5/120))),0))</f>
        <v/>
      </c>
    </row>
    <row r="1659">
      <c r="A1659" t="inlineStr">
        <is>
          <t>Damage % Bonus (Frozen Break + Frost Clutch, flat)</t>
        </is>
      </c>
      <c r="B1659">
        <f>IF(Inputs!$B$3&gt;=66,15,0)+IF(Inputs!$B$3&gt;=98,10,0)+IF(Inputs!$B$3&gt;=125,20,0)</f>
        <v/>
      </c>
    </row>
    <row r="1660">
      <c r="A1660" t="inlineStr">
        <is>
          <t>Attack Speed Bonus % (MP Eater - MP Boost, always-on + Nimble Feet, duty-cycle averaged)</t>
        </is>
      </c>
      <c r="B1660">
        <f>IF(C1643=TRUE,F1643+(F1647-Calc!F17),0)+((C1654=TRUE)*F1654*IF(AND(Inputs!$B$38&lt;&gt;"pvp",Inputs!$B$43&gt;0),(((R1654-1)*(Skills!S24*(1+(Inputs!$B$34)/100))+MIN((Skills!S24*(1+(Inputs!$B$34)/100)),MAX(0,Inputs!$B$43-((R1654-1)*Skills!D24))))/Inputs!$B$43),IF(Inputs!$B$38="pvp",MIN((Skills!S24*(1+(Inputs!$B$34)/100)),15)/15,(Skills!S24*(1+(Inputs!$B$34)/100))/Skills!D24)))</f>
        <v/>
      </c>
    </row>
    <row r="1661">
      <c r="A1661" t="inlineStr">
        <is>
          <t>Actions Per Second</t>
        </is>
      </c>
      <c r="B1661">
        <f>1+MIN(150,150*(1-(1-(Inputs!$B$11+(ArtifactsInput!$M$15-ArtifactsInput!$M$15)*CHOOSE(ArtifactsInput!$N$15+1,8,9.6,11.2,12.8,14.4,16))/150)*(1-B1660/150)))/100</f>
        <v/>
      </c>
    </row>
    <row r="1662">
      <c r="A1662" t="inlineStr">
        <is>
          <t>Skill + Buff Cast Rate</t>
        </is>
      </c>
      <c r="B1662">
        <f>IF(AND(Inputs!$B$38&lt;&gt;"pvp",Inputs!$B$43&gt;0),SUMPRODUCT((Skills!E2:E24=TRUE)*(C1632:C1654=TRUE)*R1632:R1654)/Inputs!$B$43,SUMPRODUCT((Skills!E2:E24=TRUE)*(C1632:C1654=TRUE)*Q1632:Q1654))</f>
        <v/>
      </c>
    </row>
    <row r="1663">
      <c r="A1663" t="inlineStr">
        <is>
          <t>Chain Lightning Casts Per Second</t>
        </is>
      </c>
      <c r="B1663">
        <f>MAX(0,B1661-B1662)</f>
        <v/>
      </c>
    </row>
    <row r="1664">
      <c r="A1664" t="inlineStr">
        <is>
          <t>Buff-Casting Startup Delay (s, fixed-duration only)</t>
        </is>
      </c>
      <c r="B1664">
        <f>IF(AND(Inputs!$B$38&lt;&gt;"pvp",Inputs!$B$43&gt;0),SUMPRODUCT((Skills!S2:S24&gt;0)*(Skills!E2:E24=TRUE)*(C1632:C1654=TRUE))/B1661,0)</f>
        <v/>
      </c>
    </row>
    <row r="1665">
      <c r="A1665" t="inlineStr">
        <is>
          <t>Boss-Only Total DPS (this block's swept value)</t>
        </is>
      </c>
      <c r="B1665">
        <f>SUM(S1632:S1654)</f>
        <v/>
      </c>
    </row>
    <row r="1666">
      <c r="A1666" t="inlineStr">
        <is>
          <t>Normal-Only Total DPS (this block's swept value)</t>
        </is>
      </c>
      <c r="B1666">
        <f>SUM(U1632:U1654)</f>
        <v/>
      </c>
    </row>
    <row r="1667">
      <c r="A1667" s="6" t="inlineStr">
        <is>
          <t>TOTAL DPS</t>
        </is>
      </c>
      <c r="B1667" s="6">
        <f>SUM(O1632:O1654)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R1671" t="inlineStr">
        <is>
          <t>helpers</t>
        </is>
      </c>
    </row>
    <row r="1672">
      <c r="A1672">
        <f>Skills!A2</f>
        <v/>
      </c>
      <c r="B1672">
        <f>Skills!B2</f>
        <v/>
      </c>
      <c r="C1672">
        <f>Inputs!$B$3&gt;=100</f>
        <v/>
      </c>
      <c r="D1672" t="inlineStr"/>
      <c r="E1672" t="inlineStr"/>
      <c r="F1672">
        <f>T1674+Skills!N2</f>
        <v/>
      </c>
      <c r="G1672">
        <f>Calc!G2</f>
        <v/>
      </c>
      <c r="H1672">
        <f>Calc!H2</f>
        <v/>
      </c>
      <c r="I1672">
        <f>IF(Skills!T2&lt;&gt;"",1+(Skills!T2/10)*(Z1673/1000)/100,1)</f>
        <v/>
      </c>
      <c r="J1672">
        <f>((Inputs!$B$6*(1+Inputs!$B$7/100))+(((Inputs!$B$12*(1+Inputs!$B$13/100))-(Inputs!$B$12*(1+Inputs!$B$13/100)))+0.25*(Inputs!$B$14-Inputs!$B$14))*(1+Inputs!$B$7/100))*(F1672/100)</f>
        <v/>
      </c>
      <c r="K1672">
        <f>J1672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2="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F1688-Calc!F18),(Inputs!$B$23+(IF(ArtifactsInput!$M$15,CHOOSE(ArtifactsInput!$N$15+1,25,30,35,40,45,50)/100*(Inputs!$B$11-Inputs!$B$11),0))))/100+(Inputs!$B$23+(IF(ArtifactsInput!$M$15,CHOOSE(ArtifactsInput!$N$15+1,25,30,35,40,45,50)/100*(Inputs!$B$11-Inputs!$B$11),0)))/100)/2</f>
        <v/>
      </c>
      <c r="M1672">
        <f>L1672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(1-Summary!$B$11)*S1672+Summary!$B$11*U1672</f>
        <v/>
      </c>
      <c r="P1672">
        <f>IF(B1707=0,0,O1672/B1707)</f>
        <v/>
      </c>
      <c r="Q1672">
        <f>IFERROR(1/IF(Inputs!$B$38="pvp",15,MAX(0.1,Skills!D2-IF(Skills!E2=TRUE,Inputs!$B$32,0))),0)</f>
        <v/>
      </c>
      <c r="R1672" t="n">
        <v>0</v>
      </c>
      <c r="S1672">
        <f>IF(C1672,(Skills!F2*N1672*B1703)*IF(Inputs!$B$38="pvp",1,1+(Inputs!$B$20+Skills!O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1672*(1-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2">
        <f>MAX(0,(Inputs!$B$3-100)*3)+Inputs!$B$28+Inputs!$B$29</f>
        <v/>
      </c>
      <c r="U1672">
        <f>IF(C1672,(Skills!F2*N1672*B1703)*IF(Inputs!$B$38="pvp",1,(1+(Inputs!$B$21+Skills!P2+B1698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2">
        <f>MAX(0,(Inputs!$B$3-100)*3)+Inputs!$B$28+Inputs!$B$29</f>
        <v/>
      </c>
    </row>
    <row r="1673">
      <c r="A1673">
        <f>Skills!A3</f>
        <v/>
      </c>
      <c r="B1673">
        <f>Skills!B3</f>
        <v/>
      </c>
      <c r="C1673">
        <f>Inputs!$B$3&gt;=15</f>
        <v/>
      </c>
      <c r="D1673">
        <f>IF(Skills!C3=1,60+Inputs!$B$25+Inputs!$B$29,IF(Skills!C3=2,90+Inputs!$B$26+Inputs!$B$29,IF(Skills!C3=3,120+Inputs!$B$27+Inputs!$B$29,MAX(0,(Inputs!$B$3-100)*3)+Inputs!$B$28+Inputs!$B$29)))</f>
        <v/>
      </c>
      <c r="E1673">
        <f>INDEX(FactorTable!$B$2:$Y$301, MATCH(ROUND(MIN(300,MAX(1,D1673)),0), FactorTable!$A$2:$A$301,0), Skills!L3+1)</f>
        <v/>
      </c>
      <c r="F1673">
        <f>IF(Skills!M3=TRUE,(Skills!K3/10)*(E1673/1000),Skills!K3/10)+Skills!N3</f>
        <v/>
      </c>
      <c r="G1673">
        <f>Calc!G3</f>
        <v/>
      </c>
      <c r="H1673">
        <f>Calc!H3</f>
        <v/>
      </c>
      <c r="I1673">
        <f>IF(Skills!T3&lt;&gt;"",1+(Skills!T3/10)*(Z1673/1000)/100,1)</f>
        <v/>
      </c>
      <c r="J1673" t="inlineStr"/>
      <c r="K1673" t="inlineStr"/>
      <c r="L1673" t="inlineStr"/>
      <c r="M1673" t="inlineStr"/>
      <c r="N1673" t="inlineStr"/>
      <c r="O1673">
        <f>(1-Summary!$B$11)*S1673+Summary!$B$11*U1673</f>
        <v/>
      </c>
      <c r="P1673">
        <f>IF(B1707=0,0,O1673/B1707)</f>
        <v/>
      </c>
      <c r="Q1673">
        <f>IFERROR(1/IF(Inputs!$B$38="pvp",15,MAX(0.1,Skills!D3-IF(Skills!E3=TRUE,Inputs!$B$32,0))),0)</f>
        <v/>
      </c>
      <c r="R1673">
        <f>IF(AND(Inputs!$B$38&lt;&gt;"pvp",Inputs!$B$43&gt;0),IF(Inputs!$B$43&lt;=0,0,(INT(Inputs!$B$43/IF(Inputs!$B$38="pvp",15,MAX(0.1,Skills!D3-IF(Skills!E3=TRUE,Inputs!$B$32,0))))+1)),0)</f>
        <v/>
      </c>
      <c r="S1673" t="n">
        <v>0</v>
      </c>
      <c r="T1673">
        <f>INDEX(FactorTable!$B$2:$Y$301, MATCH(ROUND(MIN(300,MAX(1,T1672)),0), FactorTable!$A$2:$A$301,0), 22)</f>
        <v/>
      </c>
      <c r="U1673" t="n">
        <v>0</v>
      </c>
      <c r="Z1673">
        <f>INDEX(FactorTable!$B$2:$Y$301, MATCH(ROUND(MIN(300,MAX(1,Z1672)),0), FactorTable!$A$2:$A$301,0), 24)</f>
        <v/>
      </c>
    </row>
    <row r="1674">
      <c r="A1674">
        <f>Skills!A4</f>
        <v/>
      </c>
      <c r="B1674">
        <f>Skills!B4</f>
        <v/>
      </c>
      <c r="C1674">
        <f>Inputs!$B$3&gt;=40</f>
        <v/>
      </c>
      <c r="D1674">
        <f>IF(Skills!C4=1,60+Inputs!$B$25+Inputs!$B$29,IF(Skills!C4=2,90+Inputs!$B$26+Inputs!$B$29,IF(Skills!C4=3,120+Inputs!$B$27+Inputs!$B$29,MAX(0,(Inputs!$B$3-100)*3)+Inputs!$B$28+Inputs!$B$29)))</f>
        <v/>
      </c>
      <c r="E1674">
        <f>INDEX(FactorTable!$B$2:$Y$301, MATCH(ROUND(MIN(300,MAX(1,D1674)),0), FactorTable!$A$2:$A$301,0), Skills!L4+1)</f>
        <v/>
      </c>
      <c r="F1674">
        <f>IF(Skills!M4=TRUE,(Skills!K4/10)*(E1674/1000),Skills!K4/10)+Skills!N4</f>
        <v/>
      </c>
      <c r="G1674">
        <f>Calc!G4</f>
        <v/>
      </c>
      <c r="H1674">
        <f>Calc!H4</f>
        <v/>
      </c>
      <c r="I1674">
        <f>IF(Skills!T4&lt;&gt;"",1+(Skills!T4/10)*(Z1673/1000)/100,1)</f>
        <v/>
      </c>
      <c r="J1674" t="inlineStr"/>
      <c r="K1674" t="inlineStr"/>
      <c r="L1674" t="inlineStr"/>
      <c r="M1674" t="inlineStr"/>
      <c r="N1674" t="inlineStr"/>
      <c r="O1674">
        <f>(1-Summary!$B$11)*S1674+Summary!$B$11*U1674</f>
        <v/>
      </c>
      <c r="P1674">
        <f>IF(B1707=0,0,O1674/B1707)</f>
        <v/>
      </c>
      <c r="Q1674">
        <f>IFERROR(1/IF(Inputs!$B$38="pvp",15,MAX(0.1,Skills!D4-IF(Skills!E4=TRUE,Inputs!$B$32,0))),0)</f>
        <v/>
      </c>
      <c r="R1674">
        <f>IF(AND(Inputs!$B$38&lt;&gt;"pvp",Inputs!$B$43&gt;0),IF(Inputs!$B$43&lt;=0,0,(INT(Inputs!$B$43/IF(Inputs!$B$38="pvp",15,MAX(0.1,Skills!D4-IF(Skills!E4=TRUE,Inputs!$B$32,0))))+1)),0)</f>
        <v/>
      </c>
      <c r="S1674" t="n">
        <v>0</v>
      </c>
      <c r="T1674">
        <f>290*T1673/1000</f>
        <v/>
      </c>
      <c r="U1674" t="n">
        <v>0</v>
      </c>
    </row>
    <row r="1675">
      <c r="A1675">
        <f>Skills!A5</f>
        <v/>
      </c>
      <c r="B1675">
        <f>Skills!B5</f>
        <v/>
      </c>
      <c r="C1675">
        <f>Inputs!$B$3&gt;=38</f>
        <v/>
      </c>
      <c r="D1675">
        <f>IF(Skills!C5=1,60+Inputs!$B$25+Inputs!$B$29,IF(Skills!C5=2,90+Inputs!$B$26+Inputs!$B$29,IF(Skills!C5=3,120+Inputs!$B$27+Inputs!$B$29,MAX(0,(Inputs!$B$3-100)*3)+Inputs!$B$28+Inputs!$B$29)))</f>
        <v/>
      </c>
      <c r="E1675">
        <f>INDEX(FactorTable!$B$2:$Y$301, MATCH(ROUND(MIN(300,MAX(1,D1675)),0), FactorTable!$A$2:$A$301,0), Skills!L5+1)</f>
        <v/>
      </c>
      <c r="F1675">
        <f>IF(Skills!M5=TRUE,(Skills!K5/10)*(E1675/1000),Skills!K5/10)+Skills!N5</f>
        <v/>
      </c>
      <c r="G1675">
        <f>Calc!G5</f>
        <v/>
      </c>
      <c r="H1675">
        <f>Calc!H5</f>
        <v/>
      </c>
      <c r="I1675">
        <f>IF(Skills!T5&lt;&gt;"",1+(Skills!T5/10)*(Z1673/1000)/100,1)</f>
        <v/>
      </c>
      <c r="J1675">
        <f>((Inputs!$B$6*(1+Inputs!$B$7/100))+(((Inputs!$B$12*(1+Inputs!$B$13/100))-(Inputs!$B$12*(1+Inputs!$B$13/100)))+0.25*(Inputs!$B$14-Inputs!$B$14))*(1+Inputs!$B$7/100))*(F1675/100)</f>
        <v/>
      </c>
      <c r="K1675">
        <f>J1675*(1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5="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1688-Calc!F18),(Inputs!$B$23+(IF(ArtifactsInput!$M$15,CHOOSE(ArtifactsInput!$N$15+1,25,30,35,40,45,50)/100*(Inputs!$B$11-Inputs!$B$11),0))))/100+(Inputs!$B$23+(IF(ArtifactsInput!$M$15,CHOOSE(ArtifactsInput!$N$15+1,25,30,35,40,45,50)/100*(Inputs!$B$11-Inputs!$B$11),0)))/100)/2</f>
        <v/>
      </c>
      <c r="M1675">
        <f>L1675*(1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IF(B1707=0,0,O1675/B1707)</f>
        <v/>
      </c>
      <c r="Q1675">
        <f>IFERROR(1/IF(Inputs!$B$38="pvp",15,MAX(0.1,Skills!D5-IF(Skills!E5=TRUE,Inputs!$B$32,0))),0)</f>
        <v/>
      </c>
      <c r="R1675">
        <f>IF(AND(Inputs!$B$38&lt;&gt;"pvp",Inputs!$B$43&gt;0),IF(MAX(0,Inputs!$B$43-B1704)&lt;=0,0,(INT(MAX(0,Inputs!$B$43-B1704)/IF(Inputs!$B$38="pvp",15,MAX(0.1,Skills!D5-IF(Skills!E5=TRUE,Inputs!$B$32,0))))+1)),0)</f>
        <v/>
      </c>
      <c r="S1675">
        <f>IF(C1675,(H1675*N1675*IF(AND(Inputs!$B$38&lt;&gt;"pvp",Inputs!$B$43&gt;0),((Skills!F5*((R1675-1)*IF(Skills!G5&gt;0,Skills!H5/Skills!G5,1)+IF(Skills!G5&gt;0,MIN(Skills!H5,MAX(0,MAX(0,Inputs!$B$43-B1704)-((R1675-1)*IF(Inputs!$B$38="pvp",15,MAX(0.1,Skills!D5-IF(Skills!E5=TRUE,Inputs!$B$32,0))))))/Skills!G5,1)))/Inputs!$B$43),G1675*Q1675))*IF(Inputs!$B$38="pvp",1,1+(Inputs!$B$20+Skills!O5+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5*((R1675-1)*IF(Skills!G5&gt;0,Skills!H5/Skills!G5,1)+IF(Skills!G5&gt;0,MIN(Skills!H5,MAX(0,MAX(0,Inputs!$B$43-B1704)-((R1675-1)*IF(Inputs!$B$38="pvp",15,MAX(0.1,Skills!D5-IF(Skills!E5=TRUE,Inputs!$B$32,0))))))/Skills!G5,1)))/Inputs!$B$43),G1675*Q1675))*IF(Inputs!$B$38="pvp",1,(1+(Inputs!$B$21+Skills!P5+B1698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Skills!L6+1)</f>
        <v/>
      </c>
      <c r="F1676">
        <f>IF(Skills!M6=TRUE,(Skills!K6/10)*(E1676/1000),Skills!K6/10)+Skills!N6</f>
        <v/>
      </c>
      <c r="G1676">
        <f>Calc!G6</f>
        <v/>
      </c>
      <c r="H1676">
        <f>Calc!H6</f>
        <v/>
      </c>
      <c r="I1676">
        <f>IF(Skills!T6&lt;&gt;"",1+(Skills!T6/10)*(Z1673/1000)/100,1)</f>
        <v/>
      </c>
      <c r="J1676">
        <f>((Inputs!$B$6*(1+Inputs!$B$7/100))+(((Inputs!$B$12*(1+Inputs!$B$13/100))-(Inputs!$B$12*(1+Inputs!$B$13/100)))+0.25*(Inputs!$B$14-Inputs!$B$14))*(1+Inputs!$B$7/100))*(F1676/100)</f>
        <v/>
      </c>
      <c r="K1676">
        <f>J1676*(1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6="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1688-Calc!F18),(Inputs!$B$23+(IF(ArtifactsInput!$M$15,CHOOSE(ArtifactsInput!$N$15+1,25,30,35,40,45,50)/100*(Inputs!$B$11-Inputs!$B$11),0))))/100+(Inputs!$B$23+(IF(ArtifactsInput!$M$15,CHOOSE(ArtifactsInput!$N$15+1,25,30,35,40,45,50)/100*(Inputs!$B$11-Inputs!$B$11),0)))/100)/2</f>
        <v/>
      </c>
      <c r="M1676">
        <f>L1676*(1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IF(B1707=0,0,O1676/B1707)</f>
        <v/>
      </c>
      <c r="Q1676">
        <f>IFERROR(1/IF(Inputs!$B$38="pvp",15,MAX(0.1,Skills!D6-IF(Skills!E6=TRUE,Inputs!$B$32,0))),0)</f>
        <v/>
      </c>
      <c r="R1676">
        <f>IF(AND(Inputs!$B$38&lt;&gt;"pvp",Inputs!$B$43&gt;0),IF(MAX(0,Inputs!$B$43-B1704)&lt;=0,0,(INT(MAX(0,Inputs!$B$43-B1704)/IF(Inputs!$B$38="pvp",15,MAX(0.1,Skills!D6-IF(Skills!E6=TRUE,Inputs!$B$32,0))))+1)),0)</f>
        <v/>
      </c>
      <c r="S1676">
        <f>IF(C1676,(H1676*N1676*IF(AND(Inputs!$B$38&lt;&gt;"pvp",Inputs!$B$43&gt;0),((Skills!F6*((R1676-1)*IF(Skills!G6&gt;0,Skills!H6/Skills!G6,1)+IF(Skills!G6&gt;0,MIN(Skills!H6,MAX(0,MAX(0,Inputs!$B$43-B1704)-((R1676-1)*IF(Inputs!$B$38="pvp",15,MAX(0.1,Skills!D6-IF(Skills!E6=TRUE,Inputs!$B$32,0))))))/Skills!G6,1)))/Inputs!$B$43),G1676*Q1676))*IF(Inputs!$B$38="pvp",1,1+(Inputs!$B$20+Skills!O6+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6*((R1676-1)*IF(Skills!G6&gt;0,Skills!H6/Skills!G6,1)+IF(Skills!G6&gt;0,MIN(Skills!H6,MAX(0,MAX(0,Inputs!$B$43-B1704)-((R1676-1)*IF(Inputs!$B$38="pvp",15,MAX(0.1,Skills!D6-IF(Skills!E6=TRUE,Inputs!$B$32,0))))))/Skills!G6,1)))/Inputs!$B$43),G1676*Q1676))*IF(Inputs!$B$38="pvp",1,(1+(Inputs!$B$21+Skills!P6+B1698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Inputs!$B$3&gt;=69</f>
        <v/>
      </c>
      <c r="D1677">
        <f>IF(Skills!C7=1,60+Inputs!$B$25+Inputs!$B$29,IF(Skills!C7=2,90+Inputs!$B$26+Inputs!$B$29,IF(Skills!C7=3,120+Inputs!$B$27+Inputs!$B$29,MAX(0,(Inputs!$B$3-100)*3)+Inputs!$B$28+Inputs!$B$29)))</f>
        <v/>
      </c>
      <c r="E1677">
        <f>INDEX(FactorTable!$B$2:$Y$301, MATCH(ROUND(MIN(300,MAX(1,D1677)),0), FactorTable!$A$2:$A$301,0), Skills!L7+1)</f>
        <v/>
      </c>
      <c r="F1677">
        <f>IF(Skills!M7=TRUE,(Skills!K7/10)*(E1677/1000),Skills!K7/10)+Skills!N7</f>
        <v/>
      </c>
      <c r="G1677">
        <f>Calc!G7</f>
        <v/>
      </c>
      <c r="H1677">
        <f>Calc!H7</f>
        <v/>
      </c>
      <c r="I1677">
        <f>IF(Skills!T7&lt;&gt;"",1+(Skills!T7/10)*(Z1673/1000)/100,1)</f>
        <v/>
      </c>
      <c r="J1677">
        <f>((Inputs!$B$6*(1+Inputs!$B$7/100))+(((Inputs!$B$12*(1+Inputs!$B$13/100))-(Inputs!$B$12*(1+Inputs!$B$13/100)))+0.25*(Inputs!$B$14-Inputs!$B$14))*(1+Inputs!$B$7/100))*(F1677/100)</f>
        <v/>
      </c>
      <c r="K1677">
        <f>J1677*(1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7="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1688-Calc!F18),(Inputs!$B$23+(IF(ArtifactsInput!$M$15,CHOOSE(ArtifactsInput!$N$15+1,25,30,35,40,45,50)/100*(Inputs!$B$11-Inputs!$B$11),0))))/100+(Inputs!$B$23+(IF(ArtifactsInput!$M$15,CHOOSE(ArtifactsInput!$N$15+1,25,30,35,40,45,50)/100*(Inputs!$B$11-Inputs!$B$11),0)))/100)/2</f>
        <v/>
      </c>
      <c r="M1677">
        <f>L1677*(1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IF(B1707=0,0,O1677/B1707)</f>
        <v/>
      </c>
      <c r="Q1677">
        <f>IFERROR(1/IF(Inputs!$B$38="pvp",15,MAX(0.1,Skills!D7-IF(Skills!E7=TRUE,Inputs!$B$32,0))),0)</f>
        <v/>
      </c>
      <c r="R1677">
        <f>IF(AND(Inputs!$B$38&lt;&gt;"pvp",Inputs!$B$43&gt;0),IF(MAX(0,Inputs!$B$43-B1704)&lt;=0,0,(INT(MAX(0,Inputs!$B$43-B1704)/IF(Inputs!$B$38="pvp",15,MAX(0.1,Skills!D7-IF(Skills!E7=TRUE,Inputs!$B$32,0))))+1)),0)</f>
        <v/>
      </c>
      <c r="S1677">
        <f>IF(C1677,(H1677*N1677*IF(AND(Inputs!$B$38&lt;&gt;"pvp",Inputs!$B$43&gt;0),((Skills!F7*((R1677-1)*IF(Skills!G7&gt;0,Skills!H7/Skills!G7,1)+IF(Skills!G7&gt;0,MIN(Skills!H7,MAX(0,MAX(0,Inputs!$B$43-B1704)-((R1677-1)*IF(Inputs!$B$38="pvp",15,MAX(0.1,Skills!D7-IF(Skills!E7=TRUE,Inputs!$B$32,0))))))/Skills!G7,1)))/Inputs!$B$43),G1677*Q1677))*IF(Inputs!$B$38="pvp",1,1+(Inputs!$B$20+Skills!O7+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7*((R1677-1)*IF(Skills!G7&gt;0,Skills!H7/Skills!G7,1)+IF(Skills!G7&gt;0,MIN(Skills!H7,MAX(0,MAX(0,Inputs!$B$43-B1704)-((R1677-1)*IF(Inputs!$B$38="pvp",15,MAX(0.1,Skills!D7-IF(Skills!E7=TRUE,Inputs!$B$32,0))))))/Skills!G7,1)))/Inputs!$B$43),G1677*Q1677))*IF(Inputs!$B$38="pvp",1,(1+(Inputs!$B$21+Skills!P7+B1698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Inputs!$B$3&gt;=103</f>
        <v/>
      </c>
      <c r="D1678">
        <f>IF(Skills!C8=1,60+Inputs!$B$25+Inputs!$B$29,IF(Skills!C8=2,90+Inputs!$B$26+Inputs!$B$29,IF(Skills!C8=3,120+Inputs!$B$27+Inputs!$B$29,MAX(0,(Inputs!$B$3-100)*3)+Inputs!$B$28+Inputs!$B$29)))</f>
        <v/>
      </c>
      <c r="E1678">
        <f>INDEX(FactorTable!$B$2:$Y$301, MATCH(ROUND(MIN(300,MAX(1,D1678)),0), FactorTable!$A$2:$A$301,0), Skills!L8+1)</f>
        <v/>
      </c>
      <c r="F1678">
        <f>IF(Skills!M8=TRUE,(Skills!K8/10)*(E1678/1000),Skills!K8/10)+Skills!N8</f>
        <v/>
      </c>
      <c r="G1678">
        <f>Calc!G8</f>
        <v/>
      </c>
      <c r="H1678">
        <f>Calc!H8</f>
        <v/>
      </c>
      <c r="I1678">
        <f>IF(Skills!T8&lt;&gt;"",1+(Skills!T8/10)*(Z1673/1000)/100,1)</f>
        <v/>
      </c>
      <c r="J1678">
        <f>((Inputs!$B$6*(1+Inputs!$B$7/100))+(((Inputs!$B$12*(1+Inputs!$B$13/100))-(Inputs!$B$12*(1+Inputs!$B$13/100)))+0.25*(Inputs!$B$14-Inputs!$B$14))*(1+Inputs!$B$7/100))*(F1678/100)</f>
        <v/>
      </c>
      <c r="K1678">
        <f>J1678*(1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8="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1688-Calc!F18),(Inputs!$B$23+(IF(ArtifactsInput!$M$15,CHOOSE(ArtifactsInput!$N$15+1,25,30,35,40,45,50)/100*(Inputs!$B$11-Inputs!$B$11),0))))/100+(Inputs!$B$23+(IF(ArtifactsInput!$M$15,CHOOSE(ArtifactsInput!$N$15+1,25,30,35,40,45,50)/100*(Inputs!$B$11-Inputs!$B$11),0)))/100)/2</f>
        <v/>
      </c>
      <c r="M1678">
        <f>L1678*(1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IF(B1707=0,0,O1678/B1707)</f>
        <v/>
      </c>
      <c r="Q1678">
        <f>IFERROR(1/IF(Inputs!$B$38="pvp",15,MAX(0.1,Skills!D8-IF(Skills!E8=TRUE,Inputs!$B$32,0))),0)</f>
        <v/>
      </c>
      <c r="R1678">
        <f>IF(AND(Inputs!$B$38&lt;&gt;"pvp",Inputs!$B$43&gt;0),IF(MAX(0,Inputs!$B$43-B1704)&lt;=0,0,(INT(MAX(0,Inputs!$B$43-B1704)/IF(Inputs!$B$38="pvp",15,MAX(0.1,Skills!D8-IF(Skills!E8=TRUE,Inputs!$B$32,0))))+1)),0)</f>
        <v/>
      </c>
      <c r="S1678">
        <f>IF(C1678,(H1678*N1678*IF(AND(Inputs!$B$38&lt;&gt;"pvp",Inputs!$B$43&gt;0),((Skills!F8*((R1678-1)*IF(Skills!G8&gt;0,Skills!H8/Skills!G8,1)+IF(Skills!G8&gt;0,MIN(Skills!H8,MAX(0,MAX(0,Inputs!$B$43-B1704)-((R1678-1)*IF(Inputs!$B$38="pvp",15,MAX(0.1,Skills!D8-IF(Skills!E8=TRUE,Inputs!$B$32,0))))))/Skills!G8,1)))/Inputs!$B$43),G1678*Q1678))*IF(Inputs!$B$38="pvp",1,1+(Inputs!$B$20+Skills!O8+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8*((R1678-1)*IF(Skills!G8&gt;0,Skills!H8/Skills!G8,1)+IF(Skills!G8&gt;0,MIN(Skills!H8,MAX(0,MAX(0,Inputs!$B$43-B1704)-((R1678-1)*IF(Inputs!$B$38="pvp",15,MAX(0.1,Skills!D8-IF(Skills!E8=TRUE,Inputs!$B$32,0))))))/Skills!G8,1)))/Inputs!$B$43),G1678*Q1678))*IF(Inputs!$B$38="pvp",1,(1+(Inputs!$B$21+Skills!P8+B1698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Inputs!$B$3&gt;=105</f>
        <v/>
      </c>
      <c r="D1679">
        <f>IF(Skills!C9=1,60+Inputs!$B$25+Inputs!$B$29,IF(Skills!C9=2,90+Inputs!$B$26+Inputs!$B$29,IF(Skills!C9=3,120+Inputs!$B$27+Inputs!$B$29,MAX(0,(Inputs!$B$3-100)*3)+Inputs!$B$28+Inputs!$B$29)))</f>
        <v/>
      </c>
      <c r="E1679">
        <f>INDEX(FactorTable!$B$2:$Y$301, MATCH(ROUND(MIN(300,MAX(1,D1679)),0), FactorTable!$A$2:$A$301,0), Skills!L9+1)</f>
        <v/>
      </c>
      <c r="F1679">
        <f>IF(Skills!M9=TRUE,(Skills!K9/10)*(E1679/1000),Skills!K9/10)+Skills!N9</f>
        <v/>
      </c>
      <c r="G1679">
        <f>Calc!G9</f>
        <v/>
      </c>
      <c r="H1679">
        <f>Calc!H9</f>
        <v/>
      </c>
      <c r="I1679">
        <f>IF(Skills!T9&lt;&gt;"",1+(Skills!T9/10)*(Z1673/1000)/100,1)</f>
        <v/>
      </c>
      <c r="J1679">
        <f>((Inputs!$B$6*(1+Inputs!$B$7/100))+(((Inputs!$B$12*(1+Inputs!$B$13/100))-(Inputs!$B$12*(1+Inputs!$B$13/100)))+0.25*(Inputs!$B$14-Inputs!$B$14))*(1+Inputs!$B$7/100))*(F1679/100)</f>
        <v/>
      </c>
      <c r="K1679">
        <f>J1679*(1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9="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1688-Calc!F18),(Inputs!$B$23+(IF(ArtifactsInput!$M$15,CHOOSE(ArtifactsInput!$N$15+1,25,30,35,40,45,50)/100*(Inputs!$B$11-Inputs!$B$11),0))))/100+(Inputs!$B$23+(IF(ArtifactsInput!$M$15,CHOOSE(ArtifactsInput!$N$15+1,25,30,35,40,45,50)/100*(Inputs!$B$11-Inputs!$B$11),0)))/100)/2</f>
        <v/>
      </c>
      <c r="M1679">
        <f>L1679*(1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IF(B1707=0,0,O1679/B1707)</f>
        <v/>
      </c>
      <c r="Q1679">
        <f>IFERROR(1/IF(Inputs!$B$38="pvp",15,MAX(0.1,Skills!D9-IF(Skills!E9=TRUE,Inputs!$B$32,0))),0)</f>
        <v/>
      </c>
      <c r="R1679">
        <f>IF(AND(Inputs!$B$38&lt;&gt;"pvp",Inputs!$B$43&gt;0),IF(MAX(0,Inputs!$B$43-B1704)&lt;=0,0,(INT(MAX(0,Inputs!$B$43-B1704)/IF(Inputs!$B$38="pvp",15,MAX(0.1,Skills!D9-IF(Skills!E9=TRUE,Inputs!$B$32,0))))+1)),0)</f>
        <v/>
      </c>
      <c r="S1679">
        <f>IF(C1679,(H1679*N1679*IF(AND(Inputs!$B$38&lt;&gt;"pvp",Inputs!$B$43&gt;0),((Skills!F9*((R1679-1)*IF(Skills!G9&gt;0,Skills!H9/Skills!G9,1)+IF(Skills!G9&gt;0,MIN(Skills!H9,MAX(0,MAX(0,Inputs!$B$43-B1704)-((R1679-1)*IF(Inputs!$B$38="pvp",15,MAX(0.1,Skills!D9-IF(Skills!E9=TRUE,Inputs!$B$32,0))))))/Skills!G9,1)))/Inputs!$B$43),G1679*Q1679))*IF(Inputs!$B$38="pvp",1,1+(Inputs!$B$20+Skills!O9+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N1679*IF(AND(Inputs!$B$38&lt;&gt;"pvp",Inputs!$B$43&gt;0),((Skills!F9*((R1679-1)*IF(Skills!G9&gt;0,Skills!H9/Skills!G9,1)+IF(Skills!G9&gt;0,MIN(Skills!H9,MAX(0,MAX(0,Inputs!$B$43-B1704)-((R1679-1)*IF(Inputs!$B$38="pvp",15,MAX(0.1,Skills!D9-IF(Skills!E9=TRUE,Inputs!$B$32,0))))))/Skills!G9,1)))/Inputs!$B$43),G1679*Q1679))*IF(Inputs!$B$38="pvp",1,(1+(Inputs!$B$21+Skills!P9+B1698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Inputs!$B$3&gt;=113</f>
        <v/>
      </c>
      <c r="D1680">
        <f>IF(Skills!C10=1,60+Inputs!$B$25+Inputs!$B$29,IF(Skills!C10=2,90+Inputs!$B$26+Inputs!$B$29,IF(Skills!C10=3,120+Inputs!$B$27+Inputs!$B$29,MAX(0,(Inputs!$B$3-100)*3)+Inputs!$B$28+Inputs!$B$29)))</f>
        <v/>
      </c>
      <c r="E1680">
        <f>INDEX(FactorTable!$B$2:$Y$301, MATCH(ROUND(MIN(300,MAX(1,D1680)),0), FactorTable!$A$2:$A$301,0), Skills!L10+1)</f>
        <v/>
      </c>
      <c r="F1680">
        <f>IF(Skills!M10=TRUE,(Skills!K10/10)*(E1680/1000),Skills!K10/10)+Skills!N10</f>
        <v/>
      </c>
      <c r="G1680">
        <f>Calc!G10</f>
        <v/>
      </c>
      <c r="H1680">
        <f>Calc!H10</f>
        <v/>
      </c>
      <c r="I1680">
        <f>IF(Skills!T10&lt;&gt;"",1+(Skills!T10/10)*(Z1673/1000)/100,1)</f>
        <v/>
      </c>
      <c r="J1680">
        <f>((Inputs!$B$6*(1+Inputs!$B$7/100))+(((Inputs!$B$12*(1+Inputs!$B$13/100))-(Inputs!$B$12*(1+Inputs!$B$13/100)))+0.25*(Inputs!$B$14-Inputs!$B$14))*(1+Inputs!$B$7/100))*(F1680/100)</f>
        <v/>
      </c>
      <c r="K1680">
        <f>J1680*(1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10="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1688-Calc!F18),(Inputs!$B$23+(IF(ArtifactsInput!$M$15,CHOOSE(ArtifactsInput!$N$15+1,25,30,35,40,45,50)/100*(Inputs!$B$11-Inputs!$B$11),0))))/100+(Inputs!$B$23+(IF(ArtifactsInput!$M$15,CHOOSE(ArtifactsInput!$N$15+1,25,30,35,40,45,50)/100*(Inputs!$B$11-Inputs!$B$11),0)))/100)/2</f>
        <v/>
      </c>
      <c r="M1680">
        <f>L1680*(1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IF(B1707=0,0,O1680/B1707)</f>
        <v/>
      </c>
      <c r="Q1680">
        <f>IFERROR(1/IF(Inputs!$B$38="pvp",15,MAX(0.1,Skills!D10-IF(Skills!E9=TRUE,Inputs!$B$32,0))),0)</f>
        <v/>
      </c>
      <c r="R1680">
        <f>IF(AND(Inputs!$B$38&lt;&gt;"pvp",Inputs!$B$43&gt;0),IF(MAX(0,Inputs!$B$43-B1704)&lt;=0,0,(INT(MAX(0,Inputs!$B$43-B1704)/IF(Inputs!$B$38="pvp",15,MAX(0.1,Skills!D10-IF(Skills!E9=TRUE,Inputs!$B$32,0))))+1)),0)</f>
        <v/>
      </c>
      <c r="S1680">
        <f>IF(C1680,(H1680*N1680*IF(AND(Inputs!$B$38&lt;&gt;"pvp",Inputs!$B$43&gt;0),((Skills!F10*((R1680-1)*IF(Skills!G10&gt;0,Skills!H10/Skills!G10,1)+IF(Skills!G10&gt;0,MIN(Skills!H10,MAX(0,MAX(0,Inputs!$B$43-B1704)-((R1680-1)*IF(Inputs!$B$38="pvp",15,MAX(0.1,Skills!D10-IF(Skills!E9=TRUE,Inputs!$B$32,0))))))/Skills!G10,1)))/Inputs!$B$43),G1680*Q1680))*IF(Inputs!$B$38="pvp",1,1+(Inputs!$B$20+Skills!O10+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10*((R1680-1)*IF(Skills!G10&gt;0,Skills!H10/Skills!G10,1)+IF(Skills!G10&gt;0,MIN(Skills!H10,MAX(0,MAX(0,Inputs!$B$43-B1704)-((R1680-1)*IF(Inputs!$B$38="pvp",15,MAX(0.1,Skills!D10-IF(Skills!E9=TRUE,Inputs!$B$32,0))))))/Skills!G10,1)))/Inputs!$B$43),G1680*Q1680))*IF(Inputs!$B$38="pvp",1,(1+(Inputs!$B$21+Skills!P10+B1698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Inputs!$B$3&gt;=107</f>
        <v/>
      </c>
      <c r="D1681">
        <f>IF(Skills!C11=1,60+Inputs!$B$25+Inputs!$B$29,IF(Skills!C11=2,90+Inputs!$B$26+Inputs!$B$29,IF(Skills!C11=3,120+Inputs!$B$27+Inputs!$B$29,MAX(0,(Inputs!$B$3-100)*3)+Inputs!$B$28+Inputs!$B$29)))</f>
        <v/>
      </c>
      <c r="E1681">
        <f>INDEX(FactorTable!$B$2:$Y$301, MATCH(ROUND(MIN(300,MAX(1,D1681)),0), FactorTable!$A$2:$A$301,0), Skills!L11+1)</f>
        <v/>
      </c>
      <c r="F1681">
        <f>IF(Skills!M11=TRUE,(Skills!K11/10)*(E1681/1000),Skills!K11/10)+Skills!N11</f>
        <v/>
      </c>
      <c r="G1681">
        <f>Calc!G11</f>
        <v/>
      </c>
      <c r="H1681">
        <f>Calc!H11</f>
        <v/>
      </c>
      <c r="I1681">
        <f>IF(Skills!T11&lt;&gt;"",1+(Skills!T11/10)*(Z1673/1000)/100,1)</f>
        <v/>
      </c>
      <c r="J1681">
        <f>((Inputs!$B$6*(1+Inputs!$B$7/100))+(((Inputs!$B$12*(1+Inputs!$B$13/100))-(Inputs!$B$12*(1+Inputs!$B$13/100)))+0.25*(Inputs!$B$14-Inputs!$B$14))*(1+Inputs!$B$7/100))*(F1681/100)</f>
        <v/>
      </c>
      <c r="K1681">
        <f>J1681*(1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11="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1688-Calc!F18),(Inputs!$B$23+(IF(ArtifactsInput!$M$15,CHOOSE(ArtifactsInput!$N$15+1,25,30,35,40,45,50)/100*(Inputs!$B$11-Inputs!$B$11),0))))/100+(Inputs!$B$23+(IF(ArtifactsInput!$M$15,CHOOSE(ArtifactsInput!$N$15+1,25,30,35,40,45,50)/100*(Inputs!$B$11-Inputs!$B$11),0)))/100)/2</f>
        <v/>
      </c>
      <c r="M1681">
        <f>L1681*(1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IF(B1707=0,0,O1681/B1707)</f>
        <v/>
      </c>
      <c r="Q1681">
        <f>IFERROR(1/IF(Inputs!$B$38="pvp",15,MAX(0.1,Skills!D11-IF(Skills!E11=TRUE,Inputs!$B$32,0))),0)</f>
        <v/>
      </c>
      <c r="R1681">
        <f>IF(AND(Inputs!$B$38&lt;&gt;"pvp",Inputs!$B$43&gt;0),IF(MAX(0,Inputs!$B$43-B1704)&lt;=0,0,(INT(MAX(0,Inputs!$B$43-B1704)/IF(Inputs!$B$38="pvp",15,MAX(0.1,Skills!D11-IF(Skills!E11=TRUE,Inputs!$B$32,0))))+1)),0)</f>
        <v/>
      </c>
      <c r="S1681">
        <f>IF(C1681,H1681*N1681*IF(AND(Inputs!$B$38&lt;&gt;"pvp",Inputs!$B$43&gt;0),((Skills!F11*((R1681-1)*IF(Skills!G11&gt;0,Skills!H11/Skills!G11,1)+IF(Skills!G11&gt;0,MIN(Skills!H11,MAX(0,MAX(0,Inputs!$B$43-B1704)-((R1681-1)*IF(Inputs!$B$38="pvp",15,MAX(0.1,Skills!D11-IF(Skills!E11=TRUE,Inputs!$B$32,0))))))/Skills!G11,1)))/Inputs!$B$43),G1681*Q1681)*0.5*IF(Inputs!$B$38="pvp",1,1+(Inputs!$B$20+Skills!O11+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11*((R1681-1)*IF(Skills!G11&gt;0,Skills!H11/Skills!G11,1)+IF(Skills!G11&gt;0,MIN(Skills!H11,MAX(0,MAX(0,Inputs!$B$43-B1704)-((R1681-1)*IF(Inputs!$B$38="pvp",15,MAX(0.1,Skills!D11-IF(Skills!E11=TRUE,Inputs!$B$32,0))))))/Skills!G11,1)))/Inputs!$B$43),G1681*Q1681)*1*IF(Inputs!$B$38="pvp",1,(1+(Inputs!$B$21+Skills!P11+B1698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Inputs!$B$3&gt;=115</f>
        <v/>
      </c>
      <c r="D1682">
        <f>IF(Skills!C12=1,60+Inputs!$B$25+Inputs!$B$29,IF(Skills!C12=2,90+Inputs!$B$26+Inputs!$B$29,IF(Skills!C12=3,120+Inputs!$B$27+Inputs!$B$29,MAX(0,(Inputs!$B$3-100)*3)+Inputs!$B$28+Inputs!$B$29)))</f>
        <v/>
      </c>
      <c r="E1682">
        <f>INDEX(FactorTable!$B$2:$Y$301, MATCH(ROUND(MIN(300,MAX(1,D1682)),0), FactorTable!$A$2:$A$301,0), Skills!L12+1)</f>
        <v/>
      </c>
      <c r="F1682">
        <f>IF(Skills!M12=TRUE,(Skills!K12/10)*(E1682/1000),Skills!K12/10)+Skills!N12</f>
        <v/>
      </c>
      <c r="G1682">
        <f>Calc!G12</f>
        <v/>
      </c>
      <c r="H1682">
        <f>Calc!H12</f>
        <v/>
      </c>
      <c r="I1682">
        <f>IF(Skills!T12&lt;&gt;"",1+(Skills!T12/10)*(Z1673/1000)/100,1)</f>
        <v/>
      </c>
      <c r="J1682">
        <f>((Inputs!$B$6*(1+Inputs!$B$7/100))+(((Inputs!$B$12*(1+Inputs!$B$13/100))-(Inputs!$B$12*(1+Inputs!$B$13/100)))+0.25*(Inputs!$B$14-Inputs!$B$14))*(1+Inputs!$B$7/100))*(F1682/100)</f>
        <v/>
      </c>
      <c r="K1682">
        <f>J1682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12="CHAIN_LIGHTNING",Inputs!$B$17+((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1688-Calc!F18),(Inputs!$B$23+(IF(ArtifactsInput!$M$15,CHOOSE(ArtifactsInput!$N$15+1,25,30,35,40,45,50)/100*(Inputs!$B$11-Inputs!$B$11),0))))/100+(Inputs!$B$23+(IF(ArtifactsInput!$M$15,CHOOSE(ArtifactsInput!$N$15+1,25,30,35,40,45,50)/100*(Inputs!$B$11-Inputs!$B$11),0)))/100)/2</f>
        <v/>
      </c>
      <c r="M1682">
        <f>L1682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IF(B1707=0,0,O1682/B1707)</f>
        <v/>
      </c>
      <c r="Q1682">
        <f>IFERROR(1/IF(Inputs!$B$38="pvp",15,MAX(0.1,Skills!D12-IF(Skills!E12=TRUE,Inputs!$B$32,0))),0)</f>
        <v/>
      </c>
      <c r="R1682">
        <f>IF(AND(Inputs!$B$38&lt;&gt;"pvp",Inputs!$B$43&gt;0),IF(MAX(0,Inputs!$B$43-B1704)&lt;=0,0,(INT(MAX(0,Inputs!$B$43-B1704)/IF(Inputs!$B$38="pvp",15,MAX(0.1,Skills!D12-IF(Skills!E12=TRUE,Inputs!$B$32,0))))+1)),0)</f>
        <v/>
      </c>
      <c r="S1682">
        <f>IF(C1682,(H1682*N1682*IF(AND(Inputs!$B$38&lt;&gt;"pvp",Inputs!$B$43&gt;0),((Skills!F12*((R1682-1)*IF(Skills!G12&gt;0,Skills!H12/Skills!G12,1)+IF(Skills!G12&gt;0,MIN(Skills!H12,MAX(0,MAX(0,Inputs!$B$43-B1704)-((R1682-1)*IF(Inputs!$B$38="pvp",15,MAX(0.1,Skills!D12-IF(Skills!E12=TRUE,Inputs!$B$32,0))))))/Skills!G12,1)))/Inputs!$B$43),G1682*Q1682))*IF(Inputs!$B$38="pvp",1,1+(Inputs!$B$20+Skills!O12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1690-Calc!F20)+(F1689-Calc!F19))+(ArtifactsInput!$M$24-ArtifactsInput!$M$24)*CHOOSE(ArtifactsInput!$N$24+1,10,12,14,16,18,20)+(IF(AND(Inputs!$B$38&lt;&gt;"pvp",Inputs!$B$43=0),1,IF(IF(Inputs!$B$38="pvp",15,Inputs!$B$43)-(B1704)&lt;=0,1,MAX(0,IF(Inputs!$B$38="pvp",15,Inputs!$B$43)-MAX(5,B1704))/(IF(Inputs!$B$38="pvp",15,Inputs!$B$43)-(B1704)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F12*((R1682-1)*IF(Skills!G12&gt;0,Skills!H12/Skills!G12,1)+IF(Skills!G12&gt;0,MIN(Skills!H12,MAX(0,MAX(0,Inputs!$B$43-B1704)-((R1682-1)*IF(Inputs!$B$38="pvp",15,MAX(0.1,Skills!D12-IF(Skills!E12=TRUE,Inputs!$B$32,0))))))/Skills!G12,1)))/Inputs!$B$43),G1682*Q1682))*IF(Inputs!$B$38="pvp",1,(1+(Inputs!$B$21+Skills!P12+B1698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Skills!A13</f>
        <v/>
      </c>
      <c r="B1683">
        <f>Skills!B13</f>
        <v/>
      </c>
      <c r="C1683">
        <f>Inputs!$B$3&gt;=49</f>
        <v/>
      </c>
      <c r="D1683">
        <f>IF(Skills!C13=1,60+Inputs!$B$25+Inputs!$B$29,IF(Skills!C13=2,90+Inputs!$B$26+Inputs!$B$29,IF(Skills!C13=3,120+Inputs!$B$27+Inputs!$B$29,MAX(0,(Inputs!$B$3-100)*3)+Inputs!$B$28+Inputs!$B$29)))</f>
        <v/>
      </c>
      <c r="E1683">
        <f>INDEX(FactorTable!$B$2:$Y$301, MATCH(ROUND(MIN(300,MAX(1,D1683)),0), FactorTable!$A$2:$A$301,0), Skills!L13+1)</f>
        <v/>
      </c>
      <c r="F1683">
        <f>IF(Skills!M13=TRUE,(Skills!K13/10)*(E1683/1000),Skills!K13/10)+Skills!N13</f>
        <v/>
      </c>
      <c r="G1683">
        <f>Calc!G13</f>
        <v/>
      </c>
      <c r="H1683">
        <f>Calc!H13</f>
        <v/>
      </c>
      <c r="I1683">
        <f>IF(Skills!T13&lt;&gt;"",1+(Skills!T13/10)*(Z1673/1000)/100,1)</f>
        <v/>
      </c>
      <c r="J1683" t="inlineStr"/>
      <c r="K1683" t="inlineStr"/>
      <c r="L1683" t="inlineStr"/>
      <c r="M1683" t="inlineStr"/>
      <c r="N1683" t="inlineStr"/>
      <c r="O1683">
        <f>(1-Summary!$B$11)*S1683+Summary!$B$11*U1683</f>
        <v/>
      </c>
      <c r="P1683">
        <f>IF(B1707=0,0,O1683/B1707)</f>
        <v/>
      </c>
      <c r="Q1683">
        <f>IFERROR(1/IF(Inputs!$B$38="pvp",15,MAX(0.1,Skills!D13-IF(Skills!E13=TRUE,Inputs!$B$32,0))),0)</f>
        <v/>
      </c>
      <c r="R1683" t="n">
        <v>0</v>
      </c>
      <c r="S1683" t="n">
        <v>0</v>
      </c>
      <c r="U1683" t="n">
        <v>0</v>
      </c>
    </row>
    <row r="1684">
      <c r="A1684">
        <f>Skills!A14</f>
        <v/>
      </c>
      <c r="B1684">
        <f>Skills!B14</f>
        <v/>
      </c>
      <c r="C1684">
        <f>Inputs!$B$3&gt;=72</f>
        <v/>
      </c>
      <c r="D1684">
        <f>IF(Skills!C14=1,60+Inputs!$B$25+Inputs!$B$29,IF(Skills!C14=2,90+Inputs!$B$26+Inputs!$B$29,IF(Skills!C14=3,120+Inputs!$B$27+Inputs!$B$29,MAX(0,(Inputs!$B$3-100)*3)+Inputs!$B$28+Inputs!$B$29)))</f>
        <v/>
      </c>
      <c r="E1684">
        <f>INDEX(FactorTable!$B$2:$Y$301, MATCH(ROUND(MIN(300,MAX(1,D1684)),0), FactorTable!$A$2:$A$301,0), Skills!L14+1)</f>
        <v/>
      </c>
      <c r="F1684">
        <f>IF(Skills!M14=TRUE,(Skills!K14/10)*(E1684/1000),Skills!K14/10)+Skills!N14</f>
        <v/>
      </c>
      <c r="G1684">
        <f>Calc!G14</f>
        <v/>
      </c>
      <c r="H1684">
        <f>Calc!H14</f>
        <v/>
      </c>
      <c r="I1684">
        <f>IF(Skills!T14&lt;&gt;"",1+(Skills!T14/10)*(Z1673/1000)/100,1)</f>
        <v/>
      </c>
      <c r="J1684" t="inlineStr"/>
      <c r="K1684" t="inlineStr"/>
      <c r="L1684" t="inlineStr"/>
      <c r="M1684" t="inlineStr"/>
      <c r="N1684" t="inlineStr"/>
      <c r="O1684">
        <f>(1-Summary!$B$11)*S1684+Summary!$B$11*U1684</f>
        <v/>
      </c>
      <c r="P1684">
        <f>IF(B1707=0,0,O1684/B1707)</f>
        <v/>
      </c>
      <c r="Q1684">
        <f>IFERROR(1/IF(Inputs!$B$38="pvp",15,MAX(0.1,Skills!D14-IF(Skills!E14=TRUE,Inputs!$B$32,0))),0)</f>
        <v/>
      </c>
      <c r="R1684" t="n">
        <v>0</v>
      </c>
      <c r="S1684" t="n">
        <v>0</v>
      </c>
      <c r="U1684" t="n">
        <v>0</v>
      </c>
    </row>
    <row r="1685">
      <c r="A1685">
        <f>Skills!A15</f>
        <v/>
      </c>
      <c r="B1685">
        <f>Skills!B15</f>
        <v/>
      </c>
      <c r="C1685">
        <f>Inputs!$B$3&gt;=75</f>
        <v/>
      </c>
      <c r="D1685">
        <f>IF(Skills!C15=1,60+Inputs!$B$25+Inputs!$B$29,IF(Skills!C15=2,90+Inputs!$B$26+Inputs!$B$29,IF(Skills!C15=3,120+Inputs!$B$27+Inputs!$B$29,MAX(0,(Inputs!$B$3-100)*3)+Inputs!$B$28+Inputs!$B$29)))</f>
        <v/>
      </c>
      <c r="E1685">
        <f>INDEX(FactorTable!$B$2:$Y$301, MATCH(ROUND(MIN(300,MAX(1,D1685)),0), FactorTable!$A$2:$A$301,0), Skills!L15+1)</f>
        <v/>
      </c>
      <c r="F1685">
        <f>IF(Skills!M15=TRUE,(Skills!K15/10)*(E1685/1000),Skills!K15/10)+Skills!N15</f>
        <v/>
      </c>
      <c r="G1685">
        <f>Calc!G15</f>
        <v/>
      </c>
      <c r="H1685">
        <f>Calc!H15</f>
        <v/>
      </c>
      <c r="I1685">
        <f>IF(Skills!T15&lt;&gt;"",1+(Skills!T15/10)*(Z1673/1000)/100,1)</f>
        <v/>
      </c>
      <c r="J1685" t="inlineStr"/>
      <c r="K1685" t="inlineStr"/>
      <c r="L1685" t="inlineStr"/>
      <c r="M1685" t="inlineStr"/>
      <c r="N1685" t="inlineStr"/>
      <c r="O1685">
        <f>(1-Summary!$B$11)*S1685+Summary!$B$11*U1685</f>
        <v/>
      </c>
      <c r="P1685">
        <f>IF(B1707=0,0,O1685/B1707)</f>
        <v/>
      </c>
      <c r="Q1685">
        <f>IFERROR(1/IF(Inputs!$B$38="pvp",15,MAX(0.1,Skills!D15-IF(Skills!E15=TRUE,Inputs!$B$32,0))),0)</f>
        <v/>
      </c>
      <c r="R1685" t="n">
        <v>0</v>
      </c>
      <c r="S1685" t="n">
        <v>0</v>
      </c>
      <c r="U1685" t="n">
        <v>0</v>
      </c>
    </row>
    <row r="1686">
      <c r="A1686">
        <f>Skills!A16</f>
        <v/>
      </c>
      <c r="B1686">
        <f>Skills!B16</f>
        <v/>
      </c>
      <c r="C1686">
        <f>Inputs!$B$3&gt;=110</f>
        <v/>
      </c>
      <c r="D1686">
        <f>IF(Skills!C16=1,60+Inputs!$B$25+Inputs!$B$29,IF(Skills!C16=2,90+Inputs!$B$26+Inputs!$B$29,IF(Skills!C16=3,120+Inputs!$B$27+Inputs!$B$29,MAX(0,(Inputs!$B$3-100)*3)+Inputs!$B$28+Inputs!$B$29)))</f>
        <v/>
      </c>
      <c r="E1686">
        <f>INDEX(FactorTable!$B$2:$Y$301, MATCH(ROUND(MIN(300,MAX(1,D1686)),0), FactorTable!$A$2:$A$301,0), Skills!L16+1)</f>
        <v/>
      </c>
      <c r="F1686">
        <f>(Skills!K16/10)*(E1686/1000)*64/45+Skills!N16</f>
        <v/>
      </c>
      <c r="G1686">
        <f>Calc!G16</f>
        <v/>
      </c>
      <c r="H1686">
        <f>Calc!H16</f>
        <v/>
      </c>
      <c r="I1686">
        <f>IF(Skills!T16&lt;&gt;"",1+(Skills!T16/10)*(Z1673/1000)/100,1)</f>
        <v/>
      </c>
      <c r="J1686" t="inlineStr"/>
      <c r="K1686" t="inlineStr"/>
      <c r="L1686" t="inlineStr"/>
      <c r="M1686" t="inlineStr"/>
      <c r="N1686" t="inlineStr"/>
      <c r="O1686">
        <f>(1-Summary!$B$11)*S1686+Summary!$B$11*U1686</f>
        <v/>
      </c>
      <c r="P1686">
        <f>IF(B1707=0,0,O1686/B1707)</f>
        <v/>
      </c>
      <c r="Q1686">
        <f>IFERROR(1/IF(Inputs!$B$38="pvp",15,MAX(0.1,Skills!D16-IF(Skills!E16=TRUE,Inputs!$B$32,0))),0)</f>
        <v/>
      </c>
      <c r="R1686">
        <f>IF(AND(Inputs!$B$38&lt;&gt;"pvp",Inputs!$B$43&gt;0),IF(Inputs!$B$43&lt;=0,0,(INT(Inputs!$B$43/IF(Inputs!$B$38="pvp",15,MAX(0.1,Skills!D16-IF(Skills!E16=TRUE,Inputs!$B$32,0))))+1)),0)</f>
        <v/>
      </c>
      <c r="S1686" t="n">
        <v>0</v>
      </c>
      <c r="U1686" t="n">
        <v>0</v>
      </c>
    </row>
    <row r="1687">
      <c r="A1687">
        <f>Skills!A17</f>
        <v/>
      </c>
      <c r="B1687">
        <f>Skills!B17</f>
        <v/>
      </c>
      <c r="C1687">
        <f>Inputs!$B$3&gt;=33</f>
        <v/>
      </c>
      <c r="D1687">
        <f>IF(Skills!C17=1,60+Inputs!$B$25+Inputs!$B$29,IF(Skills!C17=2,90+Inputs!$B$26+Inputs!$B$29,IF(Skills!C17=3,120+Inputs!$B$27+Inputs!$B$29,MAX(0,(Inputs!$B$3-100)*3)+Inputs!$B$28+Inputs!$B$29)))</f>
        <v/>
      </c>
      <c r="E1687">
        <f>INDEX(FactorTable!$B$2:$Y$301, MATCH(ROUND(MIN(300,MAX(1,D1687)),0), FactorTable!$A$2:$A$301,0), Skills!L17+1)</f>
        <v/>
      </c>
      <c r="F1687">
        <f>IF(Skills!M17=TRUE,(Skills!K17/10)*(E1687/1000),Skills!K17/10)+Skills!N17</f>
        <v/>
      </c>
      <c r="G1687">
        <f>Calc!G17</f>
        <v/>
      </c>
      <c r="H1687">
        <f>Calc!H17</f>
        <v/>
      </c>
      <c r="I1687">
        <f>IF(Skills!T17&lt;&gt;"",1+(Skills!T17/10)*(Z1673/1000)/100,1)</f>
        <v/>
      </c>
      <c r="J1687" t="inlineStr"/>
      <c r="K1687" t="inlineStr"/>
      <c r="L1687" t="inlineStr"/>
      <c r="M1687" t="inlineStr"/>
      <c r="N1687" t="inlineStr"/>
      <c r="O1687">
        <f>(1-Summary!$B$11)*S1687+Summary!$B$11*U1687</f>
        <v/>
      </c>
      <c r="P1687">
        <f>IF(B1707=0,0,O1687/B1707)</f>
        <v/>
      </c>
      <c r="Q1687">
        <f>IFERROR(1/IF(Inputs!$B$38="pvp",15,MAX(0.1,Skills!D17-IF(Skills!E17=TRUE,Inputs!$B$32,0))),0)</f>
        <v/>
      </c>
      <c r="R1687" t="n">
        <v>0</v>
      </c>
      <c r="S1687" t="n">
        <v>0</v>
      </c>
      <c r="U1687" t="n">
        <v>0</v>
      </c>
    </row>
    <row r="1688">
      <c r="A1688">
        <f>Skills!A18</f>
        <v/>
      </c>
      <c r="B1688">
        <f>Skills!B18</f>
        <v/>
      </c>
      <c r="C1688">
        <f>Inputs!$B$3&gt;=43</f>
        <v/>
      </c>
      <c r="D1688">
        <f>IF(Skills!C18=1,60+Inputs!$B$25+Inputs!$B$29,IF(Skills!C18=2,90+Inputs!$B$26+Inputs!$B$29,IF(Skills!C18=3,120+Inputs!$B$27+Inputs!$B$29,MAX(0,(Inputs!$B$3-100)*3)+Inputs!$B$28+Inputs!$B$29)))</f>
        <v/>
      </c>
      <c r="E1688">
        <f>INDEX(FactorTable!$B$2:$Y$301, MATCH(ROUND(MIN(300,MAX(1,D1688)),0), FactorTable!$A$2:$A$301,0), Skills!L18+1)</f>
        <v/>
      </c>
      <c r="F1688">
        <f>IF(Skills!M18=TRUE,(Skills!K18/10)*(E1688/1000),Skills!K18/10)+Skills!N18</f>
        <v/>
      </c>
      <c r="G1688">
        <f>Calc!G18</f>
        <v/>
      </c>
      <c r="H1688">
        <f>Calc!H18</f>
        <v/>
      </c>
      <c r="I1688">
        <f>IF(Skills!T18&lt;&gt;"",1+(Skills!T18/10)*(Z1673/1000)/100,1)</f>
        <v/>
      </c>
      <c r="J1688" t="inlineStr"/>
      <c r="K1688" t="inlineStr"/>
      <c r="L1688" t="inlineStr"/>
      <c r="M1688" t="inlineStr"/>
      <c r="N1688" t="inlineStr"/>
      <c r="O1688">
        <f>(1-Summary!$B$11)*S1688+Summary!$B$11*U1688</f>
        <v/>
      </c>
      <c r="P1688">
        <f>IF(B1707=0,0,O1688/B1707)</f>
        <v/>
      </c>
      <c r="Q1688">
        <f>IFERROR(1/IF(Inputs!$B$38="pvp",15,MAX(0.1,Skills!D18-IF(Skills!E18=TRUE,Inputs!$B$32,0))),0)</f>
        <v/>
      </c>
      <c r="R1688" t="n">
        <v>0</v>
      </c>
      <c r="S1688" t="n">
        <v>0</v>
      </c>
      <c r="U1688" t="n">
        <v>0</v>
      </c>
    </row>
    <row r="1689">
      <c r="A1689">
        <f>Skills!A19</f>
        <v/>
      </c>
      <c r="B1689">
        <f>Skills!B19</f>
        <v/>
      </c>
      <c r="C1689">
        <f>Inputs!$B$3&gt;=50</f>
        <v/>
      </c>
      <c r="D1689">
        <f>IF(Skills!C19=1,60+Inputs!$B$25+Inputs!$B$29,IF(Skills!C19=2,90+Inputs!$B$26+Inputs!$B$29,IF(Skills!C19=3,120+Inputs!$B$27+Inputs!$B$29,MAX(0,(Inputs!$B$3-100)*3)+Inputs!$B$28+Inputs!$B$29)))</f>
        <v/>
      </c>
      <c r="E1689">
        <f>INDEX(FactorTable!$B$2:$Y$301, MATCH(ROUND(MIN(300,MAX(1,D1689)),0), FactorTable!$A$2:$A$301,0), Skills!L19+1)</f>
        <v/>
      </c>
      <c r="F1689">
        <f>IF(Skills!M19=TRUE,(Skills!K19/10)*(E1689/1000),Skills!K19/10)+Skills!N19</f>
        <v/>
      </c>
      <c r="G1689">
        <f>Calc!G19</f>
        <v/>
      </c>
      <c r="H1689">
        <f>Calc!H19</f>
        <v/>
      </c>
      <c r="I1689">
        <f>IF(Skills!T19&lt;&gt;"",1+(Skills!T19/10)*(Z1673/1000)/100,1)</f>
        <v/>
      </c>
      <c r="J1689" t="inlineStr"/>
      <c r="K1689" t="inlineStr"/>
      <c r="L1689" t="inlineStr"/>
      <c r="M1689" t="inlineStr"/>
      <c r="N1689" t="inlineStr"/>
      <c r="O1689">
        <f>(1-Summary!$B$11)*S1689+Summary!$B$11*U1689</f>
        <v/>
      </c>
      <c r="P1689">
        <f>IF(B1707=0,0,O1689/B1707)</f>
        <v/>
      </c>
      <c r="Q1689">
        <f>IFERROR(1/IF(Inputs!$B$38="pvp",15,MAX(0.1,Skills!D19-IF(Skills!E19=TRUE,Inputs!$B$32,0))),0)</f>
        <v/>
      </c>
      <c r="R1689" t="n">
        <v>0</v>
      </c>
      <c r="S1689" t="n">
        <v>0</v>
      </c>
      <c r="U1689" t="n">
        <v>0</v>
      </c>
    </row>
    <row r="1690">
      <c r="A1690">
        <f>Skills!A20</f>
        <v/>
      </c>
      <c r="B1690">
        <f>Skills!B20</f>
        <v/>
      </c>
      <c r="C1690">
        <f>Inputs!$B$3&gt;=74</f>
        <v/>
      </c>
      <c r="D1690">
        <f>IF(Skills!C20=1,60+Inputs!$B$25+Inputs!$B$29,IF(Skills!C20=2,90+Inputs!$B$26+Inputs!$B$29,IF(Skills!C20=3,120+Inputs!$B$27+Inputs!$B$29,MAX(0,(Inputs!$B$3-100)*3)+Inputs!$B$28+Inputs!$B$29)))</f>
        <v/>
      </c>
      <c r="E1690">
        <f>INDEX(FactorTable!$B$2:$Y$301, MATCH(ROUND(MIN(300,MAX(1,D1690)),0), FactorTable!$A$2:$A$301,0), Skills!L20+1)</f>
        <v/>
      </c>
      <c r="F1690">
        <f>IF(Skills!M20=TRUE,(Skills!K20/10)*(E1690/1000),Skills!K20/10)+Skills!N20</f>
        <v/>
      </c>
      <c r="G1690">
        <f>Calc!G20</f>
        <v/>
      </c>
      <c r="H1690">
        <f>Calc!H20</f>
        <v/>
      </c>
      <c r="I1690">
        <f>IF(Skills!T20&lt;&gt;"",1+(Skills!T20/10)*(Z1673/1000)/100,1)</f>
        <v/>
      </c>
      <c r="J1690" t="inlineStr"/>
      <c r="K1690" t="inlineStr"/>
      <c r="L1690" t="inlineStr"/>
      <c r="M1690" t="inlineStr"/>
      <c r="N1690" t="inlineStr"/>
      <c r="O1690">
        <f>(1-Summary!$B$11)*S1690+Summary!$B$11*U1690</f>
        <v/>
      </c>
      <c r="P1690">
        <f>IF(B1707=0,0,O1690/B1707)</f>
        <v/>
      </c>
      <c r="Q1690">
        <f>IFERROR(1/IF(Inputs!$B$38="pvp",15,MAX(0.1,Skills!D20-IF(Skills!E20=TRUE,Inputs!$B$32,0))),0)</f>
        <v/>
      </c>
      <c r="R1690" t="n">
        <v>0</v>
      </c>
      <c r="S1690" t="n">
        <v>0</v>
      </c>
      <c r="U1690" t="n">
        <v>0</v>
      </c>
    </row>
    <row r="1691">
      <c r="A1691">
        <f>Skills!A21</f>
        <v/>
      </c>
      <c r="B1691">
        <f>Skills!B21</f>
        <v/>
      </c>
      <c r="C1691">
        <f>Inputs!$B$3&gt;=74</f>
        <v/>
      </c>
      <c r="D1691">
        <f>IF(Skills!C21=1,60+Inputs!$B$25+Inputs!$B$29,IF(Skills!C21=2,90+Inputs!$B$26+Inputs!$B$29,IF(Skills!C21=3,120+Inputs!$B$27+Inputs!$B$29,MAX(0,(Inputs!$B$3-100)*3)+Inputs!$B$28+Inputs!$B$29)))</f>
        <v/>
      </c>
      <c r="E1691">
        <f>INDEX(FactorTable!$B$2:$Y$301, MATCH(ROUND(MIN(300,MAX(1,D1691)),0), FactorTable!$A$2:$A$301,0), Skills!L21+1)</f>
        <v/>
      </c>
      <c r="F1691">
        <f>IF(Skills!M21=TRUE,(Skills!K21/10)*(E1691/1000),Skills!K21/10)+Skills!N21</f>
        <v/>
      </c>
      <c r="G1691">
        <f>Calc!G21</f>
        <v/>
      </c>
      <c r="H1691">
        <f>Calc!H21</f>
        <v/>
      </c>
      <c r="I1691">
        <f>IF(Skills!T21&lt;&gt;"",1+(Skills!T21/10)*(Z1673/1000)/100,1)</f>
        <v/>
      </c>
      <c r="J1691" t="inlineStr"/>
      <c r="K1691" t="inlineStr"/>
      <c r="L1691" t="inlineStr"/>
      <c r="M1691" t="inlineStr"/>
      <c r="N1691" t="inlineStr"/>
      <c r="O1691">
        <f>(1-Summary!$B$11)*S1691+Summary!$B$11*U1691</f>
        <v/>
      </c>
      <c r="P1691">
        <f>IF(B1707=0,0,O1691/B1707)</f>
        <v/>
      </c>
      <c r="Q1691">
        <f>IFERROR(1/IF(Inputs!$B$38="pvp",15,MAX(0.1,Skills!D21-IF(Skills!E21=TRUE,Inputs!$B$32,0))),0)</f>
        <v/>
      </c>
      <c r="R1691" t="n">
        <v>0</v>
      </c>
      <c r="S1691" t="n">
        <v>0</v>
      </c>
      <c r="U1691" t="n">
        <v>0</v>
      </c>
    </row>
    <row r="1692">
      <c r="A1692">
        <f>Skills!A22</f>
        <v/>
      </c>
      <c r="B1692">
        <f>Skills!B22</f>
        <v/>
      </c>
      <c r="C1692">
        <f>Inputs!$B$3&gt;=117</f>
        <v/>
      </c>
      <c r="D1692">
        <f>IF(Skills!C22=1,60+Inputs!$B$25+Inputs!$B$29,IF(Skills!C22=2,90+Inputs!$B$26+Inputs!$B$29,IF(Skills!C22=3,120+Inputs!$B$27+Inputs!$B$29,MAX(0,(Inputs!$B$3-100)*3)+Inputs!$B$28+Inputs!$B$29)))</f>
        <v/>
      </c>
      <c r="E1692">
        <f>INDEX(FactorTable!$B$2:$Y$301, MATCH(ROUND(MIN(300,MAX(1,D1692)),0), FactorTable!$A$2:$A$301,0), Skills!L22+1)</f>
        <v/>
      </c>
      <c r="F1692">
        <f>IF(Skills!M22=TRUE,(Skills!K22/10)*(E1692/1000),Skills!K22/10)+Skills!N22</f>
        <v/>
      </c>
      <c r="G1692">
        <f>Calc!G22</f>
        <v/>
      </c>
      <c r="H1692">
        <f>Calc!H22</f>
        <v/>
      </c>
      <c r="I1692">
        <f>IF(Skills!T22&lt;&gt;"",1+(Skills!T22/10)*(Z1673/1000)/100,1)</f>
        <v/>
      </c>
      <c r="J1692" t="inlineStr"/>
      <c r="K1692" t="inlineStr"/>
      <c r="L1692" t="inlineStr"/>
      <c r="M1692" t="inlineStr"/>
      <c r="N1692" t="inlineStr"/>
      <c r="O1692">
        <f>(1-Summary!$B$11)*S1692+Summary!$B$11*U1692</f>
        <v/>
      </c>
      <c r="P1692">
        <f>IF(B1707=0,0,O1692/B1707)</f>
        <v/>
      </c>
      <c r="Q1692">
        <f>IFERROR(1/IF(Inputs!$B$38="pvp",15,MAX(0.1,Skills!D22-IF(Skills!E22=TRUE,Inputs!$B$32,0))),0)</f>
        <v/>
      </c>
      <c r="R1692" t="n">
        <v>0</v>
      </c>
      <c r="S1692" t="n">
        <v>0</v>
      </c>
      <c r="U1692" t="n">
        <v>0</v>
      </c>
    </row>
    <row r="1693">
      <c r="A1693">
        <f>Skills!A23</f>
        <v/>
      </c>
      <c r="B1693">
        <f>Skills!B23</f>
        <v/>
      </c>
      <c r="C1693">
        <f>Inputs!$B$3&gt;=120</f>
        <v/>
      </c>
      <c r="D1693">
        <f>IF(Skills!C23=1,60+Inputs!$B$25+Inputs!$B$29,IF(Skills!C23=2,90+Inputs!$B$26+Inputs!$B$29,IF(Skills!C23=3,120+Inputs!$B$27+Inputs!$B$29,MAX(0,(Inputs!$B$3-100)*3)+Inputs!$B$28+Inputs!$B$29)))</f>
        <v/>
      </c>
      <c r="E1693">
        <f>INDEX(FactorTable!$B$2:$Y$301, MATCH(ROUND(MIN(300,MAX(1,D1693)),0), FactorTable!$A$2:$A$301,0), Skills!L23+1)</f>
        <v/>
      </c>
      <c r="F1693">
        <f>IF(Skills!M23=TRUE,(Skills!K23/10)*(E1693/1000),Skills!K23/10)+Skills!N23</f>
        <v/>
      </c>
      <c r="G1693">
        <f>Calc!G23</f>
        <v/>
      </c>
      <c r="H1693">
        <f>Calc!H23</f>
        <v/>
      </c>
      <c r="I1693">
        <f>IF(Skills!T23&lt;&gt;"",1+(Skills!T23/10)*(Z1673/1000)/100,1)</f>
        <v/>
      </c>
      <c r="J1693" t="inlineStr"/>
      <c r="K1693" t="inlineStr"/>
      <c r="L1693" t="inlineStr"/>
      <c r="M1693" t="inlineStr"/>
      <c r="N1693" t="inlineStr"/>
      <c r="O1693">
        <f>(1-Summary!$B$11)*S1693+Summary!$B$11*U1693</f>
        <v/>
      </c>
      <c r="P1693">
        <f>IF(B1707=0,0,O1693/B1707)</f>
        <v/>
      </c>
      <c r="Q1693">
        <f>IFERROR(1/IF(Inputs!$B$38="pvp",15,MAX(0.1,Skills!D23-IF(Skills!E23=TRUE,Inputs!$B$32,0))),0)</f>
        <v/>
      </c>
      <c r="R1693" t="n">
        <v>0</v>
      </c>
      <c r="S1693" t="n">
        <v>0</v>
      </c>
      <c r="U1693" t="n">
        <v>0</v>
      </c>
    </row>
    <row r="1694">
      <c r="A1694">
        <f>Skills!A24</f>
        <v/>
      </c>
      <c r="B1694">
        <f>Skills!B24</f>
        <v/>
      </c>
      <c r="C1694">
        <f>TRUE</f>
        <v/>
      </c>
      <c r="D1694">
        <f>IF(Skills!C24=1,60+Inputs!$B$25+Inputs!$B$29,IF(Skills!C24=2,90+Inputs!$B$26+Inputs!$B$29,IF(Skills!C24=3,120+Inputs!$B$27+Inputs!$B$29,MAX(0,(Inputs!$B$3-100)*3)+Inputs!$B$28+Inputs!$B$29)))</f>
        <v/>
      </c>
      <c r="E1694">
        <f>INDEX(FactorTable!$B$2:$Y$301, MATCH(ROUND(MIN(300,MAX(1,D1694)),0), FactorTable!$A$2:$A$301,0), Skills!L24+1)</f>
        <v/>
      </c>
      <c r="F1694">
        <f>IF(Skills!M24=TRUE,(Skills!K24/10)*(E1694/1000),Skills!K24/10)+Skills!N24</f>
        <v/>
      </c>
      <c r="G1694">
        <f>Calc!G24</f>
        <v/>
      </c>
      <c r="H1694">
        <f>Calc!H24</f>
        <v/>
      </c>
      <c r="I1694">
        <f>IF(Skills!T24&lt;&gt;"",1+(Skills!T24/10)*(Z1673/1000)/100,1)</f>
        <v/>
      </c>
      <c r="J1694" t="inlineStr"/>
      <c r="K1694" t="inlineStr"/>
      <c r="L1694" t="inlineStr"/>
      <c r="M1694" t="inlineStr"/>
      <c r="N1694" t="inlineStr"/>
      <c r="O1694">
        <f>(1-Summary!$B$11)*S1694+Summary!$B$11*U1694</f>
        <v/>
      </c>
      <c r="P1694">
        <f>IF(B1707=0,0,O1694/B1707)</f>
        <v/>
      </c>
      <c r="Q1694">
        <f>IFERROR(1/IF(Inputs!$B$38="pvp",15,MAX(0.1,Skills!D24-IF(Skills!E24=TRUE,Inputs!$B$32,0))),0)</f>
        <v/>
      </c>
      <c r="R1694">
        <f>IF(AND(Inputs!$B$38&lt;&gt;"pvp",Inputs!$B$43&gt;0),IF(Inputs!$B$43&lt;=0,0,(INT(Inputs!$B$43/IF(Inputs!$B$38="pvp",15,MAX(0.1,Skills!D24-IF(Skills!E24=TRUE,Inputs!$B$32,0))))+1)),0)</f>
        <v/>
      </c>
      <c r="S1694" t="n">
        <v>0</v>
      </c>
      <c r="U1694" t="n">
        <v>0</v>
      </c>
    </row>
    <row r="1697">
      <c r="A1697" t="inlineStr">
        <is>
          <t>Average Buff Multiplier (Magic Guard + Meditation + Artifact Attack%, summed; then Infinity)</t>
        </is>
      </c>
      <c r="B1697">
        <f>(1+(IF(C1673=TRUE,F1673*IF(AND(Inputs!$B$38&lt;&gt;"pvp",Inputs!$B$43&gt;0),(((R1673-1)*(Skills!S3*(1+(Inputs!$B$34)/100))+MIN((Skills!S3*(1+(Inputs!$B$34)/100)),MAX(0,Inputs!$B$43-((R1673-1)*Skills!D3))))/Inputs!$B$43),IF(Inputs!$B$38="pvp",MIN((Skills!S3*(1+(Inputs!$B$34)/100)),15)/15,(Skills!S3*(1+(Inputs!$B$34)/100))/Skills!D3)),0)+IF(C1674=TRUE,F1674*IF(AND(Inputs!$B$38&lt;&gt;"pvp",Inputs!$B$43&gt;0),(((R1674-1)*(Skills!S4*(1+(Inputs!$B$34)/100))+MIN((Skills!S4*(1+(Inputs!$B$34)/100)),MAX(0,Inputs!$B$43-((R1674-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1686=TRUE,(1+F1686*IF(AND(Inputs!$B$38&lt;&gt;"pvp",Inputs!$B$43&gt;0),(((R1686-1)*(Skills!S16*(1+(Inputs!$B$34)/100))+MIN((Skills!S16*(1+(Inputs!$B$34)/100)),MAX(0,Inputs!$B$43-((R1686-1)*Skills!D16))))/Inputs!$B$43),IF(Inputs!$B$38="pvp",MIN((Skills!S16*(1+(Inputs!$B$34)/100)),15)/15,(Skills!S16*(1+(Inputs!$B$34)/100))/Skills!D16))/100),1)</f>
        <v/>
      </c>
    </row>
    <row r="1698">
      <c r="A1698" t="inlineStr">
        <is>
          <t>Monster Damage Taken Bonus % (Freezing Breath - Weaken + Elemental Reset + Artifact Enemy Damage Taken, summed)</t>
        </is>
      </c>
      <c r="B1698">
        <f>IF(Inputs!$B$3&gt;=118,15*IF(Inputs!$B$38="pvp",MIN((30*(1+(Inputs!$B$34)/100)),15)/15,(30*(1+(Inputs!$B$34)/100))/Skills!D8),0)+IF(C1684=TRUE,F1684,0)+(IF(AND(ArtifactsInput!$M$35,Inputs!$B$4&lt;&gt;"Chapter Hunt"),CHOOSE(ArtifactsInput!$N$35+1,15,18,21,24,27,30)*(1-EXP(-(0.2*B1701)*5)),0)+IF(AND(IF(ArtifactsInput!$M$22,FALSE,TRUE),Inputs!$B$4&lt;&gt;"Chapter Hunt"),CHOOSE(ArtifactsInput!$N$22+1,10,12,14,16,18,20)*((0*(((0.15*B1701*5))^0/1)+1*(((0.15*B1701*5))^1/1)+2*(((0.15*B1701*5))^2/2)+3*(((0.15*B1701*5))^3/6)+4*(((0.15*B1701*5))^4/24)+5*(((0.15*B1701*5))^5/120))/((((0.15*B1701*5))^0/1)+(((0.15*B1701*5))^1/1)+(((0.15*B1701*5))^2/2)+(((0.15*B1701*5))^3/6)+(((0.15*B1701*5))^4/24)+(((0.15*B1701*5))^5/120))),0))</f>
        <v/>
      </c>
    </row>
    <row r="1699">
      <c r="A1699" t="inlineStr">
        <is>
          <t>Damage % Bonus (Frozen Break + Frost Clutch, flat)</t>
        </is>
      </c>
      <c r="B1699">
        <f>IF(Inputs!$B$3&gt;=66,15,0)+IF(Inputs!$B$3&gt;=98,10,0)+IF(Inputs!$B$3&gt;=125,20,0)</f>
        <v/>
      </c>
    </row>
    <row r="1700">
      <c r="A1700" t="inlineStr">
        <is>
          <t>Attack Speed Bonus % (MP Eater - MP Boost, always-on + Nimble Feet, duty-cycle averaged)</t>
        </is>
      </c>
      <c r="B1700">
        <f>IF(C1683=TRUE,F1683+(F1687-Calc!F17),0)+((C1694=TRUE)*F1694*IF(AND(Inputs!$B$38&lt;&gt;"pvp",Inputs!$B$43&gt;0),(((R1694-1)*(Skills!S24*(1+(Inputs!$B$34)/100))+MIN((Skills!S24*(1+(Inputs!$B$34)/100)),MAX(0,Inputs!$B$43-((R1694-1)*Skills!D24))))/Inputs!$B$43),IF(Inputs!$B$38="pvp",MIN((Skills!S24*(1+(Inputs!$B$34)/100)),15)/15,(Skills!S24*(1+(Inputs!$B$34)/100))/Skills!D24)))</f>
        <v/>
      </c>
    </row>
    <row r="1701">
      <c r="A1701" t="inlineStr">
        <is>
          <t>Actions Per Second</t>
        </is>
      </c>
      <c r="B1701">
        <f>1+MIN(150,150*(1-(1-(Inputs!$B$11+(ArtifactsInput!$M$15-ArtifactsInput!$M$15)*CHOOSE(ArtifactsInput!$N$15+1,8,9.6,11.2,12.8,14.4,16))/150)*(1-B1700/150)))/100</f>
        <v/>
      </c>
    </row>
    <row r="1702">
      <c r="A1702" t="inlineStr">
        <is>
          <t>Skill + Buff Cast Rate</t>
        </is>
      </c>
      <c r="B1702">
        <f>IF(AND(Inputs!$B$38&lt;&gt;"pvp",Inputs!$B$43&gt;0),SUMPRODUCT((Skills!E2:E24=TRUE)*(C1672:C1694=TRUE)*R1672:R1694)/Inputs!$B$43,SUMPRODUCT((Skills!E2:E24=TRUE)*(C1672:C1694=TRUE)*Q1672:Q1694))</f>
        <v/>
      </c>
    </row>
    <row r="1703">
      <c r="A1703" t="inlineStr">
        <is>
          <t>Chain Lightning Casts Per Second</t>
        </is>
      </c>
      <c r="B1703">
        <f>MAX(0,B1701-B1702)</f>
        <v/>
      </c>
    </row>
    <row r="1704">
      <c r="A1704" t="inlineStr">
        <is>
          <t>Buff-Casting Startup Delay (s, fixed-duration only)</t>
        </is>
      </c>
      <c r="B1704">
        <f>IF(AND(Inputs!$B$38&lt;&gt;"pvp",Inputs!$B$43&gt;0),SUMPRODUCT((Skills!S2:S24&gt;0)*(Skills!E2:E24=TRUE)*(C1672:C1694=TRUE))/B1701,0)</f>
        <v/>
      </c>
    </row>
    <row r="1705">
      <c r="A1705" t="inlineStr">
        <is>
          <t>Boss-Only Total DPS (this block's swept value)</t>
        </is>
      </c>
      <c r="B1705">
        <f>SUM(S1672:S1694)</f>
        <v/>
      </c>
    </row>
    <row r="1706">
      <c r="A1706" t="inlineStr">
        <is>
          <t>Normal-Only Total DPS (this block's swept value)</t>
        </is>
      </c>
      <c r="B1706">
        <f>SUM(U1672:U1694)</f>
        <v/>
      </c>
    </row>
    <row r="1707">
      <c r="A1707" s="6" t="inlineStr">
        <is>
          <t>TOTAL DPS</t>
        </is>
      </c>
      <c r="B1707" s="6">
        <f>SUM(O1672:O1694)</f>
        <v/>
      </c>
    </row>
    <row r="1710">
      <c r="A1710" s="6" t="inlineStr">
        <is>
          <t>Stat: Star Rock (Equip)</t>
        </is>
      </c>
    </row>
    <row r="1711">
      <c r="A1711" s="5" t="inlineStr">
        <is>
          <t>Key</t>
        </is>
      </c>
      <c r="B1711" s="5" t="inlineStr">
        <is>
          <t>Name</t>
        </is>
      </c>
      <c r="C1711" s="5" t="inlineStr">
        <is>
          <t>Unlocked</t>
        </is>
      </c>
      <c r="D1711" s="5" t="inlineStr">
        <is>
          <t>InputLevel</t>
        </is>
      </c>
      <c r="E1711" s="5" t="inlineStr">
        <is>
          <t>Factor</t>
        </is>
      </c>
      <c r="F1711" s="5" t="inlineStr">
        <is>
          <t>CoefficientPercent</t>
        </is>
      </c>
      <c r="G1711" s="5" t="inlineStr">
        <is>
          <t>EffectiveHits</t>
        </is>
      </c>
      <c r="H1711" s="5" t="inlineStr">
        <is>
          <t>ProcProbability</t>
        </is>
      </c>
      <c r="I1711" s="5" t="inlineStr">
        <is>
          <t>MapleHeroMultiplier</t>
        </is>
      </c>
      <c r="J1711" s="5" t="inlineStr">
        <is>
          <t>BaseDamage</t>
        </is>
      </c>
      <c r="K1711" s="5" t="inlineStr">
        <is>
          <t>BaseHitDamage</t>
        </is>
      </c>
      <c r="L1711" s="5" t="inlineStr">
        <is>
          <t>NonCritAvg</t>
        </is>
      </c>
      <c r="M1711" s="5" t="inlineStr">
        <is>
          <t>CritAvg</t>
        </is>
      </c>
      <c r="N1711" s="5" t="inlineStr">
        <is>
          <t>ExpectedDamage(perHit)</t>
        </is>
      </c>
      <c r="O1711" s="5" t="inlineStr">
        <is>
          <t>DPS</t>
        </is>
      </c>
      <c r="P1711" s="5" t="inlineStr">
        <is>
          <t>% of Total</t>
        </is>
      </c>
      <c r="R1711" t="inlineStr">
        <is>
          <t>helpers</t>
        </is>
      </c>
    </row>
    <row r="1712">
      <c r="A1712">
        <f>Skills!A2</f>
        <v/>
      </c>
      <c r="B1712">
        <f>Skills!B2</f>
        <v/>
      </c>
      <c r="C1712">
        <f>Inputs!$B$3&gt;=100</f>
        <v/>
      </c>
      <c r="D1712" t="inlineStr"/>
      <c r="E1712" t="inlineStr"/>
      <c r="F1712">
        <f>T1714+Skills!N2</f>
        <v/>
      </c>
      <c r="G1712">
        <f>Calc!G2</f>
        <v/>
      </c>
      <c r="H1712">
        <f>Calc!H2</f>
        <v/>
      </c>
      <c r="I1712">
        <f>IF(Skills!T2&lt;&gt;"",1+(Skills!T2/10)*(Z1713/1000)/100,1)</f>
        <v/>
      </c>
      <c r="J1712">
        <f>((Inputs!$B$6*(1+Inputs!$B$7/100))+(((Inputs!$B$12*(1+Inputs!$B$13/100))-(Inputs!$B$12*(1+Inputs!$B$13/100)))+0.25*(Inputs!$B$14-Inputs!$B$14))*(1+Inputs!$B$7/100))*(F1712/100)</f>
        <v/>
      </c>
      <c r="K1712">
        <f>J1712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2="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1728-Calc!F18),(Inputs!$B$23+(IF(ArtifactsInput!$M$15,CHOOSE(ArtifactsInput!$N$15+1,25,30,35,40,45,50)/100*(Inputs!$B$11-Inputs!$B$11),0))))/100+(Inputs!$B$23+(IF(ArtifactsInput!$M$15,CHOOSE(ArtifactsInput!$N$15+1,25,30,35,40,45,50)/100*(Inputs!$B$11-Inputs!$B$11),0)))/100)/2</f>
        <v/>
      </c>
      <c r="M1712">
        <f>L1712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IF(B1747=0,0,O1712/B1747)</f>
        <v/>
      </c>
      <c r="Q1712">
        <f>IFERROR(1/IF(Inputs!$B$38="pvp",15,MAX(0.1,Skills!D2-IF(Skills!E2=TRUE,Inputs!$B$32,0))),0)</f>
        <v/>
      </c>
      <c r="R1712" t="n">
        <v>0</v>
      </c>
      <c r="S1712">
        <f>IF(C1712,(Skills!F2*N1712*B1743)*IF(Inputs!$B$38="pvp",1,1+(Inputs!$B$20+Skills!O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2">
        <f>MAX(0,(Inputs!$B$3-100)*3)+Inputs!$B$28+Inputs!$B$29</f>
        <v/>
      </c>
      <c r="U1712">
        <f>IF(C1712,(Skills!F2*N1712*B1743)*IF(Inputs!$B$38="pvp",1,(1+(Inputs!$B$21+Skills!P2+B1738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2">
        <f>MAX(0,(Inputs!$B$3-100)*3)+Inputs!$B$28+Inputs!$B$29</f>
        <v/>
      </c>
    </row>
    <row r="1713">
      <c r="A1713">
        <f>Skills!A3</f>
        <v/>
      </c>
      <c r="B1713">
        <f>Skills!B3</f>
        <v/>
      </c>
      <c r="C1713">
        <f>Inputs!$B$3&gt;=15</f>
        <v/>
      </c>
      <c r="D1713">
        <f>IF(Skills!C3=1,60+Inputs!$B$25+Inputs!$B$29,IF(Skills!C3=2,90+Inputs!$B$26+Inputs!$B$29,IF(Skills!C3=3,120+Inputs!$B$27+Inputs!$B$29,MAX(0,(Inputs!$B$3-100)*3)+Inputs!$B$28+Inputs!$B$29)))</f>
        <v/>
      </c>
      <c r="E1713">
        <f>INDEX(FactorTable!$B$2:$Y$301, MATCH(ROUND(MIN(300,MAX(1,D1713)),0), FactorTable!$A$2:$A$301,0), Skills!L3+1)</f>
        <v/>
      </c>
      <c r="F1713">
        <f>IF(Skills!M3=TRUE,(Skills!K3/10)*(E1713/1000),Skills!K3/10)+Skills!N3</f>
        <v/>
      </c>
      <c r="G1713">
        <f>Calc!G3</f>
        <v/>
      </c>
      <c r="H1713">
        <f>Calc!H3</f>
        <v/>
      </c>
      <c r="I1713">
        <f>IF(Skills!T3&lt;&gt;"",1+(Skills!T3/10)*(Z1713/1000)/100,1)</f>
        <v/>
      </c>
      <c r="J1713" t="inlineStr"/>
      <c r="K1713" t="inlineStr"/>
      <c r="L1713" t="inlineStr"/>
      <c r="M1713" t="inlineStr"/>
      <c r="N1713" t="inlineStr"/>
      <c r="O1713">
        <f>(1-Summary!$B$11)*S1713+Summary!$B$11*U1713</f>
        <v/>
      </c>
      <c r="P1713">
        <f>IF(B1747=0,0,O1713/B1747)</f>
        <v/>
      </c>
      <c r="Q1713">
        <f>IFERROR(1/IF(Inputs!$B$38="pvp",15,MAX(0.1,Skills!D3-IF(Skills!E3=TRUE,Inputs!$B$32,0))),0)</f>
        <v/>
      </c>
      <c r="R1713">
        <f>IF(AND(Inputs!$B$38&lt;&gt;"pvp",Inputs!$B$43&gt;0),IF(Inputs!$B$43&lt;=0,0,(INT(Inputs!$B$43/IF(Inputs!$B$38="pvp",15,MAX(0.1,Skills!D3-IF(Skills!E3=TRUE,Inputs!$B$32,0))))+1)),0)</f>
        <v/>
      </c>
      <c r="S1713" t="n">
        <v>0</v>
      </c>
      <c r="T1713">
        <f>INDEX(FactorTable!$B$2:$Y$301, MATCH(ROUND(MIN(300,MAX(1,T1712)),0), FactorTable!$A$2:$A$301,0), 22)</f>
        <v/>
      </c>
      <c r="U1713" t="n">
        <v>0</v>
      </c>
      <c r="Z1713">
        <f>INDEX(FactorTable!$B$2:$Y$301, MATCH(ROUND(MIN(300,MAX(1,Z1712)),0), FactorTable!$A$2:$A$301,0), 24)</f>
        <v/>
      </c>
    </row>
    <row r="1714">
      <c r="A1714">
        <f>Skills!A4</f>
        <v/>
      </c>
      <c r="B1714">
        <f>Skills!B4</f>
        <v/>
      </c>
      <c r="C1714">
        <f>Inputs!$B$3&gt;=40</f>
        <v/>
      </c>
      <c r="D1714">
        <f>IF(Skills!C4=1,60+Inputs!$B$25+Inputs!$B$29,IF(Skills!C4=2,90+Inputs!$B$26+Inputs!$B$29,IF(Skills!C4=3,120+Inputs!$B$27+Inputs!$B$29,MAX(0,(Inputs!$B$3-100)*3)+Inputs!$B$28+Inputs!$B$29)))</f>
        <v/>
      </c>
      <c r="E1714">
        <f>INDEX(FactorTable!$B$2:$Y$301, MATCH(ROUND(MIN(300,MAX(1,D1714)),0), FactorTable!$A$2:$A$301,0), Skills!L4+1)</f>
        <v/>
      </c>
      <c r="F1714">
        <f>IF(Skills!M4=TRUE,(Skills!K4/10)*(E1714/1000),Skills!K4/10)+Skills!N4</f>
        <v/>
      </c>
      <c r="G1714">
        <f>Calc!G4</f>
        <v/>
      </c>
      <c r="H1714">
        <f>Calc!H4</f>
        <v/>
      </c>
      <c r="I1714">
        <f>IF(Skills!T4&lt;&gt;"",1+(Skills!T4/10)*(Z1713/1000)/100,1)</f>
        <v/>
      </c>
      <c r="J1714" t="inlineStr"/>
      <c r="K1714" t="inlineStr"/>
      <c r="L1714" t="inlineStr"/>
      <c r="M1714" t="inlineStr"/>
      <c r="N1714" t="inlineStr"/>
      <c r="O1714">
        <f>(1-Summary!$B$11)*S1714+Summary!$B$11*U1714</f>
        <v/>
      </c>
      <c r="P1714">
        <f>IF(B1747=0,0,O1714/B1747)</f>
        <v/>
      </c>
      <c r="Q1714">
        <f>IFERROR(1/IF(Inputs!$B$38="pvp",15,MAX(0.1,Skills!D4-IF(Skills!E4=TRUE,Inputs!$B$32,0))),0)</f>
        <v/>
      </c>
      <c r="R1714">
        <f>IF(AND(Inputs!$B$38&lt;&gt;"pvp",Inputs!$B$43&gt;0),IF(Inputs!$B$43&lt;=0,0,(INT(Inputs!$B$43/IF(Inputs!$B$38="pvp",15,MAX(0.1,Skills!D4-IF(Skills!E4=TRUE,Inputs!$B$32,0))))+1)),0)</f>
        <v/>
      </c>
      <c r="S1714" t="n">
        <v>0</v>
      </c>
      <c r="T1714">
        <f>290*T1713/1000</f>
        <v/>
      </c>
      <c r="U1714" t="n">
        <v>0</v>
      </c>
    </row>
    <row r="1715">
      <c r="A1715">
        <f>Skills!A5</f>
        <v/>
      </c>
      <c r="B1715">
        <f>Skills!B5</f>
        <v/>
      </c>
      <c r="C1715">
        <f>Inputs!$B$3&gt;=38</f>
        <v/>
      </c>
      <c r="D1715">
        <f>IF(Skills!C5=1,60+Inputs!$B$25+Inputs!$B$29,IF(Skills!C5=2,90+Inputs!$B$26+Inputs!$B$29,IF(Skills!C5=3,120+Inputs!$B$27+Inputs!$B$29,MAX(0,(Inputs!$B$3-100)*3)+Inputs!$B$28+Inputs!$B$29)))</f>
        <v/>
      </c>
      <c r="E1715">
        <f>INDEX(FactorTable!$B$2:$Y$301, MATCH(ROUND(MIN(300,MAX(1,D1715)),0), FactorTable!$A$2:$A$301,0), Skills!L5+1)</f>
        <v/>
      </c>
      <c r="F1715">
        <f>IF(Skills!M5=TRUE,(Skills!K5/10)*(E1715/1000),Skills!K5/10)+Skills!N5</f>
        <v/>
      </c>
      <c r="G1715">
        <f>Calc!G5</f>
        <v/>
      </c>
      <c r="H1715">
        <f>Calc!H5</f>
        <v/>
      </c>
      <c r="I1715">
        <f>IF(Skills!T5&lt;&gt;"",1+(Skills!T5/10)*(Z1713/1000)/100,1)</f>
        <v/>
      </c>
      <c r="J1715">
        <f>((Inputs!$B$6*(1+Inputs!$B$7/100))+(((Inputs!$B$12*(1+Inputs!$B$13/100))-(Inputs!$B$12*(1+Inputs!$B$13/100)))+0.25*(Inputs!$B$14-Inputs!$B$14))*(1+Inputs!$B$7/100))*(F1715/100)</f>
        <v/>
      </c>
      <c r="K1715">
        <f>J1715*(1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5="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1728-Calc!F18),(Inputs!$B$23+(IF(ArtifactsInput!$M$15,CHOOSE(ArtifactsInput!$N$15+1,25,30,35,40,45,50)/100*(Inputs!$B$11-Inputs!$B$11),0))))/100+(Inputs!$B$23+(IF(ArtifactsInput!$M$15,CHOOSE(ArtifactsInput!$N$15+1,25,30,35,40,45,50)/100*(Inputs!$B$11-Inputs!$B$11),0)))/100)/2</f>
        <v/>
      </c>
      <c r="M1715">
        <f>L1715*(1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IF(B1747=0,0,O1715/B1747)</f>
        <v/>
      </c>
      <c r="Q1715">
        <f>IFERROR(1/IF(Inputs!$B$38="pvp",15,MAX(0.1,Skills!D5-IF(Skills!E5=TRUE,Inputs!$B$32,0))),0)</f>
        <v/>
      </c>
      <c r="R1715">
        <f>IF(AND(Inputs!$B$38&lt;&gt;"pvp",Inputs!$B$43&gt;0),IF(MAX(0,Inputs!$B$43-B1744)&lt;=0,0,(INT(MAX(0,Inputs!$B$43-B1744)/IF(Inputs!$B$38="pvp",15,MAX(0.1,Skills!D5-IF(Skills!E5=TRUE,Inputs!$B$32,0))))+1)),0)</f>
        <v/>
      </c>
      <c r="S1715">
        <f>IF(C1715,(H1715*N1715*IF(AND(Inputs!$B$38&lt;&gt;"pvp",Inputs!$B$43&gt;0),((Skills!F5*((R1715-1)*IF(Skills!G5&gt;0,Skills!H5/Skills!G5,1)+IF(Skills!G5&gt;0,MIN(Skills!H5,MAX(0,MAX(0,Inputs!$B$43-B1744)-((R1715-1)*IF(Inputs!$B$38="pvp",15,MAX(0.1,Skills!D5-IF(Skills!E5=TRUE,Inputs!$B$32,0))))))/Skills!G5,1)))/Inputs!$B$43),G1715*Q1715))*IF(Inputs!$B$38="pvp",1,1+(Inputs!$B$20+Skills!O5+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5*((R1715-1)*IF(Skills!G5&gt;0,Skills!H5/Skills!G5,1)+IF(Skills!G5&gt;0,MIN(Skills!H5,MAX(0,MAX(0,Inputs!$B$43-B1744)-((R1715-1)*IF(Inputs!$B$38="pvp",15,MAX(0.1,Skills!D5-IF(Skills!E5=TRUE,Inputs!$B$32,0))))))/Skills!G5,1)))/Inputs!$B$43),G1715*Q1715))*IF(Inputs!$B$38="pvp",1,(1+(Inputs!$B$21+Skills!P5+B1738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Skills!A6</f>
        <v/>
      </c>
      <c r="B1716">
        <f>Skills!B6</f>
        <v/>
      </c>
      <c r="C1716">
        <f>Inputs!$B$3&gt;=63</f>
        <v/>
      </c>
      <c r="D1716">
        <f>IF(Skills!C6=1,60+Inputs!$B$25+Inputs!$B$29,IF(Skills!C6=2,90+Inputs!$B$26+Inputs!$B$29,IF(Skills!C6=3,120+Inputs!$B$27+Inputs!$B$29,MAX(0,(Inputs!$B$3-100)*3)+Inputs!$B$28+Inputs!$B$29)))</f>
        <v/>
      </c>
      <c r="E1716">
        <f>INDEX(FactorTable!$B$2:$Y$301, MATCH(ROUND(MIN(300,MAX(1,D1716)),0), FactorTable!$A$2:$A$301,0), Skills!L6+1)</f>
        <v/>
      </c>
      <c r="F1716">
        <f>IF(Skills!M6=TRUE,(Skills!K6/10)*(E1716/1000),Skills!K6/10)+Skills!N6</f>
        <v/>
      </c>
      <c r="G1716">
        <f>Calc!G6</f>
        <v/>
      </c>
      <c r="H1716">
        <f>Calc!H6</f>
        <v/>
      </c>
      <c r="I1716">
        <f>IF(Skills!T6&lt;&gt;"",1+(Skills!T6/10)*(Z1713/1000)/100,1)</f>
        <v/>
      </c>
      <c r="J1716">
        <f>((Inputs!$B$6*(1+Inputs!$B$7/100))+(((Inputs!$B$12*(1+Inputs!$B$13/100))-(Inputs!$B$12*(1+Inputs!$B$13/100)))+0.25*(Inputs!$B$14-Inputs!$B$14))*(1+Inputs!$B$7/100))*(F1716/100)</f>
        <v/>
      </c>
      <c r="K1716">
        <f>J1716*(1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6="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1728-Calc!F18),(Inputs!$B$23+(IF(ArtifactsInput!$M$15,CHOOSE(ArtifactsInput!$N$15+1,25,30,35,40,45,50)/100*(Inputs!$B$11-Inputs!$B$11),0))))/100+(Inputs!$B$23+(IF(ArtifactsInput!$M$15,CHOOSE(ArtifactsInput!$N$15+1,25,30,35,40,45,50)/100*(Inputs!$B$11-Inputs!$B$11),0)))/100)/2</f>
        <v/>
      </c>
      <c r="M1716">
        <f>L1716*(1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IF(B1747=0,0,O1716/B1747)</f>
        <v/>
      </c>
      <c r="Q1716">
        <f>IFERROR(1/IF(Inputs!$B$38="pvp",15,MAX(0.1,Skills!D6-IF(Skills!E6=TRUE,Inputs!$B$32,0))),0)</f>
        <v/>
      </c>
      <c r="R1716">
        <f>IF(AND(Inputs!$B$38&lt;&gt;"pvp",Inputs!$B$43&gt;0),IF(MAX(0,Inputs!$B$43-B1744)&lt;=0,0,(INT(MAX(0,Inputs!$B$43-B1744)/IF(Inputs!$B$38="pvp",15,MAX(0.1,Skills!D6-IF(Skills!E6=TRUE,Inputs!$B$32,0))))+1)),0)</f>
        <v/>
      </c>
      <c r="S1716">
        <f>IF(C1716,(H1716*N1716*IF(AND(Inputs!$B$38&lt;&gt;"pvp",Inputs!$B$43&gt;0),((Skills!F6*((R1716-1)*IF(Skills!G6&gt;0,Skills!H6/Skills!G6,1)+IF(Skills!G6&gt;0,MIN(Skills!H6,MAX(0,MAX(0,Inputs!$B$43-B1744)-((R1716-1)*IF(Inputs!$B$38="pvp",15,MAX(0.1,Skills!D6-IF(Skills!E6=TRUE,Inputs!$B$32,0))))))/Skills!G6,1)))/Inputs!$B$43),G1716*Q1716))*IF(Inputs!$B$38="pvp",1,1+(Inputs!$B$20+Skills!O6+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6*((R1716-1)*IF(Skills!G6&gt;0,Skills!H6/Skills!G6,1)+IF(Skills!G6&gt;0,MIN(Skills!H6,MAX(0,MAX(0,Inputs!$B$43-B1744)-((R1716-1)*IF(Inputs!$B$38="pvp",15,MAX(0.1,Skills!D6-IF(Skills!E6=TRUE,Inputs!$B$32,0))))))/Skills!G6,1)))/Inputs!$B$43),G1716*Q1716))*IF(Inputs!$B$38="pvp",1,(1+(Inputs!$B$21+Skills!P6+B1738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Skills!A7</f>
        <v/>
      </c>
      <c r="B1717">
        <f>Skills!B7</f>
        <v/>
      </c>
      <c r="C1717">
        <f>Inputs!$B$3&gt;=69</f>
        <v/>
      </c>
      <c r="D1717">
        <f>IF(Skills!C7=1,60+Inputs!$B$25+Inputs!$B$29,IF(Skills!C7=2,90+Inputs!$B$26+Inputs!$B$29,IF(Skills!C7=3,120+Inputs!$B$27+Inputs!$B$29,MAX(0,(Inputs!$B$3-100)*3)+Inputs!$B$28+Inputs!$B$29)))</f>
        <v/>
      </c>
      <c r="E1717">
        <f>INDEX(FactorTable!$B$2:$Y$301, MATCH(ROUND(MIN(300,MAX(1,D1717)),0), FactorTable!$A$2:$A$301,0), Skills!L7+1)</f>
        <v/>
      </c>
      <c r="F1717">
        <f>IF(Skills!M7=TRUE,(Skills!K7/10)*(E1717/1000),Skills!K7/10)+Skills!N7</f>
        <v/>
      </c>
      <c r="G1717">
        <f>Calc!G7</f>
        <v/>
      </c>
      <c r="H1717">
        <f>Calc!H7</f>
        <v/>
      </c>
      <c r="I1717">
        <f>IF(Skills!T7&lt;&gt;"",1+(Skills!T7/10)*(Z1713/1000)/100,1)</f>
        <v/>
      </c>
      <c r="J1717">
        <f>((Inputs!$B$6*(1+Inputs!$B$7/100))+(((Inputs!$B$12*(1+Inputs!$B$13/100))-(Inputs!$B$12*(1+Inputs!$B$13/100)))+0.25*(Inputs!$B$14-Inputs!$B$14))*(1+Inputs!$B$7/100))*(F1717/100)</f>
        <v/>
      </c>
      <c r="K1717">
        <f>J1717*(1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7="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1728-Calc!F18),(Inputs!$B$23+(IF(ArtifactsInput!$M$15,CHOOSE(ArtifactsInput!$N$15+1,25,30,35,40,45,50)/100*(Inputs!$B$11-Inputs!$B$11),0))))/100+(Inputs!$B$23+(IF(ArtifactsInput!$M$15,CHOOSE(ArtifactsInput!$N$15+1,25,30,35,40,45,50)/100*(Inputs!$B$11-Inputs!$B$11),0)))/100)/2</f>
        <v/>
      </c>
      <c r="M1717">
        <f>L1717*(1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IF(B1747=0,0,O1717/B1747)</f>
        <v/>
      </c>
      <c r="Q1717">
        <f>IFERROR(1/IF(Inputs!$B$38="pvp",15,MAX(0.1,Skills!D7-IF(Skills!E7=TRUE,Inputs!$B$32,0))),0)</f>
        <v/>
      </c>
      <c r="R1717">
        <f>IF(AND(Inputs!$B$38&lt;&gt;"pvp",Inputs!$B$43&gt;0),IF(MAX(0,Inputs!$B$43-B1744)&lt;=0,0,(INT(MAX(0,Inputs!$B$43-B1744)/IF(Inputs!$B$38="pvp",15,MAX(0.1,Skills!D7-IF(Skills!E7=TRUE,Inputs!$B$32,0))))+1)),0)</f>
        <v/>
      </c>
      <c r="S1717">
        <f>IF(C1717,(H1717*N1717*IF(AND(Inputs!$B$38&lt;&gt;"pvp",Inputs!$B$43&gt;0),((Skills!F7*((R1717-1)*IF(Skills!G7&gt;0,Skills!H7/Skills!G7,1)+IF(Skills!G7&gt;0,MIN(Skills!H7,MAX(0,MAX(0,Inputs!$B$43-B1744)-((R1717-1)*IF(Inputs!$B$38="pvp",15,MAX(0.1,Skills!D7-IF(Skills!E7=TRUE,Inputs!$B$32,0))))))/Skills!G7,1)))/Inputs!$B$43),G1717*Q1717))*IF(Inputs!$B$38="pvp",1,1+(Inputs!$B$20+Skills!O7+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7*((R1717-1)*IF(Skills!G7&gt;0,Skills!H7/Skills!G7,1)+IF(Skills!G7&gt;0,MIN(Skills!H7,MAX(0,MAX(0,Inputs!$B$43-B1744)-((R1717-1)*IF(Inputs!$B$38="pvp",15,MAX(0.1,Skills!D7-IF(Skills!E7=TRUE,Inputs!$B$32,0))))))/Skills!G7,1)))/Inputs!$B$43),G1717*Q1717))*IF(Inputs!$B$38="pvp",1,(1+(Inputs!$B$21+Skills!P7+B1738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Skills!A8</f>
        <v/>
      </c>
      <c r="B1718">
        <f>Skills!B8</f>
        <v/>
      </c>
      <c r="C1718">
        <f>Inputs!$B$3&gt;=103</f>
        <v/>
      </c>
      <c r="D1718">
        <f>IF(Skills!C8=1,60+Inputs!$B$25+Inputs!$B$29,IF(Skills!C8=2,90+Inputs!$B$26+Inputs!$B$29,IF(Skills!C8=3,120+Inputs!$B$27+Inputs!$B$29,MAX(0,(Inputs!$B$3-100)*3)+Inputs!$B$28+Inputs!$B$29)))</f>
        <v/>
      </c>
      <c r="E1718">
        <f>INDEX(FactorTable!$B$2:$Y$301, MATCH(ROUND(MIN(300,MAX(1,D1718)),0), FactorTable!$A$2:$A$301,0), Skills!L8+1)</f>
        <v/>
      </c>
      <c r="F1718">
        <f>IF(Skills!M8=TRUE,(Skills!K8/10)*(E1718/1000),Skills!K8/10)+Skills!N8</f>
        <v/>
      </c>
      <c r="G1718">
        <f>Calc!G8</f>
        <v/>
      </c>
      <c r="H1718">
        <f>Calc!H8</f>
        <v/>
      </c>
      <c r="I1718">
        <f>IF(Skills!T8&lt;&gt;"",1+(Skills!T8/10)*(Z1713/1000)/100,1)</f>
        <v/>
      </c>
      <c r="J1718">
        <f>((Inputs!$B$6*(1+Inputs!$B$7/100))+(((Inputs!$B$12*(1+Inputs!$B$13/100))-(Inputs!$B$12*(1+Inputs!$B$13/100)))+0.25*(Inputs!$B$14-Inputs!$B$14))*(1+Inputs!$B$7/100))*(F1718/100)</f>
        <v/>
      </c>
      <c r="K1718">
        <f>J1718*(1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8="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1728-Calc!F18),(Inputs!$B$23+(IF(ArtifactsInput!$M$15,CHOOSE(ArtifactsInput!$N$15+1,25,30,35,40,45,50)/100*(Inputs!$B$11-Inputs!$B$11),0))))/100+(Inputs!$B$23+(IF(ArtifactsInput!$M$15,CHOOSE(ArtifactsInput!$N$15+1,25,30,35,40,45,50)/100*(Inputs!$B$11-Inputs!$B$11),0)))/100)/2</f>
        <v/>
      </c>
      <c r="M1718">
        <f>L1718*(1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IF(B1747=0,0,O1718/B1747)</f>
        <v/>
      </c>
      <c r="Q1718">
        <f>IFERROR(1/IF(Inputs!$B$38="pvp",15,MAX(0.1,Skills!D8-IF(Skills!E8=TRUE,Inputs!$B$32,0))),0)</f>
        <v/>
      </c>
      <c r="R1718">
        <f>IF(AND(Inputs!$B$38&lt;&gt;"pvp",Inputs!$B$43&gt;0),IF(MAX(0,Inputs!$B$43-B1744)&lt;=0,0,(INT(MAX(0,Inputs!$B$43-B1744)/IF(Inputs!$B$38="pvp",15,MAX(0.1,Skills!D8-IF(Skills!E8=TRUE,Inputs!$B$32,0))))+1)),0)</f>
        <v/>
      </c>
      <c r="S1718">
        <f>IF(C1718,(H1718*N1718*IF(AND(Inputs!$B$38&lt;&gt;"pvp",Inputs!$B$43&gt;0),((Skills!F8*((R1718-1)*IF(Skills!G8&gt;0,Skills!H8/Skills!G8,1)+IF(Skills!G8&gt;0,MIN(Skills!H8,MAX(0,MAX(0,Inputs!$B$43-B1744)-((R1718-1)*IF(Inputs!$B$38="pvp",15,MAX(0.1,Skills!D8-IF(Skills!E8=TRUE,Inputs!$B$32,0))))))/Skills!G8,1)))/Inputs!$B$43),G1718*Q1718))*IF(Inputs!$B$38="pvp",1,1+(Inputs!$B$20+Skills!O8+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8*((R1718-1)*IF(Skills!G8&gt;0,Skills!H8/Skills!G8,1)+IF(Skills!G8&gt;0,MIN(Skills!H8,MAX(0,MAX(0,Inputs!$B$43-B1744)-((R1718-1)*IF(Inputs!$B$38="pvp",15,MAX(0.1,Skills!D8-IF(Skills!E8=TRUE,Inputs!$B$32,0))))))/Skills!G8,1)))/Inputs!$B$43),G1718*Q1718))*IF(Inputs!$B$38="pvp",1,(1+(Inputs!$B$21+Skills!P8+B1738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Skills!A9</f>
        <v/>
      </c>
      <c r="B1719">
        <f>Skills!B9</f>
        <v/>
      </c>
      <c r="C1719">
        <f>Inputs!$B$3&gt;=105</f>
        <v/>
      </c>
      <c r="D1719">
        <f>IF(Skills!C9=1,60+Inputs!$B$25+Inputs!$B$29,IF(Skills!C9=2,90+Inputs!$B$26+Inputs!$B$29,IF(Skills!C9=3,120+Inputs!$B$27+Inputs!$B$29,MAX(0,(Inputs!$B$3-100)*3)+Inputs!$B$28+Inputs!$B$29)))</f>
        <v/>
      </c>
      <c r="E1719">
        <f>INDEX(FactorTable!$B$2:$Y$301, MATCH(ROUND(MIN(300,MAX(1,D1719)),0), FactorTable!$A$2:$A$301,0), Skills!L9+1)</f>
        <v/>
      </c>
      <c r="F1719">
        <f>IF(Skills!M9=TRUE,(Skills!K9/10)*(E1719/1000),Skills!K9/10)+Skills!N9</f>
        <v/>
      </c>
      <c r="G1719">
        <f>Calc!G9</f>
        <v/>
      </c>
      <c r="H1719">
        <f>Calc!H9</f>
        <v/>
      </c>
      <c r="I1719">
        <f>IF(Skills!T9&lt;&gt;"",1+(Skills!T9/10)*(Z1713/1000)/100,1)</f>
        <v/>
      </c>
      <c r="J1719">
        <f>((Inputs!$B$6*(1+Inputs!$B$7/100))+(((Inputs!$B$12*(1+Inputs!$B$13/100))-(Inputs!$B$12*(1+Inputs!$B$13/100)))+0.25*(Inputs!$B$14-Inputs!$B$14))*(1+Inputs!$B$7/100))*(F1719/100)</f>
        <v/>
      </c>
      <c r="K1719">
        <f>J1719*(1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9="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1728-Calc!F18),(Inputs!$B$23+(IF(ArtifactsInput!$M$15,CHOOSE(ArtifactsInput!$N$15+1,25,30,35,40,45,50)/100*(Inputs!$B$11-Inputs!$B$11),0))))/100+(Inputs!$B$23+(IF(ArtifactsInput!$M$15,CHOOSE(ArtifactsInput!$N$15+1,25,30,35,40,45,50)/100*(Inputs!$B$11-Inputs!$B$11),0)))/100)/2</f>
        <v/>
      </c>
      <c r="M1719">
        <f>L1719*(1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IF(B1747=0,0,O1719/B1747)</f>
        <v/>
      </c>
      <c r="Q1719">
        <f>IFERROR(1/IF(Inputs!$B$38="pvp",15,MAX(0.1,Skills!D9-IF(Skills!E9=TRUE,Inputs!$B$32,0))),0)</f>
        <v/>
      </c>
      <c r="R1719">
        <f>IF(AND(Inputs!$B$38&lt;&gt;"pvp",Inputs!$B$43&gt;0),IF(MAX(0,Inputs!$B$43-B1744)&lt;=0,0,(INT(MAX(0,Inputs!$B$43-B1744)/IF(Inputs!$B$38="pvp",15,MAX(0.1,Skills!D9-IF(Skills!E9=TRUE,Inputs!$B$32,0))))+1)),0)</f>
        <v/>
      </c>
      <c r="S1719">
        <f>IF(C1719,(H1719*N1719*IF(AND(Inputs!$B$38&lt;&gt;"pvp",Inputs!$B$43&gt;0),((Skills!F9*((R1719-1)*IF(Skills!G9&gt;0,Skills!H9/Skills!G9,1)+IF(Skills!G9&gt;0,MIN(Skills!H9,MAX(0,MAX(0,Inputs!$B$43-B1744)-((R1719-1)*IF(Inputs!$B$38="pvp",15,MAX(0.1,Skills!D9-IF(Skills!E9=TRUE,Inputs!$B$32,0))))))/Skills!G9,1)))/Inputs!$B$43),G1719*Q1719))*IF(Inputs!$B$38="pvp",1,1+(Inputs!$B$20+Skills!O9+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9*((R1719-1)*IF(Skills!G9&gt;0,Skills!H9/Skills!G9,1)+IF(Skills!G9&gt;0,MIN(Skills!H9,MAX(0,MAX(0,Inputs!$B$43-B1744)-((R1719-1)*IF(Inputs!$B$38="pvp",15,MAX(0.1,Skills!D9-IF(Skills!E9=TRUE,Inputs!$B$32,0))))))/Skills!G9,1)))/Inputs!$B$43),G1719*Q1719))*IF(Inputs!$B$38="pvp",1,(1+(Inputs!$B$21+Skills!P9+B1738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Skills!A10</f>
        <v/>
      </c>
      <c r="B1720">
        <f>Skills!B10</f>
        <v/>
      </c>
      <c r="C1720">
        <f>Inputs!$B$3&gt;=113</f>
        <v/>
      </c>
      <c r="D1720">
        <f>IF(Skills!C10=1,60+Inputs!$B$25+Inputs!$B$29,IF(Skills!C10=2,90+Inputs!$B$26+Inputs!$B$29,IF(Skills!C10=3,120+Inputs!$B$27+Inputs!$B$29,MAX(0,(Inputs!$B$3-100)*3)+Inputs!$B$28+Inputs!$B$29)))</f>
        <v/>
      </c>
      <c r="E1720">
        <f>INDEX(FactorTable!$B$2:$Y$301, MATCH(ROUND(MIN(300,MAX(1,D1720)),0), FactorTable!$A$2:$A$301,0), Skills!L10+1)</f>
        <v/>
      </c>
      <c r="F1720">
        <f>IF(Skills!M10=TRUE,(Skills!K10/10)*(E1720/1000),Skills!K10/10)+Skills!N10</f>
        <v/>
      </c>
      <c r="G1720">
        <f>Calc!G10</f>
        <v/>
      </c>
      <c r="H1720">
        <f>Calc!H10</f>
        <v/>
      </c>
      <c r="I1720">
        <f>IF(Skills!T10&lt;&gt;"",1+(Skills!T10/10)*(Z1713/1000)/100,1)</f>
        <v/>
      </c>
      <c r="J1720">
        <f>((Inputs!$B$6*(1+Inputs!$B$7/100))+(((Inputs!$B$12*(1+Inputs!$B$13/100))-(Inputs!$B$12*(1+Inputs!$B$13/100)))+0.25*(Inputs!$B$14-Inputs!$B$14))*(1+Inputs!$B$7/100))*(F1720/100)</f>
        <v/>
      </c>
      <c r="K1720">
        <f>J1720*(1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10="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1728-Calc!F18),(Inputs!$B$23+(IF(ArtifactsInput!$M$15,CHOOSE(ArtifactsInput!$N$15+1,25,30,35,40,45,50)/100*(Inputs!$B$11-Inputs!$B$11),0))))/100+(Inputs!$B$23+(IF(ArtifactsInput!$M$15,CHOOSE(ArtifactsInput!$N$15+1,25,30,35,40,45,50)/100*(Inputs!$B$11-Inputs!$B$11),0)))/100)/2</f>
        <v/>
      </c>
      <c r="M1720">
        <f>L1720*(1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IF(B1747=0,0,O1720/B1747)</f>
        <v/>
      </c>
      <c r="Q1720">
        <f>IFERROR(1/IF(Inputs!$B$38="pvp",15,MAX(0.1,Skills!D10-IF(Skills!E9=TRUE,Inputs!$B$32,0))),0)</f>
        <v/>
      </c>
      <c r="R1720">
        <f>IF(AND(Inputs!$B$38&lt;&gt;"pvp",Inputs!$B$43&gt;0),IF(MAX(0,Inputs!$B$43-B1744)&lt;=0,0,(INT(MAX(0,Inputs!$B$43-B1744)/IF(Inputs!$B$38="pvp",15,MAX(0.1,Skills!D10-IF(Skills!E9=TRUE,Inputs!$B$32,0))))+1)),0)</f>
        <v/>
      </c>
      <c r="S1720">
        <f>IF(C1720,(H1720*N1720*IF(AND(Inputs!$B$38&lt;&gt;"pvp",Inputs!$B$43&gt;0),((Skills!F10*((R1720-1)*IF(Skills!G10&gt;0,Skills!H10/Skills!G10,1)+IF(Skills!G10&gt;0,MIN(Skills!H10,MAX(0,MAX(0,Inputs!$B$43-B1744)-((R1720-1)*IF(Inputs!$B$38="pvp",15,MAX(0.1,Skills!D10-IF(Skills!E9=TRUE,Inputs!$B$32,0))))))/Skills!G10,1)))/Inputs!$B$43),G1720*Q1720))*IF(Inputs!$B$38="pvp",1,1+(Inputs!$B$20+Skills!O10+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N1720*IF(AND(Inputs!$B$38&lt;&gt;"pvp",Inputs!$B$43&gt;0),((Skills!F10*((R1720-1)*IF(Skills!G10&gt;0,Skills!H10/Skills!G10,1)+IF(Skills!G10&gt;0,MIN(Skills!H10,MAX(0,MAX(0,Inputs!$B$43-B1744)-((R1720-1)*IF(Inputs!$B$38="pvp",15,MAX(0.1,Skills!D10-IF(Skills!E9=TRUE,Inputs!$B$32,0))))))/Skills!G10,1)))/Inputs!$B$43),G1720*Q1720))*IF(Inputs!$B$38="pvp",1,(1+(Inputs!$B$21+Skills!P10+B1738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Skills!A11</f>
        <v/>
      </c>
      <c r="B1721">
        <f>Skills!B11</f>
        <v/>
      </c>
      <c r="C1721">
        <f>Inputs!$B$3&gt;=107</f>
        <v/>
      </c>
      <c r="D1721">
        <f>IF(Skills!C11=1,60+Inputs!$B$25+Inputs!$B$29,IF(Skills!C11=2,90+Inputs!$B$26+Inputs!$B$29,IF(Skills!C11=3,120+Inputs!$B$27+Inputs!$B$29,MAX(0,(Inputs!$B$3-100)*3)+Inputs!$B$28+Inputs!$B$29)))</f>
        <v/>
      </c>
      <c r="E1721">
        <f>INDEX(FactorTable!$B$2:$Y$301, MATCH(ROUND(MIN(300,MAX(1,D1721)),0), FactorTable!$A$2:$A$301,0), Skills!L11+1)</f>
        <v/>
      </c>
      <c r="F1721">
        <f>IF(Skills!M11=TRUE,(Skills!K11/10)*(E1721/1000),Skills!K11/10)+Skills!N11</f>
        <v/>
      </c>
      <c r="G1721">
        <f>Calc!G11</f>
        <v/>
      </c>
      <c r="H1721">
        <f>Calc!H11</f>
        <v/>
      </c>
      <c r="I1721">
        <f>IF(Skills!T11&lt;&gt;"",1+(Skills!T11/10)*(Z1713/1000)/100,1)</f>
        <v/>
      </c>
      <c r="J1721">
        <f>((Inputs!$B$6*(1+Inputs!$B$7/100))+(((Inputs!$B$12*(1+Inputs!$B$13/100))-(Inputs!$B$12*(1+Inputs!$B$13/100)))+0.25*(Inputs!$B$14-Inputs!$B$14))*(1+Inputs!$B$7/100))*(F1721/100)</f>
        <v/>
      </c>
      <c r="K1721">
        <f>J1721*(1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11="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F1728-Calc!F18),(Inputs!$B$23+(IF(ArtifactsInput!$M$15,CHOOSE(ArtifactsInput!$N$15+1,25,30,35,40,45,50)/100*(Inputs!$B$11-Inputs!$B$11),0))))/100+(Inputs!$B$23+(IF(ArtifactsInput!$M$15,CHOOSE(ArtifactsInput!$N$15+1,25,30,35,40,45,50)/100*(Inputs!$B$11-Inputs!$B$11),0)))/100)/2</f>
        <v/>
      </c>
      <c r="M1721">
        <f>L1721*(1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(1-Summary!$B$11)*S1721+Summary!$B$11*U1721</f>
        <v/>
      </c>
      <c r="P1721">
        <f>IF(B1747=0,0,O1721/B1747)</f>
        <v/>
      </c>
      <c r="Q1721">
        <f>IFERROR(1/IF(Inputs!$B$38="pvp",15,MAX(0.1,Skills!D11-IF(Skills!E11=TRUE,Inputs!$B$32,0))),0)</f>
        <v/>
      </c>
      <c r="R1721">
        <f>IF(AND(Inputs!$B$38&lt;&gt;"pvp",Inputs!$B$43&gt;0),IF(MAX(0,Inputs!$B$43-B1744)&lt;=0,0,(INT(MAX(0,Inputs!$B$43-B1744)/IF(Inputs!$B$38="pvp",15,MAX(0.1,Skills!D11-IF(Skills!E11=TRUE,Inputs!$B$32,0))))+1)),0)</f>
        <v/>
      </c>
      <c r="S1721">
        <f>IF(C1721,H1721*N1721*IF(AND(Inputs!$B$38&lt;&gt;"pvp",Inputs!$B$43&gt;0),((Skills!F11*((R1721-1)*IF(Skills!G11&gt;0,Skills!H11/Skills!G11,1)+IF(Skills!G11&gt;0,MIN(Skills!H11,MAX(0,MAX(0,Inputs!$B$43-B1744)-((R1721-1)*IF(Inputs!$B$38="pvp",15,MAX(0.1,Skills!D11-IF(Skills!E11=TRUE,Inputs!$B$32,0))))))/Skills!G11,1)))/Inputs!$B$43),G1721*Q1721)*0.5*IF(Inputs!$B$38="pvp",1,1+(Inputs!$B$20+Skills!O11+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1">
        <f>IF(C1721,H1721*N1721*IF(AND(Inputs!$B$38&lt;&gt;"pvp",Inputs!$B$43&gt;0),((Skills!F11*((R1721-1)*IF(Skills!G11&gt;0,Skills!H11/Skills!G11,1)+IF(Skills!G11&gt;0,MIN(Skills!H11,MAX(0,MAX(0,Inputs!$B$43-B1744)-((R1721-1)*IF(Inputs!$B$38="pvp",15,MAX(0.1,Skills!D11-IF(Skills!E11=TRUE,Inputs!$B$32,0))))))/Skills!G11,1)))/Inputs!$B$43),G1721*Q1721)*1*IF(Inputs!$B$38="pvp",1,(1+(Inputs!$B$21+Skills!P11+B1738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Skills!A12</f>
        <v/>
      </c>
      <c r="B1722">
        <f>Skills!B12</f>
        <v/>
      </c>
      <c r="C1722">
        <f>Inputs!$B$3&gt;=115</f>
        <v/>
      </c>
      <c r="D1722">
        <f>IF(Skills!C12=1,60+Inputs!$B$25+Inputs!$B$29,IF(Skills!C12=2,90+Inputs!$B$26+Inputs!$B$29,IF(Skills!C12=3,120+Inputs!$B$27+Inputs!$B$29,MAX(0,(Inputs!$B$3-100)*3)+Inputs!$B$28+Inputs!$B$29)))</f>
        <v/>
      </c>
      <c r="E1722">
        <f>INDEX(FactorTable!$B$2:$Y$301, MATCH(ROUND(MIN(300,MAX(1,D1722)),0), FactorTable!$A$2:$A$301,0), Skills!L12+1)</f>
        <v/>
      </c>
      <c r="F1722">
        <f>IF(Skills!M12=TRUE,(Skills!K12/10)*(E1722/1000),Skills!K12/10)+Skills!N12</f>
        <v/>
      </c>
      <c r="G1722">
        <f>Calc!G12</f>
        <v/>
      </c>
      <c r="H1722">
        <f>Calc!H12</f>
        <v/>
      </c>
      <c r="I1722">
        <f>IF(Skills!T12&lt;&gt;"",1+(Skills!T12/10)*(Z1713/1000)/100,1)</f>
        <v/>
      </c>
      <c r="J1722">
        <f>((Inputs!$B$6*(1+Inputs!$B$7/100))+(((Inputs!$B$12*(1+Inputs!$B$13/100))-(Inputs!$B$12*(1+Inputs!$B$13/100)))+0.25*(Inputs!$B$14-Inputs!$B$14))*(1+Inputs!$B$7/100))*(F1722/100)</f>
        <v/>
      </c>
      <c r="K1722">
        <f>J1722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12="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1728-Calc!F18),(Inputs!$B$23+(IF(ArtifactsInput!$M$15,CHOOSE(ArtifactsInput!$N$15+1,25,30,35,40,45,50)/100*(Inputs!$B$11-Inputs!$B$11),0))))/100+(Inputs!$B$23+(IF(ArtifactsInput!$M$15,CHOOSE(ArtifactsInput!$N$15+1,25,30,35,40,45,50)/100*(Inputs!$B$11-Inputs!$B$11),0)))/100)/2</f>
        <v/>
      </c>
      <c r="M1722">
        <f>L1722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IF(B1747=0,0,O1722/B1747)</f>
        <v/>
      </c>
      <c r="Q1722">
        <f>IFERROR(1/IF(Inputs!$B$38="pvp",15,MAX(0.1,Skills!D12-IF(Skills!E12=TRUE,Inputs!$B$32,0))),0)</f>
        <v/>
      </c>
      <c r="R1722">
        <f>IF(AND(Inputs!$B$38&lt;&gt;"pvp",Inputs!$B$43&gt;0),IF(MAX(0,Inputs!$B$43-B1744)&lt;=0,0,(INT(MAX(0,Inputs!$B$43-B1744)/IF(Inputs!$B$38="pvp",15,MAX(0.1,Skills!D12-IF(Skills!E12=TRUE,Inputs!$B$32,0))))+1)),0)</f>
        <v/>
      </c>
      <c r="S1722">
        <f>IF(C1722,(H1722*N1722*IF(AND(Inputs!$B$38&lt;&gt;"pvp",Inputs!$B$43&gt;0),((Skills!F12*((R1722-1)*IF(Skills!G12&gt;0,Skills!H12/Skills!G12,1)+IF(Skills!G12&gt;0,MIN(Skills!H12,MAX(0,MAX(0,Inputs!$B$43-B1744)-((R1722-1)*IF(Inputs!$B$38="pvp",15,MAX(0.1,Skills!D12-IF(Skills!E12=TRUE,Inputs!$B$32,0))))))/Skills!G12,1)))/Inputs!$B$43),G1722*Q1722))*IF(Inputs!$B$38="pvp",1,1+(Inputs!$B$20+Skills!O12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F12*((R1722-1)*IF(Skills!G12&gt;0,Skills!H12/Skills!G12,1)+IF(Skills!G12&gt;0,MIN(Skills!H12,MAX(0,MAX(0,Inputs!$B$43-B1744)-((R1722-1)*IF(Inputs!$B$38="pvp",15,MAX(0.1,Skills!D12-IF(Skills!E12=TRUE,Inputs!$B$32,0))))))/Skills!G12,1)))/Inputs!$B$43),G1722*Q1722))*IF(Inputs!$B$38="pvp",1,(1+(Inputs!$B$21+Skills!P12+B1738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Skills!A13</f>
        <v/>
      </c>
      <c r="B1723">
        <f>Skills!B13</f>
        <v/>
      </c>
      <c r="C1723">
        <f>Inputs!$B$3&gt;=49</f>
        <v/>
      </c>
      <c r="D1723">
        <f>IF(Skills!C13=1,60+Inputs!$B$25+Inputs!$B$29,IF(Skills!C13=2,90+Inputs!$B$26+Inputs!$B$29,IF(Skills!C13=3,120+Inputs!$B$27+Inputs!$B$29,MAX(0,(Inputs!$B$3-100)*3)+Inputs!$B$28+Inputs!$B$29)))</f>
        <v/>
      </c>
      <c r="E1723">
        <f>INDEX(FactorTable!$B$2:$Y$301, MATCH(ROUND(MIN(300,MAX(1,D1723)),0), FactorTable!$A$2:$A$301,0), Skills!L13+1)</f>
        <v/>
      </c>
      <c r="F1723">
        <f>IF(Skills!M13=TRUE,(Skills!K13/10)*(E1723/1000),Skills!K13/10)+Skills!N13</f>
        <v/>
      </c>
      <c r="G1723">
        <f>Calc!G13</f>
        <v/>
      </c>
      <c r="H1723">
        <f>Calc!H13</f>
        <v/>
      </c>
      <c r="I1723">
        <f>IF(Skills!T13&lt;&gt;"",1+(Skills!T13/10)*(Z1713/1000)/100,1)</f>
        <v/>
      </c>
      <c r="J1723" t="inlineStr"/>
      <c r="K1723" t="inlineStr"/>
      <c r="L1723" t="inlineStr"/>
      <c r="M1723" t="inlineStr"/>
      <c r="N1723" t="inlineStr"/>
      <c r="O1723">
        <f>(1-Summary!$B$11)*S1723+Summary!$B$11*U1723</f>
        <v/>
      </c>
      <c r="P1723">
        <f>IF(B1747=0,0,O1723/B1747)</f>
        <v/>
      </c>
      <c r="Q1723">
        <f>IFERROR(1/IF(Inputs!$B$38="pvp",15,MAX(0.1,Skills!D13-IF(Skills!E13=TRUE,Inputs!$B$32,0))),0)</f>
        <v/>
      </c>
      <c r="R1723" t="n">
        <v>0</v>
      </c>
      <c r="S1723" t="n">
        <v>0</v>
      </c>
      <c r="U1723" t="n">
        <v>0</v>
      </c>
    </row>
    <row r="1724">
      <c r="A1724">
        <f>Skills!A14</f>
        <v/>
      </c>
      <c r="B1724">
        <f>Skills!B14</f>
        <v/>
      </c>
      <c r="C1724">
        <f>Inputs!$B$3&gt;=72</f>
        <v/>
      </c>
      <c r="D1724">
        <f>IF(Skills!C14=1,60+Inputs!$B$25+Inputs!$B$29,IF(Skills!C14=2,90+Inputs!$B$26+Inputs!$B$29,IF(Skills!C14=3,120+Inputs!$B$27+Inputs!$B$29,MAX(0,(Inputs!$B$3-100)*3)+Inputs!$B$28+Inputs!$B$29)))</f>
        <v/>
      </c>
      <c r="E1724">
        <f>INDEX(FactorTable!$B$2:$Y$301, MATCH(ROUND(MIN(300,MAX(1,D1724)),0), FactorTable!$A$2:$A$301,0), Skills!L14+1)</f>
        <v/>
      </c>
      <c r="F1724">
        <f>IF(Skills!M14=TRUE,(Skills!K14/10)*(E1724/1000),Skills!K14/10)+Skills!N14</f>
        <v/>
      </c>
      <c r="G1724">
        <f>Calc!G14</f>
        <v/>
      </c>
      <c r="H1724">
        <f>Calc!H14</f>
        <v/>
      </c>
      <c r="I1724">
        <f>IF(Skills!T14&lt;&gt;"",1+(Skills!T14/10)*(Z1713/1000)/100,1)</f>
        <v/>
      </c>
      <c r="J1724" t="inlineStr"/>
      <c r="K1724" t="inlineStr"/>
      <c r="L1724" t="inlineStr"/>
      <c r="M1724" t="inlineStr"/>
      <c r="N1724" t="inlineStr"/>
      <c r="O1724">
        <f>(1-Summary!$B$11)*S1724+Summary!$B$11*U1724</f>
        <v/>
      </c>
      <c r="P1724">
        <f>IF(B1747=0,0,O1724/B1747)</f>
        <v/>
      </c>
      <c r="Q1724">
        <f>IFERROR(1/IF(Inputs!$B$38="pvp",15,MAX(0.1,Skills!D14-IF(Skills!E14=TRUE,Inputs!$B$32,0))),0)</f>
        <v/>
      </c>
      <c r="R1724" t="n">
        <v>0</v>
      </c>
      <c r="S1724" t="n">
        <v>0</v>
      </c>
      <c r="U1724" t="n">
        <v>0</v>
      </c>
    </row>
    <row r="1725">
      <c r="A1725">
        <f>Skills!A15</f>
        <v/>
      </c>
      <c r="B1725">
        <f>Skills!B15</f>
        <v/>
      </c>
      <c r="C1725">
        <f>Inputs!$B$3&gt;=75</f>
        <v/>
      </c>
      <c r="D1725">
        <f>IF(Skills!C15=1,60+Inputs!$B$25+Inputs!$B$29,IF(Skills!C15=2,90+Inputs!$B$26+Inputs!$B$29,IF(Skills!C15=3,120+Inputs!$B$27+Inputs!$B$29,MAX(0,(Inputs!$B$3-100)*3)+Inputs!$B$28+Inputs!$B$29)))</f>
        <v/>
      </c>
      <c r="E1725">
        <f>INDEX(FactorTable!$B$2:$Y$301, MATCH(ROUND(MIN(300,MAX(1,D1725)),0), FactorTable!$A$2:$A$301,0), Skills!L15+1)</f>
        <v/>
      </c>
      <c r="F1725">
        <f>IF(Skills!M15=TRUE,(Skills!K15/10)*(E1725/1000),Skills!K15/10)+Skills!N15</f>
        <v/>
      </c>
      <c r="G1725">
        <f>Calc!G15</f>
        <v/>
      </c>
      <c r="H1725">
        <f>Calc!H15</f>
        <v/>
      </c>
      <c r="I1725">
        <f>IF(Skills!T15&lt;&gt;"",1+(Skills!T15/10)*(Z1713/1000)/100,1)</f>
        <v/>
      </c>
      <c r="J1725" t="inlineStr"/>
      <c r="K1725" t="inlineStr"/>
      <c r="L1725" t="inlineStr"/>
      <c r="M1725" t="inlineStr"/>
      <c r="N1725" t="inlineStr"/>
      <c r="O1725">
        <f>(1-Summary!$B$11)*S1725+Summary!$B$11*U1725</f>
        <v/>
      </c>
      <c r="P1725">
        <f>IF(B1747=0,0,O1725/B1747)</f>
        <v/>
      </c>
      <c r="Q1725">
        <f>IFERROR(1/IF(Inputs!$B$38="pvp",15,MAX(0.1,Skills!D15-IF(Skills!E15=TRUE,Inputs!$B$32,0))),0)</f>
        <v/>
      </c>
      <c r="R1725" t="n">
        <v>0</v>
      </c>
      <c r="S1725" t="n">
        <v>0</v>
      </c>
      <c r="U1725" t="n">
        <v>0</v>
      </c>
    </row>
    <row r="1726">
      <c r="A1726">
        <f>Skills!A16</f>
        <v/>
      </c>
      <c r="B1726">
        <f>Skills!B16</f>
        <v/>
      </c>
      <c r="C1726">
        <f>Inputs!$B$3&gt;=110</f>
        <v/>
      </c>
      <c r="D1726">
        <f>IF(Skills!C16=1,60+Inputs!$B$25+Inputs!$B$29,IF(Skills!C16=2,90+Inputs!$B$26+Inputs!$B$29,IF(Skills!C16=3,120+Inputs!$B$27+Inputs!$B$29,MAX(0,(Inputs!$B$3-100)*3)+Inputs!$B$28+Inputs!$B$29)))</f>
        <v/>
      </c>
      <c r="E1726">
        <f>INDEX(FactorTable!$B$2:$Y$301, MATCH(ROUND(MIN(300,MAX(1,D1726)),0), FactorTable!$A$2:$A$301,0), Skills!L16+1)</f>
        <v/>
      </c>
      <c r="F1726">
        <f>(Skills!K16/10)*(E1726/1000)*64/45+Skills!N16</f>
        <v/>
      </c>
      <c r="G1726">
        <f>Calc!G16</f>
        <v/>
      </c>
      <c r="H1726">
        <f>Calc!H16</f>
        <v/>
      </c>
      <c r="I1726">
        <f>IF(Skills!T16&lt;&gt;"",1+(Skills!T16/10)*(Z1713/1000)/100,1)</f>
        <v/>
      </c>
      <c r="J1726" t="inlineStr"/>
      <c r="K1726" t="inlineStr"/>
      <c r="L1726" t="inlineStr"/>
      <c r="M1726" t="inlineStr"/>
      <c r="N1726" t="inlineStr"/>
      <c r="O1726">
        <f>(1-Summary!$B$11)*S1726+Summary!$B$11*U1726</f>
        <v/>
      </c>
      <c r="P1726">
        <f>IF(B1747=0,0,O1726/B1747)</f>
        <v/>
      </c>
      <c r="Q1726">
        <f>IFERROR(1/IF(Inputs!$B$38="pvp",15,MAX(0.1,Skills!D16-IF(Skills!E16=TRUE,Inputs!$B$32,0))),0)</f>
        <v/>
      </c>
      <c r="R1726">
        <f>IF(AND(Inputs!$B$38&lt;&gt;"pvp",Inputs!$B$43&gt;0),IF(Inputs!$B$43&lt;=0,0,(INT(Inputs!$B$43/IF(Inputs!$B$38="pvp",15,MAX(0.1,Skills!D16-IF(Skills!E16=TRUE,Inputs!$B$32,0))))+1)),0)</f>
        <v/>
      </c>
      <c r="S1726" t="n">
        <v>0</v>
      </c>
      <c r="U1726" t="n">
        <v>0</v>
      </c>
    </row>
    <row r="1727">
      <c r="A1727">
        <f>Skills!A17</f>
        <v/>
      </c>
      <c r="B1727">
        <f>Skills!B17</f>
        <v/>
      </c>
      <c r="C1727">
        <f>Inputs!$B$3&gt;=33</f>
        <v/>
      </c>
      <c r="D1727">
        <f>IF(Skills!C17=1,60+Inputs!$B$25+Inputs!$B$29,IF(Skills!C17=2,90+Inputs!$B$26+Inputs!$B$29,IF(Skills!C17=3,120+Inputs!$B$27+Inputs!$B$29,MAX(0,(Inputs!$B$3-100)*3)+Inputs!$B$28+Inputs!$B$29)))</f>
        <v/>
      </c>
      <c r="E1727">
        <f>INDEX(FactorTable!$B$2:$Y$301, MATCH(ROUND(MIN(300,MAX(1,D1727)),0), FactorTable!$A$2:$A$301,0), Skills!L17+1)</f>
        <v/>
      </c>
      <c r="F1727">
        <f>IF(Skills!M17=TRUE,(Skills!K17/10)*(E1727/1000),Skills!K17/10)+Skills!N17</f>
        <v/>
      </c>
      <c r="G1727">
        <f>Calc!G17</f>
        <v/>
      </c>
      <c r="H1727">
        <f>Calc!H17</f>
        <v/>
      </c>
      <c r="I1727">
        <f>IF(Skills!T17&lt;&gt;"",1+(Skills!T17/10)*(Z1713/1000)/100,1)</f>
        <v/>
      </c>
      <c r="J1727" t="inlineStr"/>
      <c r="K1727" t="inlineStr"/>
      <c r="L1727" t="inlineStr"/>
      <c r="M1727" t="inlineStr"/>
      <c r="N1727" t="inlineStr"/>
      <c r="O1727">
        <f>(1-Summary!$B$11)*S1727+Summary!$B$11*U1727</f>
        <v/>
      </c>
      <c r="P1727">
        <f>IF(B1747=0,0,O1727/B1747)</f>
        <v/>
      </c>
      <c r="Q1727">
        <f>IFERROR(1/IF(Inputs!$B$38="pvp",15,MAX(0.1,Skills!D17-IF(Skills!E17=TRUE,Inputs!$B$32,0))),0)</f>
        <v/>
      </c>
      <c r="R1727" t="n">
        <v>0</v>
      </c>
      <c r="S1727" t="n">
        <v>0</v>
      </c>
      <c r="U1727" t="n">
        <v>0</v>
      </c>
    </row>
    <row r="1728">
      <c r="A1728">
        <f>Skills!A18</f>
        <v/>
      </c>
      <c r="B1728">
        <f>Skills!B18</f>
        <v/>
      </c>
      <c r="C1728">
        <f>Inputs!$B$3&gt;=43</f>
        <v/>
      </c>
      <c r="D1728">
        <f>IF(Skills!C18=1,60+Inputs!$B$25+Inputs!$B$29,IF(Skills!C18=2,90+Inputs!$B$26+Inputs!$B$29,IF(Skills!C18=3,120+Inputs!$B$27+Inputs!$B$29,MAX(0,(Inputs!$B$3-100)*3)+Inputs!$B$28+Inputs!$B$29)))</f>
        <v/>
      </c>
      <c r="E1728">
        <f>INDEX(FactorTable!$B$2:$Y$301, MATCH(ROUND(MIN(300,MAX(1,D1728)),0), FactorTable!$A$2:$A$301,0), Skills!L18+1)</f>
        <v/>
      </c>
      <c r="F1728">
        <f>IF(Skills!M18=TRUE,(Skills!K18/10)*(E1728/1000),Skills!K18/10)+Skills!N18</f>
        <v/>
      </c>
      <c r="G1728">
        <f>Calc!G18</f>
        <v/>
      </c>
      <c r="H1728">
        <f>Calc!H18</f>
        <v/>
      </c>
      <c r="I1728">
        <f>IF(Skills!T18&lt;&gt;"",1+(Skills!T18/10)*(Z1713/1000)/100,1)</f>
        <v/>
      </c>
      <c r="J1728" t="inlineStr"/>
      <c r="K1728" t="inlineStr"/>
      <c r="L1728" t="inlineStr"/>
      <c r="M1728" t="inlineStr"/>
      <c r="N1728" t="inlineStr"/>
      <c r="O1728">
        <f>(1-Summary!$B$11)*S1728+Summary!$B$11*U1728</f>
        <v/>
      </c>
      <c r="P1728">
        <f>IF(B1747=0,0,O1728/B1747)</f>
        <v/>
      </c>
      <c r="Q1728">
        <f>IFERROR(1/IF(Inputs!$B$38="pvp",15,MAX(0.1,Skills!D18-IF(Skills!E18=TRUE,Inputs!$B$32,0))),0)</f>
        <v/>
      </c>
      <c r="R1728" t="n">
        <v>0</v>
      </c>
      <c r="S1728" t="n">
        <v>0</v>
      </c>
      <c r="U1728" t="n">
        <v>0</v>
      </c>
    </row>
    <row r="1729">
      <c r="A1729">
        <f>Skills!A19</f>
        <v/>
      </c>
      <c r="B1729">
        <f>Skills!B19</f>
        <v/>
      </c>
      <c r="C1729">
        <f>Inputs!$B$3&gt;=50</f>
        <v/>
      </c>
      <c r="D1729">
        <f>IF(Skills!C19=1,60+Inputs!$B$25+Inputs!$B$29,IF(Skills!C19=2,90+Inputs!$B$26+Inputs!$B$29,IF(Skills!C19=3,120+Inputs!$B$27+Inputs!$B$29,MAX(0,(Inputs!$B$3-100)*3)+Inputs!$B$28+Inputs!$B$29)))</f>
        <v/>
      </c>
      <c r="E1729">
        <f>INDEX(FactorTable!$B$2:$Y$301, MATCH(ROUND(MIN(300,MAX(1,D1729)),0), FactorTable!$A$2:$A$301,0), Skills!L19+1)</f>
        <v/>
      </c>
      <c r="F1729">
        <f>IF(Skills!M19=TRUE,(Skills!K19/10)*(E1729/1000),Skills!K19/10)+Skills!N19</f>
        <v/>
      </c>
      <c r="G1729">
        <f>Calc!G19</f>
        <v/>
      </c>
      <c r="H1729">
        <f>Calc!H19</f>
        <v/>
      </c>
      <c r="I1729">
        <f>IF(Skills!T19&lt;&gt;"",1+(Skills!T19/10)*(Z1713/1000)/100,1)</f>
        <v/>
      </c>
      <c r="J1729" t="inlineStr"/>
      <c r="K1729" t="inlineStr"/>
      <c r="L1729" t="inlineStr"/>
      <c r="M1729" t="inlineStr"/>
      <c r="N1729" t="inlineStr"/>
      <c r="O1729">
        <f>(1-Summary!$B$11)*S1729+Summary!$B$11*U1729</f>
        <v/>
      </c>
      <c r="P1729">
        <f>IF(B1747=0,0,O1729/B1747)</f>
        <v/>
      </c>
      <c r="Q1729">
        <f>IFERROR(1/IF(Inputs!$B$38="pvp",15,MAX(0.1,Skills!D19-IF(Skills!E19=TRUE,Inputs!$B$32,0))),0)</f>
        <v/>
      </c>
      <c r="R1729" t="n">
        <v>0</v>
      </c>
      <c r="S1729" t="n">
        <v>0</v>
      </c>
      <c r="U1729" t="n">
        <v>0</v>
      </c>
    </row>
    <row r="1730">
      <c r="A1730">
        <f>Skills!A20</f>
        <v/>
      </c>
      <c r="B1730">
        <f>Skills!B20</f>
        <v/>
      </c>
      <c r="C1730">
        <f>Inputs!$B$3&gt;=74</f>
        <v/>
      </c>
      <c r="D1730">
        <f>IF(Skills!C20=1,60+Inputs!$B$25+Inputs!$B$29,IF(Skills!C20=2,90+Inputs!$B$26+Inputs!$B$29,IF(Skills!C20=3,120+Inputs!$B$27+Inputs!$B$29,MAX(0,(Inputs!$B$3-100)*3)+Inputs!$B$28+Inputs!$B$29)))</f>
        <v/>
      </c>
      <c r="E1730">
        <f>INDEX(FactorTable!$B$2:$Y$301, MATCH(ROUND(MIN(300,MAX(1,D1730)),0), FactorTable!$A$2:$A$301,0), Skills!L20+1)</f>
        <v/>
      </c>
      <c r="F1730">
        <f>IF(Skills!M20=TRUE,(Skills!K20/10)*(E1730/1000),Skills!K20/10)+Skills!N20</f>
        <v/>
      </c>
      <c r="G1730">
        <f>Calc!G20</f>
        <v/>
      </c>
      <c r="H1730">
        <f>Calc!H20</f>
        <v/>
      </c>
      <c r="I1730">
        <f>IF(Skills!T20&lt;&gt;"",1+(Skills!T20/10)*(Z1713/1000)/100,1)</f>
        <v/>
      </c>
      <c r="J1730" t="inlineStr"/>
      <c r="K1730" t="inlineStr"/>
      <c r="L1730" t="inlineStr"/>
      <c r="M1730" t="inlineStr"/>
      <c r="N1730" t="inlineStr"/>
      <c r="O1730">
        <f>(1-Summary!$B$11)*S1730+Summary!$B$11*U1730</f>
        <v/>
      </c>
      <c r="P1730">
        <f>IF(B1747=0,0,O1730/B1747)</f>
        <v/>
      </c>
      <c r="Q1730">
        <f>IFERROR(1/IF(Inputs!$B$38="pvp",15,MAX(0.1,Skills!D20-IF(Skills!E20=TRUE,Inputs!$B$32,0))),0)</f>
        <v/>
      </c>
      <c r="R1730" t="n">
        <v>0</v>
      </c>
      <c r="S1730" t="n">
        <v>0</v>
      </c>
      <c r="U1730" t="n">
        <v>0</v>
      </c>
    </row>
    <row r="1731">
      <c r="A1731">
        <f>Skills!A21</f>
        <v/>
      </c>
      <c r="B1731">
        <f>Skills!B21</f>
        <v/>
      </c>
      <c r="C1731">
        <f>Inputs!$B$3&gt;=74</f>
        <v/>
      </c>
      <c r="D1731">
        <f>IF(Skills!C21=1,60+Inputs!$B$25+Inputs!$B$29,IF(Skills!C21=2,90+Inputs!$B$26+Inputs!$B$29,IF(Skills!C21=3,120+Inputs!$B$27+Inputs!$B$29,MAX(0,(Inputs!$B$3-100)*3)+Inputs!$B$28+Inputs!$B$29)))</f>
        <v/>
      </c>
      <c r="E1731">
        <f>INDEX(FactorTable!$B$2:$Y$301, MATCH(ROUND(MIN(300,MAX(1,D1731)),0), FactorTable!$A$2:$A$301,0), Skills!L21+1)</f>
        <v/>
      </c>
      <c r="F1731">
        <f>IF(Skills!M21=TRUE,(Skills!K21/10)*(E1731/1000),Skills!K21/10)+Skills!N21</f>
        <v/>
      </c>
      <c r="G1731">
        <f>Calc!G21</f>
        <v/>
      </c>
      <c r="H1731">
        <f>Calc!H21</f>
        <v/>
      </c>
      <c r="I1731">
        <f>IF(Skills!T21&lt;&gt;"",1+(Skills!T21/10)*(Z1713/1000)/100,1)</f>
        <v/>
      </c>
      <c r="J1731" t="inlineStr"/>
      <c r="K1731" t="inlineStr"/>
      <c r="L1731" t="inlineStr"/>
      <c r="M1731" t="inlineStr"/>
      <c r="N1731" t="inlineStr"/>
      <c r="O1731">
        <f>(1-Summary!$B$11)*S1731+Summary!$B$11*U1731</f>
        <v/>
      </c>
      <c r="P1731">
        <f>IF(B1747=0,0,O1731/B1747)</f>
        <v/>
      </c>
      <c r="Q1731">
        <f>IFERROR(1/IF(Inputs!$B$38="pvp",15,MAX(0.1,Skills!D21-IF(Skills!E21=TRUE,Inputs!$B$32,0))),0)</f>
        <v/>
      </c>
      <c r="R1731" t="n">
        <v>0</v>
      </c>
      <c r="S1731" t="n">
        <v>0</v>
      </c>
      <c r="U1731" t="n">
        <v>0</v>
      </c>
    </row>
    <row r="1732">
      <c r="A1732">
        <f>Skills!A22</f>
        <v/>
      </c>
      <c r="B1732">
        <f>Skills!B22</f>
        <v/>
      </c>
      <c r="C1732">
        <f>Inputs!$B$3&gt;=117</f>
        <v/>
      </c>
      <c r="D1732">
        <f>IF(Skills!C22=1,60+Inputs!$B$25+Inputs!$B$29,IF(Skills!C22=2,90+Inputs!$B$26+Inputs!$B$29,IF(Skills!C22=3,120+Inputs!$B$27+Inputs!$B$29,MAX(0,(Inputs!$B$3-100)*3)+Inputs!$B$28+Inputs!$B$29)))</f>
        <v/>
      </c>
      <c r="E1732">
        <f>INDEX(FactorTable!$B$2:$Y$301, MATCH(ROUND(MIN(300,MAX(1,D1732)),0), FactorTable!$A$2:$A$301,0), Skills!L22+1)</f>
        <v/>
      </c>
      <c r="F1732">
        <f>IF(Skills!M22=TRUE,(Skills!K22/10)*(E1732/1000),Skills!K22/10)+Skills!N22</f>
        <v/>
      </c>
      <c r="G1732">
        <f>Calc!G22</f>
        <v/>
      </c>
      <c r="H1732">
        <f>Calc!H22</f>
        <v/>
      </c>
      <c r="I1732">
        <f>IF(Skills!T22&lt;&gt;"",1+(Skills!T22/10)*(Z1713/1000)/100,1)</f>
        <v/>
      </c>
      <c r="J1732" t="inlineStr"/>
      <c r="K1732" t="inlineStr"/>
      <c r="L1732" t="inlineStr"/>
      <c r="M1732" t="inlineStr"/>
      <c r="N1732" t="inlineStr"/>
      <c r="O1732">
        <f>(1-Summary!$B$11)*S1732+Summary!$B$11*U1732</f>
        <v/>
      </c>
      <c r="P1732">
        <f>IF(B1747=0,0,O1732/B1747)</f>
        <v/>
      </c>
      <c r="Q1732">
        <f>IFERROR(1/IF(Inputs!$B$38="pvp",15,MAX(0.1,Skills!D22-IF(Skills!E22=TRUE,Inputs!$B$32,0))),0)</f>
        <v/>
      </c>
      <c r="R1732" t="n">
        <v>0</v>
      </c>
      <c r="S1732" t="n">
        <v>0</v>
      </c>
      <c r="U1732" t="n">
        <v>0</v>
      </c>
    </row>
    <row r="1733">
      <c r="A1733">
        <f>Skills!A23</f>
        <v/>
      </c>
      <c r="B1733">
        <f>Skills!B23</f>
        <v/>
      </c>
      <c r="C1733">
        <f>Inputs!$B$3&gt;=120</f>
        <v/>
      </c>
      <c r="D1733">
        <f>IF(Skills!C23=1,60+Inputs!$B$25+Inputs!$B$29,IF(Skills!C23=2,90+Inputs!$B$26+Inputs!$B$29,IF(Skills!C23=3,120+Inputs!$B$27+Inputs!$B$29,MAX(0,(Inputs!$B$3-100)*3)+Inputs!$B$28+Inputs!$B$29)))</f>
        <v/>
      </c>
      <c r="E1733">
        <f>INDEX(FactorTable!$B$2:$Y$301, MATCH(ROUND(MIN(300,MAX(1,D1733)),0), FactorTable!$A$2:$A$301,0), Skills!L23+1)</f>
        <v/>
      </c>
      <c r="F1733">
        <f>IF(Skills!M23=TRUE,(Skills!K23/10)*(E1733/1000),Skills!K23/10)+Skills!N23</f>
        <v/>
      </c>
      <c r="G1733">
        <f>Calc!G23</f>
        <v/>
      </c>
      <c r="H1733">
        <f>Calc!H23</f>
        <v/>
      </c>
      <c r="I1733">
        <f>IF(Skills!T23&lt;&gt;"",1+(Skills!T23/10)*(Z1713/1000)/100,1)</f>
        <v/>
      </c>
      <c r="J1733" t="inlineStr"/>
      <c r="K1733" t="inlineStr"/>
      <c r="L1733" t="inlineStr"/>
      <c r="M1733" t="inlineStr"/>
      <c r="N1733" t="inlineStr"/>
      <c r="O1733">
        <f>(1-Summary!$B$11)*S1733+Summary!$B$11*U1733</f>
        <v/>
      </c>
      <c r="P1733">
        <f>IF(B1747=0,0,O1733/B1747)</f>
        <v/>
      </c>
      <c r="Q1733">
        <f>IFERROR(1/IF(Inputs!$B$38="pvp",15,MAX(0.1,Skills!D23-IF(Skills!E23=TRUE,Inputs!$B$32,0))),0)</f>
        <v/>
      </c>
      <c r="R1733" t="n">
        <v>0</v>
      </c>
      <c r="S1733" t="n">
        <v>0</v>
      </c>
      <c r="U1733" t="n">
        <v>0</v>
      </c>
    </row>
    <row r="1734">
      <c r="A1734">
        <f>Skills!A24</f>
        <v/>
      </c>
      <c r="B1734">
        <f>Skills!B24</f>
        <v/>
      </c>
      <c r="C1734">
        <f>TRUE</f>
        <v/>
      </c>
      <c r="D1734">
        <f>IF(Skills!C24=1,60+Inputs!$B$25+Inputs!$B$29,IF(Skills!C24=2,90+Inputs!$B$26+Inputs!$B$29,IF(Skills!C24=3,120+Inputs!$B$27+Inputs!$B$29,MAX(0,(Inputs!$B$3-100)*3)+Inputs!$B$28+Inputs!$B$29)))</f>
        <v/>
      </c>
      <c r="E1734">
        <f>INDEX(FactorTable!$B$2:$Y$301, MATCH(ROUND(MIN(300,MAX(1,D1734)),0), FactorTable!$A$2:$A$301,0), Skills!L24+1)</f>
        <v/>
      </c>
      <c r="F1734">
        <f>IF(Skills!M24=TRUE,(Skills!K24/10)*(E1734/1000),Skills!K24/10)+Skills!N24</f>
        <v/>
      </c>
      <c r="G1734">
        <f>Calc!G24</f>
        <v/>
      </c>
      <c r="H1734">
        <f>Calc!H24</f>
        <v/>
      </c>
      <c r="I1734">
        <f>IF(Skills!T24&lt;&gt;"",1+(Skills!T24/10)*(Z1713/1000)/100,1)</f>
        <v/>
      </c>
      <c r="J1734" t="inlineStr"/>
      <c r="K1734" t="inlineStr"/>
      <c r="L1734" t="inlineStr"/>
      <c r="M1734" t="inlineStr"/>
      <c r="N1734" t="inlineStr"/>
      <c r="O1734">
        <f>(1-Summary!$B$11)*S1734+Summary!$B$11*U1734</f>
        <v/>
      </c>
      <c r="P1734">
        <f>IF(B1747=0,0,O1734/B1747)</f>
        <v/>
      </c>
      <c r="Q1734">
        <f>IFERROR(1/IF(Inputs!$B$38="pvp",15,MAX(0.1,Skills!D24-IF(Skills!E24=TRUE,Inputs!$B$32,0))),0)</f>
        <v/>
      </c>
      <c r="R1734">
        <f>IF(AND(Inputs!$B$38&lt;&gt;"pvp",Inputs!$B$43&gt;0),IF(Inputs!$B$43&lt;=0,0,(INT(Inputs!$B$43/IF(Inputs!$B$38="pvp",15,MAX(0.1,Skills!D24-IF(Skills!E24=TRUE,Inputs!$B$32,0))))+1)),0)</f>
        <v/>
      </c>
      <c r="S1734" t="n">
        <v>0</v>
      </c>
      <c r="U1734" t="n">
        <v>0</v>
      </c>
    </row>
    <row r="1737">
      <c r="A1737" t="inlineStr">
        <is>
          <t>Average Buff Multiplier (Magic Guard + Meditation + Artifact Attack%, summed; then Infinity)</t>
        </is>
      </c>
      <c r="B1737">
        <f>(1+(IF(C1713=TRUE,F1713*IF(AND(Inputs!$B$38&lt;&gt;"pvp",Inputs!$B$43&gt;0),(((R1713-1)*(Skills!S3*(1+(Inputs!$B$34)/100))+MIN((Skills!S3*(1+(Inputs!$B$34)/100)),MAX(0,Inputs!$B$43-((R1713-1)*Skills!D3))))/Inputs!$B$43),IF(Inputs!$B$38="pvp",MIN((Skills!S3*(1+(Inputs!$B$34)/100)),15)/15,(Skills!S3*(1+(Inputs!$B$34)/100))/Skills!D3)),0)+IF(C1714=TRUE,F1714*IF(AND(Inputs!$B$38&lt;&gt;"pvp",Inputs!$B$43&gt;0),(((R1714-1)*(Skills!S4*(1+(Inputs!$B$34)/100))+MIN((Skills!S4*(1+(Inputs!$B$34)/100)),MAX(0,Inputs!$B$43-((R1714-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1726=TRUE,(1+F1726*IF(AND(Inputs!$B$38&lt;&gt;"pvp",Inputs!$B$43&gt;0),(((R1726-1)*(Skills!S16*(1+(Inputs!$B$34)/100))+MIN((Skills!S16*(1+(Inputs!$B$34)/100)),MAX(0,Inputs!$B$43-((R1726-1)*Skills!D16))))/Inputs!$B$43),IF(Inputs!$B$38="pvp",MIN((Skills!S16*(1+(Inputs!$B$34)/100)),15)/15,(Skills!S16*(1+(Inputs!$B$34)/100))/Skills!D16))/100),1)</f>
        <v/>
      </c>
    </row>
    <row r="1738">
      <c r="A1738" t="inlineStr">
        <is>
          <t>Monster Damage Taken Bonus % (Freezing Breath - Weaken + Elemental Reset + Artifact Enemy Damage Taken, summed)</t>
        </is>
      </c>
      <c r="B1738">
        <f>IF(Inputs!$B$3&gt;=118,15*IF(Inputs!$B$38="pvp",MIN((30*(1+(Inputs!$B$34)/100)),15)/15,(30*(1+(Inputs!$B$34)/100))/Skills!D8),0)+IF(C1724=TRUE,F1724,0)+(IF(AND(ArtifactsInput!$M$35,Inputs!$B$4&lt;&gt;"Chapter Hunt"),CHOOSE(ArtifactsInput!$N$35+1,15,18,21,24,27,30)*(1-EXP(-(0.2*B1741)*5)),0)+IF(AND(ArtifactsInput!$M$22,Inputs!$B$4&lt;&gt;"Chapter Hunt"),CHOOSE(ArtifactsInput!$N$22+1,10,12,14,16,18,20)*((0*(((0.15*B1741*5))^0/1)+1*(((0.15*B1741*5))^1/1)+2*(((0.15*B1741*5))^2/2)+3*(((0.15*B1741*5))^3/6)+4*(((0.15*B1741*5))^4/24)+5*(((0.15*B1741*5))^5/120))/((((0.15*B1741*5))^0/1)+(((0.15*B1741*5))^1/1)+(((0.15*B1741*5))^2/2)+(((0.15*B1741*5))^3/6)+(((0.15*B1741*5))^4/24)+(((0.15*B1741*5))^5/120))),0))</f>
        <v/>
      </c>
    </row>
    <row r="1739">
      <c r="A1739" t="inlineStr">
        <is>
          <t>Damage % Bonus (Frozen Break + Frost Clutch, flat)</t>
        </is>
      </c>
      <c r="B1739">
        <f>IF(Inputs!$B$3&gt;=66,15,0)+IF(Inputs!$B$3&gt;=98,10,0)+IF(Inputs!$B$3&gt;=125,20,0)</f>
        <v/>
      </c>
    </row>
    <row r="1740">
      <c r="A1740" t="inlineStr">
        <is>
          <t>Attack Speed Bonus % (MP Eater - MP Boost, always-on + Nimble Feet, duty-cycle averaged)</t>
        </is>
      </c>
      <c r="B1740">
        <f>IF(C1723=TRUE,F1723+(F1727-Calc!F17),0)+((C1734=TRUE)*F1734*IF(AND(Inputs!$B$38&lt;&gt;"pvp",Inputs!$B$43&gt;0),(((R1734-1)*(Skills!S24*(1+(Inputs!$B$34)/100))+MIN((Skills!S24*(1+(Inputs!$B$34)/100)),MAX(0,Inputs!$B$43-((R1734-1)*Skills!D24))))/Inputs!$B$43),IF(Inputs!$B$38="pvp",MIN((Skills!S24*(1+(Inputs!$B$34)/100)),15)/15,(Skills!S24*(1+(Inputs!$B$34)/100))/Skills!D24)))</f>
        <v/>
      </c>
    </row>
    <row r="1741">
      <c r="A1741" t="inlineStr">
        <is>
          <t>Actions Per Second</t>
        </is>
      </c>
      <c r="B1741">
        <f>1+MIN(150,150*(1-(1-(Inputs!$B$11+(ArtifactsInput!$M$15-ArtifactsInput!$M$15)*CHOOSE(ArtifactsInput!$N$15+1,8,9.6,11.2,12.8,14.4,16))/150)*(1-B1740/150)))/100</f>
        <v/>
      </c>
    </row>
    <row r="1742">
      <c r="A1742" t="inlineStr">
        <is>
          <t>Skill + Buff Cast Rate</t>
        </is>
      </c>
      <c r="B1742">
        <f>IF(AND(Inputs!$B$38&lt;&gt;"pvp",Inputs!$B$43&gt;0),SUMPRODUCT((Skills!E2:E24=TRUE)*(C1712:C1734=TRUE)*R1712:R1734)/Inputs!$B$43,SUMPRODUCT((Skills!E2:E24=TRUE)*(C1712:C1734=TRUE)*Q1712:Q1734))</f>
        <v/>
      </c>
    </row>
    <row r="1743">
      <c r="A1743" t="inlineStr">
        <is>
          <t>Chain Lightning Casts Per Second</t>
        </is>
      </c>
      <c r="B1743">
        <f>MAX(0,B1741-B1742)</f>
        <v/>
      </c>
    </row>
    <row r="1744">
      <c r="A1744" t="inlineStr">
        <is>
          <t>Buff-Casting Startup Delay (s, fixed-duration only)</t>
        </is>
      </c>
      <c r="B1744">
        <f>IF(AND(Inputs!$B$38&lt;&gt;"pvp",Inputs!$B$43&gt;0),SUMPRODUCT((Skills!S2:S24&gt;0)*(Skills!E2:E24=TRUE)*(C1712:C1734=TRUE))/B1741,0)</f>
        <v/>
      </c>
    </row>
    <row r="1745">
      <c r="A1745" t="inlineStr">
        <is>
          <t>Boss-Only Total DPS (this block's swept value)</t>
        </is>
      </c>
      <c r="B1745">
        <f>SUM(S1712:S1734)</f>
        <v/>
      </c>
    </row>
    <row r="1746">
      <c r="A1746" t="inlineStr">
        <is>
          <t>Normal-Only Total DPS (this block's swept value)</t>
        </is>
      </c>
      <c r="B1746">
        <f>SUM(U1712:U1734)</f>
        <v/>
      </c>
    </row>
    <row r="1747">
      <c r="A1747" s="6" t="inlineStr">
        <is>
          <t>TOTAL DPS</t>
        </is>
      </c>
      <c r="B1747" s="6">
        <f>SUM(O1712:O1734)</f>
        <v/>
      </c>
    </row>
    <row r="1750">
      <c r="A1750" s="6" t="inlineStr">
        <is>
          <t>Stat: Book of Ancient (Equip)</t>
        </is>
      </c>
    </row>
    <row r="1751">
      <c r="A1751" s="5" t="inlineStr">
        <is>
          <t>Key</t>
        </is>
      </c>
      <c r="B1751" s="5" t="inlineStr">
        <is>
          <t>Name</t>
        </is>
      </c>
      <c r="C1751" s="5" t="inlineStr">
        <is>
          <t>Unlocked</t>
        </is>
      </c>
      <c r="D1751" s="5" t="inlineStr">
        <is>
          <t>InputLevel</t>
        </is>
      </c>
      <c r="E1751" s="5" t="inlineStr">
        <is>
          <t>Factor</t>
        </is>
      </c>
      <c r="F1751" s="5" t="inlineStr">
        <is>
          <t>CoefficientPercent</t>
        </is>
      </c>
      <c r="G1751" s="5" t="inlineStr">
        <is>
          <t>EffectiveHits</t>
        </is>
      </c>
      <c r="H1751" s="5" t="inlineStr">
        <is>
          <t>ProcProbability</t>
        </is>
      </c>
      <c r="I1751" s="5" t="inlineStr">
        <is>
          <t>MapleHeroMultiplier</t>
        </is>
      </c>
      <c r="J1751" s="5" t="inlineStr">
        <is>
          <t>BaseDamage</t>
        </is>
      </c>
      <c r="K1751" s="5" t="inlineStr">
        <is>
          <t>BaseHitDamage</t>
        </is>
      </c>
      <c r="L1751" s="5" t="inlineStr">
        <is>
          <t>NonCritAvg</t>
        </is>
      </c>
      <c r="M1751" s="5" t="inlineStr">
        <is>
          <t>CritAvg</t>
        </is>
      </c>
      <c r="N1751" s="5" t="inlineStr">
        <is>
          <t>ExpectedDamage(perHit)</t>
        </is>
      </c>
      <c r="O1751" s="5" t="inlineStr">
        <is>
          <t>DPS</t>
        </is>
      </c>
      <c r="P1751" s="5" t="inlineStr">
        <is>
          <t>% of Total</t>
        </is>
      </c>
      <c r="R1751" t="inlineStr">
        <is>
          <t>helpers</t>
        </is>
      </c>
    </row>
    <row r="1752">
      <c r="A1752">
        <f>Skills!A2</f>
        <v/>
      </c>
      <c r="B1752">
        <f>Skills!B2</f>
        <v/>
      </c>
      <c r="C1752">
        <f>Inputs!$B$3&gt;=100</f>
        <v/>
      </c>
      <c r="D1752" t="inlineStr"/>
      <c r="E1752" t="inlineStr"/>
      <c r="F1752">
        <f>T1754+Skills!N2</f>
        <v/>
      </c>
      <c r="G1752">
        <f>Calc!G2</f>
        <v/>
      </c>
      <c r="H1752">
        <f>Calc!H2</f>
        <v/>
      </c>
      <c r="I1752">
        <f>IF(Skills!T2&lt;&gt;"",1+(Skills!T2/10)*(Z1753/1000)/100,1)</f>
        <v/>
      </c>
      <c r="J1752">
        <f>((Inputs!$B$6*(1+Inputs!$B$7/100))+(((Inputs!$B$12*(1+Inputs!$B$13/100))-(Inputs!$B$12*(1+Inputs!$B$13/100)))+0.25*(Inputs!$B$14-Inputs!$B$14))*(1+Inputs!$B$7/100))*(F1752/100)</f>
        <v/>
      </c>
      <c r="K1752">
        <f>J1752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2="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1768-Calc!F18),(Inputs!$B$23+(IF(ArtifactsInput!$M$15,CHOOSE(ArtifactsInput!$N$15+1,25,30,35,40,45,50)/100*(Inputs!$B$11-Inputs!$B$11),0))))/100+(Inputs!$B$23+(IF(ArtifactsInput!$M$15,CHOOSE(ArtifactsInput!$N$15+1,25,30,35,40,45,50)/100*(Inputs!$B$11-Inputs!$B$11),0)))/100)/2</f>
        <v/>
      </c>
      <c r="M1752">
        <f>L1752*(1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2">
        <f>L1752*(1-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IF(B1787=0,0,O1752/B1787)</f>
        <v/>
      </c>
      <c r="Q1752">
        <f>IFERROR(1/IF(Inputs!$B$38="pvp",15,MAX(0.1,Skills!D2-IF(Skills!E2=TRUE,Inputs!$B$32,0))),0)</f>
        <v/>
      </c>
      <c r="R1752" t="n">
        <v>0</v>
      </c>
      <c r="S1752">
        <f>IF(C1752,(Skills!F2*N1752*B1783)*IF(Inputs!$B$38="pvp",1,1+(Inputs!$B$20+Skills!O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52">
        <f>MAX(0,(Inputs!$B$3-100)*3)+Inputs!$B$28+Inputs!$B$29</f>
        <v/>
      </c>
      <c r="U1752">
        <f>IF(C1752,(Skills!F2*N1752*B1783)*IF(Inputs!$B$38="pvp",1,(1+(Inputs!$B$21+Skills!P2+B1778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52">
        <f>MAX(0,(Inputs!$B$3-100)*3)+Inputs!$B$28+Inputs!$B$29</f>
        <v/>
      </c>
    </row>
    <row r="1753">
      <c r="A1753">
        <f>Skills!A3</f>
        <v/>
      </c>
      <c r="B1753">
        <f>Skills!B3</f>
        <v/>
      </c>
      <c r="C1753">
        <f>Inputs!$B$3&gt;=15</f>
        <v/>
      </c>
      <c r="D1753">
        <f>IF(Skills!C3=1,60+Inputs!$B$25+Inputs!$B$29,IF(Skills!C3=2,90+Inputs!$B$26+Inputs!$B$29,IF(Skills!C3=3,120+Inputs!$B$27+Inputs!$B$29,MAX(0,(Inputs!$B$3-100)*3)+Inputs!$B$28+Inputs!$B$29)))</f>
        <v/>
      </c>
      <c r="E1753">
        <f>INDEX(FactorTable!$B$2:$Y$301, MATCH(ROUND(MIN(300,MAX(1,D1753)),0), FactorTable!$A$2:$A$301,0), Skills!L3+1)</f>
        <v/>
      </c>
      <c r="F1753">
        <f>IF(Skills!M3=TRUE,(Skills!K3/10)*(E1753/1000),Skills!K3/10)+Skills!N3</f>
        <v/>
      </c>
      <c r="G1753">
        <f>Calc!G3</f>
        <v/>
      </c>
      <c r="H1753">
        <f>Calc!H3</f>
        <v/>
      </c>
      <c r="I1753">
        <f>IF(Skills!T3&lt;&gt;"",1+(Skills!T3/10)*(Z1753/1000)/100,1)</f>
        <v/>
      </c>
      <c r="J1753" t="inlineStr"/>
      <c r="K1753" t="inlineStr"/>
      <c r="L1753" t="inlineStr"/>
      <c r="M1753" t="inlineStr"/>
      <c r="N1753" t="inlineStr"/>
      <c r="O1753">
        <f>(1-Summary!$B$11)*S1753+Summary!$B$11*U1753</f>
        <v/>
      </c>
      <c r="P1753">
        <f>IF(B1787=0,0,O1753/B1787)</f>
        <v/>
      </c>
      <c r="Q1753">
        <f>IFERROR(1/IF(Inputs!$B$38="pvp",15,MAX(0.1,Skills!D3-IF(Skills!E3=TRUE,Inputs!$B$32,0))),0)</f>
        <v/>
      </c>
      <c r="R1753">
        <f>IF(AND(Inputs!$B$38&lt;&gt;"pvp",Inputs!$B$43&gt;0),IF(Inputs!$B$43&lt;=0,0,(INT(Inputs!$B$43/IF(Inputs!$B$38="pvp",15,MAX(0.1,Skills!D3-IF(Skills!E3=TRUE,Inputs!$B$32,0))))+1)),0)</f>
        <v/>
      </c>
      <c r="S1753" t="n">
        <v>0</v>
      </c>
      <c r="T1753">
        <f>INDEX(FactorTable!$B$2:$Y$301, MATCH(ROUND(MIN(300,MAX(1,T1752)),0), FactorTable!$A$2:$A$301,0), 22)</f>
        <v/>
      </c>
      <c r="U1753" t="n">
        <v>0</v>
      </c>
      <c r="Z1753">
        <f>INDEX(FactorTable!$B$2:$Y$301, MATCH(ROUND(MIN(300,MAX(1,Z1752)),0), FactorTable!$A$2:$A$301,0), 24)</f>
        <v/>
      </c>
    </row>
    <row r="1754">
      <c r="A1754">
        <f>Skills!A4</f>
        <v/>
      </c>
      <c r="B1754">
        <f>Skills!B4</f>
        <v/>
      </c>
      <c r="C1754">
        <f>Inputs!$B$3&gt;=40</f>
        <v/>
      </c>
      <c r="D1754">
        <f>IF(Skills!C4=1,60+Inputs!$B$25+Inputs!$B$29,IF(Skills!C4=2,90+Inputs!$B$26+Inputs!$B$29,IF(Skills!C4=3,120+Inputs!$B$27+Inputs!$B$29,MAX(0,(Inputs!$B$3-100)*3)+Inputs!$B$28+Inputs!$B$29)))</f>
        <v/>
      </c>
      <c r="E1754">
        <f>INDEX(FactorTable!$B$2:$Y$301, MATCH(ROUND(MIN(300,MAX(1,D1754)),0), FactorTable!$A$2:$A$301,0), Skills!L4+1)</f>
        <v/>
      </c>
      <c r="F1754">
        <f>IF(Skills!M4=TRUE,(Skills!K4/10)*(E1754/1000),Skills!K4/10)+Skills!N4</f>
        <v/>
      </c>
      <c r="G1754">
        <f>Calc!G4</f>
        <v/>
      </c>
      <c r="H1754">
        <f>Calc!H4</f>
        <v/>
      </c>
      <c r="I1754">
        <f>IF(Skills!T4&lt;&gt;"",1+(Skills!T4/10)*(Z1753/1000)/100,1)</f>
        <v/>
      </c>
      <c r="J1754" t="inlineStr"/>
      <c r="K1754" t="inlineStr"/>
      <c r="L1754" t="inlineStr"/>
      <c r="M1754" t="inlineStr"/>
      <c r="N1754" t="inlineStr"/>
      <c r="O1754">
        <f>(1-Summary!$B$11)*S1754+Summary!$B$11*U1754</f>
        <v/>
      </c>
      <c r="P1754">
        <f>IF(B1787=0,0,O1754/B1787)</f>
        <v/>
      </c>
      <c r="Q1754">
        <f>IFERROR(1/IF(Inputs!$B$38="pvp",15,MAX(0.1,Skills!D4-IF(Skills!E4=TRUE,Inputs!$B$32,0))),0)</f>
        <v/>
      </c>
      <c r="R1754">
        <f>IF(AND(Inputs!$B$38&lt;&gt;"pvp",Inputs!$B$43&gt;0),IF(Inputs!$B$43&lt;=0,0,(INT(Inputs!$B$43/IF(Inputs!$B$38="pvp",15,MAX(0.1,Skills!D4-IF(Skills!E4=TRUE,Inputs!$B$32,0))))+1)),0)</f>
        <v/>
      </c>
      <c r="S1754" t="n">
        <v>0</v>
      </c>
      <c r="T1754">
        <f>290*T1753/1000</f>
        <v/>
      </c>
      <c r="U1754" t="n">
        <v>0</v>
      </c>
    </row>
    <row r="1755">
      <c r="A1755">
        <f>Skills!A5</f>
        <v/>
      </c>
      <c r="B1755">
        <f>Skills!B5</f>
        <v/>
      </c>
      <c r="C1755">
        <f>Inputs!$B$3&gt;=38</f>
        <v/>
      </c>
      <c r="D1755">
        <f>IF(Skills!C5=1,60+Inputs!$B$25+Inputs!$B$29,IF(Skills!C5=2,90+Inputs!$B$26+Inputs!$B$29,IF(Skills!C5=3,120+Inputs!$B$27+Inputs!$B$29,MAX(0,(Inputs!$B$3-100)*3)+Inputs!$B$28+Inputs!$B$29)))</f>
        <v/>
      </c>
      <c r="E1755">
        <f>INDEX(FactorTable!$B$2:$Y$301, MATCH(ROUND(MIN(300,MAX(1,D1755)),0), FactorTable!$A$2:$A$301,0), Skills!L5+1)</f>
        <v/>
      </c>
      <c r="F1755">
        <f>IF(Skills!M5=TRUE,(Skills!K5/10)*(E1755/1000),Skills!K5/10)+Skills!N5</f>
        <v/>
      </c>
      <c r="G1755">
        <f>Calc!G5</f>
        <v/>
      </c>
      <c r="H1755">
        <f>Calc!H5</f>
        <v/>
      </c>
      <c r="I1755">
        <f>IF(Skills!T5&lt;&gt;"",1+(Skills!T5/10)*(Z1753/1000)/100,1)</f>
        <v/>
      </c>
      <c r="J1755">
        <f>((Inputs!$B$6*(1+Inputs!$B$7/100))+(((Inputs!$B$12*(1+Inputs!$B$13/100))-(Inputs!$B$12*(1+Inputs!$B$13/100)))+0.25*(Inputs!$B$14-Inputs!$B$14))*(1+Inputs!$B$7/100))*(F1755/100)</f>
        <v/>
      </c>
      <c r="K1755">
        <f>J1755*(1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5="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1768-Calc!F18),(Inputs!$B$23+(IF(ArtifactsInput!$M$15,CHOOSE(ArtifactsInput!$N$15+1,25,30,35,40,45,50)/100*(Inputs!$B$11-Inputs!$B$11),0))))/100+(Inputs!$B$23+(IF(ArtifactsInput!$M$15,CHOOSE(ArtifactsInput!$N$15+1,25,30,35,40,45,50)/100*(Inputs!$B$11-Inputs!$B$11),0)))/100)/2</f>
        <v/>
      </c>
      <c r="M1755">
        <f>L1755*(1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5">
        <f>L1755*(1-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IF(B1787=0,0,O1755/B1787)</f>
        <v/>
      </c>
      <c r="Q1755">
        <f>IFERROR(1/IF(Inputs!$B$38="pvp",15,MAX(0.1,Skills!D5-IF(Skills!E5=TRUE,Inputs!$B$32,0))),0)</f>
        <v/>
      </c>
      <c r="R1755">
        <f>IF(AND(Inputs!$B$38&lt;&gt;"pvp",Inputs!$B$43&gt;0),IF(MAX(0,Inputs!$B$43-B1784)&lt;=0,0,(INT(MAX(0,Inputs!$B$43-B1784)/IF(Inputs!$B$38="pvp",15,MAX(0.1,Skills!D5-IF(Skills!E5=TRUE,Inputs!$B$32,0))))+1)),0)</f>
        <v/>
      </c>
      <c r="S1755">
        <f>IF(C1755,(H1755*N1755*IF(AND(Inputs!$B$38&lt;&gt;"pvp",Inputs!$B$43&gt;0),((Skills!F5*((R1755-1)*IF(Skills!G5&gt;0,Skills!H5/Skills!G5,1)+IF(Skills!G5&gt;0,MIN(Skills!H5,MAX(0,MAX(0,Inputs!$B$43-B1784)-((R1755-1)*IF(Inputs!$B$38="pvp",15,MAX(0.1,Skills!D5-IF(Skills!E5=TRUE,Inputs!$B$32,0))))))/Skills!G5,1)))/Inputs!$B$43),G1755*Q1755))*IF(Inputs!$B$38="pvp",1,1+(Inputs!$B$20+Skills!O5+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F5*((R1755-1)*IF(Skills!G5&gt;0,Skills!H5/Skills!G5,1)+IF(Skills!G5&gt;0,MIN(Skills!H5,MAX(0,MAX(0,Inputs!$B$43-B1784)-((R1755-1)*IF(Inputs!$B$38="pvp",15,MAX(0.1,Skills!D5-IF(Skills!E5=TRUE,Inputs!$B$32,0))))))/Skills!G5,1)))/Inputs!$B$43),G1755*Q1755))*IF(Inputs!$B$38="pvp",1,(1+(Inputs!$B$21+Skills!P5+B1778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Skills!A6</f>
        <v/>
      </c>
      <c r="B1756">
        <f>Skills!B6</f>
        <v/>
      </c>
      <c r="C1756">
        <f>Inputs!$B$3&gt;=63</f>
        <v/>
      </c>
      <c r="D1756">
        <f>IF(Skills!C6=1,60+Inputs!$B$25+Inputs!$B$29,IF(Skills!C6=2,90+Inputs!$B$26+Inputs!$B$29,IF(Skills!C6=3,120+Inputs!$B$27+Inputs!$B$29,MAX(0,(Inputs!$B$3-100)*3)+Inputs!$B$28+Inputs!$B$29)))</f>
        <v/>
      </c>
      <c r="E1756">
        <f>INDEX(FactorTable!$B$2:$Y$301, MATCH(ROUND(MIN(300,MAX(1,D1756)),0), FactorTable!$A$2:$A$301,0), Skills!L6+1)</f>
        <v/>
      </c>
      <c r="F1756">
        <f>IF(Skills!M6=TRUE,(Skills!K6/10)*(E1756/1000),Skills!K6/10)+Skills!N6</f>
        <v/>
      </c>
      <c r="G1756">
        <f>Calc!G6</f>
        <v/>
      </c>
      <c r="H1756">
        <f>Calc!H6</f>
        <v/>
      </c>
      <c r="I1756">
        <f>IF(Skills!T6&lt;&gt;"",1+(Skills!T6/10)*(Z1753/1000)/100,1)</f>
        <v/>
      </c>
      <c r="J1756">
        <f>((Inputs!$B$6*(1+Inputs!$B$7/100))+(((Inputs!$B$12*(1+Inputs!$B$13/100))-(Inputs!$B$12*(1+Inputs!$B$13/100)))+0.25*(Inputs!$B$14-Inputs!$B$14))*(1+Inputs!$B$7/100))*(F1756/100)</f>
        <v/>
      </c>
      <c r="K1756">
        <f>J1756*(1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6="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1768-Calc!F18),(Inputs!$B$23+(IF(ArtifactsInput!$M$15,CHOOSE(ArtifactsInput!$N$15+1,25,30,35,40,45,50)/100*(Inputs!$B$11-Inputs!$B$11),0))))/100+(Inputs!$B$23+(IF(ArtifactsInput!$M$15,CHOOSE(ArtifactsInput!$N$15+1,25,30,35,40,45,50)/100*(Inputs!$B$11-Inputs!$B$11),0)))/100)/2</f>
        <v/>
      </c>
      <c r="M1756">
        <f>L1756*(1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6">
        <f>L1756*(1-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IF(B1787=0,0,O1756/B1787)</f>
        <v/>
      </c>
      <c r="Q1756">
        <f>IFERROR(1/IF(Inputs!$B$38="pvp",15,MAX(0.1,Skills!D6-IF(Skills!E6=TRUE,Inputs!$B$32,0))),0)</f>
        <v/>
      </c>
      <c r="R1756">
        <f>IF(AND(Inputs!$B$38&lt;&gt;"pvp",Inputs!$B$43&gt;0),IF(MAX(0,Inputs!$B$43-B1784)&lt;=0,0,(INT(MAX(0,Inputs!$B$43-B1784)/IF(Inputs!$B$38="pvp",15,MAX(0.1,Skills!D6-IF(Skills!E6=TRUE,Inputs!$B$32,0))))+1)),0)</f>
        <v/>
      </c>
      <c r="S1756">
        <f>IF(C1756,(H1756*N1756*IF(AND(Inputs!$B$38&lt;&gt;"pvp",Inputs!$B$43&gt;0),((Skills!F6*((R1756-1)*IF(Skills!G6&gt;0,Skills!H6/Skills!G6,1)+IF(Skills!G6&gt;0,MIN(Skills!H6,MAX(0,MAX(0,Inputs!$B$43-B1784)-((R1756-1)*IF(Inputs!$B$38="pvp",15,MAX(0.1,Skills!D6-IF(Skills!E6=TRUE,Inputs!$B$32,0))))))/Skills!G6,1)))/Inputs!$B$43),G1756*Q1756))*IF(Inputs!$B$38="pvp",1,1+(Inputs!$B$20+Skills!O6+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6*((R1756-1)*IF(Skills!G6&gt;0,Skills!H6/Skills!G6,1)+IF(Skills!G6&gt;0,MIN(Skills!H6,MAX(0,MAX(0,Inputs!$B$43-B1784)-((R1756-1)*IF(Inputs!$B$38="pvp",15,MAX(0.1,Skills!D6-IF(Skills!E6=TRUE,Inputs!$B$32,0))))))/Skills!G6,1)))/Inputs!$B$43),G1756*Q1756))*IF(Inputs!$B$38="pvp",1,(1+(Inputs!$B$21+Skills!P6+B1778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Skills!A7</f>
        <v/>
      </c>
      <c r="B1757">
        <f>Skills!B7</f>
        <v/>
      </c>
      <c r="C1757">
        <f>Inputs!$B$3&gt;=69</f>
        <v/>
      </c>
      <c r="D1757">
        <f>IF(Skills!C7=1,60+Inputs!$B$25+Inputs!$B$29,IF(Skills!C7=2,90+Inputs!$B$26+Inputs!$B$29,IF(Skills!C7=3,120+Inputs!$B$27+Inputs!$B$29,MAX(0,(Inputs!$B$3-100)*3)+Inputs!$B$28+Inputs!$B$29)))</f>
        <v/>
      </c>
      <c r="E1757">
        <f>INDEX(FactorTable!$B$2:$Y$301, MATCH(ROUND(MIN(300,MAX(1,D1757)),0), FactorTable!$A$2:$A$301,0), Skills!L7+1)</f>
        <v/>
      </c>
      <c r="F1757">
        <f>IF(Skills!M7=TRUE,(Skills!K7/10)*(E1757/1000),Skills!K7/10)+Skills!N7</f>
        <v/>
      </c>
      <c r="G1757">
        <f>Calc!G7</f>
        <v/>
      </c>
      <c r="H1757">
        <f>Calc!H7</f>
        <v/>
      </c>
      <c r="I1757">
        <f>IF(Skills!T7&lt;&gt;"",1+(Skills!T7/10)*(Z1753/1000)/100,1)</f>
        <v/>
      </c>
      <c r="J1757">
        <f>((Inputs!$B$6*(1+Inputs!$B$7/100))+(((Inputs!$B$12*(1+Inputs!$B$13/100))-(Inputs!$B$12*(1+Inputs!$B$13/100)))+0.25*(Inputs!$B$14-Inputs!$B$14))*(1+Inputs!$B$7/100))*(F1757/100)</f>
        <v/>
      </c>
      <c r="K1757">
        <f>J1757*(1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7="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1768-Calc!F18),(Inputs!$B$23+(IF(ArtifactsInput!$M$15,CHOOSE(ArtifactsInput!$N$15+1,25,30,35,40,45,50)/100*(Inputs!$B$11-Inputs!$B$11),0))))/100+(Inputs!$B$23+(IF(ArtifactsInput!$M$15,CHOOSE(ArtifactsInput!$N$15+1,25,30,35,40,45,50)/100*(Inputs!$B$11-Inputs!$B$11),0)))/100)/2</f>
        <v/>
      </c>
      <c r="M1757">
        <f>L1757*(1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7">
        <f>L1757*(1-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IF(B1787=0,0,O1757/B1787)</f>
        <v/>
      </c>
      <c r="Q1757">
        <f>IFERROR(1/IF(Inputs!$B$38="pvp",15,MAX(0.1,Skills!D7-IF(Skills!E7=TRUE,Inputs!$B$32,0))),0)</f>
        <v/>
      </c>
      <c r="R1757">
        <f>IF(AND(Inputs!$B$38&lt;&gt;"pvp",Inputs!$B$43&gt;0),IF(MAX(0,Inputs!$B$43-B1784)&lt;=0,0,(INT(MAX(0,Inputs!$B$43-B1784)/IF(Inputs!$B$38="pvp",15,MAX(0.1,Skills!D7-IF(Skills!E7=TRUE,Inputs!$B$32,0))))+1)),0)</f>
        <v/>
      </c>
      <c r="S1757">
        <f>IF(C1757,(H1757*N1757*IF(AND(Inputs!$B$38&lt;&gt;"pvp",Inputs!$B$43&gt;0),((Skills!F7*((R1757-1)*IF(Skills!G7&gt;0,Skills!H7/Skills!G7,1)+IF(Skills!G7&gt;0,MIN(Skills!H7,MAX(0,MAX(0,Inputs!$B$43-B1784)-((R1757-1)*IF(Inputs!$B$38="pvp",15,MAX(0.1,Skills!D7-IF(Skills!E7=TRUE,Inputs!$B$32,0))))))/Skills!G7,1)))/Inputs!$B$43),G1757*Q1757))*IF(Inputs!$B$38="pvp",1,1+(Inputs!$B$20+Skills!O7+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7*((R1757-1)*IF(Skills!G7&gt;0,Skills!H7/Skills!G7,1)+IF(Skills!G7&gt;0,MIN(Skills!H7,MAX(0,MAX(0,Inputs!$B$43-B1784)-((R1757-1)*IF(Inputs!$B$38="pvp",15,MAX(0.1,Skills!D7-IF(Skills!E7=TRUE,Inputs!$B$32,0))))))/Skills!G7,1)))/Inputs!$B$43),G1757*Q1757))*IF(Inputs!$B$38="pvp",1,(1+(Inputs!$B$21+Skills!P7+B1778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Skills!A8</f>
        <v/>
      </c>
      <c r="B1758">
        <f>Skills!B8</f>
        <v/>
      </c>
      <c r="C1758">
        <f>Inputs!$B$3&gt;=103</f>
        <v/>
      </c>
      <c r="D1758">
        <f>IF(Skills!C8=1,60+Inputs!$B$25+Inputs!$B$29,IF(Skills!C8=2,90+Inputs!$B$26+Inputs!$B$29,IF(Skills!C8=3,120+Inputs!$B$27+Inputs!$B$29,MAX(0,(Inputs!$B$3-100)*3)+Inputs!$B$28+Inputs!$B$29)))</f>
        <v/>
      </c>
      <c r="E1758">
        <f>INDEX(FactorTable!$B$2:$Y$301, MATCH(ROUND(MIN(300,MAX(1,D1758)),0), FactorTable!$A$2:$A$301,0), Skills!L8+1)</f>
        <v/>
      </c>
      <c r="F1758">
        <f>IF(Skills!M8=TRUE,(Skills!K8/10)*(E1758/1000),Skills!K8/10)+Skills!N8</f>
        <v/>
      </c>
      <c r="G1758">
        <f>Calc!G8</f>
        <v/>
      </c>
      <c r="H1758">
        <f>Calc!H8</f>
        <v/>
      </c>
      <c r="I1758">
        <f>IF(Skills!T8&lt;&gt;"",1+(Skills!T8/10)*(Z1753/1000)/100,1)</f>
        <v/>
      </c>
      <c r="J1758">
        <f>((Inputs!$B$6*(1+Inputs!$B$7/100))+(((Inputs!$B$12*(1+Inputs!$B$13/100))-(Inputs!$B$12*(1+Inputs!$B$13/100)))+0.25*(Inputs!$B$14-Inputs!$B$14))*(1+Inputs!$B$7/100))*(F1758/100)</f>
        <v/>
      </c>
      <c r="K1758">
        <f>J1758*(1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8="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1768-Calc!F18),(Inputs!$B$23+(IF(ArtifactsInput!$M$15,CHOOSE(ArtifactsInput!$N$15+1,25,30,35,40,45,50)/100*(Inputs!$B$11-Inputs!$B$11),0))))/100+(Inputs!$B$23+(IF(ArtifactsInput!$M$15,CHOOSE(ArtifactsInput!$N$15+1,25,30,35,40,45,50)/100*(Inputs!$B$11-Inputs!$B$11),0)))/100)/2</f>
        <v/>
      </c>
      <c r="M1758">
        <f>L1758*(1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8">
        <f>L1758*(1-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IF(B1787=0,0,O1758/B1787)</f>
        <v/>
      </c>
      <c r="Q1758">
        <f>IFERROR(1/IF(Inputs!$B$38="pvp",15,MAX(0.1,Skills!D8-IF(Skills!E8=TRUE,Inputs!$B$32,0))),0)</f>
        <v/>
      </c>
      <c r="R1758">
        <f>IF(AND(Inputs!$B$38&lt;&gt;"pvp",Inputs!$B$43&gt;0),IF(MAX(0,Inputs!$B$43-B1784)&lt;=0,0,(INT(MAX(0,Inputs!$B$43-B1784)/IF(Inputs!$B$38="pvp",15,MAX(0.1,Skills!D8-IF(Skills!E8=TRUE,Inputs!$B$32,0))))+1)),0)</f>
        <v/>
      </c>
      <c r="S1758">
        <f>IF(C1758,(H1758*N1758*IF(AND(Inputs!$B$38&lt;&gt;"pvp",Inputs!$B$43&gt;0),((Skills!F8*((R1758-1)*IF(Skills!G8&gt;0,Skills!H8/Skills!G8,1)+IF(Skills!G8&gt;0,MIN(Skills!H8,MAX(0,MAX(0,Inputs!$B$43-B1784)-((R1758-1)*IF(Inputs!$B$38="pvp",15,MAX(0.1,Skills!D8-IF(Skills!E8=TRUE,Inputs!$B$32,0))))))/Skills!G8,1)))/Inputs!$B$43),G1758*Q1758))*IF(Inputs!$B$38="pvp",1,1+(Inputs!$B$20+Skills!O8+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8*((R1758-1)*IF(Skills!G8&gt;0,Skills!H8/Skills!G8,1)+IF(Skills!G8&gt;0,MIN(Skills!H8,MAX(0,MAX(0,Inputs!$B$43-B1784)-((R1758-1)*IF(Inputs!$B$38="pvp",15,MAX(0.1,Skills!D8-IF(Skills!E8=TRUE,Inputs!$B$32,0))))))/Skills!G8,1)))/Inputs!$B$43),G1758*Q1758))*IF(Inputs!$B$38="pvp",1,(1+(Inputs!$B$21+Skills!P8+B1778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Skills!A9</f>
        <v/>
      </c>
      <c r="B1759">
        <f>Skills!B9</f>
        <v/>
      </c>
      <c r="C1759">
        <f>Inputs!$B$3&gt;=105</f>
        <v/>
      </c>
      <c r="D1759">
        <f>IF(Skills!C9=1,60+Inputs!$B$25+Inputs!$B$29,IF(Skills!C9=2,90+Inputs!$B$26+Inputs!$B$29,IF(Skills!C9=3,120+Inputs!$B$27+Inputs!$B$29,MAX(0,(Inputs!$B$3-100)*3)+Inputs!$B$28+Inputs!$B$29)))</f>
        <v/>
      </c>
      <c r="E1759">
        <f>INDEX(FactorTable!$B$2:$Y$301, MATCH(ROUND(MIN(300,MAX(1,D1759)),0), FactorTable!$A$2:$A$301,0), Skills!L9+1)</f>
        <v/>
      </c>
      <c r="F1759">
        <f>IF(Skills!M9=TRUE,(Skills!K9/10)*(E1759/1000),Skills!K9/10)+Skills!N9</f>
        <v/>
      </c>
      <c r="G1759">
        <f>Calc!G9</f>
        <v/>
      </c>
      <c r="H1759">
        <f>Calc!H9</f>
        <v/>
      </c>
      <c r="I1759">
        <f>IF(Skills!T9&lt;&gt;"",1+(Skills!T9/10)*(Z1753/1000)/100,1)</f>
        <v/>
      </c>
      <c r="J1759">
        <f>((Inputs!$B$6*(1+Inputs!$B$7/100))+(((Inputs!$B$12*(1+Inputs!$B$13/100))-(Inputs!$B$12*(1+Inputs!$B$13/100)))+0.25*(Inputs!$B$14-Inputs!$B$14))*(1+Inputs!$B$7/100))*(F1759/100)</f>
        <v/>
      </c>
      <c r="K1759">
        <f>J1759*(1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9="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1768-Calc!F18),(Inputs!$B$23+(IF(ArtifactsInput!$M$15,CHOOSE(ArtifactsInput!$N$15+1,25,30,35,40,45,50)/100*(Inputs!$B$11-Inputs!$B$11),0))))/100+(Inputs!$B$23+(IF(ArtifactsInput!$M$15,CHOOSE(ArtifactsInput!$N$15+1,25,30,35,40,45,50)/100*(Inputs!$B$11-Inputs!$B$11),0)))/100)/2</f>
        <v/>
      </c>
      <c r="M1759">
        <f>L1759*(1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9">
        <f>L1759*(1-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IF(B1787=0,0,O1759/B1787)</f>
        <v/>
      </c>
      <c r="Q1759">
        <f>IFERROR(1/IF(Inputs!$B$38="pvp",15,MAX(0.1,Skills!D9-IF(Skills!E9=TRUE,Inputs!$B$32,0))),0)</f>
        <v/>
      </c>
      <c r="R1759">
        <f>IF(AND(Inputs!$B$38&lt;&gt;"pvp",Inputs!$B$43&gt;0),IF(MAX(0,Inputs!$B$43-B1784)&lt;=0,0,(INT(MAX(0,Inputs!$B$43-B1784)/IF(Inputs!$B$38="pvp",15,MAX(0.1,Skills!D9-IF(Skills!E9=TRUE,Inputs!$B$32,0))))+1)),0)</f>
        <v/>
      </c>
      <c r="S1759">
        <f>IF(C1759,(H1759*N1759*IF(AND(Inputs!$B$38&lt;&gt;"pvp",Inputs!$B$43&gt;0),((Skills!F9*((R1759-1)*IF(Skills!G9&gt;0,Skills!H9/Skills!G9,1)+IF(Skills!G9&gt;0,MIN(Skills!H9,MAX(0,MAX(0,Inputs!$B$43-B1784)-((R1759-1)*IF(Inputs!$B$38="pvp",15,MAX(0.1,Skills!D9-IF(Skills!E9=TRUE,Inputs!$B$32,0))))))/Skills!G9,1)))/Inputs!$B$43),G1759*Q1759))*IF(Inputs!$B$38="pvp",1,1+(Inputs!$B$20+Skills!O9+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9*((R1759-1)*IF(Skills!G9&gt;0,Skills!H9/Skills!G9,1)+IF(Skills!G9&gt;0,MIN(Skills!H9,MAX(0,MAX(0,Inputs!$B$43-B1784)-((R1759-1)*IF(Inputs!$B$38="pvp",15,MAX(0.1,Skills!D9-IF(Skills!E9=TRUE,Inputs!$B$32,0))))))/Skills!G9,1)))/Inputs!$B$43),G1759*Q1759))*IF(Inputs!$B$38="pvp",1,(1+(Inputs!$B$21+Skills!P9+B1778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Skills!A10</f>
        <v/>
      </c>
      <c r="B1760">
        <f>Skills!B10</f>
        <v/>
      </c>
      <c r="C1760">
        <f>Inputs!$B$3&gt;=113</f>
        <v/>
      </c>
      <c r="D1760">
        <f>IF(Skills!C10=1,60+Inputs!$B$25+Inputs!$B$29,IF(Skills!C10=2,90+Inputs!$B$26+Inputs!$B$29,IF(Skills!C10=3,120+Inputs!$B$27+Inputs!$B$29,MAX(0,(Inputs!$B$3-100)*3)+Inputs!$B$28+Inputs!$B$29)))</f>
        <v/>
      </c>
      <c r="E1760">
        <f>INDEX(FactorTable!$B$2:$Y$301, MATCH(ROUND(MIN(300,MAX(1,D1760)),0), FactorTable!$A$2:$A$301,0), Skills!L10+1)</f>
        <v/>
      </c>
      <c r="F1760">
        <f>IF(Skills!M10=TRUE,(Skills!K10/10)*(E1760/1000),Skills!K10/10)+Skills!N10</f>
        <v/>
      </c>
      <c r="G1760">
        <f>Calc!G10</f>
        <v/>
      </c>
      <c r="H1760">
        <f>Calc!H10</f>
        <v/>
      </c>
      <c r="I1760">
        <f>IF(Skills!T10&lt;&gt;"",1+(Skills!T10/10)*(Z1753/1000)/100,1)</f>
        <v/>
      </c>
      <c r="J1760">
        <f>((Inputs!$B$6*(1+Inputs!$B$7/100))+(((Inputs!$B$12*(1+Inputs!$B$13/100))-(Inputs!$B$12*(1+Inputs!$B$13/100)))+0.25*(Inputs!$B$14-Inputs!$B$14))*(1+Inputs!$B$7/100))*(F1760/100)</f>
        <v/>
      </c>
      <c r="K1760">
        <f>J1760*(1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10="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F1768-Calc!F18),(Inputs!$B$23+(IF(ArtifactsInput!$M$15,CHOOSE(ArtifactsInput!$N$15+1,25,30,35,40,45,50)/100*(Inputs!$B$11-Inputs!$B$11),0))))/100+(Inputs!$B$23+(IF(ArtifactsInput!$M$15,CHOOSE(ArtifactsInput!$N$15+1,25,30,35,40,45,50)/100*(Inputs!$B$11-Inputs!$B$11),0)))/100)/2</f>
        <v/>
      </c>
      <c r="M1760">
        <f>L1760*(1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0">
        <f>L1760*(1-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(1-Summary!$B$11)*S1760+Summary!$B$11*U1760</f>
        <v/>
      </c>
      <c r="P1760">
        <f>IF(B1787=0,0,O1760/B1787)</f>
        <v/>
      </c>
      <c r="Q1760">
        <f>IFERROR(1/IF(Inputs!$B$38="pvp",15,MAX(0.1,Skills!D10-IF(Skills!E9=TRUE,Inputs!$B$32,0))),0)</f>
        <v/>
      </c>
      <c r="R1760">
        <f>IF(AND(Inputs!$B$38&lt;&gt;"pvp",Inputs!$B$43&gt;0),IF(MAX(0,Inputs!$B$43-B1784)&lt;=0,0,(INT(MAX(0,Inputs!$B$43-B1784)/IF(Inputs!$B$38="pvp",15,MAX(0.1,Skills!D10-IF(Skills!E9=TRUE,Inputs!$B$32,0))))+1)),0)</f>
        <v/>
      </c>
      <c r="S1760">
        <f>IF(C1760,(H1760*N1760*IF(AND(Inputs!$B$38&lt;&gt;"pvp",Inputs!$B$43&gt;0),((Skills!F10*((R1760-1)*IF(Skills!G10&gt;0,Skills!H10/Skills!G10,1)+IF(Skills!G10&gt;0,MIN(Skills!H10,MAX(0,MAX(0,Inputs!$B$43-B1784)-((R1760-1)*IF(Inputs!$B$38="pvp",15,MAX(0.1,Skills!D10-IF(Skills!E9=TRUE,Inputs!$B$32,0))))))/Skills!G10,1)))/Inputs!$B$43),G1760*Q1760))*IF(Inputs!$B$38="pvp",1,1+(Inputs!$B$20+Skills!O10+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1760*(1-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0">
        <f>IF(C1760,(H1760*N1760*IF(AND(Inputs!$B$38&lt;&gt;"pvp",Inputs!$B$43&gt;0),((Skills!F10*((R1760-1)*IF(Skills!G10&gt;0,Skills!H10/Skills!G10,1)+IF(Skills!G10&gt;0,MIN(Skills!H10,MAX(0,MAX(0,Inputs!$B$43-B1784)-((R1760-1)*IF(Inputs!$B$38="pvp",15,MAX(0.1,Skills!D10-IF(Skills!E9=TRUE,Inputs!$B$32,0))))))/Skills!G10,1)))/Inputs!$B$43),G1760*Q1760))*IF(Inputs!$B$38="pvp",1,(1+(Inputs!$B$21+Skills!P10+B1778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Skills!A11</f>
        <v/>
      </c>
      <c r="B1761">
        <f>Skills!B11</f>
        <v/>
      </c>
      <c r="C1761">
        <f>Inputs!$B$3&gt;=107</f>
        <v/>
      </c>
      <c r="D1761">
        <f>IF(Skills!C11=1,60+Inputs!$B$25+Inputs!$B$29,IF(Skills!C11=2,90+Inputs!$B$26+Inputs!$B$29,IF(Skills!C11=3,120+Inputs!$B$27+Inputs!$B$29,MAX(0,(Inputs!$B$3-100)*3)+Inputs!$B$28+Inputs!$B$29)))</f>
        <v/>
      </c>
      <c r="E1761">
        <f>INDEX(FactorTable!$B$2:$Y$301, MATCH(ROUND(MIN(300,MAX(1,D1761)),0), FactorTable!$A$2:$A$301,0), Skills!L11+1)</f>
        <v/>
      </c>
      <c r="F1761">
        <f>IF(Skills!M11=TRUE,(Skills!K11/10)*(E1761/1000),Skills!K11/10)+Skills!N11</f>
        <v/>
      </c>
      <c r="G1761">
        <f>Calc!G11</f>
        <v/>
      </c>
      <c r="H1761">
        <f>Calc!H11</f>
        <v/>
      </c>
      <c r="I1761">
        <f>IF(Skills!T11&lt;&gt;"",1+(Skills!T11/10)*(Z1753/1000)/100,1)</f>
        <v/>
      </c>
      <c r="J1761">
        <f>((Inputs!$B$6*(1+Inputs!$B$7/100))+(((Inputs!$B$12*(1+Inputs!$B$13/100))-(Inputs!$B$12*(1+Inputs!$B$13/100)))+0.25*(Inputs!$B$14-Inputs!$B$14))*(1+Inputs!$B$7/100))*(F1761/100)</f>
        <v/>
      </c>
      <c r="K1761">
        <f>J1761*(1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11="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F1768-Calc!F18),(Inputs!$B$23+(IF(ArtifactsInput!$M$15,CHOOSE(ArtifactsInput!$N$15+1,25,30,35,40,45,50)/100*(Inputs!$B$11-Inputs!$B$11),0))))/100+(Inputs!$B$23+(IF(ArtifactsInput!$M$15,CHOOSE(ArtifactsInput!$N$15+1,25,30,35,40,45,50)/100*(Inputs!$B$11-Inputs!$B$11),0)))/100)/2</f>
        <v/>
      </c>
      <c r="M1761">
        <f>L1761*(1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1">
        <f>L1761*(1-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(1-Summary!$B$11)*S1761+Summary!$B$11*U1761</f>
        <v/>
      </c>
      <c r="P1761">
        <f>IF(B1787=0,0,O1761/B1787)</f>
        <v/>
      </c>
      <c r="Q1761">
        <f>IFERROR(1/IF(Inputs!$B$38="pvp",15,MAX(0.1,Skills!D11-IF(Skills!E11=TRUE,Inputs!$B$32,0))),0)</f>
        <v/>
      </c>
      <c r="R1761">
        <f>IF(AND(Inputs!$B$38&lt;&gt;"pvp",Inputs!$B$43&gt;0),IF(MAX(0,Inputs!$B$43-B1784)&lt;=0,0,(INT(MAX(0,Inputs!$B$43-B1784)/IF(Inputs!$B$38="pvp",15,MAX(0.1,Skills!D11-IF(Skills!E11=TRUE,Inputs!$B$32,0))))+1)),0)</f>
        <v/>
      </c>
      <c r="S1761">
        <f>IF(C1761,H1761*N1761*IF(AND(Inputs!$B$38&lt;&gt;"pvp",Inputs!$B$43&gt;0),((Skills!F11*((R1761-1)*IF(Skills!G11&gt;0,Skills!H11/Skills!G11,1)+IF(Skills!G11&gt;0,MIN(Skills!H11,MAX(0,MAX(0,Inputs!$B$43-B1784)-((R1761-1)*IF(Inputs!$B$38="pvp",15,MAX(0.1,Skills!D11-IF(Skills!E11=TRUE,Inputs!$B$32,0))))))/Skills!G11,1)))/Inputs!$B$43),G1761*Q1761)*0.5*IF(Inputs!$B$38="pvp",1,1+(Inputs!$B$20+Skills!O11+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1761*(1-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1">
        <f>IF(C1761,H1761*N1761*IF(AND(Inputs!$B$38&lt;&gt;"pvp",Inputs!$B$43&gt;0),((Skills!F11*((R1761-1)*IF(Skills!G11&gt;0,Skills!H11/Skills!G11,1)+IF(Skills!G11&gt;0,MIN(Skills!H11,MAX(0,MAX(0,Inputs!$B$43-B1784)-((R1761-1)*IF(Inputs!$B$38="pvp",15,MAX(0.1,Skills!D11-IF(Skills!E11=TRUE,Inputs!$B$32,0))))))/Skills!G11,1)))/Inputs!$B$43),G1761*Q1761)*1*IF(Inputs!$B$38="pvp",1,(1+(Inputs!$B$21+Skills!P11+B1778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Skills!A12</f>
        <v/>
      </c>
      <c r="B1762">
        <f>Skills!B12</f>
        <v/>
      </c>
      <c r="C1762">
        <f>Inputs!$B$3&gt;=115</f>
        <v/>
      </c>
      <c r="D1762">
        <f>IF(Skills!C12=1,60+Inputs!$B$25+Inputs!$B$29,IF(Skills!C12=2,90+Inputs!$B$26+Inputs!$B$29,IF(Skills!C12=3,120+Inputs!$B$27+Inputs!$B$29,MAX(0,(Inputs!$B$3-100)*3)+Inputs!$B$28+Inputs!$B$29)))</f>
        <v/>
      </c>
      <c r="E1762">
        <f>INDEX(FactorTable!$B$2:$Y$301, MATCH(ROUND(MIN(300,MAX(1,D1762)),0), FactorTable!$A$2:$A$301,0), Skills!L12+1)</f>
        <v/>
      </c>
      <c r="F1762">
        <f>IF(Skills!M12=TRUE,(Skills!K12/10)*(E1762/1000),Skills!K12/10)+Skills!N12</f>
        <v/>
      </c>
      <c r="G1762">
        <f>Calc!G12</f>
        <v/>
      </c>
      <c r="H1762">
        <f>Calc!H12</f>
        <v/>
      </c>
      <c r="I1762">
        <f>IF(Skills!T12&lt;&gt;"",1+(Skills!T12/10)*(Z1753/1000)/100,1)</f>
        <v/>
      </c>
      <c r="J1762">
        <f>((Inputs!$B$6*(1+Inputs!$B$7/100))+(((Inputs!$B$12*(1+Inputs!$B$13/100))-(Inputs!$B$12*(1+Inputs!$B$13/100)))+0.25*(Inputs!$B$14-Inputs!$B$14))*(1+Inputs!$B$7/100))*(F1762/100)</f>
        <v/>
      </c>
      <c r="K1762">
        <f>J1762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12="CHAIN_LIGHTNING",Inputs!$B$17+((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F1768-Calc!F18),(Inputs!$B$23+(IF(ArtifactsInput!$M$15,CHOOSE(ArtifactsInput!$N$15+1,25,30,35,40,45,50)/100*(Inputs!$B$11-Inputs!$B$11),0))))/100+(Inputs!$B$23+(IF(ArtifactsInput!$M$15,CHOOSE(ArtifactsInput!$N$15+1,25,30,35,40,45,50)/100*(Inputs!$B$11-Inputs!$B$11),0)))/100)/2</f>
        <v/>
      </c>
      <c r="M1762">
        <f>L1762*(1+(Inputs!$B$10+(F1771-Calc!F21)+((IF(IF(ArtifactsInput!$M$24,FALSE,TRUE),1,-1)*CHOOSE(ArtifactsInput!$N$24+1,30,36,42,48,54,60)/100*IF(IF(ArtifactsInput!$M$24,FALSE,TRUE),(Inputs!$B$9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2">
        <f>L1762*(1-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(1-Summary!$B$11)*S1762+Summary!$B$11*U1762</f>
        <v/>
      </c>
      <c r="P1762">
        <f>IF(B1787=0,0,O1762/B1787)</f>
        <v/>
      </c>
      <c r="Q1762">
        <f>IFERROR(1/IF(Inputs!$B$38="pvp",15,MAX(0.1,Skills!D12-IF(Skills!E12=TRUE,Inputs!$B$32,0))),0)</f>
        <v/>
      </c>
      <c r="R1762">
        <f>IF(AND(Inputs!$B$38&lt;&gt;"pvp",Inputs!$B$43&gt;0),IF(MAX(0,Inputs!$B$43-B1784)&lt;=0,0,(INT(MAX(0,Inputs!$B$43-B1784)/IF(Inputs!$B$38="pvp",15,MAX(0.1,Skills!D12-IF(Skills!E12=TRUE,Inputs!$B$32,0))))+1)),0)</f>
        <v/>
      </c>
      <c r="S1762">
        <f>IF(C1762,(H1762*N1762*IF(AND(Inputs!$B$38&lt;&gt;"pvp",Inputs!$B$43&gt;0),((Skills!F12*((R1762-1)*IF(Skills!G12&gt;0,Skills!H12/Skills!G12,1)+IF(Skills!G12&gt;0,MIN(Skills!H12,MAX(0,MAX(0,Inputs!$B$43-B1784)-((R1762-1)*IF(Inputs!$B$38="pvp",15,MAX(0.1,Skills!D12-IF(Skills!E12=TRUE,Inputs!$B$32,0))))))/Skills!G12,1)))/Inputs!$B$43),G1762*Q1762))*IF(Inputs!$B$38="pvp",1,1+(Inputs!$B$20+Skills!O12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1762*(1-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F1770-Calc!F20)+(F1769-Calc!F19))+(IF(ArtifactsInput!$M$24,FALSE,TRUE)-ArtifactsInput!$M$24)*CHOOSE(ArtifactsInput!$N$24+1,10,12,14,16,18,20)+(IF(AND(Inputs!$B$38&lt;&gt;"pvp",Inputs!$B$43=0),1,IF(IF(Inputs!$B$38="pvp",15,Inputs!$B$43)-(B1784)&lt;=0,1,MAX(0,IF(Inputs!$B$38="pvp",15,Inputs!$B$43)-MAX(5,B1784))/(IF(Inputs!$B$38="pvp",15,Inputs!$B$43)-(B1784))))*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2">
        <f>IF(C1762,(H1762*N1762*IF(AND(Inputs!$B$38&lt;&gt;"pvp",Inputs!$B$43&gt;0),((Skills!F12*((R1762-1)*IF(Skills!G12&gt;0,Skills!H12/Skills!G12,1)+IF(Skills!G12&gt;0,MIN(Skills!H12,MAX(0,MAX(0,Inputs!$B$43-B1784)-((R1762-1)*IF(Inputs!$B$38="pvp",15,MAX(0.1,Skills!D12-IF(Skills!E12=TRUE,Inputs!$B$32,0))))))/Skills!G12,1)))/Inputs!$B$43),G1762*Q1762))*IF(Inputs!$B$38="pvp",1,(1+(Inputs!$B$21+Skills!P12+B1778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Skills!A13</f>
        <v/>
      </c>
      <c r="B1763">
        <f>Skills!B13</f>
        <v/>
      </c>
      <c r="C1763">
        <f>Inputs!$B$3&gt;=49</f>
        <v/>
      </c>
      <c r="D1763">
        <f>IF(Skills!C13=1,60+Inputs!$B$25+Inputs!$B$29,IF(Skills!C13=2,90+Inputs!$B$26+Inputs!$B$29,IF(Skills!C13=3,120+Inputs!$B$27+Inputs!$B$29,MAX(0,(Inputs!$B$3-100)*3)+Inputs!$B$28+Inputs!$B$29)))</f>
        <v/>
      </c>
      <c r="E1763">
        <f>INDEX(FactorTable!$B$2:$Y$301, MATCH(ROUND(MIN(300,MAX(1,D1763)),0), FactorTable!$A$2:$A$301,0), Skills!L13+1)</f>
        <v/>
      </c>
      <c r="F1763">
        <f>IF(Skills!M13=TRUE,(Skills!K13/10)*(E1763/1000),Skills!K13/10)+Skills!N13</f>
        <v/>
      </c>
      <c r="G1763">
        <f>Calc!G13</f>
        <v/>
      </c>
      <c r="H1763">
        <f>Calc!H13</f>
        <v/>
      </c>
      <c r="I1763">
        <f>IF(Skills!T13&lt;&gt;"",1+(Skills!T13/10)*(Z1753/1000)/100,1)</f>
        <v/>
      </c>
      <c r="J1763" t="inlineStr"/>
      <c r="K1763" t="inlineStr"/>
      <c r="L1763" t="inlineStr"/>
      <c r="M1763" t="inlineStr"/>
      <c r="N1763" t="inlineStr"/>
      <c r="O1763">
        <f>(1-Summary!$B$11)*S1763+Summary!$B$11*U1763</f>
        <v/>
      </c>
      <c r="P1763">
        <f>IF(B1787=0,0,O1763/B1787)</f>
        <v/>
      </c>
      <c r="Q1763">
        <f>IFERROR(1/IF(Inputs!$B$38="pvp",15,MAX(0.1,Skills!D13-IF(Skills!E13=TRUE,Inputs!$B$32,0))),0)</f>
        <v/>
      </c>
      <c r="R1763" t="n">
        <v>0</v>
      </c>
      <c r="S1763" t="n">
        <v>0</v>
      </c>
      <c r="U1763" t="n">
        <v>0</v>
      </c>
    </row>
    <row r="1764">
      <c r="A1764">
        <f>Skills!A14</f>
        <v/>
      </c>
      <c r="B1764">
        <f>Skills!B14</f>
        <v/>
      </c>
      <c r="C1764">
        <f>Inputs!$B$3&gt;=72</f>
        <v/>
      </c>
      <c r="D1764">
        <f>IF(Skills!C14=1,60+Inputs!$B$25+Inputs!$B$29,IF(Skills!C14=2,90+Inputs!$B$26+Inputs!$B$29,IF(Skills!C14=3,120+Inputs!$B$27+Inputs!$B$29,MAX(0,(Inputs!$B$3-100)*3)+Inputs!$B$28+Inputs!$B$29)))</f>
        <v/>
      </c>
      <c r="E1764">
        <f>INDEX(FactorTable!$B$2:$Y$301, MATCH(ROUND(MIN(300,MAX(1,D1764)),0), FactorTable!$A$2:$A$301,0), Skills!L14+1)</f>
        <v/>
      </c>
      <c r="F1764">
        <f>IF(Skills!M14=TRUE,(Skills!K14/10)*(E1764/1000),Skills!K14/10)+Skills!N14</f>
        <v/>
      </c>
      <c r="G1764">
        <f>Calc!G14</f>
        <v/>
      </c>
      <c r="H1764">
        <f>Calc!H14</f>
        <v/>
      </c>
      <c r="I1764">
        <f>IF(Skills!T14&lt;&gt;"",1+(Skills!T14/10)*(Z1753/1000)/100,1)</f>
        <v/>
      </c>
      <c r="J1764" t="inlineStr"/>
      <c r="K1764" t="inlineStr"/>
      <c r="L1764" t="inlineStr"/>
      <c r="M1764" t="inlineStr"/>
      <c r="N1764" t="inlineStr"/>
      <c r="O1764">
        <f>(1-Summary!$B$11)*S1764+Summary!$B$11*U1764</f>
        <v/>
      </c>
      <c r="P1764">
        <f>IF(B1787=0,0,O1764/B1787)</f>
        <v/>
      </c>
      <c r="Q1764">
        <f>IFERROR(1/IF(Inputs!$B$38="pvp",15,MAX(0.1,Skills!D14-IF(Skills!E14=TRUE,Inputs!$B$32,0))),0)</f>
        <v/>
      </c>
      <c r="R1764" t="n">
        <v>0</v>
      </c>
      <c r="S1764" t="n">
        <v>0</v>
      </c>
      <c r="U1764" t="n">
        <v>0</v>
      </c>
    </row>
    <row r="1765">
      <c r="A1765">
        <f>Skills!A15</f>
        <v/>
      </c>
      <c r="B1765">
        <f>Skills!B15</f>
        <v/>
      </c>
      <c r="C1765">
        <f>Inputs!$B$3&gt;=75</f>
        <v/>
      </c>
      <c r="D1765">
        <f>IF(Skills!C15=1,60+Inputs!$B$25+Inputs!$B$29,IF(Skills!C15=2,90+Inputs!$B$26+Inputs!$B$29,IF(Skills!C15=3,120+Inputs!$B$27+Inputs!$B$29,MAX(0,(Inputs!$B$3-100)*3)+Inputs!$B$28+Inputs!$B$29)))</f>
        <v/>
      </c>
      <c r="E1765">
        <f>INDEX(FactorTable!$B$2:$Y$301, MATCH(ROUND(MIN(300,MAX(1,D1765)),0), FactorTable!$A$2:$A$301,0), Skills!L15+1)</f>
        <v/>
      </c>
      <c r="F1765">
        <f>IF(Skills!M15=TRUE,(Skills!K15/10)*(E1765/1000),Skills!K15/10)+Skills!N15</f>
        <v/>
      </c>
      <c r="G1765">
        <f>Calc!G15</f>
        <v/>
      </c>
      <c r="H1765">
        <f>Calc!H15</f>
        <v/>
      </c>
      <c r="I1765">
        <f>IF(Skills!T15&lt;&gt;"",1+(Skills!T15/10)*(Z1753/1000)/100,1)</f>
        <v/>
      </c>
      <c r="J1765" t="inlineStr"/>
      <c r="K1765" t="inlineStr"/>
      <c r="L1765" t="inlineStr"/>
      <c r="M1765" t="inlineStr"/>
      <c r="N1765" t="inlineStr"/>
      <c r="O1765">
        <f>(1-Summary!$B$11)*S1765+Summary!$B$11*U1765</f>
        <v/>
      </c>
      <c r="P1765">
        <f>IF(B1787=0,0,O1765/B1787)</f>
        <v/>
      </c>
      <c r="Q1765">
        <f>IFERROR(1/IF(Inputs!$B$38="pvp",15,MAX(0.1,Skills!D15-IF(Skills!E15=TRUE,Inputs!$B$32,0))),0)</f>
        <v/>
      </c>
      <c r="R1765" t="n">
        <v>0</v>
      </c>
      <c r="S1765" t="n">
        <v>0</v>
      </c>
      <c r="U1765" t="n">
        <v>0</v>
      </c>
    </row>
    <row r="1766">
      <c r="A1766">
        <f>Skills!A16</f>
        <v/>
      </c>
      <c r="B1766">
        <f>Skills!B16</f>
        <v/>
      </c>
      <c r="C1766">
        <f>Inputs!$B$3&gt;=110</f>
        <v/>
      </c>
      <c r="D1766">
        <f>IF(Skills!C16=1,60+Inputs!$B$25+Inputs!$B$29,IF(Skills!C16=2,90+Inputs!$B$26+Inputs!$B$29,IF(Skills!C16=3,120+Inputs!$B$27+Inputs!$B$29,MAX(0,(Inputs!$B$3-100)*3)+Inputs!$B$28+Inputs!$B$29)))</f>
        <v/>
      </c>
      <c r="E1766">
        <f>INDEX(FactorTable!$B$2:$Y$301, MATCH(ROUND(MIN(300,MAX(1,D1766)),0), FactorTable!$A$2:$A$301,0), Skills!L16+1)</f>
        <v/>
      </c>
      <c r="F1766">
        <f>(Skills!K16/10)*(E1766/1000)*64/45+Skills!N16</f>
        <v/>
      </c>
      <c r="G1766">
        <f>Calc!G16</f>
        <v/>
      </c>
      <c r="H1766">
        <f>Calc!H16</f>
        <v/>
      </c>
      <c r="I1766">
        <f>IF(Skills!T16&lt;&gt;"",1+(Skills!T16/10)*(Z1753/1000)/100,1)</f>
        <v/>
      </c>
      <c r="J1766" t="inlineStr"/>
      <c r="K1766" t="inlineStr"/>
      <c r="L1766" t="inlineStr"/>
      <c r="M1766" t="inlineStr"/>
      <c r="N1766" t="inlineStr"/>
      <c r="O1766">
        <f>(1-Summary!$B$11)*S1766+Summary!$B$11*U1766</f>
        <v/>
      </c>
      <c r="P1766">
        <f>IF(B1787=0,0,O1766/B1787)</f>
        <v/>
      </c>
      <c r="Q1766">
        <f>IFERROR(1/IF(Inputs!$B$38="pvp",15,MAX(0.1,Skills!D16-IF(Skills!E16=TRUE,Inputs!$B$32,0))),0)</f>
        <v/>
      </c>
      <c r="R1766">
        <f>IF(AND(Inputs!$B$38&lt;&gt;"pvp",Inputs!$B$43&gt;0),IF(Inputs!$B$43&lt;=0,0,(INT(Inputs!$B$43/IF(Inputs!$B$38="pvp",15,MAX(0.1,Skills!D16-IF(Skills!E16=TRUE,Inputs!$B$32,0))))+1)),0)</f>
        <v/>
      </c>
      <c r="S1766" t="n">
        <v>0</v>
      </c>
      <c r="U1766" t="n">
        <v>0</v>
      </c>
    </row>
    <row r="1767">
      <c r="A1767">
        <f>Skills!A17</f>
        <v/>
      </c>
      <c r="B1767">
        <f>Skills!B17</f>
        <v/>
      </c>
      <c r="C1767">
        <f>Inputs!$B$3&gt;=33</f>
        <v/>
      </c>
      <c r="D1767">
        <f>IF(Skills!C17=1,60+Inputs!$B$25+Inputs!$B$29,IF(Skills!C17=2,90+Inputs!$B$26+Inputs!$B$29,IF(Skills!C17=3,120+Inputs!$B$27+Inputs!$B$29,MAX(0,(Inputs!$B$3-100)*3)+Inputs!$B$28+Inputs!$B$29)))</f>
        <v/>
      </c>
      <c r="E1767">
        <f>INDEX(FactorTable!$B$2:$Y$301, MATCH(ROUND(MIN(300,MAX(1,D1767)),0), FactorTable!$A$2:$A$301,0), Skills!L17+1)</f>
        <v/>
      </c>
      <c r="F1767">
        <f>IF(Skills!M17=TRUE,(Skills!K17/10)*(E1767/1000),Skills!K17/10)+Skills!N17</f>
        <v/>
      </c>
      <c r="G1767">
        <f>Calc!G17</f>
        <v/>
      </c>
      <c r="H1767">
        <f>Calc!H17</f>
        <v/>
      </c>
      <c r="I1767">
        <f>IF(Skills!T17&lt;&gt;"",1+(Skills!T17/10)*(Z1753/1000)/100,1)</f>
        <v/>
      </c>
      <c r="J1767" t="inlineStr"/>
      <c r="K1767" t="inlineStr"/>
      <c r="L1767" t="inlineStr"/>
      <c r="M1767" t="inlineStr"/>
      <c r="N1767" t="inlineStr"/>
      <c r="O1767">
        <f>(1-Summary!$B$11)*S1767+Summary!$B$11*U1767</f>
        <v/>
      </c>
      <c r="P1767">
        <f>IF(B1787=0,0,O1767/B1787)</f>
        <v/>
      </c>
      <c r="Q1767">
        <f>IFERROR(1/IF(Inputs!$B$38="pvp",15,MAX(0.1,Skills!D17-IF(Skills!E17=TRUE,Inputs!$B$32,0))),0)</f>
        <v/>
      </c>
      <c r="R1767" t="n">
        <v>0</v>
      </c>
      <c r="S1767" t="n">
        <v>0</v>
      </c>
      <c r="U1767" t="n">
        <v>0</v>
      </c>
    </row>
    <row r="1768">
      <c r="A1768">
        <f>Skills!A18</f>
        <v/>
      </c>
      <c r="B1768">
        <f>Skills!B18</f>
        <v/>
      </c>
      <c r="C1768">
        <f>Inputs!$B$3&gt;=43</f>
        <v/>
      </c>
      <c r="D1768">
        <f>IF(Skills!C18=1,60+Inputs!$B$25+Inputs!$B$29,IF(Skills!C18=2,90+Inputs!$B$26+Inputs!$B$29,IF(Skills!C18=3,120+Inputs!$B$27+Inputs!$B$29,MAX(0,(Inputs!$B$3-100)*3)+Inputs!$B$28+Inputs!$B$29)))</f>
        <v/>
      </c>
      <c r="E1768">
        <f>INDEX(FactorTable!$B$2:$Y$301, MATCH(ROUND(MIN(300,MAX(1,D1768)),0), FactorTable!$A$2:$A$301,0), Skills!L18+1)</f>
        <v/>
      </c>
      <c r="F1768">
        <f>IF(Skills!M18=TRUE,(Skills!K18/10)*(E1768/1000),Skills!K18/10)+Skills!N18</f>
        <v/>
      </c>
      <c r="G1768">
        <f>Calc!G18</f>
        <v/>
      </c>
      <c r="H1768">
        <f>Calc!H18</f>
        <v/>
      </c>
      <c r="I1768">
        <f>IF(Skills!T18&lt;&gt;"",1+(Skills!T18/10)*(Z1753/1000)/100,1)</f>
        <v/>
      </c>
      <c r="J1768" t="inlineStr"/>
      <c r="K1768" t="inlineStr"/>
      <c r="L1768" t="inlineStr"/>
      <c r="M1768" t="inlineStr"/>
      <c r="N1768" t="inlineStr"/>
      <c r="O1768">
        <f>(1-Summary!$B$11)*S1768+Summary!$B$11*U1768</f>
        <v/>
      </c>
      <c r="P1768">
        <f>IF(B1787=0,0,O1768/B1787)</f>
        <v/>
      </c>
      <c r="Q1768">
        <f>IFERROR(1/IF(Inputs!$B$38="pvp",15,MAX(0.1,Skills!D18-IF(Skills!E18=TRUE,Inputs!$B$32,0))),0)</f>
        <v/>
      </c>
      <c r="R1768" t="n">
        <v>0</v>
      </c>
      <c r="S1768" t="n">
        <v>0</v>
      </c>
      <c r="U1768" t="n">
        <v>0</v>
      </c>
    </row>
    <row r="1769">
      <c r="A1769">
        <f>Skills!A19</f>
        <v/>
      </c>
      <c r="B1769">
        <f>Skills!B19</f>
        <v/>
      </c>
      <c r="C1769">
        <f>Inputs!$B$3&gt;=50</f>
        <v/>
      </c>
      <c r="D1769">
        <f>IF(Skills!C19=1,60+Inputs!$B$25+Inputs!$B$29,IF(Skills!C19=2,90+Inputs!$B$26+Inputs!$B$29,IF(Skills!C19=3,120+Inputs!$B$27+Inputs!$B$29,MAX(0,(Inputs!$B$3-100)*3)+Inputs!$B$28+Inputs!$B$29)))</f>
        <v/>
      </c>
      <c r="E1769">
        <f>INDEX(FactorTable!$B$2:$Y$301, MATCH(ROUND(MIN(300,MAX(1,D1769)),0), FactorTable!$A$2:$A$301,0), Skills!L19+1)</f>
        <v/>
      </c>
      <c r="F1769">
        <f>IF(Skills!M19=TRUE,(Skills!K19/10)*(E1769/1000),Skills!K19/10)+Skills!N19</f>
        <v/>
      </c>
      <c r="G1769">
        <f>Calc!G19</f>
        <v/>
      </c>
      <c r="H1769">
        <f>Calc!H19</f>
        <v/>
      </c>
      <c r="I1769">
        <f>IF(Skills!T19&lt;&gt;"",1+(Skills!T19/10)*(Z1753/1000)/100,1)</f>
        <v/>
      </c>
      <c r="J1769" t="inlineStr"/>
      <c r="K1769" t="inlineStr"/>
      <c r="L1769" t="inlineStr"/>
      <c r="M1769" t="inlineStr"/>
      <c r="N1769" t="inlineStr"/>
      <c r="O1769">
        <f>(1-Summary!$B$11)*S1769+Summary!$B$11*U1769</f>
        <v/>
      </c>
      <c r="P1769">
        <f>IF(B1787=0,0,O1769/B1787)</f>
        <v/>
      </c>
      <c r="Q1769">
        <f>IFERROR(1/IF(Inputs!$B$38="pvp",15,MAX(0.1,Skills!D19-IF(Skills!E19=TRUE,Inputs!$B$32,0))),0)</f>
        <v/>
      </c>
      <c r="R1769" t="n">
        <v>0</v>
      </c>
      <c r="S1769" t="n">
        <v>0</v>
      </c>
      <c r="U1769" t="n">
        <v>0</v>
      </c>
    </row>
    <row r="1770">
      <c r="A1770">
        <f>Skills!A20</f>
        <v/>
      </c>
      <c r="B1770">
        <f>Skills!B20</f>
        <v/>
      </c>
      <c r="C1770">
        <f>Inputs!$B$3&gt;=74</f>
        <v/>
      </c>
      <c r="D1770">
        <f>IF(Skills!C20=1,60+Inputs!$B$25+Inputs!$B$29,IF(Skills!C20=2,90+Inputs!$B$26+Inputs!$B$29,IF(Skills!C20=3,120+Inputs!$B$27+Inputs!$B$29,MAX(0,(Inputs!$B$3-100)*3)+Inputs!$B$28+Inputs!$B$29)))</f>
        <v/>
      </c>
      <c r="E1770">
        <f>INDEX(FactorTable!$B$2:$Y$301, MATCH(ROUND(MIN(300,MAX(1,D1770)),0), FactorTable!$A$2:$A$301,0), Skills!L20+1)</f>
        <v/>
      </c>
      <c r="F1770">
        <f>IF(Skills!M20=TRUE,(Skills!K20/10)*(E1770/1000),Skills!K20/10)+Skills!N20</f>
        <v/>
      </c>
      <c r="G1770">
        <f>Calc!G20</f>
        <v/>
      </c>
      <c r="H1770">
        <f>Calc!H20</f>
        <v/>
      </c>
      <c r="I1770">
        <f>IF(Skills!T20&lt;&gt;"",1+(Skills!T20/10)*(Z1753/1000)/100,1)</f>
        <v/>
      </c>
      <c r="J1770" t="inlineStr"/>
      <c r="K1770" t="inlineStr"/>
      <c r="L1770" t="inlineStr"/>
      <c r="M1770" t="inlineStr"/>
      <c r="N1770" t="inlineStr"/>
      <c r="O1770">
        <f>(1-Summary!$B$11)*S1770+Summary!$B$11*U1770</f>
        <v/>
      </c>
      <c r="P1770">
        <f>IF(B1787=0,0,O1770/B1787)</f>
        <v/>
      </c>
      <c r="Q1770">
        <f>IFERROR(1/IF(Inputs!$B$38="pvp",15,MAX(0.1,Skills!D20-IF(Skills!E20=TRUE,Inputs!$B$32,0))),0)</f>
        <v/>
      </c>
      <c r="R1770" t="n">
        <v>0</v>
      </c>
      <c r="S1770" t="n">
        <v>0</v>
      </c>
      <c r="U1770" t="n">
        <v>0</v>
      </c>
    </row>
    <row r="1771">
      <c r="A1771">
        <f>Skills!A21</f>
        <v/>
      </c>
      <c r="B1771">
        <f>Skills!B21</f>
        <v/>
      </c>
      <c r="C1771">
        <f>Inputs!$B$3&gt;=74</f>
        <v/>
      </c>
      <c r="D1771">
        <f>IF(Skills!C21=1,60+Inputs!$B$25+Inputs!$B$29,IF(Skills!C21=2,90+Inputs!$B$26+Inputs!$B$29,IF(Skills!C21=3,120+Inputs!$B$27+Inputs!$B$29,MAX(0,(Inputs!$B$3-100)*3)+Inputs!$B$28+Inputs!$B$29)))</f>
        <v/>
      </c>
      <c r="E1771">
        <f>INDEX(FactorTable!$B$2:$Y$301, MATCH(ROUND(MIN(300,MAX(1,D1771)),0), FactorTable!$A$2:$A$301,0), Skills!L21+1)</f>
        <v/>
      </c>
      <c r="F1771">
        <f>IF(Skills!M21=TRUE,(Skills!K21/10)*(E1771/1000),Skills!K21/10)+Skills!N21</f>
        <v/>
      </c>
      <c r="G1771">
        <f>Calc!G21</f>
        <v/>
      </c>
      <c r="H1771">
        <f>Calc!H21</f>
        <v/>
      </c>
      <c r="I1771">
        <f>IF(Skills!T21&lt;&gt;"",1+(Skills!T21/10)*(Z1753/1000)/100,1)</f>
        <v/>
      </c>
      <c r="J1771" t="inlineStr"/>
      <c r="K1771" t="inlineStr"/>
      <c r="L1771" t="inlineStr"/>
      <c r="M1771" t="inlineStr"/>
      <c r="N1771" t="inlineStr"/>
      <c r="O1771">
        <f>(1-Summary!$B$11)*S1771+Summary!$B$11*U1771</f>
        <v/>
      </c>
      <c r="P1771">
        <f>IF(B1787=0,0,O1771/B1787)</f>
        <v/>
      </c>
      <c r="Q1771">
        <f>IFERROR(1/IF(Inputs!$B$38="pvp",15,MAX(0.1,Skills!D21-IF(Skills!E21=TRUE,Inputs!$B$32,0))),0)</f>
        <v/>
      </c>
      <c r="R1771" t="n">
        <v>0</v>
      </c>
      <c r="S1771" t="n">
        <v>0</v>
      </c>
      <c r="U1771" t="n">
        <v>0</v>
      </c>
    </row>
    <row r="1772">
      <c r="A1772">
        <f>Skills!A22</f>
        <v/>
      </c>
      <c r="B1772">
        <f>Skills!B22</f>
        <v/>
      </c>
      <c r="C1772">
        <f>Inputs!$B$3&gt;=117</f>
        <v/>
      </c>
      <c r="D1772">
        <f>IF(Skills!C22=1,60+Inputs!$B$25+Inputs!$B$29,IF(Skills!C22=2,90+Inputs!$B$26+Inputs!$B$29,IF(Skills!C22=3,120+Inputs!$B$27+Inputs!$B$29,MAX(0,(Inputs!$B$3-100)*3)+Inputs!$B$28+Inputs!$B$29)))</f>
        <v/>
      </c>
      <c r="E1772">
        <f>INDEX(FactorTable!$B$2:$Y$301, MATCH(ROUND(MIN(300,MAX(1,D1772)),0), FactorTable!$A$2:$A$301,0), Skills!L22+1)</f>
        <v/>
      </c>
      <c r="F1772">
        <f>IF(Skills!M22=TRUE,(Skills!K22/10)*(E1772/1000),Skills!K22/10)+Skills!N22</f>
        <v/>
      </c>
      <c r="G1772">
        <f>Calc!G22</f>
        <v/>
      </c>
      <c r="H1772">
        <f>Calc!H22</f>
        <v/>
      </c>
      <c r="I1772">
        <f>IF(Skills!T22&lt;&gt;"",1+(Skills!T22/10)*(Z1753/1000)/100,1)</f>
        <v/>
      </c>
      <c r="J1772" t="inlineStr"/>
      <c r="K1772" t="inlineStr"/>
      <c r="L1772" t="inlineStr"/>
      <c r="M1772" t="inlineStr"/>
      <c r="N1772" t="inlineStr"/>
      <c r="O1772">
        <f>(1-Summary!$B$11)*S1772+Summary!$B$11*U1772</f>
        <v/>
      </c>
      <c r="P1772">
        <f>IF(B1787=0,0,O1772/B1787)</f>
        <v/>
      </c>
      <c r="Q1772">
        <f>IFERROR(1/IF(Inputs!$B$38="pvp",15,MAX(0.1,Skills!D22-IF(Skills!E22=TRUE,Inputs!$B$32,0))),0)</f>
        <v/>
      </c>
      <c r="R1772" t="n">
        <v>0</v>
      </c>
      <c r="S1772" t="n">
        <v>0</v>
      </c>
      <c r="U1772" t="n">
        <v>0</v>
      </c>
    </row>
    <row r="1773">
      <c r="A1773">
        <f>Skills!A23</f>
        <v/>
      </c>
      <c r="B1773">
        <f>Skills!B23</f>
        <v/>
      </c>
      <c r="C1773">
        <f>Inputs!$B$3&gt;=120</f>
        <v/>
      </c>
      <c r="D1773">
        <f>IF(Skills!C23=1,60+Inputs!$B$25+Inputs!$B$29,IF(Skills!C23=2,90+Inputs!$B$26+Inputs!$B$29,IF(Skills!C23=3,120+Inputs!$B$27+Inputs!$B$29,MAX(0,(Inputs!$B$3-100)*3)+Inputs!$B$28+Inputs!$B$29)))</f>
        <v/>
      </c>
      <c r="E1773">
        <f>INDEX(FactorTable!$B$2:$Y$301, MATCH(ROUND(MIN(300,MAX(1,D1773)),0), FactorTable!$A$2:$A$301,0), Skills!L23+1)</f>
        <v/>
      </c>
      <c r="F1773">
        <f>IF(Skills!M23=TRUE,(Skills!K23/10)*(E1773/1000),Skills!K23/10)+Skills!N23</f>
        <v/>
      </c>
      <c r="G1773">
        <f>Calc!G23</f>
        <v/>
      </c>
      <c r="H1773">
        <f>Calc!H23</f>
        <v/>
      </c>
      <c r="I1773">
        <f>IF(Skills!T23&lt;&gt;"",1+(Skills!T23/10)*(Z1753/1000)/100,1)</f>
        <v/>
      </c>
      <c r="J1773" t="inlineStr"/>
      <c r="K1773" t="inlineStr"/>
      <c r="L1773" t="inlineStr"/>
      <c r="M1773" t="inlineStr"/>
      <c r="N1773" t="inlineStr"/>
      <c r="O1773">
        <f>(1-Summary!$B$11)*S1773+Summary!$B$11*U1773</f>
        <v/>
      </c>
      <c r="P1773">
        <f>IF(B1787=0,0,O1773/B1787)</f>
        <v/>
      </c>
      <c r="Q1773">
        <f>IFERROR(1/IF(Inputs!$B$38="pvp",15,MAX(0.1,Skills!D23-IF(Skills!E23=TRUE,Inputs!$B$32,0))),0)</f>
        <v/>
      </c>
      <c r="R1773" t="n">
        <v>0</v>
      </c>
      <c r="S1773" t="n">
        <v>0</v>
      </c>
      <c r="U1773" t="n">
        <v>0</v>
      </c>
    </row>
    <row r="1774">
      <c r="A1774">
        <f>Skills!A24</f>
        <v/>
      </c>
      <c r="B1774">
        <f>Skills!B24</f>
        <v/>
      </c>
      <c r="C1774">
        <f>TRUE</f>
        <v/>
      </c>
      <c r="D1774">
        <f>IF(Skills!C24=1,60+Inputs!$B$25+Inputs!$B$29,IF(Skills!C24=2,90+Inputs!$B$26+Inputs!$B$29,IF(Skills!C24=3,120+Inputs!$B$27+Inputs!$B$29,MAX(0,(Inputs!$B$3-100)*3)+Inputs!$B$28+Inputs!$B$29)))</f>
        <v/>
      </c>
      <c r="E1774">
        <f>INDEX(FactorTable!$B$2:$Y$301, MATCH(ROUND(MIN(300,MAX(1,D1774)),0), FactorTable!$A$2:$A$301,0), Skills!L24+1)</f>
        <v/>
      </c>
      <c r="F1774">
        <f>IF(Skills!M24=TRUE,(Skills!K24/10)*(E1774/1000),Skills!K24/10)+Skills!N24</f>
        <v/>
      </c>
      <c r="G1774">
        <f>Calc!G24</f>
        <v/>
      </c>
      <c r="H1774">
        <f>Calc!H24</f>
        <v/>
      </c>
      <c r="I1774">
        <f>IF(Skills!T24&lt;&gt;"",1+(Skills!T24/10)*(Z1753/1000)/100,1)</f>
        <v/>
      </c>
      <c r="J1774" t="inlineStr"/>
      <c r="K1774" t="inlineStr"/>
      <c r="L1774" t="inlineStr"/>
      <c r="M1774" t="inlineStr"/>
      <c r="N1774" t="inlineStr"/>
      <c r="O1774">
        <f>(1-Summary!$B$11)*S1774+Summary!$B$11*U1774</f>
        <v/>
      </c>
      <c r="P1774">
        <f>IF(B1787=0,0,O1774/B1787)</f>
        <v/>
      </c>
      <c r="Q1774">
        <f>IFERROR(1/IF(Inputs!$B$38="pvp",15,MAX(0.1,Skills!D24-IF(Skills!E24=TRUE,Inputs!$B$32,0))),0)</f>
        <v/>
      </c>
      <c r="R1774">
        <f>IF(AND(Inputs!$B$38&lt;&gt;"pvp",Inputs!$B$43&gt;0),IF(Inputs!$B$43&lt;=0,0,(INT(Inputs!$B$43/IF(Inputs!$B$38="pvp",15,MAX(0.1,Skills!D24-IF(Skills!E24=TRUE,Inputs!$B$32,0))))+1)),0)</f>
        <v/>
      </c>
      <c r="S1774" t="n">
        <v>0</v>
      </c>
      <c r="U1774" t="n">
        <v>0</v>
      </c>
    </row>
    <row r="1777">
      <c r="A1777" t="inlineStr">
        <is>
          <t>Average Buff Multiplier (Magic Guard + Meditation + Artifact Attack%, summed; then Infinity)</t>
        </is>
      </c>
      <c r="B1777">
        <f>(1+(IF(C1753=TRUE,F1753*IF(AND(Inputs!$B$38&lt;&gt;"pvp",Inputs!$B$43&gt;0),(((R1753-1)*(Skills!S3*(1+(Inputs!$B$34)/100))+MIN((Skills!S3*(1+(Inputs!$B$34)/100)),MAX(0,Inputs!$B$43-((R1753-1)*Skills!D3))))/Inputs!$B$43),IF(Inputs!$B$38="pvp",MIN((Skills!S3*(1+(Inputs!$B$34)/100)),15)/15,(Skills!S3*(1+(Inputs!$B$34)/100))/Skills!D3)),0)+IF(C1754=TRUE,F1754*IF(AND(Inputs!$B$38&lt;&gt;"pvp",Inputs!$B$43&gt;0),(((R1754-1)*(Skills!S4*(1+(Inputs!$B$34)/100))+MIN((Skills!S4*(1+(Inputs!$B$34)/100)),MAX(0,Inputs!$B$43-((R1754-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1766=TRUE,(1+F1766*IF(AND(Inputs!$B$38&lt;&gt;"pvp",Inputs!$B$43&gt;0),(((R1766-1)*(Skills!S16*(1+(Inputs!$B$34)/100))+MIN((Skills!S16*(1+(Inputs!$B$34)/100)),MAX(0,Inputs!$B$43-((R1766-1)*Skills!D16))))/Inputs!$B$43),IF(Inputs!$B$38="pvp",MIN((Skills!S16*(1+(Inputs!$B$34)/100)),15)/15,(Skills!S16*(1+(Inputs!$B$34)/100))/Skills!D16))/100),1)</f>
        <v/>
      </c>
    </row>
    <row r="1778">
      <c r="A1778" t="inlineStr">
        <is>
          <t>Monster Damage Taken Bonus % (Freezing Breath - Weaken + Elemental Reset + Artifact Enemy Damage Taken, summed)</t>
        </is>
      </c>
      <c r="B1778">
        <f>IF(Inputs!$B$3&gt;=118,15*IF(Inputs!$B$38="pvp",MIN((30*(1+(Inputs!$B$34)/100)),15)/15,(30*(1+(Inputs!$B$34)/100))/Skills!D8),0)+IF(C1764=TRUE,F1764,0)+(IF(AND(ArtifactsInput!$M$35,Inputs!$B$4&lt;&gt;"Chapter Hunt"),CHOOSE(ArtifactsInput!$N$35+1,15,18,21,24,27,30)*(1-EXP(-(0.2*B1781)*5)),0)+IF(AND(ArtifactsInput!$M$22,Inputs!$B$4&lt;&gt;"Chapter Hunt"),CHOOSE(ArtifactsInput!$N$22+1,10,12,14,16,18,20)*((0*(((0.15*B1781*5))^0/1)+1*(((0.15*B1781*5))^1/1)+2*(((0.15*B1781*5))^2/2)+3*(((0.15*B1781*5))^3/6)+4*(((0.15*B1781*5))^4/24)+5*(((0.15*B1781*5))^5/120))/((((0.15*B1781*5))^0/1)+(((0.15*B1781*5))^1/1)+(((0.15*B1781*5))^2/2)+(((0.15*B1781*5))^3/6)+(((0.15*B1781*5))^4/24)+(((0.15*B1781*5))^5/120))),0))</f>
        <v/>
      </c>
    </row>
    <row r="1779">
      <c r="A1779" t="inlineStr">
        <is>
          <t>Damage % Bonus (Frozen Break + Frost Clutch, flat)</t>
        </is>
      </c>
      <c r="B1779">
        <f>IF(Inputs!$B$3&gt;=66,15,0)+IF(Inputs!$B$3&gt;=98,10,0)+IF(Inputs!$B$3&gt;=125,20,0)</f>
        <v/>
      </c>
    </row>
    <row r="1780">
      <c r="A1780" t="inlineStr">
        <is>
          <t>Attack Speed Bonus % (MP Eater - MP Boost, always-on + Nimble Feet, duty-cycle averaged)</t>
        </is>
      </c>
      <c r="B1780">
        <f>IF(C1763=TRUE,F1763+(F1767-Calc!F17),0)+((C1774=TRUE)*F1774*IF(AND(Inputs!$B$38&lt;&gt;"pvp",Inputs!$B$43&gt;0),(((R1774-1)*(Skills!S24*(1+(Inputs!$B$34)/100))+MIN((Skills!S24*(1+(Inputs!$B$34)/100)),MAX(0,Inputs!$B$43-((R1774-1)*Skills!D24))))/Inputs!$B$43),IF(Inputs!$B$38="pvp",MIN((Skills!S24*(1+(Inputs!$B$34)/100)),15)/15,(Skills!S24*(1+(Inputs!$B$34)/100))/Skills!D24)))</f>
        <v/>
      </c>
    </row>
    <row r="1781">
      <c r="A1781" t="inlineStr">
        <is>
          <t>Actions Per Second</t>
        </is>
      </c>
      <c r="B1781">
        <f>1+MIN(150,150*(1-(1-(Inputs!$B$11+(ArtifactsInput!$M$15-ArtifactsInput!$M$15)*CHOOSE(ArtifactsInput!$N$15+1,8,9.6,11.2,12.8,14.4,16))/150)*(1-B1780/150)))/100</f>
        <v/>
      </c>
    </row>
    <row r="1782">
      <c r="A1782" t="inlineStr">
        <is>
          <t>Skill + Buff Cast Rate</t>
        </is>
      </c>
      <c r="B1782">
        <f>IF(AND(Inputs!$B$38&lt;&gt;"pvp",Inputs!$B$43&gt;0),SUMPRODUCT((Skills!E2:E24=TRUE)*(C1752:C1774=TRUE)*R1752:R1774)/Inputs!$B$43,SUMPRODUCT((Skills!E2:E24=TRUE)*(C1752:C1774=TRUE)*Q1752:Q1774))</f>
        <v/>
      </c>
    </row>
    <row r="1783">
      <c r="A1783" t="inlineStr">
        <is>
          <t>Chain Lightning Casts Per Second</t>
        </is>
      </c>
      <c r="B1783">
        <f>MAX(0,B1781-B1782)</f>
        <v/>
      </c>
    </row>
    <row r="1784">
      <c r="A1784" t="inlineStr">
        <is>
          <t>Buff-Casting Startup Delay (s, fixed-duration only)</t>
        </is>
      </c>
      <c r="B1784">
        <f>IF(AND(Inputs!$B$38&lt;&gt;"pvp",Inputs!$B$43&gt;0),SUMPRODUCT((Skills!S2:S24&gt;0)*(Skills!E2:E24=TRUE)*(C1752:C1774=TRUE))/B1781,0)</f>
        <v/>
      </c>
    </row>
    <row r="1785">
      <c r="A1785" t="inlineStr">
        <is>
          <t>Boss-Only Total DPS (this block's swept value)</t>
        </is>
      </c>
      <c r="B1785">
        <f>SUM(S1752:S1774)</f>
        <v/>
      </c>
    </row>
    <row r="1786">
      <c r="A1786" t="inlineStr">
        <is>
          <t>Normal-Only Total DPS (this block's swept value)</t>
        </is>
      </c>
      <c r="B1786">
        <f>SUM(U1752:U1774)</f>
        <v/>
      </c>
    </row>
    <row r="1787">
      <c r="A1787" s="6" t="inlineStr">
        <is>
          <t>TOTAL DPS</t>
        </is>
      </c>
      <c r="B1787" s="6">
        <f>SUM(O1752:O1774)</f>
        <v/>
      </c>
    </row>
    <row r="1790">
      <c r="A1790" s="6" t="inlineStr">
        <is>
          <t>Stat: Lunar Dew (Equip)</t>
        </is>
      </c>
    </row>
    <row r="1791">
      <c r="A1791" s="5" t="inlineStr">
        <is>
          <t>Key</t>
        </is>
      </c>
      <c r="B1791" s="5" t="inlineStr">
        <is>
          <t>Name</t>
        </is>
      </c>
      <c r="C1791" s="5" t="inlineStr">
        <is>
          <t>Unlocked</t>
        </is>
      </c>
      <c r="D1791" s="5" t="inlineStr">
        <is>
          <t>InputLevel</t>
        </is>
      </c>
      <c r="E1791" s="5" t="inlineStr">
        <is>
          <t>Factor</t>
        </is>
      </c>
      <c r="F1791" s="5" t="inlineStr">
        <is>
          <t>CoefficientPercent</t>
        </is>
      </c>
      <c r="G1791" s="5" t="inlineStr">
        <is>
          <t>EffectiveHits</t>
        </is>
      </c>
      <c r="H1791" s="5" t="inlineStr">
        <is>
          <t>ProcProbability</t>
        </is>
      </c>
      <c r="I1791" s="5" t="inlineStr">
        <is>
          <t>MapleHeroMultiplier</t>
        </is>
      </c>
      <c r="J1791" s="5" t="inlineStr">
        <is>
          <t>BaseDamage</t>
        </is>
      </c>
      <c r="K1791" s="5" t="inlineStr">
        <is>
          <t>BaseHitDamage</t>
        </is>
      </c>
      <c r="L1791" s="5" t="inlineStr">
        <is>
          <t>NonCritAvg</t>
        </is>
      </c>
      <c r="M1791" s="5" t="inlineStr">
        <is>
          <t>CritAvg</t>
        </is>
      </c>
      <c r="N1791" s="5" t="inlineStr">
        <is>
          <t>ExpectedDamage(perHit)</t>
        </is>
      </c>
      <c r="O1791" s="5" t="inlineStr">
        <is>
          <t>DPS</t>
        </is>
      </c>
      <c r="P1791" s="5" t="inlineStr">
        <is>
          <t>% of Total</t>
        </is>
      </c>
      <c r="R1791" t="inlineStr">
        <is>
          <t>helpers</t>
        </is>
      </c>
    </row>
    <row r="1792">
      <c r="A1792">
        <f>Skills!A2</f>
        <v/>
      </c>
      <c r="B1792">
        <f>Skills!B2</f>
        <v/>
      </c>
      <c r="C1792">
        <f>Inputs!$B$3&gt;=100</f>
        <v/>
      </c>
      <c r="D1792" t="inlineStr"/>
      <c r="E1792" t="inlineStr"/>
      <c r="F1792">
        <f>T1794+Skills!N2</f>
        <v/>
      </c>
      <c r="G1792">
        <f>Calc!G2</f>
        <v/>
      </c>
      <c r="H1792">
        <f>Calc!H2</f>
        <v/>
      </c>
      <c r="I1792">
        <f>IF(Skills!T2&lt;&gt;"",1+(Skills!T2/10)*(Z1793/1000)/100,1)</f>
        <v/>
      </c>
      <c r="J1792">
        <f>((Inputs!$B$6*(1+Inputs!$B$7/100))+(((Inputs!$B$12*(1+Inputs!$B$13/100))-(Inputs!$B$12*(1+Inputs!$B$13/100)))+0.25*(Inputs!$B$14-Inputs!$B$14))*(1+Inputs!$B$7/100))*(F1792/100)</f>
        <v/>
      </c>
      <c r="K1792">
        <f>J1792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2="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F1808-Calc!F18),(Inputs!$B$23+(IF(ArtifactsInput!$M$15,CHOOSE(ArtifactsInput!$N$15+1,25,30,35,40,45,50)/100*(Inputs!$B$11-Inputs!$B$11),0))))/100+(Inputs!$B$23+(IF(ArtifactsInput!$M$15,CHOOSE(ArtifactsInput!$N$15+1,25,30,35,40,45,50)/100*(Inputs!$B$11-Inputs!$B$11),0)))/100)/2</f>
        <v/>
      </c>
      <c r="M1792">
        <f>L1792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(1-Summary!$B$11)*S1792+Summary!$B$11*U1792</f>
        <v/>
      </c>
      <c r="P1792">
        <f>IF(B1827=0,0,O1792/B1827)</f>
        <v/>
      </c>
      <c r="Q1792">
        <f>IFERROR(1/IF(Inputs!$B$38="pvp",15,MAX(0.1,Skills!D2-IF(Skills!E2=TRUE,Inputs!$B$32,0))),0)</f>
        <v/>
      </c>
      <c r="R1792" t="n">
        <v>0</v>
      </c>
      <c r="S1792">
        <f>IF(C1792,(Skills!F2*N1792*B1823)*IF(Inputs!$B$38="pvp",1,1+(Inputs!$B$20+Skills!O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1792*(1-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2">
        <f>MAX(0,(Inputs!$B$3-100)*3)+Inputs!$B$28+Inputs!$B$29</f>
        <v/>
      </c>
      <c r="U1792">
        <f>IF(C1792,(Skills!F2*N1792*B1823)*IF(Inputs!$B$38="pvp",1,(1+(Inputs!$B$21+Skills!P2+B1818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92">
        <f>MAX(0,(Inputs!$B$3-100)*3)+Inputs!$B$28+Inputs!$B$29</f>
        <v/>
      </c>
    </row>
    <row r="1793">
      <c r="A1793">
        <f>Skills!A3</f>
        <v/>
      </c>
      <c r="B1793">
        <f>Skills!B3</f>
        <v/>
      </c>
      <c r="C1793">
        <f>Inputs!$B$3&gt;=15</f>
        <v/>
      </c>
      <c r="D1793">
        <f>IF(Skills!C3=1,60+Inputs!$B$25+Inputs!$B$29,IF(Skills!C3=2,90+Inputs!$B$26+Inputs!$B$29,IF(Skills!C3=3,120+Inputs!$B$27+Inputs!$B$29,MAX(0,(Inputs!$B$3-100)*3)+Inputs!$B$28+Inputs!$B$29)))</f>
        <v/>
      </c>
      <c r="E1793">
        <f>INDEX(FactorTable!$B$2:$Y$301, MATCH(ROUND(MIN(300,MAX(1,D1793)),0), FactorTable!$A$2:$A$301,0), Skills!L3+1)</f>
        <v/>
      </c>
      <c r="F1793">
        <f>IF(Skills!M3=TRUE,(Skills!K3/10)*(E1793/1000),Skills!K3/10)+Skills!N3</f>
        <v/>
      </c>
      <c r="G1793">
        <f>Calc!G3</f>
        <v/>
      </c>
      <c r="H1793">
        <f>Calc!H3</f>
        <v/>
      </c>
      <c r="I1793">
        <f>IF(Skills!T3&lt;&gt;"",1+(Skills!T3/10)*(Z1793/1000)/100,1)</f>
        <v/>
      </c>
      <c r="J1793" t="inlineStr"/>
      <c r="K1793" t="inlineStr"/>
      <c r="L1793" t="inlineStr"/>
      <c r="M1793" t="inlineStr"/>
      <c r="N1793" t="inlineStr"/>
      <c r="O1793">
        <f>(1-Summary!$B$11)*S1793+Summary!$B$11*U1793</f>
        <v/>
      </c>
      <c r="P1793">
        <f>IF(B1827=0,0,O1793/B1827)</f>
        <v/>
      </c>
      <c r="Q1793">
        <f>IFERROR(1/IF(Inputs!$B$38="pvp",15,MAX(0.1,Skills!D3-IF(Skills!E3=TRUE,Inputs!$B$32,0))),0)</f>
        <v/>
      </c>
      <c r="R1793">
        <f>IF(AND(Inputs!$B$38&lt;&gt;"pvp",Inputs!$B$43&gt;0),IF(Inputs!$B$43&lt;=0,0,(INT(Inputs!$B$43/IF(Inputs!$B$38="pvp",15,MAX(0.1,Skills!D3-IF(Skills!E3=TRUE,Inputs!$B$32,0))))+1)),0)</f>
        <v/>
      </c>
      <c r="S1793" t="n">
        <v>0</v>
      </c>
      <c r="T1793">
        <f>INDEX(FactorTable!$B$2:$Y$301, MATCH(ROUND(MIN(300,MAX(1,T1792)),0), FactorTable!$A$2:$A$301,0), 22)</f>
        <v/>
      </c>
      <c r="U1793" t="n">
        <v>0</v>
      </c>
      <c r="Z1793">
        <f>INDEX(FactorTable!$B$2:$Y$301, MATCH(ROUND(MIN(300,MAX(1,Z1792)),0), FactorTable!$A$2:$A$301,0), 24)</f>
        <v/>
      </c>
    </row>
    <row r="1794">
      <c r="A1794">
        <f>Skills!A4</f>
        <v/>
      </c>
      <c r="B1794">
        <f>Skills!B4</f>
        <v/>
      </c>
      <c r="C1794">
        <f>Inputs!$B$3&gt;=40</f>
        <v/>
      </c>
      <c r="D1794">
        <f>IF(Skills!C4=1,60+Inputs!$B$25+Inputs!$B$29,IF(Skills!C4=2,90+Inputs!$B$26+Inputs!$B$29,IF(Skills!C4=3,120+Inputs!$B$27+Inputs!$B$29,MAX(0,(Inputs!$B$3-100)*3)+Inputs!$B$28+Inputs!$B$29)))</f>
        <v/>
      </c>
      <c r="E1794">
        <f>INDEX(FactorTable!$B$2:$Y$301, MATCH(ROUND(MIN(300,MAX(1,D1794)),0), FactorTable!$A$2:$A$301,0), Skills!L4+1)</f>
        <v/>
      </c>
      <c r="F1794">
        <f>IF(Skills!M4=TRUE,(Skills!K4/10)*(E1794/1000),Skills!K4/10)+Skills!N4</f>
        <v/>
      </c>
      <c r="G1794">
        <f>Calc!G4</f>
        <v/>
      </c>
      <c r="H1794">
        <f>Calc!H4</f>
        <v/>
      </c>
      <c r="I1794">
        <f>IF(Skills!T4&lt;&gt;"",1+(Skills!T4/10)*(Z1793/1000)/100,1)</f>
        <v/>
      </c>
      <c r="J1794" t="inlineStr"/>
      <c r="K1794" t="inlineStr"/>
      <c r="L1794" t="inlineStr"/>
      <c r="M1794" t="inlineStr"/>
      <c r="N1794" t="inlineStr"/>
      <c r="O1794">
        <f>(1-Summary!$B$11)*S1794+Summary!$B$11*U1794</f>
        <v/>
      </c>
      <c r="P1794">
        <f>IF(B1827=0,0,O1794/B1827)</f>
        <v/>
      </c>
      <c r="Q1794">
        <f>IFERROR(1/IF(Inputs!$B$38="pvp",15,MAX(0.1,Skills!D4-IF(Skills!E4=TRUE,Inputs!$B$32,0))),0)</f>
        <v/>
      </c>
      <c r="R1794">
        <f>IF(AND(Inputs!$B$38&lt;&gt;"pvp",Inputs!$B$43&gt;0),IF(Inputs!$B$43&lt;=0,0,(INT(Inputs!$B$43/IF(Inputs!$B$38="pvp",15,MAX(0.1,Skills!D4-IF(Skills!E4=TRUE,Inputs!$B$32,0))))+1)),0)</f>
        <v/>
      </c>
      <c r="S1794" t="n">
        <v>0</v>
      </c>
      <c r="T1794">
        <f>290*T1793/1000</f>
        <v/>
      </c>
      <c r="U1794" t="n">
        <v>0</v>
      </c>
    </row>
    <row r="1795">
      <c r="A1795">
        <f>Skills!A5</f>
        <v/>
      </c>
      <c r="B1795">
        <f>Skills!B5</f>
        <v/>
      </c>
      <c r="C1795">
        <f>Inputs!$B$3&gt;=38</f>
        <v/>
      </c>
      <c r="D1795">
        <f>IF(Skills!C5=1,60+Inputs!$B$25+Inputs!$B$29,IF(Skills!C5=2,90+Inputs!$B$26+Inputs!$B$29,IF(Skills!C5=3,120+Inputs!$B$27+Inputs!$B$29,MAX(0,(Inputs!$B$3-100)*3)+Inputs!$B$28+Inputs!$B$29)))</f>
        <v/>
      </c>
      <c r="E1795">
        <f>INDEX(FactorTable!$B$2:$Y$301, MATCH(ROUND(MIN(300,MAX(1,D1795)),0), FactorTable!$A$2:$A$301,0), Skills!L5+1)</f>
        <v/>
      </c>
      <c r="F1795">
        <f>IF(Skills!M5=TRUE,(Skills!K5/10)*(E1795/1000),Skills!K5/10)+Skills!N5</f>
        <v/>
      </c>
      <c r="G1795">
        <f>Calc!G5</f>
        <v/>
      </c>
      <c r="H1795">
        <f>Calc!H5</f>
        <v/>
      </c>
      <c r="I1795">
        <f>IF(Skills!T5&lt;&gt;"",1+(Skills!T5/10)*(Z1793/1000)/100,1)</f>
        <v/>
      </c>
      <c r="J1795">
        <f>((Inputs!$B$6*(1+Inputs!$B$7/100))+(((Inputs!$B$12*(1+Inputs!$B$13/100))-(Inputs!$B$12*(1+Inputs!$B$13/100)))+0.25*(Inputs!$B$14-Inputs!$B$14))*(1+Inputs!$B$7/100))*(F1795/100)</f>
        <v/>
      </c>
      <c r="K1795">
        <f>J1795*(1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5="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18),(Inputs!$B$23+(IF(ArtifactsInput!$M$15,CHOOSE(ArtifactsInput!$N$15+1,25,30,35,40,45,50)/100*(Inputs!$B$11-Inputs!$B$11),0))))/100+(Inputs!$B$23+(IF(ArtifactsInput!$M$15,CHOOSE(ArtifactsInput!$N$15+1,25,30,35,40,45,50)/100*(Inputs!$B$11-Inputs!$B$11),0)))/100)/2</f>
        <v/>
      </c>
      <c r="M1795">
        <f>L1795*(1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IFERROR(1/IF(Inputs!$B$38="pvp",15,MAX(0.1,Skills!D5-IF(Skills!E5=TRUE,Inputs!$B$32,0))),0)</f>
        <v/>
      </c>
      <c r="R1795">
        <f>IF(AND(Inputs!$B$38&lt;&gt;"pvp",Inputs!$B$43&gt;0),IF(MAX(0,Inputs!$B$43-B1824)&lt;=0,0,(INT(MAX(0,Inputs!$B$43-B1824)/IF(Inputs!$B$38="pvp",15,MAX(0.1,Skills!D5-IF(Skills!E5=TRUE,Inputs!$B$32,0))))+1)),0)</f>
        <v/>
      </c>
      <c r="S1795">
        <f>IF(C1795,(H1795*N1795*IF(AND(Inputs!$B$38&lt;&gt;"pvp",Inputs!$B$43&gt;0),((Skills!F5*((R1795-1)*IF(Skills!G5&gt;0,Skills!H5/Skills!G5,1)+IF(Skills!G5&gt;0,MIN(Skills!H5,MAX(0,MAX(0,Inputs!$B$43-B1824)-((R1795-1)*IF(Inputs!$B$38="pvp",15,MAX(0.1,Skills!D5-IF(Skills!E5=TRUE,Inputs!$B$32,0))))))/Skills!G5,1)))/Inputs!$B$43),G1795*Q1795))*IF(Inputs!$B$38="pvp",1,1+(Inputs!$B$20+Skills!O5+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F5*((R1795-1)*IF(Skills!G5&gt;0,Skills!H5/Skills!G5,1)+IF(Skills!G5&gt;0,MIN(Skills!H5,MAX(0,MAX(0,Inputs!$B$43-B1824)-((R1795-1)*IF(Inputs!$B$38="pvp",15,MAX(0.1,Skills!D5-IF(Skills!E5=TRUE,Inputs!$B$32,0))))))/Skills!G5,1)))/Inputs!$B$43),G1795*Q1795))*IF(Inputs!$B$38="pvp",1,(1+(Inputs!$B$21+Skills!P5+B1818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Skills!A6</f>
        <v/>
      </c>
      <c r="B1796">
        <f>Skills!B6</f>
        <v/>
      </c>
      <c r="C1796">
        <f>Inputs!$B$3&gt;=63</f>
        <v/>
      </c>
      <c r="D1796">
        <f>IF(Skills!C6=1,60+Inputs!$B$25+Inputs!$B$29,IF(Skills!C6=2,90+Inputs!$B$26+Inputs!$B$29,IF(Skills!C6=3,120+Inputs!$B$27+Inputs!$B$29,MAX(0,(Inputs!$B$3-100)*3)+Inputs!$B$28+Inputs!$B$29)))</f>
        <v/>
      </c>
      <c r="E1796">
        <f>INDEX(FactorTable!$B$2:$Y$301, MATCH(ROUND(MIN(300,MAX(1,D1796)),0), FactorTable!$A$2:$A$301,0), Skills!L6+1)</f>
        <v/>
      </c>
      <c r="F1796">
        <f>IF(Skills!M6=TRUE,(Skills!K6/10)*(E1796/1000),Skills!K6/10)+Skills!N6</f>
        <v/>
      </c>
      <c r="G1796">
        <f>Calc!G6</f>
        <v/>
      </c>
      <c r="H1796">
        <f>Calc!H6</f>
        <v/>
      </c>
      <c r="I1796">
        <f>IF(Skills!T6&lt;&gt;"",1+(Skills!T6/10)*(Z1793/1000)/100,1)</f>
        <v/>
      </c>
      <c r="J1796">
        <f>((Inputs!$B$6*(1+Inputs!$B$7/100))+(((Inputs!$B$12*(1+Inputs!$B$13/100))-(Inputs!$B$12*(1+Inputs!$B$13/100)))+0.25*(Inputs!$B$14-Inputs!$B$14))*(1+Inputs!$B$7/100))*(F1796/100)</f>
        <v/>
      </c>
      <c r="K1796">
        <f>J1796*(1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6="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18),(Inputs!$B$23+(IF(ArtifactsInput!$M$15,CHOOSE(ArtifactsInput!$N$15+1,25,30,35,40,45,50)/100*(Inputs!$B$11-Inputs!$B$11),0))))/100+(Inputs!$B$23+(IF(ArtifactsInput!$M$15,CHOOSE(ArtifactsInput!$N$15+1,25,30,35,40,45,50)/100*(Inputs!$B$11-Inputs!$B$11),0)))/100)/2</f>
        <v/>
      </c>
      <c r="M1796">
        <f>L1796*(1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IFERROR(1/IF(Inputs!$B$38="pvp",15,MAX(0.1,Skills!D6-IF(Skills!E6=TRUE,Inputs!$B$32,0))),0)</f>
        <v/>
      </c>
      <c r="R1796">
        <f>IF(AND(Inputs!$B$38&lt;&gt;"pvp",Inputs!$B$43&gt;0),IF(MAX(0,Inputs!$B$43-B1824)&lt;=0,0,(INT(MAX(0,Inputs!$B$43-B1824)/IF(Inputs!$B$38="pvp",15,MAX(0.1,Skills!D6-IF(Skills!E6=TRUE,Inputs!$B$32,0))))+1)),0)</f>
        <v/>
      </c>
      <c r="S1796">
        <f>IF(C1796,(H1796*N1796*IF(AND(Inputs!$B$38&lt;&gt;"pvp",Inputs!$B$43&gt;0),((Skills!F6*((R1796-1)*IF(Skills!G6&gt;0,Skills!H6/Skills!G6,1)+IF(Skills!G6&gt;0,MIN(Skills!H6,MAX(0,MAX(0,Inputs!$B$43-B1824)-((R1796-1)*IF(Inputs!$B$38="pvp",15,MAX(0.1,Skills!D6-IF(Skills!E6=TRUE,Inputs!$B$32,0))))))/Skills!G6,1)))/Inputs!$B$43),G1796*Q1796))*IF(Inputs!$B$38="pvp",1,1+(Inputs!$B$20+Skills!O6+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F6*((R1796-1)*IF(Skills!G6&gt;0,Skills!H6/Skills!G6,1)+IF(Skills!G6&gt;0,MIN(Skills!H6,MAX(0,MAX(0,Inputs!$B$43-B1824)-((R1796-1)*IF(Inputs!$B$38="pvp",15,MAX(0.1,Skills!D6-IF(Skills!E6=TRUE,Inputs!$B$32,0))))))/Skills!G6,1)))/Inputs!$B$43),G1796*Q1796))*IF(Inputs!$B$38="pvp",1,(1+(Inputs!$B$21+Skills!P6+B1818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Skills!A7</f>
        <v/>
      </c>
      <c r="B1797">
        <f>Skills!B7</f>
        <v/>
      </c>
      <c r="C1797">
        <f>Inputs!$B$3&gt;=69</f>
        <v/>
      </c>
      <c r="D1797">
        <f>IF(Skills!C7=1,60+Inputs!$B$25+Inputs!$B$29,IF(Skills!C7=2,90+Inputs!$B$26+Inputs!$B$29,IF(Skills!C7=3,120+Inputs!$B$27+Inputs!$B$29,MAX(0,(Inputs!$B$3-100)*3)+Inputs!$B$28+Inputs!$B$29)))</f>
        <v/>
      </c>
      <c r="E1797">
        <f>INDEX(FactorTable!$B$2:$Y$301, MATCH(ROUND(MIN(300,MAX(1,D1797)),0), FactorTable!$A$2:$A$301,0), Skills!L7+1)</f>
        <v/>
      </c>
      <c r="F1797">
        <f>IF(Skills!M7=TRUE,(Skills!K7/10)*(E1797/1000),Skills!K7/10)+Skills!N7</f>
        <v/>
      </c>
      <c r="G1797">
        <f>Calc!G7</f>
        <v/>
      </c>
      <c r="H1797">
        <f>Calc!H7</f>
        <v/>
      </c>
      <c r="I1797">
        <f>IF(Skills!T7&lt;&gt;"",1+(Skills!T7/10)*(Z1793/1000)/100,1)</f>
        <v/>
      </c>
      <c r="J1797">
        <f>((Inputs!$B$6*(1+Inputs!$B$7/100))+(((Inputs!$B$12*(1+Inputs!$B$13/100))-(Inputs!$B$12*(1+Inputs!$B$13/100)))+0.25*(Inputs!$B$14-Inputs!$B$14))*(1+Inputs!$B$7/100))*(F1797/100)</f>
        <v/>
      </c>
      <c r="K1797">
        <f>J1797*(1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7="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1808-Calc!F18),(Inputs!$B$23+(IF(ArtifactsInput!$M$15,CHOOSE(ArtifactsInput!$N$15+1,25,30,35,40,45,50)/100*(Inputs!$B$11-Inputs!$B$11),0))))/100+(Inputs!$B$23+(IF(ArtifactsInput!$M$15,CHOOSE(ArtifactsInput!$N$15+1,25,30,35,40,45,50)/100*(Inputs!$B$11-Inputs!$B$11),0)))/100)/2</f>
        <v/>
      </c>
      <c r="M1797">
        <f>L1797*(1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IF(B1827=0,0,O1797/B1827)</f>
        <v/>
      </c>
      <c r="Q1797">
        <f>IFERROR(1/IF(Inputs!$B$38="pvp",15,MAX(0.1,Skills!D7-IF(Skills!E7=TRUE,Inputs!$B$32,0))),0)</f>
        <v/>
      </c>
      <c r="R1797">
        <f>IF(AND(Inputs!$B$38&lt;&gt;"pvp",Inputs!$B$43&gt;0),IF(MAX(0,Inputs!$B$43-B1824)&lt;=0,0,(INT(MAX(0,Inputs!$B$43-B1824)/IF(Inputs!$B$38="pvp",15,MAX(0.1,Skills!D7-IF(Skills!E7=TRUE,Inputs!$B$32,0))))+1)),0)</f>
        <v/>
      </c>
      <c r="S1797">
        <f>IF(C1797,(H1797*N1797*IF(AND(Inputs!$B$38&lt;&gt;"pvp",Inputs!$B$43&gt;0),((Skills!F7*((R1797-1)*IF(Skills!G7&gt;0,Skills!H7/Skills!G7,1)+IF(Skills!G7&gt;0,MIN(Skills!H7,MAX(0,MAX(0,Inputs!$B$43-B1824)-((R1797-1)*IF(Inputs!$B$38="pvp",15,MAX(0.1,Skills!D7-IF(Skills!E7=TRUE,Inputs!$B$32,0))))))/Skills!G7,1)))/Inputs!$B$43),G1797*Q1797))*IF(Inputs!$B$38="pvp",1,1+(Inputs!$B$20+Skills!O7+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7*((R1797-1)*IF(Skills!G7&gt;0,Skills!H7/Skills!G7,1)+IF(Skills!G7&gt;0,MIN(Skills!H7,MAX(0,MAX(0,Inputs!$B$43-B1824)-((R1797-1)*IF(Inputs!$B$38="pvp",15,MAX(0.1,Skills!D7-IF(Skills!E7=TRUE,Inputs!$B$32,0))))))/Skills!G7,1)))/Inputs!$B$43),G1797*Q1797))*IF(Inputs!$B$38="pvp",1,(1+(Inputs!$B$21+Skills!P7+B1818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Skills!A8</f>
        <v/>
      </c>
      <c r="B1798">
        <f>Skills!B8</f>
        <v/>
      </c>
      <c r="C1798">
        <f>Inputs!$B$3&gt;=103</f>
        <v/>
      </c>
      <c r="D1798">
        <f>IF(Skills!C8=1,60+Inputs!$B$25+Inputs!$B$29,IF(Skills!C8=2,90+Inputs!$B$26+Inputs!$B$29,IF(Skills!C8=3,120+Inputs!$B$27+Inputs!$B$29,MAX(0,(Inputs!$B$3-100)*3)+Inputs!$B$28+Inputs!$B$29)))</f>
        <v/>
      </c>
      <c r="E1798">
        <f>INDEX(FactorTable!$B$2:$Y$301, MATCH(ROUND(MIN(300,MAX(1,D1798)),0), FactorTable!$A$2:$A$301,0), Skills!L8+1)</f>
        <v/>
      </c>
      <c r="F1798">
        <f>IF(Skills!M8=TRUE,(Skills!K8/10)*(E1798/1000),Skills!K8/10)+Skills!N8</f>
        <v/>
      </c>
      <c r="G1798">
        <f>Calc!G8</f>
        <v/>
      </c>
      <c r="H1798">
        <f>Calc!H8</f>
        <v/>
      </c>
      <c r="I1798">
        <f>IF(Skills!T8&lt;&gt;"",1+(Skills!T8/10)*(Z1793/1000)/100,1)</f>
        <v/>
      </c>
      <c r="J1798">
        <f>((Inputs!$B$6*(1+Inputs!$B$7/100))+(((Inputs!$B$12*(1+Inputs!$B$13/100))-(Inputs!$B$12*(1+Inputs!$B$13/100)))+0.25*(Inputs!$B$14-Inputs!$B$14))*(1+Inputs!$B$7/100))*(F1798/100)</f>
        <v/>
      </c>
      <c r="K1798">
        <f>J1798*(1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8="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1808-Calc!F18),(Inputs!$B$23+(IF(ArtifactsInput!$M$15,CHOOSE(ArtifactsInput!$N$15+1,25,30,35,40,45,50)/100*(Inputs!$B$11-Inputs!$B$11),0))))/100+(Inputs!$B$23+(IF(ArtifactsInput!$M$15,CHOOSE(ArtifactsInput!$N$15+1,25,30,35,40,45,50)/100*(Inputs!$B$11-Inputs!$B$11),0)))/100)/2</f>
        <v/>
      </c>
      <c r="M1798">
        <f>L1798*(1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IF(B1827=0,0,O1798/B1827)</f>
        <v/>
      </c>
      <c r="Q1798">
        <f>IFERROR(1/IF(Inputs!$B$38="pvp",15,MAX(0.1,Skills!D8-IF(Skills!E8=TRUE,Inputs!$B$32,0))),0)</f>
        <v/>
      </c>
      <c r="R1798">
        <f>IF(AND(Inputs!$B$38&lt;&gt;"pvp",Inputs!$B$43&gt;0),IF(MAX(0,Inputs!$B$43-B1824)&lt;=0,0,(INT(MAX(0,Inputs!$B$43-B1824)/IF(Inputs!$B$38="pvp",15,MAX(0.1,Skills!D8-IF(Skills!E8=TRUE,Inputs!$B$32,0))))+1)),0)</f>
        <v/>
      </c>
      <c r="S1798">
        <f>IF(C1798,(H1798*N1798*IF(AND(Inputs!$B$38&lt;&gt;"pvp",Inputs!$B$43&gt;0),((Skills!F8*((R1798-1)*IF(Skills!G8&gt;0,Skills!H8/Skills!G8,1)+IF(Skills!G8&gt;0,MIN(Skills!H8,MAX(0,MAX(0,Inputs!$B$43-B1824)-((R1798-1)*IF(Inputs!$B$38="pvp",15,MAX(0.1,Skills!D8-IF(Skills!E8=TRUE,Inputs!$B$32,0))))))/Skills!G8,1)))/Inputs!$B$43),G1798*Q1798))*IF(Inputs!$B$38="pvp",1,1+(Inputs!$B$20+Skills!O8+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8*((R1798-1)*IF(Skills!G8&gt;0,Skills!H8/Skills!G8,1)+IF(Skills!G8&gt;0,MIN(Skills!H8,MAX(0,MAX(0,Inputs!$B$43-B1824)-((R1798-1)*IF(Inputs!$B$38="pvp",15,MAX(0.1,Skills!D8-IF(Skills!E8=TRUE,Inputs!$B$32,0))))))/Skills!G8,1)))/Inputs!$B$43),G1798*Q1798))*IF(Inputs!$B$38="pvp",1,(1+(Inputs!$B$21+Skills!P8+B1818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Skills!A9</f>
        <v/>
      </c>
      <c r="B1799">
        <f>Skills!B9</f>
        <v/>
      </c>
      <c r="C1799">
        <f>Inputs!$B$3&gt;=105</f>
        <v/>
      </c>
      <c r="D1799">
        <f>IF(Skills!C9=1,60+Inputs!$B$25+Inputs!$B$29,IF(Skills!C9=2,90+Inputs!$B$26+Inputs!$B$29,IF(Skills!C9=3,120+Inputs!$B$27+Inputs!$B$29,MAX(0,(Inputs!$B$3-100)*3)+Inputs!$B$28+Inputs!$B$29)))</f>
        <v/>
      </c>
      <c r="E1799">
        <f>INDEX(FactorTable!$B$2:$Y$301, MATCH(ROUND(MIN(300,MAX(1,D1799)),0), FactorTable!$A$2:$A$301,0), Skills!L9+1)</f>
        <v/>
      </c>
      <c r="F1799">
        <f>IF(Skills!M9=TRUE,(Skills!K9/10)*(E1799/1000),Skills!K9/10)+Skills!N9</f>
        <v/>
      </c>
      <c r="G1799">
        <f>Calc!G9</f>
        <v/>
      </c>
      <c r="H1799">
        <f>Calc!H9</f>
        <v/>
      </c>
      <c r="I1799">
        <f>IF(Skills!T9&lt;&gt;"",1+(Skills!T9/10)*(Z1793/1000)/100,1)</f>
        <v/>
      </c>
      <c r="J1799">
        <f>((Inputs!$B$6*(1+Inputs!$B$7/100))+(((Inputs!$B$12*(1+Inputs!$B$13/100))-(Inputs!$B$12*(1+Inputs!$B$13/100)))+0.25*(Inputs!$B$14-Inputs!$B$14))*(1+Inputs!$B$7/100))*(F1799/100)</f>
        <v/>
      </c>
      <c r="K1799">
        <f>J1799*(1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9="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18),(Inputs!$B$23+(IF(ArtifactsInput!$M$15,CHOOSE(ArtifactsInput!$N$15+1,25,30,35,40,45,50)/100*(Inputs!$B$11-Inputs!$B$11),0))))/100+(Inputs!$B$23+(IF(ArtifactsInput!$M$15,CHOOSE(ArtifactsInput!$N$15+1,25,30,35,40,45,50)/100*(Inputs!$B$11-Inputs!$B$11),0)))/100)/2</f>
        <v/>
      </c>
      <c r="M1799">
        <f>L1799*(1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IFERROR(1/IF(Inputs!$B$38="pvp",15,MAX(0.1,Skills!D9-IF(Skills!E9=TRUE,Inputs!$B$32,0))),0)</f>
        <v/>
      </c>
      <c r="R1799">
        <f>IF(AND(Inputs!$B$38&lt;&gt;"pvp",Inputs!$B$43&gt;0),IF(MAX(0,Inputs!$B$43-B1824)&lt;=0,0,(INT(MAX(0,Inputs!$B$43-B1824)/IF(Inputs!$B$38="pvp",15,MAX(0.1,Skills!D9-IF(Skills!E9=TRUE,Inputs!$B$32,0))))+1)),0)</f>
        <v/>
      </c>
      <c r="S1799">
        <f>IF(C1799,(H1799*N1799*IF(AND(Inputs!$B$38&lt;&gt;"pvp",Inputs!$B$43&gt;0),((Skills!F9*((R1799-1)*IF(Skills!G9&gt;0,Skills!H9/Skills!G9,1)+IF(Skills!G9&gt;0,MIN(Skills!H9,MAX(0,MAX(0,Inputs!$B$43-B1824)-((R1799-1)*IF(Inputs!$B$38="pvp",15,MAX(0.1,Skills!D9-IF(Skills!E9=TRUE,Inputs!$B$32,0))))))/Skills!G9,1)))/Inputs!$B$43),G1799*Q1799))*IF(Inputs!$B$38="pvp",1,1+(Inputs!$B$20+Skills!O9+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F9*((R1799-1)*IF(Skills!G9&gt;0,Skills!H9/Skills!G9,1)+IF(Skills!G9&gt;0,MIN(Skills!H9,MAX(0,MAX(0,Inputs!$B$43-B1824)-((R1799-1)*IF(Inputs!$B$38="pvp",15,MAX(0.1,Skills!D9-IF(Skills!E9=TRUE,Inputs!$B$32,0))))))/Skills!G9,1)))/Inputs!$B$43),G1799*Q1799))*IF(Inputs!$B$38="pvp",1,(1+(Inputs!$B$21+Skills!P9+B1818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Skills!A10</f>
        <v/>
      </c>
      <c r="B1800">
        <f>Skills!B10</f>
        <v/>
      </c>
      <c r="C1800">
        <f>Inputs!$B$3&gt;=113</f>
        <v/>
      </c>
      <c r="D1800">
        <f>IF(Skills!C10=1,60+Inputs!$B$25+Inputs!$B$29,IF(Skills!C10=2,90+Inputs!$B$26+Inputs!$B$29,IF(Skills!C10=3,120+Inputs!$B$27+Inputs!$B$29,MAX(0,(Inputs!$B$3-100)*3)+Inputs!$B$28+Inputs!$B$29)))</f>
        <v/>
      </c>
      <c r="E1800">
        <f>INDEX(FactorTable!$B$2:$Y$301, MATCH(ROUND(MIN(300,MAX(1,D1800)),0), FactorTable!$A$2:$A$301,0), Skills!L10+1)</f>
        <v/>
      </c>
      <c r="F1800">
        <f>IF(Skills!M10=TRUE,(Skills!K10/10)*(E1800/1000),Skills!K10/10)+Skills!N10</f>
        <v/>
      </c>
      <c r="G1800">
        <f>Calc!G10</f>
        <v/>
      </c>
      <c r="H1800">
        <f>Calc!H10</f>
        <v/>
      </c>
      <c r="I1800">
        <f>IF(Skills!T10&lt;&gt;"",1+(Skills!T10/10)*(Z1793/1000)/100,1)</f>
        <v/>
      </c>
      <c r="J1800">
        <f>((Inputs!$B$6*(1+Inputs!$B$7/100))+(((Inputs!$B$12*(1+Inputs!$B$13/100))-(Inputs!$B$12*(1+Inputs!$B$13/100)))+0.25*(Inputs!$B$14-Inputs!$B$14))*(1+Inputs!$B$7/100))*(F1800/100)</f>
        <v/>
      </c>
      <c r="K1800">
        <f>J1800*(1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10="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18),(Inputs!$B$23+(IF(ArtifactsInput!$M$15,CHOOSE(ArtifactsInput!$N$15+1,25,30,35,40,45,50)/100*(Inputs!$B$11-Inputs!$B$11),0))))/100+(Inputs!$B$23+(IF(ArtifactsInput!$M$15,CHOOSE(ArtifactsInput!$N$15+1,25,30,35,40,45,50)/100*(Inputs!$B$11-Inputs!$B$11),0)))/100)/2</f>
        <v/>
      </c>
      <c r="M1800">
        <f>L1800*(1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IFERROR(1/IF(Inputs!$B$38="pvp",15,MAX(0.1,Skills!D10-IF(Skills!E9=TRUE,Inputs!$B$32,0))),0)</f>
        <v/>
      </c>
      <c r="R1800">
        <f>IF(AND(Inputs!$B$38&lt;&gt;"pvp",Inputs!$B$43&gt;0),IF(MAX(0,Inputs!$B$43-B1824)&lt;=0,0,(INT(MAX(0,Inputs!$B$43-B1824)/IF(Inputs!$B$38="pvp",15,MAX(0.1,Skills!D10-IF(Skills!E9=TRUE,Inputs!$B$32,0))))+1)),0)</f>
        <v/>
      </c>
      <c r="S1800">
        <f>IF(C1800,(H1800*N1800*IF(AND(Inputs!$B$38&lt;&gt;"pvp",Inputs!$B$43&gt;0),((Skills!F10*((R1800-1)*IF(Skills!G10&gt;0,Skills!H10/Skills!G10,1)+IF(Skills!G10&gt;0,MIN(Skills!H10,MAX(0,MAX(0,Inputs!$B$43-B1824)-((R1800-1)*IF(Inputs!$B$38="pvp",15,MAX(0.1,Skills!D10-IF(Skills!E9=TRUE,Inputs!$B$32,0))))))/Skills!G10,1)))/Inputs!$B$43),G1800*Q1800))*IF(Inputs!$B$38="pvp",1,1+(Inputs!$B$20+Skills!O10+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N1800*IF(AND(Inputs!$B$38&lt;&gt;"pvp",Inputs!$B$43&gt;0),((Skills!F10*((R1800-1)*IF(Skills!G10&gt;0,Skills!H10/Skills!G10,1)+IF(Skills!G10&gt;0,MIN(Skills!H10,MAX(0,MAX(0,Inputs!$B$43-B1824)-((R1800-1)*IF(Inputs!$B$38="pvp",15,MAX(0.1,Skills!D10-IF(Skills!E9=TRUE,Inputs!$B$32,0))))))/Skills!G10,1)))/Inputs!$B$43),G1800*Q1800))*IF(Inputs!$B$38="pvp",1,(1+(Inputs!$B$21+Skills!P10+B1818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Skills!A11</f>
        <v/>
      </c>
      <c r="B1801">
        <f>Skills!B11</f>
        <v/>
      </c>
      <c r="C1801">
        <f>Inputs!$B$3&gt;=107</f>
        <v/>
      </c>
      <c r="D1801">
        <f>IF(Skills!C11=1,60+Inputs!$B$25+Inputs!$B$29,IF(Skills!C11=2,90+Inputs!$B$26+Inputs!$B$29,IF(Skills!C11=3,120+Inputs!$B$27+Inputs!$B$29,MAX(0,(Inputs!$B$3-100)*3)+Inputs!$B$28+Inputs!$B$29)))</f>
        <v/>
      </c>
      <c r="E1801">
        <f>INDEX(FactorTable!$B$2:$Y$301, MATCH(ROUND(MIN(300,MAX(1,D1801)),0), FactorTable!$A$2:$A$301,0), Skills!L11+1)</f>
        <v/>
      </c>
      <c r="F1801">
        <f>IF(Skills!M11=TRUE,(Skills!K11/10)*(E1801/1000),Skills!K11/10)+Skills!N11</f>
        <v/>
      </c>
      <c r="G1801">
        <f>Calc!G11</f>
        <v/>
      </c>
      <c r="H1801">
        <f>Calc!H11</f>
        <v/>
      </c>
      <c r="I1801">
        <f>IF(Skills!T11&lt;&gt;"",1+(Skills!T11/10)*(Z1793/1000)/100,1)</f>
        <v/>
      </c>
      <c r="J1801">
        <f>((Inputs!$B$6*(1+Inputs!$B$7/100))+(((Inputs!$B$12*(1+Inputs!$B$13/100))-(Inputs!$B$12*(1+Inputs!$B$13/100)))+0.25*(Inputs!$B$14-Inputs!$B$14))*(1+Inputs!$B$7/100))*(F1801/100)</f>
        <v/>
      </c>
      <c r="K1801">
        <f>J1801*(1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11="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18),(Inputs!$B$23+(IF(ArtifactsInput!$M$15,CHOOSE(ArtifactsInput!$N$15+1,25,30,35,40,45,50)/100*(Inputs!$B$11-Inputs!$B$11),0))))/100+(Inputs!$B$23+(IF(ArtifactsInput!$M$15,CHOOSE(ArtifactsInput!$N$15+1,25,30,35,40,45,50)/100*(Inputs!$B$11-Inputs!$B$11),0)))/100)/2</f>
        <v/>
      </c>
      <c r="M1801">
        <f>L1801*(1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IFERROR(1/IF(Inputs!$B$38="pvp",15,MAX(0.1,Skills!D11-IF(Skills!E11=TRUE,Inputs!$B$32,0))),0)</f>
        <v/>
      </c>
      <c r="R1801">
        <f>IF(AND(Inputs!$B$38&lt;&gt;"pvp",Inputs!$B$43&gt;0),IF(MAX(0,Inputs!$B$43-B1824)&lt;=0,0,(INT(MAX(0,Inputs!$B$43-B1824)/IF(Inputs!$B$38="pvp",15,MAX(0.1,Skills!D11-IF(Skills!E11=TRUE,Inputs!$B$32,0))))+1)),0)</f>
        <v/>
      </c>
      <c r="S1801">
        <f>IF(C1801,H1801*N1801*IF(AND(Inputs!$B$38&lt;&gt;"pvp",Inputs!$B$43&gt;0),((Skills!F11*((R1801-1)*IF(Skills!G11&gt;0,Skills!H11/Skills!G11,1)+IF(Skills!G11&gt;0,MIN(Skills!H11,MAX(0,MAX(0,Inputs!$B$43-B1824)-((R1801-1)*IF(Inputs!$B$38="pvp",15,MAX(0.1,Skills!D11-IF(Skills!E11=TRUE,Inputs!$B$32,0))))))/Skills!G11,1)))/Inputs!$B$43),G1801*Q1801)*0.5*IF(Inputs!$B$38="pvp",1,1+(Inputs!$B$20+Skills!O11+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F11*((R1801-1)*IF(Skills!G11&gt;0,Skills!H11/Skills!G11,1)+IF(Skills!G11&gt;0,MIN(Skills!H11,MAX(0,MAX(0,Inputs!$B$43-B1824)-((R1801-1)*IF(Inputs!$B$38="pvp",15,MAX(0.1,Skills!D11-IF(Skills!E11=TRUE,Inputs!$B$32,0))))))/Skills!G11,1)))/Inputs!$B$43),G1801*Q1801)*1*IF(Inputs!$B$38="pvp",1,(1+(Inputs!$B$21+Skills!P11+B1818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Skills!A12</f>
        <v/>
      </c>
      <c r="B1802">
        <f>Skills!B12</f>
        <v/>
      </c>
      <c r="C1802">
        <f>Inputs!$B$3&gt;=115</f>
        <v/>
      </c>
      <c r="D1802">
        <f>IF(Skills!C12=1,60+Inputs!$B$25+Inputs!$B$29,IF(Skills!C12=2,90+Inputs!$B$26+Inputs!$B$29,IF(Skills!C12=3,120+Inputs!$B$27+Inputs!$B$29,MAX(0,(Inputs!$B$3-100)*3)+Inputs!$B$28+Inputs!$B$29)))</f>
        <v/>
      </c>
      <c r="E1802">
        <f>INDEX(FactorTable!$B$2:$Y$301, MATCH(ROUND(MIN(300,MAX(1,D1802)),0), FactorTable!$A$2:$A$301,0), Skills!L12+1)</f>
        <v/>
      </c>
      <c r="F1802">
        <f>IF(Skills!M12=TRUE,(Skills!K12/10)*(E1802/1000),Skills!K12/10)+Skills!N12</f>
        <v/>
      </c>
      <c r="G1802">
        <f>Calc!G12</f>
        <v/>
      </c>
      <c r="H1802">
        <f>Calc!H12</f>
        <v/>
      </c>
      <c r="I1802">
        <f>IF(Skills!T12&lt;&gt;"",1+(Skills!T12/10)*(Z1793/1000)/100,1)</f>
        <v/>
      </c>
      <c r="J1802">
        <f>((Inputs!$B$6*(1+Inputs!$B$7/100))+(((Inputs!$B$12*(1+Inputs!$B$13/100))-(Inputs!$B$12*(1+Inputs!$B$13/100)))+0.25*(Inputs!$B$14-Inputs!$B$14))*(1+Inputs!$B$7/100))*(F1802/100)</f>
        <v/>
      </c>
      <c r="K1802">
        <f>J1802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12="CHAIN_LIGHTNING",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18),(Inputs!$B$23+(IF(ArtifactsInput!$M$15,CHOOSE(ArtifactsInput!$N$15+1,25,30,35,40,45,50)/100*(Inputs!$B$11-Inputs!$B$11),0))))/100+(Inputs!$B$23+(IF(ArtifactsInput!$M$15,CHOOSE(ArtifactsInput!$N$15+1,25,30,35,40,45,50)/100*(Inputs!$B$11-Inputs!$B$11),0)))/100)/2</f>
        <v/>
      </c>
      <c r="M1802">
        <f>L1802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IFERROR(1/IF(Inputs!$B$38="pvp",15,MAX(0.1,Skills!D12-IF(Skills!E12=TRUE,Inputs!$B$32,0))),0)</f>
        <v/>
      </c>
      <c r="R1802">
        <f>IF(AND(Inputs!$B$38&lt;&gt;"pvp",Inputs!$B$43&gt;0),IF(MAX(0,Inputs!$B$43-B1824)&lt;=0,0,(INT(MAX(0,Inputs!$B$43-B1824)/IF(Inputs!$B$38="pvp",15,MAX(0.1,Skills!D12-IF(Skills!E12=TRUE,Inputs!$B$32,0))))+1)),0)</f>
        <v/>
      </c>
      <c r="S1802">
        <f>IF(C1802,(H1802*N1802*IF(AND(Inputs!$B$38&lt;&gt;"pvp",Inputs!$B$43&gt;0),((Skills!F12*((R1802-1)*IF(Skills!G12&gt;0,Skills!H12/Skills!G12,1)+IF(Skills!G12&gt;0,MIN(Skills!H12,MAX(0,MAX(0,Inputs!$B$43-B1824)-((R1802-1)*IF(Inputs!$B$38="pvp",15,MAX(0.1,Skills!D12-IF(Skills!E12=TRUE,Inputs!$B$32,0))))))/Skills!G12,1)))/Inputs!$B$43),G1802*Q1802))*IF(Inputs!$B$38="pvp",1,1+(Inputs!$B$20+Skills!O12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1810-Calc!F20)+(F1809-Calc!F19))+(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F12*((R1802-1)*IF(Skills!G12&gt;0,Skills!H12/Skills!G12,1)+IF(Skills!G12&gt;0,MIN(Skills!H12,MAX(0,MAX(0,Inputs!$B$43-B1824)-((R1802-1)*IF(Inputs!$B$38="pvp",15,MAX(0.1,Skills!D12-IF(Skills!E12=TRUE,Inputs!$B$32,0))))))/Skills!G12,1)))/Inputs!$B$43),G1802*Q1802))*IF(Inputs!$B$38="pvp",1,(1+(Inputs!$B$21+Skills!P12+B1818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Skills!A13</f>
        <v/>
      </c>
      <c r="B1803">
        <f>Skills!B13</f>
        <v/>
      </c>
      <c r="C1803">
        <f>Inputs!$B$3&gt;=49</f>
        <v/>
      </c>
      <c r="D1803">
        <f>IF(Skills!C13=1,60+Inputs!$B$25+Inputs!$B$29,IF(Skills!C13=2,90+Inputs!$B$26+Inputs!$B$29,IF(Skills!C13=3,120+Inputs!$B$27+Inputs!$B$29,MAX(0,(Inputs!$B$3-100)*3)+Inputs!$B$28+Inputs!$B$29)))</f>
        <v/>
      </c>
      <c r="E1803">
        <f>INDEX(FactorTable!$B$2:$Y$301, MATCH(ROUND(MIN(300,MAX(1,D1803)),0), FactorTable!$A$2:$A$301,0), Skills!L13+1)</f>
        <v/>
      </c>
      <c r="F1803">
        <f>IF(Skills!M13=TRUE,(Skills!K13/10)*(E1803/1000),Skills!K13/10)+Skills!N13</f>
        <v/>
      </c>
      <c r="G1803">
        <f>Calc!G13</f>
        <v/>
      </c>
      <c r="H1803">
        <f>Calc!H13</f>
        <v/>
      </c>
      <c r="I1803">
        <f>IF(Skills!T13&lt;&gt;"",1+(Skills!T13/10)*(Z1793/1000)/100,1)</f>
        <v/>
      </c>
      <c r="J1803" t="inlineStr"/>
      <c r="K1803" t="inlineStr"/>
      <c r="L1803" t="inlineStr"/>
      <c r="M1803" t="inlineStr"/>
      <c r="N1803" t="inlineStr"/>
      <c r="O1803">
        <f>(1-Summary!$B$11)*S1803+Summary!$B$11*U1803</f>
        <v/>
      </c>
      <c r="P1803">
        <f>IF(B1827=0,0,O1803/B1827)</f>
        <v/>
      </c>
      <c r="Q1803">
        <f>IFERROR(1/IF(Inputs!$B$38="pvp",15,MAX(0.1,Skills!D13-IF(Skills!E13=TRUE,Inputs!$B$32,0))),0)</f>
        <v/>
      </c>
      <c r="R1803" t="n">
        <v>0</v>
      </c>
      <c r="S1803" t="n">
        <v>0</v>
      </c>
      <c r="U1803" t="n">
        <v>0</v>
      </c>
    </row>
    <row r="1804">
      <c r="A1804">
        <f>Skills!A14</f>
        <v/>
      </c>
      <c r="B1804">
        <f>Skills!B14</f>
        <v/>
      </c>
      <c r="C1804">
        <f>Inputs!$B$3&gt;=72</f>
        <v/>
      </c>
      <c r="D1804">
        <f>IF(Skills!C14=1,60+Inputs!$B$25+Inputs!$B$29,IF(Skills!C14=2,90+Inputs!$B$26+Inputs!$B$29,IF(Skills!C14=3,120+Inputs!$B$27+Inputs!$B$29,MAX(0,(Inputs!$B$3-100)*3)+Inputs!$B$28+Inputs!$B$29)))</f>
        <v/>
      </c>
      <c r="E1804">
        <f>INDEX(FactorTable!$B$2:$Y$301, MATCH(ROUND(MIN(300,MAX(1,D1804)),0), FactorTable!$A$2:$A$301,0), Skills!L14+1)</f>
        <v/>
      </c>
      <c r="F1804">
        <f>IF(Skills!M14=TRUE,(Skills!K14/10)*(E1804/1000),Skills!K14/10)+Skills!N14</f>
        <v/>
      </c>
      <c r="G1804">
        <f>Calc!G14</f>
        <v/>
      </c>
      <c r="H1804">
        <f>Calc!H14</f>
        <v/>
      </c>
      <c r="I1804">
        <f>IF(Skills!T14&lt;&gt;"",1+(Skills!T14/10)*(Z1793/1000)/100,1)</f>
        <v/>
      </c>
      <c r="J1804" t="inlineStr"/>
      <c r="K1804" t="inlineStr"/>
      <c r="L1804" t="inlineStr"/>
      <c r="M1804" t="inlineStr"/>
      <c r="N1804" t="inlineStr"/>
      <c r="O1804">
        <f>(1-Summary!$B$11)*S1804+Summary!$B$11*U1804</f>
        <v/>
      </c>
      <c r="P1804">
        <f>IF(B1827=0,0,O1804/B1827)</f>
        <v/>
      </c>
      <c r="Q1804">
        <f>IFERROR(1/IF(Inputs!$B$38="pvp",15,MAX(0.1,Skills!D14-IF(Skills!E14=TRUE,Inputs!$B$32,0))),0)</f>
        <v/>
      </c>
      <c r="R1804" t="n">
        <v>0</v>
      </c>
      <c r="S1804" t="n">
        <v>0</v>
      </c>
      <c r="U1804" t="n">
        <v>0</v>
      </c>
    </row>
    <row r="1805">
      <c r="A1805">
        <f>Skills!A15</f>
        <v/>
      </c>
      <c r="B1805">
        <f>Skills!B15</f>
        <v/>
      </c>
      <c r="C1805">
        <f>Inputs!$B$3&gt;=75</f>
        <v/>
      </c>
      <c r="D1805">
        <f>IF(Skills!C15=1,60+Inputs!$B$25+Inputs!$B$29,IF(Skills!C15=2,90+Inputs!$B$26+Inputs!$B$29,IF(Skills!C15=3,120+Inputs!$B$27+Inputs!$B$29,MAX(0,(Inputs!$B$3-100)*3)+Inputs!$B$28+Inputs!$B$29)))</f>
        <v/>
      </c>
      <c r="E1805">
        <f>INDEX(FactorTable!$B$2:$Y$301, MATCH(ROUND(MIN(300,MAX(1,D1805)),0), FactorTable!$A$2:$A$301,0), Skills!L15+1)</f>
        <v/>
      </c>
      <c r="F1805">
        <f>IF(Skills!M15=TRUE,(Skills!K15/10)*(E1805/1000),Skills!K15/10)+Skills!N15</f>
        <v/>
      </c>
      <c r="G1805">
        <f>Calc!G15</f>
        <v/>
      </c>
      <c r="H1805">
        <f>Calc!H15</f>
        <v/>
      </c>
      <c r="I1805">
        <f>IF(Skills!T15&lt;&gt;"",1+(Skills!T15/10)*(Z1793/1000)/100,1)</f>
        <v/>
      </c>
      <c r="J1805" t="inlineStr"/>
      <c r="K1805" t="inlineStr"/>
      <c r="L1805" t="inlineStr"/>
      <c r="M1805" t="inlineStr"/>
      <c r="N1805" t="inlineStr"/>
      <c r="O1805">
        <f>(1-Summary!$B$11)*S1805+Summary!$B$11*U1805</f>
        <v/>
      </c>
      <c r="P1805">
        <f>IF(B1827=0,0,O1805/B1827)</f>
        <v/>
      </c>
      <c r="Q1805">
        <f>IFERROR(1/IF(Inputs!$B$38="pvp",15,MAX(0.1,Skills!D15-IF(Skills!E15=TRUE,Inputs!$B$32,0))),0)</f>
        <v/>
      </c>
      <c r="R1805" t="n">
        <v>0</v>
      </c>
      <c r="S1805" t="n">
        <v>0</v>
      </c>
      <c r="U1805" t="n">
        <v>0</v>
      </c>
    </row>
    <row r="1806">
      <c r="A1806">
        <f>Skills!A16</f>
        <v/>
      </c>
      <c r="B1806">
        <f>Skills!B16</f>
        <v/>
      </c>
      <c r="C1806">
        <f>Inputs!$B$3&gt;=110</f>
        <v/>
      </c>
      <c r="D1806">
        <f>IF(Skills!C16=1,60+Inputs!$B$25+Inputs!$B$29,IF(Skills!C16=2,90+Inputs!$B$26+Inputs!$B$29,IF(Skills!C16=3,120+Inputs!$B$27+Inputs!$B$29,MAX(0,(Inputs!$B$3-100)*3)+Inputs!$B$28+Inputs!$B$29)))</f>
        <v/>
      </c>
      <c r="E1806">
        <f>INDEX(FactorTable!$B$2:$Y$301, MATCH(ROUND(MIN(300,MAX(1,D1806)),0), FactorTable!$A$2:$A$301,0), Skills!L16+1)</f>
        <v/>
      </c>
      <c r="F1806">
        <f>(Skills!K16/10)*(E1806/1000)*64/45+Skills!N16</f>
        <v/>
      </c>
      <c r="G1806">
        <f>Calc!G16</f>
        <v/>
      </c>
      <c r="H1806">
        <f>Calc!H16</f>
        <v/>
      </c>
      <c r="I1806">
        <f>IF(Skills!T16&lt;&gt;"",1+(Skills!T16/10)*(Z1793/1000)/100,1)</f>
        <v/>
      </c>
      <c r="J1806" t="inlineStr"/>
      <c r="K1806" t="inlineStr"/>
      <c r="L1806" t="inlineStr"/>
      <c r="M1806" t="inlineStr"/>
      <c r="N1806" t="inlineStr"/>
      <c r="O1806">
        <f>(1-Summary!$B$11)*S1806+Summary!$B$11*U1806</f>
        <v/>
      </c>
      <c r="P1806">
        <f>IF(B1827=0,0,O1806/B1827)</f>
        <v/>
      </c>
      <c r="Q1806">
        <f>IFERROR(1/IF(Inputs!$B$38="pvp",15,MAX(0.1,Skills!D16-IF(Skills!E16=TRUE,Inputs!$B$32,0))),0)</f>
        <v/>
      </c>
      <c r="R1806">
        <f>IF(AND(Inputs!$B$38&lt;&gt;"pvp",Inputs!$B$43&gt;0),IF(Inputs!$B$43&lt;=0,0,(INT(Inputs!$B$43/IF(Inputs!$B$38="pvp",15,MAX(0.1,Skills!D16-IF(Skills!E16=TRUE,Inputs!$B$32,0))))+1)),0)</f>
        <v/>
      </c>
      <c r="S1806" t="n">
        <v>0</v>
      </c>
      <c r="U1806" t="n">
        <v>0</v>
      </c>
    </row>
    <row r="1807">
      <c r="A1807">
        <f>Skills!A17</f>
        <v/>
      </c>
      <c r="B1807">
        <f>Skills!B17</f>
        <v/>
      </c>
      <c r="C1807">
        <f>Inputs!$B$3&gt;=33</f>
        <v/>
      </c>
      <c r="D1807">
        <f>IF(Skills!C17=1,60+Inputs!$B$25+Inputs!$B$29,IF(Skills!C17=2,90+Inputs!$B$26+Inputs!$B$29,IF(Skills!C17=3,120+Inputs!$B$27+Inputs!$B$29,MAX(0,(Inputs!$B$3-100)*3)+Inputs!$B$28+Inputs!$B$29)))</f>
        <v/>
      </c>
      <c r="E1807">
        <f>INDEX(FactorTable!$B$2:$Y$301, MATCH(ROUND(MIN(300,MAX(1,D1807)),0), FactorTable!$A$2:$A$301,0), Skills!L17+1)</f>
        <v/>
      </c>
      <c r="F1807">
        <f>IF(Skills!M17=TRUE,(Skills!K17/10)*(E1807/1000),Skills!K17/10)+Skills!N17</f>
        <v/>
      </c>
      <c r="G1807">
        <f>Calc!G17</f>
        <v/>
      </c>
      <c r="H1807">
        <f>Calc!H17</f>
        <v/>
      </c>
      <c r="I1807">
        <f>IF(Skills!T17&lt;&gt;"",1+(Skills!T17/10)*(Z1793/1000)/100,1)</f>
        <v/>
      </c>
      <c r="J1807" t="inlineStr"/>
      <c r="K1807" t="inlineStr"/>
      <c r="L1807" t="inlineStr"/>
      <c r="M1807" t="inlineStr"/>
      <c r="N1807" t="inlineStr"/>
      <c r="O1807">
        <f>(1-Summary!$B$11)*S1807+Summary!$B$11*U1807</f>
        <v/>
      </c>
      <c r="P1807">
        <f>IF(B1827=0,0,O1807/B1827)</f>
        <v/>
      </c>
      <c r="Q1807">
        <f>IFERROR(1/IF(Inputs!$B$38="pvp",15,MAX(0.1,Skills!D17-IF(Skills!E17=TRUE,Inputs!$B$32,0))),0)</f>
        <v/>
      </c>
      <c r="R1807" t="n">
        <v>0</v>
      </c>
      <c r="S1807" t="n">
        <v>0</v>
      </c>
      <c r="U1807" t="n">
        <v>0</v>
      </c>
    </row>
    <row r="1808">
      <c r="A1808">
        <f>Skills!A18</f>
        <v/>
      </c>
      <c r="B1808">
        <f>Skills!B18</f>
        <v/>
      </c>
      <c r="C1808">
        <f>Inputs!$B$3&gt;=43</f>
        <v/>
      </c>
      <c r="D1808">
        <f>IF(Skills!C18=1,60+Inputs!$B$25+Inputs!$B$29,IF(Skills!C18=2,90+Inputs!$B$26+Inputs!$B$29,IF(Skills!C18=3,120+Inputs!$B$27+Inputs!$B$29,MAX(0,(Inputs!$B$3-100)*3)+Inputs!$B$28+Inputs!$B$29)))</f>
        <v/>
      </c>
      <c r="E1808">
        <f>INDEX(FactorTable!$B$2:$Y$301, MATCH(ROUND(MIN(300,MAX(1,D1808)),0), FactorTable!$A$2:$A$301,0), Skills!L18+1)</f>
        <v/>
      </c>
      <c r="F1808">
        <f>IF(Skills!M18=TRUE,(Skills!K18/10)*(E1808/1000),Skills!K18/10)+Skills!N18</f>
        <v/>
      </c>
      <c r="G1808">
        <f>Calc!G18</f>
        <v/>
      </c>
      <c r="H1808">
        <f>Calc!H18</f>
        <v/>
      </c>
      <c r="I1808">
        <f>IF(Skills!T18&lt;&gt;"",1+(Skills!T18/10)*(Z1793/1000)/100,1)</f>
        <v/>
      </c>
      <c r="J1808" t="inlineStr"/>
      <c r="K1808" t="inlineStr"/>
      <c r="L1808" t="inlineStr"/>
      <c r="M1808" t="inlineStr"/>
      <c r="N1808" t="inlineStr"/>
      <c r="O1808">
        <f>(1-Summary!$B$11)*S1808+Summary!$B$11*U1808</f>
        <v/>
      </c>
      <c r="P1808">
        <f>IF(B1827=0,0,O1808/B1827)</f>
        <v/>
      </c>
      <c r="Q1808">
        <f>IFERROR(1/IF(Inputs!$B$38="pvp",15,MAX(0.1,Skills!D18-IF(Skills!E18=TRUE,Inputs!$B$32,0))),0)</f>
        <v/>
      </c>
      <c r="R1808" t="n">
        <v>0</v>
      </c>
      <c r="S1808" t="n">
        <v>0</v>
      </c>
      <c r="U1808" t="n">
        <v>0</v>
      </c>
    </row>
    <row r="1809">
      <c r="A1809">
        <f>Skills!A19</f>
        <v/>
      </c>
      <c r="B1809">
        <f>Skills!B19</f>
        <v/>
      </c>
      <c r="C1809">
        <f>Inputs!$B$3&gt;=50</f>
        <v/>
      </c>
      <c r="D1809">
        <f>IF(Skills!C19=1,60+Inputs!$B$25+Inputs!$B$29,IF(Skills!C19=2,90+Inputs!$B$26+Inputs!$B$29,IF(Skills!C19=3,120+Inputs!$B$27+Inputs!$B$29,MAX(0,(Inputs!$B$3-100)*3)+Inputs!$B$28+Inputs!$B$29)))</f>
        <v/>
      </c>
      <c r="E1809">
        <f>INDEX(FactorTable!$B$2:$Y$301, MATCH(ROUND(MIN(300,MAX(1,D1809)),0), FactorTable!$A$2:$A$301,0), Skills!L19+1)</f>
        <v/>
      </c>
      <c r="F1809">
        <f>IF(Skills!M19=TRUE,(Skills!K19/10)*(E1809/1000),Skills!K19/10)+Skills!N19</f>
        <v/>
      </c>
      <c r="G1809">
        <f>Calc!G19</f>
        <v/>
      </c>
      <c r="H1809">
        <f>Calc!H19</f>
        <v/>
      </c>
      <c r="I1809">
        <f>IF(Skills!T19&lt;&gt;"",1+(Skills!T19/10)*(Z1793/1000)/100,1)</f>
        <v/>
      </c>
      <c r="J1809" t="inlineStr"/>
      <c r="K1809" t="inlineStr"/>
      <c r="L1809" t="inlineStr"/>
      <c r="M1809" t="inlineStr"/>
      <c r="N1809" t="inlineStr"/>
      <c r="O1809">
        <f>(1-Summary!$B$11)*S1809+Summary!$B$11*U1809</f>
        <v/>
      </c>
      <c r="P1809">
        <f>IF(B1827=0,0,O1809/B1827)</f>
        <v/>
      </c>
      <c r="Q1809">
        <f>IFERROR(1/IF(Inputs!$B$38="pvp",15,MAX(0.1,Skills!D19-IF(Skills!E19=TRUE,Inputs!$B$32,0))),0)</f>
        <v/>
      </c>
      <c r="R1809" t="n">
        <v>0</v>
      </c>
      <c r="S1809" t="n">
        <v>0</v>
      </c>
      <c r="U1809" t="n">
        <v>0</v>
      </c>
    </row>
    <row r="1810">
      <c r="A1810">
        <f>Skills!A20</f>
        <v/>
      </c>
      <c r="B1810">
        <f>Skills!B20</f>
        <v/>
      </c>
      <c r="C1810">
        <f>Inputs!$B$3&gt;=74</f>
        <v/>
      </c>
      <c r="D1810">
        <f>IF(Skills!C20=1,60+Inputs!$B$25+Inputs!$B$29,IF(Skills!C20=2,90+Inputs!$B$26+Inputs!$B$29,IF(Skills!C20=3,120+Inputs!$B$27+Inputs!$B$29,MAX(0,(Inputs!$B$3-100)*3)+Inputs!$B$28+Inputs!$B$29)))</f>
        <v/>
      </c>
      <c r="E1810">
        <f>INDEX(FactorTable!$B$2:$Y$301, MATCH(ROUND(MIN(300,MAX(1,D1810)),0), FactorTable!$A$2:$A$301,0), Skills!L20+1)</f>
        <v/>
      </c>
      <c r="F1810">
        <f>IF(Skills!M20=TRUE,(Skills!K20/10)*(E1810/1000),Skills!K20/10)+Skills!N20</f>
        <v/>
      </c>
      <c r="G1810">
        <f>Calc!G20</f>
        <v/>
      </c>
      <c r="H1810">
        <f>Calc!H20</f>
        <v/>
      </c>
      <c r="I1810">
        <f>IF(Skills!T20&lt;&gt;"",1+(Skills!T20/10)*(Z1793/1000)/100,1)</f>
        <v/>
      </c>
      <c r="J1810" t="inlineStr"/>
      <c r="K1810" t="inlineStr"/>
      <c r="L1810" t="inlineStr"/>
      <c r="M1810" t="inlineStr"/>
      <c r="N1810" t="inlineStr"/>
      <c r="O1810">
        <f>(1-Summary!$B$11)*S1810+Summary!$B$11*U1810</f>
        <v/>
      </c>
      <c r="P1810">
        <f>IF(B1827=0,0,O1810/B1827)</f>
        <v/>
      </c>
      <c r="Q1810">
        <f>IFERROR(1/IF(Inputs!$B$38="pvp",15,MAX(0.1,Skills!D20-IF(Skills!E20=TRUE,Inputs!$B$32,0))),0)</f>
        <v/>
      </c>
      <c r="R1810" t="n">
        <v>0</v>
      </c>
      <c r="S1810" t="n">
        <v>0</v>
      </c>
      <c r="U1810" t="n">
        <v>0</v>
      </c>
    </row>
    <row r="1811">
      <c r="A1811">
        <f>Skills!A21</f>
        <v/>
      </c>
      <c r="B1811">
        <f>Skills!B21</f>
        <v/>
      </c>
      <c r="C1811">
        <f>Inputs!$B$3&gt;=74</f>
        <v/>
      </c>
      <c r="D1811">
        <f>IF(Skills!C21=1,60+Inputs!$B$25+Inputs!$B$29,IF(Skills!C21=2,90+Inputs!$B$26+Inputs!$B$29,IF(Skills!C21=3,120+Inputs!$B$27+Inputs!$B$29,MAX(0,(Inputs!$B$3-100)*3)+Inputs!$B$28+Inputs!$B$29)))</f>
        <v/>
      </c>
      <c r="E1811">
        <f>INDEX(FactorTable!$B$2:$Y$301, MATCH(ROUND(MIN(300,MAX(1,D1811)),0), FactorTable!$A$2:$A$301,0), Skills!L21+1)</f>
        <v/>
      </c>
      <c r="F1811">
        <f>IF(Skills!M21=TRUE,(Skills!K21/10)*(E1811/1000),Skills!K21/10)+Skills!N21</f>
        <v/>
      </c>
      <c r="G1811">
        <f>Calc!G21</f>
        <v/>
      </c>
      <c r="H1811">
        <f>Calc!H21</f>
        <v/>
      </c>
      <c r="I1811">
        <f>IF(Skills!T21&lt;&gt;"",1+(Skills!T21/10)*(Z1793/1000)/100,1)</f>
        <v/>
      </c>
      <c r="J1811" t="inlineStr"/>
      <c r="K1811" t="inlineStr"/>
      <c r="L1811" t="inlineStr"/>
      <c r="M1811" t="inlineStr"/>
      <c r="N1811" t="inlineStr"/>
      <c r="O1811">
        <f>(1-Summary!$B$11)*S1811+Summary!$B$11*U1811</f>
        <v/>
      </c>
      <c r="P1811">
        <f>IF(B1827=0,0,O1811/B1827)</f>
        <v/>
      </c>
      <c r="Q1811">
        <f>IFERROR(1/IF(Inputs!$B$38="pvp",15,MAX(0.1,Skills!D21-IF(Skills!E21=TRUE,Inputs!$B$32,0))),0)</f>
        <v/>
      </c>
      <c r="R1811" t="n">
        <v>0</v>
      </c>
      <c r="S1811" t="n">
        <v>0</v>
      </c>
      <c r="U1811" t="n">
        <v>0</v>
      </c>
    </row>
    <row r="1812">
      <c r="A1812">
        <f>Skills!A22</f>
        <v/>
      </c>
      <c r="B1812">
        <f>Skills!B22</f>
        <v/>
      </c>
      <c r="C1812">
        <f>Inputs!$B$3&gt;=117</f>
        <v/>
      </c>
      <c r="D1812">
        <f>IF(Skills!C22=1,60+Inputs!$B$25+Inputs!$B$29,IF(Skills!C22=2,90+Inputs!$B$26+Inputs!$B$29,IF(Skills!C22=3,120+Inputs!$B$27+Inputs!$B$29,MAX(0,(Inputs!$B$3-100)*3)+Inputs!$B$28+Inputs!$B$29)))</f>
        <v/>
      </c>
      <c r="E1812">
        <f>INDEX(FactorTable!$B$2:$Y$301, MATCH(ROUND(MIN(300,MAX(1,D1812)),0), FactorTable!$A$2:$A$301,0), Skills!L22+1)</f>
        <v/>
      </c>
      <c r="F1812">
        <f>IF(Skills!M22=TRUE,(Skills!K22/10)*(E1812/1000),Skills!K22/10)+Skills!N22</f>
        <v/>
      </c>
      <c r="G1812">
        <f>Calc!G22</f>
        <v/>
      </c>
      <c r="H1812">
        <f>Calc!H22</f>
        <v/>
      </c>
      <c r="I1812">
        <f>IF(Skills!T22&lt;&gt;"",1+(Skills!T22/10)*(Z1793/1000)/100,1)</f>
        <v/>
      </c>
      <c r="J1812" t="inlineStr"/>
      <c r="K1812" t="inlineStr"/>
      <c r="L1812" t="inlineStr"/>
      <c r="M1812" t="inlineStr"/>
      <c r="N1812" t="inlineStr"/>
      <c r="O1812">
        <f>(1-Summary!$B$11)*S1812+Summary!$B$11*U1812</f>
        <v/>
      </c>
      <c r="P1812">
        <f>IF(B1827=0,0,O1812/B1827)</f>
        <v/>
      </c>
      <c r="Q1812">
        <f>IFERROR(1/IF(Inputs!$B$38="pvp",15,MAX(0.1,Skills!D22-IF(Skills!E22=TRUE,Inputs!$B$32,0))),0)</f>
        <v/>
      </c>
      <c r="R1812" t="n">
        <v>0</v>
      </c>
      <c r="S1812" t="n">
        <v>0</v>
      </c>
      <c r="U1812" t="n">
        <v>0</v>
      </c>
    </row>
    <row r="1813">
      <c r="A1813">
        <f>Skills!A23</f>
        <v/>
      </c>
      <c r="B1813">
        <f>Skills!B23</f>
        <v/>
      </c>
      <c r="C1813">
        <f>Inputs!$B$3&gt;=120</f>
        <v/>
      </c>
      <c r="D1813">
        <f>IF(Skills!C23=1,60+Inputs!$B$25+Inputs!$B$29,IF(Skills!C23=2,90+Inputs!$B$26+Inputs!$B$29,IF(Skills!C23=3,120+Inputs!$B$27+Inputs!$B$29,MAX(0,(Inputs!$B$3-100)*3)+Inputs!$B$28+Inputs!$B$29)))</f>
        <v/>
      </c>
      <c r="E1813">
        <f>INDEX(FactorTable!$B$2:$Y$301, MATCH(ROUND(MIN(300,MAX(1,D1813)),0), FactorTable!$A$2:$A$301,0), Skills!L23+1)</f>
        <v/>
      </c>
      <c r="F1813">
        <f>IF(Skills!M23=TRUE,(Skills!K23/10)*(E1813/1000),Skills!K23/10)+Skills!N23</f>
        <v/>
      </c>
      <c r="G1813">
        <f>Calc!G23</f>
        <v/>
      </c>
      <c r="H1813">
        <f>Calc!H23</f>
        <v/>
      </c>
      <c r="I1813">
        <f>IF(Skills!T23&lt;&gt;"",1+(Skills!T23/10)*(Z1793/1000)/100,1)</f>
        <v/>
      </c>
      <c r="J1813" t="inlineStr"/>
      <c r="K1813" t="inlineStr"/>
      <c r="L1813" t="inlineStr"/>
      <c r="M1813" t="inlineStr"/>
      <c r="N1813" t="inlineStr"/>
      <c r="O1813">
        <f>(1-Summary!$B$11)*S1813+Summary!$B$11*U1813</f>
        <v/>
      </c>
      <c r="P1813">
        <f>IF(B1827=0,0,O1813/B1827)</f>
        <v/>
      </c>
      <c r="Q1813">
        <f>IFERROR(1/IF(Inputs!$B$38="pvp",15,MAX(0.1,Skills!D23-IF(Skills!E23=TRUE,Inputs!$B$32,0))),0)</f>
        <v/>
      </c>
      <c r="R1813" t="n">
        <v>0</v>
      </c>
      <c r="S1813" t="n">
        <v>0</v>
      </c>
      <c r="U1813" t="n">
        <v>0</v>
      </c>
    </row>
    <row r="1814">
      <c r="A1814">
        <f>Skills!A24</f>
        <v/>
      </c>
      <c r="B1814">
        <f>Skills!B24</f>
        <v/>
      </c>
      <c r="C1814">
        <f>TRUE</f>
        <v/>
      </c>
      <c r="D1814">
        <f>IF(Skills!C24=1,60+Inputs!$B$25+Inputs!$B$29,IF(Skills!C24=2,90+Inputs!$B$26+Inputs!$B$29,IF(Skills!C24=3,120+Inputs!$B$27+Inputs!$B$29,MAX(0,(Inputs!$B$3-100)*3)+Inputs!$B$28+Inputs!$B$29)))</f>
        <v/>
      </c>
      <c r="E1814">
        <f>INDEX(FactorTable!$B$2:$Y$301, MATCH(ROUND(MIN(300,MAX(1,D1814)),0), FactorTable!$A$2:$A$301,0), Skills!L24+1)</f>
        <v/>
      </c>
      <c r="F1814">
        <f>IF(Skills!M24=TRUE,(Skills!K24/10)*(E1814/1000),Skills!K24/10)+Skills!N24</f>
        <v/>
      </c>
      <c r="G1814">
        <f>Calc!G24</f>
        <v/>
      </c>
      <c r="H1814">
        <f>Calc!H24</f>
        <v/>
      </c>
      <c r="I1814">
        <f>IF(Skills!T24&lt;&gt;"",1+(Skills!T24/10)*(Z1793/1000)/100,1)</f>
        <v/>
      </c>
      <c r="J1814" t="inlineStr"/>
      <c r="K1814" t="inlineStr"/>
      <c r="L1814" t="inlineStr"/>
      <c r="M1814" t="inlineStr"/>
      <c r="N1814" t="inlineStr"/>
      <c r="O1814">
        <f>(1-Summary!$B$11)*S1814+Summary!$B$11*U1814</f>
        <v/>
      </c>
      <c r="P1814">
        <f>IF(B1827=0,0,O1814/B1827)</f>
        <v/>
      </c>
      <c r="Q1814">
        <f>IFERROR(1/IF(Inputs!$B$38="pvp",15,MAX(0.1,Skills!D24-IF(Skills!E24=TRUE,Inputs!$B$32,0))),0)</f>
        <v/>
      </c>
      <c r="R1814">
        <f>IF(AND(Inputs!$B$38&lt;&gt;"pvp",Inputs!$B$43&gt;0),IF(Inputs!$B$43&lt;=0,0,(INT(Inputs!$B$43/IF(Inputs!$B$38="pvp",15,MAX(0.1,Skills!D24-IF(Skills!E24=TRUE,Inputs!$B$32,0))))+1)),0)</f>
        <v/>
      </c>
      <c r="S1814" t="n">
        <v>0</v>
      </c>
      <c r="U1814" t="n">
        <v>0</v>
      </c>
    </row>
    <row r="1817">
      <c r="A1817" t="inlineStr">
        <is>
          <t>Average Buff Multiplier (Magic Guard + Meditation + Artifact Attack%, summed; then Infinity)</t>
        </is>
      </c>
      <c r="B1817">
        <f>(1+(IF(C1793=TRUE,F1793*IF(AND(Inputs!$B$38&lt;&gt;"pvp",Inputs!$B$43&gt;0),(((R1793-1)*(Skills!S3*(1+(Inputs!$B$34)/100))+MIN((Skills!S3*(1+(Inputs!$B$34)/100)),MAX(0,Inputs!$B$43-((R1793-1)*Skills!D3))))/Inputs!$B$43),IF(Inputs!$B$38="pvp",MIN((Skills!S3*(1+(Inputs!$B$34)/100)),15)/15,(Skills!S3*(1+(Inputs!$B$34)/100))/Skills!D3)),0)+IF(C1794=TRUE,F1794*IF(AND(Inputs!$B$38&lt;&gt;"pvp",Inputs!$B$43&gt;0),(((R1794-1)*(Skills!S4*(1+(Inputs!$B$34)/100))+MIN((Skills!S4*(1+(Inputs!$B$34)/100)),MAX(0,Inputs!$B$43-((R1794-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1806=TRUE,(1+F1806*IF(AND(Inputs!$B$38&lt;&gt;"pvp",Inputs!$B$43&gt;0),(((R1806-1)*(Skills!S16*(1+(Inputs!$B$34)/100))+MIN((Skills!S16*(1+(Inputs!$B$34)/100)),MAX(0,Inputs!$B$43-((R1806-1)*Skills!D16))))/Inputs!$B$43),IF(Inputs!$B$38="pvp",MIN((Skills!S16*(1+(Inputs!$B$34)/100)),15)/15,(Skills!S16*(1+(Inputs!$B$34)/100))/Skills!D16))/100),1)</f>
        <v/>
      </c>
    </row>
    <row r="1818">
      <c r="A1818" t="inlineStr">
        <is>
          <t>Monster Damage Taken Bonus % (Freezing Breath - Weaken + Elemental Reset + Artifact Enemy Damage Taken, summed)</t>
        </is>
      </c>
      <c r="B1818">
        <f>IF(Inputs!$B$3&gt;=118,15*IF(Inputs!$B$38="pvp",MIN((30*(1+(Inputs!$B$34)/100)),15)/15,(30*(1+(Inputs!$B$34)/100))/Skills!D8),0)+IF(C1804=TRUE,F1804,0)+(IF(AND(ArtifactsInput!$M$35,Inputs!$B$4&lt;&gt;"Chapter Hunt"),CHOOSE(ArtifactsInput!$N$35+1,15,18,21,24,27,30)*(1-EXP(-(0.2*B1821)*5)),0)+IF(AND(ArtifactsInput!$M$22,Inputs!$B$4&lt;&gt;"Chapter Hunt"),CHOOSE(ArtifactsInput!$N$22+1,10,12,14,16,18,20)*((0*(((0.15*B1821*5))^0/1)+1*(((0.15*B1821*5))^1/1)+2*(((0.15*B1821*5))^2/2)+3*(((0.15*B1821*5))^3/6)+4*(((0.15*B1821*5))^4/24)+5*(((0.15*B1821*5))^5/120))/((((0.15*B1821*5))^0/1)+(((0.15*B1821*5))^1/1)+(((0.15*B1821*5))^2/2)+(((0.15*B1821*5))^3/6)+(((0.15*B1821*5))^4/24)+(((0.15*B1821*5))^5/120))),0))</f>
        <v/>
      </c>
    </row>
    <row r="1819">
      <c r="A1819" t="inlineStr">
        <is>
          <t>Damage % Bonus (Frozen Break + Frost Clutch, flat)</t>
        </is>
      </c>
      <c r="B1819">
        <f>IF(Inputs!$B$3&gt;=66,15,0)+IF(Inputs!$B$3&gt;=98,10,0)+IF(Inputs!$B$3&gt;=125,20,0)</f>
        <v/>
      </c>
    </row>
    <row r="1820">
      <c r="A1820" t="inlineStr">
        <is>
          <t>Attack Speed Bonus % (MP Eater - MP Boost, always-on + Nimble Feet, duty-cycle averaged)</t>
        </is>
      </c>
      <c r="B1820">
        <f>IF(C1803=TRUE,F1803+(F1807-Calc!F17),0)+((C1814=TRUE)*F1814*IF(AND(Inputs!$B$38&lt;&gt;"pvp",Inputs!$B$43&gt;0),(((R1814-1)*(Skills!S24*(1+(Inputs!$B$34)/100))+MIN((Skills!S24*(1+(Inputs!$B$34)/100)),MAX(0,Inputs!$B$43-((R1814-1)*Skills!D24))))/Inputs!$B$43),IF(Inputs!$B$38="pvp",MIN((Skills!S24*(1+(Inputs!$B$34)/100)),15)/15,(Skills!S24*(1+(Inputs!$B$34)/100))/Skills!D24)))</f>
        <v/>
      </c>
    </row>
    <row r="1821">
      <c r="A1821" t="inlineStr">
        <is>
          <t>Actions Per Second</t>
        </is>
      </c>
      <c r="B1821">
        <f>1+MIN(150,150*(1-(1-(Inputs!$B$11+(ArtifactsInput!$M$15-ArtifactsInput!$M$15)*CHOOSE(ArtifactsInput!$N$15+1,8,9.6,11.2,12.8,14.4,16))/150)*(1-B1820/150)))/100</f>
        <v/>
      </c>
    </row>
    <row r="1822">
      <c r="A1822" t="inlineStr">
        <is>
          <t>Skill + Buff Cast Rate</t>
        </is>
      </c>
      <c r="B1822">
        <f>IF(AND(Inputs!$B$38&lt;&gt;"pvp",Inputs!$B$43&gt;0),SUMPRODUCT((Skills!E2:E24=TRUE)*(C1792:C1814=TRUE)*R1792:R1814)/Inputs!$B$43,SUMPRODUCT((Skills!E2:E24=TRUE)*(C1792:C1814=TRUE)*Q1792:Q1814))</f>
        <v/>
      </c>
    </row>
    <row r="1823">
      <c r="A1823" t="inlineStr">
        <is>
          <t>Chain Lightning Casts Per Second</t>
        </is>
      </c>
      <c r="B1823">
        <f>MAX(0,B1821-B1822)</f>
        <v/>
      </c>
    </row>
    <row r="1824">
      <c r="A1824" t="inlineStr">
        <is>
          <t>Buff-Casting Startup Delay (s, fixed-duration only)</t>
        </is>
      </c>
      <c r="B1824">
        <f>IF(AND(Inputs!$B$38&lt;&gt;"pvp",Inputs!$B$43&gt;0),SUMPRODUCT((Skills!S2:S24&gt;0)*(Skills!E2:E24=TRUE)*(C1792:C1814=TRUE))/B1821,0)</f>
        <v/>
      </c>
    </row>
    <row r="1825">
      <c r="A1825" t="inlineStr">
        <is>
          <t>Boss-Only Total DPS (this block's swept value)</t>
        </is>
      </c>
      <c r="B1825">
        <f>SUM(S1792:S1814)</f>
        <v/>
      </c>
    </row>
    <row r="1826">
      <c r="A1826" t="inlineStr">
        <is>
          <t>Normal-Only Total DPS (this block's swept value)</t>
        </is>
      </c>
      <c r="B1826">
        <f>SUM(U1792:U1814)</f>
        <v/>
      </c>
    </row>
    <row r="1827">
      <c r="A1827" s="6" t="inlineStr">
        <is>
          <t>TOTAL DPS</t>
        </is>
      </c>
      <c r="B1827" s="6">
        <f>SUM(O1792:O1814)</f>
        <v/>
      </c>
    </row>
    <row r="1830">
      <c r="A1830" s="6" t="inlineStr">
        <is>
          <t>Stat: Fire Flower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Inputs!$B$3&gt;=100</f>
        <v/>
      </c>
      <c r="D1832" t="inlineStr"/>
      <c r="E1832" t="inlineStr"/>
      <c r="F1832">
        <f>T1834+Skills!N2</f>
        <v/>
      </c>
      <c r="G1832">
        <f>Calc!G2</f>
        <v/>
      </c>
      <c r="H1832">
        <f>Calc!H2</f>
        <v/>
      </c>
      <c r="I1832">
        <f>IF(Skills!T2&lt;&gt;"",1+(Skills!T2/10)*(Z1833/1000)/100,1)</f>
        <v/>
      </c>
      <c r="J1832">
        <f>((Inputs!$B$6*(1+Inputs!$B$7/100))+(((Inputs!$B$12*(1+Inputs!$B$13/100))-(Inputs!$B$12*(1+Inputs!$B$13/100)))+0.25*(Inputs!$B$14-Inputs!$B$14))*(1+Inputs!$B$7/100))*(F1832/100)</f>
        <v/>
      </c>
      <c r="K1832">
        <f>J1832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2="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1848-Calc!F18),(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IF(B1867=0,0,O1832/B1867)</f>
        <v/>
      </c>
      <c r="Q1832">
        <f>IFERROR(1/IF(Inputs!$B$38="pvp",15,MAX(0.1,Skills!D2-IF(Skills!E2=TRUE,Inputs!$B$32,0))),0)</f>
        <v/>
      </c>
      <c r="R1832" t="n">
        <v>0</v>
      </c>
      <c r="S1832">
        <f>IF(C1832,(Skills!F2*N1832*B1863)*IF(Inputs!$B$38="pvp",1,1+(Inputs!$B$20+Skills!O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2">
        <f>MAX(0,(Inputs!$B$3-100)*3)+Inputs!$B$28+Inputs!$B$29</f>
        <v/>
      </c>
      <c r="U1832">
        <f>IF(C1832,(Skills!F2*N1832*B1863)*IF(Inputs!$B$38="pvp",1,(1+(Inputs!$B$21+Skills!P2+B1858+(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2">
        <f>MAX(0,(Inputs!$B$3-100)*3)+Inputs!$B$28+Inputs!$B$29</f>
        <v/>
      </c>
    </row>
    <row r="1833">
      <c r="A1833">
        <f>Skills!A3</f>
        <v/>
      </c>
      <c r="B1833">
        <f>Skills!B3</f>
        <v/>
      </c>
      <c r="C1833">
        <f>Inputs!$B$3&gt;=15</f>
        <v/>
      </c>
      <c r="D1833">
        <f>IF(Skills!C3=1,60+Inputs!$B$25+Inputs!$B$29,IF(Skills!C3=2,90+Inputs!$B$26+Inputs!$B$29,IF(Skills!C3=3,120+Inputs!$B$27+Inputs!$B$29,MAX(0,(Inputs!$B$3-100)*3)+Inputs!$B$28+Inputs!$B$29)))</f>
        <v/>
      </c>
      <c r="E1833">
        <f>INDEX(FactorTable!$B$2:$Y$301, MATCH(ROUND(MIN(300,MAX(1,D1833)),0), FactorTable!$A$2:$A$301,0), Skills!L3+1)</f>
        <v/>
      </c>
      <c r="F1833">
        <f>IF(Skills!M3=TRUE,(Skills!K3/10)*(E1833/1000),Skills!K3/10)+Skills!N3</f>
        <v/>
      </c>
      <c r="G1833">
        <f>Calc!G3</f>
        <v/>
      </c>
      <c r="H1833">
        <f>Calc!H3</f>
        <v/>
      </c>
      <c r="I1833">
        <f>IF(Skills!T3&lt;&gt;"",1+(Skills!T3/10)*(Z1833/1000)/100,1)</f>
        <v/>
      </c>
      <c r="J1833" t="inlineStr"/>
      <c r="K1833" t="inlineStr"/>
      <c r="L1833" t="inlineStr"/>
      <c r="M1833" t="inlineStr"/>
      <c r="N1833" t="inlineStr"/>
      <c r="O1833">
        <f>(1-Summary!$B$11)*S1833+Summary!$B$11*U1833</f>
        <v/>
      </c>
      <c r="P1833">
        <f>IF(B1867=0,0,O1833/B1867)</f>
        <v/>
      </c>
      <c r="Q1833">
        <f>IFERROR(1/IF(Inputs!$B$38="pvp",15,MAX(0.1,Skills!D3-IF(Skills!E3=TRUE,Inputs!$B$32,0))),0)</f>
        <v/>
      </c>
      <c r="R1833">
        <f>IF(AND(Inputs!$B$38&lt;&gt;"pvp",Inputs!$B$43&gt;0),IF(Inputs!$B$43&lt;=0,0,(INT(Inputs!$B$43/IF(Inputs!$B$38="pvp",15,MAX(0.1,Skills!D3-IF(Skills!E3=TRUE,Inputs!$B$32,0))))+1)),0)</f>
        <v/>
      </c>
      <c r="S1833" t="n">
        <v>0</v>
      </c>
      <c r="T1833">
        <f>INDEX(FactorTable!$B$2:$Y$301, MATCH(ROUND(MIN(300,MAX(1,T1832)),0), FactorTable!$A$2:$A$301,0), 22)</f>
        <v/>
      </c>
      <c r="U1833" t="n">
        <v>0</v>
      </c>
      <c r="Z1833">
        <f>INDEX(FactorTable!$B$2:$Y$301, MATCH(ROUND(MIN(300,MAX(1,Z1832)),0), FactorTable!$A$2:$A$301,0), 24)</f>
        <v/>
      </c>
    </row>
    <row r="1834">
      <c r="A1834">
        <f>Skills!A4</f>
        <v/>
      </c>
      <c r="B1834">
        <f>Skills!B4</f>
        <v/>
      </c>
      <c r="C1834">
        <f>Inputs!$B$3&gt;=40</f>
        <v/>
      </c>
      <c r="D1834">
        <f>IF(Skills!C4=1,60+Inputs!$B$25+Inputs!$B$29,IF(Skills!C4=2,90+Inputs!$B$26+Inputs!$B$29,IF(Skills!C4=3,120+Inputs!$B$27+Inputs!$B$29,MAX(0,(Inputs!$B$3-100)*3)+Inputs!$B$28+Inputs!$B$29)))</f>
        <v/>
      </c>
      <c r="E1834">
        <f>INDEX(FactorTable!$B$2:$Y$301, MATCH(ROUND(MIN(300,MAX(1,D1834)),0), FactorTable!$A$2:$A$301,0), Skills!L4+1)</f>
        <v/>
      </c>
      <c r="F1834">
        <f>IF(Skills!M4=TRUE,(Skills!K4/10)*(E1834/1000),Skills!K4/10)+Skills!N4</f>
        <v/>
      </c>
      <c r="G1834">
        <f>Calc!G4</f>
        <v/>
      </c>
      <c r="H1834">
        <f>Calc!H4</f>
        <v/>
      </c>
      <c r="I1834">
        <f>IF(Skills!T4&lt;&gt;"",1+(Skills!T4/10)*(Z1833/1000)/100,1)</f>
        <v/>
      </c>
      <c r="J1834" t="inlineStr"/>
      <c r="K1834" t="inlineStr"/>
      <c r="L1834" t="inlineStr"/>
      <c r="M1834" t="inlineStr"/>
      <c r="N1834" t="inlineStr"/>
      <c r="O1834">
        <f>(1-Summary!$B$11)*S1834+Summary!$B$11*U1834</f>
        <v/>
      </c>
      <c r="P1834">
        <f>IF(B1867=0,0,O1834/B1867)</f>
        <v/>
      </c>
      <c r="Q1834">
        <f>IFERROR(1/IF(Inputs!$B$38="pvp",15,MAX(0.1,Skills!D4-IF(Skills!E4=TRUE,Inputs!$B$32,0))),0)</f>
        <v/>
      </c>
      <c r="R1834">
        <f>IF(AND(Inputs!$B$38&lt;&gt;"pvp",Inputs!$B$43&gt;0),IF(Inputs!$B$43&lt;=0,0,(INT(Inputs!$B$43/IF(Inputs!$B$38="pvp",15,MAX(0.1,Skills!D4-IF(Skills!E4=TRUE,Inputs!$B$32,0))))+1)),0)</f>
        <v/>
      </c>
      <c r="S1834" t="n">
        <v>0</v>
      </c>
      <c r="T1834">
        <f>290*T1833/1000</f>
        <v/>
      </c>
      <c r="U1834" t="n">
        <v>0</v>
      </c>
    </row>
    <row r="1835">
      <c r="A1835">
        <f>Skills!A5</f>
        <v/>
      </c>
      <c r="B1835">
        <f>Skills!B5</f>
        <v/>
      </c>
      <c r="C1835">
        <f>Inputs!$B$3&gt;=38</f>
        <v/>
      </c>
      <c r="D1835">
        <f>IF(Skills!C5=1,60+Inputs!$B$25+Inputs!$B$29,IF(Skills!C5=2,90+Inputs!$B$26+Inputs!$B$29,IF(Skills!C5=3,120+Inputs!$B$27+Inputs!$B$29,MAX(0,(Inputs!$B$3-100)*3)+Inputs!$B$28+Inputs!$B$29)))</f>
        <v/>
      </c>
      <c r="E1835">
        <f>INDEX(FactorTable!$B$2:$Y$301, MATCH(ROUND(MIN(300,MAX(1,D1835)),0), FactorTable!$A$2:$A$301,0), Skills!L5+1)</f>
        <v/>
      </c>
      <c r="F1835">
        <f>IF(Skills!M5=TRUE,(Skills!K5/10)*(E1835/1000),Skills!K5/10)+Skills!N5</f>
        <v/>
      </c>
      <c r="G1835">
        <f>Calc!G5</f>
        <v/>
      </c>
      <c r="H1835">
        <f>Calc!H5</f>
        <v/>
      </c>
      <c r="I1835">
        <f>IF(Skills!T5&lt;&gt;"",1+(Skills!T5/10)*(Z1833/1000)/100,1)</f>
        <v/>
      </c>
      <c r="J1835">
        <f>((Inputs!$B$6*(1+Inputs!$B$7/100))+(((Inputs!$B$12*(1+Inputs!$B$13/100))-(Inputs!$B$12*(1+Inputs!$B$13/100)))+0.25*(Inputs!$B$14-Inputs!$B$14))*(1+Inputs!$B$7/100))*(F1835/100)</f>
        <v/>
      </c>
      <c r="K1835">
        <f>J1835*(1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5="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1848-Calc!F18),(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IF(B1867=0,0,O1835/B1867)</f>
        <v/>
      </c>
      <c r="Q1835">
        <f>IFERROR(1/IF(Inputs!$B$38="pvp",15,MAX(0.1,Skills!D5-IF(Skills!E5=TRUE,Inputs!$B$32,0))),0)</f>
        <v/>
      </c>
      <c r="R1835">
        <f>IF(AND(Inputs!$B$38&lt;&gt;"pvp",Inputs!$B$43&gt;0),IF(MAX(0,Inputs!$B$43-B1864)&lt;=0,0,(INT(MAX(0,Inputs!$B$43-B1864)/IF(Inputs!$B$38="pvp",15,MAX(0.1,Skills!D5-IF(Skills!E5=TRUE,Inputs!$B$32,0))))+1)),0)</f>
        <v/>
      </c>
      <c r="S1835">
        <f>IF(C1835,(H1835*N1835*IF(AND(Inputs!$B$38&lt;&gt;"pvp",Inputs!$B$43&gt;0),((Skills!F5*((R1835-1)*IF(Skills!G5&gt;0,Skills!H5/Skills!G5,1)+IF(Skills!G5&gt;0,MIN(Skills!H5,MAX(0,MAX(0,Inputs!$B$43-B1864)-((R1835-1)*IF(Inputs!$B$38="pvp",15,MAX(0.1,Skills!D5-IF(Skills!E5=TRUE,Inputs!$B$32,0))))))/Skills!G5,1)))/Inputs!$B$43),G1835*Q1835))*IF(Inputs!$B$38="pvp",1,1+(Inputs!$B$20+Skills!O5+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F5*((R1835-1)*IF(Skills!G5&gt;0,Skills!H5/Skills!G5,1)+IF(Skills!G5&gt;0,MIN(Skills!H5,MAX(0,MAX(0,Inputs!$B$43-B1864)-((R1835-1)*IF(Inputs!$B$38="pvp",15,MAX(0.1,Skills!D5-IF(Skills!E5=TRUE,Inputs!$B$32,0))))))/Skills!G5,1)))/Inputs!$B$43),G1835*Q1835))*IF(Inputs!$B$38="pvp",1,(1+(Inputs!$B$21+Skills!P5+B1858+(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Inputs!$B$3&gt;=63</f>
        <v/>
      </c>
      <c r="D1836">
        <f>IF(Skills!C6=1,60+Inputs!$B$25+Inputs!$B$29,IF(Skills!C6=2,90+Inputs!$B$26+Inputs!$B$29,IF(Skills!C6=3,120+Inputs!$B$27+Inputs!$B$29,MAX(0,(Inputs!$B$3-100)*3)+Inputs!$B$28+Inputs!$B$29)))</f>
        <v/>
      </c>
      <c r="E1836">
        <f>INDEX(FactorTable!$B$2:$Y$301, MATCH(ROUND(MIN(300,MAX(1,D1836)),0), FactorTable!$A$2:$A$301,0), Skills!L6+1)</f>
        <v/>
      </c>
      <c r="F1836">
        <f>IF(Skills!M6=TRUE,(Skills!K6/10)*(E1836/1000),Skills!K6/10)+Skills!N6</f>
        <v/>
      </c>
      <c r="G1836">
        <f>Calc!G6</f>
        <v/>
      </c>
      <c r="H1836">
        <f>Calc!H6</f>
        <v/>
      </c>
      <c r="I1836">
        <f>IF(Skills!T6&lt;&gt;"",1+(Skills!T6/10)*(Z1833/1000)/100,1)</f>
        <v/>
      </c>
      <c r="J1836">
        <f>((Inputs!$B$6*(1+Inputs!$B$7/100))+(((Inputs!$B$12*(1+Inputs!$B$13/100))-(Inputs!$B$12*(1+Inputs!$B$13/100)))+0.25*(Inputs!$B$14-Inputs!$B$14))*(1+Inputs!$B$7/100))*(F1836/100)</f>
        <v/>
      </c>
      <c r="K1836">
        <f>J1836*(1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6="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F1848-Calc!F18),(Inputs!$B$23+(IF(ArtifactsInput!$M$15,CHOOSE(ArtifactsInput!$N$15+1,25,30,35,40,45,50)/100*(Inputs!$B$11-Inputs!$B$11),0))))/100+(Inputs!$B$23+(IF(ArtifactsInput!$M$15,CHOOSE(ArtifactsInput!$N$15+1,25,30,35,40,45,50)/100*(Inputs!$B$11-Inputs!$B$11),0)))/100)/2</f>
        <v/>
      </c>
      <c r="M1836">
        <f>L1836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(1-Summary!$B$11)*S1836+Summary!$B$11*U1836</f>
        <v/>
      </c>
      <c r="P1836">
        <f>IF(B1867=0,0,O1836/B1867)</f>
        <v/>
      </c>
      <c r="Q1836">
        <f>IFERROR(1/IF(Inputs!$B$38="pvp",15,MAX(0.1,Skills!D6-IF(Skills!E6=TRUE,Inputs!$B$32,0))),0)</f>
        <v/>
      </c>
      <c r="R1836">
        <f>IF(AND(Inputs!$B$38&lt;&gt;"pvp",Inputs!$B$43&gt;0),IF(MAX(0,Inputs!$B$43-B1864)&lt;=0,0,(INT(MAX(0,Inputs!$B$43-B1864)/IF(Inputs!$B$38="pvp",15,MAX(0.1,Skills!D6-IF(Skills!E6=TRUE,Inputs!$B$32,0))))+1)),0)</f>
        <v/>
      </c>
      <c r="S1836">
        <f>IF(C1836,(H1836*N1836*IF(AND(Inputs!$B$38&lt;&gt;"pvp",Inputs!$B$43&gt;0),((Skills!F6*((R1836-1)*IF(Skills!G6&gt;0,Skills!H6/Skills!G6,1)+IF(Skills!G6&gt;0,MIN(Skills!H6,MAX(0,MAX(0,Inputs!$B$43-B1864)-((R1836-1)*IF(Inputs!$B$38="pvp",15,MAX(0.1,Skills!D6-IF(Skills!E6=TRUE,Inputs!$B$32,0))))))/Skills!G6,1)))/Inputs!$B$43),G1836*Q1836))*IF(Inputs!$B$38="pvp",1,1+(Inputs!$B$20+Skills!O6+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1836*(1-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IF(C1836,(H1836*N1836*IF(AND(Inputs!$B$38&lt;&gt;"pvp",Inputs!$B$43&gt;0),((Skills!F6*((R1836-1)*IF(Skills!G6&gt;0,Skills!H6/Skills!G6,1)+IF(Skills!G6&gt;0,MIN(Skills!H6,MAX(0,MAX(0,Inputs!$B$43-B1864)-((R1836-1)*IF(Inputs!$B$38="pvp",15,MAX(0.1,Skills!D6-IF(Skills!E6=TRUE,Inputs!$B$32,0))))))/Skills!G6,1)))/Inputs!$B$43),G1836*Q1836))*IF(Inputs!$B$38="pvp",1,(1+(Inputs!$B$21+Skills!P6+B1858+(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Skills!A7</f>
        <v/>
      </c>
      <c r="B1837">
        <f>Skills!B7</f>
        <v/>
      </c>
      <c r="C1837">
        <f>Inputs!$B$3&gt;=69</f>
        <v/>
      </c>
      <c r="D1837">
        <f>IF(Skills!C7=1,60+Inputs!$B$25+Inputs!$B$29,IF(Skills!C7=2,90+Inputs!$B$26+Inputs!$B$29,IF(Skills!C7=3,120+Inputs!$B$27+Inputs!$B$29,MAX(0,(Inputs!$B$3-100)*3)+Inputs!$B$28+Inputs!$B$29)))</f>
        <v/>
      </c>
      <c r="E1837">
        <f>INDEX(FactorTable!$B$2:$Y$301, MATCH(ROUND(MIN(300,MAX(1,D1837)),0), FactorTable!$A$2:$A$301,0), Skills!L7+1)</f>
        <v/>
      </c>
      <c r="F1837">
        <f>IF(Skills!M7=TRUE,(Skills!K7/10)*(E1837/1000),Skills!K7/10)+Skills!N7</f>
        <v/>
      </c>
      <c r="G1837">
        <f>Calc!G7</f>
        <v/>
      </c>
      <c r="H1837">
        <f>Calc!H7</f>
        <v/>
      </c>
      <c r="I1837">
        <f>IF(Skills!T7&lt;&gt;"",1+(Skills!T7/10)*(Z1833/1000)/100,1)</f>
        <v/>
      </c>
      <c r="J1837">
        <f>((Inputs!$B$6*(1+Inputs!$B$7/100))+(((Inputs!$B$12*(1+Inputs!$B$13/100))-(Inputs!$B$12*(1+Inputs!$B$13/100)))+0.25*(Inputs!$B$14-Inputs!$B$14))*(1+Inputs!$B$7/100))*(F1837/100)</f>
        <v/>
      </c>
      <c r="K1837">
        <f>J1837*(1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7="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1848-Calc!F18),(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IF(B1867=0,0,O1837/B1867)</f>
        <v/>
      </c>
      <c r="Q1837">
        <f>IFERROR(1/IF(Inputs!$B$38="pvp",15,MAX(0.1,Skills!D7-IF(Skills!E7=TRUE,Inputs!$B$32,0))),0)</f>
        <v/>
      </c>
      <c r="R1837">
        <f>IF(AND(Inputs!$B$38&lt;&gt;"pvp",Inputs!$B$43&gt;0),IF(MAX(0,Inputs!$B$43-B1864)&lt;=0,0,(INT(MAX(0,Inputs!$B$43-B1864)/IF(Inputs!$B$38="pvp",15,MAX(0.1,Skills!D7-IF(Skills!E7=TRUE,Inputs!$B$32,0))))+1)),0)</f>
        <v/>
      </c>
      <c r="S1837">
        <f>IF(C1837,(H1837*N1837*IF(AND(Inputs!$B$38&lt;&gt;"pvp",Inputs!$B$43&gt;0),((Skills!F7*((R1837-1)*IF(Skills!G7&gt;0,Skills!H7/Skills!G7,1)+IF(Skills!G7&gt;0,MIN(Skills!H7,MAX(0,MAX(0,Inputs!$B$43-B1864)-((R1837-1)*IF(Inputs!$B$38="pvp",15,MAX(0.1,Skills!D7-IF(Skills!E7=TRUE,Inputs!$B$32,0))))))/Skills!G7,1)))/Inputs!$B$43),G1837*Q1837))*IF(Inputs!$B$38="pvp",1,1+(Inputs!$B$20+Skills!O7+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F7*((R1837-1)*IF(Skills!G7&gt;0,Skills!H7/Skills!G7,1)+IF(Skills!G7&gt;0,MIN(Skills!H7,MAX(0,MAX(0,Inputs!$B$43-B1864)-((R1837-1)*IF(Inputs!$B$38="pvp",15,MAX(0.1,Skills!D7-IF(Skills!E7=TRUE,Inputs!$B$32,0))))))/Skills!G7,1)))/Inputs!$B$43),G1837*Q1837))*IF(Inputs!$B$38="pvp",1,(1+(Inputs!$B$21+Skills!P7+B1858+(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Inputs!$B$3&gt;=103</f>
        <v/>
      </c>
      <c r="D1838">
        <f>IF(Skills!C8=1,60+Inputs!$B$25+Inputs!$B$29,IF(Skills!C8=2,90+Inputs!$B$26+Inputs!$B$29,IF(Skills!C8=3,120+Inputs!$B$27+Inputs!$B$29,MAX(0,(Inputs!$B$3-100)*3)+Inputs!$B$28+Inputs!$B$29)))</f>
        <v/>
      </c>
      <c r="E1838">
        <f>INDEX(FactorTable!$B$2:$Y$301, MATCH(ROUND(MIN(300,MAX(1,D1838)),0), FactorTable!$A$2:$A$301,0), Skills!L8+1)</f>
        <v/>
      </c>
      <c r="F1838">
        <f>IF(Skills!M8=TRUE,(Skills!K8/10)*(E1838/1000),Skills!K8/10)+Skills!N8</f>
        <v/>
      </c>
      <c r="G1838">
        <f>Calc!G8</f>
        <v/>
      </c>
      <c r="H1838">
        <f>Calc!H8</f>
        <v/>
      </c>
      <c r="I1838">
        <f>IF(Skills!T8&lt;&gt;"",1+(Skills!T8/10)*(Z1833/1000)/100,1)</f>
        <v/>
      </c>
      <c r="J1838">
        <f>((Inputs!$B$6*(1+Inputs!$B$7/100))+(((Inputs!$B$12*(1+Inputs!$B$13/100))-(Inputs!$B$12*(1+Inputs!$B$13/100)))+0.25*(Inputs!$B$14-Inputs!$B$14))*(1+Inputs!$B$7/100))*(F1838/100)</f>
        <v/>
      </c>
      <c r="K1838">
        <f>J1838*(1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8="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1848-Calc!F18),(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IF(B1867=0,0,O1838/B1867)</f>
        <v/>
      </c>
      <c r="Q1838">
        <f>IFERROR(1/IF(Inputs!$B$38="pvp",15,MAX(0.1,Skills!D8-IF(Skills!E8=TRUE,Inputs!$B$32,0))),0)</f>
        <v/>
      </c>
      <c r="R1838">
        <f>IF(AND(Inputs!$B$38&lt;&gt;"pvp",Inputs!$B$43&gt;0),IF(MAX(0,Inputs!$B$43-B1864)&lt;=0,0,(INT(MAX(0,Inputs!$B$43-B1864)/IF(Inputs!$B$38="pvp",15,MAX(0.1,Skills!D8-IF(Skills!E8=TRUE,Inputs!$B$32,0))))+1)),0)</f>
        <v/>
      </c>
      <c r="S1838">
        <f>IF(C1838,(H1838*N1838*IF(AND(Inputs!$B$38&lt;&gt;"pvp",Inputs!$B$43&gt;0),((Skills!F8*((R1838-1)*IF(Skills!G8&gt;0,Skills!H8/Skills!G8,1)+IF(Skills!G8&gt;0,MIN(Skills!H8,MAX(0,MAX(0,Inputs!$B$43-B1864)-((R1838-1)*IF(Inputs!$B$38="pvp",15,MAX(0.1,Skills!D8-IF(Skills!E8=TRUE,Inputs!$B$32,0))))))/Skills!G8,1)))/Inputs!$B$43),G1838*Q1838))*IF(Inputs!$B$38="pvp",1,1+(Inputs!$B$20+Skills!O8+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F8*((R1838-1)*IF(Skills!G8&gt;0,Skills!H8/Skills!G8,1)+IF(Skills!G8&gt;0,MIN(Skills!H8,MAX(0,MAX(0,Inputs!$B$43-B1864)-((R1838-1)*IF(Inputs!$B$38="pvp",15,MAX(0.1,Skills!D8-IF(Skills!E8=TRUE,Inputs!$B$32,0))))))/Skills!G8,1)))/Inputs!$B$43),G1838*Q1838))*IF(Inputs!$B$38="pvp",1,(1+(Inputs!$B$21+Skills!P8+B1858+(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Inputs!$B$3&gt;=105</f>
        <v/>
      </c>
      <c r="D1839">
        <f>IF(Skills!C9=1,60+Inputs!$B$25+Inputs!$B$29,IF(Skills!C9=2,90+Inputs!$B$26+Inputs!$B$29,IF(Skills!C9=3,120+Inputs!$B$27+Inputs!$B$29,MAX(0,(Inputs!$B$3-100)*3)+Inputs!$B$28+Inputs!$B$29)))</f>
        <v/>
      </c>
      <c r="E1839">
        <f>INDEX(FactorTable!$B$2:$Y$301, MATCH(ROUND(MIN(300,MAX(1,D1839)),0), FactorTable!$A$2:$A$301,0), Skills!L9+1)</f>
        <v/>
      </c>
      <c r="F1839">
        <f>IF(Skills!M9=TRUE,(Skills!K9/10)*(E1839/1000),Skills!K9/10)+Skills!N9</f>
        <v/>
      </c>
      <c r="G1839">
        <f>Calc!G9</f>
        <v/>
      </c>
      <c r="H1839">
        <f>Calc!H9</f>
        <v/>
      </c>
      <c r="I1839">
        <f>IF(Skills!T9&lt;&gt;"",1+(Skills!T9/10)*(Z1833/1000)/100,1)</f>
        <v/>
      </c>
      <c r="J1839">
        <f>((Inputs!$B$6*(1+Inputs!$B$7/100))+(((Inputs!$B$12*(1+Inputs!$B$13/100))-(Inputs!$B$12*(1+Inputs!$B$13/100)))+0.25*(Inputs!$B$14-Inputs!$B$14))*(1+Inputs!$B$7/100))*(F1839/100)</f>
        <v/>
      </c>
      <c r="K1839">
        <f>J1839*(1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9="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1848-Calc!F18),(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IF(B1867=0,0,O1839/B1867)</f>
        <v/>
      </c>
      <c r="Q1839">
        <f>IFERROR(1/IF(Inputs!$B$38="pvp",15,MAX(0.1,Skills!D9-IF(Skills!E9=TRUE,Inputs!$B$32,0))),0)</f>
        <v/>
      </c>
      <c r="R1839">
        <f>IF(AND(Inputs!$B$38&lt;&gt;"pvp",Inputs!$B$43&gt;0),IF(MAX(0,Inputs!$B$43-B1864)&lt;=0,0,(INT(MAX(0,Inputs!$B$43-B1864)/IF(Inputs!$B$38="pvp",15,MAX(0.1,Skills!D9-IF(Skills!E9=TRUE,Inputs!$B$32,0))))+1)),0)</f>
        <v/>
      </c>
      <c r="S1839">
        <f>IF(C1839,(H1839*N1839*IF(AND(Inputs!$B$38&lt;&gt;"pvp",Inputs!$B$43&gt;0),((Skills!F9*((R1839-1)*IF(Skills!G9&gt;0,Skills!H9/Skills!G9,1)+IF(Skills!G9&gt;0,MIN(Skills!H9,MAX(0,MAX(0,Inputs!$B$43-B1864)-((R1839-1)*IF(Inputs!$B$38="pvp",15,MAX(0.1,Skills!D9-IF(Skills!E9=TRUE,Inputs!$B$32,0))))))/Skills!G9,1)))/Inputs!$B$43),G1839*Q1839))*IF(Inputs!$B$38="pvp",1,1+(Inputs!$B$20+Skills!O9+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F9*((R1839-1)*IF(Skills!G9&gt;0,Skills!H9/Skills!G9,1)+IF(Skills!G9&gt;0,MIN(Skills!H9,MAX(0,MAX(0,Inputs!$B$43-B1864)-((R1839-1)*IF(Inputs!$B$38="pvp",15,MAX(0.1,Skills!D9-IF(Skills!E9=TRUE,Inputs!$B$32,0))))))/Skills!G9,1)))/Inputs!$B$43),G1839*Q1839))*IF(Inputs!$B$38="pvp",1,(1+(Inputs!$B$21+Skills!P9+B1858+(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Inputs!$B$3&gt;=113</f>
        <v/>
      </c>
      <c r="D1840">
        <f>IF(Skills!C10=1,60+Inputs!$B$25+Inputs!$B$29,IF(Skills!C10=2,90+Inputs!$B$26+Inputs!$B$29,IF(Skills!C10=3,120+Inputs!$B$27+Inputs!$B$29,MAX(0,(Inputs!$B$3-100)*3)+Inputs!$B$28+Inputs!$B$29)))</f>
        <v/>
      </c>
      <c r="E1840">
        <f>INDEX(FactorTable!$B$2:$Y$301, MATCH(ROUND(MIN(300,MAX(1,D1840)),0), FactorTable!$A$2:$A$301,0), Skills!L10+1)</f>
        <v/>
      </c>
      <c r="F1840">
        <f>IF(Skills!M10=TRUE,(Skills!K10/10)*(E1840/1000),Skills!K10/10)+Skills!N10</f>
        <v/>
      </c>
      <c r="G1840">
        <f>Calc!G10</f>
        <v/>
      </c>
      <c r="H1840">
        <f>Calc!H10</f>
        <v/>
      </c>
      <c r="I1840">
        <f>IF(Skills!T10&lt;&gt;"",1+(Skills!T10/10)*(Z1833/1000)/100,1)</f>
        <v/>
      </c>
      <c r="J1840">
        <f>((Inputs!$B$6*(1+Inputs!$B$7/100))+(((Inputs!$B$12*(1+Inputs!$B$13/100))-(Inputs!$B$12*(1+Inputs!$B$13/100)))+0.25*(Inputs!$B$14-Inputs!$B$14))*(1+Inputs!$B$7/100))*(F1840/100)</f>
        <v/>
      </c>
      <c r="K1840">
        <f>J1840*(1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10="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1848-Calc!F18),(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IF(B1867=0,0,O1840/B1867)</f>
        <v/>
      </c>
      <c r="Q1840">
        <f>IFERROR(1/IF(Inputs!$B$38="pvp",15,MAX(0.1,Skills!D10-IF(Skills!E9=TRUE,Inputs!$B$32,0))),0)</f>
        <v/>
      </c>
      <c r="R1840">
        <f>IF(AND(Inputs!$B$38&lt;&gt;"pvp",Inputs!$B$43&gt;0),IF(MAX(0,Inputs!$B$43-B1864)&lt;=0,0,(INT(MAX(0,Inputs!$B$43-B1864)/IF(Inputs!$B$38="pvp",15,MAX(0.1,Skills!D10-IF(Skills!E9=TRUE,Inputs!$B$32,0))))+1)),0)</f>
        <v/>
      </c>
      <c r="S1840">
        <f>IF(C1840,(H1840*N1840*IF(AND(Inputs!$B$38&lt;&gt;"pvp",Inputs!$B$43&gt;0),((Skills!F10*((R1840-1)*IF(Skills!G10&gt;0,Skills!H10/Skills!G10,1)+IF(Skills!G10&gt;0,MIN(Skills!H10,MAX(0,MAX(0,Inputs!$B$43-B1864)-((R1840-1)*IF(Inputs!$B$38="pvp",15,MAX(0.1,Skills!D10-IF(Skills!E9=TRUE,Inputs!$B$32,0))))))/Skills!G10,1)))/Inputs!$B$43),G1840*Q1840))*IF(Inputs!$B$38="pvp",1,1+(Inputs!$B$20+Skills!O10+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F10*((R1840-1)*IF(Skills!G10&gt;0,Skills!H10/Skills!G10,1)+IF(Skills!G10&gt;0,MIN(Skills!H10,MAX(0,MAX(0,Inputs!$B$43-B1864)-((R1840-1)*IF(Inputs!$B$38="pvp",15,MAX(0.1,Skills!D10-IF(Skills!E9=TRUE,Inputs!$B$32,0))))))/Skills!G10,1)))/Inputs!$B$43),G1840*Q1840))*IF(Inputs!$B$38="pvp",1,(1+(Inputs!$B$21+Skills!P10+B1858+(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Inputs!$B$3&gt;=107</f>
        <v/>
      </c>
      <c r="D1841">
        <f>IF(Skills!C11=1,60+Inputs!$B$25+Inputs!$B$29,IF(Skills!C11=2,90+Inputs!$B$26+Inputs!$B$29,IF(Skills!C11=3,120+Inputs!$B$27+Inputs!$B$29,MAX(0,(Inputs!$B$3-100)*3)+Inputs!$B$28+Inputs!$B$29)))</f>
        <v/>
      </c>
      <c r="E1841">
        <f>INDEX(FactorTable!$B$2:$Y$301, MATCH(ROUND(MIN(300,MAX(1,D1841)),0), FactorTable!$A$2:$A$301,0), Skills!L11+1)</f>
        <v/>
      </c>
      <c r="F1841">
        <f>IF(Skills!M11=TRUE,(Skills!K11/10)*(E1841/1000),Skills!K11/10)+Skills!N11</f>
        <v/>
      </c>
      <c r="G1841">
        <f>Calc!G11</f>
        <v/>
      </c>
      <c r="H1841">
        <f>Calc!H11</f>
        <v/>
      </c>
      <c r="I1841">
        <f>IF(Skills!T11&lt;&gt;"",1+(Skills!T11/10)*(Z1833/1000)/100,1)</f>
        <v/>
      </c>
      <c r="J1841">
        <f>((Inputs!$B$6*(1+Inputs!$B$7/100))+(((Inputs!$B$12*(1+Inputs!$B$13/100))-(Inputs!$B$12*(1+Inputs!$B$13/100)))+0.25*(Inputs!$B$14-Inputs!$B$14))*(1+Inputs!$B$7/100))*(F1841/100)</f>
        <v/>
      </c>
      <c r="K1841">
        <f>J1841*(1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11="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F1848-Calc!F18),(Inputs!$B$23+(IF(ArtifactsInput!$M$15,CHOOSE(ArtifactsInput!$N$15+1,25,30,35,40,45,50)/100*(Inputs!$B$11-Inputs!$B$11),0))))/100+(Inputs!$B$23+(IF(ArtifactsInput!$M$15,CHOOSE(ArtifactsInput!$N$15+1,25,30,35,40,45,50)/100*(Inputs!$B$11-Inputs!$B$11),0)))/100)/2</f>
        <v/>
      </c>
      <c r="M1841">
        <f>L1841*(1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(1-Summary!$B$11)*S1841+Summary!$B$11*U1841</f>
        <v/>
      </c>
      <c r="P1841">
        <f>IF(B1867=0,0,O1841/B1867)</f>
        <v/>
      </c>
      <c r="Q1841">
        <f>IFERROR(1/IF(Inputs!$B$38="pvp",15,MAX(0.1,Skills!D11-IF(Skills!E11=TRUE,Inputs!$B$32,0))),0)</f>
        <v/>
      </c>
      <c r="R1841">
        <f>IF(AND(Inputs!$B$38&lt;&gt;"pvp",Inputs!$B$43&gt;0),IF(MAX(0,Inputs!$B$43-B1864)&lt;=0,0,(INT(MAX(0,Inputs!$B$43-B1864)/IF(Inputs!$B$38="pvp",15,MAX(0.1,Skills!D11-IF(Skills!E11=TRUE,Inputs!$B$32,0))))+1)),0)</f>
        <v/>
      </c>
      <c r="S1841">
        <f>IF(C1841,H1841*N1841*IF(AND(Inputs!$B$38&lt;&gt;"pvp",Inputs!$B$43&gt;0),((Skills!F11*((R1841-1)*IF(Skills!G11&gt;0,Skills!H11/Skills!G11,1)+IF(Skills!G11&gt;0,MIN(Skills!H11,MAX(0,MAX(0,Inputs!$B$43-B1864)-((R1841-1)*IF(Inputs!$B$38="pvp",15,MAX(0.1,Skills!D11-IF(Skills!E11=TRUE,Inputs!$B$32,0))))))/Skills!G11,1)))/Inputs!$B$43),G1841*Q1841)*0.5*IF(Inputs!$B$38="pvp",1,1+(Inputs!$B$20+Skills!O11+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1841*(1-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1">
        <f>IF(C1841,H1841*N1841*IF(AND(Inputs!$B$38&lt;&gt;"pvp",Inputs!$B$43&gt;0),((Skills!F11*((R1841-1)*IF(Skills!G11&gt;0,Skills!H11/Skills!G11,1)+IF(Skills!G11&gt;0,MIN(Skills!H11,MAX(0,MAX(0,Inputs!$B$43-B1864)-((R1841-1)*IF(Inputs!$B$38="pvp",15,MAX(0.1,Skills!D11-IF(Skills!E11=TRUE,Inputs!$B$32,0))))))/Skills!G11,1)))/Inputs!$B$43),G1841*Q1841)*1*IF(Inputs!$B$38="pvp",1,(1+(Inputs!$B$21+Skills!P11+B1858+(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Skills!A12</f>
        <v/>
      </c>
      <c r="B1842">
        <f>Skills!B12</f>
        <v/>
      </c>
      <c r="C1842">
        <f>Inputs!$B$3&gt;=115</f>
        <v/>
      </c>
      <c r="D1842">
        <f>IF(Skills!C12=1,60+Inputs!$B$25+Inputs!$B$29,IF(Skills!C12=2,90+Inputs!$B$26+Inputs!$B$29,IF(Skills!C12=3,120+Inputs!$B$27+Inputs!$B$29,MAX(0,(Inputs!$B$3-100)*3)+Inputs!$B$28+Inputs!$B$29)))</f>
        <v/>
      </c>
      <c r="E1842">
        <f>INDEX(FactorTable!$B$2:$Y$301, MATCH(ROUND(MIN(300,MAX(1,D1842)),0), FactorTable!$A$2:$A$301,0), Skills!L12+1)</f>
        <v/>
      </c>
      <c r="F1842">
        <f>IF(Skills!M12=TRUE,(Skills!K12/10)*(E1842/1000),Skills!K12/10)+Skills!N12</f>
        <v/>
      </c>
      <c r="G1842">
        <f>Calc!G12</f>
        <v/>
      </c>
      <c r="H1842">
        <f>Calc!H12</f>
        <v/>
      </c>
      <c r="I1842">
        <f>IF(Skills!T12&lt;&gt;"",1+(Skills!T12/10)*(Z1833/1000)/100,1)</f>
        <v/>
      </c>
      <c r="J1842">
        <f>((Inputs!$B$6*(1+Inputs!$B$7/100))+(((Inputs!$B$12*(1+Inputs!$B$13/100))-(Inputs!$B$12*(1+Inputs!$B$13/100)))+0.25*(Inputs!$B$14-Inputs!$B$14))*(1+Inputs!$B$7/100))*(F1842/100)</f>
        <v/>
      </c>
      <c r="K1842">
        <f>J1842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12="CHAIN_LIGHTNING",Inputs!$B$17+((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F1848-Calc!F18),(Inputs!$B$23+(IF(ArtifactsInput!$M$15,CHOOSE(ArtifactsInput!$N$15+1,25,30,35,40,45,50)/100*(Inputs!$B$11-Inputs!$B$11),0))))/100+(Inputs!$B$23+(IF(ArtifactsInput!$M$15,CHOOSE(ArtifactsInput!$N$15+1,25,30,35,40,45,50)/100*(Inputs!$B$11-Inputs!$B$11),0)))/100)/2</f>
        <v/>
      </c>
      <c r="M1842">
        <f>L1842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(1-Summary!$B$11)*S1842+Summary!$B$11*U1842</f>
        <v/>
      </c>
      <c r="P1842">
        <f>IF(B1867=0,0,O1842/B1867)</f>
        <v/>
      </c>
      <c r="Q1842">
        <f>IFERROR(1/IF(Inputs!$B$38="pvp",15,MAX(0.1,Skills!D12-IF(Skills!E12=TRUE,Inputs!$B$32,0))),0)</f>
        <v/>
      </c>
      <c r="R1842">
        <f>IF(AND(Inputs!$B$38&lt;&gt;"pvp",Inputs!$B$43&gt;0),IF(MAX(0,Inputs!$B$43-B1864)&lt;=0,0,(INT(MAX(0,Inputs!$B$43-B1864)/IF(Inputs!$B$38="pvp",15,MAX(0.1,Skills!D12-IF(Skills!E12=TRUE,Inputs!$B$32,0))))+1)),0)</f>
        <v/>
      </c>
      <c r="S1842">
        <f>IF(C1842,(H1842*N1842*IF(AND(Inputs!$B$38&lt;&gt;"pvp",Inputs!$B$43&gt;0),((Skills!F12*((R1842-1)*IF(Skills!G12&gt;0,Skills!H12/Skills!G12,1)+IF(Skills!G12&gt;0,MIN(Skills!H12,MAX(0,MAX(0,Inputs!$B$43-B1864)-((R1842-1)*IF(Inputs!$B$38="pvp",15,MAX(0.1,Skills!D12-IF(Skills!E12=TRUE,Inputs!$B$32,0))))))/Skills!G12,1)))/Inputs!$B$43),G1842*Q1842))*IF(Inputs!$B$38="pvp",1,1+(Inputs!$B$20+Skills!O12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1842*(1-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F1850-Calc!F20)+(F1849-Calc!F19))+(ArtifactsInput!$M$24-ArtifactsInput!$M$24)*CHOOSE(ArtifactsInput!$N$24+1,10,12,14,16,18,20)+(IF(AND(Inputs!$B$38&lt;&gt;"pvp",Inputs!$B$43=0),1,IF(IF(Inputs!$B$38="pvp",15,Inputs!$B$43)-(B1864)&lt;=0,1,MAX(0,IF(Inputs!$B$38="pvp",15,Inputs!$B$43)-MAX(5,B1864))/(IF(Inputs!$B$38="pvp",15,Inputs!$B$43)-(B1864)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2">
        <f>IF(C1842,(H1842*N1842*IF(AND(Inputs!$B$38&lt;&gt;"pvp",Inputs!$B$43&gt;0),((Skills!F12*((R1842-1)*IF(Skills!G12&gt;0,Skills!H12/Skills!G12,1)+IF(Skills!G12&gt;0,MIN(Skills!H12,MAX(0,MAX(0,Inputs!$B$43-B1864)-((R1842-1)*IF(Inputs!$B$38="pvp",15,MAX(0.1,Skills!D12-IF(Skills!E12=TRUE,Inputs!$B$32,0))))))/Skills!G12,1)))/Inputs!$B$43),G1842*Q1842))*IF(Inputs!$B$38="pvp",1,(1+(Inputs!$B$21+Skills!P12+B1858+(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Skills!A13</f>
        <v/>
      </c>
      <c r="B1843">
        <f>Skills!B13</f>
        <v/>
      </c>
      <c r="C1843">
        <f>Inputs!$B$3&gt;=49</f>
        <v/>
      </c>
      <c r="D1843">
        <f>IF(Skills!C13=1,60+Inputs!$B$25+Inputs!$B$29,IF(Skills!C13=2,90+Inputs!$B$26+Inputs!$B$29,IF(Skills!C13=3,120+Inputs!$B$27+Inputs!$B$29,MAX(0,(Inputs!$B$3-100)*3)+Inputs!$B$28+Inputs!$B$29)))</f>
        <v/>
      </c>
      <c r="E1843">
        <f>INDEX(FactorTable!$B$2:$Y$301, MATCH(ROUND(MIN(300,MAX(1,D1843)),0), FactorTable!$A$2:$A$301,0), Skills!L13+1)</f>
        <v/>
      </c>
      <c r="F1843">
        <f>IF(Skills!M13=TRUE,(Skills!K13/10)*(E1843/1000),Skills!K13/10)+Skills!N13</f>
        <v/>
      </c>
      <c r="G1843">
        <f>Calc!G13</f>
        <v/>
      </c>
      <c r="H1843">
        <f>Calc!H13</f>
        <v/>
      </c>
      <c r="I1843">
        <f>IF(Skills!T13&lt;&gt;"",1+(Skills!T13/10)*(Z1833/1000)/100,1)</f>
        <v/>
      </c>
      <c r="J1843" t="inlineStr"/>
      <c r="K1843" t="inlineStr"/>
      <c r="L1843" t="inlineStr"/>
      <c r="M1843" t="inlineStr"/>
      <c r="N1843" t="inlineStr"/>
      <c r="O1843">
        <f>(1-Summary!$B$11)*S1843+Summary!$B$11*U1843</f>
        <v/>
      </c>
      <c r="P1843">
        <f>IF(B1867=0,0,O1843/B1867)</f>
        <v/>
      </c>
      <c r="Q1843">
        <f>IFERROR(1/IF(Inputs!$B$38="pvp",15,MAX(0.1,Skills!D13-IF(Skills!E13=TRUE,Inputs!$B$32,0))),0)</f>
        <v/>
      </c>
      <c r="R1843" t="n">
        <v>0</v>
      </c>
      <c r="S1843" t="n">
        <v>0</v>
      </c>
      <c r="U1843" t="n">
        <v>0</v>
      </c>
    </row>
    <row r="1844">
      <c r="A1844">
        <f>Skills!A14</f>
        <v/>
      </c>
      <c r="B1844">
        <f>Skills!B14</f>
        <v/>
      </c>
      <c r="C1844">
        <f>Inputs!$B$3&gt;=72</f>
        <v/>
      </c>
      <c r="D1844">
        <f>IF(Skills!C14=1,60+Inputs!$B$25+Inputs!$B$29,IF(Skills!C14=2,90+Inputs!$B$26+Inputs!$B$29,IF(Skills!C14=3,120+Inputs!$B$27+Inputs!$B$29,MAX(0,(Inputs!$B$3-100)*3)+Inputs!$B$28+Inputs!$B$29)))</f>
        <v/>
      </c>
      <c r="E1844">
        <f>INDEX(FactorTable!$B$2:$Y$301, MATCH(ROUND(MIN(300,MAX(1,D1844)),0), FactorTable!$A$2:$A$301,0), Skills!L14+1)</f>
        <v/>
      </c>
      <c r="F1844">
        <f>IF(Skills!M14=TRUE,(Skills!K14/10)*(E1844/1000),Skills!K14/10)+Skills!N14</f>
        <v/>
      </c>
      <c r="G1844">
        <f>Calc!G14</f>
        <v/>
      </c>
      <c r="H1844">
        <f>Calc!H14</f>
        <v/>
      </c>
      <c r="I1844">
        <f>IF(Skills!T14&lt;&gt;"",1+(Skills!T14/10)*(Z1833/1000)/100,1)</f>
        <v/>
      </c>
      <c r="J1844" t="inlineStr"/>
      <c r="K1844" t="inlineStr"/>
      <c r="L1844" t="inlineStr"/>
      <c r="M1844" t="inlineStr"/>
      <c r="N1844" t="inlineStr"/>
      <c r="O1844">
        <f>(1-Summary!$B$11)*S1844+Summary!$B$11*U1844</f>
        <v/>
      </c>
      <c r="P1844">
        <f>IF(B1867=0,0,O1844/B1867)</f>
        <v/>
      </c>
      <c r="Q1844">
        <f>IFERROR(1/IF(Inputs!$B$38="pvp",15,MAX(0.1,Skills!D14-IF(Skills!E14=TRUE,Inputs!$B$32,0))),0)</f>
        <v/>
      </c>
      <c r="R1844" t="n">
        <v>0</v>
      </c>
      <c r="S1844" t="n">
        <v>0</v>
      </c>
      <c r="U1844" t="n">
        <v>0</v>
      </c>
    </row>
    <row r="1845">
      <c r="A1845">
        <f>Skills!A15</f>
        <v/>
      </c>
      <c r="B1845">
        <f>Skills!B15</f>
        <v/>
      </c>
      <c r="C1845">
        <f>Inputs!$B$3&gt;=75</f>
        <v/>
      </c>
      <c r="D1845">
        <f>IF(Skills!C15=1,60+Inputs!$B$25+Inputs!$B$29,IF(Skills!C15=2,90+Inputs!$B$26+Inputs!$B$29,IF(Skills!C15=3,120+Inputs!$B$27+Inputs!$B$29,MAX(0,(Inputs!$B$3-100)*3)+Inputs!$B$28+Inputs!$B$29)))</f>
        <v/>
      </c>
      <c r="E1845">
        <f>INDEX(FactorTable!$B$2:$Y$301, MATCH(ROUND(MIN(300,MAX(1,D1845)),0), FactorTable!$A$2:$A$301,0), Skills!L15+1)</f>
        <v/>
      </c>
      <c r="F1845">
        <f>IF(Skills!M15=TRUE,(Skills!K15/10)*(E1845/1000),Skills!K15/10)+Skills!N15</f>
        <v/>
      </c>
      <c r="G1845">
        <f>Calc!G15</f>
        <v/>
      </c>
      <c r="H1845">
        <f>Calc!H15</f>
        <v/>
      </c>
      <c r="I1845">
        <f>IF(Skills!T15&lt;&gt;"",1+(Skills!T15/10)*(Z1833/1000)/100,1)</f>
        <v/>
      </c>
      <c r="J1845" t="inlineStr"/>
      <c r="K1845" t="inlineStr"/>
      <c r="L1845" t="inlineStr"/>
      <c r="M1845" t="inlineStr"/>
      <c r="N1845" t="inlineStr"/>
      <c r="O1845">
        <f>(1-Summary!$B$11)*S1845+Summary!$B$11*U1845</f>
        <v/>
      </c>
      <c r="P1845">
        <f>IF(B1867=0,0,O1845/B1867)</f>
        <v/>
      </c>
      <c r="Q1845">
        <f>IFERROR(1/IF(Inputs!$B$38="pvp",15,MAX(0.1,Skills!D15-IF(Skills!E15=TRUE,Inputs!$B$32,0))),0)</f>
        <v/>
      </c>
      <c r="R1845" t="n">
        <v>0</v>
      </c>
      <c r="S1845" t="n">
        <v>0</v>
      </c>
      <c r="U1845" t="n">
        <v>0</v>
      </c>
    </row>
    <row r="1846">
      <c r="A1846">
        <f>Skills!A16</f>
        <v/>
      </c>
      <c r="B1846">
        <f>Skills!B16</f>
        <v/>
      </c>
      <c r="C1846">
        <f>Inputs!$B$3&gt;=110</f>
        <v/>
      </c>
      <c r="D1846">
        <f>IF(Skills!C16=1,60+Inputs!$B$25+Inputs!$B$29,IF(Skills!C16=2,90+Inputs!$B$26+Inputs!$B$29,IF(Skills!C16=3,120+Inputs!$B$27+Inputs!$B$29,MAX(0,(Inputs!$B$3-100)*3)+Inputs!$B$28+Inputs!$B$29)))</f>
        <v/>
      </c>
      <c r="E1846">
        <f>INDEX(FactorTable!$B$2:$Y$301, MATCH(ROUND(MIN(300,MAX(1,D1846)),0), FactorTable!$A$2:$A$301,0), Skills!L16+1)</f>
        <v/>
      </c>
      <c r="F1846">
        <f>(Skills!K16/10)*(E1846/1000)*64/45+Skills!N16</f>
        <v/>
      </c>
      <c r="G1846">
        <f>Calc!G16</f>
        <v/>
      </c>
      <c r="H1846">
        <f>Calc!H16</f>
        <v/>
      </c>
      <c r="I1846">
        <f>IF(Skills!T16&lt;&gt;"",1+(Skills!T16/10)*(Z1833/1000)/100,1)</f>
        <v/>
      </c>
      <c r="J1846" t="inlineStr"/>
      <c r="K1846" t="inlineStr"/>
      <c r="L1846" t="inlineStr"/>
      <c r="M1846" t="inlineStr"/>
      <c r="N1846" t="inlineStr"/>
      <c r="O1846">
        <f>(1-Summary!$B$11)*S1846+Summary!$B$11*U1846</f>
        <v/>
      </c>
      <c r="P1846">
        <f>IF(B1867=0,0,O1846/B1867)</f>
        <v/>
      </c>
      <c r="Q1846">
        <f>IFERROR(1/IF(Inputs!$B$38="pvp",15,MAX(0.1,Skills!D16-IF(Skills!E16=TRUE,Inputs!$B$32,0))),0)</f>
        <v/>
      </c>
      <c r="R1846">
        <f>IF(AND(Inputs!$B$38&lt;&gt;"pvp",Inputs!$B$43&gt;0),IF(Inputs!$B$43&lt;=0,0,(INT(Inputs!$B$43/IF(Inputs!$B$38="pvp",15,MAX(0.1,Skills!D16-IF(Skills!E16=TRUE,Inputs!$B$32,0))))+1)),0)</f>
        <v/>
      </c>
      <c r="S1846" t="n">
        <v>0</v>
      </c>
      <c r="U1846" t="n">
        <v>0</v>
      </c>
    </row>
    <row r="1847">
      <c r="A1847">
        <f>Skills!A17</f>
        <v/>
      </c>
      <c r="B1847">
        <f>Skills!B17</f>
        <v/>
      </c>
      <c r="C1847">
        <f>Inputs!$B$3&gt;=33</f>
        <v/>
      </c>
      <c r="D1847">
        <f>IF(Skills!C17=1,60+Inputs!$B$25+Inputs!$B$29,IF(Skills!C17=2,90+Inputs!$B$26+Inputs!$B$29,IF(Skills!C17=3,120+Inputs!$B$27+Inputs!$B$29,MAX(0,(Inputs!$B$3-100)*3)+Inputs!$B$28+Inputs!$B$29)))</f>
        <v/>
      </c>
      <c r="E1847">
        <f>INDEX(FactorTable!$B$2:$Y$301, MATCH(ROUND(MIN(300,MAX(1,D1847)),0), FactorTable!$A$2:$A$301,0), Skills!L17+1)</f>
        <v/>
      </c>
      <c r="F1847">
        <f>IF(Skills!M17=TRUE,(Skills!K17/10)*(E1847/1000),Skills!K17/10)+Skills!N17</f>
        <v/>
      </c>
      <c r="G1847">
        <f>Calc!G17</f>
        <v/>
      </c>
      <c r="H1847">
        <f>Calc!H17</f>
        <v/>
      </c>
      <c r="I1847">
        <f>IF(Skills!T17&lt;&gt;"",1+(Skills!T17/10)*(Z1833/1000)/100,1)</f>
        <v/>
      </c>
      <c r="J1847" t="inlineStr"/>
      <c r="K1847" t="inlineStr"/>
      <c r="L1847" t="inlineStr"/>
      <c r="M1847" t="inlineStr"/>
      <c r="N1847" t="inlineStr"/>
      <c r="O1847">
        <f>(1-Summary!$B$11)*S1847+Summary!$B$11*U1847</f>
        <v/>
      </c>
      <c r="P1847">
        <f>IF(B1867=0,0,O1847/B1867)</f>
        <v/>
      </c>
      <c r="Q1847">
        <f>IFERROR(1/IF(Inputs!$B$38="pvp",15,MAX(0.1,Skills!D17-IF(Skills!E17=TRUE,Inputs!$B$32,0))),0)</f>
        <v/>
      </c>
      <c r="R1847" t="n">
        <v>0</v>
      </c>
      <c r="S1847" t="n">
        <v>0</v>
      </c>
      <c r="U1847" t="n">
        <v>0</v>
      </c>
    </row>
    <row r="1848">
      <c r="A1848">
        <f>Skills!A18</f>
        <v/>
      </c>
      <c r="B1848">
        <f>Skills!B18</f>
        <v/>
      </c>
      <c r="C1848">
        <f>Inputs!$B$3&gt;=43</f>
        <v/>
      </c>
      <c r="D1848">
        <f>IF(Skills!C18=1,60+Inputs!$B$25+Inputs!$B$29,IF(Skills!C18=2,90+Inputs!$B$26+Inputs!$B$29,IF(Skills!C18=3,120+Inputs!$B$27+Inputs!$B$29,MAX(0,(Inputs!$B$3-100)*3)+Inputs!$B$28+Inputs!$B$29)))</f>
        <v/>
      </c>
      <c r="E1848">
        <f>INDEX(FactorTable!$B$2:$Y$301, MATCH(ROUND(MIN(300,MAX(1,D1848)),0), FactorTable!$A$2:$A$301,0), Skills!L18+1)</f>
        <v/>
      </c>
      <c r="F1848">
        <f>IF(Skills!M18=TRUE,(Skills!K18/10)*(E1848/1000),Skills!K18/10)+Skills!N18</f>
        <v/>
      </c>
      <c r="G1848">
        <f>Calc!G18</f>
        <v/>
      </c>
      <c r="H1848">
        <f>Calc!H18</f>
        <v/>
      </c>
      <c r="I1848">
        <f>IF(Skills!T18&lt;&gt;"",1+(Skills!T18/10)*(Z1833/1000)/100,1)</f>
        <v/>
      </c>
      <c r="J1848" t="inlineStr"/>
      <c r="K1848" t="inlineStr"/>
      <c r="L1848" t="inlineStr"/>
      <c r="M1848" t="inlineStr"/>
      <c r="N1848" t="inlineStr"/>
      <c r="O1848">
        <f>(1-Summary!$B$11)*S1848+Summary!$B$11*U1848</f>
        <v/>
      </c>
      <c r="P1848">
        <f>IF(B1867=0,0,O1848/B1867)</f>
        <v/>
      </c>
      <c r="Q1848">
        <f>IFERROR(1/IF(Inputs!$B$38="pvp",15,MAX(0.1,Skills!D18-IF(Skills!E18=TRUE,Inputs!$B$32,0))),0)</f>
        <v/>
      </c>
      <c r="R1848" t="n">
        <v>0</v>
      </c>
      <c r="S1848" t="n">
        <v>0</v>
      </c>
      <c r="U1848" t="n">
        <v>0</v>
      </c>
    </row>
    <row r="1849">
      <c r="A1849">
        <f>Skills!A19</f>
        <v/>
      </c>
      <c r="B1849">
        <f>Skills!B19</f>
        <v/>
      </c>
      <c r="C1849">
        <f>Inputs!$B$3&gt;=50</f>
        <v/>
      </c>
      <c r="D1849">
        <f>IF(Skills!C19=1,60+Inputs!$B$25+Inputs!$B$29,IF(Skills!C19=2,90+Inputs!$B$26+Inputs!$B$29,IF(Skills!C19=3,120+Inputs!$B$27+Inputs!$B$29,MAX(0,(Inputs!$B$3-100)*3)+Inputs!$B$28+Inputs!$B$29)))</f>
        <v/>
      </c>
      <c r="E1849">
        <f>INDEX(FactorTable!$B$2:$Y$301, MATCH(ROUND(MIN(300,MAX(1,D1849)),0), FactorTable!$A$2:$A$301,0), Skills!L19+1)</f>
        <v/>
      </c>
      <c r="F1849">
        <f>IF(Skills!M19=TRUE,(Skills!K19/10)*(E1849/1000),Skills!K19/10)+Skills!N19</f>
        <v/>
      </c>
      <c r="G1849">
        <f>Calc!G19</f>
        <v/>
      </c>
      <c r="H1849">
        <f>Calc!H19</f>
        <v/>
      </c>
      <c r="I1849">
        <f>IF(Skills!T19&lt;&gt;"",1+(Skills!T19/10)*(Z1833/1000)/100,1)</f>
        <v/>
      </c>
      <c r="J1849" t="inlineStr"/>
      <c r="K1849" t="inlineStr"/>
      <c r="L1849" t="inlineStr"/>
      <c r="M1849" t="inlineStr"/>
      <c r="N1849" t="inlineStr"/>
      <c r="O1849">
        <f>(1-Summary!$B$11)*S1849+Summary!$B$11*U1849</f>
        <v/>
      </c>
      <c r="P1849">
        <f>IF(B1867=0,0,O1849/B1867)</f>
        <v/>
      </c>
      <c r="Q1849">
        <f>IFERROR(1/IF(Inputs!$B$38="pvp",15,MAX(0.1,Skills!D19-IF(Skills!E19=TRUE,Inputs!$B$32,0))),0)</f>
        <v/>
      </c>
      <c r="R1849" t="n">
        <v>0</v>
      </c>
      <c r="S1849" t="n">
        <v>0</v>
      </c>
      <c r="U1849" t="n">
        <v>0</v>
      </c>
    </row>
    <row r="1850">
      <c r="A1850">
        <f>Skills!A20</f>
        <v/>
      </c>
      <c r="B1850">
        <f>Skills!B20</f>
        <v/>
      </c>
      <c r="C1850">
        <f>Inputs!$B$3&gt;=74</f>
        <v/>
      </c>
      <c r="D1850">
        <f>IF(Skills!C20=1,60+Inputs!$B$25+Inputs!$B$29,IF(Skills!C20=2,90+Inputs!$B$26+Inputs!$B$29,IF(Skills!C20=3,120+Inputs!$B$27+Inputs!$B$29,MAX(0,(Inputs!$B$3-100)*3)+Inputs!$B$28+Inputs!$B$29)))</f>
        <v/>
      </c>
      <c r="E1850">
        <f>INDEX(FactorTable!$B$2:$Y$301, MATCH(ROUND(MIN(300,MAX(1,D1850)),0), FactorTable!$A$2:$A$301,0), Skills!L20+1)</f>
        <v/>
      </c>
      <c r="F1850">
        <f>IF(Skills!M20=TRUE,(Skills!K20/10)*(E1850/1000),Skills!K20/10)+Skills!N20</f>
        <v/>
      </c>
      <c r="G1850">
        <f>Calc!G20</f>
        <v/>
      </c>
      <c r="H1850">
        <f>Calc!H20</f>
        <v/>
      </c>
      <c r="I1850">
        <f>IF(Skills!T20&lt;&gt;"",1+(Skills!T20/10)*(Z1833/1000)/100,1)</f>
        <v/>
      </c>
      <c r="J1850" t="inlineStr"/>
      <c r="K1850" t="inlineStr"/>
      <c r="L1850" t="inlineStr"/>
      <c r="M1850" t="inlineStr"/>
      <c r="N1850" t="inlineStr"/>
      <c r="O1850">
        <f>(1-Summary!$B$11)*S1850+Summary!$B$11*U1850</f>
        <v/>
      </c>
      <c r="P1850">
        <f>IF(B1867=0,0,O1850/B1867)</f>
        <v/>
      </c>
      <c r="Q1850">
        <f>IFERROR(1/IF(Inputs!$B$38="pvp",15,MAX(0.1,Skills!D20-IF(Skills!E20=TRUE,Inputs!$B$32,0))),0)</f>
        <v/>
      </c>
      <c r="R1850" t="n">
        <v>0</v>
      </c>
      <c r="S1850" t="n">
        <v>0</v>
      </c>
      <c r="U1850" t="n">
        <v>0</v>
      </c>
    </row>
    <row r="1851">
      <c r="A1851">
        <f>Skills!A21</f>
        <v/>
      </c>
      <c r="B1851">
        <f>Skills!B21</f>
        <v/>
      </c>
      <c r="C1851">
        <f>Inputs!$B$3&gt;=74</f>
        <v/>
      </c>
      <c r="D1851">
        <f>IF(Skills!C21=1,60+Inputs!$B$25+Inputs!$B$29,IF(Skills!C21=2,90+Inputs!$B$26+Inputs!$B$29,IF(Skills!C21=3,120+Inputs!$B$27+Inputs!$B$29,MAX(0,(Inputs!$B$3-100)*3)+Inputs!$B$28+Inputs!$B$29)))</f>
        <v/>
      </c>
      <c r="E1851">
        <f>INDEX(FactorTable!$B$2:$Y$301, MATCH(ROUND(MIN(300,MAX(1,D1851)),0), FactorTable!$A$2:$A$301,0), Skills!L21+1)</f>
        <v/>
      </c>
      <c r="F1851">
        <f>IF(Skills!M21=TRUE,(Skills!K21/10)*(E1851/1000),Skills!K21/10)+Skills!N21</f>
        <v/>
      </c>
      <c r="G1851">
        <f>Calc!G21</f>
        <v/>
      </c>
      <c r="H1851">
        <f>Calc!H21</f>
        <v/>
      </c>
      <c r="I1851">
        <f>IF(Skills!T21&lt;&gt;"",1+(Skills!T21/10)*(Z1833/1000)/100,1)</f>
        <v/>
      </c>
      <c r="J1851" t="inlineStr"/>
      <c r="K1851" t="inlineStr"/>
      <c r="L1851" t="inlineStr"/>
      <c r="M1851" t="inlineStr"/>
      <c r="N1851" t="inlineStr"/>
      <c r="O1851">
        <f>(1-Summary!$B$11)*S1851+Summary!$B$11*U1851</f>
        <v/>
      </c>
      <c r="P1851">
        <f>IF(B1867=0,0,O1851/B1867)</f>
        <v/>
      </c>
      <c r="Q1851">
        <f>IFERROR(1/IF(Inputs!$B$38="pvp",15,MAX(0.1,Skills!D21-IF(Skills!E21=TRUE,Inputs!$B$32,0))),0)</f>
        <v/>
      </c>
      <c r="R1851" t="n">
        <v>0</v>
      </c>
      <c r="S1851" t="n">
        <v>0</v>
      </c>
      <c r="U1851" t="n">
        <v>0</v>
      </c>
    </row>
    <row r="1852">
      <c r="A1852">
        <f>Skills!A22</f>
        <v/>
      </c>
      <c r="B1852">
        <f>Skills!B22</f>
        <v/>
      </c>
      <c r="C1852">
        <f>Inputs!$B$3&gt;=117</f>
        <v/>
      </c>
      <c r="D1852">
        <f>IF(Skills!C22=1,60+Inputs!$B$25+Inputs!$B$29,IF(Skills!C22=2,90+Inputs!$B$26+Inputs!$B$29,IF(Skills!C22=3,120+Inputs!$B$27+Inputs!$B$29,MAX(0,(Inputs!$B$3-100)*3)+Inputs!$B$28+Inputs!$B$29)))</f>
        <v/>
      </c>
      <c r="E1852">
        <f>INDEX(FactorTable!$B$2:$Y$301, MATCH(ROUND(MIN(300,MAX(1,D1852)),0), FactorTable!$A$2:$A$301,0), Skills!L22+1)</f>
        <v/>
      </c>
      <c r="F1852">
        <f>IF(Skills!M22=TRUE,(Skills!K22/10)*(E1852/1000),Skills!K22/10)+Skills!N22</f>
        <v/>
      </c>
      <c r="G1852">
        <f>Calc!G22</f>
        <v/>
      </c>
      <c r="H1852">
        <f>Calc!H22</f>
        <v/>
      </c>
      <c r="I1852">
        <f>IF(Skills!T22&lt;&gt;"",1+(Skills!T22/10)*(Z1833/1000)/100,1)</f>
        <v/>
      </c>
      <c r="J1852" t="inlineStr"/>
      <c r="K1852" t="inlineStr"/>
      <c r="L1852" t="inlineStr"/>
      <c r="M1852" t="inlineStr"/>
      <c r="N1852" t="inlineStr"/>
      <c r="O1852">
        <f>(1-Summary!$B$11)*S1852+Summary!$B$11*U1852</f>
        <v/>
      </c>
      <c r="P1852">
        <f>IF(B1867=0,0,O1852/B1867)</f>
        <v/>
      </c>
      <c r="Q1852">
        <f>IFERROR(1/IF(Inputs!$B$38="pvp",15,MAX(0.1,Skills!D22-IF(Skills!E22=TRUE,Inputs!$B$32,0))),0)</f>
        <v/>
      </c>
      <c r="R1852" t="n">
        <v>0</v>
      </c>
      <c r="S1852" t="n">
        <v>0</v>
      </c>
      <c r="U1852" t="n">
        <v>0</v>
      </c>
    </row>
    <row r="1853">
      <c r="A1853">
        <f>Skills!A23</f>
        <v/>
      </c>
      <c r="B1853">
        <f>Skills!B23</f>
        <v/>
      </c>
      <c r="C1853">
        <f>Inputs!$B$3&gt;=120</f>
        <v/>
      </c>
      <c r="D1853">
        <f>IF(Skills!C23=1,60+Inputs!$B$25+Inputs!$B$29,IF(Skills!C23=2,90+Inputs!$B$26+Inputs!$B$29,IF(Skills!C23=3,120+Inputs!$B$27+Inputs!$B$29,MAX(0,(Inputs!$B$3-100)*3)+Inputs!$B$28+Inputs!$B$29)))</f>
        <v/>
      </c>
      <c r="E1853">
        <f>INDEX(FactorTable!$B$2:$Y$301, MATCH(ROUND(MIN(300,MAX(1,D1853)),0), FactorTable!$A$2:$A$301,0), Skills!L23+1)</f>
        <v/>
      </c>
      <c r="F1853">
        <f>IF(Skills!M23=TRUE,(Skills!K23/10)*(E1853/1000),Skills!K23/10)+Skills!N23</f>
        <v/>
      </c>
      <c r="G1853">
        <f>Calc!G23</f>
        <v/>
      </c>
      <c r="H1853">
        <f>Calc!H23</f>
        <v/>
      </c>
      <c r="I1853">
        <f>IF(Skills!T23&lt;&gt;"",1+(Skills!T23/10)*(Z1833/1000)/100,1)</f>
        <v/>
      </c>
      <c r="J1853" t="inlineStr"/>
      <c r="K1853" t="inlineStr"/>
      <c r="L1853" t="inlineStr"/>
      <c r="M1853" t="inlineStr"/>
      <c r="N1853" t="inlineStr"/>
      <c r="O1853">
        <f>(1-Summary!$B$11)*S1853+Summary!$B$11*U1853</f>
        <v/>
      </c>
      <c r="P1853">
        <f>IF(B1867=0,0,O1853/B1867)</f>
        <v/>
      </c>
      <c r="Q1853">
        <f>IFERROR(1/IF(Inputs!$B$38="pvp",15,MAX(0.1,Skills!D23-IF(Skills!E23=TRUE,Inputs!$B$32,0))),0)</f>
        <v/>
      </c>
      <c r="R1853" t="n">
        <v>0</v>
      </c>
      <c r="S1853" t="n">
        <v>0</v>
      </c>
      <c r="U1853" t="n">
        <v>0</v>
      </c>
    </row>
    <row r="1854">
      <c r="A1854">
        <f>Skills!A24</f>
        <v/>
      </c>
      <c r="B1854">
        <f>Skills!B24</f>
        <v/>
      </c>
      <c r="C1854">
        <f>TRUE</f>
        <v/>
      </c>
      <c r="D1854">
        <f>IF(Skills!C24=1,60+Inputs!$B$25+Inputs!$B$29,IF(Skills!C24=2,90+Inputs!$B$26+Inputs!$B$29,IF(Skills!C24=3,120+Inputs!$B$27+Inputs!$B$29,MAX(0,(Inputs!$B$3-100)*3)+Inputs!$B$28+Inputs!$B$29)))</f>
        <v/>
      </c>
      <c r="E1854">
        <f>INDEX(FactorTable!$B$2:$Y$301, MATCH(ROUND(MIN(300,MAX(1,D1854)),0), FactorTable!$A$2:$A$301,0), Skills!L24+1)</f>
        <v/>
      </c>
      <c r="F1854">
        <f>IF(Skills!M24=TRUE,(Skills!K24/10)*(E1854/1000),Skills!K24/10)+Skills!N24</f>
        <v/>
      </c>
      <c r="G1854">
        <f>Calc!G24</f>
        <v/>
      </c>
      <c r="H1854">
        <f>Calc!H24</f>
        <v/>
      </c>
      <c r="I1854">
        <f>IF(Skills!T24&lt;&gt;"",1+(Skills!T24/10)*(Z1833/1000)/100,1)</f>
        <v/>
      </c>
      <c r="J1854" t="inlineStr"/>
      <c r="K1854" t="inlineStr"/>
      <c r="L1854" t="inlineStr"/>
      <c r="M1854" t="inlineStr"/>
      <c r="N1854" t="inlineStr"/>
      <c r="O1854">
        <f>(1-Summary!$B$11)*S1854+Summary!$B$11*U1854</f>
        <v/>
      </c>
      <c r="P1854">
        <f>IF(B1867=0,0,O1854/B1867)</f>
        <v/>
      </c>
      <c r="Q1854">
        <f>IFERROR(1/IF(Inputs!$B$38="pvp",15,MAX(0.1,Skills!D24-IF(Skills!E24=TRUE,Inputs!$B$32,0))),0)</f>
        <v/>
      </c>
      <c r="R1854">
        <f>IF(AND(Inputs!$B$38&lt;&gt;"pvp",Inputs!$B$43&gt;0),IF(Inputs!$B$43&lt;=0,0,(INT(Inputs!$B$43/IF(Inputs!$B$38="pvp",15,MAX(0.1,Skills!D24-IF(Skills!E24=TRUE,Inputs!$B$32,0))))+1)),0)</f>
        <v/>
      </c>
      <c r="S1854" t="n">
        <v>0</v>
      </c>
      <c r="U1854" t="n">
        <v>0</v>
      </c>
    </row>
    <row r="1857">
      <c r="A1857" t="inlineStr">
        <is>
          <t>Average Buff Multiplier (Magic Guard + Meditation + Artifact Attack%, summed; then Infinity)</t>
        </is>
      </c>
      <c r="B1857">
        <f>(1+(IF(C1833=TRUE,F1833*IF(AND(Inputs!$B$38&lt;&gt;"pvp",Inputs!$B$43&gt;0),(((R1833-1)*(Skills!S3*(1+(Inputs!$B$34)/100))+MIN((Skills!S3*(1+(Inputs!$B$34)/100)),MAX(0,Inputs!$B$43-((R1833-1)*Skills!D3))))/Inputs!$B$43),IF(Inputs!$B$38="pvp",MIN((Skills!S3*(1+(Inputs!$B$34)/100)),15)/15,(Skills!S3*(1+(Inputs!$B$34)/100))/Skills!D3)),0)+IF(C1834=TRUE,F1834*IF(AND(Inputs!$B$38&lt;&gt;"pvp",Inputs!$B$43&gt;0),(((R1834-1)*(Skills!S4*(1+(Inputs!$B$34)/100))+MIN((Skills!S4*(1+(Inputs!$B$34)/100)),MAX(0,Inputs!$B$43-((R1834-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1846=TRUE,(1+F1846*IF(AND(Inputs!$B$38&lt;&gt;"pvp",Inputs!$B$43&gt;0),(((R1846-1)*(Skills!S16*(1+(Inputs!$B$34)/100))+MIN((Skills!S16*(1+(Inputs!$B$34)/100)),MAX(0,Inputs!$B$43-((R1846-1)*Skills!D16))))/Inputs!$B$43),IF(Inputs!$B$38="pvp",MIN((Skills!S16*(1+(Inputs!$B$34)/100)),15)/15,(Skills!S16*(1+(Inputs!$B$34)/100))/Skills!D16))/100),1)</f>
        <v/>
      </c>
    </row>
    <row r="1858">
      <c r="A1858" t="inlineStr">
        <is>
          <t>Monster Damage Taken Bonus % (Freezing Breath - Weaken + Elemental Reset + Artifact Enemy Damage Taken, summed)</t>
        </is>
      </c>
      <c r="B1858">
        <f>IF(Inputs!$B$3&gt;=118,15*IF(Inputs!$B$38="pvp",MIN((30*(1+(Inputs!$B$34)/100)),15)/15,(30*(1+(Inputs!$B$34)/100))/Skills!D8),0)+IF(C1844=TRUE,F1844,0)+(IF(AND(ArtifactsInput!$M$35,Inputs!$B$4&lt;&gt;"Chapter Hunt"),CHOOSE(ArtifactsInput!$N$35+1,15,18,21,24,27,30)*(1-EXP(-(0.2*B1861)*5)),0)+IF(AND(ArtifactsInput!$M$22,Inputs!$B$4&lt;&gt;"Chapter Hunt"),CHOOSE(ArtifactsInput!$N$22+1,10,12,14,16,18,20)*((0*(((0.15*B1861*5))^0/1)+1*(((0.15*B1861*5))^1/1)+2*(((0.15*B1861*5))^2/2)+3*(((0.15*B1861*5))^3/6)+4*(((0.15*B1861*5))^4/24)+5*(((0.15*B1861*5))^5/120))/((((0.15*B1861*5))^0/1)+(((0.15*B1861*5))^1/1)+(((0.15*B1861*5))^2/2)+(((0.15*B1861*5))^3/6)+(((0.15*B1861*5))^4/24)+(((0.15*B1861*5))^5/120))),0))</f>
        <v/>
      </c>
    </row>
    <row r="1859">
      <c r="A1859" t="inlineStr">
        <is>
          <t>Damage % Bonus (Frozen Break + Frost Clutch, flat)</t>
        </is>
      </c>
      <c r="B1859">
        <f>IF(Inputs!$B$3&gt;=66,15,0)+IF(Inputs!$B$3&gt;=98,10,0)+IF(Inputs!$B$3&gt;=125,20,0)</f>
        <v/>
      </c>
    </row>
    <row r="1860">
      <c r="A1860" t="inlineStr">
        <is>
          <t>Attack Speed Bonus % (MP Eater - MP Boost, always-on + Nimble Feet, duty-cycle averaged)</t>
        </is>
      </c>
      <c r="B1860">
        <f>IF(C1843=TRUE,F1843+(F1847-Calc!F17),0)+((C1854=TRUE)*F1854*IF(AND(Inputs!$B$38&lt;&gt;"pvp",Inputs!$B$43&gt;0),(((R1854-1)*(Skills!S24*(1+(Inputs!$B$34)/100))+MIN((Skills!S24*(1+(Inputs!$B$34)/100)),MAX(0,Inputs!$B$43-((R1854-1)*Skills!D24))))/Inputs!$B$43),IF(Inputs!$B$38="pvp",MIN((Skills!S24*(1+(Inputs!$B$34)/100)),15)/15,(Skills!S24*(1+(Inputs!$B$34)/100))/Skills!D24)))</f>
        <v/>
      </c>
    </row>
    <row r="1861">
      <c r="A1861" t="inlineStr">
        <is>
          <t>Actions Per Second</t>
        </is>
      </c>
      <c r="B1861">
        <f>1+MIN(150,150*(1-(1-(Inputs!$B$11+(ArtifactsInput!$M$15-ArtifactsInput!$M$15)*CHOOSE(ArtifactsInput!$N$15+1,8,9.6,11.2,12.8,14.4,16))/150)*(1-B1860/150)))/100</f>
        <v/>
      </c>
    </row>
    <row r="1862">
      <c r="A1862" t="inlineStr">
        <is>
          <t>Skill + Buff Cast Rate</t>
        </is>
      </c>
      <c r="B1862">
        <f>IF(AND(Inputs!$B$38&lt;&gt;"pvp",Inputs!$B$43&gt;0),SUMPRODUCT((Skills!E2:E24=TRUE)*(C1832:C1854=TRUE)*R1832:R1854)/Inputs!$B$43,SUMPRODUCT((Skills!E2:E24=TRUE)*(C1832:C1854=TRUE)*Q1832:Q1854))</f>
        <v/>
      </c>
    </row>
    <row r="1863">
      <c r="A1863" t="inlineStr">
        <is>
          <t>Chain Lightning Casts Per Second</t>
        </is>
      </c>
      <c r="B1863">
        <f>MAX(0,B1861-B1862)</f>
        <v/>
      </c>
    </row>
    <row r="1864">
      <c r="A1864" t="inlineStr">
        <is>
          <t>Buff-Casting Startup Delay (s, fixed-duration only)</t>
        </is>
      </c>
      <c r="B1864">
        <f>IF(AND(Inputs!$B$38&lt;&gt;"pvp",Inputs!$B$43&gt;0),SUMPRODUCT((Skills!S2:S24&gt;0)*(Skills!E2:E24=TRUE)*(C1832:C1854=TRUE))/B1861,0)</f>
        <v/>
      </c>
    </row>
    <row r="1865">
      <c r="A1865" t="inlineStr">
        <is>
          <t>Boss-Only Total DPS (this block's swept value)</t>
        </is>
      </c>
      <c r="B1865">
        <f>SUM(S1832:S1854)</f>
        <v/>
      </c>
    </row>
    <row r="1866">
      <c r="A1866" t="inlineStr">
        <is>
          <t>Normal-Only Total DPS (this block's swept value)</t>
        </is>
      </c>
      <c r="B1866">
        <f>SUM(U1832:U1854)</f>
        <v/>
      </c>
    </row>
    <row r="1867">
      <c r="A1867" s="6" t="inlineStr">
        <is>
          <t>TOTAL DPS</t>
        </is>
      </c>
      <c r="B1867" s="6">
        <f>SUM(O1832:O1854)</f>
        <v/>
      </c>
    </row>
    <row r="1870">
      <c r="A1870" s="6" t="inlineStr">
        <is>
          <t>Stat: Soul Contract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R1871" t="inlineStr">
        <is>
          <t>helpers</t>
        </is>
      </c>
    </row>
    <row r="1872">
      <c r="A1872">
        <f>Skills!A2</f>
        <v/>
      </c>
      <c r="B1872">
        <f>Skills!B2</f>
        <v/>
      </c>
      <c r="C1872">
        <f>Inputs!$B$3&gt;=100</f>
        <v/>
      </c>
      <c r="D1872" t="inlineStr"/>
      <c r="E1872" t="inlineStr"/>
      <c r="F1872">
        <f>T1874+Skills!N2</f>
        <v/>
      </c>
      <c r="G1872">
        <f>Calc!G2</f>
        <v/>
      </c>
      <c r="H1872">
        <f>Calc!H2</f>
        <v/>
      </c>
      <c r="I1872">
        <f>IF(Skills!T2&lt;&gt;"",1+(Skills!T2/10)*(Z1873/1000)/100,1)</f>
        <v/>
      </c>
      <c r="J1872">
        <f>((Inputs!$B$6*(1+Inputs!$B$7/100))+(((Inputs!$B$12*(1+Inputs!$B$13/100))-(Inputs!$B$12*(1+Inputs!$B$13/100)))+0.25*(Inputs!$B$14-Inputs!$B$14))*(1+Inputs!$B$7/100))*(F1872/100)</f>
        <v/>
      </c>
      <c r="K1872">
        <f>J1872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2="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F1888-Calc!F18),(Inputs!$B$23+(IF(ArtifactsInput!$M$15,CHOOSE(ArtifactsInput!$N$15+1,25,30,35,40,45,50)/100*(Inputs!$B$11-Inputs!$B$11),0))))/100+(Inputs!$B$23+(IF(ArtifactsInput!$M$15,CHOOSE(ArtifactsInput!$N$15+1,25,30,35,40,45,50)/100*(Inputs!$B$11-Inputs!$B$11),0)))/100)/2</f>
        <v/>
      </c>
      <c r="M1872">
        <f>L1872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(1-Summary!$B$11)*S1872+Summary!$B$11*U1872</f>
        <v/>
      </c>
      <c r="P1872">
        <f>IF(B1907=0,0,O1872/B1907)</f>
        <v/>
      </c>
      <c r="Q1872">
        <f>IFERROR(1/IF(Inputs!$B$38="pvp",15,MAX(0.1,Skills!D2-IF(Skills!E2=TRUE,Inputs!$B$32,0))),0)</f>
        <v/>
      </c>
      <c r="R1872" t="n">
        <v>0</v>
      </c>
      <c r="S1872">
        <f>IF(C1872,(Skills!F2*N1872*B1903)*IF(Inputs!$B$38="pvp",1,1+(Inputs!$B$20+Skills!O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1872*(1-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2">
        <f>MAX(0,(Inputs!$B$3-100)*3)+Inputs!$B$28+Inputs!$B$29</f>
        <v/>
      </c>
      <c r="U1872">
        <f>IF(C1872,(Skills!F2*N1872*B1903)*IF(Inputs!$B$38="pvp",1,(1+(Inputs!$B$21+Skills!P2+B1898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2">
        <f>MAX(0,(Inputs!$B$3-100)*3)+Inputs!$B$28+Inputs!$B$29</f>
        <v/>
      </c>
    </row>
    <row r="1873">
      <c r="A1873">
        <f>Skills!A3</f>
        <v/>
      </c>
      <c r="B1873">
        <f>Skills!B3</f>
        <v/>
      </c>
      <c r="C1873">
        <f>Inputs!$B$3&gt;=15</f>
        <v/>
      </c>
      <c r="D1873">
        <f>IF(Skills!C3=1,60+Inputs!$B$25+Inputs!$B$29,IF(Skills!C3=2,90+Inputs!$B$26+Inputs!$B$29,IF(Skills!C3=3,120+Inputs!$B$27+Inputs!$B$29,MAX(0,(Inputs!$B$3-100)*3)+Inputs!$B$28+Inputs!$B$29)))</f>
        <v/>
      </c>
      <c r="E1873">
        <f>INDEX(FactorTable!$B$2:$Y$301, MATCH(ROUND(MIN(300,MAX(1,D1873)),0), FactorTable!$A$2:$A$301,0), Skills!L3+1)</f>
        <v/>
      </c>
      <c r="F1873">
        <f>IF(Skills!M3=TRUE,(Skills!K3/10)*(E1873/1000),Skills!K3/10)+Skills!N3</f>
        <v/>
      </c>
      <c r="G1873">
        <f>Calc!G3</f>
        <v/>
      </c>
      <c r="H1873">
        <f>Calc!H3</f>
        <v/>
      </c>
      <c r="I1873">
        <f>IF(Skills!T3&lt;&gt;"",1+(Skills!T3/10)*(Z1873/1000)/100,1)</f>
        <v/>
      </c>
      <c r="J1873" t="inlineStr"/>
      <c r="K1873" t="inlineStr"/>
      <c r="L1873" t="inlineStr"/>
      <c r="M1873" t="inlineStr"/>
      <c r="N1873" t="inlineStr"/>
      <c r="O1873">
        <f>(1-Summary!$B$11)*S1873+Summary!$B$11*U1873</f>
        <v/>
      </c>
      <c r="P1873">
        <f>IF(B1907=0,0,O1873/B1907)</f>
        <v/>
      </c>
      <c r="Q1873">
        <f>IFERROR(1/IF(Inputs!$B$38="pvp",15,MAX(0.1,Skills!D3-IF(Skills!E3=TRUE,Inputs!$B$32,0))),0)</f>
        <v/>
      </c>
      <c r="R1873">
        <f>IF(AND(Inputs!$B$38&lt;&gt;"pvp",Inputs!$B$43&gt;0),IF(Inputs!$B$43&lt;=0,0,(INT(Inputs!$B$43/IF(Inputs!$B$38="pvp",15,MAX(0.1,Skills!D3-IF(Skills!E3=TRUE,Inputs!$B$32,0))))+1)),0)</f>
        <v/>
      </c>
      <c r="S1873" t="n">
        <v>0</v>
      </c>
      <c r="T1873">
        <f>INDEX(FactorTable!$B$2:$Y$301, MATCH(ROUND(MIN(300,MAX(1,T1872)),0), FactorTable!$A$2:$A$301,0), 22)</f>
        <v/>
      </c>
      <c r="U1873" t="n">
        <v>0</v>
      </c>
      <c r="Z1873">
        <f>INDEX(FactorTable!$B$2:$Y$301, MATCH(ROUND(MIN(300,MAX(1,Z1872)),0), FactorTable!$A$2:$A$301,0), 24)</f>
        <v/>
      </c>
    </row>
    <row r="1874">
      <c r="A1874">
        <f>Skills!A4</f>
        <v/>
      </c>
      <c r="B1874">
        <f>Skills!B4</f>
        <v/>
      </c>
      <c r="C1874">
        <f>Inputs!$B$3&gt;=40</f>
        <v/>
      </c>
      <c r="D1874">
        <f>IF(Skills!C4=1,60+Inputs!$B$25+Inputs!$B$29,IF(Skills!C4=2,90+Inputs!$B$26+Inputs!$B$29,IF(Skills!C4=3,120+Inputs!$B$27+Inputs!$B$29,MAX(0,(Inputs!$B$3-100)*3)+Inputs!$B$28+Inputs!$B$29)))</f>
        <v/>
      </c>
      <c r="E1874">
        <f>INDEX(FactorTable!$B$2:$Y$301, MATCH(ROUND(MIN(300,MAX(1,D1874)),0), FactorTable!$A$2:$A$301,0), Skills!L4+1)</f>
        <v/>
      </c>
      <c r="F1874">
        <f>IF(Skills!M4=TRUE,(Skills!K4/10)*(E1874/1000),Skills!K4/10)+Skills!N4</f>
        <v/>
      </c>
      <c r="G1874">
        <f>Calc!G4</f>
        <v/>
      </c>
      <c r="H1874">
        <f>Calc!H4</f>
        <v/>
      </c>
      <c r="I1874">
        <f>IF(Skills!T4&lt;&gt;"",1+(Skills!T4/10)*(Z1873/1000)/100,1)</f>
        <v/>
      </c>
      <c r="J1874" t="inlineStr"/>
      <c r="K1874" t="inlineStr"/>
      <c r="L1874" t="inlineStr"/>
      <c r="M1874" t="inlineStr"/>
      <c r="N1874" t="inlineStr"/>
      <c r="O1874">
        <f>(1-Summary!$B$11)*S1874+Summary!$B$11*U1874</f>
        <v/>
      </c>
      <c r="P1874">
        <f>IF(B1907=0,0,O1874/B1907)</f>
        <v/>
      </c>
      <c r="Q1874">
        <f>IFERROR(1/IF(Inputs!$B$38="pvp",15,MAX(0.1,Skills!D4-IF(Skills!E4=TRUE,Inputs!$B$32,0))),0)</f>
        <v/>
      </c>
      <c r="R1874">
        <f>IF(AND(Inputs!$B$38&lt;&gt;"pvp",Inputs!$B$43&gt;0),IF(Inputs!$B$43&lt;=0,0,(INT(Inputs!$B$43/IF(Inputs!$B$38="pvp",15,MAX(0.1,Skills!D4-IF(Skills!E4=TRUE,Inputs!$B$32,0))))+1)),0)</f>
        <v/>
      </c>
      <c r="S1874" t="n">
        <v>0</v>
      </c>
      <c r="T1874">
        <f>290*T1873/1000</f>
        <v/>
      </c>
      <c r="U1874" t="n">
        <v>0</v>
      </c>
    </row>
    <row r="1875">
      <c r="A1875">
        <f>Skills!A5</f>
        <v/>
      </c>
      <c r="B1875">
        <f>Skills!B5</f>
        <v/>
      </c>
      <c r="C1875">
        <f>Inputs!$B$3&gt;=38</f>
        <v/>
      </c>
      <c r="D1875">
        <f>IF(Skills!C5=1,60+Inputs!$B$25+Inputs!$B$29,IF(Skills!C5=2,90+Inputs!$B$26+Inputs!$B$29,IF(Skills!C5=3,120+Inputs!$B$27+Inputs!$B$29,MAX(0,(Inputs!$B$3-100)*3)+Inputs!$B$28+Inputs!$B$29)))</f>
        <v/>
      </c>
      <c r="E1875">
        <f>INDEX(FactorTable!$B$2:$Y$301, MATCH(ROUND(MIN(300,MAX(1,D1875)),0), FactorTable!$A$2:$A$301,0), Skills!L5+1)</f>
        <v/>
      </c>
      <c r="F1875">
        <f>IF(Skills!M5=TRUE,(Skills!K5/10)*(E1875/1000),Skills!K5/10)+Skills!N5</f>
        <v/>
      </c>
      <c r="G1875">
        <f>Calc!G5</f>
        <v/>
      </c>
      <c r="H1875">
        <f>Calc!H5</f>
        <v/>
      </c>
      <c r="I1875">
        <f>IF(Skills!T5&lt;&gt;"",1+(Skills!T5/10)*(Z1873/1000)/100,1)</f>
        <v/>
      </c>
      <c r="J1875">
        <f>((Inputs!$B$6*(1+Inputs!$B$7/100))+(((Inputs!$B$12*(1+Inputs!$B$13/100))-(Inputs!$B$12*(1+Inputs!$B$13/100)))+0.25*(Inputs!$B$14-Inputs!$B$14))*(1+Inputs!$B$7/100))*(F1875/100)</f>
        <v/>
      </c>
      <c r="K1875">
        <f>J1875*(1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5="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F1888-Calc!F18),(Inputs!$B$23+(IF(ArtifactsInput!$M$15,CHOOSE(ArtifactsInput!$N$15+1,25,30,35,40,45,50)/100*(Inputs!$B$11-Inputs!$B$11),0))))/100+(Inputs!$B$23+(IF(ArtifactsInput!$M$15,CHOOSE(ArtifactsInput!$N$15+1,25,30,35,40,45,50)/100*(Inputs!$B$11-Inputs!$B$11),0)))/100)/2</f>
        <v/>
      </c>
      <c r="M1875">
        <f>L1875*(1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(1-Summary!$B$11)*S1875+Summary!$B$11*U1875</f>
        <v/>
      </c>
      <c r="P1875">
        <f>IF(B1907=0,0,O1875/B1907)</f>
        <v/>
      </c>
      <c r="Q1875">
        <f>IFERROR(1/IF(Inputs!$B$38="pvp",15,MAX(0.1,Skills!D5-IF(Skills!E5=TRUE,Inputs!$B$32,0))),0)</f>
        <v/>
      </c>
      <c r="R1875">
        <f>IF(AND(Inputs!$B$38&lt;&gt;"pvp",Inputs!$B$43&gt;0),IF(MAX(0,Inputs!$B$43-B1904)&lt;=0,0,(INT(MAX(0,Inputs!$B$43-B1904)/IF(Inputs!$B$38="pvp",15,MAX(0.1,Skills!D5-IF(Skills!E5=TRUE,Inputs!$B$32,0))))+1)),0)</f>
        <v/>
      </c>
      <c r="S1875">
        <f>IF(C1875,(H1875*N1875*IF(AND(Inputs!$B$38&lt;&gt;"pvp",Inputs!$B$43&gt;0),((Skills!F5*((R1875-1)*IF(Skills!G5&gt;0,Skills!H5/Skills!G5,1)+IF(Skills!G5&gt;0,MIN(Skills!H5,MAX(0,MAX(0,Inputs!$B$43-B1904)-((R1875-1)*IF(Inputs!$B$38="pvp",15,MAX(0.1,Skills!D5-IF(Skills!E5=TRUE,Inputs!$B$32,0))))))/Skills!G5,1)))/Inputs!$B$43),G1875*Q1875))*IF(Inputs!$B$38="pvp",1,1+(Inputs!$B$20+Skills!O5+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1875*(1-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IF(C1875,(H1875*N1875*IF(AND(Inputs!$B$38&lt;&gt;"pvp",Inputs!$B$43&gt;0),((Skills!F5*((R1875-1)*IF(Skills!G5&gt;0,Skills!H5/Skills!G5,1)+IF(Skills!G5&gt;0,MIN(Skills!H5,MAX(0,MAX(0,Inputs!$B$43-B1904)-((R1875-1)*IF(Inputs!$B$38="pvp",15,MAX(0.1,Skills!D5-IF(Skills!E5=TRUE,Inputs!$B$32,0))))))/Skills!G5,1)))/Inputs!$B$43),G1875*Q1875))*IF(Inputs!$B$38="pvp",1,(1+(Inputs!$B$21+Skills!P5+B1898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Skills!A6</f>
        <v/>
      </c>
      <c r="B1876">
        <f>Skills!B6</f>
        <v/>
      </c>
      <c r="C1876">
        <f>Inputs!$B$3&gt;=63</f>
        <v/>
      </c>
      <c r="D1876">
        <f>IF(Skills!C6=1,60+Inputs!$B$25+Inputs!$B$29,IF(Skills!C6=2,90+Inputs!$B$26+Inputs!$B$29,IF(Skills!C6=3,120+Inputs!$B$27+Inputs!$B$29,MAX(0,(Inputs!$B$3-100)*3)+Inputs!$B$28+Inputs!$B$29)))</f>
        <v/>
      </c>
      <c r="E1876">
        <f>INDEX(FactorTable!$B$2:$Y$301, MATCH(ROUND(MIN(300,MAX(1,D1876)),0), FactorTable!$A$2:$A$301,0), Skills!L6+1)</f>
        <v/>
      </c>
      <c r="F1876">
        <f>IF(Skills!M6=TRUE,(Skills!K6/10)*(E1876/1000),Skills!K6/10)+Skills!N6</f>
        <v/>
      </c>
      <c r="G1876">
        <f>Calc!G6</f>
        <v/>
      </c>
      <c r="H1876">
        <f>Calc!H6</f>
        <v/>
      </c>
      <c r="I1876">
        <f>IF(Skills!T6&lt;&gt;"",1+(Skills!T6/10)*(Z1873/1000)/100,1)</f>
        <v/>
      </c>
      <c r="J1876">
        <f>((Inputs!$B$6*(1+Inputs!$B$7/100))+(((Inputs!$B$12*(1+Inputs!$B$13/100))-(Inputs!$B$12*(1+Inputs!$B$13/100)))+0.25*(Inputs!$B$14-Inputs!$B$14))*(1+Inputs!$B$7/100))*(F1876/100)</f>
        <v/>
      </c>
      <c r="K1876">
        <f>J1876*(1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6="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1888-Calc!F18),(Inputs!$B$23+(IF(ArtifactsInput!$M$15,CHOOSE(ArtifactsInput!$N$15+1,25,30,35,40,45,50)/100*(Inputs!$B$11-Inputs!$B$11),0))))/100+(Inputs!$B$23+(IF(ArtifactsInput!$M$15,CHOOSE(ArtifactsInput!$N$15+1,25,30,35,40,45,50)/100*(Inputs!$B$11-Inputs!$B$11),0)))/100)/2</f>
        <v/>
      </c>
      <c r="M1876">
        <f>L1876*(1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IF(B1907=0,0,O1876/B1907)</f>
        <v/>
      </c>
      <c r="Q1876">
        <f>IFERROR(1/IF(Inputs!$B$38="pvp",15,MAX(0.1,Skills!D6-IF(Skills!E6=TRUE,Inputs!$B$32,0))),0)</f>
        <v/>
      </c>
      <c r="R1876">
        <f>IF(AND(Inputs!$B$38&lt;&gt;"pvp",Inputs!$B$43&gt;0),IF(MAX(0,Inputs!$B$43-B1904)&lt;=0,0,(INT(MAX(0,Inputs!$B$43-B1904)/IF(Inputs!$B$38="pvp",15,MAX(0.1,Skills!D6-IF(Skills!E6=TRUE,Inputs!$B$32,0))))+1)),0)</f>
        <v/>
      </c>
      <c r="S1876">
        <f>IF(C1876,(H1876*N1876*IF(AND(Inputs!$B$38&lt;&gt;"pvp",Inputs!$B$43&gt;0),((Skills!F6*((R1876-1)*IF(Skills!G6&gt;0,Skills!H6/Skills!G6,1)+IF(Skills!G6&gt;0,MIN(Skills!H6,MAX(0,MAX(0,Inputs!$B$43-B1904)-((R1876-1)*IF(Inputs!$B$38="pvp",15,MAX(0.1,Skills!D6-IF(Skills!E6=TRUE,Inputs!$B$32,0))))))/Skills!G6,1)))/Inputs!$B$43),G1876*Q1876))*IF(Inputs!$B$38="pvp",1,1+(Inputs!$B$20+Skills!O6+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6">
        <f>IF(C1876,(H1876*N1876*IF(AND(Inputs!$B$38&lt;&gt;"pvp",Inputs!$B$43&gt;0),((Skills!F6*((R1876-1)*IF(Skills!G6&gt;0,Skills!H6/Skills!G6,1)+IF(Skills!G6&gt;0,MIN(Skills!H6,MAX(0,MAX(0,Inputs!$B$43-B1904)-((R1876-1)*IF(Inputs!$B$38="pvp",15,MAX(0.1,Skills!D6-IF(Skills!E6=TRUE,Inputs!$B$32,0))))))/Skills!G6,1)))/Inputs!$B$43),G1876*Q1876))*IF(Inputs!$B$38="pvp",1,(1+(Inputs!$B$21+Skills!P6+B1898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Skills!A7</f>
        <v/>
      </c>
      <c r="B1877">
        <f>Skills!B7</f>
        <v/>
      </c>
      <c r="C1877">
        <f>Inputs!$B$3&gt;=69</f>
        <v/>
      </c>
      <c r="D1877">
        <f>IF(Skills!C7=1,60+Inputs!$B$25+Inputs!$B$29,IF(Skills!C7=2,90+Inputs!$B$26+Inputs!$B$29,IF(Skills!C7=3,120+Inputs!$B$27+Inputs!$B$29,MAX(0,(Inputs!$B$3-100)*3)+Inputs!$B$28+Inputs!$B$29)))</f>
        <v/>
      </c>
      <c r="E1877">
        <f>INDEX(FactorTable!$B$2:$Y$301, MATCH(ROUND(MIN(300,MAX(1,D1877)),0), FactorTable!$A$2:$A$301,0), Skills!L7+1)</f>
        <v/>
      </c>
      <c r="F1877">
        <f>IF(Skills!M7=TRUE,(Skills!K7/10)*(E1877/1000),Skills!K7/10)+Skills!N7</f>
        <v/>
      </c>
      <c r="G1877">
        <f>Calc!G7</f>
        <v/>
      </c>
      <c r="H1877">
        <f>Calc!H7</f>
        <v/>
      </c>
      <c r="I1877">
        <f>IF(Skills!T7&lt;&gt;"",1+(Skills!T7/10)*(Z1873/1000)/100,1)</f>
        <v/>
      </c>
      <c r="J1877">
        <f>((Inputs!$B$6*(1+Inputs!$B$7/100))+(((Inputs!$B$12*(1+Inputs!$B$13/100))-(Inputs!$B$12*(1+Inputs!$B$13/100)))+0.25*(Inputs!$B$14-Inputs!$B$14))*(1+Inputs!$B$7/100))*(F1877/100)</f>
        <v/>
      </c>
      <c r="K1877">
        <f>J1877*(1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7="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1888-Calc!F18),(Inputs!$B$23+(IF(ArtifactsInput!$M$15,CHOOSE(ArtifactsInput!$N$15+1,25,30,35,40,45,50)/100*(Inputs!$B$11-Inputs!$B$11),0))))/100+(Inputs!$B$23+(IF(ArtifactsInput!$M$15,CHOOSE(ArtifactsInput!$N$15+1,25,30,35,40,45,50)/100*(Inputs!$B$11-Inputs!$B$11),0)))/100)/2</f>
        <v/>
      </c>
      <c r="M1877">
        <f>L1877*(1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IF(B1907=0,0,O1877/B1907)</f>
        <v/>
      </c>
      <c r="Q1877">
        <f>IFERROR(1/IF(Inputs!$B$38="pvp",15,MAX(0.1,Skills!D7-IF(Skills!E7=TRUE,Inputs!$B$32,0))),0)</f>
        <v/>
      </c>
      <c r="R1877">
        <f>IF(AND(Inputs!$B$38&lt;&gt;"pvp",Inputs!$B$43&gt;0),IF(MAX(0,Inputs!$B$43-B1904)&lt;=0,0,(INT(MAX(0,Inputs!$B$43-B1904)/IF(Inputs!$B$38="pvp",15,MAX(0.1,Skills!D7-IF(Skills!E7=TRUE,Inputs!$B$32,0))))+1)),0)</f>
        <v/>
      </c>
      <c r="S1877">
        <f>IF(C1877,(H1877*N1877*IF(AND(Inputs!$B$38&lt;&gt;"pvp",Inputs!$B$43&gt;0),((Skills!F7*((R1877-1)*IF(Skills!G7&gt;0,Skills!H7/Skills!G7,1)+IF(Skills!G7&gt;0,MIN(Skills!H7,MAX(0,MAX(0,Inputs!$B$43-B1904)-((R1877-1)*IF(Inputs!$B$38="pvp",15,MAX(0.1,Skills!D7-IF(Skills!E7=TRUE,Inputs!$B$32,0))))))/Skills!G7,1)))/Inputs!$B$43),G1877*Q1877))*IF(Inputs!$B$38="pvp",1,1+(Inputs!$B$20+Skills!O7+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IF(C1877,(H1877*N1877*IF(AND(Inputs!$B$38&lt;&gt;"pvp",Inputs!$B$43&gt;0),((Skills!F7*((R1877-1)*IF(Skills!G7&gt;0,Skills!H7/Skills!G7,1)+IF(Skills!G7&gt;0,MIN(Skills!H7,MAX(0,MAX(0,Inputs!$B$43-B1904)-((R1877-1)*IF(Inputs!$B$38="pvp",15,MAX(0.1,Skills!D7-IF(Skills!E7=TRUE,Inputs!$B$32,0))))))/Skills!G7,1)))/Inputs!$B$43),G1877*Q1877))*IF(Inputs!$B$38="pvp",1,(1+(Inputs!$B$21+Skills!P7+B1898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Skills!A8</f>
        <v/>
      </c>
      <c r="B1878">
        <f>Skills!B8</f>
        <v/>
      </c>
      <c r="C1878">
        <f>Inputs!$B$3&gt;=103</f>
        <v/>
      </c>
      <c r="D1878">
        <f>IF(Skills!C8=1,60+Inputs!$B$25+Inputs!$B$29,IF(Skills!C8=2,90+Inputs!$B$26+Inputs!$B$29,IF(Skills!C8=3,120+Inputs!$B$27+Inputs!$B$29,MAX(0,(Inputs!$B$3-100)*3)+Inputs!$B$28+Inputs!$B$29)))</f>
        <v/>
      </c>
      <c r="E1878">
        <f>INDEX(FactorTable!$B$2:$Y$301, MATCH(ROUND(MIN(300,MAX(1,D1878)),0), FactorTable!$A$2:$A$301,0), Skills!L8+1)</f>
        <v/>
      </c>
      <c r="F1878">
        <f>IF(Skills!M8=TRUE,(Skills!K8/10)*(E1878/1000),Skills!K8/10)+Skills!N8</f>
        <v/>
      </c>
      <c r="G1878">
        <f>Calc!G8</f>
        <v/>
      </c>
      <c r="H1878">
        <f>Calc!H8</f>
        <v/>
      </c>
      <c r="I1878">
        <f>IF(Skills!T8&lt;&gt;"",1+(Skills!T8/10)*(Z1873/1000)/100,1)</f>
        <v/>
      </c>
      <c r="J1878">
        <f>((Inputs!$B$6*(1+Inputs!$B$7/100))+(((Inputs!$B$12*(1+Inputs!$B$13/100))-(Inputs!$B$12*(1+Inputs!$B$13/100)))+0.25*(Inputs!$B$14-Inputs!$B$14))*(1+Inputs!$B$7/100))*(F1878/100)</f>
        <v/>
      </c>
      <c r="K1878">
        <f>J1878*(1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8="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1888-Calc!F18),(Inputs!$B$23+(IF(ArtifactsInput!$M$15,CHOOSE(ArtifactsInput!$N$15+1,25,30,35,40,45,50)/100*(Inputs!$B$11-Inputs!$B$11),0))))/100+(Inputs!$B$23+(IF(ArtifactsInput!$M$15,CHOOSE(ArtifactsInput!$N$15+1,25,30,35,40,45,50)/100*(Inputs!$B$11-Inputs!$B$11),0)))/100)/2</f>
        <v/>
      </c>
      <c r="M1878">
        <f>L1878*(1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IF(B1907=0,0,O1878/B1907)</f>
        <v/>
      </c>
      <c r="Q1878">
        <f>IFERROR(1/IF(Inputs!$B$38="pvp",15,MAX(0.1,Skills!D8-IF(Skills!E8=TRUE,Inputs!$B$32,0))),0)</f>
        <v/>
      </c>
      <c r="R1878">
        <f>IF(AND(Inputs!$B$38&lt;&gt;"pvp",Inputs!$B$43&gt;0),IF(MAX(0,Inputs!$B$43-B1904)&lt;=0,0,(INT(MAX(0,Inputs!$B$43-B1904)/IF(Inputs!$B$38="pvp",15,MAX(0.1,Skills!D8-IF(Skills!E8=TRUE,Inputs!$B$32,0))))+1)),0)</f>
        <v/>
      </c>
      <c r="S1878">
        <f>IF(C1878,(H1878*N1878*IF(AND(Inputs!$B$38&lt;&gt;"pvp",Inputs!$B$43&gt;0),((Skills!F8*((R1878-1)*IF(Skills!G8&gt;0,Skills!H8/Skills!G8,1)+IF(Skills!G8&gt;0,MIN(Skills!H8,MAX(0,MAX(0,Inputs!$B$43-B1904)-((R1878-1)*IF(Inputs!$B$38="pvp",15,MAX(0.1,Skills!D8-IF(Skills!E8=TRUE,Inputs!$B$32,0))))))/Skills!G8,1)))/Inputs!$B$43),G1878*Q1878))*IF(Inputs!$B$38="pvp",1,1+(Inputs!$B$20+Skills!O8+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F(C1878,(H1878*N1878*IF(AND(Inputs!$B$38&lt;&gt;"pvp",Inputs!$B$43&gt;0),((Skills!F8*((R1878-1)*IF(Skills!G8&gt;0,Skills!H8/Skills!G8,1)+IF(Skills!G8&gt;0,MIN(Skills!H8,MAX(0,MAX(0,Inputs!$B$43-B1904)-((R1878-1)*IF(Inputs!$B$38="pvp",15,MAX(0.1,Skills!D8-IF(Skills!E8=TRUE,Inputs!$B$32,0))))))/Skills!G8,1)))/Inputs!$B$43),G1878*Q1878))*IF(Inputs!$B$38="pvp",1,(1+(Inputs!$B$21+Skills!P8+B1898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Skills!A9</f>
        <v/>
      </c>
      <c r="B1879">
        <f>Skills!B9</f>
        <v/>
      </c>
      <c r="C1879">
        <f>Inputs!$B$3&gt;=105</f>
        <v/>
      </c>
      <c r="D1879">
        <f>IF(Skills!C9=1,60+Inputs!$B$25+Inputs!$B$29,IF(Skills!C9=2,90+Inputs!$B$26+Inputs!$B$29,IF(Skills!C9=3,120+Inputs!$B$27+Inputs!$B$29,MAX(0,(Inputs!$B$3-100)*3)+Inputs!$B$28+Inputs!$B$29)))</f>
        <v/>
      </c>
      <c r="E1879">
        <f>INDEX(FactorTable!$B$2:$Y$301, MATCH(ROUND(MIN(300,MAX(1,D1879)),0), FactorTable!$A$2:$A$301,0), Skills!L9+1)</f>
        <v/>
      </c>
      <c r="F1879">
        <f>IF(Skills!M9=TRUE,(Skills!K9/10)*(E1879/1000),Skills!K9/10)+Skills!N9</f>
        <v/>
      </c>
      <c r="G1879">
        <f>Calc!G9</f>
        <v/>
      </c>
      <c r="H1879">
        <f>Calc!H9</f>
        <v/>
      </c>
      <c r="I1879">
        <f>IF(Skills!T9&lt;&gt;"",1+(Skills!T9/10)*(Z1873/1000)/100,1)</f>
        <v/>
      </c>
      <c r="J1879">
        <f>((Inputs!$B$6*(1+Inputs!$B$7/100))+(((Inputs!$B$12*(1+Inputs!$B$13/100))-(Inputs!$B$12*(1+Inputs!$B$13/100)))+0.25*(Inputs!$B$14-Inputs!$B$14))*(1+Inputs!$B$7/100))*(F1879/100)</f>
        <v/>
      </c>
      <c r="K1879">
        <f>J1879*(1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9="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1888-Calc!F18),(Inputs!$B$23+(IF(ArtifactsInput!$M$15,CHOOSE(ArtifactsInput!$N$15+1,25,30,35,40,45,50)/100*(Inputs!$B$11-Inputs!$B$11),0))))/100+(Inputs!$B$23+(IF(ArtifactsInput!$M$15,CHOOSE(ArtifactsInput!$N$15+1,25,30,35,40,45,50)/100*(Inputs!$B$11-Inputs!$B$11),0)))/100)/2</f>
        <v/>
      </c>
      <c r="M1879">
        <f>L1879*(1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IF(B1907=0,0,O1879/B1907)</f>
        <v/>
      </c>
      <c r="Q1879">
        <f>IFERROR(1/IF(Inputs!$B$38="pvp",15,MAX(0.1,Skills!D9-IF(Skills!E9=TRUE,Inputs!$B$32,0))),0)</f>
        <v/>
      </c>
      <c r="R1879">
        <f>IF(AND(Inputs!$B$38&lt;&gt;"pvp",Inputs!$B$43&gt;0),IF(MAX(0,Inputs!$B$43-B1904)&lt;=0,0,(INT(MAX(0,Inputs!$B$43-B1904)/IF(Inputs!$B$38="pvp",15,MAX(0.1,Skills!D9-IF(Skills!E9=TRUE,Inputs!$B$32,0))))+1)),0)</f>
        <v/>
      </c>
      <c r="S1879">
        <f>IF(C1879,(H1879*N1879*IF(AND(Inputs!$B$38&lt;&gt;"pvp",Inputs!$B$43&gt;0),((Skills!F9*((R1879-1)*IF(Skills!G9&gt;0,Skills!H9/Skills!G9,1)+IF(Skills!G9&gt;0,MIN(Skills!H9,MAX(0,MAX(0,Inputs!$B$43-B1904)-((R1879-1)*IF(Inputs!$B$38="pvp",15,MAX(0.1,Skills!D9-IF(Skills!E9=TRUE,Inputs!$B$32,0))))))/Skills!G9,1)))/Inputs!$B$43),G1879*Q1879))*IF(Inputs!$B$38="pvp",1,1+(Inputs!$B$20+Skills!O9+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F9*((R1879-1)*IF(Skills!G9&gt;0,Skills!H9/Skills!G9,1)+IF(Skills!G9&gt;0,MIN(Skills!H9,MAX(0,MAX(0,Inputs!$B$43-B1904)-((R1879-1)*IF(Inputs!$B$38="pvp",15,MAX(0.1,Skills!D9-IF(Skills!E9=TRUE,Inputs!$B$32,0))))))/Skills!G9,1)))/Inputs!$B$43),G1879*Q1879))*IF(Inputs!$B$38="pvp",1,(1+(Inputs!$B$21+Skills!P9+B1898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Skills!A10</f>
        <v/>
      </c>
      <c r="B1880">
        <f>Skills!B10</f>
        <v/>
      </c>
      <c r="C1880">
        <f>Inputs!$B$3&gt;=113</f>
        <v/>
      </c>
      <c r="D1880">
        <f>IF(Skills!C10=1,60+Inputs!$B$25+Inputs!$B$29,IF(Skills!C10=2,90+Inputs!$B$26+Inputs!$B$29,IF(Skills!C10=3,120+Inputs!$B$27+Inputs!$B$29,MAX(0,(Inputs!$B$3-100)*3)+Inputs!$B$28+Inputs!$B$29)))</f>
        <v/>
      </c>
      <c r="E1880">
        <f>INDEX(FactorTable!$B$2:$Y$301, MATCH(ROUND(MIN(300,MAX(1,D1880)),0), FactorTable!$A$2:$A$301,0), Skills!L10+1)</f>
        <v/>
      </c>
      <c r="F1880">
        <f>IF(Skills!M10=TRUE,(Skills!K10/10)*(E1880/1000),Skills!K10/10)+Skills!N10</f>
        <v/>
      </c>
      <c r="G1880">
        <f>Calc!G10</f>
        <v/>
      </c>
      <c r="H1880">
        <f>Calc!H10</f>
        <v/>
      </c>
      <c r="I1880">
        <f>IF(Skills!T10&lt;&gt;"",1+(Skills!T10/10)*(Z1873/1000)/100,1)</f>
        <v/>
      </c>
      <c r="J1880">
        <f>((Inputs!$B$6*(1+Inputs!$B$7/100))+(((Inputs!$B$12*(1+Inputs!$B$13/100))-(Inputs!$B$12*(1+Inputs!$B$13/100)))+0.25*(Inputs!$B$14-Inputs!$B$14))*(1+Inputs!$B$7/100))*(F1880/100)</f>
        <v/>
      </c>
      <c r="K1880">
        <f>J1880*(1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10="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F1888-Calc!F18),(Inputs!$B$23+(IF(ArtifactsInput!$M$15,CHOOSE(ArtifactsInput!$N$15+1,25,30,35,40,45,50)/100*(Inputs!$B$11-Inputs!$B$11),0))))/100+(Inputs!$B$23+(IF(ArtifactsInput!$M$15,CHOOSE(ArtifactsInput!$N$15+1,25,30,35,40,45,50)/100*(Inputs!$B$11-Inputs!$B$11),0)))/100)/2</f>
        <v/>
      </c>
      <c r="M1880">
        <f>L1880*(1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(1-Summary!$B$11)*S1880+Summary!$B$11*U1880</f>
        <v/>
      </c>
      <c r="P1880">
        <f>IF(B1907=0,0,O1880/B1907)</f>
        <v/>
      </c>
      <c r="Q1880">
        <f>IFERROR(1/IF(Inputs!$B$38="pvp",15,MAX(0.1,Skills!D10-IF(Skills!E9=TRUE,Inputs!$B$32,0))),0)</f>
        <v/>
      </c>
      <c r="R1880">
        <f>IF(AND(Inputs!$B$38&lt;&gt;"pvp",Inputs!$B$43&gt;0),IF(MAX(0,Inputs!$B$43-B1904)&lt;=0,0,(INT(MAX(0,Inputs!$B$43-B1904)/IF(Inputs!$B$38="pvp",15,MAX(0.1,Skills!D10-IF(Skills!E9=TRUE,Inputs!$B$32,0))))+1)),0)</f>
        <v/>
      </c>
      <c r="S1880">
        <f>IF(C1880,(H1880*N1880*IF(AND(Inputs!$B$38&lt;&gt;"pvp",Inputs!$B$43&gt;0),((Skills!F10*((R1880-1)*IF(Skills!G10&gt;0,Skills!H10/Skills!G10,1)+IF(Skills!G10&gt;0,MIN(Skills!H10,MAX(0,MAX(0,Inputs!$B$43-B1904)-((R1880-1)*IF(Inputs!$B$38="pvp",15,MAX(0.1,Skills!D10-IF(Skills!E9=TRUE,Inputs!$B$32,0))))))/Skills!G10,1)))/Inputs!$B$43),G1880*Q1880))*IF(Inputs!$B$38="pvp",1,1+(Inputs!$B$20+Skills!O10+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1880*(1-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F(C1880,(H1880*N1880*IF(AND(Inputs!$B$38&lt;&gt;"pvp",Inputs!$B$43&gt;0),((Skills!F10*((R1880-1)*IF(Skills!G10&gt;0,Skills!H10/Skills!G10,1)+IF(Skills!G10&gt;0,MIN(Skills!H10,MAX(0,MAX(0,Inputs!$B$43-B1904)-((R1880-1)*IF(Inputs!$B$38="pvp",15,MAX(0.1,Skills!D10-IF(Skills!E9=TRUE,Inputs!$B$32,0))))))/Skills!G10,1)))/Inputs!$B$43),G1880*Q1880))*IF(Inputs!$B$38="pvp",1,(1+(Inputs!$B$21+Skills!P10+B1898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Skills!A11</f>
        <v/>
      </c>
      <c r="B1881">
        <f>Skills!B11</f>
        <v/>
      </c>
      <c r="C1881">
        <f>Inputs!$B$3&gt;=107</f>
        <v/>
      </c>
      <c r="D1881">
        <f>IF(Skills!C11=1,60+Inputs!$B$25+Inputs!$B$29,IF(Skills!C11=2,90+Inputs!$B$26+Inputs!$B$29,IF(Skills!C11=3,120+Inputs!$B$27+Inputs!$B$29,MAX(0,(Inputs!$B$3-100)*3)+Inputs!$B$28+Inputs!$B$29)))</f>
        <v/>
      </c>
      <c r="E1881">
        <f>INDEX(FactorTable!$B$2:$Y$301, MATCH(ROUND(MIN(300,MAX(1,D1881)),0), FactorTable!$A$2:$A$301,0), Skills!L11+1)</f>
        <v/>
      </c>
      <c r="F1881">
        <f>IF(Skills!M11=TRUE,(Skills!K11/10)*(E1881/1000),Skills!K11/10)+Skills!N11</f>
        <v/>
      </c>
      <c r="G1881">
        <f>Calc!G11</f>
        <v/>
      </c>
      <c r="H1881">
        <f>Calc!H11</f>
        <v/>
      </c>
      <c r="I1881">
        <f>IF(Skills!T11&lt;&gt;"",1+(Skills!T11/10)*(Z1873/1000)/100,1)</f>
        <v/>
      </c>
      <c r="J1881">
        <f>((Inputs!$B$6*(1+Inputs!$B$7/100))+(((Inputs!$B$12*(1+Inputs!$B$13/100))-(Inputs!$B$12*(1+Inputs!$B$13/100)))+0.25*(Inputs!$B$14-Inputs!$B$14))*(1+Inputs!$B$7/100))*(F1881/100)</f>
        <v/>
      </c>
      <c r="K1881">
        <f>J1881*(1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11="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1888-Calc!F18),(Inputs!$B$23+(IF(ArtifactsInput!$M$15,CHOOSE(ArtifactsInput!$N$15+1,25,30,35,40,45,50)/100*(Inputs!$B$11-Inputs!$B$11),0))))/100+(Inputs!$B$23+(IF(ArtifactsInput!$M$15,CHOOSE(ArtifactsInput!$N$15+1,25,30,35,40,45,50)/100*(Inputs!$B$11-Inputs!$B$11),0)))/100)/2</f>
        <v/>
      </c>
      <c r="M1881">
        <f>L1881*(1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IF(B1907=0,0,O1881/B1907)</f>
        <v/>
      </c>
      <c r="Q1881">
        <f>IFERROR(1/IF(Inputs!$B$38="pvp",15,MAX(0.1,Skills!D11-IF(Skills!E11=TRUE,Inputs!$B$32,0))),0)</f>
        <v/>
      </c>
      <c r="R1881">
        <f>IF(AND(Inputs!$B$38&lt;&gt;"pvp",Inputs!$B$43&gt;0),IF(MAX(0,Inputs!$B$43-B1904)&lt;=0,0,(INT(MAX(0,Inputs!$B$43-B1904)/IF(Inputs!$B$38="pvp",15,MAX(0.1,Skills!D11-IF(Skills!E11=TRUE,Inputs!$B$32,0))))+1)),0)</f>
        <v/>
      </c>
      <c r="S1881">
        <f>IF(C1881,H1881*N1881*IF(AND(Inputs!$B$38&lt;&gt;"pvp",Inputs!$B$43&gt;0),((Skills!F11*((R1881-1)*IF(Skills!G11&gt;0,Skills!H11/Skills!G11,1)+IF(Skills!G11&gt;0,MIN(Skills!H11,MAX(0,MAX(0,Inputs!$B$43-B1904)-((R1881-1)*IF(Inputs!$B$38="pvp",15,MAX(0.1,Skills!D11-IF(Skills!E11=TRUE,Inputs!$B$32,0))))))/Skills!G11,1)))/Inputs!$B$43),G1881*Q1881)*0.5*IF(Inputs!$B$38="pvp",1,1+(Inputs!$B$20+Skills!O11+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F11*((R1881-1)*IF(Skills!G11&gt;0,Skills!H11/Skills!G11,1)+IF(Skills!G11&gt;0,MIN(Skills!H11,MAX(0,MAX(0,Inputs!$B$43-B1904)-((R1881-1)*IF(Inputs!$B$38="pvp",15,MAX(0.1,Skills!D11-IF(Skills!E11=TRUE,Inputs!$B$32,0))))))/Skills!G11,1)))/Inputs!$B$43),G1881*Q1881)*1*IF(Inputs!$B$38="pvp",1,(1+(Inputs!$B$21+Skills!P11+B1898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Skills!A12</f>
        <v/>
      </c>
      <c r="B1882">
        <f>Skills!B12</f>
        <v/>
      </c>
      <c r="C1882">
        <f>Inputs!$B$3&gt;=115</f>
        <v/>
      </c>
      <c r="D1882">
        <f>IF(Skills!C12=1,60+Inputs!$B$25+Inputs!$B$29,IF(Skills!C12=2,90+Inputs!$B$26+Inputs!$B$29,IF(Skills!C12=3,120+Inputs!$B$27+Inputs!$B$29,MAX(0,(Inputs!$B$3-100)*3)+Inputs!$B$28+Inputs!$B$29)))</f>
        <v/>
      </c>
      <c r="E1882">
        <f>INDEX(FactorTable!$B$2:$Y$301, MATCH(ROUND(MIN(300,MAX(1,D1882)),0), FactorTable!$A$2:$A$301,0), Skills!L12+1)</f>
        <v/>
      </c>
      <c r="F1882">
        <f>IF(Skills!M12=TRUE,(Skills!K12/10)*(E1882/1000),Skills!K12/10)+Skills!N12</f>
        <v/>
      </c>
      <c r="G1882">
        <f>Calc!G12</f>
        <v/>
      </c>
      <c r="H1882">
        <f>Calc!H12</f>
        <v/>
      </c>
      <c r="I1882">
        <f>IF(Skills!T12&lt;&gt;"",1+(Skills!T12/10)*(Z1873/1000)/100,1)</f>
        <v/>
      </c>
      <c r="J1882">
        <f>((Inputs!$B$6*(1+Inputs!$B$7/100))+(((Inputs!$B$12*(1+Inputs!$B$13/100))-(Inputs!$B$12*(1+Inputs!$B$13/100)))+0.25*(Inputs!$B$14-Inputs!$B$14))*(1+Inputs!$B$7/100))*(F1882/100)</f>
        <v/>
      </c>
      <c r="K1882">
        <f>J1882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12="CHAIN_LIGHTNING",Inputs!$B$17+((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1888-Calc!F18),(Inputs!$B$23+(IF(ArtifactsInput!$M$15,CHOOSE(ArtifactsInput!$N$15+1,25,30,35,40,45,50)/100*(Inputs!$B$11-Inputs!$B$11),0))))/100+(Inputs!$B$23+(IF(ArtifactsInput!$M$15,CHOOSE(ArtifactsInput!$N$15+1,25,30,35,40,45,50)/100*(Inputs!$B$11-Inputs!$B$11),0)))/100)/2</f>
        <v/>
      </c>
      <c r="M1882">
        <f>L1882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IF(B1907=0,0,O1882/B1907)</f>
        <v/>
      </c>
      <c r="Q1882">
        <f>IFERROR(1/IF(Inputs!$B$38="pvp",15,MAX(0.1,Skills!D12-IF(Skills!E12=TRUE,Inputs!$B$32,0))),0)</f>
        <v/>
      </c>
      <c r="R1882">
        <f>IF(AND(Inputs!$B$38&lt;&gt;"pvp",Inputs!$B$43&gt;0),IF(MAX(0,Inputs!$B$43-B1904)&lt;=0,0,(INT(MAX(0,Inputs!$B$43-B1904)/IF(Inputs!$B$38="pvp",15,MAX(0.1,Skills!D12-IF(Skills!E12=TRUE,Inputs!$B$32,0))))+1)),0)</f>
        <v/>
      </c>
      <c r="S1882">
        <f>IF(C1882,(H1882*N1882*IF(AND(Inputs!$B$38&lt;&gt;"pvp",Inputs!$B$43&gt;0),((Skills!F12*((R1882-1)*IF(Skills!G12&gt;0,Skills!H12/Skills!G12,1)+IF(Skills!G12&gt;0,MIN(Skills!H12,MAX(0,MAX(0,Inputs!$B$43-B1904)-((R1882-1)*IF(Inputs!$B$38="pvp",15,MAX(0.1,Skills!D12-IF(Skills!E12=TRUE,Inputs!$B$32,0))))))/Skills!G12,1)))/Inputs!$B$43),G1882*Q1882))*IF(Inputs!$B$38="pvp",1,1+(Inputs!$B$20+Skills!O12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1890-Calc!F20)+(F1889-Calc!F19))+(ArtifactsInput!$M$24-ArtifactsInput!$M$24)*CHOOSE(ArtifactsInput!$N$24+1,10,12,14,16,18,20)+(IF(AND(Inputs!$B$38&lt;&gt;"pvp",Inputs!$B$43=0),1,IF(IF(Inputs!$B$38="pvp",15,Inputs!$B$43)-(B1904)&lt;=0,1,MAX(0,IF(Inputs!$B$38="pvp",15,Inputs!$B$43)-MAX(5,B1904))/(IF(Inputs!$B$38="pvp",15,Inputs!$B$43)-(B1904)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F12*((R1882-1)*IF(Skills!G12&gt;0,Skills!H12/Skills!G12,1)+IF(Skills!G12&gt;0,MIN(Skills!H12,MAX(0,MAX(0,Inputs!$B$43-B1904)-((R1882-1)*IF(Inputs!$B$38="pvp",15,MAX(0.1,Skills!D12-IF(Skills!E12=TRUE,Inputs!$B$32,0))))))/Skills!G12,1)))/Inputs!$B$43),G1882*Q1882))*IF(Inputs!$B$38="pvp",1,(1+(Inputs!$B$21+Skills!P12+B1898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Skills!A13</f>
        <v/>
      </c>
      <c r="B1883">
        <f>Skills!B13</f>
        <v/>
      </c>
      <c r="C1883">
        <f>Inputs!$B$3&gt;=49</f>
        <v/>
      </c>
      <c r="D1883">
        <f>IF(Skills!C13=1,60+Inputs!$B$25+Inputs!$B$29,IF(Skills!C13=2,90+Inputs!$B$26+Inputs!$B$29,IF(Skills!C13=3,120+Inputs!$B$27+Inputs!$B$29,MAX(0,(Inputs!$B$3-100)*3)+Inputs!$B$28+Inputs!$B$29)))</f>
        <v/>
      </c>
      <c r="E1883">
        <f>INDEX(FactorTable!$B$2:$Y$301, MATCH(ROUND(MIN(300,MAX(1,D1883)),0), FactorTable!$A$2:$A$301,0), Skills!L13+1)</f>
        <v/>
      </c>
      <c r="F1883">
        <f>IF(Skills!M13=TRUE,(Skills!K13/10)*(E1883/1000),Skills!K13/10)+Skills!N13</f>
        <v/>
      </c>
      <c r="G1883">
        <f>Calc!G13</f>
        <v/>
      </c>
      <c r="H1883">
        <f>Calc!H13</f>
        <v/>
      </c>
      <c r="I1883">
        <f>IF(Skills!T13&lt;&gt;"",1+(Skills!T13/10)*(Z1873/1000)/100,1)</f>
        <v/>
      </c>
      <c r="J1883" t="inlineStr"/>
      <c r="K1883" t="inlineStr"/>
      <c r="L1883" t="inlineStr"/>
      <c r="M1883" t="inlineStr"/>
      <c r="N1883" t="inlineStr"/>
      <c r="O1883">
        <f>(1-Summary!$B$11)*S1883+Summary!$B$11*U1883</f>
        <v/>
      </c>
      <c r="P1883">
        <f>IF(B1907=0,0,O1883/B1907)</f>
        <v/>
      </c>
      <c r="Q1883">
        <f>IFERROR(1/IF(Inputs!$B$38="pvp",15,MAX(0.1,Skills!D13-IF(Skills!E13=TRUE,Inputs!$B$32,0))),0)</f>
        <v/>
      </c>
      <c r="R1883" t="n">
        <v>0</v>
      </c>
      <c r="S1883" t="n">
        <v>0</v>
      </c>
      <c r="U1883" t="n">
        <v>0</v>
      </c>
    </row>
    <row r="1884">
      <c r="A1884">
        <f>Skills!A14</f>
        <v/>
      </c>
      <c r="B1884">
        <f>Skills!B14</f>
        <v/>
      </c>
      <c r="C1884">
        <f>Inputs!$B$3&gt;=72</f>
        <v/>
      </c>
      <c r="D1884">
        <f>IF(Skills!C14=1,60+Inputs!$B$25+Inputs!$B$29,IF(Skills!C14=2,90+Inputs!$B$26+Inputs!$B$29,IF(Skills!C14=3,120+Inputs!$B$27+Inputs!$B$29,MAX(0,(Inputs!$B$3-100)*3)+Inputs!$B$28+Inputs!$B$29)))</f>
        <v/>
      </c>
      <c r="E1884">
        <f>INDEX(FactorTable!$B$2:$Y$301, MATCH(ROUND(MIN(300,MAX(1,D1884)),0), FactorTable!$A$2:$A$301,0), Skills!L14+1)</f>
        <v/>
      </c>
      <c r="F1884">
        <f>IF(Skills!M14=TRUE,(Skills!K14/10)*(E1884/1000),Skills!K14/10)+Skills!N14</f>
        <v/>
      </c>
      <c r="G1884">
        <f>Calc!G14</f>
        <v/>
      </c>
      <c r="H1884">
        <f>Calc!H14</f>
        <v/>
      </c>
      <c r="I1884">
        <f>IF(Skills!T14&lt;&gt;"",1+(Skills!T14/10)*(Z1873/1000)/100,1)</f>
        <v/>
      </c>
      <c r="J1884" t="inlineStr"/>
      <c r="K1884" t="inlineStr"/>
      <c r="L1884" t="inlineStr"/>
      <c r="M1884" t="inlineStr"/>
      <c r="N1884" t="inlineStr"/>
      <c r="O1884">
        <f>(1-Summary!$B$11)*S1884+Summary!$B$11*U1884</f>
        <v/>
      </c>
      <c r="P1884">
        <f>IF(B1907=0,0,O1884/B1907)</f>
        <v/>
      </c>
      <c r="Q1884">
        <f>IFERROR(1/IF(Inputs!$B$38="pvp",15,MAX(0.1,Skills!D14-IF(Skills!E14=TRUE,Inputs!$B$32,0))),0)</f>
        <v/>
      </c>
      <c r="R1884" t="n">
        <v>0</v>
      </c>
      <c r="S1884" t="n">
        <v>0</v>
      </c>
      <c r="U1884" t="n">
        <v>0</v>
      </c>
    </row>
    <row r="1885">
      <c r="A1885">
        <f>Skills!A15</f>
        <v/>
      </c>
      <c r="B1885">
        <f>Skills!B15</f>
        <v/>
      </c>
      <c r="C1885">
        <f>Inputs!$B$3&gt;=75</f>
        <v/>
      </c>
      <c r="D1885">
        <f>IF(Skills!C15=1,60+Inputs!$B$25+Inputs!$B$29,IF(Skills!C15=2,90+Inputs!$B$26+Inputs!$B$29,IF(Skills!C15=3,120+Inputs!$B$27+Inputs!$B$29,MAX(0,(Inputs!$B$3-100)*3)+Inputs!$B$28+Inputs!$B$29)))</f>
        <v/>
      </c>
      <c r="E1885">
        <f>INDEX(FactorTable!$B$2:$Y$301, MATCH(ROUND(MIN(300,MAX(1,D1885)),0), FactorTable!$A$2:$A$301,0), Skills!L15+1)</f>
        <v/>
      </c>
      <c r="F1885">
        <f>IF(Skills!M15=TRUE,(Skills!K15/10)*(E1885/1000),Skills!K15/10)+Skills!N15</f>
        <v/>
      </c>
      <c r="G1885">
        <f>Calc!G15</f>
        <v/>
      </c>
      <c r="H1885">
        <f>Calc!H15</f>
        <v/>
      </c>
      <c r="I1885">
        <f>IF(Skills!T15&lt;&gt;"",1+(Skills!T15/10)*(Z1873/1000)/100,1)</f>
        <v/>
      </c>
      <c r="J1885" t="inlineStr"/>
      <c r="K1885" t="inlineStr"/>
      <c r="L1885" t="inlineStr"/>
      <c r="M1885" t="inlineStr"/>
      <c r="N1885" t="inlineStr"/>
      <c r="O1885">
        <f>(1-Summary!$B$11)*S1885+Summary!$B$11*U1885</f>
        <v/>
      </c>
      <c r="P1885">
        <f>IF(B1907=0,0,O1885/B1907)</f>
        <v/>
      </c>
      <c r="Q1885">
        <f>IFERROR(1/IF(Inputs!$B$38="pvp",15,MAX(0.1,Skills!D15-IF(Skills!E15=TRUE,Inputs!$B$32,0))),0)</f>
        <v/>
      </c>
      <c r="R1885" t="n">
        <v>0</v>
      </c>
      <c r="S1885" t="n">
        <v>0</v>
      </c>
      <c r="U1885" t="n">
        <v>0</v>
      </c>
    </row>
    <row r="1886">
      <c r="A1886">
        <f>Skills!A16</f>
        <v/>
      </c>
      <c r="B1886">
        <f>Skills!B16</f>
        <v/>
      </c>
      <c r="C1886">
        <f>Inputs!$B$3&gt;=110</f>
        <v/>
      </c>
      <c r="D1886">
        <f>IF(Skills!C16=1,60+Inputs!$B$25+Inputs!$B$29,IF(Skills!C16=2,90+Inputs!$B$26+Inputs!$B$29,IF(Skills!C16=3,120+Inputs!$B$27+Inputs!$B$29,MAX(0,(Inputs!$B$3-100)*3)+Inputs!$B$28+Inputs!$B$29)))</f>
        <v/>
      </c>
      <c r="E1886">
        <f>INDEX(FactorTable!$B$2:$Y$301, MATCH(ROUND(MIN(300,MAX(1,D1886)),0), FactorTable!$A$2:$A$301,0), Skills!L16+1)</f>
        <v/>
      </c>
      <c r="F1886">
        <f>(Skills!K16/10)*(E1886/1000)*64/45+Skills!N16</f>
        <v/>
      </c>
      <c r="G1886">
        <f>Calc!G16</f>
        <v/>
      </c>
      <c r="H1886">
        <f>Calc!H16</f>
        <v/>
      </c>
      <c r="I1886">
        <f>IF(Skills!T16&lt;&gt;"",1+(Skills!T16/10)*(Z1873/1000)/100,1)</f>
        <v/>
      </c>
      <c r="J1886" t="inlineStr"/>
      <c r="K1886" t="inlineStr"/>
      <c r="L1886" t="inlineStr"/>
      <c r="M1886" t="inlineStr"/>
      <c r="N1886" t="inlineStr"/>
      <c r="O1886">
        <f>(1-Summary!$B$11)*S1886+Summary!$B$11*U1886</f>
        <v/>
      </c>
      <c r="P1886">
        <f>IF(B1907=0,0,O1886/B1907)</f>
        <v/>
      </c>
      <c r="Q1886">
        <f>IFERROR(1/IF(Inputs!$B$38="pvp",15,MAX(0.1,Skills!D16-IF(Skills!E16=TRUE,Inputs!$B$32,0))),0)</f>
        <v/>
      </c>
      <c r="R1886">
        <f>IF(AND(Inputs!$B$38&lt;&gt;"pvp",Inputs!$B$43&gt;0),IF(Inputs!$B$43&lt;=0,0,(INT(Inputs!$B$43/IF(Inputs!$B$38="pvp",15,MAX(0.1,Skills!D16-IF(Skills!E16=TRUE,Inputs!$B$32,0))))+1)),0)</f>
        <v/>
      </c>
      <c r="S1886" t="n">
        <v>0</v>
      </c>
      <c r="U1886" t="n">
        <v>0</v>
      </c>
    </row>
    <row r="1887">
      <c r="A1887">
        <f>Skills!A17</f>
        <v/>
      </c>
      <c r="B1887">
        <f>Skills!B17</f>
        <v/>
      </c>
      <c r="C1887">
        <f>Inputs!$B$3&gt;=33</f>
        <v/>
      </c>
      <c r="D1887">
        <f>IF(Skills!C17=1,60+Inputs!$B$25+Inputs!$B$29,IF(Skills!C17=2,90+Inputs!$B$26+Inputs!$B$29,IF(Skills!C17=3,120+Inputs!$B$27+Inputs!$B$29,MAX(0,(Inputs!$B$3-100)*3)+Inputs!$B$28+Inputs!$B$29)))</f>
        <v/>
      </c>
      <c r="E1887">
        <f>INDEX(FactorTable!$B$2:$Y$301, MATCH(ROUND(MIN(300,MAX(1,D1887)),0), FactorTable!$A$2:$A$301,0), Skills!L17+1)</f>
        <v/>
      </c>
      <c r="F1887">
        <f>IF(Skills!M17=TRUE,(Skills!K17/10)*(E1887/1000),Skills!K17/10)+Skills!N17</f>
        <v/>
      </c>
      <c r="G1887">
        <f>Calc!G17</f>
        <v/>
      </c>
      <c r="H1887">
        <f>Calc!H17</f>
        <v/>
      </c>
      <c r="I1887">
        <f>IF(Skills!T17&lt;&gt;"",1+(Skills!T17/10)*(Z1873/1000)/100,1)</f>
        <v/>
      </c>
      <c r="J1887" t="inlineStr"/>
      <c r="K1887" t="inlineStr"/>
      <c r="L1887" t="inlineStr"/>
      <c r="M1887" t="inlineStr"/>
      <c r="N1887" t="inlineStr"/>
      <c r="O1887">
        <f>(1-Summary!$B$11)*S1887+Summary!$B$11*U1887</f>
        <v/>
      </c>
      <c r="P1887">
        <f>IF(B1907=0,0,O1887/B1907)</f>
        <v/>
      </c>
      <c r="Q1887">
        <f>IFERROR(1/IF(Inputs!$B$38="pvp",15,MAX(0.1,Skills!D17-IF(Skills!E17=TRUE,Inputs!$B$32,0))),0)</f>
        <v/>
      </c>
      <c r="R1887" t="n">
        <v>0</v>
      </c>
      <c r="S1887" t="n">
        <v>0</v>
      </c>
      <c r="U1887" t="n">
        <v>0</v>
      </c>
    </row>
    <row r="1888">
      <c r="A1888">
        <f>Skills!A18</f>
        <v/>
      </c>
      <c r="B1888">
        <f>Skills!B18</f>
        <v/>
      </c>
      <c r="C1888">
        <f>Inputs!$B$3&gt;=43</f>
        <v/>
      </c>
      <c r="D1888">
        <f>IF(Skills!C18=1,60+Inputs!$B$25+Inputs!$B$29,IF(Skills!C18=2,90+Inputs!$B$26+Inputs!$B$29,IF(Skills!C18=3,120+Inputs!$B$27+Inputs!$B$29,MAX(0,(Inputs!$B$3-100)*3)+Inputs!$B$28+Inputs!$B$29)))</f>
        <v/>
      </c>
      <c r="E1888">
        <f>INDEX(FactorTable!$B$2:$Y$301, MATCH(ROUND(MIN(300,MAX(1,D1888)),0), FactorTable!$A$2:$A$301,0), Skills!L18+1)</f>
        <v/>
      </c>
      <c r="F1888">
        <f>IF(Skills!M18=TRUE,(Skills!K18/10)*(E1888/1000),Skills!K18/10)+Skills!N18</f>
        <v/>
      </c>
      <c r="G1888">
        <f>Calc!G18</f>
        <v/>
      </c>
      <c r="H1888">
        <f>Calc!H18</f>
        <v/>
      </c>
      <c r="I1888">
        <f>IF(Skills!T18&lt;&gt;"",1+(Skills!T18/10)*(Z1873/1000)/100,1)</f>
        <v/>
      </c>
      <c r="J1888" t="inlineStr"/>
      <c r="K1888" t="inlineStr"/>
      <c r="L1888" t="inlineStr"/>
      <c r="M1888" t="inlineStr"/>
      <c r="N1888" t="inlineStr"/>
      <c r="O1888">
        <f>(1-Summary!$B$11)*S1888+Summary!$B$11*U1888</f>
        <v/>
      </c>
      <c r="P1888">
        <f>IF(B1907=0,0,O1888/B1907)</f>
        <v/>
      </c>
      <c r="Q1888">
        <f>IFERROR(1/IF(Inputs!$B$38="pvp",15,MAX(0.1,Skills!D18-IF(Skills!E18=TRUE,Inputs!$B$32,0))),0)</f>
        <v/>
      </c>
      <c r="R1888" t="n">
        <v>0</v>
      </c>
      <c r="S1888" t="n">
        <v>0</v>
      </c>
      <c r="U1888" t="n">
        <v>0</v>
      </c>
    </row>
    <row r="1889">
      <c r="A1889">
        <f>Skills!A19</f>
        <v/>
      </c>
      <c r="B1889">
        <f>Skills!B19</f>
        <v/>
      </c>
      <c r="C1889">
        <f>Inputs!$B$3&gt;=50</f>
        <v/>
      </c>
      <c r="D1889">
        <f>IF(Skills!C19=1,60+Inputs!$B$25+Inputs!$B$29,IF(Skills!C19=2,90+Inputs!$B$26+Inputs!$B$29,IF(Skills!C19=3,120+Inputs!$B$27+Inputs!$B$29,MAX(0,(Inputs!$B$3-100)*3)+Inputs!$B$28+Inputs!$B$29)))</f>
        <v/>
      </c>
      <c r="E1889">
        <f>INDEX(FactorTable!$B$2:$Y$301, MATCH(ROUND(MIN(300,MAX(1,D1889)),0), FactorTable!$A$2:$A$301,0), Skills!L19+1)</f>
        <v/>
      </c>
      <c r="F1889">
        <f>IF(Skills!M19=TRUE,(Skills!K19/10)*(E1889/1000),Skills!K19/10)+Skills!N19</f>
        <v/>
      </c>
      <c r="G1889">
        <f>Calc!G19</f>
        <v/>
      </c>
      <c r="H1889">
        <f>Calc!H19</f>
        <v/>
      </c>
      <c r="I1889">
        <f>IF(Skills!T19&lt;&gt;"",1+(Skills!T19/10)*(Z1873/1000)/100,1)</f>
        <v/>
      </c>
      <c r="J1889" t="inlineStr"/>
      <c r="K1889" t="inlineStr"/>
      <c r="L1889" t="inlineStr"/>
      <c r="M1889" t="inlineStr"/>
      <c r="N1889" t="inlineStr"/>
      <c r="O1889">
        <f>(1-Summary!$B$11)*S1889+Summary!$B$11*U1889</f>
        <v/>
      </c>
      <c r="P1889">
        <f>IF(B1907=0,0,O1889/B1907)</f>
        <v/>
      </c>
      <c r="Q1889">
        <f>IFERROR(1/IF(Inputs!$B$38="pvp",15,MAX(0.1,Skills!D19-IF(Skills!E19=TRUE,Inputs!$B$32,0))),0)</f>
        <v/>
      </c>
      <c r="R1889" t="n">
        <v>0</v>
      </c>
      <c r="S1889" t="n">
        <v>0</v>
      </c>
      <c r="U1889" t="n">
        <v>0</v>
      </c>
    </row>
    <row r="1890">
      <c r="A1890">
        <f>Skills!A20</f>
        <v/>
      </c>
      <c r="B1890">
        <f>Skills!B20</f>
        <v/>
      </c>
      <c r="C1890">
        <f>Inputs!$B$3&gt;=74</f>
        <v/>
      </c>
      <c r="D1890">
        <f>IF(Skills!C20=1,60+Inputs!$B$25+Inputs!$B$29,IF(Skills!C20=2,90+Inputs!$B$26+Inputs!$B$29,IF(Skills!C20=3,120+Inputs!$B$27+Inputs!$B$29,MAX(0,(Inputs!$B$3-100)*3)+Inputs!$B$28+Inputs!$B$29)))</f>
        <v/>
      </c>
      <c r="E1890">
        <f>INDEX(FactorTable!$B$2:$Y$301, MATCH(ROUND(MIN(300,MAX(1,D1890)),0), FactorTable!$A$2:$A$301,0), Skills!L20+1)</f>
        <v/>
      </c>
      <c r="F1890">
        <f>IF(Skills!M20=TRUE,(Skills!K20/10)*(E1890/1000),Skills!K20/10)+Skills!N20</f>
        <v/>
      </c>
      <c r="G1890">
        <f>Calc!G20</f>
        <v/>
      </c>
      <c r="H1890">
        <f>Calc!H20</f>
        <v/>
      </c>
      <c r="I1890">
        <f>IF(Skills!T20&lt;&gt;"",1+(Skills!T20/10)*(Z1873/1000)/100,1)</f>
        <v/>
      </c>
      <c r="J1890" t="inlineStr"/>
      <c r="K1890" t="inlineStr"/>
      <c r="L1890" t="inlineStr"/>
      <c r="M1890" t="inlineStr"/>
      <c r="N1890" t="inlineStr"/>
      <c r="O1890">
        <f>(1-Summary!$B$11)*S1890+Summary!$B$11*U1890</f>
        <v/>
      </c>
      <c r="P1890">
        <f>IF(B1907=0,0,O1890/B1907)</f>
        <v/>
      </c>
      <c r="Q1890">
        <f>IFERROR(1/IF(Inputs!$B$38="pvp",15,MAX(0.1,Skills!D20-IF(Skills!E20=TRUE,Inputs!$B$32,0))),0)</f>
        <v/>
      </c>
      <c r="R1890" t="n">
        <v>0</v>
      </c>
      <c r="S1890" t="n">
        <v>0</v>
      </c>
      <c r="U1890" t="n">
        <v>0</v>
      </c>
    </row>
    <row r="1891">
      <c r="A1891">
        <f>Skills!A21</f>
        <v/>
      </c>
      <c r="B1891">
        <f>Skills!B21</f>
        <v/>
      </c>
      <c r="C1891">
        <f>Inputs!$B$3&gt;=74</f>
        <v/>
      </c>
      <c r="D1891">
        <f>IF(Skills!C21=1,60+Inputs!$B$25+Inputs!$B$29,IF(Skills!C21=2,90+Inputs!$B$26+Inputs!$B$29,IF(Skills!C21=3,120+Inputs!$B$27+Inputs!$B$29,MAX(0,(Inputs!$B$3-100)*3)+Inputs!$B$28+Inputs!$B$29)))</f>
        <v/>
      </c>
      <c r="E1891">
        <f>INDEX(FactorTable!$B$2:$Y$301, MATCH(ROUND(MIN(300,MAX(1,D1891)),0), FactorTable!$A$2:$A$301,0), Skills!L21+1)</f>
        <v/>
      </c>
      <c r="F1891">
        <f>IF(Skills!M21=TRUE,(Skills!K21/10)*(E1891/1000),Skills!K21/10)+Skills!N21</f>
        <v/>
      </c>
      <c r="G1891">
        <f>Calc!G21</f>
        <v/>
      </c>
      <c r="H1891">
        <f>Calc!H21</f>
        <v/>
      </c>
      <c r="I1891">
        <f>IF(Skills!T21&lt;&gt;"",1+(Skills!T21/10)*(Z1873/1000)/100,1)</f>
        <v/>
      </c>
      <c r="J1891" t="inlineStr"/>
      <c r="K1891" t="inlineStr"/>
      <c r="L1891" t="inlineStr"/>
      <c r="M1891" t="inlineStr"/>
      <c r="N1891" t="inlineStr"/>
      <c r="O1891">
        <f>(1-Summary!$B$11)*S1891+Summary!$B$11*U1891</f>
        <v/>
      </c>
      <c r="P1891">
        <f>IF(B1907=0,0,O1891/B1907)</f>
        <v/>
      </c>
      <c r="Q1891">
        <f>IFERROR(1/IF(Inputs!$B$38="pvp",15,MAX(0.1,Skills!D21-IF(Skills!E21=TRUE,Inputs!$B$32,0))),0)</f>
        <v/>
      </c>
      <c r="R1891" t="n">
        <v>0</v>
      </c>
      <c r="S1891" t="n">
        <v>0</v>
      </c>
      <c r="U1891" t="n">
        <v>0</v>
      </c>
    </row>
    <row r="1892">
      <c r="A1892">
        <f>Skills!A22</f>
        <v/>
      </c>
      <c r="B1892">
        <f>Skills!B22</f>
        <v/>
      </c>
      <c r="C1892">
        <f>Inputs!$B$3&gt;=117</f>
        <v/>
      </c>
      <c r="D1892">
        <f>IF(Skills!C22=1,60+Inputs!$B$25+Inputs!$B$29,IF(Skills!C22=2,90+Inputs!$B$26+Inputs!$B$29,IF(Skills!C22=3,120+Inputs!$B$27+Inputs!$B$29,MAX(0,(Inputs!$B$3-100)*3)+Inputs!$B$28+Inputs!$B$29)))</f>
        <v/>
      </c>
      <c r="E1892">
        <f>INDEX(FactorTable!$B$2:$Y$301, MATCH(ROUND(MIN(300,MAX(1,D1892)),0), FactorTable!$A$2:$A$301,0), Skills!L22+1)</f>
        <v/>
      </c>
      <c r="F1892">
        <f>IF(Skills!M22=TRUE,(Skills!K22/10)*(E1892/1000),Skills!K22/10)+Skills!N22</f>
        <v/>
      </c>
      <c r="G1892">
        <f>Calc!G22</f>
        <v/>
      </c>
      <c r="H1892">
        <f>Calc!H22</f>
        <v/>
      </c>
      <c r="I1892">
        <f>IF(Skills!T22&lt;&gt;"",1+(Skills!T22/10)*(Z1873/1000)/100,1)</f>
        <v/>
      </c>
      <c r="J1892" t="inlineStr"/>
      <c r="K1892" t="inlineStr"/>
      <c r="L1892" t="inlineStr"/>
      <c r="M1892" t="inlineStr"/>
      <c r="N1892" t="inlineStr"/>
      <c r="O1892">
        <f>(1-Summary!$B$11)*S1892+Summary!$B$11*U1892</f>
        <v/>
      </c>
      <c r="P1892">
        <f>IF(B1907=0,0,O1892/B1907)</f>
        <v/>
      </c>
      <c r="Q1892">
        <f>IFERROR(1/IF(Inputs!$B$38="pvp",15,MAX(0.1,Skills!D22-IF(Skills!E22=TRUE,Inputs!$B$32,0))),0)</f>
        <v/>
      </c>
      <c r="R1892" t="n">
        <v>0</v>
      </c>
      <c r="S1892" t="n">
        <v>0</v>
      </c>
      <c r="U1892" t="n">
        <v>0</v>
      </c>
    </row>
    <row r="1893">
      <c r="A1893">
        <f>Skills!A23</f>
        <v/>
      </c>
      <c r="B1893">
        <f>Skills!B23</f>
        <v/>
      </c>
      <c r="C1893">
        <f>Inputs!$B$3&gt;=120</f>
        <v/>
      </c>
      <c r="D1893">
        <f>IF(Skills!C23=1,60+Inputs!$B$25+Inputs!$B$29,IF(Skills!C23=2,90+Inputs!$B$26+Inputs!$B$29,IF(Skills!C23=3,120+Inputs!$B$27+Inputs!$B$29,MAX(0,(Inputs!$B$3-100)*3)+Inputs!$B$28+Inputs!$B$29)))</f>
        <v/>
      </c>
      <c r="E1893">
        <f>INDEX(FactorTable!$B$2:$Y$301, MATCH(ROUND(MIN(300,MAX(1,D1893)),0), FactorTable!$A$2:$A$301,0), Skills!L23+1)</f>
        <v/>
      </c>
      <c r="F1893">
        <f>IF(Skills!M23=TRUE,(Skills!K23/10)*(E1893/1000),Skills!K23/10)+Skills!N23</f>
        <v/>
      </c>
      <c r="G1893">
        <f>Calc!G23</f>
        <v/>
      </c>
      <c r="H1893">
        <f>Calc!H23</f>
        <v/>
      </c>
      <c r="I1893">
        <f>IF(Skills!T23&lt;&gt;"",1+(Skills!T23/10)*(Z1873/1000)/100,1)</f>
        <v/>
      </c>
      <c r="J1893" t="inlineStr"/>
      <c r="K1893" t="inlineStr"/>
      <c r="L1893" t="inlineStr"/>
      <c r="M1893" t="inlineStr"/>
      <c r="N1893" t="inlineStr"/>
      <c r="O1893">
        <f>(1-Summary!$B$11)*S1893+Summary!$B$11*U1893</f>
        <v/>
      </c>
      <c r="P1893">
        <f>IF(B1907=0,0,O1893/B1907)</f>
        <v/>
      </c>
      <c r="Q1893">
        <f>IFERROR(1/IF(Inputs!$B$38="pvp",15,MAX(0.1,Skills!D23-IF(Skills!E23=TRUE,Inputs!$B$32,0))),0)</f>
        <v/>
      </c>
      <c r="R1893" t="n">
        <v>0</v>
      </c>
      <c r="S1893" t="n">
        <v>0</v>
      </c>
      <c r="U1893" t="n">
        <v>0</v>
      </c>
    </row>
    <row r="1894">
      <c r="A1894">
        <f>Skills!A24</f>
        <v/>
      </c>
      <c r="B1894">
        <f>Skills!B24</f>
        <v/>
      </c>
      <c r="C1894">
        <f>TRUE</f>
        <v/>
      </c>
      <c r="D1894">
        <f>IF(Skills!C24=1,60+Inputs!$B$25+Inputs!$B$29,IF(Skills!C24=2,90+Inputs!$B$26+Inputs!$B$29,IF(Skills!C24=3,120+Inputs!$B$27+Inputs!$B$29,MAX(0,(Inputs!$B$3-100)*3)+Inputs!$B$28+Inputs!$B$29)))</f>
        <v/>
      </c>
      <c r="E1894">
        <f>INDEX(FactorTable!$B$2:$Y$301, MATCH(ROUND(MIN(300,MAX(1,D1894)),0), FactorTable!$A$2:$A$301,0), Skills!L24+1)</f>
        <v/>
      </c>
      <c r="F1894">
        <f>IF(Skills!M24=TRUE,(Skills!K24/10)*(E1894/1000),Skills!K24/10)+Skills!N24</f>
        <v/>
      </c>
      <c r="G1894">
        <f>Calc!G24</f>
        <v/>
      </c>
      <c r="H1894">
        <f>Calc!H24</f>
        <v/>
      </c>
      <c r="I1894">
        <f>IF(Skills!T24&lt;&gt;"",1+(Skills!T24/10)*(Z1873/1000)/100,1)</f>
        <v/>
      </c>
      <c r="J1894" t="inlineStr"/>
      <c r="K1894" t="inlineStr"/>
      <c r="L1894" t="inlineStr"/>
      <c r="M1894" t="inlineStr"/>
      <c r="N1894" t="inlineStr"/>
      <c r="O1894">
        <f>(1-Summary!$B$11)*S1894+Summary!$B$11*U1894</f>
        <v/>
      </c>
      <c r="P1894">
        <f>IF(B1907=0,0,O1894/B1907)</f>
        <v/>
      </c>
      <c r="Q1894">
        <f>IFERROR(1/IF(Inputs!$B$38="pvp",15,MAX(0.1,Skills!D24-IF(Skills!E24=TRUE,Inputs!$B$32,0))),0)</f>
        <v/>
      </c>
      <c r="R1894">
        <f>IF(AND(Inputs!$B$38&lt;&gt;"pvp",Inputs!$B$43&gt;0),IF(Inputs!$B$43&lt;=0,0,(INT(Inputs!$B$43/IF(Inputs!$B$38="pvp",15,MAX(0.1,Skills!D24-IF(Skills!E24=TRUE,Inputs!$B$32,0))))+1)),0)</f>
        <v/>
      </c>
      <c r="S1894" t="n">
        <v>0</v>
      </c>
      <c r="U1894" t="n">
        <v>0</v>
      </c>
    </row>
    <row r="1897">
      <c r="A1897" t="inlineStr">
        <is>
          <t>Average Buff Multiplier (Magic Guard + Meditation + Artifact Attack%, summed; then Infinity)</t>
        </is>
      </c>
      <c r="B1897">
        <f>(1+(IF(C1873=TRUE,F1873*IF(AND(Inputs!$B$38&lt;&gt;"pvp",Inputs!$B$43&gt;0),(((R1873-1)*(Skills!S3*(1+(Inputs!$B$34)/100))+MIN((Skills!S3*(1+(Inputs!$B$34)/100)),MAX(0,Inputs!$B$43-((R1873-1)*Skills!D3))))/Inputs!$B$43),IF(Inputs!$B$38="pvp",MIN((Skills!S3*(1+(Inputs!$B$34)/100)),15)/15,(Skills!S3*(1+(Inputs!$B$34)/100))/Skills!D3)),0)+IF(C1874=TRUE,F1874*IF(AND(Inputs!$B$38&lt;&gt;"pvp",Inputs!$B$43&gt;0),(((R1874-1)*(Skills!S4*(1+(Inputs!$B$34)/100))+MIN((Skills!S4*(1+(Inputs!$B$34)/100)),MAX(0,Inputs!$B$43-((R1874-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1886=TRUE,(1+F1886*IF(AND(Inputs!$B$38&lt;&gt;"pvp",Inputs!$B$43&gt;0),(((R1886-1)*(Skills!S16*(1+(Inputs!$B$34)/100))+MIN((Skills!S16*(1+(Inputs!$B$34)/100)),MAX(0,Inputs!$B$43-((R1886-1)*Skills!D16))))/Inputs!$B$43),IF(Inputs!$B$38="pvp",MIN((Skills!S16*(1+(Inputs!$B$34)/100)),15)/15,(Skills!S16*(1+(Inputs!$B$34)/100))/Skills!D16))/100),1)</f>
        <v/>
      </c>
    </row>
    <row r="1898">
      <c r="A1898" t="inlineStr">
        <is>
          <t>Monster Damage Taken Bonus % (Freezing Breath - Weaken + Elemental Reset + Artifact Enemy Damage Taken, summed)</t>
        </is>
      </c>
      <c r="B1898">
        <f>IF(Inputs!$B$3&gt;=118,15*IF(Inputs!$B$38="pvp",MIN((30*(1+(Inputs!$B$34)/100)),15)/15,(30*(1+(Inputs!$B$34)/100))/Skills!D8),0)+IF(C1884=TRUE,F1884,0)+(IF(AND(ArtifactsInput!$M$35,Inputs!$B$4&lt;&gt;"Chapter Hunt"),CHOOSE(ArtifactsInput!$N$35+1,15,18,21,24,27,30)*(1-EXP(-(0.2*B1901)*5)),0)+IF(AND(ArtifactsInput!$M$22,Inputs!$B$4&lt;&gt;"Chapter Hunt"),CHOOSE(ArtifactsInput!$N$22+1,10,12,14,16,18,20)*((0*(((0.15*B1901*5))^0/1)+1*(((0.15*B1901*5))^1/1)+2*(((0.15*B1901*5))^2/2)+3*(((0.15*B1901*5))^3/6)+4*(((0.15*B1901*5))^4/24)+5*(((0.15*B1901*5))^5/120))/((((0.15*B1901*5))^0/1)+(((0.15*B1901*5))^1/1)+(((0.15*B1901*5))^2/2)+(((0.15*B1901*5))^3/6)+(((0.15*B1901*5))^4/24)+(((0.15*B1901*5))^5/120))),0))</f>
        <v/>
      </c>
    </row>
    <row r="1899">
      <c r="A1899" t="inlineStr">
        <is>
          <t>Damage % Bonus (Frozen Break + Frost Clutch, flat)</t>
        </is>
      </c>
      <c r="B1899">
        <f>IF(Inputs!$B$3&gt;=66,15,0)+IF(Inputs!$B$3&gt;=98,10,0)+IF(Inputs!$B$3&gt;=125,20,0)</f>
        <v/>
      </c>
    </row>
    <row r="1900">
      <c r="A1900" t="inlineStr">
        <is>
          <t>Attack Speed Bonus % (MP Eater - MP Boost, always-on + Nimble Feet, duty-cycle averaged)</t>
        </is>
      </c>
      <c r="B1900">
        <f>IF(C1883=TRUE,F1883+(F1887-Calc!F17),0)+((C1894=TRUE)*F1894*IF(AND(Inputs!$B$38&lt;&gt;"pvp",Inputs!$B$43&gt;0),(((R1894-1)*(Skills!S24*(1+(Inputs!$B$34)/100))+MIN((Skills!S24*(1+(Inputs!$B$34)/100)),MAX(0,Inputs!$B$43-((R1894-1)*Skills!D24))))/Inputs!$B$43),IF(Inputs!$B$38="pvp",MIN((Skills!S24*(1+(Inputs!$B$34)/100)),15)/15,(Skills!S24*(1+(Inputs!$B$34)/100))/Skills!D24)))</f>
        <v/>
      </c>
    </row>
    <row r="1901">
      <c r="A1901" t="inlineStr">
        <is>
          <t>Actions Per Second</t>
        </is>
      </c>
      <c r="B1901">
        <f>1+MIN(150,150*(1-(1-(Inputs!$B$11+(ArtifactsInput!$M$15-ArtifactsInput!$M$15)*CHOOSE(ArtifactsInput!$N$15+1,8,9.6,11.2,12.8,14.4,16))/150)*(1-B1900/150)))/100</f>
        <v/>
      </c>
    </row>
    <row r="1902">
      <c r="A1902" t="inlineStr">
        <is>
          <t>Skill + Buff Cast Rate</t>
        </is>
      </c>
      <c r="B1902">
        <f>IF(AND(Inputs!$B$38&lt;&gt;"pvp",Inputs!$B$43&gt;0),SUMPRODUCT((Skills!E2:E24=TRUE)*(C1872:C1894=TRUE)*R1872:R1894)/Inputs!$B$43,SUMPRODUCT((Skills!E2:E24=TRUE)*(C1872:C1894=TRUE)*Q1872:Q1894))</f>
        <v/>
      </c>
    </row>
    <row r="1903">
      <c r="A1903" t="inlineStr">
        <is>
          <t>Chain Lightning Casts Per Second</t>
        </is>
      </c>
      <c r="B1903">
        <f>MAX(0,B1901-B1902)</f>
        <v/>
      </c>
    </row>
    <row r="1904">
      <c r="A1904" t="inlineStr">
        <is>
          <t>Buff-Casting Startup Delay (s, fixed-duration only)</t>
        </is>
      </c>
      <c r="B1904">
        <f>IF(AND(Inputs!$B$38&lt;&gt;"pvp",Inputs!$B$43&gt;0),SUMPRODUCT((Skills!S2:S24&gt;0)*(Skills!E2:E24=TRUE)*(C1872:C1894=TRUE))/B1901,0)</f>
        <v/>
      </c>
    </row>
    <row r="1905">
      <c r="A1905" t="inlineStr">
        <is>
          <t>Boss-Only Total DPS (this block's swept value)</t>
        </is>
      </c>
      <c r="B1905">
        <f>SUM(S1872:S1894)</f>
        <v/>
      </c>
    </row>
    <row r="1906">
      <c r="A1906" t="inlineStr">
        <is>
          <t>Normal-Only Total DPS (this block's swept value)</t>
        </is>
      </c>
      <c r="B1906">
        <f>SUM(U1872:U1894)</f>
        <v/>
      </c>
    </row>
    <row r="1907">
      <c r="A1907" s="6" t="inlineStr">
        <is>
          <t>TOTAL DPS</t>
        </is>
      </c>
      <c r="B1907" s="6">
        <f>SUM(O1872:O1894)</f>
        <v/>
      </c>
    </row>
    <row r="1910">
      <c r="A1910" s="6" t="inlineStr">
        <is>
          <t>Stat: Lit Lamp (Equip)</t>
        </is>
      </c>
    </row>
    <row r="1911">
      <c r="A1911" s="5" t="inlineStr">
        <is>
          <t>Key</t>
        </is>
      </c>
      <c r="B1911" s="5" t="inlineStr">
        <is>
          <t>Name</t>
        </is>
      </c>
      <c r="C1911" s="5" t="inlineStr">
        <is>
          <t>Unlocked</t>
        </is>
      </c>
      <c r="D1911" s="5" t="inlineStr">
        <is>
          <t>InputLevel</t>
        </is>
      </c>
      <c r="E1911" s="5" t="inlineStr">
        <is>
          <t>Factor</t>
        </is>
      </c>
      <c r="F1911" s="5" t="inlineStr">
        <is>
          <t>CoefficientPercent</t>
        </is>
      </c>
      <c r="G1911" s="5" t="inlineStr">
        <is>
          <t>EffectiveHits</t>
        </is>
      </c>
      <c r="H1911" s="5" t="inlineStr">
        <is>
          <t>ProcProbability</t>
        </is>
      </c>
      <c r="I1911" s="5" t="inlineStr">
        <is>
          <t>MapleHeroMultiplier</t>
        </is>
      </c>
      <c r="J1911" s="5" t="inlineStr">
        <is>
          <t>BaseDamage</t>
        </is>
      </c>
      <c r="K1911" s="5" t="inlineStr">
        <is>
          <t>BaseHitDamage</t>
        </is>
      </c>
      <c r="L1911" s="5" t="inlineStr">
        <is>
          <t>NonCritAvg</t>
        </is>
      </c>
      <c r="M1911" s="5" t="inlineStr">
        <is>
          <t>CritAvg</t>
        </is>
      </c>
      <c r="N1911" s="5" t="inlineStr">
        <is>
          <t>ExpectedDamage(perHit)</t>
        </is>
      </c>
      <c r="O1911" s="5" t="inlineStr">
        <is>
          <t>DPS</t>
        </is>
      </c>
      <c r="P1911" s="5" t="inlineStr">
        <is>
          <t>% of Total</t>
        </is>
      </c>
      <c r="R1911" t="inlineStr">
        <is>
          <t>helpers</t>
        </is>
      </c>
    </row>
    <row r="1912">
      <c r="A1912">
        <f>Skills!A2</f>
        <v/>
      </c>
      <c r="B1912">
        <f>Skills!B2</f>
        <v/>
      </c>
      <c r="C1912">
        <f>Inputs!$B$3&gt;=100</f>
        <v/>
      </c>
      <c r="D1912" t="inlineStr"/>
      <c r="E1912" t="inlineStr"/>
      <c r="F1912">
        <f>T1914+Skills!N2</f>
        <v/>
      </c>
      <c r="G1912">
        <f>Calc!G2</f>
        <v/>
      </c>
      <c r="H1912">
        <f>Calc!H2</f>
        <v/>
      </c>
      <c r="I1912">
        <f>IF(Skills!T2&lt;&gt;"",1+(Skills!T2/10)*(Z1913/1000)/100,1)</f>
        <v/>
      </c>
      <c r="J1912">
        <f>((Inputs!$B$6*(1+Inputs!$B$7/100))+(((Inputs!$B$12*(1+Inputs!$B$13/100))-(Inputs!$B$12*(1+Inputs!$B$13/100)))+0.25*(Inputs!$B$14-Inputs!$B$14))*(1+Inputs!$B$7/100))*(F1912/100)</f>
        <v/>
      </c>
      <c r="K1912">
        <f>J1912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2="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F1928-Calc!F18),(Inputs!$B$23+(IF(ArtifactsInput!$M$15,CHOOSE(ArtifactsInput!$N$15+1,25,30,35,40,45,50)/100*(Inputs!$B$11-Inputs!$B$11),0))))/100+(Inputs!$B$23+(IF(ArtifactsInput!$M$15,CHOOSE(ArtifactsInput!$N$15+1,25,30,35,40,45,50)/100*(Inputs!$B$11-Inputs!$B$11),0)))/100)/2</f>
        <v/>
      </c>
      <c r="M1912">
        <f>L1912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(1-Summary!$B$11)*S1912+Summary!$B$11*U1912</f>
        <v/>
      </c>
      <c r="P1912">
        <f>IF(B1947=0,0,O1912/B1947)</f>
        <v/>
      </c>
      <c r="Q1912">
        <f>IFERROR(1/IF(Inputs!$B$38="pvp",15,MAX(0.1,Skills!D2-IF(Skills!E2=TRUE,Inputs!$B$32,0))),0)</f>
        <v/>
      </c>
      <c r="R1912" t="n">
        <v>0</v>
      </c>
      <c r="S1912">
        <f>IF(C1912,(Skills!F2*N1912*B1943)*IF(Inputs!$B$38="pvp",1,1+(Inputs!$B$20+Skills!O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1912*(1-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12">
        <f>MAX(0,(Inputs!$B$3-100)*3)+Inputs!$B$28+Inputs!$B$29</f>
        <v/>
      </c>
      <c r="U1912">
        <f>IF(C1912,(Skills!F2*N1912*B1943)*IF(Inputs!$B$38="pvp",1,(1+(Inputs!$B$21+Skills!P2+B1938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12">
        <f>MAX(0,(Inputs!$B$3-100)*3)+Inputs!$B$28+Inputs!$B$29</f>
        <v/>
      </c>
    </row>
    <row r="1913">
      <c r="A1913">
        <f>Skills!A3</f>
        <v/>
      </c>
      <c r="B1913">
        <f>Skills!B3</f>
        <v/>
      </c>
      <c r="C1913">
        <f>Inputs!$B$3&gt;=15</f>
        <v/>
      </c>
      <c r="D1913">
        <f>IF(Skills!C3=1,60+Inputs!$B$25+Inputs!$B$29,IF(Skills!C3=2,90+Inputs!$B$26+Inputs!$B$29,IF(Skills!C3=3,120+Inputs!$B$27+Inputs!$B$29,MAX(0,(Inputs!$B$3-100)*3)+Inputs!$B$28+Inputs!$B$29)))</f>
        <v/>
      </c>
      <c r="E1913">
        <f>INDEX(FactorTable!$B$2:$Y$301, MATCH(ROUND(MIN(300,MAX(1,D1913)),0), FactorTable!$A$2:$A$301,0), Skills!L3+1)</f>
        <v/>
      </c>
      <c r="F1913">
        <f>IF(Skills!M3=TRUE,(Skills!K3/10)*(E1913/1000),Skills!K3/10)+Skills!N3</f>
        <v/>
      </c>
      <c r="G1913">
        <f>Calc!G3</f>
        <v/>
      </c>
      <c r="H1913">
        <f>Calc!H3</f>
        <v/>
      </c>
      <c r="I1913">
        <f>IF(Skills!T3&lt;&gt;"",1+(Skills!T3/10)*(Z1913/1000)/100,1)</f>
        <v/>
      </c>
      <c r="J1913" t="inlineStr"/>
      <c r="K1913" t="inlineStr"/>
      <c r="L1913" t="inlineStr"/>
      <c r="M1913" t="inlineStr"/>
      <c r="N1913" t="inlineStr"/>
      <c r="O1913">
        <f>(1-Summary!$B$11)*S1913+Summary!$B$11*U1913</f>
        <v/>
      </c>
      <c r="P1913">
        <f>IF(B1947=0,0,O1913/B1947)</f>
        <v/>
      </c>
      <c r="Q1913">
        <f>IFERROR(1/IF(Inputs!$B$38="pvp",15,MAX(0.1,Skills!D3-IF(Skills!E3=TRUE,Inputs!$B$32,0))),0)</f>
        <v/>
      </c>
      <c r="R1913">
        <f>IF(AND(Inputs!$B$38&lt;&gt;"pvp",Inputs!$B$43&gt;0),IF(Inputs!$B$43&lt;=0,0,(INT(Inputs!$B$43/IF(Inputs!$B$38="pvp",15,MAX(0.1,Skills!D3-IF(Skills!E3=TRUE,Inputs!$B$32,0))))+1)),0)</f>
        <v/>
      </c>
      <c r="S1913" t="n">
        <v>0</v>
      </c>
      <c r="T1913">
        <f>INDEX(FactorTable!$B$2:$Y$301, MATCH(ROUND(MIN(300,MAX(1,T1912)),0), FactorTable!$A$2:$A$301,0), 22)</f>
        <v/>
      </c>
      <c r="U1913" t="n">
        <v>0</v>
      </c>
      <c r="Z1913">
        <f>INDEX(FactorTable!$B$2:$Y$301, MATCH(ROUND(MIN(300,MAX(1,Z1912)),0), FactorTable!$A$2:$A$301,0), 24)</f>
        <v/>
      </c>
    </row>
    <row r="1914">
      <c r="A1914">
        <f>Skills!A4</f>
        <v/>
      </c>
      <c r="B1914">
        <f>Skills!B4</f>
        <v/>
      </c>
      <c r="C1914">
        <f>Inputs!$B$3&gt;=40</f>
        <v/>
      </c>
      <c r="D1914">
        <f>IF(Skills!C4=1,60+Inputs!$B$25+Inputs!$B$29,IF(Skills!C4=2,90+Inputs!$B$26+Inputs!$B$29,IF(Skills!C4=3,120+Inputs!$B$27+Inputs!$B$29,MAX(0,(Inputs!$B$3-100)*3)+Inputs!$B$28+Inputs!$B$29)))</f>
        <v/>
      </c>
      <c r="E1914">
        <f>INDEX(FactorTable!$B$2:$Y$301, MATCH(ROUND(MIN(300,MAX(1,D1914)),0), FactorTable!$A$2:$A$301,0), Skills!L4+1)</f>
        <v/>
      </c>
      <c r="F1914">
        <f>IF(Skills!M4=TRUE,(Skills!K4/10)*(E1914/1000),Skills!K4/10)+Skills!N4</f>
        <v/>
      </c>
      <c r="G1914">
        <f>Calc!G4</f>
        <v/>
      </c>
      <c r="H1914">
        <f>Calc!H4</f>
        <v/>
      </c>
      <c r="I1914">
        <f>IF(Skills!T4&lt;&gt;"",1+(Skills!T4/10)*(Z1913/1000)/100,1)</f>
        <v/>
      </c>
      <c r="J1914" t="inlineStr"/>
      <c r="K1914" t="inlineStr"/>
      <c r="L1914" t="inlineStr"/>
      <c r="M1914" t="inlineStr"/>
      <c r="N1914" t="inlineStr"/>
      <c r="O1914">
        <f>(1-Summary!$B$11)*S1914+Summary!$B$11*U1914</f>
        <v/>
      </c>
      <c r="P1914">
        <f>IF(B1947=0,0,O1914/B1947)</f>
        <v/>
      </c>
      <c r="Q1914">
        <f>IFERROR(1/IF(Inputs!$B$38="pvp",15,MAX(0.1,Skills!D4-IF(Skills!E4=TRUE,Inputs!$B$32,0))),0)</f>
        <v/>
      </c>
      <c r="R1914">
        <f>IF(AND(Inputs!$B$38&lt;&gt;"pvp",Inputs!$B$43&gt;0),IF(Inputs!$B$43&lt;=0,0,(INT(Inputs!$B$43/IF(Inputs!$B$38="pvp",15,MAX(0.1,Skills!D4-IF(Skills!E4=TRUE,Inputs!$B$32,0))))+1)),0)</f>
        <v/>
      </c>
      <c r="S1914" t="n">
        <v>0</v>
      </c>
      <c r="T1914">
        <f>290*T1913/1000</f>
        <v/>
      </c>
      <c r="U1914" t="n">
        <v>0</v>
      </c>
    </row>
    <row r="1915">
      <c r="A1915">
        <f>Skills!A5</f>
        <v/>
      </c>
      <c r="B1915">
        <f>Skills!B5</f>
        <v/>
      </c>
      <c r="C1915">
        <f>Inputs!$B$3&gt;=38</f>
        <v/>
      </c>
      <c r="D1915">
        <f>IF(Skills!C5=1,60+Inputs!$B$25+Inputs!$B$29,IF(Skills!C5=2,90+Inputs!$B$26+Inputs!$B$29,IF(Skills!C5=3,120+Inputs!$B$27+Inputs!$B$29,MAX(0,(Inputs!$B$3-100)*3)+Inputs!$B$28+Inputs!$B$29)))</f>
        <v/>
      </c>
      <c r="E1915">
        <f>INDEX(FactorTable!$B$2:$Y$301, MATCH(ROUND(MIN(300,MAX(1,D1915)),0), FactorTable!$A$2:$A$301,0), Skills!L5+1)</f>
        <v/>
      </c>
      <c r="F1915">
        <f>IF(Skills!M5=TRUE,(Skills!K5/10)*(E1915/1000),Skills!K5/10)+Skills!N5</f>
        <v/>
      </c>
      <c r="G1915">
        <f>Calc!G5</f>
        <v/>
      </c>
      <c r="H1915">
        <f>Calc!H5</f>
        <v/>
      </c>
      <c r="I1915">
        <f>IF(Skills!T5&lt;&gt;"",1+(Skills!T5/10)*(Z1913/1000)/100,1)</f>
        <v/>
      </c>
      <c r="J1915">
        <f>((Inputs!$B$6*(1+Inputs!$B$7/100))+(((Inputs!$B$12*(1+Inputs!$B$13/100))-(Inputs!$B$12*(1+Inputs!$B$13/100)))+0.25*(Inputs!$B$14-Inputs!$B$14))*(1+Inputs!$B$7/100))*(F1915/100)</f>
        <v/>
      </c>
      <c r="K1915">
        <f>J1915*(1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5="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F1928-Calc!F18),(Inputs!$B$23+(IF(ArtifactsInput!$M$15,CHOOSE(ArtifactsInput!$N$15+1,25,30,35,40,45,50)/100*(Inputs!$B$11-Inputs!$B$11),0))))/100+(Inputs!$B$23+(IF(ArtifactsInput!$M$15,CHOOSE(ArtifactsInput!$N$15+1,25,30,35,40,45,50)/100*(Inputs!$B$11-Inputs!$B$11),0)))/100)/2</f>
        <v/>
      </c>
      <c r="M1915">
        <f>L1915*(1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(1-Summary!$B$11)*S1915+Summary!$B$11*U1915</f>
        <v/>
      </c>
      <c r="P1915">
        <f>IF(B1947=0,0,O1915/B1947)</f>
        <v/>
      </c>
      <c r="Q1915">
        <f>IFERROR(1/IF(Inputs!$B$38="pvp",15,MAX(0.1,Skills!D5-IF(Skills!E5=TRUE,Inputs!$B$32,0))),0)</f>
        <v/>
      </c>
      <c r="R1915">
        <f>IF(AND(Inputs!$B$38&lt;&gt;"pvp",Inputs!$B$43&gt;0),IF(MAX(0,Inputs!$B$43-B1944)&lt;=0,0,(INT(MAX(0,Inputs!$B$43-B1944)/IF(Inputs!$B$38="pvp",15,MAX(0.1,Skills!D5-IF(Skills!E5=TRUE,Inputs!$B$32,0))))+1)),0)</f>
        <v/>
      </c>
      <c r="S1915">
        <f>IF(C1915,(H1915*N1915*IF(AND(Inputs!$B$38&lt;&gt;"pvp",Inputs!$B$43&gt;0),((Skills!F5*((R1915-1)*IF(Skills!G5&gt;0,Skills!H5/Skills!G5,1)+IF(Skills!G5&gt;0,MIN(Skills!H5,MAX(0,MAX(0,Inputs!$B$43-B1944)-((R1915-1)*IF(Inputs!$B$38="pvp",15,MAX(0.1,Skills!D5-IF(Skills!E5=TRUE,Inputs!$B$32,0))))))/Skills!G5,1)))/Inputs!$B$43),G1915*Q1915))*IF(Inputs!$B$38="pvp",1,1+(Inputs!$B$20+Skills!O5+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1915*(1-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IF(C1915,(H1915*N1915*IF(AND(Inputs!$B$38&lt;&gt;"pvp",Inputs!$B$43&gt;0),((Skills!F5*((R1915-1)*IF(Skills!G5&gt;0,Skills!H5/Skills!G5,1)+IF(Skills!G5&gt;0,MIN(Skills!H5,MAX(0,MAX(0,Inputs!$B$43-B1944)-((R1915-1)*IF(Inputs!$B$38="pvp",15,MAX(0.1,Skills!D5-IF(Skills!E5=TRUE,Inputs!$B$32,0))))))/Skills!G5,1)))/Inputs!$B$43),G1915*Q1915))*IF(Inputs!$B$38="pvp",1,(1+(Inputs!$B$21+Skills!P5+B1938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Skills!A6</f>
        <v/>
      </c>
      <c r="B1916">
        <f>Skills!B6</f>
        <v/>
      </c>
      <c r="C1916">
        <f>Inputs!$B$3&gt;=63</f>
        <v/>
      </c>
      <c r="D1916">
        <f>IF(Skills!C6=1,60+Inputs!$B$25+Inputs!$B$29,IF(Skills!C6=2,90+Inputs!$B$26+Inputs!$B$29,IF(Skills!C6=3,120+Inputs!$B$27+Inputs!$B$29,MAX(0,(Inputs!$B$3-100)*3)+Inputs!$B$28+Inputs!$B$29)))</f>
        <v/>
      </c>
      <c r="E1916">
        <f>INDEX(FactorTable!$B$2:$Y$301, MATCH(ROUND(MIN(300,MAX(1,D1916)),0), FactorTable!$A$2:$A$301,0), Skills!L6+1)</f>
        <v/>
      </c>
      <c r="F1916">
        <f>IF(Skills!M6=TRUE,(Skills!K6/10)*(E1916/1000),Skills!K6/10)+Skills!N6</f>
        <v/>
      </c>
      <c r="G1916">
        <f>Calc!G6</f>
        <v/>
      </c>
      <c r="H1916">
        <f>Calc!H6</f>
        <v/>
      </c>
      <c r="I1916">
        <f>IF(Skills!T6&lt;&gt;"",1+(Skills!T6/10)*(Z1913/1000)/100,1)</f>
        <v/>
      </c>
      <c r="J1916">
        <f>((Inputs!$B$6*(1+Inputs!$B$7/100))+(((Inputs!$B$12*(1+Inputs!$B$13/100))-(Inputs!$B$12*(1+Inputs!$B$13/100)))+0.25*(Inputs!$B$14-Inputs!$B$14))*(1+Inputs!$B$7/100))*(F1916/100)</f>
        <v/>
      </c>
      <c r="K1916">
        <f>J1916*(1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6="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F1928-Calc!F18),(Inputs!$B$23+(IF(ArtifactsInput!$M$15,CHOOSE(ArtifactsInput!$N$15+1,25,30,35,40,45,50)/100*(Inputs!$B$11-Inputs!$B$11),0))))/100+(Inputs!$B$23+(IF(ArtifactsInput!$M$15,CHOOSE(ArtifactsInput!$N$15+1,25,30,35,40,45,50)/100*(Inputs!$B$11-Inputs!$B$11),0)))/100)/2</f>
        <v/>
      </c>
      <c r="M1916">
        <f>L1916*(1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(1-Summary!$B$11)*S1916+Summary!$B$11*U1916</f>
        <v/>
      </c>
      <c r="P1916">
        <f>IF(B1947=0,0,O1916/B1947)</f>
        <v/>
      </c>
      <c r="Q1916">
        <f>IFERROR(1/IF(Inputs!$B$38="pvp",15,MAX(0.1,Skills!D6-IF(Skills!E6=TRUE,Inputs!$B$32,0))),0)</f>
        <v/>
      </c>
      <c r="R1916">
        <f>IF(AND(Inputs!$B$38&lt;&gt;"pvp",Inputs!$B$43&gt;0),IF(MAX(0,Inputs!$B$43-B1944)&lt;=0,0,(INT(MAX(0,Inputs!$B$43-B1944)/IF(Inputs!$B$38="pvp",15,MAX(0.1,Skills!D6-IF(Skills!E6=TRUE,Inputs!$B$32,0))))+1)),0)</f>
        <v/>
      </c>
      <c r="S1916">
        <f>IF(C1916,(H1916*N1916*IF(AND(Inputs!$B$38&lt;&gt;"pvp",Inputs!$B$43&gt;0),((Skills!F6*((R1916-1)*IF(Skills!G6&gt;0,Skills!H6/Skills!G6,1)+IF(Skills!G6&gt;0,MIN(Skills!H6,MAX(0,MAX(0,Inputs!$B$43-B1944)-((R1916-1)*IF(Inputs!$B$38="pvp",15,MAX(0.1,Skills!D6-IF(Skills!E6=TRUE,Inputs!$B$32,0))))))/Skills!G6,1)))/Inputs!$B$43),G1916*Q1916))*IF(Inputs!$B$38="pvp",1,1+(Inputs!$B$20+Skills!O6+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1916*(1-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6">
        <f>IF(C1916,(H1916*N1916*IF(AND(Inputs!$B$38&lt;&gt;"pvp",Inputs!$B$43&gt;0),((Skills!F6*((R1916-1)*IF(Skills!G6&gt;0,Skills!H6/Skills!G6,1)+IF(Skills!G6&gt;0,MIN(Skills!H6,MAX(0,MAX(0,Inputs!$B$43-B1944)-((R1916-1)*IF(Inputs!$B$38="pvp",15,MAX(0.1,Skills!D6-IF(Skills!E6=TRUE,Inputs!$B$32,0))))))/Skills!G6,1)))/Inputs!$B$43),G1916*Q1916))*IF(Inputs!$B$38="pvp",1,(1+(Inputs!$B$21+Skills!P6+B1938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Skills!A7</f>
        <v/>
      </c>
      <c r="B1917">
        <f>Skills!B7</f>
        <v/>
      </c>
      <c r="C1917">
        <f>Inputs!$B$3&gt;=69</f>
        <v/>
      </c>
      <c r="D1917">
        <f>IF(Skills!C7=1,60+Inputs!$B$25+Inputs!$B$29,IF(Skills!C7=2,90+Inputs!$B$26+Inputs!$B$29,IF(Skills!C7=3,120+Inputs!$B$27+Inputs!$B$29,MAX(0,(Inputs!$B$3-100)*3)+Inputs!$B$28+Inputs!$B$29)))</f>
        <v/>
      </c>
      <c r="E1917">
        <f>INDEX(FactorTable!$B$2:$Y$301, MATCH(ROUND(MIN(300,MAX(1,D1917)),0), FactorTable!$A$2:$A$301,0), Skills!L7+1)</f>
        <v/>
      </c>
      <c r="F1917">
        <f>IF(Skills!M7=TRUE,(Skills!K7/10)*(E1917/1000),Skills!K7/10)+Skills!N7</f>
        <v/>
      </c>
      <c r="G1917">
        <f>Calc!G7</f>
        <v/>
      </c>
      <c r="H1917">
        <f>Calc!H7</f>
        <v/>
      </c>
      <c r="I1917">
        <f>IF(Skills!T7&lt;&gt;"",1+(Skills!T7/10)*(Z1913/1000)/100,1)</f>
        <v/>
      </c>
      <c r="J1917">
        <f>((Inputs!$B$6*(1+Inputs!$B$7/100))+(((Inputs!$B$12*(1+Inputs!$B$13/100))-(Inputs!$B$12*(1+Inputs!$B$13/100)))+0.25*(Inputs!$B$14-Inputs!$B$14))*(1+Inputs!$B$7/100))*(F1917/100)</f>
        <v/>
      </c>
      <c r="K1917">
        <f>J1917*(1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7="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F1928-Calc!F18),(Inputs!$B$23+(IF(ArtifactsInput!$M$15,CHOOSE(ArtifactsInput!$N$15+1,25,30,35,40,45,50)/100*(Inputs!$B$11-Inputs!$B$11),0))))/100+(Inputs!$B$23+(IF(ArtifactsInput!$M$15,CHOOSE(ArtifactsInput!$N$15+1,25,30,35,40,45,50)/100*(Inputs!$B$11-Inputs!$B$11),0)))/100)/2</f>
        <v/>
      </c>
      <c r="M1917">
        <f>L1917*(1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(1-Summary!$B$11)*S1917+Summary!$B$11*U1917</f>
        <v/>
      </c>
      <c r="P1917">
        <f>IF(B1947=0,0,O1917/B1947)</f>
        <v/>
      </c>
      <c r="Q1917">
        <f>IFERROR(1/IF(Inputs!$B$38="pvp",15,MAX(0.1,Skills!D7-IF(Skills!E7=TRUE,Inputs!$B$32,0))),0)</f>
        <v/>
      </c>
      <c r="R1917">
        <f>IF(AND(Inputs!$B$38&lt;&gt;"pvp",Inputs!$B$43&gt;0),IF(MAX(0,Inputs!$B$43-B1944)&lt;=0,0,(INT(MAX(0,Inputs!$B$43-B1944)/IF(Inputs!$B$38="pvp",15,MAX(0.1,Skills!D7-IF(Skills!E7=TRUE,Inputs!$B$32,0))))+1)),0)</f>
        <v/>
      </c>
      <c r="S1917">
        <f>IF(C1917,(H1917*N1917*IF(AND(Inputs!$B$38&lt;&gt;"pvp",Inputs!$B$43&gt;0),((Skills!F7*((R1917-1)*IF(Skills!G7&gt;0,Skills!H7/Skills!G7,1)+IF(Skills!G7&gt;0,MIN(Skills!H7,MAX(0,MAX(0,Inputs!$B$43-B1944)-((R1917-1)*IF(Inputs!$B$38="pvp",15,MAX(0.1,Skills!D7-IF(Skills!E7=TRUE,Inputs!$B$32,0))))))/Skills!G7,1)))/Inputs!$B$43),G1917*Q1917))*IF(Inputs!$B$38="pvp",1,1+(Inputs!$B$20+Skills!O7+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1917*(1-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7">
        <f>IF(C1917,(H1917*N1917*IF(AND(Inputs!$B$38&lt;&gt;"pvp",Inputs!$B$43&gt;0),((Skills!F7*((R1917-1)*IF(Skills!G7&gt;0,Skills!H7/Skills!G7,1)+IF(Skills!G7&gt;0,MIN(Skills!H7,MAX(0,MAX(0,Inputs!$B$43-B1944)-((R1917-1)*IF(Inputs!$B$38="pvp",15,MAX(0.1,Skills!D7-IF(Skills!E7=TRUE,Inputs!$B$32,0))))))/Skills!G7,1)))/Inputs!$B$43),G1917*Q1917))*IF(Inputs!$B$38="pvp",1,(1+(Inputs!$B$21+Skills!P7+B1938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Skills!A8</f>
        <v/>
      </c>
      <c r="B1918">
        <f>Skills!B8</f>
        <v/>
      </c>
      <c r="C1918">
        <f>Inputs!$B$3&gt;=103</f>
        <v/>
      </c>
      <c r="D1918">
        <f>IF(Skills!C8=1,60+Inputs!$B$25+Inputs!$B$29,IF(Skills!C8=2,90+Inputs!$B$26+Inputs!$B$29,IF(Skills!C8=3,120+Inputs!$B$27+Inputs!$B$29,MAX(0,(Inputs!$B$3-100)*3)+Inputs!$B$28+Inputs!$B$29)))</f>
        <v/>
      </c>
      <c r="E1918">
        <f>INDEX(FactorTable!$B$2:$Y$301, MATCH(ROUND(MIN(300,MAX(1,D1918)),0), FactorTable!$A$2:$A$301,0), Skills!L8+1)</f>
        <v/>
      </c>
      <c r="F1918">
        <f>IF(Skills!M8=TRUE,(Skills!K8/10)*(E1918/1000),Skills!K8/10)+Skills!N8</f>
        <v/>
      </c>
      <c r="G1918">
        <f>Calc!G8</f>
        <v/>
      </c>
      <c r="H1918">
        <f>Calc!H8</f>
        <v/>
      </c>
      <c r="I1918">
        <f>IF(Skills!T8&lt;&gt;"",1+(Skills!T8/10)*(Z1913/1000)/100,1)</f>
        <v/>
      </c>
      <c r="J1918">
        <f>((Inputs!$B$6*(1+Inputs!$B$7/100))+(((Inputs!$B$12*(1+Inputs!$B$13/100))-(Inputs!$B$12*(1+Inputs!$B$13/100)))+0.25*(Inputs!$B$14-Inputs!$B$14))*(1+Inputs!$B$7/100))*(F1918/100)</f>
        <v/>
      </c>
      <c r="K1918">
        <f>J1918*(1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8="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F1928-Calc!F18),(Inputs!$B$23+(IF(ArtifactsInput!$M$15,CHOOSE(ArtifactsInput!$N$15+1,25,30,35,40,45,50)/100*(Inputs!$B$11-Inputs!$B$11),0))))/100+(Inputs!$B$23+(IF(ArtifactsInput!$M$15,CHOOSE(ArtifactsInput!$N$15+1,25,30,35,40,45,50)/100*(Inputs!$B$11-Inputs!$B$11),0)))/100)/2</f>
        <v/>
      </c>
      <c r="M1918">
        <f>L1918*(1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(1-Summary!$B$11)*S1918+Summary!$B$11*U1918</f>
        <v/>
      </c>
      <c r="P1918">
        <f>IF(B1947=0,0,O1918/B1947)</f>
        <v/>
      </c>
      <c r="Q1918">
        <f>IFERROR(1/IF(Inputs!$B$38="pvp",15,MAX(0.1,Skills!D8-IF(Skills!E8=TRUE,Inputs!$B$32,0))),0)</f>
        <v/>
      </c>
      <c r="R1918">
        <f>IF(AND(Inputs!$B$38&lt;&gt;"pvp",Inputs!$B$43&gt;0),IF(MAX(0,Inputs!$B$43-B1944)&lt;=0,0,(INT(MAX(0,Inputs!$B$43-B1944)/IF(Inputs!$B$38="pvp",15,MAX(0.1,Skills!D8-IF(Skills!E8=TRUE,Inputs!$B$32,0))))+1)),0)</f>
        <v/>
      </c>
      <c r="S1918">
        <f>IF(C1918,(H1918*N1918*IF(AND(Inputs!$B$38&lt;&gt;"pvp",Inputs!$B$43&gt;0),((Skills!F8*((R1918-1)*IF(Skills!G8&gt;0,Skills!H8/Skills!G8,1)+IF(Skills!G8&gt;0,MIN(Skills!H8,MAX(0,MAX(0,Inputs!$B$43-B1944)-((R1918-1)*IF(Inputs!$B$38="pvp",15,MAX(0.1,Skills!D8-IF(Skills!E8=TRUE,Inputs!$B$32,0))))))/Skills!G8,1)))/Inputs!$B$43),G1918*Q1918))*IF(Inputs!$B$38="pvp",1,1+(Inputs!$B$20+Skills!O8+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1918*(1-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IF(C1918,(H1918*N1918*IF(AND(Inputs!$B$38&lt;&gt;"pvp",Inputs!$B$43&gt;0),((Skills!F8*((R1918-1)*IF(Skills!G8&gt;0,Skills!H8/Skills!G8,1)+IF(Skills!G8&gt;0,MIN(Skills!H8,MAX(0,MAX(0,Inputs!$B$43-B1944)-((R1918-1)*IF(Inputs!$B$38="pvp",15,MAX(0.1,Skills!D8-IF(Skills!E8=TRUE,Inputs!$B$32,0))))))/Skills!G8,1)))/Inputs!$B$43),G1918*Q1918))*IF(Inputs!$B$38="pvp",1,(1+(Inputs!$B$21+Skills!P8+B1938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Skills!A9</f>
        <v/>
      </c>
      <c r="B1919">
        <f>Skills!B9</f>
        <v/>
      </c>
      <c r="C1919">
        <f>Inputs!$B$3&gt;=105</f>
        <v/>
      </c>
      <c r="D1919">
        <f>IF(Skills!C9=1,60+Inputs!$B$25+Inputs!$B$29,IF(Skills!C9=2,90+Inputs!$B$26+Inputs!$B$29,IF(Skills!C9=3,120+Inputs!$B$27+Inputs!$B$29,MAX(0,(Inputs!$B$3-100)*3)+Inputs!$B$28+Inputs!$B$29)))</f>
        <v/>
      </c>
      <c r="E1919">
        <f>INDEX(FactorTable!$B$2:$Y$301, MATCH(ROUND(MIN(300,MAX(1,D1919)),0), FactorTable!$A$2:$A$301,0), Skills!L9+1)</f>
        <v/>
      </c>
      <c r="F1919">
        <f>IF(Skills!M9=TRUE,(Skills!K9/10)*(E1919/1000),Skills!K9/10)+Skills!N9</f>
        <v/>
      </c>
      <c r="G1919">
        <f>Calc!G9</f>
        <v/>
      </c>
      <c r="H1919">
        <f>Calc!H9</f>
        <v/>
      </c>
      <c r="I1919">
        <f>IF(Skills!T9&lt;&gt;"",1+(Skills!T9/10)*(Z1913/1000)/100,1)</f>
        <v/>
      </c>
      <c r="J1919">
        <f>((Inputs!$B$6*(1+Inputs!$B$7/100))+(((Inputs!$B$12*(1+Inputs!$B$13/100))-(Inputs!$B$12*(1+Inputs!$B$13/100)))+0.25*(Inputs!$B$14-Inputs!$B$14))*(1+Inputs!$B$7/100))*(F1919/100)</f>
        <v/>
      </c>
      <c r="K1919">
        <f>J1919*(1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9="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F1928-Calc!F18),(Inputs!$B$23+(IF(ArtifactsInput!$M$15,CHOOSE(ArtifactsInput!$N$15+1,25,30,35,40,45,50)/100*(Inputs!$B$11-Inputs!$B$11),0))))/100+(Inputs!$B$23+(IF(ArtifactsInput!$M$15,CHOOSE(ArtifactsInput!$N$15+1,25,30,35,40,45,50)/100*(Inputs!$B$11-Inputs!$B$11),0)))/100)/2</f>
        <v/>
      </c>
      <c r="M1919">
        <f>L1919*(1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(1-Summary!$B$11)*S1919+Summary!$B$11*U1919</f>
        <v/>
      </c>
      <c r="P1919">
        <f>IF(B1947=0,0,O1919/B1947)</f>
        <v/>
      </c>
      <c r="Q1919">
        <f>IFERROR(1/IF(Inputs!$B$38="pvp",15,MAX(0.1,Skills!D9-IF(Skills!E9=TRUE,Inputs!$B$32,0))),0)</f>
        <v/>
      </c>
      <c r="R1919">
        <f>IF(AND(Inputs!$B$38&lt;&gt;"pvp",Inputs!$B$43&gt;0),IF(MAX(0,Inputs!$B$43-B1944)&lt;=0,0,(INT(MAX(0,Inputs!$B$43-B1944)/IF(Inputs!$B$38="pvp",15,MAX(0.1,Skills!D9-IF(Skills!E9=TRUE,Inputs!$B$32,0))))+1)),0)</f>
        <v/>
      </c>
      <c r="S1919">
        <f>IF(C1919,(H1919*N1919*IF(AND(Inputs!$B$38&lt;&gt;"pvp",Inputs!$B$43&gt;0),((Skills!F9*((R1919-1)*IF(Skills!G9&gt;0,Skills!H9/Skills!G9,1)+IF(Skills!G9&gt;0,MIN(Skills!H9,MAX(0,MAX(0,Inputs!$B$43-B1944)-((R1919-1)*IF(Inputs!$B$38="pvp",15,MAX(0.1,Skills!D9-IF(Skills!E9=TRUE,Inputs!$B$32,0))))))/Skills!G9,1)))/Inputs!$B$43),G1919*Q1919))*IF(Inputs!$B$38="pvp",1,1+(Inputs!$B$20+Skills!O9+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1919*(1-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9">
        <f>IF(C1919,(H1919*N1919*IF(AND(Inputs!$B$38&lt;&gt;"pvp",Inputs!$B$43&gt;0),((Skills!F9*((R1919-1)*IF(Skills!G9&gt;0,Skills!H9/Skills!G9,1)+IF(Skills!G9&gt;0,MIN(Skills!H9,MAX(0,MAX(0,Inputs!$B$43-B1944)-((R1919-1)*IF(Inputs!$B$38="pvp",15,MAX(0.1,Skills!D9-IF(Skills!E9=TRUE,Inputs!$B$32,0))))))/Skills!G9,1)))/Inputs!$B$43),G1919*Q1919))*IF(Inputs!$B$38="pvp",1,(1+(Inputs!$B$21+Skills!P9+B1938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Skills!A10</f>
        <v/>
      </c>
      <c r="B1920">
        <f>Skills!B10</f>
        <v/>
      </c>
      <c r="C1920">
        <f>Inputs!$B$3&gt;=113</f>
        <v/>
      </c>
      <c r="D1920">
        <f>IF(Skills!C10=1,60+Inputs!$B$25+Inputs!$B$29,IF(Skills!C10=2,90+Inputs!$B$26+Inputs!$B$29,IF(Skills!C10=3,120+Inputs!$B$27+Inputs!$B$29,MAX(0,(Inputs!$B$3-100)*3)+Inputs!$B$28+Inputs!$B$29)))</f>
        <v/>
      </c>
      <c r="E1920">
        <f>INDEX(FactorTable!$B$2:$Y$301, MATCH(ROUND(MIN(300,MAX(1,D1920)),0), FactorTable!$A$2:$A$301,0), Skills!L10+1)</f>
        <v/>
      </c>
      <c r="F1920">
        <f>IF(Skills!M10=TRUE,(Skills!K10/10)*(E1920/1000),Skills!K10/10)+Skills!N10</f>
        <v/>
      </c>
      <c r="G1920">
        <f>Calc!G10</f>
        <v/>
      </c>
      <c r="H1920">
        <f>Calc!H10</f>
        <v/>
      </c>
      <c r="I1920">
        <f>IF(Skills!T10&lt;&gt;"",1+(Skills!T10/10)*(Z1913/1000)/100,1)</f>
        <v/>
      </c>
      <c r="J1920">
        <f>((Inputs!$B$6*(1+Inputs!$B$7/100))+(((Inputs!$B$12*(1+Inputs!$B$13/100))-(Inputs!$B$12*(1+Inputs!$B$13/100)))+0.25*(Inputs!$B$14-Inputs!$B$14))*(1+Inputs!$B$7/100))*(F1920/100)</f>
        <v/>
      </c>
      <c r="K1920">
        <f>J1920*(1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10="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1928-Calc!F18),(Inputs!$B$23+(IF(ArtifactsInput!$M$15,CHOOSE(ArtifactsInput!$N$15+1,25,30,35,40,45,50)/100*(Inputs!$B$11-Inputs!$B$11),0))))/100+(Inputs!$B$23+(IF(ArtifactsInput!$M$15,CHOOSE(ArtifactsInput!$N$15+1,25,30,35,40,45,50)/100*(Inputs!$B$11-Inputs!$B$11),0)))/100)/2</f>
        <v/>
      </c>
      <c r="M1920">
        <f>L1920*(1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IF(B1947=0,0,O1920/B1947)</f>
        <v/>
      </c>
      <c r="Q1920">
        <f>IFERROR(1/IF(Inputs!$B$38="pvp",15,MAX(0.1,Skills!D10-IF(Skills!E9=TRUE,Inputs!$B$32,0))),0)</f>
        <v/>
      </c>
      <c r="R1920">
        <f>IF(AND(Inputs!$B$38&lt;&gt;"pvp",Inputs!$B$43&gt;0),IF(MAX(0,Inputs!$B$43-B1944)&lt;=0,0,(INT(MAX(0,Inputs!$B$43-B1944)/IF(Inputs!$B$38="pvp",15,MAX(0.1,Skills!D10-IF(Skills!E9=TRUE,Inputs!$B$32,0))))+1)),0)</f>
        <v/>
      </c>
      <c r="S1920">
        <f>IF(C1920,(H1920*N1920*IF(AND(Inputs!$B$38&lt;&gt;"pvp",Inputs!$B$43&gt;0),((Skills!F10*((R1920-1)*IF(Skills!G10&gt;0,Skills!H10/Skills!G10,1)+IF(Skills!G10&gt;0,MIN(Skills!H10,MAX(0,MAX(0,Inputs!$B$43-B1944)-((R1920-1)*IF(Inputs!$B$38="pvp",15,MAX(0.1,Skills!D10-IF(Skills!E9=TRUE,Inputs!$B$32,0))))))/Skills!G10,1)))/Inputs!$B$43),G1920*Q1920))*IF(Inputs!$B$38="pvp",1,1+(Inputs!$B$20+Skills!O10+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IF(C1920,(H1920*N1920*IF(AND(Inputs!$B$38&lt;&gt;"pvp",Inputs!$B$43&gt;0),((Skills!F10*((R1920-1)*IF(Skills!G10&gt;0,Skills!H10/Skills!G10,1)+IF(Skills!G10&gt;0,MIN(Skills!H10,MAX(0,MAX(0,Inputs!$B$43-B1944)-((R1920-1)*IF(Inputs!$B$38="pvp",15,MAX(0.1,Skills!D10-IF(Skills!E9=TRUE,Inputs!$B$32,0))))))/Skills!G10,1)))/Inputs!$B$43),G1920*Q1920))*IF(Inputs!$B$38="pvp",1,(1+(Inputs!$B$21+Skills!P10+B1938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Skills!A11</f>
        <v/>
      </c>
      <c r="B1921">
        <f>Skills!B11</f>
        <v/>
      </c>
      <c r="C1921">
        <f>Inputs!$B$3&gt;=107</f>
        <v/>
      </c>
      <c r="D1921">
        <f>IF(Skills!C11=1,60+Inputs!$B$25+Inputs!$B$29,IF(Skills!C11=2,90+Inputs!$B$26+Inputs!$B$29,IF(Skills!C11=3,120+Inputs!$B$27+Inputs!$B$29,MAX(0,(Inputs!$B$3-100)*3)+Inputs!$B$28+Inputs!$B$29)))</f>
        <v/>
      </c>
      <c r="E1921">
        <f>INDEX(FactorTable!$B$2:$Y$301, MATCH(ROUND(MIN(300,MAX(1,D1921)),0), FactorTable!$A$2:$A$301,0), Skills!L11+1)</f>
        <v/>
      </c>
      <c r="F1921">
        <f>IF(Skills!M11=TRUE,(Skills!K11/10)*(E1921/1000),Skills!K11/10)+Skills!N11</f>
        <v/>
      </c>
      <c r="G1921">
        <f>Calc!G11</f>
        <v/>
      </c>
      <c r="H1921">
        <f>Calc!H11</f>
        <v/>
      </c>
      <c r="I1921">
        <f>IF(Skills!T11&lt;&gt;"",1+(Skills!T11/10)*(Z1913/1000)/100,1)</f>
        <v/>
      </c>
      <c r="J1921">
        <f>((Inputs!$B$6*(1+Inputs!$B$7/100))+(((Inputs!$B$12*(1+Inputs!$B$13/100))-(Inputs!$B$12*(1+Inputs!$B$13/100)))+0.25*(Inputs!$B$14-Inputs!$B$14))*(1+Inputs!$B$7/100))*(F1921/100)</f>
        <v/>
      </c>
      <c r="K1921">
        <f>J1921*(1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11="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1928-Calc!F18),(Inputs!$B$23+(IF(ArtifactsInput!$M$15,CHOOSE(ArtifactsInput!$N$15+1,25,30,35,40,45,50)/100*(Inputs!$B$11-Inputs!$B$11),0))))/100+(Inputs!$B$23+(IF(ArtifactsInput!$M$15,CHOOSE(ArtifactsInput!$N$15+1,25,30,35,40,45,50)/100*(Inputs!$B$11-Inputs!$B$11),0)))/100)/2</f>
        <v/>
      </c>
      <c r="M1921">
        <f>L1921*(1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IF(B1947=0,0,O1921/B1947)</f>
        <v/>
      </c>
      <c r="Q1921">
        <f>IFERROR(1/IF(Inputs!$B$38="pvp",15,MAX(0.1,Skills!D11-IF(Skills!E11=TRUE,Inputs!$B$32,0))),0)</f>
        <v/>
      </c>
      <c r="R1921">
        <f>IF(AND(Inputs!$B$38&lt;&gt;"pvp",Inputs!$B$43&gt;0),IF(MAX(0,Inputs!$B$43-B1944)&lt;=0,0,(INT(MAX(0,Inputs!$B$43-B1944)/IF(Inputs!$B$38="pvp",15,MAX(0.1,Skills!D11-IF(Skills!E11=TRUE,Inputs!$B$32,0))))+1)),0)</f>
        <v/>
      </c>
      <c r="S1921">
        <f>IF(C1921,H1921*N1921*IF(AND(Inputs!$B$38&lt;&gt;"pvp",Inputs!$B$43&gt;0),((Skills!F11*((R1921-1)*IF(Skills!G11&gt;0,Skills!H11/Skills!G11,1)+IF(Skills!G11&gt;0,MIN(Skills!H11,MAX(0,MAX(0,Inputs!$B$43-B1944)-((R1921-1)*IF(Inputs!$B$38="pvp",15,MAX(0.1,Skills!D11-IF(Skills!E11=TRUE,Inputs!$B$32,0))))))/Skills!G11,1)))/Inputs!$B$43),G1921*Q1921)*0.5*IF(Inputs!$B$38="pvp",1,1+(Inputs!$B$20+Skills!O11+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IF(C1921,H1921*N1921*IF(AND(Inputs!$B$38&lt;&gt;"pvp",Inputs!$B$43&gt;0),((Skills!F11*((R1921-1)*IF(Skills!G11&gt;0,Skills!H11/Skills!G11,1)+IF(Skills!G11&gt;0,MIN(Skills!H11,MAX(0,MAX(0,Inputs!$B$43-B1944)-((R1921-1)*IF(Inputs!$B$38="pvp",15,MAX(0.1,Skills!D11-IF(Skills!E11=TRUE,Inputs!$B$32,0))))))/Skills!G11,1)))/Inputs!$B$43),G1921*Q1921)*1*IF(Inputs!$B$38="pvp",1,(1+(Inputs!$B$21+Skills!P11+B1938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Skills!A12</f>
        <v/>
      </c>
      <c r="B1922">
        <f>Skills!B12</f>
        <v/>
      </c>
      <c r="C1922">
        <f>Inputs!$B$3&gt;=115</f>
        <v/>
      </c>
      <c r="D1922">
        <f>IF(Skills!C12=1,60+Inputs!$B$25+Inputs!$B$29,IF(Skills!C12=2,90+Inputs!$B$26+Inputs!$B$29,IF(Skills!C12=3,120+Inputs!$B$27+Inputs!$B$29,MAX(0,(Inputs!$B$3-100)*3)+Inputs!$B$28+Inputs!$B$29)))</f>
        <v/>
      </c>
      <c r="E1922">
        <f>INDEX(FactorTable!$B$2:$Y$301, MATCH(ROUND(MIN(300,MAX(1,D1922)),0), FactorTable!$A$2:$A$301,0), Skills!L12+1)</f>
        <v/>
      </c>
      <c r="F1922">
        <f>IF(Skills!M12=TRUE,(Skills!K12/10)*(E1922/1000),Skills!K12/10)+Skills!N12</f>
        <v/>
      </c>
      <c r="G1922">
        <f>Calc!G12</f>
        <v/>
      </c>
      <c r="H1922">
        <f>Calc!H12</f>
        <v/>
      </c>
      <c r="I1922">
        <f>IF(Skills!T12&lt;&gt;"",1+(Skills!T12/10)*(Z1913/1000)/100,1)</f>
        <v/>
      </c>
      <c r="J1922">
        <f>((Inputs!$B$6*(1+Inputs!$B$7/100))+(((Inputs!$B$12*(1+Inputs!$B$13/100))-(Inputs!$B$12*(1+Inputs!$B$13/100)))+0.25*(Inputs!$B$14-Inputs!$B$14))*(1+Inputs!$B$7/100))*(F1922/100)</f>
        <v/>
      </c>
      <c r="K1922">
        <f>J1922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12="CHAIN_LIGHTNING",Inputs!$B$17+((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1928-Calc!F18),(Inputs!$B$23+(IF(ArtifactsInput!$M$15,CHOOSE(ArtifactsInput!$N$15+1,25,30,35,40,45,50)/100*(Inputs!$B$11-Inputs!$B$11),0))))/100+(Inputs!$B$23+(IF(ArtifactsInput!$M$15,CHOOSE(ArtifactsInput!$N$15+1,25,30,35,40,45,50)/100*(Inputs!$B$11-Inputs!$B$11),0)))/100)/2</f>
        <v/>
      </c>
      <c r="M1922">
        <f>L1922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IF(B1947=0,0,O1922/B1947)</f>
        <v/>
      </c>
      <c r="Q1922">
        <f>IFERROR(1/IF(Inputs!$B$38="pvp",15,MAX(0.1,Skills!D12-IF(Skills!E12=TRUE,Inputs!$B$32,0))),0)</f>
        <v/>
      </c>
      <c r="R1922">
        <f>IF(AND(Inputs!$B$38&lt;&gt;"pvp",Inputs!$B$43&gt;0),IF(MAX(0,Inputs!$B$43-B1944)&lt;=0,0,(INT(MAX(0,Inputs!$B$43-B1944)/IF(Inputs!$B$38="pvp",15,MAX(0.1,Skills!D12-IF(Skills!E12=TRUE,Inputs!$B$32,0))))+1)),0)</f>
        <v/>
      </c>
      <c r="S1922">
        <f>IF(C1922,(H1922*N1922*IF(AND(Inputs!$B$38&lt;&gt;"pvp",Inputs!$B$43&gt;0),((Skills!F12*((R1922-1)*IF(Skills!G12&gt;0,Skills!H12/Skills!G12,1)+IF(Skills!G12&gt;0,MIN(Skills!H12,MAX(0,MAX(0,Inputs!$B$43-B1944)-((R1922-1)*IF(Inputs!$B$38="pvp",15,MAX(0.1,Skills!D12-IF(Skills!E12=TRUE,Inputs!$B$32,0))))))/Skills!G12,1)))/Inputs!$B$43),G1922*Q1922))*IF(Inputs!$B$38="pvp",1,1+(Inputs!$B$20+Skills!O12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1930-Calc!F20)+(F1929-Calc!F19))+(ArtifactsInput!$M$24-ArtifactsInput!$M$24)*CHOOSE(ArtifactsInput!$N$24+1,10,12,14,16,18,20)+(IF(AND(Inputs!$B$38&lt;&gt;"pvp",Inputs!$B$43=0),1,IF(IF(Inputs!$B$38="pvp",15,Inputs!$B$43)-(B1944)&lt;=0,1,MAX(0,IF(Inputs!$B$38="pvp",15,Inputs!$B$43)-MAX(5,B1944))/(IF(Inputs!$B$38="pvp",15,Inputs!$B$43)-(B1944)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F(C1922,(H1922*N1922*IF(AND(Inputs!$B$38&lt;&gt;"pvp",Inputs!$B$43&gt;0),((Skills!F12*((R1922-1)*IF(Skills!G12&gt;0,Skills!H12/Skills!G12,1)+IF(Skills!G12&gt;0,MIN(Skills!H12,MAX(0,MAX(0,Inputs!$B$43-B1944)-((R1922-1)*IF(Inputs!$B$38="pvp",15,MAX(0.1,Skills!D12-IF(Skills!E12=TRUE,Inputs!$B$32,0))))))/Skills!G12,1)))/Inputs!$B$43),G1922*Q1922))*IF(Inputs!$B$38="pvp",1,(1+(Inputs!$B$21+Skills!P12+B1938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Skills!A13</f>
        <v/>
      </c>
      <c r="B1923">
        <f>Skills!B13</f>
        <v/>
      </c>
      <c r="C1923">
        <f>Inputs!$B$3&gt;=49</f>
        <v/>
      </c>
      <c r="D1923">
        <f>IF(Skills!C13=1,60+Inputs!$B$25+Inputs!$B$29,IF(Skills!C13=2,90+Inputs!$B$26+Inputs!$B$29,IF(Skills!C13=3,120+Inputs!$B$27+Inputs!$B$29,MAX(0,(Inputs!$B$3-100)*3)+Inputs!$B$28+Inputs!$B$29)))</f>
        <v/>
      </c>
      <c r="E1923">
        <f>INDEX(FactorTable!$B$2:$Y$301, MATCH(ROUND(MIN(300,MAX(1,D1923)),0), FactorTable!$A$2:$A$301,0), Skills!L13+1)</f>
        <v/>
      </c>
      <c r="F1923">
        <f>IF(Skills!M13=TRUE,(Skills!K13/10)*(E1923/1000),Skills!K13/10)+Skills!N13</f>
        <v/>
      </c>
      <c r="G1923">
        <f>Calc!G13</f>
        <v/>
      </c>
      <c r="H1923">
        <f>Calc!H13</f>
        <v/>
      </c>
      <c r="I1923">
        <f>IF(Skills!T13&lt;&gt;"",1+(Skills!T13/10)*(Z1913/1000)/100,1)</f>
        <v/>
      </c>
      <c r="J1923" t="inlineStr"/>
      <c r="K1923" t="inlineStr"/>
      <c r="L1923" t="inlineStr"/>
      <c r="M1923" t="inlineStr"/>
      <c r="N1923" t="inlineStr"/>
      <c r="O1923">
        <f>(1-Summary!$B$11)*S1923+Summary!$B$11*U1923</f>
        <v/>
      </c>
      <c r="P1923">
        <f>IF(B1947=0,0,O1923/B1947)</f>
        <v/>
      </c>
      <c r="Q1923">
        <f>IFERROR(1/IF(Inputs!$B$38="pvp",15,MAX(0.1,Skills!D13-IF(Skills!E13=TRUE,Inputs!$B$32,0))),0)</f>
        <v/>
      </c>
      <c r="R1923" t="n">
        <v>0</v>
      </c>
      <c r="S1923" t="n">
        <v>0</v>
      </c>
      <c r="U1923" t="n">
        <v>0</v>
      </c>
    </row>
    <row r="1924">
      <c r="A1924">
        <f>Skills!A14</f>
        <v/>
      </c>
      <c r="B1924">
        <f>Skills!B14</f>
        <v/>
      </c>
      <c r="C1924">
        <f>Inputs!$B$3&gt;=72</f>
        <v/>
      </c>
      <c r="D1924">
        <f>IF(Skills!C14=1,60+Inputs!$B$25+Inputs!$B$29,IF(Skills!C14=2,90+Inputs!$B$26+Inputs!$B$29,IF(Skills!C14=3,120+Inputs!$B$27+Inputs!$B$29,MAX(0,(Inputs!$B$3-100)*3)+Inputs!$B$28+Inputs!$B$29)))</f>
        <v/>
      </c>
      <c r="E1924">
        <f>INDEX(FactorTable!$B$2:$Y$301, MATCH(ROUND(MIN(300,MAX(1,D1924)),0), FactorTable!$A$2:$A$301,0), Skills!L14+1)</f>
        <v/>
      </c>
      <c r="F1924">
        <f>IF(Skills!M14=TRUE,(Skills!K14/10)*(E1924/1000),Skills!K14/10)+Skills!N14</f>
        <v/>
      </c>
      <c r="G1924">
        <f>Calc!G14</f>
        <v/>
      </c>
      <c r="H1924">
        <f>Calc!H14</f>
        <v/>
      </c>
      <c r="I1924">
        <f>IF(Skills!T14&lt;&gt;"",1+(Skills!T14/10)*(Z1913/1000)/100,1)</f>
        <v/>
      </c>
      <c r="J1924" t="inlineStr"/>
      <c r="K1924" t="inlineStr"/>
      <c r="L1924" t="inlineStr"/>
      <c r="M1924" t="inlineStr"/>
      <c r="N1924" t="inlineStr"/>
      <c r="O1924">
        <f>(1-Summary!$B$11)*S1924+Summary!$B$11*U1924</f>
        <v/>
      </c>
      <c r="P1924">
        <f>IF(B1947=0,0,O1924/B1947)</f>
        <v/>
      </c>
      <c r="Q1924">
        <f>IFERROR(1/IF(Inputs!$B$38="pvp",15,MAX(0.1,Skills!D14-IF(Skills!E14=TRUE,Inputs!$B$32,0))),0)</f>
        <v/>
      </c>
      <c r="R1924" t="n">
        <v>0</v>
      </c>
      <c r="S1924" t="n">
        <v>0</v>
      </c>
      <c r="U1924" t="n">
        <v>0</v>
      </c>
    </row>
    <row r="1925">
      <c r="A1925">
        <f>Skills!A15</f>
        <v/>
      </c>
      <c r="B1925">
        <f>Skills!B15</f>
        <v/>
      </c>
      <c r="C1925">
        <f>Inputs!$B$3&gt;=75</f>
        <v/>
      </c>
      <c r="D1925">
        <f>IF(Skills!C15=1,60+Inputs!$B$25+Inputs!$B$29,IF(Skills!C15=2,90+Inputs!$B$26+Inputs!$B$29,IF(Skills!C15=3,120+Inputs!$B$27+Inputs!$B$29,MAX(0,(Inputs!$B$3-100)*3)+Inputs!$B$28+Inputs!$B$29)))</f>
        <v/>
      </c>
      <c r="E1925">
        <f>INDEX(FactorTable!$B$2:$Y$301, MATCH(ROUND(MIN(300,MAX(1,D1925)),0), FactorTable!$A$2:$A$301,0), Skills!L15+1)</f>
        <v/>
      </c>
      <c r="F1925">
        <f>IF(Skills!M15=TRUE,(Skills!K15/10)*(E1925/1000),Skills!K15/10)+Skills!N15</f>
        <v/>
      </c>
      <c r="G1925">
        <f>Calc!G15</f>
        <v/>
      </c>
      <c r="H1925">
        <f>Calc!H15</f>
        <v/>
      </c>
      <c r="I1925">
        <f>IF(Skills!T15&lt;&gt;"",1+(Skills!T15/10)*(Z1913/1000)/100,1)</f>
        <v/>
      </c>
      <c r="J1925" t="inlineStr"/>
      <c r="K1925" t="inlineStr"/>
      <c r="L1925" t="inlineStr"/>
      <c r="M1925" t="inlineStr"/>
      <c r="N1925" t="inlineStr"/>
      <c r="O1925">
        <f>(1-Summary!$B$11)*S1925+Summary!$B$11*U1925</f>
        <v/>
      </c>
      <c r="P1925">
        <f>IF(B1947=0,0,O1925/B1947)</f>
        <v/>
      </c>
      <c r="Q1925">
        <f>IFERROR(1/IF(Inputs!$B$38="pvp",15,MAX(0.1,Skills!D15-IF(Skills!E15=TRUE,Inputs!$B$32,0))),0)</f>
        <v/>
      </c>
      <c r="R1925" t="n">
        <v>0</v>
      </c>
      <c r="S1925" t="n">
        <v>0</v>
      </c>
      <c r="U1925" t="n">
        <v>0</v>
      </c>
    </row>
    <row r="1926">
      <c r="A1926">
        <f>Skills!A16</f>
        <v/>
      </c>
      <c r="B1926">
        <f>Skills!B16</f>
        <v/>
      </c>
      <c r="C1926">
        <f>Inputs!$B$3&gt;=110</f>
        <v/>
      </c>
      <c r="D1926">
        <f>IF(Skills!C16=1,60+Inputs!$B$25+Inputs!$B$29,IF(Skills!C16=2,90+Inputs!$B$26+Inputs!$B$29,IF(Skills!C16=3,120+Inputs!$B$27+Inputs!$B$29,MAX(0,(Inputs!$B$3-100)*3)+Inputs!$B$28+Inputs!$B$29)))</f>
        <v/>
      </c>
      <c r="E1926">
        <f>INDEX(FactorTable!$B$2:$Y$301, MATCH(ROUND(MIN(300,MAX(1,D1926)),0), FactorTable!$A$2:$A$301,0), Skills!L16+1)</f>
        <v/>
      </c>
      <c r="F1926">
        <f>(Skills!K16/10)*(E1926/1000)*64/45+Skills!N16</f>
        <v/>
      </c>
      <c r="G1926">
        <f>Calc!G16</f>
        <v/>
      </c>
      <c r="H1926">
        <f>Calc!H16</f>
        <v/>
      </c>
      <c r="I1926">
        <f>IF(Skills!T16&lt;&gt;"",1+(Skills!T16/10)*(Z1913/1000)/100,1)</f>
        <v/>
      </c>
      <c r="J1926" t="inlineStr"/>
      <c r="K1926" t="inlineStr"/>
      <c r="L1926" t="inlineStr"/>
      <c r="M1926" t="inlineStr"/>
      <c r="N1926" t="inlineStr"/>
      <c r="O1926">
        <f>(1-Summary!$B$11)*S1926+Summary!$B$11*U1926</f>
        <v/>
      </c>
      <c r="P1926">
        <f>IF(B1947=0,0,O1926/B1947)</f>
        <v/>
      </c>
      <c r="Q1926">
        <f>IFERROR(1/IF(Inputs!$B$38="pvp",15,MAX(0.1,Skills!D16-IF(Skills!E16=TRUE,Inputs!$B$32,0))),0)</f>
        <v/>
      </c>
      <c r="R1926">
        <f>IF(AND(Inputs!$B$38&lt;&gt;"pvp",Inputs!$B$43&gt;0),IF(Inputs!$B$43&lt;=0,0,(INT(Inputs!$B$43/IF(Inputs!$B$38="pvp",15,MAX(0.1,Skills!D16-IF(Skills!E16=TRUE,Inputs!$B$32,0))))+1)),0)</f>
        <v/>
      </c>
      <c r="S1926" t="n">
        <v>0</v>
      </c>
      <c r="U1926" t="n">
        <v>0</v>
      </c>
    </row>
    <row r="1927">
      <c r="A1927">
        <f>Skills!A17</f>
        <v/>
      </c>
      <c r="B1927">
        <f>Skills!B17</f>
        <v/>
      </c>
      <c r="C1927">
        <f>Inputs!$B$3&gt;=33</f>
        <v/>
      </c>
      <c r="D1927">
        <f>IF(Skills!C17=1,60+Inputs!$B$25+Inputs!$B$29,IF(Skills!C17=2,90+Inputs!$B$26+Inputs!$B$29,IF(Skills!C17=3,120+Inputs!$B$27+Inputs!$B$29,MAX(0,(Inputs!$B$3-100)*3)+Inputs!$B$28+Inputs!$B$29)))</f>
        <v/>
      </c>
      <c r="E1927">
        <f>INDEX(FactorTable!$B$2:$Y$301, MATCH(ROUND(MIN(300,MAX(1,D1927)),0), FactorTable!$A$2:$A$301,0), Skills!L17+1)</f>
        <v/>
      </c>
      <c r="F1927">
        <f>IF(Skills!M17=TRUE,(Skills!K17/10)*(E1927/1000),Skills!K17/10)+Skills!N17</f>
        <v/>
      </c>
      <c r="G1927">
        <f>Calc!G17</f>
        <v/>
      </c>
      <c r="H1927">
        <f>Calc!H17</f>
        <v/>
      </c>
      <c r="I1927">
        <f>IF(Skills!T17&lt;&gt;"",1+(Skills!T17/10)*(Z1913/1000)/100,1)</f>
        <v/>
      </c>
      <c r="J1927" t="inlineStr"/>
      <c r="K1927" t="inlineStr"/>
      <c r="L1927" t="inlineStr"/>
      <c r="M1927" t="inlineStr"/>
      <c r="N1927" t="inlineStr"/>
      <c r="O1927">
        <f>(1-Summary!$B$11)*S1927+Summary!$B$11*U1927</f>
        <v/>
      </c>
      <c r="P1927">
        <f>IF(B1947=0,0,O1927/B1947)</f>
        <v/>
      </c>
      <c r="Q1927">
        <f>IFERROR(1/IF(Inputs!$B$38="pvp",15,MAX(0.1,Skills!D17-IF(Skills!E17=TRUE,Inputs!$B$32,0))),0)</f>
        <v/>
      </c>
      <c r="R1927" t="n">
        <v>0</v>
      </c>
      <c r="S1927" t="n">
        <v>0</v>
      </c>
      <c r="U1927" t="n">
        <v>0</v>
      </c>
    </row>
    <row r="1928">
      <c r="A1928">
        <f>Skills!A18</f>
        <v/>
      </c>
      <c r="B1928">
        <f>Skills!B18</f>
        <v/>
      </c>
      <c r="C1928">
        <f>Inputs!$B$3&gt;=43</f>
        <v/>
      </c>
      <c r="D1928">
        <f>IF(Skills!C18=1,60+Inputs!$B$25+Inputs!$B$29,IF(Skills!C18=2,90+Inputs!$B$26+Inputs!$B$29,IF(Skills!C18=3,120+Inputs!$B$27+Inputs!$B$29,MAX(0,(Inputs!$B$3-100)*3)+Inputs!$B$28+Inputs!$B$29)))</f>
        <v/>
      </c>
      <c r="E1928">
        <f>INDEX(FactorTable!$B$2:$Y$301, MATCH(ROUND(MIN(300,MAX(1,D1928)),0), FactorTable!$A$2:$A$301,0), Skills!L18+1)</f>
        <v/>
      </c>
      <c r="F1928">
        <f>IF(Skills!M18=TRUE,(Skills!K18/10)*(E1928/1000),Skills!K18/10)+Skills!N18</f>
        <v/>
      </c>
      <c r="G1928">
        <f>Calc!G18</f>
        <v/>
      </c>
      <c r="H1928">
        <f>Calc!H18</f>
        <v/>
      </c>
      <c r="I1928">
        <f>IF(Skills!T18&lt;&gt;"",1+(Skills!T18/10)*(Z1913/1000)/100,1)</f>
        <v/>
      </c>
      <c r="J1928" t="inlineStr"/>
      <c r="K1928" t="inlineStr"/>
      <c r="L1928" t="inlineStr"/>
      <c r="M1928" t="inlineStr"/>
      <c r="N1928" t="inlineStr"/>
      <c r="O1928">
        <f>(1-Summary!$B$11)*S1928+Summary!$B$11*U1928</f>
        <v/>
      </c>
      <c r="P1928">
        <f>IF(B1947=0,0,O1928/B1947)</f>
        <v/>
      </c>
      <c r="Q1928">
        <f>IFERROR(1/IF(Inputs!$B$38="pvp",15,MAX(0.1,Skills!D18-IF(Skills!E18=TRUE,Inputs!$B$32,0))),0)</f>
        <v/>
      </c>
      <c r="R1928" t="n">
        <v>0</v>
      </c>
      <c r="S1928" t="n">
        <v>0</v>
      </c>
      <c r="U1928" t="n">
        <v>0</v>
      </c>
    </row>
    <row r="1929">
      <c r="A1929">
        <f>Skills!A19</f>
        <v/>
      </c>
      <c r="B1929">
        <f>Skills!B19</f>
        <v/>
      </c>
      <c r="C1929">
        <f>Inputs!$B$3&gt;=50</f>
        <v/>
      </c>
      <c r="D1929">
        <f>IF(Skills!C19=1,60+Inputs!$B$25+Inputs!$B$29,IF(Skills!C19=2,90+Inputs!$B$26+Inputs!$B$29,IF(Skills!C19=3,120+Inputs!$B$27+Inputs!$B$29,MAX(0,(Inputs!$B$3-100)*3)+Inputs!$B$28+Inputs!$B$29)))</f>
        <v/>
      </c>
      <c r="E1929">
        <f>INDEX(FactorTable!$B$2:$Y$301, MATCH(ROUND(MIN(300,MAX(1,D1929)),0), FactorTable!$A$2:$A$301,0), Skills!L19+1)</f>
        <v/>
      </c>
      <c r="F1929">
        <f>IF(Skills!M19=TRUE,(Skills!K19/10)*(E1929/1000),Skills!K19/10)+Skills!N19</f>
        <v/>
      </c>
      <c r="G1929">
        <f>Calc!G19</f>
        <v/>
      </c>
      <c r="H1929">
        <f>Calc!H19</f>
        <v/>
      </c>
      <c r="I1929">
        <f>IF(Skills!T19&lt;&gt;"",1+(Skills!T19/10)*(Z1913/1000)/100,1)</f>
        <v/>
      </c>
      <c r="J1929" t="inlineStr"/>
      <c r="K1929" t="inlineStr"/>
      <c r="L1929" t="inlineStr"/>
      <c r="M1929" t="inlineStr"/>
      <c r="N1929" t="inlineStr"/>
      <c r="O1929">
        <f>(1-Summary!$B$11)*S1929+Summary!$B$11*U1929</f>
        <v/>
      </c>
      <c r="P1929">
        <f>IF(B1947=0,0,O1929/B1947)</f>
        <v/>
      </c>
      <c r="Q1929">
        <f>IFERROR(1/IF(Inputs!$B$38="pvp",15,MAX(0.1,Skills!D19-IF(Skills!E19=TRUE,Inputs!$B$32,0))),0)</f>
        <v/>
      </c>
      <c r="R1929" t="n">
        <v>0</v>
      </c>
      <c r="S1929" t="n">
        <v>0</v>
      </c>
      <c r="U1929" t="n">
        <v>0</v>
      </c>
    </row>
    <row r="1930">
      <c r="A1930">
        <f>Skills!A20</f>
        <v/>
      </c>
      <c r="B1930">
        <f>Skills!B20</f>
        <v/>
      </c>
      <c r="C1930">
        <f>Inputs!$B$3&gt;=74</f>
        <v/>
      </c>
      <c r="D1930">
        <f>IF(Skills!C20=1,60+Inputs!$B$25+Inputs!$B$29,IF(Skills!C20=2,90+Inputs!$B$26+Inputs!$B$29,IF(Skills!C20=3,120+Inputs!$B$27+Inputs!$B$29,MAX(0,(Inputs!$B$3-100)*3)+Inputs!$B$28+Inputs!$B$29)))</f>
        <v/>
      </c>
      <c r="E1930">
        <f>INDEX(FactorTable!$B$2:$Y$301, MATCH(ROUND(MIN(300,MAX(1,D1930)),0), FactorTable!$A$2:$A$301,0), Skills!L20+1)</f>
        <v/>
      </c>
      <c r="F1930">
        <f>IF(Skills!M20=TRUE,(Skills!K20/10)*(E1930/1000),Skills!K20/10)+Skills!N20</f>
        <v/>
      </c>
      <c r="G1930">
        <f>Calc!G20</f>
        <v/>
      </c>
      <c r="H1930">
        <f>Calc!H20</f>
        <v/>
      </c>
      <c r="I1930">
        <f>IF(Skills!T20&lt;&gt;"",1+(Skills!T20/10)*(Z1913/1000)/100,1)</f>
        <v/>
      </c>
      <c r="J1930" t="inlineStr"/>
      <c r="K1930" t="inlineStr"/>
      <c r="L1930" t="inlineStr"/>
      <c r="M1930" t="inlineStr"/>
      <c r="N1930" t="inlineStr"/>
      <c r="O1930">
        <f>(1-Summary!$B$11)*S1930+Summary!$B$11*U1930</f>
        <v/>
      </c>
      <c r="P1930">
        <f>IF(B1947=0,0,O1930/B1947)</f>
        <v/>
      </c>
      <c r="Q1930">
        <f>IFERROR(1/IF(Inputs!$B$38="pvp",15,MAX(0.1,Skills!D20-IF(Skills!E20=TRUE,Inputs!$B$32,0))),0)</f>
        <v/>
      </c>
      <c r="R1930" t="n">
        <v>0</v>
      </c>
      <c r="S1930" t="n">
        <v>0</v>
      </c>
      <c r="U1930" t="n">
        <v>0</v>
      </c>
    </row>
    <row r="1931">
      <c r="A1931">
        <f>Skills!A21</f>
        <v/>
      </c>
      <c r="B1931">
        <f>Skills!B21</f>
        <v/>
      </c>
      <c r="C1931">
        <f>Inputs!$B$3&gt;=74</f>
        <v/>
      </c>
      <c r="D1931">
        <f>IF(Skills!C21=1,60+Inputs!$B$25+Inputs!$B$29,IF(Skills!C21=2,90+Inputs!$B$26+Inputs!$B$29,IF(Skills!C21=3,120+Inputs!$B$27+Inputs!$B$29,MAX(0,(Inputs!$B$3-100)*3)+Inputs!$B$28+Inputs!$B$29)))</f>
        <v/>
      </c>
      <c r="E1931">
        <f>INDEX(FactorTable!$B$2:$Y$301, MATCH(ROUND(MIN(300,MAX(1,D1931)),0), FactorTable!$A$2:$A$301,0), Skills!L21+1)</f>
        <v/>
      </c>
      <c r="F1931">
        <f>IF(Skills!M21=TRUE,(Skills!K21/10)*(E1931/1000),Skills!K21/10)+Skills!N21</f>
        <v/>
      </c>
      <c r="G1931">
        <f>Calc!G21</f>
        <v/>
      </c>
      <c r="H1931">
        <f>Calc!H21</f>
        <v/>
      </c>
      <c r="I1931">
        <f>IF(Skills!T21&lt;&gt;"",1+(Skills!T21/10)*(Z1913/1000)/100,1)</f>
        <v/>
      </c>
      <c r="J1931" t="inlineStr"/>
      <c r="K1931" t="inlineStr"/>
      <c r="L1931" t="inlineStr"/>
      <c r="M1931" t="inlineStr"/>
      <c r="N1931" t="inlineStr"/>
      <c r="O1931">
        <f>(1-Summary!$B$11)*S1931+Summary!$B$11*U1931</f>
        <v/>
      </c>
      <c r="P1931">
        <f>IF(B1947=0,0,O1931/B1947)</f>
        <v/>
      </c>
      <c r="Q1931">
        <f>IFERROR(1/IF(Inputs!$B$38="pvp",15,MAX(0.1,Skills!D21-IF(Skills!E21=TRUE,Inputs!$B$32,0))),0)</f>
        <v/>
      </c>
      <c r="R1931" t="n">
        <v>0</v>
      </c>
      <c r="S1931" t="n">
        <v>0</v>
      </c>
      <c r="U1931" t="n">
        <v>0</v>
      </c>
    </row>
    <row r="1932">
      <c r="A1932">
        <f>Skills!A22</f>
        <v/>
      </c>
      <c r="B1932">
        <f>Skills!B22</f>
        <v/>
      </c>
      <c r="C1932">
        <f>Inputs!$B$3&gt;=117</f>
        <v/>
      </c>
      <c r="D1932">
        <f>IF(Skills!C22=1,60+Inputs!$B$25+Inputs!$B$29,IF(Skills!C22=2,90+Inputs!$B$26+Inputs!$B$29,IF(Skills!C22=3,120+Inputs!$B$27+Inputs!$B$29,MAX(0,(Inputs!$B$3-100)*3)+Inputs!$B$28+Inputs!$B$29)))</f>
        <v/>
      </c>
      <c r="E1932">
        <f>INDEX(FactorTable!$B$2:$Y$301, MATCH(ROUND(MIN(300,MAX(1,D1932)),0), FactorTable!$A$2:$A$301,0), Skills!L22+1)</f>
        <v/>
      </c>
      <c r="F1932">
        <f>IF(Skills!M22=TRUE,(Skills!K22/10)*(E1932/1000),Skills!K22/10)+Skills!N22</f>
        <v/>
      </c>
      <c r="G1932">
        <f>Calc!G22</f>
        <v/>
      </c>
      <c r="H1932">
        <f>Calc!H22</f>
        <v/>
      </c>
      <c r="I1932">
        <f>IF(Skills!T22&lt;&gt;"",1+(Skills!T22/10)*(Z1913/1000)/100,1)</f>
        <v/>
      </c>
      <c r="J1932" t="inlineStr"/>
      <c r="K1932" t="inlineStr"/>
      <c r="L1932" t="inlineStr"/>
      <c r="M1932" t="inlineStr"/>
      <c r="N1932" t="inlineStr"/>
      <c r="O1932">
        <f>(1-Summary!$B$11)*S1932+Summary!$B$11*U1932</f>
        <v/>
      </c>
      <c r="P1932">
        <f>IF(B1947=0,0,O1932/B1947)</f>
        <v/>
      </c>
      <c r="Q1932">
        <f>IFERROR(1/IF(Inputs!$B$38="pvp",15,MAX(0.1,Skills!D22-IF(Skills!E22=TRUE,Inputs!$B$32,0))),0)</f>
        <v/>
      </c>
      <c r="R1932" t="n">
        <v>0</v>
      </c>
      <c r="S1932" t="n">
        <v>0</v>
      </c>
      <c r="U1932" t="n">
        <v>0</v>
      </c>
    </row>
    <row r="1933">
      <c r="A1933">
        <f>Skills!A23</f>
        <v/>
      </c>
      <c r="B1933">
        <f>Skills!B23</f>
        <v/>
      </c>
      <c r="C1933">
        <f>Inputs!$B$3&gt;=120</f>
        <v/>
      </c>
      <c r="D1933">
        <f>IF(Skills!C23=1,60+Inputs!$B$25+Inputs!$B$29,IF(Skills!C23=2,90+Inputs!$B$26+Inputs!$B$29,IF(Skills!C23=3,120+Inputs!$B$27+Inputs!$B$29,MAX(0,(Inputs!$B$3-100)*3)+Inputs!$B$28+Inputs!$B$29)))</f>
        <v/>
      </c>
      <c r="E1933">
        <f>INDEX(FactorTable!$B$2:$Y$301, MATCH(ROUND(MIN(300,MAX(1,D1933)),0), FactorTable!$A$2:$A$301,0), Skills!L23+1)</f>
        <v/>
      </c>
      <c r="F1933">
        <f>IF(Skills!M23=TRUE,(Skills!K23/10)*(E1933/1000),Skills!K23/10)+Skills!N23</f>
        <v/>
      </c>
      <c r="G1933">
        <f>Calc!G23</f>
        <v/>
      </c>
      <c r="H1933">
        <f>Calc!H23</f>
        <v/>
      </c>
      <c r="I1933">
        <f>IF(Skills!T23&lt;&gt;"",1+(Skills!T23/10)*(Z1913/1000)/100,1)</f>
        <v/>
      </c>
      <c r="J1933" t="inlineStr"/>
      <c r="K1933" t="inlineStr"/>
      <c r="L1933" t="inlineStr"/>
      <c r="M1933" t="inlineStr"/>
      <c r="N1933" t="inlineStr"/>
      <c r="O1933">
        <f>(1-Summary!$B$11)*S1933+Summary!$B$11*U1933</f>
        <v/>
      </c>
      <c r="P1933">
        <f>IF(B1947=0,0,O1933/B1947)</f>
        <v/>
      </c>
      <c r="Q1933">
        <f>IFERROR(1/IF(Inputs!$B$38="pvp",15,MAX(0.1,Skills!D23-IF(Skills!E23=TRUE,Inputs!$B$32,0))),0)</f>
        <v/>
      </c>
      <c r="R1933" t="n">
        <v>0</v>
      </c>
      <c r="S1933" t="n">
        <v>0</v>
      </c>
      <c r="U1933" t="n">
        <v>0</v>
      </c>
    </row>
    <row r="1934">
      <c r="A1934">
        <f>Skills!A24</f>
        <v/>
      </c>
      <c r="B1934">
        <f>Skills!B24</f>
        <v/>
      </c>
      <c r="C1934">
        <f>TRUE</f>
        <v/>
      </c>
      <c r="D1934">
        <f>IF(Skills!C24=1,60+Inputs!$B$25+Inputs!$B$29,IF(Skills!C24=2,90+Inputs!$B$26+Inputs!$B$29,IF(Skills!C24=3,120+Inputs!$B$27+Inputs!$B$29,MAX(0,(Inputs!$B$3-100)*3)+Inputs!$B$28+Inputs!$B$29)))</f>
        <v/>
      </c>
      <c r="E1934">
        <f>INDEX(FactorTable!$B$2:$Y$301, MATCH(ROUND(MIN(300,MAX(1,D1934)),0), FactorTable!$A$2:$A$301,0), Skills!L24+1)</f>
        <v/>
      </c>
      <c r="F1934">
        <f>IF(Skills!M24=TRUE,(Skills!K24/10)*(E1934/1000),Skills!K24/10)+Skills!N24</f>
        <v/>
      </c>
      <c r="G1934">
        <f>Calc!G24</f>
        <v/>
      </c>
      <c r="H1934">
        <f>Calc!H24</f>
        <v/>
      </c>
      <c r="I1934">
        <f>IF(Skills!T24&lt;&gt;"",1+(Skills!T24/10)*(Z1913/1000)/100,1)</f>
        <v/>
      </c>
      <c r="J1934" t="inlineStr"/>
      <c r="K1934" t="inlineStr"/>
      <c r="L1934" t="inlineStr"/>
      <c r="M1934" t="inlineStr"/>
      <c r="N1934" t="inlineStr"/>
      <c r="O1934">
        <f>(1-Summary!$B$11)*S1934+Summary!$B$11*U1934</f>
        <v/>
      </c>
      <c r="P1934">
        <f>IF(B1947=0,0,O1934/B1947)</f>
        <v/>
      </c>
      <c r="Q1934">
        <f>IFERROR(1/IF(Inputs!$B$38="pvp",15,MAX(0.1,Skills!D24-IF(Skills!E24=TRUE,Inputs!$B$32,0))),0)</f>
        <v/>
      </c>
      <c r="R1934">
        <f>IF(AND(Inputs!$B$38&lt;&gt;"pvp",Inputs!$B$43&gt;0),IF(Inputs!$B$43&lt;=0,0,(INT(Inputs!$B$43/IF(Inputs!$B$38="pvp",15,MAX(0.1,Skills!D24-IF(Skills!E24=TRUE,Inputs!$B$32,0))))+1)),0)</f>
        <v/>
      </c>
      <c r="S1934" t="n">
        <v>0</v>
      </c>
      <c r="U1934" t="n">
        <v>0</v>
      </c>
    </row>
    <row r="1937">
      <c r="A1937" t="inlineStr">
        <is>
          <t>Average Buff Multiplier (Magic Guard + Meditation + Artifact Attack%, summed; then Infinity)</t>
        </is>
      </c>
      <c r="B1937">
        <f>(1+(IF(C1913=TRUE,F1913*IF(AND(Inputs!$B$38&lt;&gt;"pvp",Inputs!$B$43&gt;0),(((R1913-1)*(Skills!S3*(1+(Inputs!$B$34)/100))+MIN((Skills!S3*(1+(Inputs!$B$34)/100)),MAX(0,Inputs!$B$43-((R1913-1)*Skills!D3))))/Inputs!$B$43),IF(Inputs!$B$38="pvp",MIN((Skills!S3*(1+(Inputs!$B$34)/100)),15)/15,(Skills!S3*(1+(Inputs!$B$34)/100))/Skills!D3)),0)+IF(C1914=TRUE,F1914*IF(AND(Inputs!$B$38&lt;&gt;"pvp",Inputs!$B$43&gt;0),(((R1914-1)*(Skills!S4*(1+(Inputs!$B$34)/100))+MIN((Skills!S4*(1+(Inputs!$B$34)/100)),MAX(0,Inputs!$B$43-((R1914-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1926=TRUE,(1+F1926*IF(AND(Inputs!$B$38&lt;&gt;"pvp",Inputs!$B$43&gt;0),(((R1926-1)*(Skills!S16*(1+(Inputs!$B$34)/100))+MIN((Skills!S16*(1+(Inputs!$B$34)/100)),MAX(0,Inputs!$B$43-((R1926-1)*Skills!D16))))/Inputs!$B$43),IF(Inputs!$B$38="pvp",MIN((Skills!S16*(1+(Inputs!$B$34)/100)),15)/15,(Skills!S16*(1+(Inputs!$B$34)/100))/Skills!D16))/100),1)</f>
        <v/>
      </c>
    </row>
    <row r="1938">
      <c r="A1938" t="inlineStr">
        <is>
          <t>Monster Damage Taken Bonus % (Freezing Breath - Weaken + Elemental Reset + Artifact Enemy Damage Taken, summed)</t>
        </is>
      </c>
      <c r="B1938">
        <f>IF(Inputs!$B$3&gt;=118,15*IF(Inputs!$B$38="pvp",MIN((30*(1+(Inputs!$B$34)/100)),15)/15,(30*(1+(Inputs!$B$34)/100))/Skills!D8),0)+IF(C1924=TRUE,F1924,0)+(IF(AND(ArtifactsInput!$M$35,Inputs!$B$4&lt;&gt;"Chapter Hunt"),CHOOSE(ArtifactsInput!$N$35+1,15,18,21,24,27,30)*(1-EXP(-(0.2*B1941)*5)),0)+IF(AND(ArtifactsInput!$M$22,Inputs!$B$4&lt;&gt;"Chapter Hunt"),CHOOSE(ArtifactsInput!$N$22+1,10,12,14,16,18,20)*((0*(((0.15*B1941*5))^0/1)+1*(((0.15*B1941*5))^1/1)+2*(((0.15*B1941*5))^2/2)+3*(((0.15*B1941*5))^3/6)+4*(((0.15*B1941*5))^4/24)+5*(((0.15*B1941*5))^5/120))/((((0.15*B1941*5))^0/1)+(((0.15*B1941*5))^1/1)+(((0.15*B1941*5))^2/2)+(((0.15*B1941*5))^3/6)+(((0.15*B1941*5))^4/24)+(((0.15*B1941*5))^5/120))),0))</f>
        <v/>
      </c>
    </row>
    <row r="1939">
      <c r="A1939" t="inlineStr">
        <is>
          <t>Damage % Bonus (Frozen Break + Frost Clutch, flat)</t>
        </is>
      </c>
      <c r="B1939">
        <f>IF(Inputs!$B$3&gt;=66,15,0)+IF(Inputs!$B$3&gt;=98,10,0)+IF(Inputs!$B$3&gt;=125,20,0)</f>
        <v/>
      </c>
    </row>
    <row r="1940">
      <c r="A1940" t="inlineStr">
        <is>
          <t>Attack Speed Bonus % (MP Eater - MP Boost, always-on + Nimble Feet, duty-cycle averaged)</t>
        </is>
      </c>
      <c r="B1940">
        <f>IF(C1923=TRUE,F1923+(F1927-Calc!F17),0)+((C1934=TRUE)*F1934*IF(AND(Inputs!$B$38&lt;&gt;"pvp",Inputs!$B$43&gt;0),(((R1934-1)*(Skills!S24*(1+(Inputs!$B$34)/100))+MIN((Skills!S24*(1+(Inputs!$B$34)/100)),MAX(0,Inputs!$B$43-((R1934-1)*Skills!D24))))/Inputs!$B$43),IF(Inputs!$B$38="pvp",MIN((Skills!S24*(1+(Inputs!$B$34)/100)),15)/15,(Skills!S24*(1+(Inputs!$B$34)/100))/Skills!D24)))</f>
        <v/>
      </c>
    </row>
    <row r="1941">
      <c r="A1941" t="inlineStr">
        <is>
          <t>Actions Per Second</t>
        </is>
      </c>
      <c r="B1941">
        <f>1+MIN(150,150*(1-(1-(Inputs!$B$11+(ArtifactsInput!$M$15-ArtifactsInput!$M$15)*CHOOSE(ArtifactsInput!$N$15+1,8,9.6,11.2,12.8,14.4,16))/150)*(1-B1940/150)))/100</f>
        <v/>
      </c>
    </row>
    <row r="1942">
      <c r="A1942" t="inlineStr">
        <is>
          <t>Skill + Buff Cast Rate</t>
        </is>
      </c>
      <c r="B1942">
        <f>IF(AND(Inputs!$B$38&lt;&gt;"pvp",Inputs!$B$43&gt;0),SUMPRODUCT((Skills!E2:E24=TRUE)*(C1912:C1934=TRUE)*R1912:R1934)/Inputs!$B$43,SUMPRODUCT((Skills!E2:E24=TRUE)*(C1912:C1934=TRUE)*Q1912:Q1934))</f>
        <v/>
      </c>
    </row>
    <row r="1943">
      <c r="A1943" t="inlineStr">
        <is>
          <t>Chain Lightning Casts Per Second</t>
        </is>
      </c>
      <c r="B1943">
        <f>MAX(0,B1941-B1942)</f>
        <v/>
      </c>
    </row>
    <row r="1944">
      <c r="A1944" t="inlineStr">
        <is>
          <t>Buff-Casting Startup Delay (s, fixed-duration only)</t>
        </is>
      </c>
      <c r="B1944">
        <f>IF(AND(Inputs!$B$38&lt;&gt;"pvp",Inputs!$B$43&gt;0),SUMPRODUCT((Skills!S2:S24&gt;0)*(Skills!E2:E24=TRUE)*(C1912:C1934=TRUE))/B1941,0)</f>
        <v/>
      </c>
    </row>
    <row r="1945">
      <c r="A1945" t="inlineStr">
        <is>
          <t>Boss-Only Total DPS (this block's swept value)</t>
        </is>
      </c>
      <c r="B1945">
        <f>SUM(S1912:S1934)</f>
        <v/>
      </c>
    </row>
    <row r="1946">
      <c r="A1946" t="inlineStr">
        <is>
          <t>Normal-Only Total DPS (this block's swept value)</t>
        </is>
      </c>
      <c r="B1946">
        <f>SUM(U1912:U1934)</f>
        <v/>
      </c>
    </row>
    <row r="1947">
      <c r="A1947" s="6" t="inlineStr">
        <is>
          <t>TOTAL DPS</t>
        </is>
      </c>
      <c r="B1947" s="6">
        <f>SUM(O1912:O1934)</f>
        <v/>
      </c>
    </row>
    <row r="1950">
      <c r="A1950" s="6" t="inlineStr">
        <is>
          <t>Stat: Soul Pouch (Equip)</t>
        </is>
      </c>
    </row>
    <row r="1951">
      <c r="A1951" s="5" t="inlineStr">
        <is>
          <t>Key</t>
        </is>
      </c>
      <c r="B1951" s="5" t="inlineStr">
        <is>
          <t>Name</t>
        </is>
      </c>
      <c r="C1951" s="5" t="inlineStr">
        <is>
          <t>Unlocked</t>
        </is>
      </c>
      <c r="D1951" s="5" t="inlineStr">
        <is>
          <t>InputLevel</t>
        </is>
      </c>
      <c r="E1951" s="5" t="inlineStr">
        <is>
          <t>Factor</t>
        </is>
      </c>
      <c r="F1951" s="5" t="inlineStr">
        <is>
          <t>CoefficientPercent</t>
        </is>
      </c>
      <c r="G1951" s="5" t="inlineStr">
        <is>
          <t>EffectiveHits</t>
        </is>
      </c>
      <c r="H1951" s="5" t="inlineStr">
        <is>
          <t>ProcProbability</t>
        </is>
      </c>
      <c r="I1951" s="5" t="inlineStr">
        <is>
          <t>MapleHeroMultiplier</t>
        </is>
      </c>
      <c r="J1951" s="5" t="inlineStr">
        <is>
          <t>BaseDamage</t>
        </is>
      </c>
      <c r="K1951" s="5" t="inlineStr">
        <is>
          <t>BaseHitDamage</t>
        </is>
      </c>
      <c r="L1951" s="5" t="inlineStr">
        <is>
          <t>NonCritAvg</t>
        </is>
      </c>
      <c r="M1951" s="5" t="inlineStr">
        <is>
          <t>CritAvg</t>
        </is>
      </c>
      <c r="N1951" s="5" t="inlineStr">
        <is>
          <t>ExpectedDamage(perHit)</t>
        </is>
      </c>
      <c r="O1951" s="5" t="inlineStr">
        <is>
          <t>DPS</t>
        </is>
      </c>
      <c r="P1951" s="5" t="inlineStr">
        <is>
          <t>% of Total</t>
        </is>
      </c>
      <c r="R1951" t="inlineStr">
        <is>
          <t>helpers</t>
        </is>
      </c>
    </row>
    <row r="1952">
      <c r="A1952">
        <f>Skills!A2</f>
        <v/>
      </c>
      <c r="B1952">
        <f>Skills!B2</f>
        <v/>
      </c>
      <c r="C1952">
        <f>Inputs!$B$3&gt;=100</f>
        <v/>
      </c>
      <c r="D1952" t="inlineStr"/>
      <c r="E1952" t="inlineStr"/>
      <c r="F1952">
        <f>T1954+Skills!N2</f>
        <v/>
      </c>
      <c r="G1952">
        <f>Calc!G2</f>
        <v/>
      </c>
      <c r="H1952">
        <f>Calc!H2</f>
        <v/>
      </c>
      <c r="I1952">
        <f>IF(Skills!T2&lt;&gt;"",1+(Skills!T2/10)*(Z1953/1000)/100,1)</f>
        <v/>
      </c>
      <c r="J1952">
        <f>((Inputs!$B$6*(1+Inputs!$B$7/100))+(((Inputs!$B$12*(1+Inputs!$B$13/100))-(Inputs!$B$12*(1+Inputs!$B$13/100)))+0.25*(Inputs!$B$14-Inputs!$B$14))*(1+Inputs!$B$7/100))*(F1952/100)</f>
        <v/>
      </c>
      <c r="K1952">
        <f>J1952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2="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F1968-Calc!F18),(Inputs!$B$23+(IF(ArtifactsInput!$M$15,CHOOSE(ArtifactsInput!$N$15+1,25,30,35,40,45,50)/100*(Inputs!$B$11-Inputs!$B$11),0))))/100+(Inputs!$B$23+(IF(ArtifactsInput!$M$15,CHOOSE(ArtifactsInput!$N$15+1,25,30,35,40,45,50)/100*(Inputs!$B$11-Inputs!$B$11),0)))/100)/2</f>
        <v/>
      </c>
      <c r="M1952">
        <f>L1952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(1-Summary!$B$11)*S1952+Summary!$B$11*U1952</f>
        <v/>
      </c>
      <c r="P1952">
        <f>IF(B1987=0,0,O1952/B1987)</f>
        <v/>
      </c>
      <c r="Q1952">
        <f>IFERROR(1/IF(Inputs!$B$38="pvp",15,MAX(0.1,Skills!D2-IF(Skills!E2=TRUE,Inputs!$B$32,0))),0)</f>
        <v/>
      </c>
      <c r="R1952" t="n">
        <v>0</v>
      </c>
      <c r="S1952">
        <f>IF(C1952,(Skills!F2*N1952*B1983)*IF(Inputs!$B$38="pvp",1,1+(Inputs!$B$20+Skills!O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1952*(1-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2">
        <f>MAX(0,(Inputs!$B$3-100)*3)+Inputs!$B$28+Inputs!$B$29</f>
        <v/>
      </c>
      <c r="U1952">
        <f>IF(C1952,(Skills!F2*N1952*B1983)*IF(Inputs!$B$38="pvp",1,(1+(Inputs!$B$21+Skills!P2+B1978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2">
        <f>MAX(0,(Inputs!$B$3-100)*3)+Inputs!$B$28+Inputs!$B$29</f>
        <v/>
      </c>
    </row>
    <row r="1953">
      <c r="A1953">
        <f>Skills!A3</f>
        <v/>
      </c>
      <c r="B1953">
        <f>Skills!B3</f>
        <v/>
      </c>
      <c r="C1953">
        <f>Inputs!$B$3&gt;=15</f>
        <v/>
      </c>
      <c r="D1953">
        <f>IF(Skills!C3=1,60+Inputs!$B$25+Inputs!$B$29,IF(Skills!C3=2,90+Inputs!$B$26+Inputs!$B$29,IF(Skills!C3=3,120+Inputs!$B$27+Inputs!$B$29,MAX(0,(Inputs!$B$3-100)*3)+Inputs!$B$28+Inputs!$B$29)))</f>
        <v/>
      </c>
      <c r="E1953">
        <f>INDEX(FactorTable!$B$2:$Y$301, MATCH(ROUND(MIN(300,MAX(1,D1953)),0), FactorTable!$A$2:$A$301,0), Skills!L3+1)</f>
        <v/>
      </c>
      <c r="F1953">
        <f>IF(Skills!M3=TRUE,(Skills!K3/10)*(E1953/1000),Skills!K3/10)+Skills!N3</f>
        <v/>
      </c>
      <c r="G1953">
        <f>Calc!G3</f>
        <v/>
      </c>
      <c r="H1953">
        <f>Calc!H3</f>
        <v/>
      </c>
      <c r="I1953">
        <f>IF(Skills!T3&lt;&gt;"",1+(Skills!T3/10)*(Z1953/1000)/100,1)</f>
        <v/>
      </c>
      <c r="J1953" t="inlineStr"/>
      <c r="K1953" t="inlineStr"/>
      <c r="L1953" t="inlineStr"/>
      <c r="M1953" t="inlineStr"/>
      <c r="N1953" t="inlineStr"/>
      <c r="O1953">
        <f>(1-Summary!$B$11)*S1953+Summary!$B$11*U1953</f>
        <v/>
      </c>
      <c r="P1953">
        <f>IF(B1987=0,0,O1953/B1987)</f>
        <v/>
      </c>
      <c r="Q1953">
        <f>IFERROR(1/IF(Inputs!$B$38="pvp",15,MAX(0.1,Skills!D3-IF(Skills!E3=TRUE,Inputs!$B$32,0))),0)</f>
        <v/>
      </c>
      <c r="R1953">
        <f>IF(AND(Inputs!$B$38&lt;&gt;"pvp",Inputs!$B$43&gt;0),IF(Inputs!$B$43&lt;=0,0,(INT(Inputs!$B$43/IF(Inputs!$B$38="pvp",15,MAX(0.1,Skills!D3-IF(Skills!E3=TRUE,Inputs!$B$32,0))))+1)),0)</f>
        <v/>
      </c>
      <c r="S1953" t="n">
        <v>0</v>
      </c>
      <c r="T1953">
        <f>INDEX(FactorTable!$B$2:$Y$301, MATCH(ROUND(MIN(300,MAX(1,T1952)),0), FactorTable!$A$2:$A$301,0), 22)</f>
        <v/>
      </c>
      <c r="U1953" t="n">
        <v>0</v>
      </c>
      <c r="Z1953">
        <f>INDEX(FactorTable!$B$2:$Y$301, MATCH(ROUND(MIN(300,MAX(1,Z1952)),0), FactorTable!$A$2:$A$301,0), 24)</f>
        <v/>
      </c>
    </row>
    <row r="1954">
      <c r="A1954">
        <f>Skills!A4</f>
        <v/>
      </c>
      <c r="B1954">
        <f>Skills!B4</f>
        <v/>
      </c>
      <c r="C1954">
        <f>Inputs!$B$3&gt;=40</f>
        <v/>
      </c>
      <c r="D1954">
        <f>IF(Skills!C4=1,60+Inputs!$B$25+Inputs!$B$29,IF(Skills!C4=2,90+Inputs!$B$26+Inputs!$B$29,IF(Skills!C4=3,120+Inputs!$B$27+Inputs!$B$29,MAX(0,(Inputs!$B$3-100)*3)+Inputs!$B$28+Inputs!$B$29)))</f>
        <v/>
      </c>
      <c r="E1954">
        <f>INDEX(FactorTable!$B$2:$Y$301, MATCH(ROUND(MIN(300,MAX(1,D1954)),0), FactorTable!$A$2:$A$301,0), Skills!L4+1)</f>
        <v/>
      </c>
      <c r="F1954">
        <f>IF(Skills!M4=TRUE,(Skills!K4/10)*(E1954/1000),Skills!K4/10)+Skills!N4</f>
        <v/>
      </c>
      <c r="G1954">
        <f>Calc!G4</f>
        <v/>
      </c>
      <c r="H1954">
        <f>Calc!H4</f>
        <v/>
      </c>
      <c r="I1954">
        <f>IF(Skills!T4&lt;&gt;"",1+(Skills!T4/10)*(Z1953/1000)/100,1)</f>
        <v/>
      </c>
      <c r="J1954" t="inlineStr"/>
      <c r="K1954" t="inlineStr"/>
      <c r="L1954" t="inlineStr"/>
      <c r="M1954" t="inlineStr"/>
      <c r="N1954" t="inlineStr"/>
      <c r="O1954">
        <f>(1-Summary!$B$11)*S1954+Summary!$B$11*U1954</f>
        <v/>
      </c>
      <c r="P1954">
        <f>IF(B1987=0,0,O1954/B1987)</f>
        <v/>
      </c>
      <c r="Q1954">
        <f>IFERROR(1/IF(Inputs!$B$38="pvp",15,MAX(0.1,Skills!D4-IF(Skills!E4=TRUE,Inputs!$B$32,0))),0)</f>
        <v/>
      </c>
      <c r="R1954">
        <f>IF(AND(Inputs!$B$38&lt;&gt;"pvp",Inputs!$B$43&gt;0),IF(Inputs!$B$43&lt;=0,0,(INT(Inputs!$B$43/IF(Inputs!$B$38="pvp",15,MAX(0.1,Skills!D4-IF(Skills!E4=TRUE,Inputs!$B$32,0))))+1)),0)</f>
        <v/>
      </c>
      <c r="S1954" t="n">
        <v>0</v>
      </c>
      <c r="T1954">
        <f>290*T1953/1000</f>
        <v/>
      </c>
      <c r="U1954" t="n">
        <v>0</v>
      </c>
    </row>
    <row r="1955">
      <c r="A1955">
        <f>Skills!A5</f>
        <v/>
      </c>
      <c r="B1955">
        <f>Skills!B5</f>
        <v/>
      </c>
      <c r="C1955">
        <f>Inputs!$B$3&gt;=38</f>
        <v/>
      </c>
      <c r="D1955">
        <f>IF(Skills!C5=1,60+Inputs!$B$25+Inputs!$B$29,IF(Skills!C5=2,90+Inputs!$B$26+Inputs!$B$29,IF(Skills!C5=3,120+Inputs!$B$27+Inputs!$B$29,MAX(0,(Inputs!$B$3-100)*3)+Inputs!$B$28+Inputs!$B$29)))</f>
        <v/>
      </c>
      <c r="E1955">
        <f>INDEX(FactorTable!$B$2:$Y$301, MATCH(ROUND(MIN(300,MAX(1,D1955)),0), FactorTable!$A$2:$A$301,0), Skills!L5+1)</f>
        <v/>
      </c>
      <c r="F1955">
        <f>IF(Skills!M5=TRUE,(Skills!K5/10)*(E1955/1000),Skills!K5/10)+Skills!N5</f>
        <v/>
      </c>
      <c r="G1955">
        <f>Calc!G5</f>
        <v/>
      </c>
      <c r="H1955">
        <f>Calc!H5</f>
        <v/>
      </c>
      <c r="I1955">
        <f>IF(Skills!T5&lt;&gt;"",1+(Skills!T5/10)*(Z1953/1000)/100,1)</f>
        <v/>
      </c>
      <c r="J1955">
        <f>((Inputs!$B$6*(1+Inputs!$B$7/100))+(((Inputs!$B$12*(1+Inputs!$B$13/100))-(Inputs!$B$12*(1+Inputs!$B$13/100)))+0.25*(Inputs!$B$14-Inputs!$B$14))*(1+Inputs!$B$7/100))*(F1955/100)</f>
        <v/>
      </c>
      <c r="K1955">
        <f>J1955*(1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5="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F1968-Calc!F18),(Inputs!$B$23+(IF(ArtifactsInput!$M$15,CHOOSE(ArtifactsInput!$N$15+1,25,30,35,40,45,50)/100*(Inputs!$B$11-Inputs!$B$11),0))))/100+(Inputs!$B$23+(IF(ArtifactsInput!$M$15,CHOOSE(ArtifactsInput!$N$15+1,25,30,35,40,45,50)/100*(Inputs!$B$11-Inputs!$B$11),0)))/100)/2</f>
        <v/>
      </c>
      <c r="M1955">
        <f>L1955*(1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(1-Summary!$B$11)*S1955+Summary!$B$11*U1955</f>
        <v/>
      </c>
      <c r="P1955">
        <f>IF(B1987=0,0,O1955/B1987)</f>
        <v/>
      </c>
      <c r="Q1955">
        <f>IFERROR(1/IF(Inputs!$B$38="pvp",15,MAX(0.1,Skills!D5-IF(Skills!E5=TRUE,Inputs!$B$32,0))),0)</f>
        <v/>
      </c>
      <c r="R1955">
        <f>IF(AND(Inputs!$B$38&lt;&gt;"pvp",Inputs!$B$43&gt;0),IF(MAX(0,Inputs!$B$43-B1984)&lt;=0,0,(INT(MAX(0,Inputs!$B$43-B1984)/IF(Inputs!$B$38="pvp",15,MAX(0.1,Skills!D5-IF(Skills!E5=TRUE,Inputs!$B$32,0))))+1)),0)</f>
        <v/>
      </c>
      <c r="S1955">
        <f>IF(C1955,(H1955*N1955*IF(AND(Inputs!$B$38&lt;&gt;"pvp",Inputs!$B$43&gt;0),((Skills!F5*((R1955-1)*IF(Skills!G5&gt;0,Skills!H5/Skills!G5,1)+IF(Skills!G5&gt;0,MIN(Skills!H5,MAX(0,MAX(0,Inputs!$B$43-B1984)-((R1955-1)*IF(Inputs!$B$38="pvp",15,MAX(0.1,Skills!D5-IF(Skills!E5=TRUE,Inputs!$B$32,0))))))/Skills!G5,1)))/Inputs!$B$43),G1955*Q1955))*IF(Inputs!$B$38="pvp",1,1+(Inputs!$B$20+Skills!O5+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1955*(1-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IF(C1955,(H1955*N1955*IF(AND(Inputs!$B$38&lt;&gt;"pvp",Inputs!$B$43&gt;0),((Skills!F5*((R1955-1)*IF(Skills!G5&gt;0,Skills!H5/Skills!G5,1)+IF(Skills!G5&gt;0,MIN(Skills!H5,MAX(0,MAX(0,Inputs!$B$43-B1984)-((R1955-1)*IF(Inputs!$B$38="pvp",15,MAX(0.1,Skills!D5-IF(Skills!E5=TRUE,Inputs!$B$32,0))))))/Skills!G5,1)))/Inputs!$B$43),G1955*Q1955))*IF(Inputs!$B$38="pvp",1,(1+(Inputs!$B$21+Skills!P5+B1978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Skills!A6</f>
        <v/>
      </c>
      <c r="B1956">
        <f>Skills!B6</f>
        <v/>
      </c>
      <c r="C1956">
        <f>Inputs!$B$3&gt;=63</f>
        <v/>
      </c>
      <c r="D1956">
        <f>IF(Skills!C6=1,60+Inputs!$B$25+Inputs!$B$29,IF(Skills!C6=2,90+Inputs!$B$26+Inputs!$B$29,IF(Skills!C6=3,120+Inputs!$B$27+Inputs!$B$29,MAX(0,(Inputs!$B$3-100)*3)+Inputs!$B$28+Inputs!$B$29)))</f>
        <v/>
      </c>
      <c r="E1956">
        <f>INDEX(FactorTable!$B$2:$Y$301, MATCH(ROUND(MIN(300,MAX(1,D1956)),0), FactorTable!$A$2:$A$301,0), Skills!L6+1)</f>
        <v/>
      </c>
      <c r="F1956">
        <f>IF(Skills!M6=TRUE,(Skills!K6/10)*(E1956/1000),Skills!K6/10)+Skills!N6</f>
        <v/>
      </c>
      <c r="G1956">
        <f>Calc!G6</f>
        <v/>
      </c>
      <c r="H1956">
        <f>Calc!H6</f>
        <v/>
      </c>
      <c r="I1956">
        <f>IF(Skills!T6&lt;&gt;"",1+(Skills!T6/10)*(Z1953/1000)/100,1)</f>
        <v/>
      </c>
      <c r="J1956">
        <f>((Inputs!$B$6*(1+Inputs!$B$7/100))+(((Inputs!$B$12*(1+Inputs!$B$13/100))-(Inputs!$B$12*(1+Inputs!$B$13/100)))+0.25*(Inputs!$B$14-Inputs!$B$14))*(1+Inputs!$B$7/100))*(F1956/100)</f>
        <v/>
      </c>
      <c r="K1956">
        <f>J1956*(1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6="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F1968-Calc!F18),(Inputs!$B$23+(IF(ArtifactsInput!$M$15,CHOOSE(ArtifactsInput!$N$15+1,25,30,35,40,45,50)/100*(Inputs!$B$11-Inputs!$B$11),0))))/100+(Inputs!$B$23+(IF(ArtifactsInput!$M$15,CHOOSE(ArtifactsInput!$N$15+1,25,30,35,40,45,50)/100*(Inputs!$B$11-Inputs!$B$11),0)))/100)/2</f>
        <v/>
      </c>
      <c r="M1956">
        <f>L1956*(1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(1-Summary!$B$11)*S1956+Summary!$B$11*U1956</f>
        <v/>
      </c>
      <c r="P1956">
        <f>IF(B1987=0,0,O1956/B1987)</f>
        <v/>
      </c>
      <c r="Q1956">
        <f>IFERROR(1/IF(Inputs!$B$38="pvp",15,MAX(0.1,Skills!D6-IF(Skills!E6=TRUE,Inputs!$B$32,0))),0)</f>
        <v/>
      </c>
      <c r="R1956">
        <f>IF(AND(Inputs!$B$38&lt;&gt;"pvp",Inputs!$B$43&gt;0),IF(MAX(0,Inputs!$B$43-B1984)&lt;=0,0,(INT(MAX(0,Inputs!$B$43-B1984)/IF(Inputs!$B$38="pvp",15,MAX(0.1,Skills!D6-IF(Skills!E6=TRUE,Inputs!$B$32,0))))+1)),0)</f>
        <v/>
      </c>
      <c r="S1956">
        <f>IF(C1956,(H1956*N1956*IF(AND(Inputs!$B$38&lt;&gt;"pvp",Inputs!$B$43&gt;0),((Skills!F6*((R1956-1)*IF(Skills!G6&gt;0,Skills!H6/Skills!G6,1)+IF(Skills!G6&gt;0,MIN(Skills!H6,MAX(0,MAX(0,Inputs!$B$43-B1984)-((R1956-1)*IF(Inputs!$B$38="pvp",15,MAX(0.1,Skills!D6-IF(Skills!E6=TRUE,Inputs!$B$32,0))))))/Skills!G6,1)))/Inputs!$B$43),G1956*Q1956))*IF(Inputs!$B$38="pvp",1,1+(Inputs!$B$20+Skills!O6+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1956*(1-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6">
        <f>IF(C1956,(H1956*N1956*IF(AND(Inputs!$B$38&lt;&gt;"pvp",Inputs!$B$43&gt;0),((Skills!F6*((R1956-1)*IF(Skills!G6&gt;0,Skills!H6/Skills!G6,1)+IF(Skills!G6&gt;0,MIN(Skills!H6,MAX(0,MAX(0,Inputs!$B$43-B1984)-((R1956-1)*IF(Inputs!$B$38="pvp",15,MAX(0.1,Skills!D6-IF(Skills!E6=TRUE,Inputs!$B$32,0))))))/Skills!G6,1)))/Inputs!$B$43),G1956*Q1956))*IF(Inputs!$B$38="pvp",1,(1+(Inputs!$B$21+Skills!P6+B1978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Skills!A7</f>
        <v/>
      </c>
      <c r="B1957">
        <f>Skills!B7</f>
        <v/>
      </c>
      <c r="C1957">
        <f>Inputs!$B$3&gt;=69</f>
        <v/>
      </c>
      <c r="D1957">
        <f>IF(Skills!C7=1,60+Inputs!$B$25+Inputs!$B$29,IF(Skills!C7=2,90+Inputs!$B$26+Inputs!$B$29,IF(Skills!C7=3,120+Inputs!$B$27+Inputs!$B$29,MAX(0,(Inputs!$B$3-100)*3)+Inputs!$B$28+Inputs!$B$29)))</f>
        <v/>
      </c>
      <c r="E1957">
        <f>INDEX(FactorTable!$B$2:$Y$301, MATCH(ROUND(MIN(300,MAX(1,D1957)),0), FactorTable!$A$2:$A$301,0), Skills!L7+1)</f>
        <v/>
      </c>
      <c r="F1957">
        <f>IF(Skills!M7=TRUE,(Skills!K7/10)*(E1957/1000),Skills!K7/10)+Skills!N7</f>
        <v/>
      </c>
      <c r="G1957">
        <f>Calc!G7</f>
        <v/>
      </c>
      <c r="H1957">
        <f>Calc!H7</f>
        <v/>
      </c>
      <c r="I1957">
        <f>IF(Skills!T7&lt;&gt;"",1+(Skills!T7/10)*(Z1953/1000)/100,1)</f>
        <v/>
      </c>
      <c r="J1957">
        <f>((Inputs!$B$6*(1+Inputs!$B$7/100))+(((Inputs!$B$12*(1+Inputs!$B$13/100))-(Inputs!$B$12*(1+Inputs!$B$13/100)))+0.25*(Inputs!$B$14-Inputs!$B$14))*(1+Inputs!$B$7/100))*(F1957/100)</f>
        <v/>
      </c>
      <c r="K1957">
        <f>J1957*(1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7="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F1968-Calc!F18),(Inputs!$B$23+(IF(ArtifactsInput!$M$15,CHOOSE(ArtifactsInput!$N$15+1,25,30,35,40,45,50)/100*(Inputs!$B$11-Inputs!$B$11),0))))/100+(Inputs!$B$23+(IF(ArtifactsInput!$M$15,CHOOSE(ArtifactsInput!$N$15+1,25,30,35,40,45,50)/100*(Inputs!$B$11-Inputs!$B$11),0)))/100)/2</f>
        <v/>
      </c>
      <c r="M1957">
        <f>L1957*(1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(1-Summary!$B$11)*S1957+Summary!$B$11*U1957</f>
        <v/>
      </c>
      <c r="P1957">
        <f>IF(B1987=0,0,O1957/B1987)</f>
        <v/>
      </c>
      <c r="Q1957">
        <f>IFERROR(1/IF(Inputs!$B$38="pvp",15,MAX(0.1,Skills!D7-IF(Skills!E7=TRUE,Inputs!$B$32,0))),0)</f>
        <v/>
      </c>
      <c r="R1957">
        <f>IF(AND(Inputs!$B$38&lt;&gt;"pvp",Inputs!$B$43&gt;0),IF(MAX(0,Inputs!$B$43-B1984)&lt;=0,0,(INT(MAX(0,Inputs!$B$43-B1984)/IF(Inputs!$B$38="pvp",15,MAX(0.1,Skills!D7-IF(Skills!E7=TRUE,Inputs!$B$32,0))))+1)),0)</f>
        <v/>
      </c>
      <c r="S1957">
        <f>IF(C1957,(H1957*N1957*IF(AND(Inputs!$B$38&lt;&gt;"pvp",Inputs!$B$43&gt;0),((Skills!F7*((R1957-1)*IF(Skills!G7&gt;0,Skills!H7/Skills!G7,1)+IF(Skills!G7&gt;0,MIN(Skills!H7,MAX(0,MAX(0,Inputs!$B$43-B1984)-((R1957-1)*IF(Inputs!$B$38="pvp",15,MAX(0.1,Skills!D7-IF(Skills!E7=TRUE,Inputs!$B$32,0))))))/Skills!G7,1)))/Inputs!$B$43),G1957*Q1957))*IF(Inputs!$B$38="pvp",1,1+(Inputs!$B$20+Skills!O7+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1957*(1-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7">
        <f>IF(C1957,(H1957*N1957*IF(AND(Inputs!$B$38&lt;&gt;"pvp",Inputs!$B$43&gt;0),((Skills!F7*((R1957-1)*IF(Skills!G7&gt;0,Skills!H7/Skills!G7,1)+IF(Skills!G7&gt;0,MIN(Skills!H7,MAX(0,MAX(0,Inputs!$B$43-B1984)-((R1957-1)*IF(Inputs!$B$38="pvp",15,MAX(0.1,Skills!D7-IF(Skills!E7=TRUE,Inputs!$B$32,0))))))/Skills!G7,1)))/Inputs!$B$43),G1957*Q1957))*IF(Inputs!$B$38="pvp",1,(1+(Inputs!$B$21+Skills!P7+B1978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Skills!A8</f>
        <v/>
      </c>
      <c r="B1958">
        <f>Skills!B8</f>
        <v/>
      </c>
      <c r="C1958">
        <f>Inputs!$B$3&gt;=103</f>
        <v/>
      </c>
      <c r="D1958">
        <f>IF(Skills!C8=1,60+Inputs!$B$25+Inputs!$B$29,IF(Skills!C8=2,90+Inputs!$B$26+Inputs!$B$29,IF(Skills!C8=3,120+Inputs!$B$27+Inputs!$B$29,MAX(0,(Inputs!$B$3-100)*3)+Inputs!$B$28+Inputs!$B$29)))</f>
        <v/>
      </c>
      <c r="E1958">
        <f>INDEX(FactorTable!$B$2:$Y$301, MATCH(ROUND(MIN(300,MAX(1,D1958)),0), FactorTable!$A$2:$A$301,0), Skills!L8+1)</f>
        <v/>
      </c>
      <c r="F1958">
        <f>IF(Skills!M8=TRUE,(Skills!K8/10)*(E1958/1000),Skills!K8/10)+Skills!N8</f>
        <v/>
      </c>
      <c r="G1958">
        <f>Calc!G8</f>
        <v/>
      </c>
      <c r="H1958">
        <f>Calc!H8</f>
        <v/>
      </c>
      <c r="I1958">
        <f>IF(Skills!T8&lt;&gt;"",1+(Skills!T8/10)*(Z1953/1000)/100,1)</f>
        <v/>
      </c>
      <c r="J1958">
        <f>((Inputs!$B$6*(1+Inputs!$B$7/100))+(((Inputs!$B$12*(1+Inputs!$B$13/100))-(Inputs!$B$12*(1+Inputs!$B$13/100)))+0.25*(Inputs!$B$14-Inputs!$B$14))*(1+Inputs!$B$7/100))*(F1958/100)</f>
        <v/>
      </c>
      <c r="K1958">
        <f>J1958*(1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8="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F1968-Calc!F18),(Inputs!$B$23+(IF(ArtifactsInput!$M$15,CHOOSE(ArtifactsInput!$N$15+1,25,30,35,40,45,50)/100*(Inputs!$B$11-Inputs!$B$11),0))))/100+(Inputs!$B$23+(IF(ArtifactsInput!$M$15,CHOOSE(ArtifactsInput!$N$15+1,25,30,35,40,45,50)/100*(Inputs!$B$11-Inputs!$B$11),0)))/100)/2</f>
        <v/>
      </c>
      <c r="M1958">
        <f>L1958*(1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(1-Summary!$B$11)*S1958+Summary!$B$11*U1958</f>
        <v/>
      </c>
      <c r="P1958">
        <f>IF(B1987=0,0,O1958/B1987)</f>
        <v/>
      </c>
      <c r="Q1958">
        <f>IFERROR(1/IF(Inputs!$B$38="pvp",15,MAX(0.1,Skills!D8-IF(Skills!E8=TRUE,Inputs!$B$32,0))),0)</f>
        <v/>
      </c>
      <c r="R1958">
        <f>IF(AND(Inputs!$B$38&lt;&gt;"pvp",Inputs!$B$43&gt;0),IF(MAX(0,Inputs!$B$43-B1984)&lt;=0,0,(INT(MAX(0,Inputs!$B$43-B1984)/IF(Inputs!$B$38="pvp",15,MAX(0.1,Skills!D8-IF(Skills!E8=TRUE,Inputs!$B$32,0))))+1)),0)</f>
        <v/>
      </c>
      <c r="S1958">
        <f>IF(C1958,(H1958*N1958*IF(AND(Inputs!$B$38&lt;&gt;"pvp",Inputs!$B$43&gt;0),((Skills!F8*((R1958-1)*IF(Skills!G8&gt;0,Skills!H8/Skills!G8,1)+IF(Skills!G8&gt;0,MIN(Skills!H8,MAX(0,MAX(0,Inputs!$B$43-B1984)-((R1958-1)*IF(Inputs!$B$38="pvp",15,MAX(0.1,Skills!D8-IF(Skills!E8=TRUE,Inputs!$B$32,0))))))/Skills!G8,1)))/Inputs!$B$43),G1958*Q1958))*IF(Inputs!$B$38="pvp",1,1+(Inputs!$B$20+Skills!O8+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1958*(1-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8">
        <f>IF(C1958,(H1958*N1958*IF(AND(Inputs!$B$38&lt;&gt;"pvp",Inputs!$B$43&gt;0),((Skills!F8*((R1958-1)*IF(Skills!G8&gt;0,Skills!H8/Skills!G8,1)+IF(Skills!G8&gt;0,MIN(Skills!H8,MAX(0,MAX(0,Inputs!$B$43-B1984)-((R1958-1)*IF(Inputs!$B$38="pvp",15,MAX(0.1,Skills!D8-IF(Skills!E8=TRUE,Inputs!$B$32,0))))))/Skills!G8,1)))/Inputs!$B$43),G1958*Q1958))*IF(Inputs!$B$38="pvp",1,(1+(Inputs!$B$21+Skills!P8+B1978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Skills!A9</f>
        <v/>
      </c>
      <c r="B1959">
        <f>Skills!B9</f>
        <v/>
      </c>
      <c r="C1959">
        <f>Inputs!$B$3&gt;=105</f>
        <v/>
      </c>
      <c r="D1959">
        <f>IF(Skills!C9=1,60+Inputs!$B$25+Inputs!$B$29,IF(Skills!C9=2,90+Inputs!$B$26+Inputs!$B$29,IF(Skills!C9=3,120+Inputs!$B$27+Inputs!$B$29,MAX(0,(Inputs!$B$3-100)*3)+Inputs!$B$28+Inputs!$B$29)))</f>
        <v/>
      </c>
      <c r="E1959">
        <f>INDEX(FactorTable!$B$2:$Y$301, MATCH(ROUND(MIN(300,MAX(1,D1959)),0), FactorTable!$A$2:$A$301,0), Skills!L9+1)</f>
        <v/>
      </c>
      <c r="F1959">
        <f>IF(Skills!M9=TRUE,(Skills!K9/10)*(E1959/1000),Skills!K9/10)+Skills!N9</f>
        <v/>
      </c>
      <c r="G1959">
        <f>Calc!G9</f>
        <v/>
      </c>
      <c r="H1959">
        <f>Calc!H9</f>
        <v/>
      </c>
      <c r="I1959">
        <f>IF(Skills!T9&lt;&gt;"",1+(Skills!T9/10)*(Z1953/1000)/100,1)</f>
        <v/>
      </c>
      <c r="J1959">
        <f>((Inputs!$B$6*(1+Inputs!$B$7/100))+(((Inputs!$B$12*(1+Inputs!$B$13/100))-(Inputs!$B$12*(1+Inputs!$B$13/100)))+0.25*(Inputs!$B$14-Inputs!$B$14))*(1+Inputs!$B$7/100))*(F1959/100)</f>
        <v/>
      </c>
      <c r="K1959">
        <f>J1959*(1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9="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F1968-Calc!F18),(Inputs!$B$23+(IF(ArtifactsInput!$M$15,CHOOSE(ArtifactsInput!$N$15+1,25,30,35,40,45,50)/100*(Inputs!$B$11-Inputs!$B$11),0))))/100+(Inputs!$B$23+(IF(ArtifactsInput!$M$15,CHOOSE(ArtifactsInput!$N$15+1,25,30,35,40,45,50)/100*(Inputs!$B$11-Inputs!$B$11),0)))/100)/2</f>
        <v/>
      </c>
      <c r="M1959">
        <f>L1959*(1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(1-Summary!$B$11)*S1959+Summary!$B$11*U1959</f>
        <v/>
      </c>
      <c r="P1959">
        <f>IF(B1987=0,0,O1959/B1987)</f>
        <v/>
      </c>
      <c r="Q1959">
        <f>IFERROR(1/IF(Inputs!$B$38="pvp",15,MAX(0.1,Skills!D9-IF(Skills!E9=TRUE,Inputs!$B$32,0))),0)</f>
        <v/>
      </c>
      <c r="R1959">
        <f>IF(AND(Inputs!$B$38&lt;&gt;"pvp",Inputs!$B$43&gt;0),IF(MAX(0,Inputs!$B$43-B1984)&lt;=0,0,(INT(MAX(0,Inputs!$B$43-B1984)/IF(Inputs!$B$38="pvp",15,MAX(0.1,Skills!D9-IF(Skills!E9=TRUE,Inputs!$B$32,0))))+1)),0)</f>
        <v/>
      </c>
      <c r="S1959">
        <f>IF(C1959,(H1959*N1959*IF(AND(Inputs!$B$38&lt;&gt;"pvp",Inputs!$B$43&gt;0),((Skills!F9*((R1959-1)*IF(Skills!G9&gt;0,Skills!H9/Skills!G9,1)+IF(Skills!G9&gt;0,MIN(Skills!H9,MAX(0,MAX(0,Inputs!$B$43-B1984)-((R1959-1)*IF(Inputs!$B$38="pvp",15,MAX(0.1,Skills!D9-IF(Skills!E9=TRUE,Inputs!$B$32,0))))))/Skills!G9,1)))/Inputs!$B$43),G1959*Q1959))*IF(Inputs!$B$38="pvp",1,1+(Inputs!$B$20+Skills!O9+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1959*(1-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IF(C1959,(H1959*N1959*IF(AND(Inputs!$B$38&lt;&gt;"pvp",Inputs!$B$43&gt;0),((Skills!F9*((R1959-1)*IF(Skills!G9&gt;0,Skills!H9/Skills!G9,1)+IF(Skills!G9&gt;0,MIN(Skills!H9,MAX(0,MAX(0,Inputs!$B$43-B1984)-((R1959-1)*IF(Inputs!$B$38="pvp",15,MAX(0.1,Skills!D9-IF(Skills!E9=TRUE,Inputs!$B$32,0))))))/Skills!G9,1)))/Inputs!$B$43),G1959*Q1959))*IF(Inputs!$B$38="pvp",1,(1+(Inputs!$B$21+Skills!P9+B1978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Skills!A10</f>
        <v/>
      </c>
      <c r="B1960">
        <f>Skills!B10</f>
        <v/>
      </c>
      <c r="C1960">
        <f>Inputs!$B$3&gt;=113</f>
        <v/>
      </c>
      <c r="D1960">
        <f>IF(Skills!C10=1,60+Inputs!$B$25+Inputs!$B$29,IF(Skills!C10=2,90+Inputs!$B$26+Inputs!$B$29,IF(Skills!C10=3,120+Inputs!$B$27+Inputs!$B$29,MAX(0,(Inputs!$B$3-100)*3)+Inputs!$B$28+Inputs!$B$29)))</f>
        <v/>
      </c>
      <c r="E1960">
        <f>INDEX(FactorTable!$B$2:$Y$301, MATCH(ROUND(MIN(300,MAX(1,D1960)),0), FactorTable!$A$2:$A$301,0), Skills!L10+1)</f>
        <v/>
      </c>
      <c r="F1960">
        <f>IF(Skills!M10=TRUE,(Skills!K10/10)*(E1960/1000),Skills!K10/10)+Skills!N10</f>
        <v/>
      </c>
      <c r="G1960">
        <f>Calc!G10</f>
        <v/>
      </c>
      <c r="H1960">
        <f>Calc!H10</f>
        <v/>
      </c>
      <c r="I1960">
        <f>IF(Skills!T10&lt;&gt;"",1+(Skills!T10/10)*(Z1953/1000)/100,1)</f>
        <v/>
      </c>
      <c r="J1960">
        <f>((Inputs!$B$6*(1+Inputs!$B$7/100))+(((Inputs!$B$12*(1+Inputs!$B$13/100))-(Inputs!$B$12*(1+Inputs!$B$13/100)))+0.25*(Inputs!$B$14-Inputs!$B$14))*(1+Inputs!$B$7/100))*(F1960/100)</f>
        <v/>
      </c>
      <c r="K1960">
        <f>J1960*(1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10="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F1968-Calc!F18),(Inputs!$B$23+(IF(ArtifactsInput!$M$15,CHOOSE(ArtifactsInput!$N$15+1,25,30,35,40,45,50)/100*(Inputs!$B$11-Inputs!$B$11),0))))/100+(Inputs!$B$23+(IF(ArtifactsInput!$M$15,CHOOSE(ArtifactsInput!$N$15+1,25,30,35,40,45,50)/100*(Inputs!$B$11-Inputs!$B$11),0)))/100)/2</f>
        <v/>
      </c>
      <c r="M1960">
        <f>L1960*(1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(1-Summary!$B$11)*S1960+Summary!$B$11*U1960</f>
        <v/>
      </c>
      <c r="P1960">
        <f>IF(B1987=0,0,O1960/B1987)</f>
        <v/>
      </c>
      <c r="Q1960">
        <f>IFERROR(1/IF(Inputs!$B$38="pvp",15,MAX(0.1,Skills!D10-IF(Skills!E9=TRUE,Inputs!$B$32,0))),0)</f>
        <v/>
      </c>
      <c r="R1960">
        <f>IF(AND(Inputs!$B$38&lt;&gt;"pvp",Inputs!$B$43&gt;0),IF(MAX(0,Inputs!$B$43-B1984)&lt;=0,0,(INT(MAX(0,Inputs!$B$43-B1984)/IF(Inputs!$B$38="pvp",15,MAX(0.1,Skills!D10-IF(Skills!E9=TRUE,Inputs!$B$32,0))))+1)),0)</f>
        <v/>
      </c>
      <c r="S1960">
        <f>IF(C1960,(H1960*N1960*IF(AND(Inputs!$B$38&lt;&gt;"pvp",Inputs!$B$43&gt;0),((Skills!F10*((R1960-1)*IF(Skills!G10&gt;0,Skills!H10/Skills!G10,1)+IF(Skills!G10&gt;0,MIN(Skills!H10,MAX(0,MAX(0,Inputs!$B$43-B1984)-((R1960-1)*IF(Inputs!$B$38="pvp",15,MAX(0.1,Skills!D10-IF(Skills!E9=TRUE,Inputs!$B$32,0))))))/Skills!G10,1)))/Inputs!$B$43),G1960*Q1960))*IF(Inputs!$B$38="pvp",1,1+(Inputs!$B$20+Skills!O10+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1960*(1-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0">
        <f>IF(C1960,(H1960*N1960*IF(AND(Inputs!$B$38&lt;&gt;"pvp",Inputs!$B$43&gt;0),((Skills!F10*((R1960-1)*IF(Skills!G10&gt;0,Skills!H10/Skills!G10,1)+IF(Skills!G10&gt;0,MIN(Skills!H10,MAX(0,MAX(0,Inputs!$B$43-B1984)-((R1960-1)*IF(Inputs!$B$38="pvp",15,MAX(0.1,Skills!D10-IF(Skills!E9=TRUE,Inputs!$B$32,0))))))/Skills!G10,1)))/Inputs!$B$43),G1960*Q1960))*IF(Inputs!$B$38="pvp",1,(1+(Inputs!$B$21+Skills!P10+B1978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Skills!A11</f>
        <v/>
      </c>
      <c r="B1961">
        <f>Skills!B11</f>
        <v/>
      </c>
      <c r="C1961">
        <f>Inputs!$B$3&gt;=107</f>
        <v/>
      </c>
      <c r="D1961">
        <f>IF(Skills!C11=1,60+Inputs!$B$25+Inputs!$B$29,IF(Skills!C11=2,90+Inputs!$B$26+Inputs!$B$29,IF(Skills!C11=3,120+Inputs!$B$27+Inputs!$B$29,MAX(0,(Inputs!$B$3-100)*3)+Inputs!$B$28+Inputs!$B$29)))</f>
        <v/>
      </c>
      <c r="E1961">
        <f>INDEX(FactorTable!$B$2:$Y$301, MATCH(ROUND(MIN(300,MAX(1,D1961)),0), FactorTable!$A$2:$A$301,0), Skills!L11+1)</f>
        <v/>
      </c>
      <c r="F1961">
        <f>IF(Skills!M11=TRUE,(Skills!K11/10)*(E1961/1000),Skills!K11/10)+Skills!N11</f>
        <v/>
      </c>
      <c r="G1961">
        <f>Calc!G11</f>
        <v/>
      </c>
      <c r="H1961">
        <f>Calc!H11</f>
        <v/>
      </c>
      <c r="I1961">
        <f>IF(Skills!T11&lt;&gt;"",1+(Skills!T11/10)*(Z1953/1000)/100,1)</f>
        <v/>
      </c>
      <c r="J1961">
        <f>((Inputs!$B$6*(1+Inputs!$B$7/100))+(((Inputs!$B$12*(1+Inputs!$B$13/100))-(Inputs!$B$12*(1+Inputs!$B$13/100)))+0.25*(Inputs!$B$14-Inputs!$B$14))*(1+Inputs!$B$7/100))*(F1961/100)</f>
        <v/>
      </c>
      <c r="K1961">
        <f>J1961*(1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11="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F1968-Calc!F18),(Inputs!$B$23+(IF(ArtifactsInput!$M$15,CHOOSE(ArtifactsInput!$N$15+1,25,30,35,40,45,50)/100*(Inputs!$B$11-Inputs!$B$11),0))))/100+(Inputs!$B$23+(IF(ArtifactsInput!$M$15,CHOOSE(ArtifactsInput!$N$15+1,25,30,35,40,45,50)/100*(Inputs!$B$11-Inputs!$B$11),0)))/100)/2</f>
        <v/>
      </c>
      <c r="M1961">
        <f>L1961*(1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(1-Summary!$B$11)*S1961+Summary!$B$11*U1961</f>
        <v/>
      </c>
      <c r="P1961">
        <f>IF(B1987=0,0,O1961/B1987)</f>
        <v/>
      </c>
      <c r="Q1961">
        <f>IFERROR(1/IF(Inputs!$B$38="pvp",15,MAX(0.1,Skills!D11-IF(Skills!E11=TRUE,Inputs!$B$32,0))),0)</f>
        <v/>
      </c>
      <c r="R1961">
        <f>IF(AND(Inputs!$B$38&lt;&gt;"pvp",Inputs!$B$43&gt;0),IF(MAX(0,Inputs!$B$43-B1984)&lt;=0,0,(INT(MAX(0,Inputs!$B$43-B1984)/IF(Inputs!$B$38="pvp",15,MAX(0.1,Skills!D11-IF(Skills!E11=TRUE,Inputs!$B$32,0))))+1)),0)</f>
        <v/>
      </c>
      <c r="S1961">
        <f>IF(C1961,H1961*N1961*IF(AND(Inputs!$B$38&lt;&gt;"pvp",Inputs!$B$43&gt;0),((Skills!F11*((R1961-1)*IF(Skills!G11&gt;0,Skills!H11/Skills!G11,1)+IF(Skills!G11&gt;0,MIN(Skills!H11,MAX(0,MAX(0,Inputs!$B$43-B1984)-((R1961-1)*IF(Inputs!$B$38="pvp",15,MAX(0.1,Skills!D11-IF(Skills!E11=TRUE,Inputs!$B$32,0))))))/Skills!G11,1)))/Inputs!$B$43),G1961*Q1961)*0.5*IF(Inputs!$B$38="pvp",1,1+(Inputs!$B$20+Skills!O11+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IF(C1961,H1961*N1961*IF(AND(Inputs!$B$38&lt;&gt;"pvp",Inputs!$B$43&gt;0),((Skills!F11*((R1961-1)*IF(Skills!G11&gt;0,Skills!H11/Skills!G11,1)+IF(Skills!G11&gt;0,MIN(Skills!H11,MAX(0,MAX(0,Inputs!$B$43-B1984)-((R1961-1)*IF(Inputs!$B$38="pvp",15,MAX(0.1,Skills!D11-IF(Skills!E11=TRUE,Inputs!$B$32,0))))))/Skills!G11,1)))/Inputs!$B$43),G1961*Q1961)*1*IF(Inputs!$B$38="pvp",1,(1+(Inputs!$B$21+Skills!P11+B1978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Skills!A12</f>
        <v/>
      </c>
      <c r="B1962">
        <f>Skills!B12</f>
        <v/>
      </c>
      <c r="C1962">
        <f>Inputs!$B$3&gt;=115</f>
        <v/>
      </c>
      <c r="D1962">
        <f>IF(Skills!C12=1,60+Inputs!$B$25+Inputs!$B$29,IF(Skills!C12=2,90+Inputs!$B$26+Inputs!$B$29,IF(Skills!C12=3,120+Inputs!$B$27+Inputs!$B$29,MAX(0,(Inputs!$B$3-100)*3)+Inputs!$B$28+Inputs!$B$29)))</f>
        <v/>
      </c>
      <c r="E1962">
        <f>INDEX(FactorTable!$B$2:$Y$301, MATCH(ROUND(MIN(300,MAX(1,D1962)),0), FactorTable!$A$2:$A$301,0), Skills!L12+1)</f>
        <v/>
      </c>
      <c r="F1962">
        <f>IF(Skills!M12=TRUE,(Skills!K12/10)*(E1962/1000),Skills!K12/10)+Skills!N12</f>
        <v/>
      </c>
      <c r="G1962">
        <f>Calc!G12</f>
        <v/>
      </c>
      <c r="H1962">
        <f>Calc!H12</f>
        <v/>
      </c>
      <c r="I1962">
        <f>IF(Skills!T12&lt;&gt;"",1+(Skills!T12/10)*(Z1953/1000)/100,1)</f>
        <v/>
      </c>
      <c r="J1962">
        <f>((Inputs!$B$6*(1+Inputs!$B$7/100))+(((Inputs!$B$12*(1+Inputs!$B$13/100))-(Inputs!$B$12*(1+Inputs!$B$13/100)))+0.25*(Inputs!$B$14-Inputs!$B$14))*(1+Inputs!$B$7/100))*(F1962/100)</f>
        <v/>
      </c>
      <c r="K1962">
        <f>J1962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12="CHAIN_LIGHTNING",Inputs!$B$17+((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F1968-Calc!F18),(Inputs!$B$23+(IF(ArtifactsInput!$M$15,CHOOSE(ArtifactsInput!$N$15+1,25,30,35,40,45,50)/100*(Inputs!$B$11-Inputs!$B$11),0))))/100+(Inputs!$B$23+(IF(ArtifactsInput!$M$15,CHOOSE(ArtifactsInput!$N$15+1,25,30,35,40,45,50)/100*(Inputs!$B$11-Inputs!$B$11),0)))/100)/2</f>
        <v/>
      </c>
      <c r="M1962">
        <f>L1962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(1-Summary!$B$11)*S1962+Summary!$B$11*U1962</f>
        <v/>
      </c>
      <c r="P1962">
        <f>IF(B1987=0,0,O1962/B1987)</f>
        <v/>
      </c>
      <c r="Q1962">
        <f>IFERROR(1/IF(Inputs!$B$38="pvp",15,MAX(0.1,Skills!D12-IF(Skills!E12=TRUE,Inputs!$B$32,0))),0)</f>
        <v/>
      </c>
      <c r="R1962">
        <f>IF(AND(Inputs!$B$38&lt;&gt;"pvp",Inputs!$B$43&gt;0),IF(MAX(0,Inputs!$B$43-B1984)&lt;=0,0,(INT(MAX(0,Inputs!$B$43-B1984)/IF(Inputs!$B$38="pvp",15,MAX(0.1,Skills!D12-IF(Skills!E12=TRUE,Inputs!$B$32,0))))+1)),0)</f>
        <v/>
      </c>
      <c r="S1962">
        <f>IF(C1962,(H1962*N1962*IF(AND(Inputs!$B$38&lt;&gt;"pvp",Inputs!$B$43&gt;0),((Skills!F12*((R1962-1)*IF(Skills!G12&gt;0,Skills!H12/Skills!G12,1)+IF(Skills!G12&gt;0,MIN(Skills!H12,MAX(0,MAX(0,Inputs!$B$43-B1984)-((R1962-1)*IF(Inputs!$B$38="pvp",15,MAX(0.1,Skills!D12-IF(Skills!E12=TRUE,Inputs!$B$32,0))))))/Skills!G12,1)))/Inputs!$B$43),G1962*Q1962))*IF(Inputs!$B$38="pvp",1,1+(Inputs!$B$20+Skills!O12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1962*(1-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F1970-Calc!F20)+(F1969-Calc!F19))+(ArtifactsInput!$M$24-ArtifactsInput!$M$24)*CHOOSE(ArtifactsInput!$N$24+1,10,12,14,16,18,20)+(IF(AND(Inputs!$B$38&lt;&gt;"pvp",Inputs!$B$43=0),1,IF(IF(Inputs!$B$38="pvp",15,Inputs!$B$43)-(B1984)&lt;=0,1,MAX(0,IF(Inputs!$B$38="pvp",15,Inputs!$B$43)-MAX(5,B1984))/(IF(Inputs!$B$38="pvp",15,Inputs!$B$43)-(B1984)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2">
        <f>IF(C1962,(H1962*N1962*IF(AND(Inputs!$B$38&lt;&gt;"pvp",Inputs!$B$43&gt;0),((Skills!F12*((R1962-1)*IF(Skills!G12&gt;0,Skills!H12/Skills!G12,1)+IF(Skills!G12&gt;0,MIN(Skills!H12,MAX(0,MAX(0,Inputs!$B$43-B1984)-((R1962-1)*IF(Inputs!$B$38="pvp",15,MAX(0.1,Skills!D12-IF(Skills!E12=TRUE,Inputs!$B$32,0))))))/Skills!G12,1)))/Inputs!$B$43),G1962*Q1962))*IF(Inputs!$B$38="pvp",1,(1+(Inputs!$B$21+Skills!P12+B1978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Skills!A13</f>
        <v/>
      </c>
      <c r="B1963">
        <f>Skills!B13</f>
        <v/>
      </c>
      <c r="C1963">
        <f>Inputs!$B$3&gt;=49</f>
        <v/>
      </c>
      <c r="D1963">
        <f>IF(Skills!C13=1,60+Inputs!$B$25+Inputs!$B$29,IF(Skills!C13=2,90+Inputs!$B$26+Inputs!$B$29,IF(Skills!C13=3,120+Inputs!$B$27+Inputs!$B$29,MAX(0,(Inputs!$B$3-100)*3)+Inputs!$B$28+Inputs!$B$29)))</f>
        <v/>
      </c>
      <c r="E1963">
        <f>INDEX(FactorTable!$B$2:$Y$301, MATCH(ROUND(MIN(300,MAX(1,D1963)),0), FactorTable!$A$2:$A$301,0), Skills!L13+1)</f>
        <v/>
      </c>
      <c r="F1963">
        <f>IF(Skills!M13=TRUE,(Skills!K13/10)*(E1963/1000),Skills!K13/10)+Skills!N13</f>
        <v/>
      </c>
      <c r="G1963">
        <f>Calc!G13</f>
        <v/>
      </c>
      <c r="H1963">
        <f>Calc!H13</f>
        <v/>
      </c>
      <c r="I1963">
        <f>IF(Skills!T13&lt;&gt;"",1+(Skills!T13/10)*(Z1953/1000)/100,1)</f>
        <v/>
      </c>
      <c r="J1963" t="inlineStr"/>
      <c r="K1963" t="inlineStr"/>
      <c r="L1963" t="inlineStr"/>
      <c r="M1963" t="inlineStr"/>
      <c r="N1963" t="inlineStr"/>
      <c r="O1963">
        <f>(1-Summary!$B$11)*S1963+Summary!$B$11*U1963</f>
        <v/>
      </c>
      <c r="P1963">
        <f>IF(B1987=0,0,O1963/B1987)</f>
        <v/>
      </c>
      <c r="Q1963">
        <f>IFERROR(1/IF(Inputs!$B$38="pvp",15,MAX(0.1,Skills!D13-IF(Skills!E13=TRUE,Inputs!$B$32,0))),0)</f>
        <v/>
      </c>
      <c r="R1963" t="n">
        <v>0</v>
      </c>
      <c r="S1963" t="n">
        <v>0</v>
      </c>
      <c r="U1963" t="n">
        <v>0</v>
      </c>
    </row>
    <row r="1964">
      <c r="A1964">
        <f>Skills!A14</f>
        <v/>
      </c>
      <c r="B1964">
        <f>Skills!B14</f>
        <v/>
      </c>
      <c r="C1964">
        <f>Inputs!$B$3&gt;=72</f>
        <v/>
      </c>
      <c r="D1964">
        <f>IF(Skills!C14=1,60+Inputs!$B$25+Inputs!$B$29,IF(Skills!C14=2,90+Inputs!$B$26+Inputs!$B$29,IF(Skills!C14=3,120+Inputs!$B$27+Inputs!$B$29,MAX(0,(Inputs!$B$3-100)*3)+Inputs!$B$28+Inputs!$B$29)))</f>
        <v/>
      </c>
      <c r="E1964">
        <f>INDEX(FactorTable!$B$2:$Y$301, MATCH(ROUND(MIN(300,MAX(1,D1964)),0), FactorTable!$A$2:$A$301,0), Skills!L14+1)</f>
        <v/>
      </c>
      <c r="F1964">
        <f>IF(Skills!M14=TRUE,(Skills!K14/10)*(E1964/1000),Skills!K14/10)+Skills!N14</f>
        <v/>
      </c>
      <c r="G1964">
        <f>Calc!G14</f>
        <v/>
      </c>
      <c r="H1964">
        <f>Calc!H14</f>
        <v/>
      </c>
      <c r="I1964">
        <f>IF(Skills!T14&lt;&gt;"",1+(Skills!T14/10)*(Z1953/1000)/100,1)</f>
        <v/>
      </c>
      <c r="J1964" t="inlineStr"/>
      <c r="K1964" t="inlineStr"/>
      <c r="L1964" t="inlineStr"/>
      <c r="M1964" t="inlineStr"/>
      <c r="N1964" t="inlineStr"/>
      <c r="O1964">
        <f>(1-Summary!$B$11)*S1964+Summary!$B$11*U1964</f>
        <v/>
      </c>
      <c r="P1964">
        <f>IF(B1987=0,0,O1964/B1987)</f>
        <v/>
      </c>
      <c r="Q1964">
        <f>IFERROR(1/IF(Inputs!$B$38="pvp",15,MAX(0.1,Skills!D14-IF(Skills!E14=TRUE,Inputs!$B$32,0))),0)</f>
        <v/>
      </c>
      <c r="R1964" t="n">
        <v>0</v>
      </c>
      <c r="S1964" t="n">
        <v>0</v>
      </c>
      <c r="U1964" t="n">
        <v>0</v>
      </c>
    </row>
    <row r="1965">
      <c r="A1965">
        <f>Skills!A15</f>
        <v/>
      </c>
      <c r="B1965">
        <f>Skills!B15</f>
        <v/>
      </c>
      <c r="C1965">
        <f>Inputs!$B$3&gt;=75</f>
        <v/>
      </c>
      <c r="D1965">
        <f>IF(Skills!C15=1,60+Inputs!$B$25+Inputs!$B$29,IF(Skills!C15=2,90+Inputs!$B$26+Inputs!$B$29,IF(Skills!C15=3,120+Inputs!$B$27+Inputs!$B$29,MAX(0,(Inputs!$B$3-100)*3)+Inputs!$B$28+Inputs!$B$29)))</f>
        <v/>
      </c>
      <c r="E1965">
        <f>INDEX(FactorTable!$B$2:$Y$301, MATCH(ROUND(MIN(300,MAX(1,D1965)),0), FactorTable!$A$2:$A$301,0), Skills!L15+1)</f>
        <v/>
      </c>
      <c r="F1965">
        <f>IF(Skills!M15=TRUE,(Skills!K15/10)*(E1965/1000),Skills!K15/10)+Skills!N15</f>
        <v/>
      </c>
      <c r="G1965">
        <f>Calc!G15</f>
        <v/>
      </c>
      <c r="H1965">
        <f>Calc!H15</f>
        <v/>
      </c>
      <c r="I1965">
        <f>IF(Skills!T15&lt;&gt;"",1+(Skills!T15/10)*(Z1953/1000)/100,1)</f>
        <v/>
      </c>
      <c r="J1965" t="inlineStr"/>
      <c r="K1965" t="inlineStr"/>
      <c r="L1965" t="inlineStr"/>
      <c r="M1965" t="inlineStr"/>
      <c r="N1965" t="inlineStr"/>
      <c r="O1965">
        <f>(1-Summary!$B$11)*S1965+Summary!$B$11*U1965</f>
        <v/>
      </c>
      <c r="P1965">
        <f>IF(B1987=0,0,O1965/B1987)</f>
        <v/>
      </c>
      <c r="Q1965">
        <f>IFERROR(1/IF(Inputs!$B$38="pvp",15,MAX(0.1,Skills!D15-IF(Skills!E15=TRUE,Inputs!$B$32,0))),0)</f>
        <v/>
      </c>
      <c r="R1965" t="n">
        <v>0</v>
      </c>
      <c r="S1965" t="n">
        <v>0</v>
      </c>
      <c r="U1965" t="n">
        <v>0</v>
      </c>
    </row>
    <row r="1966">
      <c r="A1966">
        <f>Skills!A16</f>
        <v/>
      </c>
      <c r="B1966">
        <f>Skills!B16</f>
        <v/>
      </c>
      <c r="C1966">
        <f>Inputs!$B$3&gt;=110</f>
        <v/>
      </c>
      <c r="D1966">
        <f>IF(Skills!C16=1,60+Inputs!$B$25+Inputs!$B$29,IF(Skills!C16=2,90+Inputs!$B$26+Inputs!$B$29,IF(Skills!C16=3,120+Inputs!$B$27+Inputs!$B$29,MAX(0,(Inputs!$B$3-100)*3)+Inputs!$B$28+Inputs!$B$29)))</f>
        <v/>
      </c>
      <c r="E1966">
        <f>INDEX(FactorTable!$B$2:$Y$301, MATCH(ROUND(MIN(300,MAX(1,D1966)),0), FactorTable!$A$2:$A$301,0), Skills!L16+1)</f>
        <v/>
      </c>
      <c r="F1966">
        <f>(Skills!K16/10)*(E1966/1000)*64/45+Skills!N16</f>
        <v/>
      </c>
      <c r="G1966">
        <f>Calc!G16</f>
        <v/>
      </c>
      <c r="H1966">
        <f>Calc!H16</f>
        <v/>
      </c>
      <c r="I1966">
        <f>IF(Skills!T16&lt;&gt;"",1+(Skills!T16/10)*(Z1953/1000)/100,1)</f>
        <v/>
      </c>
      <c r="J1966" t="inlineStr"/>
      <c r="K1966" t="inlineStr"/>
      <c r="L1966" t="inlineStr"/>
      <c r="M1966" t="inlineStr"/>
      <c r="N1966" t="inlineStr"/>
      <c r="O1966">
        <f>(1-Summary!$B$11)*S1966+Summary!$B$11*U1966</f>
        <v/>
      </c>
      <c r="P1966">
        <f>IF(B1987=0,0,O1966/B1987)</f>
        <v/>
      </c>
      <c r="Q1966">
        <f>IFERROR(1/IF(Inputs!$B$38="pvp",15,MAX(0.1,Skills!D16-IF(Skills!E16=TRUE,Inputs!$B$32,0))),0)</f>
        <v/>
      </c>
      <c r="R1966">
        <f>IF(AND(Inputs!$B$38&lt;&gt;"pvp",Inputs!$B$43&gt;0),IF(Inputs!$B$43&lt;=0,0,(INT(Inputs!$B$43/IF(Inputs!$B$38="pvp",15,MAX(0.1,Skills!D16-IF(Skills!E16=TRUE,Inputs!$B$32,0))))+1)),0)</f>
        <v/>
      </c>
      <c r="S1966" t="n">
        <v>0</v>
      </c>
      <c r="U1966" t="n">
        <v>0</v>
      </c>
    </row>
    <row r="1967">
      <c r="A1967">
        <f>Skills!A17</f>
        <v/>
      </c>
      <c r="B1967">
        <f>Skills!B17</f>
        <v/>
      </c>
      <c r="C1967">
        <f>Inputs!$B$3&gt;=33</f>
        <v/>
      </c>
      <c r="D1967">
        <f>IF(Skills!C17=1,60+Inputs!$B$25+Inputs!$B$29,IF(Skills!C17=2,90+Inputs!$B$26+Inputs!$B$29,IF(Skills!C17=3,120+Inputs!$B$27+Inputs!$B$29,MAX(0,(Inputs!$B$3-100)*3)+Inputs!$B$28+Inputs!$B$29)))</f>
        <v/>
      </c>
      <c r="E1967">
        <f>INDEX(FactorTable!$B$2:$Y$301, MATCH(ROUND(MIN(300,MAX(1,D1967)),0), FactorTable!$A$2:$A$301,0), Skills!L17+1)</f>
        <v/>
      </c>
      <c r="F1967">
        <f>IF(Skills!M17=TRUE,(Skills!K17/10)*(E1967/1000),Skills!K17/10)+Skills!N17</f>
        <v/>
      </c>
      <c r="G1967">
        <f>Calc!G17</f>
        <v/>
      </c>
      <c r="H1967">
        <f>Calc!H17</f>
        <v/>
      </c>
      <c r="I1967">
        <f>IF(Skills!T17&lt;&gt;"",1+(Skills!T17/10)*(Z1953/1000)/100,1)</f>
        <v/>
      </c>
      <c r="J1967" t="inlineStr"/>
      <c r="K1967" t="inlineStr"/>
      <c r="L1967" t="inlineStr"/>
      <c r="M1967" t="inlineStr"/>
      <c r="N1967" t="inlineStr"/>
      <c r="O1967">
        <f>(1-Summary!$B$11)*S1967+Summary!$B$11*U1967</f>
        <v/>
      </c>
      <c r="P1967">
        <f>IF(B1987=0,0,O1967/B1987)</f>
        <v/>
      </c>
      <c r="Q1967">
        <f>IFERROR(1/IF(Inputs!$B$38="pvp",15,MAX(0.1,Skills!D17-IF(Skills!E17=TRUE,Inputs!$B$32,0))),0)</f>
        <v/>
      </c>
      <c r="R1967" t="n">
        <v>0</v>
      </c>
      <c r="S1967" t="n">
        <v>0</v>
      </c>
      <c r="U1967" t="n">
        <v>0</v>
      </c>
    </row>
    <row r="1968">
      <c r="A1968">
        <f>Skills!A18</f>
        <v/>
      </c>
      <c r="B1968">
        <f>Skills!B18</f>
        <v/>
      </c>
      <c r="C1968">
        <f>Inputs!$B$3&gt;=43</f>
        <v/>
      </c>
      <c r="D1968">
        <f>IF(Skills!C18=1,60+Inputs!$B$25+Inputs!$B$29,IF(Skills!C18=2,90+Inputs!$B$26+Inputs!$B$29,IF(Skills!C18=3,120+Inputs!$B$27+Inputs!$B$29,MAX(0,(Inputs!$B$3-100)*3)+Inputs!$B$28+Inputs!$B$29)))</f>
        <v/>
      </c>
      <c r="E1968">
        <f>INDEX(FactorTable!$B$2:$Y$301, MATCH(ROUND(MIN(300,MAX(1,D1968)),0), FactorTable!$A$2:$A$301,0), Skills!L18+1)</f>
        <v/>
      </c>
      <c r="F1968">
        <f>IF(Skills!M18=TRUE,(Skills!K18/10)*(E1968/1000),Skills!K18/10)+Skills!N18</f>
        <v/>
      </c>
      <c r="G1968">
        <f>Calc!G18</f>
        <v/>
      </c>
      <c r="H1968">
        <f>Calc!H18</f>
        <v/>
      </c>
      <c r="I1968">
        <f>IF(Skills!T18&lt;&gt;"",1+(Skills!T18/10)*(Z1953/1000)/100,1)</f>
        <v/>
      </c>
      <c r="J1968" t="inlineStr"/>
      <c r="K1968" t="inlineStr"/>
      <c r="L1968" t="inlineStr"/>
      <c r="M1968" t="inlineStr"/>
      <c r="N1968" t="inlineStr"/>
      <c r="O1968">
        <f>(1-Summary!$B$11)*S1968+Summary!$B$11*U1968</f>
        <v/>
      </c>
      <c r="P1968">
        <f>IF(B1987=0,0,O1968/B1987)</f>
        <v/>
      </c>
      <c r="Q1968">
        <f>IFERROR(1/IF(Inputs!$B$38="pvp",15,MAX(0.1,Skills!D18-IF(Skills!E18=TRUE,Inputs!$B$32,0))),0)</f>
        <v/>
      </c>
      <c r="R1968" t="n">
        <v>0</v>
      </c>
      <c r="S1968" t="n">
        <v>0</v>
      </c>
      <c r="U1968" t="n">
        <v>0</v>
      </c>
    </row>
    <row r="1969">
      <c r="A1969">
        <f>Skills!A19</f>
        <v/>
      </c>
      <c r="B1969">
        <f>Skills!B19</f>
        <v/>
      </c>
      <c r="C1969">
        <f>Inputs!$B$3&gt;=50</f>
        <v/>
      </c>
      <c r="D1969">
        <f>IF(Skills!C19=1,60+Inputs!$B$25+Inputs!$B$29,IF(Skills!C19=2,90+Inputs!$B$26+Inputs!$B$29,IF(Skills!C19=3,120+Inputs!$B$27+Inputs!$B$29,MAX(0,(Inputs!$B$3-100)*3)+Inputs!$B$28+Inputs!$B$29)))</f>
        <v/>
      </c>
      <c r="E1969">
        <f>INDEX(FactorTable!$B$2:$Y$301, MATCH(ROUND(MIN(300,MAX(1,D1969)),0), FactorTable!$A$2:$A$301,0), Skills!L19+1)</f>
        <v/>
      </c>
      <c r="F1969">
        <f>IF(Skills!M19=TRUE,(Skills!K19/10)*(E1969/1000),Skills!K19/10)+Skills!N19</f>
        <v/>
      </c>
      <c r="G1969">
        <f>Calc!G19</f>
        <v/>
      </c>
      <c r="H1969">
        <f>Calc!H19</f>
        <v/>
      </c>
      <c r="I1969">
        <f>IF(Skills!T19&lt;&gt;"",1+(Skills!T19/10)*(Z1953/1000)/100,1)</f>
        <v/>
      </c>
      <c r="J1969" t="inlineStr"/>
      <c r="K1969" t="inlineStr"/>
      <c r="L1969" t="inlineStr"/>
      <c r="M1969" t="inlineStr"/>
      <c r="N1969" t="inlineStr"/>
      <c r="O1969">
        <f>(1-Summary!$B$11)*S1969+Summary!$B$11*U1969</f>
        <v/>
      </c>
      <c r="P1969">
        <f>IF(B1987=0,0,O1969/B1987)</f>
        <v/>
      </c>
      <c r="Q1969">
        <f>IFERROR(1/IF(Inputs!$B$38="pvp",15,MAX(0.1,Skills!D19-IF(Skills!E19=TRUE,Inputs!$B$32,0))),0)</f>
        <v/>
      </c>
      <c r="R1969" t="n">
        <v>0</v>
      </c>
      <c r="S1969" t="n">
        <v>0</v>
      </c>
      <c r="U1969" t="n">
        <v>0</v>
      </c>
    </row>
    <row r="1970">
      <c r="A1970">
        <f>Skills!A20</f>
        <v/>
      </c>
      <c r="B1970">
        <f>Skills!B20</f>
        <v/>
      </c>
      <c r="C1970">
        <f>Inputs!$B$3&gt;=74</f>
        <v/>
      </c>
      <c r="D1970">
        <f>IF(Skills!C20=1,60+Inputs!$B$25+Inputs!$B$29,IF(Skills!C20=2,90+Inputs!$B$26+Inputs!$B$29,IF(Skills!C20=3,120+Inputs!$B$27+Inputs!$B$29,MAX(0,(Inputs!$B$3-100)*3)+Inputs!$B$28+Inputs!$B$29)))</f>
        <v/>
      </c>
      <c r="E1970">
        <f>INDEX(FactorTable!$B$2:$Y$301, MATCH(ROUND(MIN(300,MAX(1,D1970)),0), FactorTable!$A$2:$A$301,0), Skills!L20+1)</f>
        <v/>
      </c>
      <c r="F1970">
        <f>IF(Skills!M20=TRUE,(Skills!K20/10)*(E1970/1000),Skills!K20/10)+Skills!N20</f>
        <v/>
      </c>
      <c r="G1970">
        <f>Calc!G20</f>
        <v/>
      </c>
      <c r="H1970">
        <f>Calc!H20</f>
        <v/>
      </c>
      <c r="I1970">
        <f>IF(Skills!T20&lt;&gt;"",1+(Skills!T20/10)*(Z1953/1000)/100,1)</f>
        <v/>
      </c>
      <c r="J1970" t="inlineStr"/>
      <c r="K1970" t="inlineStr"/>
      <c r="L1970" t="inlineStr"/>
      <c r="M1970" t="inlineStr"/>
      <c r="N1970" t="inlineStr"/>
      <c r="O1970">
        <f>(1-Summary!$B$11)*S1970+Summary!$B$11*U1970</f>
        <v/>
      </c>
      <c r="P1970">
        <f>IF(B1987=0,0,O1970/B1987)</f>
        <v/>
      </c>
      <c r="Q1970">
        <f>IFERROR(1/IF(Inputs!$B$38="pvp",15,MAX(0.1,Skills!D20-IF(Skills!E20=TRUE,Inputs!$B$32,0))),0)</f>
        <v/>
      </c>
      <c r="R1970" t="n">
        <v>0</v>
      </c>
      <c r="S1970" t="n">
        <v>0</v>
      </c>
      <c r="U1970" t="n">
        <v>0</v>
      </c>
    </row>
    <row r="1971">
      <c r="A1971">
        <f>Skills!A21</f>
        <v/>
      </c>
      <c r="B1971">
        <f>Skills!B21</f>
        <v/>
      </c>
      <c r="C1971">
        <f>Inputs!$B$3&gt;=74</f>
        <v/>
      </c>
      <c r="D1971">
        <f>IF(Skills!C21=1,60+Inputs!$B$25+Inputs!$B$29,IF(Skills!C21=2,90+Inputs!$B$26+Inputs!$B$29,IF(Skills!C21=3,120+Inputs!$B$27+Inputs!$B$29,MAX(0,(Inputs!$B$3-100)*3)+Inputs!$B$28+Inputs!$B$29)))</f>
        <v/>
      </c>
      <c r="E1971">
        <f>INDEX(FactorTable!$B$2:$Y$301, MATCH(ROUND(MIN(300,MAX(1,D1971)),0), FactorTable!$A$2:$A$301,0), Skills!L21+1)</f>
        <v/>
      </c>
      <c r="F1971">
        <f>IF(Skills!M21=TRUE,(Skills!K21/10)*(E1971/1000),Skills!K21/10)+Skills!N21</f>
        <v/>
      </c>
      <c r="G1971">
        <f>Calc!G21</f>
        <v/>
      </c>
      <c r="H1971">
        <f>Calc!H21</f>
        <v/>
      </c>
      <c r="I1971">
        <f>IF(Skills!T21&lt;&gt;"",1+(Skills!T21/10)*(Z1953/1000)/100,1)</f>
        <v/>
      </c>
      <c r="J1971" t="inlineStr"/>
      <c r="K1971" t="inlineStr"/>
      <c r="L1971" t="inlineStr"/>
      <c r="M1971" t="inlineStr"/>
      <c r="N1971" t="inlineStr"/>
      <c r="O1971">
        <f>(1-Summary!$B$11)*S1971+Summary!$B$11*U1971</f>
        <v/>
      </c>
      <c r="P1971">
        <f>IF(B1987=0,0,O1971/B1987)</f>
        <v/>
      </c>
      <c r="Q1971">
        <f>IFERROR(1/IF(Inputs!$B$38="pvp",15,MAX(0.1,Skills!D21-IF(Skills!E21=TRUE,Inputs!$B$32,0))),0)</f>
        <v/>
      </c>
      <c r="R1971" t="n">
        <v>0</v>
      </c>
      <c r="S1971" t="n">
        <v>0</v>
      </c>
      <c r="U1971" t="n">
        <v>0</v>
      </c>
    </row>
    <row r="1972">
      <c r="A1972">
        <f>Skills!A22</f>
        <v/>
      </c>
      <c r="B1972">
        <f>Skills!B22</f>
        <v/>
      </c>
      <c r="C1972">
        <f>Inputs!$B$3&gt;=117</f>
        <v/>
      </c>
      <c r="D1972">
        <f>IF(Skills!C22=1,60+Inputs!$B$25+Inputs!$B$29,IF(Skills!C22=2,90+Inputs!$B$26+Inputs!$B$29,IF(Skills!C22=3,120+Inputs!$B$27+Inputs!$B$29,MAX(0,(Inputs!$B$3-100)*3)+Inputs!$B$28+Inputs!$B$29)))</f>
        <v/>
      </c>
      <c r="E1972">
        <f>INDEX(FactorTable!$B$2:$Y$301, MATCH(ROUND(MIN(300,MAX(1,D1972)),0), FactorTable!$A$2:$A$301,0), Skills!L22+1)</f>
        <v/>
      </c>
      <c r="F1972">
        <f>IF(Skills!M22=TRUE,(Skills!K22/10)*(E1972/1000),Skills!K22/10)+Skills!N22</f>
        <v/>
      </c>
      <c r="G1972">
        <f>Calc!G22</f>
        <v/>
      </c>
      <c r="H1972">
        <f>Calc!H22</f>
        <v/>
      </c>
      <c r="I1972">
        <f>IF(Skills!T22&lt;&gt;"",1+(Skills!T22/10)*(Z1953/1000)/100,1)</f>
        <v/>
      </c>
      <c r="J1972" t="inlineStr"/>
      <c r="K1972" t="inlineStr"/>
      <c r="L1972" t="inlineStr"/>
      <c r="M1972" t="inlineStr"/>
      <c r="N1972" t="inlineStr"/>
      <c r="O1972">
        <f>(1-Summary!$B$11)*S1972+Summary!$B$11*U1972</f>
        <v/>
      </c>
      <c r="P1972">
        <f>IF(B1987=0,0,O1972/B1987)</f>
        <v/>
      </c>
      <c r="Q1972">
        <f>IFERROR(1/IF(Inputs!$B$38="pvp",15,MAX(0.1,Skills!D22-IF(Skills!E22=TRUE,Inputs!$B$32,0))),0)</f>
        <v/>
      </c>
      <c r="R1972" t="n">
        <v>0</v>
      </c>
      <c r="S1972" t="n">
        <v>0</v>
      </c>
      <c r="U1972" t="n">
        <v>0</v>
      </c>
    </row>
    <row r="1973">
      <c r="A1973">
        <f>Skills!A23</f>
        <v/>
      </c>
      <c r="B1973">
        <f>Skills!B23</f>
        <v/>
      </c>
      <c r="C1973">
        <f>Inputs!$B$3&gt;=120</f>
        <v/>
      </c>
      <c r="D1973">
        <f>IF(Skills!C23=1,60+Inputs!$B$25+Inputs!$B$29,IF(Skills!C23=2,90+Inputs!$B$26+Inputs!$B$29,IF(Skills!C23=3,120+Inputs!$B$27+Inputs!$B$29,MAX(0,(Inputs!$B$3-100)*3)+Inputs!$B$28+Inputs!$B$29)))</f>
        <v/>
      </c>
      <c r="E1973">
        <f>INDEX(FactorTable!$B$2:$Y$301, MATCH(ROUND(MIN(300,MAX(1,D1973)),0), FactorTable!$A$2:$A$301,0), Skills!L23+1)</f>
        <v/>
      </c>
      <c r="F1973">
        <f>IF(Skills!M23=TRUE,(Skills!K23/10)*(E1973/1000),Skills!K23/10)+Skills!N23</f>
        <v/>
      </c>
      <c r="G1973">
        <f>Calc!G23</f>
        <v/>
      </c>
      <c r="H1973">
        <f>Calc!H23</f>
        <v/>
      </c>
      <c r="I1973">
        <f>IF(Skills!T23&lt;&gt;"",1+(Skills!T23/10)*(Z1953/1000)/100,1)</f>
        <v/>
      </c>
      <c r="J1973" t="inlineStr"/>
      <c r="K1973" t="inlineStr"/>
      <c r="L1973" t="inlineStr"/>
      <c r="M1973" t="inlineStr"/>
      <c r="N1973" t="inlineStr"/>
      <c r="O1973">
        <f>(1-Summary!$B$11)*S1973+Summary!$B$11*U1973</f>
        <v/>
      </c>
      <c r="P1973">
        <f>IF(B1987=0,0,O1973/B1987)</f>
        <v/>
      </c>
      <c r="Q1973">
        <f>IFERROR(1/IF(Inputs!$B$38="pvp",15,MAX(0.1,Skills!D23-IF(Skills!E23=TRUE,Inputs!$B$32,0))),0)</f>
        <v/>
      </c>
      <c r="R1973" t="n">
        <v>0</v>
      </c>
      <c r="S1973" t="n">
        <v>0</v>
      </c>
      <c r="U1973" t="n">
        <v>0</v>
      </c>
    </row>
    <row r="1974">
      <c r="A1974">
        <f>Skills!A24</f>
        <v/>
      </c>
      <c r="B1974">
        <f>Skills!B24</f>
        <v/>
      </c>
      <c r="C1974">
        <f>TRUE</f>
        <v/>
      </c>
      <c r="D1974">
        <f>IF(Skills!C24=1,60+Inputs!$B$25+Inputs!$B$29,IF(Skills!C24=2,90+Inputs!$B$26+Inputs!$B$29,IF(Skills!C24=3,120+Inputs!$B$27+Inputs!$B$29,MAX(0,(Inputs!$B$3-100)*3)+Inputs!$B$28+Inputs!$B$29)))</f>
        <v/>
      </c>
      <c r="E1974">
        <f>INDEX(FactorTable!$B$2:$Y$301, MATCH(ROUND(MIN(300,MAX(1,D1974)),0), FactorTable!$A$2:$A$301,0), Skills!L24+1)</f>
        <v/>
      </c>
      <c r="F1974">
        <f>IF(Skills!M24=TRUE,(Skills!K24/10)*(E1974/1000),Skills!K24/10)+Skills!N24</f>
        <v/>
      </c>
      <c r="G1974">
        <f>Calc!G24</f>
        <v/>
      </c>
      <c r="H1974">
        <f>Calc!H24</f>
        <v/>
      </c>
      <c r="I1974">
        <f>IF(Skills!T24&lt;&gt;"",1+(Skills!T24/10)*(Z1953/1000)/100,1)</f>
        <v/>
      </c>
      <c r="J1974" t="inlineStr"/>
      <c r="K1974" t="inlineStr"/>
      <c r="L1974" t="inlineStr"/>
      <c r="M1974" t="inlineStr"/>
      <c r="N1974" t="inlineStr"/>
      <c r="O1974">
        <f>(1-Summary!$B$11)*S1974+Summary!$B$11*U1974</f>
        <v/>
      </c>
      <c r="P1974">
        <f>IF(B1987=0,0,O1974/B1987)</f>
        <v/>
      </c>
      <c r="Q1974">
        <f>IFERROR(1/IF(Inputs!$B$38="pvp",15,MAX(0.1,Skills!D24-IF(Skills!E24=TRUE,Inputs!$B$32,0))),0)</f>
        <v/>
      </c>
      <c r="R1974">
        <f>IF(AND(Inputs!$B$38&lt;&gt;"pvp",Inputs!$B$43&gt;0),IF(Inputs!$B$43&lt;=0,0,(INT(Inputs!$B$43/IF(Inputs!$B$38="pvp",15,MAX(0.1,Skills!D24-IF(Skills!E24=TRUE,Inputs!$B$32,0))))+1)),0)</f>
        <v/>
      </c>
      <c r="S1974" t="n">
        <v>0</v>
      </c>
      <c r="U1974" t="n">
        <v>0</v>
      </c>
    </row>
    <row r="1977">
      <c r="A1977" t="inlineStr">
        <is>
          <t>Average Buff Multiplier (Magic Guard + Meditation + Artifact Attack%, summed; then Infinity)</t>
        </is>
      </c>
      <c r="B1977">
        <f>(1+(IF(C1953=TRUE,F1953*IF(AND(Inputs!$B$38&lt;&gt;"pvp",Inputs!$B$43&gt;0),(((R1953-1)*(Skills!S3*(1+(Inputs!$B$34)/100))+MIN((Skills!S3*(1+(Inputs!$B$34)/100)),MAX(0,Inputs!$B$43-((R1953-1)*Skills!D3))))/Inputs!$B$43),IF(Inputs!$B$38="pvp",MIN((Skills!S3*(1+(Inputs!$B$34)/100)),15)/15,(Skills!S3*(1+(Inputs!$B$34)/100))/Skills!D3)),0)+IF(C1954=TRUE,F1954*IF(AND(Inputs!$B$38&lt;&gt;"pvp",Inputs!$B$43&gt;0),(((R1954-1)*(Skills!S4*(1+(Inputs!$B$34)/100))+MIN((Skills!S4*(1+(Inputs!$B$34)/100)),MAX(0,Inputs!$B$43-((R1954-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1966=TRUE,(1+F1966*IF(AND(Inputs!$B$38&lt;&gt;"pvp",Inputs!$B$43&gt;0),(((R1966-1)*(Skills!S16*(1+(Inputs!$B$34)/100))+MIN((Skills!S16*(1+(Inputs!$B$34)/100)),MAX(0,Inputs!$B$43-((R1966-1)*Skills!D16))))/Inputs!$B$43),IF(Inputs!$B$38="pvp",MIN((Skills!S16*(1+(Inputs!$B$34)/100)),15)/15,(Skills!S16*(1+(Inputs!$B$34)/100))/Skills!D16))/100),1)</f>
        <v/>
      </c>
    </row>
    <row r="1978">
      <c r="A1978" t="inlineStr">
        <is>
          <t>Monster Damage Taken Bonus % (Freezing Breath - Weaken + Elemental Reset + Artifact Enemy Damage Taken, summed)</t>
        </is>
      </c>
      <c r="B1978">
        <f>IF(Inputs!$B$3&gt;=118,15*IF(Inputs!$B$38="pvp",MIN((30*(1+(Inputs!$B$34)/100)),15)/15,(30*(1+(Inputs!$B$34)/100))/Skills!D8),0)+IF(C1964=TRUE,F1964,0)+(IF(AND(ArtifactsInput!$M$35,Inputs!$B$4&lt;&gt;"Chapter Hunt"),CHOOSE(ArtifactsInput!$N$35+1,15,18,21,24,27,30)*(1-EXP(-(0.2*B1981)*5)),0)+IF(AND(ArtifactsInput!$M$22,Inputs!$B$4&lt;&gt;"Chapter Hunt"),CHOOSE(ArtifactsInput!$N$22+1,10,12,14,16,18,20)*((0*(((0.15*B1981*5))^0/1)+1*(((0.15*B1981*5))^1/1)+2*(((0.15*B1981*5))^2/2)+3*(((0.15*B1981*5))^3/6)+4*(((0.15*B1981*5))^4/24)+5*(((0.15*B1981*5))^5/120))/((((0.15*B1981*5))^0/1)+(((0.15*B1981*5))^1/1)+(((0.15*B1981*5))^2/2)+(((0.15*B1981*5))^3/6)+(((0.15*B1981*5))^4/24)+(((0.15*B1981*5))^5/120))),0))</f>
        <v/>
      </c>
    </row>
    <row r="1979">
      <c r="A1979" t="inlineStr">
        <is>
          <t>Damage % Bonus (Frozen Break + Frost Clutch, flat)</t>
        </is>
      </c>
      <c r="B1979">
        <f>IF(Inputs!$B$3&gt;=66,15,0)+IF(Inputs!$B$3&gt;=98,10,0)+IF(Inputs!$B$3&gt;=125,20,0)</f>
        <v/>
      </c>
    </row>
    <row r="1980">
      <c r="A1980" t="inlineStr">
        <is>
          <t>Attack Speed Bonus % (MP Eater - MP Boost, always-on + Nimble Feet, duty-cycle averaged)</t>
        </is>
      </c>
      <c r="B1980">
        <f>IF(C1963=TRUE,F1963+(F1967-Calc!F17),0)+((C1974=TRUE)*F1974*IF(AND(Inputs!$B$38&lt;&gt;"pvp",Inputs!$B$43&gt;0),(((R1974-1)*(Skills!S24*(1+(Inputs!$B$34)/100))+MIN((Skills!S24*(1+(Inputs!$B$34)/100)),MAX(0,Inputs!$B$43-((R1974-1)*Skills!D24))))/Inputs!$B$43),IF(Inputs!$B$38="pvp",MIN((Skills!S24*(1+(Inputs!$B$34)/100)),15)/15,(Skills!S24*(1+(Inputs!$B$34)/100))/Skills!D24)))</f>
        <v/>
      </c>
    </row>
    <row r="1981">
      <c r="A1981" t="inlineStr">
        <is>
          <t>Actions Per Second</t>
        </is>
      </c>
      <c r="B1981">
        <f>1+MIN(150,150*(1-(1-(Inputs!$B$11+(ArtifactsInput!$M$15-ArtifactsInput!$M$15)*CHOOSE(ArtifactsInput!$N$15+1,8,9.6,11.2,12.8,14.4,16))/150)*(1-B1980/150)))/100</f>
        <v/>
      </c>
    </row>
    <row r="1982">
      <c r="A1982" t="inlineStr">
        <is>
          <t>Skill + Buff Cast Rate</t>
        </is>
      </c>
      <c r="B1982">
        <f>IF(AND(Inputs!$B$38&lt;&gt;"pvp",Inputs!$B$43&gt;0),SUMPRODUCT((Skills!E2:E24=TRUE)*(C1952:C1974=TRUE)*R1952:R1974)/Inputs!$B$43,SUMPRODUCT((Skills!E2:E24=TRUE)*(C1952:C1974=TRUE)*Q1952:Q1974))</f>
        <v/>
      </c>
    </row>
    <row r="1983">
      <c r="A1983" t="inlineStr">
        <is>
          <t>Chain Lightning Casts Per Second</t>
        </is>
      </c>
      <c r="B1983">
        <f>MAX(0,B1981-B1982)</f>
        <v/>
      </c>
    </row>
    <row r="1984">
      <c r="A1984" t="inlineStr">
        <is>
          <t>Buff-Casting Startup Delay (s, fixed-duration only)</t>
        </is>
      </c>
      <c r="B1984">
        <f>IF(AND(Inputs!$B$38&lt;&gt;"pvp",Inputs!$B$43&gt;0),SUMPRODUCT((Skills!S2:S24&gt;0)*(Skills!E2:E24=TRUE)*(C1952:C1974=TRUE))/B1981,0)</f>
        <v/>
      </c>
    </row>
    <row r="1985">
      <c r="A1985" t="inlineStr">
        <is>
          <t>Boss-Only Total DPS (this block's swept value)</t>
        </is>
      </c>
      <c r="B1985">
        <f>SUM(S1952:S1974)</f>
        <v/>
      </c>
    </row>
    <row r="1986">
      <c r="A1986" t="inlineStr">
        <is>
          <t>Normal-Only Total DPS (this block's swept value)</t>
        </is>
      </c>
      <c r="B1986">
        <f>SUM(U1952:U1974)</f>
        <v/>
      </c>
    </row>
    <row r="1987">
      <c r="A1987" s="6" t="inlineStr">
        <is>
          <t>TOTAL DPS</t>
        </is>
      </c>
      <c r="B1987" s="6">
        <f>SUM(O1952:O1974)</f>
        <v/>
      </c>
    </row>
    <row r="1990">
      <c r="A1990" s="6" t="inlineStr">
        <is>
          <t>Stat: Ancient Text Piece (Equip)</t>
        </is>
      </c>
    </row>
    <row r="1991">
      <c r="A1991" s="5" t="inlineStr">
        <is>
          <t>Key</t>
        </is>
      </c>
      <c r="B1991" s="5" t="inlineStr">
        <is>
          <t>Name</t>
        </is>
      </c>
      <c r="C1991" s="5" t="inlineStr">
        <is>
          <t>Unlocked</t>
        </is>
      </c>
      <c r="D1991" s="5" t="inlineStr">
        <is>
          <t>InputLevel</t>
        </is>
      </c>
      <c r="E1991" s="5" t="inlineStr">
        <is>
          <t>Factor</t>
        </is>
      </c>
      <c r="F1991" s="5" t="inlineStr">
        <is>
          <t>CoefficientPercent</t>
        </is>
      </c>
      <c r="G1991" s="5" t="inlineStr">
        <is>
          <t>EffectiveHits</t>
        </is>
      </c>
      <c r="H1991" s="5" t="inlineStr">
        <is>
          <t>ProcProbability</t>
        </is>
      </c>
      <c r="I1991" s="5" t="inlineStr">
        <is>
          <t>MapleHeroMultiplier</t>
        </is>
      </c>
      <c r="J1991" s="5" t="inlineStr">
        <is>
          <t>BaseDamage</t>
        </is>
      </c>
      <c r="K1991" s="5" t="inlineStr">
        <is>
          <t>BaseHitDamage</t>
        </is>
      </c>
      <c r="L1991" s="5" t="inlineStr">
        <is>
          <t>NonCritAvg</t>
        </is>
      </c>
      <c r="M1991" s="5" t="inlineStr">
        <is>
          <t>CritAvg</t>
        </is>
      </c>
      <c r="N1991" s="5" t="inlineStr">
        <is>
          <t>ExpectedDamage(perHit)</t>
        </is>
      </c>
      <c r="O1991" s="5" t="inlineStr">
        <is>
          <t>DPS</t>
        </is>
      </c>
      <c r="P1991" s="5" t="inlineStr">
        <is>
          <t>% of Total</t>
        </is>
      </c>
      <c r="R1991" t="inlineStr">
        <is>
          <t>helpers</t>
        </is>
      </c>
    </row>
    <row r="1992">
      <c r="A1992">
        <f>Skills!A2</f>
        <v/>
      </c>
      <c r="B1992">
        <f>Skills!B2</f>
        <v/>
      </c>
      <c r="C1992">
        <f>Inputs!$B$3&gt;=100</f>
        <v/>
      </c>
      <c r="D1992" t="inlineStr"/>
      <c r="E1992" t="inlineStr"/>
      <c r="F1992">
        <f>T1994+Skills!N2</f>
        <v/>
      </c>
      <c r="G1992">
        <f>Calc!G2</f>
        <v/>
      </c>
      <c r="H1992">
        <f>Calc!H2</f>
        <v/>
      </c>
      <c r="I1992">
        <f>IF(Skills!T2&lt;&gt;"",1+(Skills!T2/10)*(Z1993/1000)/100,1)</f>
        <v/>
      </c>
      <c r="J1992">
        <f>((Inputs!$B$6*(1+Inputs!$B$7/100))+(((Inputs!$B$12*(1+Inputs!$B$13/100))-(Inputs!$B$12*(1+Inputs!$B$13/100)))+0.25*(Inputs!$B$14-Inputs!$B$14))*(1+Inputs!$B$7/100))*(F1992/100)</f>
        <v/>
      </c>
      <c r="K1992">
        <f>J1992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2="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F2008-Calc!F18),(Inputs!$B$23+(IF(ArtifactsInput!$M$15,CHOOSE(ArtifactsInput!$N$15+1,25,30,35,40,45,50)/100*(Inputs!$B$11-Inputs!$B$11),0))))/100+(Inputs!$B$23+(IF(ArtifactsInput!$M$15,CHOOSE(ArtifactsInput!$N$15+1,25,30,35,40,45,50)/100*(Inputs!$B$11-Inputs!$B$11),0)))/100)/2</f>
        <v/>
      </c>
      <c r="M1992">
        <f>L1992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(1-Summary!$B$11)*S1992+Summary!$B$11*U1992</f>
        <v/>
      </c>
      <c r="P1992">
        <f>IF(B2027=0,0,O1992/B2027)</f>
        <v/>
      </c>
      <c r="Q1992">
        <f>IFERROR(1/IF(Inputs!$B$38="pvp",15,MAX(0.1,Skills!D2-IF(Skills!E2=TRUE,Inputs!$B$32,0))),0)</f>
        <v/>
      </c>
      <c r="R1992" t="n">
        <v>0</v>
      </c>
      <c r="S1992">
        <f>IF(C1992,(Skills!F2*N1992*B2023)*IF(Inputs!$B$38="pvp",1,1+(Inputs!$B$20+Skills!O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1992*(1-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92">
        <f>MAX(0,(Inputs!$B$3-100)*3)+Inputs!$B$28+Inputs!$B$29</f>
        <v/>
      </c>
      <c r="U1992">
        <f>IF(C1992,(Skills!F2*N1992*B2023)*IF(Inputs!$B$38="pvp",1,(1+(Inputs!$B$21+Skills!P2+B2018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92">
        <f>MAX(0,(Inputs!$B$3-100)*3)+Inputs!$B$28+Inputs!$B$29</f>
        <v/>
      </c>
    </row>
    <row r="1993">
      <c r="A1993">
        <f>Skills!A3</f>
        <v/>
      </c>
      <c r="B1993">
        <f>Skills!B3</f>
        <v/>
      </c>
      <c r="C1993">
        <f>Inputs!$B$3&gt;=15</f>
        <v/>
      </c>
      <c r="D1993">
        <f>IF(Skills!C3=1,60+Inputs!$B$25+Inputs!$B$29,IF(Skills!C3=2,90+Inputs!$B$26+Inputs!$B$29,IF(Skills!C3=3,120+Inputs!$B$27+Inputs!$B$29,MAX(0,(Inputs!$B$3-100)*3)+Inputs!$B$28+Inputs!$B$29)))</f>
        <v/>
      </c>
      <c r="E1993">
        <f>INDEX(FactorTable!$B$2:$Y$301, MATCH(ROUND(MIN(300,MAX(1,D1993)),0), FactorTable!$A$2:$A$301,0), Skills!L3+1)</f>
        <v/>
      </c>
      <c r="F1993">
        <f>IF(Skills!M3=TRUE,(Skills!K3/10)*(E1993/1000),Skills!K3/10)+Skills!N3</f>
        <v/>
      </c>
      <c r="G1993">
        <f>Calc!G3</f>
        <v/>
      </c>
      <c r="H1993">
        <f>Calc!H3</f>
        <v/>
      </c>
      <c r="I1993">
        <f>IF(Skills!T3&lt;&gt;"",1+(Skills!T3/10)*(Z1993/1000)/100,1)</f>
        <v/>
      </c>
      <c r="J1993" t="inlineStr"/>
      <c r="K1993" t="inlineStr"/>
      <c r="L1993" t="inlineStr"/>
      <c r="M1993" t="inlineStr"/>
      <c r="N1993" t="inlineStr"/>
      <c r="O1993">
        <f>(1-Summary!$B$11)*S1993+Summary!$B$11*U1993</f>
        <v/>
      </c>
      <c r="P1993">
        <f>IF(B2027=0,0,O1993/B2027)</f>
        <v/>
      </c>
      <c r="Q1993">
        <f>IFERROR(1/IF(Inputs!$B$38="pvp",15,MAX(0.1,Skills!D3-IF(Skills!E3=TRUE,Inputs!$B$32,0))),0)</f>
        <v/>
      </c>
      <c r="R1993">
        <f>IF(AND(Inputs!$B$38&lt;&gt;"pvp",Inputs!$B$43&gt;0),IF(Inputs!$B$43&lt;=0,0,(INT(Inputs!$B$43/IF(Inputs!$B$38="pvp",15,MAX(0.1,Skills!D3-IF(Skills!E3=TRUE,Inputs!$B$32,0))))+1)),0)</f>
        <v/>
      </c>
      <c r="S1993" t="n">
        <v>0</v>
      </c>
      <c r="T1993">
        <f>INDEX(FactorTable!$B$2:$Y$301, MATCH(ROUND(MIN(300,MAX(1,T1992)),0), FactorTable!$A$2:$A$301,0), 22)</f>
        <v/>
      </c>
      <c r="U1993" t="n">
        <v>0</v>
      </c>
      <c r="Z1993">
        <f>INDEX(FactorTable!$B$2:$Y$301, MATCH(ROUND(MIN(300,MAX(1,Z1992)),0), FactorTable!$A$2:$A$301,0), 24)</f>
        <v/>
      </c>
    </row>
    <row r="1994">
      <c r="A1994">
        <f>Skills!A4</f>
        <v/>
      </c>
      <c r="B1994">
        <f>Skills!B4</f>
        <v/>
      </c>
      <c r="C1994">
        <f>Inputs!$B$3&gt;=40</f>
        <v/>
      </c>
      <c r="D1994">
        <f>IF(Skills!C4=1,60+Inputs!$B$25+Inputs!$B$29,IF(Skills!C4=2,90+Inputs!$B$26+Inputs!$B$29,IF(Skills!C4=3,120+Inputs!$B$27+Inputs!$B$29,MAX(0,(Inputs!$B$3-100)*3)+Inputs!$B$28+Inputs!$B$29)))</f>
        <v/>
      </c>
      <c r="E1994">
        <f>INDEX(FactorTable!$B$2:$Y$301, MATCH(ROUND(MIN(300,MAX(1,D1994)),0), FactorTable!$A$2:$A$301,0), Skills!L4+1)</f>
        <v/>
      </c>
      <c r="F1994">
        <f>IF(Skills!M4=TRUE,(Skills!K4/10)*(E1994/1000),Skills!K4/10)+Skills!N4</f>
        <v/>
      </c>
      <c r="G1994">
        <f>Calc!G4</f>
        <v/>
      </c>
      <c r="H1994">
        <f>Calc!H4</f>
        <v/>
      </c>
      <c r="I1994">
        <f>IF(Skills!T4&lt;&gt;"",1+(Skills!T4/10)*(Z1993/1000)/100,1)</f>
        <v/>
      </c>
      <c r="J1994" t="inlineStr"/>
      <c r="K1994" t="inlineStr"/>
      <c r="L1994" t="inlineStr"/>
      <c r="M1994" t="inlineStr"/>
      <c r="N1994" t="inlineStr"/>
      <c r="O1994">
        <f>(1-Summary!$B$11)*S1994+Summary!$B$11*U1994</f>
        <v/>
      </c>
      <c r="P1994">
        <f>IF(B2027=0,0,O1994/B2027)</f>
        <v/>
      </c>
      <c r="Q1994">
        <f>IFERROR(1/IF(Inputs!$B$38="pvp",15,MAX(0.1,Skills!D4-IF(Skills!E4=TRUE,Inputs!$B$32,0))),0)</f>
        <v/>
      </c>
      <c r="R1994">
        <f>IF(AND(Inputs!$B$38&lt;&gt;"pvp",Inputs!$B$43&gt;0),IF(Inputs!$B$43&lt;=0,0,(INT(Inputs!$B$43/IF(Inputs!$B$38="pvp",15,MAX(0.1,Skills!D4-IF(Skills!E4=TRUE,Inputs!$B$32,0))))+1)),0)</f>
        <v/>
      </c>
      <c r="S1994" t="n">
        <v>0</v>
      </c>
      <c r="T1994">
        <f>290*T1993/1000</f>
        <v/>
      </c>
      <c r="U1994" t="n">
        <v>0</v>
      </c>
    </row>
    <row r="1995">
      <c r="A1995">
        <f>Skills!A5</f>
        <v/>
      </c>
      <c r="B1995">
        <f>Skills!B5</f>
        <v/>
      </c>
      <c r="C1995">
        <f>Inputs!$B$3&gt;=38</f>
        <v/>
      </c>
      <c r="D1995">
        <f>IF(Skills!C5=1,60+Inputs!$B$25+Inputs!$B$29,IF(Skills!C5=2,90+Inputs!$B$26+Inputs!$B$29,IF(Skills!C5=3,120+Inputs!$B$27+Inputs!$B$29,MAX(0,(Inputs!$B$3-100)*3)+Inputs!$B$28+Inputs!$B$29)))</f>
        <v/>
      </c>
      <c r="E1995">
        <f>INDEX(FactorTable!$B$2:$Y$301, MATCH(ROUND(MIN(300,MAX(1,D1995)),0), FactorTable!$A$2:$A$301,0), Skills!L5+1)</f>
        <v/>
      </c>
      <c r="F1995">
        <f>IF(Skills!M5=TRUE,(Skills!K5/10)*(E1995/1000),Skills!K5/10)+Skills!N5</f>
        <v/>
      </c>
      <c r="G1995">
        <f>Calc!G5</f>
        <v/>
      </c>
      <c r="H1995">
        <f>Calc!H5</f>
        <v/>
      </c>
      <c r="I1995">
        <f>IF(Skills!T5&lt;&gt;"",1+(Skills!T5/10)*(Z1993/1000)/100,1)</f>
        <v/>
      </c>
      <c r="J1995">
        <f>((Inputs!$B$6*(1+Inputs!$B$7/100))+(((Inputs!$B$12*(1+Inputs!$B$13/100))-(Inputs!$B$12*(1+Inputs!$B$13/100)))+0.25*(Inputs!$B$14-Inputs!$B$14))*(1+Inputs!$B$7/100))*(F1995/100)</f>
        <v/>
      </c>
      <c r="K1995">
        <f>J1995*(1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5="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F2008-Calc!F18),(Inputs!$B$23+(IF(ArtifactsInput!$M$15,CHOOSE(ArtifactsInput!$N$15+1,25,30,35,40,45,50)/100*(Inputs!$B$11-Inputs!$B$11),0))))/100+(Inputs!$B$23+(IF(ArtifactsInput!$M$15,CHOOSE(ArtifactsInput!$N$15+1,25,30,35,40,45,50)/100*(Inputs!$B$11-Inputs!$B$11),0)))/100)/2</f>
        <v/>
      </c>
      <c r="M1995">
        <f>L1995*(1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(1-Summary!$B$11)*S1995+Summary!$B$11*U1995</f>
        <v/>
      </c>
      <c r="P1995">
        <f>IF(B2027=0,0,O1995/B2027)</f>
        <v/>
      </c>
      <c r="Q1995">
        <f>IFERROR(1/IF(Inputs!$B$38="pvp",15,MAX(0.1,Skills!D5-IF(Skills!E5=TRUE,Inputs!$B$32,0))),0)</f>
        <v/>
      </c>
      <c r="R1995">
        <f>IF(AND(Inputs!$B$38&lt;&gt;"pvp",Inputs!$B$43&gt;0),IF(MAX(0,Inputs!$B$43-B2024)&lt;=0,0,(INT(MAX(0,Inputs!$B$43-B2024)/IF(Inputs!$B$38="pvp",15,MAX(0.1,Skills!D5-IF(Skills!E5=TRUE,Inputs!$B$32,0))))+1)),0)</f>
        <v/>
      </c>
      <c r="S1995">
        <f>IF(C1995,(H1995*N1995*IF(AND(Inputs!$B$38&lt;&gt;"pvp",Inputs!$B$43&gt;0),((Skills!F5*((R1995-1)*IF(Skills!G5&gt;0,Skills!H5/Skills!G5,1)+IF(Skills!G5&gt;0,MIN(Skills!H5,MAX(0,MAX(0,Inputs!$B$43-B2024)-((R1995-1)*IF(Inputs!$B$38="pvp",15,MAX(0.1,Skills!D5-IF(Skills!E5=TRUE,Inputs!$B$32,0))))))/Skills!G5,1)))/Inputs!$B$43),G1995*Q1995))*IF(Inputs!$B$38="pvp",1,1+(Inputs!$B$20+Skills!O5+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1995*(1-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IF(C1995,(H1995*N1995*IF(AND(Inputs!$B$38&lt;&gt;"pvp",Inputs!$B$43&gt;0),((Skills!F5*((R1995-1)*IF(Skills!G5&gt;0,Skills!H5/Skills!G5,1)+IF(Skills!G5&gt;0,MIN(Skills!H5,MAX(0,MAX(0,Inputs!$B$43-B2024)-((R1995-1)*IF(Inputs!$B$38="pvp",15,MAX(0.1,Skills!D5-IF(Skills!E5=TRUE,Inputs!$B$32,0))))))/Skills!G5,1)))/Inputs!$B$43),G1995*Q1995))*IF(Inputs!$B$38="pvp",1,(1+(Inputs!$B$21+Skills!P5+B2018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Skills!A6</f>
        <v/>
      </c>
      <c r="B1996">
        <f>Skills!B6</f>
        <v/>
      </c>
      <c r="C1996">
        <f>Inputs!$B$3&gt;=63</f>
        <v/>
      </c>
      <c r="D1996">
        <f>IF(Skills!C6=1,60+Inputs!$B$25+Inputs!$B$29,IF(Skills!C6=2,90+Inputs!$B$26+Inputs!$B$29,IF(Skills!C6=3,120+Inputs!$B$27+Inputs!$B$29,MAX(0,(Inputs!$B$3-100)*3)+Inputs!$B$28+Inputs!$B$29)))</f>
        <v/>
      </c>
      <c r="E1996">
        <f>INDEX(FactorTable!$B$2:$Y$301, MATCH(ROUND(MIN(300,MAX(1,D1996)),0), FactorTable!$A$2:$A$301,0), Skills!L6+1)</f>
        <v/>
      </c>
      <c r="F1996">
        <f>IF(Skills!M6=TRUE,(Skills!K6/10)*(E1996/1000),Skills!K6/10)+Skills!N6</f>
        <v/>
      </c>
      <c r="G1996">
        <f>Calc!G6</f>
        <v/>
      </c>
      <c r="H1996">
        <f>Calc!H6</f>
        <v/>
      </c>
      <c r="I1996">
        <f>IF(Skills!T6&lt;&gt;"",1+(Skills!T6/10)*(Z1993/1000)/100,1)</f>
        <v/>
      </c>
      <c r="J1996">
        <f>((Inputs!$B$6*(1+Inputs!$B$7/100))+(((Inputs!$B$12*(1+Inputs!$B$13/100))-(Inputs!$B$12*(1+Inputs!$B$13/100)))+0.25*(Inputs!$B$14-Inputs!$B$14))*(1+Inputs!$B$7/100))*(F1996/100)</f>
        <v/>
      </c>
      <c r="K1996">
        <f>J1996*(1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6="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F2008-Calc!F18),(Inputs!$B$23+(IF(ArtifactsInput!$M$15,CHOOSE(ArtifactsInput!$N$15+1,25,30,35,40,45,50)/100*(Inputs!$B$11-Inputs!$B$11),0))))/100+(Inputs!$B$23+(IF(ArtifactsInput!$M$15,CHOOSE(ArtifactsInput!$N$15+1,25,30,35,40,45,50)/100*(Inputs!$B$11-Inputs!$B$11),0)))/100)/2</f>
        <v/>
      </c>
      <c r="M1996">
        <f>L1996*(1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(1-Summary!$B$11)*S1996+Summary!$B$11*U1996</f>
        <v/>
      </c>
      <c r="P1996">
        <f>IF(B2027=0,0,O1996/B2027)</f>
        <v/>
      </c>
      <c r="Q1996">
        <f>IFERROR(1/IF(Inputs!$B$38="pvp",15,MAX(0.1,Skills!D6-IF(Skills!E6=TRUE,Inputs!$B$32,0))),0)</f>
        <v/>
      </c>
      <c r="R1996">
        <f>IF(AND(Inputs!$B$38&lt;&gt;"pvp",Inputs!$B$43&gt;0),IF(MAX(0,Inputs!$B$43-B2024)&lt;=0,0,(INT(MAX(0,Inputs!$B$43-B2024)/IF(Inputs!$B$38="pvp",15,MAX(0.1,Skills!D6-IF(Skills!E6=TRUE,Inputs!$B$32,0))))+1)),0)</f>
        <v/>
      </c>
      <c r="S1996">
        <f>IF(C1996,(H1996*N1996*IF(AND(Inputs!$B$38&lt;&gt;"pvp",Inputs!$B$43&gt;0),((Skills!F6*((R1996-1)*IF(Skills!G6&gt;0,Skills!H6/Skills!G6,1)+IF(Skills!G6&gt;0,MIN(Skills!H6,MAX(0,MAX(0,Inputs!$B$43-B2024)-((R1996-1)*IF(Inputs!$B$38="pvp",15,MAX(0.1,Skills!D6-IF(Skills!E6=TRUE,Inputs!$B$32,0))))))/Skills!G6,1)))/Inputs!$B$43),G1996*Q1996))*IF(Inputs!$B$38="pvp",1,1+(Inputs!$B$20+Skills!O6+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1996*(1-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6">
        <f>IF(C1996,(H1996*N1996*IF(AND(Inputs!$B$38&lt;&gt;"pvp",Inputs!$B$43&gt;0),((Skills!F6*((R1996-1)*IF(Skills!G6&gt;0,Skills!H6/Skills!G6,1)+IF(Skills!G6&gt;0,MIN(Skills!H6,MAX(0,MAX(0,Inputs!$B$43-B2024)-((R1996-1)*IF(Inputs!$B$38="pvp",15,MAX(0.1,Skills!D6-IF(Skills!E6=TRUE,Inputs!$B$32,0))))))/Skills!G6,1)))/Inputs!$B$43),G1996*Q1996))*IF(Inputs!$B$38="pvp",1,(1+(Inputs!$B$21+Skills!P6+B2018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Skills!A7</f>
        <v/>
      </c>
      <c r="B1997">
        <f>Skills!B7</f>
        <v/>
      </c>
      <c r="C1997">
        <f>Inputs!$B$3&gt;=69</f>
        <v/>
      </c>
      <c r="D1997">
        <f>IF(Skills!C7=1,60+Inputs!$B$25+Inputs!$B$29,IF(Skills!C7=2,90+Inputs!$B$26+Inputs!$B$29,IF(Skills!C7=3,120+Inputs!$B$27+Inputs!$B$29,MAX(0,(Inputs!$B$3-100)*3)+Inputs!$B$28+Inputs!$B$29)))</f>
        <v/>
      </c>
      <c r="E1997">
        <f>INDEX(FactorTable!$B$2:$Y$301, MATCH(ROUND(MIN(300,MAX(1,D1997)),0), FactorTable!$A$2:$A$301,0), Skills!L7+1)</f>
        <v/>
      </c>
      <c r="F1997">
        <f>IF(Skills!M7=TRUE,(Skills!K7/10)*(E1997/1000),Skills!K7/10)+Skills!N7</f>
        <v/>
      </c>
      <c r="G1997">
        <f>Calc!G7</f>
        <v/>
      </c>
      <c r="H1997">
        <f>Calc!H7</f>
        <v/>
      </c>
      <c r="I1997">
        <f>IF(Skills!T7&lt;&gt;"",1+(Skills!T7/10)*(Z1993/1000)/100,1)</f>
        <v/>
      </c>
      <c r="J1997">
        <f>((Inputs!$B$6*(1+Inputs!$B$7/100))+(((Inputs!$B$12*(1+Inputs!$B$13/100))-(Inputs!$B$12*(1+Inputs!$B$13/100)))+0.25*(Inputs!$B$14-Inputs!$B$14))*(1+Inputs!$B$7/100))*(F1997/100)</f>
        <v/>
      </c>
      <c r="K1997">
        <f>J1997*(1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7="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F2008-Calc!F18),(Inputs!$B$23+(IF(ArtifactsInput!$M$15,CHOOSE(ArtifactsInput!$N$15+1,25,30,35,40,45,50)/100*(Inputs!$B$11-Inputs!$B$11),0))))/100+(Inputs!$B$23+(IF(ArtifactsInput!$M$15,CHOOSE(ArtifactsInput!$N$15+1,25,30,35,40,45,50)/100*(Inputs!$B$11-Inputs!$B$11),0)))/100)/2</f>
        <v/>
      </c>
      <c r="M1997">
        <f>L1997*(1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(1-Summary!$B$11)*S1997+Summary!$B$11*U1997</f>
        <v/>
      </c>
      <c r="P1997">
        <f>IF(B2027=0,0,O1997/B2027)</f>
        <v/>
      </c>
      <c r="Q1997">
        <f>IFERROR(1/IF(Inputs!$B$38="pvp",15,MAX(0.1,Skills!D7-IF(Skills!E7=TRUE,Inputs!$B$32,0))),0)</f>
        <v/>
      </c>
      <c r="R1997">
        <f>IF(AND(Inputs!$B$38&lt;&gt;"pvp",Inputs!$B$43&gt;0),IF(MAX(0,Inputs!$B$43-B2024)&lt;=0,0,(INT(MAX(0,Inputs!$B$43-B2024)/IF(Inputs!$B$38="pvp",15,MAX(0.1,Skills!D7-IF(Skills!E7=TRUE,Inputs!$B$32,0))))+1)),0)</f>
        <v/>
      </c>
      <c r="S1997">
        <f>IF(C1997,(H1997*N1997*IF(AND(Inputs!$B$38&lt;&gt;"pvp",Inputs!$B$43&gt;0),((Skills!F7*((R1997-1)*IF(Skills!G7&gt;0,Skills!H7/Skills!G7,1)+IF(Skills!G7&gt;0,MIN(Skills!H7,MAX(0,MAX(0,Inputs!$B$43-B2024)-((R1997-1)*IF(Inputs!$B$38="pvp",15,MAX(0.1,Skills!D7-IF(Skills!E7=TRUE,Inputs!$B$32,0))))))/Skills!G7,1)))/Inputs!$B$43),G1997*Q1997))*IF(Inputs!$B$38="pvp",1,1+(Inputs!$B$20+Skills!O7+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1997*(1-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7">
        <f>IF(C1997,(H1997*N1997*IF(AND(Inputs!$B$38&lt;&gt;"pvp",Inputs!$B$43&gt;0),((Skills!F7*((R1997-1)*IF(Skills!G7&gt;0,Skills!H7/Skills!G7,1)+IF(Skills!G7&gt;0,MIN(Skills!H7,MAX(0,MAX(0,Inputs!$B$43-B2024)-((R1997-1)*IF(Inputs!$B$38="pvp",15,MAX(0.1,Skills!D7-IF(Skills!E7=TRUE,Inputs!$B$32,0))))))/Skills!G7,1)))/Inputs!$B$43),G1997*Q1997))*IF(Inputs!$B$38="pvp",1,(1+(Inputs!$B$21+Skills!P7+B2018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Skills!A8</f>
        <v/>
      </c>
      <c r="B1998">
        <f>Skills!B8</f>
        <v/>
      </c>
      <c r="C1998">
        <f>Inputs!$B$3&gt;=103</f>
        <v/>
      </c>
      <c r="D1998">
        <f>IF(Skills!C8=1,60+Inputs!$B$25+Inputs!$B$29,IF(Skills!C8=2,90+Inputs!$B$26+Inputs!$B$29,IF(Skills!C8=3,120+Inputs!$B$27+Inputs!$B$29,MAX(0,(Inputs!$B$3-100)*3)+Inputs!$B$28+Inputs!$B$29)))</f>
        <v/>
      </c>
      <c r="E1998">
        <f>INDEX(FactorTable!$B$2:$Y$301, MATCH(ROUND(MIN(300,MAX(1,D1998)),0), FactorTable!$A$2:$A$301,0), Skills!L8+1)</f>
        <v/>
      </c>
      <c r="F1998">
        <f>IF(Skills!M8=TRUE,(Skills!K8/10)*(E1998/1000),Skills!K8/10)+Skills!N8</f>
        <v/>
      </c>
      <c r="G1998">
        <f>Calc!G8</f>
        <v/>
      </c>
      <c r="H1998">
        <f>Calc!H8</f>
        <v/>
      </c>
      <c r="I1998">
        <f>IF(Skills!T8&lt;&gt;"",1+(Skills!T8/10)*(Z1993/1000)/100,1)</f>
        <v/>
      </c>
      <c r="J1998">
        <f>((Inputs!$B$6*(1+Inputs!$B$7/100))+(((Inputs!$B$12*(1+Inputs!$B$13/100))-(Inputs!$B$12*(1+Inputs!$B$13/100)))+0.25*(Inputs!$B$14-Inputs!$B$14))*(1+Inputs!$B$7/100))*(F1998/100)</f>
        <v/>
      </c>
      <c r="K1998">
        <f>J1998*(1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8="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F2008-Calc!F18),(Inputs!$B$23+(IF(ArtifactsInput!$M$15,CHOOSE(ArtifactsInput!$N$15+1,25,30,35,40,45,50)/100*(Inputs!$B$11-Inputs!$B$11),0))))/100+(Inputs!$B$23+(IF(ArtifactsInput!$M$15,CHOOSE(ArtifactsInput!$N$15+1,25,30,35,40,45,50)/100*(Inputs!$B$11-Inputs!$B$11),0)))/100)/2</f>
        <v/>
      </c>
      <c r="M1998">
        <f>L1998*(1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(1-Summary!$B$11)*S1998+Summary!$B$11*U1998</f>
        <v/>
      </c>
      <c r="P1998">
        <f>IF(B2027=0,0,O1998/B2027)</f>
        <v/>
      </c>
      <c r="Q1998">
        <f>IFERROR(1/IF(Inputs!$B$38="pvp",15,MAX(0.1,Skills!D8-IF(Skills!E8=TRUE,Inputs!$B$32,0))),0)</f>
        <v/>
      </c>
      <c r="R1998">
        <f>IF(AND(Inputs!$B$38&lt;&gt;"pvp",Inputs!$B$43&gt;0),IF(MAX(0,Inputs!$B$43-B2024)&lt;=0,0,(INT(MAX(0,Inputs!$B$43-B2024)/IF(Inputs!$B$38="pvp",15,MAX(0.1,Skills!D8-IF(Skills!E8=TRUE,Inputs!$B$32,0))))+1)),0)</f>
        <v/>
      </c>
      <c r="S1998">
        <f>IF(C1998,(H1998*N1998*IF(AND(Inputs!$B$38&lt;&gt;"pvp",Inputs!$B$43&gt;0),((Skills!F8*((R1998-1)*IF(Skills!G8&gt;0,Skills!H8/Skills!G8,1)+IF(Skills!G8&gt;0,MIN(Skills!H8,MAX(0,MAX(0,Inputs!$B$43-B2024)-((R1998-1)*IF(Inputs!$B$38="pvp",15,MAX(0.1,Skills!D8-IF(Skills!E8=TRUE,Inputs!$B$32,0))))))/Skills!G8,1)))/Inputs!$B$43),G1998*Q1998))*IF(Inputs!$B$38="pvp",1,1+(Inputs!$B$20+Skills!O8+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1998*(1-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8">
        <f>IF(C1998,(H1998*N1998*IF(AND(Inputs!$B$38&lt;&gt;"pvp",Inputs!$B$43&gt;0),((Skills!F8*((R1998-1)*IF(Skills!G8&gt;0,Skills!H8/Skills!G8,1)+IF(Skills!G8&gt;0,MIN(Skills!H8,MAX(0,MAX(0,Inputs!$B$43-B2024)-((R1998-1)*IF(Inputs!$B$38="pvp",15,MAX(0.1,Skills!D8-IF(Skills!E8=TRUE,Inputs!$B$32,0))))))/Skills!G8,1)))/Inputs!$B$43),G1998*Q1998))*IF(Inputs!$B$38="pvp",1,(1+(Inputs!$B$21+Skills!P8+B2018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Skills!A9</f>
        <v/>
      </c>
      <c r="B1999">
        <f>Skills!B9</f>
        <v/>
      </c>
      <c r="C1999">
        <f>Inputs!$B$3&gt;=105</f>
        <v/>
      </c>
      <c r="D1999">
        <f>IF(Skills!C9=1,60+Inputs!$B$25+Inputs!$B$29,IF(Skills!C9=2,90+Inputs!$B$26+Inputs!$B$29,IF(Skills!C9=3,120+Inputs!$B$27+Inputs!$B$29,MAX(0,(Inputs!$B$3-100)*3)+Inputs!$B$28+Inputs!$B$29)))</f>
        <v/>
      </c>
      <c r="E1999">
        <f>INDEX(FactorTable!$B$2:$Y$301, MATCH(ROUND(MIN(300,MAX(1,D1999)),0), FactorTable!$A$2:$A$301,0), Skills!L9+1)</f>
        <v/>
      </c>
      <c r="F1999">
        <f>IF(Skills!M9=TRUE,(Skills!K9/10)*(E1999/1000),Skills!K9/10)+Skills!N9</f>
        <v/>
      </c>
      <c r="G1999">
        <f>Calc!G9</f>
        <v/>
      </c>
      <c r="H1999">
        <f>Calc!H9</f>
        <v/>
      </c>
      <c r="I1999">
        <f>IF(Skills!T9&lt;&gt;"",1+(Skills!T9/10)*(Z1993/1000)/100,1)</f>
        <v/>
      </c>
      <c r="J1999">
        <f>((Inputs!$B$6*(1+Inputs!$B$7/100))+(((Inputs!$B$12*(1+Inputs!$B$13/100))-(Inputs!$B$12*(1+Inputs!$B$13/100)))+0.25*(Inputs!$B$14-Inputs!$B$14))*(1+Inputs!$B$7/100))*(F1999/100)</f>
        <v/>
      </c>
      <c r="K1999">
        <f>J1999*(1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9="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F2008-Calc!F18),(Inputs!$B$23+(IF(ArtifactsInput!$M$15,CHOOSE(ArtifactsInput!$N$15+1,25,30,35,40,45,50)/100*(Inputs!$B$11-Inputs!$B$11),0))))/100+(Inputs!$B$23+(IF(ArtifactsInput!$M$15,CHOOSE(ArtifactsInput!$N$15+1,25,30,35,40,45,50)/100*(Inputs!$B$11-Inputs!$B$11),0)))/100)/2</f>
        <v/>
      </c>
      <c r="M1999">
        <f>L1999*(1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(1-Summary!$B$11)*S1999+Summary!$B$11*U1999</f>
        <v/>
      </c>
      <c r="P1999">
        <f>IF(B2027=0,0,O1999/B2027)</f>
        <v/>
      </c>
      <c r="Q1999">
        <f>IFERROR(1/IF(Inputs!$B$38="pvp",15,MAX(0.1,Skills!D9-IF(Skills!E9=TRUE,Inputs!$B$32,0))),0)</f>
        <v/>
      </c>
      <c r="R1999">
        <f>IF(AND(Inputs!$B$38&lt;&gt;"pvp",Inputs!$B$43&gt;0),IF(MAX(0,Inputs!$B$43-B2024)&lt;=0,0,(INT(MAX(0,Inputs!$B$43-B2024)/IF(Inputs!$B$38="pvp",15,MAX(0.1,Skills!D9-IF(Skills!E9=TRUE,Inputs!$B$32,0))))+1)),0)</f>
        <v/>
      </c>
      <c r="S1999">
        <f>IF(C1999,(H1999*N1999*IF(AND(Inputs!$B$38&lt;&gt;"pvp",Inputs!$B$43&gt;0),((Skills!F9*((R1999-1)*IF(Skills!G9&gt;0,Skills!H9/Skills!G9,1)+IF(Skills!G9&gt;0,MIN(Skills!H9,MAX(0,MAX(0,Inputs!$B$43-B2024)-((R1999-1)*IF(Inputs!$B$38="pvp",15,MAX(0.1,Skills!D9-IF(Skills!E9=TRUE,Inputs!$B$32,0))))))/Skills!G9,1)))/Inputs!$B$43),G1999*Q1999))*IF(Inputs!$B$38="pvp",1,1+(Inputs!$B$20+Skills!O9+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1999*(1-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9">
        <f>IF(C1999,(H1999*N1999*IF(AND(Inputs!$B$38&lt;&gt;"pvp",Inputs!$B$43&gt;0),((Skills!F9*((R1999-1)*IF(Skills!G9&gt;0,Skills!H9/Skills!G9,1)+IF(Skills!G9&gt;0,MIN(Skills!H9,MAX(0,MAX(0,Inputs!$B$43-B2024)-((R1999-1)*IF(Inputs!$B$38="pvp",15,MAX(0.1,Skills!D9-IF(Skills!E9=TRUE,Inputs!$B$32,0))))))/Skills!G9,1)))/Inputs!$B$43),G1999*Q1999))*IF(Inputs!$B$38="pvp",1,(1+(Inputs!$B$21+Skills!P9+B2018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Skills!A10</f>
        <v/>
      </c>
      <c r="B2000">
        <f>Skills!B10</f>
        <v/>
      </c>
      <c r="C2000">
        <f>Inputs!$B$3&gt;=113</f>
        <v/>
      </c>
      <c r="D2000">
        <f>IF(Skills!C10=1,60+Inputs!$B$25+Inputs!$B$29,IF(Skills!C10=2,90+Inputs!$B$26+Inputs!$B$29,IF(Skills!C10=3,120+Inputs!$B$27+Inputs!$B$29,MAX(0,(Inputs!$B$3-100)*3)+Inputs!$B$28+Inputs!$B$29)))</f>
        <v/>
      </c>
      <c r="E2000">
        <f>INDEX(FactorTable!$B$2:$Y$301, MATCH(ROUND(MIN(300,MAX(1,D2000)),0), FactorTable!$A$2:$A$301,0), Skills!L10+1)</f>
        <v/>
      </c>
      <c r="F2000">
        <f>IF(Skills!M10=TRUE,(Skills!K10/10)*(E2000/1000),Skills!K10/10)+Skills!N10</f>
        <v/>
      </c>
      <c r="G2000">
        <f>Calc!G10</f>
        <v/>
      </c>
      <c r="H2000">
        <f>Calc!H10</f>
        <v/>
      </c>
      <c r="I2000">
        <f>IF(Skills!T10&lt;&gt;"",1+(Skills!T10/10)*(Z1993/1000)/100,1)</f>
        <v/>
      </c>
      <c r="J2000">
        <f>((Inputs!$B$6*(1+Inputs!$B$7/100))+(((Inputs!$B$12*(1+Inputs!$B$13/100))-(Inputs!$B$12*(1+Inputs!$B$13/100)))+0.25*(Inputs!$B$14-Inputs!$B$14))*(1+Inputs!$B$7/100))*(F2000/100)</f>
        <v/>
      </c>
      <c r="K2000">
        <f>J2000*(1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10="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F2008-Calc!F18),(Inputs!$B$23+(IF(ArtifactsInput!$M$15,CHOOSE(ArtifactsInput!$N$15+1,25,30,35,40,45,50)/100*(Inputs!$B$11-Inputs!$B$11),0))))/100+(Inputs!$B$23+(IF(ArtifactsInput!$M$15,CHOOSE(ArtifactsInput!$N$15+1,25,30,35,40,45,50)/100*(Inputs!$B$11-Inputs!$B$11),0)))/100)/2</f>
        <v/>
      </c>
      <c r="M2000">
        <f>L2000*(1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(1-Summary!$B$11)*S2000+Summary!$B$11*U2000</f>
        <v/>
      </c>
      <c r="P2000">
        <f>IF(B2027=0,0,O2000/B2027)</f>
        <v/>
      </c>
      <c r="Q2000">
        <f>IFERROR(1/IF(Inputs!$B$38="pvp",15,MAX(0.1,Skills!D10-IF(Skills!E9=TRUE,Inputs!$B$32,0))),0)</f>
        <v/>
      </c>
      <c r="R2000">
        <f>IF(AND(Inputs!$B$38&lt;&gt;"pvp",Inputs!$B$43&gt;0),IF(MAX(0,Inputs!$B$43-B2024)&lt;=0,0,(INT(MAX(0,Inputs!$B$43-B2024)/IF(Inputs!$B$38="pvp",15,MAX(0.1,Skills!D10-IF(Skills!E9=TRUE,Inputs!$B$32,0))))+1)),0)</f>
        <v/>
      </c>
      <c r="S2000">
        <f>IF(C2000,(H2000*N2000*IF(AND(Inputs!$B$38&lt;&gt;"pvp",Inputs!$B$43&gt;0),((Skills!F10*((R2000-1)*IF(Skills!G10&gt;0,Skills!H10/Skills!G10,1)+IF(Skills!G10&gt;0,MIN(Skills!H10,MAX(0,MAX(0,Inputs!$B$43-B2024)-((R2000-1)*IF(Inputs!$B$38="pvp",15,MAX(0.1,Skills!D10-IF(Skills!E9=TRUE,Inputs!$B$32,0))))))/Skills!G10,1)))/Inputs!$B$43),G2000*Q2000))*IF(Inputs!$B$38="pvp",1,1+(Inputs!$B$20+Skills!O10+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2000*(1-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IF(C2000,(H2000*N2000*IF(AND(Inputs!$B$38&lt;&gt;"pvp",Inputs!$B$43&gt;0),((Skills!F10*((R2000-1)*IF(Skills!G10&gt;0,Skills!H10/Skills!G10,1)+IF(Skills!G10&gt;0,MIN(Skills!H10,MAX(0,MAX(0,Inputs!$B$43-B2024)-((R2000-1)*IF(Inputs!$B$38="pvp",15,MAX(0.1,Skills!D10-IF(Skills!E9=TRUE,Inputs!$B$32,0))))))/Skills!G10,1)))/Inputs!$B$43),G2000*Q2000))*IF(Inputs!$B$38="pvp",1,(1+(Inputs!$B$21+Skills!P10+B2018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Skills!A11</f>
        <v/>
      </c>
      <c r="B2001">
        <f>Skills!B11</f>
        <v/>
      </c>
      <c r="C2001">
        <f>Inputs!$B$3&gt;=107</f>
        <v/>
      </c>
      <c r="D2001">
        <f>IF(Skills!C11=1,60+Inputs!$B$25+Inputs!$B$29,IF(Skills!C11=2,90+Inputs!$B$26+Inputs!$B$29,IF(Skills!C11=3,120+Inputs!$B$27+Inputs!$B$29,MAX(0,(Inputs!$B$3-100)*3)+Inputs!$B$28+Inputs!$B$29)))</f>
        <v/>
      </c>
      <c r="E2001">
        <f>INDEX(FactorTable!$B$2:$Y$301, MATCH(ROUND(MIN(300,MAX(1,D2001)),0), FactorTable!$A$2:$A$301,0), Skills!L11+1)</f>
        <v/>
      </c>
      <c r="F2001">
        <f>IF(Skills!M11=TRUE,(Skills!K11/10)*(E2001/1000),Skills!K11/10)+Skills!N11</f>
        <v/>
      </c>
      <c r="G2001">
        <f>Calc!G11</f>
        <v/>
      </c>
      <c r="H2001">
        <f>Calc!H11</f>
        <v/>
      </c>
      <c r="I2001">
        <f>IF(Skills!T11&lt;&gt;"",1+(Skills!T11/10)*(Z1993/1000)/100,1)</f>
        <v/>
      </c>
      <c r="J2001">
        <f>((Inputs!$B$6*(1+Inputs!$B$7/100))+(((Inputs!$B$12*(1+Inputs!$B$13/100))-(Inputs!$B$12*(1+Inputs!$B$13/100)))+0.25*(Inputs!$B$14-Inputs!$B$14))*(1+Inputs!$B$7/100))*(F2001/100)</f>
        <v/>
      </c>
      <c r="K2001">
        <f>J2001*(1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11="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F2008-Calc!F18),(Inputs!$B$23+(IF(ArtifactsInput!$M$15,CHOOSE(ArtifactsInput!$N$15+1,25,30,35,40,45,50)/100*(Inputs!$B$11-Inputs!$B$11),0))))/100+(Inputs!$B$23+(IF(ArtifactsInput!$M$15,CHOOSE(ArtifactsInput!$N$15+1,25,30,35,40,45,50)/100*(Inputs!$B$11-Inputs!$B$11),0)))/100)/2</f>
        <v/>
      </c>
      <c r="M2001">
        <f>L2001*(1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(1-Summary!$B$11)*S2001+Summary!$B$11*U2001</f>
        <v/>
      </c>
      <c r="P2001">
        <f>IF(B2027=0,0,O2001/B2027)</f>
        <v/>
      </c>
      <c r="Q2001">
        <f>IFERROR(1/IF(Inputs!$B$38="pvp",15,MAX(0.1,Skills!D11-IF(Skills!E11=TRUE,Inputs!$B$32,0))),0)</f>
        <v/>
      </c>
      <c r="R2001">
        <f>IF(AND(Inputs!$B$38&lt;&gt;"pvp",Inputs!$B$43&gt;0),IF(MAX(0,Inputs!$B$43-B2024)&lt;=0,0,(INT(MAX(0,Inputs!$B$43-B2024)/IF(Inputs!$B$38="pvp",15,MAX(0.1,Skills!D11-IF(Skills!E11=TRUE,Inputs!$B$32,0))))+1)),0)</f>
        <v/>
      </c>
      <c r="S2001">
        <f>IF(C2001,H2001*N2001*IF(AND(Inputs!$B$38&lt;&gt;"pvp",Inputs!$B$43&gt;0),((Skills!F11*((R2001-1)*IF(Skills!G11&gt;0,Skills!H11/Skills!G11,1)+IF(Skills!G11&gt;0,MIN(Skills!H11,MAX(0,MAX(0,Inputs!$B$43-B2024)-((R2001-1)*IF(Inputs!$B$38="pvp",15,MAX(0.1,Skills!D11-IF(Skills!E11=TRUE,Inputs!$B$32,0))))))/Skills!G11,1)))/Inputs!$B$43),G2001*Q2001)*0.5*IF(Inputs!$B$38="pvp",1,1+(Inputs!$B$20+Skills!O11+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F(C2001,H2001*N2001*IF(AND(Inputs!$B$38&lt;&gt;"pvp",Inputs!$B$43&gt;0),((Skills!F11*((R2001-1)*IF(Skills!G11&gt;0,Skills!H11/Skills!G11,1)+IF(Skills!G11&gt;0,MIN(Skills!H11,MAX(0,MAX(0,Inputs!$B$43-B2024)-((R2001-1)*IF(Inputs!$B$38="pvp",15,MAX(0.1,Skills!D11-IF(Skills!E11=TRUE,Inputs!$B$32,0))))))/Skills!G11,1)))/Inputs!$B$43),G2001*Q2001)*1*IF(Inputs!$B$38="pvp",1,(1+(Inputs!$B$21+Skills!P11+B2018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Skills!A12</f>
        <v/>
      </c>
      <c r="B2002">
        <f>Skills!B12</f>
        <v/>
      </c>
      <c r="C2002">
        <f>Inputs!$B$3&gt;=115</f>
        <v/>
      </c>
      <c r="D2002">
        <f>IF(Skills!C12=1,60+Inputs!$B$25+Inputs!$B$29,IF(Skills!C12=2,90+Inputs!$B$26+Inputs!$B$29,IF(Skills!C12=3,120+Inputs!$B$27+Inputs!$B$29,MAX(0,(Inputs!$B$3-100)*3)+Inputs!$B$28+Inputs!$B$29)))</f>
        <v/>
      </c>
      <c r="E2002">
        <f>INDEX(FactorTable!$B$2:$Y$301, MATCH(ROUND(MIN(300,MAX(1,D2002)),0), FactorTable!$A$2:$A$301,0), Skills!L12+1)</f>
        <v/>
      </c>
      <c r="F2002">
        <f>IF(Skills!M12=TRUE,(Skills!K12/10)*(E2002/1000),Skills!K12/10)+Skills!N12</f>
        <v/>
      </c>
      <c r="G2002">
        <f>Calc!G12</f>
        <v/>
      </c>
      <c r="H2002">
        <f>Calc!H12</f>
        <v/>
      </c>
      <c r="I2002">
        <f>IF(Skills!T12&lt;&gt;"",1+(Skills!T12/10)*(Z1993/1000)/100,1)</f>
        <v/>
      </c>
      <c r="J2002">
        <f>((Inputs!$B$6*(1+Inputs!$B$7/100))+(((Inputs!$B$12*(1+Inputs!$B$13/100))-(Inputs!$B$12*(1+Inputs!$B$13/100)))+0.25*(Inputs!$B$14-Inputs!$B$14))*(1+Inputs!$B$7/100))*(F2002/100)</f>
        <v/>
      </c>
      <c r="K2002">
        <f>J2002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12="CHAIN_LIGHTNING",Inputs!$B$17+((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F2008-Calc!F18),(Inputs!$B$23+(IF(ArtifactsInput!$M$15,CHOOSE(ArtifactsInput!$N$15+1,25,30,35,40,45,50)/100*(Inputs!$B$11-Inputs!$B$11),0))))/100+(Inputs!$B$23+(IF(ArtifactsInput!$M$15,CHOOSE(ArtifactsInput!$N$15+1,25,30,35,40,45,50)/100*(Inputs!$B$11-Inputs!$B$11),0)))/100)/2</f>
        <v/>
      </c>
      <c r="M2002">
        <f>L2002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(1-Summary!$B$11)*S2002+Summary!$B$11*U2002</f>
        <v/>
      </c>
      <c r="P2002">
        <f>IF(B2027=0,0,O2002/B2027)</f>
        <v/>
      </c>
      <c r="Q2002">
        <f>IFERROR(1/IF(Inputs!$B$38="pvp",15,MAX(0.1,Skills!D12-IF(Skills!E12=TRUE,Inputs!$B$32,0))),0)</f>
        <v/>
      </c>
      <c r="R2002">
        <f>IF(AND(Inputs!$B$38&lt;&gt;"pvp",Inputs!$B$43&gt;0),IF(MAX(0,Inputs!$B$43-B2024)&lt;=0,0,(INT(MAX(0,Inputs!$B$43-B2024)/IF(Inputs!$B$38="pvp",15,MAX(0.1,Skills!D12-IF(Skills!E12=TRUE,Inputs!$B$32,0))))+1)),0)</f>
        <v/>
      </c>
      <c r="S2002">
        <f>IF(C2002,(H2002*N2002*IF(AND(Inputs!$B$38&lt;&gt;"pvp",Inputs!$B$43&gt;0),((Skills!F12*((R2002-1)*IF(Skills!G12&gt;0,Skills!H12/Skills!G12,1)+IF(Skills!G12&gt;0,MIN(Skills!H12,MAX(0,MAX(0,Inputs!$B$43-B2024)-((R2002-1)*IF(Inputs!$B$38="pvp",15,MAX(0.1,Skills!D12-IF(Skills!E12=TRUE,Inputs!$B$32,0))))))/Skills!G12,1)))/Inputs!$B$43),G2002*Q2002))*IF(Inputs!$B$38="pvp",1,1+(Inputs!$B$20+Skills!O12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2002*(1-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F2010-Calc!F20)+(F2009-Calc!F19))+(ArtifactsInput!$M$24-ArtifactsInput!$M$24)*CHOOSE(ArtifactsInput!$N$24+1,10,12,14,16,18,20)+(IF(AND(Inputs!$B$38&lt;&gt;"pvp",Inputs!$B$43=0),1,IF(IF(Inputs!$B$38="pvp",15,Inputs!$B$43)-(B2024)&lt;=0,1,MAX(0,IF(Inputs!$B$38="pvp",15,Inputs!$B$43)-MAX(5,B2024))/(IF(Inputs!$B$38="pvp",15,Inputs!$B$43)-(B2024)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2">
        <f>IF(C2002,(H2002*N2002*IF(AND(Inputs!$B$38&lt;&gt;"pvp",Inputs!$B$43&gt;0),((Skills!F12*((R2002-1)*IF(Skills!G12&gt;0,Skills!H12/Skills!G12,1)+IF(Skills!G12&gt;0,MIN(Skills!H12,MAX(0,MAX(0,Inputs!$B$43-B2024)-((R2002-1)*IF(Inputs!$B$38="pvp",15,MAX(0.1,Skills!D12-IF(Skills!E12=TRUE,Inputs!$B$32,0))))))/Skills!G12,1)))/Inputs!$B$43),G2002*Q2002))*IF(Inputs!$B$38="pvp",1,(1+(Inputs!$B$21+Skills!P12+B2018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Skills!A13</f>
        <v/>
      </c>
      <c r="B2003">
        <f>Skills!B13</f>
        <v/>
      </c>
      <c r="C2003">
        <f>Inputs!$B$3&gt;=49</f>
        <v/>
      </c>
      <c r="D2003">
        <f>IF(Skills!C13=1,60+Inputs!$B$25+Inputs!$B$29,IF(Skills!C13=2,90+Inputs!$B$26+Inputs!$B$29,IF(Skills!C13=3,120+Inputs!$B$27+Inputs!$B$29,MAX(0,(Inputs!$B$3-100)*3)+Inputs!$B$28+Inputs!$B$29)))</f>
        <v/>
      </c>
      <c r="E2003">
        <f>INDEX(FactorTable!$B$2:$Y$301, MATCH(ROUND(MIN(300,MAX(1,D2003)),0), FactorTable!$A$2:$A$301,0), Skills!L13+1)</f>
        <v/>
      </c>
      <c r="F2003">
        <f>IF(Skills!M13=TRUE,(Skills!K13/10)*(E2003/1000),Skills!K13/10)+Skills!N13</f>
        <v/>
      </c>
      <c r="G2003">
        <f>Calc!G13</f>
        <v/>
      </c>
      <c r="H2003">
        <f>Calc!H13</f>
        <v/>
      </c>
      <c r="I2003">
        <f>IF(Skills!T13&lt;&gt;"",1+(Skills!T13/10)*(Z1993/1000)/100,1)</f>
        <v/>
      </c>
      <c r="J2003" t="inlineStr"/>
      <c r="K2003" t="inlineStr"/>
      <c r="L2003" t="inlineStr"/>
      <c r="M2003" t="inlineStr"/>
      <c r="N2003" t="inlineStr"/>
      <c r="O2003">
        <f>(1-Summary!$B$11)*S2003+Summary!$B$11*U2003</f>
        <v/>
      </c>
      <c r="P2003">
        <f>IF(B2027=0,0,O2003/B2027)</f>
        <v/>
      </c>
      <c r="Q2003">
        <f>IFERROR(1/IF(Inputs!$B$38="pvp",15,MAX(0.1,Skills!D13-IF(Skills!E13=TRUE,Inputs!$B$32,0))),0)</f>
        <v/>
      </c>
      <c r="R2003" t="n">
        <v>0</v>
      </c>
      <c r="S2003" t="n">
        <v>0</v>
      </c>
      <c r="U2003" t="n">
        <v>0</v>
      </c>
    </row>
    <row r="2004">
      <c r="A2004">
        <f>Skills!A14</f>
        <v/>
      </c>
      <c r="B2004">
        <f>Skills!B14</f>
        <v/>
      </c>
      <c r="C2004">
        <f>Inputs!$B$3&gt;=72</f>
        <v/>
      </c>
      <c r="D2004">
        <f>IF(Skills!C14=1,60+Inputs!$B$25+Inputs!$B$29,IF(Skills!C14=2,90+Inputs!$B$26+Inputs!$B$29,IF(Skills!C14=3,120+Inputs!$B$27+Inputs!$B$29,MAX(0,(Inputs!$B$3-100)*3)+Inputs!$B$28+Inputs!$B$29)))</f>
        <v/>
      </c>
      <c r="E2004">
        <f>INDEX(FactorTable!$B$2:$Y$301, MATCH(ROUND(MIN(300,MAX(1,D2004)),0), FactorTable!$A$2:$A$301,0), Skills!L14+1)</f>
        <v/>
      </c>
      <c r="F2004">
        <f>IF(Skills!M14=TRUE,(Skills!K14/10)*(E2004/1000),Skills!K14/10)+Skills!N14</f>
        <v/>
      </c>
      <c r="G2004">
        <f>Calc!G14</f>
        <v/>
      </c>
      <c r="H2004">
        <f>Calc!H14</f>
        <v/>
      </c>
      <c r="I2004">
        <f>IF(Skills!T14&lt;&gt;"",1+(Skills!T14/10)*(Z1993/1000)/100,1)</f>
        <v/>
      </c>
      <c r="J2004" t="inlineStr"/>
      <c r="K2004" t="inlineStr"/>
      <c r="L2004" t="inlineStr"/>
      <c r="M2004" t="inlineStr"/>
      <c r="N2004" t="inlineStr"/>
      <c r="O2004">
        <f>(1-Summary!$B$11)*S2004+Summary!$B$11*U2004</f>
        <v/>
      </c>
      <c r="P2004">
        <f>IF(B2027=0,0,O2004/B2027)</f>
        <v/>
      </c>
      <c r="Q2004">
        <f>IFERROR(1/IF(Inputs!$B$38="pvp",15,MAX(0.1,Skills!D14-IF(Skills!E14=TRUE,Inputs!$B$32,0))),0)</f>
        <v/>
      </c>
      <c r="R2004" t="n">
        <v>0</v>
      </c>
      <c r="S2004" t="n">
        <v>0</v>
      </c>
      <c r="U2004" t="n">
        <v>0</v>
      </c>
    </row>
    <row r="2005">
      <c r="A2005">
        <f>Skills!A15</f>
        <v/>
      </c>
      <c r="B2005">
        <f>Skills!B15</f>
        <v/>
      </c>
      <c r="C2005">
        <f>Inputs!$B$3&gt;=75</f>
        <v/>
      </c>
      <c r="D2005">
        <f>IF(Skills!C15=1,60+Inputs!$B$25+Inputs!$B$29,IF(Skills!C15=2,90+Inputs!$B$26+Inputs!$B$29,IF(Skills!C15=3,120+Inputs!$B$27+Inputs!$B$29,MAX(0,(Inputs!$B$3-100)*3)+Inputs!$B$28+Inputs!$B$29)))</f>
        <v/>
      </c>
      <c r="E2005">
        <f>INDEX(FactorTable!$B$2:$Y$301, MATCH(ROUND(MIN(300,MAX(1,D2005)),0), FactorTable!$A$2:$A$301,0), Skills!L15+1)</f>
        <v/>
      </c>
      <c r="F2005">
        <f>IF(Skills!M15=TRUE,(Skills!K15/10)*(E2005/1000),Skills!K15/10)+Skills!N15</f>
        <v/>
      </c>
      <c r="G2005">
        <f>Calc!G15</f>
        <v/>
      </c>
      <c r="H2005">
        <f>Calc!H15</f>
        <v/>
      </c>
      <c r="I2005">
        <f>IF(Skills!T15&lt;&gt;"",1+(Skills!T15/10)*(Z1993/1000)/100,1)</f>
        <v/>
      </c>
      <c r="J2005" t="inlineStr"/>
      <c r="K2005" t="inlineStr"/>
      <c r="L2005" t="inlineStr"/>
      <c r="M2005" t="inlineStr"/>
      <c r="N2005" t="inlineStr"/>
      <c r="O2005">
        <f>(1-Summary!$B$11)*S2005+Summary!$B$11*U2005</f>
        <v/>
      </c>
      <c r="P2005">
        <f>IF(B2027=0,0,O2005/B2027)</f>
        <v/>
      </c>
      <c r="Q2005">
        <f>IFERROR(1/IF(Inputs!$B$38="pvp",15,MAX(0.1,Skills!D15-IF(Skills!E15=TRUE,Inputs!$B$32,0))),0)</f>
        <v/>
      </c>
      <c r="R2005" t="n">
        <v>0</v>
      </c>
      <c r="S2005" t="n">
        <v>0</v>
      </c>
      <c r="U2005" t="n">
        <v>0</v>
      </c>
    </row>
    <row r="2006">
      <c r="A2006">
        <f>Skills!A16</f>
        <v/>
      </c>
      <c r="B2006">
        <f>Skills!B16</f>
        <v/>
      </c>
      <c r="C2006">
        <f>Inputs!$B$3&gt;=110</f>
        <v/>
      </c>
      <c r="D2006">
        <f>IF(Skills!C16=1,60+Inputs!$B$25+Inputs!$B$29,IF(Skills!C16=2,90+Inputs!$B$26+Inputs!$B$29,IF(Skills!C16=3,120+Inputs!$B$27+Inputs!$B$29,MAX(0,(Inputs!$B$3-100)*3)+Inputs!$B$28+Inputs!$B$29)))</f>
        <v/>
      </c>
      <c r="E2006">
        <f>INDEX(FactorTable!$B$2:$Y$301, MATCH(ROUND(MIN(300,MAX(1,D2006)),0), FactorTable!$A$2:$A$301,0), Skills!L16+1)</f>
        <v/>
      </c>
      <c r="F2006">
        <f>(Skills!K16/10)*(E2006/1000)*64/45+Skills!N16</f>
        <v/>
      </c>
      <c r="G2006">
        <f>Calc!G16</f>
        <v/>
      </c>
      <c r="H2006">
        <f>Calc!H16</f>
        <v/>
      </c>
      <c r="I2006">
        <f>IF(Skills!T16&lt;&gt;"",1+(Skills!T16/10)*(Z1993/1000)/100,1)</f>
        <v/>
      </c>
      <c r="J2006" t="inlineStr"/>
      <c r="K2006" t="inlineStr"/>
      <c r="L2006" t="inlineStr"/>
      <c r="M2006" t="inlineStr"/>
      <c r="N2006" t="inlineStr"/>
      <c r="O2006">
        <f>(1-Summary!$B$11)*S2006+Summary!$B$11*U2006</f>
        <v/>
      </c>
      <c r="P2006">
        <f>IF(B2027=0,0,O2006/B2027)</f>
        <v/>
      </c>
      <c r="Q2006">
        <f>IFERROR(1/IF(Inputs!$B$38="pvp",15,MAX(0.1,Skills!D16-IF(Skills!E16=TRUE,Inputs!$B$32,0))),0)</f>
        <v/>
      </c>
      <c r="R2006">
        <f>IF(AND(Inputs!$B$38&lt;&gt;"pvp",Inputs!$B$43&gt;0),IF(Inputs!$B$43&lt;=0,0,(INT(Inputs!$B$43/IF(Inputs!$B$38="pvp",15,MAX(0.1,Skills!D16-IF(Skills!E16=TRUE,Inputs!$B$32,0))))+1)),0)</f>
        <v/>
      </c>
      <c r="S2006" t="n">
        <v>0</v>
      </c>
      <c r="U2006" t="n">
        <v>0</v>
      </c>
    </row>
    <row r="2007">
      <c r="A2007">
        <f>Skills!A17</f>
        <v/>
      </c>
      <c r="B2007">
        <f>Skills!B17</f>
        <v/>
      </c>
      <c r="C2007">
        <f>Inputs!$B$3&gt;=33</f>
        <v/>
      </c>
      <c r="D2007">
        <f>IF(Skills!C17=1,60+Inputs!$B$25+Inputs!$B$29,IF(Skills!C17=2,90+Inputs!$B$26+Inputs!$B$29,IF(Skills!C17=3,120+Inputs!$B$27+Inputs!$B$29,MAX(0,(Inputs!$B$3-100)*3)+Inputs!$B$28+Inputs!$B$29)))</f>
        <v/>
      </c>
      <c r="E2007">
        <f>INDEX(FactorTable!$B$2:$Y$301, MATCH(ROUND(MIN(300,MAX(1,D2007)),0), FactorTable!$A$2:$A$301,0), Skills!L17+1)</f>
        <v/>
      </c>
      <c r="F2007">
        <f>IF(Skills!M17=TRUE,(Skills!K17/10)*(E2007/1000),Skills!K17/10)+Skills!N17</f>
        <v/>
      </c>
      <c r="G2007">
        <f>Calc!G17</f>
        <v/>
      </c>
      <c r="H2007">
        <f>Calc!H17</f>
        <v/>
      </c>
      <c r="I2007">
        <f>IF(Skills!T17&lt;&gt;"",1+(Skills!T17/10)*(Z1993/1000)/100,1)</f>
        <v/>
      </c>
      <c r="J2007" t="inlineStr"/>
      <c r="K2007" t="inlineStr"/>
      <c r="L2007" t="inlineStr"/>
      <c r="M2007" t="inlineStr"/>
      <c r="N2007" t="inlineStr"/>
      <c r="O2007">
        <f>(1-Summary!$B$11)*S2007+Summary!$B$11*U2007</f>
        <v/>
      </c>
      <c r="P2007">
        <f>IF(B2027=0,0,O2007/B2027)</f>
        <v/>
      </c>
      <c r="Q2007">
        <f>IFERROR(1/IF(Inputs!$B$38="pvp",15,MAX(0.1,Skills!D17-IF(Skills!E17=TRUE,Inputs!$B$32,0))),0)</f>
        <v/>
      </c>
      <c r="R2007" t="n">
        <v>0</v>
      </c>
      <c r="S2007" t="n">
        <v>0</v>
      </c>
      <c r="U2007" t="n">
        <v>0</v>
      </c>
    </row>
    <row r="2008">
      <c r="A2008">
        <f>Skills!A18</f>
        <v/>
      </c>
      <c r="B2008">
        <f>Skills!B18</f>
        <v/>
      </c>
      <c r="C2008">
        <f>Inputs!$B$3&gt;=43</f>
        <v/>
      </c>
      <c r="D2008">
        <f>IF(Skills!C18=1,60+Inputs!$B$25+Inputs!$B$29,IF(Skills!C18=2,90+Inputs!$B$26+Inputs!$B$29,IF(Skills!C18=3,120+Inputs!$B$27+Inputs!$B$29,MAX(0,(Inputs!$B$3-100)*3)+Inputs!$B$28+Inputs!$B$29)))</f>
        <v/>
      </c>
      <c r="E2008">
        <f>INDEX(FactorTable!$B$2:$Y$301, MATCH(ROUND(MIN(300,MAX(1,D2008)),0), FactorTable!$A$2:$A$301,0), Skills!L18+1)</f>
        <v/>
      </c>
      <c r="F2008">
        <f>IF(Skills!M18=TRUE,(Skills!K18/10)*(E2008/1000),Skills!K18/10)+Skills!N18</f>
        <v/>
      </c>
      <c r="G2008">
        <f>Calc!G18</f>
        <v/>
      </c>
      <c r="H2008">
        <f>Calc!H18</f>
        <v/>
      </c>
      <c r="I2008">
        <f>IF(Skills!T18&lt;&gt;"",1+(Skills!T18/10)*(Z1993/1000)/100,1)</f>
        <v/>
      </c>
      <c r="J2008" t="inlineStr"/>
      <c r="K2008" t="inlineStr"/>
      <c r="L2008" t="inlineStr"/>
      <c r="M2008" t="inlineStr"/>
      <c r="N2008" t="inlineStr"/>
      <c r="O2008">
        <f>(1-Summary!$B$11)*S2008+Summary!$B$11*U2008</f>
        <v/>
      </c>
      <c r="P2008">
        <f>IF(B2027=0,0,O2008/B2027)</f>
        <v/>
      </c>
      <c r="Q2008">
        <f>IFERROR(1/IF(Inputs!$B$38="pvp",15,MAX(0.1,Skills!D18-IF(Skills!E18=TRUE,Inputs!$B$32,0))),0)</f>
        <v/>
      </c>
      <c r="R2008" t="n">
        <v>0</v>
      </c>
      <c r="S2008" t="n">
        <v>0</v>
      </c>
      <c r="U2008" t="n">
        <v>0</v>
      </c>
    </row>
    <row r="2009">
      <c r="A2009">
        <f>Skills!A19</f>
        <v/>
      </c>
      <c r="B2009">
        <f>Skills!B19</f>
        <v/>
      </c>
      <c r="C2009">
        <f>Inputs!$B$3&gt;=50</f>
        <v/>
      </c>
      <c r="D2009">
        <f>IF(Skills!C19=1,60+Inputs!$B$25+Inputs!$B$29,IF(Skills!C19=2,90+Inputs!$B$26+Inputs!$B$29,IF(Skills!C19=3,120+Inputs!$B$27+Inputs!$B$29,MAX(0,(Inputs!$B$3-100)*3)+Inputs!$B$28+Inputs!$B$29)))</f>
        <v/>
      </c>
      <c r="E2009">
        <f>INDEX(FactorTable!$B$2:$Y$301, MATCH(ROUND(MIN(300,MAX(1,D2009)),0), FactorTable!$A$2:$A$301,0), Skills!L19+1)</f>
        <v/>
      </c>
      <c r="F2009">
        <f>IF(Skills!M19=TRUE,(Skills!K19/10)*(E2009/1000),Skills!K19/10)+Skills!N19</f>
        <v/>
      </c>
      <c r="G2009">
        <f>Calc!G19</f>
        <v/>
      </c>
      <c r="H2009">
        <f>Calc!H19</f>
        <v/>
      </c>
      <c r="I2009">
        <f>IF(Skills!T19&lt;&gt;"",1+(Skills!T19/10)*(Z1993/1000)/100,1)</f>
        <v/>
      </c>
      <c r="J2009" t="inlineStr"/>
      <c r="K2009" t="inlineStr"/>
      <c r="L2009" t="inlineStr"/>
      <c r="M2009" t="inlineStr"/>
      <c r="N2009" t="inlineStr"/>
      <c r="O2009">
        <f>(1-Summary!$B$11)*S2009+Summary!$B$11*U2009</f>
        <v/>
      </c>
      <c r="P2009">
        <f>IF(B2027=0,0,O2009/B2027)</f>
        <v/>
      </c>
      <c r="Q2009">
        <f>IFERROR(1/IF(Inputs!$B$38="pvp",15,MAX(0.1,Skills!D19-IF(Skills!E19=TRUE,Inputs!$B$32,0))),0)</f>
        <v/>
      </c>
      <c r="R2009" t="n">
        <v>0</v>
      </c>
      <c r="S2009" t="n">
        <v>0</v>
      </c>
      <c r="U2009" t="n">
        <v>0</v>
      </c>
    </row>
    <row r="2010">
      <c r="A2010">
        <f>Skills!A20</f>
        <v/>
      </c>
      <c r="B2010">
        <f>Skills!B20</f>
        <v/>
      </c>
      <c r="C2010">
        <f>Inputs!$B$3&gt;=74</f>
        <v/>
      </c>
      <c r="D2010">
        <f>IF(Skills!C20=1,60+Inputs!$B$25+Inputs!$B$29,IF(Skills!C20=2,90+Inputs!$B$26+Inputs!$B$29,IF(Skills!C20=3,120+Inputs!$B$27+Inputs!$B$29,MAX(0,(Inputs!$B$3-100)*3)+Inputs!$B$28+Inputs!$B$29)))</f>
        <v/>
      </c>
      <c r="E2010">
        <f>INDEX(FactorTable!$B$2:$Y$301, MATCH(ROUND(MIN(300,MAX(1,D2010)),0), FactorTable!$A$2:$A$301,0), Skills!L20+1)</f>
        <v/>
      </c>
      <c r="F2010">
        <f>IF(Skills!M20=TRUE,(Skills!K20/10)*(E2010/1000),Skills!K20/10)+Skills!N20</f>
        <v/>
      </c>
      <c r="G2010">
        <f>Calc!G20</f>
        <v/>
      </c>
      <c r="H2010">
        <f>Calc!H20</f>
        <v/>
      </c>
      <c r="I2010">
        <f>IF(Skills!T20&lt;&gt;"",1+(Skills!T20/10)*(Z1993/1000)/100,1)</f>
        <v/>
      </c>
      <c r="J2010" t="inlineStr"/>
      <c r="K2010" t="inlineStr"/>
      <c r="L2010" t="inlineStr"/>
      <c r="M2010" t="inlineStr"/>
      <c r="N2010" t="inlineStr"/>
      <c r="O2010">
        <f>(1-Summary!$B$11)*S2010+Summary!$B$11*U2010</f>
        <v/>
      </c>
      <c r="P2010">
        <f>IF(B2027=0,0,O2010/B2027)</f>
        <v/>
      </c>
      <c r="Q2010">
        <f>IFERROR(1/IF(Inputs!$B$38="pvp",15,MAX(0.1,Skills!D20-IF(Skills!E20=TRUE,Inputs!$B$32,0))),0)</f>
        <v/>
      </c>
      <c r="R2010" t="n">
        <v>0</v>
      </c>
      <c r="S2010" t="n">
        <v>0</v>
      </c>
      <c r="U2010" t="n">
        <v>0</v>
      </c>
    </row>
    <row r="2011">
      <c r="A2011">
        <f>Skills!A21</f>
        <v/>
      </c>
      <c r="B2011">
        <f>Skills!B21</f>
        <v/>
      </c>
      <c r="C2011">
        <f>Inputs!$B$3&gt;=74</f>
        <v/>
      </c>
      <c r="D2011">
        <f>IF(Skills!C21=1,60+Inputs!$B$25+Inputs!$B$29,IF(Skills!C21=2,90+Inputs!$B$26+Inputs!$B$29,IF(Skills!C21=3,120+Inputs!$B$27+Inputs!$B$29,MAX(0,(Inputs!$B$3-100)*3)+Inputs!$B$28+Inputs!$B$29)))</f>
        <v/>
      </c>
      <c r="E2011">
        <f>INDEX(FactorTable!$B$2:$Y$301, MATCH(ROUND(MIN(300,MAX(1,D2011)),0), FactorTable!$A$2:$A$301,0), Skills!L21+1)</f>
        <v/>
      </c>
      <c r="F2011">
        <f>IF(Skills!M21=TRUE,(Skills!K21/10)*(E2011/1000),Skills!K21/10)+Skills!N21</f>
        <v/>
      </c>
      <c r="G2011">
        <f>Calc!G21</f>
        <v/>
      </c>
      <c r="H2011">
        <f>Calc!H21</f>
        <v/>
      </c>
      <c r="I2011">
        <f>IF(Skills!T21&lt;&gt;"",1+(Skills!T21/10)*(Z1993/1000)/100,1)</f>
        <v/>
      </c>
      <c r="J2011" t="inlineStr"/>
      <c r="K2011" t="inlineStr"/>
      <c r="L2011" t="inlineStr"/>
      <c r="M2011" t="inlineStr"/>
      <c r="N2011" t="inlineStr"/>
      <c r="O2011">
        <f>(1-Summary!$B$11)*S2011+Summary!$B$11*U2011</f>
        <v/>
      </c>
      <c r="P2011">
        <f>IF(B2027=0,0,O2011/B2027)</f>
        <v/>
      </c>
      <c r="Q2011">
        <f>IFERROR(1/IF(Inputs!$B$38="pvp",15,MAX(0.1,Skills!D21-IF(Skills!E21=TRUE,Inputs!$B$32,0))),0)</f>
        <v/>
      </c>
      <c r="R2011" t="n">
        <v>0</v>
      </c>
      <c r="S2011" t="n">
        <v>0</v>
      </c>
      <c r="U2011" t="n">
        <v>0</v>
      </c>
    </row>
    <row r="2012">
      <c r="A2012">
        <f>Skills!A22</f>
        <v/>
      </c>
      <c r="B2012">
        <f>Skills!B22</f>
        <v/>
      </c>
      <c r="C2012">
        <f>Inputs!$B$3&gt;=117</f>
        <v/>
      </c>
      <c r="D2012">
        <f>IF(Skills!C22=1,60+Inputs!$B$25+Inputs!$B$29,IF(Skills!C22=2,90+Inputs!$B$26+Inputs!$B$29,IF(Skills!C22=3,120+Inputs!$B$27+Inputs!$B$29,MAX(0,(Inputs!$B$3-100)*3)+Inputs!$B$28+Inputs!$B$29)))</f>
        <v/>
      </c>
      <c r="E2012">
        <f>INDEX(FactorTable!$B$2:$Y$301, MATCH(ROUND(MIN(300,MAX(1,D2012)),0), FactorTable!$A$2:$A$301,0), Skills!L22+1)</f>
        <v/>
      </c>
      <c r="F2012">
        <f>IF(Skills!M22=TRUE,(Skills!K22/10)*(E2012/1000),Skills!K22/10)+Skills!N22</f>
        <v/>
      </c>
      <c r="G2012">
        <f>Calc!G22</f>
        <v/>
      </c>
      <c r="H2012">
        <f>Calc!H22</f>
        <v/>
      </c>
      <c r="I2012">
        <f>IF(Skills!T22&lt;&gt;"",1+(Skills!T22/10)*(Z1993/1000)/100,1)</f>
        <v/>
      </c>
      <c r="J2012" t="inlineStr"/>
      <c r="K2012" t="inlineStr"/>
      <c r="L2012" t="inlineStr"/>
      <c r="M2012" t="inlineStr"/>
      <c r="N2012" t="inlineStr"/>
      <c r="O2012">
        <f>(1-Summary!$B$11)*S2012+Summary!$B$11*U2012</f>
        <v/>
      </c>
      <c r="P2012">
        <f>IF(B2027=0,0,O2012/B2027)</f>
        <v/>
      </c>
      <c r="Q2012">
        <f>IFERROR(1/IF(Inputs!$B$38="pvp",15,MAX(0.1,Skills!D22-IF(Skills!E22=TRUE,Inputs!$B$32,0))),0)</f>
        <v/>
      </c>
      <c r="R2012" t="n">
        <v>0</v>
      </c>
      <c r="S2012" t="n">
        <v>0</v>
      </c>
      <c r="U2012" t="n">
        <v>0</v>
      </c>
    </row>
    <row r="2013">
      <c r="A2013">
        <f>Skills!A23</f>
        <v/>
      </c>
      <c r="B2013">
        <f>Skills!B23</f>
        <v/>
      </c>
      <c r="C2013">
        <f>Inputs!$B$3&gt;=120</f>
        <v/>
      </c>
      <c r="D2013">
        <f>IF(Skills!C23=1,60+Inputs!$B$25+Inputs!$B$29,IF(Skills!C23=2,90+Inputs!$B$26+Inputs!$B$29,IF(Skills!C23=3,120+Inputs!$B$27+Inputs!$B$29,MAX(0,(Inputs!$B$3-100)*3)+Inputs!$B$28+Inputs!$B$29)))</f>
        <v/>
      </c>
      <c r="E2013">
        <f>INDEX(FactorTable!$B$2:$Y$301, MATCH(ROUND(MIN(300,MAX(1,D2013)),0), FactorTable!$A$2:$A$301,0), Skills!L23+1)</f>
        <v/>
      </c>
      <c r="F2013">
        <f>IF(Skills!M23=TRUE,(Skills!K23/10)*(E2013/1000),Skills!K23/10)+Skills!N23</f>
        <v/>
      </c>
      <c r="G2013">
        <f>Calc!G23</f>
        <v/>
      </c>
      <c r="H2013">
        <f>Calc!H23</f>
        <v/>
      </c>
      <c r="I2013">
        <f>IF(Skills!T23&lt;&gt;"",1+(Skills!T23/10)*(Z1993/1000)/100,1)</f>
        <v/>
      </c>
      <c r="J2013" t="inlineStr"/>
      <c r="K2013" t="inlineStr"/>
      <c r="L2013" t="inlineStr"/>
      <c r="M2013" t="inlineStr"/>
      <c r="N2013" t="inlineStr"/>
      <c r="O2013">
        <f>(1-Summary!$B$11)*S2013+Summary!$B$11*U2013</f>
        <v/>
      </c>
      <c r="P2013">
        <f>IF(B2027=0,0,O2013/B2027)</f>
        <v/>
      </c>
      <c r="Q2013">
        <f>IFERROR(1/IF(Inputs!$B$38="pvp",15,MAX(0.1,Skills!D23-IF(Skills!E23=TRUE,Inputs!$B$32,0))),0)</f>
        <v/>
      </c>
      <c r="R2013" t="n">
        <v>0</v>
      </c>
      <c r="S2013" t="n">
        <v>0</v>
      </c>
      <c r="U2013" t="n">
        <v>0</v>
      </c>
    </row>
    <row r="2014">
      <c r="A2014">
        <f>Skills!A24</f>
        <v/>
      </c>
      <c r="B2014">
        <f>Skills!B24</f>
        <v/>
      </c>
      <c r="C2014">
        <f>TRUE</f>
        <v/>
      </c>
      <c r="D2014">
        <f>IF(Skills!C24=1,60+Inputs!$B$25+Inputs!$B$29,IF(Skills!C24=2,90+Inputs!$B$26+Inputs!$B$29,IF(Skills!C24=3,120+Inputs!$B$27+Inputs!$B$29,MAX(0,(Inputs!$B$3-100)*3)+Inputs!$B$28+Inputs!$B$29)))</f>
        <v/>
      </c>
      <c r="E2014">
        <f>INDEX(FactorTable!$B$2:$Y$301, MATCH(ROUND(MIN(300,MAX(1,D2014)),0), FactorTable!$A$2:$A$301,0), Skills!L24+1)</f>
        <v/>
      </c>
      <c r="F2014">
        <f>IF(Skills!M24=TRUE,(Skills!K24/10)*(E2014/1000),Skills!K24/10)+Skills!N24</f>
        <v/>
      </c>
      <c r="G2014">
        <f>Calc!G24</f>
        <v/>
      </c>
      <c r="H2014">
        <f>Calc!H24</f>
        <v/>
      </c>
      <c r="I2014">
        <f>IF(Skills!T24&lt;&gt;"",1+(Skills!T24/10)*(Z1993/1000)/100,1)</f>
        <v/>
      </c>
      <c r="J2014" t="inlineStr"/>
      <c r="K2014" t="inlineStr"/>
      <c r="L2014" t="inlineStr"/>
      <c r="M2014" t="inlineStr"/>
      <c r="N2014" t="inlineStr"/>
      <c r="O2014">
        <f>(1-Summary!$B$11)*S2014+Summary!$B$11*U2014</f>
        <v/>
      </c>
      <c r="P2014">
        <f>IF(B2027=0,0,O2014/B2027)</f>
        <v/>
      </c>
      <c r="Q2014">
        <f>IFERROR(1/IF(Inputs!$B$38="pvp",15,MAX(0.1,Skills!D24-IF(Skills!E24=TRUE,Inputs!$B$32,0))),0)</f>
        <v/>
      </c>
      <c r="R2014">
        <f>IF(AND(Inputs!$B$38&lt;&gt;"pvp",Inputs!$B$43&gt;0),IF(Inputs!$B$43&lt;=0,0,(INT(Inputs!$B$43/IF(Inputs!$B$38="pvp",15,MAX(0.1,Skills!D24-IF(Skills!E24=TRUE,Inputs!$B$32,0))))+1)),0)</f>
        <v/>
      </c>
      <c r="S2014" t="n">
        <v>0</v>
      </c>
      <c r="U2014" t="n">
        <v>0</v>
      </c>
    </row>
    <row r="2017">
      <c r="A2017" t="inlineStr">
        <is>
          <t>Average Buff Multiplier (Magic Guard + Meditation + Artifact Attack%, summed; then Infinity)</t>
        </is>
      </c>
      <c r="B2017">
        <f>(1+(IF(C1993=TRUE,F1993*IF(AND(Inputs!$B$38&lt;&gt;"pvp",Inputs!$B$43&gt;0),(((R1993-1)*(Skills!S3*(1+(Inputs!$B$34)/100))+MIN((Skills!S3*(1+(Inputs!$B$34)/100)),MAX(0,Inputs!$B$43-((R1993-1)*Skills!D3))))/Inputs!$B$43),IF(Inputs!$B$38="pvp",MIN((Skills!S3*(1+(Inputs!$B$34)/100)),15)/15,(Skills!S3*(1+(Inputs!$B$34)/100))/Skills!D3)),0)+IF(C1994=TRUE,F1994*IF(AND(Inputs!$B$38&lt;&gt;"pvp",Inputs!$B$43&gt;0),(((R1994-1)*(Skills!S4*(1+(Inputs!$B$34)/100))+MIN((Skills!S4*(1+(Inputs!$B$34)/100)),MAX(0,Inputs!$B$43-((R1994-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2006=TRUE,(1+F2006*IF(AND(Inputs!$B$38&lt;&gt;"pvp",Inputs!$B$43&gt;0),(((R2006-1)*(Skills!S16*(1+(Inputs!$B$34)/100))+MIN((Skills!S16*(1+(Inputs!$B$34)/100)),MAX(0,Inputs!$B$43-((R2006-1)*Skills!D16))))/Inputs!$B$43),IF(Inputs!$B$38="pvp",MIN((Skills!S16*(1+(Inputs!$B$34)/100)),15)/15,(Skills!S16*(1+(Inputs!$B$34)/100))/Skills!D16))/100),1)</f>
        <v/>
      </c>
    </row>
    <row r="2018">
      <c r="A2018" t="inlineStr">
        <is>
          <t>Monster Damage Taken Bonus % (Freezing Breath - Weaken + Elemental Reset + Artifact Enemy Damage Taken, summed)</t>
        </is>
      </c>
      <c r="B2018">
        <f>IF(Inputs!$B$3&gt;=118,15*IF(Inputs!$B$38="pvp",MIN((30*(1+(Inputs!$B$34)/100)),15)/15,(30*(1+(Inputs!$B$34)/100))/Skills!D8),0)+IF(C2004=TRUE,F2004,0)+(IF(AND(ArtifactsInput!$M$35,Inputs!$B$4&lt;&gt;"Chapter Hunt"),CHOOSE(ArtifactsInput!$N$35+1,15,18,21,24,27,30)*(1-EXP(-(0.2*B2021)*5)),0)+IF(AND(ArtifactsInput!$M$22,Inputs!$B$4&lt;&gt;"Chapter Hunt"),CHOOSE(ArtifactsInput!$N$22+1,10,12,14,16,18,20)*((0*(((0.15*B2021*5))^0/1)+1*(((0.15*B2021*5))^1/1)+2*(((0.15*B2021*5))^2/2)+3*(((0.15*B2021*5))^3/6)+4*(((0.15*B2021*5))^4/24)+5*(((0.15*B2021*5))^5/120))/((((0.15*B2021*5))^0/1)+(((0.15*B2021*5))^1/1)+(((0.15*B2021*5))^2/2)+(((0.15*B2021*5))^3/6)+(((0.15*B2021*5))^4/24)+(((0.15*B2021*5))^5/120))),0))</f>
        <v/>
      </c>
    </row>
    <row r="2019">
      <c r="A2019" t="inlineStr">
        <is>
          <t>Damage % Bonus (Frozen Break + Frost Clutch, flat)</t>
        </is>
      </c>
      <c r="B2019">
        <f>IF(Inputs!$B$3&gt;=66,15,0)+IF(Inputs!$B$3&gt;=98,10,0)+IF(Inputs!$B$3&gt;=125,20,0)</f>
        <v/>
      </c>
    </row>
    <row r="2020">
      <c r="A2020" t="inlineStr">
        <is>
          <t>Attack Speed Bonus % (MP Eater - MP Boost, always-on + Nimble Feet, duty-cycle averaged)</t>
        </is>
      </c>
      <c r="B2020">
        <f>IF(C2003=TRUE,F2003+(F2007-Calc!F17),0)+((C2014=TRUE)*F2014*IF(AND(Inputs!$B$38&lt;&gt;"pvp",Inputs!$B$43&gt;0),(((R2014-1)*(Skills!S24*(1+(Inputs!$B$34)/100))+MIN((Skills!S24*(1+(Inputs!$B$34)/100)),MAX(0,Inputs!$B$43-((R2014-1)*Skills!D24))))/Inputs!$B$43),IF(Inputs!$B$38="pvp",MIN((Skills!S24*(1+(Inputs!$B$34)/100)),15)/15,(Skills!S24*(1+(Inputs!$B$34)/100))/Skills!D24)))</f>
        <v/>
      </c>
    </row>
    <row r="2021">
      <c r="A2021" t="inlineStr">
        <is>
          <t>Actions Per Second</t>
        </is>
      </c>
      <c r="B2021">
        <f>1+MIN(150,150*(1-(1-(Inputs!$B$11+(ArtifactsInput!$M$15-ArtifactsInput!$M$15)*CHOOSE(ArtifactsInput!$N$15+1,8,9.6,11.2,12.8,14.4,16))/150)*(1-B2020/150)))/100</f>
        <v/>
      </c>
    </row>
    <row r="2022">
      <c r="A2022" t="inlineStr">
        <is>
          <t>Skill + Buff Cast Rate</t>
        </is>
      </c>
      <c r="B2022">
        <f>IF(AND(Inputs!$B$38&lt;&gt;"pvp",Inputs!$B$43&gt;0),SUMPRODUCT((Skills!E2:E24=TRUE)*(C1992:C2014=TRUE)*R1992:R2014)/Inputs!$B$43,SUMPRODUCT((Skills!E2:E24=TRUE)*(C1992:C2014=TRUE)*Q1992:Q2014))</f>
        <v/>
      </c>
    </row>
    <row r="2023">
      <c r="A2023" t="inlineStr">
        <is>
          <t>Chain Lightning Casts Per Second</t>
        </is>
      </c>
      <c r="B2023">
        <f>MAX(0,B2021-B2022)</f>
        <v/>
      </c>
    </row>
    <row r="2024">
      <c r="A2024" t="inlineStr">
        <is>
          <t>Buff-Casting Startup Delay (s, fixed-duration only)</t>
        </is>
      </c>
      <c r="B2024">
        <f>IF(AND(Inputs!$B$38&lt;&gt;"pvp",Inputs!$B$43&gt;0),SUMPRODUCT((Skills!S2:S24&gt;0)*(Skills!E2:E24=TRUE)*(C1992:C2014=TRUE))/B2021,0)</f>
        <v/>
      </c>
    </row>
    <row r="2025">
      <c r="A2025" t="inlineStr">
        <is>
          <t>Boss-Only Total DPS (this block's swept value)</t>
        </is>
      </c>
      <c r="B2025">
        <f>SUM(S1992:S2014)</f>
        <v/>
      </c>
    </row>
    <row r="2026">
      <c r="A2026" t="inlineStr">
        <is>
          <t>Normal-Only Total DPS (this block's swept value)</t>
        </is>
      </c>
      <c r="B2026">
        <f>SUM(U1992:U2014)</f>
        <v/>
      </c>
    </row>
    <row r="2027">
      <c r="A2027" s="6" t="inlineStr">
        <is>
          <t>TOTAL DPS</t>
        </is>
      </c>
      <c r="B2027" s="6">
        <f>SUM(O1992:O2014)</f>
        <v/>
      </c>
    </row>
    <row r="2030">
      <c r="A2030" s="6" t="inlineStr">
        <is>
          <t>Stat: Icy Soul Rock (Equip)</t>
        </is>
      </c>
    </row>
    <row r="2031">
      <c r="A2031" s="5" t="inlineStr">
        <is>
          <t>Key</t>
        </is>
      </c>
      <c r="B2031" s="5" t="inlineStr">
        <is>
          <t>Name</t>
        </is>
      </c>
      <c r="C2031" s="5" t="inlineStr">
        <is>
          <t>Unlocked</t>
        </is>
      </c>
      <c r="D2031" s="5" t="inlineStr">
        <is>
          <t>InputLevel</t>
        </is>
      </c>
      <c r="E2031" s="5" t="inlineStr">
        <is>
          <t>Factor</t>
        </is>
      </c>
      <c r="F2031" s="5" t="inlineStr">
        <is>
          <t>CoefficientPercent</t>
        </is>
      </c>
      <c r="G2031" s="5" t="inlineStr">
        <is>
          <t>EffectiveHits</t>
        </is>
      </c>
      <c r="H2031" s="5" t="inlineStr">
        <is>
          <t>ProcProbability</t>
        </is>
      </c>
      <c r="I2031" s="5" t="inlineStr">
        <is>
          <t>MapleHeroMultiplier</t>
        </is>
      </c>
      <c r="J2031" s="5" t="inlineStr">
        <is>
          <t>BaseDamage</t>
        </is>
      </c>
      <c r="K2031" s="5" t="inlineStr">
        <is>
          <t>BaseHitDamage</t>
        </is>
      </c>
      <c r="L2031" s="5" t="inlineStr">
        <is>
          <t>NonCritAvg</t>
        </is>
      </c>
      <c r="M2031" s="5" t="inlineStr">
        <is>
          <t>CritAvg</t>
        </is>
      </c>
      <c r="N2031" s="5" t="inlineStr">
        <is>
          <t>ExpectedDamage(perHit)</t>
        </is>
      </c>
      <c r="O2031" s="5" t="inlineStr">
        <is>
          <t>DPS</t>
        </is>
      </c>
      <c r="P2031" s="5" t="inlineStr">
        <is>
          <t>% of Total</t>
        </is>
      </c>
      <c r="R2031" t="inlineStr">
        <is>
          <t>helpers</t>
        </is>
      </c>
    </row>
    <row r="2032">
      <c r="A2032">
        <f>Skills!A2</f>
        <v/>
      </c>
      <c r="B2032">
        <f>Skills!B2</f>
        <v/>
      </c>
      <c r="C2032">
        <f>Inputs!$B$3&gt;=100</f>
        <v/>
      </c>
      <c r="D2032" t="inlineStr"/>
      <c r="E2032" t="inlineStr"/>
      <c r="F2032">
        <f>T2034+Skills!N2</f>
        <v/>
      </c>
      <c r="G2032">
        <f>Calc!G2</f>
        <v/>
      </c>
      <c r="H2032">
        <f>Calc!H2</f>
        <v/>
      </c>
      <c r="I2032">
        <f>IF(Skills!T2&lt;&gt;"",1+(Skills!T2/10)*(Z2033/1000)/100,1)</f>
        <v/>
      </c>
      <c r="J2032">
        <f>((Inputs!$B$6*(1+Inputs!$B$7/100))+(((Inputs!$B$12*(1+Inputs!$B$13/100))-(Inputs!$B$12*(1+Inputs!$B$13/100)))+0.25*(Inputs!$B$14-Inputs!$B$14))*(1+Inputs!$B$7/100))*(F2032/100)</f>
        <v/>
      </c>
      <c r="K2032">
        <f>J2032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2="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F2048-Calc!F18),(Inputs!$B$23+(IF(ArtifactsInput!$M$15,CHOOSE(ArtifactsInput!$N$15+1,25,30,35,40,45,50)/100*(Inputs!$B$11-Inputs!$B$11),0))))/100+(Inputs!$B$23+(IF(ArtifactsInput!$M$15,CHOOSE(ArtifactsInput!$N$15+1,25,30,35,40,45,50)/100*(Inputs!$B$11-Inputs!$B$11),0)))/100)/2</f>
        <v/>
      </c>
      <c r="M2032">
        <f>L2032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(1-Summary!$B$11)*S2032+Summary!$B$11*U2032</f>
        <v/>
      </c>
      <c r="P2032">
        <f>IF(B2067=0,0,O2032/B2067)</f>
        <v/>
      </c>
      <c r="Q2032">
        <f>IFERROR(1/IF(Inputs!$B$38="pvp",15,MAX(0.1,Skills!D2-IF(Skills!E2=TRUE,Inputs!$B$32,0))),0)</f>
        <v/>
      </c>
      <c r="R2032" t="n">
        <v>0</v>
      </c>
      <c r="S2032">
        <f>IF(C2032,(Skills!F2*N2032*B2063)*IF(Inputs!$B$38="pvp",1,1+(Inputs!$B$20+Skills!O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2032*(1-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32">
        <f>MAX(0,(Inputs!$B$3-100)*3)+Inputs!$B$28+Inputs!$B$29</f>
        <v/>
      </c>
      <c r="U2032">
        <f>IF(C2032,(Skills!F2*N2032*B2063)*IF(Inputs!$B$38="pvp",1,(1+(Inputs!$B$21+Skills!P2+B2058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32">
        <f>MAX(0,(Inputs!$B$3-100)*3)+Inputs!$B$28+Inputs!$B$29</f>
        <v/>
      </c>
    </row>
    <row r="2033">
      <c r="A2033">
        <f>Skills!A3</f>
        <v/>
      </c>
      <c r="B2033">
        <f>Skills!B3</f>
        <v/>
      </c>
      <c r="C2033">
        <f>Inputs!$B$3&gt;=15</f>
        <v/>
      </c>
      <c r="D2033">
        <f>IF(Skills!C3=1,60+Inputs!$B$25+Inputs!$B$29,IF(Skills!C3=2,90+Inputs!$B$26+Inputs!$B$29,IF(Skills!C3=3,120+Inputs!$B$27+Inputs!$B$29,MAX(0,(Inputs!$B$3-100)*3)+Inputs!$B$28+Inputs!$B$29)))</f>
        <v/>
      </c>
      <c r="E2033">
        <f>INDEX(FactorTable!$B$2:$Y$301, MATCH(ROUND(MIN(300,MAX(1,D2033)),0), FactorTable!$A$2:$A$301,0), Skills!L3+1)</f>
        <v/>
      </c>
      <c r="F2033">
        <f>IF(Skills!M3=TRUE,(Skills!K3/10)*(E2033/1000),Skills!K3/10)+Skills!N3</f>
        <v/>
      </c>
      <c r="G2033">
        <f>Calc!G3</f>
        <v/>
      </c>
      <c r="H2033">
        <f>Calc!H3</f>
        <v/>
      </c>
      <c r="I2033">
        <f>IF(Skills!T3&lt;&gt;"",1+(Skills!T3/10)*(Z2033/1000)/100,1)</f>
        <v/>
      </c>
      <c r="J2033" t="inlineStr"/>
      <c r="K2033" t="inlineStr"/>
      <c r="L2033" t="inlineStr"/>
      <c r="M2033" t="inlineStr"/>
      <c r="N2033" t="inlineStr"/>
      <c r="O2033">
        <f>(1-Summary!$B$11)*S2033+Summary!$B$11*U2033</f>
        <v/>
      </c>
      <c r="P2033">
        <f>IF(B2067=0,0,O2033/B2067)</f>
        <v/>
      </c>
      <c r="Q2033">
        <f>IFERROR(1/IF(Inputs!$B$38="pvp",15,MAX(0.1,Skills!D3-IF(Skills!E3=TRUE,Inputs!$B$32,0))),0)</f>
        <v/>
      </c>
      <c r="R2033">
        <f>IF(AND(Inputs!$B$38&lt;&gt;"pvp",Inputs!$B$43&gt;0),IF(Inputs!$B$43&lt;=0,0,(INT(Inputs!$B$43/IF(Inputs!$B$38="pvp",15,MAX(0.1,Skills!D3-IF(Skills!E3=TRUE,Inputs!$B$32,0))))+1)),0)</f>
        <v/>
      </c>
      <c r="S2033" t="n">
        <v>0</v>
      </c>
      <c r="T2033">
        <f>INDEX(FactorTable!$B$2:$Y$301, MATCH(ROUND(MIN(300,MAX(1,T2032)),0), FactorTable!$A$2:$A$301,0), 22)</f>
        <v/>
      </c>
      <c r="U2033" t="n">
        <v>0</v>
      </c>
      <c r="Z2033">
        <f>INDEX(FactorTable!$B$2:$Y$301, MATCH(ROUND(MIN(300,MAX(1,Z2032)),0), FactorTable!$A$2:$A$301,0), 24)</f>
        <v/>
      </c>
    </row>
    <row r="2034">
      <c r="A2034">
        <f>Skills!A4</f>
        <v/>
      </c>
      <c r="B2034">
        <f>Skills!B4</f>
        <v/>
      </c>
      <c r="C2034">
        <f>Inputs!$B$3&gt;=40</f>
        <v/>
      </c>
      <c r="D2034">
        <f>IF(Skills!C4=1,60+Inputs!$B$25+Inputs!$B$29,IF(Skills!C4=2,90+Inputs!$B$26+Inputs!$B$29,IF(Skills!C4=3,120+Inputs!$B$27+Inputs!$B$29,MAX(0,(Inputs!$B$3-100)*3)+Inputs!$B$28+Inputs!$B$29)))</f>
        <v/>
      </c>
      <c r="E2034">
        <f>INDEX(FactorTable!$B$2:$Y$301, MATCH(ROUND(MIN(300,MAX(1,D2034)),0), FactorTable!$A$2:$A$301,0), Skills!L4+1)</f>
        <v/>
      </c>
      <c r="F2034">
        <f>IF(Skills!M4=TRUE,(Skills!K4/10)*(E2034/1000),Skills!K4/10)+Skills!N4</f>
        <v/>
      </c>
      <c r="G2034">
        <f>Calc!G4</f>
        <v/>
      </c>
      <c r="H2034">
        <f>Calc!H4</f>
        <v/>
      </c>
      <c r="I2034">
        <f>IF(Skills!T4&lt;&gt;"",1+(Skills!T4/10)*(Z2033/1000)/100,1)</f>
        <v/>
      </c>
      <c r="J2034" t="inlineStr"/>
      <c r="K2034" t="inlineStr"/>
      <c r="L2034" t="inlineStr"/>
      <c r="M2034" t="inlineStr"/>
      <c r="N2034" t="inlineStr"/>
      <c r="O2034">
        <f>(1-Summary!$B$11)*S2034+Summary!$B$11*U2034</f>
        <v/>
      </c>
      <c r="P2034">
        <f>IF(B2067=0,0,O2034/B2067)</f>
        <v/>
      </c>
      <c r="Q2034">
        <f>IFERROR(1/IF(Inputs!$B$38="pvp",15,MAX(0.1,Skills!D4-IF(Skills!E4=TRUE,Inputs!$B$32,0))),0)</f>
        <v/>
      </c>
      <c r="R2034">
        <f>IF(AND(Inputs!$B$38&lt;&gt;"pvp",Inputs!$B$43&gt;0),IF(Inputs!$B$43&lt;=0,0,(INT(Inputs!$B$43/IF(Inputs!$B$38="pvp",15,MAX(0.1,Skills!D4-IF(Skills!E4=TRUE,Inputs!$B$32,0))))+1)),0)</f>
        <v/>
      </c>
      <c r="S2034" t="n">
        <v>0</v>
      </c>
      <c r="T2034">
        <f>290*T2033/1000</f>
        <v/>
      </c>
      <c r="U2034" t="n">
        <v>0</v>
      </c>
    </row>
    <row r="2035">
      <c r="A2035">
        <f>Skills!A5</f>
        <v/>
      </c>
      <c r="B2035">
        <f>Skills!B5</f>
        <v/>
      </c>
      <c r="C2035">
        <f>Inputs!$B$3&gt;=38</f>
        <v/>
      </c>
      <c r="D2035">
        <f>IF(Skills!C5=1,60+Inputs!$B$25+Inputs!$B$29,IF(Skills!C5=2,90+Inputs!$B$26+Inputs!$B$29,IF(Skills!C5=3,120+Inputs!$B$27+Inputs!$B$29,MAX(0,(Inputs!$B$3-100)*3)+Inputs!$B$28+Inputs!$B$29)))</f>
        <v/>
      </c>
      <c r="E2035">
        <f>INDEX(FactorTable!$B$2:$Y$301, MATCH(ROUND(MIN(300,MAX(1,D2035)),0), FactorTable!$A$2:$A$301,0), Skills!L5+1)</f>
        <v/>
      </c>
      <c r="F2035">
        <f>IF(Skills!M5=TRUE,(Skills!K5/10)*(E2035/1000),Skills!K5/10)+Skills!N5</f>
        <v/>
      </c>
      <c r="G2035">
        <f>Calc!G5</f>
        <v/>
      </c>
      <c r="H2035">
        <f>Calc!H5</f>
        <v/>
      </c>
      <c r="I2035">
        <f>IF(Skills!T5&lt;&gt;"",1+(Skills!T5/10)*(Z2033/1000)/100,1)</f>
        <v/>
      </c>
      <c r="J2035">
        <f>((Inputs!$B$6*(1+Inputs!$B$7/100))+(((Inputs!$B$12*(1+Inputs!$B$13/100))-(Inputs!$B$12*(1+Inputs!$B$13/100)))+0.25*(Inputs!$B$14-Inputs!$B$14))*(1+Inputs!$B$7/100))*(F2035/100)</f>
        <v/>
      </c>
      <c r="K2035">
        <f>J2035*(1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5="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F2048-Calc!F18),(Inputs!$B$23+(IF(ArtifactsInput!$M$15,CHOOSE(ArtifactsInput!$N$15+1,25,30,35,40,45,50)/100*(Inputs!$B$11-Inputs!$B$11),0))))/100+(Inputs!$B$23+(IF(ArtifactsInput!$M$15,CHOOSE(ArtifactsInput!$N$15+1,25,30,35,40,45,50)/100*(Inputs!$B$11-Inputs!$B$11),0)))/100)/2</f>
        <v/>
      </c>
      <c r="M2035">
        <f>L2035*(1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5">
        <f>L2035*(1-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(1-Summary!$B$11)*S2035+Summary!$B$11*U2035</f>
        <v/>
      </c>
      <c r="P2035">
        <f>IF(B2067=0,0,O2035/B2067)</f>
        <v/>
      </c>
      <c r="Q2035">
        <f>IFERROR(1/IF(Inputs!$B$38="pvp",15,MAX(0.1,Skills!D5-IF(Skills!E5=TRUE,Inputs!$B$32,0))),0)</f>
        <v/>
      </c>
      <c r="R2035">
        <f>IF(AND(Inputs!$B$38&lt;&gt;"pvp",Inputs!$B$43&gt;0),IF(MAX(0,Inputs!$B$43-B2064)&lt;=0,0,(INT(MAX(0,Inputs!$B$43-B2064)/IF(Inputs!$B$38="pvp",15,MAX(0.1,Skills!D5-IF(Skills!E5=TRUE,Inputs!$B$32,0))))+1)),0)</f>
        <v/>
      </c>
      <c r="S2035">
        <f>IF(C2035,(H2035*N2035*IF(AND(Inputs!$B$38&lt;&gt;"pvp",Inputs!$B$43&gt;0),((Skills!F5*((R2035-1)*IF(Skills!G5&gt;0,Skills!H5/Skills!G5,1)+IF(Skills!G5&gt;0,MIN(Skills!H5,MAX(0,MAX(0,Inputs!$B$43-B2064)-((R2035-1)*IF(Inputs!$B$38="pvp",15,MAX(0.1,Skills!D5-IF(Skills!E5=TRUE,Inputs!$B$32,0))))))/Skills!G5,1)))/Inputs!$B$43),G2035*Q2035))*IF(Inputs!$B$38="pvp",1,1+(Inputs!$B$20+Skills!O5+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2035*(1-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IF(C2035,(H2035*N2035*IF(AND(Inputs!$B$38&lt;&gt;"pvp",Inputs!$B$43&gt;0),((Skills!F5*((R2035-1)*IF(Skills!G5&gt;0,Skills!H5/Skills!G5,1)+IF(Skills!G5&gt;0,MIN(Skills!H5,MAX(0,MAX(0,Inputs!$B$43-B2064)-((R2035-1)*IF(Inputs!$B$38="pvp",15,MAX(0.1,Skills!D5-IF(Skills!E5=TRUE,Inputs!$B$32,0))))))/Skills!G5,1)))/Inputs!$B$43),G2035*Q2035))*IF(Inputs!$B$38="pvp",1,(1+(Inputs!$B$21+Skills!P5+B2058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Skills!A6</f>
        <v/>
      </c>
      <c r="B2036">
        <f>Skills!B6</f>
        <v/>
      </c>
      <c r="C2036">
        <f>Inputs!$B$3&gt;=63</f>
        <v/>
      </c>
      <c r="D2036">
        <f>IF(Skills!C6=1,60+Inputs!$B$25+Inputs!$B$29,IF(Skills!C6=2,90+Inputs!$B$26+Inputs!$B$29,IF(Skills!C6=3,120+Inputs!$B$27+Inputs!$B$29,MAX(0,(Inputs!$B$3-100)*3)+Inputs!$B$28+Inputs!$B$29)))</f>
        <v/>
      </c>
      <c r="E2036">
        <f>INDEX(FactorTable!$B$2:$Y$301, MATCH(ROUND(MIN(300,MAX(1,D2036)),0), FactorTable!$A$2:$A$301,0), Skills!L6+1)</f>
        <v/>
      </c>
      <c r="F2036">
        <f>IF(Skills!M6=TRUE,(Skills!K6/10)*(E2036/1000),Skills!K6/10)+Skills!N6</f>
        <v/>
      </c>
      <c r="G2036">
        <f>Calc!G6</f>
        <v/>
      </c>
      <c r="H2036">
        <f>Calc!H6</f>
        <v/>
      </c>
      <c r="I2036">
        <f>IF(Skills!T6&lt;&gt;"",1+(Skills!T6/10)*(Z2033/1000)/100,1)</f>
        <v/>
      </c>
      <c r="J2036">
        <f>((Inputs!$B$6*(1+Inputs!$B$7/100))+(((Inputs!$B$12*(1+Inputs!$B$13/100))-(Inputs!$B$12*(1+Inputs!$B$13/100)))+0.25*(Inputs!$B$14-Inputs!$B$14))*(1+Inputs!$B$7/100))*(F2036/100)</f>
        <v/>
      </c>
      <c r="K2036">
        <f>J2036*(1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6="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F2048-Calc!F18),(Inputs!$B$23+(IF(ArtifactsInput!$M$15,CHOOSE(ArtifactsInput!$N$15+1,25,30,35,40,45,50)/100*(Inputs!$B$11-Inputs!$B$11),0))))/100+(Inputs!$B$23+(IF(ArtifactsInput!$M$15,CHOOSE(ArtifactsInput!$N$15+1,25,30,35,40,45,50)/100*(Inputs!$B$11-Inputs!$B$11),0)))/100)/2</f>
        <v/>
      </c>
      <c r="M2036">
        <f>L2036*(1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6">
        <f>L2036*(1-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(1-Summary!$B$11)*S2036+Summary!$B$11*U2036</f>
        <v/>
      </c>
      <c r="P2036">
        <f>IF(B2067=0,0,O2036/B2067)</f>
        <v/>
      </c>
      <c r="Q2036">
        <f>IFERROR(1/IF(Inputs!$B$38="pvp",15,MAX(0.1,Skills!D6-IF(Skills!E6=TRUE,Inputs!$B$32,0))),0)</f>
        <v/>
      </c>
      <c r="R2036">
        <f>IF(AND(Inputs!$B$38&lt;&gt;"pvp",Inputs!$B$43&gt;0),IF(MAX(0,Inputs!$B$43-B2064)&lt;=0,0,(INT(MAX(0,Inputs!$B$43-B2064)/IF(Inputs!$B$38="pvp",15,MAX(0.1,Skills!D6-IF(Skills!E6=TRUE,Inputs!$B$32,0))))+1)),0)</f>
        <v/>
      </c>
      <c r="S2036">
        <f>IF(C2036,(H2036*N2036*IF(AND(Inputs!$B$38&lt;&gt;"pvp",Inputs!$B$43&gt;0),((Skills!F6*((R2036-1)*IF(Skills!G6&gt;0,Skills!H6/Skills!G6,1)+IF(Skills!G6&gt;0,MIN(Skills!H6,MAX(0,MAX(0,Inputs!$B$43-B2064)-((R2036-1)*IF(Inputs!$B$38="pvp",15,MAX(0.1,Skills!D6-IF(Skills!E6=TRUE,Inputs!$B$32,0))))))/Skills!G6,1)))/Inputs!$B$43),G2036*Q2036))*IF(Inputs!$B$38="pvp",1,1+(Inputs!$B$20+Skills!O6+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2036*(1-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6">
        <f>IF(C2036,(H2036*N2036*IF(AND(Inputs!$B$38&lt;&gt;"pvp",Inputs!$B$43&gt;0),((Skills!F6*((R2036-1)*IF(Skills!G6&gt;0,Skills!H6/Skills!G6,1)+IF(Skills!G6&gt;0,MIN(Skills!H6,MAX(0,MAX(0,Inputs!$B$43-B2064)-((R2036-1)*IF(Inputs!$B$38="pvp",15,MAX(0.1,Skills!D6-IF(Skills!E6=TRUE,Inputs!$B$32,0))))))/Skills!G6,1)))/Inputs!$B$43),G2036*Q2036))*IF(Inputs!$B$38="pvp",1,(1+(Inputs!$B$21+Skills!P6+B2058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Skills!A7</f>
        <v/>
      </c>
      <c r="B2037">
        <f>Skills!B7</f>
        <v/>
      </c>
      <c r="C2037">
        <f>Inputs!$B$3&gt;=69</f>
        <v/>
      </c>
      <c r="D2037">
        <f>IF(Skills!C7=1,60+Inputs!$B$25+Inputs!$B$29,IF(Skills!C7=2,90+Inputs!$B$26+Inputs!$B$29,IF(Skills!C7=3,120+Inputs!$B$27+Inputs!$B$29,MAX(0,(Inputs!$B$3-100)*3)+Inputs!$B$28+Inputs!$B$29)))</f>
        <v/>
      </c>
      <c r="E2037">
        <f>INDEX(FactorTable!$B$2:$Y$301, MATCH(ROUND(MIN(300,MAX(1,D2037)),0), FactorTable!$A$2:$A$301,0), Skills!L7+1)</f>
        <v/>
      </c>
      <c r="F2037">
        <f>IF(Skills!M7=TRUE,(Skills!K7/10)*(E2037/1000),Skills!K7/10)+Skills!N7</f>
        <v/>
      </c>
      <c r="G2037">
        <f>Calc!G7</f>
        <v/>
      </c>
      <c r="H2037">
        <f>Calc!H7</f>
        <v/>
      </c>
      <c r="I2037">
        <f>IF(Skills!T7&lt;&gt;"",1+(Skills!T7/10)*(Z2033/1000)/100,1)</f>
        <v/>
      </c>
      <c r="J2037">
        <f>((Inputs!$B$6*(1+Inputs!$B$7/100))+(((Inputs!$B$12*(1+Inputs!$B$13/100))-(Inputs!$B$12*(1+Inputs!$B$13/100)))+0.25*(Inputs!$B$14-Inputs!$B$14))*(1+Inputs!$B$7/100))*(F2037/100)</f>
        <v/>
      </c>
      <c r="K2037">
        <f>J2037*(1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7="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F2048-Calc!F18),(Inputs!$B$23+(IF(ArtifactsInput!$M$15,CHOOSE(ArtifactsInput!$N$15+1,25,30,35,40,45,50)/100*(Inputs!$B$11-Inputs!$B$11),0))))/100+(Inputs!$B$23+(IF(ArtifactsInput!$M$15,CHOOSE(ArtifactsInput!$N$15+1,25,30,35,40,45,50)/100*(Inputs!$B$11-Inputs!$B$11),0)))/100)/2</f>
        <v/>
      </c>
      <c r="M2037">
        <f>L2037*(1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7">
        <f>L2037*(1-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(1-Summary!$B$11)*S2037+Summary!$B$11*U2037</f>
        <v/>
      </c>
      <c r="P2037">
        <f>IF(B2067=0,0,O2037/B2067)</f>
        <v/>
      </c>
      <c r="Q2037">
        <f>IFERROR(1/IF(Inputs!$B$38="pvp",15,MAX(0.1,Skills!D7-IF(Skills!E7=TRUE,Inputs!$B$32,0))),0)</f>
        <v/>
      </c>
      <c r="R2037">
        <f>IF(AND(Inputs!$B$38&lt;&gt;"pvp",Inputs!$B$43&gt;0),IF(MAX(0,Inputs!$B$43-B2064)&lt;=0,0,(INT(MAX(0,Inputs!$B$43-B2064)/IF(Inputs!$B$38="pvp",15,MAX(0.1,Skills!D7-IF(Skills!E7=TRUE,Inputs!$B$32,0))))+1)),0)</f>
        <v/>
      </c>
      <c r="S2037">
        <f>IF(C2037,(H2037*N2037*IF(AND(Inputs!$B$38&lt;&gt;"pvp",Inputs!$B$43&gt;0),((Skills!F7*((R2037-1)*IF(Skills!G7&gt;0,Skills!H7/Skills!G7,1)+IF(Skills!G7&gt;0,MIN(Skills!H7,MAX(0,MAX(0,Inputs!$B$43-B2064)-((R2037-1)*IF(Inputs!$B$38="pvp",15,MAX(0.1,Skills!D7-IF(Skills!E7=TRUE,Inputs!$B$32,0))))))/Skills!G7,1)))/Inputs!$B$43),G2037*Q2037))*IF(Inputs!$B$38="pvp",1,1+(Inputs!$B$20+Skills!O7+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2037*(1-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7">
        <f>IF(C2037,(H2037*N2037*IF(AND(Inputs!$B$38&lt;&gt;"pvp",Inputs!$B$43&gt;0),((Skills!F7*((R2037-1)*IF(Skills!G7&gt;0,Skills!H7/Skills!G7,1)+IF(Skills!G7&gt;0,MIN(Skills!H7,MAX(0,MAX(0,Inputs!$B$43-B2064)-((R2037-1)*IF(Inputs!$B$38="pvp",15,MAX(0.1,Skills!D7-IF(Skills!E7=TRUE,Inputs!$B$32,0))))))/Skills!G7,1)))/Inputs!$B$43),G2037*Q2037))*IF(Inputs!$B$38="pvp",1,(1+(Inputs!$B$21+Skills!P7+B2058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Skills!A8</f>
        <v/>
      </c>
      <c r="B2038">
        <f>Skills!B8</f>
        <v/>
      </c>
      <c r="C2038">
        <f>Inputs!$B$3&gt;=103</f>
        <v/>
      </c>
      <c r="D2038">
        <f>IF(Skills!C8=1,60+Inputs!$B$25+Inputs!$B$29,IF(Skills!C8=2,90+Inputs!$B$26+Inputs!$B$29,IF(Skills!C8=3,120+Inputs!$B$27+Inputs!$B$29,MAX(0,(Inputs!$B$3-100)*3)+Inputs!$B$28+Inputs!$B$29)))</f>
        <v/>
      </c>
      <c r="E2038">
        <f>INDEX(FactorTable!$B$2:$Y$301, MATCH(ROUND(MIN(300,MAX(1,D2038)),0), FactorTable!$A$2:$A$301,0), Skills!L8+1)</f>
        <v/>
      </c>
      <c r="F2038">
        <f>IF(Skills!M8=TRUE,(Skills!K8/10)*(E2038/1000),Skills!K8/10)+Skills!N8</f>
        <v/>
      </c>
      <c r="G2038">
        <f>Calc!G8</f>
        <v/>
      </c>
      <c r="H2038">
        <f>Calc!H8</f>
        <v/>
      </c>
      <c r="I2038">
        <f>IF(Skills!T8&lt;&gt;"",1+(Skills!T8/10)*(Z2033/1000)/100,1)</f>
        <v/>
      </c>
      <c r="J2038">
        <f>((Inputs!$B$6*(1+Inputs!$B$7/100))+(((Inputs!$B$12*(1+Inputs!$B$13/100))-(Inputs!$B$12*(1+Inputs!$B$13/100)))+0.25*(Inputs!$B$14-Inputs!$B$14))*(1+Inputs!$B$7/100))*(F2038/100)</f>
        <v/>
      </c>
      <c r="K2038">
        <f>J2038*(1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8="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F2048-Calc!F18),(Inputs!$B$23+(IF(ArtifactsInput!$M$15,CHOOSE(ArtifactsInput!$N$15+1,25,30,35,40,45,50)/100*(Inputs!$B$11-Inputs!$B$11),0))))/100+(Inputs!$B$23+(IF(ArtifactsInput!$M$15,CHOOSE(ArtifactsInput!$N$15+1,25,30,35,40,45,50)/100*(Inputs!$B$11-Inputs!$B$11),0)))/100)/2</f>
        <v/>
      </c>
      <c r="M2038">
        <f>L2038*(1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8">
        <f>L2038*(1-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(1-Summary!$B$11)*S2038+Summary!$B$11*U2038</f>
        <v/>
      </c>
      <c r="P2038">
        <f>IF(B2067=0,0,O2038/B2067)</f>
        <v/>
      </c>
      <c r="Q2038">
        <f>IFERROR(1/IF(Inputs!$B$38="pvp",15,MAX(0.1,Skills!D8-IF(Skills!E8=TRUE,Inputs!$B$32,0))),0)</f>
        <v/>
      </c>
      <c r="R2038">
        <f>IF(AND(Inputs!$B$38&lt;&gt;"pvp",Inputs!$B$43&gt;0),IF(MAX(0,Inputs!$B$43-B2064)&lt;=0,0,(INT(MAX(0,Inputs!$B$43-B2064)/IF(Inputs!$B$38="pvp",15,MAX(0.1,Skills!D8-IF(Skills!E8=TRUE,Inputs!$B$32,0))))+1)),0)</f>
        <v/>
      </c>
      <c r="S2038">
        <f>IF(C2038,(H2038*N2038*IF(AND(Inputs!$B$38&lt;&gt;"pvp",Inputs!$B$43&gt;0),((Skills!F8*((R2038-1)*IF(Skills!G8&gt;0,Skills!H8/Skills!G8,1)+IF(Skills!G8&gt;0,MIN(Skills!H8,MAX(0,MAX(0,Inputs!$B$43-B2064)-((R2038-1)*IF(Inputs!$B$38="pvp",15,MAX(0.1,Skills!D8-IF(Skills!E8=TRUE,Inputs!$B$32,0))))))/Skills!G8,1)))/Inputs!$B$43),G2038*Q2038))*IF(Inputs!$B$38="pvp",1,1+(Inputs!$B$20+Skills!O8+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2038*(1-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8">
        <f>IF(C2038,(H2038*N2038*IF(AND(Inputs!$B$38&lt;&gt;"pvp",Inputs!$B$43&gt;0),((Skills!F8*((R2038-1)*IF(Skills!G8&gt;0,Skills!H8/Skills!G8,1)+IF(Skills!G8&gt;0,MIN(Skills!H8,MAX(0,MAX(0,Inputs!$B$43-B2064)-((R2038-1)*IF(Inputs!$B$38="pvp",15,MAX(0.1,Skills!D8-IF(Skills!E8=TRUE,Inputs!$B$32,0))))))/Skills!G8,1)))/Inputs!$B$43),G2038*Q2038))*IF(Inputs!$B$38="pvp",1,(1+(Inputs!$B$21+Skills!P8+B2058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Skills!A9</f>
        <v/>
      </c>
      <c r="B2039">
        <f>Skills!B9</f>
        <v/>
      </c>
      <c r="C2039">
        <f>Inputs!$B$3&gt;=105</f>
        <v/>
      </c>
      <c r="D2039">
        <f>IF(Skills!C9=1,60+Inputs!$B$25+Inputs!$B$29,IF(Skills!C9=2,90+Inputs!$B$26+Inputs!$B$29,IF(Skills!C9=3,120+Inputs!$B$27+Inputs!$B$29,MAX(0,(Inputs!$B$3-100)*3)+Inputs!$B$28+Inputs!$B$29)))</f>
        <v/>
      </c>
      <c r="E2039">
        <f>INDEX(FactorTable!$B$2:$Y$301, MATCH(ROUND(MIN(300,MAX(1,D2039)),0), FactorTable!$A$2:$A$301,0), Skills!L9+1)</f>
        <v/>
      </c>
      <c r="F2039">
        <f>IF(Skills!M9=TRUE,(Skills!K9/10)*(E2039/1000),Skills!K9/10)+Skills!N9</f>
        <v/>
      </c>
      <c r="G2039">
        <f>Calc!G9</f>
        <v/>
      </c>
      <c r="H2039">
        <f>Calc!H9</f>
        <v/>
      </c>
      <c r="I2039">
        <f>IF(Skills!T9&lt;&gt;"",1+(Skills!T9/10)*(Z2033/1000)/100,1)</f>
        <v/>
      </c>
      <c r="J2039">
        <f>((Inputs!$B$6*(1+Inputs!$B$7/100))+(((Inputs!$B$12*(1+Inputs!$B$13/100))-(Inputs!$B$12*(1+Inputs!$B$13/100)))+0.25*(Inputs!$B$14-Inputs!$B$14))*(1+Inputs!$B$7/100))*(F2039/100)</f>
        <v/>
      </c>
      <c r="K2039">
        <f>J2039*(1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9="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F2048-Calc!F18),(Inputs!$B$23+(IF(ArtifactsInput!$M$15,CHOOSE(ArtifactsInput!$N$15+1,25,30,35,40,45,50)/100*(Inputs!$B$11-Inputs!$B$11),0))))/100+(Inputs!$B$23+(IF(ArtifactsInput!$M$15,CHOOSE(ArtifactsInput!$N$15+1,25,30,35,40,45,50)/100*(Inputs!$B$11-Inputs!$B$11),0)))/100)/2</f>
        <v/>
      </c>
      <c r="M2039">
        <f>L2039*(1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9">
        <f>L2039*(1-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(1-Summary!$B$11)*S2039+Summary!$B$11*U2039</f>
        <v/>
      </c>
      <c r="P2039">
        <f>IF(B2067=0,0,O2039/B2067)</f>
        <v/>
      </c>
      <c r="Q2039">
        <f>IFERROR(1/IF(Inputs!$B$38="pvp",15,MAX(0.1,Skills!D9-IF(Skills!E9=TRUE,Inputs!$B$32,0))),0)</f>
        <v/>
      </c>
      <c r="R2039">
        <f>IF(AND(Inputs!$B$38&lt;&gt;"pvp",Inputs!$B$43&gt;0),IF(MAX(0,Inputs!$B$43-B2064)&lt;=0,0,(INT(MAX(0,Inputs!$B$43-B2064)/IF(Inputs!$B$38="pvp",15,MAX(0.1,Skills!D9-IF(Skills!E9=TRUE,Inputs!$B$32,0))))+1)),0)</f>
        <v/>
      </c>
      <c r="S2039">
        <f>IF(C2039,(H2039*N2039*IF(AND(Inputs!$B$38&lt;&gt;"pvp",Inputs!$B$43&gt;0),((Skills!F9*((R2039-1)*IF(Skills!G9&gt;0,Skills!H9/Skills!G9,1)+IF(Skills!G9&gt;0,MIN(Skills!H9,MAX(0,MAX(0,Inputs!$B$43-B2064)-((R2039-1)*IF(Inputs!$B$38="pvp",15,MAX(0.1,Skills!D9-IF(Skills!E9=TRUE,Inputs!$B$32,0))))))/Skills!G9,1)))/Inputs!$B$43),G2039*Q2039))*IF(Inputs!$B$38="pvp",1,1+(Inputs!$B$20+Skills!O9+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2039*(1-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9">
        <f>IF(C2039,(H2039*N2039*IF(AND(Inputs!$B$38&lt;&gt;"pvp",Inputs!$B$43&gt;0),((Skills!F9*((R2039-1)*IF(Skills!G9&gt;0,Skills!H9/Skills!G9,1)+IF(Skills!G9&gt;0,MIN(Skills!H9,MAX(0,MAX(0,Inputs!$B$43-B2064)-((R2039-1)*IF(Inputs!$B$38="pvp",15,MAX(0.1,Skills!D9-IF(Skills!E9=TRUE,Inputs!$B$32,0))))))/Skills!G9,1)))/Inputs!$B$43),G2039*Q2039))*IF(Inputs!$B$38="pvp",1,(1+(Inputs!$B$21+Skills!P9+B2058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Skills!A10</f>
        <v/>
      </c>
      <c r="B2040">
        <f>Skills!B10</f>
        <v/>
      </c>
      <c r="C2040">
        <f>Inputs!$B$3&gt;=113</f>
        <v/>
      </c>
      <c r="D2040">
        <f>IF(Skills!C10=1,60+Inputs!$B$25+Inputs!$B$29,IF(Skills!C10=2,90+Inputs!$B$26+Inputs!$B$29,IF(Skills!C10=3,120+Inputs!$B$27+Inputs!$B$29,MAX(0,(Inputs!$B$3-100)*3)+Inputs!$B$28+Inputs!$B$29)))</f>
        <v/>
      </c>
      <c r="E2040">
        <f>INDEX(FactorTable!$B$2:$Y$301, MATCH(ROUND(MIN(300,MAX(1,D2040)),0), FactorTable!$A$2:$A$301,0), Skills!L10+1)</f>
        <v/>
      </c>
      <c r="F2040">
        <f>IF(Skills!M10=TRUE,(Skills!K10/10)*(E2040/1000),Skills!K10/10)+Skills!N10</f>
        <v/>
      </c>
      <c r="G2040">
        <f>Calc!G10</f>
        <v/>
      </c>
      <c r="H2040">
        <f>Calc!H10</f>
        <v/>
      </c>
      <c r="I2040">
        <f>IF(Skills!T10&lt;&gt;"",1+(Skills!T10/10)*(Z2033/1000)/100,1)</f>
        <v/>
      </c>
      <c r="J2040">
        <f>((Inputs!$B$6*(1+Inputs!$B$7/100))+(((Inputs!$B$12*(1+Inputs!$B$13/100))-(Inputs!$B$12*(1+Inputs!$B$13/100)))+0.25*(Inputs!$B$14-Inputs!$B$14))*(1+Inputs!$B$7/100))*(F2040/100)</f>
        <v/>
      </c>
      <c r="K2040">
        <f>J2040*(1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10="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F2048-Calc!F18),(Inputs!$B$23+(IF(ArtifactsInput!$M$15,CHOOSE(ArtifactsInput!$N$15+1,25,30,35,40,45,50)/100*(Inputs!$B$11-Inputs!$B$11),0))))/100+(Inputs!$B$23+(IF(ArtifactsInput!$M$15,CHOOSE(ArtifactsInput!$N$15+1,25,30,35,40,45,50)/100*(Inputs!$B$11-Inputs!$B$11),0)))/100)/2</f>
        <v/>
      </c>
      <c r="M2040">
        <f>L2040*(1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0">
        <f>L2040*(1-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(1-Summary!$B$11)*S2040+Summary!$B$11*U2040</f>
        <v/>
      </c>
      <c r="P2040">
        <f>IF(B2067=0,0,O2040/B2067)</f>
        <v/>
      </c>
      <c r="Q2040">
        <f>IFERROR(1/IF(Inputs!$B$38="pvp",15,MAX(0.1,Skills!D10-IF(Skills!E9=TRUE,Inputs!$B$32,0))),0)</f>
        <v/>
      </c>
      <c r="R2040">
        <f>IF(AND(Inputs!$B$38&lt;&gt;"pvp",Inputs!$B$43&gt;0),IF(MAX(0,Inputs!$B$43-B2064)&lt;=0,0,(INT(MAX(0,Inputs!$B$43-B2064)/IF(Inputs!$B$38="pvp",15,MAX(0.1,Skills!D10-IF(Skills!E9=TRUE,Inputs!$B$32,0))))+1)),0)</f>
        <v/>
      </c>
      <c r="S2040">
        <f>IF(C2040,(H2040*N2040*IF(AND(Inputs!$B$38&lt;&gt;"pvp",Inputs!$B$43&gt;0),((Skills!F10*((R2040-1)*IF(Skills!G10&gt;0,Skills!H10/Skills!G10,1)+IF(Skills!G10&gt;0,MIN(Skills!H10,MAX(0,MAX(0,Inputs!$B$43-B2064)-((R2040-1)*IF(Inputs!$B$38="pvp",15,MAX(0.1,Skills!D10-IF(Skills!E9=TRUE,Inputs!$B$32,0))))))/Skills!G10,1)))/Inputs!$B$43),G2040*Q2040))*IF(Inputs!$B$38="pvp",1,1+(Inputs!$B$20+Skills!O10+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2040*(1-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0">
        <f>IF(C2040,(H2040*N2040*IF(AND(Inputs!$B$38&lt;&gt;"pvp",Inputs!$B$43&gt;0),((Skills!F10*((R2040-1)*IF(Skills!G10&gt;0,Skills!H10/Skills!G10,1)+IF(Skills!G10&gt;0,MIN(Skills!H10,MAX(0,MAX(0,Inputs!$B$43-B2064)-((R2040-1)*IF(Inputs!$B$38="pvp",15,MAX(0.1,Skills!D10-IF(Skills!E9=TRUE,Inputs!$B$32,0))))))/Skills!G10,1)))/Inputs!$B$43),G2040*Q2040))*IF(Inputs!$B$38="pvp",1,(1+(Inputs!$B$21+Skills!P10+B2058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Skills!A11</f>
        <v/>
      </c>
      <c r="B2041">
        <f>Skills!B11</f>
        <v/>
      </c>
      <c r="C2041">
        <f>Inputs!$B$3&gt;=107</f>
        <v/>
      </c>
      <c r="D2041">
        <f>IF(Skills!C11=1,60+Inputs!$B$25+Inputs!$B$29,IF(Skills!C11=2,90+Inputs!$B$26+Inputs!$B$29,IF(Skills!C11=3,120+Inputs!$B$27+Inputs!$B$29,MAX(0,(Inputs!$B$3-100)*3)+Inputs!$B$28+Inputs!$B$29)))</f>
        <v/>
      </c>
      <c r="E2041">
        <f>INDEX(FactorTable!$B$2:$Y$301, MATCH(ROUND(MIN(300,MAX(1,D2041)),0), FactorTable!$A$2:$A$301,0), Skills!L11+1)</f>
        <v/>
      </c>
      <c r="F2041">
        <f>IF(Skills!M11=TRUE,(Skills!K11/10)*(E2041/1000),Skills!K11/10)+Skills!N11</f>
        <v/>
      </c>
      <c r="G2041">
        <f>Calc!G11</f>
        <v/>
      </c>
      <c r="H2041">
        <f>Calc!H11</f>
        <v/>
      </c>
      <c r="I2041">
        <f>IF(Skills!T11&lt;&gt;"",1+(Skills!T11/10)*(Z2033/1000)/100,1)</f>
        <v/>
      </c>
      <c r="J2041">
        <f>((Inputs!$B$6*(1+Inputs!$B$7/100))+(((Inputs!$B$12*(1+Inputs!$B$13/100))-(Inputs!$B$12*(1+Inputs!$B$13/100)))+0.25*(Inputs!$B$14-Inputs!$B$14))*(1+Inputs!$B$7/100))*(F2041/100)</f>
        <v/>
      </c>
      <c r="K2041">
        <f>J2041*(1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11="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F2048-Calc!F18),(Inputs!$B$23+(IF(ArtifactsInput!$M$15,CHOOSE(ArtifactsInput!$N$15+1,25,30,35,40,45,50)/100*(Inputs!$B$11-Inputs!$B$11),0))))/100+(Inputs!$B$23+(IF(ArtifactsInput!$M$15,CHOOSE(ArtifactsInput!$N$15+1,25,30,35,40,45,50)/100*(Inputs!$B$11-Inputs!$B$11),0)))/100)/2</f>
        <v/>
      </c>
      <c r="M2041">
        <f>L2041*(1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1">
        <f>L2041*(1-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(1-Summary!$B$11)*S2041+Summary!$B$11*U2041</f>
        <v/>
      </c>
      <c r="P2041">
        <f>IF(B2067=0,0,O2041/B2067)</f>
        <v/>
      </c>
      <c r="Q2041">
        <f>IFERROR(1/IF(Inputs!$B$38="pvp",15,MAX(0.1,Skills!D11-IF(Skills!E11=TRUE,Inputs!$B$32,0))),0)</f>
        <v/>
      </c>
      <c r="R2041">
        <f>IF(AND(Inputs!$B$38&lt;&gt;"pvp",Inputs!$B$43&gt;0),IF(MAX(0,Inputs!$B$43-B2064)&lt;=0,0,(INT(MAX(0,Inputs!$B$43-B2064)/IF(Inputs!$B$38="pvp",15,MAX(0.1,Skills!D11-IF(Skills!E11=TRUE,Inputs!$B$32,0))))+1)),0)</f>
        <v/>
      </c>
      <c r="S2041">
        <f>IF(C2041,H2041*N2041*IF(AND(Inputs!$B$38&lt;&gt;"pvp",Inputs!$B$43&gt;0),((Skills!F11*((R2041-1)*IF(Skills!G11&gt;0,Skills!H11/Skills!G11,1)+IF(Skills!G11&gt;0,MIN(Skills!H11,MAX(0,MAX(0,Inputs!$B$43-B2064)-((R2041-1)*IF(Inputs!$B$38="pvp",15,MAX(0.1,Skills!D11-IF(Skills!E11=TRUE,Inputs!$B$32,0))))))/Skills!G11,1)))/Inputs!$B$43),G2041*Q2041)*0.5*IF(Inputs!$B$38="pvp",1,1+(Inputs!$B$20+Skills!O11+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IF(C2041,H2041*N2041*IF(AND(Inputs!$B$38&lt;&gt;"pvp",Inputs!$B$43&gt;0),((Skills!F11*((R2041-1)*IF(Skills!G11&gt;0,Skills!H11/Skills!G11,1)+IF(Skills!G11&gt;0,MIN(Skills!H11,MAX(0,MAX(0,Inputs!$B$43-B2064)-((R2041-1)*IF(Inputs!$B$38="pvp",15,MAX(0.1,Skills!D11-IF(Skills!E11=TRUE,Inputs!$B$32,0))))))/Skills!G11,1)))/Inputs!$B$43),G2041*Q2041)*1*IF(Inputs!$B$38="pvp",1,(1+(Inputs!$B$21+Skills!P11+B2058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Skills!A12</f>
        <v/>
      </c>
      <c r="B2042">
        <f>Skills!B12</f>
        <v/>
      </c>
      <c r="C2042">
        <f>Inputs!$B$3&gt;=115</f>
        <v/>
      </c>
      <c r="D2042">
        <f>IF(Skills!C12=1,60+Inputs!$B$25+Inputs!$B$29,IF(Skills!C12=2,90+Inputs!$B$26+Inputs!$B$29,IF(Skills!C12=3,120+Inputs!$B$27+Inputs!$B$29,MAX(0,(Inputs!$B$3-100)*3)+Inputs!$B$28+Inputs!$B$29)))</f>
        <v/>
      </c>
      <c r="E2042">
        <f>INDEX(FactorTable!$B$2:$Y$301, MATCH(ROUND(MIN(300,MAX(1,D2042)),0), FactorTable!$A$2:$A$301,0), Skills!L12+1)</f>
        <v/>
      </c>
      <c r="F2042">
        <f>IF(Skills!M12=TRUE,(Skills!K12/10)*(E2042/1000),Skills!K12/10)+Skills!N12</f>
        <v/>
      </c>
      <c r="G2042">
        <f>Calc!G12</f>
        <v/>
      </c>
      <c r="H2042">
        <f>Calc!H12</f>
        <v/>
      </c>
      <c r="I2042">
        <f>IF(Skills!T12&lt;&gt;"",1+(Skills!T12/10)*(Z2033/1000)/100,1)</f>
        <v/>
      </c>
      <c r="J2042">
        <f>((Inputs!$B$6*(1+Inputs!$B$7/100))+(((Inputs!$B$12*(1+Inputs!$B$13/100))-(Inputs!$B$12*(1+Inputs!$B$13/100)))+0.25*(Inputs!$B$14-Inputs!$B$14))*(1+Inputs!$B$7/100))*(F2042/100)</f>
        <v/>
      </c>
      <c r="K2042">
        <f>J2042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12="CHAIN_LIGHTNING",Inputs!$B$17+((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F2048-Calc!F18),(Inputs!$B$23+(IF(ArtifactsInput!$M$15,CHOOSE(ArtifactsInput!$N$15+1,25,30,35,40,45,50)/100*(Inputs!$B$11-Inputs!$B$11),0))))/100+(Inputs!$B$23+(IF(ArtifactsInput!$M$15,CHOOSE(ArtifactsInput!$N$15+1,25,30,35,40,45,50)/100*(Inputs!$B$11-Inputs!$B$11),0)))/100)/2</f>
        <v/>
      </c>
      <c r="M2042">
        <f>L2042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2">
        <f>L2042*(1-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(1-Summary!$B$11)*S2042+Summary!$B$11*U2042</f>
        <v/>
      </c>
      <c r="P2042">
        <f>IF(B2067=0,0,O2042/B2067)</f>
        <v/>
      </c>
      <c r="Q2042">
        <f>IFERROR(1/IF(Inputs!$B$38="pvp",15,MAX(0.1,Skills!D12-IF(Skills!E12=TRUE,Inputs!$B$32,0))),0)</f>
        <v/>
      </c>
      <c r="R2042">
        <f>IF(AND(Inputs!$B$38&lt;&gt;"pvp",Inputs!$B$43&gt;0),IF(MAX(0,Inputs!$B$43-B2064)&lt;=0,0,(INT(MAX(0,Inputs!$B$43-B2064)/IF(Inputs!$B$38="pvp",15,MAX(0.1,Skills!D12-IF(Skills!E12=TRUE,Inputs!$B$32,0))))+1)),0)</f>
        <v/>
      </c>
      <c r="S2042">
        <f>IF(C2042,(H2042*N2042*IF(AND(Inputs!$B$38&lt;&gt;"pvp",Inputs!$B$43&gt;0),((Skills!F12*((R2042-1)*IF(Skills!G12&gt;0,Skills!H12/Skills!G12,1)+IF(Skills!G12&gt;0,MIN(Skills!H12,MAX(0,MAX(0,Inputs!$B$43-B2064)-((R2042-1)*IF(Inputs!$B$38="pvp",15,MAX(0.1,Skills!D12-IF(Skills!E12=TRUE,Inputs!$B$32,0))))))/Skills!G12,1)))/Inputs!$B$43),G2042*Q2042))*IF(Inputs!$B$38="pvp",1,1+(Inputs!$B$20+Skills!O12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2042*(1-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F2050-Calc!F20)+(F2049-Calc!F19))+(ArtifactsInput!$M$24-ArtifactsInput!$M$24)*CHOOSE(ArtifactsInput!$N$24+1,10,12,14,16,18,20)+(IF(AND(Inputs!$B$38&lt;&gt;"pvp",Inputs!$B$43=0),1,IF(IF(Inputs!$B$38="pvp",15,Inputs!$B$43)-(B2064)&lt;=0,1,MAX(0,IF(Inputs!$B$38="pvp",15,Inputs!$B$43)-MAX(5,B2064))/(IF(Inputs!$B$38="pvp",15,Inputs!$B$43)-(B2064)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F(C2042,(H2042*N2042*IF(AND(Inputs!$B$38&lt;&gt;"pvp",Inputs!$B$43&gt;0),((Skills!F12*((R2042-1)*IF(Skills!G12&gt;0,Skills!H12/Skills!G12,1)+IF(Skills!G12&gt;0,MIN(Skills!H12,MAX(0,MAX(0,Inputs!$B$43-B2064)-((R2042-1)*IF(Inputs!$B$38="pvp",15,MAX(0.1,Skills!D12-IF(Skills!E12=TRUE,Inputs!$B$32,0))))))/Skills!G12,1)))/Inputs!$B$43),G2042*Q2042))*IF(Inputs!$B$38="pvp",1,(1+(Inputs!$B$21+Skills!P12+B2058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Skills!A13</f>
        <v/>
      </c>
      <c r="B2043">
        <f>Skills!B13</f>
        <v/>
      </c>
      <c r="C2043">
        <f>Inputs!$B$3&gt;=49</f>
        <v/>
      </c>
      <c r="D2043">
        <f>IF(Skills!C13=1,60+Inputs!$B$25+Inputs!$B$29,IF(Skills!C13=2,90+Inputs!$B$26+Inputs!$B$29,IF(Skills!C13=3,120+Inputs!$B$27+Inputs!$B$29,MAX(0,(Inputs!$B$3-100)*3)+Inputs!$B$28+Inputs!$B$29)))</f>
        <v/>
      </c>
      <c r="E2043">
        <f>INDEX(FactorTable!$B$2:$Y$301, MATCH(ROUND(MIN(300,MAX(1,D2043)),0), FactorTable!$A$2:$A$301,0), Skills!L13+1)</f>
        <v/>
      </c>
      <c r="F2043">
        <f>IF(Skills!M13=TRUE,(Skills!K13/10)*(E2043/1000),Skills!K13/10)+Skills!N13</f>
        <v/>
      </c>
      <c r="G2043">
        <f>Calc!G13</f>
        <v/>
      </c>
      <c r="H2043">
        <f>Calc!H13</f>
        <v/>
      </c>
      <c r="I2043">
        <f>IF(Skills!T13&lt;&gt;"",1+(Skills!T13/10)*(Z2033/1000)/100,1)</f>
        <v/>
      </c>
      <c r="J2043" t="inlineStr"/>
      <c r="K2043" t="inlineStr"/>
      <c r="L2043" t="inlineStr"/>
      <c r="M2043" t="inlineStr"/>
      <c r="N2043" t="inlineStr"/>
      <c r="O2043">
        <f>(1-Summary!$B$11)*S2043+Summary!$B$11*U2043</f>
        <v/>
      </c>
      <c r="P2043">
        <f>IF(B2067=0,0,O2043/B2067)</f>
        <v/>
      </c>
      <c r="Q2043">
        <f>IFERROR(1/IF(Inputs!$B$38="pvp",15,MAX(0.1,Skills!D13-IF(Skills!E13=TRUE,Inputs!$B$32,0))),0)</f>
        <v/>
      </c>
      <c r="R2043" t="n">
        <v>0</v>
      </c>
      <c r="S2043" t="n">
        <v>0</v>
      </c>
      <c r="U2043" t="n">
        <v>0</v>
      </c>
    </row>
    <row r="2044">
      <c r="A2044">
        <f>Skills!A14</f>
        <v/>
      </c>
      <c r="B2044">
        <f>Skills!B14</f>
        <v/>
      </c>
      <c r="C2044">
        <f>Inputs!$B$3&gt;=72</f>
        <v/>
      </c>
      <c r="D2044">
        <f>IF(Skills!C14=1,60+Inputs!$B$25+Inputs!$B$29,IF(Skills!C14=2,90+Inputs!$B$26+Inputs!$B$29,IF(Skills!C14=3,120+Inputs!$B$27+Inputs!$B$29,MAX(0,(Inputs!$B$3-100)*3)+Inputs!$B$28+Inputs!$B$29)))</f>
        <v/>
      </c>
      <c r="E2044">
        <f>INDEX(FactorTable!$B$2:$Y$301, MATCH(ROUND(MIN(300,MAX(1,D2044)),0), FactorTable!$A$2:$A$301,0), Skills!L14+1)</f>
        <v/>
      </c>
      <c r="F2044">
        <f>IF(Skills!M14=TRUE,(Skills!K14/10)*(E2044/1000),Skills!K14/10)+Skills!N14</f>
        <v/>
      </c>
      <c r="G2044">
        <f>Calc!G14</f>
        <v/>
      </c>
      <c r="H2044">
        <f>Calc!H14</f>
        <v/>
      </c>
      <c r="I2044">
        <f>IF(Skills!T14&lt;&gt;"",1+(Skills!T14/10)*(Z2033/1000)/100,1)</f>
        <v/>
      </c>
      <c r="J2044" t="inlineStr"/>
      <c r="K2044" t="inlineStr"/>
      <c r="L2044" t="inlineStr"/>
      <c r="M2044" t="inlineStr"/>
      <c r="N2044" t="inlineStr"/>
      <c r="O2044">
        <f>(1-Summary!$B$11)*S2044+Summary!$B$11*U2044</f>
        <v/>
      </c>
      <c r="P2044">
        <f>IF(B2067=0,0,O2044/B2067)</f>
        <v/>
      </c>
      <c r="Q2044">
        <f>IFERROR(1/IF(Inputs!$B$38="pvp",15,MAX(0.1,Skills!D14-IF(Skills!E14=TRUE,Inputs!$B$32,0))),0)</f>
        <v/>
      </c>
      <c r="R2044" t="n">
        <v>0</v>
      </c>
      <c r="S2044" t="n">
        <v>0</v>
      </c>
      <c r="U2044" t="n">
        <v>0</v>
      </c>
    </row>
    <row r="2045">
      <c r="A2045">
        <f>Skills!A15</f>
        <v/>
      </c>
      <c r="B2045">
        <f>Skills!B15</f>
        <v/>
      </c>
      <c r="C2045">
        <f>Inputs!$B$3&gt;=75</f>
        <v/>
      </c>
      <c r="D2045">
        <f>IF(Skills!C15=1,60+Inputs!$B$25+Inputs!$B$29,IF(Skills!C15=2,90+Inputs!$B$26+Inputs!$B$29,IF(Skills!C15=3,120+Inputs!$B$27+Inputs!$B$29,MAX(0,(Inputs!$B$3-100)*3)+Inputs!$B$28+Inputs!$B$29)))</f>
        <v/>
      </c>
      <c r="E2045">
        <f>INDEX(FactorTable!$B$2:$Y$301, MATCH(ROUND(MIN(300,MAX(1,D2045)),0), FactorTable!$A$2:$A$301,0), Skills!L15+1)</f>
        <v/>
      </c>
      <c r="F2045">
        <f>IF(Skills!M15=TRUE,(Skills!K15/10)*(E2045/1000),Skills!K15/10)+Skills!N15</f>
        <v/>
      </c>
      <c r="G2045">
        <f>Calc!G15</f>
        <v/>
      </c>
      <c r="H2045">
        <f>Calc!H15</f>
        <v/>
      </c>
      <c r="I2045">
        <f>IF(Skills!T15&lt;&gt;"",1+(Skills!T15/10)*(Z2033/1000)/100,1)</f>
        <v/>
      </c>
      <c r="J2045" t="inlineStr"/>
      <c r="K2045" t="inlineStr"/>
      <c r="L2045" t="inlineStr"/>
      <c r="M2045" t="inlineStr"/>
      <c r="N2045" t="inlineStr"/>
      <c r="O2045">
        <f>(1-Summary!$B$11)*S2045+Summary!$B$11*U2045</f>
        <v/>
      </c>
      <c r="P2045">
        <f>IF(B2067=0,0,O2045/B2067)</f>
        <v/>
      </c>
      <c r="Q2045">
        <f>IFERROR(1/IF(Inputs!$B$38="pvp",15,MAX(0.1,Skills!D15-IF(Skills!E15=TRUE,Inputs!$B$32,0))),0)</f>
        <v/>
      </c>
      <c r="R2045" t="n">
        <v>0</v>
      </c>
      <c r="S2045" t="n">
        <v>0</v>
      </c>
      <c r="U2045" t="n">
        <v>0</v>
      </c>
    </row>
    <row r="2046">
      <c r="A2046">
        <f>Skills!A16</f>
        <v/>
      </c>
      <c r="B2046">
        <f>Skills!B16</f>
        <v/>
      </c>
      <c r="C2046">
        <f>Inputs!$B$3&gt;=110</f>
        <v/>
      </c>
      <c r="D2046">
        <f>IF(Skills!C16=1,60+Inputs!$B$25+Inputs!$B$29,IF(Skills!C16=2,90+Inputs!$B$26+Inputs!$B$29,IF(Skills!C16=3,120+Inputs!$B$27+Inputs!$B$29,MAX(0,(Inputs!$B$3-100)*3)+Inputs!$B$28+Inputs!$B$29)))</f>
        <v/>
      </c>
      <c r="E2046">
        <f>INDEX(FactorTable!$B$2:$Y$301, MATCH(ROUND(MIN(300,MAX(1,D2046)),0), FactorTable!$A$2:$A$301,0), Skills!L16+1)</f>
        <v/>
      </c>
      <c r="F2046">
        <f>(Skills!K16/10)*(E2046/1000)*64/45+Skills!N16</f>
        <v/>
      </c>
      <c r="G2046">
        <f>Calc!G16</f>
        <v/>
      </c>
      <c r="H2046">
        <f>Calc!H16</f>
        <v/>
      </c>
      <c r="I2046">
        <f>IF(Skills!T16&lt;&gt;"",1+(Skills!T16/10)*(Z2033/1000)/100,1)</f>
        <v/>
      </c>
      <c r="J2046" t="inlineStr"/>
      <c r="K2046" t="inlineStr"/>
      <c r="L2046" t="inlineStr"/>
      <c r="M2046" t="inlineStr"/>
      <c r="N2046" t="inlineStr"/>
      <c r="O2046">
        <f>(1-Summary!$B$11)*S2046+Summary!$B$11*U2046</f>
        <v/>
      </c>
      <c r="P2046">
        <f>IF(B2067=0,0,O2046/B2067)</f>
        <v/>
      </c>
      <c r="Q2046">
        <f>IFERROR(1/IF(Inputs!$B$38="pvp",15,MAX(0.1,Skills!D16-IF(Skills!E16=TRUE,Inputs!$B$32,0))),0)</f>
        <v/>
      </c>
      <c r="R2046">
        <f>IF(AND(Inputs!$B$38&lt;&gt;"pvp",Inputs!$B$43&gt;0),IF(Inputs!$B$43&lt;=0,0,(INT(Inputs!$B$43/IF(Inputs!$B$38="pvp",15,MAX(0.1,Skills!D16-IF(Skills!E16=TRUE,Inputs!$B$32,0))))+1)),0)</f>
        <v/>
      </c>
      <c r="S2046" t="n">
        <v>0</v>
      </c>
      <c r="U2046" t="n">
        <v>0</v>
      </c>
    </row>
    <row r="2047">
      <c r="A2047">
        <f>Skills!A17</f>
        <v/>
      </c>
      <c r="B2047">
        <f>Skills!B17</f>
        <v/>
      </c>
      <c r="C2047">
        <f>Inputs!$B$3&gt;=33</f>
        <v/>
      </c>
      <c r="D2047">
        <f>IF(Skills!C17=1,60+Inputs!$B$25+Inputs!$B$29,IF(Skills!C17=2,90+Inputs!$B$26+Inputs!$B$29,IF(Skills!C17=3,120+Inputs!$B$27+Inputs!$B$29,MAX(0,(Inputs!$B$3-100)*3)+Inputs!$B$28+Inputs!$B$29)))</f>
        <v/>
      </c>
      <c r="E2047">
        <f>INDEX(FactorTable!$B$2:$Y$301, MATCH(ROUND(MIN(300,MAX(1,D2047)),0), FactorTable!$A$2:$A$301,0), Skills!L17+1)</f>
        <v/>
      </c>
      <c r="F2047">
        <f>IF(Skills!M17=TRUE,(Skills!K17/10)*(E2047/1000),Skills!K17/10)+Skills!N17</f>
        <v/>
      </c>
      <c r="G2047">
        <f>Calc!G17</f>
        <v/>
      </c>
      <c r="H2047">
        <f>Calc!H17</f>
        <v/>
      </c>
      <c r="I2047">
        <f>IF(Skills!T17&lt;&gt;"",1+(Skills!T17/10)*(Z2033/1000)/100,1)</f>
        <v/>
      </c>
      <c r="J2047" t="inlineStr"/>
      <c r="K2047" t="inlineStr"/>
      <c r="L2047" t="inlineStr"/>
      <c r="M2047" t="inlineStr"/>
      <c r="N2047" t="inlineStr"/>
      <c r="O2047">
        <f>(1-Summary!$B$11)*S2047+Summary!$B$11*U2047</f>
        <v/>
      </c>
      <c r="P2047">
        <f>IF(B2067=0,0,O2047/B2067)</f>
        <v/>
      </c>
      <c r="Q2047">
        <f>IFERROR(1/IF(Inputs!$B$38="pvp",15,MAX(0.1,Skills!D17-IF(Skills!E17=TRUE,Inputs!$B$32,0))),0)</f>
        <v/>
      </c>
      <c r="R2047" t="n">
        <v>0</v>
      </c>
      <c r="S2047" t="n">
        <v>0</v>
      </c>
      <c r="U2047" t="n">
        <v>0</v>
      </c>
    </row>
    <row r="2048">
      <c r="A2048">
        <f>Skills!A18</f>
        <v/>
      </c>
      <c r="B2048">
        <f>Skills!B18</f>
        <v/>
      </c>
      <c r="C2048">
        <f>Inputs!$B$3&gt;=43</f>
        <v/>
      </c>
      <c r="D2048">
        <f>IF(Skills!C18=1,60+Inputs!$B$25+Inputs!$B$29,IF(Skills!C18=2,90+Inputs!$B$26+Inputs!$B$29,IF(Skills!C18=3,120+Inputs!$B$27+Inputs!$B$29,MAX(0,(Inputs!$B$3-100)*3)+Inputs!$B$28+Inputs!$B$29)))</f>
        <v/>
      </c>
      <c r="E2048">
        <f>INDEX(FactorTable!$B$2:$Y$301, MATCH(ROUND(MIN(300,MAX(1,D2048)),0), FactorTable!$A$2:$A$301,0), Skills!L18+1)</f>
        <v/>
      </c>
      <c r="F2048">
        <f>IF(Skills!M18=TRUE,(Skills!K18/10)*(E2048/1000),Skills!K18/10)+Skills!N18</f>
        <v/>
      </c>
      <c r="G2048">
        <f>Calc!G18</f>
        <v/>
      </c>
      <c r="H2048">
        <f>Calc!H18</f>
        <v/>
      </c>
      <c r="I2048">
        <f>IF(Skills!T18&lt;&gt;"",1+(Skills!T18/10)*(Z2033/1000)/100,1)</f>
        <v/>
      </c>
      <c r="J2048" t="inlineStr"/>
      <c r="K2048" t="inlineStr"/>
      <c r="L2048" t="inlineStr"/>
      <c r="M2048" t="inlineStr"/>
      <c r="N2048" t="inlineStr"/>
      <c r="O2048">
        <f>(1-Summary!$B$11)*S2048+Summary!$B$11*U2048</f>
        <v/>
      </c>
      <c r="P2048">
        <f>IF(B2067=0,0,O2048/B2067)</f>
        <v/>
      </c>
      <c r="Q2048">
        <f>IFERROR(1/IF(Inputs!$B$38="pvp",15,MAX(0.1,Skills!D18-IF(Skills!E18=TRUE,Inputs!$B$32,0))),0)</f>
        <v/>
      </c>
      <c r="R2048" t="n">
        <v>0</v>
      </c>
      <c r="S2048" t="n">
        <v>0</v>
      </c>
      <c r="U2048" t="n">
        <v>0</v>
      </c>
    </row>
    <row r="2049">
      <c r="A2049">
        <f>Skills!A19</f>
        <v/>
      </c>
      <c r="B2049">
        <f>Skills!B19</f>
        <v/>
      </c>
      <c r="C2049">
        <f>Inputs!$B$3&gt;=50</f>
        <v/>
      </c>
      <c r="D2049">
        <f>IF(Skills!C19=1,60+Inputs!$B$25+Inputs!$B$29,IF(Skills!C19=2,90+Inputs!$B$26+Inputs!$B$29,IF(Skills!C19=3,120+Inputs!$B$27+Inputs!$B$29,MAX(0,(Inputs!$B$3-100)*3)+Inputs!$B$28+Inputs!$B$29)))</f>
        <v/>
      </c>
      <c r="E2049">
        <f>INDEX(FactorTable!$B$2:$Y$301, MATCH(ROUND(MIN(300,MAX(1,D2049)),0), FactorTable!$A$2:$A$301,0), Skills!L19+1)</f>
        <v/>
      </c>
      <c r="F2049">
        <f>IF(Skills!M19=TRUE,(Skills!K19/10)*(E2049/1000),Skills!K19/10)+Skills!N19</f>
        <v/>
      </c>
      <c r="G2049">
        <f>Calc!G19</f>
        <v/>
      </c>
      <c r="H2049">
        <f>Calc!H19</f>
        <v/>
      </c>
      <c r="I2049">
        <f>IF(Skills!T19&lt;&gt;"",1+(Skills!T19/10)*(Z2033/1000)/100,1)</f>
        <v/>
      </c>
      <c r="J2049" t="inlineStr"/>
      <c r="K2049" t="inlineStr"/>
      <c r="L2049" t="inlineStr"/>
      <c r="M2049" t="inlineStr"/>
      <c r="N2049" t="inlineStr"/>
      <c r="O2049">
        <f>(1-Summary!$B$11)*S2049+Summary!$B$11*U2049</f>
        <v/>
      </c>
      <c r="P2049">
        <f>IF(B2067=0,0,O2049/B2067)</f>
        <v/>
      </c>
      <c r="Q2049">
        <f>IFERROR(1/IF(Inputs!$B$38="pvp",15,MAX(0.1,Skills!D19-IF(Skills!E19=TRUE,Inputs!$B$32,0))),0)</f>
        <v/>
      </c>
      <c r="R2049" t="n">
        <v>0</v>
      </c>
      <c r="S2049" t="n">
        <v>0</v>
      </c>
      <c r="U2049" t="n">
        <v>0</v>
      </c>
    </row>
    <row r="2050">
      <c r="A2050">
        <f>Skills!A20</f>
        <v/>
      </c>
      <c r="B2050">
        <f>Skills!B20</f>
        <v/>
      </c>
      <c r="C2050">
        <f>Inputs!$B$3&gt;=74</f>
        <v/>
      </c>
      <c r="D2050">
        <f>IF(Skills!C20=1,60+Inputs!$B$25+Inputs!$B$29,IF(Skills!C20=2,90+Inputs!$B$26+Inputs!$B$29,IF(Skills!C20=3,120+Inputs!$B$27+Inputs!$B$29,MAX(0,(Inputs!$B$3-100)*3)+Inputs!$B$28+Inputs!$B$29)))</f>
        <v/>
      </c>
      <c r="E2050">
        <f>INDEX(FactorTable!$B$2:$Y$301, MATCH(ROUND(MIN(300,MAX(1,D2050)),0), FactorTable!$A$2:$A$301,0), Skills!L20+1)</f>
        <v/>
      </c>
      <c r="F2050">
        <f>IF(Skills!M20=TRUE,(Skills!K20/10)*(E2050/1000),Skills!K20/10)+Skills!N20</f>
        <v/>
      </c>
      <c r="G2050">
        <f>Calc!G20</f>
        <v/>
      </c>
      <c r="H2050">
        <f>Calc!H20</f>
        <v/>
      </c>
      <c r="I2050">
        <f>IF(Skills!T20&lt;&gt;"",1+(Skills!T20/10)*(Z2033/1000)/100,1)</f>
        <v/>
      </c>
      <c r="J2050" t="inlineStr"/>
      <c r="K2050" t="inlineStr"/>
      <c r="L2050" t="inlineStr"/>
      <c r="M2050" t="inlineStr"/>
      <c r="N2050" t="inlineStr"/>
      <c r="O2050">
        <f>(1-Summary!$B$11)*S2050+Summary!$B$11*U2050</f>
        <v/>
      </c>
      <c r="P2050">
        <f>IF(B2067=0,0,O2050/B2067)</f>
        <v/>
      </c>
      <c r="Q2050">
        <f>IFERROR(1/IF(Inputs!$B$38="pvp",15,MAX(0.1,Skills!D20-IF(Skills!E20=TRUE,Inputs!$B$32,0))),0)</f>
        <v/>
      </c>
      <c r="R2050" t="n">
        <v>0</v>
      </c>
      <c r="S2050" t="n">
        <v>0</v>
      </c>
      <c r="U2050" t="n">
        <v>0</v>
      </c>
    </row>
    <row r="2051">
      <c r="A2051">
        <f>Skills!A21</f>
        <v/>
      </c>
      <c r="B2051">
        <f>Skills!B21</f>
        <v/>
      </c>
      <c r="C2051">
        <f>Inputs!$B$3&gt;=74</f>
        <v/>
      </c>
      <c r="D2051">
        <f>IF(Skills!C21=1,60+Inputs!$B$25+Inputs!$B$29,IF(Skills!C21=2,90+Inputs!$B$26+Inputs!$B$29,IF(Skills!C21=3,120+Inputs!$B$27+Inputs!$B$29,MAX(0,(Inputs!$B$3-100)*3)+Inputs!$B$28+Inputs!$B$29)))</f>
        <v/>
      </c>
      <c r="E2051">
        <f>INDEX(FactorTable!$B$2:$Y$301, MATCH(ROUND(MIN(300,MAX(1,D2051)),0), FactorTable!$A$2:$A$301,0), Skills!L21+1)</f>
        <v/>
      </c>
      <c r="F2051">
        <f>IF(Skills!M21=TRUE,(Skills!K21/10)*(E2051/1000),Skills!K21/10)+Skills!N21</f>
        <v/>
      </c>
      <c r="G2051">
        <f>Calc!G21</f>
        <v/>
      </c>
      <c r="H2051">
        <f>Calc!H21</f>
        <v/>
      </c>
      <c r="I2051">
        <f>IF(Skills!T21&lt;&gt;"",1+(Skills!T21/10)*(Z2033/1000)/100,1)</f>
        <v/>
      </c>
      <c r="J2051" t="inlineStr"/>
      <c r="K2051" t="inlineStr"/>
      <c r="L2051" t="inlineStr"/>
      <c r="M2051" t="inlineStr"/>
      <c r="N2051" t="inlineStr"/>
      <c r="O2051">
        <f>(1-Summary!$B$11)*S2051+Summary!$B$11*U2051</f>
        <v/>
      </c>
      <c r="P2051">
        <f>IF(B2067=0,0,O2051/B2067)</f>
        <v/>
      </c>
      <c r="Q2051">
        <f>IFERROR(1/IF(Inputs!$B$38="pvp",15,MAX(0.1,Skills!D21-IF(Skills!E21=TRUE,Inputs!$B$32,0))),0)</f>
        <v/>
      </c>
      <c r="R2051" t="n">
        <v>0</v>
      </c>
      <c r="S2051" t="n">
        <v>0</v>
      </c>
      <c r="U2051" t="n">
        <v>0</v>
      </c>
    </row>
    <row r="2052">
      <c r="A2052">
        <f>Skills!A22</f>
        <v/>
      </c>
      <c r="B2052">
        <f>Skills!B22</f>
        <v/>
      </c>
      <c r="C2052">
        <f>Inputs!$B$3&gt;=117</f>
        <v/>
      </c>
      <c r="D2052">
        <f>IF(Skills!C22=1,60+Inputs!$B$25+Inputs!$B$29,IF(Skills!C22=2,90+Inputs!$B$26+Inputs!$B$29,IF(Skills!C22=3,120+Inputs!$B$27+Inputs!$B$29,MAX(0,(Inputs!$B$3-100)*3)+Inputs!$B$28+Inputs!$B$29)))</f>
        <v/>
      </c>
      <c r="E2052">
        <f>INDEX(FactorTable!$B$2:$Y$301, MATCH(ROUND(MIN(300,MAX(1,D2052)),0), FactorTable!$A$2:$A$301,0), Skills!L22+1)</f>
        <v/>
      </c>
      <c r="F2052">
        <f>IF(Skills!M22=TRUE,(Skills!K22/10)*(E2052/1000),Skills!K22/10)+Skills!N22</f>
        <v/>
      </c>
      <c r="G2052">
        <f>Calc!G22</f>
        <v/>
      </c>
      <c r="H2052">
        <f>Calc!H22</f>
        <v/>
      </c>
      <c r="I2052">
        <f>IF(Skills!T22&lt;&gt;"",1+(Skills!T22/10)*(Z2033/1000)/100,1)</f>
        <v/>
      </c>
      <c r="J2052" t="inlineStr"/>
      <c r="K2052" t="inlineStr"/>
      <c r="L2052" t="inlineStr"/>
      <c r="M2052" t="inlineStr"/>
      <c r="N2052" t="inlineStr"/>
      <c r="O2052">
        <f>(1-Summary!$B$11)*S2052+Summary!$B$11*U2052</f>
        <v/>
      </c>
      <c r="P2052">
        <f>IF(B2067=0,0,O2052/B2067)</f>
        <v/>
      </c>
      <c r="Q2052">
        <f>IFERROR(1/IF(Inputs!$B$38="pvp",15,MAX(0.1,Skills!D22-IF(Skills!E22=TRUE,Inputs!$B$32,0))),0)</f>
        <v/>
      </c>
      <c r="R2052" t="n">
        <v>0</v>
      </c>
      <c r="S2052" t="n">
        <v>0</v>
      </c>
      <c r="U2052" t="n">
        <v>0</v>
      </c>
    </row>
    <row r="2053">
      <c r="A2053">
        <f>Skills!A23</f>
        <v/>
      </c>
      <c r="B2053">
        <f>Skills!B23</f>
        <v/>
      </c>
      <c r="C2053">
        <f>Inputs!$B$3&gt;=120</f>
        <v/>
      </c>
      <c r="D2053">
        <f>IF(Skills!C23=1,60+Inputs!$B$25+Inputs!$B$29,IF(Skills!C23=2,90+Inputs!$B$26+Inputs!$B$29,IF(Skills!C23=3,120+Inputs!$B$27+Inputs!$B$29,MAX(0,(Inputs!$B$3-100)*3)+Inputs!$B$28+Inputs!$B$29)))</f>
        <v/>
      </c>
      <c r="E2053">
        <f>INDEX(FactorTable!$B$2:$Y$301, MATCH(ROUND(MIN(300,MAX(1,D2053)),0), FactorTable!$A$2:$A$301,0), Skills!L23+1)</f>
        <v/>
      </c>
      <c r="F2053">
        <f>IF(Skills!M23=TRUE,(Skills!K23/10)*(E2053/1000),Skills!K23/10)+Skills!N23</f>
        <v/>
      </c>
      <c r="G2053">
        <f>Calc!G23</f>
        <v/>
      </c>
      <c r="H2053">
        <f>Calc!H23</f>
        <v/>
      </c>
      <c r="I2053">
        <f>IF(Skills!T23&lt;&gt;"",1+(Skills!T23/10)*(Z2033/1000)/100,1)</f>
        <v/>
      </c>
      <c r="J2053" t="inlineStr"/>
      <c r="K2053" t="inlineStr"/>
      <c r="L2053" t="inlineStr"/>
      <c r="M2053" t="inlineStr"/>
      <c r="N2053" t="inlineStr"/>
      <c r="O2053">
        <f>(1-Summary!$B$11)*S2053+Summary!$B$11*U2053</f>
        <v/>
      </c>
      <c r="P2053">
        <f>IF(B2067=0,0,O2053/B2067)</f>
        <v/>
      </c>
      <c r="Q2053">
        <f>IFERROR(1/IF(Inputs!$B$38="pvp",15,MAX(0.1,Skills!D23-IF(Skills!E23=TRUE,Inputs!$B$32,0))),0)</f>
        <v/>
      </c>
      <c r="R2053" t="n">
        <v>0</v>
      </c>
      <c r="S2053" t="n">
        <v>0</v>
      </c>
      <c r="U2053" t="n">
        <v>0</v>
      </c>
    </row>
    <row r="2054">
      <c r="A2054">
        <f>Skills!A24</f>
        <v/>
      </c>
      <c r="B2054">
        <f>Skills!B24</f>
        <v/>
      </c>
      <c r="C2054">
        <f>TRUE</f>
        <v/>
      </c>
      <c r="D2054">
        <f>IF(Skills!C24=1,60+Inputs!$B$25+Inputs!$B$29,IF(Skills!C24=2,90+Inputs!$B$26+Inputs!$B$29,IF(Skills!C24=3,120+Inputs!$B$27+Inputs!$B$29,MAX(0,(Inputs!$B$3-100)*3)+Inputs!$B$28+Inputs!$B$29)))</f>
        <v/>
      </c>
      <c r="E2054">
        <f>INDEX(FactorTable!$B$2:$Y$301, MATCH(ROUND(MIN(300,MAX(1,D2054)),0), FactorTable!$A$2:$A$301,0), Skills!L24+1)</f>
        <v/>
      </c>
      <c r="F2054">
        <f>IF(Skills!M24=TRUE,(Skills!K24/10)*(E2054/1000),Skills!K24/10)+Skills!N24</f>
        <v/>
      </c>
      <c r="G2054">
        <f>Calc!G24</f>
        <v/>
      </c>
      <c r="H2054">
        <f>Calc!H24</f>
        <v/>
      </c>
      <c r="I2054">
        <f>IF(Skills!T24&lt;&gt;"",1+(Skills!T24/10)*(Z2033/1000)/100,1)</f>
        <v/>
      </c>
      <c r="J2054" t="inlineStr"/>
      <c r="K2054" t="inlineStr"/>
      <c r="L2054" t="inlineStr"/>
      <c r="M2054" t="inlineStr"/>
      <c r="N2054" t="inlineStr"/>
      <c r="O2054">
        <f>(1-Summary!$B$11)*S2054+Summary!$B$11*U2054</f>
        <v/>
      </c>
      <c r="P2054">
        <f>IF(B2067=0,0,O2054/B2067)</f>
        <v/>
      </c>
      <c r="Q2054">
        <f>IFERROR(1/IF(Inputs!$B$38="pvp",15,MAX(0.1,Skills!D24-IF(Skills!E24=TRUE,Inputs!$B$32,0))),0)</f>
        <v/>
      </c>
      <c r="R2054">
        <f>IF(AND(Inputs!$B$38&lt;&gt;"pvp",Inputs!$B$43&gt;0),IF(Inputs!$B$43&lt;=0,0,(INT(Inputs!$B$43/IF(Inputs!$B$38="pvp",15,MAX(0.1,Skills!D24-IF(Skills!E24=TRUE,Inputs!$B$32,0))))+1)),0)</f>
        <v/>
      </c>
      <c r="S2054" t="n">
        <v>0</v>
      </c>
      <c r="U2054" t="n">
        <v>0</v>
      </c>
    </row>
    <row r="2057">
      <c r="A2057" t="inlineStr">
        <is>
          <t>Average Buff Multiplier (Magic Guard + Meditation + Artifact Attack%, summed; then Infinity)</t>
        </is>
      </c>
      <c r="B2057">
        <f>(1+(IF(C2033=TRUE,F2033*IF(AND(Inputs!$B$38&lt;&gt;"pvp",Inputs!$B$43&gt;0),(((R2033-1)*(Skills!S3*(1+(Inputs!$B$34)/100))+MIN((Skills!S3*(1+(Inputs!$B$34)/100)),MAX(0,Inputs!$B$43-((R2033-1)*Skills!D3))))/Inputs!$B$43),IF(Inputs!$B$38="pvp",MIN((Skills!S3*(1+(Inputs!$B$34)/100)),15)/15,(Skills!S3*(1+(Inputs!$B$34)/100))/Skills!D3)),0)+IF(C2034=TRUE,F2034*IF(AND(Inputs!$B$38&lt;&gt;"pvp",Inputs!$B$43&gt;0),(((R2034-1)*(Skills!S4*(1+(Inputs!$B$34)/100))+MIN((Skills!S4*(1+(Inputs!$B$34)/100)),MAX(0,Inputs!$B$43-((R2034-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2046=TRUE,(1+F2046*IF(AND(Inputs!$B$38&lt;&gt;"pvp",Inputs!$B$43&gt;0),(((R2046-1)*(Skills!S16*(1+(Inputs!$B$34)/100))+MIN((Skills!S16*(1+(Inputs!$B$34)/100)),MAX(0,Inputs!$B$43-((R2046-1)*Skills!D16))))/Inputs!$B$43),IF(Inputs!$B$38="pvp",MIN((Skills!S16*(1+(Inputs!$B$34)/100)),15)/15,(Skills!S16*(1+(Inputs!$B$34)/100))/Skills!D16))/100),1)</f>
        <v/>
      </c>
    </row>
    <row r="2058">
      <c r="A2058" t="inlineStr">
        <is>
          <t>Monster Damage Taken Bonus % (Freezing Breath - Weaken + Elemental Reset + Artifact Enemy Damage Taken, summed)</t>
        </is>
      </c>
      <c r="B2058">
        <f>IF(Inputs!$B$3&gt;=118,15*IF(Inputs!$B$38="pvp",MIN((30*(1+(Inputs!$B$34)/100)),15)/15,(30*(1+(Inputs!$B$34)/100))/Skills!D8),0)+IF(C2044=TRUE,F2044,0)+(IF(AND(ArtifactsInput!$M$35,Inputs!$B$4&lt;&gt;"Chapter Hunt"),CHOOSE(ArtifactsInput!$N$35+1,15,18,21,24,27,30)*(1-EXP(-(0.2*B2061)*5)),0)+IF(AND(ArtifactsInput!$M$22,Inputs!$B$4&lt;&gt;"Chapter Hunt"),CHOOSE(ArtifactsInput!$N$22+1,10,12,14,16,18,20)*((0*(((0.15*B2061*5))^0/1)+1*(((0.15*B2061*5))^1/1)+2*(((0.15*B2061*5))^2/2)+3*(((0.15*B2061*5))^3/6)+4*(((0.15*B2061*5))^4/24)+5*(((0.15*B2061*5))^5/120))/((((0.15*B2061*5))^0/1)+(((0.15*B2061*5))^1/1)+(((0.15*B2061*5))^2/2)+(((0.15*B2061*5))^3/6)+(((0.15*B2061*5))^4/24)+(((0.15*B2061*5))^5/120))),0))</f>
        <v/>
      </c>
    </row>
    <row r="2059">
      <c r="A2059" t="inlineStr">
        <is>
          <t>Damage % Bonus (Frozen Break + Frost Clutch, flat)</t>
        </is>
      </c>
      <c r="B2059">
        <f>IF(Inputs!$B$3&gt;=66,15,0)+IF(Inputs!$B$3&gt;=98,10,0)+IF(Inputs!$B$3&gt;=125,20,0)</f>
        <v/>
      </c>
    </row>
    <row r="2060">
      <c r="A2060" t="inlineStr">
        <is>
          <t>Attack Speed Bonus % (MP Eater - MP Boost, always-on + Nimble Feet, duty-cycle averaged)</t>
        </is>
      </c>
      <c r="B2060">
        <f>IF(C2043=TRUE,F2043+(F2047-Calc!F17),0)+((C2054=TRUE)*F2054*IF(AND(Inputs!$B$38&lt;&gt;"pvp",Inputs!$B$43&gt;0),(((R2054-1)*(Skills!S24*(1+(Inputs!$B$34)/100))+MIN((Skills!S24*(1+(Inputs!$B$34)/100)),MAX(0,Inputs!$B$43-((R2054-1)*Skills!D24))))/Inputs!$B$43),IF(Inputs!$B$38="pvp",MIN((Skills!S24*(1+(Inputs!$B$34)/100)),15)/15,(Skills!S24*(1+(Inputs!$B$34)/100))/Skills!D24)))</f>
        <v/>
      </c>
    </row>
    <row r="2061">
      <c r="A2061" t="inlineStr">
        <is>
          <t>Actions Per Second</t>
        </is>
      </c>
      <c r="B2061">
        <f>1+MIN(150,150*(1-(1-(Inputs!$B$11+(ArtifactsInput!$M$15-ArtifactsInput!$M$15)*CHOOSE(ArtifactsInput!$N$15+1,8,9.6,11.2,12.8,14.4,16))/150)*(1-B2060/150)))/100</f>
        <v/>
      </c>
    </row>
    <row r="2062">
      <c r="A2062" t="inlineStr">
        <is>
          <t>Skill + Buff Cast Rate</t>
        </is>
      </c>
      <c r="B2062">
        <f>IF(AND(Inputs!$B$38&lt;&gt;"pvp",Inputs!$B$43&gt;0),SUMPRODUCT((Skills!E2:E24=TRUE)*(C2032:C2054=TRUE)*R2032:R2054)/Inputs!$B$43,SUMPRODUCT((Skills!E2:E24=TRUE)*(C2032:C2054=TRUE)*Q2032:Q2054))</f>
        <v/>
      </c>
    </row>
    <row r="2063">
      <c r="A2063" t="inlineStr">
        <is>
          <t>Chain Lightning Casts Per Second</t>
        </is>
      </c>
      <c r="B2063">
        <f>MAX(0,B2061-B2062)</f>
        <v/>
      </c>
    </row>
    <row r="2064">
      <c r="A2064" t="inlineStr">
        <is>
          <t>Buff-Casting Startup Delay (s, fixed-duration only)</t>
        </is>
      </c>
      <c r="B2064">
        <f>IF(AND(Inputs!$B$38&lt;&gt;"pvp",Inputs!$B$43&gt;0),SUMPRODUCT((Skills!S2:S24&gt;0)*(Skills!E2:E24=TRUE)*(C2032:C2054=TRUE))/B2061,0)</f>
        <v/>
      </c>
    </row>
    <row r="2065">
      <c r="A2065" t="inlineStr">
        <is>
          <t>Boss-Only Total DPS (this block's swept value)</t>
        </is>
      </c>
      <c r="B2065">
        <f>SUM(S2032:S2054)</f>
        <v/>
      </c>
    </row>
    <row r="2066">
      <c r="A2066" t="inlineStr">
        <is>
          <t>Normal-Only Total DPS (this block's swept value)</t>
        </is>
      </c>
      <c r="B2066">
        <f>SUM(U2032:U2054)</f>
        <v/>
      </c>
    </row>
    <row r="2067">
      <c r="A2067" s="6" t="inlineStr">
        <is>
          <t>TOTAL DPS</t>
        </is>
      </c>
      <c r="B2067" s="6">
        <f>SUM(O2032:O2054)</f>
        <v/>
      </c>
    </row>
    <row r="2070">
      <c r="A2070" s="6" t="inlineStr">
        <is>
          <t>Stat: Flaming Lava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R2071" t="inlineStr">
        <is>
          <t>helpers</t>
        </is>
      </c>
    </row>
    <row r="2072">
      <c r="A2072">
        <f>Skills!A2</f>
        <v/>
      </c>
      <c r="B2072">
        <f>Skills!B2</f>
        <v/>
      </c>
      <c r="C2072">
        <f>Inputs!$B$3&gt;=100</f>
        <v/>
      </c>
      <c r="D2072" t="inlineStr"/>
      <c r="E2072" t="inlineStr"/>
      <c r="F2072">
        <f>T2074+Skills!N2</f>
        <v/>
      </c>
      <c r="G2072">
        <f>Calc!G2</f>
        <v/>
      </c>
      <c r="H2072">
        <f>Calc!H2</f>
        <v/>
      </c>
      <c r="I2072">
        <f>IF(Skills!T2&lt;&gt;"",1+(Skills!T2/10)*(Z2073/1000)/100,1)</f>
        <v/>
      </c>
      <c r="J2072">
        <f>((Inputs!$B$6*(1+Inputs!$B$7/100))+(((Inputs!$B$12*(1+Inputs!$B$13/100))-(Inputs!$B$12*(1+Inputs!$B$13/100)))+0.25*(Inputs!$B$14-Inputs!$B$14))*(1+Inputs!$B$7/100))*(F2072/100)</f>
        <v/>
      </c>
      <c r="K2072">
        <f>J2072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2="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2072)</f>
        <v/>
      </c>
      <c r="L2072">
        <f>K2072*(MIN(Inputs!$B$22+(F2088-Calc!F18),(Inputs!$B$23+(IF(ArtifactsInput!$M$15,CHOOSE(ArtifactsInput!$N$15+1,25,30,35,40,45,50)/100*(Inputs!$B$11-Inputs!$B$11),0))))/100+(Inputs!$B$23+(IF(ArtifactsInput!$M$15,CHOOSE(ArtifactsInput!$N$15+1,25,30,35,40,45,50)/100*(Inputs!$B$11-Inputs!$B$11),0)))/100)/2</f>
        <v/>
      </c>
      <c r="M2072">
        <f>L2072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2">
        <f>L2072*(1-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2072*(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2">
        <f>(1-Summary!$B$11)*S2072+Summary!$B$11*U2072</f>
        <v/>
      </c>
      <c r="P2072">
        <f>IF(B2107=0,0,O2072/B2107)</f>
        <v/>
      </c>
      <c r="Q2072">
        <f>IFERROR(1/IF(Inputs!$B$38="pvp",15,MAX(0.1,Skills!D2-IF(Skills!E2=TRUE,Inputs!$B$32,0))),0)</f>
        <v/>
      </c>
      <c r="R2072" t="n">
        <v>0</v>
      </c>
      <c r="S2072">
        <f>IF(C2072,(Skills!F2*N2072*B2103)*IF(Inputs!$B$38="pvp",1,1+(Inputs!$B$20+Skills!O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2072*(1-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2072*(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2072*(1-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2072*(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72">
        <f>MAX(0,(Inputs!$B$3-100)*3)+Inputs!$B$28+Inputs!$B$29</f>
        <v/>
      </c>
      <c r="U2072">
        <f>IF(C2072,(Skills!F2*N2072*B2103)*IF(Inputs!$B$38="pvp",1,(1+(Inputs!$B$21+Skills!P2+B2098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72">
        <f>MAX(0,(Inputs!$B$3-100)*3)+Inputs!$B$28+Inputs!$B$29</f>
        <v/>
      </c>
    </row>
    <row r="2073">
      <c r="A2073">
        <f>Skills!A3</f>
        <v/>
      </c>
      <c r="B2073">
        <f>Skills!B3</f>
        <v/>
      </c>
      <c r="C2073">
        <f>Inputs!$B$3&gt;=15</f>
        <v/>
      </c>
      <c r="D2073">
        <f>IF(Skills!C3=1,60+Inputs!$B$25+Inputs!$B$29,IF(Skills!C3=2,90+Inputs!$B$26+Inputs!$B$29,IF(Skills!C3=3,120+Inputs!$B$27+Inputs!$B$29,MAX(0,(Inputs!$B$3-100)*3)+Inputs!$B$28+Inputs!$B$29)))</f>
        <v/>
      </c>
      <c r="E2073">
        <f>INDEX(FactorTable!$B$2:$Y$301, MATCH(ROUND(MIN(300,MAX(1,D2073)),0), FactorTable!$A$2:$A$301,0), Skills!L3+1)</f>
        <v/>
      </c>
      <c r="F2073">
        <f>IF(Skills!M3=TRUE,(Skills!K3/10)*(E2073/1000),Skills!K3/10)+Skills!N3</f>
        <v/>
      </c>
      <c r="G2073">
        <f>Calc!G3</f>
        <v/>
      </c>
      <c r="H2073">
        <f>Calc!H3</f>
        <v/>
      </c>
      <c r="I2073">
        <f>IF(Skills!T3&lt;&gt;"",1+(Skills!T3/10)*(Z2073/1000)/100,1)</f>
        <v/>
      </c>
      <c r="J2073" t="inlineStr"/>
      <c r="K2073" t="inlineStr"/>
      <c r="L2073" t="inlineStr"/>
      <c r="M2073" t="inlineStr"/>
      <c r="N2073" t="inlineStr"/>
      <c r="O2073">
        <f>(1-Summary!$B$11)*S2073+Summary!$B$11*U2073</f>
        <v/>
      </c>
      <c r="P2073">
        <f>IF(B2107=0,0,O2073/B2107)</f>
        <v/>
      </c>
      <c r="Q2073">
        <f>IFERROR(1/IF(Inputs!$B$38="pvp",15,MAX(0.1,Skills!D3-IF(Skills!E3=TRUE,Inputs!$B$32,0))),0)</f>
        <v/>
      </c>
      <c r="R2073">
        <f>IF(AND(Inputs!$B$38&lt;&gt;"pvp",Inputs!$B$43&gt;0),IF(Inputs!$B$43&lt;=0,0,(INT(Inputs!$B$43/IF(Inputs!$B$38="pvp",15,MAX(0.1,Skills!D3-IF(Skills!E3=TRUE,Inputs!$B$32,0))))+1)),0)</f>
        <v/>
      </c>
      <c r="S2073" t="n">
        <v>0</v>
      </c>
      <c r="T2073">
        <f>INDEX(FactorTable!$B$2:$Y$301, MATCH(ROUND(MIN(300,MAX(1,T2072)),0), FactorTable!$A$2:$A$301,0), 22)</f>
        <v/>
      </c>
      <c r="U2073" t="n">
        <v>0</v>
      </c>
      <c r="Z2073">
        <f>INDEX(FactorTable!$B$2:$Y$301, MATCH(ROUND(MIN(300,MAX(1,Z2072)),0), FactorTable!$A$2:$A$301,0), 24)</f>
        <v/>
      </c>
    </row>
    <row r="2074">
      <c r="A2074">
        <f>Skills!A4</f>
        <v/>
      </c>
      <c r="B2074">
        <f>Skills!B4</f>
        <v/>
      </c>
      <c r="C2074">
        <f>Inputs!$B$3&gt;=40</f>
        <v/>
      </c>
      <c r="D2074">
        <f>IF(Skills!C4=1,60+Inputs!$B$25+Inputs!$B$29,IF(Skills!C4=2,90+Inputs!$B$26+Inputs!$B$29,IF(Skills!C4=3,120+Inputs!$B$27+Inputs!$B$29,MAX(0,(Inputs!$B$3-100)*3)+Inputs!$B$28+Inputs!$B$29)))</f>
        <v/>
      </c>
      <c r="E2074">
        <f>INDEX(FactorTable!$B$2:$Y$301, MATCH(ROUND(MIN(300,MAX(1,D2074)),0), FactorTable!$A$2:$A$301,0), Skills!L4+1)</f>
        <v/>
      </c>
      <c r="F2074">
        <f>IF(Skills!M4=TRUE,(Skills!K4/10)*(E2074/1000),Skills!K4/10)+Skills!N4</f>
        <v/>
      </c>
      <c r="G2074">
        <f>Calc!G4</f>
        <v/>
      </c>
      <c r="H2074">
        <f>Calc!H4</f>
        <v/>
      </c>
      <c r="I2074">
        <f>IF(Skills!T4&lt;&gt;"",1+(Skills!T4/10)*(Z2073/1000)/100,1)</f>
        <v/>
      </c>
      <c r="J2074" t="inlineStr"/>
      <c r="K2074" t="inlineStr"/>
      <c r="L2074" t="inlineStr"/>
      <c r="M2074" t="inlineStr"/>
      <c r="N2074" t="inlineStr"/>
      <c r="O2074">
        <f>(1-Summary!$B$11)*S2074+Summary!$B$11*U2074</f>
        <v/>
      </c>
      <c r="P2074">
        <f>IF(B2107=0,0,O2074/B2107)</f>
        <v/>
      </c>
      <c r="Q2074">
        <f>IFERROR(1/IF(Inputs!$B$38="pvp",15,MAX(0.1,Skills!D4-IF(Skills!E4=TRUE,Inputs!$B$32,0))),0)</f>
        <v/>
      </c>
      <c r="R2074">
        <f>IF(AND(Inputs!$B$38&lt;&gt;"pvp",Inputs!$B$43&gt;0),IF(Inputs!$B$43&lt;=0,0,(INT(Inputs!$B$43/IF(Inputs!$B$38="pvp",15,MAX(0.1,Skills!D4-IF(Skills!E4=TRUE,Inputs!$B$32,0))))+1)),0)</f>
        <v/>
      </c>
      <c r="S2074" t="n">
        <v>0</v>
      </c>
      <c r="T2074">
        <f>290*T2073/1000</f>
        <v/>
      </c>
      <c r="U2074" t="n">
        <v>0</v>
      </c>
    </row>
    <row r="2075">
      <c r="A2075">
        <f>Skills!A5</f>
        <v/>
      </c>
      <c r="B2075">
        <f>Skills!B5</f>
        <v/>
      </c>
      <c r="C2075">
        <f>Inputs!$B$3&gt;=38</f>
        <v/>
      </c>
      <c r="D2075">
        <f>IF(Skills!C5=1,60+Inputs!$B$25+Inputs!$B$29,IF(Skills!C5=2,90+Inputs!$B$26+Inputs!$B$29,IF(Skills!C5=3,120+Inputs!$B$27+Inputs!$B$29,MAX(0,(Inputs!$B$3-100)*3)+Inputs!$B$28+Inputs!$B$29)))</f>
        <v/>
      </c>
      <c r="E2075">
        <f>INDEX(FactorTable!$B$2:$Y$301, MATCH(ROUND(MIN(300,MAX(1,D2075)),0), FactorTable!$A$2:$A$301,0), Skills!L5+1)</f>
        <v/>
      </c>
      <c r="F2075">
        <f>IF(Skills!M5=TRUE,(Skills!K5/10)*(E2075/1000),Skills!K5/10)+Skills!N5</f>
        <v/>
      </c>
      <c r="G2075">
        <f>Calc!G5</f>
        <v/>
      </c>
      <c r="H2075">
        <f>Calc!H5</f>
        <v/>
      </c>
      <c r="I2075">
        <f>IF(Skills!T5&lt;&gt;"",1+(Skills!T5/10)*(Z2073/1000)/100,1)</f>
        <v/>
      </c>
      <c r="J2075">
        <f>((Inputs!$B$6*(1+Inputs!$B$7/100))+(((Inputs!$B$12*(1+Inputs!$B$13/100))-(Inputs!$B$12*(1+Inputs!$B$13/100)))+0.25*(Inputs!$B$14-Inputs!$B$14))*(1+Inputs!$B$7/100))*(F2075/100)</f>
        <v/>
      </c>
      <c r="K2075">
        <f>J2075*(1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5="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F2088-Calc!F18),(Inputs!$B$23+(IF(ArtifactsInput!$M$15,CHOOSE(ArtifactsInput!$N$15+1,25,30,35,40,45,50)/100*(Inputs!$B$11-Inputs!$B$11),0))))/100+(Inputs!$B$23+(IF(ArtifactsInput!$M$15,CHOOSE(ArtifactsInput!$N$15+1,25,30,35,40,45,50)/100*(Inputs!$B$11-Inputs!$B$11),0)))/100)/2</f>
        <v/>
      </c>
      <c r="M2075">
        <f>L2075*(1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5">
        <f>L2075*(1-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(1-Summary!$B$11)*S2075+Summary!$B$11*U2075</f>
        <v/>
      </c>
      <c r="P2075">
        <f>IF(B2107=0,0,O2075/B2107)</f>
        <v/>
      </c>
      <c r="Q2075">
        <f>IFERROR(1/IF(Inputs!$B$38="pvp",15,MAX(0.1,Skills!D5-IF(Skills!E5=TRUE,Inputs!$B$32,0))),0)</f>
        <v/>
      </c>
      <c r="R2075">
        <f>IF(AND(Inputs!$B$38&lt;&gt;"pvp",Inputs!$B$43&gt;0),IF(MAX(0,Inputs!$B$43-B2104)&lt;=0,0,(INT(MAX(0,Inputs!$B$43-B2104)/IF(Inputs!$B$38="pvp",15,MAX(0.1,Skills!D5-IF(Skills!E5=TRUE,Inputs!$B$32,0))))+1)),0)</f>
        <v/>
      </c>
      <c r="S2075">
        <f>IF(C2075,(H2075*N2075*IF(AND(Inputs!$B$38&lt;&gt;"pvp",Inputs!$B$43&gt;0),((Skills!F5*((R2075-1)*IF(Skills!G5&gt;0,Skills!H5/Skills!G5,1)+IF(Skills!G5&gt;0,MIN(Skills!H5,MAX(0,MAX(0,Inputs!$B$43-B2104)-((R2075-1)*IF(Inputs!$B$38="pvp",15,MAX(0.1,Skills!D5-IF(Skills!E5=TRUE,Inputs!$B$32,0))))))/Skills!G5,1)))/Inputs!$B$43),G2075*Q2075))*IF(Inputs!$B$38="pvp",1,1+(Inputs!$B$20+Skills!O5+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2075*(1-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IF(C2075,(H2075*N2075*IF(AND(Inputs!$B$38&lt;&gt;"pvp",Inputs!$B$43&gt;0),((Skills!F5*((R2075-1)*IF(Skills!G5&gt;0,Skills!H5/Skills!G5,1)+IF(Skills!G5&gt;0,MIN(Skills!H5,MAX(0,MAX(0,Inputs!$B$43-B2104)-((R2075-1)*IF(Inputs!$B$38="pvp",15,MAX(0.1,Skills!D5-IF(Skills!E5=TRUE,Inputs!$B$32,0))))))/Skills!G5,1)))/Inputs!$B$43),G2075*Q2075))*IF(Inputs!$B$38="pvp",1,(1+(Inputs!$B$21+Skills!P5+B2098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Skills!A6</f>
        <v/>
      </c>
      <c r="B2076">
        <f>Skills!B6</f>
        <v/>
      </c>
      <c r="C2076">
        <f>Inputs!$B$3&gt;=63</f>
        <v/>
      </c>
      <c r="D2076">
        <f>IF(Skills!C6=1,60+Inputs!$B$25+Inputs!$B$29,IF(Skills!C6=2,90+Inputs!$B$26+Inputs!$B$29,IF(Skills!C6=3,120+Inputs!$B$27+Inputs!$B$29,MAX(0,(Inputs!$B$3-100)*3)+Inputs!$B$28+Inputs!$B$29)))</f>
        <v/>
      </c>
      <c r="E2076">
        <f>INDEX(FactorTable!$B$2:$Y$301, MATCH(ROUND(MIN(300,MAX(1,D2076)),0), FactorTable!$A$2:$A$301,0), Skills!L6+1)</f>
        <v/>
      </c>
      <c r="F2076">
        <f>IF(Skills!M6=TRUE,(Skills!K6/10)*(E2076/1000),Skills!K6/10)+Skills!N6</f>
        <v/>
      </c>
      <c r="G2076">
        <f>Calc!G6</f>
        <v/>
      </c>
      <c r="H2076">
        <f>Calc!H6</f>
        <v/>
      </c>
      <c r="I2076">
        <f>IF(Skills!T6&lt;&gt;"",1+(Skills!T6/10)*(Z2073/1000)/100,1)</f>
        <v/>
      </c>
      <c r="J2076">
        <f>((Inputs!$B$6*(1+Inputs!$B$7/100))+(((Inputs!$B$12*(1+Inputs!$B$13/100))-(Inputs!$B$12*(1+Inputs!$B$13/100)))+0.25*(Inputs!$B$14-Inputs!$B$14))*(1+Inputs!$B$7/100))*(F2076/100)</f>
        <v/>
      </c>
      <c r="K2076">
        <f>J2076*(1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6="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F2088-Calc!F18),(Inputs!$B$23+(IF(ArtifactsInput!$M$15,CHOOSE(ArtifactsInput!$N$15+1,25,30,35,40,45,50)/100*(Inputs!$B$11-Inputs!$B$11),0))))/100+(Inputs!$B$23+(IF(ArtifactsInput!$M$15,CHOOSE(ArtifactsInput!$N$15+1,25,30,35,40,45,50)/100*(Inputs!$B$11-Inputs!$B$11),0)))/100)/2</f>
        <v/>
      </c>
      <c r="M2076">
        <f>L2076*(1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6">
        <f>L2076*(1-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(1-Summary!$B$11)*S2076+Summary!$B$11*U2076</f>
        <v/>
      </c>
      <c r="P2076">
        <f>IF(B2107=0,0,O2076/B2107)</f>
        <v/>
      </c>
      <c r="Q2076">
        <f>IFERROR(1/IF(Inputs!$B$38="pvp",15,MAX(0.1,Skills!D6-IF(Skills!E6=TRUE,Inputs!$B$32,0))),0)</f>
        <v/>
      </c>
      <c r="R2076">
        <f>IF(AND(Inputs!$B$38&lt;&gt;"pvp",Inputs!$B$43&gt;0),IF(MAX(0,Inputs!$B$43-B2104)&lt;=0,0,(INT(MAX(0,Inputs!$B$43-B2104)/IF(Inputs!$B$38="pvp",15,MAX(0.1,Skills!D6-IF(Skills!E6=TRUE,Inputs!$B$32,0))))+1)),0)</f>
        <v/>
      </c>
      <c r="S2076">
        <f>IF(C2076,(H2076*N2076*IF(AND(Inputs!$B$38&lt;&gt;"pvp",Inputs!$B$43&gt;0),((Skills!F6*((R2076-1)*IF(Skills!G6&gt;0,Skills!H6/Skills!G6,1)+IF(Skills!G6&gt;0,MIN(Skills!H6,MAX(0,MAX(0,Inputs!$B$43-B2104)-((R2076-1)*IF(Inputs!$B$38="pvp",15,MAX(0.1,Skills!D6-IF(Skills!E6=TRUE,Inputs!$B$32,0))))))/Skills!G6,1)))/Inputs!$B$43),G2076*Q2076))*IF(Inputs!$B$38="pvp",1,1+(Inputs!$B$20+Skills!O6+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2076*(1-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6">
        <f>IF(C2076,(H2076*N2076*IF(AND(Inputs!$B$38&lt;&gt;"pvp",Inputs!$B$43&gt;0),((Skills!F6*((R2076-1)*IF(Skills!G6&gt;0,Skills!H6/Skills!G6,1)+IF(Skills!G6&gt;0,MIN(Skills!H6,MAX(0,MAX(0,Inputs!$B$43-B2104)-((R2076-1)*IF(Inputs!$B$38="pvp",15,MAX(0.1,Skills!D6-IF(Skills!E6=TRUE,Inputs!$B$32,0))))))/Skills!G6,1)))/Inputs!$B$43),G2076*Q2076))*IF(Inputs!$B$38="pvp",1,(1+(Inputs!$B$21+Skills!P6+B2098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Skills!A7</f>
        <v/>
      </c>
      <c r="B2077">
        <f>Skills!B7</f>
        <v/>
      </c>
      <c r="C2077">
        <f>Inputs!$B$3&gt;=69</f>
        <v/>
      </c>
      <c r="D2077">
        <f>IF(Skills!C7=1,60+Inputs!$B$25+Inputs!$B$29,IF(Skills!C7=2,90+Inputs!$B$26+Inputs!$B$29,IF(Skills!C7=3,120+Inputs!$B$27+Inputs!$B$29,MAX(0,(Inputs!$B$3-100)*3)+Inputs!$B$28+Inputs!$B$29)))</f>
        <v/>
      </c>
      <c r="E2077">
        <f>INDEX(FactorTable!$B$2:$Y$301, MATCH(ROUND(MIN(300,MAX(1,D2077)),0), FactorTable!$A$2:$A$301,0), Skills!L7+1)</f>
        <v/>
      </c>
      <c r="F2077">
        <f>IF(Skills!M7=TRUE,(Skills!K7/10)*(E2077/1000),Skills!K7/10)+Skills!N7</f>
        <v/>
      </c>
      <c r="G2077">
        <f>Calc!G7</f>
        <v/>
      </c>
      <c r="H2077">
        <f>Calc!H7</f>
        <v/>
      </c>
      <c r="I2077">
        <f>IF(Skills!T7&lt;&gt;"",1+(Skills!T7/10)*(Z2073/1000)/100,1)</f>
        <v/>
      </c>
      <c r="J2077">
        <f>((Inputs!$B$6*(1+Inputs!$B$7/100))+(((Inputs!$B$12*(1+Inputs!$B$13/100))-(Inputs!$B$12*(1+Inputs!$B$13/100)))+0.25*(Inputs!$B$14-Inputs!$B$14))*(1+Inputs!$B$7/100))*(F2077/100)</f>
        <v/>
      </c>
      <c r="K2077">
        <f>J2077*(1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7="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F2088-Calc!F18),(Inputs!$B$23+(IF(ArtifactsInput!$M$15,CHOOSE(ArtifactsInput!$N$15+1,25,30,35,40,45,50)/100*(Inputs!$B$11-Inputs!$B$11),0))))/100+(Inputs!$B$23+(IF(ArtifactsInput!$M$15,CHOOSE(ArtifactsInput!$N$15+1,25,30,35,40,45,50)/100*(Inputs!$B$11-Inputs!$B$11),0)))/100)/2</f>
        <v/>
      </c>
      <c r="M2077">
        <f>L2077*(1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7">
        <f>L2077*(1-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(1-Summary!$B$11)*S2077+Summary!$B$11*U2077</f>
        <v/>
      </c>
      <c r="P2077">
        <f>IF(B2107=0,0,O2077/B2107)</f>
        <v/>
      </c>
      <c r="Q2077">
        <f>IFERROR(1/IF(Inputs!$B$38="pvp",15,MAX(0.1,Skills!D7-IF(Skills!E7=TRUE,Inputs!$B$32,0))),0)</f>
        <v/>
      </c>
      <c r="R2077">
        <f>IF(AND(Inputs!$B$38&lt;&gt;"pvp",Inputs!$B$43&gt;0),IF(MAX(0,Inputs!$B$43-B2104)&lt;=0,0,(INT(MAX(0,Inputs!$B$43-B2104)/IF(Inputs!$B$38="pvp",15,MAX(0.1,Skills!D7-IF(Skills!E7=TRUE,Inputs!$B$32,0))))+1)),0)</f>
        <v/>
      </c>
      <c r="S2077">
        <f>IF(C2077,(H2077*N2077*IF(AND(Inputs!$B$38&lt;&gt;"pvp",Inputs!$B$43&gt;0),((Skills!F7*((R2077-1)*IF(Skills!G7&gt;0,Skills!H7/Skills!G7,1)+IF(Skills!G7&gt;0,MIN(Skills!H7,MAX(0,MAX(0,Inputs!$B$43-B2104)-((R2077-1)*IF(Inputs!$B$38="pvp",15,MAX(0.1,Skills!D7-IF(Skills!E7=TRUE,Inputs!$B$32,0))))))/Skills!G7,1)))/Inputs!$B$43),G2077*Q2077))*IF(Inputs!$B$38="pvp",1,1+(Inputs!$B$20+Skills!O7+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2077*(1-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7">
        <f>IF(C2077,(H2077*N2077*IF(AND(Inputs!$B$38&lt;&gt;"pvp",Inputs!$B$43&gt;0),((Skills!F7*((R2077-1)*IF(Skills!G7&gt;0,Skills!H7/Skills!G7,1)+IF(Skills!G7&gt;0,MIN(Skills!H7,MAX(0,MAX(0,Inputs!$B$43-B2104)-((R2077-1)*IF(Inputs!$B$38="pvp",15,MAX(0.1,Skills!D7-IF(Skills!E7=TRUE,Inputs!$B$32,0))))))/Skills!G7,1)))/Inputs!$B$43),G2077*Q2077))*IF(Inputs!$B$38="pvp",1,(1+(Inputs!$B$21+Skills!P7+B2098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Skills!A8</f>
        <v/>
      </c>
      <c r="B2078">
        <f>Skills!B8</f>
        <v/>
      </c>
      <c r="C2078">
        <f>Inputs!$B$3&gt;=103</f>
        <v/>
      </c>
      <c r="D2078">
        <f>IF(Skills!C8=1,60+Inputs!$B$25+Inputs!$B$29,IF(Skills!C8=2,90+Inputs!$B$26+Inputs!$B$29,IF(Skills!C8=3,120+Inputs!$B$27+Inputs!$B$29,MAX(0,(Inputs!$B$3-100)*3)+Inputs!$B$28+Inputs!$B$29)))</f>
        <v/>
      </c>
      <c r="E2078">
        <f>INDEX(FactorTable!$B$2:$Y$301, MATCH(ROUND(MIN(300,MAX(1,D2078)),0), FactorTable!$A$2:$A$301,0), Skills!L8+1)</f>
        <v/>
      </c>
      <c r="F2078">
        <f>IF(Skills!M8=TRUE,(Skills!K8/10)*(E2078/1000),Skills!K8/10)+Skills!N8</f>
        <v/>
      </c>
      <c r="G2078">
        <f>Calc!G8</f>
        <v/>
      </c>
      <c r="H2078">
        <f>Calc!H8</f>
        <v/>
      </c>
      <c r="I2078">
        <f>IF(Skills!T8&lt;&gt;"",1+(Skills!T8/10)*(Z2073/1000)/100,1)</f>
        <v/>
      </c>
      <c r="J2078">
        <f>((Inputs!$B$6*(1+Inputs!$B$7/100))+(((Inputs!$B$12*(1+Inputs!$B$13/100))-(Inputs!$B$12*(1+Inputs!$B$13/100)))+0.25*(Inputs!$B$14-Inputs!$B$14))*(1+Inputs!$B$7/100))*(F2078/100)</f>
        <v/>
      </c>
      <c r="K2078">
        <f>J2078*(1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8="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2088-Calc!F18),(Inputs!$B$23+(IF(ArtifactsInput!$M$15,CHOOSE(ArtifactsInput!$N$15+1,25,30,35,40,45,50)/100*(Inputs!$B$11-Inputs!$B$11),0))))/100+(Inputs!$B$23+(IF(ArtifactsInput!$M$15,CHOOSE(ArtifactsInput!$N$15+1,25,30,35,40,45,50)/100*(Inputs!$B$11-Inputs!$B$11),0)))/100)/2</f>
        <v/>
      </c>
      <c r="M2078">
        <f>L2078*(1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IF(B2107=0,0,O2078/B2107)</f>
        <v/>
      </c>
      <c r="Q2078">
        <f>IFERROR(1/IF(Inputs!$B$38="pvp",15,MAX(0.1,Skills!D8-IF(Skills!E8=TRUE,Inputs!$B$32,0))),0)</f>
        <v/>
      </c>
      <c r="R2078">
        <f>IF(AND(Inputs!$B$38&lt;&gt;"pvp",Inputs!$B$43&gt;0),IF(MAX(0,Inputs!$B$43-B2104)&lt;=0,0,(INT(MAX(0,Inputs!$B$43-B2104)/IF(Inputs!$B$38="pvp",15,MAX(0.1,Skills!D8-IF(Skills!E8=TRUE,Inputs!$B$32,0))))+1)),0)</f>
        <v/>
      </c>
      <c r="S2078">
        <f>IF(C2078,(H2078*N2078*IF(AND(Inputs!$B$38&lt;&gt;"pvp",Inputs!$B$43&gt;0),((Skills!F8*((R2078-1)*IF(Skills!G8&gt;0,Skills!H8/Skills!G8,1)+IF(Skills!G8&gt;0,MIN(Skills!H8,MAX(0,MAX(0,Inputs!$B$43-B2104)-((R2078-1)*IF(Inputs!$B$38="pvp",15,MAX(0.1,Skills!D8-IF(Skills!E8=TRUE,Inputs!$B$32,0))))))/Skills!G8,1)))/Inputs!$B$43),G2078*Q2078))*IF(Inputs!$B$38="pvp",1,1+(Inputs!$B$20+Skills!O8+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F8*((R2078-1)*IF(Skills!G8&gt;0,Skills!H8/Skills!G8,1)+IF(Skills!G8&gt;0,MIN(Skills!H8,MAX(0,MAX(0,Inputs!$B$43-B2104)-((R2078-1)*IF(Inputs!$B$38="pvp",15,MAX(0.1,Skills!D8-IF(Skills!E8=TRUE,Inputs!$B$32,0))))))/Skills!G8,1)))/Inputs!$B$43),G2078*Q2078))*IF(Inputs!$B$38="pvp",1,(1+(Inputs!$B$21+Skills!P8+B2098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Skills!A9</f>
        <v/>
      </c>
      <c r="B2079">
        <f>Skills!B9</f>
        <v/>
      </c>
      <c r="C2079">
        <f>Inputs!$B$3&gt;=105</f>
        <v/>
      </c>
      <c r="D2079">
        <f>IF(Skills!C9=1,60+Inputs!$B$25+Inputs!$B$29,IF(Skills!C9=2,90+Inputs!$B$26+Inputs!$B$29,IF(Skills!C9=3,120+Inputs!$B$27+Inputs!$B$29,MAX(0,(Inputs!$B$3-100)*3)+Inputs!$B$28+Inputs!$B$29)))</f>
        <v/>
      </c>
      <c r="E2079">
        <f>INDEX(FactorTable!$B$2:$Y$301, MATCH(ROUND(MIN(300,MAX(1,D2079)),0), FactorTable!$A$2:$A$301,0), Skills!L9+1)</f>
        <v/>
      </c>
      <c r="F2079">
        <f>IF(Skills!M9=TRUE,(Skills!K9/10)*(E2079/1000),Skills!K9/10)+Skills!N9</f>
        <v/>
      </c>
      <c r="G2079">
        <f>Calc!G9</f>
        <v/>
      </c>
      <c r="H2079">
        <f>Calc!H9</f>
        <v/>
      </c>
      <c r="I2079">
        <f>IF(Skills!T9&lt;&gt;"",1+(Skills!T9/10)*(Z2073/1000)/100,1)</f>
        <v/>
      </c>
      <c r="J2079">
        <f>((Inputs!$B$6*(1+Inputs!$B$7/100))+(((Inputs!$B$12*(1+Inputs!$B$13/100))-(Inputs!$B$12*(1+Inputs!$B$13/100)))+0.25*(Inputs!$B$14-Inputs!$B$14))*(1+Inputs!$B$7/100))*(F2079/100)</f>
        <v/>
      </c>
      <c r="K2079">
        <f>J2079*(1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9="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F2088-Calc!F18),(Inputs!$B$23+(IF(ArtifactsInput!$M$15,CHOOSE(ArtifactsInput!$N$15+1,25,30,35,40,45,50)/100*(Inputs!$B$11-Inputs!$B$11),0))))/100+(Inputs!$B$23+(IF(ArtifactsInput!$M$15,CHOOSE(ArtifactsInput!$N$15+1,25,30,35,40,45,50)/100*(Inputs!$B$11-Inputs!$B$11),0)))/100)/2</f>
        <v/>
      </c>
      <c r="M2079">
        <f>L2079*(1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9">
        <f>L2079*(1-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(1-Summary!$B$11)*S2079+Summary!$B$11*U2079</f>
        <v/>
      </c>
      <c r="P2079">
        <f>IF(B2107=0,0,O2079/B2107)</f>
        <v/>
      </c>
      <c r="Q2079">
        <f>IFERROR(1/IF(Inputs!$B$38="pvp",15,MAX(0.1,Skills!D9-IF(Skills!E9=TRUE,Inputs!$B$32,0))),0)</f>
        <v/>
      </c>
      <c r="R2079">
        <f>IF(AND(Inputs!$B$38&lt;&gt;"pvp",Inputs!$B$43&gt;0),IF(MAX(0,Inputs!$B$43-B2104)&lt;=0,0,(INT(MAX(0,Inputs!$B$43-B2104)/IF(Inputs!$B$38="pvp",15,MAX(0.1,Skills!D9-IF(Skills!E9=TRUE,Inputs!$B$32,0))))+1)),0)</f>
        <v/>
      </c>
      <c r="S2079">
        <f>IF(C2079,(H2079*N2079*IF(AND(Inputs!$B$38&lt;&gt;"pvp",Inputs!$B$43&gt;0),((Skills!F9*((R2079-1)*IF(Skills!G9&gt;0,Skills!H9/Skills!G9,1)+IF(Skills!G9&gt;0,MIN(Skills!H9,MAX(0,MAX(0,Inputs!$B$43-B2104)-((R2079-1)*IF(Inputs!$B$38="pvp",15,MAX(0.1,Skills!D9-IF(Skills!E9=TRUE,Inputs!$B$32,0))))))/Skills!G9,1)))/Inputs!$B$43),G2079*Q2079))*IF(Inputs!$B$38="pvp",1,1+(Inputs!$B$20+Skills!O9+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2079*(1-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9">
        <f>IF(C2079,(H2079*N2079*IF(AND(Inputs!$B$38&lt;&gt;"pvp",Inputs!$B$43&gt;0),((Skills!F9*((R2079-1)*IF(Skills!G9&gt;0,Skills!H9/Skills!G9,1)+IF(Skills!G9&gt;0,MIN(Skills!H9,MAX(0,MAX(0,Inputs!$B$43-B2104)-((R2079-1)*IF(Inputs!$B$38="pvp",15,MAX(0.1,Skills!D9-IF(Skills!E9=TRUE,Inputs!$B$32,0))))))/Skills!G9,1)))/Inputs!$B$43),G2079*Q2079))*IF(Inputs!$B$38="pvp",1,(1+(Inputs!$B$21+Skills!P9+B2098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Skills!A10</f>
        <v/>
      </c>
      <c r="B2080">
        <f>Skills!B10</f>
        <v/>
      </c>
      <c r="C2080">
        <f>Inputs!$B$3&gt;=113</f>
        <v/>
      </c>
      <c r="D2080">
        <f>IF(Skills!C10=1,60+Inputs!$B$25+Inputs!$B$29,IF(Skills!C10=2,90+Inputs!$B$26+Inputs!$B$29,IF(Skills!C10=3,120+Inputs!$B$27+Inputs!$B$29,MAX(0,(Inputs!$B$3-100)*3)+Inputs!$B$28+Inputs!$B$29)))</f>
        <v/>
      </c>
      <c r="E2080">
        <f>INDEX(FactorTable!$B$2:$Y$301, MATCH(ROUND(MIN(300,MAX(1,D2080)),0), FactorTable!$A$2:$A$301,0), Skills!L10+1)</f>
        <v/>
      </c>
      <c r="F2080">
        <f>IF(Skills!M10=TRUE,(Skills!K10/10)*(E2080/1000),Skills!K10/10)+Skills!N10</f>
        <v/>
      </c>
      <c r="G2080">
        <f>Calc!G10</f>
        <v/>
      </c>
      <c r="H2080">
        <f>Calc!H10</f>
        <v/>
      </c>
      <c r="I2080">
        <f>IF(Skills!T10&lt;&gt;"",1+(Skills!T10/10)*(Z2073/1000)/100,1)</f>
        <v/>
      </c>
      <c r="J2080">
        <f>((Inputs!$B$6*(1+Inputs!$B$7/100))+(((Inputs!$B$12*(1+Inputs!$B$13/100))-(Inputs!$B$12*(1+Inputs!$B$13/100)))+0.25*(Inputs!$B$14-Inputs!$B$14))*(1+Inputs!$B$7/100))*(F2080/100)</f>
        <v/>
      </c>
      <c r="K2080">
        <f>J2080*(1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10="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F2088-Calc!F18),(Inputs!$B$23+(IF(ArtifactsInput!$M$15,CHOOSE(ArtifactsInput!$N$15+1,25,30,35,40,45,50)/100*(Inputs!$B$11-Inputs!$B$11),0))))/100+(Inputs!$B$23+(IF(ArtifactsInput!$M$15,CHOOSE(ArtifactsInput!$N$15+1,25,30,35,40,45,50)/100*(Inputs!$B$11-Inputs!$B$11),0)))/100)/2</f>
        <v/>
      </c>
      <c r="M2080">
        <f>L2080*(1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0">
        <f>L2080*(1-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(1-Summary!$B$11)*S2080+Summary!$B$11*U2080</f>
        <v/>
      </c>
      <c r="P2080">
        <f>IF(B2107=0,0,O2080/B2107)</f>
        <v/>
      </c>
      <c r="Q2080">
        <f>IFERROR(1/IF(Inputs!$B$38="pvp",15,MAX(0.1,Skills!D10-IF(Skills!E9=TRUE,Inputs!$B$32,0))),0)</f>
        <v/>
      </c>
      <c r="R2080">
        <f>IF(AND(Inputs!$B$38&lt;&gt;"pvp",Inputs!$B$43&gt;0),IF(MAX(0,Inputs!$B$43-B2104)&lt;=0,0,(INT(MAX(0,Inputs!$B$43-B2104)/IF(Inputs!$B$38="pvp",15,MAX(0.1,Skills!D10-IF(Skills!E9=TRUE,Inputs!$B$32,0))))+1)),0)</f>
        <v/>
      </c>
      <c r="S2080">
        <f>IF(C2080,(H2080*N2080*IF(AND(Inputs!$B$38&lt;&gt;"pvp",Inputs!$B$43&gt;0),((Skills!F10*((R2080-1)*IF(Skills!G10&gt;0,Skills!H10/Skills!G10,1)+IF(Skills!G10&gt;0,MIN(Skills!H10,MAX(0,MAX(0,Inputs!$B$43-B2104)-((R2080-1)*IF(Inputs!$B$38="pvp",15,MAX(0.1,Skills!D10-IF(Skills!E9=TRUE,Inputs!$B$32,0))))))/Skills!G10,1)))/Inputs!$B$43),G2080*Q2080))*IF(Inputs!$B$38="pvp",1,1+(Inputs!$B$20+Skills!O10+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2080*(1-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0">
        <f>IF(C2080,(H2080*N2080*IF(AND(Inputs!$B$38&lt;&gt;"pvp",Inputs!$B$43&gt;0),((Skills!F10*((R2080-1)*IF(Skills!G10&gt;0,Skills!H10/Skills!G10,1)+IF(Skills!G10&gt;0,MIN(Skills!H10,MAX(0,MAX(0,Inputs!$B$43-B2104)-((R2080-1)*IF(Inputs!$B$38="pvp",15,MAX(0.1,Skills!D10-IF(Skills!E9=TRUE,Inputs!$B$32,0))))))/Skills!G10,1)))/Inputs!$B$43),G2080*Q2080))*IF(Inputs!$B$38="pvp",1,(1+(Inputs!$B$21+Skills!P10+B2098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Skills!A11</f>
        <v/>
      </c>
      <c r="B2081">
        <f>Skills!B11</f>
        <v/>
      </c>
      <c r="C2081">
        <f>Inputs!$B$3&gt;=107</f>
        <v/>
      </c>
      <c r="D2081">
        <f>IF(Skills!C11=1,60+Inputs!$B$25+Inputs!$B$29,IF(Skills!C11=2,90+Inputs!$B$26+Inputs!$B$29,IF(Skills!C11=3,120+Inputs!$B$27+Inputs!$B$29,MAX(0,(Inputs!$B$3-100)*3)+Inputs!$B$28+Inputs!$B$29)))</f>
        <v/>
      </c>
      <c r="E2081">
        <f>INDEX(FactorTable!$B$2:$Y$301, MATCH(ROUND(MIN(300,MAX(1,D2081)),0), FactorTable!$A$2:$A$301,0), Skills!L11+1)</f>
        <v/>
      </c>
      <c r="F2081">
        <f>IF(Skills!M11=TRUE,(Skills!K11/10)*(E2081/1000),Skills!K11/10)+Skills!N11</f>
        <v/>
      </c>
      <c r="G2081">
        <f>Calc!G11</f>
        <v/>
      </c>
      <c r="H2081">
        <f>Calc!H11</f>
        <v/>
      </c>
      <c r="I2081">
        <f>IF(Skills!T11&lt;&gt;"",1+(Skills!T11/10)*(Z2073/1000)/100,1)</f>
        <v/>
      </c>
      <c r="J2081">
        <f>((Inputs!$B$6*(1+Inputs!$B$7/100))+(((Inputs!$B$12*(1+Inputs!$B$13/100))-(Inputs!$B$12*(1+Inputs!$B$13/100)))+0.25*(Inputs!$B$14-Inputs!$B$14))*(1+Inputs!$B$7/100))*(F2081/100)</f>
        <v/>
      </c>
      <c r="K2081">
        <f>J2081*(1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11="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F2088-Calc!F18),(Inputs!$B$23+(IF(ArtifactsInput!$M$15,CHOOSE(ArtifactsInput!$N$15+1,25,30,35,40,45,50)/100*(Inputs!$B$11-Inputs!$B$11),0))))/100+(Inputs!$B$23+(IF(ArtifactsInput!$M$15,CHOOSE(ArtifactsInput!$N$15+1,25,30,35,40,45,50)/100*(Inputs!$B$11-Inputs!$B$11),0)))/100)/2</f>
        <v/>
      </c>
      <c r="M2081">
        <f>L2081*(1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1">
        <f>L2081*(1-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(1-Summary!$B$11)*S2081+Summary!$B$11*U2081</f>
        <v/>
      </c>
      <c r="P2081">
        <f>IF(B2107=0,0,O2081/B2107)</f>
        <v/>
      </c>
      <c r="Q2081">
        <f>IFERROR(1/IF(Inputs!$B$38="pvp",15,MAX(0.1,Skills!D11-IF(Skills!E11=TRUE,Inputs!$B$32,0))),0)</f>
        <v/>
      </c>
      <c r="R2081">
        <f>IF(AND(Inputs!$B$38&lt;&gt;"pvp",Inputs!$B$43&gt;0),IF(MAX(0,Inputs!$B$43-B2104)&lt;=0,0,(INT(MAX(0,Inputs!$B$43-B2104)/IF(Inputs!$B$38="pvp",15,MAX(0.1,Skills!D11-IF(Skills!E11=TRUE,Inputs!$B$32,0))))+1)),0)</f>
        <v/>
      </c>
      <c r="S2081">
        <f>IF(C2081,H2081*N2081*IF(AND(Inputs!$B$38&lt;&gt;"pvp",Inputs!$B$43&gt;0),((Skills!F11*((R2081-1)*IF(Skills!G11&gt;0,Skills!H11/Skills!G11,1)+IF(Skills!G11&gt;0,MIN(Skills!H11,MAX(0,MAX(0,Inputs!$B$43-B2104)-((R2081-1)*IF(Inputs!$B$38="pvp",15,MAX(0.1,Skills!D11-IF(Skills!E11=TRUE,Inputs!$B$32,0))))))/Skills!G11,1)))/Inputs!$B$43),G2081*Q2081)*0.5*IF(Inputs!$B$38="pvp",1,1+(Inputs!$B$20+Skills!O11+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2081*(1-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1">
        <f>IF(C2081,H2081*N2081*IF(AND(Inputs!$B$38&lt;&gt;"pvp",Inputs!$B$43&gt;0),((Skills!F11*((R2081-1)*IF(Skills!G11&gt;0,Skills!H11/Skills!G11,1)+IF(Skills!G11&gt;0,MIN(Skills!H11,MAX(0,MAX(0,Inputs!$B$43-B2104)-((R2081-1)*IF(Inputs!$B$38="pvp",15,MAX(0.1,Skills!D11-IF(Skills!E11=TRUE,Inputs!$B$32,0))))))/Skills!G11,1)))/Inputs!$B$43),G2081*Q2081)*1*IF(Inputs!$B$38="pvp",1,(1+(Inputs!$B$21+Skills!P11+B2098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Skills!A12</f>
        <v/>
      </c>
      <c r="B2082">
        <f>Skills!B12</f>
        <v/>
      </c>
      <c r="C2082">
        <f>Inputs!$B$3&gt;=115</f>
        <v/>
      </c>
      <c r="D2082">
        <f>IF(Skills!C12=1,60+Inputs!$B$25+Inputs!$B$29,IF(Skills!C12=2,90+Inputs!$B$26+Inputs!$B$29,IF(Skills!C12=3,120+Inputs!$B$27+Inputs!$B$29,MAX(0,(Inputs!$B$3-100)*3)+Inputs!$B$28+Inputs!$B$29)))</f>
        <v/>
      </c>
      <c r="E2082">
        <f>INDEX(FactorTable!$B$2:$Y$301, MATCH(ROUND(MIN(300,MAX(1,D2082)),0), FactorTable!$A$2:$A$301,0), Skills!L12+1)</f>
        <v/>
      </c>
      <c r="F2082">
        <f>IF(Skills!M12=TRUE,(Skills!K12/10)*(E2082/1000),Skills!K12/10)+Skills!N12</f>
        <v/>
      </c>
      <c r="G2082">
        <f>Calc!G12</f>
        <v/>
      </c>
      <c r="H2082">
        <f>Calc!H12</f>
        <v/>
      </c>
      <c r="I2082">
        <f>IF(Skills!T12&lt;&gt;"",1+(Skills!T12/10)*(Z2073/1000)/100,1)</f>
        <v/>
      </c>
      <c r="J2082">
        <f>((Inputs!$B$6*(1+Inputs!$B$7/100))+(((Inputs!$B$12*(1+Inputs!$B$13/100))-(Inputs!$B$12*(1+Inputs!$B$13/100)))+0.25*(Inputs!$B$14-Inputs!$B$14))*(1+Inputs!$B$7/100))*(F2082/100)</f>
        <v/>
      </c>
      <c r="K2082">
        <f>J2082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12="CHAIN_LIGHTNING",Inputs!$B$17+((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F2088-Calc!F18),(Inputs!$B$23+(IF(ArtifactsInput!$M$15,CHOOSE(ArtifactsInput!$N$15+1,25,30,35,40,45,50)/100*(Inputs!$B$11-Inputs!$B$11),0))))/100+(Inputs!$B$23+(IF(ArtifactsInput!$M$15,CHOOSE(ArtifactsInput!$N$15+1,25,30,35,40,45,50)/100*(Inputs!$B$11-Inputs!$B$11),0)))/100)/2</f>
        <v/>
      </c>
      <c r="M2082">
        <f>L2082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2">
        <f>L2082*(1-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(1-Summary!$B$11)*S2082+Summary!$B$11*U2082</f>
        <v/>
      </c>
      <c r="P2082">
        <f>IF(B2107=0,0,O2082/B2107)</f>
        <v/>
      </c>
      <c r="Q2082">
        <f>IFERROR(1/IF(Inputs!$B$38="pvp",15,MAX(0.1,Skills!D12-IF(Skills!E12=TRUE,Inputs!$B$32,0))),0)</f>
        <v/>
      </c>
      <c r="R2082">
        <f>IF(AND(Inputs!$B$38&lt;&gt;"pvp",Inputs!$B$43&gt;0),IF(MAX(0,Inputs!$B$43-B2104)&lt;=0,0,(INT(MAX(0,Inputs!$B$43-B2104)/IF(Inputs!$B$38="pvp",15,MAX(0.1,Skills!D12-IF(Skills!E12=TRUE,Inputs!$B$32,0))))+1)),0)</f>
        <v/>
      </c>
      <c r="S2082">
        <f>IF(C2082,(H2082*N2082*IF(AND(Inputs!$B$38&lt;&gt;"pvp",Inputs!$B$43&gt;0),((Skills!F12*((R2082-1)*IF(Skills!G12&gt;0,Skills!H12/Skills!G12,1)+IF(Skills!G12&gt;0,MIN(Skills!H12,MAX(0,MAX(0,Inputs!$B$43-B2104)-((R2082-1)*IF(Inputs!$B$38="pvp",15,MAX(0.1,Skills!D12-IF(Skills!E12=TRUE,Inputs!$B$32,0))))))/Skills!G12,1)))/Inputs!$B$43),G2082*Q2082))*IF(Inputs!$B$38="pvp",1,1+(Inputs!$B$20+Skills!O12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2082*(1-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F2090-Calc!F20)+(F2089-Calc!F19))+(ArtifactsInput!$M$24-ArtifactsInput!$M$24)*CHOOSE(ArtifactsInput!$N$24+1,10,12,14,16,18,20)+(IF(AND(Inputs!$B$38&lt;&gt;"pvp",Inputs!$B$43=0),1,IF(IF(Inputs!$B$38="pvp",15,Inputs!$B$43)-(B2104)&lt;=0,1,MAX(0,IF(Inputs!$B$38="pvp",15,Inputs!$B$43)-MAX(5,B2104))/(IF(Inputs!$B$38="pvp",15,Inputs!$B$43)-(B2104)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2">
        <f>IF(C2082,(H2082*N2082*IF(AND(Inputs!$B$38&lt;&gt;"pvp",Inputs!$B$43&gt;0),((Skills!F12*((R2082-1)*IF(Skills!G12&gt;0,Skills!H12/Skills!G12,1)+IF(Skills!G12&gt;0,MIN(Skills!H12,MAX(0,MAX(0,Inputs!$B$43-B2104)-((R2082-1)*IF(Inputs!$B$38="pvp",15,MAX(0.1,Skills!D12-IF(Skills!E12=TRUE,Inputs!$B$32,0))))))/Skills!G12,1)))/Inputs!$B$43),G2082*Q2082))*IF(Inputs!$B$38="pvp",1,(1+(Inputs!$B$21+Skills!P12+B2098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Skills!A13</f>
        <v/>
      </c>
      <c r="B2083">
        <f>Skills!B13</f>
        <v/>
      </c>
      <c r="C2083">
        <f>Inputs!$B$3&gt;=49</f>
        <v/>
      </c>
      <c r="D2083">
        <f>IF(Skills!C13=1,60+Inputs!$B$25+Inputs!$B$29,IF(Skills!C13=2,90+Inputs!$B$26+Inputs!$B$29,IF(Skills!C13=3,120+Inputs!$B$27+Inputs!$B$29,MAX(0,(Inputs!$B$3-100)*3)+Inputs!$B$28+Inputs!$B$29)))</f>
        <v/>
      </c>
      <c r="E2083">
        <f>INDEX(FactorTable!$B$2:$Y$301, MATCH(ROUND(MIN(300,MAX(1,D2083)),0), FactorTable!$A$2:$A$301,0), Skills!L13+1)</f>
        <v/>
      </c>
      <c r="F2083">
        <f>IF(Skills!M13=TRUE,(Skills!K13/10)*(E2083/1000),Skills!K13/10)+Skills!N13</f>
        <v/>
      </c>
      <c r="G2083">
        <f>Calc!G13</f>
        <v/>
      </c>
      <c r="H2083">
        <f>Calc!H13</f>
        <v/>
      </c>
      <c r="I2083">
        <f>IF(Skills!T13&lt;&gt;"",1+(Skills!T13/10)*(Z2073/1000)/100,1)</f>
        <v/>
      </c>
      <c r="J2083" t="inlineStr"/>
      <c r="K2083" t="inlineStr"/>
      <c r="L2083" t="inlineStr"/>
      <c r="M2083" t="inlineStr"/>
      <c r="N2083" t="inlineStr"/>
      <c r="O2083">
        <f>(1-Summary!$B$11)*S2083+Summary!$B$11*U2083</f>
        <v/>
      </c>
      <c r="P2083">
        <f>IF(B2107=0,0,O2083/B2107)</f>
        <v/>
      </c>
      <c r="Q2083">
        <f>IFERROR(1/IF(Inputs!$B$38="pvp",15,MAX(0.1,Skills!D13-IF(Skills!E13=TRUE,Inputs!$B$32,0))),0)</f>
        <v/>
      </c>
      <c r="R2083" t="n">
        <v>0</v>
      </c>
      <c r="S2083" t="n">
        <v>0</v>
      </c>
      <c r="U2083" t="n">
        <v>0</v>
      </c>
    </row>
    <row r="2084">
      <c r="A2084">
        <f>Skills!A14</f>
        <v/>
      </c>
      <c r="B2084">
        <f>Skills!B14</f>
        <v/>
      </c>
      <c r="C2084">
        <f>Inputs!$B$3&gt;=72</f>
        <v/>
      </c>
      <c r="D2084">
        <f>IF(Skills!C14=1,60+Inputs!$B$25+Inputs!$B$29,IF(Skills!C14=2,90+Inputs!$B$26+Inputs!$B$29,IF(Skills!C14=3,120+Inputs!$B$27+Inputs!$B$29,MAX(0,(Inputs!$B$3-100)*3)+Inputs!$B$28+Inputs!$B$29)))</f>
        <v/>
      </c>
      <c r="E2084">
        <f>INDEX(FactorTable!$B$2:$Y$301, MATCH(ROUND(MIN(300,MAX(1,D2084)),0), FactorTable!$A$2:$A$301,0), Skills!L14+1)</f>
        <v/>
      </c>
      <c r="F2084">
        <f>IF(Skills!M14=TRUE,(Skills!K14/10)*(E2084/1000),Skills!K14/10)+Skills!N14</f>
        <v/>
      </c>
      <c r="G2084">
        <f>Calc!G14</f>
        <v/>
      </c>
      <c r="H2084">
        <f>Calc!H14</f>
        <v/>
      </c>
      <c r="I2084">
        <f>IF(Skills!T14&lt;&gt;"",1+(Skills!T14/10)*(Z2073/1000)/100,1)</f>
        <v/>
      </c>
      <c r="J2084" t="inlineStr"/>
      <c r="K2084" t="inlineStr"/>
      <c r="L2084" t="inlineStr"/>
      <c r="M2084" t="inlineStr"/>
      <c r="N2084" t="inlineStr"/>
      <c r="O2084">
        <f>(1-Summary!$B$11)*S2084+Summary!$B$11*U2084</f>
        <v/>
      </c>
      <c r="P2084">
        <f>IF(B2107=0,0,O2084/B2107)</f>
        <v/>
      </c>
      <c r="Q2084">
        <f>IFERROR(1/IF(Inputs!$B$38="pvp",15,MAX(0.1,Skills!D14-IF(Skills!E14=TRUE,Inputs!$B$32,0))),0)</f>
        <v/>
      </c>
      <c r="R2084" t="n">
        <v>0</v>
      </c>
      <c r="S2084" t="n">
        <v>0</v>
      </c>
      <c r="U2084" t="n">
        <v>0</v>
      </c>
    </row>
    <row r="2085">
      <c r="A2085">
        <f>Skills!A15</f>
        <v/>
      </c>
      <c r="B2085">
        <f>Skills!B15</f>
        <v/>
      </c>
      <c r="C2085">
        <f>Inputs!$B$3&gt;=75</f>
        <v/>
      </c>
      <c r="D2085">
        <f>IF(Skills!C15=1,60+Inputs!$B$25+Inputs!$B$29,IF(Skills!C15=2,90+Inputs!$B$26+Inputs!$B$29,IF(Skills!C15=3,120+Inputs!$B$27+Inputs!$B$29,MAX(0,(Inputs!$B$3-100)*3)+Inputs!$B$28+Inputs!$B$29)))</f>
        <v/>
      </c>
      <c r="E2085">
        <f>INDEX(FactorTable!$B$2:$Y$301, MATCH(ROUND(MIN(300,MAX(1,D2085)),0), FactorTable!$A$2:$A$301,0), Skills!L15+1)</f>
        <v/>
      </c>
      <c r="F2085">
        <f>IF(Skills!M15=TRUE,(Skills!K15/10)*(E2085/1000),Skills!K15/10)+Skills!N15</f>
        <v/>
      </c>
      <c r="G2085">
        <f>Calc!G15</f>
        <v/>
      </c>
      <c r="H2085">
        <f>Calc!H15</f>
        <v/>
      </c>
      <c r="I2085">
        <f>IF(Skills!T15&lt;&gt;"",1+(Skills!T15/10)*(Z2073/1000)/100,1)</f>
        <v/>
      </c>
      <c r="J2085" t="inlineStr"/>
      <c r="K2085" t="inlineStr"/>
      <c r="L2085" t="inlineStr"/>
      <c r="M2085" t="inlineStr"/>
      <c r="N2085" t="inlineStr"/>
      <c r="O2085">
        <f>(1-Summary!$B$11)*S2085+Summary!$B$11*U2085</f>
        <v/>
      </c>
      <c r="P2085">
        <f>IF(B2107=0,0,O2085/B2107)</f>
        <v/>
      </c>
      <c r="Q2085">
        <f>IFERROR(1/IF(Inputs!$B$38="pvp",15,MAX(0.1,Skills!D15-IF(Skills!E15=TRUE,Inputs!$B$32,0))),0)</f>
        <v/>
      </c>
      <c r="R2085" t="n">
        <v>0</v>
      </c>
      <c r="S2085" t="n">
        <v>0</v>
      </c>
      <c r="U2085" t="n">
        <v>0</v>
      </c>
    </row>
    <row r="2086">
      <c r="A2086">
        <f>Skills!A16</f>
        <v/>
      </c>
      <c r="B2086">
        <f>Skills!B16</f>
        <v/>
      </c>
      <c r="C2086">
        <f>Inputs!$B$3&gt;=110</f>
        <v/>
      </c>
      <c r="D2086">
        <f>IF(Skills!C16=1,60+Inputs!$B$25+Inputs!$B$29,IF(Skills!C16=2,90+Inputs!$B$26+Inputs!$B$29,IF(Skills!C16=3,120+Inputs!$B$27+Inputs!$B$29,MAX(0,(Inputs!$B$3-100)*3)+Inputs!$B$28+Inputs!$B$29)))</f>
        <v/>
      </c>
      <c r="E2086">
        <f>INDEX(FactorTable!$B$2:$Y$301, MATCH(ROUND(MIN(300,MAX(1,D2086)),0), FactorTable!$A$2:$A$301,0), Skills!L16+1)</f>
        <v/>
      </c>
      <c r="F2086">
        <f>(Skills!K16/10)*(E2086/1000)*64/45+Skills!N16</f>
        <v/>
      </c>
      <c r="G2086">
        <f>Calc!G16</f>
        <v/>
      </c>
      <c r="H2086">
        <f>Calc!H16</f>
        <v/>
      </c>
      <c r="I2086">
        <f>IF(Skills!T16&lt;&gt;"",1+(Skills!T16/10)*(Z2073/1000)/100,1)</f>
        <v/>
      </c>
      <c r="J2086" t="inlineStr"/>
      <c r="K2086" t="inlineStr"/>
      <c r="L2086" t="inlineStr"/>
      <c r="M2086" t="inlineStr"/>
      <c r="N2086" t="inlineStr"/>
      <c r="O2086">
        <f>(1-Summary!$B$11)*S2086+Summary!$B$11*U2086</f>
        <v/>
      </c>
      <c r="P2086">
        <f>IF(B2107=0,0,O2086/B2107)</f>
        <v/>
      </c>
      <c r="Q2086">
        <f>IFERROR(1/IF(Inputs!$B$38="pvp",15,MAX(0.1,Skills!D16-IF(Skills!E16=TRUE,Inputs!$B$32,0))),0)</f>
        <v/>
      </c>
      <c r="R2086">
        <f>IF(AND(Inputs!$B$38&lt;&gt;"pvp",Inputs!$B$43&gt;0),IF(Inputs!$B$43&lt;=0,0,(INT(Inputs!$B$43/IF(Inputs!$B$38="pvp",15,MAX(0.1,Skills!D16-IF(Skills!E16=TRUE,Inputs!$B$32,0))))+1)),0)</f>
        <v/>
      </c>
      <c r="S2086" t="n">
        <v>0</v>
      </c>
      <c r="U2086" t="n">
        <v>0</v>
      </c>
    </row>
    <row r="2087">
      <c r="A2087">
        <f>Skills!A17</f>
        <v/>
      </c>
      <c r="B2087">
        <f>Skills!B17</f>
        <v/>
      </c>
      <c r="C2087">
        <f>Inputs!$B$3&gt;=33</f>
        <v/>
      </c>
      <c r="D2087">
        <f>IF(Skills!C17=1,60+Inputs!$B$25+Inputs!$B$29,IF(Skills!C17=2,90+Inputs!$B$26+Inputs!$B$29,IF(Skills!C17=3,120+Inputs!$B$27+Inputs!$B$29,MAX(0,(Inputs!$B$3-100)*3)+Inputs!$B$28+Inputs!$B$29)))</f>
        <v/>
      </c>
      <c r="E2087">
        <f>INDEX(FactorTable!$B$2:$Y$301, MATCH(ROUND(MIN(300,MAX(1,D2087)),0), FactorTable!$A$2:$A$301,0), Skills!L17+1)</f>
        <v/>
      </c>
      <c r="F2087">
        <f>IF(Skills!M17=TRUE,(Skills!K17/10)*(E2087/1000),Skills!K17/10)+Skills!N17</f>
        <v/>
      </c>
      <c r="G2087">
        <f>Calc!G17</f>
        <v/>
      </c>
      <c r="H2087">
        <f>Calc!H17</f>
        <v/>
      </c>
      <c r="I2087">
        <f>IF(Skills!T17&lt;&gt;"",1+(Skills!T17/10)*(Z2073/1000)/100,1)</f>
        <v/>
      </c>
      <c r="J2087" t="inlineStr"/>
      <c r="K2087" t="inlineStr"/>
      <c r="L2087" t="inlineStr"/>
      <c r="M2087" t="inlineStr"/>
      <c r="N2087" t="inlineStr"/>
      <c r="O2087">
        <f>(1-Summary!$B$11)*S2087+Summary!$B$11*U2087</f>
        <v/>
      </c>
      <c r="P2087">
        <f>IF(B2107=0,0,O2087/B2107)</f>
        <v/>
      </c>
      <c r="Q2087">
        <f>IFERROR(1/IF(Inputs!$B$38="pvp",15,MAX(0.1,Skills!D17-IF(Skills!E17=TRUE,Inputs!$B$32,0))),0)</f>
        <v/>
      </c>
      <c r="R2087" t="n">
        <v>0</v>
      </c>
      <c r="S2087" t="n">
        <v>0</v>
      </c>
      <c r="U2087" t="n">
        <v>0</v>
      </c>
    </row>
    <row r="2088">
      <c r="A2088">
        <f>Skills!A18</f>
        <v/>
      </c>
      <c r="B2088">
        <f>Skills!B18</f>
        <v/>
      </c>
      <c r="C2088">
        <f>Inputs!$B$3&gt;=43</f>
        <v/>
      </c>
      <c r="D2088">
        <f>IF(Skills!C18=1,60+Inputs!$B$25+Inputs!$B$29,IF(Skills!C18=2,90+Inputs!$B$26+Inputs!$B$29,IF(Skills!C18=3,120+Inputs!$B$27+Inputs!$B$29,MAX(0,(Inputs!$B$3-100)*3)+Inputs!$B$28+Inputs!$B$29)))</f>
        <v/>
      </c>
      <c r="E2088">
        <f>INDEX(FactorTable!$B$2:$Y$301, MATCH(ROUND(MIN(300,MAX(1,D2088)),0), FactorTable!$A$2:$A$301,0), Skills!L18+1)</f>
        <v/>
      </c>
      <c r="F2088">
        <f>IF(Skills!M18=TRUE,(Skills!K18/10)*(E2088/1000),Skills!K18/10)+Skills!N18</f>
        <v/>
      </c>
      <c r="G2088">
        <f>Calc!G18</f>
        <v/>
      </c>
      <c r="H2088">
        <f>Calc!H18</f>
        <v/>
      </c>
      <c r="I2088">
        <f>IF(Skills!T18&lt;&gt;"",1+(Skills!T18/10)*(Z2073/1000)/100,1)</f>
        <v/>
      </c>
      <c r="J2088" t="inlineStr"/>
      <c r="K2088" t="inlineStr"/>
      <c r="L2088" t="inlineStr"/>
      <c r="M2088" t="inlineStr"/>
      <c r="N2088" t="inlineStr"/>
      <c r="O2088">
        <f>(1-Summary!$B$11)*S2088+Summary!$B$11*U2088</f>
        <v/>
      </c>
      <c r="P2088">
        <f>IF(B2107=0,0,O2088/B2107)</f>
        <v/>
      </c>
      <c r="Q2088">
        <f>IFERROR(1/IF(Inputs!$B$38="pvp",15,MAX(0.1,Skills!D18-IF(Skills!E18=TRUE,Inputs!$B$32,0))),0)</f>
        <v/>
      </c>
      <c r="R2088" t="n">
        <v>0</v>
      </c>
      <c r="S2088" t="n">
        <v>0</v>
      </c>
      <c r="U2088" t="n">
        <v>0</v>
      </c>
    </row>
    <row r="2089">
      <c r="A2089">
        <f>Skills!A19</f>
        <v/>
      </c>
      <c r="B2089">
        <f>Skills!B19</f>
        <v/>
      </c>
      <c r="C2089">
        <f>Inputs!$B$3&gt;=50</f>
        <v/>
      </c>
      <c r="D2089">
        <f>IF(Skills!C19=1,60+Inputs!$B$25+Inputs!$B$29,IF(Skills!C19=2,90+Inputs!$B$26+Inputs!$B$29,IF(Skills!C19=3,120+Inputs!$B$27+Inputs!$B$29,MAX(0,(Inputs!$B$3-100)*3)+Inputs!$B$28+Inputs!$B$29)))</f>
        <v/>
      </c>
      <c r="E2089">
        <f>INDEX(FactorTable!$B$2:$Y$301, MATCH(ROUND(MIN(300,MAX(1,D2089)),0), FactorTable!$A$2:$A$301,0), Skills!L19+1)</f>
        <v/>
      </c>
      <c r="F2089">
        <f>IF(Skills!M19=TRUE,(Skills!K19/10)*(E2089/1000),Skills!K19/10)+Skills!N19</f>
        <v/>
      </c>
      <c r="G2089">
        <f>Calc!G19</f>
        <v/>
      </c>
      <c r="H2089">
        <f>Calc!H19</f>
        <v/>
      </c>
      <c r="I2089">
        <f>IF(Skills!T19&lt;&gt;"",1+(Skills!T19/10)*(Z2073/1000)/100,1)</f>
        <v/>
      </c>
      <c r="J2089" t="inlineStr"/>
      <c r="K2089" t="inlineStr"/>
      <c r="L2089" t="inlineStr"/>
      <c r="M2089" t="inlineStr"/>
      <c r="N2089" t="inlineStr"/>
      <c r="O2089">
        <f>(1-Summary!$B$11)*S2089+Summary!$B$11*U2089</f>
        <v/>
      </c>
      <c r="P2089">
        <f>IF(B2107=0,0,O2089/B2107)</f>
        <v/>
      </c>
      <c r="Q2089">
        <f>IFERROR(1/IF(Inputs!$B$38="pvp",15,MAX(0.1,Skills!D19-IF(Skills!E19=TRUE,Inputs!$B$32,0))),0)</f>
        <v/>
      </c>
      <c r="R2089" t="n">
        <v>0</v>
      </c>
      <c r="S2089" t="n">
        <v>0</v>
      </c>
      <c r="U2089" t="n">
        <v>0</v>
      </c>
    </row>
    <row r="2090">
      <c r="A2090">
        <f>Skills!A20</f>
        <v/>
      </c>
      <c r="B2090">
        <f>Skills!B20</f>
        <v/>
      </c>
      <c r="C2090">
        <f>Inputs!$B$3&gt;=74</f>
        <v/>
      </c>
      <c r="D2090">
        <f>IF(Skills!C20=1,60+Inputs!$B$25+Inputs!$B$29,IF(Skills!C20=2,90+Inputs!$B$26+Inputs!$B$29,IF(Skills!C20=3,120+Inputs!$B$27+Inputs!$B$29,MAX(0,(Inputs!$B$3-100)*3)+Inputs!$B$28+Inputs!$B$29)))</f>
        <v/>
      </c>
      <c r="E2090">
        <f>INDEX(FactorTable!$B$2:$Y$301, MATCH(ROUND(MIN(300,MAX(1,D2090)),0), FactorTable!$A$2:$A$301,0), Skills!L20+1)</f>
        <v/>
      </c>
      <c r="F2090">
        <f>IF(Skills!M20=TRUE,(Skills!K20/10)*(E2090/1000),Skills!K20/10)+Skills!N20</f>
        <v/>
      </c>
      <c r="G2090">
        <f>Calc!G20</f>
        <v/>
      </c>
      <c r="H2090">
        <f>Calc!H20</f>
        <v/>
      </c>
      <c r="I2090">
        <f>IF(Skills!T20&lt;&gt;"",1+(Skills!T20/10)*(Z2073/1000)/100,1)</f>
        <v/>
      </c>
      <c r="J2090" t="inlineStr"/>
      <c r="K2090" t="inlineStr"/>
      <c r="L2090" t="inlineStr"/>
      <c r="M2090" t="inlineStr"/>
      <c r="N2090" t="inlineStr"/>
      <c r="O2090">
        <f>(1-Summary!$B$11)*S2090+Summary!$B$11*U2090</f>
        <v/>
      </c>
      <c r="P2090">
        <f>IF(B2107=0,0,O2090/B2107)</f>
        <v/>
      </c>
      <c r="Q2090">
        <f>IFERROR(1/IF(Inputs!$B$38="pvp",15,MAX(0.1,Skills!D20-IF(Skills!E20=TRUE,Inputs!$B$32,0))),0)</f>
        <v/>
      </c>
      <c r="R2090" t="n">
        <v>0</v>
      </c>
      <c r="S2090" t="n">
        <v>0</v>
      </c>
      <c r="U2090" t="n">
        <v>0</v>
      </c>
    </row>
    <row r="2091">
      <c r="A2091">
        <f>Skills!A21</f>
        <v/>
      </c>
      <c r="B2091">
        <f>Skills!B21</f>
        <v/>
      </c>
      <c r="C2091">
        <f>Inputs!$B$3&gt;=74</f>
        <v/>
      </c>
      <c r="D2091">
        <f>IF(Skills!C21=1,60+Inputs!$B$25+Inputs!$B$29,IF(Skills!C21=2,90+Inputs!$B$26+Inputs!$B$29,IF(Skills!C21=3,120+Inputs!$B$27+Inputs!$B$29,MAX(0,(Inputs!$B$3-100)*3)+Inputs!$B$28+Inputs!$B$29)))</f>
        <v/>
      </c>
      <c r="E2091">
        <f>INDEX(FactorTable!$B$2:$Y$301, MATCH(ROUND(MIN(300,MAX(1,D2091)),0), FactorTable!$A$2:$A$301,0), Skills!L21+1)</f>
        <v/>
      </c>
      <c r="F2091">
        <f>IF(Skills!M21=TRUE,(Skills!K21/10)*(E2091/1000),Skills!K21/10)+Skills!N21</f>
        <v/>
      </c>
      <c r="G2091">
        <f>Calc!G21</f>
        <v/>
      </c>
      <c r="H2091">
        <f>Calc!H21</f>
        <v/>
      </c>
      <c r="I2091">
        <f>IF(Skills!T21&lt;&gt;"",1+(Skills!T21/10)*(Z2073/1000)/100,1)</f>
        <v/>
      </c>
      <c r="J2091" t="inlineStr"/>
      <c r="K2091" t="inlineStr"/>
      <c r="L2091" t="inlineStr"/>
      <c r="M2091" t="inlineStr"/>
      <c r="N2091" t="inlineStr"/>
      <c r="O2091">
        <f>(1-Summary!$B$11)*S2091+Summary!$B$11*U2091</f>
        <v/>
      </c>
      <c r="P2091">
        <f>IF(B2107=0,0,O2091/B2107)</f>
        <v/>
      </c>
      <c r="Q2091">
        <f>IFERROR(1/IF(Inputs!$B$38="pvp",15,MAX(0.1,Skills!D21-IF(Skills!E21=TRUE,Inputs!$B$32,0))),0)</f>
        <v/>
      </c>
      <c r="R2091" t="n">
        <v>0</v>
      </c>
      <c r="S2091" t="n">
        <v>0</v>
      </c>
      <c r="U2091" t="n">
        <v>0</v>
      </c>
    </row>
    <row r="2092">
      <c r="A2092">
        <f>Skills!A22</f>
        <v/>
      </c>
      <c r="B2092">
        <f>Skills!B22</f>
        <v/>
      </c>
      <c r="C2092">
        <f>Inputs!$B$3&gt;=117</f>
        <v/>
      </c>
      <c r="D2092">
        <f>IF(Skills!C22=1,60+Inputs!$B$25+Inputs!$B$29,IF(Skills!C22=2,90+Inputs!$B$26+Inputs!$B$29,IF(Skills!C22=3,120+Inputs!$B$27+Inputs!$B$29,MAX(0,(Inputs!$B$3-100)*3)+Inputs!$B$28+Inputs!$B$29)))</f>
        <v/>
      </c>
      <c r="E2092">
        <f>INDEX(FactorTable!$B$2:$Y$301, MATCH(ROUND(MIN(300,MAX(1,D2092)),0), FactorTable!$A$2:$A$301,0), Skills!L22+1)</f>
        <v/>
      </c>
      <c r="F2092">
        <f>IF(Skills!M22=TRUE,(Skills!K22/10)*(E2092/1000),Skills!K22/10)+Skills!N22</f>
        <v/>
      </c>
      <c r="G2092">
        <f>Calc!G22</f>
        <v/>
      </c>
      <c r="H2092">
        <f>Calc!H22</f>
        <v/>
      </c>
      <c r="I2092">
        <f>IF(Skills!T22&lt;&gt;"",1+(Skills!T22/10)*(Z2073/1000)/100,1)</f>
        <v/>
      </c>
      <c r="J2092" t="inlineStr"/>
      <c r="K2092" t="inlineStr"/>
      <c r="L2092" t="inlineStr"/>
      <c r="M2092" t="inlineStr"/>
      <c r="N2092" t="inlineStr"/>
      <c r="O2092">
        <f>(1-Summary!$B$11)*S2092+Summary!$B$11*U2092</f>
        <v/>
      </c>
      <c r="P2092">
        <f>IF(B2107=0,0,O2092/B2107)</f>
        <v/>
      </c>
      <c r="Q2092">
        <f>IFERROR(1/IF(Inputs!$B$38="pvp",15,MAX(0.1,Skills!D22-IF(Skills!E22=TRUE,Inputs!$B$32,0))),0)</f>
        <v/>
      </c>
      <c r="R2092" t="n">
        <v>0</v>
      </c>
      <c r="S2092" t="n">
        <v>0</v>
      </c>
      <c r="U2092" t="n">
        <v>0</v>
      </c>
    </row>
    <row r="2093">
      <c r="A2093">
        <f>Skills!A23</f>
        <v/>
      </c>
      <c r="B2093">
        <f>Skills!B23</f>
        <v/>
      </c>
      <c r="C2093">
        <f>Inputs!$B$3&gt;=120</f>
        <v/>
      </c>
      <c r="D2093">
        <f>IF(Skills!C23=1,60+Inputs!$B$25+Inputs!$B$29,IF(Skills!C23=2,90+Inputs!$B$26+Inputs!$B$29,IF(Skills!C23=3,120+Inputs!$B$27+Inputs!$B$29,MAX(0,(Inputs!$B$3-100)*3)+Inputs!$B$28+Inputs!$B$29)))</f>
        <v/>
      </c>
      <c r="E2093">
        <f>INDEX(FactorTable!$B$2:$Y$301, MATCH(ROUND(MIN(300,MAX(1,D2093)),0), FactorTable!$A$2:$A$301,0), Skills!L23+1)</f>
        <v/>
      </c>
      <c r="F2093">
        <f>IF(Skills!M23=TRUE,(Skills!K23/10)*(E2093/1000),Skills!K23/10)+Skills!N23</f>
        <v/>
      </c>
      <c r="G2093">
        <f>Calc!G23</f>
        <v/>
      </c>
      <c r="H2093">
        <f>Calc!H23</f>
        <v/>
      </c>
      <c r="I2093">
        <f>IF(Skills!T23&lt;&gt;"",1+(Skills!T23/10)*(Z2073/1000)/100,1)</f>
        <v/>
      </c>
      <c r="J2093" t="inlineStr"/>
      <c r="K2093" t="inlineStr"/>
      <c r="L2093" t="inlineStr"/>
      <c r="M2093" t="inlineStr"/>
      <c r="N2093" t="inlineStr"/>
      <c r="O2093">
        <f>(1-Summary!$B$11)*S2093+Summary!$B$11*U2093</f>
        <v/>
      </c>
      <c r="P2093">
        <f>IF(B2107=0,0,O2093/B2107)</f>
        <v/>
      </c>
      <c r="Q2093">
        <f>IFERROR(1/IF(Inputs!$B$38="pvp",15,MAX(0.1,Skills!D23-IF(Skills!E23=TRUE,Inputs!$B$32,0))),0)</f>
        <v/>
      </c>
      <c r="R2093" t="n">
        <v>0</v>
      </c>
      <c r="S2093" t="n">
        <v>0</v>
      </c>
      <c r="U2093" t="n">
        <v>0</v>
      </c>
    </row>
    <row r="2094">
      <c r="A2094">
        <f>Skills!A24</f>
        <v/>
      </c>
      <c r="B2094">
        <f>Skills!B24</f>
        <v/>
      </c>
      <c r="C2094">
        <f>TRUE</f>
        <v/>
      </c>
      <c r="D2094">
        <f>IF(Skills!C24=1,60+Inputs!$B$25+Inputs!$B$29,IF(Skills!C24=2,90+Inputs!$B$26+Inputs!$B$29,IF(Skills!C24=3,120+Inputs!$B$27+Inputs!$B$29,MAX(0,(Inputs!$B$3-100)*3)+Inputs!$B$28+Inputs!$B$29)))</f>
        <v/>
      </c>
      <c r="E2094">
        <f>INDEX(FactorTable!$B$2:$Y$301, MATCH(ROUND(MIN(300,MAX(1,D2094)),0), FactorTable!$A$2:$A$301,0), Skills!L24+1)</f>
        <v/>
      </c>
      <c r="F2094">
        <f>IF(Skills!M24=TRUE,(Skills!K24/10)*(E2094/1000),Skills!K24/10)+Skills!N24</f>
        <v/>
      </c>
      <c r="G2094">
        <f>Calc!G24</f>
        <v/>
      </c>
      <c r="H2094">
        <f>Calc!H24</f>
        <v/>
      </c>
      <c r="I2094">
        <f>IF(Skills!T24&lt;&gt;"",1+(Skills!T24/10)*(Z2073/1000)/100,1)</f>
        <v/>
      </c>
      <c r="J2094" t="inlineStr"/>
      <c r="K2094" t="inlineStr"/>
      <c r="L2094" t="inlineStr"/>
      <c r="M2094" t="inlineStr"/>
      <c r="N2094" t="inlineStr"/>
      <c r="O2094">
        <f>(1-Summary!$B$11)*S2094+Summary!$B$11*U2094</f>
        <v/>
      </c>
      <c r="P2094">
        <f>IF(B2107=0,0,O2094/B2107)</f>
        <v/>
      </c>
      <c r="Q2094">
        <f>IFERROR(1/IF(Inputs!$B$38="pvp",15,MAX(0.1,Skills!D24-IF(Skills!E24=TRUE,Inputs!$B$32,0))),0)</f>
        <v/>
      </c>
      <c r="R2094">
        <f>IF(AND(Inputs!$B$38&lt;&gt;"pvp",Inputs!$B$43&gt;0),IF(Inputs!$B$43&lt;=0,0,(INT(Inputs!$B$43/IF(Inputs!$B$38="pvp",15,MAX(0.1,Skills!D24-IF(Skills!E24=TRUE,Inputs!$B$32,0))))+1)),0)</f>
        <v/>
      </c>
      <c r="S2094" t="n">
        <v>0</v>
      </c>
      <c r="U2094" t="n">
        <v>0</v>
      </c>
    </row>
    <row r="2097">
      <c r="A2097" t="inlineStr">
        <is>
          <t>Average Buff Multiplier (Magic Guard + Meditation + Artifact Attack%, summed; then Infinity)</t>
        </is>
      </c>
      <c r="B2097">
        <f>(1+(IF(C2073=TRUE,F2073*IF(AND(Inputs!$B$38&lt;&gt;"pvp",Inputs!$B$43&gt;0),(((R2073-1)*(Skills!S3*(1+(Inputs!$B$34)/100))+MIN((Skills!S3*(1+(Inputs!$B$34)/100)),MAX(0,Inputs!$B$43-((R2073-1)*Skills!D3))))/Inputs!$B$43),IF(Inputs!$B$38="pvp",MIN((Skills!S3*(1+(Inputs!$B$34)/100)),15)/15,(Skills!S3*(1+(Inputs!$B$34)/100))/Skills!D3)),0)+IF(C2074=TRUE,F2074*IF(AND(Inputs!$B$38&lt;&gt;"pvp",Inputs!$B$43&gt;0),(((R2074-1)*(Skills!S4*(1+(Inputs!$B$34)/100))+MIN((Skills!S4*(1+(Inputs!$B$34)/100)),MAX(0,Inputs!$B$43-((R2074-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2086=TRUE,(1+F2086*IF(AND(Inputs!$B$38&lt;&gt;"pvp",Inputs!$B$43&gt;0),(((R2086-1)*(Skills!S16*(1+(Inputs!$B$34)/100))+MIN((Skills!S16*(1+(Inputs!$B$34)/100)),MAX(0,Inputs!$B$43-((R2086-1)*Skills!D16))))/Inputs!$B$43),IF(Inputs!$B$38="pvp",MIN((Skills!S16*(1+(Inputs!$B$34)/100)),15)/15,(Skills!S16*(1+(Inputs!$B$34)/100))/Skills!D16))/100),1)</f>
        <v/>
      </c>
    </row>
    <row r="2098">
      <c r="A2098" t="inlineStr">
        <is>
          <t>Monster Damage Taken Bonus % (Freezing Breath - Weaken + Elemental Reset + Artifact Enemy Damage Taken, summed)</t>
        </is>
      </c>
      <c r="B2098">
        <f>IF(Inputs!$B$3&gt;=118,15*IF(Inputs!$B$38="pvp",MIN((30*(1+(Inputs!$B$34)/100)),15)/15,(30*(1+(Inputs!$B$34)/100))/Skills!D8),0)+IF(C2084=TRUE,F2084,0)+(IF(AND(ArtifactsInput!$M$35,Inputs!$B$4&lt;&gt;"Chapter Hunt"),CHOOSE(ArtifactsInput!$N$35+1,15,18,21,24,27,30)*(1-EXP(-(0.2*B2101)*5)),0)+IF(AND(ArtifactsInput!$M$22,Inputs!$B$4&lt;&gt;"Chapter Hunt"),CHOOSE(ArtifactsInput!$N$22+1,10,12,14,16,18,20)*((0*(((0.15*B2101*5))^0/1)+1*(((0.15*B2101*5))^1/1)+2*(((0.15*B2101*5))^2/2)+3*(((0.15*B2101*5))^3/6)+4*(((0.15*B2101*5))^4/24)+5*(((0.15*B2101*5))^5/120))/((((0.15*B2101*5))^0/1)+(((0.15*B2101*5))^1/1)+(((0.15*B2101*5))^2/2)+(((0.15*B2101*5))^3/6)+(((0.15*B2101*5))^4/24)+(((0.15*B2101*5))^5/120))),0))</f>
        <v/>
      </c>
    </row>
    <row r="2099">
      <c r="A2099" t="inlineStr">
        <is>
          <t>Damage % Bonus (Frozen Break + Frost Clutch, flat)</t>
        </is>
      </c>
      <c r="B2099">
        <f>IF(Inputs!$B$3&gt;=66,15,0)+IF(Inputs!$B$3&gt;=98,10,0)+IF(Inputs!$B$3&gt;=125,20,0)</f>
        <v/>
      </c>
    </row>
    <row r="2100">
      <c r="A2100" t="inlineStr">
        <is>
          <t>Attack Speed Bonus % (MP Eater - MP Boost, always-on + Nimble Feet, duty-cycle averaged)</t>
        </is>
      </c>
      <c r="B2100">
        <f>IF(C2083=TRUE,F2083+(F2087-Calc!F17),0)+((C2094=TRUE)*F2094*IF(AND(Inputs!$B$38&lt;&gt;"pvp",Inputs!$B$43&gt;0),(((R2094-1)*(Skills!S24*(1+(Inputs!$B$34)/100))+MIN((Skills!S24*(1+(Inputs!$B$34)/100)),MAX(0,Inputs!$B$43-((R2094-1)*Skills!D24))))/Inputs!$B$43),IF(Inputs!$B$38="pvp",MIN((Skills!S24*(1+(Inputs!$B$34)/100)),15)/15,(Skills!S24*(1+(Inputs!$B$34)/100))/Skills!D24)))</f>
        <v/>
      </c>
    </row>
    <row r="2101">
      <c r="A2101" t="inlineStr">
        <is>
          <t>Actions Per Second</t>
        </is>
      </c>
      <c r="B2101">
        <f>1+MIN(150,150*(1-(1-(Inputs!$B$11+(ArtifactsInput!$M$15-ArtifactsInput!$M$15)*CHOOSE(ArtifactsInput!$N$15+1,8,9.6,11.2,12.8,14.4,16))/150)*(1-B2100/150)))/100</f>
        <v/>
      </c>
    </row>
    <row r="2102">
      <c r="A2102" t="inlineStr">
        <is>
          <t>Skill + Buff Cast Rate</t>
        </is>
      </c>
      <c r="B2102">
        <f>IF(AND(Inputs!$B$38&lt;&gt;"pvp",Inputs!$B$43&gt;0),SUMPRODUCT((Skills!E2:E24=TRUE)*(C2072:C2094=TRUE)*R2072:R2094)/Inputs!$B$43,SUMPRODUCT((Skills!E2:E24=TRUE)*(C2072:C2094=TRUE)*Q2072:Q2094))</f>
        <v/>
      </c>
    </row>
    <row r="2103">
      <c r="A2103" t="inlineStr">
        <is>
          <t>Chain Lightning Casts Per Second</t>
        </is>
      </c>
      <c r="B2103">
        <f>MAX(0,B2101-B2102)</f>
        <v/>
      </c>
    </row>
    <row r="2104">
      <c r="A2104" t="inlineStr">
        <is>
          <t>Buff-Casting Startup Delay (s, fixed-duration only)</t>
        </is>
      </c>
      <c r="B2104">
        <f>IF(AND(Inputs!$B$38&lt;&gt;"pvp",Inputs!$B$43&gt;0),SUMPRODUCT((Skills!S2:S24&gt;0)*(Skills!E2:E24=TRUE)*(C2072:C2094=TRUE))/B2101,0)</f>
        <v/>
      </c>
    </row>
    <row r="2105">
      <c r="A2105" t="inlineStr">
        <is>
          <t>Boss-Only Total DPS (this block's swept value)</t>
        </is>
      </c>
      <c r="B2105">
        <f>SUM(S2072:S2094)</f>
        <v/>
      </c>
    </row>
    <row r="2106">
      <c r="A2106" t="inlineStr">
        <is>
          <t>Normal-Only Total DPS (this block's swept value)</t>
        </is>
      </c>
      <c r="B2106">
        <f>SUM(U2072:U2094)</f>
        <v/>
      </c>
    </row>
    <row r="2107">
      <c r="A2107" s="6" t="inlineStr">
        <is>
          <t>TOTAL DPS</t>
        </is>
      </c>
      <c r="B2107" s="6">
        <f>SUM(O2072:O2094)</f>
        <v/>
      </c>
    </row>
    <row r="2110">
      <c r="A2110" s="6" t="inlineStr">
        <is>
          <t>Stat: Sayram's Necklace (Equip)</t>
        </is>
      </c>
    </row>
    <row r="2111">
      <c r="A2111" s="5" t="inlineStr">
        <is>
          <t>Key</t>
        </is>
      </c>
      <c r="B2111" s="5" t="inlineStr">
        <is>
          <t>Name</t>
        </is>
      </c>
      <c r="C2111" s="5" t="inlineStr">
        <is>
          <t>Unlocked</t>
        </is>
      </c>
      <c r="D2111" s="5" t="inlineStr">
        <is>
          <t>InputLevel</t>
        </is>
      </c>
      <c r="E2111" s="5" t="inlineStr">
        <is>
          <t>Factor</t>
        </is>
      </c>
      <c r="F2111" s="5" t="inlineStr">
        <is>
          <t>CoefficientPercent</t>
        </is>
      </c>
      <c r="G2111" s="5" t="inlineStr">
        <is>
          <t>EffectiveHits</t>
        </is>
      </c>
      <c r="H2111" s="5" t="inlineStr">
        <is>
          <t>ProcProbability</t>
        </is>
      </c>
      <c r="I2111" s="5" t="inlineStr">
        <is>
          <t>MapleHeroMultiplier</t>
        </is>
      </c>
      <c r="J2111" s="5" t="inlineStr">
        <is>
          <t>BaseDamage</t>
        </is>
      </c>
      <c r="K2111" s="5" t="inlineStr">
        <is>
          <t>BaseHitDamage</t>
        </is>
      </c>
      <c r="L2111" s="5" t="inlineStr">
        <is>
          <t>NonCritAvg</t>
        </is>
      </c>
      <c r="M2111" s="5" t="inlineStr">
        <is>
          <t>CritAvg</t>
        </is>
      </c>
      <c r="N2111" s="5" t="inlineStr">
        <is>
          <t>ExpectedDamage(perHit)</t>
        </is>
      </c>
      <c r="O2111" s="5" t="inlineStr">
        <is>
          <t>DPS</t>
        </is>
      </c>
      <c r="P2111" s="5" t="inlineStr">
        <is>
          <t>% of Total</t>
        </is>
      </c>
      <c r="R2111" t="inlineStr">
        <is>
          <t>helpers</t>
        </is>
      </c>
    </row>
    <row r="2112">
      <c r="A2112">
        <f>Skills!A2</f>
        <v/>
      </c>
      <c r="B2112">
        <f>Skills!B2</f>
        <v/>
      </c>
      <c r="C2112">
        <f>Inputs!$B$3&gt;=100</f>
        <v/>
      </c>
      <c r="D2112" t="inlineStr"/>
      <c r="E2112" t="inlineStr"/>
      <c r="F2112">
        <f>T2114+Skills!N2</f>
        <v/>
      </c>
      <c r="G2112">
        <f>Calc!G2</f>
        <v/>
      </c>
      <c r="H2112">
        <f>Calc!H2</f>
        <v/>
      </c>
      <c r="I2112">
        <f>IF(Skills!T2&lt;&gt;"",1+(Skills!T2/10)*(Z2113/1000)/100,1)</f>
        <v/>
      </c>
      <c r="J2112">
        <f>((Inputs!$B$6*(1+Inputs!$B$7/100))+(((Inputs!$B$12*(1+Inputs!$B$13/100))-(Inputs!$B$12*(1+Inputs!$B$13/100)))+0.25*(Inputs!$B$14-Inputs!$B$14))*(1+Inputs!$B$7/100))*(F2112/100)</f>
        <v/>
      </c>
      <c r="K2112">
        <f>J2112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2="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2112)</f>
        <v/>
      </c>
      <c r="L2112">
        <f>K2112*(MIN(Inputs!$B$22+(F2128-Calc!F18),(Inputs!$B$23+(IF(ArtifactsInput!$M$15,CHOOSE(ArtifactsInput!$N$15+1,25,30,35,40,45,50)/100*(Inputs!$B$11-Inputs!$B$11),0))))/100+(Inputs!$B$23+(IF(ArtifactsInput!$M$15,CHOOSE(ArtifactsInput!$N$15+1,25,30,35,40,45,50)/100*(Inputs!$B$11-Inputs!$B$11),0)))/100)/2</f>
        <v/>
      </c>
      <c r="M2112">
        <f>L2112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2">
        <f>L2112*(1-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2112*(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2">
        <f>(1-Summary!$B$11)*S2112+Summary!$B$11*U2112</f>
        <v/>
      </c>
      <c r="P2112">
        <f>IF(B2147=0,0,O2112/B2147)</f>
        <v/>
      </c>
      <c r="Q2112">
        <f>IFERROR(1/IF(Inputs!$B$38="pvp",15,MAX(0.1,Skills!D2-IF(Skills!E2=TRUE,Inputs!$B$32,0))),0)</f>
        <v/>
      </c>
      <c r="R2112" t="n">
        <v>0</v>
      </c>
      <c r="S2112">
        <f>IF(C2112,(Skills!F2*N2112*B2143)*IF(Inputs!$B$38="pvp",1,1+(Inputs!$B$20+Skills!O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2112*(1-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2112*(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2112*(1-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2112*(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12">
        <f>MAX(0,(Inputs!$B$3-100)*3)+Inputs!$B$28+Inputs!$B$29</f>
        <v/>
      </c>
      <c r="U2112">
        <f>IF(C2112,(Skills!F2*N2112*B2143)*IF(Inputs!$B$38="pvp",1,(1+(Inputs!$B$21+Skills!P2+B2138+(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12">
        <f>MAX(0,(Inputs!$B$3-100)*3)+Inputs!$B$28+Inputs!$B$29</f>
        <v/>
      </c>
    </row>
    <row r="2113">
      <c r="A2113">
        <f>Skills!A3</f>
        <v/>
      </c>
      <c r="B2113">
        <f>Skills!B3</f>
        <v/>
      </c>
      <c r="C2113">
        <f>Inputs!$B$3&gt;=15</f>
        <v/>
      </c>
      <c r="D2113">
        <f>IF(Skills!C3=1,60+Inputs!$B$25+Inputs!$B$29,IF(Skills!C3=2,90+Inputs!$B$26+Inputs!$B$29,IF(Skills!C3=3,120+Inputs!$B$27+Inputs!$B$29,MAX(0,(Inputs!$B$3-100)*3)+Inputs!$B$28+Inputs!$B$29)))</f>
        <v/>
      </c>
      <c r="E2113">
        <f>INDEX(FactorTable!$B$2:$Y$301, MATCH(ROUND(MIN(300,MAX(1,D2113)),0), FactorTable!$A$2:$A$301,0), Skills!L3+1)</f>
        <v/>
      </c>
      <c r="F2113">
        <f>IF(Skills!M3=TRUE,(Skills!K3/10)*(E2113/1000),Skills!K3/10)+Skills!N3</f>
        <v/>
      </c>
      <c r="G2113">
        <f>Calc!G3</f>
        <v/>
      </c>
      <c r="H2113">
        <f>Calc!H3</f>
        <v/>
      </c>
      <c r="I2113">
        <f>IF(Skills!T3&lt;&gt;"",1+(Skills!T3/10)*(Z2113/1000)/100,1)</f>
        <v/>
      </c>
      <c r="J2113" t="inlineStr"/>
      <c r="K2113" t="inlineStr"/>
      <c r="L2113" t="inlineStr"/>
      <c r="M2113" t="inlineStr"/>
      <c r="N2113" t="inlineStr"/>
      <c r="O2113">
        <f>(1-Summary!$B$11)*S2113+Summary!$B$11*U2113</f>
        <v/>
      </c>
      <c r="P2113">
        <f>IF(B2147=0,0,O2113/B2147)</f>
        <v/>
      </c>
      <c r="Q2113">
        <f>IFERROR(1/IF(Inputs!$B$38="pvp",15,MAX(0.1,Skills!D3-IF(Skills!E3=TRUE,Inputs!$B$32,0))),0)</f>
        <v/>
      </c>
      <c r="R2113">
        <f>IF(AND(Inputs!$B$38&lt;&gt;"pvp",Inputs!$B$43&gt;0),IF(Inputs!$B$43&lt;=0,0,(INT(Inputs!$B$43/IF(Inputs!$B$38="pvp",15,MAX(0.1,Skills!D3-IF(Skills!E3=TRUE,Inputs!$B$32,0))))+1)),0)</f>
        <v/>
      </c>
      <c r="S2113" t="n">
        <v>0</v>
      </c>
      <c r="T2113">
        <f>INDEX(FactorTable!$B$2:$Y$301, MATCH(ROUND(MIN(300,MAX(1,T2112)),0), FactorTable!$A$2:$A$301,0), 22)</f>
        <v/>
      </c>
      <c r="U2113" t="n">
        <v>0</v>
      </c>
      <c r="Z2113">
        <f>INDEX(FactorTable!$B$2:$Y$301, MATCH(ROUND(MIN(300,MAX(1,Z2112)),0), FactorTable!$A$2:$A$301,0), 24)</f>
        <v/>
      </c>
    </row>
    <row r="2114">
      <c r="A2114">
        <f>Skills!A4</f>
        <v/>
      </c>
      <c r="B2114">
        <f>Skills!B4</f>
        <v/>
      </c>
      <c r="C2114">
        <f>Inputs!$B$3&gt;=40</f>
        <v/>
      </c>
      <c r="D2114">
        <f>IF(Skills!C4=1,60+Inputs!$B$25+Inputs!$B$29,IF(Skills!C4=2,90+Inputs!$B$26+Inputs!$B$29,IF(Skills!C4=3,120+Inputs!$B$27+Inputs!$B$29,MAX(0,(Inputs!$B$3-100)*3)+Inputs!$B$28+Inputs!$B$29)))</f>
        <v/>
      </c>
      <c r="E2114">
        <f>INDEX(FactorTable!$B$2:$Y$301, MATCH(ROUND(MIN(300,MAX(1,D2114)),0), FactorTable!$A$2:$A$301,0), Skills!L4+1)</f>
        <v/>
      </c>
      <c r="F2114">
        <f>IF(Skills!M4=TRUE,(Skills!K4/10)*(E2114/1000),Skills!K4/10)+Skills!N4</f>
        <v/>
      </c>
      <c r="G2114">
        <f>Calc!G4</f>
        <v/>
      </c>
      <c r="H2114">
        <f>Calc!H4</f>
        <v/>
      </c>
      <c r="I2114">
        <f>IF(Skills!T4&lt;&gt;"",1+(Skills!T4/10)*(Z2113/1000)/100,1)</f>
        <v/>
      </c>
      <c r="J2114" t="inlineStr"/>
      <c r="K2114" t="inlineStr"/>
      <c r="L2114" t="inlineStr"/>
      <c r="M2114" t="inlineStr"/>
      <c r="N2114" t="inlineStr"/>
      <c r="O2114">
        <f>(1-Summary!$B$11)*S2114+Summary!$B$11*U2114</f>
        <v/>
      </c>
      <c r="P2114">
        <f>IF(B2147=0,0,O2114/B2147)</f>
        <v/>
      </c>
      <c r="Q2114">
        <f>IFERROR(1/IF(Inputs!$B$38="pvp",15,MAX(0.1,Skills!D4-IF(Skills!E4=TRUE,Inputs!$B$32,0))),0)</f>
        <v/>
      </c>
      <c r="R2114">
        <f>IF(AND(Inputs!$B$38&lt;&gt;"pvp",Inputs!$B$43&gt;0),IF(Inputs!$B$43&lt;=0,0,(INT(Inputs!$B$43/IF(Inputs!$B$38="pvp",15,MAX(0.1,Skills!D4-IF(Skills!E4=TRUE,Inputs!$B$32,0))))+1)),0)</f>
        <v/>
      </c>
      <c r="S2114" t="n">
        <v>0</v>
      </c>
      <c r="T2114">
        <f>290*T2113/1000</f>
        <v/>
      </c>
      <c r="U2114" t="n">
        <v>0</v>
      </c>
    </row>
    <row r="2115">
      <c r="A2115">
        <f>Skills!A5</f>
        <v/>
      </c>
      <c r="B2115">
        <f>Skills!B5</f>
        <v/>
      </c>
      <c r="C2115">
        <f>Inputs!$B$3&gt;=38</f>
        <v/>
      </c>
      <c r="D2115">
        <f>IF(Skills!C5=1,60+Inputs!$B$25+Inputs!$B$29,IF(Skills!C5=2,90+Inputs!$B$26+Inputs!$B$29,IF(Skills!C5=3,120+Inputs!$B$27+Inputs!$B$29,MAX(0,(Inputs!$B$3-100)*3)+Inputs!$B$28+Inputs!$B$29)))</f>
        <v/>
      </c>
      <c r="E2115">
        <f>INDEX(FactorTable!$B$2:$Y$301, MATCH(ROUND(MIN(300,MAX(1,D2115)),0), FactorTable!$A$2:$A$301,0), Skills!L5+1)</f>
        <v/>
      </c>
      <c r="F2115">
        <f>IF(Skills!M5=TRUE,(Skills!K5/10)*(E2115/1000),Skills!K5/10)+Skills!N5</f>
        <v/>
      </c>
      <c r="G2115">
        <f>Calc!G5</f>
        <v/>
      </c>
      <c r="H2115">
        <f>Calc!H5</f>
        <v/>
      </c>
      <c r="I2115">
        <f>IF(Skills!T5&lt;&gt;"",1+(Skills!T5/10)*(Z2113/1000)/100,1)</f>
        <v/>
      </c>
      <c r="J2115">
        <f>((Inputs!$B$6*(1+Inputs!$B$7/100))+(((Inputs!$B$12*(1+Inputs!$B$13/100))-(Inputs!$B$12*(1+Inputs!$B$13/100)))+0.25*(Inputs!$B$14-Inputs!$B$14))*(1+Inputs!$B$7/100))*(F2115/100)</f>
        <v/>
      </c>
      <c r="K2115">
        <f>J2115*(1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5="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F2128-Calc!F18),(Inputs!$B$23+(IF(ArtifactsInput!$M$15,CHOOSE(ArtifactsInput!$N$15+1,25,30,35,40,45,50)/100*(Inputs!$B$11-Inputs!$B$11),0))))/100+(Inputs!$B$23+(IF(ArtifactsInput!$M$15,CHOOSE(ArtifactsInput!$N$15+1,25,30,35,40,45,50)/100*(Inputs!$B$11-Inputs!$B$11),0)))/100)/2</f>
        <v/>
      </c>
      <c r="M2115">
        <f>L2115*(1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(1-Summary!$B$11)*S2115+Summary!$B$11*U2115</f>
        <v/>
      </c>
      <c r="P2115">
        <f>IF(B2147=0,0,O2115/B2147)</f>
        <v/>
      </c>
      <c r="Q2115">
        <f>IFERROR(1/IF(Inputs!$B$38="pvp",15,MAX(0.1,Skills!D5-IF(Skills!E5=TRUE,Inputs!$B$32,0))),0)</f>
        <v/>
      </c>
      <c r="R2115">
        <f>IF(AND(Inputs!$B$38&lt;&gt;"pvp",Inputs!$B$43&gt;0),IF(MAX(0,Inputs!$B$43-B2144)&lt;=0,0,(INT(MAX(0,Inputs!$B$43-B2144)/IF(Inputs!$B$38="pvp",15,MAX(0.1,Skills!D5-IF(Skills!E5=TRUE,Inputs!$B$32,0))))+1)),0)</f>
        <v/>
      </c>
      <c r="S2115">
        <f>IF(C2115,(H2115*N2115*IF(AND(Inputs!$B$38&lt;&gt;"pvp",Inputs!$B$43&gt;0),((Skills!F5*((R2115-1)*IF(Skills!G5&gt;0,Skills!H5/Skills!G5,1)+IF(Skills!G5&gt;0,MIN(Skills!H5,MAX(0,MAX(0,Inputs!$B$43-B2144)-((R2115-1)*IF(Inputs!$B$38="pvp",15,MAX(0.1,Skills!D5-IF(Skills!E5=TRUE,Inputs!$B$32,0))))))/Skills!G5,1)))/Inputs!$B$43),G2115*Q2115))*IF(Inputs!$B$38="pvp",1,1+(Inputs!$B$20+Skills!O5+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2115*(1-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IF(C2115,(H2115*N2115*IF(AND(Inputs!$B$38&lt;&gt;"pvp",Inputs!$B$43&gt;0),((Skills!F5*((R2115-1)*IF(Skills!G5&gt;0,Skills!H5/Skills!G5,1)+IF(Skills!G5&gt;0,MIN(Skills!H5,MAX(0,MAX(0,Inputs!$B$43-B2144)-((R2115-1)*IF(Inputs!$B$38="pvp",15,MAX(0.1,Skills!D5-IF(Skills!E5=TRUE,Inputs!$B$32,0))))))/Skills!G5,1)))/Inputs!$B$43),G2115*Q2115))*IF(Inputs!$B$38="pvp",1,(1+(Inputs!$B$21+Skills!P5+B2138+(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Skills!A6</f>
        <v/>
      </c>
      <c r="B2116">
        <f>Skills!B6</f>
        <v/>
      </c>
      <c r="C2116">
        <f>Inputs!$B$3&gt;=63</f>
        <v/>
      </c>
      <c r="D2116">
        <f>IF(Skills!C6=1,60+Inputs!$B$25+Inputs!$B$29,IF(Skills!C6=2,90+Inputs!$B$26+Inputs!$B$29,IF(Skills!C6=3,120+Inputs!$B$27+Inputs!$B$29,MAX(0,(Inputs!$B$3-100)*3)+Inputs!$B$28+Inputs!$B$29)))</f>
        <v/>
      </c>
      <c r="E2116">
        <f>INDEX(FactorTable!$B$2:$Y$301, MATCH(ROUND(MIN(300,MAX(1,D2116)),0), FactorTable!$A$2:$A$301,0), Skills!L6+1)</f>
        <v/>
      </c>
      <c r="F2116">
        <f>IF(Skills!M6=TRUE,(Skills!K6/10)*(E2116/1000),Skills!K6/10)+Skills!N6</f>
        <v/>
      </c>
      <c r="G2116">
        <f>Calc!G6</f>
        <v/>
      </c>
      <c r="H2116">
        <f>Calc!H6</f>
        <v/>
      </c>
      <c r="I2116">
        <f>IF(Skills!T6&lt;&gt;"",1+(Skills!T6/10)*(Z2113/1000)/100,1)</f>
        <v/>
      </c>
      <c r="J2116">
        <f>((Inputs!$B$6*(1+Inputs!$B$7/100))+(((Inputs!$B$12*(1+Inputs!$B$13/100))-(Inputs!$B$12*(1+Inputs!$B$13/100)))+0.25*(Inputs!$B$14-Inputs!$B$14))*(1+Inputs!$B$7/100))*(F2116/100)</f>
        <v/>
      </c>
      <c r="K2116">
        <f>J2116*(1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6="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F2128-Calc!F18),(Inputs!$B$23+(IF(ArtifactsInput!$M$15,CHOOSE(ArtifactsInput!$N$15+1,25,30,35,40,45,50)/100*(Inputs!$B$11-Inputs!$B$11),0))))/100+(Inputs!$B$23+(IF(ArtifactsInput!$M$15,CHOOSE(ArtifactsInput!$N$15+1,25,30,35,40,45,50)/100*(Inputs!$B$11-Inputs!$B$11),0)))/100)/2</f>
        <v/>
      </c>
      <c r="M2116">
        <f>L2116*(1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(1-Summary!$B$11)*S2116+Summary!$B$11*U2116</f>
        <v/>
      </c>
      <c r="P2116">
        <f>IF(B2147=0,0,O2116/B2147)</f>
        <v/>
      </c>
      <c r="Q2116">
        <f>IFERROR(1/IF(Inputs!$B$38="pvp",15,MAX(0.1,Skills!D6-IF(Skills!E6=TRUE,Inputs!$B$32,0))),0)</f>
        <v/>
      </c>
      <c r="R2116">
        <f>IF(AND(Inputs!$B$38&lt;&gt;"pvp",Inputs!$B$43&gt;0),IF(MAX(0,Inputs!$B$43-B2144)&lt;=0,0,(INT(MAX(0,Inputs!$B$43-B2144)/IF(Inputs!$B$38="pvp",15,MAX(0.1,Skills!D6-IF(Skills!E6=TRUE,Inputs!$B$32,0))))+1)),0)</f>
        <v/>
      </c>
      <c r="S2116">
        <f>IF(C2116,(H2116*N2116*IF(AND(Inputs!$B$38&lt;&gt;"pvp",Inputs!$B$43&gt;0),((Skills!F6*((R2116-1)*IF(Skills!G6&gt;0,Skills!H6/Skills!G6,1)+IF(Skills!G6&gt;0,MIN(Skills!H6,MAX(0,MAX(0,Inputs!$B$43-B2144)-((R2116-1)*IF(Inputs!$B$38="pvp",15,MAX(0.1,Skills!D6-IF(Skills!E6=TRUE,Inputs!$B$32,0))))))/Skills!G6,1)))/Inputs!$B$43),G2116*Q2116))*IF(Inputs!$B$38="pvp",1,1+(Inputs!$B$20+Skills!O6+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2116*(1-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6">
        <f>IF(C2116,(H2116*N2116*IF(AND(Inputs!$B$38&lt;&gt;"pvp",Inputs!$B$43&gt;0),((Skills!F6*((R2116-1)*IF(Skills!G6&gt;0,Skills!H6/Skills!G6,1)+IF(Skills!G6&gt;0,MIN(Skills!H6,MAX(0,MAX(0,Inputs!$B$43-B2144)-((R2116-1)*IF(Inputs!$B$38="pvp",15,MAX(0.1,Skills!D6-IF(Skills!E6=TRUE,Inputs!$B$32,0))))))/Skills!G6,1)))/Inputs!$B$43),G2116*Q2116))*IF(Inputs!$B$38="pvp",1,(1+(Inputs!$B$21+Skills!P6+B2138+(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Skills!A7</f>
        <v/>
      </c>
      <c r="B2117">
        <f>Skills!B7</f>
        <v/>
      </c>
      <c r="C2117">
        <f>Inputs!$B$3&gt;=69</f>
        <v/>
      </c>
      <c r="D2117">
        <f>IF(Skills!C7=1,60+Inputs!$B$25+Inputs!$B$29,IF(Skills!C7=2,90+Inputs!$B$26+Inputs!$B$29,IF(Skills!C7=3,120+Inputs!$B$27+Inputs!$B$29,MAX(0,(Inputs!$B$3-100)*3)+Inputs!$B$28+Inputs!$B$29)))</f>
        <v/>
      </c>
      <c r="E2117">
        <f>INDEX(FactorTable!$B$2:$Y$301, MATCH(ROUND(MIN(300,MAX(1,D2117)),0), FactorTable!$A$2:$A$301,0), Skills!L7+1)</f>
        <v/>
      </c>
      <c r="F2117">
        <f>IF(Skills!M7=TRUE,(Skills!K7/10)*(E2117/1000),Skills!K7/10)+Skills!N7</f>
        <v/>
      </c>
      <c r="G2117">
        <f>Calc!G7</f>
        <v/>
      </c>
      <c r="H2117">
        <f>Calc!H7</f>
        <v/>
      </c>
      <c r="I2117">
        <f>IF(Skills!T7&lt;&gt;"",1+(Skills!T7/10)*(Z2113/1000)/100,1)</f>
        <v/>
      </c>
      <c r="J2117">
        <f>((Inputs!$B$6*(1+Inputs!$B$7/100))+(((Inputs!$B$12*(1+Inputs!$B$13/100))-(Inputs!$B$12*(1+Inputs!$B$13/100)))+0.25*(Inputs!$B$14-Inputs!$B$14))*(1+Inputs!$B$7/100))*(F2117/100)</f>
        <v/>
      </c>
      <c r="K2117">
        <f>J2117*(1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7="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F2128-Calc!F18),(Inputs!$B$23+(IF(ArtifactsInput!$M$15,CHOOSE(ArtifactsInput!$N$15+1,25,30,35,40,45,50)/100*(Inputs!$B$11-Inputs!$B$11),0))))/100+(Inputs!$B$23+(IF(ArtifactsInput!$M$15,CHOOSE(ArtifactsInput!$N$15+1,25,30,35,40,45,50)/100*(Inputs!$B$11-Inputs!$B$11),0)))/100)/2</f>
        <v/>
      </c>
      <c r="M2117">
        <f>L2117*(1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(1-Summary!$B$11)*S2117+Summary!$B$11*U2117</f>
        <v/>
      </c>
      <c r="P2117">
        <f>IF(B2147=0,0,O2117/B2147)</f>
        <v/>
      </c>
      <c r="Q2117">
        <f>IFERROR(1/IF(Inputs!$B$38="pvp",15,MAX(0.1,Skills!D7-IF(Skills!E7=TRUE,Inputs!$B$32,0))),0)</f>
        <v/>
      </c>
      <c r="R2117">
        <f>IF(AND(Inputs!$B$38&lt;&gt;"pvp",Inputs!$B$43&gt;0),IF(MAX(0,Inputs!$B$43-B2144)&lt;=0,0,(INT(MAX(0,Inputs!$B$43-B2144)/IF(Inputs!$B$38="pvp",15,MAX(0.1,Skills!D7-IF(Skills!E7=TRUE,Inputs!$B$32,0))))+1)),0)</f>
        <v/>
      </c>
      <c r="S2117">
        <f>IF(C2117,(H2117*N2117*IF(AND(Inputs!$B$38&lt;&gt;"pvp",Inputs!$B$43&gt;0),((Skills!F7*((R2117-1)*IF(Skills!G7&gt;0,Skills!H7/Skills!G7,1)+IF(Skills!G7&gt;0,MIN(Skills!H7,MAX(0,MAX(0,Inputs!$B$43-B2144)-((R2117-1)*IF(Inputs!$B$38="pvp",15,MAX(0.1,Skills!D7-IF(Skills!E7=TRUE,Inputs!$B$32,0))))))/Skills!G7,1)))/Inputs!$B$43),G2117*Q2117))*IF(Inputs!$B$38="pvp",1,1+(Inputs!$B$20+Skills!O7+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2117*(1-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7">
        <f>IF(C2117,(H2117*N2117*IF(AND(Inputs!$B$38&lt;&gt;"pvp",Inputs!$B$43&gt;0),((Skills!F7*((R2117-1)*IF(Skills!G7&gt;0,Skills!H7/Skills!G7,1)+IF(Skills!G7&gt;0,MIN(Skills!H7,MAX(0,MAX(0,Inputs!$B$43-B2144)-((R2117-1)*IF(Inputs!$B$38="pvp",15,MAX(0.1,Skills!D7-IF(Skills!E7=TRUE,Inputs!$B$32,0))))))/Skills!G7,1)))/Inputs!$B$43),G2117*Q2117))*IF(Inputs!$B$38="pvp",1,(1+(Inputs!$B$21+Skills!P7+B2138+(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Skills!A8</f>
        <v/>
      </c>
      <c r="B2118">
        <f>Skills!B8</f>
        <v/>
      </c>
      <c r="C2118">
        <f>Inputs!$B$3&gt;=103</f>
        <v/>
      </c>
      <c r="D2118">
        <f>IF(Skills!C8=1,60+Inputs!$B$25+Inputs!$B$29,IF(Skills!C8=2,90+Inputs!$B$26+Inputs!$B$29,IF(Skills!C8=3,120+Inputs!$B$27+Inputs!$B$29,MAX(0,(Inputs!$B$3-100)*3)+Inputs!$B$28+Inputs!$B$29)))</f>
        <v/>
      </c>
      <c r="E2118">
        <f>INDEX(FactorTable!$B$2:$Y$301, MATCH(ROUND(MIN(300,MAX(1,D2118)),0), FactorTable!$A$2:$A$301,0), Skills!L8+1)</f>
        <v/>
      </c>
      <c r="F2118">
        <f>IF(Skills!M8=TRUE,(Skills!K8/10)*(E2118/1000),Skills!K8/10)+Skills!N8</f>
        <v/>
      </c>
      <c r="G2118">
        <f>Calc!G8</f>
        <v/>
      </c>
      <c r="H2118">
        <f>Calc!H8</f>
        <v/>
      </c>
      <c r="I2118">
        <f>IF(Skills!T8&lt;&gt;"",1+(Skills!T8/10)*(Z2113/1000)/100,1)</f>
        <v/>
      </c>
      <c r="J2118">
        <f>((Inputs!$B$6*(1+Inputs!$B$7/100))+(((Inputs!$B$12*(1+Inputs!$B$13/100))-(Inputs!$B$12*(1+Inputs!$B$13/100)))+0.25*(Inputs!$B$14-Inputs!$B$14))*(1+Inputs!$B$7/100))*(F2118/100)</f>
        <v/>
      </c>
      <c r="K2118">
        <f>J2118*(1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8="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2128-Calc!F18),(Inputs!$B$23+(IF(ArtifactsInput!$M$15,CHOOSE(ArtifactsInput!$N$15+1,25,30,35,40,45,50)/100*(Inputs!$B$11-Inputs!$B$11),0))))/100+(Inputs!$B$23+(IF(ArtifactsInput!$M$15,CHOOSE(ArtifactsInput!$N$15+1,25,30,35,40,45,50)/100*(Inputs!$B$11-Inputs!$B$11),0)))/100)/2</f>
        <v/>
      </c>
      <c r="M2118">
        <f>L2118*(1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IF(B2147=0,0,O2118/B2147)</f>
        <v/>
      </c>
      <c r="Q2118">
        <f>IFERROR(1/IF(Inputs!$B$38="pvp",15,MAX(0.1,Skills!D8-IF(Skills!E8=TRUE,Inputs!$B$32,0))),0)</f>
        <v/>
      </c>
      <c r="R2118">
        <f>IF(AND(Inputs!$B$38&lt;&gt;"pvp",Inputs!$B$43&gt;0),IF(MAX(0,Inputs!$B$43-B2144)&lt;=0,0,(INT(MAX(0,Inputs!$B$43-B2144)/IF(Inputs!$B$38="pvp",15,MAX(0.1,Skills!D8-IF(Skills!E8=TRUE,Inputs!$B$32,0))))+1)),0)</f>
        <v/>
      </c>
      <c r="S2118">
        <f>IF(C2118,(H2118*N2118*IF(AND(Inputs!$B$38&lt;&gt;"pvp",Inputs!$B$43&gt;0),((Skills!F8*((R2118-1)*IF(Skills!G8&gt;0,Skills!H8/Skills!G8,1)+IF(Skills!G8&gt;0,MIN(Skills!H8,MAX(0,MAX(0,Inputs!$B$43-B2144)-((R2118-1)*IF(Inputs!$B$38="pvp",15,MAX(0.1,Skills!D8-IF(Skills!E8=TRUE,Inputs!$B$32,0))))))/Skills!G8,1)))/Inputs!$B$43),G2118*Q2118))*IF(Inputs!$B$38="pvp",1,1+(Inputs!$B$20+Skills!O8+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F8*((R2118-1)*IF(Skills!G8&gt;0,Skills!H8/Skills!G8,1)+IF(Skills!G8&gt;0,MIN(Skills!H8,MAX(0,MAX(0,Inputs!$B$43-B2144)-((R2118-1)*IF(Inputs!$B$38="pvp",15,MAX(0.1,Skills!D8-IF(Skills!E8=TRUE,Inputs!$B$32,0))))))/Skills!G8,1)))/Inputs!$B$43),G2118*Q2118))*IF(Inputs!$B$38="pvp",1,(1+(Inputs!$B$21+Skills!P8+B2138+(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Skills!A9</f>
        <v/>
      </c>
      <c r="B2119">
        <f>Skills!B9</f>
        <v/>
      </c>
      <c r="C2119">
        <f>Inputs!$B$3&gt;=105</f>
        <v/>
      </c>
      <c r="D2119">
        <f>IF(Skills!C9=1,60+Inputs!$B$25+Inputs!$B$29,IF(Skills!C9=2,90+Inputs!$B$26+Inputs!$B$29,IF(Skills!C9=3,120+Inputs!$B$27+Inputs!$B$29,MAX(0,(Inputs!$B$3-100)*3)+Inputs!$B$28+Inputs!$B$29)))</f>
        <v/>
      </c>
      <c r="E2119">
        <f>INDEX(FactorTable!$B$2:$Y$301, MATCH(ROUND(MIN(300,MAX(1,D2119)),0), FactorTable!$A$2:$A$301,0), Skills!L9+1)</f>
        <v/>
      </c>
      <c r="F2119">
        <f>IF(Skills!M9=TRUE,(Skills!K9/10)*(E2119/1000),Skills!K9/10)+Skills!N9</f>
        <v/>
      </c>
      <c r="G2119">
        <f>Calc!G9</f>
        <v/>
      </c>
      <c r="H2119">
        <f>Calc!H9</f>
        <v/>
      </c>
      <c r="I2119">
        <f>IF(Skills!T9&lt;&gt;"",1+(Skills!T9/10)*(Z2113/1000)/100,1)</f>
        <v/>
      </c>
      <c r="J2119">
        <f>((Inputs!$B$6*(1+Inputs!$B$7/100))+(((Inputs!$B$12*(1+Inputs!$B$13/100))-(Inputs!$B$12*(1+Inputs!$B$13/100)))+0.25*(Inputs!$B$14-Inputs!$B$14))*(1+Inputs!$B$7/100))*(F2119/100)</f>
        <v/>
      </c>
      <c r="K2119">
        <f>J2119*(1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9="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F2128-Calc!F18),(Inputs!$B$23+(IF(ArtifactsInput!$M$15,CHOOSE(ArtifactsInput!$N$15+1,25,30,35,40,45,50)/100*(Inputs!$B$11-Inputs!$B$11),0))))/100+(Inputs!$B$23+(IF(ArtifactsInput!$M$15,CHOOSE(ArtifactsInput!$N$15+1,25,30,35,40,45,50)/100*(Inputs!$B$11-Inputs!$B$11),0)))/100)/2</f>
        <v/>
      </c>
      <c r="M2119">
        <f>L2119*(1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(1-Summary!$B$11)*S2119+Summary!$B$11*U2119</f>
        <v/>
      </c>
      <c r="P2119">
        <f>IF(B2147=0,0,O2119/B2147)</f>
        <v/>
      </c>
      <c r="Q2119">
        <f>IFERROR(1/IF(Inputs!$B$38="pvp",15,MAX(0.1,Skills!D9-IF(Skills!E9=TRUE,Inputs!$B$32,0))),0)</f>
        <v/>
      </c>
      <c r="R2119">
        <f>IF(AND(Inputs!$B$38&lt;&gt;"pvp",Inputs!$B$43&gt;0),IF(MAX(0,Inputs!$B$43-B2144)&lt;=0,0,(INT(MAX(0,Inputs!$B$43-B2144)/IF(Inputs!$B$38="pvp",15,MAX(0.1,Skills!D9-IF(Skills!E9=TRUE,Inputs!$B$32,0))))+1)),0)</f>
        <v/>
      </c>
      <c r="S2119">
        <f>IF(C2119,(H2119*N2119*IF(AND(Inputs!$B$38&lt;&gt;"pvp",Inputs!$B$43&gt;0),((Skills!F9*((R2119-1)*IF(Skills!G9&gt;0,Skills!H9/Skills!G9,1)+IF(Skills!G9&gt;0,MIN(Skills!H9,MAX(0,MAX(0,Inputs!$B$43-B2144)-((R2119-1)*IF(Inputs!$B$38="pvp",15,MAX(0.1,Skills!D9-IF(Skills!E9=TRUE,Inputs!$B$32,0))))))/Skills!G9,1)))/Inputs!$B$43),G2119*Q2119))*IF(Inputs!$B$38="pvp",1,1+(Inputs!$B$20+Skills!O9+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2119*(1-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9">
        <f>IF(C2119,(H2119*N2119*IF(AND(Inputs!$B$38&lt;&gt;"pvp",Inputs!$B$43&gt;0),((Skills!F9*((R2119-1)*IF(Skills!G9&gt;0,Skills!H9/Skills!G9,1)+IF(Skills!G9&gt;0,MIN(Skills!H9,MAX(0,MAX(0,Inputs!$B$43-B2144)-((R2119-1)*IF(Inputs!$B$38="pvp",15,MAX(0.1,Skills!D9-IF(Skills!E9=TRUE,Inputs!$B$32,0))))))/Skills!G9,1)))/Inputs!$B$43),G2119*Q2119))*IF(Inputs!$B$38="pvp",1,(1+(Inputs!$B$21+Skills!P9+B2138+(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Skills!A10</f>
        <v/>
      </c>
      <c r="B2120">
        <f>Skills!B10</f>
        <v/>
      </c>
      <c r="C2120">
        <f>Inputs!$B$3&gt;=113</f>
        <v/>
      </c>
      <c r="D2120">
        <f>IF(Skills!C10=1,60+Inputs!$B$25+Inputs!$B$29,IF(Skills!C10=2,90+Inputs!$B$26+Inputs!$B$29,IF(Skills!C10=3,120+Inputs!$B$27+Inputs!$B$29,MAX(0,(Inputs!$B$3-100)*3)+Inputs!$B$28+Inputs!$B$29)))</f>
        <v/>
      </c>
      <c r="E2120">
        <f>INDEX(FactorTable!$B$2:$Y$301, MATCH(ROUND(MIN(300,MAX(1,D2120)),0), FactorTable!$A$2:$A$301,0), Skills!L10+1)</f>
        <v/>
      </c>
      <c r="F2120">
        <f>IF(Skills!M10=TRUE,(Skills!K10/10)*(E2120/1000),Skills!K10/10)+Skills!N10</f>
        <v/>
      </c>
      <c r="G2120">
        <f>Calc!G10</f>
        <v/>
      </c>
      <c r="H2120">
        <f>Calc!H10</f>
        <v/>
      </c>
      <c r="I2120">
        <f>IF(Skills!T10&lt;&gt;"",1+(Skills!T10/10)*(Z2113/1000)/100,1)</f>
        <v/>
      </c>
      <c r="J2120">
        <f>((Inputs!$B$6*(1+Inputs!$B$7/100))+(((Inputs!$B$12*(1+Inputs!$B$13/100))-(Inputs!$B$12*(1+Inputs!$B$13/100)))+0.25*(Inputs!$B$14-Inputs!$B$14))*(1+Inputs!$B$7/100))*(F2120/100)</f>
        <v/>
      </c>
      <c r="K2120">
        <f>J2120*(1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10="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F2128-Calc!F18),(Inputs!$B$23+(IF(ArtifactsInput!$M$15,CHOOSE(ArtifactsInput!$N$15+1,25,30,35,40,45,50)/100*(Inputs!$B$11-Inputs!$B$11),0))))/100+(Inputs!$B$23+(IF(ArtifactsInput!$M$15,CHOOSE(ArtifactsInput!$N$15+1,25,30,35,40,45,50)/100*(Inputs!$B$11-Inputs!$B$11),0)))/100)/2</f>
        <v/>
      </c>
      <c r="M2120">
        <f>L2120*(1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(1-Summary!$B$11)*S2120+Summary!$B$11*U2120</f>
        <v/>
      </c>
      <c r="P2120">
        <f>IF(B2147=0,0,O2120/B2147)</f>
        <v/>
      </c>
      <c r="Q2120">
        <f>IFERROR(1/IF(Inputs!$B$38="pvp",15,MAX(0.1,Skills!D10-IF(Skills!E9=TRUE,Inputs!$B$32,0))),0)</f>
        <v/>
      </c>
      <c r="R2120">
        <f>IF(AND(Inputs!$B$38&lt;&gt;"pvp",Inputs!$B$43&gt;0),IF(MAX(0,Inputs!$B$43-B2144)&lt;=0,0,(INT(MAX(0,Inputs!$B$43-B2144)/IF(Inputs!$B$38="pvp",15,MAX(0.1,Skills!D10-IF(Skills!E9=TRUE,Inputs!$B$32,0))))+1)),0)</f>
        <v/>
      </c>
      <c r="S2120">
        <f>IF(C2120,(H2120*N2120*IF(AND(Inputs!$B$38&lt;&gt;"pvp",Inputs!$B$43&gt;0),((Skills!F10*((R2120-1)*IF(Skills!G10&gt;0,Skills!H10/Skills!G10,1)+IF(Skills!G10&gt;0,MIN(Skills!H10,MAX(0,MAX(0,Inputs!$B$43-B2144)-((R2120-1)*IF(Inputs!$B$38="pvp",15,MAX(0.1,Skills!D10-IF(Skills!E9=TRUE,Inputs!$B$32,0))))))/Skills!G10,1)))/Inputs!$B$43),G2120*Q2120))*IF(Inputs!$B$38="pvp",1,1+(Inputs!$B$20+Skills!O10+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2120*(1-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0">
        <f>IF(C2120,(H2120*N2120*IF(AND(Inputs!$B$38&lt;&gt;"pvp",Inputs!$B$43&gt;0),((Skills!F10*((R2120-1)*IF(Skills!G10&gt;0,Skills!H10/Skills!G10,1)+IF(Skills!G10&gt;0,MIN(Skills!H10,MAX(0,MAX(0,Inputs!$B$43-B2144)-((R2120-1)*IF(Inputs!$B$38="pvp",15,MAX(0.1,Skills!D10-IF(Skills!E9=TRUE,Inputs!$B$32,0))))))/Skills!G10,1)))/Inputs!$B$43),G2120*Q2120))*IF(Inputs!$B$38="pvp",1,(1+(Inputs!$B$21+Skills!P10+B2138+(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Skills!A11</f>
        <v/>
      </c>
      <c r="B2121">
        <f>Skills!B11</f>
        <v/>
      </c>
      <c r="C2121">
        <f>Inputs!$B$3&gt;=107</f>
        <v/>
      </c>
      <c r="D2121">
        <f>IF(Skills!C11=1,60+Inputs!$B$25+Inputs!$B$29,IF(Skills!C11=2,90+Inputs!$B$26+Inputs!$B$29,IF(Skills!C11=3,120+Inputs!$B$27+Inputs!$B$29,MAX(0,(Inputs!$B$3-100)*3)+Inputs!$B$28+Inputs!$B$29)))</f>
        <v/>
      </c>
      <c r="E2121">
        <f>INDEX(FactorTable!$B$2:$Y$301, MATCH(ROUND(MIN(300,MAX(1,D2121)),0), FactorTable!$A$2:$A$301,0), Skills!L11+1)</f>
        <v/>
      </c>
      <c r="F2121">
        <f>IF(Skills!M11=TRUE,(Skills!K11/10)*(E2121/1000),Skills!K11/10)+Skills!N11</f>
        <v/>
      </c>
      <c r="G2121">
        <f>Calc!G11</f>
        <v/>
      </c>
      <c r="H2121">
        <f>Calc!H11</f>
        <v/>
      </c>
      <c r="I2121">
        <f>IF(Skills!T11&lt;&gt;"",1+(Skills!T11/10)*(Z2113/1000)/100,1)</f>
        <v/>
      </c>
      <c r="J2121">
        <f>((Inputs!$B$6*(1+Inputs!$B$7/100))+(((Inputs!$B$12*(1+Inputs!$B$13/100))-(Inputs!$B$12*(1+Inputs!$B$13/100)))+0.25*(Inputs!$B$14-Inputs!$B$14))*(1+Inputs!$B$7/100))*(F2121/100)</f>
        <v/>
      </c>
      <c r="K2121">
        <f>J2121*(1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11="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F2128-Calc!F18),(Inputs!$B$23+(IF(ArtifactsInput!$M$15,CHOOSE(ArtifactsInput!$N$15+1,25,30,35,40,45,50)/100*(Inputs!$B$11-Inputs!$B$11),0))))/100+(Inputs!$B$23+(IF(ArtifactsInput!$M$15,CHOOSE(ArtifactsInput!$N$15+1,25,30,35,40,45,50)/100*(Inputs!$B$11-Inputs!$B$11),0)))/100)/2</f>
        <v/>
      </c>
      <c r="M2121">
        <f>L2121*(1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(1-Summary!$B$11)*S2121+Summary!$B$11*U2121</f>
        <v/>
      </c>
      <c r="P2121">
        <f>IF(B2147=0,0,O2121/B2147)</f>
        <v/>
      </c>
      <c r="Q2121">
        <f>IFERROR(1/IF(Inputs!$B$38="pvp",15,MAX(0.1,Skills!D11-IF(Skills!E11=TRUE,Inputs!$B$32,0))),0)</f>
        <v/>
      </c>
      <c r="R2121">
        <f>IF(AND(Inputs!$B$38&lt;&gt;"pvp",Inputs!$B$43&gt;0),IF(MAX(0,Inputs!$B$43-B2144)&lt;=0,0,(INT(MAX(0,Inputs!$B$43-B2144)/IF(Inputs!$B$38="pvp",15,MAX(0.1,Skills!D11-IF(Skills!E11=TRUE,Inputs!$B$32,0))))+1)),0)</f>
        <v/>
      </c>
      <c r="S2121">
        <f>IF(C2121,H2121*N2121*IF(AND(Inputs!$B$38&lt;&gt;"pvp",Inputs!$B$43&gt;0),((Skills!F11*((R2121-1)*IF(Skills!G11&gt;0,Skills!H11/Skills!G11,1)+IF(Skills!G11&gt;0,MIN(Skills!H11,MAX(0,MAX(0,Inputs!$B$43-B2144)-((R2121-1)*IF(Inputs!$B$38="pvp",15,MAX(0.1,Skills!D11-IF(Skills!E11=TRUE,Inputs!$B$32,0))))))/Skills!G11,1)))/Inputs!$B$43),G2121*Q2121)*0.5*IF(Inputs!$B$38="pvp",1,1+(Inputs!$B$20+Skills!O11+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1">
        <f>IF(C2121,H2121*N2121*IF(AND(Inputs!$B$38&lt;&gt;"pvp",Inputs!$B$43&gt;0),((Skills!F11*((R2121-1)*IF(Skills!G11&gt;0,Skills!H11/Skills!G11,1)+IF(Skills!G11&gt;0,MIN(Skills!H11,MAX(0,MAX(0,Inputs!$B$43-B2144)-((R2121-1)*IF(Inputs!$B$38="pvp",15,MAX(0.1,Skills!D11-IF(Skills!E11=TRUE,Inputs!$B$32,0))))))/Skills!G11,1)))/Inputs!$B$43),G2121*Q2121)*1*IF(Inputs!$B$38="pvp",1,(1+(Inputs!$B$21+Skills!P11+B2138+(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Skills!A12</f>
        <v/>
      </c>
      <c r="B2122">
        <f>Skills!B12</f>
        <v/>
      </c>
      <c r="C2122">
        <f>Inputs!$B$3&gt;=115</f>
        <v/>
      </c>
      <c r="D2122">
        <f>IF(Skills!C12=1,60+Inputs!$B$25+Inputs!$B$29,IF(Skills!C12=2,90+Inputs!$B$26+Inputs!$B$29,IF(Skills!C12=3,120+Inputs!$B$27+Inputs!$B$29,MAX(0,(Inputs!$B$3-100)*3)+Inputs!$B$28+Inputs!$B$29)))</f>
        <v/>
      </c>
      <c r="E2122">
        <f>INDEX(FactorTable!$B$2:$Y$301, MATCH(ROUND(MIN(300,MAX(1,D2122)),0), FactorTable!$A$2:$A$301,0), Skills!L12+1)</f>
        <v/>
      </c>
      <c r="F2122">
        <f>IF(Skills!M12=TRUE,(Skills!K12/10)*(E2122/1000),Skills!K12/10)+Skills!N12</f>
        <v/>
      </c>
      <c r="G2122">
        <f>Calc!G12</f>
        <v/>
      </c>
      <c r="H2122">
        <f>Calc!H12</f>
        <v/>
      </c>
      <c r="I2122">
        <f>IF(Skills!T12&lt;&gt;"",1+(Skills!T12/10)*(Z2113/1000)/100,1)</f>
        <v/>
      </c>
      <c r="J2122">
        <f>((Inputs!$B$6*(1+Inputs!$B$7/100))+(((Inputs!$B$12*(1+Inputs!$B$13/100))-(Inputs!$B$12*(1+Inputs!$B$13/100)))+0.25*(Inputs!$B$14-Inputs!$B$14))*(1+Inputs!$B$7/100))*(F2122/100)</f>
        <v/>
      </c>
      <c r="K2122">
        <f>J2122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12="CHAIN_LIGHTNING",Inputs!$B$17+((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2128-Calc!F18),(Inputs!$B$23+(IF(ArtifactsInput!$M$15,CHOOSE(ArtifactsInput!$N$15+1,25,30,35,40,45,50)/100*(Inputs!$B$11-Inputs!$B$11),0))))/100+(Inputs!$B$23+(IF(ArtifactsInput!$M$15,CHOOSE(ArtifactsInput!$N$15+1,25,30,35,40,45,50)/100*(Inputs!$B$11-Inputs!$B$11),0)))/100)/2</f>
        <v/>
      </c>
      <c r="M2122">
        <f>L2122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IF(B2147=0,0,O2122/B2147)</f>
        <v/>
      </c>
      <c r="Q2122">
        <f>IFERROR(1/IF(Inputs!$B$38="pvp",15,MAX(0.1,Skills!D12-IF(Skills!E12=TRUE,Inputs!$B$32,0))),0)</f>
        <v/>
      </c>
      <c r="R2122">
        <f>IF(AND(Inputs!$B$38&lt;&gt;"pvp",Inputs!$B$43&gt;0),IF(MAX(0,Inputs!$B$43-B2144)&lt;=0,0,(INT(MAX(0,Inputs!$B$43-B2144)/IF(Inputs!$B$38="pvp",15,MAX(0.1,Skills!D12-IF(Skills!E12=TRUE,Inputs!$B$32,0))))+1)),0)</f>
        <v/>
      </c>
      <c r="S2122">
        <f>IF(C2122,(H2122*N2122*IF(AND(Inputs!$B$38&lt;&gt;"pvp",Inputs!$B$43&gt;0),((Skills!F12*((R2122-1)*IF(Skills!G12&gt;0,Skills!H12/Skills!G12,1)+IF(Skills!G12&gt;0,MIN(Skills!H12,MAX(0,MAX(0,Inputs!$B$43-B2144)-((R2122-1)*IF(Inputs!$B$38="pvp",15,MAX(0.1,Skills!D12-IF(Skills!E12=TRUE,Inputs!$B$32,0))))))/Skills!G12,1)))/Inputs!$B$43),G2122*Q2122))*IF(Inputs!$B$38="pvp",1,1+(Inputs!$B$20+Skills!O12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2130-Calc!F20)+(F2129-Calc!F19))+(ArtifactsInput!$M$24-ArtifactsInput!$M$24)*CHOOSE(ArtifactsInput!$N$24+1,10,12,14,16,18,20)+(IF(AND(Inputs!$B$38&lt;&gt;"pvp",Inputs!$B$43=0),1,IF(IF(Inputs!$B$38="pvp",15,Inputs!$B$43)-(B2144)&lt;=0,1,MAX(0,IF(Inputs!$B$38="pvp",15,Inputs!$B$43)-MAX(5,B2144))/(IF(Inputs!$B$38="pvp",15,Inputs!$B$43)-(B2144)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F12*((R2122-1)*IF(Skills!G12&gt;0,Skills!H12/Skills!G12,1)+IF(Skills!G12&gt;0,MIN(Skills!H12,MAX(0,MAX(0,Inputs!$B$43-B2144)-((R2122-1)*IF(Inputs!$B$38="pvp",15,MAX(0.1,Skills!D12-IF(Skills!E12=TRUE,Inputs!$B$32,0))))))/Skills!G12,1)))/Inputs!$B$43),G2122*Q2122))*IF(Inputs!$B$38="pvp",1,(1+(Inputs!$B$21+Skills!P12+B2138+(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Skills!A13</f>
        <v/>
      </c>
      <c r="B2123">
        <f>Skills!B13</f>
        <v/>
      </c>
      <c r="C2123">
        <f>Inputs!$B$3&gt;=49</f>
        <v/>
      </c>
      <c r="D2123">
        <f>IF(Skills!C13=1,60+Inputs!$B$25+Inputs!$B$29,IF(Skills!C13=2,90+Inputs!$B$26+Inputs!$B$29,IF(Skills!C13=3,120+Inputs!$B$27+Inputs!$B$29,MAX(0,(Inputs!$B$3-100)*3)+Inputs!$B$28+Inputs!$B$29)))</f>
        <v/>
      </c>
      <c r="E2123">
        <f>INDEX(FactorTable!$B$2:$Y$301, MATCH(ROUND(MIN(300,MAX(1,D2123)),0), FactorTable!$A$2:$A$301,0), Skills!L13+1)</f>
        <v/>
      </c>
      <c r="F2123">
        <f>IF(Skills!M13=TRUE,(Skills!K13/10)*(E2123/1000),Skills!K13/10)+Skills!N13</f>
        <v/>
      </c>
      <c r="G2123">
        <f>Calc!G13</f>
        <v/>
      </c>
      <c r="H2123">
        <f>Calc!H13</f>
        <v/>
      </c>
      <c r="I2123">
        <f>IF(Skills!T13&lt;&gt;"",1+(Skills!T13/10)*(Z2113/1000)/100,1)</f>
        <v/>
      </c>
      <c r="J2123" t="inlineStr"/>
      <c r="K2123" t="inlineStr"/>
      <c r="L2123" t="inlineStr"/>
      <c r="M2123" t="inlineStr"/>
      <c r="N2123" t="inlineStr"/>
      <c r="O2123">
        <f>(1-Summary!$B$11)*S2123+Summary!$B$11*U2123</f>
        <v/>
      </c>
      <c r="P2123">
        <f>IF(B2147=0,0,O2123/B2147)</f>
        <v/>
      </c>
      <c r="Q2123">
        <f>IFERROR(1/IF(Inputs!$B$38="pvp",15,MAX(0.1,Skills!D13-IF(Skills!E13=TRUE,Inputs!$B$32,0))),0)</f>
        <v/>
      </c>
      <c r="R2123" t="n">
        <v>0</v>
      </c>
      <c r="S2123" t="n">
        <v>0</v>
      </c>
      <c r="U2123" t="n">
        <v>0</v>
      </c>
    </row>
    <row r="2124">
      <c r="A2124">
        <f>Skills!A14</f>
        <v/>
      </c>
      <c r="B2124">
        <f>Skills!B14</f>
        <v/>
      </c>
      <c r="C2124">
        <f>Inputs!$B$3&gt;=72</f>
        <v/>
      </c>
      <c r="D2124">
        <f>IF(Skills!C14=1,60+Inputs!$B$25+Inputs!$B$29,IF(Skills!C14=2,90+Inputs!$B$26+Inputs!$B$29,IF(Skills!C14=3,120+Inputs!$B$27+Inputs!$B$29,MAX(0,(Inputs!$B$3-100)*3)+Inputs!$B$28+Inputs!$B$29)))</f>
        <v/>
      </c>
      <c r="E2124">
        <f>INDEX(FactorTable!$B$2:$Y$301, MATCH(ROUND(MIN(300,MAX(1,D2124)),0), FactorTable!$A$2:$A$301,0), Skills!L14+1)</f>
        <v/>
      </c>
      <c r="F2124">
        <f>IF(Skills!M14=TRUE,(Skills!K14/10)*(E2124/1000),Skills!K14/10)+Skills!N14</f>
        <v/>
      </c>
      <c r="G2124">
        <f>Calc!G14</f>
        <v/>
      </c>
      <c r="H2124">
        <f>Calc!H14</f>
        <v/>
      </c>
      <c r="I2124">
        <f>IF(Skills!T14&lt;&gt;"",1+(Skills!T14/10)*(Z2113/1000)/100,1)</f>
        <v/>
      </c>
      <c r="J2124" t="inlineStr"/>
      <c r="K2124" t="inlineStr"/>
      <c r="L2124" t="inlineStr"/>
      <c r="M2124" t="inlineStr"/>
      <c r="N2124" t="inlineStr"/>
      <c r="O2124">
        <f>(1-Summary!$B$11)*S2124+Summary!$B$11*U2124</f>
        <v/>
      </c>
      <c r="P2124">
        <f>IF(B2147=0,0,O2124/B2147)</f>
        <v/>
      </c>
      <c r="Q2124">
        <f>IFERROR(1/IF(Inputs!$B$38="pvp",15,MAX(0.1,Skills!D14-IF(Skills!E14=TRUE,Inputs!$B$32,0))),0)</f>
        <v/>
      </c>
      <c r="R2124" t="n">
        <v>0</v>
      </c>
      <c r="S2124" t="n">
        <v>0</v>
      </c>
      <c r="U2124" t="n">
        <v>0</v>
      </c>
    </row>
    <row r="2125">
      <c r="A2125">
        <f>Skills!A15</f>
        <v/>
      </c>
      <c r="B2125">
        <f>Skills!B15</f>
        <v/>
      </c>
      <c r="C2125">
        <f>Inputs!$B$3&gt;=75</f>
        <v/>
      </c>
      <c r="D2125">
        <f>IF(Skills!C15=1,60+Inputs!$B$25+Inputs!$B$29,IF(Skills!C15=2,90+Inputs!$B$26+Inputs!$B$29,IF(Skills!C15=3,120+Inputs!$B$27+Inputs!$B$29,MAX(0,(Inputs!$B$3-100)*3)+Inputs!$B$28+Inputs!$B$29)))</f>
        <v/>
      </c>
      <c r="E2125">
        <f>INDEX(FactorTable!$B$2:$Y$301, MATCH(ROUND(MIN(300,MAX(1,D2125)),0), FactorTable!$A$2:$A$301,0), Skills!L15+1)</f>
        <v/>
      </c>
      <c r="F2125">
        <f>IF(Skills!M15=TRUE,(Skills!K15/10)*(E2125/1000),Skills!K15/10)+Skills!N15</f>
        <v/>
      </c>
      <c r="G2125">
        <f>Calc!G15</f>
        <v/>
      </c>
      <c r="H2125">
        <f>Calc!H15</f>
        <v/>
      </c>
      <c r="I2125">
        <f>IF(Skills!T15&lt;&gt;"",1+(Skills!T15/10)*(Z2113/1000)/100,1)</f>
        <v/>
      </c>
      <c r="J2125" t="inlineStr"/>
      <c r="K2125" t="inlineStr"/>
      <c r="L2125" t="inlineStr"/>
      <c r="M2125" t="inlineStr"/>
      <c r="N2125" t="inlineStr"/>
      <c r="O2125">
        <f>(1-Summary!$B$11)*S2125+Summary!$B$11*U2125</f>
        <v/>
      </c>
      <c r="P2125">
        <f>IF(B2147=0,0,O2125/B2147)</f>
        <v/>
      </c>
      <c r="Q2125">
        <f>IFERROR(1/IF(Inputs!$B$38="pvp",15,MAX(0.1,Skills!D15-IF(Skills!E15=TRUE,Inputs!$B$32,0))),0)</f>
        <v/>
      </c>
      <c r="R2125" t="n">
        <v>0</v>
      </c>
      <c r="S2125" t="n">
        <v>0</v>
      </c>
      <c r="U2125" t="n">
        <v>0</v>
      </c>
    </row>
    <row r="2126">
      <c r="A2126">
        <f>Skills!A16</f>
        <v/>
      </c>
      <c r="B2126">
        <f>Skills!B16</f>
        <v/>
      </c>
      <c r="C2126">
        <f>Inputs!$B$3&gt;=110</f>
        <v/>
      </c>
      <c r="D2126">
        <f>IF(Skills!C16=1,60+Inputs!$B$25+Inputs!$B$29,IF(Skills!C16=2,90+Inputs!$B$26+Inputs!$B$29,IF(Skills!C16=3,120+Inputs!$B$27+Inputs!$B$29,MAX(0,(Inputs!$B$3-100)*3)+Inputs!$B$28+Inputs!$B$29)))</f>
        <v/>
      </c>
      <c r="E2126">
        <f>INDEX(FactorTable!$B$2:$Y$301, MATCH(ROUND(MIN(300,MAX(1,D2126)),0), FactorTable!$A$2:$A$301,0), Skills!L16+1)</f>
        <v/>
      </c>
      <c r="F2126">
        <f>(Skills!K16/10)*(E2126/1000)*64/45+Skills!N16</f>
        <v/>
      </c>
      <c r="G2126">
        <f>Calc!G16</f>
        <v/>
      </c>
      <c r="H2126">
        <f>Calc!H16</f>
        <v/>
      </c>
      <c r="I2126">
        <f>IF(Skills!T16&lt;&gt;"",1+(Skills!T16/10)*(Z2113/1000)/100,1)</f>
        <v/>
      </c>
      <c r="J2126" t="inlineStr"/>
      <c r="K2126" t="inlineStr"/>
      <c r="L2126" t="inlineStr"/>
      <c r="M2126" t="inlineStr"/>
      <c r="N2126" t="inlineStr"/>
      <c r="O2126">
        <f>(1-Summary!$B$11)*S2126+Summary!$B$11*U2126</f>
        <v/>
      </c>
      <c r="P2126">
        <f>IF(B2147=0,0,O2126/B2147)</f>
        <v/>
      </c>
      <c r="Q2126">
        <f>IFERROR(1/IF(Inputs!$B$38="pvp",15,MAX(0.1,Skills!D16-IF(Skills!E16=TRUE,Inputs!$B$32,0))),0)</f>
        <v/>
      </c>
      <c r="R2126">
        <f>IF(AND(Inputs!$B$38&lt;&gt;"pvp",Inputs!$B$43&gt;0),IF(Inputs!$B$43&lt;=0,0,(INT(Inputs!$B$43/IF(Inputs!$B$38="pvp",15,MAX(0.1,Skills!D16-IF(Skills!E16=TRUE,Inputs!$B$32,0))))+1)),0)</f>
        <v/>
      </c>
      <c r="S2126" t="n">
        <v>0</v>
      </c>
      <c r="U2126" t="n">
        <v>0</v>
      </c>
    </row>
    <row r="2127">
      <c r="A2127">
        <f>Skills!A17</f>
        <v/>
      </c>
      <c r="B2127">
        <f>Skills!B17</f>
        <v/>
      </c>
      <c r="C2127">
        <f>Inputs!$B$3&gt;=33</f>
        <v/>
      </c>
      <c r="D2127">
        <f>IF(Skills!C17=1,60+Inputs!$B$25+Inputs!$B$29,IF(Skills!C17=2,90+Inputs!$B$26+Inputs!$B$29,IF(Skills!C17=3,120+Inputs!$B$27+Inputs!$B$29,MAX(0,(Inputs!$B$3-100)*3)+Inputs!$B$28+Inputs!$B$29)))</f>
        <v/>
      </c>
      <c r="E2127">
        <f>INDEX(FactorTable!$B$2:$Y$301, MATCH(ROUND(MIN(300,MAX(1,D2127)),0), FactorTable!$A$2:$A$301,0), Skills!L17+1)</f>
        <v/>
      </c>
      <c r="F2127">
        <f>IF(Skills!M17=TRUE,(Skills!K17/10)*(E2127/1000),Skills!K17/10)+Skills!N17</f>
        <v/>
      </c>
      <c r="G2127">
        <f>Calc!G17</f>
        <v/>
      </c>
      <c r="H2127">
        <f>Calc!H17</f>
        <v/>
      </c>
      <c r="I2127">
        <f>IF(Skills!T17&lt;&gt;"",1+(Skills!T17/10)*(Z2113/1000)/100,1)</f>
        <v/>
      </c>
      <c r="J2127" t="inlineStr"/>
      <c r="K2127" t="inlineStr"/>
      <c r="L2127" t="inlineStr"/>
      <c r="M2127" t="inlineStr"/>
      <c r="N2127" t="inlineStr"/>
      <c r="O2127">
        <f>(1-Summary!$B$11)*S2127+Summary!$B$11*U2127</f>
        <v/>
      </c>
      <c r="P2127">
        <f>IF(B2147=0,0,O2127/B2147)</f>
        <v/>
      </c>
      <c r="Q2127">
        <f>IFERROR(1/IF(Inputs!$B$38="pvp",15,MAX(0.1,Skills!D17-IF(Skills!E17=TRUE,Inputs!$B$32,0))),0)</f>
        <v/>
      </c>
      <c r="R2127" t="n">
        <v>0</v>
      </c>
      <c r="S2127" t="n">
        <v>0</v>
      </c>
      <c r="U2127" t="n">
        <v>0</v>
      </c>
    </row>
    <row r="2128">
      <c r="A2128">
        <f>Skills!A18</f>
        <v/>
      </c>
      <c r="B2128">
        <f>Skills!B18</f>
        <v/>
      </c>
      <c r="C2128">
        <f>Inputs!$B$3&gt;=43</f>
        <v/>
      </c>
      <c r="D2128">
        <f>IF(Skills!C18=1,60+Inputs!$B$25+Inputs!$B$29,IF(Skills!C18=2,90+Inputs!$B$26+Inputs!$B$29,IF(Skills!C18=3,120+Inputs!$B$27+Inputs!$B$29,MAX(0,(Inputs!$B$3-100)*3)+Inputs!$B$28+Inputs!$B$29)))</f>
        <v/>
      </c>
      <c r="E2128">
        <f>INDEX(FactorTable!$B$2:$Y$301, MATCH(ROUND(MIN(300,MAX(1,D2128)),0), FactorTable!$A$2:$A$301,0), Skills!L18+1)</f>
        <v/>
      </c>
      <c r="F2128">
        <f>IF(Skills!M18=TRUE,(Skills!K18/10)*(E2128/1000),Skills!K18/10)+Skills!N18</f>
        <v/>
      </c>
      <c r="G2128">
        <f>Calc!G18</f>
        <v/>
      </c>
      <c r="H2128">
        <f>Calc!H18</f>
        <v/>
      </c>
      <c r="I2128">
        <f>IF(Skills!T18&lt;&gt;"",1+(Skills!T18/10)*(Z2113/1000)/100,1)</f>
        <v/>
      </c>
      <c r="J2128" t="inlineStr"/>
      <c r="K2128" t="inlineStr"/>
      <c r="L2128" t="inlineStr"/>
      <c r="M2128" t="inlineStr"/>
      <c r="N2128" t="inlineStr"/>
      <c r="O2128">
        <f>(1-Summary!$B$11)*S2128+Summary!$B$11*U2128</f>
        <v/>
      </c>
      <c r="P2128">
        <f>IF(B2147=0,0,O2128/B2147)</f>
        <v/>
      </c>
      <c r="Q2128">
        <f>IFERROR(1/IF(Inputs!$B$38="pvp",15,MAX(0.1,Skills!D18-IF(Skills!E18=TRUE,Inputs!$B$32,0))),0)</f>
        <v/>
      </c>
      <c r="R2128" t="n">
        <v>0</v>
      </c>
      <c r="S2128" t="n">
        <v>0</v>
      </c>
      <c r="U2128" t="n">
        <v>0</v>
      </c>
    </row>
    <row r="2129">
      <c r="A2129">
        <f>Skills!A19</f>
        <v/>
      </c>
      <c r="B2129">
        <f>Skills!B19</f>
        <v/>
      </c>
      <c r="C2129">
        <f>Inputs!$B$3&gt;=50</f>
        <v/>
      </c>
      <c r="D2129">
        <f>IF(Skills!C19=1,60+Inputs!$B$25+Inputs!$B$29,IF(Skills!C19=2,90+Inputs!$B$26+Inputs!$B$29,IF(Skills!C19=3,120+Inputs!$B$27+Inputs!$B$29,MAX(0,(Inputs!$B$3-100)*3)+Inputs!$B$28+Inputs!$B$29)))</f>
        <v/>
      </c>
      <c r="E2129">
        <f>INDEX(FactorTable!$B$2:$Y$301, MATCH(ROUND(MIN(300,MAX(1,D2129)),0), FactorTable!$A$2:$A$301,0), Skills!L19+1)</f>
        <v/>
      </c>
      <c r="F2129">
        <f>IF(Skills!M19=TRUE,(Skills!K19/10)*(E2129/1000),Skills!K19/10)+Skills!N19</f>
        <v/>
      </c>
      <c r="G2129">
        <f>Calc!G19</f>
        <v/>
      </c>
      <c r="H2129">
        <f>Calc!H19</f>
        <v/>
      </c>
      <c r="I2129">
        <f>IF(Skills!T19&lt;&gt;"",1+(Skills!T19/10)*(Z2113/1000)/100,1)</f>
        <v/>
      </c>
      <c r="J2129" t="inlineStr"/>
      <c r="K2129" t="inlineStr"/>
      <c r="L2129" t="inlineStr"/>
      <c r="M2129" t="inlineStr"/>
      <c r="N2129" t="inlineStr"/>
      <c r="O2129">
        <f>(1-Summary!$B$11)*S2129+Summary!$B$11*U2129</f>
        <v/>
      </c>
      <c r="P2129">
        <f>IF(B2147=0,0,O2129/B2147)</f>
        <v/>
      </c>
      <c r="Q2129">
        <f>IFERROR(1/IF(Inputs!$B$38="pvp",15,MAX(0.1,Skills!D19-IF(Skills!E19=TRUE,Inputs!$B$32,0))),0)</f>
        <v/>
      </c>
      <c r="R2129" t="n">
        <v>0</v>
      </c>
      <c r="S2129" t="n">
        <v>0</v>
      </c>
      <c r="U2129" t="n">
        <v>0</v>
      </c>
    </row>
    <row r="2130">
      <c r="A2130">
        <f>Skills!A20</f>
        <v/>
      </c>
      <c r="B2130">
        <f>Skills!B20</f>
        <v/>
      </c>
      <c r="C2130">
        <f>Inputs!$B$3&gt;=74</f>
        <v/>
      </c>
      <c r="D2130">
        <f>IF(Skills!C20=1,60+Inputs!$B$25+Inputs!$B$29,IF(Skills!C20=2,90+Inputs!$B$26+Inputs!$B$29,IF(Skills!C20=3,120+Inputs!$B$27+Inputs!$B$29,MAX(0,(Inputs!$B$3-100)*3)+Inputs!$B$28+Inputs!$B$29)))</f>
        <v/>
      </c>
      <c r="E2130">
        <f>INDEX(FactorTable!$B$2:$Y$301, MATCH(ROUND(MIN(300,MAX(1,D2130)),0), FactorTable!$A$2:$A$301,0), Skills!L20+1)</f>
        <v/>
      </c>
      <c r="F2130">
        <f>IF(Skills!M20=TRUE,(Skills!K20/10)*(E2130/1000),Skills!K20/10)+Skills!N20</f>
        <v/>
      </c>
      <c r="G2130">
        <f>Calc!G20</f>
        <v/>
      </c>
      <c r="H2130">
        <f>Calc!H20</f>
        <v/>
      </c>
      <c r="I2130">
        <f>IF(Skills!T20&lt;&gt;"",1+(Skills!T20/10)*(Z2113/1000)/100,1)</f>
        <v/>
      </c>
      <c r="J2130" t="inlineStr"/>
      <c r="K2130" t="inlineStr"/>
      <c r="L2130" t="inlineStr"/>
      <c r="M2130" t="inlineStr"/>
      <c r="N2130" t="inlineStr"/>
      <c r="O2130">
        <f>(1-Summary!$B$11)*S2130+Summary!$B$11*U2130</f>
        <v/>
      </c>
      <c r="P2130">
        <f>IF(B2147=0,0,O2130/B2147)</f>
        <v/>
      </c>
      <c r="Q2130">
        <f>IFERROR(1/IF(Inputs!$B$38="pvp",15,MAX(0.1,Skills!D20-IF(Skills!E20=TRUE,Inputs!$B$32,0))),0)</f>
        <v/>
      </c>
      <c r="R2130" t="n">
        <v>0</v>
      </c>
      <c r="S2130" t="n">
        <v>0</v>
      </c>
      <c r="U2130" t="n">
        <v>0</v>
      </c>
    </row>
    <row r="2131">
      <c r="A2131">
        <f>Skills!A21</f>
        <v/>
      </c>
      <c r="B2131">
        <f>Skills!B21</f>
        <v/>
      </c>
      <c r="C2131">
        <f>Inputs!$B$3&gt;=74</f>
        <v/>
      </c>
      <c r="D2131">
        <f>IF(Skills!C21=1,60+Inputs!$B$25+Inputs!$B$29,IF(Skills!C21=2,90+Inputs!$B$26+Inputs!$B$29,IF(Skills!C21=3,120+Inputs!$B$27+Inputs!$B$29,MAX(0,(Inputs!$B$3-100)*3)+Inputs!$B$28+Inputs!$B$29)))</f>
        <v/>
      </c>
      <c r="E2131">
        <f>INDEX(FactorTable!$B$2:$Y$301, MATCH(ROUND(MIN(300,MAX(1,D2131)),0), FactorTable!$A$2:$A$301,0), Skills!L21+1)</f>
        <v/>
      </c>
      <c r="F2131">
        <f>IF(Skills!M21=TRUE,(Skills!K21/10)*(E2131/1000),Skills!K21/10)+Skills!N21</f>
        <v/>
      </c>
      <c r="G2131">
        <f>Calc!G21</f>
        <v/>
      </c>
      <c r="H2131">
        <f>Calc!H21</f>
        <v/>
      </c>
      <c r="I2131">
        <f>IF(Skills!T21&lt;&gt;"",1+(Skills!T21/10)*(Z2113/1000)/100,1)</f>
        <v/>
      </c>
      <c r="J2131" t="inlineStr"/>
      <c r="K2131" t="inlineStr"/>
      <c r="L2131" t="inlineStr"/>
      <c r="M2131" t="inlineStr"/>
      <c r="N2131" t="inlineStr"/>
      <c r="O2131">
        <f>(1-Summary!$B$11)*S2131+Summary!$B$11*U2131</f>
        <v/>
      </c>
      <c r="P2131">
        <f>IF(B2147=0,0,O2131/B2147)</f>
        <v/>
      </c>
      <c r="Q2131">
        <f>IFERROR(1/IF(Inputs!$B$38="pvp",15,MAX(0.1,Skills!D21-IF(Skills!E21=TRUE,Inputs!$B$32,0))),0)</f>
        <v/>
      </c>
      <c r="R2131" t="n">
        <v>0</v>
      </c>
      <c r="S2131" t="n">
        <v>0</v>
      </c>
      <c r="U2131" t="n">
        <v>0</v>
      </c>
    </row>
    <row r="2132">
      <c r="A2132">
        <f>Skills!A22</f>
        <v/>
      </c>
      <c r="B2132">
        <f>Skills!B22</f>
        <v/>
      </c>
      <c r="C2132">
        <f>Inputs!$B$3&gt;=117</f>
        <v/>
      </c>
      <c r="D2132">
        <f>IF(Skills!C22=1,60+Inputs!$B$25+Inputs!$B$29,IF(Skills!C22=2,90+Inputs!$B$26+Inputs!$B$29,IF(Skills!C22=3,120+Inputs!$B$27+Inputs!$B$29,MAX(0,(Inputs!$B$3-100)*3)+Inputs!$B$28+Inputs!$B$29)))</f>
        <v/>
      </c>
      <c r="E2132">
        <f>INDEX(FactorTable!$B$2:$Y$301, MATCH(ROUND(MIN(300,MAX(1,D2132)),0), FactorTable!$A$2:$A$301,0), Skills!L22+1)</f>
        <v/>
      </c>
      <c r="F2132">
        <f>IF(Skills!M22=TRUE,(Skills!K22/10)*(E2132/1000),Skills!K22/10)+Skills!N22</f>
        <v/>
      </c>
      <c r="G2132">
        <f>Calc!G22</f>
        <v/>
      </c>
      <c r="H2132">
        <f>Calc!H22</f>
        <v/>
      </c>
      <c r="I2132">
        <f>IF(Skills!T22&lt;&gt;"",1+(Skills!T22/10)*(Z2113/1000)/100,1)</f>
        <v/>
      </c>
      <c r="J2132" t="inlineStr"/>
      <c r="K2132" t="inlineStr"/>
      <c r="L2132" t="inlineStr"/>
      <c r="M2132" t="inlineStr"/>
      <c r="N2132" t="inlineStr"/>
      <c r="O2132">
        <f>(1-Summary!$B$11)*S2132+Summary!$B$11*U2132</f>
        <v/>
      </c>
      <c r="P2132">
        <f>IF(B2147=0,0,O2132/B2147)</f>
        <v/>
      </c>
      <c r="Q2132">
        <f>IFERROR(1/IF(Inputs!$B$38="pvp",15,MAX(0.1,Skills!D22-IF(Skills!E22=TRUE,Inputs!$B$32,0))),0)</f>
        <v/>
      </c>
      <c r="R2132" t="n">
        <v>0</v>
      </c>
      <c r="S2132" t="n">
        <v>0</v>
      </c>
      <c r="U2132" t="n">
        <v>0</v>
      </c>
    </row>
    <row r="2133">
      <c r="A2133">
        <f>Skills!A23</f>
        <v/>
      </c>
      <c r="B2133">
        <f>Skills!B23</f>
        <v/>
      </c>
      <c r="C2133">
        <f>Inputs!$B$3&gt;=120</f>
        <v/>
      </c>
      <c r="D2133">
        <f>IF(Skills!C23=1,60+Inputs!$B$25+Inputs!$B$29,IF(Skills!C23=2,90+Inputs!$B$26+Inputs!$B$29,IF(Skills!C23=3,120+Inputs!$B$27+Inputs!$B$29,MAX(0,(Inputs!$B$3-100)*3)+Inputs!$B$28+Inputs!$B$29)))</f>
        <v/>
      </c>
      <c r="E2133">
        <f>INDEX(FactorTable!$B$2:$Y$301, MATCH(ROUND(MIN(300,MAX(1,D2133)),0), FactorTable!$A$2:$A$301,0), Skills!L23+1)</f>
        <v/>
      </c>
      <c r="F2133">
        <f>IF(Skills!M23=TRUE,(Skills!K23/10)*(E2133/1000),Skills!K23/10)+Skills!N23</f>
        <v/>
      </c>
      <c r="G2133">
        <f>Calc!G23</f>
        <v/>
      </c>
      <c r="H2133">
        <f>Calc!H23</f>
        <v/>
      </c>
      <c r="I2133">
        <f>IF(Skills!T23&lt;&gt;"",1+(Skills!T23/10)*(Z2113/1000)/100,1)</f>
        <v/>
      </c>
      <c r="J2133" t="inlineStr"/>
      <c r="K2133" t="inlineStr"/>
      <c r="L2133" t="inlineStr"/>
      <c r="M2133" t="inlineStr"/>
      <c r="N2133" t="inlineStr"/>
      <c r="O2133">
        <f>(1-Summary!$B$11)*S2133+Summary!$B$11*U2133</f>
        <v/>
      </c>
      <c r="P2133">
        <f>IF(B2147=0,0,O2133/B2147)</f>
        <v/>
      </c>
      <c r="Q2133">
        <f>IFERROR(1/IF(Inputs!$B$38="pvp",15,MAX(0.1,Skills!D23-IF(Skills!E23=TRUE,Inputs!$B$32,0))),0)</f>
        <v/>
      </c>
      <c r="R2133" t="n">
        <v>0</v>
      </c>
      <c r="S2133" t="n">
        <v>0</v>
      </c>
      <c r="U2133" t="n">
        <v>0</v>
      </c>
    </row>
    <row r="2134">
      <c r="A2134">
        <f>Skills!A24</f>
        <v/>
      </c>
      <c r="B2134">
        <f>Skills!B24</f>
        <v/>
      </c>
      <c r="C2134">
        <f>TRUE</f>
        <v/>
      </c>
      <c r="D2134">
        <f>IF(Skills!C24=1,60+Inputs!$B$25+Inputs!$B$29,IF(Skills!C24=2,90+Inputs!$B$26+Inputs!$B$29,IF(Skills!C24=3,120+Inputs!$B$27+Inputs!$B$29,MAX(0,(Inputs!$B$3-100)*3)+Inputs!$B$28+Inputs!$B$29)))</f>
        <v/>
      </c>
      <c r="E2134">
        <f>INDEX(FactorTable!$B$2:$Y$301, MATCH(ROUND(MIN(300,MAX(1,D2134)),0), FactorTable!$A$2:$A$301,0), Skills!L24+1)</f>
        <v/>
      </c>
      <c r="F2134">
        <f>IF(Skills!M24=TRUE,(Skills!K24/10)*(E2134/1000),Skills!K24/10)+Skills!N24</f>
        <v/>
      </c>
      <c r="G2134">
        <f>Calc!G24</f>
        <v/>
      </c>
      <c r="H2134">
        <f>Calc!H24</f>
        <v/>
      </c>
      <c r="I2134">
        <f>IF(Skills!T24&lt;&gt;"",1+(Skills!T24/10)*(Z2113/1000)/100,1)</f>
        <v/>
      </c>
      <c r="J2134" t="inlineStr"/>
      <c r="K2134" t="inlineStr"/>
      <c r="L2134" t="inlineStr"/>
      <c r="M2134" t="inlineStr"/>
      <c r="N2134" t="inlineStr"/>
      <c r="O2134">
        <f>(1-Summary!$B$11)*S2134+Summary!$B$11*U2134</f>
        <v/>
      </c>
      <c r="P2134">
        <f>IF(B2147=0,0,O2134/B2147)</f>
        <v/>
      </c>
      <c r="Q2134">
        <f>IFERROR(1/IF(Inputs!$B$38="pvp",15,MAX(0.1,Skills!D24-IF(Skills!E24=TRUE,Inputs!$B$32,0))),0)</f>
        <v/>
      </c>
      <c r="R2134">
        <f>IF(AND(Inputs!$B$38&lt;&gt;"pvp",Inputs!$B$43&gt;0),IF(Inputs!$B$43&lt;=0,0,(INT(Inputs!$B$43/IF(Inputs!$B$38="pvp",15,MAX(0.1,Skills!D24-IF(Skills!E24=TRUE,Inputs!$B$32,0))))+1)),0)</f>
        <v/>
      </c>
      <c r="S2134" t="n">
        <v>0</v>
      </c>
      <c r="U2134" t="n">
        <v>0</v>
      </c>
    </row>
    <row r="2137">
      <c r="A2137" t="inlineStr">
        <is>
          <t>Average Buff Multiplier (Magic Guard + Meditation + Artifact Attack%, summed; then Infinity)</t>
        </is>
      </c>
      <c r="B2137">
        <f>(1+(IF(C2113=TRUE,F2113*IF(AND(Inputs!$B$38&lt;&gt;"pvp",Inputs!$B$43&gt;0),(((R2113-1)*(Skills!S3*(1+(Inputs!$B$34)/100))+MIN((Skills!S3*(1+(Inputs!$B$34)/100)),MAX(0,Inputs!$B$43-((R2113-1)*Skills!D3))))/Inputs!$B$43),IF(Inputs!$B$38="pvp",MIN((Skills!S3*(1+(Inputs!$B$34)/100)),15)/15,(Skills!S3*(1+(Inputs!$B$34)/100))/Skills!D3)),0)+IF(C2114=TRUE,F2114*IF(AND(Inputs!$B$38&lt;&gt;"pvp",Inputs!$B$43&gt;0),(((R2114-1)*(Skills!S4*(1+(Inputs!$B$34)/100))+MIN((Skills!S4*(1+(Inputs!$B$34)/100)),MAX(0,Inputs!$B$43-((R2114-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2126=TRUE,(1+F2126*IF(AND(Inputs!$B$38&lt;&gt;"pvp",Inputs!$B$43&gt;0),(((R2126-1)*(Skills!S16*(1+(Inputs!$B$34)/100))+MIN((Skills!S16*(1+(Inputs!$B$34)/100)),MAX(0,Inputs!$B$43-((R2126-1)*Skills!D16))))/Inputs!$B$43),IF(Inputs!$B$38="pvp",MIN((Skills!S16*(1+(Inputs!$B$34)/100)),15)/15,(Skills!S16*(1+(Inputs!$B$34)/100))/Skills!D16))/100),1)</f>
        <v/>
      </c>
    </row>
    <row r="2138">
      <c r="A2138" t="inlineStr">
        <is>
          <t>Monster Damage Taken Bonus % (Freezing Breath - Weaken + Elemental Reset + Artifact Enemy Damage Taken, summed)</t>
        </is>
      </c>
      <c r="B2138">
        <f>IF(Inputs!$B$3&gt;=118,15*IF(Inputs!$B$38="pvp",MIN((30*(1+(Inputs!$B$34)/100)),15)/15,(30*(1+(Inputs!$B$34)/100))/Skills!D8),0)+IF(C2124=TRUE,F2124,0)+(IF(AND(ArtifactsInput!$M$35,Inputs!$B$4&lt;&gt;"Chapter Hunt"),CHOOSE(ArtifactsInput!$N$35+1,15,18,21,24,27,30)*(1-EXP(-(0.2*B2141)*5)),0)+IF(AND(ArtifactsInput!$M$22,Inputs!$B$4&lt;&gt;"Chapter Hunt"),CHOOSE(ArtifactsInput!$N$22+1,10,12,14,16,18,20)*((0*(((0.15*B2141*5))^0/1)+1*(((0.15*B2141*5))^1/1)+2*(((0.15*B2141*5))^2/2)+3*(((0.15*B2141*5))^3/6)+4*(((0.15*B2141*5))^4/24)+5*(((0.15*B2141*5))^5/120))/((((0.15*B2141*5))^0/1)+(((0.15*B2141*5))^1/1)+(((0.15*B2141*5))^2/2)+(((0.15*B2141*5))^3/6)+(((0.15*B2141*5))^4/24)+(((0.15*B2141*5))^5/120))),0))</f>
        <v/>
      </c>
    </row>
    <row r="2139">
      <c r="A2139" t="inlineStr">
        <is>
          <t>Damage % Bonus (Frozen Break + Frost Clutch, flat)</t>
        </is>
      </c>
      <c r="B2139">
        <f>IF(Inputs!$B$3&gt;=66,15,0)+IF(Inputs!$B$3&gt;=98,10,0)+IF(Inputs!$B$3&gt;=125,20,0)</f>
        <v/>
      </c>
    </row>
    <row r="2140">
      <c r="A2140" t="inlineStr">
        <is>
          <t>Attack Speed Bonus % (MP Eater - MP Boost, always-on + Nimble Feet, duty-cycle averaged)</t>
        </is>
      </c>
      <c r="B2140">
        <f>IF(C2123=TRUE,F2123+(F2127-Calc!F17),0)+((C2134=TRUE)*F2134*IF(AND(Inputs!$B$38&lt;&gt;"pvp",Inputs!$B$43&gt;0),(((R2134-1)*(Skills!S24*(1+(Inputs!$B$34)/100))+MIN((Skills!S24*(1+(Inputs!$B$34)/100)),MAX(0,Inputs!$B$43-((R2134-1)*Skills!D24))))/Inputs!$B$43),IF(Inputs!$B$38="pvp",MIN((Skills!S24*(1+(Inputs!$B$34)/100)),15)/15,(Skills!S24*(1+(Inputs!$B$34)/100))/Skills!D24)))</f>
        <v/>
      </c>
    </row>
    <row r="2141">
      <c r="A2141" t="inlineStr">
        <is>
          <t>Actions Per Second</t>
        </is>
      </c>
      <c r="B2141">
        <f>1+MIN(150,150*(1-(1-(Inputs!$B$11+(ArtifactsInput!$M$15-ArtifactsInput!$M$15)*CHOOSE(ArtifactsInput!$N$15+1,8,9.6,11.2,12.8,14.4,16))/150)*(1-B2140/150)))/100</f>
        <v/>
      </c>
    </row>
    <row r="2142">
      <c r="A2142" t="inlineStr">
        <is>
          <t>Skill + Buff Cast Rate</t>
        </is>
      </c>
      <c r="B2142">
        <f>IF(AND(Inputs!$B$38&lt;&gt;"pvp",Inputs!$B$43&gt;0),SUMPRODUCT((Skills!E2:E24=TRUE)*(C2112:C2134=TRUE)*R2112:R2134)/Inputs!$B$43,SUMPRODUCT((Skills!E2:E24=TRUE)*(C2112:C2134=TRUE)*Q2112:Q2134))</f>
        <v/>
      </c>
    </row>
    <row r="2143">
      <c r="A2143" t="inlineStr">
        <is>
          <t>Chain Lightning Casts Per Second</t>
        </is>
      </c>
      <c r="B2143">
        <f>MAX(0,B2141-B2142)</f>
        <v/>
      </c>
    </row>
    <row r="2144">
      <c r="A2144" t="inlineStr">
        <is>
          <t>Buff-Casting Startup Delay (s, fixed-duration only)</t>
        </is>
      </c>
      <c r="B2144">
        <f>IF(AND(Inputs!$B$38&lt;&gt;"pvp",Inputs!$B$43&gt;0),SUMPRODUCT((Skills!S2:S24&gt;0)*(Skills!E2:E24=TRUE)*(C2112:C2134=TRUE))/B2141,0)</f>
        <v/>
      </c>
    </row>
    <row r="2145">
      <c r="A2145" t="inlineStr">
        <is>
          <t>Boss-Only Total DPS (this block's swept value)</t>
        </is>
      </c>
      <c r="B2145">
        <f>SUM(S2112:S2134)</f>
        <v/>
      </c>
    </row>
    <row r="2146">
      <c r="A2146" t="inlineStr">
        <is>
          <t>Normal-Only Total DPS (this block's swept value)</t>
        </is>
      </c>
      <c r="B2146">
        <f>SUM(U2112:U2134)</f>
        <v/>
      </c>
    </row>
    <row r="2147">
      <c r="A2147" s="6" t="inlineStr">
        <is>
          <t>TOTAL DPS</t>
        </is>
      </c>
      <c r="B2147" s="6">
        <f>SUM(O2112:O2134)</f>
        <v/>
      </c>
    </row>
    <row r="2150">
      <c r="A2150" s="6" t="inlineStr">
        <is>
          <t>Stat: Bottle of Emotion (Equip)</t>
        </is>
      </c>
    </row>
    <row r="2151">
      <c r="A2151" s="5" t="inlineStr">
        <is>
          <t>Key</t>
        </is>
      </c>
      <c r="B2151" s="5" t="inlineStr">
        <is>
          <t>Name</t>
        </is>
      </c>
      <c r="C2151" s="5" t="inlineStr">
        <is>
          <t>Unlocked</t>
        </is>
      </c>
      <c r="D2151" s="5" t="inlineStr">
        <is>
          <t>InputLevel</t>
        </is>
      </c>
      <c r="E2151" s="5" t="inlineStr">
        <is>
          <t>Factor</t>
        </is>
      </c>
      <c r="F2151" s="5" t="inlineStr">
        <is>
          <t>CoefficientPercent</t>
        </is>
      </c>
      <c r="G2151" s="5" t="inlineStr">
        <is>
          <t>EffectiveHits</t>
        </is>
      </c>
      <c r="H2151" s="5" t="inlineStr">
        <is>
          <t>ProcProbability</t>
        </is>
      </c>
      <c r="I2151" s="5" t="inlineStr">
        <is>
          <t>MapleHeroMultiplier</t>
        </is>
      </c>
      <c r="J2151" s="5" t="inlineStr">
        <is>
          <t>BaseDamage</t>
        </is>
      </c>
      <c r="K2151" s="5" t="inlineStr">
        <is>
          <t>BaseHitDamage</t>
        </is>
      </c>
      <c r="L2151" s="5" t="inlineStr">
        <is>
          <t>NonCritAvg</t>
        </is>
      </c>
      <c r="M2151" s="5" t="inlineStr">
        <is>
          <t>CritAvg</t>
        </is>
      </c>
      <c r="N2151" s="5" t="inlineStr">
        <is>
          <t>ExpectedDamage(perHit)</t>
        </is>
      </c>
      <c r="O2151" s="5" t="inlineStr">
        <is>
          <t>DPS</t>
        </is>
      </c>
      <c r="P2151" s="5" t="inlineStr">
        <is>
          <t>% of Total</t>
        </is>
      </c>
      <c r="R2151" t="inlineStr">
        <is>
          <t>helpers</t>
        </is>
      </c>
    </row>
    <row r="2152">
      <c r="A2152">
        <f>Skills!A2</f>
        <v/>
      </c>
      <c r="B2152">
        <f>Skills!B2</f>
        <v/>
      </c>
      <c r="C2152">
        <f>Inputs!$B$3&gt;=100</f>
        <v/>
      </c>
      <c r="D2152" t="inlineStr"/>
      <c r="E2152" t="inlineStr"/>
      <c r="F2152">
        <f>T2154+Skills!N2</f>
        <v/>
      </c>
      <c r="G2152">
        <f>Calc!G2</f>
        <v/>
      </c>
      <c r="H2152">
        <f>Calc!H2</f>
        <v/>
      </c>
      <c r="I2152">
        <f>IF(Skills!T2&lt;&gt;"",1+(Skills!T2/10)*(Z2153/1000)/100,1)</f>
        <v/>
      </c>
      <c r="J2152">
        <f>((Inputs!$B$6*(1+Inputs!$B$7/100))+(((Inputs!$B$12*(1+Inputs!$B$13/100))-(Inputs!$B$12*(1+Inputs!$B$13/100)))+0.25*(Inputs!$B$14-Inputs!$B$14))*(1+Inputs!$B$7/100))*(F2152/100)</f>
        <v/>
      </c>
      <c r="K2152">
        <f>J2152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2="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2168-Calc!F18),(Inputs!$B$23+(IF(ArtifactsInput!$M$15,CHOOSE(ArtifactsInput!$N$15+1,25,30,35,40,45,50)/100*(Inputs!$B$11-Inputs!$B$11),0))))/100+(Inputs!$B$23+(IF(ArtifactsInput!$M$15,CHOOSE(ArtifactsInput!$N$15+1,25,30,35,40,45,50)/100*(Inputs!$B$11-Inputs!$B$11),0)))/100)/2</f>
        <v/>
      </c>
      <c r="M2152">
        <f>L2152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IF(B2187=0,0,O2152/B2187)</f>
        <v/>
      </c>
      <c r="Q2152">
        <f>IFERROR(1/IF(Inputs!$B$38="pvp",15,MAX(0.1,Skills!D2-IF(Skills!E2=TRUE,Inputs!$B$32,0))),0)</f>
        <v/>
      </c>
      <c r="R2152" t="n">
        <v>0</v>
      </c>
      <c r="S2152">
        <f>IF(C2152,(Skills!F2*N2152*B2183)*IF(Inputs!$B$38="pvp",1,1+(Inputs!$B$20+Skills!O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52">
        <f>MAX(0,(Inputs!$B$3-100)*3)+Inputs!$B$28+Inputs!$B$29</f>
        <v/>
      </c>
      <c r="U2152">
        <f>IF(C2152,(Skills!F2*N2152*B2183)*IF(Inputs!$B$38="pvp",1,(1+(Inputs!$B$21+Skills!P2+B2178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52">
        <f>MAX(0,(Inputs!$B$3-100)*3)+Inputs!$B$28+Inputs!$B$29</f>
        <v/>
      </c>
    </row>
    <row r="2153">
      <c r="A2153">
        <f>Skills!A3</f>
        <v/>
      </c>
      <c r="B2153">
        <f>Skills!B3</f>
        <v/>
      </c>
      <c r="C2153">
        <f>Inputs!$B$3&gt;=15</f>
        <v/>
      </c>
      <c r="D2153">
        <f>IF(Skills!C3=1,60+Inputs!$B$25+Inputs!$B$29,IF(Skills!C3=2,90+Inputs!$B$26+Inputs!$B$29,IF(Skills!C3=3,120+Inputs!$B$27+Inputs!$B$29,MAX(0,(Inputs!$B$3-100)*3)+Inputs!$B$28+Inputs!$B$29)))</f>
        <v/>
      </c>
      <c r="E2153">
        <f>INDEX(FactorTable!$B$2:$Y$301, MATCH(ROUND(MIN(300,MAX(1,D2153)),0), FactorTable!$A$2:$A$301,0), Skills!L3+1)</f>
        <v/>
      </c>
      <c r="F2153">
        <f>IF(Skills!M3=TRUE,(Skills!K3/10)*(E2153/1000),Skills!K3/10)+Skills!N3</f>
        <v/>
      </c>
      <c r="G2153">
        <f>Calc!G3</f>
        <v/>
      </c>
      <c r="H2153">
        <f>Calc!H3</f>
        <v/>
      </c>
      <c r="I2153">
        <f>IF(Skills!T3&lt;&gt;"",1+(Skills!T3/10)*(Z2153/1000)/100,1)</f>
        <v/>
      </c>
      <c r="J2153" t="inlineStr"/>
      <c r="K2153" t="inlineStr"/>
      <c r="L2153" t="inlineStr"/>
      <c r="M2153" t="inlineStr"/>
      <c r="N2153" t="inlineStr"/>
      <c r="O2153">
        <f>(1-Summary!$B$11)*S2153+Summary!$B$11*U2153</f>
        <v/>
      </c>
      <c r="P2153">
        <f>IF(B2187=0,0,O2153/B2187)</f>
        <v/>
      </c>
      <c r="Q2153">
        <f>IFERROR(1/IF(Inputs!$B$38="pvp",15,MAX(0.1,Skills!D3-IF(Skills!E3=TRUE,Inputs!$B$32,0))),0)</f>
        <v/>
      </c>
      <c r="R2153">
        <f>IF(AND(Inputs!$B$38&lt;&gt;"pvp",Inputs!$B$43&gt;0),IF(Inputs!$B$43&lt;=0,0,(INT(Inputs!$B$43/IF(Inputs!$B$38="pvp",15,MAX(0.1,Skills!D3-IF(Skills!E3=TRUE,Inputs!$B$32,0))))+1)),0)</f>
        <v/>
      </c>
      <c r="S2153" t="n">
        <v>0</v>
      </c>
      <c r="T2153">
        <f>INDEX(FactorTable!$B$2:$Y$301, MATCH(ROUND(MIN(300,MAX(1,T2152)),0), FactorTable!$A$2:$A$301,0), 22)</f>
        <v/>
      </c>
      <c r="U2153" t="n">
        <v>0</v>
      </c>
      <c r="Z2153">
        <f>INDEX(FactorTable!$B$2:$Y$301, MATCH(ROUND(MIN(300,MAX(1,Z2152)),0), FactorTable!$A$2:$A$301,0), 24)</f>
        <v/>
      </c>
    </row>
    <row r="2154">
      <c r="A2154">
        <f>Skills!A4</f>
        <v/>
      </c>
      <c r="B2154">
        <f>Skills!B4</f>
        <v/>
      </c>
      <c r="C2154">
        <f>Inputs!$B$3&gt;=40</f>
        <v/>
      </c>
      <c r="D2154">
        <f>IF(Skills!C4=1,60+Inputs!$B$25+Inputs!$B$29,IF(Skills!C4=2,90+Inputs!$B$26+Inputs!$B$29,IF(Skills!C4=3,120+Inputs!$B$27+Inputs!$B$29,MAX(0,(Inputs!$B$3-100)*3)+Inputs!$B$28+Inputs!$B$29)))</f>
        <v/>
      </c>
      <c r="E2154">
        <f>INDEX(FactorTable!$B$2:$Y$301, MATCH(ROUND(MIN(300,MAX(1,D2154)),0), FactorTable!$A$2:$A$301,0), Skills!L4+1)</f>
        <v/>
      </c>
      <c r="F2154">
        <f>IF(Skills!M4=TRUE,(Skills!K4/10)*(E2154/1000),Skills!K4/10)+Skills!N4</f>
        <v/>
      </c>
      <c r="G2154">
        <f>Calc!G4</f>
        <v/>
      </c>
      <c r="H2154">
        <f>Calc!H4</f>
        <v/>
      </c>
      <c r="I2154">
        <f>IF(Skills!T4&lt;&gt;"",1+(Skills!T4/10)*(Z2153/1000)/100,1)</f>
        <v/>
      </c>
      <c r="J2154" t="inlineStr"/>
      <c r="K2154" t="inlineStr"/>
      <c r="L2154" t="inlineStr"/>
      <c r="M2154" t="inlineStr"/>
      <c r="N2154" t="inlineStr"/>
      <c r="O2154">
        <f>(1-Summary!$B$11)*S2154+Summary!$B$11*U2154</f>
        <v/>
      </c>
      <c r="P2154">
        <f>IF(B2187=0,0,O2154/B2187)</f>
        <v/>
      </c>
      <c r="Q2154">
        <f>IFERROR(1/IF(Inputs!$B$38="pvp",15,MAX(0.1,Skills!D4-IF(Skills!E4=TRUE,Inputs!$B$32,0))),0)</f>
        <v/>
      </c>
      <c r="R2154">
        <f>IF(AND(Inputs!$B$38&lt;&gt;"pvp",Inputs!$B$43&gt;0),IF(Inputs!$B$43&lt;=0,0,(INT(Inputs!$B$43/IF(Inputs!$B$38="pvp",15,MAX(0.1,Skills!D4-IF(Skills!E4=TRUE,Inputs!$B$32,0))))+1)),0)</f>
        <v/>
      </c>
      <c r="S2154" t="n">
        <v>0</v>
      </c>
      <c r="T2154">
        <f>290*T2153/1000</f>
        <v/>
      </c>
      <c r="U2154" t="n">
        <v>0</v>
      </c>
    </row>
    <row r="2155">
      <c r="A2155">
        <f>Skills!A5</f>
        <v/>
      </c>
      <c r="B2155">
        <f>Skills!B5</f>
        <v/>
      </c>
      <c r="C2155">
        <f>Inputs!$B$3&gt;=38</f>
        <v/>
      </c>
      <c r="D2155">
        <f>IF(Skills!C5=1,60+Inputs!$B$25+Inputs!$B$29,IF(Skills!C5=2,90+Inputs!$B$26+Inputs!$B$29,IF(Skills!C5=3,120+Inputs!$B$27+Inputs!$B$29,MAX(0,(Inputs!$B$3-100)*3)+Inputs!$B$28+Inputs!$B$29)))</f>
        <v/>
      </c>
      <c r="E2155">
        <f>INDEX(FactorTable!$B$2:$Y$301, MATCH(ROUND(MIN(300,MAX(1,D2155)),0), FactorTable!$A$2:$A$301,0), Skills!L5+1)</f>
        <v/>
      </c>
      <c r="F2155">
        <f>IF(Skills!M5=TRUE,(Skills!K5/10)*(E2155/1000),Skills!K5/10)+Skills!N5</f>
        <v/>
      </c>
      <c r="G2155">
        <f>Calc!G5</f>
        <v/>
      </c>
      <c r="H2155">
        <f>Calc!H5</f>
        <v/>
      </c>
      <c r="I2155">
        <f>IF(Skills!T5&lt;&gt;"",1+(Skills!T5/10)*(Z2153/1000)/100,1)</f>
        <v/>
      </c>
      <c r="J2155">
        <f>((Inputs!$B$6*(1+Inputs!$B$7/100))+(((Inputs!$B$12*(1+Inputs!$B$13/100))-(Inputs!$B$12*(1+Inputs!$B$13/100)))+0.25*(Inputs!$B$14-Inputs!$B$14))*(1+Inputs!$B$7/100))*(F2155/100)</f>
        <v/>
      </c>
      <c r="K2155">
        <f>J2155*(1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5="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F2168-Calc!F18),(Inputs!$B$23+(IF(ArtifactsInput!$M$15,CHOOSE(ArtifactsInput!$N$15+1,25,30,35,40,45,50)/100*(Inputs!$B$11-Inputs!$B$11),0))))/100+(Inputs!$B$23+(IF(ArtifactsInput!$M$15,CHOOSE(ArtifactsInput!$N$15+1,25,30,35,40,45,50)/100*(Inputs!$B$11-Inputs!$B$11),0)))/100)/2</f>
        <v/>
      </c>
      <c r="M2155">
        <f>L2155*(1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(1-Summary!$B$11)*S2155+Summary!$B$11*U2155</f>
        <v/>
      </c>
      <c r="P2155">
        <f>IF(B2187=0,0,O2155/B2187)</f>
        <v/>
      </c>
      <c r="Q2155">
        <f>IFERROR(1/IF(Inputs!$B$38="pvp",15,MAX(0.1,Skills!D5-IF(Skills!E5=TRUE,Inputs!$B$32,0))),0)</f>
        <v/>
      </c>
      <c r="R2155">
        <f>IF(AND(Inputs!$B$38&lt;&gt;"pvp",Inputs!$B$43&gt;0),IF(MAX(0,Inputs!$B$43-B2184)&lt;=0,0,(INT(MAX(0,Inputs!$B$43-B2184)/IF(Inputs!$B$38="pvp",15,MAX(0.1,Skills!D5-IF(Skills!E5=TRUE,Inputs!$B$32,0))))+1)),0)</f>
        <v/>
      </c>
      <c r="S2155">
        <f>IF(C2155,(H2155*N2155*IF(AND(Inputs!$B$38&lt;&gt;"pvp",Inputs!$B$43&gt;0),((Skills!F5*((R2155-1)*IF(Skills!G5&gt;0,Skills!H5/Skills!G5,1)+IF(Skills!G5&gt;0,MIN(Skills!H5,MAX(0,MAX(0,Inputs!$B$43-B2184)-((R2155-1)*IF(Inputs!$B$38="pvp",15,MAX(0.1,Skills!D5-IF(Skills!E5=TRUE,Inputs!$B$32,0))))))/Skills!G5,1)))/Inputs!$B$43),G2155*Q2155))*IF(Inputs!$B$38="pvp",1,1+(Inputs!$B$20+Skills!O5+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2155*(1-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IF(C2155,(H2155*N2155*IF(AND(Inputs!$B$38&lt;&gt;"pvp",Inputs!$B$43&gt;0),((Skills!F5*((R2155-1)*IF(Skills!G5&gt;0,Skills!H5/Skills!G5,1)+IF(Skills!G5&gt;0,MIN(Skills!H5,MAX(0,MAX(0,Inputs!$B$43-B2184)-((R2155-1)*IF(Inputs!$B$38="pvp",15,MAX(0.1,Skills!D5-IF(Skills!E5=TRUE,Inputs!$B$32,0))))))/Skills!G5,1)))/Inputs!$B$43),G2155*Q2155))*IF(Inputs!$B$38="pvp",1,(1+(Inputs!$B$21+Skills!P5+B2178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Skills!A6</f>
        <v/>
      </c>
      <c r="B2156">
        <f>Skills!B6</f>
        <v/>
      </c>
      <c r="C2156">
        <f>Inputs!$B$3&gt;=63</f>
        <v/>
      </c>
      <c r="D2156">
        <f>IF(Skills!C6=1,60+Inputs!$B$25+Inputs!$B$29,IF(Skills!C6=2,90+Inputs!$B$26+Inputs!$B$29,IF(Skills!C6=3,120+Inputs!$B$27+Inputs!$B$29,MAX(0,(Inputs!$B$3-100)*3)+Inputs!$B$28+Inputs!$B$29)))</f>
        <v/>
      </c>
      <c r="E2156">
        <f>INDEX(FactorTable!$B$2:$Y$301, MATCH(ROUND(MIN(300,MAX(1,D2156)),0), FactorTable!$A$2:$A$301,0), Skills!L6+1)</f>
        <v/>
      </c>
      <c r="F2156">
        <f>IF(Skills!M6=TRUE,(Skills!K6/10)*(E2156/1000),Skills!K6/10)+Skills!N6</f>
        <v/>
      </c>
      <c r="G2156">
        <f>Calc!G6</f>
        <v/>
      </c>
      <c r="H2156">
        <f>Calc!H6</f>
        <v/>
      </c>
      <c r="I2156">
        <f>IF(Skills!T6&lt;&gt;"",1+(Skills!T6/10)*(Z2153/1000)/100,1)</f>
        <v/>
      </c>
      <c r="J2156">
        <f>((Inputs!$B$6*(1+Inputs!$B$7/100))+(((Inputs!$B$12*(1+Inputs!$B$13/100))-(Inputs!$B$12*(1+Inputs!$B$13/100)))+0.25*(Inputs!$B$14-Inputs!$B$14))*(1+Inputs!$B$7/100))*(F2156/100)</f>
        <v/>
      </c>
      <c r="K2156">
        <f>J2156*(1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6="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F2168-Calc!F18),(Inputs!$B$23+(IF(ArtifactsInput!$M$15,CHOOSE(ArtifactsInput!$N$15+1,25,30,35,40,45,50)/100*(Inputs!$B$11-Inputs!$B$11),0))))/100+(Inputs!$B$23+(IF(ArtifactsInput!$M$15,CHOOSE(ArtifactsInput!$N$15+1,25,30,35,40,45,50)/100*(Inputs!$B$11-Inputs!$B$11),0)))/100)/2</f>
        <v/>
      </c>
      <c r="M2156">
        <f>L2156*(1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(1-Summary!$B$11)*S2156+Summary!$B$11*U2156</f>
        <v/>
      </c>
      <c r="P2156">
        <f>IF(B2187=0,0,O2156/B2187)</f>
        <v/>
      </c>
      <c r="Q2156">
        <f>IFERROR(1/IF(Inputs!$B$38="pvp",15,MAX(0.1,Skills!D6-IF(Skills!E6=TRUE,Inputs!$B$32,0))),0)</f>
        <v/>
      </c>
      <c r="R2156">
        <f>IF(AND(Inputs!$B$38&lt;&gt;"pvp",Inputs!$B$43&gt;0),IF(MAX(0,Inputs!$B$43-B2184)&lt;=0,0,(INT(MAX(0,Inputs!$B$43-B2184)/IF(Inputs!$B$38="pvp",15,MAX(0.1,Skills!D6-IF(Skills!E6=TRUE,Inputs!$B$32,0))))+1)),0)</f>
        <v/>
      </c>
      <c r="S2156">
        <f>IF(C2156,(H2156*N2156*IF(AND(Inputs!$B$38&lt;&gt;"pvp",Inputs!$B$43&gt;0),((Skills!F6*((R2156-1)*IF(Skills!G6&gt;0,Skills!H6/Skills!G6,1)+IF(Skills!G6&gt;0,MIN(Skills!H6,MAX(0,MAX(0,Inputs!$B$43-B2184)-((R2156-1)*IF(Inputs!$B$38="pvp",15,MAX(0.1,Skills!D6-IF(Skills!E6=TRUE,Inputs!$B$32,0))))))/Skills!G6,1)))/Inputs!$B$43),G2156*Q2156))*IF(Inputs!$B$38="pvp",1,1+(Inputs!$B$20+Skills!O6+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2156*(1-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6">
        <f>IF(C2156,(H2156*N2156*IF(AND(Inputs!$B$38&lt;&gt;"pvp",Inputs!$B$43&gt;0),((Skills!F6*((R2156-1)*IF(Skills!G6&gt;0,Skills!H6/Skills!G6,1)+IF(Skills!G6&gt;0,MIN(Skills!H6,MAX(0,MAX(0,Inputs!$B$43-B2184)-((R2156-1)*IF(Inputs!$B$38="pvp",15,MAX(0.1,Skills!D6-IF(Skills!E6=TRUE,Inputs!$B$32,0))))))/Skills!G6,1)))/Inputs!$B$43),G2156*Q2156))*IF(Inputs!$B$38="pvp",1,(1+(Inputs!$B$21+Skills!P6+B2178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Skills!A7</f>
        <v/>
      </c>
      <c r="B2157">
        <f>Skills!B7</f>
        <v/>
      </c>
      <c r="C2157">
        <f>Inputs!$B$3&gt;=69</f>
        <v/>
      </c>
      <c r="D2157">
        <f>IF(Skills!C7=1,60+Inputs!$B$25+Inputs!$B$29,IF(Skills!C7=2,90+Inputs!$B$26+Inputs!$B$29,IF(Skills!C7=3,120+Inputs!$B$27+Inputs!$B$29,MAX(0,(Inputs!$B$3-100)*3)+Inputs!$B$28+Inputs!$B$29)))</f>
        <v/>
      </c>
      <c r="E2157">
        <f>INDEX(FactorTable!$B$2:$Y$301, MATCH(ROUND(MIN(300,MAX(1,D2157)),0), FactorTable!$A$2:$A$301,0), Skills!L7+1)</f>
        <v/>
      </c>
      <c r="F2157">
        <f>IF(Skills!M7=TRUE,(Skills!K7/10)*(E2157/1000),Skills!K7/10)+Skills!N7</f>
        <v/>
      </c>
      <c r="G2157">
        <f>Calc!G7</f>
        <v/>
      </c>
      <c r="H2157">
        <f>Calc!H7</f>
        <v/>
      </c>
      <c r="I2157">
        <f>IF(Skills!T7&lt;&gt;"",1+(Skills!T7/10)*(Z2153/1000)/100,1)</f>
        <v/>
      </c>
      <c r="J2157">
        <f>((Inputs!$B$6*(1+Inputs!$B$7/100))+(((Inputs!$B$12*(1+Inputs!$B$13/100))-(Inputs!$B$12*(1+Inputs!$B$13/100)))+0.25*(Inputs!$B$14-Inputs!$B$14))*(1+Inputs!$B$7/100))*(F2157/100)</f>
        <v/>
      </c>
      <c r="K2157">
        <f>J2157*(1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7="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F2168-Calc!F18),(Inputs!$B$23+(IF(ArtifactsInput!$M$15,CHOOSE(ArtifactsInput!$N$15+1,25,30,35,40,45,50)/100*(Inputs!$B$11-Inputs!$B$11),0))))/100+(Inputs!$B$23+(IF(ArtifactsInput!$M$15,CHOOSE(ArtifactsInput!$N$15+1,25,30,35,40,45,50)/100*(Inputs!$B$11-Inputs!$B$11),0)))/100)/2</f>
        <v/>
      </c>
      <c r="M2157">
        <f>L2157*(1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(1-Summary!$B$11)*S2157+Summary!$B$11*U2157</f>
        <v/>
      </c>
      <c r="P2157">
        <f>IF(B2187=0,0,O2157/B2187)</f>
        <v/>
      </c>
      <c r="Q2157">
        <f>IFERROR(1/IF(Inputs!$B$38="pvp",15,MAX(0.1,Skills!D7-IF(Skills!E7=TRUE,Inputs!$B$32,0))),0)</f>
        <v/>
      </c>
      <c r="R2157">
        <f>IF(AND(Inputs!$B$38&lt;&gt;"pvp",Inputs!$B$43&gt;0),IF(MAX(0,Inputs!$B$43-B2184)&lt;=0,0,(INT(MAX(0,Inputs!$B$43-B2184)/IF(Inputs!$B$38="pvp",15,MAX(0.1,Skills!D7-IF(Skills!E7=TRUE,Inputs!$B$32,0))))+1)),0)</f>
        <v/>
      </c>
      <c r="S2157">
        <f>IF(C2157,(H2157*N2157*IF(AND(Inputs!$B$38&lt;&gt;"pvp",Inputs!$B$43&gt;0),((Skills!F7*((R2157-1)*IF(Skills!G7&gt;0,Skills!H7/Skills!G7,1)+IF(Skills!G7&gt;0,MIN(Skills!H7,MAX(0,MAX(0,Inputs!$B$43-B2184)-((R2157-1)*IF(Inputs!$B$38="pvp",15,MAX(0.1,Skills!D7-IF(Skills!E7=TRUE,Inputs!$B$32,0))))))/Skills!G7,1)))/Inputs!$B$43),G2157*Q2157))*IF(Inputs!$B$38="pvp",1,1+(Inputs!$B$20+Skills!O7+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2157*(1-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7">
        <f>IF(C2157,(H2157*N2157*IF(AND(Inputs!$B$38&lt;&gt;"pvp",Inputs!$B$43&gt;0),((Skills!F7*((R2157-1)*IF(Skills!G7&gt;0,Skills!H7/Skills!G7,1)+IF(Skills!G7&gt;0,MIN(Skills!H7,MAX(0,MAX(0,Inputs!$B$43-B2184)-((R2157-1)*IF(Inputs!$B$38="pvp",15,MAX(0.1,Skills!D7-IF(Skills!E7=TRUE,Inputs!$B$32,0))))))/Skills!G7,1)))/Inputs!$B$43),G2157*Q2157))*IF(Inputs!$B$38="pvp",1,(1+(Inputs!$B$21+Skills!P7+B2178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Skills!A8</f>
        <v/>
      </c>
      <c r="B2158">
        <f>Skills!B8</f>
        <v/>
      </c>
      <c r="C2158">
        <f>Inputs!$B$3&gt;=103</f>
        <v/>
      </c>
      <c r="D2158">
        <f>IF(Skills!C8=1,60+Inputs!$B$25+Inputs!$B$29,IF(Skills!C8=2,90+Inputs!$B$26+Inputs!$B$29,IF(Skills!C8=3,120+Inputs!$B$27+Inputs!$B$29,MAX(0,(Inputs!$B$3-100)*3)+Inputs!$B$28+Inputs!$B$29)))</f>
        <v/>
      </c>
      <c r="E2158">
        <f>INDEX(FactorTable!$B$2:$Y$301, MATCH(ROUND(MIN(300,MAX(1,D2158)),0), FactorTable!$A$2:$A$301,0), Skills!L8+1)</f>
        <v/>
      </c>
      <c r="F2158">
        <f>IF(Skills!M8=TRUE,(Skills!K8/10)*(E2158/1000),Skills!K8/10)+Skills!N8</f>
        <v/>
      </c>
      <c r="G2158">
        <f>Calc!G8</f>
        <v/>
      </c>
      <c r="H2158">
        <f>Calc!H8</f>
        <v/>
      </c>
      <c r="I2158">
        <f>IF(Skills!T8&lt;&gt;"",1+(Skills!T8/10)*(Z2153/1000)/100,1)</f>
        <v/>
      </c>
      <c r="J2158">
        <f>((Inputs!$B$6*(1+Inputs!$B$7/100))+(((Inputs!$B$12*(1+Inputs!$B$13/100))-(Inputs!$B$12*(1+Inputs!$B$13/100)))+0.25*(Inputs!$B$14-Inputs!$B$14))*(1+Inputs!$B$7/100))*(F2158/100)</f>
        <v/>
      </c>
      <c r="K2158">
        <f>J2158*(1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8="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F2168-Calc!F18),(Inputs!$B$23+(IF(ArtifactsInput!$M$15,CHOOSE(ArtifactsInput!$N$15+1,25,30,35,40,45,50)/100*(Inputs!$B$11-Inputs!$B$11),0))))/100+(Inputs!$B$23+(IF(ArtifactsInput!$M$15,CHOOSE(ArtifactsInput!$N$15+1,25,30,35,40,45,50)/100*(Inputs!$B$11-Inputs!$B$11),0)))/100)/2</f>
        <v/>
      </c>
      <c r="M2158">
        <f>L2158*(1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(1-Summary!$B$11)*S2158+Summary!$B$11*U2158</f>
        <v/>
      </c>
      <c r="P2158">
        <f>IF(B2187=0,0,O2158/B2187)</f>
        <v/>
      </c>
      <c r="Q2158">
        <f>IFERROR(1/IF(Inputs!$B$38="pvp",15,MAX(0.1,Skills!D8-IF(Skills!E8=TRUE,Inputs!$B$32,0))),0)</f>
        <v/>
      </c>
      <c r="R2158">
        <f>IF(AND(Inputs!$B$38&lt;&gt;"pvp",Inputs!$B$43&gt;0),IF(MAX(0,Inputs!$B$43-B2184)&lt;=0,0,(INT(MAX(0,Inputs!$B$43-B2184)/IF(Inputs!$B$38="pvp",15,MAX(0.1,Skills!D8-IF(Skills!E8=TRUE,Inputs!$B$32,0))))+1)),0)</f>
        <v/>
      </c>
      <c r="S2158">
        <f>IF(C2158,(H2158*N2158*IF(AND(Inputs!$B$38&lt;&gt;"pvp",Inputs!$B$43&gt;0),((Skills!F8*((R2158-1)*IF(Skills!G8&gt;0,Skills!H8/Skills!G8,1)+IF(Skills!G8&gt;0,MIN(Skills!H8,MAX(0,MAX(0,Inputs!$B$43-B2184)-((R2158-1)*IF(Inputs!$B$38="pvp",15,MAX(0.1,Skills!D8-IF(Skills!E8=TRUE,Inputs!$B$32,0))))))/Skills!G8,1)))/Inputs!$B$43),G2158*Q2158))*IF(Inputs!$B$38="pvp",1,1+(Inputs!$B$20+Skills!O8+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2158*(1-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8">
        <f>IF(C2158,(H2158*N2158*IF(AND(Inputs!$B$38&lt;&gt;"pvp",Inputs!$B$43&gt;0),((Skills!F8*((R2158-1)*IF(Skills!G8&gt;0,Skills!H8/Skills!G8,1)+IF(Skills!G8&gt;0,MIN(Skills!H8,MAX(0,MAX(0,Inputs!$B$43-B2184)-((R2158-1)*IF(Inputs!$B$38="pvp",15,MAX(0.1,Skills!D8-IF(Skills!E8=TRUE,Inputs!$B$32,0))))))/Skills!G8,1)))/Inputs!$B$43),G2158*Q2158))*IF(Inputs!$B$38="pvp",1,(1+(Inputs!$B$21+Skills!P8+B2178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Skills!A9</f>
        <v/>
      </c>
      <c r="B2159">
        <f>Skills!B9</f>
        <v/>
      </c>
      <c r="C2159">
        <f>Inputs!$B$3&gt;=105</f>
        <v/>
      </c>
      <c r="D2159">
        <f>IF(Skills!C9=1,60+Inputs!$B$25+Inputs!$B$29,IF(Skills!C9=2,90+Inputs!$B$26+Inputs!$B$29,IF(Skills!C9=3,120+Inputs!$B$27+Inputs!$B$29,MAX(0,(Inputs!$B$3-100)*3)+Inputs!$B$28+Inputs!$B$29)))</f>
        <v/>
      </c>
      <c r="E2159">
        <f>INDEX(FactorTable!$B$2:$Y$301, MATCH(ROUND(MIN(300,MAX(1,D2159)),0), FactorTable!$A$2:$A$301,0), Skills!L9+1)</f>
        <v/>
      </c>
      <c r="F2159">
        <f>IF(Skills!M9=TRUE,(Skills!K9/10)*(E2159/1000),Skills!K9/10)+Skills!N9</f>
        <v/>
      </c>
      <c r="G2159">
        <f>Calc!G9</f>
        <v/>
      </c>
      <c r="H2159">
        <f>Calc!H9</f>
        <v/>
      </c>
      <c r="I2159">
        <f>IF(Skills!T9&lt;&gt;"",1+(Skills!T9/10)*(Z2153/1000)/100,1)</f>
        <v/>
      </c>
      <c r="J2159">
        <f>((Inputs!$B$6*(1+Inputs!$B$7/100))+(((Inputs!$B$12*(1+Inputs!$B$13/100))-(Inputs!$B$12*(1+Inputs!$B$13/100)))+0.25*(Inputs!$B$14-Inputs!$B$14))*(1+Inputs!$B$7/100))*(F2159/100)</f>
        <v/>
      </c>
      <c r="K2159">
        <f>J2159*(1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9="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F2168-Calc!F18),(Inputs!$B$23+(IF(ArtifactsInput!$M$15,CHOOSE(ArtifactsInput!$N$15+1,25,30,35,40,45,50)/100*(Inputs!$B$11-Inputs!$B$11),0))))/100+(Inputs!$B$23+(IF(ArtifactsInput!$M$15,CHOOSE(ArtifactsInput!$N$15+1,25,30,35,40,45,50)/100*(Inputs!$B$11-Inputs!$B$11),0)))/100)/2</f>
        <v/>
      </c>
      <c r="M2159">
        <f>L2159*(1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(1-Summary!$B$11)*S2159+Summary!$B$11*U2159</f>
        <v/>
      </c>
      <c r="P2159">
        <f>IF(B2187=0,0,O2159/B2187)</f>
        <v/>
      </c>
      <c r="Q2159">
        <f>IFERROR(1/IF(Inputs!$B$38="pvp",15,MAX(0.1,Skills!D9-IF(Skills!E9=TRUE,Inputs!$B$32,0))),0)</f>
        <v/>
      </c>
      <c r="R2159">
        <f>IF(AND(Inputs!$B$38&lt;&gt;"pvp",Inputs!$B$43&gt;0),IF(MAX(0,Inputs!$B$43-B2184)&lt;=0,0,(INT(MAX(0,Inputs!$B$43-B2184)/IF(Inputs!$B$38="pvp",15,MAX(0.1,Skills!D9-IF(Skills!E9=TRUE,Inputs!$B$32,0))))+1)),0)</f>
        <v/>
      </c>
      <c r="S2159">
        <f>IF(C2159,(H2159*N2159*IF(AND(Inputs!$B$38&lt;&gt;"pvp",Inputs!$B$43&gt;0),((Skills!F9*((R2159-1)*IF(Skills!G9&gt;0,Skills!H9/Skills!G9,1)+IF(Skills!G9&gt;0,MIN(Skills!H9,MAX(0,MAX(0,Inputs!$B$43-B2184)-((R2159-1)*IF(Inputs!$B$38="pvp",15,MAX(0.1,Skills!D9-IF(Skills!E9=TRUE,Inputs!$B$32,0))))))/Skills!G9,1)))/Inputs!$B$43),G2159*Q2159))*IF(Inputs!$B$38="pvp",1,1+(Inputs!$B$20+Skills!O9+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2159*(1-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9">
        <f>IF(C2159,(H2159*N2159*IF(AND(Inputs!$B$38&lt;&gt;"pvp",Inputs!$B$43&gt;0),((Skills!F9*((R2159-1)*IF(Skills!G9&gt;0,Skills!H9/Skills!G9,1)+IF(Skills!G9&gt;0,MIN(Skills!H9,MAX(0,MAX(0,Inputs!$B$43-B2184)-((R2159-1)*IF(Inputs!$B$38="pvp",15,MAX(0.1,Skills!D9-IF(Skills!E9=TRUE,Inputs!$B$32,0))))))/Skills!G9,1)))/Inputs!$B$43),G2159*Q2159))*IF(Inputs!$B$38="pvp",1,(1+(Inputs!$B$21+Skills!P9+B2178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Skills!A10</f>
        <v/>
      </c>
      <c r="B2160">
        <f>Skills!B10</f>
        <v/>
      </c>
      <c r="C2160">
        <f>Inputs!$B$3&gt;=113</f>
        <v/>
      </c>
      <c r="D2160">
        <f>IF(Skills!C10=1,60+Inputs!$B$25+Inputs!$B$29,IF(Skills!C10=2,90+Inputs!$B$26+Inputs!$B$29,IF(Skills!C10=3,120+Inputs!$B$27+Inputs!$B$29,MAX(0,(Inputs!$B$3-100)*3)+Inputs!$B$28+Inputs!$B$29)))</f>
        <v/>
      </c>
      <c r="E2160">
        <f>INDEX(FactorTable!$B$2:$Y$301, MATCH(ROUND(MIN(300,MAX(1,D2160)),0), FactorTable!$A$2:$A$301,0), Skills!L10+1)</f>
        <v/>
      </c>
      <c r="F2160">
        <f>IF(Skills!M10=TRUE,(Skills!K10/10)*(E2160/1000),Skills!K10/10)+Skills!N10</f>
        <v/>
      </c>
      <c r="G2160">
        <f>Calc!G10</f>
        <v/>
      </c>
      <c r="H2160">
        <f>Calc!H10</f>
        <v/>
      </c>
      <c r="I2160">
        <f>IF(Skills!T10&lt;&gt;"",1+(Skills!T10/10)*(Z2153/1000)/100,1)</f>
        <v/>
      </c>
      <c r="J2160">
        <f>((Inputs!$B$6*(1+Inputs!$B$7/100))+(((Inputs!$B$12*(1+Inputs!$B$13/100))-(Inputs!$B$12*(1+Inputs!$B$13/100)))+0.25*(Inputs!$B$14-Inputs!$B$14))*(1+Inputs!$B$7/100))*(F2160/100)</f>
        <v/>
      </c>
      <c r="K2160">
        <f>J2160*(1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10="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F2168-Calc!F18),(Inputs!$B$23+(IF(ArtifactsInput!$M$15,CHOOSE(ArtifactsInput!$N$15+1,25,30,35,40,45,50)/100*(Inputs!$B$11-Inputs!$B$11),0))))/100+(Inputs!$B$23+(IF(ArtifactsInput!$M$15,CHOOSE(ArtifactsInput!$N$15+1,25,30,35,40,45,50)/100*(Inputs!$B$11-Inputs!$B$11),0)))/100)/2</f>
        <v/>
      </c>
      <c r="M2160">
        <f>L2160*(1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(1-Summary!$B$11)*S2160+Summary!$B$11*U2160</f>
        <v/>
      </c>
      <c r="P2160">
        <f>IF(B2187=0,0,O2160/B2187)</f>
        <v/>
      </c>
      <c r="Q2160">
        <f>IFERROR(1/IF(Inputs!$B$38="pvp",15,MAX(0.1,Skills!D10-IF(Skills!E9=TRUE,Inputs!$B$32,0))),0)</f>
        <v/>
      </c>
      <c r="R2160">
        <f>IF(AND(Inputs!$B$38&lt;&gt;"pvp",Inputs!$B$43&gt;0),IF(MAX(0,Inputs!$B$43-B2184)&lt;=0,0,(INT(MAX(0,Inputs!$B$43-B2184)/IF(Inputs!$B$38="pvp",15,MAX(0.1,Skills!D10-IF(Skills!E9=TRUE,Inputs!$B$32,0))))+1)),0)</f>
        <v/>
      </c>
      <c r="S2160">
        <f>IF(C2160,(H2160*N2160*IF(AND(Inputs!$B$38&lt;&gt;"pvp",Inputs!$B$43&gt;0),((Skills!F10*((R2160-1)*IF(Skills!G10&gt;0,Skills!H10/Skills!G10,1)+IF(Skills!G10&gt;0,MIN(Skills!H10,MAX(0,MAX(0,Inputs!$B$43-B2184)-((R2160-1)*IF(Inputs!$B$38="pvp",15,MAX(0.1,Skills!D10-IF(Skills!E9=TRUE,Inputs!$B$32,0))))))/Skills!G10,1)))/Inputs!$B$43),G2160*Q2160))*IF(Inputs!$B$38="pvp",1,1+(Inputs!$B$20+Skills!O10+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2160*(1-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0">
        <f>IF(C2160,(H2160*N2160*IF(AND(Inputs!$B$38&lt;&gt;"pvp",Inputs!$B$43&gt;0),((Skills!F10*((R2160-1)*IF(Skills!G10&gt;0,Skills!H10/Skills!G10,1)+IF(Skills!G10&gt;0,MIN(Skills!H10,MAX(0,MAX(0,Inputs!$B$43-B2184)-((R2160-1)*IF(Inputs!$B$38="pvp",15,MAX(0.1,Skills!D10-IF(Skills!E9=TRUE,Inputs!$B$32,0))))))/Skills!G10,1)))/Inputs!$B$43),G2160*Q2160))*IF(Inputs!$B$38="pvp",1,(1+(Inputs!$B$21+Skills!P10+B2178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Skills!A11</f>
        <v/>
      </c>
      <c r="B2161">
        <f>Skills!B11</f>
        <v/>
      </c>
      <c r="C2161">
        <f>Inputs!$B$3&gt;=107</f>
        <v/>
      </c>
      <c r="D2161">
        <f>IF(Skills!C11=1,60+Inputs!$B$25+Inputs!$B$29,IF(Skills!C11=2,90+Inputs!$B$26+Inputs!$B$29,IF(Skills!C11=3,120+Inputs!$B$27+Inputs!$B$29,MAX(0,(Inputs!$B$3-100)*3)+Inputs!$B$28+Inputs!$B$29)))</f>
        <v/>
      </c>
      <c r="E2161">
        <f>INDEX(FactorTable!$B$2:$Y$301, MATCH(ROUND(MIN(300,MAX(1,D2161)),0), FactorTable!$A$2:$A$301,0), Skills!L11+1)</f>
        <v/>
      </c>
      <c r="F2161">
        <f>IF(Skills!M11=TRUE,(Skills!K11/10)*(E2161/1000),Skills!K11/10)+Skills!N11</f>
        <v/>
      </c>
      <c r="G2161">
        <f>Calc!G11</f>
        <v/>
      </c>
      <c r="H2161">
        <f>Calc!H11</f>
        <v/>
      </c>
      <c r="I2161">
        <f>IF(Skills!T11&lt;&gt;"",1+(Skills!T11/10)*(Z2153/1000)/100,1)</f>
        <v/>
      </c>
      <c r="J2161">
        <f>((Inputs!$B$6*(1+Inputs!$B$7/100))+(((Inputs!$B$12*(1+Inputs!$B$13/100))-(Inputs!$B$12*(1+Inputs!$B$13/100)))+0.25*(Inputs!$B$14-Inputs!$B$14))*(1+Inputs!$B$7/100))*(F2161/100)</f>
        <v/>
      </c>
      <c r="K2161">
        <f>J2161*(1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11="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F2168-Calc!F18),(Inputs!$B$23+(IF(ArtifactsInput!$M$15,CHOOSE(ArtifactsInput!$N$15+1,25,30,35,40,45,50)/100*(Inputs!$B$11-Inputs!$B$11),0))))/100+(Inputs!$B$23+(IF(ArtifactsInput!$M$15,CHOOSE(ArtifactsInput!$N$15+1,25,30,35,40,45,50)/100*(Inputs!$B$11-Inputs!$B$11),0)))/100)/2</f>
        <v/>
      </c>
      <c r="M2161">
        <f>L2161*(1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(1-Summary!$B$11)*S2161+Summary!$B$11*U2161</f>
        <v/>
      </c>
      <c r="P2161">
        <f>IF(B2187=0,0,O2161/B2187)</f>
        <v/>
      </c>
      <c r="Q2161">
        <f>IFERROR(1/IF(Inputs!$B$38="pvp",15,MAX(0.1,Skills!D11-IF(Skills!E11=TRUE,Inputs!$B$32,0))),0)</f>
        <v/>
      </c>
      <c r="R2161">
        <f>IF(AND(Inputs!$B$38&lt;&gt;"pvp",Inputs!$B$43&gt;0),IF(MAX(0,Inputs!$B$43-B2184)&lt;=0,0,(INT(MAX(0,Inputs!$B$43-B2184)/IF(Inputs!$B$38="pvp",15,MAX(0.1,Skills!D11-IF(Skills!E11=TRUE,Inputs!$B$32,0))))+1)),0)</f>
        <v/>
      </c>
      <c r="S2161">
        <f>IF(C2161,H2161*N2161*IF(AND(Inputs!$B$38&lt;&gt;"pvp",Inputs!$B$43&gt;0),((Skills!F11*((R2161-1)*IF(Skills!G11&gt;0,Skills!H11/Skills!G11,1)+IF(Skills!G11&gt;0,MIN(Skills!H11,MAX(0,MAX(0,Inputs!$B$43-B2184)-((R2161-1)*IF(Inputs!$B$38="pvp",15,MAX(0.1,Skills!D11-IF(Skills!E11=TRUE,Inputs!$B$32,0))))))/Skills!G11,1)))/Inputs!$B$43),G2161*Q2161)*0.5*IF(Inputs!$B$38="pvp",1,1+(Inputs!$B$20+Skills!O11+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1">
        <f>IF(C2161,H2161*N2161*IF(AND(Inputs!$B$38&lt;&gt;"pvp",Inputs!$B$43&gt;0),((Skills!F11*((R2161-1)*IF(Skills!G11&gt;0,Skills!H11/Skills!G11,1)+IF(Skills!G11&gt;0,MIN(Skills!H11,MAX(0,MAX(0,Inputs!$B$43-B2184)-((R2161-1)*IF(Inputs!$B$38="pvp",15,MAX(0.1,Skills!D11-IF(Skills!E11=TRUE,Inputs!$B$32,0))))))/Skills!G11,1)))/Inputs!$B$43),G2161*Q2161)*1*IF(Inputs!$B$38="pvp",1,(1+(Inputs!$B$21+Skills!P11+B2178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Skills!A12</f>
        <v/>
      </c>
      <c r="B2162">
        <f>Skills!B12</f>
        <v/>
      </c>
      <c r="C2162">
        <f>Inputs!$B$3&gt;=115</f>
        <v/>
      </c>
      <c r="D2162">
        <f>IF(Skills!C12=1,60+Inputs!$B$25+Inputs!$B$29,IF(Skills!C12=2,90+Inputs!$B$26+Inputs!$B$29,IF(Skills!C12=3,120+Inputs!$B$27+Inputs!$B$29,MAX(0,(Inputs!$B$3-100)*3)+Inputs!$B$28+Inputs!$B$29)))</f>
        <v/>
      </c>
      <c r="E2162">
        <f>INDEX(FactorTable!$B$2:$Y$301, MATCH(ROUND(MIN(300,MAX(1,D2162)),0), FactorTable!$A$2:$A$301,0), Skills!L12+1)</f>
        <v/>
      </c>
      <c r="F2162">
        <f>IF(Skills!M12=TRUE,(Skills!K12/10)*(E2162/1000),Skills!K12/10)+Skills!N12</f>
        <v/>
      </c>
      <c r="G2162">
        <f>Calc!G12</f>
        <v/>
      </c>
      <c r="H2162">
        <f>Calc!H12</f>
        <v/>
      </c>
      <c r="I2162">
        <f>IF(Skills!T12&lt;&gt;"",1+(Skills!T12/10)*(Z2153/1000)/100,1)</f>
        <v/>
      </c>
      <c r="J2162">
        <f>((Inputs!$B$6*(1+Inputs!$B$7/100))+(((Inputs!$B$12*(1+Inputs!$B$13/100))-(Inputs!$B$12*(1+Inputs!$B$13/100)))+0.25*(Inputs!$B$14-Inputs!$B$14))*(1+Inputs!$B$7/100))*(F2162/100)</f>
        <v/>
      </c>
      <c r="K2162">
        <f>J2162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12="CHAIN_LIGHTNING",Inputs!$B$17+((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2168-Calc!F18),(Inputs!$B$23+(IF(ArtifactsInput!$M$15,CHOOSE(ArtifactsInput!$N$15+1,25,30,35,40,45,50)/100*(Inputs!$B$11-Inputs!$B$11),0))))/100+(Inputs!$B$23+(IF(ArtifactsInput!$M$15,CHOOSE(ArtifactsInput!$N$15+1,25,30,35,40,45,50)/100*(Inputs!$B$11-Inputs!$B$11),0)))/100)/2</f>
        <v/>
      </c>
      <c r="M2162">
        <f>L2162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IF(B2187=0,0,O2162/B2187)</f>
        <v/>
      </c>
      <c r="Q2162">
        <f>IFERROR(1/IF(Inputs!$B$38="pvp",15,MAX(0.1,Skills!D12-IF(Skills!E12=TRUE,Inputs!$B$32,0))),0)</f>
        <v/>
      </c>
      <c r="R2162">
        <f>IF(AND(Inputs!$B$38&lt;&gt;"pvp",Inputs!$B$43&gt;0),IF(MAX(0,Inputs!$B$43-B2184)&lt;=0,0,(INT(MAX(0,Inputs!$B$43-B2184)/IF(Inputs!$B$38="pvp",15,MAX(0.1,Skills!D12-IF(Skills!E12=TRUE,Inputs!$B$32,0))))+1)),0)</f>
        <v/>
      </c>
      <c r="S2162">
        <f>IF(C2162,(H2162*N2162*IF(AND(Inputs!$B$38&lt;&gt;"pvp",Inputs!$B$43&gt;0),((Skills!F12*((R2162-1)*IF(Skills!G12&gt;0,Skills!H12/Skills!G12,1)+IF(Skills!G12&gt;0,MIN(Skills!H12,MAX(0,MAX(0,Inputs!$B$43-B2184)-((R2162-1)*IF(Inputs!$B$38="pvp",15,MAX(0.1,Skills!D12-IF(Skills!E12=TRUE,Inputs!$B$32,0))))))/Skills!G12,1)))/Inputs!$B$43),G2162*Q2162))*IF(Inputs!$B$38="pvp",1,1+(Inputs!$B$20+Skills!O12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2170-Calc!F20)+(F2169-Calc!F19))+(ArtifactsInput!$M$24-ArtifactsInput!$M$24)*CHOOSE(ArtifactsInput!$N$24+1,10,12,14,16,18,20)+(IF(AND(Inputs!$B$38&lt;&gt;"pvp",Inputs!$B$43=0),1,IF(IF(Inputs!$B$38="pvp",15,Inputs!$B$43)-(B2184)&lt;=0,1,MAX(0,IF(Inputs!$B$38="pvp",15,Inputs!$B$43)-MAX(5,B2184))/(IF(Inputs!$B$38="pvp",15,Inputs!$B$43)-(B2184)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F12*((R2162-1)*IF(Skills!G12&gt;0,Skills!H12/Skills!G12,1)+IF(Skills!G12&gt;0,MIN(Skills!H12,MAX(0,MAX(0,Inputs!$B$43-B2184)-((R2162-1)*IF(Inputs!$B$38="pvp",15,MAX(0.1,Skills!D12-IF(Skills!E12=TRUE,Inputs!$B$32,0))))))/Skills!G12,1)))/Inputs!$B$43),G2162*Q2162))*IF(Inputs!$B$38="pvp",1,(1+(Inputs!$B$21+Skills!P12+B2178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Skills!A13</f>
        <v/>
      </c>
      <c r="B2163">
        <f>Skills!B13</f>
        <v/>
      </c>
      <c r="C2163">
        <f>Inputs!$B$3&gt;=49</f>
        <v/>
      </c>
      <c r="D2163">
        <f>IF(Skills!C13=1,60+Inputs!$B$25+Inputs!$B$29,IF(Skills!C13=2,90+Inputs!$B$26+Inputs!$B$29,IF(Skills!C13=3,120+Inputs!$B$27+Inputs!$B$29,MAX(0,(Inputs!$B$3-100)*3)+Inputs!$B$28+Inputs!$B$29)))</f>
        <v/>
      </c>
      <c r="E2163">
        <f>INDEX(FactorTable!$B$2:$Y$301, MATCH(ROUND(MIN(300,MAX(1,D2163)),0), FactorTable!$A$2:$A$301,0), Skills!L13+1)</f>
        <v/>
      </c>
      <c r="F2163">
        <f>IF(Skills!M13=TRUE,(Skills!K13/10)*(E2163/1000),Skills!K13/10)+Skills!N13</f>
        <v/>
      </c>
      <c r="G2163">
        <f>Calc!G13</f>
        <v/>
      </c>
      <c r="H2163">
        <f>Calc!H13</f>
        <v/>
      </c>
      <c r="I2163">
        <f>IF(Skills!T13&lt;&gt;"",1+(Skills!T13/10)*(Z2153/1000)/100,1)</f>
        <v/>
      </c>
      <c r="J2163" t="inlineStr"/>
      <c r="K2163" t="inlineStr"/>
      <c r="L2163" t="inlineStr"/>
      <c r="M2163" t="inlineStr"/>
      <c r="N2163" t="inlineStr"/>
      <c r="O2163">
        <f>(1-Summary!$B$11)*S2163+Summary!$B$11*U2163</f>
        <v/>
      </c>
      <c r="P2163">
        <f>IF(B2187=0,0,O2163/B2187)</f>
        <v/>
      </c>
      <c r="Q2163">
        <f>IFERROR(1/IF(Inputs!$B$38="pvp",15,MAX(0.1,Skills!D13-IF(Skills!E13=TRUE,Inputs!$B$32,0))),0)</f>
        <v/>
      </c>
      <c r="R2163" t="n">
        <v>0</v>
      </c>
      <c r="S2163" t="n">
        <v>0</v>
      </c>
      <c r="U2163" t="n">
        <v>0</v>
      </c>
    </row>
    <row r="2164">
      <c r="A2164">
        <f>Skills!A14</f>
        <v/>
      </c>
      <c r="B2164">
        <f>Skills!B14</f>
        <v/>
      </c>
      <c r="C2164">
        <f>Inputs!$B$3&gt;=72</f>
        <v/>
      </c>
      <c r="D2164">
        <f>IF(Skills!C14=1,60+Inputs!$B$25+Inputs!$B$29,IF(Skills!C14=2,90+Inputs!$B$26+Inputs!$B$29,IF(Skills!C14=3,120+Inputs!$B$27+Inputs!$B$29,MAX(0,(Inputs!$B$3-100)*3)+Inputs!$B$28+Inputs!$B$29)))</f>
        <v/>
      </c>
      <c r="E2164">
        <f>INDEX(FactorTable!$B$2:$Y$301, MATCH(ROUND(MIN(300,MAX(1,D2164)),0), FactorTable!$A$2:$A$301,0), Skills!L14+1)</f>
        <v/>
      </c>
      <c r="F2164">
        <f>IF(Skills!M14=TRUE,(Skills!K14/10)*(E2164/1000),Skills!K14/10)+Skills!N14</f>
        <v/>
      </c>
      <c r="G2164">
        <f>Calc!G14</f>
        <v/>
      </c>
      <c r="H2164">
        <f>Calc!H14</f>
        <v/>
      </c>
      <c r="I2164">
        <f>IF(Skills!T14&lt;&gt;"",1+(Skills!T14/10)*(Z2153/1000)/100,1)</f>
        <v/>
      </c>
      <c r="J2164" t="inlineStr"/>
      <c r="K2164" t="inlineStr"/>
      <c r="L2164" t="inlineStr"/>
      <c r="M2164" t="inlineStr"/>
      <c r="N2164" t="inlineStr"/>
      <c r="O2164">
        <f>(1-Summary!$B$11)*S2164+Summary!$B$11*U2164</f>
        <v/>
      </c>
      <c r="P2164">
        <f>IF(B2187=0,0,O2164/B2187)</f>
        <v/>
      </c>
      <c r="Q2164">
        <f>IFERROR(1/IF(Inputs!$B$38="pvp",15,MAX(0.1,Skills!D14-IF(Skills!E14=TRUE,Inputs!$B$32,0))),0)</f>
        <v/>
      </c>
      <c r="R2164" t="n">
        <v>0</v>
      </c>
      <c r="S2164" t="n">
        <v>0</v>
      </c>
      <c r="U2164" t="n">
        <v>0</v>
      </c>
    </row>
    <row r="2165">
      <c r="A2165">
        <f>Skills!A15</f>
        <v/>
      </c>
      <c r="B2165">
        <f>Skills!B15</f>
        <v/>
      </c>
      <c r="C2165">
        <f>Inputs!$B$3&gt;=75</f>
        <v/>
      </c>
      <c r="D2165">
        <f>IF(Skills!C15=1,60+Inputs!$B$25+Inputs!$B$29,IF(Skills!C15=2,90+Inputs!$B$26+Inputs!$B$29,IF(Skills!C15=3,120+Inputs!$B$27+Inputs!$B$29,MAX(0,(Inputs!$B$3-100)*3)+Inputs!$B$28+Inputs!$B$29)))</f>
        <v/>
      </c>
      <c r="E2165">
        <f>INDEX(FactorTable!$B$2:$Y$301, MATCH(ROUND(MIN(300,MAX(1,D2165)),0), FactorTable!$A$2:$A$301,0), Skills!L15+1)</f>
        <v/>
      </c>
      <c r="F2165">
        <f>IF(Skills!M15=TRUE,(Skills!K15/10)*(E2165/1000),Skills!K15/10)+Skills!N15</f>
        <v/>
      </c>
      <c r="G2165">
        <f>Calc!G15</f>
        <v/>
      </c>
      <c r="H2165">
        <f>Calc!H15</f>
        <v/>
      </c>
      <c r="I2165">
        <f>IF(Skills!T15&lt;&gt;"",1+(Skills!T15/10)*(Z2153/1000)/100,1)</f>
        <v/>
      </c>
      <c r="J2165" t="inlineStr"/>
      <c r="K2165" t="inlineStr"/>
      <c r="L2165" t="inlineStr"/>
      <c r="M2165" t="inlineStr"/>
      <c r="N2165" t="inlineStr"/>
      <c r="O2165">
        <f>(1-Summary!$B$11)*S2165+Summary!$B$11*U2165</f>
        <v/>
      </c>
      <c r="P2165">
        <f>IF(B2187=0,0,O2165/B2187)</f>
        <v/>
      </c>
      <c r="Q2165">
        <f>IFERROR(1/IF(Inputs!$B$38="pvp",15,MAX(0.1,Skills!D15-IF(Skills!E15=TRUE,Inputs!$B$32,0))),0)</f>
        <v/>
      </c>
      <c r="R2165" t="n">
        <v>0</v>
      </c>
      <c r="S2165" t="n">
        <v>0</v>
      </c>
      <c r="U2165" t="n">
        <v>0</v>
      </c>
    </row>
    <row r="2166">
      <c r="A2166">
        <f>Skills!A16</f>
        <v/>
      </c>
      <c r="B2166">
        <f>Skills!B16</f>
        <v/>
      </c>
      <c r="C2166">
        <f>Inputs!$B$3&gt;=110</f>
        <v/>
      </c>
      <c r="D2166">
        <f>IF(Skills!C16=1,60+Inputs!$B$25+Inputs!$B$29,IF(Skills!C16=2,90+Inputs!$B$26+Inputs!$B$29,IF(Skills!C16=3,120+Inputs!$B$27+Inputs!$B$29,MAX(0,(Inputs!$B$3-100)*3)+Inputs!$B$28+Inputs!$B$29)))</f>
        <v/>
      </c>
      <c r="E2166">
        <f>INDEX(FactorTable!$B$2:$Y$301, MATCH(ROUND(MIN(300,MAX(1,D2166)),0), FactorTable!$A$2:$A$301,0), Skills!L16+1)</f>
        <v/>
      </c>
      <c r="F2166">
        <f>(Skills!K16/10)*(E2166/1000)*64/45+Skills!N16</f>
        <v/>
      </c>
      <c r="G2166">
        <f>Calc!G16</f>
        <v/>
      </c>
      <c r="H2166">
        <f>Calc!H16</f>
        <v/>
      </c>
      <c r="I2166">
        <f>IF(Skills!T16&lt;&gt;"",1+(Skills!T16/10)*(Z2153/1000)/100,1)</f>
        <v/>
      </c>
      <c r="J2166" t="inlineStr"/>
      <c r="K2166" t="inlineStr"/>
      <c r="L2166" t="inlineStr"/>
      <c r="M2166" t="inlineStr"/>
      <c r="N2166" t="inlineStr"/>
      <c r="O2166">
        <f>(1-Summary!$B$11)*S2166+Summary!$B$11*U2166</f>
        <v/>
      </c>
      <c r="P2166">
        <f>IF(B2187=0,0,O2166/B2187)</f>
        <v/>
      </c>
      <c r="Q2166">
        <f>IFERROR(1/IF(Inputs!$B$38="pvp",15,MAX(0.1,Skills!D16-IF(Skills!E16=TRUE,Inputs!$B$32,0))),0)</f>
        <v/>
      </c>
      <c r="R2166">
        <f>IF(AND(Inputs!$B$38&lt;&gt;"pvp",Inputs!$B$43&gt;0),IF(Inputs!$B$43&lt;=0,0,(INT(Inputs!$B$43/IF(Inputs!$B$38="pvp",15,MAX(0.1,Skills!D16-IF(Skills!E16=TRUE,Inputs!$B$32,0))))+1)),0)</f>
        <v/>
      </c>
      <c r="S2166" t="n">
        <v>0</v>
      </c>
      <c r="U2166" t="n">
        <v>0</v>
      </c>
    </row>
    <row r="2167">
      <c r="A2167">
        <f>Skills!A17</f>
        <v/>
      </c>
      <c r="B2167">
        <f>Skills!B17</f>
        <v/>
      </c>
      <c r="C2167">
        <f>Inputs!$B$3&gt;=33</f>
        <v/>
      </c>
      <c r="D2167">
        <f>IF(Skills!C17=1,60+Inputs!$B$25+Inputs!$B$29,IF(Skills!C17=2,90+Inputs!$B$26+Inputs!$B$29,IF(Skills!C17=3,120+Inputs!$B$27+Inputs!$B$29,MAX(0,(Inputs!$B$3-100)*3)+Inputs!$B$28+Inputs!$B$29)))</f>
        <v/>
      </c>
      <c r="E2167">
        <f>INDEX(FactorTable!$B$2:$Y$301, MATCH(ROUND(MIN(300,MAX(1,D2167)),0), FactorTable!$A$2:$A$301,0), Skills!L17+1)</f>
        <v/>
      </c>
      <c r="F2167">
        <f>IF(Skills!M17=TRUE,(Skills!K17/10)*(E2167/1000),Skills!K17/10)+Skills!N17</f>
        <v/>
      </c>
      <c r="G2167">
        <f>Calc!G17</f>
        <v/>
      </c>
      <c r="H2167">
        <f>Calc!H17</f>
        <v/>
      </c>
      <c r="I2167">
        <f>IF(Skills!T17&lt;&gt;"",1+(Skills!T17/10)*(Z2153/1000)/100,1)</f>
        <v/>
      </c>
      <c r="J2167" t="inlineStr"/>
      <c r="K2167" t="inlineStr"/>
      <c r="L2167" t="inlineStr"/>
      <c r="M2167" t="inlineStr"/>
      <c r="N2167" t="inlineStr"/>
      <c r="O2167">
        <f>(1-Summary!$B$11)*S2167+Summary!$B$11*U2167</f>
        <v/>
      </c>
      <c r="P2167">
        <f>IF(B2187=0,0,O2167/B2187)</f>
        <v/>
      </c>
      <c r="Q2167">
        <f>IFERROR(1/IF(Inputs!$B$38="pvp",15,MAX(0.1,Skills!D17-IF(Skills!E17=TRUE,Inputs!$B$32,0))),0)</f>
        <v/>
      </c>
      <c r="R2167" t="n">
        <v>0</v>
      </c>
      <c r="S2167" t="n">
        <v>0</v>
      </c>
      <c r="U2167" t="n">
        <v>0</v>
      </c>
    </row>
    <row r="2168">
      <c r="A2168">
        <f>Skills!A18</f>
        <v/>
      </c>
      <c r="B2168">
        <f>Skills!B18</f>
        <v/>
      </c>
      <c r="C2168">
        <f>Inputs!$B$3&gt;=43</f>
        <v/>
      </c>
      <c r="D2168">
        <f>IF(Skills!C18=1,60+Inputs!$B$25+Inputs!$B$29,IF(Skills!C18=2,90+Inputs!$B$26+Inputs!$B$29,IF(Skills!C18=3,120+Inputs!$B$27+Inputs!$B$29,MAX(0,(Inputs!$B$3-100)*3)+Inputs!$B$28+Inputs!$B$29)))</f>
        <v/>
      </c>
      <c r="E2168">
        <f>INDEX(FactorTable!$B$2:$Y$301, MATCH(ROUND(MIN(300,MAX(1,D2168)),0), FactorTable!$A$2:$A$301,0), Skills!L18+1)</f>
        <v/>
      </c>
      <c r="F2168">
        <f>IF(Skills!M18=TRUE,(Skills!K18/10)*(E2168/1000),Skills!K18/10)+Skills!N18</f>
        <v/>
      </c>
      <c r="G2168">
        <f>Calc!G18</f>
        <v/>
      </c>
      <c r="H2168">
        <f>Calc!H18</f>
        <v/>
      </c>
      <c r="I2168">
        <f>IF(Skills!T18&lt;&gt;"",1+(Skills!T18/10)*(Z2153/1000)/100,1)</f>
        <v/>
      </c>
      <c r="J2168" t="inlineStr"/>
      <c r="K2168" t="inlineStr"/>
      <c r="L2168" t="inlineStr"/>
      <c r="M2168" t="inlineStr"/>
      <c r="N2168" t="inlineStr"/>
      <c r="O2168">
        <f>(1-Summary!$B$11)*S2168+Summary!$B$11*U2168</f>
        <v/>
      </c>
      <c r="P2168">
        <f>IF(B2187=0,0,O2168/B2187)</f>
        <v/>
      </c>
      <c r="Q2168">
        <f>IFERROR(1/IF(Inputs!$B$38="pvp",15,MAX(0.1,Skills!D18-IF(Skills!E18=TRUE,Inputs!$B$32,0))),0)</f>
        <v/>
      </c>
      <c r="R2168" t="n">
        <v>0</v>
      </c>
      <c r="S2168" t="n">
        <v>0</v>
      </c>
      <c r="U2168" t="n">
        <v>0</v>
      </c>
    </row>
    <row r="2169">
      <c r="A2169">
        <f>Skills!A19</f>
        <v/>
      </c>
      <c r="B2169">
        <f>Skills!B19</f>
        <v/>
      </c>
      <c r="C2169">
        <f>Inputs!$B$3&gt;=50</f>
        <v/>
      </c>
      <c r="D2169">
        <f>IF(Skills!C19=1,60+Inputs!$B$25+Inputs!$B$29,IF(Skills!C19=2,90+Inputs!$B$26+Inputs!$B$29,IF(Skills!C19=3,120+Inputs!$B$27+Inputs!$B$29,MAX(0,(Inputs!$B$3-100)*3)+Inputs!$B$28+Inputs!$B$29)))</f>
        <v/>
      </c>
      <c r="E2169">
        <f>INDEX(FactorTable!$B$2:$Y$301, MATCH(ROUND(MIN(300,MAX(1,D2169)),0), FactorTable!$A$2:$A$301,0), Skills!L19+1)</f>
        <v/>
      </c>
      <c r="F2169">
        <f>IF(Skills!M19=TRUE,(Skills!K19/10)*(E2169/1000),Skills!K19/10)+Skills!N19</f>
        <v/>
      </c>
      <c r="G2169">
        <f>Calc!G19</f>
        <v/>
      </c>
      <c r="H2169">
        <f>Calc!H19</f>
        <v/>
      </c>
      <c r="I2169">
        <f>IF(Skills!T19&lt;&gt;"",1+(Skills!T19/10)*(Z2153/1000)/100,1)</f>
        <v/>
      </c>
      <c r="J2169" t="inlineStr"/>
      <c r="K2169" t="inlineStr"/>
      <c r="L2169" t="inlineStr"/>
      <c r="M2169" t="inlineStr"/>
      <c r="N2169" t="inlineStr"/>
      <c r="O2169">
        <f>(1-Summary!$B$11)*S2169+Summary!$B$11*U2169</f>
        <v/>
      </c>
      <c r="P2169">
        <f>IF(B2187=0,0,O2169/B2187)</f>
        <v/>
      </c>
      <c r="Q2169">
        <f>IFERROR(1/IF(Inputs!$B$38="pvp",15,MAX(0.1,Skills!D19-IF(Skills!E19=TRUE,Inputs!$B$32,0))),0)</f>
        <v/>
      </c>
      <c r="R2169" t="n">
        <v>0</v>
      </c>
      <c r="S2169" t="n">
        <v>0</v>
      </c>
      <c r="U2169" t="n">
        <v>0</v>
      </c>
    </row>
    <row r="2170">
      <c r="A2170">
        <f>Skills!A20</f>
        <v/>
      </c>
      <c r="B2170">
        <f>Skills!B20</f>
        <v/>
      </c>
      <c r="C2170">
        <f>Inputs!$B$3&gt;=74</f>
        <v/>
      </c>
      <c r="D2170">
        <f>IF(Skills!C20=1,60+Inputs!$B$25+Inputs!$B$29,IF(Skills!C20=2,90+Inputs!$B$26+Inputs!$B$29,IF(Skills!C20=3,120+Inputs!$B$27+Inputs!$B$29,MAX(0,(Inputs!$B$3-100)*3)+Inputs!$B$28+Inputs!$B$29)))</f>
        <v/>
      </c>
      <c r="E2170">
        <f>INDEX(FactorTable!$B$2:$Y$301, MATCH(ROUND(MIN(300,MAX(1,D2170)),0), FactorTable!$A$2:$A$301,0), Skills!L20+1)</f>
        <v/>
      </c>
      <c r="F2170">
        <f>IF(Skills!M20=TRUE,(Skills!K20/10)*(E2170/1000),Skills!K20/10)+Skills!N20</f>
        <v/>
      </c>
      <c r="G2170">
        <f>Calc!G20</f>
        <v/>
      </c>
      <c r="H2170">
        <f>Calc!H20</f>
        <v/>
      </c>
      <c r="I2170">
        <f>IF(Skills!T20&lt;&gt;"",1+(Skills!T20/10)*(Z2153/1000)/100,1)</f>
        <v/>
      </c>
      <c r="J2170" t="inlineStr"/>
      <c r="K2170" t="inlineStr"/>
      <c r="L2170" t="inlineStr"/>
      <c r="M2170" t="inlineStr"/>
      <c r="N2170" t="inlineStr"/>
      <c r="O2170">
        <f>(1-Summary!$B$11)*S2170+Summary!$B$11*U2170</f>
        <v/>
      </c>
      <c r="P2170">
        <f>IF(B2187=0,0,O2170/B2187)</f>
        <v/>
      </c>
      <c r="Q2170">
        <f>IFERROR(1/IF(Inputs!$B$38="pvp",15,MAX(0.1,Skills!D20-IF(Skills!E20=TRUE,Inputs!$B$32,0))),0)</f>
        <v/>
      </c>
      <c r="R2170" t="n">
        <v>0</v>
      </c>
      <c r="S2170" t="n">
        <v>0</v>
      </c>
      <c r="U2170" t="n">
        <v>0</v>
      </c>
    </row>
    <row r="2171">
      <c r="A2171">
        <f>Skills!A21</f>
        <v/>
      </c>
      <c r="B2171">
        <f>Skills!B21</f>
        <v/>
      </c>
      <c r="C2171">
        <f>Inputs!$B$3&gt;=74</f>
        <v/>
      </c>
      <c r="D2171">
        <f>IF(Skills!C21=1,60+Inputs!$B$25+Inputs!$B$29,IF(Skills!C21=2,90+Inputs!$B$26+Inputs!$B$29,IF(Skills!C21=3,120+Inputs!$B$27+Inputs!$B$29,MAX(0,(Inputs!$B$3-100)*3)+Inputs!$B$28+Inputs!$B$29)))</f>
        <v/>
      </c>
      <c r="E2171">
        <f>INDEX(FactorTable!$B$2:$Y$301, MATCH(ROUND(MIN(300,MAX(1,D2171)),0), FactorTable!$A$2:$A$301,0), Skills!L21+1)</f>
        <v/>
      </c>
      <c r="F2171">
        <f>IF(Skills!M21=TRUE,(Skills!K21/10)*(E2171/1000),Skills!K21/10)+Skills!N21</f>
        <v/>
      </c>
      <c r="G2171">
        <f>Calc!G21</f>
        <v/>
      </c>
      <c r="H2171">
        <f>Calc!H21</f>
        <v/>
      </c>
      <c r="I2171">
        <f>IF(Skills!T21&lt;&gt;"",1+(Skills!T21/10)*(Z2153/1000)/100,1)</f>
        <v/>
      </c>
      <c r="J2171" t="inlineStr"/>
      <c r="K2171" t="inlineStr"/>
      <c r="L2171" t="inlineStr"/>
      <c r="M2171" t="inlineStr"/>
      <c r="N2171" t="inlineStr"/>
      <c r="O2171">
        <f>(1-Summary!$B$11)*S2171+Summary!$B$11*U2171</f>
        <v/>
      </c>
      <c r="P2171">
        <f>IF(B2187=0,0,O2171/B2187)</f>
        <v/>
      </c>
      <c r="Q2171">
        <f>IFERROR(1/IF(Inputs!$B$38="pvp",15,MAX(0.1,Skills!D21-IF(Skills!E21=TRUE,Inputs!$B$32,0))),0)</f>
        <v/>
      </c>
      <c r="R2171" t="n">
        <v>0</v>
      </c>
      <c r="S2171" t="n">
        <v>0</v>
      </c>
      <c r="U2171" t="n">
        <v>0</v>
      </c>
    </row>
    <row r="2172">
      <c r="A2172">
        <f>Skills!A22</f>
        <v/>
      </c>
      <c r="B2172">
        <f>Skills!B22</f>
        <v/>
      </c>
      <c r="C2172">
        <f>Inputs!$B$3&gt;=117</f>
        <v/>
      </c>
      <c r="D2172">
        <f>IF(Skills!C22=1,60+Inputs!$B$25+Inputs!$B$29,IF(Skills!C22=2,90+Inputs!$B$26+Inputs!$B$29,IF(Skills!C22=3,120+Inputs!$B$27+Inputs!$B$29,MAX(0,(Inputs!$B$3-100)*3)+Inputs!$B$28+Inputs!$B$29)))</f>
        <v/>
      </c>
      <c r="E2172">
        <f>INDEX(FactorTable!$B$2:$Y$301, MATCH(ROUND(MIN(300,MAX(1,D2172)),0), FactorTable!$A$2:$A$301,0), Skills!L22+1)</f>
        <v/>
      </c>
      <c r="F2172">
        <f>IF(Skills!M22=TRUE,(Skills!K22/10)*(E2172/1000),Skills!K22/10)+Skills!N22</f>
        <v/>
      </c>
      <c r="G2172">
        <f>Calc!G22</f>
        <v/>
      </c>
      <c r="H2172">
        <f>Calc!H22</f>
        <v/>
      </c>
      <c r="I2172">
        <f>IF(Skills!T22&lt;&gt;"",1+(Skills!T22/10)*(Z2153/1000)/100,1)</f>
        <v/>
      </c>
      <c r="J2172" t="inlineStr"/>
      <c r="K2172" t="inlineStr"/>
      <c r="L2172" t="inlineStr"/>
      <c r="M2172" t="inlineStr"/>
      <c r="N2172" t="inlineStr"/>
      <c r="O2172">
        <f>(1-Summary!$B$11)*S2172+Summary!$B$11*U2172</f>
        <v/>
      </c>
      <c r="P2172">
        <f>IF(B2187=0,0,O2172/B2187)</f>
        <v/>
      </c>
      <c r="Q2172">
        <f>IFERROR(1/IF(Inputs!$B$38="pvp",15,MAX(0.1,Skills!D22-IF(Skills!E22=TRUE,Inputs!$B$32,0))),0)</f>
        <v/>
      </c>
      <c r="R2172" t="n">
        <v>0</v>
      </c>
      <c r="S2172" t="n">
        <v>0</v>
      </c>
      <c r="U2172" t="n">
        <v>0</v>
      </c>
    </row>
    <row r="2173">
      <c r="A2173">
        <f>Skills!A23</f>
        <v/>
      </c>
      <c r="B2173">
        <f>Skills!B23</f>
        <v/>
      </c>
      <c r="C2173">
        <f>Inputs!$B$3&gt;=120</f>
        <v/>
      </c>
      <c r="D2173">
        <f>IF(Skills!C23=1,60+Inputs!$B$25+Inputs!$B$29,IF(Skills!C23=2,90+Inputs!$B$26+Inputs!$B$29,IF(Skills!C23=3,120+Inputs!$B$27+Inputs!$B$29,MAX(0,(Inputs!$B$3-100)*3)+Inputs!$B$28+Inputs!$B$29)))</f>
        <v/>
      </c>
      <c r="E2173">
        <f>INDEX(FactorTable!$B$2:$Y$301, MATCH(ROUND(MIN(300,MAX(1,D2173)),0), FactorTable!$A$2:$A$301,0), Skills!L23+1)</f>
        <v/>
      </c>
      <c r="F2173">
        <f>IF(Skills!M23=TRUE,(Skills!K23/10)*(E2173/1000),Skills!K23/10)+Skills!N23</f>
        <v/>
      </c>
      <c r="G2173">
        <f>Calc!G23</f>
        <v/>
      </c>
      <c r="H2173">
        <f>Calc!H23</f>
        <v/>
      </c>
      <c r="I2173">
        <f>IF(Skills!T23&lt;&gt;"",1+(Skills!T23/10)*(Z2153/1000)/100,1)</f>
        <v/>
      </c>
      <c r="J2173" t="inlineStr"/>
      <c r="K2173" t="inlineStr"/>
      <c r="L2173" t="inlineStr"/>
      <c r="M2173" t="inlineStr"/>
      <c r="N2173" t="inlineStr"/>
      <c r="O2173">
        <f>(1-Summary!$B$11)*S2173+Summary!$B$11*U2173</f>
        <v/>
      </c>
      <c r="P2173">
        <f>IF(B2187=0,0,O2173/B2187)</f>
        <v/>
      </c>
      <c r="Q2173">
        <f>IFERROR(1/IF(Inputs!$B$38="pvp",15,MAX(0.1,Skills!D23-IF(Skills!E23=TRUE,Inputs!$B$32,0))),0)</f>
        <v/>
      </c>
      <c r="R2173" t="n">
        <v>0</v>
      </c>
      <c r="S2173" t="n">
        <v>0</v>
      </c>
      <c r="U2173" t="n">
        <v>0</v>
      </c>
    </row>
    <row r="2174">
      <c r="A2174">
        <f>Skills!A24</f>
        <v/>
      </c>
      <c r="B2174">
        <f>Skills!B24</f>
        <v/>
      </c>
      <c r="C2174">
        <f>TRUE</f>
        <v/>
      </c>
      <c r="D2174">
        <f>IF(Skills!C24=1,60+Inputs!$B$25+Inputs!$B$29,IF(Skills!C24=2,90+Inputs!$B$26+Inputs!$B$29,IF(Skills!C24=3,120+Inputs!$B$27+Inputs!$B$29,MAX(0,(Inputs!$B$3-100)*3)+Inputs!$B$28+Inputs!$B$29)))</f>
        <v/>
      </c>
      <c r="E2174">
        <f>INDEX(FactorTable!$B$2:$Y$301, MATCH(ROUND(MIN(300,MAX(1,D2174)),0), FactorTable!$A$2:$A$301,0), Skills!L24+1)</f>
        <v/>
      </c>
      <c r="F2174">
        <f>IF(Skills!M24=TRUE,(Skills!K24/10)*(E2174/1000),Skills!K24/10)+Skills!N24</f>
        <v/>
      </c>
      <c r="G2174">
        <f>Calc!G24</f>
        <v/>
      </c>
      <c r="H2174">
        <f>Calc!H24</f>
        <v/>
      </c>
      <c r="I2174">
        <f>IF(Skills!T24&lt;&gt;"",1+(Skills!T24/10)*(Z2153/1000)/100,1)</f>
        <v/>
      </c>
      <c r="J2174" t="inlineStr"/>
      <c r="K2174" t="inlineStr"/>
      <c r="L2174" t="inlineStr"/>
      <c r="M2174" t="inlineStr"/>
      <c r="N2174" t="inlineStr"/>
      <c r="O2174">
        <f>(1-Summary!$B$11)*S2174+Summary!$B$11*U2174</f>
        <v/>
      </c>
      <c r="P2174">
        <f>IF(B2187=0,0,O2174/B2187)</f>
        <v/>
      </c>
      <c r="Q2174">
        <f>IFERROR(1/IF(Inputs!$B$38="pvp",15,MAX(0.1,Skills!D24-IF(Skills!E24=TRUE,Inputs!$B$32,0))),0)</f>
        <v/>
      </c>
      <c r="R2174">
        <f>IF(AND(Inputs!$B$38&lt;&gt;"pvp",Inputs!$B$43&gt;0),IF(Inputs!$B$43&lt;=0,0,(INT(Inputs!$B$43/IF(Inputs!$B$38="pvp",15,MAX(0.1,Skills!D24-IF(Skills!E24=TRUE,Inputs!$B$32,0))))+1)),0)</f>
        <v/>
      </c>
      <c r="S2174" t="n">
        <v>0</v>
      </c>
      <c r="U2174" t="n">
        <v>0</v>
      </c>
    </row>
    <row r="2177">
      <c r="A2177" t="inlineStr">
        <is>
          <t>Average Buff Multiplier (Magic Guard + Meditation + Artifact Attack%, summed; then Infinity)</t>
        </is>
      </c>
      <c r="B2177">
        <f>(1+(IF(C2153=TRUE,F2153*IF(AND(Inputs!$B$38&lt;&gt;"pvp",Inputs!$B$43&gt;0),(((R2153-1)*(Skills!S3*(1+(Inputs!$B$34)/100))+MIN((Skills!S3*(1+(Inputs!$B$34)/100)),MAX(0,Inputs!$B$43-((R2153-1)*Skills!D3))))/Inputs!$B$43),IF(Inputs!$B$38="pvp",MIN((Skills!S3*(1+(Inputs!$B$34)/100)),15)/15,(Skills!S3*(1+(Inputs!$B$34)/100))/Skills!D3)),0)+IF(C2154=TRUE,F2154*IF(AND(Inputs!$B$38&lt;&gt;"pvp",Inputs!$B$43&gt;0),(((R2154-1)*(Skills!S4*(1+(Inputs!$B$34)/100))+MIN((Skills!S4*(1+(Inputs!$B$34)/100)),MAX(0,Inputs!$B$43-((R2154-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2166=TRUE,(1+F2166*IF(AND(Inputs!$B$38&lt;&gt;"pvp",Inputs!$B$43&gt;0),(((R2166-1)*(Skills!S16*(1+(Inputs!$B$34)/100))+MIN((Skills!S16*(1+(Inputs!$B$34)/100)),MAX(0,Inputs!$B$43-((R2166-1)*Skills!D16))))/Inputs!$B$43),IF(Inputs!$B$38="pvp",MIN((Skills!S16*(1+(Inputs!$B$34)/100)),15)/15,(Skills!S16*(1+(Inputs!$B$34)/100))/Skills!D16))/100),1)</f>
        <v/>
      </c>
    </row>
    <row r="2178">
      <c r="A2178" t="inlineStr">
        <is>
          <t>Monster Damage Taken Bonus % (Freezing Breath - Weaken + Elemental Reset + Artifact Enemy Damage Taken, summed)</t>
        </is>
      </c>
      <c r="B2178">
        <f>IF(Inputs!$B$3&gt;=118,15*IF(Inputs!$B$38="pvp",MIN((30*(1+(Inputs!$B$34)/100)),15)/15,(30*(1+(Inputs!$B$34)/100))/Skills!D8),0)+IF(C2164=TRUE,F2164,0)+(IF(AND(ArtifactsInput!$M$35,Inputs!$B$4&lt;&gt;"Chapter Hunt"),CHOOSE(ArtifactsInput!$N$35+1,15,18,21,24,27,30)*(1-EXP(-(0.2*B2181)*5)),0)+IF(AND(ArtifactsInput!$M$22,Inputs!$B$4&lt;&gt;"Chapter Hunt"),CHOOSE(ArtifactsInput!$N$22+1,10,12,14,16,18,20)*((0*(((0.15*B2181*5))^0/1)+1*(((0.15*B2181*5))^1/1)+2*(((0.15*B2181*5))^2/2)+3*(((0.15*B2181*5))^3/6)+4*(((0.15*B2181*5))^4/24)+5*(((0.15*B2181*5))^5/120))/((((0.15*B2181*5))^0/1)+(((0.15*B2181*5))^1/1)+(((0.15*B2181*5))^2/2)+(((0.15*B2181*5))^3/6)+(((0.15*B2181*5))^4/24)+(((0.15*B2181*5))^5/120))),0))</f>
        <v/>
      </c>
    </row>
    <row r="2179">
      <c r="A2179" t="inlineStr">
        <is>
          <t>Damage % Bonus (Frozen Break + Frost Clutch, flat)</t>
        </is>
      </c>
      <c r="B2179">
        <f>IF(Inputs!$B$3&gt;=66,15,0)+IF(Inputs!$B$3&gt;=98,10,0)+IF(Inputs!$B$3&gt;=125,20,0)</f>
        <v/>
      </c>
    </row>
    <row r="2180">
      <c r="A2180" t="inlineStr">
        <is>
          <t>Attack Speed Bonus % (MP Eater - MP Boost, always-on + Nimble Feet, duty-cycle averaged)</t>
        </is>
      </c>
      <c r="B2180">
        <f>IF(C2163=TRUE,F2163+(F2167-Calc!F17),0)+((C2174=TRUE)*F2174*IF(AND(Inputs!$B$38&lt;&gt;"pvp",Inputs!$B$43&gt;0),(((R2174-1)*(Skills!S24*(1+(Inputs!$B$34)/100))+MIN((Skills!S24*(1+(Inputs!$B$34)/100)),MAX(0,Inputs!$B$43-((R2174-1)*Skills!D24))))/Inputs!$B$43),IF(Inputs!$B$38="pvp",MIN((Skills!S24*(1+(Inputs!$B$34)/100)),15)/15,(Skills!S24*(1+(Inputs!$B$34)/100))/Skills!D24)))</f>
        <v/>
      </c>
    </row>
    <row r="2181">
      <c r="A2181" t="inlineStr">
        <is>
          <t>Actions Per Second</t>
        </is>
      </c>
      <c r="B2181">
        <f>1+MIN(150,150*(1-(1-(Inputs!$B$11+(ArtifactsInput!$M$15-ArtifactsInput!$M$15)*CHOOSE(ArtifactsInput!$N$15+1,8,9.6,11.2,12.8,14.4,16))/150)*(1-B2180/150)))/100</f>
        <v/>
      </c>
    </row>
    <row r="2182">
      <c r="A2182" t="inlineStr">
        <is>
          <t>Skill + Buff Cast Rate</t>
        </is>
      </c>
      <c r="B2182">
        <f>IF(AND(Inputs!$B$38&lt;&gt;"pvp",Inputs!$B$43&gt;0),SUMPRODUCT((Skills!E2:E24=TRUE)*(C2152:C2174=TRUE)*R2152:R2174)/Inputs!$B$43,SUMPRODUCT((Skills!E2:E24=TRUE)*(C2152:C2174=TRUE)*Q2152:Q2174))</f>
        <v/>
      </c>
    </row>
    <row r="2183">
      <c r="A2183" t="inlineStr">
        <is>
          <t>Chain Lightning Casts Per Second</t>
        </is>
      </c>
      <c r="B2183">
        <f>MAX(0,B2181-B2182)</f>
        <v/>
      </c>
    </row>
    <row r="2184">
      <c r="A2184" t="inlineStr">
        <is>
          <t>Buff-Casting Startup Delay (s, fixed-duration only)</t>
        </is>
      </c>
      <c r="B2184">
        <f>IF(AND(Inputs!$B$38&lt;&gt;"pvp",Inputs!$B$43&gt;0),SUMPRODUCT((Skills!S2:S24&gt;0)*(Skills!E2:E24=TRUE)*(C2152:C2174=TRUE))/B2181,0)</f>
        <v/>
      </c>
    </row>
    <row r="2185">
      <c r="A2185" t="inlineStr">
        <is>
          <t>Boss-Only Total DPS (this block's swept value)</t>
        </is>
      </c>
      <c r="B2185">
        <f>SUM(S2152:S2174)</f>
        <v/>
      </c>
    </row>
    <row r="2186">
      <c r="A2186" t="inlineStr">
        <is>
          <t>Normal-Only Total DPS (this block's swept value)</t>
        </is>
      </c>
      <c r="B2186">
        <f>SUM(U2152:U2174)</f>
        <v/>
      </c>
    </row>
    <row r="2187">
      <c r="A2187" s="6" t="inlineStr">
        <is>
          <t>TOTAL DPS</t>
        </is>
      </c>
      <c r="B2187" s="6">
        <f>SUM(O2152:O2174)</f>
        <v/>
      </c>
    </row>
    <row r="2190">
      <c r="A2190" s="6" t="inlineStr">
        <is>
          <t>Stat: Peach Tree Herb Pouch (Equip)</t>
        </is>
      </c>
    </row>
    <row r="2191">
      <c r="A2191" s="5" t="inlineStr">
        <is>
          <t>Key</t>
        </is>
      </c>
      <c r="B2191" s="5" t="inlineStr">
        <is>
          <t>Name</t>
        </is>
      </c>
      <c r="C2191" s="5" t="inlineStr">
        <is>
          <t>Unlocked</t>
        </is>
      </c>
      <c r="D2191" s="5" t="inlineStr">
        <is>
          <t>InputLevel</t>
        </is>
      </c>
      <c r="E2191" s="5" t="inlineStr">
        <is>
          <t>Factor</t>
        </is>
      </c>
      <c r="F2191" s="5" t="inlineStr">
        <is>
          <t>CoefficientPercent</t>
        </is>
      </c>
      <c r="G2191" s="5" t="inlineStr">
        <is>
          <t>EffectiveHits</t>
        </is>
      </c>
      <c r="H2191" s="5" t="inlineStr">
        <is>
          <t>ProcProbability</t>
        </is>
      </c>
      <c r="I2191" s="5" t="inlineStr">
        <is>
          <t>MapleHeroMultiplier</t>
        </is>
      </c>
      <c r="J2191" s="5" t="inlineStr">
        <is>
          <t>BaseDamage</t>
        </is>
      </c>
      <c r="K2191" s="5" t="inlineStr">
        <is>
          <t>BaseHitDamage</t>
        </is>
      </c>
      <c r="L2191" s="5" t="inlineStr">
        <is>
          <t>NonCritAvg</t>
        </is>
      </c>
      <c r="M2191" s="5" t="inlineStr">
        <is>
          <t>CritAvg</t>
        </is>
      </c>
      <c r="N2191" s="5" t="inlineStr">
        <is>
          <t>ExpectedDamage(perHit)</t>
        </is>
      </c>
      <c r="O2191" s="5" t="inlineStr">
        <is>
          <t>DPS</t>
        </is>
      </c>
      <c r="P2191" s="5" t="inlineStr">
        <is>
          <t>% of Total</t>
        </is>
      </c>
      <c r="R2191" t="inlineStr">
        <is>
          <t>helpers</t>
        </is>
      </c>
    </row>
    <row r="2192">
      <c r="A2192">
        <f>Skills!A2</f>
        <v/>
      </c>
      <c r="B2192">
        <f>Skills!B2</f>
        <v/>
      </c>
      <c r="C2192">
        <f>Inputs!$B$3&gt;=100</f>
        <v/>
      </c>
      <c r="D2192" t="inlineStr"/>
      <c r="E2192" t="inlineStr"/>
      <c r="F2192">
        <f>T2194+Skills!N2</f>
        <v/>
      </c>
      <c r="G2192">
        <f>Calc!G2</f>
        <v/>
      </c>
      <c r="H2192">
        <f>Calc!H2</f>
        <v/>
      </c>
      <c r="I2192">
        <f>IF(Skills!T2&lt;&gt;"",1+(Skills!T2/10)*(Z2193/1000)/100,1)</f>
        <v/>
      </c>
      <c r="J2192">
        <f>((Inputs!$B$6*(1+Inputs!$B$7/100))+(((Inputs!$B$12*(1+Inputs!$B$13/100))-(Inputs!$B$12*(1+Inputs!$B$13/100)))+0.25*(Inputs!$B$14-Inputs!$B$14))*(1+Inputs!$B$7/100))*(F2192/100)</f>
        <v/>
      </c>
      <c r="K2192">
        <f>J2192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2="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2208-Calc!F18),(Inputs!$B$23+(IF(ArtifactsInput!$M$15,CHOOSE(ArtifactsInput!$N$15+1,25,30,35,40,45,50)/100*(Inputs!$B$11-Inputs!$B$11),0))))/100+(Inputs!$B$23+(IF(ArtifactsInput!$M$15,CHOOSE(ArtifactsInput!$N$15+1,25,30,35,40,45,50)/100*(Inputs!$B$11-Inputs!$B$11),0)))/100)/2</f>
        <v/>
      </c>
      <c r="M2192">
        <f>L2192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IF(B2227=0,0,O2192/B2227)</f>
        <v/>
      </c>
      <c r="Q2192">
        <f>IFERROR(1/IF(Inputs!$B$38="pvp",15,MAX(0.1,Skills!D2-IF(Skills!E2=TRUE,Inputs!$B$32,0))),0)</f>
        <v/>
      </c>
      <c r="R2192" t="n">
        <v>0</v>
      </c>
      <c r="S2192">
        <f>IF(C2192,(Skills!F2*N2192*B2223)*IF(Inputs!$B$38="pvp",1,1+(Inputs!$B$20+Skills!O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92">
        <f>MAX(0,(Inputs!$B$3-100)*3)+Inputs!$B$28+Inputs!$B$29</f>
        <v/>
      </c>
      <c r="U2192">
        <f>IF(C2192,(Skills!F2*N2192*B2223)*IF(Inputs!$B$38="pvp",1,(1+(Inputs!$B$21+Skills!P2+B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92">
        <f>MAX(0,(Inputs!$B$3-100)*3)+Inputs!$B$28+Inputs!$B$29</f>
        <v/>
      </c>
    </row>
    <row r="2193">
      <c r="A2193">
        <f>Skills!A3</f>
        <v/>
      </c>
      <c r="B2193">
        <f>Skills!B3</f>
        <v/>
      </c>
      <c r="C2193">
        <f>Inputs!$B$3&gt;=15</f>
        <v/>
      </c>
      <c r="D2193">
        <f>IF(Skills!C3=1,60+Inputs!$B$25+Inputs!$B$29,IF(Skills!C3=2,90+Inputs!$B$26+Inputs!$B$29,IF(Skills!C3=3,120+Inputs!$B$27+Inputs!$B$29,MAX(0,(Inputs!$B$3-100)*3)+Inputs!$B$28+Inputs!$B$29)))</f>
        <v/>
      </c>
      <c r="E2193">
        <f>INDEX(FactorTable!$B$2:$Y$301, MATCH(ROUND(MIN(300,MAX(1,D2193)),0), FactorTable!$A$2:$A$301,0), Skills!L3+1)</f>
        <v/>
      </c>
      <c r="F2193">
        <f>IF(Skills!M3=TRUE,(Skills!K3/10)*(E2193/1000),Skills!K3/10)+Skills!N3</f>
        <v/>
      </c>
      <c r="G2193">
        <f>Calc!G3</f>
        <v/>
      </c>
      <c r="H2193">
        <f>Calc!H3</f>
        <v/>
      </c>
      <c r="I2193">
        <f>IF(Skills!T3&lt;&gt;"",1+(Skills!T3/10)*(Z2193/1000)/100,1)</f>
        <v/>
      </c>
      <c r="J2193" t="inlineStr"/>
      <c r="K2193" t="inlineStr"/>
      <c r="L2193" t="inlineStr"/>
      <c r="M2193" t="inlineStr"/>
      <c r="N2193" t="inlineStr"/>
      <c r="O2193">
        <f>(1-Summary!$B$11)*S2193+Summary!$B$11*U2193</f>
        <v/>
      </c>
      <c r="P2193">
        <f>IF(B2227=0,0,O2193/B2227)</f>
        <v/>
      </c>
      <c r="Q2193">
        <f>IFERROR(1/IF(Inputs!$B$38="pvp",15,MAX(0.1,Skills!D3-IF(Skills!E3=TRUE,Inputs!$B$32,0))),0)</f>
        <v/>
      </c>
      <c r="R2193">
        <f>IF(AND(Inputs!$B$38&lt;&gt;"pvp",Inputs!$B$43&gt;0),IF(Inputs!$B$43&lt;=0,0,(INT(Inputs!$B$43/IF(Inputs!$B$38="pvp",15,MAX(0.1,Skills!D3-IF(Skills!E3=TRUE,Inputs!$B$32,0))))+1)),0)</f>
        <v/>
      </c>
      <c r="S2193" t="n">
        <v>0</v>
      </c>
      <c r="T2193">
        <f>INDEX(FactorTable!$B$2:$Y$301, MATCH(ROUND(MIN(300,MAX(1,T2192)),0), FactorTable!$A$2:$A$301,0), 22)</f>
        <v/>
      </c>
      <c r="U2193" t="n">
        <v>0</v>
      </c>
      <c r="Z2193">
        <f>INDEX(FactorTable!$B$2:$Y$301, MATCH(ROUND(MIN(300,MAX(1,Z2192)),0), FactorTable!$A$2:$A$301,0), 24)</f>
        <v/>
      </c>
    </row>
    <row r="2194">
      <c r="A2194">
        <f>Skills!A4</f>
        <v/>
      </c>
      <c r="B2194">
        <f>Skills!B4</f>
        <v/>
      </c>
      <c r="C2194">
        <f>Inputs!$B$3&gt;=40</f>
        <v/>
      </c>
      <c r="D2194">
        <f>IF(Skills!C4=1,60+Inputs!$B$25+Inputs!$B$29,IF(Skills!C4=2,90+Inputs!$B$26+Inputs!$B$29,IF(Skills!C4=3,120+Inputs!$B$27+Inputs!$B$29,MAX(0,(Inputs!$B$3-100)*3)+Inputs!$B$28+Inputs!$B$29)))</f>
        <v/>
      </c>
      <c r="E2194">
        <f>INDEX(FactorTable!$B$2:$Y$301, MATCH(ROUND(MIN(300,MAX(1,D2194)),0), FactorTable!$A$2:$A$301,0), Skills!L4+1)</f>
        <v/>
      </c>
      <c r="F2194">
        <f>IF(Skills!M4=TRUE,(Skills!K4/10)*(E2194/1000),Skills!K4/10)+Skills!N4</f>
        <v/>
      </c>
      <c r="G2194">
        <f>Calc!G4</f>
        <v/>
      </c>
      <c r="H2194">
        <f>Calc!H4</f>
        <v/>
      </c>
      <c r="I2194">
        <f>IF(Skills!T4&lt;&gt;"",1+(Skills!T4/10)*(Z2193/1000)/100,1)</f>
        <v/>
      </c>
      <c r="J2194" t="inlineStr"/>
      <c r="K2194" t="inlineStr"/>
      <c r="L2194" t="inlineStr"/>
      <c r="M2194" t="inlineStr"/>
      <c r="N2194" t="inlineStr"/>
      <c r="O2194">
        <f>(1-Summary!$B$11)*S2194+Summary!$B$11*U2194</f>
        <v/>
      </c>
      <c r="P2194">
        <f>IF(B2227=0,0,O2194/B2227)</f>
        <v/>
      </c>
      <c r="Q2194">
        <f>IFERROR(1/IF(Inputs!$B$38="pvp",15,MAX(0.1,Skills!D4-IF(Skills!E4=TRUE,Inputs!$B$32,0))),0)</f>
        <v/>
      </c>
      <c r="R2194">
        <f>IF(AND(Inputs!$B$38&lt;&gt;"pvp",Inputs!$B$43&gt;0),IF(Inputs!$B$43&lt;=0,0,(INT(Inputs!$B$43/IF(Inputs!$B$38="pvp",15,MAX(0.1,Skills!D4-IF(Skills!E4=TRUE,Inputs!$B$32,0))))+1)),0)</f>
        <v/>
      </c>
      <c r="S2194" t="n">
        <v>0</v>
      </c>
      <c r="T2194">
        <f>290*T2193/1000</f>
        <v/>
      </c>
      <c r="U2194" t="n">
        <v>0</v>
      </c>
    </row>
    <row r="2195">
      <c r="A2195">
        <f>Skills!A5</f>
        <v/>
      </c>
      <c r="B2195">
        <f>Skills!B5</f>
        <v/>
      </c>
      <c r="C2195">
        <f>Inputs!$B$3&gt;=38</f>
        <v/>
      </c>
      <c r="D2195">
        <f>IF(Skills!C5=1,60+Inputs!$B$25+Inputs!$B$29,IF(Skills!C5=2,90+Inputs!$B$26+Inputs!$B$29,IF(Skills!C5=3,120+Inputs!$B$27+Inputs!$B$29,MAX(0,(Inputs!$B$3-100)*3)+Inputs!$B$28+Inputs!$B$29)))</f>
        <v/>
      </c>
      <c r="E2195">
        <f>INDEX(FactorTable!$B$2:$Y$301, MATCH(ROUND(MIN(300,MAX(1,D2195)),0), FactorTable!$A$2:$A$301,0), Skills!L5+1)</f>
        <v/>
      </c>
      <c r="F2195">
        <f>IF(Skills!M5=TRUE,(Skills!K5/10)*(E2195/1000),Skills!K5/10)+Skills!N5</f>
        <v/>
      </c>
      <c r="G2195">
        <f>Calc!G5</f>
        <v/>
      </c>
      <c r="H2195">
        <f>Calc!H5</f>
        <v/>
      </c>
      <c r="I2195">
        <f>IF(Skills!T5&lt;&gt;"",1+(Skills!T5/10)*(Z2193/1000)/100,1)</f>
        <v/>
      </c>
      <c r="J2195">
        <f>((Inputs!$B$6*(1+Inputs!$B$7/100))+(((Inputs!$B$12*(1+Inputs!$B$13/100))-(Inputs!$B$12*(1+Inputs!$B$13/100)))+0.25*(Inputs!$B$14-Inputs!$B$14))*(1+Inputs!$B$7/100))*(F2195/100)</f>
        <v/>
      </c>
      <c r="K2195">
        <f>J2195*(1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5="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2208-Calc!F18),(Inputs!$B$23+(IF(ArtifactsInput!$M$15,CHOOSE(ArtifactsInput!$N$15+1,25,30,35,40,45,50)/100*(Inputs!$B$11-Inputs!$B$11),0))))/100+(Inputs!$B$23+(IF(ArtifactsInput!$M$15,CHOOSE(ArtifactsInput!$N$15+1,25,30,35,40,45,50)/100*(Inputs!$B$11-Inputs!$B$11),0)))/100)/2</f>
        <v/>
      </c>
      <c r="M2195">
        <f>L2195*(1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IF(B2227=0,0,O2195/B2227)</f>
        <v/>
      </c>
      <c r="Q2195">
        <f>IFERROR(1/IF(Inputs!$B$38="pvp",15,MAX(0.1,Skills!D5-IF(Skills!E5=TRUE,Inputs!$B$32,0))),0)</f>
        <v/>
      </c>
      <c r="R2195">
        <f>IF(AND(Inputs!$B$38&lt;&gt;"pvp",Inputs!$B$43&gt;0),IF(MAX(0,Inputs!$B$43-B2224)&lt;=0,0,(INT(MAX(0,Inputs!$B$43-B2224)/IF(Inputs!$B$38="pvp",15,MAX(0.1,Skills!D5-IF(Skills!E5=TRUE,Inputs!$B$32,0))))+1)),0)</f>
        <v/>
      </c>
      <c r="S2195">
        <f>IF(C2195,(H2195*N2195*IF(AND(Inputs!$B$38&lt;&gt;"pvp",Inputs!$B$43&gt;0),((Skills!F5*((R2195-1)*IF(Skills!G5&gt;0,Skills!H5/Skills!G5,1)+IF(Skills!G5&gt;0,MIN(Skills!H5,MAX(0,MAX(0,Inputs!$B$43-B2224)-((R2195-1)*IF(Inputs!$B$38="pvp",15,MAX(0.1,Skills!D5-IF(Skills!E5=TRUE,Inputs!$B$32,0))))))/Skills!G5,1)))/Inputs!$B$43),G2195*Q2195))*IF(Inputs!$B$38="pvp",1,1+(Inputs!$B$20+Skills!O5+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F5*((R2195-1)*IF(Skills!G5&gt;0,Skills!H5/Skills!G5,1)+IF(Skills!G5&gt;0,MIN(Skills!H5,MAX(0,MAX(0,Inputs!$B$43-B2224)-((R2195-1)*IF(Inputs!$B$38="pvp",15,MAX(0.1,Skills!D5-IF(Skills!E5=TRUE,Inputs!$B$32,0))))))/Skills!G5,1)))/Inputs!$B$43),G2195*Q2195))*IF(Inputs!$B$38="pvp",1,(1+(Inputs!$B$21+Skills!P5+B2218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Skills!A6</f>
        <v/>
      </c>
      <c r="B2196">
        <f>Skills!B6</f>
        <v/>
      </c>
      <c r="C2196">
        <f>Inputs!$B$3&gt;=63</f>
        <v/>
      </c>
      <c r="D2196">
        <f>IF(Skills!C6=1,60+Inputs!$B$25+Inputs!$B$29,IF(Skills!C6=2,90+Inputs!$B$26+Inputs!$B$29,IF(Skills!C6=3,120+Inputs!$B$27+Inputs!$B$29,MAX(0,(Inputs!$B$3-100)*3)+Inputs!$B$28+Inputs!$B$29)))</f>
        <v/>
      </c>
      <c r="E2196">
        <f>INDEX(FactorTable!$B$2:$Y$301, MATCH(ROUND(MIN(300,MAX(1,D2196)),0), FactorTable!$A$2:$A$301,0), Skills!L6+1)</f>
        <v/>
      </c>
      <c r="F2196">
        <f>IF(Skills!M6=TRUE,(Skills!K6/10)*(E2196/1000),Skills!K6/10)+Skills!N6</f>
        <v/>
      </c>
      <c r="G2196">
        <f>Calc!G6</f>
        <v/>
      </c>
      <c r="H2196">
        <f>Calc!H6</f>
        <v/>
      </c>
      <c r="I2196">
        <f>IF(Skills!T6&lt;&gt;"",1+(Skills!T6/10)*(Z2193/1000)/100,1)</f>
        <v/>
      </c>
      <c r="J2196">
        <f>((Inputs!$B$6*(1+Inputs!$B$7/100))+(((Inputs!$B$12*(1+Inputs!$B$13/100))-(Inputs!$B$12*(1+Inputs!$B$13/100)))+0.25*(Inputs!$B$14-Inputs!$B$14))*(1+Inputs!$B$7/100))*(F2196/100)</f>
        <v/>
      </c>
      <c r="K2196">
        <f>J2196*(1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6="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2208-Calc!F18),(Inputs!$B$23+(IF(ArtifactsInput!$M$15,CHOOSE(ArtifactsInput!$N$15+1,25,30,35,40,45,50)/100*(Inputs!$B$11-Inputs!$B$11),0))))/100+(Inputs!$B$23+(IF(ArtifactsInput!$M$15,CHOOSE(ArtifactsInput!$N$15+1,25,30,35,40,45,50)/100*(Inputs!$B$11-Inputs!$B$11),0)))/100)/2</f>
        <v/>
      </c>
      <c r="M2196">
        <f>L2196*(1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IF(B2227=0,0,O2196/B2227)</f>
        <v/>
      </c>
      <c r="Q2196">
        <f>IFERROR(1/IF(Inputs!$B$38="pvp",15,MAX(0.1,Skills!D6-IF(Skills!E6=TRUE,Inputs!$B$32,0))),0)</f>
        <v/>
      </c>
      <c r="R2196">
        <f>IF(AND(Inputs!$B$38&lt;&gt;"pvp",Inputs!$B$43&gt;0),IF(MAX(0,Inputs!$B$43-B2224)&lt;=0,0,(INT(MAX(0,Inputs!$B$43-B2224)/IF(Inputs!$B$38="pvp",15,MAX(0.1,Skills!D6-IF(Skills!E6=TRUE,Inputs!$B$32,0))))+1)),0)</f>
        <v/>
      </c>
      <c r="S2196">
        <f>IF(C2196,(H2196*N2196*IF(AND(Inputs!$B$38&lt;&gt;"pvp",Inputs!$B$43&gt;0),((Skills!F6*((R2196-1)*IF(Skills!G6&gt;0,Skills!H6/Skills!G6,1)+IF(Skills!G6&gt;0,MIN(Skills!H6,MAX(0,MAX(0,Inputs!$B$43-B2224)-((R2196-1)*IF(Inputs!$B$38="pvp",15,MAX(0.1,Skills!D6-IF(Skills!E6=TRUE,Inputs!$B$32,0))))))/Skills!G6,1)))/Inputs!$B$43),G2196*Q2196))*IF(Inputs!$B$38="pvp",1,1+(Inputs!$B$20+Skills!O6+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N2196*IF(AND(Inputs!$B$38&lt;&gt;"pvp",Inputs!$B$43&gt;0),((Skills!F6*((R2196-1)*IF(Skills!G6&gt;0,Skills!H6/Skills!G6,1)+IF(Skills!G6&gt;0,MIN(Skills!H6,MAX(0,MAX(0,Inputs!$B$43-B2224)-((R2196-1)*IF(Inputs!$B$38="pvp",15,MAX(0.1,Skills!D6-IF(Skills!E6=TRUE,Inputs!$B$32,0))))))/Skills!G6,1)))/Inputs!$B$43),G2196*Q2196))*IF(Inputs!$B$38="pvp",1,(1+(Inputs!$B$21+Skills!P6+B2218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Skills!A7</f>
        <v/>
      </c>
      <c r="B2197">
        <f>Skills!B7</f>
        <v/>
      </c>
      <c r="C2197">
        <f>Inputs!$B$3&gt;=69</f>
        <v/>
      </c>
      <c r="D2197">
        <f>IF(Skills!C7=1,60+Inputs!$B$25+Inputs!$B$29,IF(Skills!C7=2,90+Inputs!$B$26+Inputs!$B$29,IF(Skills!C7=3,120+Inputs!$B$27+Inputs!$B$29,MAX(0,(Inputs!$B$3-100)*3)+Inputs!$B$28+Inputs!$B$29)))</f>
        <v/>
      </c>
      <c r="E2197">
        <f>INDEX(FactorTable!$B$2:$Y$301, MATCH(ROUND(MIN(300,MAX(1,D2197)),0), FactorTable!$A$2:$A$301,0), Skills!L7+1)</f>
        <v/>
      </c>
      <c r="F2197">
        <f>IF(Skills!M7=TRUE,(Skills!K7/10)*(E2197/1000),Skills!K7/10)+Skills!N7</f>
        <v/>
      </c>
      <c r="G2197">
        <f>Calc!G7</f>
        <v/>
      </c>
      <c r="H2197">
        <f>Calc!H7</f>
        <v/>
      </c>
      <c r="I2197">
        <f>IF(Skills!T7&lt;&gt;"",1+(Skills!T7/10)*(Z2193/1000)/100,1)</f>
        <v/>
      </c>
      <c r="J2197">
        <f>((Inputs!$B$6*(1+Inputs!$B$7/100))+(((Inputs!$B$12*(1+Inputs!$B$13/100))-(Inputs!$B$12*(1+Inputs!$B$13/100)))+0.25*(Inputs!$B$14-Inputs!$B$14))*(1+Inputs!$B$7/100))*(F2197/100)</f>
        <v/>
      </c>
      <c r="K2197">
        <f>J2197*(1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7="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2208-Calc!F18),(Inputs!$B$23+(IF(ArtifactsInput!$M$15,CHOOSE(ArtifactsInput!$N$15+1,25,30,35,40,45,50)/100*(Inputs!$B$11-Inputs!$B$11),0))))/100+(Inputs!$B$23+(IF(ArtifactsInput!$M$15,CHOOSE(ArtifactsInput!$N$15+1,25,30,35,40,45,50)/100*(Inputs!$B$11-Inputs!$B$11),0)))/100)/2</f>
        <v/>
      </c>
      <c r="M2197">
        <f>L2197*(1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IF(B2227=0,0,O2197/B2227)</f>
        <v/>
      </c>
      <c r="Q2197">
        <f>IFERROR(1/IF(Inputs!$B$38="pvp",15,MAX(0.1,Skills!D7-IF(Skills!E7=TRUE,Inputs!$B$32,0))),0)</f>
        <v/>
      </c>
      <c r="R2197">
        <f>IF(AND(Inputs!$B$38&lt;&gt;"pvp",Inputs!$B$43&gt;0),IF(MAX(0,Inputs!$B$43-B2224)&lt;=0,0,(INT(MAX(0,Inputs!$B$43-B2224)/IF(Inputs!$B$38="pvp",15,MAX(0.1,Skills!D7-IF(Skills!E7=TRUE,Inputs!$B$32,0))))+1)),0)</f>
        <v/>
      </c>
      <c r="S2197">
        <f>IF(C2197,(H2197*N2197*IF(AND(Inputs!$B$38&lt;&gt;"pvp",Inputs!$B$43&gt;0),((Skills!F7*((R2197-1)*IF(Skills!G7&gt;0,Skills!H7/Skills!G7,1)+IF(Skills!G7&gt;0,MIN(Skills!H7,MAX(0,MAX(0,Inputs!$B$43-B2224)-((R2197-1)*IF(Inputs!$B$38="pvp",15,MAX(0.1,Skills!D7-IF(Skills!E7=TRUE,Inputs!$B$32,0))))))/Skills!G7,1)))/Inputs!$B$43),G2197*Q2197))*IF(Inputs!$B$38="pvp",1,1+(Inputs!$B$20+Skills!O7+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F7*((R2197-1)*IF(Skills!G7&gt;0,Skills!H7/Skills!G7,1)+IF(Skills!G7&gt;0,MIN(Skills!H7,MAX(0,MAX(0,Inputs!$B$43-B2224)-((R2197-1)*IF(Inputs!$B$38="pvp",15,MAX(0.1,Skills!D7-IF(Skills!E7=TRUE,Inputs!$B$32,0))))))/Skills!G7,1)))/Inputs!$B$43),G2197*Q2197))*IF(Inputs!$B$38="pvp",1,(1+(Inputs!$B$21+Skills!P7+B2218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Skills!A8</f>
        <v/>
      </c>
      <c r="B2198">
        <f>Skills!B8</f>
        <v/>
      </c>
      <c r="C2198">
        <f>Inputs!$B$3&gt;=103</f>
        <v/>
      </c>
      <c r="D2198">
        <f>IF(Skills!C8=1,60+Inputs!$B$25+Inputs!$B$29,IF(Skills!C8=2,90+Inputs!$B$26+Inputs!$B$29,IF(Skills!C8=3,120+Inputs!$B$27+Inputs!$B$29,MAX(0,(Inputs!$B$3-100)*3)+Inputs!$B$28+Inputs!$B$29)))</f>
        <v/>
      </c>
      <c r="E2198">
        <f>INDEX(FactorTable!$B$2:$Y$301, MATCH(ROUND(MIN(300,MAX(1,D2198)),0), FactorTable!$A$2:$A$301,0), Skills!L8+1)</f>
        <v/>
      </c>
      <c r="F2198">
        <f>IF(Skills!M8=TRUE,(Skills!K8/10)*(E2198/1000),Skills!K8/10)+Skills!N8</f>
        <v/>
      </c>
      <c r="G2198">
        <f>Calc!G8</f>
        <v/>
      </c>
      <c r="H2198">
        <f>Calc!H8</f>
        <v/>
      </c>
      <c r="I2198">
        <f>IF(Skills!T8&lt;&gt;"",1+(Skills!T8/10)*(Z2193/1000)/100,1)</f>
        <v/>
      </c>
      <c r="J2198">
        <f>((Inputs!$B$6*(1+Inputs!$B$7/100))+(((Inputs!$B$12*(1+Inputs!$B$13/100))-(Inputs!$B$12*(1+Inputs!$B$13/100)))+0.25*(Inputs!$B$14-Inputs!$B$14))*(1+Inputs!$B$7/100))*(F2198/100)</f>
        <v/>
      </c>
      <c r="K2198">
        <f>J2198*(1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8="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2208-Calc!F18),(Inputs!$B$23+(IF(ArtifactsInput!$M$15,CHOOSE(ArtifactsInput!$N$15+1,25,30,35,40,45,50)/100*(Inputs!$B$11-Inputs!$B$11),0))))/100+(Inputs!$B$23+(IF(ArtifactsInput!$M$15,CHOOSE(ArtifactsInput!$N$15+1,25,30,35,40,45,50)/100*(Inputs!$B$11-Inputs!$B$11),0)))/100)/2</f>
        <v/>
      </c>
      <c r="M2198">
        <f>L2198*(1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IF(B2227=0,0,O2198/B2227)</f>
        <v/>
      </c>
      <c r="Q2198">
        <f>IFERROR(1/IF(Inputs!$B$38="pvp",15,MAX(0.1,Skills!D8-IF(Skills!E8=TRUE,Inputs!$B$32,0))),0)</f>
        <v/>
      </c>
      <c r="R2198">
        <f>IF(AND(Inputs!$B$38&lt;&gt;"pvp",Inputs!$B$43&gt;0),IF(MAX(0,Inputs!$B$43-B2224)&lt;=0,0,(INT(MAX(0,Inputs!$B$43-B2224)/IF(Inputs!$B$38="pvp",15,MAX(0.1,Skills!D8-IF(Skills!E8=TRUE,Inputs!$B$32,0))))+1)),0)</f>
        <v/>
      </c>
      <c r="S2198">
        <f>IF(C2198,(H2198*N2198*IF(AND(Inputs!$B$38&lt;&gt;"pvp",Inputs!$B$43&gt;0),((Skills!F8*((R2198-1)*IF(Skills!G8&gt;0,Skills!H8/Skills!G8,1)+IF(Skills!G8&gt;0,MIN(Skills!H8,MAX(0,MAX(0,Inputs!$B$43-B2224)-((R2198-1)*IF(Inputs!$B$38="pvp",15,MAX(0.1,Skills!D8-IF(Skills!E8=TRUE,Inputs!$B$32,0))))))/Skills!G8,1)))/Inputs!$B$43),G2198*Q2198))*IF(Inputs!$B$38="pvp",1,1+(Inputs!$B$20+Skills!O8+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F8*((R2198-1)*IF(Skills!G8&gt;0,Skills!H8/Skills!G8,1)+IF(Skills!G8&gt;0,MIN(Skills!H8,MAX(0,MAX(0,Inputs!$B$43-B2224)-((R2198-1)*IF(Inputs!$B$38="pvp",15,MAX(0.1,Skills!D8-IF(Skills!E8=TRUE,Inputs!$B$32,0))))))/Skills!G8,1)))/Inputs!$B$43),G2198*Q2198))*IF(Inputs!$B$38="pvp",1,(1+(Inputs!$B$21+Skills!P8+B2218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Skills!A9</f>
        <v/>
      </c>
      <c r="B2199">
        <f>Skills!B9</f>
        <v/>
      </c>
      <c r="C2199">
        <f>Inputs!$B$3&gt;=105</f>
        <v/>
      </c>
      <c r="D2199">
        <f>IF(Skills!C9=1,60+Inputs!$B$25+Inputs!$B$29,IF(Skills!C9=2,90+Inputs!$B$26+Inputs!$B$29,IF(Skills!C9=3,120+Inputs!$B$27+Inputs!$B$29,MAX(0,(Inputs!$B$3-100)*3)+Inputs!$B$28+Inputs!$B$29)))</f>
        <v/>
      </c>
      <c r="E2199">
        <f>INDEX(FactorTable!$B$2:$Y$301, MATCH(ROUND(MIN(300,MAX(1,D2199)),0), FactorTable!$A$2:$A$301,0), Skills!L9+1)</f>
        <v/>
      </c>
      <c r="F2199">
        <f>IF(Skills!M9=TRUE,(Skills!K9/10)*(E2199/1000),Skills!K9/10)+Skills!N9</f>
        <v/>
      </c>
      <c r="G2199">
        <f>Calc!G9</f>
        <v/>
      </c>
      <c r="H2199">
        <f>Calc!H9</f>
        <v/>
      </c>
      <c r="I2199">
        <f>IF(Skills!T9&lt;&gt;"",1+(Skills!T9/10)*(Z2193/1000)/100,1)</f>
        <v/>
      </c>
      <c r="J2199">
        <f>((Inputs!$B$6*(1+Inputs!$B$7/100))+(((Inputs!$B$12*(1+Inputs!$B$13/100))-(Inputs!$B$12*(1+Inputs!$B$13/100)))+0.25*(Inputs!$B$14-Inputs!$B$14))*(1+Inputs!$B$7/100))*(F2199/100)</f>
        <v/>
      </c>
      <c r="K2199">
        <f>J2199*(1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9="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F2208-Calc!F18),(Inputs!$B$23+(IF(ArtifactsInput!$M$15,CHOOSE(ArtifactsInput!$N$15+1,25,30,35,40,45,50)/100*(Inputs!$B$11-Inputs!$B$11),0))))/100+(Inputs!$B$23+(IF(ArtifactsInput!$M$15,CHOOSE(ArtifactsInput!$N$15+1,25,30,35,40,45,50)/100*(Inputs!$B$11-Inputs!$B$11),0)))/100)/2</f>
        <v/>
      </c>
      <c r="M2199">
        <f>L2199*(1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(1-Summary!$B$11)*S2199+Summary!$B$11*U2199</f>
        <v/>
      </c>
      <c r="P2199">
        <f>IF(B2227=0,0,O2199/B2227)</f>
        <v/>
      </c>
      <c r="Q2199">
        <f>IFERROR(1/IF(Inputs!$B$38="pvp",15,MAX(0.1,Skills!D9-IF(Skills!E9=TRUE,Inputs!$B$32,0))),0)</f>
        <v/>
      </c>
      <c r="R2199">
        <f>IF(AND(Inputs!$B$38&lt;&gt;"pvp",Inputs!$B$43&gt;0),IF(MAX(0,Inputs!$B$43-B2224)&lt;=0,0,(INT(MAX(0,Inputs!$B$43-B2224)/IF(Inputs!$B$38="pvp",15,MAX(0.1,Skills!D9-IF(Skills!E9=TRUE,Inputs!$B$32,0))))+1)),0)</f>
        <v/>
      </c>
      <c r="S2199">
        <f>IF(C2199,(H2199*N2199*IF(AND(Inputs!$B$38&lt;&gt;"pvp",Inputs!$B$43&gt;0),((Skills!F9*((R2199-1)*IF(Skills!G9&gt;0,Skills!H9/Skills!G9,1)+IF(Skills!G9&gt;0,MIN(Skills!H9,MAX(0,MAX(0,Inputs!$B$43-B2224)-((R2199-1)*IF(Inputs!$B$38="pvp",15,MAX(0.1,Skills!D9-IF(Skills!E9=TRUE,Inputs!$B$32,0))))))/Skills!G9,1)))/Inputs!$B$43),G2199*Q2199))*IF(Inputs!$B$38="pvp",1,1+(Inputs!$B$20+Skills!O9+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2199*(1-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9">
        <f>IF(C2199,(H2199*N2199*IF(AND(Inputs!$B$38&lt;&gt;"pvp",Inputs!$B$43&gt;0),((Skills!F9*((R2199-1)*IF(Skills!G9&gt;0,Skills!H9/Skills!G9,1)+IF(Skills!G9&gt;0,MIN(Skills!H9,MAX(0,MAX(0,Inputs!$B$43-B2224)-((R2199-1)*IF(Inputs!$B$38="pvp",15,MAX(0.1,Skills!D9-IF(Skills!E9=TRUE,Inputs!$B$32,0))))))/Skills!G9,1)))/Inputs!$B$43),G2199*Q2199))*IF(Inputs!$B$38="pvp",1,(1+(Inputs!$B$21+Skills!P9+B2218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Skills!A10</f>
        <v/>
      </c>
      <c r="B2200">
        <f>Skills!B10</f>
        <v/>
      </c>
      <c r="C2200">
        <f>Inputs!$B$3&gt;=113</f>
        <v/>
      </c>
      <c r="D2200">
        <f>IF(Skills!C10=1,60+Inputs!$B$25+Inputs!$B$29,IF(Skills!C10=2,90+Inputs!$B$26+Inputs!$B$29,IF(Skills!C10=3,120+Inputs!$B$27+Inputs!$B$29,MAX(0,(Inputs!$B$3-100)*3)+Inputs!$B$28+Inputs!$B$29)))</f>
        <v/>
      </c>
      <c r="E2200">
        <f>INDEX(FactorTable!$B$2:$Y$301, MATCH(ROUND(MIN(300,MAX(1,D2200)),0), FactorTable!$A$2:$A$301,0), Skills!L10+1)</f>
        <v/>
      </c>
      <c r="F2200">
        <f>IF(Skills!M10=TRUE,(Skills!K10/10)*(E2200/1000),Skills!K10/10)+Skills!N10</f>
        <v/>
      </c>
      <c r="G2200">
        <f>Calc!G10</f>
        <v/>
      </c>
      <c r="H2200">
        <f>Calc!H10</f>
        <v/>
      </c>
      <c r="I2200">
        <f>IF(Skills!T10&lt;&gt;"",1+(Skills!T10/10)*(Z2193/1000)/100,1)</f>
        <v/>
      </c>
      <c r="J2200">
        <f>((Inputs!$B$6*(1+Inputs!$B$7/100))+(((Inputs!$B$12*(1+Inputs!$B$13/100))-(Inputs!$B$12*(1+Inputs!$B$13/100)))+0.25*(Inputs!$B$14-Inputs!$B$14))*(1+Inputs!$B$7/100))*(F2200/100)</f>
        <v/>
      </c>
      <c r="K2200">
        <f>J2200*(1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10="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F2208-Calc!F18),(Inputs!$B$23+(IF(ArtifactsInput!$M$15,CHOOSE(ArtifactsInput!$N$15+1,25,30,35,40,45,50)/100*(Inputs!$B$11-Inputs!$B$11),0))))/100+(Inputs!$B$23+(IF(ArtifactsInput!$M$15,CHOOSE(ArtifactsInput!$N$15+1,25,30,35,40,45,50)/100*(Inputs!$B$11-Inputs!$B$11),0)))/100)/2</f>
        <v/>
      </c>
      <c r="M2200">
        <f>L2200*(1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(1-Summary!$B$11)*S2200+Summary!$B$11*U2200</f>
        <v/>
      </c>
      <c r="P2200">
        <f>IF(B2227=0,0,O2200/B2227)</f>
        <v/>
      </c>
      <c r="Q2200">
        <f>IFERROR(1/IF(Inputs!$B$38="pvp",15,MAX(0.1,Skills!D10-IF(Skills!E9=TRUE,Inputs!$B$32,0))),0)</f>
        <v/>
      </c>
      <c r="R2200">
        <f>IF(AND(Inputs!$B$38&lt;&gt;"pvp",Inputs!$B$43&gt;0),IF(MAX(0,Inputs!$B$43-B2224)&lt;=0,0,(INT(MAX(0,Inputs!$B$43-B2224)/IF(Inputs!$B$38="pvp",15,MAX(0.1,Skills!D10-IF(Skills!E9=TRUE,Inputs!$B$32,0))))+1)),0)</f>
        <v/>
      </c>
      <c r="S2200">
        <f>IF(C2200,(H2200*N2200*IF(AND(Inputs!$B$38&lt;&gt;"pvp",Inputs!$B$43&gt;0),((Skills!F10*((R2200-1)*IF(Skills!G10&gt;0,Skills!H10/Skills!G10,1)+IF(Skills!G10&gt;0,MIN(Skills!H10,MAX(0,MAX(0,Inputs!$B$43-B2224)-((R2200-1)*IF(Inputs!$B$38="pvp",15,MAX(0.1,Skills!D10-IF(Skills!E9=TRUE,Inputs!$B$32,0))))))/Skills!G10,1)))/Inputs!$B$43),G2200*Q2200))*IF(Inputs!$B$38="pvp",1,1+(Inputs!$B$20+Skills!O10+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2200*(1-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0">
        <f>IF(C2200,(H2200*N2200*IF(AND(Inputs!$B$38&lt;&gt;"pvp",Inputs!$B$43&gt;0),((Skills!F10*((R2200-1)*IF(Skills!G10&gt;0,Skills!H10/Skills!G10,1)+IF(Skills!G10&gt;0,MIN(Skills!H10,MAX(0,MAX(0,Inputs!$B$43-B2224)-((R2200-1)*IF(Inputs!$B$38="pvp",15,MAX(0.1,Skills!D10-IF(Skills!E9=TRUE,Inputs!$B$32,0))))))/Skills!G10,1)))/Inputs!$B$43),G2200*Q2200))*IF(Inputs!$B$38="pvp",1,(1+(Inputs!$B$21+Skills!P10+B2218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Skills!A11</f>
        <v/>
      </c>
      <c r="B2201">
        <f>Skills!B11</f>
        <v/>
      </c>
      <c r="C2201">
        <f>Inputs!$B$3&gt;=107</f>
        <v/>
      </c>
      <c r="D2201">
        <f>IF(Skills!C11=1,60+Inputs!$B$25+Inputs!$B$29,IF(Skills!C11=2,90+Inputs!$B$26+Inputs!$B$29,IF(Skills!C11=3,120+Inputs!$B$27+Inputs!$B$29,MAX(0,(Inputs!$B$3-100)*3)+Inputs!$B$28+Inputs!$B$29)))</f>
        <v/>
      </c>
      <c r="E2201">
        <f>INDEX(FactorTable!$B$2:$Y$301, MATCH(ROUND(MIN(300,MAX(1,D2201)),0), FactorTable!$A$2:$A$301,0), Skills!L11+1)</f>
        <v/>
      </c>
      <c r="F2201">
        <f>IF(Skills!M11=TRUE,(Skills!K11/10)*(E2201/1000),Skills!K11/10)+Skills!N11</f>
        <v/>
      </c>
      <c r="G2201">
        <f>Calc!G11</f>
        <v/>
      </c>
      <c r="H2201">
        <f>Calc!H11</f>
        <v/>
      </c>
      <c r="I2201">
        <f>IF(Skills!T11&lt;&gt;"",1+(Skills!T11/10)*(Z2193/1000)/100,1)</f>
        <v/>
      </c>
      <c r="J2201">
        <f>((Inputs!$B$6*(1+Inputs!$B$7/100))+(((Inputs!$B$12*(1+Inputs!$B$13/100))-(Inputs!$B$12*(1+Inputs!$B$13/100)))+0.25*(Inputs!$B$14-Inputs!$B$14))*(1+Inputs!$B$7/100))*(F2201/100)</f>
        <v/>
      </c>
      <c r="K2201">
        <f>J2201*(1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11="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F2208-Calc!F18),(Inputs!$B$23+(IF(ArtifactsInput!$M$15,CHOOSE(ArtifactsInput!$N$15+1,25,30,35,40,45,50)/100*(Inputs!$B$11-Inputs!$B$11),0))))/100+(Inputs!$B$23+(IF(ArtifactsInput!$M$15,CHOOSE(ArtifactsInput!$N$15+1,25,30,35,40,45,50)/100*(Inputs!$B$11-Inputs!$B$11),0)))/100)/2</f>
        <v/>
      </c>
      <c r="M2201">
        <f>L2201*(1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(1-Summary!$B$11)*S2201+Summary!$B$11*U2201</f>
        <v/>
      </c>
      <c r="P2201">
        <f>IF(B2227=0,0,O2201/B2227)</f>
        <v/>
      </c>
      <c r="Q2201">
        <f>IFERROR(1/IF(Inputs!$B$38="pvp",15,MAX(0.1,Skills!D11-IF(Skills!E11=TRUE,Inputs!$B$32,0))),0)</f>
        <v/>
      </c>
      <c r="R2201">
        <f>IF(AND(Inputs!$B$38&lt;&gt;"pvp",Inputs!$B$43&gt;0),IF(MAX(0,Inputs!$B$43-B2224)&lt;=0,0,(INT(MAX(0,Inputs!$B$43-B2224)/IF(Inputs!$B$38="pvp",15,MAX(0.1,Skills!D11-IF(Skills!E11=TRUE,Inputs!$B$32,0))))+1)),0)</f>
        <v/>
      </c>
      <c r="S2201">
        <f>IF(C2201,H2201*N2201*IF(AND(Inputs!$B$38&lt;&gt;"pvp",Inputs!$B$43&gt;0),((Skills!F11*((R2201-1)*IF(Skills!G11&gt;0,Skills!H11/Skills!G11,1)+IF(Skills!G11&gt;0,MIN(Skills!H11,MAX(0,MAX(0,Inputs!$B$43-B2224)-((R2201-1)*IF(Inputs!$B$38="pvp",15,MAX(0.1,Skills!D11-IF(Skills!E11=TRUE,Inputs!$B$32,0))))))/Skills!G11,1)))/Inputs!$B$43),G2201*Q2201)*0.5*IF(Inputs!$B$38="pvp",1,1+(Inputs!$B$20+Skills!O11+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2201*(1-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IF(C2201,H2201*N2201*IF(AND(Inputs!$B$38&lt;&gt;"pvp",Inputs!$B$43&gt;0),((Skills!F11*((R2201-1)*IF(Skills!G11&gt;0,Skills!H11/Skills!G11,1)+IF(Skills!G11&gt;0,MIN(Skills!H11,MAX(0,MAX(0,Inputs!$B$43-B2224)-((R2201-1)*IF(Inputs!$B$38="pvp",15,MAX(0.1,Skills!D11-IF(Skills!E11=TRUE,Inputs!$B$32,0))))))/Skills!G11,1)))/Inputs!$B$43),G2201*Q2201)*1*IF(Inputs!$B$38="pvp",1,(1+(Inputs!$B$21+Skills!P11+B2218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Skills!A12</f>
        <v/>
      </c>
      <c r="B2202">
        <f>Skills!B12</f>
        <v/>
      </c>
      <c r="C2202">
        <f>Inputs!$B$3&gt;=115</f>
        <v/>
      </c>
      <c r="D2202">
        <f>IF(Skills!C12=1,60+Inputs!$B$25+Inputs!$B$29,IF(Skills!C12=2,90+Inputs!$B$26+Inputs!$B$29,IF(Skills!C12=3,120+Inputs!$B$27+Inputs!$B$29,MAX(0,(Inputs!$B$3-100)*3)+Inputs!$B$28+Inputs!$B$29)))</f>
        <v/>
      </c>
      <c r="E2202">
        <f>INDEX(FactorTable!$B$2:$Y$301, MATCH(ROUND(MIN(300,MAX(1,D2202)),0), FactorTable!$A$2:$A$301,0), Skills!L12+1)</f>
        <v/>
      </c>
      <c r="F2202">
        <f>IF(Skills!M12=TRUE,(Skills!K12/10)*(E2202/1000),Skills!K12/10)+Skills!N12</f>
        <v/>
      </c>
      <c r="G2202">
        <f>Calc!G12</f>
        <v/>
      </c>
      <c r="H2202">
        <f>Calc!H12</f>
        <v/>
      </c>
      <c r="I2202">
        <f>IF(Skills!T12&lt;&gt;"",1+(Skills!T12/10)*(Z2193/1000)/100,1)</f>
        <v/>
      </c>
      <c r="J2202">
        <f>((Inputs!$B$6*(1+Inputs!$B$7/100))+(((Inputs!$B$12*(1+Inputs!$B$13/100))-(Inputs!$B$12*(1+Inputs!$B$13/100)))+0.25*(Inputs!$B$14-Inputs!$B$14))*(1+Inputs!$B$7/100))*(F2202/100)</f>
        <v/>
      </c>
      <c r="K2202">
        <f>J2202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12="CHAIN_LIGHTNING",Inputs!$B$17+((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F2208-Calc!F18),(Inputs!$B$23+(IF(ArtifactsInput!$M$15,CHOOSE(ArtifactsInput!$N$15+1,25,30,35,40,45,50)/100*(Inputs!$B$11-Inputs!$B$11),0))))/100+(Inputs!$B$23+(IF(ArtifactsInput!$M$15,CHOOSE(ArtifactsInput!$N$15+1,25,30,35,40,45,50)/100*(Inputs!$B$11-Inputs!$B$11),0)))/100)/2</f>
        <v/>
      </c>
      <c r="M2202">
        <f>L2202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(1-Summary!$B$11)*S2202+Summary!$B$11*U2202</f>
        <v/>
      </c>
      <c r="P2202">
        <f>IF(B2227=0,0,O2202/B2227)</f>
        <v/>
      </c>
      <c r="Q2202">
        <f>IFERROR(1/IF(Inputs!$B$38="pvp",15,MAX(0.1,Skills!D12-IF(Skills!E12=TRUE,Inputs!$B$32,0))),0)</f>
        <v/>
      </c>
      <c r="R2202">
        <f>IF(AND(Inputs!$B$38&lt;&gt;"pvp",Inputs!$B$43&gt;0),IF(MAX(0,Inputs!$B$43-B2224)&lt;=0,0,(INT(MAX(0,Inputs!$B$43-B2224)/IF(Inputs!$B$38="pvp",15,MAX(0.1,Skills!D12-IF(Skills!E12=TRUE,Inputs!$B$32,0))))+1)),0)</f>
        <v/>
      </c>
      <c r="S2202">
        <f>IF(C2202,(H2202*N2202*IF(AND(Inputs!$B$38&lt;&gt;"pvp",Inputs!$B$43&gt;0),((Skills!F12*((R2202-1)*IF(Skills!G12&gt;0,Skills!H12/Skills!G12,1)+IF(Skills!G12&gt;0,MIN(Skills!H12,MAX(0,MAX(0,Inputs!$B$43-B2224)-((R2202-1)*IF(Inputs!$B$38="pvp",15,MAX(0.1,Skills!D12-IF(Skills!E12=TRUE,Inputs!$B$32,0))))))/Skills!G12,1)))/Inputs!$B$43),G2202*Q2202))*IF(Inputs!$B$38="pvp",1,1+(Inputs!$B$20+Skills!O12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2202*(1-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F2210-Calc!F20)+(F2209-Calc!F19))+(ArtifactsInput!$M$24-ArtifactsInput!$M$24)*CHOOSE(ArtifactsInput!$N$24+1,10,12,14,16,18,20)+(IF(AND(Inputs!$B$38&lt;&gt;"pvp",Inputs!$B$43=0),1,IF(IF(Inputs!$B$38="pvp",15,Inputs!$B$43)-(B2224)&lt;=0,1,MAX(0,IF(Inputs!$B$38="pvp",15,Inputs!$B$43)-MAX(5,B2224))/(IF(Inputs!$B$38="pvp",15,Inputs!$B$43)-(B2224)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F(C2202,(H2202*N2202*IF(AND(Inputs!$B$38&lt;&gt;"pvp",Inputs!$B$43&gt;0),((Skills!F12*((R2202-1)*IF(Skills!G12&gt;0,Skills!H12/Skills!G12,1)+IF(Skills!G12&gt;0,MIN(Skills!H12,MAX(0,MAX(0,Inputs!$B$43-B2224)-((R2202-1)*IF(Inputs!$B$38="pvp",15,MAX(0.1,Skills!D12-IF(Skills!E12=TRUE,Inputs!$B$32,0))))))/Skills!G12,1)))/Inputs!$B$43),G2202*Q2202))*IF(Inputs!$B$38="pvp",1,(1+(Inputs!$B$21+Skills!P12+B2218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Skills!A13</f>
        <v/>
      </c>
      <c r="B2203">
        <f>Skills!B13</f>
        <v/>
      </c>
      <c r="C2203">
        <f>Inputs!$B$3&gt;=49</f>
        <v/>
      </c>
      <c r="D2203">
        <f>IF(Skills!C13=1,60+Inputs!$B$25+Inputs!$B$29,IF(Skills!C13=2,90+Inputs!$B$26+Inputs!$B$29,IF(Skills!C13=3,120+Inputs!$B$27+Inputs!$B$29,MAX(0,(Inputs!$B$3-100)*3)+Inputs!$B$28+Inputs!$B$29)))</f>
        <v/>
      </c>
      <c r="E2203">
        <f>INDEX(FactorTable!$B$2:$Y$301, MATCH(ROUND(MIN(300,MAX(1,D2203)),0), FactorTable!$A$2:$A$301,0), Skills!L13+1)</f>
        <v/>
      </c>
      <c r="F2203">
        <f>IF(Skills!M13=TRUE,(Skills!K13/10)*(E2203/1000),Skills!K13/10)+Skills!N13</f>
        <v/>
      </c>
      <c r="G2203">
        <f>Calc!G13</f>
        <v/>
      </c>
      <c r="H2203">
        <f>Calc!H13</f>
        <v/>
      </c>
      <c r="I2203">
        <f>IF(Skills!T13&lt;&gt;"",1+(Skills!T13/10)*(Z2193/1000)/100,1)</f>
        <v/>
      </c>
      <c r="J2203" t="inlineStr"/>
      <c r="K2203" t="inlineStr"/>
      <c r="L2203" t="inlineStr"/>
      <c r="M2203" t="inlineStr"/>
      <c r="N2203" t="inlineStr"/>
      <c r="O2203">
        <f>(1-Summary!$B$11)*S2203+Summary!$B$11*U2203</f>
        <v/>
      </c>
      <c r="P2203">
        <f>IF(B2227=0,0,O2203/B2227)</f>
        <v/>
      </c>
      <c r="Q2203">
        <f>IFERROR(1/IF(Inputs!$B$38="pvp",15,MAX(0.1,Skills!D13-IF(Skills!E13=TRUE,Inputs!$B$32,0))),0)</f>
        <v/>
      </c>
      <c r="R2203" t="n">
        <v>0</v>
      </c>
      <c r="S2203" t="n">
        <v>0</v>
      </c>
      <c r="U2203" t="n">
        <v>0</v>
      </c>
    </row>
    <row r="2204">
      <c r="A2204">
        <f>Skills!A14</f>
        <v/>
      </c>
      <c r="B2204">
        <f>Skills!B14</f>
        <v/>
      </c>
      <c r="C2204">
        <f>Inputs!$B$3&gt;=72</f>
        <v/>
      </c>
      <c r="D2204">
        <f>IF(Skills!C14=1,60+Inputs!$B$25+Inputs!$B$29,IF(Skills!C14=2,90+Inputs!$B$26+Inputs!$B$29,IF(Skills!C14=3,120+Inputs!$B$27+Inputs!$B$29,MAX(0,(Inputs!$B$3-100)*3)+Inputs!$B$28+Inputs!$B$29)))</f>
        <v/>
      </c>
      <c r="E2204">
        <f>INDEX(FactorTable!$B$2:$Y$301, MATCH(ROUND(MIN(300,MAX(1,D2204)),0), FactorTable!$A$2:$A$301,0), Skills!L14+1)</f>
        <v/>
      </c>
      <c r="F2204">
        <f>IF(Skills!M14=TRUE,(Skills!K14/10)*(E2204/1000),Skills!K14/10)+Skills!N14</f>
        <v/>
      </c>
      <c r="G2204">
        <f>Calc!G14</f>
        <v/>
      </c>
      <c r="H2204">
        <f>Calc!H14</f>
        <v/>
      </c>
      <c r="I2204">
        <f>IF(Skills!T14&lt;&gt;"",1+(Skills!T14/10)*(Z2193/1000)/100,1)</f>
        <v/>
      </c>
      <c r="J2204" t="inlineStr"/>
      <c r="K2204" t="inlineStr"/>
      <c r="L2204" t="inlineStr"/>
      <c r="M2204" t="inlineStr"/>
      <c r="N2204" t="inlineStr"/>
      <c r="O2204">
        <f>(1-Summary!$B$11)*S2204+Summary!$B$11*U2204</f>
        <v/>
      </c>
      <c r="P2204">
        <f>IF(B2227=0,0,O2204/B2227)</f>
        <v/>
      </c>
      <c r="Q2204">
        <f>IFERROR(1/IF(Inputs!$B$38="pvp",15,MAX(0.1,Skills!D14-IF(Skills!E14=TRUE,Inputs!$B$32,0))),0)</f>
        <v/>
      </c>
      <c r="R2204" t="n">
        <v>0</v>
      </c>
      <c r="S2204" t="n">
        <v>0</v>
      </c>
      <c r="U2204" t="n">
        <v>0</v>
      </c>
    </row>
    <row r="2205">
      <c r="A2205">
        <f>Skills!A15</f>
        <v/>
      </c>
      <c r="B2205">
        <f>Skills!B15</f>
        <v/>
      </c>
      <c r="C2205">
        <f>Inputs!$B$3&gt;=75</f>
        <v/>
      </c>
      <c r="D2205">
        <f>IF(Skills!C15=1,60+Inputs!$B$25+Inputs!$B$29,IF(Skills!C15=2,90+Inputs!$B$26+Inputs!$B$29,IF(Skills!C15=3,120+Inputs!$B$27+Inputs!$B$29,MAX(0,(Inputs!$B$3-100)*3)+Inputs!$B$28+Inputs!$B$29)))</f>
        <v/>
      </c>
      <c r="E2205">
        <f>INDEX(FactorTable!$B$2:$Y$301, MATCH(ROUND(MIN(300,MAX(1,D2205)),0), FactorTable!$A$2:$A$301,0), Skills!L15+1)</f>
        <v/>
      </c>
      <c r="F2205">
        <f>IF(Skills!M15=TRUE,(Skills!K15/10)*(E2205/1000),Skills!K15/10)+Skills!N15</f>
        <v/>
      </c>
      <c r="G2205">
        <f>Calc!G15</f>
        <v/>
      </c>
      <c r="H2205">
        <f>Calc!H15</f>
        <v/>
      </c>
      <c r="I2205">
        <f>IF(Skills!T15&lt;&gt;"",1+(Skills!T15/10)*(Z2193/1000)/100,1)</f>
        <v/>
      </c>
      <c r="J2205" t="inlineStr"/>
      <c r="K2205" t="inlineStr"/>
      <c r="L2205" t="inlineStr"/>
      <c r="M2205" t="inlineStr"/>
      <c r="N2205" t="inlineStr"/>
      <c r="O2205">
        <f>(1-Summary!$B$11)*S2205+Summary!$B$11*U2205</f>
        <v/>
      </c>
      <c r="P2205">
        <f>IF(B2227=0,0,O2205/B2227)</f>
        <v/>
      </c>
      <c r="Q2205">
        <f>IFERROR(1/IF(Inputs!$B$38="pvp",15,MAX(0.1,Skills!D15-IF(Skills!E15=TRUE,Inputs!$B$32,0))),0)</f>
        <v/>
      </c>
      <c r="R2205" t="n">
        <v>0</v>
      </c>
      <c r="S2205" t="n">
        <v>0</v>
      </c>
      <c r="U2205" t="n">
        <v>0</v>
      </c>
    </row>
    <row r="2206">
      <c r="A2206">
        <f>Skills!A16</f>
        <v/>
      </c>
      <c r="B2206">
        <f>Skills!B16</f>
        <v/>
      </c>
      <c r="C2206">
        <f>Inputs!$B$3&gt;=110</f>
        <v/>
      </c>
      <c r="D2206">
        <f>IF(Skills!C16=1,60+Inputs!$B$25+Inputs!$B$29,IF(Skills!C16=2,90+Inputs!$B$26+Inputs!$B$29,IF(Skills!C16=3,120+Inputs!$B$27+Inputs!$B$29,MAX(0,(Inputs!$B$3-100)*3)+Inputs!$B$28+Inputs!$B$29)))</f>
        <v/>
      </c>
      <c r="E2206">
        <f>INDEX(FactorTable!$B$2:$Y$301, MATCH(ROUND(MIN(300,MAX(1,D2206)),0), FactorTable!$A$2:$A$301,0), Skills!L16+1)</f>
        <v/>
      </c>
      <c r="F2206">
        <f>(Skills!K16/10)*(E2206/1000)*64/45+Skills!N16</f>
        <v/>
      </c>
      <c r="G2206">
        <f>Calc!G16</f>
        <v/>
      </c>
      <c r="H2206">
        <f>Calc!H16</f>
        <v/>
      </c>
      <c r="I2206">
        <f>IF(Skills!T16&lt;&gt;"",1+(Skills!T16/10)*(Z2193/1000)/100,1)</f>
        <v/>
      </c>
      <c r="J2206" t="inlineStr"/>
      <c r="K2206" t="inlineStr"/>
      <c r="L2206" t="inlineStr"/>
      <c r="M2206" t="inlineStr"/>
      <c r="N2206" t="inlineStr"/>
      <c r="O2206">
        <f>(1-Summary!$B$11)*S2206+Summary!$B$11*U2206</f>
        <v/>
      </c>
      <c r="P2206">
        <f>IF(B2227=0,0,O2206/B2227)</f>
        <v/>
      </c>
      <c r="Q2206">
        <f>IFERROR(1/IF(Inputs!$B$38="pvp",15,MAX(0.1,Skills!D16-IF(Skills!E16=TRUE,Inputs!$B$32,0))),0)</f>
        <v/>
      </c>
      <c r="R2206">
        <f>IF(AND(Inputs!$B$38&lt;&gt;"pvp",Inputs!$B$43&gt;0),IF(Inputs!$B$43&lt;=0,0,(INT(Inputs!$B$43/IF(Inputs!$B$38="pvp",15,MAX(0.1,Skills!D16-IF(Skills!E16=TRUE,Inputs!$B$32,0))))+1)),0)</f>
        <v/>
      </c>
      <c r="S2206" t="n">
        <v>0</v>
      </c>
      <c r="U2206" t="n">
        <v>0</v>
      </c>
    </row>
    <row r="2207">
      <c r="A2207">
        <f>Skills!A17</f>
        <v/>
      </c>
      <c r="B2207">
        <f>Skills!B17</f>
        <v/>
      </c>
      <c r="C2207">
        <f>Inputs!$B$3&gt;=33</f>
        <v/>
      </c>
      <c r="D2207">
        <f>IF(Skills!C17=1,60+Inputs!$B$25+Inputs!$B$29,IF(Skills!C17=2,90+Inputs!$B$26+Inputs!$B$29,IF(Skills!C17=3,120+Inputs!$B$27+Inputs!$B$29,MAX(0,(Inputs!$B$3-100)*3)+Inputs!$B$28+Inputs!$B$29)))</f>
        <v/>
      </c>
      <c r="E2207">
        <f>INDEX(FactorTable!$B$2:$Y$301, MATCH(ROUND(MIN(300,MAX(1,D2207)),0), FactorTable!$A$2:$A$301,0), Skills!L17+1)</f>
        <v/>
      </c>
      <c r="F2207">
        <f>IF(Skills!M17=TRUE,(Skills!K17/10)*(E2207/1000),Skills!K17/10)+Skills!N17</f>
        <v/>
      </c>
      <c r="G2207">
        <f>Calc!G17</f>
        <v/>
      </c>
      <c r="H2207">
        <f>Calc!H17</f>
        <v/>
      </c>
      <c r="I2207">
        <f>IF(Skills!T17&lt;&gt;"",1+(Skills!T17/10)*(Z2193/1000)/100,1)</f>
        <v/>
      </c>
      <c r="J2207" t="inlineStr"/>
      <c r="K2207" t="inlineStr"/>
      <c r="L2207" t="inlineStr"/>
      <c r="M2207" t="inlineStr"/>
      <c r="N2207" t="inlineStr"/>
      <c r="O2207">
        <f>(1-Summary!$B$11)*S2207+Summary!$B$11*U2207</f>
        <v/>
      </c>
      <c r="P2207">
        <f>IF(B2227=0,0,O2207/B2227)</f>
        <v/>
      </c>
      <c r="Q2207">
        <f>IFERROR(1/IF(Inputs!$B$38="pvp",15,MAX(0.1,Skills!D17-IF(Skills!E17=TRUE,Inputs!$B$32,0))),0)</f>
        <v/>
      </c>
      <c r="R2207" t="n">
        <v>0</v>
      </c>
      <c r="S2207" t="n">
        <v>0</v>
      </c>
      <c r="U2207" t="n">
        <v>0</v>
      </c>
    </row>
    <row r="2208">
      <c r="A2208">
        <f>Skills!A18</f>
        <v/>
      </c>
      <c r="B2208">
        <f>Skills!B18</f>
        <v/>
      </c>
      <c r="C2208">
        <f>Inputs!$B$3&gt;=43</f>
        <v/>
      </c>
      <c r="D2208">
        <f>IF(Skills!C18=1,60+Inputs!$B$25+Inputs!$B$29,IF(Skills!C18=2,90+Inputs!$B$26+Inputs!$B$29,IF(Skills!C18=3,120+Inputs!$B$27+Inputs!$B$29,MAX(0,(Inputs!$B$3-100)*3)+Inputs!$B$28+Inputs!$B$29)))</f>
        <v/>
      </c>
      <c r="E2208">
        <f>INDEX(FactorTable!$B$2:$Y$301, MATCH(ROUND(MIN(300,MAX(1,D2208)),0), FactorTable!$A$2:$A$301,0), Skills!L18+1)</f>
        <v/>
      </c>
      <c r="F2208">
        <f>IF(Skills!M18=TRUE,(Skills!K18/10)*(E2208/1000),Skills!K18/10)+Skills!N18</f>
        <v/>
      </c>
      <c r="G2208">
        <f>Calc!G18</f>
        <v/>
      </c>
      <c r="H2208">
        <f>Calc!H18</f>
        <v/>
      </c>
      <c r="I2208">
        <f>IF(Skills!T18&lt;&gt;"",1+(Skills!T18/10)*(Z2193/1000)/100,1)</f>
        <v/>
      </c>
      <c r="J2208" t="inlineStr"/>
      <c r="K2208" t="inlineStr"/>
      <c r="L2208" t="inlineStr"/>
      <c r="M2208" t="inlineStr"/>
      <c r="N2208" t="inlineStr"/>
      <c r="O2208">
        <f>(1-Summary!$B$11)*S2208+Summary!$B$11*U2208</f>
        <v/>
      </c>
      <c r="P2208">
        <f>IF(B2227=0,0,O2208/B2227)</f>
        <v/>
      </c>
      <c r="Q2208">
        <f>IFERROR(1/IF(Inputs!$B$38="pvp",15,MAX(0.1,Skills!D18-IF(Skills!E18=TRUE,Inputs!$B$32,0))),0)</f>
        <v/>
      </c>
      <c r="R2208" t="n">
        <v>0</v>
      </c>
      <c r="S2208" t="n">
        <v>0</v>
      </c>
      <c r="U2208" t="n">
        <v>0</v>
      </c>
    </row>
    <row r="2209">
      <c r="A2209">
        <f>Skills!A19</f>
        <v/>
      </c>
      <c r="B2209">
        <f>Skills!B19</f>
        <v/>
      </c>
      <c r="C2209">
        <f>Inputs!$B$3&gt;=50</f>
        <v/>
      </c>
      <c r="D2209">
        <f>IF(Skills!C19=1,60+Inputs!$B$25+Inputs!$B$29,IF(Skills!C19=2,90+Inputs!$B$26+Inputs!$B$29,IF(Skills!C19=3,120+Inputs!$B$27+Inputs!$B$29,MAX(0,(Inputs!$B$3-100)*3)+Inputs!$B$28+Inputs!$B$29)))</f>
        <v/>
      </c>
      <c r="E2209">
        <f>INDEX(FactorTable!$B$2:$Y$301, MATCH(ROUND(MIN(300,MAX(1,D2209)),0), FactorTable!$A$2:$A$301,0), Skills!L19+1)</f>
        <v/>
      </c>
      <c r="F2209">
        <f>IF(Skills!M19=TRUE,(Skills!K19/10)*(E2209/1000),Skills!K19/10)+Skills!N19</f>
        <v/>
      </c>
      <c r="G2209">
        <f>Calc!G19</f>
        <v/>
      </c>
      <c r="H2209">
        <f>Calc!H19</f>
        <v/>
      </c>
      <c r="I2209">
        <f>IF(Skills!T19&lt;&gt;"",1+(Skills!T19/10)*(Z2193/1000)/100,1)</f>
        <v/>
      </c>
      <c r="J2209" t="inlineStr"/>
      <c r="K2209" t="inlineStr"/>
      <c r="L2209" t="inlineStr"/>
      <c r="M2209" t="inlineStr"/>
      <c r="N2209" t="inlineStr"/>
      <c r="O2209">
        <f>(1-Summary!$B$11)*S2209+Summary!$B$11*U2209</f>
        <v/>
      </c>
      <c r="P2209">
        <f>IF(B2227=0,0,O2209/B2227)</f>
        <v/>
      </c>
      <c r="Q2209">
        <f>IFERROR(1/IF(Inputs!$B$38="pvp",15,MAX(0.1,Skills!D19-IF(Skills!E19=TRUE,Inputs!$B$32,0))),0)</f>
        <v/>
      </c>
      <c r="R2209" t="n">
        <v>0</v>
      </c>
      <c r="S2209" t="n">
        <v>0</v>
      </c>
      <c r="U2209" t="n">
        <v>0</v>
      </c>
    </row>
    <row r="2210">
      <c r="A2210">
        <f>Skills!A20</f>
        <v/>
      </c>
      <c r="B2210">
        <f>Skills!B20</f>
        <v/>
      </c>
      <c r="C2210">
        <f>Inputs!$B$3&gt;=74</f>
        <v/>
      </c>
      <c r="D2210">
        <f>IF(Skills!C20=1,60+Inputs!$B$25+Inputs!$B$29,IF(Skills!C20=2,90+Inputs!$B$26+Inputs!$B$29,IF(Skills!C20=3,120+Inputs!$B$27+Inputs!$B$29,MAX(0,(Inputs!$B$3-100)*3)+Inputs!$B$28+Inputs!$B$29)))</f>
        <v/>
      </c>
      <c r="E2210">
        <f>INDEX(FactorTable!$B$2:$Y$301, MATCH(ROUND(MIN(300,MAX(1,D2210)),0), FactorTable!$A$2:$A$301,0), Skills!L20+1)</f>
        <v/>
      </c>
      <c r="F2210">
        <f>IF(Skills!M20=TRUE,(Skills!K20/10)*(E2210/1000),Skills!K20/10)+Skills!N20</f>
        <v/>
      </c>
      <c r="G2210">
        <f>Calc!G20</f>
        <v/>
      </c>
      <c r="H2210">
        <f>Calc!H20</f>
        <v/>
      </c>
      <c r="I2210">
        <f>IF(Skills!T20&lt;&gt;"",1+(Skills!T20/10)*(Z2193/1000)/100,1)</f>
        <v/>
      </c>
      <c r="J2210" t="inlineStr"/>
      <c r="K2210" t="inlineStr"/>
      <c r="L2210" t="inlineStr"/>
      <c r="M2210" t="inlineStr"/>
      <c r="N2210" t="inlineStr"/>
      <c r="O2210">
        <f>(1-Summary!$B$11)*S2210+Summary!$B$11*U2210</f>
        <v/>
      </c>
      <c r="P2210">
        <f>IF(B2227=0,0,O2210/B2227)</f>
        <v/>
      </c>
      <c r="Q2210">
        <f>IFERROR(1/IF(Inputs!$B$38="pvp",15,MAX(0.1,Skills!D20-IF(Skills!E20=TRUE,Inputs!$B$32,0))),0)</f>
        <v/>
      </c>
      <c r="R2210" t="n">
        <v>0</v>
      </c>
      <c r="S2210" t="n">
        <v>0</v>
      </c>
      <c r="U2210" t="n">
        <v>0</v>
      </c>
    </row>
    <row r="2211">
      <c r="A2211">
        <f>Skills!A21</f>
        <v/>
      </c>
      <c r="B2211">
        <f>Skills!B21</f>
        <v/>
      </c>
      <c r="C2211">
        <f>Inputs!$B$3&gt;=74</f>
        <v/>
      </c>
      <c r="D2211">
        <f>IF(Skills!C21=1,60+Inputs!$B$25+Inputs!$B$29,IF(Skills!C21=2,90+Inputs!$B$26+Inputs!$B$29,IF(Skills!C21=3,120+Inputs!$B$27+Inputs!$B$29,MAX(0,(Inputs!$B$3-100)*3)+Inputs!$B$28+Inputs!$B$29)))</f>
        <v/>
      </c>
      <c r="E2211">
        <f>INDEX(FactorTable!$B$2:$Y$301, MATCH(ROUND(MIN(300,MAX(1,D2211)),0), FactorTable!$A$2:$A$301,0), Skills!L21+1)</f>
        <v/>
      </c>
      <c r="F2211">
        <f>IF(Skills!M21=TRUE,(Skills!K21/10)*(E2211/1000),Skills!K21/10)+Skills!N21</f>
        <v/>
      </c>
      <c r="G2211">
        <f>Calc!G21</f>
        <v/>
      </c>
      <c r="H2211">
        <f>Calc!H21</f>
        <v/>
      </c>
      <c r="I2211">
        <f>IF(Skills!T21&lt;&gt;"",1+(Skills!T21/10)*(Z2193/1000)/100,1)</f>
        <v/>
      </c>
      <c r="J2211" t="inlineStr"/>
      <c r="K2211" t="inlineStr"/>
      <c r="L2211" t="inlineStr"/>
      <c r="M2211" t="inlineStr"/>
      <c r="N2211" t="inlineStr"/>
      <c r="O2211">
        <f>(1-Summary!$B$11)*S2211+Summary!$B$11*U2211</f>
        <v/>
      </c>
      <c r="P2211">
        <f>IF(B2227=0,0,O2211/B2227)</f>
        <v/>
      </c>
      <c r="Q2211">
        <f>IFERROR(1/IF(Inputs!$B$38="pvp",15,MAX(0.1,Skills!D21-IF(Skills!E21=TRUE,Inputs!$B$32,0))),0)</f>
        <v/>
      </c>
      <c r="R2211" t="n">
        <v>0</v>
      </c>
      <c r="S2211" t="n">
        <v>0</v>
      </c>
      <c r="U2211" t="n">
        <v>0</v>
      </c>
    </row>
    <row r="2212">
      <c r="A2212">
        <f>Skills!A22</f>
        <v/>
      </c>
      <c r="B2212">
        <f>Skills!B22</f>
        <v/>
      </c>
      <c r="C2212">
        <f>Inputs!$B$3&gt;=117</f>
        <v/>
      </c>
      <c r="D2212">
        <f>IF(Skills!C22=1,60+Inputs!$B$25+Inputs!$B$29,IF(Skills!C22=2,90+Inputs!$B$26+Inputs!$B$29,IF(Skills!C22=3,120+Inputs!$B$27+Inputs!$B$29,MAX(0,(Inputs!$B$3-100)*3)+Inputs!$B$28+Inputs!$B$29)))</f>
        <v/>
      </c>
      <c r="E2212">
        <f>INDEX(FactorTable!$B$2:$Y$301, MATCH(ROUND(MIN(300,MAX(1,D2212)),0), FactorTable!$A$2:$A$301,0), Skills!L22+1)</f>
        <v/>
      </c>
      <c r="F2212">
        <f>IF(Skills!M22=TRUE,(Skills!K22/10)*(E2212/1000),Skills!K22/10)+Skills!N22</f>
        <v/>
      </c>
      <c r="G2212">
        <f>Calc!G22</f>
        <v/>
      </c>
      <c r="H2212">
        <f>Calc!H22</f>
        <v/>
      </c>
      <c r="I2212">
        <f>IF(Skills!T22&lt;&gt;"",1+(Skills!T22/10)*(Z2193/1000)/100,1)</f>
        <v/>
      </c>
      <c r="J2212" t="inlineStr"/>
      <c r="K2212" t="inlineStr"/>
      <c r="L2212" t="inlineStr"/>
      <c r="M2212" t="inlineStr"/>
      <c r="N2212" t="inlineStr"/>
      <c r="O2212">
        <f>(1-Summary!$B$11)*S2212+Summary!$B$11*U2212</f>
        <v/>
      </c>
      <c r="P2212">
        <f>IF(B2227=0,0,O2212/B2227)</f>
        <v/>
      </c>
      <c r="Q2212">
        <f>IFERROR(1/IF(Inputs!$B$38="pvp",15,MAX(0.1,Skills!D22-IF(Skills!E22=TRUE,Inputs!$B$32,0))),0)</f>
        <v/>
      </c>
      <c r="R2212" t="n">
        <v>0</v>
      </c>
      <c r="S2212" t="n">
        <v>0</v>
      </c>
      <c r="U2212" t="n">
        <v>0</v>
      </c>
    </row>
    <row r="2213">
      <c r="A2213">
        <f>Skills!A23</f>
        <v/>
      </c>
      <c r="B2213">
        <f>Skills!B23</f>
        <v/>
      </c>
      <c r="C2213">
        <f>Inputs!$B$3&gt;=120</f>
        <v/>
      </c>
      <c r="D2213">
        <f>IF(Skills!C23=1,60+Inputs!$B$25+Inputs!$B$29,IF(Skills!C23=2,90+Inputs!$B$26+Inputs!$B$29,IF(Skills!C23=3,120+Inputs!$B$27+Inputs!$B$29,MAX(0,(Inputs!$B$3-100)*3)+Inputs!$B$28+Inputs!$B$29)))</f>
        <v/>
      </c>
      <c r="E2213">
        <f>INDEX(FactorTable!$B$2:$Y$301, MATCH(ROUND(MIN(300,MAX(1,D2213)),0), FactorTable!$A$2:$A$301,0), Skills!L23+1)</f>
        <v/>
      </c>
      <c r="F2213">
        <f>IF(Skills!M23=TRUE,(Skills!K23/10)*(E2213/1000),Skills!K23/10)+Skills!N23</f>
        <v/>
      </c>
      <c r="G2213">
        <f>Calc!G23</f>
        <v/>
      </c>
      <c r="H2213">
        <f>Calc!H23</f>
        <v/>
      </c>
      <c r="I2213">
        <f>IF(Skills!T23&lt;&gt;"",1+(Skills!T23/10)*(Z2193/1000)/100,1)</f>
        <v/>
      </c>
      <c r="J2213" t="inlineStr"/>
      <c r="K2213" t="inlineStr"/>
      <c r="L2213" t="inlineStr"/>
      <c r="M2213" t="inlineStr"/>
      <c r="N2213" t="inlineStr"/>
      <c r="O2213">
        <f>(1-Summary!$B$11)*S2213+Summary!$B$11*U2213</f>
        <v/>
      </c>
      <c r="P2213">
        <f>IF(B2227=0,0,O2213/B2227)</f>
        <v/>
      </c>
      <c r="Q2213">
        <f>IFERROR(1/IF(Inputs!$B$38="pvp",15,MAX(0.1,Skills!D23-IF(Skills!E23=TRUE,Inputs!$B$32,0))),0)</f>
        <v/>
      </c>
      <c r="R2213" t="n">
        <v>0</v>
      </c>
      <c r="S2213" t="n">
        <v>0</v>
      </c>
      <c r="U2213" t="n">
        <v>0</v>
      </c>
    </row>
    <row r="2214">
      <c r="A2214">
        <f>Skills!A24</f>
        <v/>
      </c>
      <c r="B2214">
        <f>Skills!B24</f>
        <v/>
      </c>
      <c r="C2214">
        <f>TRUE</f>
        <v/>
      </c>
      <c r="D2214">
        <f>IF(Skills!C24=1,60+Inputs!$B$25+Inputs!$B$29,IF(Skills!C24=2,90+Inputs!$B$26+Inputs!$B$29,IF(Skills!C24=3,120+Inputs!$B$27+Inputs!$B$29,MAX(0,(Inputs!$B$3-100)*3)+Inputs!$B$28+Inputs!$B$29)))</f>
        <v/>
      </c>
      <c r="E2214">
        <f>INDEX(FactorTable!$B$2:$Y$301, MATCH(ROUND(MIN(300,MAX(1,D2214)),0), FactorTable!$A$2:$A$301,0), Skills!L24+1)</f>
        <v/>
      </c>
      <c r="F2214">
        <f>IF(Skills!M24=TRUE,(Skills!K24/10)*(E2214/1000),Skills!K24/10)+Skills!N24</f>
        <v/>
      </c>
      <c r="G2214">
        <f>Calc!G24</f>
        <v/>
      </c>
      <c r="H2214">
        <f>Calc!H24</f>
        <v/>
      </c>
      <c r="I2214">
        <f>IF(Skills!T24&lt;&gt;"",1+(Skills!T24/10)*(Z2193/1000)/100,1)</f>
        <v/>
      </c>
      <c r="J2214" t="inlineStr"/>
      <c r="K2214" t="inlineStr"/>
      <c r="L2214" t="inlineStr"/>
      <c r="M2214" t="inlineStr"/>
      <c r="N2214" t="inlineStr"/>
      <c r="O2214">
        <f>(1-Summary!$B$11)*S2214+Summary!$B$11*U2214</f>
        <v/>
      </c>
      <c r="P2214">
        <f>IF(B2227=0,0,O2214/B2227)</f>
        <v/>
      </c>
      <c r="Q2214">
        <f>IFERROR(1/IF(Inputs!$B$38="pvp",15,MAX(0.1,Skills!D24-IF(Skills!E24=TRUE,Inputs!$B$32,0))),0)</f>
        <v/>
      </c>
      <c r="R2214">
        <f>IF(AND(Inputs!$B$38&lt;&gt;"pvp",Inputs!$B$43&gt;0),IF(Inputs!$B$43&lt;=0,0,(INT(Inputs!$B$43/IF(Inputs!$B$38="pvp",15,MAX(0.1,Skills!D24-IF(Skills!E24=TRUE,Inputs!$B$32,0))))+1)),0)</f>
        <v/>
      </c>
      <c r="S2214" t="n">
        <v>0</v>
      </c>
      <c r="U2214" t="n">
        <v>0</v>
      </c>
    </row>
    <row r="2217">
      <c r="A2217" t="inlineStr">
        <is>
          <t>Average Buff Multiplier (Magic Guard + Meditation + Artifact Attack%, summed; then Infinity)</t>
        </is>
      </c>
      <c r="B2217">
        <f>(1+(IF(C2193=TRUE,F2193*IF(AND(Inputs!$B$38&lt;&gt;"pvp",Inputs!$B$43&gt;0),(((R2193-1)*(Skills!S3*(1+(Inputs!$B$34)/100))+MIN((Skills!S3*(1+(Inputs!$B$34)/100)),MAX(0,Inputs!$B$43-((R2193-1)*Skills!D3))))/Inputs!$B$43),IF(Inputs!$B$38="pvp",MIN((Skills!S3*(1+(Inputs!$B$34)/100)),15)/15,(Skills!S3*(1+(Inputs!$B$34)/100))/Skills!D3)),0)+IF(C2194=TRUE,F2194*IF(AND(Inputs!$B$38&lt;&gt;"pvp",Inputs!$B$43&gt;0),(((R2194-1)*(Skills!S4*(1+(Inputs!$B$34)/100))+MIN((Skills!S4*(1+(Inputs!$B$34)/100)),MAX(0,Inputs!$B$43-((R2194-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2206=TRUE,(1+F2206*IF(AND(Inputs!$B$38&lt;&gt;"pvp",Inputs!$B$43&gt;0),(((R2206-1)*(Skills!S16*(1+(Inputs!$B$34)/100))+MIN((Skills!S16*(1+(Inputs!$B$34)/100)),MAX(0,Inputs!$B$43-((R2206-1)*Skills!D16))))/Inputs!$B$43),IF(Inputs!$B$38="pvp",MIN((Skills!S16*(1+(Inputs!$B$34)/100)),15)/15,(Skills!S16*(1+(Inputs!$B$34)/100))/Skills!D16))/100),1)</f>
        <v/>
      </c>
    </row>
    <row r="2218">
      <c r="A2218" t="inlineStr">
        <is>
          <t>Monster Damage Taken Bonus % (Freezing Breath - Weaken + Elemental Reset + Artifact Enemy Damage Taken, summed)</t>
        </is>
      </c>
      <c r="B2218">
        <f>IF(Inputs!$B$3&gt;=118,15*IF(Inputs!$B$38="pvp",MIN((30*(1+(Inputs!$B$34)/100)),15)/15,(30*(1+(Inputs!$B$34)/100))/Skills!D8),0)+IF(C2204=TRUE,F2204,0)+(IF(AND(IF(ArtifactsInput!$M$35,FALSE,TRUE),Inputs!$B$4&lt;&gt;"Chapter Hunt"),CHOOSE(ArtifactsInput!$N$35+1,15,18,21,24,27,30)*(1-EXP(-(0.2*B2221)*5)),0)+IF(AND(ArtifactsInput!$M$22,Inputs!$B$4&lt;&gt;"Chapter Hunt"),CHOOSE(ArtifactsInput!$N$22+1,10,12,14,16,18,20)*((0*(((0.15*B2221*5))^0/1)+1*(((0.15*B2221*5))^1/1)+2*(((0.15*B2221*5))^2/2)+3*(((0.15*B2221*5))^3/6)+4*(((0.15*B2221*5))^4/24)+5*(((0.15*B2221*5))^5/120))/((((0.15*B2221*5))^0/1)+(((0.15*B2221*5))^1/1)+(((0.15*B2221*5))^2/2)+(((0.15*B2221*5))^3/6)+(((0.15*B2221*5))^4/24)+(((0.15*B2221*5))^5/120))),0))</f>
        <v/>
      </c>
    </row>
    <row r="2219">
      <c r="A2219" t="inlineStr">
        <is>
          <t>Damage % Bonus (Frozen Break + Frost Clutch, flat)</t>
        </is>
      </c>
      <c r="B2219">
        <f>IF(Inputs!$B$3&gt;=66,15,0)+IF(Inputs!$B$3&gt;=98,10,0)+IF(Inputs!$B$3&gt;=125,20,0)</f>
        <v/>
      </c>
    </row>
    <row r="2220">
      <c r="A2220" t="inlineStr">
        <is>
          <t>Attack Speed Bonus % (MP Eater - MP Boost, always-on + Nimble Feet, duty-cycle averaged)</t>
        </is>
      </c>
      <c r="B2220">
        <f>IF(C2203=TRUE,F2203+(F2207-Calc!F17),0)+((C2214=TRUE)*F2214*IF(AND(Inputs!$B$38&lt;&gt;"pvp",Inputs!$B$43&gt;0),(((R2214-1)*(Skills!S24*(1+(Inputs!$B$34)/100))+MIN((Skills!S24*(1+(Inputs!$B$34)/100)),MAX(0,Inputs!$B$43-((R2214-1)*Skills!D24))))/Inputs!$B$43),IF(Inputs!$B$38="pvp",MIN((Skills!S24*(1+(Inputs!$B$34)/100)),15)/15,(Skills!S24*(1+(Inputs!$B$34)/100))/Skills!D24)))</f>
        <v/>
      </c>
    </row>
    <row r="2221">
      <c r="A2221" t="inlineStr">
        <is>
          <t>Actions Per Second</t>
        </is>
      </c>
      <c r="B2221">
        <f>1+MIN(150,150*(1-(1-(Inputs!$B$11+(ArtifactsInput!$M$15-ArtifactsInput!$M$15)*CHOOSE(ArtifactsInput!$N$15+1,8,9.6,11.2,12.8,14.4,16))/150)*(1-B2220/150)))/100</f>
        <v/>
      </c>
    </row>
    <row r="2222">
      <c r="A2222" t="inlineStr">
        <is>
          <t>Skill + Buff Cast Rate</t>
        </is>
      </c>
      <c r="B2222">
        <f>IF(AND(Inputs!$B$38&lt;&gt;"pvp",Inputs!$B$43&gt;0),SUMPRODUCT((Skills!E2:E24=TRUE)*(C2192:C2214=TRUE)*R2192:R2214)/Inputs!$B$43,SUMPRODUCT((Skills!E2:E24=TRUE)*(C2192:C2214=TRUE)*Q2192:Q2214))</f>
        <v/>
      </c>
    </row>
    <row r="2223">
      <c r="A2223" t="inlineStr">
        <is>
          <t>Chain Lightning Casts Per Second</t>
        </is>
      </c>
      <c r="B2223">
        <f>MAX(0,B2221-B2222)</f>
        <v/>
      </c>
    </row>
    <row r="2224">
      <c r="A2224" t="inlineStr">
        <is>
          <t>Buff-Casting Startup Delay (s, fixed-duration only)</t>
        </is>
      </c>
      <c r="B2224">
        <f>IF(AND(Inputs!$B$38&lt;&gt;"pvp",Inputs!$B$43&gt;0),SUMPRODUCT((Skills!S2:S24&gt;0)*(Skills!E2:E24=TRUE)*(C2192:C2214=TRUE))/B2221,0)</f>
        <v/>
      </c>
    </row>
    <row r="2225">
      <c r="A2225" t="inlineStr">
        <is>
          <t>Boss-Only Total DPS (this block's swept value)</t>
        </is>
      </c>
      <c r="B2225">
        <f>SUM(S2192:S2214)</f>
        <v/>
      </c>
    </row>
    <row r="2226">
      <c r="A2226" t="inlineStr">
        <is>
          <t>Normal-Only Total DPS (this block's swept value)</t>
        </is>
      </c>
      <c r="B2226">
        <f>SUM(U2192:U2214)</f>
        <v/>
      </c>
    </row>
    <row r="2227">
      <c r="A2227" s="6" t="inlineStr">
        <is>
          <t>TOTAL DPS</t>
        </is>
      </c>
      <c r="B2227" s="6">
        <f>SUM(O2192:O2214)</f>
        <v/>
      </c>
    </row>
    <row r="2230">
      <c r="A2230" s="6" t="inlineStr">
        <is>
          <t>Stat: Candle (Equip)</t>
        </is>
      </c>
    </row>
    <row r="2231">
      <c r="A2231" s="5" t="inlineStr">
        <is>
          <t>Key</t>
        </is>
      </c>
      <c r="B2231" s="5" t="inlineStr">
        <is>
          <t>Name</t>
        </is>
      </c>
      <c r="C2231" s="5" t="inlineStr">
        <is>
          <t>Unlocked</t>
        </is>
      </c>
      <c r="D2231" s="5" t="inlineStr">
        <is>
          <t>InputLevel</t>
        </is>
      </c>
      <c r="E2231" s="5" t="inlineStr">
        <is>
          <t>Factor</t>
        </is>
      </c>
      <c r="F2231" s="5" t="inlineStr">
        <is>
          <t>CoefficientPercent</t>
        </is>
      </c>
      <c r="G2231" s="5" t="inlineStr">
        <is>
          <t>EffectiveHits</t>
        </is>
      </c>
      <c r="H2231" s="5" t="inlineStr">
        <is>
          <t>ProcProbability</t>
        </is>
      </c>
      <c r="I2231" s="5" t="inlineStr">
        <is>
          <t>MapleHeroMultiplier</t>
        </is>
      </c>
      <c r="J2231" s="5" t="inlineStr">
        <is>
          <t>BaseDamage</t>
        </is>
      </c>
      <c r="K2231" s="5" t="inlineStr">
        <is>
          <t>BaseHitDamage</t>
        </is>
      </c>
      <c r="L2231" s="5" t="inlineStr">
        <is>
          <t>NonCritAvg</t>
        </is>
      </c>
      <c r="M2231" s="5" t="inlineStr">
        <is>
          <t>CritAvg</t>
        </is>
      </c>
      <c r="N2231" s="5" t="inlineStr">
        <is>
          <t>ExpectedDamage(perHit)</t>
        </is>
      </c>
      <c r="O2231" s="5" t="inlineStr">
        <is>
          <t>DPS</t>
        </is>
      </c>
      <c r="P2231" s="5" t="inlineStr">
        <is>
          <t>% of Total</t>
        </is>
      </c>
      <c r="R2231" t="inlineStr">
        <is>
          <t>helpers</t>
        </is>
      </c>
    </row>
    <row r="2232">
      <c r="A2232">
        <f>Skills!A2</f>
        <v/>
      </c>
      <c r="B2232">
        <f>Skills!B2</f>
        <v/>
      </c>
      <c r="C2232">
        <f>Inputs!$B$3&gt;=100</f>
        <v/>
      </c>
      <c r="D2232" t="inlineStr"/>
      <c r="E2232" t="inlineStr"/>
      <c r="F2232">
        <f>T2234+Skills!N2</f>
        <v/>
      </c>
      <c r="G2232">
        <f>Calc!G2</f>
        <v/>
      </c>
      <c r="H2232">
        <f>Calc!H2</f>
        <v/>
      </c>
      <c r="I2232">
        <f>IF(Skills!T2&lt;&gt;"",1+(Skills!T2/10)*(Z2233/1000)/100,1)</f>
        <v/>
      </c>
      <c r="J2232">
        <f>((Inputs!$B$6*(1+Inputs!$B$7/100))+(((Inputs!$B$12*(1+Inputs!$B$13/100))-(Inputs!$B$12*(1+Inputs!$B$13/100)))+0.25*(Inputs!$B$14-Inputs!$B$14))*(1+Inputs!$B$7/100))*(F2232/100)</f>
        <v/>
      </c>
      <c r="K2232">
        <f>J2232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2="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F2248-Calc!F18),(Inputs!$B$23+(IF(ArtifactsInput!$M$15,CHOOSE(ArtifactsInput!$N$15+1,25,30,35,40,45,50)/100*(Inputs!$B$11-Inputs!$B$11),0))))/100+(Inputs!$B$23+(IF(ArtifactsInput!$M$15,CHOOSE(ArtifactsInput!$N$15+1,25,30,35,40,45,50)/100*(Inputs!$B$11-Inputs!$B$11),0)))/100)/2</f>
        <v/>
      </c>
      <c r="M2232">
        <f>L2232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(1-Summary!$B$11)*S2232+Summary!$B$11*U2232</f>
        <v/>
      </c>
      <c r="P2232">
        <f>IF(B2267=0,0,O2232/B2267)</f>
        <v/>
      </c>
      <c r="Q2232">
        <f>IFERROR(1/IF(Inputs!$B$38="pvp",15,MAX(0.1,Skills!D2-IF(Skills!E2=TRUE,Inputs!$B$32,0))),0)</f>
        <v/>
      </c>
      <c r="R2232" t="n">
        <v>0</v>
      </c>
      <c r="S2232">
        <f>IF(C2232,(Skills!F2*N2232*B2263)*IF(Inputs!$B$38="pvp",1,1+(Inputs!$B$20+Skills!O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2232*(1-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2">
        <f>MAX(0,(Inputs!$B$3-100)*3)+Inputs!$B$28+Inputs!$B$29</f>
        <v/>
      </c>
      <c r="U2232">
        <f>IF(C2232,(Skills!F2*N2232*B2263)*IF(Inputs!$B$38="pvp",1,(1+(Inputs!$B$21+Skills!P2+B2258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32">
        <f>MAX(0,(Inputs!$B$3-100)*3)+Inputs!$B$28+Inputs!$B$29</f>
        <v/>
      </c>
    </row>
    <row r="2233">
      <c r="A2233">
        <f>Skills!A3</f>
        <v/>
      </c>
      <c r="B2233">
        <f>Skills!B3</f>
        <v/>
      </c>
      <c r="C2233">
        <f>Inputs!$B$3&gt;=15</f>
        <v/>
      </c>
      <c r="D2233">
        <f>IF(Skills!C3=1,60+Inputs!$B$25+Inputs!$B$29,IF(Skills!C3=2,90+Inputs!$B$26+Inputs!$B$29,IF(Skills!C3=3,120+Inputs!$B$27+Inputs!$B$29,MAX(0,(Inputs!$B$3-100)*3)+Inputs!$B$28+Inputs!$B$29)))</f>
        <v/>
      </c>
      <c r="E2233">
        <f>INDEX(FactorTable!$B$2:$Y$301, MATCH(ROUND(MIN(300,MAX(1,D2233)),0), FactorTable!$A$2:$A$301,0), Skills!L3+1)</f>
        <v/>
      </c>
      <c r="F2233">
        <f>IF(Skills!M3=TRUE,(Skills!K3/10)*(E2233/1000),Skills!K3/10)+Skills!N3</f>
        <v/>
      </c>
      <c r="G2233">
        <f>Calc!G3</f>
        <v/>
      </c>
      <c r="H2233">
        <f>Calc!H3</f>
        <v/>
      </c>
      <c r="I2233">
        <f>IF(Skills!T3&lt;&gt;"",1+(Skills!T3/10)*(Z2233/1000)/100,1)</f>
        <v/>
      </c>
      <c r="J2233" t="inlineStr"/>
      <c r="K2233" t="inlineStr"/>
      <c r="L2233" t="inlineStr"/>
      <c r="M2233" t="inlineStr"/>
      <c r="N2233" t="inlineStr"/>
      <c r="O2233">
        <f>(1-Summary!$B$11)*S2233+Summary!$B$11*U2233</f>
        <v/>
      </c>
      <c r="P2233">
        <f>IF(B2267=0,0,O2233/B2267)</f>
        <v/>
      </c>
      <c r="Q2233">
        <f>IFERROR(1/IF(Inputs!$B$38="pvp",15,MAX(0.1,Skills!D3-IF(Skills!E3=TRUE,Inputs!$B$32,0))),0)</f>
        <v/>
      </c>
      <c r="R2233">
        <f>IF(AND(Inputs!$B$38&lt;&gt;"pvp",Inputs!$B$43&gt;0),IF(Inputs!$B$43&lt;=0,0,(INT(Inputs!$B$43/IF(Inputs!$B$38="pvp",15,MAX(0.1,Skills!D3-IF(Skills!E3=TRUE,Inputs!$B$32,0))))+1)),0)</f>
        <v/>
      </c>
      <c r="S2233" t="n">
        <v>0</v>
      </c>
      <c r="T2233">
        <f>INDEX(FactorTable!$B$2:$Y$301, MATCH(ROUND(MIN(300,MAX(1,T2232)),0), FactorTable!$A$2:$A$301,0), 22)</f>
        <v/>
      </c>
      <c r="U2233" t="n">
        <v>0</v>
      </c>
      <c r="Z2233">
        <f>INDEX(FactorTable!$B$2:$Y$301, MATCH(ROUND(MIN(300,MAX(1,Z2232)),0), FactorTable!$A$2:$A$301,0), 24)</f>
        <v/>
      </c>
    </row>
    <row r="2234">
      <c r="A2234">
        <f>Skills!A4</f>
        <v/>
      </c>
      <c r="B2234">
        <f>Skills!B4</f>
        <v/>
      </c>
      <c r="C2234">
        <f>Inputs!$B$3&gt;=40</f>
        <v/>
      </c>
      <c r="D2234">
        <f>IF(Skills!C4=1,60+Inputs!$B$25+Inputs!$B$29,IF(Skills!C4=2,90+Inputs!$B$26+Inputs!$B$29,IF(Skills!C4=3,120+Inputs!$B$27+Inputs!$B$29,MAX(0,(Inputs!$B$3-100)*3)+Inputs!$B$28+Inputs!$B$29)))</f>
        <v/>
      </c>
      <c r="E2234">
        <f>INDEX(FactorTable!$B$2:$Y$301, MATCH(ROUND(MIN(300,MAX(1,D2234)),0), FactorTable!$A$2:$A$301,0), Skills!L4+1)</f>
        <v/>
      </c>
      <c r="F2234">
        <f>IF(Skills!M4=TRUE,(Skills!K4/10)*(E2234/1000),Skills!K4/10)+Skills!N4</f>
        <v/>
      </c>
      <c r="G2234">
        <f>Calc!G4</f>
        <v/>
      </c>
      <c r="H2234">
        <f>Calc!H4</f>
        <v/>
      </c>
      <c r="I2234">
        <f>IF(Skills!T4&lt;&gt;"",1+(Skills!T4/10)*(Z2233/1000)/100,1)</f>
        <v/>
      </c>
      <c r="J2234" t="inlineStr"/>
      <c r="K2234" t="inlineStr"/>
      <c r="L2234" t="inlineStr"/>
      <c r="M2234" t="inlineStr"/>
      <c r="N2234" t="inlineStr"/>
      <c r="O2234">
        <f>(1-Summary!$B$11)*S2234+Summary!$B$11*U2234</f>
        <v/>
      </c>
      <c r="P2234">
        <f>IF(B2267=0,0,O2234/B2267)</f>
        <v/>
      </c>
      <c r="Q2234">
        <f>IFERROR(1/IF(Inputs!$B$38="pvp",15,MAX(0.1,Skills!D4-IF(Skills!E4=TRUE,Inputs!$B$32,0))),0)</f>
        <v/>
      </c>
      <c r="R2234">
        <f>IF(AND(Inputs!$B$38&lt;&gt;"pvp",Inputs!$B$43&gt;0),IF(Inputs!$B$43&lt;=0,0,(INT(Inputs!$B$43/IF(Inputs!$B$38="pvp",15,MAX(0.1,Skills!D4-IF(Skills!E4=TRUE,Inputs!$B$32,0))))+1)),0)</f>
        <v/>
      </c>
      <c r="S2234" t="n">
        <v>0</v>
      </c>
      <c r="T2234">
        <f>290*T2233/1000</f>
        <v/>
      </c>
      <c r="U2234" t="n">
        <v>0</v>
      </c>
    </row>
    <row r="2235">
      <c r="A2235">
        <f>Skills!A5</f>
        <v/>
      </c>
      <c r="B2235">
        <f>Skills!B5</f>
        <v/>
      </c>
      <c r="C2235">
        <f>Inputs!$B$3&gt;=38</f>
        <v/>
      </c>
      <c r="D2235">
        <f>IF(Skills!C5=1,60+Inputs!$B$25+Inputs!$B$29,IF(Skills!C5=2,90+Inputs!$B$26+Inputs!$B$29,IF(Skills!C5=3,120+Inputs!$B$27+Inputs!$B$29,MAX(0,(Inputs!$B$3-100)*3)+Inputs!$B$28+Inputs!$B$29)))</f>
        <v/>
      </c>
      <c r="E2235">
        <f>INDEX(FactorTable!$B$2:$Y$301, MATCH(ROUND(MIN(300,MAX(1,D2235)),0), FactorTable!$A$2:$A$301,0), Skills!L5+1)</f>
        <v/>
      </c>
      <c r="F2235">
        <f>IF(Skills!M5=TRUE,(Skills!K5/10)*(E2235/1000),Skills!K5/10)+Skills!N5</f>
        <v/>
      </c>
      <c r="G2235">
        <f>Calc!G5</f>
        <v/>
      </c>
      <c r="H2235">
        <f>Calc!H5</f>
        <v/>
      </c>
      <c r="I2235">
        <f>IF(Skills!T5&lt;&gt;"",1+(Skills!T5/10)*(Z2233/1000)/100,1)</f>
        <v/>
      </c>
      <c r="J2235">
        <f>((Inputs!$B$6*(1+Inputs!$B$7/100))+(((Inputs!$B$12*(1+Inputs!$B$13/100))-(Inputs!$B$12*(1+Inputs!$B$13/100)))+0.25*(Inputs!$B$14-Inputs!$B$14))*(1+Inputs!$B$7/100))*(F2235/100)</f>
        <v/>
      </c>
      <c r="K2235">
        <f>J2235*(1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5="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18),(Inputs!$B$23+(IF(ArtifactsInput!$M$15,CHOOSE(ArtifactsInput!$N$15+1,25,30,35,40,45,50)/100*(Inputs!$B$11-Inputs!$B$11),0))))/100+(Inputs!$B$23+(IF(ArtifactsInput!$M$15,CHOOSE(ArtifactsInput!$N$15+1,25,30,35,40,45,50)/100*(Inputs!$B$11-Inputs!$B$11),0)))/100)/2</f>
        <v/>
      </c>
      <c r="M2235">
        <f>L2235*(1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IFERROR(1/IF(Inputs!$B$38="pvp",15,MAX(0.1,Skills!D5-IF(Skills!E5=TRUE,Inputs!$B$32,0))),0)</f>
        <v/>
      </c>
      <c r="R2235">
        <f>IF(AND(Inputs!$B$38&lt;&gt;"pvp",Inputs!$B$43&gt;0),IF(MAX(0,Inputs!$B$43-B2264)&lt;=0,0,(INT(MAX(0,Inputs!$B$43-B2264)/IF(Inputs!$B$38="pvp",15,MAX(0.1,Skills!D5-IF(Skills!E5=TRUE,Inputs!$B$32,0))))+1)),0)</f>
        <v/>
      </c>
      <c r="S2235">
        <f>IF(C2235,(H2235*N2235*IF(AND(Inputs!$B$38&lt;&gt;"pvp",Inputs!$B$43&gt;0),((Skills!F5*((R2235-1)*IF(Skills!G5&gt;0,Skills!H5/Skills!G5,1)+IF(Skills!G5&gt;0,MIN(Skills!H5,MAX(0,MAX(0,Inputs!$B$43-B2264)-((R2235-1)*IF(Inputs!$B$38="pvp",15,MAX(0.1,Skills!D5-IF(Skills!E5=TRUE,Inputs!$B$32,0))))))/Skills!G5,1)))/Inputs!$B$43),G2235*Q2235))*IF(Inputs!$B$38="pvp",1,1+(Inputs!$B$20+Skills!O5+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F5*((R2235-1)*IF(Skills!G5&gt;0,Skills!H5/Skills!G5,1)+IF(Skills!G5&gt;0,MIN(Skills!H5,MAX(0,MAX(0,Inputs!$B$43-B2264)-((R2235-1)*IF(Inputs!$B$38="pvp",15,MAX(0.1,Skills!D5-IF(Skills!E5=TRUE,Inputs!$B$32,0))))))/Skills!G5,1)))/Inputs!$B$43),G2235*Q2235))*IF(Inputs!$B$38="pvp",1,(1+(Inputs!$B$21+Skills!P5+B2258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Skills!A6</f>
        <v/>
      </c>
      <c r="B2236">
        <f>Skills!B6</f>
        <v/>
      </c>
      <c r="C2236">
        <f>Inputs!$B$3&gt;=63</f>
        <v/>
      </c>
      <c r="D2236">
        <f>IF(Skills!C6=1,60+Inputs!$B$25+Inputs!$B$29,IF(Skills!C6=2,90+Inputs!$B$26+Inputs!$B$29,IF(Skills!C6=3,120+Inputs!$B$27+Inputs!$B$29,MAX(0,(Inputs!$B$3-100)*3)+Inputs!$B$28+Inputs!$B$29)))</f>
        <v/>
      </c>
      <c r="E2236">
        <f>INDEX(FactorTable!$B$2:$Y$301, MATCH(ROUND(MIN(300,MAX(1,D2236)),0), FactorTable!$A$2:$A$301,0), Skills!L6+1)</f>
        <v/>
      </c>
      <c r="F2236">
        <f>IF(Skills!M6=TRUE,(Skills!K6/10)*(E2236/1000),Skills!K6/10)+Skills!N6</f>
        <v/>
      </c>
      <c r="G2236">
        <f>Calc!G6</f>
        <v/>
      </c>
      <c r="H2236">
        <f>Calc!H6</f>
        <v/>
      </c>
      <c r="I2236">
        <f>IF(Skills!T6&lt;&gt;"",1+(Skills!T6/10)*(Z2233/1000)/100,1)</f>
        <v/>
      </c>
      <c r="J2236">
        <f>((Inputs!$B$6*(1+Inputs!$B$7/100))+(((Inputs!$B$12*(1+Inputs!$B$13/100))-(Inputs!$B$12*(1+Inputs!$B$13/100)))+0.25*(Inputs!$B$14-Inputs!$B$14))*(1+Inputs!$B$7/100))*(F2236/100)</f>
        <v/>
      </c>
      <c r="K2236">
        <f>J2236*(1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6="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18),(Inputs!$B$23+(IF(ArtifactsInput!$M$15,CHOOSE(ArtifactsInput!$N$15+1,25,30,35,40,45,50)/100*(Inputs!$B$11-Inputs!$B$11),0))))/100+(Inputs!$B$23+(IF(ArtifactsInput!$M$15,CHOOSE(ArtifactsInput!$N$15+1,25,30,35,40,45,50)/100*(Inputs!$B$11-Inputs!$B$11),0)))/100)/2</f>
        <v/>
      </c>
      <c r="M2236">
        <f>L2236*(1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IFERROR(1/IF(Inputs!$B$38="pvp",15,MAX(0.1,Skills!D6-IF(Skills!E6=TRUE,Inputs!$B$32,0))),0)</f>
        <v/>
      </c>
      <c r="R2236">
        <f>IF(AND(Inputs!$B$38&lt;&gt;"pvp",Inputs!$B$43&gt;0),IF(MAX(0,Inputs!$B$43-B2264)&lt;=0,0,(INT(MAX(0,Inputs!$B$43-B2264)/IF(Inputs!$B$38="pvp",15,MAX(0.1,Skills!D6-IF(Skills!E6=TRUE,Inputs!$B$32,0))))+1)),0)</f>
        <v/>
      </c>
      <c r="S2236">
        <f>IF(C2236,(H2236*N2236*IF(AND(Inputs!$B$38&lt;&gt;"pvp",Inputs!$B$43&gt;0),((Skills!F6*((R2236-1)*IF(Skills!G6&gt;0,Skills!H6/Skills!G6,1)+IF(Skills!G6&gt;0,MIN(Skills!H6,MAX(0,MAX(0,Inputs!$B$43-B2264)-((R2236-1)*IF(Inputs!$B$38="pvp",15,MAX(0.1,Skills!D6-IF(Skills!E6=TRUE,Inputs!$B$32,0))))))/Skills!G6,1)))/Inputs!$B$43),G2236*Q2236))*IF(Inputs!$B$38="pvp",1,1+(Inputs!$B$20+Skills!O6+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F6*((R2236-1)*IF(Skills!G6&gt;0,Skills!H6/Skills!G6,1)+IF(Skills!G6&gt;0,MIN(Skills!H6,MAX(0,MAX(0,Inputs!$B$43-B2264)-((R2236-1)*IF(Inputs!$B$38="pvp",15,MAX(0.1,Skills!D6-IF(Skills!E6=TRUE,Inputs!$B$32,0))))))/Skills!G6,1)))/Inputs!$B$43),G2236*Q2236))*IF(Inputs!$B$38="pvp",1,(1+(Inputs!$B$21+Skills!P6+B2258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Skills!A7</f>
        <v/>
      </c>
      <c r="B2237">
        <f>Skills!B7</f>
        <v/>
      </c>
      <c r="C2237">
        <f>Inputs!$B$3&gt;=69</f>
        <v/>
      </c>
      <c r="D2237">
        <f>IF(Skills!C7=1,60+Inputs!$B$25+Inputs!$B$29,IF(Skills!C7=2,90+Inputs!$B$26+Inputs!$B$29,IF(Skills!C7=3,120+Inputs!$B$27+Inputs!$B$29,MAX(0,(Inputs!$B$3-100)*3)+Inputs!$B$28+Inputs!$B$29)))</f>
        <v/>
      </c>
      <c r="E2237">
        <f>INDEX(FactorTable!$B$2:$Y$301, MATCH(ROUND(MIN(300,MAX(1,D2237)),0), FactorTable!$A$2:$A$301,0), Skills!L7+1)</f>
        <v/>
      </c>
      <c r="F2237">
        <f>IF(Skills!M7=TRUE,(Skills!K7/10)*(E2237/1000),Skills!K7/10)+Skills!N7</f>
        <v/>
      </c>
      <c r="G2237">
        <f>Calc!G7</f>
        <v/>
      </c>
      <c r="H2237">
        <f>Calc!H7</f>
        <v/>
      </c>
      <c r="I2237">
        <f>IF(Skills!T7&lt;&gt;"",1+(Skills!T7/10)*(Z2233/1000)/100,1)</f>
        <v/>
      </c>
      <c r="J2237">
        <f>((Inputs!$B$6*(1+Inputs!$B$7/100))+(((Inputs!$B$12*(1+Inputs!$B$13/100))-(Inputs!$B$12*(1+Inputs!$B$13/100)))+0.25*(Inputs!$B$14-Inputs!$B$14))*(1+Inputs!$B$7/100))*(F2237/100)</f>
        <v/>
      </c>
      <c r="K2237">
        <f>J2237*(1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7="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F2248-Calc!F18),(Inputs!$B$23+(IF(ArtifactsInput!$M$15,CHOOSE(ArtifactsInput!$N$15+1,25,30,35,40,45,50)/100*(Inputs!$B$11-Inputs!$B$11),0))))/100+(Inputs!$B$23+(IF(ArtifactsInput!$M$15,CHOOSE(ArtifactsInput!$N$15+1,25,30,35,40,45,50)/100*(Inputs!$B$11-Inputs!$B$11),0)))/100)/2</f>
        <v/>
      </c>
      <c r="M2237">
        <f>L2237*(1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(1-Summary!$B$11)*S2237+Summary!$B$11*U2237</f>
        <v/>
      </c>
      <c r="P2237">
        <f>IF(B2267=0,0,O2237/B2267)</f>
        <v/>
      </c>
      <c r="Q2237">
        <f>IFERROR(1/IF(Inputs!$B$38="pvp",15,MAX(0.1,Skills!D7-IF(Skills!E7=TRUE,Inputs!$B$32,0))),0)</f>
        <v/>
      </c>
      <c r="R2237">
        <f>IF(AND(Inputs!$B$38&lt;&gt;"pvp",Inputs!$B$43&gt;0),IF(MAX(0,Inputs!$B$43-B2264)&lt;=0,0,(INT(MAX(0,Inputs!$B$43-B2264)/IF(Inputs!$B$38="pvp",15,MAX(0.1,Skills!D7-IF(Skills!E7=TRUE,Inputs!$B$32,0))))+1)),0)</f>
        <v/>
      </c>
      <c r="S2237">
        <f>IF(C2237,(H2237*N2237*IF(AND(Inputs!$B$38&lt;&gt;"pvp",Inputs!$B$43&gt;0),((Skills!F7*((R2237-1)*IF(Skills!G7&gt;0,Skills!H7/Skills!G7,1)+IF(Skills!G7&gt;0,MIN(Skills!H7,MAX(0,MAX(0,Inputs!$B$43-B2264)-((R2237-1)*IF(Inputs!$B$38="pvp",15,MAX(0.1,Skills!D7-IF(Skills!E7=TRUE,Inputs!$B$32,0))))))/Skills!G7,1)))/Inputs!$B$43),G2237*Q2237))*IF(Inputs!$B$38="pvp",1,1+(Inputs!$B$20+Skills!O7+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2237*(1-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7">
        <f>IF(C2237,(H2237*N2237*IF(AND(Inputs!$B$38&lt;&gt;"pvp",Inputs!$B$43&gt;0),((Skills!F7*((R2237-1)*IF(Skills!G7&gt;0,Skills!H7/Skills!G7,1)+IF(Skills!G7&gt;0,MIN(Skills!H7,MAX(0,MAX(0,Inputs!$B$43-B2264)-((R2237-1)*IF(Inputs!$B$38="pvp",15,MAX(0.1,Skills!D7-IF(Skills!E7=TRUE,Inputs!$B$32,0))))))/Skills!G7,1)))/Inputs!$B$43),G2237*Q2237))*IF(Inputs!$B$38="pvp",1,(1+(Inputs!$B$21+Skills!P7+B2258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Skills!A8</f>
        <v/>
      </c>
      <c r="B2238">
        <f>Skills!B8</f>
        <v/>
      </c>
      <c r="C2238">
        <f>Inputs!$B$3&gt;=103</f>
        <v/>
      </c>
      <c r="D2238">
        <f>IF(Skills!C8=1,60+Inputs!$B$25+Inputs!$B$29,IF(Skills!C8=2,90+Inputs!$B$26+Inputs!$B$29,IF(Skills!C8=3,120+Inputs!$B$27+Inputs!$B$29,MAX(0,(Inputs!$B$3-100)*3)+Inputs!$B$28+Inputs!$B$29)))</f>
        <v/>
      </c>
      <c r="E2238">
        <f>INDEX(FactorTable!$B$2:$Y$301, MATCH(ROUND(MIN(300,MAX(1,D2238)),0), FactorTable!$A$2:$A$301,0), Skills!L8+1)</f>
        <v/>
      </c>
      <c r="F2238">
        <f>IF(Skills!M8=TRUE,(Skills!K8/10)*(E2238/1000),Skills!K8/10)+Skills!N8</f>
        <v/>
      </c>
      <c r="G2238">
        <f>Calc!G8</f>
        <v/>
      </c>
      <c r="H2238">
        <f>Calc!H8</f>
        <v/>
      </c>
      <c r="I2238">
        <f>IF(Skills!T8&lt;&gt;"",1+(Skills!T8/10)*(Z2233/1000)/100,1)</f>
        <v/>
      </c>
      <c r="J2238">
        <f>((Inputs!$B$6*(1+Inputs!$B$7/100))+(((Inputs!$B$12*(1+Inputs!$B$13/100))-(Inputs!$B$12*(1+Inputs!$B$13/100)))+0.25*(Inputs!$B$14-Inputs!$B$14))*(1+Inputs!$B$7/100))*(F2238/100)</f>
        <v/>
      </c>
      <c r="K2238">
        <f>J2238*(1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8="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F2248-Calc!F18),(Inputs!$B$23+(IF(ArtifactsInput!$M$15,CHOOSE(ArtifactsInput!$N$15+1,25,30,35,40,45,50)/100*(Inputs!$B$11-Inputs!$B$11),0))))/100+(Inputs!$B$23+(IF(ArtifactsInput!$M$15,CHOOSE(ArtifactsInput!$N$15+1,25,30,35,40,45,50)/100*(Inputs!$B$11-Inputs!$B$11),0)))/100)/2</f>
        <v/>
      </c>
      <c r="M2238">
        <f>L2238*(1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(1-Summary!$B$11)*S2238+Summary!$B$11*U2238</f>
        <v/>
      </c>
      <c r="P2238">
        <f>IF(B2267=0,0,O2238/B2267)</f>
        <v/>
      </c>
      <c r="Q2238">
        <f>IFERROR(1/IF(Inputs!$B$38="pvp",15,MAX(0.1,Skills!D8-IF(Skills!E8=TRUE,Inputs!$B$32,0))),0)</f>
        <v/>
      </c>
      <c r="R2238">
        <f>IF(AND(Inputs!$B$38&lt;&gt;"pvp",Inputs!$B$43&gt;0),IF(MAX(0,Inputs!$B$43-B2264)&lt;=0,0,(INT(MAX(0,Inputs!$B$43-B2264)/IF(Inputs!$B$38="pvp",15,MAX(0.1,Skills!D8-IF(Skills!E8=TRUE,Inputs!$B$32,0))))+1)),0)</f>
        <v/>
      </c>
      <c r="S2238">
        <f>IF(C2238,(H2238*N2238*IF(AND(Inputs!$B$38&lt;&gt;"pvp",Inputs!$B$43&gt;0),((Skills!F8*((R2238-1)*IF(Skills!G8&gt;0,Skills!H8/Skills!G8,1)+IF(Skills!G8&gt;0,MIN(Skills!H8,MAX(0,MAX(0,Inputs!$B$43-B2264)-((R2238-1)*IF(Inputs!$B$38="pvp",15,MAX(0.1,Skills!D8-IF(Skills!E8=TRUE,Inputs!$B$32,0))))))/Skills!G8,1)))/Inputs!$B$43),G2238*Q2238))*IF(Inputs!$B$38="pvp",1,1+(Inputs!$B$20+Skills!O8+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2238*(1-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8">
        <f>IF(C2238,(H2238*N2238*IF(AND(Inputs!$B$38&lt;&gt;"pvp",Inputs!$B$43&gt;0),((Skills!F8*((R2238-1)*IF(Skills!G8&gt;0,Skills!H8/Skills!G8,1)+IF(Skills!G8&gt;0,MIN(Skills!H8,MAX(0,MAX(0,Inputs!$B$43-B2264)-((R2238-1)*IF(Inputs!$B$38="pvp",15,MAX(0.1,Skills!D8-IF(Skills!E8=TRUE,Inputs!$B$32,0))))))/Skills!G8,1)))/Inputs!$B$43),G2238*Q2238))*IF(Inputs!$B$38="pvp",1,(1+(Inputs!$B$21+Skills!P8+B2258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Skills!A9</f>
        <v/>
      </c>
      <c r="B2239">
        <f>Skills!B9</f>
        <v/>
      </c>
      <c r="C2239">
        <f>Inputs!$B$3&gt;=105</f>
        <v/>
      </c>
      <c r="D2239">
        <f>IF(Skills!C9=1,60+Inputs!$B$25+Inputs!$B$29,IF(Skills!C9=2,90+Inputs!$B$26+Inputs!$B$29,IF(Skills!C9=3,120+Inputs!$B$27+Inputs!$B$29,MAX(0,(Inputs!$B$3-100)*3)+Inputs!$B$28+Inputs!$B$29)))</f>
        <v/>
      </c>
      <c r="E2239">
        <f>INDEX(FactorTable!$B$2:$Y$301, MATCH(ROUND(MIN(300,MAX(1,D2239)),0), FactorTable!$A$2:$A$301,0), Skills!L9+1)</f>
        <v/>
      </c>
      <c r="F2239">
        <f>IF(Skills!M9=TRUE,(Skills!K9/10)*(E2239/1000),Skills!K9/10)+Skills!N9</f>
        <v/>
      </c>
      <c r="G2239">
        <f>Calc!G9</f>
        <v/>
      </c>
      <c r="H2239">
        <f>Calc!H9</f>
        <v/>
      </c>
      <c r="I2239">
        <f>IF(Skills!T9&lt;&gt;"",1+(Skills!T9/10)*(Z2233/1000)/100,1)</f>
        <v/>
      </c>
      <c r="J2239">
        <f>((Inputs!$B$6*(1+Inputs!$B$7/100))+(((Inputs!$B$12*(1+Inputs!$B$13/100))-(Inputs!$B$12*(1+Inputs!$B$13/100)))+0.25*(Inputs!$B$14-Inputs!$B$14))*(1+Inputs!$B$7/100))*(F2239/100)</f>
        <v/>
      </c>
      <c r="K2239">
        <f>J2239*(1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9="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18),(Inputs!$B$23+(IF(ArtifactsInput!$M$15,CHOOSE(ArtifactsInput!$N$15+1,25,30,35,40,45,50)/100*(Inputs!$B$11-Inputs!$B$11),0))))/100+(Inputs!$B$23+(IF(ArtifactsInput!$M$15,CHOOSE(ArtifactsInput!$N$15+1,25,30,35,40,45,50)/100*(Inputs!$B$11-Inputs!$B$11),0)))/100)/2</f>
        <v/>
      </c>
      <c r="M2239">
        <f>L2239*(1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IFERROR(1/IF(Inputs!$B$38="pvp",15,MAX(0.1,Skills!D9-IF(Skills!E9=TRUE,Inputs!$B$32,0))),0)</f>
        <v/>
      </c>
      <c r="R2239">
        <f>IF(AND(Inputs!$B$38&lt;&gt;"pvp",Inputs!$B$43&gt;0),IF(MAX(0,Inputs!$B$43-B2264)&lt;=0,0,(INT(MAX(0,Inputs!$B$43-B2264)/IF(Inputs!$B$38="pvp",15,MAX(0.1,Skills!D9-IF(Skills!E9=TRUE,Inputs!$B$32,0))))+1)),0)</f>
        <v/>
      </c>
      <c r="S2239">
        <f>IF(C2239,(H2239*N2239*IF(AND(Inputs!$B$38&lt;&gt;"pvp",Inputs!$B$43&gt;0),((Skills!F9*((R2239-1)*IF(Skills!G9&gt;0,Skills!H9/Skills!G9,1)+IF(Skills!G9&gt;0,MIN(Skills!H9,MAX(0,MAX(0,Inputs!$B$43-B2264)-((R2239-1)*IF(Inputs!$B$38="pvp",15,MAX(0.1,Skills!D9-IF(Skills!E9=TRUE,Inputs!$B$32,0))))))/Skills!G9,1)))/Inputs!$B$43),G2239*Q2239))*IF(Inputs!$B$38="pvp",1,1+(Inputs!$B$20+Skills!O9+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F9*((R2239-1)*IF(Skills!G9&gt;0,Skills!H9/Skills!G9,1)+IF(Skills!G9&gt;0,MIN(Skills!H9,MAX(0,MAX(0,Inputs!$B$43-B2264)-((R2239-1)*IF(Inputs!$B$38="pvp",15,MAX(0.1,Skills!D9-IF(Skills!E9=TRUE,Inputs!$B$32,0))))))/Skills!G9,1)))/Inputs!$B$43),G2239*Q2239))*IF(Inputs!$B$38="pvp",1,(1+(Inputs!$B$21+Skills!P9+B2258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Skills!A10</f>
        <v/>
      </c>
      <c r="B2240">
        <f>Skills!B10</f>
        <v/>
      </c>
      <c r="C2240">
        <f>Inputs!$B$3&gt;=113</f>
        <v/>
      </c>
      <c r="D2240">
        <f>IF(Skills!C10=1,60+Inputs!$B$25+Inputs!$B$29,IF(Skills!C10=2,90+Inputs!$B$26+Inputs!$B$29,IF(Skills!C10=3,120+Inputs!$B$27+Inputs!$B$29,MAX(0,(Inputs!$B$3-100)*3)+Inputs!$B$28+Inputs!$B$29)))</f>
        <v/>
      </c>
      <c r="E2240">
        <f>INDEX(FactorTable!$B$2:$Y$301, MATCH(ROUND(MIN(300,MAX(1,D2240)),0), FactorTable!$A$2:$A$301,0), Skills!L10+1)</f>
        <v/>
      </c>
      <c r="F2240">
        <f>IF(Skills!M10=TRUE,(Skills!K10/10)*(E2240/1000),Skills!K10/10)+Skills!N10</f>
        <v/>
      </c>
      <c r="G2240">
        <f>Calc!G10</f>
        <v/>
      </c>
      <c r="H2240">
        <f>Calc!H10</f>
        <v/>
      </c>
      <c r="I2240">
        <f>IF(Skills!T10&lt;&gt;"",1+(Skills!T10/10)*(Z2233/1000)/100,1)</f>
        <v/>
      </c>
      <c r="J2240">
        <f>((Inputs!$B$6*(1+Inputs!$B$7/100))+(((Inputs!$B$12*(1+Inputs!$B$13/100))-(Inputs!$B$12*(1+Inputs!$B$13/100)))+0.25*(Inputs!$B$14-Inputs!$B$14))*(1+Inputs!$B$7/100))*(F2240/100)</f>
        <v/>
      </c>
      <c r="K2240">
        <f>J2240*(1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10="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18),(Inputs!$B$23+(IF(ArtifactsInput!$M$15,CHOOSE(ArtifactsInput!$N$15+1,25,30,35,40,45,50)/100*(Inputs!$B$11-Inputs!$B$11),0))))/100+(Inputs!$B$23+(IF(ArtifactsInput!$M$15,CHOOSE(ArtifactsInput!$N$15+1,25,30,35,40,45,50)/100*(Inputs!$B$11-Inputs!$B$11),0)))/100)/2</f>
        <v/>
      </c>
      <c r="M2240">
        <f>L2240*(1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IFERROR(1/IF(Inputs!$B$38="pvp",15,MAX(0.1,Skills!D10-IF(Skills!E9=TRUE,Inputs!$B$32,0))),0)</f>
        <v/>
      </c>
      <c r="R2240">
        <f>IF(AND(Inputs!$B$38&lt;&gt;"pvp",Inputs!$B$43&gt;0),IF(MAX(0,Inputs!$B$43-B2264)&lt;=0,0,(INT(MAX(0,Inputs!$B$43-B2264)/IF(Inputs!$B$38="pvp",15,MAX(0.1,Skills!D10-IF(Skills!E9=TRUE,Inputs!$B$32,0))))+1)),0)</f>
        <v/>
      </c>
      <c r="S2240">
        <f>IF(C2240,(H2240*N2240*IF(AND(Inputs!$B$38&lt;&gt;"pvp",Inputs!$B$43&gt;0),((Skills!F10*((R2240-1)*IF(Skills!G10&gt;0,Skills!H10/Skills!G10,1)+IF(Skills!G10&gt;0,MIN(Skills!H10,MAX(0,MAX(0,Inputs!$B$43-B2264)-((R2240-1)*IF(Inputs!$B$38="pvp",15,MAX(0.1,Skills!D10-IF(Skills!E9=TRUE,Inputs!$B$32,0))))))/Skills!G10,1)))/Inputs!$B$43),G2240*Q2240))*IF(Inputs!$B$38="pvp",1,1+(Inputs!$B$20+Skills!O10+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N2240*IF(AND(Inputs!$B$38&lt;&gt;"pvp",Inputs!$B$43&gt;0),((Skills!F10*((R2240-1)*IF(Skills!G10&gt;0,Skills!H10/Skills!G10,1)+IF(Skills!G10&gt;0,MIN(Skills!H10,MAX(0,MAX(0,Inputs!$B$43-B2264)-((R2240-1)*IF(Inputs!$B$38="pvp",15,MAX(0.1,Skills!D10-IF(Skills!E9=TRUE,Inputs!$B$32,0))))))/Skills!G10,1)))/Inputs!$B$43),G2240*Q2240))*IF(Inputs!$B$38="pvp",1,(1+(Inputs!$B$21+Skills!P10+B2258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Skills!A11</f>
        <v/>
      </c>
      <c r="B2241">
        <f>Skills!B11</f>
        <v/>
      </c>
      <c r="C2241">
        <f>Inputs!$B$3&gt;=107</f>
        <v/>
      </c>
      <c r="D2241">
        <f>IF(Skills!C11=1,60+Inputs!$B$25+Inputs!$B$29,IF(Skills!C11=2,90+Inputs!$B$26+Inputs!$B$29,IF(Skills!C11=3,120+Inputs!$B$27+Inputs!$B$29,MAX(0,(Inputs!$B$3-100)*3)+Inputs!$B$28+Inputs!$B$29)))</f>
        <v/>
      </c>
      <c r="E2241">
        <f>INDEX(FactorTable!$B$2:$Y$301, MATCH(ROUND(MIN(300,MAX(1,D2241)),0), FactorTable!$A$2:$A$301,0), Skills!L11+1)</f>
        <v/>
      </c>
      <c r="F2241">
        <f>IF(Skills!M11=TRUE,(Skills!K11/10)*(E2241/1000),Skills!K11/10)+Skills!N11</f>
        <v/>
      </c>
      <c r="G2241">
        <f>Calc!G11</f>
        <v/>
      </c>
      <c r="H2241">
        <f>Calc!H11</f>
        <v/>
      </c>
      <c r="I2241">
        <f>IF(Skills!T11&lt;&gt;"",1+(Skills!T11/10)*(Z2233/1000)/100,1)</f>
        <v/>
      </c>
      <c r="J2241">
        <f>((Inputs!$B$6*(1+Inputs!$B$7/100))+(((Inputs!$B$12*(1+Inputs!$B$13/100))-(Inputs!$B$12*(1+Inputs!$B$13/100)))+0.25*(Inputs!$B$14-Inputs!$B$14))*(1+Inputs!$B$7/100))*(F2241/100)</f>
        <v/>
      </c>
      <c r="K2241">
        <f>J2241*(1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11="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18),(Inputs!$B$23+(IF(ArtifactsInput!$M$15,CHOOSE(ArtifactsInput!$N$15+1,25,30,35,40,45,50)/100*(Inputs!$B$11-Inputs!$B$11),0))))/100+(Inputs!$B$23+(IF(ArtifactsInput!$M$15,CHOOSE(ArtifactsInput!$N$15+1,25,30,35,40,45,50)/100*(Inputs!$B$11-Inputs!$B$11),0)))/100)/2</f>
        <v/>
      </c>
      <c r="M2241">
        <f>L2241*(1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IFERROR(1/IF(Inputs!$B$38="pvp",15,MAX(0.1,Skills!D11-IF(Skills!E11=TRUE,Inputs!$B$32,0))),0)</f>
        <v/>
      </c>
      <c r="R2241">
        <f>IF(AND(Inputs!$B$38&lt;&gt;"pvp",Inputs!$B$43&gt;0),IF(MAX(0,Inputs!$B$43-B2264)&lt;=0,0,(INT(MAX(0,Inputs!$B$43-B2264)/IF(Inputs!$B$38="pvp",15,MAX(0.1,Skills!D11-IF(Skills!E11=TRUE,Inputs!$B$32,0))))+1)),0)</f>
        <v/>
      </c>
      <c r="S2241">
        <f>IF(C2241,H2241*N2241*IF(AND(Inputs!$B$38&lt;&gt;"pvp",Inputs!$B$43&gt;0),((Skills!F11*((R2241-1)*IF(Skills!G11&gt;0,Skills!H11/Skills!G11,1)+IF(Skills!G11&gt;0,MIN(Skills!H11,MAX(0,MAX(0,Inputs!$B$43-B2264)-((R2241-1)*IF(Inputs!$B$38="pvp",15,MAX(0.1,Skills!D11-IF(Skills!E11=TRUE,Inputs!$B$32,0))))))/Skills!G11,1)))/Inputs!$B$43),G2241*Q2241)*0.5*IF(Inputs!$B$38="pvp",1,1+(Inputs!$B$20+Skills!O11+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F11*((R2241-1)*IF(Skills!G11&gt;0,Skills!H11/Skills!G11,1)+IF(Skills!G11&gt;0,MIN(Skills!H11,MAX(0,MAX(0,Inputs!$B$43-B2264)-((R2241-1)*IF(Inputs!$B$38="pvp",15,MAX(0.1,Skills!D11-IF(Skills!E11=TRUE,Inputs!$B$32,0))))))/Skills!G11,1)))/Inputs!$B$43),G2241*Q2241)*1*IF(Inputs!$B$38="pvp",1,(1+(Inputs!$B$21+Skills!P11+B2258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Skills!A12</f>
        <v/>
      </c>
      <c r="B2242">
        <f>Skills!B12</f>
        <v/>
      </c>
      <c r="C2242">
        <f>Inputs!$B$3&gt;=115</f>
        <v/>
      </c>
      <c r="D2242">
        <f>IF(Skills!C12=1,60+Inputs!$B$25+Inputs!$B$29,IF(Skills!C12=2,90+Inputs!$B$26+Inputs!$B$29,IF(Skills!C12=3,120+Inputs!$B$27+Inputs!$B$29,MAX(0,(Inputs!$B$3-100)*3)+Inputs!$B$28+Inputs!$B$29)))</f>
        <v/>
      </c>
      <c r="E2242">
        <f>INDEX(FactorTable!$B$2:$Y$301, MATCH(ROUND(MIN(300,MAX(1,D2242)),0), FactorTable!$A$2:$A$301,0), Skills!L12+1)</f>
        <v/>
      </c>
      <c r="F2242">
        <f>IF(Skills!M12=TRUE,(Skills!K12/10)*(E2242/1000),Skills!K12/10)+Skills!N12</f>
        <v/>
      </c>
      <c r="G2242">
        <f>Calc!G12</f>
        <v/>
      </c>
      <c r="H2242">
        <f>Calc!H12</f>
        <v/>
      </c>
      <c r="I2242">
        <f>IF(Skills!T12&lt;&gt;"",1+(Skills!T12/10)*(Z2233/1000)/100,1)</f>
        <v/>
      </c>
      <c r="J2242">
        <f>((Inputs!$B$6*(1+Inputs!$B$7/100))+(((Inputs!$B$12*(1+Inputs!$B$13/100))-(Inputs!$B$12*(1+Inputs!$B$13/100)))+0.25*(Inputs!$B$14-Inputs!$B$14))*(1+Inputs!$B$7/100))*(F2242/100)</f>
        <v/>
      </c>
      <c r="K2242">
        <f>J2242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12="CHAIN_LIGHTNING",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18),(Inputs!$B$23+(IF(ArtifactsInput!$M$15,CHOOSE(ArtifactsInput!$N$15+1,25,30,35,40,45,50)/100*(Inputs!$B$11-Inputs!$B$11),0))))/100+(Inputs!$B$23+(IF(ArtifactsInput!$M$15,CHOOSE(ArtifactsInput!$N$15+1,25,30,35,40,45,50)/100*(Inputs!$B$11-Inputs!$B$11),0)))/100)/2</f>
        <v/>
      </c>
      <c r="M2242">
        <f>L2242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IFERROR(1/IF(Inputs!$B$38="pvp",15,MAX(0.1,Skills!D12-IF(Skills!E12=TRUE,Inputs!$B$32,0))),0)</f>
        <v/>
      </c>
      <c r="R2242">
        <f>IF(AND(Inputs!$B$38&lt;&gt;"pvp",Inputs!$B$43&gt;0),IF(MAX(0,Inputs!$B$43-B2264)&lt;=0,0,(INT(MAX(0,Inputs!$B$43-B2264)/IF(Inputs!$B$38="pvp",15,MAX(0.1,Skills!D12-IF(Skills!E12=TRUE,Inputs!$B$32,0))))+1)),0)</f>
        <v/>
      </c>
      <c r="S2242">
        <f>IF(C2242,(H2242*N2242*IF(AND(Inputs!$B$38&lt;&gt;"pvp",Inputs!$B$43&gt;0),((Skills!F12*((R2242-1)*IF(Skills!G12&gt;0,Skills!H12/Skills!G12,1)+IF(Skills!G12&gt;0,MIN(Skills!H12,MAX(0,MAX(0,Inputs!$B$43-B2264)-((R2242-1)*IF(Inputs!$B$38="pvp",15,MAX(0.1,Skills!D12-IF(Skills!E12=TRUE,Inputs!$B$32,0))))))/Skills!G12,1)))/Inputs!$B$43),G2242*Q2242))*IF(Inputs!$B$38="pvp",1,1+(Inputs!$B$20+Skills!O12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2250-Calc!F20)+(F2249-Calc!F19))+(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F12*((R2242-1)*IF(Skills!G12&gt;0,Skills!H12/Skills!G12,1)+IF(Skills!G12&gt;0,MIN(Skills!H12,MAX(0,MAX(0,Inputs!$B$43-B2264)-((R2242-1)*IF(Inputs!$B$38="pvp",15,MAX(0.1,Skills!D12-IF(Skills!E12=TRUE,Inputs!$B$32,0))))))/Skills!G12,1)))/Inputs!$B$43),G2242*Q2242))*IF(Inputs!$B$38="pvp",1,(1+(Inputs!$B$21+Skills!P12+B2258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Skills!A13</f>
        <v/>
      </c>
      <c r="B2243">
        <f>Skills!B13</f>
        <v/>
      </c>
      <c r="C2243">
        <f>Inputs!$B$3&gt;=49</f>
        <v/>
      </c>
      <c r="D2243">
        <f>IF(Skills!C13=1,60+Inputs!$B$25+Inputs!$B$29,IF(Skills!C13=2,90+Inputs!$B$26+Inputs!$B$29,IF(Skills!C13=3,120+Inputs!$B$27+Inputs!$B$29,MAX(0,(Inputs!$B$3-100)*3)+Inputs!$B$28+Inputs!$B$29)))</f>
        <v/>
      </c>
      <c r="E2243">
        <f>INDEX(FactorTable!$B$2:$Y$301, MATCH(ROUND(MIN(300,MAX(1,D2243)),0), FactorTable!$A$2:$A$301,0), Skills!L13+1)</f>
        <v/>
      </c>
      <c r="F2243">
        <f>IF(Skills!M13=TRUE,(Skills!K13/10)*(E2243/1000),Skills!K13/10)+Skills!N13</f>
        <v/>
      </c>
      <c r="G2243">
        <f>Calc!G13</f>
        <v/>
      </c>
      <c r="H2243">
        <f>Calc!H13</f>
        <v/>
      </c>
      <c r="I2243">
        <f>IF(Skills!T13&lt;&gt;"",1+(Skills!T13/10)*(Z2233/1000)/100,1)</f>
        <v/>
      </c>
      <c r="J2243" t="inlineStr"/>
      <c r="K2243" t="inlineStr"/>
      <c r="L2243" t="inlineStr"/>
      <c r="M2243" t="inlineStr"/>
      <c r="N2243" t="inlineStr"/>
      <c r="O2243">
        <f>(1-Summary!$B$11)*S2243+Summary!$B$11*U2243</f>
        <v/>
      </c>
      <c r="P2243">
        <f>IF(B2267=0,0,O2243/B2267)</f>
        <v/>
      </c>
      <c r="Q2243">
        <f>IFERROR(1/IF(Inputs!$B$38="pvp",15,MAX(0.1,Skills!D13-IF(Skills!E13=TRUE,Inputs!$B$32,0))),0)</f>
        <v/>
      </c>
      <c r="R2243" t="n">
        <v>0</v>
      </c>
      <c r="S2243" t="n">
        <v>0</v>
      </c>
      <c r="U2243" t="n">
        <v>0</v>
      </c>
    </row>
    <row r="2244">
      <c r="A2244">
        <f>Skills!A14</f>
        <v/>
      </c>
      <c r="B2244">
        <f>Skills!B14</f>
        <v/>
      </c>
      <c r="C2244">
        <f>Inputs!$B$3&gt;=72</f>
        <v/>
      </c>
      <c r="D2244">
        <f>IF(Skills!C14=1,60+Inputs!$B$25+Inputs!$B$29,IF(Skills!C14=2,90+Inputs!$B$26+Inputs!$B$29,IF(Skills!C14=3,120+Inputs!$B$27+Inputs!$B$29,MAX(0,(Inputs!$B$3-100)*3)+Inputs!$B$28+Inputs!$B$29)))</f>
        <v/>
      </c>
      <c r="E2244">
        <f>INDEX(FactorTable!$B$2:$Y$301, MATCH(ROUND(MIN(300,MAX(1,D2244)),0), FactorTable!$A$2:$A$301,0), Skills!L14+1)</f>
        <v/>
      </c>
      <c r="F2244">
        <f>IF(Skills!M14=TRUE,(Skills!K14/10)*(E2244/1000),Skills!K14/10)+Skills!N14</f>
        <v/>
      </c>
      <c r="G2244">
        <f>Calc!G14</f>
        <v/>
      </c>
      <c r="H2244">
        <f>Calc!H14</f>
        <v/>
      </c>
      <c r="I2244">
        <f>IF(Skills!T14&lt;&gt;"",1+(Skills!T14/10)*(Z2233/1000)/100,1)</f>
        <v/>
      </c>
      <c r="J2244" t="inlineStr"/>
      <c r="K2244" t="inlineStr"/>
      <c r="L2244" t="inlineStr"/>
      <c r="M2244" t="inlineStr"/>
      <c r="N2244" t="inlineStr"/>
      <c r="O2244">
        <f>(1-Summary!$B$11)*S2244+Summary!$B$11*U2244</f>
        <v/>
      </c>
      <c r="P2244">
        <f>IF(B2267=0,0,O2244/B2267)</f>
        <v/>
      </c>
      <c r="Q2244">
        <f>IFERROR(1/IF(Inputs!$B$38="pvp",15,MAX(0.1,Skills!D14-IF(Skills!E14=TRUE,Inputs!$B$32,0))),0)</f>
        <v/>
      </c>
      <c r="R2244" t="n">
        <v>0</v>
      </c>
      <c r="S2244" t="n">
        <v>0</v>
      </c>
      <c r="U2244" t="n">
        <v>0</v>
      </c>
    </row>
    <row r="2245">
      <c r="A2245">
        <f>Skills!A15</f>
        <v/>
      </c>
      <c r="B2245">
        <f>Skills!B15</f>
        <v/>
      </c>
      <c r="C2245">
        <f>Inputs!$B$3&gt;=75</f>
        <v/>
      </c>
      <c r="D2245">
        <f>IF(Skills!C15=1,60+Inputs!$B$25+Inputs!$B$29,IF(Skills!C15=2,90+Inputs!$B$26+Inputs!$B$29,IF(Skills!C15=3,120+Inputs!$B$27+Inputs!$B$29,MAX(0,(Inputs!$B$3-100)*3)+Inputs!$B$28+Inputs!$B$29)))</f>
        <v/>
      </c>
      <c r="E2245">
        <f>INDEX(FactorTable!$B$2:$Y$301, MATCH(ROUND(MIN(300,MAX(1,D2245)),0), FactorTable!$A$2:$A$301,0), Skills!L15+1)</f>
        <v/>
      </c>
      <c r="F2245">
        <f>IF(Skills!M15=TRUE,(Skills!K15/10)*(E2245/1000),Skills!K15/10)+Skills!N15</f>
        <v/>
      </c>
      <c r="G2245">
        <f>Calc!G15</f>
        <v/>
      </c>
      <c r="H2245">
        <f>Calc!H15</f>
        <v/>
      </c>
      <c r="I2245">
        <f>IF(Skills!T15&lt;&gt;"",1+(Skills!T15/10)*(Z2233/1000)/100,1)</f>
        <v/>
      </c>
      <c r="J2245" t="inlineStr"/>
      <c r="K2245" t="inlineStr"/>
      <c r="L2245" t="inlineStr"/>
      <c r="M2245" t="inlineStr"/>
      <c r="N2245" t="inlineStr"/>
      <c r="O2245">
        <f>(1-Summary!$B$11)*S2245+Summary!$B$11*U2245</f>
        <v/>
      </c>
      <c r="P2245">
        <f>IF(B2267=0,0,O2245/B2267)</f>
        <v/>
      </c>
      <c r="Q2245">
        <f>IFERROR(1/IF(Inputs!$B$38="pvp",15,MAX(0.1,Skills!D15-IF(Skills!E15=TRUE,Inputs!$B$32,0))),0)</f>
        <v/>
      </c>
      <c r="R2245" t="n">
        <v>0</v>
      </c>
      <c r="S2245" t="n">
        <v>0</v>
      </c>
      <c r="U2245" t="n">
        <v>0</v>
      </c>
    </row>
    <row r="2246">
      <c r="A2246">
        <f>Skills!A16</f>
        <v/>
      </c>
      <c r="B2246">
        <f>Skills!B16</f>
        <v/>
      </c>
      <c r="C2246">
        <f>Inputs!$B$3&gt;=110</f>
        <v/>
      </c>
      <c r="D2246">
        <f>IF(Skills!C16=1,60+Inputs!$B$25+Inputs!$B$29,IF(Skills!C16=2,90+Inputs!$B$26+Inputs!$B$29,IF(Skills!C16=3,120+Inputs!$B$27+Inputs!$B$29,MAX(0,(Inputs!$B$3-100)*3)+Inputs!$B$28+Inputs!$B$29)))</f>
        <v/>
      </c>
      <c r="E2246">
        <f>INDEX(FactorTable!$B$2:$Y$301, MATCH(ROUND(MIN(300,MAX(1,D2246)),0), FactorTable!$A$2:$A$301,0), Skills!L16+1)</f>
        <v/>
      </c>
      <c r="F2246">
        <f>(Skills!K16/10)*(E2246/1000)*64/45+Skills!N16</f>
        <v/>
      </c>
      <c r="G2246">
        <f>Calc!G16</f>
        <v/>
      </c>
      <c r="H2246">
        <f>Calc!H16</f>
        <v/>
      </c>
      <c r="I2246">
        <f>IF(Skills!T16&lt;&gt;"",1+(Skills!T16/10)*(Z2233/1000)/100,1)</f>
        <v/>
      </c>
      <c r="J2246" t="inlineStr"/>
      <c r="K2246" t="inlineStr"/>
      <c r="L2246" t="inlineStr"/>
      <c r="M2246" t="inlineStr"/>
      <c r="N2246" t="inlineStr"/>
      <c r="O2246">
        <f>(1-Summary!$B$11)*S2246+Summary!$B$11*U2246</f>
        <v/>
      </c>
      <c r="P2246">
        <f>IF(B2267=0,0,O2246/B2267)</f>
        <v/>
      </c>
      <c r="Q2246">
        <f>IFERROR(1/IF(Inputs!$B$38="pvp",15,MAX(0.1,Skills!D16-IF(Skills!E16=TRUE,Inputs!$B$32,0))),0)</f>
        <v/>
      </c>
      <c r="R2246">
        <f>IF(AND(Inputs!$B$38&lt;&gt;"pvp",Inputs!$B$43&gt;0),IF(Inputs!$B$43&lt;=0,0,(INT(Inputs!$B$43/IF(Inputs!$B$38="pvp",15,MAX(0.1,Skills!D16-IF(Skills!E16=TRUE,Inputs!$B$32,0))))+1)),0)</f>
        <v/>
      </c>
      <c r="S2246" t="n">
        <v>0</v>
      </c>
      <c r="U2246" t="n">
        <v>0</v>
      </c>
    </row>
    <row r="2247">
      <c r="A2247">
        <f>Skills!A17</f>
        <v/>
      </c>
      <c r="B2247">
        <f>Skills!B17</f>
        <v/>
      </c>
      <c r="C2247">
        <f>Inputs!$B$3&gt;=33</f>
        <v/>
      </c>
      <c r="D2247">
        <f>IF(Skills!C17=1,60+Inputs!$B$25+Inputs!$B$29,IF(Skills!C17=2,90+Inputs!$B$26+Inputs!$B$29,IF(Skills!C17=3,120+Inputs!$B$27+Inputs!$B$29,MAX(0,(Inputs!$B$3-100)*3)+Inputs!$B$28+Inputs!$B$29)))</f>
        <v/>
      </c>
      <c r="E2247">
        <f>INDEX(FactorTable!$B$2:$Y$301, MATCH(ROUND(MIN(300,MAX(1,D2247)),0), FactorTable!$A$2:$A$301,0), Skills!L17+1)</f>
        <v/>
      </c>
      <c r="F2247">
        <f>IF(Skills!M17=TRUE,(Skills!K17/10)*(E2247/1000),Skills!K17/10)+Skills!N17</f>
        <v/>
      </c>
      <c r="G2247">
        <f>Calc!G17</f>
        <v/>
      </c>
      <c r="H2247">
        <f>Calc!H17</f>
        <v/>
      </c>
      <c r="I2247">
        <f>IF(Skills!T17&lt;&gt;"",1+(Skills!T17/10)*(Z2233/1000)/100,1)</f>
        <v/>
      </c>
      <c r="J2247" t="inlineStr"/>
      <c r="K2247" t="inlineStr"/>
      <c r="L2247" t="inlineStr"/>
      <c r="M2247" t="inlineStr"/>
      <c r="N2247" t="inlineStr"/>
      <c r="O2247">
        <f>(1-Summary!$B$11)*S2247+Summary!$B$11*U2247</f>
        <v/>
      </c>
      <c r="P2247">
        <f>IF(B2267=0,0,O2247/B2267)</f>
        <v/>
      </c>
      <c r="Q2247">
        <f>IFERROR(1/IF(Inputs!$B$38="pvp",15,MAX(0.1,Skills!D17-IF(Skills!E17=TRUE,Inputs!$B$32,0))),0)</f>
        <v/>
      </c>
      <c r="R2247" t="n">
        <v>0</v>
      </c>
      <c r="S2247" t="n">
        <v>0</v>
      </c>
      <c r="U2247" t="n">
        <v>0</v>
      </c>
    </row>
    <row r="2248">
      <c r="A2248">
        <f>Skills!A18</f>
        <v/>
      </c>
      <c r="B2248">
        <f>Skills!B18</f>
        <v/>
      </c>
      <c r="C2248">
        <f>Inputs!$B$3&gt;=43</f>
        <v/>
      </c>
      <c r="D2248">
        <f>IF(Skills!C18=1,60+Inputs!$B$25+Inputs!$B$29,IF(Skills!C18=2,90+Inputs!$B$26+Inputs!$B$29,IF(Skills!C18=3,120+Inputs!$B$27+Inputs!$B$29,MAX(0,(Inputs!$B$3-100)*3)+Inputs!$B$28+Inputs!$B$29)))</f>
        <v/>
      </c>
      <c r="E2248">
        <f>INDEX(FactorTable!$B$2:$Y$301, MATCH(ROUND(MIN(300,MAX(1,D2248)),0), FactorTable!$A$2:$A$301,0), Skills!L18+1)</f>
        <v/>
      </c>
      <c r="F2248">
        <f>IF(Skills!M18=TRUE,(Skills!K18/10)*(E2248/1000),Skills!K18/10)+Skills!N18</f>
        <v/>
      </c>
      <c r="G2248">
        <f>Calc!G18</f>
        <v/>
      </c>
      <c r="H2248">
        <f>Calc!H18</f>
        <v/>
      </c>
      <c r="I2248">
        <f>IF(Skills!T18&lt;&gt;"",1+(Skills!T18/10)*(Z2233/1000)/100,1)</f>
        <v/>
      </c>
      <c r="J2248" t="inlineStr"/>
      <c r="K2248" t="inlineStr"/>
      <c r="L2248" t="inlineStr"/>
      <c r="M2248" t="inlineStr"/>
      <c r="N2248" t="inlineStr"/>
      <c r="O2248">
        <f>(1-Summary!$B$11)*S2248+Summary!$B$11*U2248</f>
        <v/>
      </c>
      <c r="P2248">
        <f>IF(B2267=0,0,O2248/B2267)</f>
        <v/>
      </c>
      <c r="Q2248">
        <f>IFERROR(1/IF(Inputs!$B$38="pvp",15,MAX(0.1,Skills!D18-IF(Skills!E18=TRUE,Inputs!$B$32,0))),0)</f>
        <v/>
      </c>
      <c r="R2248" t="n">
        <v>0</v>
      </c>
      <c r="S2248" t="n">
        <v>0</v>
      </c>
      <c r="U2248" t="n">
        <v>0</v>
      </c>
    </row>
    <row r="2249">
      <c r="A2249">
        <f>Skills!A19</f>
        <v/>
      </c>
      <c r="B2249">
        <f>Skills!B19</f>
        <v/>
      </c>
      <c r="C2249">
        <f>Inputs!$B$3&gt;=50</f>
        <v/>
      </c>
      <c r="D2249">
        <f>IF(Skills!C19=1,60+Inputs!$B$25+Inputs!$B$29,IF(Skills!C19=2,90+Inputs!$B$26+Inputs!$B$29,IF(Skills!C19=3,120+Inputs!$B$27+Inputs!$B$29,MAX(0,(Inputs!$B$3-100)*3)+Inputs!$B$28+Inputs!$B$29)))</f>
        <v/>
      </c>
      <c r="E2249">
        <f>INDEX(FactorTable!$B$2:$Y$301, MATCH(ROUND(MIN(300,MAX(1,D2249)),0), FactorTable!$A$2:$A$301,0), Skills!L19+1)</f>
        <v/>
      </c>
      <c r="F2249">
        <f>IF(Skills!M19=TRUE,(Skills!K19/10)*(E2249/1000),Skills!K19/10)+Skills!N19</f>
        <v/>
      </c>
      <c r="G2249">
        <f>Calc!G19</f>
        <v/>
      </c>
      <c r="H2249">
        <f>Calc!H19</f>
        <v/>
      </c>
      <c r="I2249">
        <f>IF(Skills!T19&lt;&gt;"",1+(Skills!T19/10)*(Z2233/1000)/100,1)</f>
        <v/>
      </c>
      <c r="J2249" t="inlineStr"/>
      <c r="K2249" t="inlineStr"/>
      <c r="L2249" t="inlineStr"/>
      <c r="M2249" t="inlineStr"/>
      <c r="N2249" t="inlineStr"/>
      <c r="O2249">
        <f>(1-Summary!$B$11)*S2249+Summary!$B$11*U2249</f>
        <v/>
      </c>
      <c r="P2249">
        <f>IF(B2267=0,0,O2249/B2267)</f>
        <v/>
      </c>
      <c r="Q2249">
        <f>IFERROR(1/IF(Inputs!$B$38="pvp",15,MAX(0.1,Skills!D19-IF(Skills!E19=TRUE,Inputs!$B$32,0))),0)</f>
        <v/>
      </c>
      <c r="R2249" t="n">
        <v>0</v>
      </c>
      <c r="S2249" t="n">
        <v>0</v>
      </c>
      <c r="U2249" t="n">
        <v>0</v>
      </c>
    </row>
    <row r="2250">
      <c r="A2250">
        <f>Skills!A20</f>
        <v/>
      </c>
      <c r="B2250">
        <f>Skills!B20</f>
        <v/>
      </c>
      <c r="C2250">
        <f>Inputs!$B$3&gt;=74</f>
        <v/>
      </c>
      <c r="D2250">
        <f>IF(Skills!C20=1,60+Inputs!$B$25+Inputs!$B$29,IF(Skills!C20=2,90+Inputs!$B$26+Inputs!$B$29,IF(Skills!C20=3,120+Inputs!$B$27+Inputs!$B$29,MAX(0,(Inputs!$B$3-100)*3)+Inputs!$B$28+Inputs!$B$29)))</f>
        <v/>
      </c>
      <c r="E2250">
        <f>INDEX(FactorTable!$B$2:$Y$301, MATCH(ROUND(MIN(300,MAX(1,D2250)),0), FactorTable!$A$2:$A$301,0), Skills!L20+1)</f>
        <v/>
      </c>
      <c r="F2250">
        <f>IF(Skills!M20=TRUE,(Skills!K20/10)*(E2250/1000),Skills!K20/10)+Skills!N20</f>
        <v/>
      </c>
      <c r="G2250">
        <f>Calc!G20</f>
        <v/>
      </c>
      <c r="H2250">
        <f>Calc!H20</f>
        <v/>
      </c>
      <c r="I2250">
        <f>IF(Skills!T20&lt;&gt;"",1+(Skills!T20/10)*(Z2233/1000)/100,1)</f>
        <v/>
      </c>
      <c r="J2250" t="inlineStr"/>
      <c r="K2250" t="inlineStr"/>
      <c r="L2250" t="inlineStr"/>
      <c r="M2250" t="inlineStr"/>
      <c r="N2250" t="inlineStr"/>
      <c r="O2250">
        <f>(1-Summary!$B$11)*S2250+Summary!$B$11*U2250</f>
        <v/>
      </c>
      <c r="P2250">
        <f>IF(B2267=0,0,O2250/B2267)</f>
        <v/>
      </c>
      <c r="Q2250">
        <f>IFERROR(1/IF(Inputs!$B$38="pvp",15,MAX(0.1,Skills!D20-IF(Skills!E20=TRUE,Inputs!$B$32,0))),0)</f>
        <v/>
      </c>
      <c r="R2250" t="n">
        <v>0</v>
      </c>
      <c r="S2250" t="n">
        <v>0</v>
      </c>
      <c r="U2250" t="n">
        <v>0</v>
      </c>
    </row>
    <row r="2251">
      <c r="A2251">
        <f>Skills!A21</f>
        <v/>
      </c>
      <c r="B2251">
        <f>Skills!B21</f>
        <v/>
      </c>
      <c r="C2251">
        <f>Inputs!$B$3&gt;=74</f>
        <v/>
      </c>
      <c r="D2251">
        <f>IF(Skills!C21=1,60+Inputs!$B$25+Inputs!$B$29,IF(Skills!C21=2,90+Inputs!$B$26+Inputs!$B$29,IF(Skills!C21=3,120+Inputs!$B$27+Inputs!$B$29,MAX(0,(Inputs!$B$3-100)*3)+Inputs!$B$28+Inputs!$B$29)))</f>
        <v/>
      </c>
      <c r="E2251">
        <f>INDEX(FactorTable!$B$2:$Y$301, MATCH(ROUND(MIN(300,MAX(1,D2251)),0), FactorTable!$A$2:$A$301,0), Skills!L21+1)</f>
        <v/>
      </c>
      <c r="F2251">
        <f>IF(Skills!M21=TRUE,(Skills!K21/10)*(E2251/1000),Skills!K21/10)+Skills!N21</f>
        <v/>
      </c>
      <c r="G2251">
        <f>Calc!G21</f>
        <v/>
      </c>
      <c r="H2251">
        <f>Calc!H21</f>
        <v/>
      </c>
      <c r="I2251">
        <f>IF(Skills!T21&lt;&gt;"",1+(Skills!T21/10)*(Z2233/1000)/100,1)</f>
        <v/>
      </c>
      <c r="J2251" t="inlineStr"/>
      <c r="K2251" t="inlineStr"/>
      <c r="L2251" t="inlineStr"/>
      <c r="M2251" t="inlineStr"/>
      <c r="N2251" t="inlineStr"/>
      <c r="O2251">
        <f>(1-Summary!$B$11)*S2251+Summary!$B$11*U2251</f>
        <v/>
      </c>
      <c r="P2251">
        <f>IF(B2267=0,0,O2251/B2267)</f>
        <v/>
      </c>
      <c r="Q2251">
        <f>IFERROR(1/IF(Inputs!$B$38="pvp",15,MAX(0.1,Skills!D21-IF(Skills!E21=TRUE,Inputs!$B$32,0))),0)</f>
        <v/>
      </c>
      <c r="R2251" t="n">
        <v>0</v>
      </c>
      <c r="S2251" t="n">
        <v>0</v>
      </c>
      <c r="U2251" t="n">
        <v>0</v>
      </c>
    </row>
    <row r="2252">
      <c r="A2252">
        <f>Skills!A22</f>
        <v/>
      </c>
      <c r="B2252">
        <f>Skills!B22</f>
        <v/>
      </c>
      <c r="C2252">
        <f>Inputs!$B$3&gt;=117</f>
        <v/>
      </c>
      <c r="D2252">
        <f>IF(Skills!C22=1,60+Inputs!$B$25+Inputs!$B$29,IF(Skills!C22=2,90+Inputs!$B$26+Inputs!$B$29,IF(Skills!C22=3,120+Inputs!$B$27+Inputs!$B$29,MAX(0,(Inputs!$B$3-100)*3)+Inputs!$B$28+Inputs!$B$29)))</f>
        <v/>
      </c>
      <c r="E2252">
        <f>INDEX(FactorTable!$B$2:$Y$301, MATCH(ROUND(MIN(300,MAX(1,D2252)),0), FactorTable!$A$2:$A$301,0), Skills!L22+1)</f>
        <v/>
      </c>
      <c r="F2252">
        <f>IF(Skills!M22=TRUE,(Skills!K22/10)*(E2252/1000),Skills!K22/10)+Skills!N22</f>
        <v/>
      </c>
      <c r="G2252">
        <f>Calc!G22</f>
        <v/>
      </c>
      <c r="H2252">
        <f>Calc!H22</f>
        <v/>
      </c>
      <c r="I2252">
        <f>IF(Skills!T22&lt;&gt;"",1+(Skills!T22/10)*(Z2233/1000)/100,1)</f>
        <v/>
      </c>
      <c r="J2252" t="inlineStr"/>
      <c r="K2252" t="inlineStr"/>
      <c r="L2252" t="inlineStr"/>
      <c r="M2252" t="inlineStr"/>
      <c r="N2252" t="inlineStr"/>
      <c r="O2252">
        <f>(1-Summary!$B$11)*S2252+Summary!$B$11*U2252</f>
        <v/>
      </c>
      <c r="P2252">
        <f>IF(B2267=0,0,O2252/B2267)</f>
        <v/>
      </c>
      <c r="Q2252">
        <f>IFERROR(1/IF(Inputs!$B$38="pvp",15,MAX(0.1,Skills!D22-IF(Skills!E22=TRUE,Inputs!$B$32,0))),0)</f>
        <v/>
      </c>
      <c r="R2252" t="n">
        <v>0</v>
      </c>
      <c r="S2252" t="n">
        <v>0</v>
      </c>
      <c r="U2252" t="n">
        <v>0</v>
      </c>
    </row>
    <row r="2253">
      <c r="A2253">
        <f>Skills!A23</f>
        <v/>
      </c>
      <c r="B2253">
        <f>Skills!B23</f>
        <v/>
      </c>
      <c r="C2253">
        <f>Inputs!$B$3&gt;=120</f>
        <v/>
      </c>
      <c r="D2253">
        <f>IF(Skills!C23=1,60+Inputs!$B$25+Inputs!$B$29,IF(Skills!C23=2,90+Inputs!$B$26+Inputs!$B$29,IF(Skills!C23=3,120+Inputs!$B$27+Inputs!$B$29,MAX(0,(Inputs!$B$3-100)*3)+Inputs!$B$28+Inputs!$B$29)))</f>
        <v/>
      </c>
      <c r="E2253">
        <f>INDEX(FactorTable!$B$2:$Y$301, MATCH(ROUND(MIN(300,MAX(1,D2253)),0), FactorTable!$A$2:$A$301,0), Skills!L23+1)</f>
        <v/>
      </c>
      <c r="F2253">
        <f>IF(Skills!M23=TRUE,(Skills!K23/10)*(E2253/1000),Skills!K23/10)+Skills!N23</f>
        <v/>
      </c>
      <c r="G2253">
        <f>Calc!G23</f>
        <v/>
      </c>
      <c r="H2253">
        <f>Calc!H23</f>
        <v/>
      </c>
      <c r="I2253">
        <f>IF(Skills!T23&lt;&gt;"",1+(Skills!T23/10)*(Z2233/1000)/100,1)</f>
        <v/>
      </c>
      <c r="J2253" t="inlineStr"/>
      <c r="K2253" t="inlineStr"/>
      <c r="L2253" t="inlineStr"/>
      <c r="M2253" t="inlineStr"/>
      <c r="N2253" t="inlineStr"/>
      <c r="O2253">
        <f>(1-Summary!$B$11)*S2253+Summary!$B$11*U2253</f>
        <v/>
      </c>
      <c r="P2253">
        <f>IF(B2267=0,0,O2253/B2267)</f>
        <v/>
      </c>
      <c r="Q2253">
        <f>IFERROR(1/IF(Inputs!$B$38="pvp",15,MAX(0.1,Skills!D23-IF(Skills!E23=TRUE,Inputs!$B$32,0))),0)</f>
        <v/>
      </c>
      <c r="R2253" t="n">
        <v>0</v>
      </c>
      <c r="S2253" t="n">
        <v>0</v>
      </c>
      <c r="U2253" t="n">
        <v>0</v>
      </c>
    </row>
    <row r="2254">
      <c r="A2254">
        <f>Skills!A24</f>
        <v/>
      </c>
      <c r="B2254">
        <f>Skills!B24</f>
        <v/>
      </c>
      <c r="C2254">
        <f>TRUE</f>
        <v/>
      </c>
      <c r="D2254">
        <f>IF(Skills!C24=1,60+Inputs!$B$25+Inputs!$B$29,IF(Skills!C24=2,90+Inputs!$B$26+Inputs!$B$29,IF(Skills!C24=3,120+Inputs!$B$27+Inputs!$B$29,MAX(0,(Inputs!$B$3-100)*3)+Inputs!$B$28+Inputs!$B$29)))</f>
        <v/>
      </c>
      <c r="E2254">
        <f>INDEX(FactorTable!$B$2:$Y$301, MATCH(ROUND(MIN(300,MAX(1,D2254)),0), FactorTable!$A$2:$A$301,0), Skills!L24+1)</f>
        <v/>
      </c>
      <c r="F2254">
        <f>IF(Skills!M24=TRUE,(Skills!K24/10)*(E2254/1000),Skills!K24/10)+Skills!N24</f>
        <v/>
      </c>
      <c r="G2254">
        <f>Calc!G24</f>
        <v/>
      </c>
      <c r="H2254">
        <f>Calc!H24</f>
        <v/>
      </c>
      <c r="I2254">
        <f>IF(Skills!T24&lt;&gt;"",1+(Skills!T24/10)*(Z2233/1000)/100,1)</f>
        <v/>
      </c>
      <c r="J2254" t="inlineStr"/>
      <c r="K2254" t="inlineStr"/>
      <c r="L2254" t="inlineStr"/>
      <c r="M2254" t="inlineStr"/>
      <c r="N2254" t="inlineStr"/>
      <c r="O2254">
        <f>(1-Summary!$B$11)*S2254+Summary!$B$11*U2254</f>
        <v/>
      </c>
      <c r="P2254">
        <f>IF(B2267=0,0,O2254/B2267)</f>
        <v/>
      </c>
      <c r="Q2254">
        <f>IFERROR(1/IF(Inputs!$B$38="pvp",15,MAX(0.1,Skills!D24-IF(Skills!E24=TRUE,Inputs!$B$32,0))),0)</f>
        <v/>
      </c>
      <c r="R2254">
        <f>IF(AND(Inputs!$B$38&lt;&gt;"pvp",Inputs!$B$43&gt;0),IF(Inputs!$B$43&lt;=0,0,(INT(Inputs!$B$43/IF(Inputs!$B$38="pvp",15,MAX(0.1,Skills!D24-IF(Skills!E24=TRUE,Inputs!$B$32,0))))+1)),0)</f>
        <v/>
      </c>
      <c r="S2254" t="n">
        <v>0</v>
      </c>
      <c r="U2254" t="n">
        <v>0</v>
      </c>
    </row>
    <row r="2257">
      <c r="A2257" t="inlineStr">
        <is>
          <t>Average Buff Multiplier (Magic Guard + Meditation + Artifact Attack%, summed; then Infinity)</t>
        </is>
      </c>
      <c r="B2257">
        <f>(1+(IF(C2233=TRUE,F2233*IF(AND(Inputs!$B$38&lt;&gt;"pvp",Inputs!$B$43&gt;0),(((R2233-1)*(Skills!S3*(1+(Inputs!$B$34)/100))+MIN((Skills!S3*(1+(Inputs!$B$34)/100)),MAX(0,Inputs!$B$43-((R2233-1)*Skills!D3))))/Inputs!$B$43),IF(Inputs!$B$38="pvp",MIN((Skills!S3*(1+(Inputs!$B$34)/100)),15)/15,(Skills!S3*(1+(Inputs!$B$34)/100))/Skills!D3)),0)+IF(C2234=TRUE,F2234*IF(AND(Inputs!$B$38&lt;&gt;"pvp",Inputs!$B$43&gt;0),(((R2234-1)*(Skills!S4*(1+(Inputs!$B$34)/100))+MIN((Skills!S4*(1+(Inputs!$B$34)/100)),MAX(0,Inputs!$B$43-((R2234-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2246=TRUE,(1+F2246*IF(AND(Inputs!$B$38&lt;&gt;"pvp",Inputs!$B$43&gt;0),(((R2246-1)*(Skills!S16*(1+(Inputs!$B$34)/100))+MIN((Skills!S16*(1+(Inputs!$B$34)/100)),MAX(0,Inputs!$B$43-((R2246-1)*Skills!D16))))/Inputs!$B$43),IF(Inputs!$B$38="pvp",MIN((Skills!S16*(1+(Inputs!$B$34)/100)),15)/15,(Skills!S16*(1+(Inputs!$B$34)/100))/Skills!D16))/100),1)</f>
        <v/>
      </c>
    </row>
    <row r="2258">
      <c r="A2258" t="inlineStr">
        <is>
          <t>Monster Damage Taken Bonus % (Freezing Breath - Weaken + Elemental Reset + Artifact Enemy Damage Taken, summed)</t>
        </is>
      </c>
      <c r="B2258">
        <f>IF(Inputs!$B$3&gt;=118,15*IF(Inputs!$B$38="pvp",MIN((30*(1+(Inputs!$B$34)/100)),15)/15,(30*(1+(Inputs!$B$34)/100))/Skills!D8),0)+IF(C2244=TRUE,F2244,0)+(IF(AND(ArtifactsInput!$M$35,Inputs!$B$4&lt;&gt;"Chapter Hunt"),CHOOSE(ArtifactsInput!$N$35+1,15,18,21,24,27,30)*(1-EXP(-(0.2*B2261)*5)),0)+IF(AND(ArtifactsInput!$M$22,Inputs!$B$4&lt;&gt;"Chapter Hunt"),CHOOSE(ArtifactsInput!$N$22+1,10,12,14,16,18,20)*((0*(((0.15*B2261*5))^0/1)+1*(((0.15*B2261*5))^1/1)+2*(((0.15*B2261*5))^2/2)+3*(((0.15*B2261*5))^3/6)+4*(((0.15*B2261*5))^4/24)+5*(((0.15*B2261*5))^5/120))/((((0.15*B2261*5))^0/1)+(((0.15*B2261*5))^1/1)+(((0.15*B2261*5))^2/2)+(((0.15*B2261*5))^3/6)+(((0.15*B2261*5))^4/24)+(((0.15*B2261*5))^5/120))),0))</f>
        <v/>
      </c>
    </row>
    <row r="2259">
      <c r="A2259" t="inlineStr">
        <is>
          <t>Damage % Bonus (Frozen Break + Frost Clutch, flat)</t>
        </is>
      </c>
      <c r="B2259">
        <f>IF(Inputs!$B$3&gt;=66,15,0)+IF(Inputs!$B$3&gt;=98,10,0)+IF(Inputs!$B$3&gt;=125,20,0)</f>
        <v/>
      </c>
    </row>
    <row r="2260">
      <c r="A2260" t="inlineStr">
        <is>
          <t>Attack Speed Bonus % (MP Eater - MP Boost, always-on + Nimble Feet, duty-cycle averaged)</t>
        </is>
      </c>
      <c r="B2260">
        <f>IF(C2243=TRUE,F2243+(F2247-Calc!F17),0)+((C2254=TRUE)*F2254*IF(AND(Inputs!$B$38&lt;&gt;"pvp",Inputs!$B$43&gt;0),(((R2254-1)*(Skills!S24*(1+(Inputs!$B$34)/100))+MIN((Skills!S24*(1+(Inputs!$B$34)/100)),MAX(0,Inputs!$B$43-((R2254-1)*Skills!D24))))/Inputs!$B$43),IF(Inputs!$B$38="pvp",MIN((Skills!S24*(1+(Inputs!$B$34)/100)),15)/15,(Skills!S24*(1+(Inputs!$B$34)/100))/Skills!D24)))</f>
        <v/>
      </c>
    </row>
    <row r="2261">
      <c r="A2261" t="inlineStr">
        <is>
          <t>Actions Per Second</t>
        </is>
      </c>
      <c r="B2261">
        <f>1+MIN(150,150*(1-(1-(Inputs!$B$11+(ArtifactsInput!$M$15-ArtifactsInput!$M$15)*CHOOSE(ArtifactsInput!$N$15+1,8,9.6,11.2,12.8,14.4,16))/150)*(1-B2260/150)))/100</f>
        <v/>
      </c>
    </row>
    <row r="2262">
      <c r="A2262" t="inlineStr">
        <is>
          <t>Skill + Buff Cast Rate</t>
        </is>
      </c>
      <c r="B2262">
        <f>IF(AND(Inputs!$B$38&lt;&gt;"pvp",Inputs!$B$43&gt;0),SUMPRODUCT((Skills!E2:E24=TRUE)*(C2232:C2254=TRUE)*R2232:R2254)/Inputs!$B$43,SUMPRODUCT((Skills!E2:E24=TRUE)*(C2232:C2254=TRUE)*Q2232:Q2254))</f>
        <v/>
      </c>
    </row>
    <row r="2263">
      <c r="A2263" t="inlineStr">
        <is>
          <t>Chain Lightning Casts Per Second</t>
        </is>
      </c>
      <c r="B2263">
        <f>MAX(0,B2261-B2262)</f>
        <v/>
      </c>
    </row>
    <row r="2264">
      <c r="A2264" t="inlineStr">
        <is>
          <t>Buff-Casting Startup Delay (s, fixed-duration only)</t>
        </is>
      </c>
      <c r="B2264">
        <f>IF(AND(Inputs!$B$38&lt;&gt;"pvp",Inputs!$B$43&gt;0),SUMPRODUCT((Skills!S2:S24&gt;0)*(Skills!E2:E24=TRUE)*(C2232:C2254=TRUE))/B2261,0)</f>
        <v/>
      </c>
    </row>
    <row r="2265">
      <c r="A2265" t="inlineStr">
        <is>
          <t>Boss-Only Total DPS (this block's swept value)</t>
        </is>
      </c>
      <c r="B2265">
        <f>SUM(S2232:S2254)</f>
        <v/>
      </c>
    </row>
    <row r="2266">
      <c r="A2266" t="inlineStr">
        <is>
          <t>Normal-Only Total DPS (this block's swept value)</t>
        </is>
      </c>
      <c r="B2266">
        <f>SUM(U2232:U2254)</f>
        <v/>
      </c>
    </row>
    <row r="2267">
      <c r="A2267" s="6" t="inlineStr">
        <is>
          <t>TOTAL DPS</t>
        </is>
      </c>
      <c r="B2267" s="6">
        <f>SUM(O2232:O2254)</f>
        <v/>
      </c>
    </row>
    <row r="2270">
      <c r="A2270" s="6" t="inlineStr">
        <is>
          <t>Stat: Alliance Badge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Inputs!$B$3&gt;=100</f>
        <v/>
      </c>
      <c r="D2272" t="inlineStr"/>
      <c r="E2272" t="inlineStr"/>
      <c r="F2272">
        <f>T2274+Skills!N2</f>
        <v/>
      </c>
      <c r="G2272">
        <f>Calc!G2</f>
        <v/>
      </c>
      <c r="H2272">
        <f>Calc!H2</f>
        <v/>
      </c>
      <c r="I2272">
        <f>IF(Skills!T2&lt;&gt;"",1+(Skills!T2/10)*(Z2273/1000)/100,1)</f>
        <v/>
      </c>
      <c r="J2272">
        <f>((Inputs!$B$6*(1+Inputs!$B$7/100))+(((Inputs!$B$12*(1+Inputs!$B$13/100))-(Inputs!$B$12*(1+Inputs!$B$13/100)))+0.25*(Inputs!$B$14-Inputs!$B$14))*(1+Inputs!$B$7/100))*(F2272/100)</f>
        <v/>
      </c>
      <c r="K2272">
        <f>J2272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2="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2288-Calc!F18),(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IF(B2307=0,0,O2272/B2307)</f>
        <v/>
      </c>
      <c r="Q2272">
        <f>IFERROR(1/IF(Inputs!$B$38="pvp",15,MAX(0.1,Skills!D2-IF(Skills!E2=TRUE,Inputs!$B$32,0))),0)</f>
        <v/>
      </c>
      <c r="R2272" t="n">
        <v>0</v>
      </c>
      <c r="S2272">
        <f>IF(C2272,(Skills!F2*N2272*B2303)*IF(Inputs!$B$38="pvp",1,1+(Inputs!$B$20+Skills!O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2">
        <f>MAX(0,(Inputs!$B$3-100)*3)+Inputs!$B$28+Inputs!$B$29</f>
        <v/>
      </c>
      <c r="U2272">
        <f>IF(C2272,(Skills!F2*N2272*B2303)*IF(Inputs!$B$38="pvp",1,(1+(Inputs!$B$21+Skills!P2+B2298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2">
        <f>MAX(0,(Inputs!$B$3-100)*3)+Inputs!$B$28+Inputs!$B$29</f>
        <v/>
      </c>
    </row>
    <row r="2273">
      <c r="A2273">
        <f>Skills!A3</f>
        <v/>
      </c>
      <c r="B2273">
        <f>Skills!B3</f>
        <v/>
      </c>
      <c r="C2273">
        <f>Inputs!$B$3&gt;=15</f>
        <v/>
      </c>
      <c r="D2273">
        <f>IF(Skills!C3=1,60+Inputs!$B$25+Inputs!$B$29,IF(Skills!C3=2,90+Inputs!$B$26+Inputs!$B$29,IF(Skills!C3=3,120+Inputs!$B$27+Inputs!$B$29,MAX(0,(Inputs!$B$3-100)*3)+Inputs!$B$28+Inputs!$B$29)))</f>
        <v/>
      </c>
      <c r="E2273">
        <f>INDEX(FactorTable!$B$2:$Y$301, MATCH(ROUND(MIN(300,MAX(1,D2273)),0), FactorTable!$A$2:$A$301,0), Skills!L3+1)</f>
        <v/>
      </c>
      <c r="F2273">
        <f>IF(Skills!M3=TRUE,(Skills!K3/10)*(E2273/1000),Skills!K3/10)+Skills!N3</f>
        <v/>
      </c>
      <c r="G2273">
        <f>Calc!G3</f>
        <v/>
      </c>
      <c r="H2273">
        <f>Calc!H3</f>
        <v/>
      </c>
      <c r="I2273">
        <f>IF(Skills!T3&lt;&gt;"",1+(Skills!T3/10)*(Z2273/1000)/100,1)</f>
        <v/>
      </c>
      <c r="J2273" t="inlineStr"/>
      <c r="K2273" t="inlineStr"/>
      <c r="L2273" t="inlineStr"/>
      <c r="M2273" t="inlineStr"/>
      <c r="N2273" t="inlineStr"/>
      <c r="O2273">
        <f>(1-Summary!$B$11)*S2273+Summary!$B$11*U2273</f>
        <v/>
      </c>
      <c r="P2273">
        <f>IF(B2307=0,0,O2273/B2307)</f>
        <v/>
      </c>
      <c r="Q2273">
        <f>IFERROR(1/IF(Inputs!$B$38="pvp",15,MAX(0.1,Skills!D3-IF(Skills!E3=TRUE,Inputs!$B$32,0))),0)</f>
        <v/>
      </c>
      <c r="R2273">
        <f>IF(AND(Inputs!$B$38&lt;&gt;"pvp",Inputs!$B$43&gt;0),IF(Inputs!$B$43&lt;=0,0,(INT(Inputs!$B$43/IF(Inputs!$B$38="pvp",15,MAX(0.1,Skills!D3-IF(Skills!E3=TRUE,Inputs!$B$32,0))))+1)),0)</f>
        <v/>
      </c>
      <c r="S2273" t="n">
        <v>0</v>
      </c>
      <c r="T2273">
        <f>INDEX(FactorTable!$B$2:$Y$301, MATCH(ROUND(MIN(300,MAX(1,T2272)),0), FactorTable!$A$2:$A$301,0), 22)</f>
        <v/>
      </c>
      <c r="U2273" t="n">
        <v>0</v>
      </c>
      <c r="Z2273">
        <f>INDEX(FactorTable!$B$2:$Y$301, MATCH(ROUND(MIN(300,MAX(1,Z2272)),0), FactorTable!$A$2:$A$301,0), 24)</f>
        <v/>
      </c>
    </row>
    <row r="2274">
      <c r="A2274">
        <f>Skills!A4</f>
        <v/>
      </c>
      <c r="B2274">
        <f>Skills!B4</f>
        <v/>
      </c>
      <c r="C2274">
        <f>Inputs!$B$3&gt;=40</f>
        <v/>
      </c>
      <c r="D2274">
        <f>IF(Skills!C4=1,60+Inputs!$B$25+Inputs!$B$29,IF(Skills!C4=2,90+Inputs!$B$26+Inputs!$B$29,IF(Skills!C4=3,120+Inputs!$B$27+Inputs!$B$29,MAX(0,(Inputs!$B$3-100)*3)+Inputs!$B$28+Inputs!$B$29)))</f>
        <v/>
      </c>
      <c r="E2274">
        <f>INDEX(FactorTable!$B$2:$Y$301, MATCH(ROUND(MIN(300,MAX(1,D2274)),0), FactorTable!$A$2:$A$301,0), Skills!L4+1)</f>
        <v/>
      </c>
      <c r="F2274">
        <f>IF(Skills!M4=TRUE,(Skills!K4/10)*(E2274/1000),Skills!K4/10)+Skills!N4</f>
        <v/>
      </c>
      <c r="G2274">
        <f>Calc!G4</f>
        <v/>
      </c>
      <c r="H2274">
        <f>Calc!H4</f>
        <v/>
      </c>
      <c r="I2274">
        <f>IF(Skills!T4&lt;&gt;"",1+(Skills!T4/10)*(Z2273/1000)/100,1)</f>
        <v/>
      </c>
      <c r="J2274" t="inlineStr"/>
      <c r="K2274" t="inlineStr"/>
      <c r="L2274" t="inlineStr"/>
      <c r="M2274" t="inlineStr"/>
      <c r="N2274" t="inlineStr"/>
      <c r="O2274">
        <f>(1-Summary!$B$11)*S2274+Summary!$B$11*U2274</f>
        <v/>
      </c>
      <c r="P2274">
        <f>IF(B2307=0,0,O2274/B2307)</f>
        <v/>
      </c>
      <c r="Q2274">
        <f>IFERROR(1/IF(Inputs!$B$38="pvp",15,MAX(0.1,Skills!D4-IF(Skills!E4=TRUE,Inputs!$B$32,0))),0)</f>
        <v/>
      </c>
      <c r="R2274">
        <f>IF(AND(Inputs!$B$38&lt;&gt;"pvp",Inputs!$B$43&gt;0),IF(Inputs!$B$43&lt;=0,0,(INT(Inputs!$B$43/IF(Inputs!$B$38="pvp",15,MAX(0.1,Skills!D4-IF(Skills!E4=TRUE,Inputs!$B$32,0))))+1)),0)</f>
        <v/>
      </c>
      <c r="S2274" t="n">
        <v>0</v>
      </c>
      <c r="T2274">
        <f>290*T2273/1000</f>
        <v/>
      </c>
      <c r="U2274" t="n">
        <v>0</v>
      </c>
    </row>
    <row r="2275">
      <c r="A2275">
        <f>Skills!A5</f>
        <v/>
      </c>
      <c r="B2275">
        <f>Skills!B5</f>
        <v/>
      </c>
      <c r="C2275">
        <f>Inputs!$B$3&gt;=38</f>
        <v/>
      </c>
      <c r="D2275">
        <f>IF(Skills!C5=1,60+Inputs!$B$25+Inputs!$B$29,IF(Skills!C5=2,90+Inputs!$B$26+Inputs!$B$29,IF(Skills!C5=3,120+Inputs!$B$27+Inputs!$B$29,MAX(0,(Inputs!$B$3-100)*3)+Inputs!$B$28+Inputs!$B$29)))</f>
        <v/>
      </c>
      <c r="E2275">
        <f>INDEX(FactorTable!$B$2:$Y$301, MATCH(ROUND(MIN(300,MAX(1,D2275)),0), FactorTable!$A$2:$A$301,0), Skills!L5+1)</f>
        <v/>
      </c>
      <c r="F2275">
        <f>IF(Skills!M5=TRUE,(Skills!K5/10)*(E2275/1000),Skills!K5/10)+Skills!N5</f>
        <v/>
      </c>
      <c r="G2275">
        <f>Calc!G5</f>
        <v/>
      </c>
      <c r="H2275">
        <f>Calc!H5</f>
        <v/>
      </c>
      <c r="I2275">
        <f>IF(Skills!T5&lt;&gt;"",1+(Skills!T5/10)*(Z2273/1000)/100,1)</f>
        <v/>
      </c>
      <c r="J2275">
        <f>((Inputs!$B$6*(1+Inputs!$B$7/100))+(((Inputs!$B$12*(1+Inputs!$B$13/100))-(Inputs!$B$12*(1+Inputs!$B$13/100)))+0.25*(Inputs!$B$14-Inputs!$B$14))*(1+Inputs!$B$7/100))*(F2275/100)</f>
        <v/>
      </c>
      <c r="K2275">
        <f>J2275*(1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5="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2288-Calc!F18),(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IF(B2307=0,0,O2275/B2307)</f>
        <v/>
      </c>
      <c r="Q2275">
        <f>IFERROR(1/IF(Inputs!$B$38="pvp",15,MAX(0.1,Skills!D5-IF(Skills!E5=TRUE,Inputs!$B$32,0))),0)</f>
        <v/>
      </c>
      <c r="R2275">
        <f>IF(AND(Inputs!$B$38&lt;&gt;"pvp",Inputs!$B$43&gt;0),IF(MAX(0,Inputs!$B$43-B2304)&lt;=0,0,(INT(MAX(0,Inputs!$B$43-B2304)/IF(Inputs!$B$38="pvp",15,MAX(0.1,Skills!D5-IF(Skills!E5=TRUE,Inputs!$B$32,0))))+1)),0)</f>
        <v/>
      </c>
      <c r="S2275">
        <f>IF(C2275,(H2275*N2275*IF(AND(Inputs!$B$38&lt;&gt;"pvp",Inputs!$B$43&gt;0),((Skills!F5*((R2275-1)*IF(Skills!G5&gt;0,Skills!H5/Skills!G5,1)+IF(Skills!G5&gt;0,MIN(Skills!H5,MAX(0,MAX(0,Inputs!$B$43-B2304)-((R2275-1)*IF(Inputs!$B$38="pvp",15,MAX(0.1,Skills!D5-IF(Skills!E5=TRUE,Inputs!$B$32,0))))))/Skills!G5,1)))/Inputs!$B$43),G2275*Q2275))*IF(Inputs!$B$38="pvp",1,1+(Inputs!$B$20+Skills!O5+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F5*((R2275-1)*IF(Skills!G5&gt;0,Skills!H5/Skills!G5,1)+IF(Skills!G5&gt;0,MIN(Skills!H5,MAX(0,MAX(0,Inputs!$B$43-B2304)-((R2275-1)*IF(Inputs!$B$38="pvp",15,MAX(0.1,Skills!D5-IF(Skills!E5=TRUE,Inputs!$B$32,0))))))/Skills!G5,1)))/Inputs!$B$43),G2275*Q2275))*IF(Inputs!$B$38="pvp",1,(1+(Inputs!$B$21+Skills!P5+B2298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Inputs!$B$3&gt;=63</f>
        <v/>
      </c>
      <c r="D2276">
        <f>IF(Skills!C6=1,60+Inputs!$B$25+Inputs!$B$29,IF(Skills!C6=2,90+Inputs!$B$26+Inputs!$B$29,IF(Skills!C6=3,120+Inputs!$B$27+Inputs!$B$29,MAX(0,(Inputs!$B$3-100)*3)+Inputs!$B$28+Inputs!$B$29)))</f>
        <v/>
      </c>
      <c r="E2276">
        <f>INDEX(FactorTable!$B$2:$Y$301, MATCH(ROUND(MIN(300,MAX(1,D2276)),0), FactorTable!$A$2:$A$301,0), Skills!L6+1)</f>
        <v/>
      </c>
      <c r="F2276">
        <f>IF(Skills!M6=TRUE,(Skills!K6/10)*(E2276/1000),Skills!K6/10)+Skills!N6</f>
        <v/>
      </c>
      <c r="G2276">
        <f>Calc!G6</f>
        <v/>
      </c>
      <c r="H2276">
        <f>Calc!H6</f>
        <v/>
      </c>
      <c r="I2276">
        <f>IF(Skills!T6&lt;&gt;"",1+(Skills!T6/10)*(Z2273/1000)/100,1)</f>
        <v/>
      </c>
      <c r="J2276">
        <f>((Inputs!$B$6*(1+Inputs!$B$7/100))+(((Inputs!$B$12*(1+Inputs!$B$13/100))-(Inputs!$B$12*(1+Inputs!$B$13/100)))+0.25*(Inputs!$B$14-Inputs!$B$14))*(1+Inputs!$B$7/100))*(F2276/100)</f>
        <v/>
      </c>
      <c r="K2276">
        <f>J2276*(1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6="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F2288-Calc!F18),(Inputs!$B$23+(IF(ArtifactsInput!$M$15,CHOOSE(ArtifactsInput!$N$15+1,25,30,35,40,45,50)/100*(Inputs!$B$11-Inputs!$B$11),0))))/100+(Inputs!$B$23+(IF(ArtifactsInput!$M$15,CHOOSE(ArtifactsInput!$N$15+1,25,30,35,40,45,50)/100*(Inputs!$B$11-Inputs!$B$11),0)))/100)/2</f>
        <v/>
      </c>
      <c r="M2276">
        <f>L2276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(1-Summary!$B$11)*S2276+Summary!$B$11*U2276</f>
        <v/>
      </c>
      <c r="P2276">
        <f>IF(B2307=0,0,O2276/B2307)</f>
        <v/>
      </c>
      <c r="Q2276">
        <f>IFERROR(1/IF(Inputs!$B$38="pvp",15,MAX(0.1,Skills!D6-IF(Skills!E6=TRUE,Inputs!$B$32,0))),0)</f>
        <v/>
      </c>
      <c r="R2276">
        <f>IF(AND(Inputs!$B$38&lt;&gt;"pvp",Inputs!$B$43&gt;0),IF(MAX(0,Inputs!$B$43-B2304)&lt;=0,0,(INT(MAX(0,Inputs!$B$43-B2304)/IF(Inputs!$B$38="pvp",15,MAX(0.1,Skills!D6-IF(Skills!E6=TRUE,Inputs!$B$32,0))))+1)),0)</f>
        <v/>
      </c>
      <c r="S2276">
        <f>IF(C2276,(H2276*N2276*IF(AND(Inputs!$B$38&lt;&gt;"pvp",Inputs!$B$43&gt;0),((Skills!F6*((R2276-1)*IF(Skills!G6&gt;0,Skills!H6/Skills!G6,1)+IF(Skills!G6&gt;0,MIN(Skills!H6,MAX(0,MAX(0,Inputs!$B$43-B2304)-((R2276-1)*IF(Inputs!$B$38="pvp",15,MAX(0.1,Skills!D6-IF(Skills!E6=TRUE,Inputs!$B$32,0))))))/Skills!G6,1)))/Inputs!$B$43),G2276*Q2276))*IF(Inputs!$B$38="pvp",1,1+(Inputs!$B$20+Skills!O6+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2276*(1-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6">
        <f>IF(C2276,(H2276*N2276*IF(AND(Inputs!$B$38&lt;&gt;"pvp",Inputs!$B$43&gt;0),((Skills!F6*((R2276-1)*IF(Skills!G6&gt;0,Skills!H6/Skills!G6,1)+IF(Skills!G6&gt;0,MIN(Skills!H6,MAX(0,MAX(0,Inputs!$B$43-B2304)-((R2276-1)*IF(Inputs!$B$38="pvp",15,MAX(0.1,Skills!D6-IF(Skills!E6=TRUE,Inputs!$B$32,0))))))/Skills!G6,1)))/Inputs!$B$43),G2276*Q2276))*IF(Inputs!$B$38="pvp",1,(1+(Inputs!$B$21+Skills!P6+B2298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Skills!A7</f>
        <v/>
      </c>
      <c r="B2277">
        <f>Skills!B7</f>
        <v/>
      </c>
      <c r="C2277">
        <f>Inputs!$B$3&gt;=69</f>
        <v/>
      </c>
      <c r="D2277">
        <f>IF(Skills!C7=1,60+Inputs!$B$25+Inputs!$B$29,IF(Skills!C7=2,90+Inputs!$B$26+Inputs!$B$29,IF(Skills!C7=3,120+Inputs!$B$27+Inputs!$B$29,MAX(0,(Inputs!$B$3-100)*3)+Inputs!$B$28+Inputs!$B$29)))</f>
        <v/>
      </c>
      <c r="E2277">
        <f>INDEX(FactorTable!$B$2:$Y$301, MATCH(ROUND(MIN(300,MAX(1,D2277)),0), FactorTable!$A$2:$A$301,0), Skills!L7+1)</f>
        <v/>
      </c>
      <c r="F2277">
        <f>IF(Skills!M7=TRUE,(Skills!K7/10)*(E2277/1000),Skills!K7/10)+Skills!N7</f>
        <v/>
      </c>
      <c r="G2277">
        <f>Calc!G7</f>
        <v/>
      </c>
      <c r="H2277">
        <f>Calc!H7</f>
        <v/>
      </c>
      <c r="I2277">
        <f>IF(Skills!T7&lt;&gt;"",1+(Skills!T7/10)*(Z2273/1000)/100,1)</f>
        <v/>
      </c>
      <c r="J2277">
        <f>((Inputs!$B$6*(1+Inputs!$B$7/100))+(((Inputs!$B$12*(1+Inputs!$B$13/100))-(Inputs!$B$12*(1+Inputs!$B$13/100)))+0.25*(Inputs!$B$14-Inputs!$B$14))*(1+Inputs!$B$7/100))*(F2277/100)</f>
        <v/>
      </c>
      <c r="K2277">
        <f>J2277*(1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7="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2288-Calc!F18),(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IF(B2307=0,0,O2277/B2307)</f>
        <v/>
      </c>
      <c r="Q2277">
        <f>IFERROR(1/IF(Inputs!$B$38="pvp",15,MAX(0.1,Skills!D7-IF(Skills!E7=TRUE,Inputs!$B$32,0))),0)</f>
        <v/>
      </c>
      <c r="R2277">
        <f>IF(AND(Inputs!$B$38&lt;&gt;"pvp",Inputs!$B$43&gt;0),IF(MAX(0,Inputs!$B$43-B2304)&lt;=0,0,(INT(MAX(0,Inputs!$B$43-B2304)/IF(Inputs!$B$38="pvp",15,MAX(0.1,Skills!D7-IF(Skills!E7=TRUE,Inputs!$B$32,0))))+1)),0)</f>
        <v/>
      </c>
      <c r="S2277">
        <f>IF(C2277,(H2277*N2277*IF(AND(Inputs!$B$38&lt;&gt;"pvp",Inputs!$B$43&gt;0),((Skills!F7*((R2277-1)*IF(Skills!G7&gt;0,Skills!H7/Skills!G7,1)+IF(Skills!G7&gt;0,MIN(Skills!H7,MAX(0,MAX(0,Inputs!$B$43-B2304)-((R2277-1)*IF(Inputs!$B$38="pvp",15,MAX(0.1,Skills!D7-IF(Skills!E7=TRUE,Inputs!$B$32,0))))))/Skills!G7,1)))/Inputs!$B$43),G2277*Q2277))*IF(Inputs!$B$38="pvp",1,1+(Inputs!$B$20+Skills!O7+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F7*((R2277-1)*IF(Skills!G7&gt;0,Skills!H7/Skills!G7,1)+IF(Skills!G7&gt;0,MIN(Skills!H7,MAX(0,MAX(0,Inputs!$B$43-B2304)-((R2277-1)*IF(Inputs!$B$38="pvp",15,MAX(0.1,Skills!D7-IF(Skills!E7=TRUE,Inputs!$B$32,0))))))/Skills!G7,1)))/Inputs!$B$43),G2277*Q2277))*IF(Inputs!$B$38="pvp",1,(1+(Inputs!$B$21+Skills!P7+B2298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Inputs!$B$3&gt;=103</f>
        <v/>
      </c>
      <c r="D2278">
        <f>IF(Skills!C8=1,60+Inputs!$B$25+Inputs!$B$29,IF(Skills!C8=2,90+Inputs!$B$26+Inputs!$B$29,IF(Skills!C8=3,120+Inputs!$B$27+Inputs!$B$29,MAX(0,(Inputs!$B$3-100)*3)+Inputs!$B$28+Inputs!$B$29)))</f>
        <v/>
      </c>
      <c r="E2278">
        <f>INDEX(FactorTable!$B$2:$Y$301, MATCH(ROUND(MIN(300,MAX(1,D2278)),0), FactorTable!$A$2:$A$301,0), Skills!L8+1)</f>
        <v/>
      </c>
      <c r="F2278">
        <f>IF(Skills!M8=TRUE,(Skills!K8/10)*(E2278/1000),Skills!K8/10)+Skills!N8</f>
        <v/>
      </c>
      <c r="G2278">
        <f>Calc!G8</f>
        <v/>
      </c>
      <c r="H2278">
        <f>Calc!H8</f>
        <v/>
      </c>
      <c r="I2278">
        <f>IF(Skills!T8&lt;&gt;"",1+(Skills!T8/10)*(Z2273/1000)/100,1)</f>
        <v/>
      </c>
      <c r="J2278">
        <f>((Inputs!$B$6*(1+Inputs!$B$7/100))+(((Inputs!$B$12*(1+Inputs!$B$13/100))-(Inputs!$B$12*(1+Inputs!$B$13/100)))+0.25*(Inputs!$B$14-Inputs!$B$14))*(1+Inputs!$B$7/100))*(F2278/100)</f>
        <v/>
      </c>
      <c r="K2278">
        <f>J2278*(1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8="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2288-Calc!F18),(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IF(B2307=0,0,O2278/B2307)</f>
        <v/>
      </c>
      <c r="Q2278">
        <f>IFERROR(1/IF(Inputs!$B$38="pvp",15,MAX(0.1,Skills!D8-IF(Skills!E8=TRUE,Inputs!$B$32,0))),0)</f>
        <v/>
      </c>
      <c r="R2278">
        <f>IF(AND(Inputs!$B$38&lt;&gt;"pvp",Inputs!$B$43&gt;0),IF(MAX(0,Inputs!$B$43-B2304)&lt;=0,0,(INT(MAX(0,Inputs!$B$43-B2304)/IF(Inputs!$B$38="pvp",15,MAX(0.1,Skills!D8-IF(Skills!E8=TRUE,Inputs!$B$32,0))))+1)),0)</f>
        <v/>
      </c>
      <c r="S2278">
        <f>IF(C2278,(H2278*N2278*IF(AND(Inputs!$B$38&lt;&gt;"pvp",Inputs!$B$43&gt;0),((Skills!F8*((R2278-1)*IF(Skills!G8&gt;0,Skills!H8/Skills!G8,1)+IF(Skills!G8&gt;0,MIN(Skills!H8,MAX(0,MAX(0,Inputs!$B$43-B2304)-((R2278-1)*IF(Inputs!$B$38="pvp",15,MAX(0.1,Skills!D8-IF(Skills!E8=TRUE,Inputs!$B$32,0))))))/Skills!G8,1)))/Inputs!$B$43),G2278*Q2278))*IF(Inputs!$B$38="pvp",1,1+(Inputs!$B$20+Skills!O8+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F8*((R2278-1)*IF(Skills!G8&gt;0,Skills!H8/Skills!G8,1)+IF(Skills!G8&gt;0,MIN(Skills!H8,MAX(0,MAX(0,Inputs!$B$43-B2304)-((R2278-1)*IF(Inputs!$B$38="pvp",15,MAX(0.1,Skills!D8-IF(Skills!E8=TRUE,Inputs!$B$32,0))))))/Skills!G8,1)))/Inputs!$B$43),G2278*Q2278))*IF(Inputs!$B$38="pvp",1,(1+(Inputs!$B$21+Skills!P8+B2298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Inputs!$B$3&gt;=105</f>
        <v/>
      </c>
      <c r="D2279">
        <f>IF(Skills!C9=1,60+Inputs!$B$25+Inputs!$B$29,IF(Skills!C9=2,90+Inputs!$B$26+Inputs!$B$29,IF(Skills!C9=3,120+Inputs!$B$27+Inputs!$B$29,MAX(0,(Inputs!$B$3-100)*3)+Inputs!$B$28+Inputs!$B$29)))</f>
        <v/>
      </c>
      <c r="E2279">
        <f>INDEX(FactorTable!$B$2:$Y$301, MATCH(ROUND(MIN(300,MAX(1,D2279)),0), FactorTable!$A$2:$A$301,0), Skills!L9+1)</f>
        <v/>
      </c>
      <c r="F2279">
        <f>IF(Skills!M9=TRUE,(Skills!K9/10)*(E2279/1000),Skills!K9/10)+Skills!N9</f>
        <v/>
      </c>
      <c r="G2279">
        <f>Calc!G9</f>
        <v/>
      </c>
      <c r="H2279">
        <f>Calc!H9</f>
        <v/>
      </c>
      <c r="I2279">
        <f>IF(Skills!T9&lt;&gt;"",1+(Skills!T9/10)*(Z2273/1000)/100,1)</f>
        <v/>
      </c>
      <c r="J2279">
        <f>((Inputs!$B$6*(1+Inputs!$B$7/100))+(((Inputs!$B$12*(1+Inputs!$B$13/100))-(Inputs!$B$12*(1+Inputs!$B$13/100)))+0.25*(Inputs!$B$14-Inputs!$B$14))*(1+Inputs!$B$7/100))*(F2279/100)</f>
        <v/>
      </c>
      <c r="K2279">
        <f>J2279*(1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9="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2288-Calc!F18),(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IF(B2307=0,0,O2279/B2307)</f>
        <v/>
      </c>
      <c r="Q2279">
        <f>IFERROR(1/IF(Inputs!$B$38="pvp",15,MAX(0.1,Skills!D9-IF(Skills!E9=TRUE,Inputs!$B$32,0))),0)</f>
        <v/>
      </c>
      <c r="R2279">
        <f>IF(AND(Inputs!$B$38&lt;&gt;"pvp",Inputs!$B$43&gt;0),IF(MAX(0,Inputs!$B$43-B2304)&lt;=0,0,(INT(MAX(0,Inputs!$B$43-B2304)/IF(Inputs!$B$38="pvp",15,MAX(0.1,Skills!D9-IF(Skills!E9=TRUE,Inputs!$B$32,0))))+1)),0)</f>
        <v/>
      </c>
      <c r="S2279">
        <f>IF(C2279,(H2279*N2279*IF(AND(Inputs!$B$38&lt;&gt;"pvp",Inputs!$B$43&gt;0),((Skills!F9*((R2279-1)*IF(Skills!G9&gt;0,Skills!H9/Skills!G9,1)+IF(Skills!G9&gt;0,MIN(Skills!H9,MAX(0,MAX(0,Inputs!$B$43-B2304)-((R2279-1)*IF(Inputs!$B$38="pvp",15,MAX(0.1,Skills!D9-IF(Skills!E9=TRUE,Inputs!$B$32,0))))))/Skills!G9,1)))/Inputs!$B$43),G2279*Q2279))*IF(Inputs!$B$38="pvp",1,1+(Inputs!$B$20+Skills!O9+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F9*((R2279-1)*IF(Skills!G9&gt;0,Skills!H9/Skills!G9,1)+IF(Skills!G9&gt;0,MIN(Skills!H9,MAX(0,MAX(0,Inputs!$B$43-B2304)-((R2279-1)*IF(Inputs!$B$38="pvp",15,MAX(0.1,Skills!D9-IF(Skills!E9=TRUE,Inputs!$B$32,0))))))/Skills!G9,1)))/Inputs!$B$43),G2279*Q2279))*IF(Inputs!$B$38="pvp",1,(1+(Inputs!$B$21+Skills!P9+B2298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Inputs!$B$3&gt;=113</f>
        <v/>
      </c>
      <c r="D2280">
        <f>IF(Skills!C10=1,60+Inputs!$B$25+Inputs!$B$29,IF(Skills!C10=2,90+Inputs!$B$26+Inputs!$B$29,IF(Skills!C10=3,120+Inputs!$B$27+Inputs!$B$29,MAX(0,(Inputs!$B$3-100)*3)+Inputs!$B$28+Inputs!$B$29)))</f>
        <v/>
      </c>
      <c r="E2280">
        <f>INDEX(FactorTable!$B$2:$Y$301, MATCH(ROUND(MIN(300,MAX(1,D2280)),0), FactorTable!$A$2:$A$301,0), Skills!L10+1)</f>
        <v/>
      </c>
      <c r="F2280">
        <f>IF(Skills!M10=TRUE,(Skills!K10/10)*(E2280/1000),Skills!K10/10)+Skills!N10</f>
        <v/>
      </c>
      <c r="G2280">
        <f>Calc!G10</f>
        <v/>
      </c>
      <c r="H2280">
        <f>Calc!H10</f>
        <v/>
      </c>
      <c r="I2280">
        <f>IF(Skills!T10&lt;&gt;"",1+(Skills!T10/10)*(Z2273/1000)/100,1)</f>
        <v/>
      </c>
      <c r="J2280">
        <f>((Inputs!$B$6*(1+Inputs!$B$7/100))+(((Inputs!$B$12*(1+Inputs!$B$13/100))-(Inputs!$B$12*(1+Inputs!$B$13/100)))+0.25*(Inputs!$B$14-Inputs!$B$14))*(1+Inputs!$B$7/100))*(F2280/100)</f>
        <v/>
      </c>
      <c r="K2280">
        <f>J2280*(1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10="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2288-Calc!F18),(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IF(B2307=0,0,O2280/B2307)</f>
        <v/>
      </c>
      <c r="Q2280">
        <f>IFERROR(1/IF(Inputs!$B$38="pvp",15,MAX(0.1,Skills!D10-IF(Skills!E9=TRUE,Inputs!$B$32,0))),0)</f>
        <v/>
      </c>
      <c r="R2280">
        <f>IF(AND(Inputs!$B$38&lt;&gt;"pvp",Inputs!$B$43&gt;0),IF(MAX(0,Inputs!$B$43-B2304)&lt;=0,0,(INT(MAX(0,Inputs!$B$43-B2304)/IF(Inputs!$B$38="pvp",15,MAX(0.1,Skills!D10-IF(Skills!E9=TRUE,Inputs!$B$32,0))))+1)),0)</f>
        <v/>
      </c>
      <c r="S2280">
        <f>IF(C2280,(H2280*N2280*IF(AND(Inputs!$B$38&lt;&gt;"pvp",Inputs!$B$43&gt;0),((Skills!F10*((R2280-1)*IF(Skills!G10&gt;0,Skills!H10/Skills!G10,1)+IF(Skills!G10&gt;0,MIN(Skills!H10,MAX(0,MAX(0,Inputs!$B$43-B2304)-((R2280-1)*IF(Inputs!$B$38="pvp",15,MAX(0.1,Skills!D10-IF(Skills!E9=TRUE,Inputs!$B$32,0))))))/Skills!G10,1)))/Inputs!$B$43),G2280*Q2280))*IF(Inputs!$B$38="pvp",1,1+(Inputs!$B$20+Skills!O10+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F10*((R2280-1)*IF(Skills!G10&gt;0,Skills!H10/Skills!G10,1)+IF(Skills!G10&gt;0,MIN(Skills!H10,MAX(0,MAX(0,Inputs!$B$43-B2304)-((R2280-1)*IF(Inputs!$B$38="pvp",15,MAX(0.1,Skills!D10-IF(Skills!E9=TRUE,Inputs!$B$32,0))))))/Skills!G10,1)))/Inputs!$B$43),G2280*Q2280))*IF(Inputs!$B$38="pvp",1,(1+(Inputs!$B$21+Skills!P10+B2298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Inputs!$B$3&gt;=107</f>
        <v/>
      </c>
      <c r="D2281">
        <f>IF(Skills!C11=1,60+Inputs!$B$25+Inputs!$B$29,IF(Skills!C11=2,90+Inputs!$B$26+Inputs!$B$29,IF(Skills!C11=3,120+Inputs!$B$27+Inputs!$B$29,MAX(0,(Inputs!$B$3-100)*3)+Inputs!$B$28+Inputs!$B$29)))</f>
        <v/>
      </c>
      <c r="E2281">
        <f>INDEX(FactorTable!$B$2:$Y$301, MATCH(ROUND(MIN(300,MAX(1,D2281)),0), FactorTable!$A$2:$A$301,0), Skills!L11+1)</f>
        <v/>
      </c>
      <c r="F2281">
        <f>IF(Skills!M11=TRUE,(Skills!K11/10)*(E2281/1000),Skills!K11/10)+Skills!N11</f>
        <v/>
      </c>
      <c r="G2281">
        <f>Calc!G11</f>
        <v/>
      </c>
      <c r="H2281">
        <f>Calc!H11</f>
        <v/>
      </c>
      <c r="I2281">
        <f>IF(Skills!T11&lt;&gt;"",1+(Skills!T11/10)*(Z2273/1000)/100,1)</f>
        <v/>
      </c>
      <c r="J2281">
        <f>((Inputs!$B$6*(1+Inputs!$B$7/100))+(((Inputs!$B$12*(1+Inputs!$B$13/100))-(Inputs!$B$12*(1+Inputs!$B$13/100)))+0.25*(Inputs!$B$14-Inputs!$B$14))*(1+Inputs!$B$7/100))*(F2281/100)</f>
        <v/>
      </c>
      <c r="K2281">
        <f>J2281*(1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11="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F2288-Calc!F18),(Inputs!$B$23+(IF(ArtifactsInput!$M$15,CHOOSE(ArtifactsInput!$N$15+1,25,30,35,40,45,50)/100*(Inputs!$B$11-Inputs!$B$11),0))))/100+(Inputs!$B$23+(IF(ArtifactsInput!$M$15,CHOOSE(ArtifactsInput!$N$15+1,25,30,35,40,45,50)/100*(Inputs!$B$11-Inputs!$B$11),0)))/100)/2</f>
        <v/>
      </c>
      <c r="M2281">
        <f>L2281*(1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(1-Summary!$B$11)*S2281+Summary!$B$11*U2281</f>
        <v/>
      </c>
      <c r="P2281">
        <f>IF(B2307=0,0,O2281/B2307)</f>
        <v/>
      </c>
      <c r="Q2281">
        <f>IFERROR(1/IF(Inputs!$B$38="pvp",15,MAX(0.1,Skills!D11-IF(Skills!E11=TRUE,Inputs!$B$32,0))),0)</f>
        <v/>
      </c>
      <c r="R2281">
        <f>IF(AND(Inputs!$B$38&lt;&gt;"pvp",Inputs!$B$43&gt;0),IF(MAX(0,Inputs!$B$43-B2304)&lt;=0,0,(INT(MAX(0,Inputs!$B$43-B2304)/IF(Inputs!$B$38="pvp",15,MAX(0.1,Skills!D11-IF(Skills!E11=TRUE,Inputs!$B$32,0))))+1)),0)</f>
        <v/>
      </c>
      <c r="S2281">
        <f>IF(C2281,H2281*N2281*IF(AND(Inputs!$B$38&lt;&gt;"pvp",Inputs!$B$43&gt;0),((Skills!F11*((R2281-1)*IF(Skills!G11&gt;0,Skills!H11/Skills!G11,1)+IF(Skills!G11&gt;0,MIN(Skills!H11,MAX(0,MAX(0,Inputs!$B$43-B2304)-((R2281-1)*IF(Inputs!$B$38="pvp",15,MAX(0.1,Skills!D11-IF(Skills!E11=TRUE,Inputs!$B$32,0))))))/Skills!G11,1)))/Inputs!$B$43),G2281*Q2281)*0.5*IF(Inputs!$B$38="pvp",1,1+(Inputs!$B$20+Skills!O11+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2281*(1-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IF(C2281,H2281*N2281*IF(AND(Inputs!$B$38&lt;&gt;"pvp",Inputs!$B$43&gt;0),((Skills!F11*((R2281-1)*IF(Skills!G11&gt;0,Skills!H11/Skills!G11,1)+IF(Skills!G11&gt;0,MIN(Skills!H11,MAX(0,MAX(0,Inputs!$B$43-B2304)-((R2281-1)*IF(Inputs!$B$38="pvp",15,MAX(0.1,Skills!D11-IF(Skills!E11=TRUE,Inputs!$B$32,0))))))/Skills!G11,1)))/Inputs!$B$43),G2281*Q2281)*1*IF(Inputs!$B$38="pvp",1,(1+(Inputs!$B$21+Skills!P11+B2298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Skills!A12</f>
        <v/>
      </c>
      <c r="B2282">
        <f>Skills!B12</f>
        <v/>
      </c>
      <c r="C2282">
        <f>Inputs!$B$3&gt;=115</f>
        <v/>
      </c>
      <c r="D2282">
        <f>IF(Skills!C12=1,60+Inputs!$B$25+Inputs!$B$29,IF(Skills!C12=2,90+Inputs!$B$26+Inputs!$B$29,IF(Skills!C12=3,120+Inputs!$B$27+Inputs!$B$29,MAX(0,(Inputs!$B$3-100)*3)+Inputs!$B$28+Inputs!$B$29)))</f>
        <v/>
      </c>
      <c r="E2282">
        <f>INDEX(FactorTable!$B$2:$Y$301, MATCH(ROUND(MIN(300,MAX(1,D2282)),0), FactorTable!$A$2:$A$301,0), Skills!L12+1)</f>
        <v/>
      </c>
      <c r="F2282">
        <f>IF(Skills!M12=TRUE,(Skills!K12/10)*(E2282/1000),Skills!K12/10)+Skills!N12</f>
        <v/>
      </c>
      <c r="G2282">
        <f>Calc!G12</f>
        <v/>
      </c>
      <c r="H2282">
        <f>Calc!H12</f>
        <v/>
      </c>
      <c r="I2282">
        <f>IF(Skills!T12&lt;&gt;"",1+(Skills!T12/10)*(Z2273/1000)/100,1)</f>
        <v/>
      </c>
      <c r="J2282">
        <f>((Inputs!$B$6*(1+Inputs!$B$7/100))+(((Inputs!$B$12*(1+Inputs!$B$13/100))-(Inputs!$B$12*(1+Inputs!$B$13/100)))+0.25*(Inputs!$B$14-Inputs!$B$14))*(1+Inputs!$B$7/100))*(F2282/100)</f>
        <v/>
      </c>
      <c r="K2282">
        <f>J2282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12="CHAIN_LIGHTNING",Inputs!$B$17+((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F2288-Calc!F18),(Inputs!$B$23+(IF(ArtifactsInput!$M$15,CHOOSE(ArtifactsInput!$N$15+1,25,30,35,40,45,50)/100*(Inputs!$B$11-Inputs!$B$11),0))))/100+(Inputs!$B$23+(IF(ArtifactsInput!$M$15,CHOOSE(ArtifactsInput!$N$15+1,25,30,35,40,45,50)/100*(Inputs!$B$11-Inputs!$B$11),0)))/100)/2</f>
        <v/>
      </c>
      <c r="M2282">
        <f>L2282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(1-Summary!$B$11)*S2282+Summary!$B$11*U2282</f>
        <v/>
      </c>
      <c r="P2282">
        <f>IF(B2307=0,0,O2282/B2307)</f>
        <v/>
      </c>
      <c r="Q2282">
        <f>IFERROR(1/IF(Inputs!$B$38="pvp",15,MAX(0.1,Skills!D12-IF(Skills!E12=TRUE,Inputs!$B$32,0))),0)</f>
        <v/>
      </c>
      <c r="R2282">
        <f>IF(AND(Inputs!$B$38&lt;&gt;"pvp",Inputs!$B$43&gt;0),IF(MAX(0,Inputs!$B$43-B2304)&lt;=0,0,(INT(MAX(0,Inputs!$B$43-B2304)/IF(Inputs!$B$38="pvp",15,MAX(0.1,Skills!D12-IF(Skills!E12=TRUE,Inputs!$B$32,0))))+1)),0)</f>
        <v/>
      </c>
      <c r="S2282">
        <f>IF(C2282,(H2282*N2282*IF(AND(Inputs!$B$38&lt;&gt;"pvp",Inputs!$B$43&gt;0),((Skills!F12*((R2282-1)*IF(Skills!G12&gt;0,Skills!H12/Skills!G12,1)+IF(Skills!G12&gt;0,MIN(Skills!H12,MAX(0,MAX(0,Inputs!$B$43-B2304)-((R2282-1)*IF(Inputs!$B$38="pvp",15,MAX(0.1,Skills!D12-IF(Skills!E12=TRUE,Inputs!$B$32,0))))))/Skills!G12,1)))/Inputs!$B$43),G2282*Q2282))*IF(Inputs!$B$38="pvp",1,1+(Inputs!$B$20+Skills!O12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2282*(1-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F2290-Calc!F20)+(F2289-Calc!F19))+(ArtifactsInput!$M$24-ArtifactsInput!$M$24)*CHOOSE(ArtifactsInput!$N$24+1,10,12,14,16,18,20)+(IF(AND(Inputs!$B$38&lt;&gt;"pvp",Inputs!$B$43=0),1,IF(IF(Inputs!$B$38="pvp",15,Inputs!$B$43)-(B2304)&lt;=0,1,MAX(0,IF(Inputs!$B$38="pvp",15,Inputs!$B$43)-MAX(5,B2304))/(IF(Inputs!$B$38="pvp",15,Inputs!$B$43)-(B2304)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F(C2282,(H2282*N2282*IF(AND(Inputs!$B$38&lt;&gt;"pvp",Inputs!$B$43&gt;0),((Skills!F12*((R2282-1)*IF(Skills!G12&gt;0,Skills!H12/Skills!G12,1)+IF(Skills!G12&gt;0,MIN(Skills!H12,MAX(0,MAX(0,Inputs!$B$43-B2304)-((R2282-1)*IF(Inputs!$B$38="pvp",15,MAX(0.1,Skills!D12-IF(Skills!E12=TRUE,Inputs!$B$32,0))))))/Skills!G12,1)))/Inputs!$B$43),G2282*Q2282))*IF(Inputs!$B$38="pvp",1,(1+(Inputs!$B$21+Skills!P12+B2298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Skills!A13</f>
        <v/>
      </c>
      <c r="B2283">
        <f>Skills!B13</f>
        <v/>
      </c>
      <c r="C2283">
        <f>Inputs!$B$3&gt;=49</f>
        <v/>
      </c>
      <c r="D2283">
        <f>IF(Skills!C13=1,60+Inputs!$B$25+Inputs!$B$29,IF(Skills!C13=2,90+Inputs!$B$26+Inputs!$B$29,IF(Skills!C13=3,120+Inputs!$B$27+Inputs!$B$29,MAX(0,(Inputs!$B$3-100)*3)+Inputs!$B$28+Inputs!$B$29)))</f>
        <v/>
      </c>
      <c r="E2283">
        <f>INDEX(FactorTable!$B$2:$Y$301, MATCH(ROUND(MIN(300,MAX(1,D2283)),0), FactorTable!$A$2:$A$301,0), Skills!L13+1)</f>
        <v/>
      </c>
      <c r="F2283">
        <f>IF(Skills!M13=TRUE,(Skills!K13/10)*(E2283/1000),Skills!K13/10)+Skills!N13</f>
        <v/>
      </c>
      <c r="G2283">
        <f>Calc!G13</f>
        <v/>
      </c>
      <c r="H2283">
        <f>Calc!H13</f>
        <v/>
      </c>
      <c r="I2283">
        <f>IF(Skills!T13&lt;&gt;"",1+(Skills!T13/10)*(Z2273/1000)/100,1)</f>
        <v/>
      </c>
      <c r="J2283" t="inlineStr"/>
      <c r="K2283" t="inlineStr"/>
      <c r="L2283" t="inlineStr"/>
      <c r="M2283" t="inlineStr"/>
      <c r="N2283" t="inlineStr"/>
      <c r="O2283">
        <f>(1-Summary!$B$11)*S2283+Summary!$B$11*U2283</f>
        <v/>
      </c>
      <c r="P2283">
        <f>IF(B2307=0,0,O2283/B2307)</f>
        <v/>
      </c>
      <c r="Q2283">
        <f>IFERROR(1/IF(Inputs!$B$38="pvp",15,MAX(0.1,Skills!D13-IF(Skills!E13=TRUE,Inputs!$B$32,0))),0)</f>
        <v/>
      </c>
      <c r="R2283" t="n">
        <v>0</v>
      </c>
      <c r="S2283" t="n">
        <v>0</v>
      </c>
      <c r="U2283" t="n">
        <v>0</v>
      </c>
    </row>
    <row r="2284">
      <c r="A2284">
        <f>Skills!A14</f>
        <v/>
      </c>
      <c r="B2284">
        <f>Skills!B14</f>
        <v/>
      </c>
      <c r="C2284">
        <f>Inputs!$B$3&gt;=72</f>
        <v/>
      </c>
      <c r="D2284">
        <f>IF(Skills!C14=1,60+Inputs!$B$25+Inputs!$B$29,IF(Skills!C14=2,90+Inputs!$B$26+Inputs!$B$29,IF(Skills!C14=3,120+Inputs!$B$27+Inputs!$B$29,MAX(0,(Inputs!$B$3-100)*3)+Inputs!$B$28+Inputs!$B$29)))</f>
        <v/>
      </c>
      <c r="E2284">
        <f>INDEX(FactorTable!$B$2:$Y$301, MATCH(ROUND(MIN(300,MAX(1,D2284)),0), FactorTable!$A$2:$A$301,0), Skills!L14+1)</f>
        <v/>
      </c>
      <c r="F2284">
        <f>IF(Skills!M14=TRUE,(Skills!K14/10)*(E2284/1000),Skills!K14/10)+Skills!N14</f>
        <v/>
      </c>
      <c r="G2284">
        <f>Calc!G14</f>
        <v/>
      </c>
      <c r="H2284">
        <f>Calc!H14</f>
        <v/>
      </c>
      <c r="I2284">
        <f>IF(Skills!T14&lt;&gt;"",1+(Skills!T14/10)*(Z2273/1000)/100,1)</f>
        <v/>
      </c>
      <c r="J2284" t="inlineStr"/>
      <c r="K2284" t="inlineStr"/>
      <c r="L2284" t="inlineStr"/>
      <c r="M2284" t="inlineStr"/>
      <c r="N2284" t="inlineStr"/>
      <c r="O2284">
        <f>(1-Summary!$B$11)*S2284+Summary!$B$11*U2284</f>
        <v/>
      </c>
      <c r="P2284">
        <f>IF(B2307=0,0,O2284/B2307)</f>
        <v/>
      </c>
      <c r="Q2284">
        <f>IFERROR(1/IF(Inputs!$B$38="pvp",15,MAX(0.1,Skills!D14-IF(Skills!E14=TRUE,Inputs!$B$32,0))),0)</f>
        <v/>
      </c>
      <c r="R2284" t="n">
        <v>0</v>
      </c>
      <c r="S2284" t="n">
        <v>0</v>
      </c>
      <c r="U2284" t="n">
        <v>0</v>
      </c>
    </row>
    <row r="2285">
      <c r="A2285">
        <f>Skills!A15</f>
        <v/>
      </c>
      <c r="B2285">
        <f>Skills!B15</f>
        <v/>
      </c>
      <c r="C2285">
        <f>Inputs!$B$3&gt;=75</f>
        <v/>
      </c>
      <c r="D2285">
        <f>IF(Skills!C15=1,60+Inputs!$B$25+Inputs!$B$29,IF(Skills!C15=2,90+Inputs!$B$26+Inputs!$B$29,IF(Skills!C15=3,120+Inputs!$B$27+Inputs!$B$29,MAX(0,(Inputs!$B$3-100)*3)+Inputs!$B$28+Inputs!$B$29)))</f>
        <v/>
      </c>
      <c r="E2285">
        <f>INDEX(FactorTable!$B$2:$Y$301, MATCH(ROUND(MIN(300,MAX(1,D2285)),0), FactorTable!$A$2:$A$301,0), Skills!L15+1)</f>
        <v/>
      </c>
      <c r="F2285">
        <f>IF(Skills!M15=TRUE,(Skills!K15/10)*(E2285/1000),Skills!K15/10)+Skills!N15</f>
        <v/>
      </c>
      <c r="G2285">
        <f>Calc!G15</f>
        <v/>
      </c>
      <c r="H2285">
        <f>Calc!H15</f>
        <v/>
      </c>
      <c r="I2285">
        <f>IF(Skills!T15&lt;&gt;"",1+(Skills!T15/10)*(Z2273/1000)/100,1)</f>
        <v/>
      </c>
      <c r="J2285" t="inlineStr"/>
      <c r="K2285" t="inlineStr"/>
      <c r="L2285" t="inlineStr"/>
      <c r="M2285" t="inlineStr"/>
      <c r="N2285" t="inlineStr"/>
      <c r="O2285">
        <f>(1-Summary!$B$11)*S2285+Summary!$B$11*U2285</f>
        <v/>
      </c>
      <c r="P2285">
        <f>IF(B2307=0,0,O2285/B2307)</f>
        <v/>
      </c>
      <c r="Q2285">
        <f>IFERROR(1/IF(Inputs!$B$38="pvp",15,MAX(0.1,Skills!D15-IF(Skills!E15=TRUE,Inputs!$B$32,0))),0)</f>
        <v/>
      </c>
      <c r="R2285" t="n">
        <v>0</v>
      </c>
      <c r="S2285" t="n">
        <v>0</v>
      </c>
      <c r="U2285" t="n">
        <v>0</v>
      </c>
    </row>
    <row r="2286">
      <c r="A2286">
        <f>Skills!A16</f>
        <v/>
      </c>
      <c r="B2286">
        <f>Skills!B16</f>
        <v/>
      </c>
      <c r="C2286">
        <f>Inputs!$B$3&gt;=110</f>
        <v/>
      </c>
      <c r="D2286">
        <f>IF(Skills!C16=1,60+Inputs!$B$25+Inputs!$B$29,IF(Skills!C16=2,90+Inputs!$B$26+Inputs!$B$29,IF(Skills!C16=3,120+Inputs!$B$27+Inputs!$B$29,MAX(0,(Inputs!$B$3-100)*3)+Inputs!$B$28+Inputs!$B$29)))</f>
        <v/>
      </c>
      <c r="E2286">
        <f>INDEX(FactorTable!$B$2:$Y$301, MATCH(ROUND(MIN(300,MAX(1,D2286)),0), FactorTable!$A$2:$A$301,0), Skills!L16+1)</f>
        <v/>
      </c>
      <c r="F2286">
        <f>(Skills!K16/10)*(E2286/1000)*64/45+Skills!N16</f>
        <v/>
      </c>
      <c r="G2286">
        <f>Calc!G16</f>
        <v/>
      </c>
      <c r="H2286">
        <f>Calc!H16</f>
        <v/>
      </c>
      <c r="I2286">
        <f>IF(Skills!T16&lt;&gt;"",1+(Skills!T16/10)*(Z2273/1000)/100,1)</f>
        <v/>
      </c>
      <c r="J2286" t="inlineStr"/>
      <c r="K2286" t="inlineStr"/>
      <c r="L2286" t="inlineStr"/>
      <c r="M2286" t="inlineStr"/>
      <c r="N2286" t="inlineStr"/>
      <c r="O2286">
        <f>(1-Summary!$B$11)*S2286+Summary!$B$11*U2286</f>
        <v/>
      </c>
      <c r="P2286">
        <f>IF(B2307=0,0,O2286/B2307)</f>
        <v/>
      </c>
      <c r="Q2286">
        <f>IFERROR(1/IF(Inputs!$B$38="pvp",15,MAX(0.1,Skills!D16-IF(Skills!E16=TRUE,Inputs!$B$32,0))),0)</f>
        <v/>
      </c>
      <c r="R2286">
        <f>IF(AND(Inputs!$B$38&lt;&gt;"pvp",Inputs!$B$43&gt;0),IF(Inputs!$B$43&lt;=0,0,(INT(Inputs!$B$43/IF(Inputs!$B$38="pvp",15,MAX(0.1,Skills!D16-IF(Skills!E16=TRUE,Inputs!$B$32,0))))+1)),0)</f>
        <v/>
      </c>
      <c r="S2286" t="n">
        <v>0</v>
      </c>
      <c r="U2286" t="n">
        <v>0</v>
      </c>
    </row>
    <row r="2287">
      <c r="A2287">
        <f>Skills!A17</f>
        <v/>
      </c>
      <c r="B2287">
        <f>Skills!B17</f>
        <v/>
      </c>
      <c r="C2287">
        <f>Inputs!$B$3&gt;=33</f>
        <v/>
      </c>
      <c r="D2287">
        <f>IF(Skills!C17=1,60+Inputs!$B$25+Inputs!$B$29,IF(Skills!C17=2,90+Inputs!$B$26+Inputs!$B$29,IF(Skills!C17=3,120+Inputs!$B$27+Inputs!$B$29,MAX(0,(Inputs!$B$3-100)*3)+Inputs!$B$28+Inputs!$B$29)))</f>
        <v/>
      </c>
      <c r="E2287">
        <f>INDEX(FactorTable!$B$2:$Y$301, MATCH(ROUND(MIN(300,MAX(1,D2287)),0), FactorTable!$A$2:$A$301,0), Skills!L17+1)</f>
        <v/>
      </c>
      <c r="F2287">
        <f>IF(Skills!M17=TRUE,(Skills!K17/10)*(E2287/1000),Skills!K17/10)+Skills!N17</f>
        <v/>
      </c>
      <c r="G2287">
        <f>Calc!G17</f>
        <v/>
      </c>
      <c r="H2287">
        <f>Calc!H17</f>
        <v/>
      </c>
      <c r="I2287">
        <f>IF(Skills!T17&lt;&gt;"",1+(Skills!T17/10)*(Z2273/1000)/100,1)</f>
        <v/>
      </c>
      <c r="J2287" t="inlineStr"/>
      <c r="K2287" t="inlineStr"/>
      <c r="L2287" t="inlineStr"/>
      <c r="M2287" t="inlineStr"/>
      <c r="N2287" t="inlineStr"/>
      <c r="O2287">
        <f>(1-Summary!$B$11)*S2287+Summary!$B$11*U2287</f>
        <v/>
      </c>
      <c r="P2287">
        <f>IF(B2307=0,0,O2287/B2307)</f>
        <v/>
      </c>
      <c r="Q2287">
        <f>IFERROR(1/IF(Inputs!$B$38="pvp",15,MAX(0.1,Skills!D17-IF(Skills!E17=TRUE,Inputs!$B$32,0))),0)</f>
        <v/>
      </c>
      <c r="R2287" t="n">
        <v>0</v>
      </c>
      <c r="S2287" t="n">
        <v>0</v>
      </c>
      <c r="U2287" t="n">
        <v>0</v>
      </c>
    </row>
    <row r="2288">
      <c r="A2288">
        <f>Skills!A18</f>
        <v/>
      </c>
      <c r="B2288">
        <f>Skills!B18</f>
        <v/>
      </c>
      <c r="C2288">
        <f>Inputs!$B$3&gt;=43</f>
        <v/>
      </c>
      <c r="D2288">
        <f>IF(Skills!C18=1,60+Inputs!$B$25+Inputs!$B$29,IF(Skills!C18=2,90+Inputs!$B$26+Inputs!$B$29,IF(Skills!C18=3,120+Inputs!$B$27+Inputs!$B$29,MAX(0,(Inputs!$B$3-100)*3)+Inputs!$B$28+Inputs!$B$29)))</f>
        <v/>
      </c>
      <c r="E2288">
        <f>INDEX(FactorTable!$B$2:$Y$301, MATCH(ROUND(MIN(300,MAX(1,D2288)),0), FactorTable!$A$2:$A$301,0), Skills!L18+1)</f>
        <v/>
      </c>
      <c r="F2288">
        <f>IF(Skills!M18=TRUE,(Skills!K18/10)*(E2288/1000),Skills!K18/10)+Skills!N18</f>
        <v/>
      </c>
      <c r="G2288">
        <f>Calc!G18</f>
        <v/>
      </c>
      <c r="H2288">
        <f>Calc!H18</f>
        <v/>
      </c>
      <c r="I2288">
        <f>IF(Skills!T18&lt;&gt;"",1+(Skills!T18/10)*(Z2273/1000)/100,1)</f>
        <v/>
      </c>
      <c r="J2288" t="inlineStr"/>
      <c r="K2288" t="inlineStr"/>
      <c r="L2288" t="inlineStr"/>
      <c r="M2288" t="inlineStr"/>
      <c r="N2288" t="inlineStr"/>
      <c r="O2288">
        <f>(1-Summary!$B$11)*S2288+Summary!$B$11*U2288</f>
        <v/>
      </c>
      <c r="P2288">
        <f>IF(B2307=0,0,O2288/B2307)</f>
        <v/>
      </c>
      <c r="Q2288">
        <f>IFERROR(1/IF(Inputs!$B$38="pvp",15,MAX(0.1,Skills!D18-IF(Skills!E18=TRUE,Inputs!$B$32,0))),0)</f>
        <v/>
      </c>
      <c r="R2288" t="n">
        <v>0</v>
      </c>
      <c r="S2288" t="n">
        <v>0</v>
      </c>
      <c r="U2288" t="n">
        <v>0</v>
      </c>
    </row>
    <row r="2289">
      <c r="A2289">
        <f>Skills!A19</f>
        <v/>
      </c>
      <c r="B2289">
        <f>Skills!B19</f>
        <v/>
      </c>
      <c r="C2289">
        <f>Inputs!$B$3&gt;=50</f>
        <v/>
      </c>
      <c r="D2289">
        <f>IF(Skills!C19=1,60+Inputs!$B$25+Inputs!$B$29,IF(Skills!C19=2,90+Inputs!$B$26+Inputs!$B$29,IF(Skills!C19=3,120+Inputs!$B$27+Inputs!$B$29,MAX(0,(Inputs!$B$3-100)*3)+Inputs!$B$28+Inputs!$B$29)))</f>
        <v/>
      </c>
      <c r="E2289">
        <f>INDEX(FactorTable!$B$2:$Y$301, MATCH(ROUND(MIN(300,MAX(1,D2289)),0), FactorTable!$A$2:$A$301,0), Skills!L19+1)</f>
        <v/>
      </c>
      <c r="F2289">
        <f>IF(Skills!M19=TRUE,(Skills!K19/10)*(E2289/1000),Skills!K19/10)+Skills!N19</f>
        <v/>
      </c>
      <c r="G2289">
        <f>Calc!G19</f>
        <v/>
      </c>
      <c r="H2289">
        <f>Calc!H19</f>
        <v/>
      </c>
      <c r="I2289">
        <f>IF(Skills!T19&lt;&gt;"",1+(Skills!T19/10)*(Z2273/1000)/100,1)</f>
        <v/>
      </c>
      <c r="J2289" t="inlineStr"/>
      <c r="K2289" t="inlineStr"/>
      <c r="L2289" t="inlineStr"/>
      <c r="M2289" t="inlineStr"/>
      <c r="N2289" t="inlineStr"/>
      <c r="O2289">
        <f>(1-Summary!$B$11)*S2289+Summary!$B$11*U2289</f>
        <v/>
      </c>
      <c r="P2289">
        <f>IF(B2307=0,0,O2289/B2307)</f>
        <v/>
      </c>
      <c r="Q2289">
        <f>IFERROR(1/IF(Inputs!$B$38="pvp",15,MAX(0.1,Skills!D19-IF(Skills!E19=TRUE,Inputs!$B$32,0))),0)</f>
        <v/>
      </c>
      <c r="R2289" t="n">
        <v>0</v>
      </c>
      <c r="S2289" t="n">
        <v>0</v>
      </c>
      <c r="U2289" t="n">
        <v>0</v>
      </c>
    </row>
    <row r="2290">
      <c r="A2290">
        <f>Skills!A20</f>
        <v/>
      </c>
      <c r="B2290">
        <f>Skills!B20</f>
        <v/>
      </c>
      <c r="C2290">
        <f>Inputs!$B$3&gt;=74</f>
        <v/>
      </c>
      <c r="D2290">
        <f>IF(Skills!C20=1,60+Inputs!$B$25+Inputs!$B$29,IF(Skills!C20=2,90+Inputs!$B$26+Inputs!$B$29,IF(Skills!C20=3,120+Inputs!$B$27+Inputs!$B$29,MAX(0,(Inputs!$B$3-100)*3)+Inputs!$B$28+Inputs!$B$29)))</f>
        <v/>
      </c>
      <c r="E2290">
        <f>INDEX(FactorTable!$B$2:$Y$301, MATCH(ROUND(MIN(300,MAX(1,D2290)),0), FactorTable!$A$2:$A$301,0), Skills!L20+1)</f>
        <v/>
      </c>
      <c r="F2290">
        <f>IF(Skills!M20=TRUE,(Skills!K20/10)*(E2290/1000),Skills!K20/10)+Skills!N20</f>
        <v/>
      </c>
      <c r="G2290">
        <f>Calc!G20</f>
        <v/>
      </c>
      <c r="H2290">
        <f>Calc!H20</f>
        <v/>
      </c>
      <c r="I2290">
        <f>IF(Skills!T20&lt;&gt;"",1+(Skills!T20/10)*(Z2273/1000)/100,1)</f>
        <v/>
      </c>
      <c r="J2290" t="inlineStr"/>
      <c r="K2290" t="inlineStr"/>
      <c r="L2290" t="inlineStr"/>
      <c r="M2290" t="inlineStr"/>
      <c r="N2290" t="inlineStr"/>
      <c r="O2290">
        <f>(1-Summary!$B$11)*S2290+Summary!$B$11*U2290</f>
        <v/>
      </c>
      <c r="P2290">
        <f>IF(B2307=0,0,O2290/B2307)</f>
        <v/>
      </c>
      <c r="Q2290">
        <f>IFERROR(1/IF(Inputs!$B$38="pvp",15,MAX(0.1,Skills!D20-IF(Skills!E20=TRUE,Inputs!$B$32,0))),0)</f>
        <v/>
      </c>
      <c r="R2290" t="n">
        <v>0</v>
      </c>
      <c r="S2290" t="n">
        <v>0</v>
      </c>
      <c r="U2290" t="n">
        <v>0</v>
      </c>
    </row>
    <row r="2291">
      <c r="A2291">
        <f>Skills!A21</f>
        <v/>
      </c>
      <c r="B2291">
        <f>Skills!B21</f>
        <v/>
      </c>
      <c r="C2291">
        <f>Inputs!$B$3&gt;=74</f>
        <v/>
      </c>
      <c r="D2291">
        <f>IF(Skills!C21=1,60+Inputs!$B$25+Inputs!$B$29,IF(Skills!C21=2,90+Inputs!$B$26+Inputs!$B$29,IF(Skills!C21=3,120+Inputs!$B$27+Inputs!$B$29,MAX(0,(Inputs!$B$3-100)*3)+Inputs!$B$28+Inputs!$B$29)))</f>
        <v/>
      </c>
      <c r="E2291">
        <f>INDEX(FactorTable!$B$2:$Y$301, MATCH(ROUND(MIN(300,MAX(1,D2291)),0), FactorTable!$A$2:$A$301,0), Skills!L21+1)</f>
        <v/>
      </c>
      <c r="F2291">
        <f>IF(Skills!M21=TRUE,(Skills!K21/10)*(E2291/1000),Skills!K21/10)+Skills!N21</f>
        <v/>
      </c>
      <c r="G2291">
        <f>Calc!G21</f>
        <v/>
      </c>
      <c r="H2291">
        <f>Calc!H21</f>
        <v/>
      </c>
      <c r="I2291">
        <f>IF(Skills!T21&lt;&gt;"",1+(Skills!T21/10)*(Z2273/1000)/100,1)</f>
        <v/>
      </c>
      <c r="J2291" t="inlineStr"/>
      <c r="K2291" t="inlineStr"/>
      <c r="L2291" t="inlineStr"/>
      <c r="M2291" t="inlineStr"/>
      <c r="N2291" t="inlineStr"/>
      <c r="O2291">
        <f>(1-Summary!$B$11)*S2291+Summary!$B$11*U2291</f>
        <v/>
      </c>
      <c r="P2291">
        <f>IF(B2307=0,0,O2291/B2307)</f>
        <v/>
      </c>
      <c r="Q2291">
        <f>IFERROR(1/IF(Inputs!$B$38="pvp",15,MAX(0.1,Skills!D21-IF(Skills!E21=TRUE,Inputs!$B$32,0))),0)</f>
        <v/>
      </c>
      <c r="R2291" t="n">
        <v>0</v>
      </c>
      <c r="S2291" t="n">
        <v>0</v>
      </c>
      <c r="U2291" t="n">
        <v>0</v>
      </c>
    </row>
    <row r="2292">
      <c r="A2292">
        <f>Skills!A22</f>
        <v/>
      </c>
      <c r="B2292">
        <f>Skills!B22</f>
        <v/>
      </c>
      <c r="C2292">
        <f>Inputs!$B$3&gt;=117</f>
        <v/>
      </c>
      <c r="D2292">
        <f>IF(Skills!C22=1,60+Inputs!$B$25+Inputs!$B$29,IF(Skills!C22=2,90+Inputs!$B$26+Inputs!$B$29,IF(Skills!C22=3,120+Inputs!$B$27+Inputs!$B$29,MAX(0,(Inputs!$B$3-100)*3)+Inputs!$B$28+Inputs!$B$29)))</f>
        <v/>
      </c>
      <c r="E2292">
        <f>INDEX(FactorTable!$B$2:$Y$301, MATCH(ROUND(MIN(300,MAX(1,D2292)),0), FactorTable!$A$2:$A$301,0), Skills!L22+1)</f>
        <v/>
      </c>
      <c r="F2292">
        <f>IF(Skills!M22=TRUE,(Skills!K22/10)*(E2292/1000),Skills!K22/10)+Skills!N22</f>
        <v/>
      </c>
      <c r="G2292">
        <f>Calc!G22</f>
        <v/>
      </c>
      <c r="H2292">
        <f>Calc!H22</f>
        <v/>
      </c>
      <c r="I2292">
        <f>IF(Skills!T22&lt;&gt;"",1+(Skills!T22/10)*(Z2273/1000)/100,1)</f>
        <v/>
      </c>
      <c r="J2292" t="inlineStr"/>
      <c r="K2292" t="inlineStr"/>
      <c r="L2292" t="inlineStr"/>
      <c r="M2292" t="inlineStr"/>
      <c r="N2292" t="inlineStr"/>
      <c r="O2292">
        <f>(1-Summary!$B$11)*S2292+Summary!$B$11*U2292</f>
        <v/>
      </c>
      <c r="P2292">
        <f>IF(B2307=0,0,O2292/B2307)</f>
        <v/>
      </c>
      <c r="Q2292">
        <f>IFERROR(1/IF(Inputs!$B$38="pvp",15,MAX(0.1,Skills!D22-IF(Skills!E22=TRUE,Inputs!$B$32,0))),0)</f>
        <v/>
      </c>
      <c r="R2292" t="n">
        <v>0</v>
      </c>
      <c r="S2292" t="n">
        <v>0</v>
      </c>
      <c r="U2292" t="n">
        <v>0</v>
      </c>
    </row>
    <row r="2293">
      <c r="A2293">
        <f>Skills!A23</f>
        <v/>
      </c>
      <c r="B2293">
        <f>Skills!B23</f>
        <v/>
      </c>
      <c r="C2293">
        <f>Inputs!$B$3&gt;=120</f>
        <v/>
      </c>
      <c r="D2293">
        <f>IF(Skills!C23=1,60+Inputs!$B$25+Inputs!$B$29,IF(Skills!C23=2,90+Inputs!$B$26+Inputs!$B$29,IF(Skills!C23=3,120+Inputs!$B$27+Inputs!$B$29,MAX(0,(Inputs!$B$3-100)*3)+Inputs!$B$28+Inputs!$B$29)))</f>
        <v/>
      </c>
      <c r="E2293">
        <f>INDEX(FactorTable!$B$2:$Y$301, MATCH(ROUND(MIN(300,MAX(1,D2293)),0), FactorTable!$A$2:$A$301,0), Skills!L23+1)</f>
        <v/>
      </c>
      <c r="F2293">
        <f>IF(Skills!M23=TRUE,(Skills!K23/10)*(E2293/1000),Skills!K23/10)+Skills!N23</f>
        <v/>
      </c>
      <c r="G2293">
        <f>Calc!G23</f>
        <v/>
      </c>
      <c r="H2293">
        <f>Calc!H23</f>
        <v/>
      </c>
      <c r="I2293">
        <f>IF(Skills!T23&lt;&gt;"",1+(Skills!T23/10)*(Z2273/1000)/100,1)</f>
        <v/>
      </c>
      <c r="J2293" t="inlineStr"/>
      <c r="K2293" t="inlineStr"/>
      <c r="L2293" t="inlineStr"/>
      <c r="M2293" t="inlineStr"/>
      <c r="N2293" t="inlineStr"/>
      <c r="O2293">
        <f>(1-Summary!$B$11)*S2293+Summary!$B$11*U2293</f>
        <v/>
      </c>
      <c r="P2293">
        <f>IF(B2307=0,0,O2293/B2307)</f>
        <v/>
      </c>
      <c r="Q2293">
        <f>IFERROR(1/IF(Inputs!$B$38="pvp",15,MAX(0.1,Skills!D23-IF(Skills!E23=TRUE,Inputs!$B$32,0))),0)</f>
        <v/>
      </c>
      <c r="R2293" t="n">
        <v>0</v>
      </c>
      <c r="S2293" t="n">
        <v>0</v>
      </c>
      <c r="U2293" t="n">
        <v>0</v>
      </c>
    </row>
    <row r="2294">
      <c r="A2294">
        <f>Skills!A24</f>
        <v/>
      </c>
      <c r="B2294">
        <f>Skills!B24</f>
        <v/>
      </c>
      <c r="C2294">
        <f>TRUE</f>
        <v/>
      </c>
      <c r="D2294">
        <f>IF(Skills!C24=1,60+Inputs!$B$25+Inputs!$B$29,IF(Skills!C24=2,90+Inputs!$B$26+Inputs!$B$29,IF(Skills!C24=3,120+Inputs!$B$27+Inputs!$B$29,MAX(0,(Inputs!$B$3-100)*3)+Inputs!$B$28+Inputs!$B$29)))</f>
        <v/>
      </c>
      <c r="E2294">
        <f>INDEX(FactorTable!$B$2:$Y$301, MATCH(ROUND(MIN(300,MAX(1,D2294)),0), FactorTable!$A$2:$A$301,0), Skills!L24+1)</f>
        <v/>
      </c>
      <c r="F2294">
        <f>IF(Skills!M24=TRUE,(Skills!K24/10)*(E2294/1000),Skills!K24/10)+Skills!N24</f>
        <v/>
      </c>
      <c r="G2294">
        <f>Calc!G24</f>
        <v/>
      </c>
      <c r="H2294">
        <f>Calc!H24</f>
        <v/>
      </c>
      <c r="I2294">
        <f>IF(Skills!T24&lt;&gt;"",1+(Skills!T24/10)*(Z2273/1000)/100,1)</f>
        <v/>
      </c>
      <c r="J2294" t="inlineStr"/>
      <c r="K2294" t="inlineStr"/>
      <c r="L2294" t="inlineStr"/>
      <c r="M2294" t="inlineStr"/>
      <c r="N2294" t="inlineStr"/>
      <c r="O2294">
        <f>(1-Summary!$B$11)*S2294+Summary!$B$11*U2294</f>
        <v/>
      </c>
      <c r="P2294">
        <f>IF(B2307=0,0,O2294/B2307)</f>
        <v/>
      </c>
      <c r="Q2294">
        <f>IFERROR(1/IF(Inputs!$B$38="pvp",15,MAX(0.1,Skills!D24-IF(Skills!E24=TRUE,Inputs!$B$32,0))),0)</f>
        <v/>
      </c>
      <c r="R2294">
        <f>IF(AND(Inputs!$B$38&lt;&gt;"pvp",Inputs!$B$43&gt;0),IF(Inputs!$B$43&lt;=0,0,(INT(Inputs!$B$43/IF(Inputs!$B$38="pvp",15,MAX(0.1,Skills!D24-IF(Skills!E24=TRUE,Inputs!$B$32,0))))+1)),0)</f>
        <v/>
      </c>
      <c r="S2294" t="n">
        <v>0</v>
      </c>
      <c r="U2294" t="n">
        <v>0</v>
      </c>
    </row>
    <row r="2297">
      <c r="A2297" t="inlineStr">
        <is>
          <t>Average Buff Multiplier (Magic Guard + Meditation + Artifact Attack%, summed; then Infinity)</t>
        </is>
      </c>
      <c r="B2297">
        <f>(1+(IF(C2273=TRUE,F2273*IF(AND(Inputs!$B$38&lt;&gt;"pvp",Inputs!$B$43&gt;0),(((R2273-1)*(Skills!S3*(1+(Inputs!$B$34)/100))+MIN((Skills!S3*(1+(Inputs!$B$34)/100)),MAX(0,Inputs!$B$43-((R2273-1)*Skills!D3))))/Inputs!$B$43),IF(Inputs!$B$38="pvp",MIN((Skills!S3*(1+(Inputs!$B$34)/100)),15)/15,(Skills!S3*(1+(Inputs!$B$34)/100))/Skills!D3)),0)+IF(C2274=TRUE,F2274*IF(AND(Inputs!$B$38&lt;&gt;"pvp",Inputs!$B$43&gt;0),(((R2274-1)*(Skills!S4*(1+(Inputs!$B$34)/100))+MIN((Skills!S4*(1+(Inputs!$B$34)/100)),MAX(0,Inputs!$B$43-((R2274-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2286=TRUE,(1+F2286*IF(AND(Inputs!$B$38&lt;&gt;"pvp",Inputs!$B$43&gt;0),(((R2286-1)*(Skills!S16*(1+(Inputs!$B$34)/100))+MIN((Skills!S16*(1+(Inputs!$B$34)/100)),MAX(0,Inputs!$B$43-((R2286-1)*Skills!D16))))/Inputs!$B$43),IF(Inputs!$B$38="pvp",MIN((Skills!S16*(1+(Inputs!$B$34)/100)),15)/15,(Skills!S16*(1+(Inputs!$B$34)/100))/Skills!D16))/100),1)</f>
        <v/>
      </c>
    </row>
    <row r="2298">
      <c r="A2298" t="inlineStr">
        <is>
          <t>Monster Damage Taken Bonus % (Freezing Breath - Weaken + Elemental Reset + Artifact Enemy Damage Taken, summed)</t>
        </is>
      </c>
      <c r="B2298">
        <f>IF(Inputs!$B$3&gt;=118,15*IF(Inputs!$B$38="pvp",MIN((30*(1+(Inputs!$B$34)/100)),15)/15,(30*(1+(Inputs!$B$34)/100))/Skills!D8),0)+IF(C2284=TRUE,F2284,0)+(IF(AND(ArtifactsInput!$M$35,Inputs!$B$4&lt;&gt;"Chapter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f>
        <v/>
      </c>
    </row>
    <row r="2299">
      <c r="A2299" t="inlineStr">
        <is>
          <t>Damage % Bonus (Frozen Break + Frost Clutch, flat)</t>
        </is>
      </c>
      <c r="B2299">
        <f>IF(Inputs!$B$3&gt;=66,15,0)+IF(Inputs!$B$3&gt;=98,10,0)+IF(Inputs!$B$3&gt;=125,20,0)</f>
        <v/>
      </c>
    </row>
    <row r="2300">
      <c r="A2300" t="inlineStr">
        <is>
          <t>Attack Speed Bonus % (MP Eater - MP Boost, always-on + Nimble Feet, duty-cycle averaged)</t>
        </is>
      </c>
      <c r="B2300">
        <f>IF(C2283=TRUE,F2283+(F2287-Calc!F17),0)+((C2294=TRUE)*F2294*IF(AND(Inputs!$B$38&lt;&gt;"pvp",Inputs!$B$43&gt;0),(((R2294-1)*(Skills!S24*(1+(Inputs!$B$34)/100))+MIN((Skills!S24*(1+(Inputs!$B$34)/100)),MAX(0,Inputs!$B$43-((R2294-1)*Skills!D24))))/Inputs!$B$43),IF(Inputs!$B$38="pvp",MIN((Skills!S24*(1+(Inputs!$B$34)/100)),15)/15,(Skills!S24*(1+(Inputs!$B$34)/100))/Skills!D24)))</f>
        <v/>
      </c>
    </row>
    <row r="2301">
      <c r="A2301" t="inlineStr">
        <is>
          <t>Actions Per Second</t>
        </is>
      </c>
      <c r="B2301">
        <f>1+MIN(150,150*(1-(1-(Inputs!$B$11+(ArtifactsInput!$M$15-ArtifactsInput!$M$15)*CHOOSE(ArtifactsInput!$N$15+1,8,9.6,11.2,12.8,14.4,16))/150)*(1-B2300/150)))/100</f>
        <v/>
      </c>
    </row>
    <row r="2302">
      <c r="A2302" t="inlineStr">
        <is>
          <t>Skill + Buff Cast Rate</t>
        </is>
      </c>
      <c r="B2302">
        <f>IF(AND(Inputs!$B$38&lt;&gt;"pvp",Inputs!$B$43&gt;0),SUMPRODUCT((Skills!E2:E24=TRUE)*(C2272:C2294=TRUE)*R2272:R2294)/Inputs!$B$43,SUMPRODUCT((Skills!E2:E24=TRUE)*(C2272:C2294=TRUE)*Q2272:Q2294))</f>
        <v/>
      </c>
    </row>
    <row r="2303">
      <c r="A2303" t="inlineStr">
        <is>
          <t>Chain Lightning Casts Per Second</t>
        </is>
      </c>
      <c r="B2303">
        <f>MAX(0,B2301-B2302)</f>
        <v/>
      </c>
    </row>
    <row r="2304">
      <c r="A2304" t="inlineStr">
        <is>
          <t>Buff-Casting Startup Delay (s, fixed-duration only)</t>
        </is>
      </c>
      <c r="B2304">
        <f>IF(AND(Inputs!$B$38&lt;&gt;"pvp",Inputs!$B$43&gt;0),SUMPRODUCT((Skills!S2:S24&gt;0)*(Skills!E2:E24=TRUE)*(C2272:C2294=TRUE))/B2301,0)</f>
        <v/>
      </c>
    </row>
    <row r="2305">
      <c r="A2305" t="inlineStr">
        <is>
          <t>Boss-Only Total DPS (this block's swept value)</t>
        </is>
      </c>
      <c r="B2305">
        <f>SUM(S2272:S2294)</f>
        <v/>
      </c>
    </row>
    <row r="2306">
      <c r="A2306" t="inlineStr">
        <is>
          <t>Normal-Only Total DPS (this block's swept value)</t>
        </is>
      </c>
      <c r="B2306">
        <f>SUM(U2272:U2294)</f>
        <v/>
      </c>
    </row>
    <row r="2307">
      <c r="A2307" s="6" t="inlineStr">
        <is>
          <t>TOTAL DPS</t>
        </is>
      </c>
      <c r="B2307" s="6">
        <f>SUM(O2272:O2294)</f>
        <v/>
      </c>
    </row>
    <row r="2310">
      <c r="A2310" s="6" t="inlineStr">
        <is>
          <t>Stat: Horn Flute (Equip)</t>
        </is>
      </c>
    </row>
    <row r="2311">
      <c r="A2311" s="5" t="inlineStr">
        <is>
          <t>Key</t>
        </is>
      </c>
      <c r="B2311" s="5" t="inlineStr">
        <is>
          <t>Name</t>
        </is>
      </c>
      <c r="C2311" s="5" t="inlineStr">
        <is>
          <t>Unlocked</t>
        </is>
      </c>
      <c r="D2311" s="5" t="inlineStr">
        <is>
          <t>InputLevel</t>
        </is>
      </c>
      <c r="E2311" s="5" t="inlineStr">
        <is>
          <t>Factor</t>
        </is>
      </c>
      <c r="F2311" s="5" t="inlineStr">
        <is>
          <t>CoefficientPercent</t>
        </is>
      </c>
      <c r="G2311" s="5" t="inlineStr">
        <is>
          <t>EffectiveHits</t>
        </is>
      </c>
      <c r="H2311" s="5" t="inlineStr">
        <is>
          <t>ProcProbability</t>
        </is>
      </c>
      <c r="I2311" s="5" t="inlineStr">
        <is>
          <t>MapleHeroMultiplier</t>
        </is>
      </c>
      <c r="J2311" s="5" t="inlineStr">
        <is>
          <t>BaseDamage</t>
        </is>
      </c>
      <c r="K2311" s="5" t="inlineStr">
        <is>
          <t>BaseHitDamage</t>
        </is>
      </c>
      <c r="L2311" s="5" t="inlineStr">
        <is>
          <t>NonCritAvg</t>
        </is>
      </c>
      <c r="M2311" s="5" t="inlineStr">
        <is>
          <t>CritAvg</t>
        </is>
      </c>
      <c r="N2311" s="5" t="inlineStr">
        <is>
          <t>ExpectedDamage(perHit)</t>
        </is>
      </c>
      <c r="O2311" s="5" t="inlineStr">
        <is>
          <t>DPS</t>
        </is>
      </c>
      <c r="P2311" s="5" t="inlineStr">
        <is>
          <t>% of Total</t>
        </is>
      </c>
      <c r="R2311" t="inlineStr">
        <is>
          <t>helpers</t>
        </is>
      </c>
    </row>
    <row r="2312">
      <c r="A2312">
        <f>Skills!A2</f>
        <v/>
      </c>
      <c r="B2312">
        <f>Skills!B2</f>
        <v/>
      </c>
      <c r="C2312">
        <f>Inputs!$B$3&gt;=100</f>
        <v/>
      </c>
      <c r="D2312" t="inlineStr"/>
      <c r="E2312" t="inlineStr"/>
      <c r="F2312">
        <f>T2314+Skills!N2</f>
        <v/>
      </c>
      <c r="G2312">
        <f>Calc!G2</f>
        <v/>
      </c>
      <c r="H2312">
        <f>Calc!H2</f>
        <v/>
      </c>
      <c r="I2312">
        <f>IF(Skills!T2&lt;&gt;"",1+(Skills!T2/10)*(Z2313/1000)/100,1)</f>
        <v/>
      </c>
      <c r="J2312">
        <f>((Inputs!$B$6*(1+Inputs!$B$7/100))+(((Inputs!$B$12*(1+Inputs!$B$13/100))-(Inputs!$B$12*(1+Inputs!$B$13/100)))+0.25*(Inputs!$B$14-Inputs!$B$14))*(1+Inputs!$B$7/100))*(F2312/100)</f>
        <v/>
      </c>
      <c r="K2312">
        <f>J2312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2="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F2328-Calc!F18),(Inputs!$B$23+(IF(ArtifactsInput!$M$15,CHOOSE(ArtifactsInput!$N$15+1,25,30,35,40,45,50)/100*(Inputs!$B$11-Inputs!$B$11),0))))/100+(Inputs!$B$23+(IF(ArtifactsInput!$M$15,CHOOSE(ArtifactsInput!$N$15+1,25,30,35,40,45,50)/100*(Inputs!$B$11-Inputs!$B$11),0)))/100)/2</f>
        <v/>
      </c>
      <c r="M2312">
        <f>L2312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(1-Summary!$B$11)*S2312+Summary!$B$11*U2312</f>
        <v/>
      </c>
      <c r="P2312">
        <f>IF(B2347=0,0,O2312/B2347)</f>
        <v/>
      </c>
      <c r="Q2312">
        <f>IFERROR(1/IF(Inputs!$B$38="pvp",15,MAX(0.1,Skills!D2-IF(Skills!E2=TRUE,Inputs!$B$32,0))),0)</f>
        <v/>
      </c>
      <c r="R2312" t="n">
        <v>0</v>
      </c>
      <c r="S2312">
        <f>IF(C2312,(Skills!F2*N2312*B2343)*IF(Inputs!$B$38="pvp",1,1+(Inputs!$B$20+Skills!O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2312*(1-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2">
        <f>MAX(0,(Inputs!$B$3-100)*3)+Inputs!$B$28+Inputs!$B$29</f>
        <v/>
      </c>
      <c r="U2312">
        <f>IF(C2312,(Skills!F2*N2312*B2343)*IF(Inputs!$B$38="pvp",1,(1+(Inputs!$B$21+Skills!P2+B2338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2">
        <f>MAX(0,(Inputs!$B$3-100)*3)+Inputs!$B$28+Inputs!$B$29</f>
        <v/>
      </c>
    </row>
    <row r="2313">
      <c r="A2313">
        <f>Skills!A3</f>
        <v/>
      </c>
      <c r="B2313">
        <f>Skills!B3</f>
        <v/>
      </c>
      <c r="C2313">
        <f>Inputs!$B$3&gt;=15</f>
        <v/>
      </c>
      <c r="D2313">
        <f>IF(Skills!C3=1,60+Inputs!$B$25+Inputs!$B$29,IF(Skills!C3=2,90+Inputs!$B$26+Inputs!$B$29,IF(Skills!C3=3,120+Inputs!$B$27+Inputs!$B$29,MAX(0,(Inputs!$B$3-100)*3)+Inputs!$B$28+Inputs!$B$29)))</f>
        <v/>
      </c>
      <c r="E2313">
        <f>INDEX(FactorTable!$B$2:$Y$301, MATCH(ROUND(MIN(300,MAX(1,D2313)),0), FactorTable!$A$2:$A$301,0), Skills!L3+1)</f>
        <v/>
      </c>
      <c r="F2313">
        <f>IF(Skills!M3=TRUE,(Skills!K3/10)*(E2313/1000),Skills!K3/10)+Skills!N3</f>
        <v/>
      </c>
      <c r="G2313">
        <f>Calc!G3</f>
        <v/>
      </c>
      <c r="H2313">
        <f>Calc!H3</f>
        <v/>
      </c>
      <c r="I2313">
        <f>IF(Skills!T3&lt;&gt;"",1+(Skills!T3/10)*(Z2313/1000)/100,1)</f>
        <v/>
      </c>
      <c r="J2313" t="inlineStr"/>
      <c r="K2313" t="inlineStr"/>
      <c r="L2313" t="inlineStr"/>
      <c r="M2313" t="inlineStr"/>
      <c r="N2313" t="inlineStr"/>
      <c r="O2313">
        <f>(1-Summary!$B$11)*S2313+Summary!$B$11*U2313</f>
        <v/>
      </c>
      <c r="P2313">
        <f>IF(B2347=0,0,O2313/B2347)</f>
        <v/>
      </c>
      <c r="Q2313">
        <f>IFERROR(1/IF(Inputs!$B$38="pvp",15,MAX(0.1,Skills!D3-IF(Skills!E3=TRUE,Inputs!$B$32,0))),0)</f>
        <v/>
      </c>
      <c r="R2313">
        <f>IF(AND(Inputs!$B$38&lt;&gt;"pvp",Inputs!$B$43&gt;0),IF(Inputs!$B$43&lt;=0,0,(INT(Inputs!$B$43/IF(Inputs!$B$38="pvp",15,MAX(0.1,Skills!D3-IF(Skills!E3=TRUE,Inputs!$B$32,0))))+1)),0)</f>
        <v/>
      </c>
      <c r="S2313" t="n">
        <v>0</v>
      </c>
      <c r="T2313">
        <f>INDEX(FactorTable!$B$2:$Y$301, MATCH(ROUND(MIN(300,MAX(1,T2312)),0), FactorTable!$A$2:$A$301,0), 22)</f>
        <v/>
      </c>
      <c r="U2313" t="n">
        <v>0</v>
      </c>
      <c r="Z2313">
        <f>INDEX(FactorTable!$B$2:$Y$301, MATCH(ROUND(MIN(300,MAX(1,Z2312)),0), FactorTable!$A$2:$A$301,0), 24)</f>
        <v/>
      </c>
    </row>
    <row r="2314">
      <c r="A2314">
        <f>Skills!A4</f>
        <v/>
      </c>
      <c r="B2314">
        <f>Skills!B4</f>
        <v/>
      </c>
      <c r="C2314">
        <f>Inputs!$B$3&gt;=40</f>
        <v/>
      </c>
      <c r="D2314">
        <f>IF(Skills!C4=1,60+Inputs!$B$25+Inputs!$B$29,IF(Skills!C4=2,90+Inputs!$B$26+Inputs!$B$29,IF(Skills!C4=3,120+Inputs!$B$27+Inputs!$B$29,MAX(0,(Inputs!$B$3-100)*3)+Inputs!$B$28+Inputs!$B$29)))</f>
        <v/>
      </c>
      <c r="E2314">
        <f>INDEX(FactorTable!$B$2:$Y$301, MATCH(ROUND(MIN(300,MAX(1,D2314)),0), FactorTable!$A$2:$A$301,0), Skills!L4+1)</f>
        <v/>
      </c>
      <c r="F2314">
        <f>IF(Skills!M4=TRUE,(Skills!K4/10)*(E2314/1000),Skills!K4/10)+Skills!N4</f>
        <v/>
      </c>
      <c r="G2314">
        <f>Calc!G4</f>
        <v/>
      </c>
      <c r="H2314">
        <f>Calc!H4</f>
        <v/>
      </c>
      <c r="I2314">
        <f>IF(Skills!T4&lt;&gt;"",1+(Skills!T4/10)*(Z2313/1000)/100,1)</f>
        <v/>
      </c>
      <c r="J2314" t="inlineStr"/>
      <c r="K2314" t="inlineStr"/>
      <c r="L2314" t="inlineStr"/>
      <c r="M2314" t="inlineStr"/>
      <c r="N2314" t="inlineStr"/>
      <c r="O2314">
        <f>(1-Summary!$B$11)*S2314+Summary!$B$11*U2314</f>
        <v/>
      </c>
      <c r="P2314">
        <f>IF(B2347=0,0,O2314/B2347)</f>
        <v/>
      </c>
      <c r="Q2314">
        <f>IFERROR(1/IF(Inputs!$B$38="pvp",15,MAX(0.1,Skills!D4-IF(Skills!E4=TRUE,Inputs!$B$32,0))),0)</f>
        <v/>
      </c>
      <c r="R2314">
        <f>IF(AND(Inputs!$B$38&lt;&gt;"pvp",Inputs!$B$43&gt;0),IF(Inputs!$B$43&lt;=0,0,(INT(Inputs!$B$43/IF(Inputs!$B$38="pvp",15,MAX(0.1,Skills!D4-IF(Skills!E4=TRUE,Inputs!$B$32,0))))+1)),0)</f>
        <v/>
      </c>
      <c r="S2314" t="n">
        <v>0</v>
      </c>
      <c r="T2314">
        <f>290*T2313/1000</f>
        <v/>
      </c>
      <c r="U2314" t="n">
        <v>0</v>
      </c>
    </row>
    <row r="2315">
      <c r="A2315">
        <f>Skills!A5</f>
        <v/>
      </c>
      <c r="B2315">
        <f>Skills!B5</f>
        <v/>
      </c>
      <c r="C2315">
        <f>Inputs!$B$3&gt;=38</f>
        <v/>
      </c>
      <c r="D2315">
        <f>IF(Skills!C5=1,60+Inputs!$B$25+Inputs!$B$29,IF(Skills!C5=2,90+Inputs!$B$26+Inputs!$B$29,IF(Skills!C5=3,120+Inputs!$B$27+Inputs!$B$29,MAX(0,(Inputs!$B$3-100)*3)+Inputs!$B$28+Inputs!$B$29)))</f>
        <v/>
      </c>
      <c r="E2315">
        <f>INDEX(FactorTable!$B$2:$Y$301, MATCH(ROUND(MIN(300,MAX(1,D2315)),0), FactorTable!$A$2:$A$301,0), Skills!L5+1)</f>
        <v/>
      </c>
      <c r="F2315">
        <f>IF(Skills!M5=TRUE,(Skills!K5/10)*(E2315/1000),Skills!K5/10)+Skills!N5</f>
        <v/>
      </c>
      <c r="G2315">
        <f>Calc!G5</f>
        <v/>
      </c>
      <c r="H2315">
        <f>Calc!H5</f>
        <v/>
      </c>
      <c r="I2315">
        <f>IF(Skills!T5&lt;&gt;"",1+(Skills!T5/10)*(Z2313/1000)/100,1)</f>
        <v/>
      </c>
      <c r="J2315">
        <f>((Inputs!$B$6*(1+Inputs!$B$7/100))+(((Inputs!$B$12*(1+Inputs!$B$13/100))-(Inputs!$B$12*(1+Inputs!$B$13/100)))+0.25*(Inputs!$B$14-Inputs!$B$14))*(1+Inputs!$B$7/100))*(F2315/100)</f>
        <v/>
      </c>
      <c r="K2315">
        <f>J2315*(1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5="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F2328-Calc!F18),(Inputs!$B$23+(IF(ArtifactsInput!$M$15,CHOOSE(ArtifactsInput!$N$15+1,25,30,35,40,45,50)/100*(Inputs!$B$11-Inputs!$B$11),0))))/100+(Inputs!$B$23+(IF(ArtifactsInput!$M$15,CHOOSE(ArtifactsInput!$N$15+1,25,30,35,40,45,50)/100*(Inputs!$B$11-Inputs!$B$11),0)))/100)/2</f>
        <v/>
      </c>
      <c r="M2315">
        <f>L2315*(1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(1-Summary!$B$11)*S2315+Summary!$B$11*U2315</f>
        <v/>
      </c>
      <c r="P2315">
        <f>IF(B2347=0,0,O2315/B2347)</f>
        <v/>
      </c>
      <c r="Q2315">
        <f>IFERROR(1/IF(Inputs!$B$38="pvp",15,MAX(0.1,Skills!D5-IF(Skills!E5=TRUE,Inputs!$B$32,0))),0)</f>
        <v/>
      </c>
      <c r="R2315">
        <f>IF(AND(Inputs!$B$38&lt;&gt;"pvp",Inputs!$B$43&gt;0),IF(MAX(0,Inputs!$B$43-B2344)&lt;=0,0,(INT(MAX(0,Inputs!$B$43-B2344)/IF(Inputs!$B$38="pvp",15,MAX(0.1,Skills!D5-IF(Skills!E5=TRUE,Inputs!$B$32,0))))+1)),0)</f>
        <v/>
      </c>
      <c r="S2315">
        <f>IF(C2315,(H2315*N2315*IF(AND(Inputs!$B$38&lt;&gt;"pvp",Inputs!$B$43&gt;0),((Skills!F5*((R2315-1)*IF(Skills!G5&gt;0,Skills!H5/Skills!G5,1)+IF(Skills!G5&gt;0,MIN(Skills!H5,MAX(0,MAX(0,Inputs!$B$43-B2344)-((R2315-1)*IF(Inputs!$B$38="pvp",15,MAX(0.1,Skills!D5-IF(Skills!E5=TRUE,Inputs!$B$32,0))))))/Skills!G5,1)))/Inputs!$B$43),G2315*Q2315))*IF(Inputs!$B$38="pvp",1,1+(Inputs!$B$20+Skills!O5+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2315*(1-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IF(C2315,(H2315*N2315*IF(AND(Inputs!$B$38&lt;&gt;"pvp",Inputs!$B$43&gt;0),((Skills!F5*((R2315-1)*IF(Skills!G5&gt;0,Skills!H5/Skills!G5,1)+IF(Skills!G5&gt;0,MIN(Skills!H5,MAX(0,MAX(0,Inputs!$B$43-B2344)-((R2315-1)*IF(Inputs!$B$38="pvp",15,MAX(0.1,Skills!D5-IF(Skills!E5=TRUE,Inputs!$B$32,0))))))/Skills!G5,1)))/Inputs!$B$43),G2315*Q2315))*IF(Inputs!$B$38="pvp",1,(1+(Inputs!$B$21+Skills!P5+B2338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Skills!A6</f>
        <v/>
      </c>
      <c r="B2316">
        <f>Skills!B6</f>
        <v/>
      </c>
      <c r="C2316">
        <f>Inputs!$B$3&gt;=63</f>
        <v/>
      </c>
      <c r="D2316">
        <f>IF(Skills!C6=1,60+Inputs!$B$25+Inputs!$B$29,IF(Skills!C6=2,90+Inputs!$B$26+Inputs!$B$29,IF(Skills!C6=3,120+Inputs!$B$27+Inputs!$B$29,MAX(0,(Inputs!$B$3-100)*3)+Inputs!$B$28+Inputs!$B$29)))</f>
        <v/>
      </c>
      <c r="E2316">
        <f>INDEX(FactorTable!$B$2:$Y$301, MATCH(ROUND(MIN(300,MAX(1,D2316)),0), FactorTable!$A$2:$A$301,0), Skills!L6+1)</f>
        <v/>
      </c>
      <c r="F2316">
        <f>IF(Skills!M6=TRUE,(Skills!K6/10)*(E2316/1000),Skills!K6/10)+Skills!N6</f>
        <v/>
      </c>
      <c r="G2316">
        <f>Calc!G6</f>
        <v/>
      </c>
      <c r="H2316">
        <f>Calc!H6</f>
        <v/>
      </c>
      <c r="I2316">
        <f>IF(Skills!T6&lt;&gt;"",1+(Skills!T6/10)*(Z2313/1000)/100,1)</f>
        <v/>
      </c>
      <c r="J2316">
        <f>((Inputs!$B$6*(1+Inputs!$B$7/100))+(((Inputs!$B$12*(1+Inputs!$B$13/100))-(Inputs!$B$12*(1+Inputs!$B$13/100)))+0.25*(Inputs!$B$14-Inputs!$B$14))*(1+Inputs!$B$7/100))*(F2316/100)</f>
        <v/>
      </c>
      <c r="K2316">
        <f>J2316*(1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6="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2328-Calc!F18),(Inputs!$B$23+(IF(ArtifactsInput!$M$15,CHOOSE(ArtifactsInput!$N$15+1,25,30,35,40,45,50)/100*(Inputs!$B$11-Inputs!$B$11),0))))/100+(Inputs!$B$23+(IF(ArtifactsInput!$M$15,CHOOSE(ArtifactsInput!$N$15+1,25,30,35,40,45,50)/100*(Inputs!$B$11-Inputs!$B$11),0)))/100)/2</f>
        <v/>
      </c>
      <c r="M2316">
        <f>L2316*(1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IF(B2347=0,0,O2316/B2347)</f>
        <v/>
      </c>
      <c r="Q2316">
        <f>IFERROR(1/IF(Inputs!$B$38="pvp",15,MAX(0.1,Skills!D6-IF(Skills!E6=TRUE,Inputs!$B$32,0))),0)</f>
        <v/>
      </c>
      <c r="R2316">
        <f>IF(AND(Inputs!$B$38&lt;&gt;"pvp",Inputs!$B$43&gt;0),IF(MAX(0,Inputs!$B$43-B2344)&lt;=0,0,(INT(MAX(0,Inputs!$B$43-B2344)/IF(Inputs!$B$38="pvp",15,MAX(0.1,Skills!D6-IF(Skills!E6=TRUE,Inputs!$B$32,0))))+1)),0)</f>
        <v/>
      </c>
      <c r="S2316">
        <f>IF(C2316,(H2316*N2316*IF(AND(Inputs!$B$38&lt;&gt;"pvp",Inputs!$B$43&gt;0),((Skills!F6*((R2316-1)*IF(Skills!G6&gt;0,Skills!H6/Skills!G6,1)+IF(Skills!G6&gt;0,MIN(Skills!H6,MAX(0,MAX(0,Inputs!$B$43-B2344)-((R2316-1)*IF(Inputs!$B$38="pvp",15,MAX(0.1,Skills!D6-IF(Skills!E6=TRUE,Inputs!$B$32,0))))))/Skills!G6,1)))/Inputs!$B$43),G2316*Q2316))*IF(Inputs!$B$38="pvp",1,1+(Inputs!$B$20+Skills!O6+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F(C2316,(H2316*N2316*IF(AND(Inputs!$B$38&lt;&gt;"pvp",Inputs!$B$43&gt;0),((Skills!F6*((R2316-1)*IF(Skills!G6&gt;0,Skills!H6/Skills!G6,1)+IF(Skills!G6&gt;0,MIN(Skills!H6,MAX(0,MAX(0,Inputs!$B$43-B2344)-((R2316-1)*IF(Inputs!$B$38="pvp",15,MAX(0.1,Skills!D6-IF(Skills!E6=TRUE,Inputs!$B$32,0))))))/Skills!G6,1)))/Inputs!$B$43),G2316*Q2316))*IF(Inputs!$B$38="pvp",1,(1+(Inputs!$B$21+Skills!P6+B2338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Skills!A7</f>
        <v/>
      </c>
      <c r="B2317">
        <f>Skills!B7</f>
        <v/>
      </c>
      <c r="C2317">
        <f>Inputs!$B$3&gt;=69</f>
        <v/>
      </c>
      <c r="D2317">
        <f>IF(Skills!C7=1,60+Inputs!$B$25+Inputs!$B$29,IF(Skills!C7=2,90+Inputs!$B$26+Inputs!$B$29,IF(Skills!C7=3,120+Inputs!$B$27+Inputs!$B$29,MAX(0,(Inputs!$B$3-100)*3)+Inputs!$B$28+Inputs!$B$29)))</f>
        <v/>
      </c>
      <c r="E2317">
        <f>INDEX(FactorTable!$B$2:$Y$301, MATCH(ROUND(MIN(300,MAX(1,D2317)),0), FactorTable!$A$2:$A$301,0), Skills!L7+1)</f>
        <v/>
      </c>
      <c r="F2317">
        <f>IF(Skills!M7=TRUE,(Skills!K7/10)*(E2317/1000),Skills!K7/10)+Skills!N7</f>
        <v/>
      </c>
      <c r="G2317">
        <f>Calc!G7</f>
        <v/>
      </c>
      <c r="H2317">
        <f>Calc!H7</f>
        <v/>
      </c>
      <c r="I2317">
        <f>IF(Skills!T7&lt;&gt;"",1+(Skills!T7/10)*(Z2313/1000)/100,1)</f>
        <v/>
      </c>
      <c r="J2317">
        <f>((Inputs!$B$6*(1+Inputs!$B$7/100))+(((Inputs!$B$12*(1+Inputs!$B$13/100))-(Inputs!$B$12*(1+Inputs!$B$13/100)))+0.25*(Inputs!$B$14-Inputs!$B$14))*(1+Inputs!$B$7/100))*(F2317/100)</f>
        <v/>
      </c>
      <c r="K2317">
        <f>J2317*(1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7="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2328-Calc!F18),(Inputs!$B$23+(IF(ArtifactsInput!$M$15,CHOOSE(ArtifactsInput!$N$15+1,25,30,35,40,45,50)/100*(Inputs!$B$11-Inputs!$B$11),0))))/100+(Inputs!$B$23+(IF(ArtifactsInput!$M$15,CHOOSE(ArtifactsInput!$N$15+1,25,30,35,40,45,50)/100*(Inputs!$B$11-Inputs!$B$11),0)))/100)/2</f>
        <v/>
      </c>
      <c r="M2317">
        <f>L2317*(1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IF(B2347=0,0,O2317/B2347)</f>
        <v/>
      </c>
      <c r="Q2317">
        <f>IFERROR(1/IF(Inputs!$B$38="pvp",15,MAX(0.1,Skills!D7-IF(Skills!E7=TRUE,Inputs!$B$32,0))),0)</f>
        <v/>
      </c>
      <c r="R2317">
        <f>IF(AND(Inputs!$B$38&lt;&gt;"pvp",Inputs!$B$43&gt;0),IF(MAX(0,Inputs!$B$43-B2344)&lt;=0,0,(INT(MAX(0,Inputs!$B$43-B2344)/IF(Inputs!$B$38="pvp",15,MAX(0.1,Skills!D7-IF(Skills!E7=TRUE,Inputs!$B$32,0))))+1)),0)</f>
        <v/>
      </c>
      <c r="S2317">
        <f>IF(C2317,(H2317*N2317*IF(AND(Inputs!$B$38&lt;&gt;"pvp",Inputs!$B$43&gt;0),((Skills!F7*((R2317-1)*IF(Skills!G7&gt;0,Skills!H7/Skills!G7,1)+IF(Skills!G7&gt;0,MIN(Skills!H7,MAX(0,MAX(0,Inputs!$B$43-B2344)-((R2317-1)*IF(Inputs!$B$38="pvp",15,MAX(0.1,Skills!D7-IF(Skills!E7=TRUE,Inputs!$B$32,0))))))/Skills!G7,1)))/Inputs!$B$43),G2317*Q2317))*IF(Inputs!$B$38="pvp",1,1+(Inputs!$B$20+Skills!O7+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IF(C2317,(H2317*N2317*IF(AND(Inputs!$B$38&lt;&gt;"pvp",Inputs!$B$43&gt;0),((Skills!F7*((R2317-1)*IF(Skills!G7&gt;0,Skills!H7/Skills!G7,1)+IF(Skills!G7&gt;0,MIN(Skills!H7,MAX(0,MAX(0,Inputs!$B$43-B2344)-((R2317-1)*IF(Inputs!$B$38="pvp",15,MAX(0.1,Skills!D7-IF(Skills!E7=TRUE,Inputs!$B$32,0))))))/Skills!G7,1)))/Inputs!$B$43),G2317*Q2317))*IF(Inputs!$B$38="pvp",1,(1+(Inputs!$B$21+Skills!P7+B2338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Skills!A8</f>
        <v/>
      </c>
      <c r="B2318">
        <f>Skills!B8</f>
        <v/>
      </c>
      <c r="C2318">
        <f>Inputs!$B$3&gt;=103</f>
        <v/>
      </c>
      <c r="D2318">
        <f>IF(Skills!C8=1,60+Inputs!$B$25+Inputs!$B$29,IF(Skills!C8=2,90+Inputs!$B$26+Inputs!$B$29,IF(Skills!C8=3,120+Inputs!$B$27+Inputs!$B$29,MAX(0,(Inputs!$B$3-100)*3)+Inputs!$B$28+Inputs!$B$29)))</f>
        <v/>
      </c>
      <c r="E2318">
        <f>INDEX(FactorTable!$B$2:$Y$301, MATCH(ROUND(MIN(300,MAX(1,D2318)),0), FactorTable!$A$2:$A$301,0), Skills!L8+1)</f>
        <v/>
      </c>
      <c r="F2318">
        <f>IF(Skills!M8=TRUE,(Skills!K8/10)*(E2318/1000),Skills!K8/10)+Skills!N8</f>
        <v/>
      </c>
      <c r="G2318">
        <f>Calc!G8</f>
        <v/>
      </c>
      <c r="H2318">
        <f>Calc!H8</f>
        <v/>
      </c>
      <c r="I2318">
        <f>IF(Skills!T8&lt;&gt;"",1+(Skills!T8/10)*(Z2313/1000)/100,1)</f>
        <v/>
      </c>
      <c r="J2318">
        <f>((Inputs!$B$6*(1+Inputs!$B$7/100))+(((Inputs!$B$12*(1+Inputs!$B$13/100))-(Inputs!$B$12*(1+Inputs!$B$13/100)))+0.25*(Inputs!$B$14-Inputs!$B$14))*(1+Inputs!$B$7/100))*(F2318/100)</f>
        <v/>
      </c>
      <c r="K2318">
        <f>J2318*(1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8="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2328-Calc!F18),(Inputs!$B$23+(IF(ArtifactsInput!$M$15,CHOOSE(ArtifactsInput!$N$15+1,25,30,35,40,45,50)/100*(Inputs!$B$11-Inputs!$B$11),0))))/100+(Inputs!$B$23+(IF(ArtifactsInput!$M$15,CHOOSE(ArtifactsInput!$N$15+1,25,30,35,40,45,50)/100*(Inputs!$B$11-Inputs!$B$11),0)))/100)/2</f>
        <v/>
      </c>
      <c r="M2318">
        <f>L2318*(1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IF(B2347=0,0,O2318/B2347)</f>
        <v/>
      </c>
      <c r="Q2318">
        <f>IFERROR(1/IF(Inputs!$B$38="pvp",15,MAX(0.1,Skills!D8-IF(Skills!E8=TRUE,Inputs!$B$32,0))),0)</f>
        <v/>
      </c>
      <c r="R2318">
        <f>IF(AND(Inputs!$B$38&lt;&gt;"pvp",Inputs!$B$43&gt;0),IF(MAX(0,Inputs!$B$43-B2344)&lt;=0,0,(INT(MAX(0,Inputs!$B$43-B2344)/IF(Inputs!$B$38="pvp",15,MAX(0.1,Skills!D8-IF(Skills!E8=TRUE,Inputs!$B$32,0))))+1)),0)</f>
        <v/>
      </c>
      <c r="S2318">
        <f>IF(C2318,(H2318*N2318*IF(AND(Inputs!$B$38&lt;&gt;"pvp",Inputs!$B$43&gt;0),((Skills!F8*((R2318-1)*IF(Skills!G8&gt;0,Skills!H8/Skills!G8,1)+IF(Skills!G8&gt;0,MIN(Skills!H8,MAX(0,MAX(0,Inputs!$B$43-B2344)-((R2318-1)*IF(Inputs!$B$38="pvp",15,MAX(0.1,Skills!D8-IF(Skills!E8=TRUE,Inputs!$B$32,0))))))/Skills!G8,1)))/Inputs!$B$43),G2318*Q2318))*IF(Inputs!$B$38="pvp",1,1+(Inputs!$B$20+Skills!O8+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F(C2318,(H2318*N2318*IF(AND(Inputs!$B$38&lt;&gt;"pvp",Inputs!$B$43&gt;0),((Skills!F8*((R2318-1)*IF(Skills!G8&gt;0,Skills!H8/Skills!G8,1)+IF(Skills!G8&gt;0,MIN(Skills!H8,MAX(0,MAX(0,Inputs!$B$43-B2344)-((R2318-1)*IF(Inputs!$B$38="pvp",15,MAX(0.1,Skills!D8-IF(Skills!E8=TRUE,Inputs!$B$32,0))))))/Skills!G8,1)))/Inputs!$B$43),G2318*Q2318))*IF(Inputs!$B$38="pvp",1,(1+(Inputs!$B$21+Skills!P8+B2338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Skills!A9</f>
        <v/>
      </c>
      <c r="B2319">
        <f>Skills!B9</f>
        <v/>
      </c>
      <c r="C2319">
        <f>Inputs!$B$3&gt;=105</f>
        <v/>
      </c>
      <c r="D2319">
        <f>IF(Skills!C9=1,60+Inputs!$B$25+Inputs!$B$29,IF(Skills!C9=2,90+Inputs!$B$26+Inputs!$B$29,IF(Skills!C9=3,120+Inputs!$B$27+Inputs!$B$29,MAX(0,(Inputs!$B$3-100)*3)+Inputs!$B$28+Inputs!$B$29)))</f>
        <v/>
      </c>
      <c r="E2319">
        <f>INDEX(FactorTable!$B$2:$Y$301, MATCH(ROUND(MIN(300,MAX(1,D2319)),0), FactorTable!$A$2:$A$301,0), Skills!L9+1)</f>
        <v/>
      </c>
      <c r="F2319">
        <f>IF(Skills!M9=TRUE,(Skills!K9/10)*(E2319/1000),Skills!K9/10)+Skills!N9</f>
        <v/>
      </c>
      <c r="G2319">
        <f>Calc!G9</f>
        <v/>
      </c>
      <c r="H2319">
        <f>Calc!H9</f>
        <v/>
      </c>
      <c r="I2319">
        <f>IF(Skills!T9&lt;&gt;"",1+(Skills!T9/10)*(Z2313/1000)/100,1)</f>
        <v/>
      </c>
      <c r="J2319">
        <f>((Inputs!$B$6*(1+Inputs!$B$7/100))+(((Inputs!$B$12*(1+Inputs!$B$13/100))-(Inputs!$B$12*(1+Inputs!$B$13/100)))+0.25*(Inputs!$B$14-Inputs!$B$14))*(1+Inputs!$B$7/100))*(F2319/100)</f>
        <v/>
      </c>
      <c r="K2319">
        <f>J2319*(1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9="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2328-Calc!F18),(Inputs!$B$23+(IF(ArtifactsInput!$M$15,CHOOSE(ArtifactsInput!$N$15+1,25,30,35,40,45,50)/100*(Inputs!$B$11-Inputs!$B$11),0))))/100+(Inputs!$B$23+(IF(ArtifactsInput!$M$15,CHOOSE(ArtifactsInput!$N$15+1,25,30,35,40,45,50)/100*(Inputs!$B$11-Inputs!$B$11),0)))/100)/2</f>
        <v/>
      </c>
      <c r="M2319">
        <f>L2319*(1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IF(B2347=0,0,O2319/B2347)</f>
        <v/>
      </c>
      <c r="Q2319">
        <f>IFERROR(1/IF(Inputs!$B$38="pvp",15,MAX(0.1,Skills!D9-IF(Skills!E9=TRUE,Inputs!$B$32,0))),0)</f>
        <v/>
      </c>
      <c r="R2319">
        <f>IF(AND(Inputs!$B$38&lt;&gt;"pvp",Inputs!$B$43&gt;0),IF(MAX(0,Inputs!$B$43-B2344)&lt;=0,0,(INT(MAX(0,Inputs!$B$43-B2344)/IF(Inputs!$B$38="pvp",15,MAX(0.1,Skills!D9-IF(Skills!E9=TRUE,Inputs!$B$32,0))))+1)),0)</f>
        <v/>
      </c>
      <c r="S2319">
        <f>IF(C2319,(H2319*N2319*IF(AND(Inputs!$B$38&lt;&gt;"pvp",Inputs!$B$43&gt;0),((Skills!F9*((R2319-1)*IF(Skills!G9&gt;0,Skills!H9/Skills!G9,1)+IF(Skills!G9&gt;0,MIN(Skills!H9,MAX(0,MAX(0,Inputs!$B$43-B2344)-((R2319-1)*IF(Inputs!$B$38="pvp",15,MAX(0.1,Skills!D9-IF(Skills!E9=TRUE,Inputs!$B$32,0))))))/Skills!G9,1)))/Inputs!$B$43),G2319*Q2319))*IF(Inputs!$B$38="pvp",1,1+(Inputs!$B$20+Skills!O9+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F9*((R2319-1)*IF(Skills!G9&gt;0,Skills!H9/Skills!G9,1)+IF(Skills!G9&gt;0,MIN(Skills!H9,MAX(0,MAX(0,Inputs!$B$43-B2344)-((R2319-1)*IF(Inputs!$B$38="pvp",15,MAX(0.1,Skills!D9-IF(Skills!E9=TRUE,Inputs!$B$32,0))))))/Skills!G9,1)))/Inputs!$B$43),G2319*Q2319))*IF(Inputs!$B$38="pvp",1,(1+(Inputs!$B$21+Skills!P9+B2338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Skills!A10</f>
        <v/>
      </c>
      <c r="B2320">
        <f>Skills!B10</f>
        <v/>
      </c>
      <c r="C2320">
        <f>Inputs!$B$3&gt;=113</f>
        <v/>
      </c>
      <c r="D2320">
        <f>IF(Skills!C10=1,60+Inputs!$B$25+Inputs!$B$29,IF(Skills!C10=2,90+Inputs!$B$26+Inputs!$B$29,IF(Skills!C10=3,120+Inputs!$B$27+Inputs!$B$29,MAX(0,(Inputs!$B$3-100)*3)+Inputs!$B$28+Inputs!$B$29)))</f>
        <v/>
      </c>
      <c r="E2320">
        <f>INDEX(FactorTable!$B$2:$Y$301, MATCH(ROUND(MIN(300,MAX(1,D2320)),0), FactorTable!$A$2:$A$301,0), Skills!L10+1)</f>
        <v/>
      </c>
      <c r="F2320">
        <f>IF(Skills!M10=TRUE,(Skills!K10/10)*(E2320/1000),Skills!K10/10)+Skills!N10</f>
        <v/>
      </c>
      <c r="G2320">
        <f>Calc!G10</f>
        <v/>
      </c>
      <c r="H2320">
        <f>Calc!H10</f>
        <v/>
      </c>
      <c r="I2320">
        <f>IF(Skills!T10&lt;&gt;"",1+(Skills!T10/10)*(Z2313/1000)/100,1)</f>
        <v/>
      </c>
      <c r="J2320">
        <f>((Inputs!$B$6*(1+Inputs!$B$7/100))+(((Inputs!$B$12*(1+Inputs!$B$13/100))-(Inputs!$B$12*(1+Inputs!$B$13/100)))+0.25*(Inputs!$B$14-Inputs!$B$14))*(1+Inputs!$B$7/100))*(F2320/100)</f>
        <v/>
      </c>
      <c r="K2320">
        <f>J2320*(1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10="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F2328-Calc!F18),(Inputs!$B$23+(IF(ArtifactsInput!$M$15,CHOOSE(ArtifactsInput!$N$15+1,25,30,35,40,45,50)/100*(Inputs!$B$11-Inputs!$B$11),0))))/100+(Inputs!$B$23+(IF(ArtifactsInput!$M$15,CHOOSE(ArtifactsInput!$N$15+1,25,30,35,40,45,50)/100*(Inputs!$B$11-Inputs!$B$11),0)))/100)/2</f>
        <v/>
      </c>
      <c r="M2320">
        <f>L2320*(1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(1-Summary!$B$11)*S2320+Summary!$B$11*U2320</f>
        <v/>
      </c>
      <c r="P2320">
        <f>IF(B2347=0,0,O2320/B2347)</f>
        <v/>
      </c>
      <c r="Q2320">
        <f>IFERROR(1/IF(Inputs!$B$38="pvp",15,MAX(0.1,Skills!D10-IF(Skills!E9=TRUE,Inputs!$B$32,0))),0)</f>
        <v/>
      </c>
      <c r="R2320">
        <f>IF(AND(Inputs!$B$38&lt;&gt;"pvp",Inputs!$B$43&gt;0),IF(MAX(0,Inputs!$B$43-B2344)&lt;=0,0,(INT(MAX(0,Inputs!$B$43-B2344)/IF(Inputs!$B$38="pvp",15,MAX(0.1,Skills!D10-IF(Skills!E9=TRUE,Inputs!$B$32,0))))+1)),0)</f>
        <v/>
      </c>
      <c r="S2320">
        <f>IF(C2320,(H2320*N2320*IF(AND(Inputs!$B$38&lt;&gt;"pvp",Inputs!$B$43&gt;0),((Skills!F10*((R2320-1)*IF(Skills!G10&gt;0,Skills!H10/Skills!G10,1)+IF(Skills!G10&gt;0,MIN(Skills!H10,MAX(0,MAX(0,Inputs!$B$43-B2344)-((R2320-1)*IF(Inputs!$B$38="pvp",15,MAX(0.1,Skills!D10-IF(Skills!E9=TRUE,Inputs!$B$32,0))))))/Skills!G10,1)))/Inputs!$B$43),G2320*Q2320))*IF(Inputs!$B$38="pvp",1,1+(Inputs!$B$20+Skills!O10+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2320*(1-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0">
        <f>IF(C2320,(H2320*N2320*IF(AND(Inputs!$B$38&lt;&gt;"pvp",Inputs!$B$43&gt;0),((Skills!F10*((R2320-1)*IF(Skills!G10&gt;0,Skills!H10/Skills!G10,1)+IF(Skills!G10&gt;0,MIN(Skills!H10,MAX(0,MAX(0,Inputs!$B$43-B2344)-((R2320-1)*IF(Inputs!$B$38="pvp",15,MAX(0.1,Skills!D10-IF(Skills!E9=TRUE,Inputs!$B$32,0))))))/Skills!G10,1)))/Inputs!$B$43),G2320*Q2320))*IF(Inputs!$B$38="pvp",1,(1+(Inputs!$B$21+Skills!P10+B2338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Skills!A11</f>
        <v/>
      </c>
      <c r="B2321">
        <f>Skills!B11</f>
        <v/>
      </c>
      <c r="C2321">
        <f>Inputs!$B$3&gt;=107</f>
        <v/>
      </c>
      <c r="D2321">
        <f>IF(Skills!C11=1,60+Inputs!$B$25+Inputs!$B$29,IF(Skills!C11=2,90+Inputs!$B$26+Inputs!$B$29,IF(Skills!C11=3,120+Inputs!$B$27+Inputs!$B$29,MAX(0,(Inputs!$B$3-100)*3)+Inputs!$B$28+Inputs!$B$29)))</f>
        <v/>
      </c>
      <c r="E2321">
        <f>INDEX(FactorTable!$B$2:$Y$301, MATCH(ROUND(MIN(300,MAX(1,D2321)),0), FactorTable!$A$2:$A$301,0), Skills!L11+1)</f>
        <v/>
      </c>
      <c r="F2321">
        <f>IF(Skills!M11=TRUE,(Skills!K11/10)*(E2321/1000),Skills!K11/10)+Skills!N11</f>
        <v/>
      </c>
      <c r="G2321">
        <f>Calc!G11</f>
        <v/>
      </c>
      <c r="H2321">
        <f>Calc!H11</f>
        <v/>
      </c>
      <c r="I2321">
        <f>IF(Skills!T11&lt;&gt;"",1+(Skills!T11/10)*(Z2313/1000)/100,1)</f>
        <v/>
      </c>
      <c r="J2321">
        <f>((Inputs!$B$6*(1+Inputs!$B$7/100))+(((Inputs!$B$12*(1+Inputs!$B$13/100))-(Inputs!$B$12*(1+Inputs!$B$13/100)))+0.25*(Inputs!$B$14-Inputs!$B$14))*(1+Inputs!$B$7/100))*(F2321/100)</f>
        <v/>
      </c>
      <c r="K2321">
        <f>J2321*(1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11="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2328-Calc!F18),(Inputs!$B$23+(IF(ArtifactsInput!$M$15,CHOOSE(ArtifactsInput!$N$15+1,25,30,35,40,45,50)/100*(Inputs!$B$11-Inputs!$B$11),0))))/100+(Inputs!$B$23+(IF(ArtifactsInput!$M$15,CHOOSE(ArtifactsInput!$N$15+1,25,30,35,40,45,50)/100*(Inputs!$B$11-Inputs!$B$11),0)))/100)/2</f>
        <v/>
      </c>
      <c r="M2321">
        <f>L2321*(1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IF(B2347=0,0,O2321/B2347)</f>
        <v/>
      </c>
      <c r="Q2321">
        <f>IFERROR(1/IF(Inputs!$B$38="pvp",15,MAX(0.1,Skills!D11-IF(Skills!E11=TRUE,Inputs!$B$32,0))),0)</f>
        <v/>
      </c>
      <c r="R2321">
        <f>IF(AND(Inputs!$B$38&lt;&gt;"pvp",Inputs!$B$43&gt;0),IF(MAX(0,Inputs!$B$43-B2344)&lt;=0,0,(INT(MAX(0,Inputs!$B$43-B2344)/IF(Inputs!$B$38="pvp",15,MAX(0.1,Skills!D11-IF(Skills!E11=TRUE,Inputs!$B$32,0))))+1)),0)</f>
        <v/>
      </c>
      <c r="S2321">
        <f>IF(C2321,H2321*N2321*IF(AND(Inputs!$B$38&lt;&gt;"pvp",Inputs!$B$43&gt;0),((Skills!F11*((R2321-1)*IF(Skills!G11&gt;0,Skills!H11/Skills!G11,1)+IF(Skills!G11&gt;0,MIN(Skills!H11,MAX(0,MAX(0,Inputs!$B$43-B2344)-((R2321-1)*IF(Inputs!$B$38="pvp",15,MAX(0.1,Skills!D11-IF(Skills!E11=TRUE,Inputs!$B$32,0))))))/Skills!G11,1)))/Inputs!$B$43),G2321*Q2321)*0.5*IF(Inputs!$B$38="pvp",1,1+(Inputs!$B$20+Skills!O11+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F11*((R2321-1)*IF(Skills!G11&gt;0,Skills!H11/Skills!G11,1)+IF(Skills!G11&gt;0,MIN(Skills!H11,MAX(0,MAX(0,Inputs!$B$43-B2344)-((R2321-1)*IF(Inputs!$B$38="pvp",15,MAX(0.1,Skills!D11-IF(Skills!E11=TRUE,Inputs!$B$32,0))))))/Skills!G11,1)))/Inputs!$B$43),G2321*Q2321)*1*IF(Inputs!$B$38="pvp",1,(1+(Inputs!$B$21+Skills!P11+B2338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Skills!A12</f>
        <v/>
      </c>
      <c r="B2322">
        <f>Skills!B12</f>
        <v/>
      </c>
      <c r="C2322">
        <f>Inputs!$B$3&gt;=115</f>
        <v/>
      </c>
      <c r="D2322">
        <f>IF(Skills!C12=1,60+Inputs!$B$25+Inputs!$B$29,IF(Skills!C12=2,90+Inputs!$B$26+Inputs!$B$29,IF(Skills!C12=3,120+Inputs!$B$27+Inputs!$B$29,MAX(0,(Inputs!$B$3-100)*3)+Inputs!$B$28+Inputs!$B$29)))</f>
        <v/>
      </c>
      <c r="E2322">
        <f>INDEX(FactorTable!$B$2:$Y$301, MATCH(ROUND(MIN(300,MAX(1,D2322)),0), FactorTable!$A$2:$A$301,0), Skills!L12+1)</f>
        <v/>
      </c>
      <c r="F2322">
        <f>IF(Skills!M12=TRUE,(Skills!K12/10)*(E2322/1000),Skills!K12/10)+Skills!N12</f>
        <v/>
      </c>
      <c r="G2322">
        <f>Calc!G12</f>
        <v/>
      </c>
      <c r="H2322">
        <f>Calc!H12</f>
        <v/>
      </c>
      <c r="I2322">
        <f>IF(Skills!T12&lt;&gt;"",1+(Skills!T12/10)*(Z2313/1000)/100,1)</f>
        <v/>
      </c>
      <c r="J2322">
        <f>((Inputs!$B$6*(1+Inputs!$B$7/100))+(((Inputs!$B$12*(1+Inputs!$B$13/100))-(Inputs!$B$12*(1+Inputs!$B$13/100)))+0.25*(Inputs!$B$14-Inputs!$B$14))*(1+Inputs!$B$7/100))*(F2322/100)</f>
        <v/>
      </c>
      <c r="K2322">
        <f>J2322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12="CHAIN_LIGHTNING",Inputs!$B$17+((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2328-Calc!F18),(Inputs!$B$23+(IF(ArtifactsInput!$M$15,CHOOSE(ArtifactsInput!$N$15+1,25,30,35,40,45,50)/100*(Inputs!$B$11-Inputs!$B$11),0))))/100+(Inputs!$B$23+(IF(ArtifactsInput!$M$15,CHOOSE(ArtifactsInput!$N$15+1,25,30,35,40,45,50)/100*(Inputs!$B$11-Inputs!$B$11),0)))/100)/2</f>
        <v/>
      </c>
      <c r="M2322">
        <f>L2322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IF(B2347=0,0,O2322/B2347)</f>
        <v/>
      </c>
      <c r="Q2322">
        <f>IFERROR(1/IF(Inputs!$B$38="pvp",15,MAX(0.1,Skills!D12-IF(Skills!E12=TRUE,Inputs!$B$32,0))),0)</f>
        <v/>
      </c>
      <c r="R2322">
        <f>IF(AND(Inputs!$B$38&lt;&gt;"pvp",Inputs!$B$43&gt;0),IF(MAX(0,Inputs!$B$43-B2344)&lt;=0,0,(INT(MAX(0,Inputs!$B$43-B2344)/IF(Inputs!$B$38="pvp",15,MAX(0.1,Skills!D12-IF(Skills!E12=TRUE,Inputs!$B$32,0))))+1)),0)</f>
        <v/>
      </c>
      <c r="S2322">
        <f>IF(C2322,(H2322*N2322*IF(AND(Inputs!$B$38&lt;&gt;"pvp",Inputs!$B$43&gt;0),((Skills!F12*((R2322-1)*IF(Skills!G12&gt;0,Skills!H12/Skills!G12,1)+IF(Skills!G12&gt;0,MIN(Skills!H12,MAX(0,MAX(0,Inputs!$B$43-B2344)-((R2322-1)*IF(Inputs!$B$38="pvp",15,MAX(0.1,Skills!D12-IF(Skills!E12=TRUE,Inputs!$B$32,0))))))/Skills!G12,1)))/Inputs!$B$43),G2322*Q2322))*IF(Inputs!$B$38="pvp",1,1+(Inputs!$B$20+Skills!O12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2330-Calc!F20)+(F2329-Calc!F19))+(ArtifactsInput!$M$24-ArtifactsInput!$M$24)*CHOOSE(ArtifactsInput!$N$24+1,10,12,14,16,18,20)+(IF(AND(Inputs!$B$38&lt;&gt;"pvp",Inputs!$B$43=0),1,IF(IF(Inputs!$B$38="pvp",15,Inputs!$B$43)-(B2344)&lt;=0,1,MAX(0,IF(Inputs!$B$38="pvp",15,Inputs!$B$43)-MAX(5,B2344))/(IF(Inputs!$B$38="pvp",15,Inputs!$B$43)-(B2344)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F12*((R2322-1)*IF(Skills!G12&gt;0,Skills!H12/Skills!G12,1)+IF(Skills!G12&gt;0,MIN(Skills!H12,MAX(0,MAX(0,Inputs!$B$43-B2344)-((R2322-1)*IF(Inputs!$B$38="pvp",15,MAX(0.1,Skills!D12-IF(Skills!E12=TRUE,Inputs!$B$32,0))))))/Skills!G12,1)))/Inputs!$B$43),G2322*Q2322))*IF(Inputs!$B$38="pvp",1,(1+(Inputs!$B$21+Skills!P12+B2338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Skills!A13</f>
        <v/>
      </c>
      <c r="B2323">
        <f>Skills!B13</f>
        <v/>
      </c>
      <c r="C2323">
        <f>Inputs!$B$3&gt;=49</f>
        <v/>
      </c>
      <c r="D2323">
        <f>IF(Skills!C13=1,60+Inputs!$B$25+Inputs!$B$29,IF(Skills!C13=2,90+Inputs!$B$26+Inputs!$B$29,IF(Skills!C13=3,120+Inputs!$B$27+Inputs!$B$29,MAX(0,(Inputs!$B$3-100)*3)+Inputs!$B$28+Inputs!$B$29)))</f>
        <v/>
      </c>
      <c r="E2323">
        <f>INDEX(FactorTable!$B$2:$Y$301, MATCH(ROUND(MIN(300,MAX(1,D2323)),0), FactorTable!$A$2:$A$301,0), Skills!L13+1)</f>
        <v/>
      </c>
      <c r="F2323">
        <f>IF(Skills!M13=TRUE,(Skills!K13/10)*(E2323/1000),Skills!K13/10)+Skills!N13</f>
        <v/>
      </c>
      <c r="G2323">
        <f>Calc!G13</f>
        <v/>
      </c>
      <c r="H2323">
        <f>Calc!H13</f>
        <v/>
      </c>
      <c r="I2323">
        <f>IF(Skills!T13&lt;&gt;"",1+(Skills!T13/10)*(Z2313/1000)/100,1)</f>
        <v/>
      </c>
      <c r="J2323" t="inlineStr"/>
      <c r="K2323" t="inlineStr"/>
      <c r="L2323" t="inlineStr"/>
      <c r="M2323" t="inlineStr"/>
      <c r="N2323" t="inlineStr"/>
      <c r="O2323">
        <f>(1-Summary!$B$11)*S2323+Summary!$B$11*U2323</f>
        <v/>
      </c>
      <c r="P2323">
        <f>IF(B2347=0,0,O2323/B2347)</f>
        <v/>
      </c>
      <c r="Q2323">
        <f>IFERROR(1/IF(Inputs!$B$38="pvp",15,MAX(0.1,Skills!D13-IF(Skills!E13=TRUE,Inputs!$B$32,0))),0)</f>
        <v/>
      </c>
      <c r="R2323" t="n">
        <v>0</v>
      </c>
      <c r="S2323" t="n">
        <v>0</v>
      </c>
      <c r="U2323" t="n">
        <v>0</v>
      </c>
    </row>
    <row r="2324">
      <c r="A2324">
        <f>Skills!A14</f>
        <v/>
      </c>
      <c r="B2324">
        <f>Skills!B14</f>
        <v/>
      </c>
      <c r="C2324">
        <f>Inputs!$B$3&gt;=72</f>
        <v/>
      </c>
      <c r="D2324">
        <f>IF(Skills!C14=1,60+Inputs!$B$25+Inputs!$B$29,IF(Skills!C14=2,90+Inputs!$B$26+Inputs!$B$29,IF(Skills!C14=3,120+Inputs!$B$27+Inputs!$B$29,MAX(0,(Inputs!$B$3-100)*3)+Inputs!$B$28+Inputs!$B$29)))</f>
        <v/>
      </c>
      <c r="E2324">
        <f>INDEX(FactorTable!$B$2:$Y$301, MATCH(ROUND(MIN(300,MAX(1,D2324)),0), FactorTable!$A$2:$A$301,0), Skills!L14+1)</f>
        <v/>
      </c>
      <c r="F2324">
        <f>IF(Skills!M14=TRUE,(Skills!K14/10)*(E2324/1000),Skills!K14/10)+Skills!N14</f>
        <v/>
      </c>
      <c r="G2324">
        <f>Calc!G14</f>
        <v/>
      </c>
      <c r="H2324">
        <f>Calc!H14</f>
        <v/>
      </c>
      <c r="I2324">
        <f>IF(Skills!T14&lt;&gt;"",1+(Skills!T14/10)*(Z2313/1000)/100,1)</f>
        <v/>
      </c>
      <c r="J2324" t="inlineStr"/>
      <c r="K2324" t="inlineStr"/>
      <c r="L2324" t="inlineStr"/>
      <c r="M2324" t="inlineStr"/>
      <c r="N2324" t="inlineStr"/>
      <c r="O2324">
        <f>(1-Summary!$B$11)*S2324+Summary!$B$11*U2324</f>
        <v/>
      </c>
      <c r="P2324">
        <f>IF(B2347=0,0,O2324/B2347)</f>
        <v/>
      </c>
      <c r="Q2324">
        <f>IFERROR(1/IF(Inputs!$B$38="pvp",15,MAX(0.1,Skills!D14-IF(Skills!E14=TRUE,Inputs!$B$32,0))),0)</f>
        <v/>
      </c>
      <c r="R2324" t="n">
        <v>0</v>
      </c>
      <c r="S2324" t="n">
        <v>0</v>
      </c>
      <c r="U2324" t="n">
        <v>0</v>
      </c>
    </row>
    <row r="2325">
      <c r="A2325">
        <f>Skills!A15</f>
        <v/>
      </c>
      <c r="B2325">
        <f>Skills!B15</f>
        <v/>
      </c>
      <c r="C2325">
        <f>Inputs!$B$3&gt;=75</f>
        <v/>
      </c>
      <c r="D2325">
        <f>IF(Skills!C15=1,60+Inputs!$B$25+Inputs!$B$29,IF(Skills!C15=2,90+Inputs!$B$26+Inputs!$B$29,IF(Skills!C15=3,120+Inputs!$B$27+Inputs!$B$29,MAX(0,(Inputs!$B$3-100)*3)+Inputs!$B$28+Inputs!$B$29)))</f>
        <v/>
      </c>
      <c r="E2325">
        <f>INDEX(FactorTable!$B$2:$Y$301, MATCH(ROUND(MIN(300,MAX(1,D2325)),0), FactorTable!$A$2:$A$301,0), Skills!L15+1)</f>
        <v/>
      </c>
      <c r="F2325">
        <f>IF(Skills!M15=TRUE,(Skills!K15/10)*(E2325/1000),Skills!K15/10)+Skills!N15</f>
        <v/>
      </c>
      <c r="G2325">
        <f>Calc!G15</f>
        <v/>
      </c>
      <c r="H2325">
        <f>Calc!H15</f>
        <v/>
      </c>
      <c r="I2325">
        <f>IF(Skills!T15&lt;&gt;"",1+(Skills!T15/10)*(Z2313/1000)/100,1)</f>
        <v/>
      </c>
      <c r="J2325" t="inlineStr"/>
      <c r="K2325" t="inlineStr"/>
      <c r="L2325" t="inlineStr"/>
      <c r="M2325" t="inlineStr"/>
      <c r="N2325" t="inlineStr"/>
      <c r="O2325">
        <f>(1-Summary!$B$11)*S2325+Summary!$B$11*U2325</f>
        <v/>
      </c>
      <c r="P2325">
        <f>IF(B2347=0,0,O2325/B2347)</f>
        <v/>
      </c>
      <c r="Q2325">
        <f>IFERROR(1/IF(Inputs!$B$38="pvp",15,MAX(0.1,Skills!D15-IF(Skills!E15=TRUE,Inputs!$B$32,0))),0)</f>
        <v/>
      </c>
      <c r="R2325" t="n">
        <v>0</v>
      </c>
      <c r="S2325" t="n">
        <v>0</v>
      </c>
      <c r="U2325" t="n">
        <v>0</v>
      </c>
    </row>
    <row r="2326">
      <c r="A2326">
        <f>Skills!A16</f>
        <v/>
      </c>
      <c r="B2326">
        <f>Skills!B16</f>
        <v/>
      </c>
      <c r="C2326">
        <f>Inputs!$B$3&gt;=110</f>
        <v/>
      </c>
      <c r="D2326">
        <f>IF(Skills!C16=1,60+Inputs!$B$25+Inputs!$B$29,IF(Skills!C16=2,90+Inputs!$B$26+Inputs!$B$29,IF(Skills!C16=3,120+Inputs!$B$27+Inputs!$B$29,MAX(0,(Inputs!$B$3-100)*3)+Inputs!$B$28+Inputs!$B$29)))</f>
        <v/>
      </c>
      <c r="E2326">
        <f>INDEX(FactorTable!$B$2:$Y$301, MATCH(ROUND(MIN(300,MAX(1,D2326)),0), FactorTable!$A$2:$A$301,0), Skills!L16+1)</f>
        <v/>
      </c>
      <c r="F2326">
        <f>(Skills!K16/10)*(E2326/1000)*64/45+Skills!N16</f>
        <v/>
      </c>
      <c r="G2326">
        <f>Calc!G16</f>
        <v/>
      </c>
      <c r="H2326">
        <f>Calc!H16</f>
        <v/>
      </c>
      <c r="I2326">
        <f>IF(Skills!T16&lt;&gt;"",1+(Skills!T16/10)*(Z2313/1000)/100,1)</f>
        <v/>
      </c>
      <c r="J2326" t="inlineStr"/>
      <c r="K2326" t="inlineStr"/>
      <c r="L2326" t="inlineStr"/>
      <c r="M2326" t="inlineStr"/>
      <c r="N2326" t="inlineStr"/>
      <c r="O2326">
        <f>(1-Summary!$B$11)*S2326+Summary!$B$11*U2326</f>
        <v/>
      </c>
      <c r="P2326">
        <f>IF(B2347=0,0,O2326/B2347)</f>
        <v/>
      </c>
      <c r="Q2326">
        <f>IFERROR(1/IF(Inputs!$B$38="pvp",15,MAX(0.1,Skills!D16-IF(Skills!E16=TRUE,Inputs!$B$32,0))),0)</f>
        <v/>
      </c>
      <c r="R2326">
        <f>IF(AND(Inputs!$B$38&lt;&gt;"pvp",Inputs!$B$43&gt;0),IF(Inputs!$B$43&lt;=0,0,(INT(Inputs!$B$43/IF(Inputs!$B$38="pvp",15,MAX(0.1,Skills!D16-IF(Skills!E16=TRUE,Inputs!$B$32,0))))+1)),0)</f>
        <v/>
      </c>
      <c r="S2326" t="n">
        <v>0</v>
      </c>
      <c r="U2326" t="n">
        <v>0</v>
      </c>
    </row>
    <row r="2327">
      <c r="A2327">
        <f>Skills!A17</f>
        <v/>
      </c>
      <c r="B2327">
        <f>Skills!B17</f>
        <v/>
      </c>
      <c r="C2327">
        <f>Inputs!$B$3&gt;=33</f>
        <v/>
      </c>
      <c r="D2327">
        <f>IF(Skills!C17=1,60+Inputs!$B$25+Inputs!$B$29,IF(Skills!C17=2,90+Inputs!$B$26+Inputs!$B$29,IF(Skills!C17=3,120+Inputs!$B$27+Inputs!$B$29,MAX(0,(Inputs!$B$3-100)*3)+Inputs!$B$28+Inputs!$B$29)))</f>
        <v/>
      </c>
      <c r="E2327">
        <f>INDEX(FactorTable!$B$2:$Y$301, MATCH(ROUND(MIN(300,MAX(1,D2327)),0), FactorTable!$A$2:$A$301,0), Skills!L17+1)</f>
        <v/>
      </c>
      <c r="F2327">
        <f>IF(Skills!M17=TRUE,(Skills!K17/10)*(E2327/1000),Skills!K17/10)+Skills!N17</f>
        <v/>
      </c>
      <c r="G2327">
        <f>Calc!G17</f>
        <v/>
      </c>
      <c r="H2327">
        <f>Calc!H17</f>
        <v/>
      </c>
      <c r="I2327">
        <f>IF(Skills!T17&lt;&gt;"",1+(Skills!T17/10)*(Z2313/1000)/100,1)</f>
        <v/>
      </c>
      <c r="J2327" t="inlineStr"/>
      <c r="K2327" t="inlineStr"/>
      <c r="L2327" t="inlineStr"/>
      <c r="M2327" t="inlineStr"/>
      <c r="N2327" t="inlineStr"/>
      <c r="O2327">
        <f>(1-Summary!$B$11)*S2327+Summary!$B$11*U2327</f>
        <v/>
      </c>
      <c r="P2327">
        <f>IF(B2347=0,0,O2327/B2347)</f>
        <v/>
      </c>
      <c r="Q2327">
        <f>IFERROR(1/IF(Inputs!$B$38="pvp",15,MAX(0.1,Skills!D17-IF(Skills!E17=TRUE,Inputs!$B$32,0))),0)</f>
        <v/>
      </c>
      <c r="R2327" t="n">
        <v>0</v>
      </c>
      <c r="S2327" t="n">
        <v>0</v>
      </c>
      <c r="U2327" t="n">
        <v>0</v>
      </c>
    </row>
    <row r="2328">
      <c r="A2328">
        <f>Skills!A18</f>
        <v/>
      </c>
      <c r="B2328">
        <f>Skills!B18</f>
        <v/>
      </c>
      <c r="C2328">
        <f>Inputs!$B$3&gt;=43</f>
        <v/>
      </c>
      <c r="D2328">
        <f>IF(Skills!C18=1,60+Inputs!$B$25+Inputs!$B$29,IF(Skills!C18=2,90+Inputs!$B$26+Inputs!$B$29,IF(Skills!C18=3,120+Inputs!$B$27+Inputs!$B$29,MAX(0,(Inputs!$B$3-100)*3)+Inputs!$B$28+Inputs!$B$29)))</f>
        <v/>
      </c>
      <c r="E2328">
        <f>INDEX(FactorTable!$B$2:$Y$301, MATCH(ROUND(MIN(300,MAX(1,D2328)),0), FactorTable!$A$2:$A$301,0), Skills!L18+1)</f>
        <v/>
      </c>
      <c r="F2328">
        <f>IF(Skills!M18=TRUE,(Skills!K18/10)*(E2328/1000),Skills!K18/10)+Skills!N18</f>
        <v/>
      </c>
      <c r="G2328">
        <f>Calc!G18</f>
        <v/>
      </c>
      <c r="H2328">
        <f>Calc!H18</f>
        <v/>
      </c>
      <c r="I2328">
        <f>IF(Skills!T18&lt;&gt;"",1+(Skills!T18/10)*(Z2313/1000)/100,1)</f>
        <v/>
      </c>
      <c r="J2328" t="inlineStr"/>
      <c r="K2328" t="inlineStr"/>
      <c r="L2328" t="inlineStr"/>
      <c r="M2328" t="inlineStr"/>
      <c r="N2328" t="inlineStr"/>
      <c r="O2328">
        <f>(1-Summary!$B$11)*S2328+Summary!$B$11*U2328</f>
        <v/>
      </c>
      <c r="P2328">
        <f>IF(B2347=0,0,O2328/B2347)</f>
        <v/>
      </c>
      <c r="Q2328">
        <f>IFERROR(1/IF(Inputs!$B$38="pvp",15,MAX(0.1,Skills!D18-IF(Skills!E18=TRUE,Inputs!$B$32,0))),0)</f>
        <v/>
      </c>
      <c r="R2328" t="n">
        <v>0</v>
      </c>
      <c r="S2328" t="n">
        <v>0</v>
      </c>
      <c r="U2328" t="n">
        <v>0</v>
      </c>
    </row>
    <row r="2329">
      <c r="A2329">
        <f>Skills!A19</f>
        <v/>
      </c>
      <c r="B2329">
        <f>Skills!B19</f>
        <v/>
      </c>
      <c r="C2329">
        <f>Inputs!$B$3&gt;=50</f>
        <v/>
      </c>
      <c r="D2329">
        <f>IF(Skills!C19=1,60+Inputs!$B$25+Inputs!$B$29,IF(Skills!C19=2,90+Inputs!$B$26+Inputs!$B$29,IF(Skills!C19=3,120+Inputs!$B$27+Inputs!$B$29,MAX(0,(Inputs!$B$3-100)*3)+Inputs!$B$28+Inputs!$B$29)))</f>
        <v/>
      </c>
      <c r="E2329">
        <f>INDEX(FactorTable!$B$2:$Y$301, MATCH(ROUND(MIN(300,MAX(1,D2329)),0), FactorTable!$A$2:$A$301,0), Skills!L19+1)</f>
        <v/>
      </c>
      <c r="F2329">
        <f>IF(Skills!M19=TRUE,(Skills!K19/10)*(E2329/1000),Skills!K19/10)+Skills!N19</f>
        <v/>
      </c>
      <c r="G2329">
        <f>Calc!G19</f>
        <v/>
      </c>
      <c r="H2329">
        <f>Calc!H19</f>
        <v/>
      </c>
      <c r="I2329">
        <f>IF(Skills!T19&lt;&gt;"",1+(Skills!T19/10)*(Z2313/1000)/100,1)</f>
        <v/>
      </c>
      <c r="J2329" t="inlineStr"/>
      <c r="K2329" t="inlineStr"/>
      <c r="L2329" t="inlineStr"/>
      <c r="M2329" t="inlineStr"/>
      <c r="N2329" t="inlineStr"/>
      <c r="O2329">
        <f>(1-Summary!$B$11)*S2329+Summary!$B$11*U2329</f>
        <v/>
      </c>
      <c r="P2329">
        <f>IF(B2347=0,0,O2329/B2347)</f>
        <v/>
      </c>
      <c r="Q2329">
        <f>IFERROR(1/IF(Inputs!$B$38="pvp",15,MAX(0.1,Skills!D19-IF(Skills!E19=TRUE,Inputs!$B$32,0))),0)</f>
        <v/>
      </c>
      <c r="R2329" t="n">
        <v>0</v>
      </c>
      <c r="S2329" t="n">
        <v>0</v>
      </c>
      <c r="U2329" t="n">
        <v>0</v>
      </c>
    </row>
    <row r="2330">
      <c r="A2330">
        <f>Skills!A20</f>
        <v/>
      </c>
      <c r="B2330">
        <f>Skills!B20</f>
        <v/>
      </c>
      <c r="C2330">
        <f>Inputs!$B$3&gt;=74</f>
        <v/>
      </c>
      <c r="D2330">
        <f>IF(Skills!C20=1,60+Inputs!$B$25+Inputs!$B$29,IF(Skills!C20=2,90+Inputs!$B$26+Inputs!$B$29,IF(Skills!C20=3,120+Inputs!$B$27+Inputs!$B$29,MAX(0,(Inputs!$B$3-100)*3)+Inputs!$B$28+Inputs!$B$29)))</f>
        <v/>
      </c>
      <c r="E2330">
        <f>INDEX(FactorTable!$B$2:$Y$301, MATCH(ROUND(MIN(300,MAX(1,D2330)),0), FactorTable!$A$2:$A$301,0), Skills!L20+1)</f>
        <v/>
      </c>
      <c r="F2330">
        <f>IF(Skills!M20=TRUE,(Skills!K20/10)*(E2330/1000),Skills!K20/10)+Skills!N20</f>
        <v/>
      </c>
      <c r="G2330">
        <f>Calc!G20</f>
        <v/>
      </c>
      <c r="H2330">
        <f>Calc!H20</f>
        <v/>
      </c>
      <c r="I2330">
        <f>IF(Skills!T20&lt;&gt;"",1+(Skills!T20/10)*(Z2313/1000)/100,1)</f>
        <v/>
      </c>
      <c r="J2330" t="inlineStr"/>
      <c r="K2330" t="inlineStr"/>
      <c r="L2330" t="inlineStr"/>
      <c r="M2330" t="inlineStr"/>
      <c r="N2330" t="inlineStr"/>
      <c r="O2330">
        <f>(1-Summary!$B$11)*S2330+Summary!$B$11*U2330</f>
        <v/>
      </c>
      <c r="P2330">
        <f>IF(B2347=0,0,O2330/B2347)</f>
        <v/>
      </c>
      <c r="Q2330">
        <f>IFERROR(1/IF(Inputs!$B$38="pvp",15,MAX(0.1,Skills!D20-IF(Skills!E20=TRUE,Inputs!$B$32,0))),0)</f>
        <v/>
      </c>
      <c r="R2330" t="n">
        <v>0</v>
      </c>
      <c r="S2330" t="n">
        <v>0</v>
      </c>
      <c r="U2330" t="n">
        <v>0</v>
      </c>
    </row>
    <row r="2331">
      <c r="A2331">
        <f>Skills!A21</f>
        <v/>
      </c>
      <c r="B2331">
        <f>Skills!B21</f>
        <v/>
      </c>
      <c r="C2331">
        <f>Inputs!$B$3&gt;=74</f>
        <v/>
      </c>
      <c r="D2331">
        <f>IF(Skills!C21=1,60+Inputs!$B$25+Inputs!$B$29,IF(Skills!C21=2,90+Inputs!$B$26+Inputs!$B$29,IF(Skills!C21=3,120+Inputs!$B$27+Inputs!$B$29,MAX(0,(Inputs!$B$3-100)*3)+Inputs!$B$28+Inputs!$B$29)))</f>
        <v/>
      </c>
      <c r="E2331">
        <f>INDEX(FactorTable!$B$2:$Y$301, MATCH(ROUND(MIN(300,MAX(1,D2331)),0), FactorTable!$A$2:$A$301,0), Skills!L21+1)</f>
        <v/>
      </c>
      <c r="F2331">
        <f>IF(Skills!M21=TRUE,(Skills!K21/10)*(E2331/1000),Skills!K21/10)+Skills!N21</f>
        <v/>
      </c>
      <c r="G2331">
        <f>Calc!G21</f>
        <v/>
      </c>
      <c r="H2331">
        <f>Calc!H21</f>
        <v/>
      </c>
      <c r="I2331">
        <f>IF(Skills!T21&lt;&gt;"",1+(Skills!T21/10)*(Z2313/1000)/100,1)</f>
        <v/>
      </c>
      <c r="J2331" t="inlineStr"/>
      <c r="K2331" t="inlineStr"/>
      <c r="L2331" t="inlineStr"/>
      <c r="M2331" t="inlineStr"/>
      <c r="N2331" t="inlineStr"/>
      <c r="O2331">
        <f>(1-Summary!$B$11)*S2331+Summary!$B$11*U2331</f>
        <v/>
      </c>
      <c r="P2331">
        <f>IF(B2347=0,0,O2331/B2347)</f>
        <v/>
      </c>
      <c r="Q2331">
        <f>IFERROR(1/IF(Inputs!$B$38="pvp",15,MAX(0.1,Skills!D21-IF(Skills!E21=TRUE,Inputs!$B$32,0))),0)</f>
        <v/>
      </c>
      <c r="R2331" t="n">
        <v>0</v>
      </c>
      <c r="S2331" t="n">
        <v>0</v>
      </c>
      <c r="U2331" t="n">
        <v>0</v>
      </c>
    </row>
    <row r="2332">
      <c r="A2332">
        <f>Skills!A22</f>
        <v/>
      </c>
      <c r="B2332">
        <f>Skills!B22</f>
        <v/>
      </c>
      <c r="C2332">
        <f>Inputs!$B$3&gt;=117</f>
        <v/>
      </c>
      <c r="D2332">
        <f>IF(Skills!C22=1,60+Inputs!$B$25+Inputs!$B$29,IF(Skills!C22=2,90+Inputs!$B$26+Inputs!$B$29,IF(Skills!C22=3,120+Inputs!$B$27+Inputs!$B$29,MAX(0,(Inputs!$B$3-100)*3)+Inputs!$B$28+Inputs!$B$29)))</f>
        <v/>
      </c>
      <c r="E2332">
        <f>INDEX(FactorTable!$B$2:$Y$301, MATCH(ROUND(MIN(300,MAX(1,D2332)),0), FactorTable!$A$2:$A$301,0), Skills!L22+1)</f>
        <v/>
      </c>
      <c r="F2332">
        <f>IF(Skills!M22=TRUE,(Skills!K22/10)*(E2332/1000),Skills!K22/10)+Skills!N22</f>
        <v/>
      </c>
      <c r="G2332">
        <f>Calc!G22</f>
        <v/>
      </c>
      <c r="H2332">
        <f>Calc!H22</f>
        <v/>
      </c>
      <c r="I2332">
        <f>IF(Skills!T22&lt;&gt;"",1+(Skills!T22/10)*(Z2313/1000)/100,1)</f>
        <v/>
      </c>
      <c r="J2332" t="inlineStr"/>
      <c r="K2332" t="inlineStr"/>
      <c r="L2332" t="inlineStr"/>
      <c r="M2332" t="inlineStr"/>
      <c r="N2332" t="inlineStr"/>
      <c r="O2332">
        <f>(1-Summary!$B$11)*S2332+Summary!$B$11*U2332</f>
        <v/>
      </c>
      <c r="P2332">
        <f>IF(B2347=0,0,O2332/B2347)</f>
        <v/>
      </c>
      <c r="Q2332">
        <f>IFERROR(1/IF(Inputs!$B$38="pvp",15,MAX(0.1,Skills!D22-IF(Skills!E22=TRUE,Inputs!$B$32,0))),0)</f>
        <v/>
      </c>
      <c r="R2332" t="n">
        <v>0</v>
      </c>
      <c r="S2332" t="n">
        <v>0</v>
      </c>
      <c r="U2332" t="n">
        <v>0</v>
      </c>
    </row>
    <row r="2333">
      <c r="A2333">
        <f>Skills!A23</f>
        <v/>
      </c>
      <c r="B2333">
        <f>Skills!B23</f>
        <v/>
      </c>
      <c r="C2333">
        <f>Inputs!$B$3&gt;=120</f>
        <v/>
      </c>
      <c r="D2333">
        <f>IF(Skills!C23=1,60+Inputs!$B$25+Inputs!$B$29,IF(Skills!C23=2,90+Inputs!$B$26+Inputs!$B$29,IF(Skills!C23=3,120+Inputs!$B$27+Inputs!$B$29,MAX(0,(Inputs!$B$3-100)*3)+Inputs!$B$28+Inputs!$B$29)))</f>
        <v/>
      </c>
      <c r="E2333">
        <f>INDEX(FactorTable!$B$2:$Y$301, MATCH(ROUND(MIN(300,MAX(1,D2333)),0), FactorTable!$A$2:$A$301,0), Skills!L23+1)</f>
        <v/>
      </c>
      <c r="F2333">
        <f>IF(Skills!M23=TRUE,(Skills!K23/10)*(E2333/1000),Skills!K23/10)+Skills!N23</f>
        <v/>
      </c>
      <c r="G2333">
        <f>Calc!G23</f>
        <v/>
      </c>
      <c r="H2333">
        <f>Calc!H23</f>
        <v/>
      </c>
      <c r="I2333">
        <f>IF(Skills!T23&lt;&gt;"",1+(Skills!T23/10)*(Z2313/1000)/100,1)</f>
        <v/>
      </c>
      <c r="J2333" t="inlineStr"/>
      <c r="K2333" t="inlineStr"/>
      <c r="L2333" t="inlineStr"/>
      <c r="M2333" t="inlineStr"/>
      <c r="N2333" t="inlineStr"/>
      <c r="O2333">
        <f>(1-Summary!$B$11)*S2333+Summary!$B$11*U2333</f>
        <v/>
      </c>
      <c r="P2333">
        <f>IF(B2347=0,0,O2333/B2347)</f>
        <v/>
      </c>
      <c r="Q2333">
        <f>IFERROR(1/IF(Inputs!$B$38="pvp",15,MAX(0.1,Skills!D23-IF(Skills!E23=TRUE,Inputs!$B$32,0))),0)</f>
        <v/>
      </c>
      <c r="R2333" t="n">
        <v>0</v>
      </c>
      <c r="S2333" t="n">
        <v>0</v>
      </c>
      <c r="U2333" t="n">
        <v>0</v>
      </c>
    </row>
    <row r="2334">
      <c r="A2334">
        <f>Skills!A24</f>
        <v/>
      </c>
      <c r="B2334">
        <f>Skills!B24</f>
        <v/>
      </c>
      <c r="C2334">
        <f>TRUE</f>
        <v/>
      </c>
      <c r="D2334">
        <f>IF(Skills!C24=1,60+Inputs!$B$25+Inputs!$B$29,IF(Skills!C24=2,90+Inputs!$B$26+Inputs!$B$29,IF(Skills!C24=3,120+Inputs!$B$27+Inputs!$B$29,MAX(0,(Inputs!$B$3-100)*3)+Inputs!$B$28+Inputs!$B$29)))</f>
        <v/>
      </c>
      <c r="E2334">
        <f>INDEX(FactorTable!$B$2:$Y$301, MATCH(ROUND(MIN(300,MAX(1,D2334)),0), FactorTable!$A$2:$A$301,0), Skills!L24+1)</f>
        <v/>
      </c>
      <c r="F2334">
        <f>IF(Skills!M24=TRUE,(Skills!K24/10)*(E2334/1000),Skills!K24/10)+Skills!N24</f>
        <v/>
      </c>
      <c r="G2334">
        <f>Calc!G24</f>
        <v/>
      </c>
      <c r="H2334">
        <f>Calc!H24</f>
        <v/>
      </c>
      <c r="I2334">
        <f>IF(Skills!T24&lt;&gt;"",1+(Skills!T24/10)*(Z2313/1000)/100,1)</f>
        <v/>
      </c>
      <c r="J2334" t="inlineStr"/>
      <c r="K2334" t="inlineStr"/>
      <c r="L2334" t="inlineStr"/>
      <c r="M2334" t="inlineStr"/>
      <c r="N2334" t="inlineStr"/>
      <c r="O2334">
        <f>(1-Summary!$B$11)*S2334+Summary!$B$11*U2334</f>
        <v/>
      </c>
      <c r="P2334">
        <f>IF(B2347=0,0,O2334/B2347)</f>
        <v/>
      </c>
      <c r="Q2334">
        <f>IFERROR(1/IF(Inputs!$B$38="pvp",15,MAX(0.1,Skills!D24-IF(Skills!E24=TRUE,Inputs!$B$32,0))),0)</f>
        <v/>
      </c>
      <c r="R2334">
        <f>IF(AND(Inputs!$B$38&lt;&gt;"pvp",Inputs!$B$43&gt;0),IF(Inputs!$B$43&lt;=0,0,(INT(Inputs!$B$43/IF(Inputs!$B$38="pvp",15,MAX(0.1,Skills!D24-IF(Skills!E24=TRUE,Inputs!$B$32,0))))+1)),0)</f>
        <v/>
      </c>
      <c r="S2334" t="n">
        <v>0</v>
      </c>
      <c r="U2334" t="n">
        <v>0</v>
      </c>
    </row>
    <row r="2337">
      <c r="A2337" t="inlineStr">
        <is>
          <t>Average Buff Multiplier (Magic Guard + Meditation + Artifact Attack%, summed; then Infinity)</t>
        </is>
      </c>
      <c r="B2337">
        <f>(1+(IF(C2313=TRUE,F2313*IF(AND(Inputs!$B$38&lt;&gt;"pvp",Inputs!$B$43&gt;0),(((R2313-1)*(Skills!S3*(1+(Inputs!$B$34)/100))+MIN((Skills!S3*(1+(Inputs!$B$34)/100)),MAX(0,Inputs!$B$43-((R2313-1)*Skills!D3))))/Inputs!$B$43),IF(Inputs!$B$38="pvp",MIN((Skills!S3*(1+(Inputs!$B$34)/100)),15)/15,(Skills!S3*(1+(Inputs!$B$34)/100))/Skills!D3)),0)+IF(C2314=TRUE,F2314*IF(AND(Inputs!$B$38&lt;&gt;"pvp",Inputs!$B$43&gt;0),(((R2314-1)*(Skills!S4*(1+(Inputs!$B$34)/100))+MIN((Skills!S4*(1+(Inputs!$B$34)/100)),MAX(0,Inputs!$B$43-((R2314-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2326=TRUE,(1+F2326*IF(AND(Inputs!$B$38&lt;&gt;"pvp",Inputs!$B$43&gt;0),(((R2326-1)*(Skills!S16*(1+(Inputs!$B$34)/100))+MIN((Skills!S16*(1+(Inputs!$B$34)/100)),MAX(0,Inputs!$B$43-((R2326-1)*Skills!D16))))/Inputs!$B$43),IF(Inputs!$B$38="pvp",MIN((Skills!S16*(1+(Inputs!$B$34)/100)),15)/15,(Skills!S16*(1+(Inputs!$B$34)/100))/Skills!D16))/100),1)</f>
        <v/>
      </c>
    </row>
    <row r="2338">
      <c r="A2338" t="inlineStr">
        <is>
          <t>Monster Damage Taken Bonus % (Freezing Breath - Weaken + Elemental Reset + Artifact Enemy Damage Taken, summed)</t>
        </is>
      </c>
      <c r="B2338">
        <f>IF(Inputs!$B$3&gt;=118,15*IF(Inputs!$B$38="pvp",MIN((30*(1+(Inputs!$B$34)/100)),15)/15,(30*(1+(Inputs!$B$34)/100))/Skills!D8),0)+IF(C2324=TRUE,F2324,0)+(IF(AND(ArtifactsInput!$M$35,Inputs!$B$4&lt;&gt;"Chapter Hunt"),CHOOSE(ArtifactsInput!$N$35+1,15,18,21,24,27,30)*(1-EXP(-(0.2*B2341)*5)),0)+IF(AND(ArtifactsInput!$M$22,Inputs!$B$4&lt;&gt;"Chapter Hunt"),CHOOSE(ArtifactsInput!$N$22+1,10,12,14,16,18,20)*((0*(((0.15*B2341*5))^0/1)+1*(((0.15*B2341*5))^1/1)+2*(((0.15*B2341*5))^2/2)+3*(((0.15*B2341*5))^3/6)+4*(((0.15*B2341*5))^4/24)+5*(((0.15*B2341*5))^5/120))/((((0.15*B2341*5))^0/1)+(((0.15*B2341*5))^1/1)+(((0.15*B2341*5))^2/2)+(((0.15*B2341*5))^3/6)+(((0.15*B2341*5))^4/24)+(((0.15*B2341*5))^5/120))),0))</f>
        <v/>
      </c>
    </row>
    <row r="2339">
      <c r="A2339" t="inlineStr">
        <is>
          <t>Damage % Bonus (Frozen Break + Frost Clutch, flat)</t>
        </is>
      </c>
      <c r="B2339">
        <f>IF(Inputs!$B$3&gt;=66,15,0)+IF(Inputs!$B$3&gt;=98,10,0)+IF(Inputs!$B$3&gt;=125,20,0)</f>
        <v/>
      </c>
    </row>
    <row r="2340">
      <c r="A2340" t="inlineStr">
        <is>
          <t>Attack Speed Bonus % (MP Eater - MP Boost, always-on + Nimble Feet, duty-cycle averaged)</t>
        </is>
      </c>
      <c r="B2340">
        <f>IF(C2323=TRUE,F2323+(F2327-Calc!F17),0)+((C2334=TRUE)*F2334*IF(AND(Inputs!$B$38&lt;&gt;"pvp",Inputs!$B$43&gt;0),(((R2334-1)*(Skills!S24*(1+(Inputs!$B$34)/100))+MIN((Skills!S24*(1+(Inputs!$B$34)/100)),MAX(0,Inputs!$B$43-((R2334-1)*Skills!D24))))/Inputs!$B$43),IF(Inputs!$B$38="pvp",MIN((Skills!S24*(1+(Inputs!$B$34)/100)),15)/15,(Skills!S24*(1+(Inputs!$B$34)/100))/Skills!D24)))</f>
        <v/>
      </c>
    </row>
    <row r="2341">
      <c r="A2341" t="inlineStr">
        <is>
          <t>Actions Per Second</t>
        </is>
      </c>
      <c r="B2341">
        <f>1+MIN(150,150*(1-(1-(Inputs!$B$11+(ArtifactsInput!$M$15-ArtifactsInput!$M$15)*CHOOSE(ArtifactsInput!$N$15+1,8,9.6,11.2,12.8,14.4,16))/150)*(1-B2340/150)))/100</f>
        <v/>
      </c>
    </row>
    <row r="2342">
      <c r="A2342" t="inlineStr">
        <is>
          <t>Skill + Buff Cast Rate</t>
        </is>
      </c>
      <c r="B2342">
        <f>IF(AND(Inputs!$B$38&lt;&gt;"pvp",Inputs!$B$43&gt;0),SUMPRODUCT((Skills!E2:E24=TRUE)*(C2312:C2334=TRUE)*R2312:R2334)/Inputs!$B$43,SUMPRODUCT((Skills!E2:E24=TRUE)*(C2312:C2334=TRUE)*Q2312:Q2334))</f>
        <v/>
      </c>
    </row>
    <row r="2343">
      <c r="A2343" t="inlineStr">
        <is>
          <t>Chain Lightning Casts Per Second</t>
        </is>
      </c>
      <c r="B2343">
        <f>MAX(0,B2341-B2342)</f>
        <v/>
      </c>
    </row>
    <row r="2344">
      <c r="A2344" t="inlineStr">
        <is>
          <t>Buff-Casting Startup Delay (s, fixed-duration only)</t>
        </is>
      </c>
      <c r="B2344">
        <f>IF(AND(Inputs!$B$38&lt;&gt;"pvp",Inputs!$B$43&gt;0),SUMPRODUCT((Skills!S2:S24&gt;0)*(Skills!E2:E24=TRUE)*(C2312:C2334=TRUE))/B2341,0)</f>
        <v/>
      </c>
    </row>
    <row r="2345">
      <c r="A2345" t="inlineStr">
        <is>
          <t>Boss-Only Total DPS (this block's swept value)</t>
        </is>
      </c>
      <c r="B2345">
        <f>SUM(S2312:S2334)</f>
        <v/>
      </c>
    </row>
    <row r="2346">
      <c r="A2346" t="inlineStr">
        <is>
          <t>Normal-Only Total DPS (this block's swept value)</t>
        </is>
      </c>
      <c r="B2346">
        <f>SUM(U2312:U2334)</f>
        <v/>
      </c>
    </row>
    <row r="2347">
      <c r="A2347" s="6" t="inlineStr">
        <is>
          <t>TOTAL DPS</t>
        </is>
      </c>
      <c r="B2347" s="6">
        <f>SUM(O2312:O2334)</f>
        <v/>
      </c>
    </row>
    <row r="2350">
      <c r="A2350" s="6" t="inlineStr">
        <is>
          <t>Stat: Cursed Doll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R2351" t="inlineStr">
        <is>
          <t>helpers</t>
        </is>
      </c>
    </row>
    <row r="2352">
      <c r="A2352">
        <f>Skills!A2</f>
        <v/>
      </c>
      <c r="B2352">
        <f>Skills!B2</f>
        <v/>
      </c>
      <c r="C2352">
        <f>Inputs!$B$3&gt;=100</f>
        <v/>
      </c>
      <c r="D2352" t="inlineStr"/>
      <c r="E2352" t="inlineStr"/>
      <c r="F2352">
        <f>T2354+Skills!N2</f>
        <v/>
      </c>
      <c r="G2352">
        <f>Calc!G2</f>
        <v/>
      </c>
      <c r="H2352">
        <f>Calc!H2</f>
        <v/>
      </c>
      <c r="I2352">
        <f>IF(Skills!T2&lt;&gt;"",1+(Skills!T2/10)*(Z2353/1000)/100,1)</f>
        <v/>
      </c>
      <c r="J2352">
        <f>((Inputs!$B$6*(1+Inputs!$B$7/100))+(((Inputs!$B$12*(1+Inputs!$B$13/100))-(Inputs!$B$12*(1+Inputs!$B$13/100)))+0.25*(Inputs!$B$14-Inputs!$B$14))*(1+Inputs!$B$7/100))*(F2352/100)</f>
        <v/>
      </c>
      <c r="K2352">
        <f>J2352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2="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F2368-Calc!F18),(Inputs!$B$23+(IF(ArtifactsInput!$M$15,CHOOSE(ArtifactsInput!$N$15+1,25,30,35,40,45,50)/100*(Inputs!$B$11-Inputs!$B$11),0))))/100+(Inputs!$B$23+(IF(ArtifactsInput!$M$15,CHOOSE(ArtifactsInput!$N$15+1,25,30,35,40,45,50)/100*(Inputs!$B$11-Inputs!$B$11),0)))/100)/2</f>
        <v/>
      </c>
      <c r="M2352">
        <f>L2352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(1-Summary!$B$11)*S2352+Summary!$B$11*U2352</f>
        <v/>
      </c>
      <c r="P2352">
        <f>IF(B2387=0,0,O2352/B2387)</f>
        <v/>
      </c>
      <c r="Q2352">
        <f>IFERROR(1/IF(Inputs!$B$38="pvp",15,MAX(0.1,Skills!D2-IF(Skills!E2=TRUE,Inputs!$B$32,0))),0)</f>
        <v/>
      </c>
      <c r="R2352" t="n">
        <v>0</v>
      </c>
      <c r="S2352">
        <f>IF(C2352,(Skills!F2*N2352*B2383)*IF(Inputs!$B$38="pvp",1,1+(Inputs!$B$20+Skills!O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2352*(1-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52">
        <f>MAX(0,(Inputs!$B$3-100)*3)+Inputs!$B$28+Inputs!$B$29</f>
        <v/>
      </c>
      <c r="U2352">
        <f>IF(C2352,(Skills!F2*N2352*B2383)*IF(Inputs!$B$38="pvp",1,(1+(Inputs!$B$21+Skills!P2+B2378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52">
        <f>MAX(0,(Inputs!$B$3-100)*3)+Inputs!$B$28+Inputs!$B$29</f>
        <v/>
      </c>
    </row>
    <row r="2353">
      <c r="A2353">
        <f>Skills!A3</f>
        <v/>
      </c>
      <c r="B2353">
        <f>Skills!B3</f>
        <v/>
      </c>
      <c r="C2353">
        <f>Inputs!$B$3&gt;=15</f>
        <v/>
      </c>
      <c r="D2353">
        <f>IF(Skills!C3=1,60+Inputs!$B$25+Inputs!$B$29,IF(Skills!C3=2,90+Inputs!$B$26+Inputs!$B$29,IF(Skills!C3=3,120+Inputs!$B$27+Inputs!$B$29,MAX(0,(Inputs!$B$3-100)*3)+Inputs!$B$28+Inputs!$B$29)))</f>
        <v/>
      </c>
      <c r="E2353">
        <f>INDEX(FactorTable!$B$2:$Y$301, MATCH(ROUND(MIN(300,MAX(1,D2353)),0), FactorTable!$A$2:$A$301,0), Skills!L3+1)</f>
        <v/>
      </c>
      <c r="F2353">
        <f>IF(Skills!M3=TRUE,(Skills!K3/10)*(E2353/1000),Skills!K3/10)+Skills!N3</f>
        <v/>
      </c>
      <c r="G2353">
        <f>Calc!G3</f>
        <v/>
      </c>
      <c r="H2353">
        <f>Calc!H3</f>
        <v/>
      </c>
      <c r="I2353">
        <f>IF(Skills!T3&lt;&gt;"",1+(Skills!T3/10)*(Z2353/1000)/100,1)</f>
        <v/>
      </c>
      <c r="J2353" t="inlineStr"/>
      <c r="K2353" t="inlineStr"/>
      <c r="L2353" t="inlineStr"/>
      <c r="M2353" t="inlineStr"/>
      <c r="N2353" t="inlineStr"/>
      <c r="O2353">
        <f>(1-Summary!$B$11)*S2353+Summary!$B$11*U2353</f>
        <v/>
      </c>
      <c r="P2353">
        <f>IF(B2387=0,0,O2353/B2387)</f>
        <v/>
      </c>
      <c r="Q2353">
        <f>IFERROR(1/IF(Inputs!$B$38="pvp",15,MAX(0.1,Skills!D3-IF(Skills!E3=TRUE,Inputs!$B$32,0))),0)</f>
        <v/>
      </c>
      <c r="R2353">
        <f>IF(AND(Inputs!$B$38&lt;&gt;"pvp",Inputs!$B$43&gt;0),IF(Inputs!$B$43&lt;=0,0,(INT(Inputs!$B$43/IF(Inputs!$B$38="pvp",15,MAX(0.1,Skills!D3-IF(Skills!E3=TRUE,Inputs!$B$32,0))))+1)),0)</f>
        <v/>
      </c>
      <c r="S2353" t="n">
        <v>0</v>
      </c>
      <c r="T2353">
        <f>INDEX(FactorTable!$B$2:$Y$301, MATCH(ROUND(MIN(300,MAX(1,T2352)),0), FactorTable!$A$2:$A$301,0), 22)</f>
        <v/>
      </c>
      <c r="U2353" t="n">
        <v>0</v>
      </c>
      <c r="Z2353">
        <f>INDEX(FactorTable!$B$2:$Y$301, MATCH(ROUND(MIN(300,MAX(1,Z2352)),0), FactorTable!$A$2:$A$301,0), 24)</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Skills!L4+1)</f>
        <v/>
      </c>
      <c r="F2354">
        <f>IF(Skills!M4=TRUE,(Skills!K4/10)*(E2354/1000),Skills!K4/10)+Skills!N4</f>
        <v/>
      </c>
      <c r="G2354">
        <f>Calc!G4</f>
        <v/>
      </c>
      <c r="H2354">
        <f>Calc!H4</f>
        <v/>
      </c>
      <c r="I2354">
        <f>IF(Skills!T4&lt;&gt;"",1+(Skills!T4/10)*(Z2353/1000)/100,1)</f>
        <v/>
      </c>
      <c r="J2354" t="inlineStr"/>
      <c r="K2354" t="inlineStr"/>
      <c r="L2354" t="inlineStr"/>
      <c r="M2354" t="inlineStr"/>
      <c r="N2354" t="inlineStr"/>
      <c r="O2354">
        <f>(1-Summary!$B$11)*S2354+Summary!$B$11*U2354</f>
        <v/>
      </c>
      <c r="P2354">
        <f>IF(B2387=0,0,O2354/B2387)</f>
        <v/>
      </c>
      <c r="Q2354">
        <f>IFERROR(1/IF(Inputs!$B$38="pvp",15,MAX(0.1,Skills!D4-IF(Skills!E4=TRUE,Inputs!$B$32,0))),0)</f>
        <v/>
      </c>
      <c r="R2354">
        <f>IF(AND(Inputs!$B$38&lt;&gt;"pvp",Inputs!$B$43&gt;0),IF(Inputs!$B$43&lt;=0,0,(INT(Inputs!$B$43/IF(Inputs!$B$38="pvp",15,MAX(0.1,Skills!D4-IF(Skills!E4=TRUE,Inputs!$B$32,0))))+1)),0)</f>
        <v/>
      </c>
      <c r="S2354" t="n">
        <v>0</v>
      </c>
      <c r="T2354">
        <f>290*T2353/1000</f>
        <v/>
      </c>
      <c r="U2354" t="n">
        <v>0</v>
      </c>
    </row>
    <row r="2355">
      <c r="A2355">
        <f>Skills!A5</f>
        <v/>
      </c>
      <c r="B2355">
        <f>Skills!B5</f>
        <v/>
      </c>
      <c r="C2355">
        <f>Inputs!$B$3&gt;=38</f>
        <v/>
      </c>
      <c r="D2355">
        <f>IF(Skills!C5=1,60+Inputs!$B$25+Inputs!$B$29,IF(Skills!C5=2,90+Inputs!$B$26+Inputs!$B$29,IF(Skills!C5=3,120+Inputs!$B$27+Inputs!$B$29,MAX(0,(Inputs!$B$3-100)*3)+Inputs!$B$28+Inputs!$B$29)))</f>
        <v/>
      </c>
      <c r="E2355">
        <f>INDEX(FactorTable!$B$2:$Y$301, MATCH(ROUND(MIN(300,MAX(1,D2355)),0), FactorTable!$A$2:$A$301,0), Skills!L5+1)</f>
        <v/>
      </c>
      <c r="F2355">
        <f>IF(Skills!M5=TRUE,(Skills!K5/10)*(E2355/1000),Skills!K5/10)+Skills!N5</f>
        <v/>
      </c>
      <c r="G2355">
        <f>Calc!G5</f>
        <v/>
      </c>
      <c r="H2355">
        <f>Calc!H5</f>
        <v/>
      </c>
      <c r="I2355">
        <f>IF(Skills!T5&lt;&gt;"",1+(Skills!T5/10)*(Z2353/1000)/100,1)</f>
        <v/>
      </c>
      <c r="J2355">
        <f>((Inputs!$B$6*(1+Inputs!$B$7/100))+(((Inputs!$B$12*(1+Inputs!$B$13/100))-(Inputs!$B$12*(1+Inputs!$B$13/100)))+0.25*(Inputs!$B$14-Inputs!$B$14))*(1+Inputs!$B$7/100))*(F2355/100)</f>
        <v/>
      </c>
      <c r="K2355">
        <f>J2355*(1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5="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F2368-Calc!F18),(Inputs!$B$23+(IF(ArtifactsInput!$M$15,CHOOSE(ArtifactsInput!$N$15+1,25,30,35,40,45,50)/100*(Inputs!$B$11-Inputs!$B$11),0))))/100+(Inputs!$B$23+(IF(ArtifactsInput!$M$15,CHOOSE(ArtifactsInput!$N$15+1,25,30,35,40,45,50)/100*(Inputs!$B$11-Inputs!$B$11),0)))/100)/2</f>
        <v/>
      </c>
      <c r="M2355">
        <f>L2355*(1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(1-Summary!$B$11)*S2355+Summary!$B$11*U2355</f>
        <v/>
      </c>
      <c r="P2355">
        <f>IF(B2387=0,0,O2355/B2387)</f>
        <v/>
      </c>
      <c r="Q2355">
        <f>IFERROR(1/IF(Inputs!$B$38="pvp",15,MAX(0.1,Skills!D5-IF(Skills!E5=TRUE,Inputs!$B$32,0))),0)</f>
        <v/>
      </c>
      <c r="R2355">
        <f>IF(AND(Inputs!$B$38&lt;&gt;"pvp",Inputs!$B$43&gt;0),IF(MAX(0,Inputs!$B$43-B2384)&lt;=0,0,(INT(MAX(0,Inputs!$B$43-B2384)/IF(Inputs!$B$38="pvp",15,MAX(0.1,Skills!D5-IF(Skills!E5=TRUE,Inputs!$B$32,0))))+1)),0)</f>
        <v/>
      </c>
      <c r="S2355">
        <f>IF(C2355,(H2355*N2355*IF(AND(Inputs!$B$38&lt;&gt;"pvp",Inputs!$B$43&gt;0),((Skills!F5*((R2355-1)*IF(Skills!G5&gt;0,Skills!H5/Skills!G5,1)+IF(Skills!G5&gt;0,MIN(Skills!H5,MAX(0,MAX(0,Inputs!$B$43-B2384)-((R2355-1)*IF(Inputs!$B$38="pvp",15,MAX(0.1,Skills!D5-IF(Skills!E5=TRUE,Inputs!$B$32,0))))))/Skills!G5,1)))/Inputs!$B$43),G2355*Q2355))*IF(Inputs!$B$38="pvp",1,1+(Inputs!$B$20+Skills!O5+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2355*(1-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IF(C2355,(H2355*N2355*IF(AND(Inputs!$B$38&lt;&gt;"pvp",Inputs!$B$43&gt;0),((Skills!F5*((R2355-1)*IF(Skills!G5&gt;0,Skills!H5/Skills!G5,1)+IF(Skills!G5&gt;0,MIN(Skills!H5,MAX(0,MAX(0,Inputs!$B$43-B2384)-((R2355-1)*IF(Inputs!$B$38="pvp",15,MAX(0.1,Skills!D5-IF(Skills!E5=TRUE,Inputs!$B$32,0))))))/Skills!G5,1)))/Inputs!$B$43),G2355*Q2355))*IF(Inputs!$B$38="pvp",1,(1+(Inputs!$B$21+Skills!P5+B2378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Skills!L6+1)</f>
        <v/>
      </c>
      <c r="F2356">
        <f>IF(Skills!M6=TRUE,(Skills!K6/10)*(E2356/1000),Skills!K6/10)+Skills!N6</f>
        <v/>
      </c>
      <c r="G2356">
        <f>Calc!G6</f>
        <v/>
      </c>
      <c r="H2356">
        <f>Calc!H6</f>
        <v/>
      </c>
      <c r="I2356">
        <f>IF(Skills!T6&lt;&gt;"",1+(Skills!T6/10)*(Z2353/1000)/100,1)</f>
        <v/>
      </c>
      <c r="J2356">
        <f>((Inputs!$B$6*(1+Inputs!$B$7/100))+(((Inputs!$B$12*(1+Inputs!$B$13/100))-(Inputs!$B$12*(1+Inputs!$B$13/100)))+0.25*(Inputs!$B$14-Inputs!$B$14))*(1+Inputs!$B$7/100))*(F2356/100)</f>
        <v/>
      </c>
      <c r="K2356">
        <f>J2356*(1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6="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F2368-Calc!F18),(Inputs!$B$23+(IF(ArtifactsInput!$M$15,CHOOSE(ArtifactsInput!$N$15+1,25,30,35,40,45,50)/100*(Inputs!$B$11-Inputs!$B$11),0))))/100+(Inputs!$B$23+(IF(ArtifactsInput!$M$15,CHOOSE(ArtifactsInput!$N$15+1,25,30,35,40,45,50)/100*(Inputs!$B$11-Inputs!$B$11),0)))/100)/2</f>
        <v/>
      </c>
      <c r="M2356">
        <f>L2356*(1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(1-Summary!$B$11)*S2356+Summary!$B$11*U2356</f>
        <v/>
      </c>
      <c r="P2356">
        <f>IF(B2387=0,0,O2356/B2387)</f>
        <v/>
      </c>
      <c r="Q2356">
        <f>IFERROR(1/IF(Inputs!$B$38="pvp",15,MAX(0.1,Skills!D6-IF(Skills!E6=TRUE,Inputs!$B$32,0))),0)</f>
        <v/>
      </c>
      <c r="R2356">
        <f>IF(AND(Inputs!$B$38&lt;&gt;"pvp",Inputs!$B$43&gt;0),IF(MAX(0,Inputs!$B$43-B2384)&lt;=0,0,(INT(MAX(0,Inputs!$B$43-B2384)/IF(Inputs!$B$38="pvp",15,MAX(0.1,Skills!D6-IF(Skills!E6=TRUE,Inputs!$B$32,0))))+1)),0)</f>
        <v/>
      </c>
      <c r="S2356">
        <f>IF(C2356,(H2356*N2356*IF(AND(Inputs!$B$38&lt;&gt;"pvp",Inputs!$B$43&gt;0),((Skills!F6*((R2356-1)*IF(Skills!G6&gt;0,Skills!H6/Skills!G6,1)+IF(Skills!G6&gt;0,MIN(Skills!H6,MAX(0,MAX(0,Inputs!$B$43-B2384)-((R2356-1)*IF(Inputs!$B$38="pvp",15,MAX(0.1,Skills!D6-IF(Skills!E6=TRUE,Inputs!$B$32,0))))))/Skills!G6,1)))/Inputs!$B$43),G2356*Q2356))*IF(Inputs!$B$38="pvp",1,1+(Inputs!$B$20+Skills!O6+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2356*(1-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6">
        <f>IF(C2356,(H2356*N2356*IF(AND(Inputs!$B$38&lt;&gt;"pvp",Inputs!$B$43&gt;0),((Skills!F6*((R2356-1)*IF(Skills!G6&gt;0,Skills!H6/Skills!G6,1)+IF(Skills!G6&gt;0,MIN(Skills!H6,MAX(0,MAX(0,Inputs!$B$43-B2384)-((R2356-1)*IF(Inputs!$B$38="pvp",15,MAX(0.1,Skills!D6-IF(Skills!E6=TRUE,Inputs!$B$32,0))))))/Skills!G6,1)))/Inputs!$B$43),G2356*Q2356))*IF(Inputs!$B$38="pvp",1,(1+(Inputs!$B$21+Skills!P6+B2378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Inputs!$B$3&gt;=69</f>
        <v/>
      </c>
      <c r="D2357">
        <f>IF(Skills!C7=1,60+Inputs!$B$25+Inputs!$B$29,IF(Skills!C7=2,90+Inputs!$B$26+Inputs!$B$29,IF(Skills!C7=3,120+Inputs!$B$27+Inputs!$B$29,MAX(0,(Inputs!$B$3-100)*3)+Inputs!$B$28+Inputs!$B$29)))</f>
        <v/>
      </c>
      <c r="E2357">
        <f>INDEX(FactorTable!$B$2:$Y$301, MATCH(ROUND(MIN(300,MAX(1,D2357)),0), FactorTable!$A$2:$A$301,0), Skills!L7+1)</f>
        <v/>
      </c>
      <c r="F2357">
        <f>IF(Skills!M7=TRUE,(Skills!K7/10)*(E2357/1000),Skills!K7/10)+Skills!N7</f>
        <v/>
      </c>
      <c r="G2357">
        <f>Calc!G7</f>
        <v/>
      </c>
      <c r="H2357">
        <f>Calc!H7</f>
        <v/>
      </c>
      <c r="I2357">
        <f>IF(Skills!T7&lt;&gt;"",1+(Skills!T7/10)*(Z2353/1000)/100,1)</f>
        <v/>
      </c>
      <c r="J2357">
        <f>((Inputs!$B$6*(1+Inputs!$B$7/100))+(((Inputs!$B$12*(1+Inputs!$B$13/100))-(Inputs!$B$12*(1+Inputs!$B$13/100)))+0.25*(Inputs!$B$14-Inputs!$B$14))*(1+Inputs!$B$7/100))*(F2357/100)</f>
        <v/>
      </c>
      <c r="K2357">
        <f>J2357*(1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7="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F2368-Calc!F18),(Inputs!$B$23+(IF(ArtifactsInput!$M$15,CHOOSE(ArtifactsInput!$N$15+1,25,30,35,40,45,50)/100*(Inputs!$B$11-Inputs!$B$11),0))))/100+(Inputs!$B$23+(IF(ArtifactsInput!$M$15,CHOOSE(ArtifactsInput!$N$15+1,25,30,35,40,45,50)/100*(Inputs!$B$11-Inputs!$B$11),0)))/100)/2</f>
        <v/>
      </c>
      <c r="M2357">
        <f>L2357*(1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(1-Summary!$B$11)*S2357+Summary!$B$11*U2357</f>
        <v/>
      </c>
      <c r="P2357">
        <f>IF(B2387=0,0,O2357/B2387)</f>
        <v/>
      </c>
      <c r="Q2357">
        <f>IFERROR(1/IF(Inputs!$B$38="pvp",15,MAX(0.1,Skills!D7-IF(Skills!E7=TRUE,Inputs!$B$32,0))),0)</f>
        <v/>
      </c>
      <c r="R2357">
        <f>IF(AND(Inputs!$B$38&lt;&gt;"pvp",Inputs!$B$43&gt;0),IF(MAX(0,Inputs!$B$43-B2384)&lt;=0,0,(INT(MAX(0,Inputs!$B$43-B2384)/IF(Inputs!$B$38="pvp",15,MAX(0.1,Skills!D7-IF(Skills!E7=TRUE,Inputs!$B$32,0))))+1)),0)</f>
        <v/>
      </c>
      <c r="S2357">
        <f>IF(C2357,(H2357*N2357*IF(AND(Inputs!$B$38&lt;&gt;"pvp",Inputs!$B$43&gt;0),((Skills!F7*((R2357-1)*IF(Skills!G7&gt;0,Skills!H7/Skills!G7,1)+IF(Skills!G7&gt;0,MIN(Skills!H7,MAX(0,MAX(0,Inputs!$B$43-B2384)-((R2357-1)*IF(Inputs!$B$38="pvp",15,MAX(0.1,Skills!D7-IF(Skills!E7=TRUE,Inputs!$B$32,0))))))/Skills!G7,1)))/Inputs!$B$43),G2357*Q2357))*IF(Inputs!$B$38="pvp",1,1+(Inputs!$B$20+Skills!O7+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2357*(1-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7">
        <f>IF(C2357,(H2357*N2357*IF(AND(Inputs!$B$38&lt;&gt;"pvp",Inputs!$B$43&gt;0),((Skills!F7*((R2357-1)*IF(Skills!G7&gt;0,Skills!H7/Skills!G7,1)+IF(Skills!G7&gt;0,MIN(Skills!H7,MAX(0,MAX(0,Inputs!$B$43-B2384)-((R2357-1)*IF(Inputs!$B$38="pvp",15,MAX(0.1,Skills!D7-IF(Skills!E7=TRUE,Inputs!$B$32,0))))))/Skills!G7,1)))/Inputs!$B$43),G2357*Q2357))*IF(Inputs!$B$38="pvp",1,(1+(Inputs!$B$21+Skills!P7+B2378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Inputs!$B$3&gt;=103</f>
        <v/>
      </c>
      <c r="D2358">
        <f>IF(Skills!C8=1,60+Inputs!$B$25+Inputs!$B$29,IF(Skills!C8=2,90+Inputs!$B$26+Inputs!$B$29,IF(Skills!C8=3,120+Inputs!$B$27+Inputs!$B$29,MAX(0,(Inputs!$B$3-100)*3)+Inputs!$B$28+Inputs!$B$29)))</f>
        <v/>
      </c>
      <c r="E2358">
        <f>INDEX(FactorTable!$B$2:$Y$301, MATCH(ROUND(MIN(300,MAX(1,D2358)),0), FactorTable!$A$2:$A$301,0), Skills!L8+1)</f>
        <v/>
      </c>
      <c r="F2358">
        <f>IF(Skills!M8=TRUE,(Skills!K8/10)*(E2358/1000),Skills!K8/10)+Skills!N8</f>
        <v/>
      </c>
      <c r="G2358">
        <f>Calc!G8</f>
        <v/>
      </c>
      <c r="H2358">
        <f>Calc!H8</f>
        <v/>
      </c>
      <c r="I2358">
        <f>IF(Skills!T8&lt;&gt;"",1+(Skills!T8/10)*(Z2353/1000)/100,1)</f>
        <v/>
      </c>
      <c r="J2358">
        <f>((Inputs!$B$6*(1+Inputs!$B$7/100))+(((Inputs!$B$12*(1+Inputs!$B$13/100))-(Inputs!$B$12*(1+Inputs!$B$13/100)))+0.25*(Inputs!$B$14-Inputs!$B$14))*(1+Inputs!$B$7/100))*(F2358/100)</f>
        <v/>
      </c>
      <c r="K2358">
        <f>J2358*(1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8="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F2368-Calc!F18),(Inputs!$B$23+(IF(ArtifactsInput!$M$15,CHOOSE(ArtifactsInput!$N$15+1,25,30,35,40,45,50)/100*(Inputs!$B$11-Inputs!$B$11),0))))/100+(Inputs!$B$23+(IF(ArtifactsInput!$M$15,CHOOSE(ArtifactsInput!$N$15+1,25,30,35,40,45,50)/100*(Inputs!$B$11-Inputs!$B$11),0)))/100)/2</f>
        <v/>
      </c>
      <c r="M2358">
        <f>L2358*(1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(1-Summary!$B$11)*S2358+Summary!$B$11*U2358</f>
        <v/>
      </c>
      <c r="P2358">
        <f>IF(B2387=0,0,O2358/B2387)</f>
        <v/>
      </c>
      <c r="Q2358">
        <f>IFERROR(1/IF(Inputs!$B$38="pvp",15,MAX(0.1,Skills!D8-IF(Skills!E8=TRUE,Inputs!$B$32,0))),0)</f>
        <v/>
      </c>
      <c r="R2358">
        <f>IF(AND(Inputs!$B$38&lt;&gt;"pvp",Inputs!$B$43&gt;0),IF(MAX(0,Inputs!$B$43-B2384)&lt;=0,0,(INT(MAX(0,Inputs!$B$43-B2384)/IF(Inputs!$B$38="pvp",15,MAX(0.1,Skills!D8-IF(Skills!E8=TRUE,Inputs!$B$32,0))))+1)),0)</f>
        <v/>
      </c>
      <c r="S2358">
        <f>IF(C2358,(H2358*N2358*IF(AND(Inputs!$B$38&lt;&gt;"pvp",Inputs!$B$43&gt;0),((Skills!F8*((R2358-1)*IF(Skills!G8&gt;0,Skills!H8/Skills!G8,1)+IF(Skills!G8&gt;0,MIN(Skills!H8,MAX(0,MAX(0,Inputs!$B$43-B2384)-((R2358-1)*IF(Inputs!$B$38="pvp",15,MAX(0.1,Skills!D8-IF(Skills!E8=TRUE,Inputs!$B$32,0))))))/Skills!G8,1)))/Inputs!$B$43),G2358*Q2358))*IF(Inputs!$B$38="pvp",1,1+(Inputs!$B$20+Skills!O8+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2358*(1-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8">
        <f>IF(C2358,(H2358*N2358*IF(AND(Inputs!$B$38&lt;&gt;"pvp",Inputs!$B$43&gt;0),((Skills!F8*((R2358-1)*IF(Skills!G8&gt;0,Skills!H8/Skills!G8,1)+IF(Skills!G8&gt;0,MIN(Skills!H8,MAX(0,MAX(0,Inputs!$B$43-B2384)-((R2358-1)*IF(Inputs!$B$38="pvp",15,MAX(0.1,Skills!D8-IF(Skills!E8=TRUE,Inputs!$B$32,0))))))/Skills!G8,1)))/Inputs!$B$43),G2358*Q2358))*IF(Inputs!$B$38="pvp",1,(1+(Inputs!$B$21+Skills!P8+B2378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Inputs!$B$3&gt;=105</f>
        <v/>
      </c>
      <c r="D2359">
        <f>IF(Skills!C9=1,60+Inputs!$B$25+Inputs!$B$29,IF(Skills!C9=2,90+Inputs!$B$26+Inputs!$B$29,IF(Skills!C9=3,120+Inputs!$B$27+Inputs!$B$29,MAX(0,(Inputs!$B$3-100)*3)+Inputs!$B$28+Inputs!$B$29)))</f>
        <v/>
      </c>
      <c r="E2359">
        <f>INDEX(FactorTable!$B$2:$Y$301, MATCH(ROUND(MIN(300,MAX(1,D2359)),0), FactorTable!$A$2:$A$301,0), Skills!L9+1)</f>
        <v/>
      </c>
      <c r="F2359">
        <f>IF(Skills!M9=TRUE,(Skills!K9/10)*(E2359/1000),Skills!K9/10)+Skills!N9</f>
        <v/>
      </c>
      <c r="G2359">
        <f>Calc!G9</f>
        <v/>
      </c>
      <c r="H2359">
        <f>Calc!H9</f>
        <v/>
      </c>
      <c r="I2359">
        <f>IF(Skills!T9&lt;&gt;"",1+(Skills!T9/10)*(Z2353/1000)/100,1)</f>
        <v/>
      </c>
      <c r="J2359">
        <f>((Inputs!$B$6*(1+Inputs!$B$7/100))+(((Inputs!$B$12*(1+Inputs!$B$13/100))-(Inputs!$B$12*(1+Inputs!$B$13/100)))+0.25*(Inputs!$B$14-Inputs!$B$14))*(1+Inputs!$B$7/100))*(F2359/100)</f>
        <v/>
      </c>
      <c r="K2359">
        <f>J2359*(1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9="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F2368-Calc!F18),(Inputs!$B$23+(IF(ArtifactsInput!$M$15,CHOOSE(ArtifactsInput!$N$15+1,25,30,35,40,45,50)/100*(Inputs!$B$11-Inputs!$B$11),0))))/100+(Inputs!$B$23+(IF(ArtifactsInput!$M$15,CHOOSE(ArtifactsInput!$N$15+1,25,30,35,40,45,50)/100*(Inputs!$B$11-Inputs!$B$11),0)))/100)/2</f>
        <v/>
      </c>
      <c r="M2359">
        <f>L2359*(1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(1-Summary!$B$11)*S2359+Summary!$B$11*U2359</f>
        <v/>
      </c>
      <c r="P2359">
        <f>IF(B2387=0,0,O2359/B2387)</f>
        <v/>
      </c>
      <c r="Q2359">
        <f>IFERROR(1/IF(Inputs!$B$38="pvp",15,MAX(0.1,Skills!D9-IF(Skills!E9=TRUE,Inputs!$B$32,0))),0)</f>
        <v/>
      </c>
      <c r="R2359">
        <f>IF(AND(Inputs!$B$38&lt;&gt;"pvp",Inputs!$B$43&gt;0),IF(MAX(0,Inputs!$B$43-B2384)&lt;=0,0,(INT(MAX(0,Inputs!$B$43-B2384)/IF(Inputs!$B$38="pvp",15,MAX(0.1,Skills!D9-IF(Skills!E9=TRUE,Inputs!$B$32,0))))+1)),0)</f>
        <v/>
      </c>
      <c r="S2359">
        <f>IF(C2359,(H2359*N2359*IF(AND(Inputs!$B$38&lt;&gt;"pvp",Inputs!$B$43&gt;0),((Skills!F9*((R2359-1)*IF(Skills!G9&gt;0,Skills!H9/Skills!G9,1)+IF(Skills!G9&gt;0,MIN(Skills!H9,MAX(0,MAX(0,Inputs!$B$43-B2384)-((R2359-1)*IF(Inputs!$B$38="pvp",15,MAX(0.1,Skills!D9-IF(Skills!E9=TRUE,Inputs!$B$32,0))))))/Skills!G9,1)))/Inputs!$B$43),G2359*Q2359))*IF(Inputs!$B$38="pvp",1,1+(Inputs!$B$20+Skills!O9+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2359*(1-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9">
        <f>IF(C2359,(H2359*N2359*IF(AND(Inputs!$B$38&lt;&gt;"pvp",Inputs!$B$43&gt;0),((Skills!F9*((R2359-1)*IF(Skills!G9&gt;0,Skills!H9/Skills!G9,1)+IF(Skills!G9&gt;0,MIN(Skills!H9,MAX(0,MAX(0,Inputs!$B$43-B2384)-((R2359-1)*IF(Inputs!$B$38="pvp",15,MAX(0.1,Skills!D9-IF(Skills!E9=TRUE,Inputs!$B$32,0))))))/Skills!G9,1)))/Inputs!$B$43),G2359*Q2359))*IF(Inputs!$B$38="pvp",1,(1+(Inputs!$B$21+Skills!P9+B2378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Skills!L10+1)</f>
        <v/>
      </c>
      <c r="F2360">
        <f>IF(Skills!M10=TRUE,(Skills!K10/10)*(E2360/1000),Skills!K10/10)+Skills!N10</f>
        <v/>
      </c>
      <c r="G2360">
        <f>Calc!G10</f>
        <v/>
      </c>
      <c r="H2360">
        <f>Calc!H10</f>
        <v/>
      </c>
      <c r="I2360">
        <f>IF(Skills!T10&lt;&gt;"",1+(Skills!T10/10)*(Z2353/1000)/100,1)</f>
        <v/>
      </c>
      <c r="J2360">
        <f>((Inputs!$B$6*(1+Inputs!$B$7/100))+(((Inputs!$B$12*(1+Inputs!$B$13/100))-(Inputs!$B$12*(1+Inputs!$B$13/100)))+0.25*(Inputs!$B$14-Inputs!$B$14))*(1+Inputs!$B$7/100))*(F2360/100)</f>
        <v/>
      </c>
      <c r="K2360">
        <f>J2360*(1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10="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2368-Calc!F18),(Inputs!$B$23+(IF(ArtifactsInput!$M$15,CHOOSE(ArtifactsInput!$N$15+1,25,30,35,40,45,50)/100*(Inputs!$B$11-Inputs!$B$11),0))))/100+(Inputs!$B$23+(IF(ArtifactsInput!$M$15,CHOOSE(ArtifactsInput!$N$15+1,25,30,35,40,45,50)/100*(Inputs!$B$11-Inputs!$B$11),0)))/100)/2</f>
        <v/>
      </c>
      <c r="M2360">
        <f>L2360*(1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IF(B2387=0,0,O2360/B2387)</f>
        <v/>
      </c>
      <c r="Q2360">
        <f>IFERROR(1/IF(Inputs!$B$38="pvp",15,MAX(0.1,Skills!D10-IF(Skills!E9=TRUE,Inputs!$B$32,0))),0)</f>
        <v/>
      </c>
      <c r="R2360">
        <f>IF(AND(Inputs!$B$38&lt;&gt;"pvp",Inputs!$B$43&gt;0),IF(MAX(0,Inputs!$B$43-B2384)&lt;=0,0,(INT(MAX(0,Inputs!$B$43-B2384)/IF(Inputs!$B$38="pvp",15,MAX(0.1,Skills!D10-IF(Skills!E9=TRUE,Inputs!$B$32,0))))+1)),0)</f>
        <v/>
      </c>
      <c r="S2360">
        <f>IF(C2360,(H2360*N2360*IF(AND(Inputs!$B$38&lt;&gt;"pvp",Inputs!$B$43&gt;0),((Skills!F10*((R2360-1)*IF(Skills!G10&gt;0,Skills!H10/Skills!G10,1)+IF(Skills!G10&gt;0,MIN(Skills!H10,MAX(0,MAX(0,Inputs!$B$43-B2384)-((R2360-1)*IF(Inputs!$B$38="pvp",15,MAX(0.1,Skills!D10-IF(Skills!E9=TRUE,Inputs!$B$32,0))))))/Skills!G10,1)))/Inputs!$B$43),G2360*Q2360))*IF(Inputs!$B$38="pvp",1,1+(Inputs!$B$20+Skills!O10+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0">
        <f>IF(C2360,(H2360*N2360*IF(AND(Inputs!$B$38&lt;&gt;"pvp",Inputs!$B$43&gt;0),((Skills!F10*((R2360-1)*IF(Skills!G10&gt;0,Skills!H10/Skills!G10,1)+IF(Skills!G10&gt;0,MIN(Skills!H10,MAX(0,MAX(0,Inputs!$B$43-B2384)-((R2360-1)*IF(Inputs!$B$38="pvp",15,MAX(0.1,Skills!D10-IF(Skills!E9=TRUE,Inputs!$B$32,0))))))/Skills!G10,1)))/Inputs!$B$43),G2360*Q2360))*IF(Inputs!$B$38="pvp",1,(1+(Inputs!$B$21+Skills!P10+B2378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Skills!L11+1)</f>
        <v/>
      </c>
      <c r="F2361">
        <f>IF(Skills!M11=TRUE,(Skills!K11/10)*(E2361/1000),Skills!K11/10)+Skills!N11</f>
        <v/>
      </c>
      <c r="G2361">
        <f>Calc!G11</f>
        <v/>
      </c>
      <c r="H2361">
        <f>Calc!H11</f>
        <v/>
      </c>
      <c r="I2361">
        <f>IF(Skills!T11&lt;&gt;"",1+(Skills!T11/10)*(Z2353/1000)/100,1)</f>
        <v/>
      </c>
      <c r="J2361">
        <f>((Inputs!$B$6*(1+Inputs!$B$7/100))+(((Inputs!$B$12*(1+Inputs!$B$13/100))-(Inputs!$B$12*(1+Inputs!$B$13/100)))+0.25*(Inputs!$B$14-Inputs!$B$14))*(1+Inputs!$B$7/100))*(F2361/100)</f>
        <v/>
      </c>
      <c r="K2361">
        <f>J2361*(1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11="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2368-Calc!F18),(Inputs!$B$23+(IF(ArtifactsInput!$M$15,CHOOSE(ArtifactsInput!$N$15+1,25,30,35,40,45,50)/100*(Inputs!$B$11-Inputs!$B$11),0))))/100+(Inputs!$B$23+(IF(ArtifactsInput!$M$15,CHOOSE(ArtifactsInput!$N$15+1,25,30,35,40,45,50)/100*(Inputs!$B$11-Inputs!$B$11),0)))/100)/2</f>
        <v/>
      </c>
      <c r="M2361">
        <f>L2361*(1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IF(B2387=0,0,O2361/B2387)</f>
        <v/>
      </c>
      <c r="Q2361">
        <f>IFERROR(1/IF(Inputs!$B$38="pvp",15,MAX(0.1,Skills!D11-IF(Skills!E11=TRUE,Inputs!$B$32,0))),0)</f>
        <v/>
      </c>
      <c r="R2361">
        <f>IF(AND(Inputs!$B$38&lt;&gt;"pvp",Inputs!$B$43&gt;0),IF(MAX(0,Inputs!$B$43-B2384)&lt;=0,0,(INT(MAX(0,Inputs!$B$43-B2384)/IF(Inputs!$B$38="pvp",15,MAX(0.1,Skills!D11-IF(Skills!E11=TRUE,Inputs!$B$32,0))))+1)),0)</f>
        <v/>
      </c>
      <c r="S2361">
        <f>IF(C2361,H2361*N2361*IF(AND(Inputs!$B$38&lt;&gt;"pvp",Inputs!$B$43&gt;0),((Skills!F11*((R2361-1)*IF(Skills!G11&gt;0,Skills!H11/Skills!G11,1)+IF(Skills!G11&gt;0,MIN(Skills!H11,MAX(0,MAX(0,Inputs!$B$43-B2384)-((R2361-1)*IF(Inputs!$B$38="pvp",15,MAX(0.1,Skills!D11-IF(Skills!E11=TRUE,Inputs!$B$32,0))))))/Skills!G11,1)))/Inputs!$B$43),G2361*Q2361)*0.5*IF(Inputs!$B$38="pvp",1,1+(Inputs!$B$20+Skills!O11+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IF(C2361,H2361*N2361*IF(AND(Inputs!$B$38&lt;&gt;"pvp",Inputs!$B$43&gt;0),((Skills!F11*((R2361-1)*IF(Skills!G11&gt;0,Skills!H11/Skills!G11,1)+IF(Skills!G11&gt;0,MIN(Skills!H11,MAX(0,MAX(0,Inputs!$B$43-B2384)-((R2361-1)*IF(Inputs!$B$38="pvp",15,MAX(0.1,Skills!D11-IF(Skills!E11=TRUE,Inputs!$B$32,0))))))/Skills!G11,1)))/Inputs!$B$43),G2361*Q2361)*1*IF(Inputs!$B$38="pvp",1,(1+(Inputs!$B$21+Skills!P11+B2378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Inputs!$B$3&gt;=115</f>
        <v/>
      </c>
      <c r="D2362">
        <f>IF(Skills!C12=1,60+Inputs!$B$25+Inputs!$B$29,IF(Skills!C12=2,90+Inputs!$B$26+Inputs!$B$29,IF(Skills!C12=3,120+Inputs!$B$27+Inputs!$B$29,MAX(0,(Inputs!$B$3-100)*3)+Inputs!$B$28+Inputs!$B$29)))</f>
        <v/>
      </c>
      <c r="E2362">
        <f>INDEX(FactorTable!$B$2:$Y$301, MATCH(ROUND(MIN(300,MAX(1,D2362)),0), FactorTable!$A$2:$A$301,0), Skills!L12+1)</f>
        <v/>
      </c>
      <c r="F2362">
        <f>IF(Skills!M12=TRUE,(Skills!K12/10)*(E2362/1000),Skills!K12/10)+Skills!N12</f>
        <v/>
      </c>
      <c r="G2362">
        <f>Calc!G12</f>
        <v/>
      </c>
      <c r="H2362">
        <f>Calc!H12</f>
        <v/>
      </c>
      <c r="I2362">
        <f>IF(Skills!T12&lt;&gt;"",1+(Skills!T12/10)*(Z2353/1000)/100,1)</f>
        <v/>
      </c>
      <c r="J2362">
        <f>((Inputs!$B$6*(1+Inputs!$B$7/100))+(((Inputs!$B$12*(1+Inputs!$B$13/100))-(Inputs!$B$12*(1+Inputs!$B$13/100)))+0.25*(Inputs!$B$14-Inputs!$B$14))*(1+Inputs!$B$7/100))*(F2362/100)</f>
        <v/>
      </c>
      <c r="K2362">
        <f>J2362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12="CHAIN_LIGHTNING",Inputs!$B$17+((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2368-Calc!F18),(Inputs!$B$23+(IF(ArtifactsInput!$M$15,CHOOSE(ArtifactsInput!$N$15+1,25,30,35,40,45,50)/100*(Inputs!$B$11-Inputs!$B$11),0))))/100+(Inputs!$B$23+(IF(ArtifactsInput!$M$15,CHOOSE(ArtifactsInput!$N$15+1,25,30,35,40,45,50)/100*(Inputs!$B$11-Inputs!$B$11),0)))/100)/2</f>
        <v/>
      </c>
      <c r="M2362">
        <f>L2362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IF(B2387=0,0,O2362/B2387)</f>
        <v/>
      </c>
      <c r="Q2362">
        <f>IFERROR(1/IF(Inputs!$B$38="pvp",15,MAX(0.1,Skills!D12-IF(Skills!E12=TRUE,Inputs!$B$32,0))),0)</f>
        <v/>
      </c>
      <c r="R2362">
        <f>IF(AND(Inputs!$B$38&lt;&gt;"pvp",Inputs!$B$43&gt;0),IF(MAX(0,Inputs!$B$43-B2384)&lt;=0,0,(INT(MAX(0,Inputs!$B$43-B2384)/IF(Inputs!$B$38="pvp",15,MAX(0.1,Skills!D12-IF(Skills!E12=TRUE,Inputs!$B$32,0))))+1)),0)</f>
        <v/>
      </c>
      <c r="S2362">
        <f>IF(C2362,(H2362*N2362*IF(AND(Inputs!$B$38&lt;&gt;"pvp",Inputs!$B$43&gt;0),((Skills!F12*((R2362-1)*IF(Skills!G12&gt;0,Skills!H12/Skills!G12,1)+IF(Skills!G12&gt;0,MIN(Skills!H12,MAX(0,MAX(0,Inputs!$B$43-B2384)-((R2362-1)*IF(Inputs!$B$38="pvp",15,MAX(0.1,Skills!D12-IF(Skills!E12=TRUE,Inputs!$B$32,0))))))/Skills!G12,1)))/Inputs!$B$43),G2362*Q2362))*IF(Inputs!$B$38="pvp",1,1+(Inputs!$B$20+Skills!O12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2370-Calc!F20)+(F2369-Calc!F19))+(ArtifactsInput!$M$24-ArtifactsInput!$M$24)*CHOOSE(ArtifactsInput!$N$24+1,10,12,14,16,18,20)+(IF(AND(Inputs!$B$38&lt;&gt;"pvp",Inputs!$B$43=0),1,IF(IF(Inputs!$B$38="pvp",15,Inputs!$B$43)-(B2384)&lt;=0,1,MAX(0,IF(Inputs!$B$38="pvp",15,Inputs!$B$43)-MAX(5,B2384))/(IF(Inputs!$B$38="pvp",15,Inputs!$B$43)-(B2384)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F(C2362,(H2362*N2362*IF(AND(Inputs!$B$38&lt;&gt;"pvp",Inputs!$B$43&gt;0),((Skills!F12*((R2362-1)*IF(Skills!G12&gt;0,Skills!H12/Skills!G12,1)+IF(Skills!G12&gt;0,MIN(Skills!H12,MAX(0,MAX(0,Inputs!$B$43-B2384)-((R2362-1)*IF(Inputs!$B$38="pvp",15,MAX(0.1,Skills!D12-IF(Skills!E12=TRUE,Inputs!$B$32,0))))))/Skills!G12,1)))/Inputs!$B$43),G2362*Q2362))*IF(Inputs!$B$38="pvp",1,(1+(Inputs!$B$21+Skills!P12+B2378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Inputs!$B$3&gt;=49</f>
        <v/>
      </c>
      <c r="D2363">
        <f>IF(Skills!C13=1,60+Inputs!$B$25+Inputs!$B$29,IF(Skills!C13=2,90+Inputs!$B$26+Inputs!$B$29,IF(Skills!C13=3,120+Inputs!$B$27+Inputs!$B$29,MAX(0,(Inputs!$B$3-100)*3)+Inputs!$B$28+Inputs!$B$29)))</f>
        <v/>
      </c>
      <c r="E2363">
        <f>INDEX(FactorTable!$B$2:$Y$301, MATCH(ROUND(MIN(300,MAX(1,D2363)),0), FactorTable!$A$2:$A$301,0), Skills!L13+1)</f>
        <v/>
      </c>
      <c r="F2363">
        <f>IF(Skills!M13=TRUE,(Skills!K13/10)*(E2363/1000),Skills!K13/10)+Skills!N13</f>
        <v/>
      </c>
      <c r="G2363">
        <f>Calc!G13</f>
        <v/>
      </c>
      <c r="H2363">
        <f>Calc!H13</f>
        <v/>
      </c>
      <c r="I2363">
        <f>IF(Skills!T13&lt;&gt;"",1+(Skills!T13/10)*(Z2353/1000)/100,1)</f>
        <v/>
      </c>
      <c r="J2363" t="inlineStr"/>
      <c r="K2363" t="inlineStr"/>
      <c r="L2363" t="inlineStr"/>
      <c r="M2363" t="inlineStr"/>
      <c r="N2363" t="inlineStr"/>
      <c r="O2363">
        <f>(1-Summary!$B$11)*S2363+Summary!$B$11*U2363</f>
        <v/>
      </c>
      <c r="P2363">
        <f>IF(B2387=0,0,O2363/B2387)</f>
        <v/>
      </c>
      <c r="Q2363">
        <f>IFERROR(1/IF(Inputs!$B$38="pvp",15,MAX(0.1,Skills!D13-IF(Skills!E13=TRUE,Inputs!$B$32,0))),0)</f>
        <v/>
      </c>
      <c r="R2363" t="n">
        <v>0</v>
      </c>
      <c r="S2363" t="n">
        <v>0</v>
      </c>
      <c r="U2363" t="n">
        <v>0</v>
      </c>
    </row>
    <row r="2364">
      <c r="A2364">
        <f>Skills!A14</f>
        <v/>
      </c>
      <c r="B2364">
        <f>Skills!B14</f>
        <v/>
      </c>
      <c r="C2364">
        <f>Inputs!$B$3&gt;=72</f>
        <v/>
      </c>
      <c r="D2364">
        <f>IF(Skills!C14=1,60+Inputs!$B$25+Inputs!$B$29,IF(Skills!C14=2,90+Inputs!$B$26+Inputs!$B$29,IF(Skills!C14=3,120+Inputs!$B$27+Inputs!$B$29,MAX(0,(Inputs!$B$3-100)*3)+Inputs!$B$28+Inputs!$B$29)))</f>
        <v/>
      </c>
      <c r="E2364">
        <f>INDEX(FactorTable!$B$2:$Y$301, MATCH(ROUND(MIN(300,MAX(1,D2364)),0), FactorTable!$A$2:$A$301,0), Skills!L14+1)</f>
        <v/>
      </c>
      <c r="F2364">
        <f>IF(Skills!M14=TRUE,(Skills!K14/10)*(E2364/1000),Skills!K14/10)+Skills!N14</f>
        <v/>
      </c>
      <c r="G2364">
        <f>Calc!G14</f>
        <v/>
      </c>
      <c r="H2364">
        <f>Calc!H14</f>
        <v/>
      </c>
      <c r="I2364">
        <f>IF(Skills!T14&lt;&gt;"",1+(Skills!T14/10)*(Z2353/1000)/100,1)</f>
        <v/>
      </c>
      <c r="J2364" t="inlineStr"/>
      <c r="K2364" t="inlineStr"/>
      <c r="L2364" t="inlineStr"/>
      <c r="M2364" t="inlineStr"/>
      <c r="N2364" t="inlineStr"/>
      <c r="O2364">
        <f>(1-Summary!$B$11)*S2364+Summary!$B$11*U2364</f>
        <v/>
      </c>
      <c r="P2364">
        <f>IF(B2387=0,0,O2364/B2387)</f>
        <v/>
      </c>
      <c r="Q2364">
        <f>IFERROR(1/IF(Inputs!$B$38="pvp",15,MAX(0.1,Skills!D14-IF(Skills!E14=TRUE,Inputs!$B$32,0))),0)</f>
        <v/>
      </c>
      <c r="R2364" t="n">
        <v>0</v>
      </c>
      <c r="S2364" t="n">
        <v>0</v>
      </c>
      <c r="U2364" t="n">
        <v>0</v>
      </c>
    </row>
    <row r="2365">
      <c r="A2365">
        <f>Skills!A15</f>
        <v/>
      </c>
      <c r="B2365">
        <f>Skills!B15</f>
        <v/>
      </c>
      <c r="C2365">
        <f>Inputs!$B$3&gt;=75</f>
        <v/>
      </c>
      <c r="D2365">
        <f>IF(Skills!C15=1,60+Inputs!$B$25+Inputs!$B$29,IF(Skills!C15=2,90+Inputs!$B$26+Inputs!$B$29,IF(Skills!C15=3,120+Inputs!$B$27+Inputs!$B$29,MAX(0,(Inputs!$B$3-100)*3)+Inputs!$B$28+Inputs!$B$29)))</f>
        <v/>
      </c>
      <c r="E2365">
        <f>INDEX(FactorTable!$B$2:$Y$301, MATCH(ROUND(MIN(300,MAX(1,D2365)),0), FactorTable!$A$2:$A$301,0), Skills!L15+1)</f>
        <v/>
      </c>
      <c r="F2365">
        <f>IF(Skills!M15=TRUE,(Skills!K15/10)*(E2365/1000),Skills!K15/10)+Skills!N15</f>
        <v/>
      </c>
      <c r="G2365">
        <f>Calc!G15</f>
        <v/>
      </c>
      <c r="H2365">
        <f>Calc!H15</f>
        <v/>
      </c>
      <c r="I2365">
        <f>IF(Skills!T15&lt;&gt;"",1+(Skills!T15/10)*(Z2353/1000)/100,1)</f>
        <v/>
      </c>
      <c r="J2365" t="inlineStr"/>
      <c r="K2365" t="inlineStr"/>
      <c r="L2365" t="inlineStr"/>
      <c r="M2365" t="inlineStr"/>
      <c r="N2365" t="inlineStr"/>
      <c r="O2365">
        <f>(1-Summary!$B$11)*S2365+Summary!$B$11*U2365</f>
        <v/>
      </c>
      <c r="P2365">
        <f>IF(B2387=0,0,O2365/B2387)</f>
        <v/>
      </c>
      <c r="Q2365">
        <f>IFERROR(1/IF(Inputs!$B$38="pvp",15,MAX(0.1,Skills!D15-IF(Skills!E15=TRUE,Inputs!$B$32,0))),0)</f>
        <v/>
      </c>
      <c r="R2365" t="n">
        <v>0</v>
      </c>
      <c r="S2365" t="n">
        <v>0</v>
      </c>
      <c r="U2365" t="n">
        <v>0</v>
      </c>
    </row>
    <row r="2366">
      <c r="A2366">
        <f>Skills!A16</f>
        <v/>
      </c>
      <c r="B2366">
        <f>Skills!B16</f>
        <v/>
      </c>
      <c r="C2366">
        <f>Inputs!$B$3&gt;=110</f>
        <v/>
      </c>
      <c r="D2366">
        <f>IF(Skills!C16=1,60+Inputs!$B$25+Inputs!$B$29,IF(Skills!C16=2,90+Inputs!$B$26+Inputs!$B$29,IF(Skills!C16=3,120+Inputs!$B$27+Inputs!$B$29,MAX(0,(Inputs!$B$3-100)*3)+Inputs!$B$28+Inputs!$B$29)))</f>
        <v/>
      </c>
      <c r="E2366">
        <f>INDEX(FactorTable!$B$2:$Y$301, MATCH(ROUND(MIN(300,MAX(1,D2366)),0), FactorTable!$A$2:$A$301,0), Skills!L16+1)</f>
        <v/>
      </c>
      <c r="F2366">
        <f>(Skills!K16/10)*(E2366/1000)*64/45+Skills!N16</f>
        <v/>
      </c>
      <c r="G2366">
        <f>Calc!G16</f>
        <v/>
      </c>
      <c r="H2366">
        <f>Calc!H16</f>
        <v/>
      </c>
      <c r="I2366">
        <f>IF(Skills!T16&lt;&gt;"",1+(Skills!T16/10)*(Z2353/1000)/100,1)</f>
        <v/>
      </c>
      <c r="J2366" t="inlineStr"/>
      <c r="K2366" t="inlineStr"/>
      <c r="L2366" t="inlineStr"/>
      <c r="M2366" t="inlineStr"/>
      <c r="N2366" t="inlineStr"/>
      <c r="O2366">
        <f>(1-Summary!$B$11)*S2366+Summary!$B$11*U2366</f>
        <v/>
      </c>
      <c r="P2366">
        <f>IF(B2387=0,0,O2366/B2387)</f>
        <v/>
      </c>
      <c r="Q2366">
        <f>IFERROR(1/IF(Inputs!$B$38="pvp",15,MAX(0.1,Skills!D16-IF(Skills!E16=TRUE,Inputs!$B$32,0))),0)</f>
        <v/>
      </c>
      <c r="R2366">
        <f>IF(AND(Inputs!$B$38&lt;&gt;"pvp",Inputs!$B$43&gt;0),IF(Inputs!$B$43&lt;=0,0,(INT(Inputs!$B$43/IF(Inputs!$B$38="pvp",15,MAX(0.1,Skills!D16-IF(Skills!E16=TRUE,Inputs!$B$32,0))))+1)),0)</f>
        <v/>
      </c>
      <c r="S2366" t="n">
        <v>0</v>
      </c>
      <c r="U2366" t="n">
        <v>0</v>
      </c>
    </row>
    <row r="2367">
      <c r="A2367">
        <f>Skills!A17</f>
        <v/>
      </c>
      <c r="B2367">
        <f>Skills!B17</f>
        <v/>
      </c>
      <c r="C2367">
        <f>Inputs!$B$3&gt;=33</f>
        <v/>
      </c>
      <c r="D2367">
        <f>IF(Skills!C17=1,60+Inputs!$B$25+Inputs!$B$29,IF(Skills!C17=2,90+Inputs!$B$26+Inputs!$B$29,IF(Skills!C17=3,120+Inputs!$B$27+Inputs!$B$29,MAX(0,(Inputs!$B$3-100)*3)+Inputs!$B$28+Inputs!$B$29)))</f>
        <v/>
      </c>
      <c r="E2367">
        <f>INDEX(FactorTable!$B$2:$Y$301, MATCH(ROUND(MIN(300,MAX(1,D2367)),0), FactorTable!$A$2:$A$301,0), Skills!L17+1)</f>
        <v/>
      </c>
      <c r="F2367">
        <f>IF(Skills!M17=TRUE,(Skills!K17/10)*(E2367/1000),Skills!K17/10)+Skills!N17</f>
        <v/>
      </c>
      <c r="G2367">
        <f>Calc!G17</f>
        <v/>
      </c>
      <c r="H2367">
        <f>Calc!H17</f>
        <v/>
      </c>
      <c r="I2367">
        <f>IF(Skills!T17&lt;&gt;"",1+(Skills!T17/10)*(Z2353/1000)/100,1)</f>
        <v/>
      </c>
      <c r="J2367" t="inlineStr"/>
      <c r="K2367" t="inlineStr"/>
      <c r="L2367" t="inlineStr"/>
      <c r="M2367" t="inlineStr"/>
      <c r="N2367" t="inlineStr"/>
      <c r="O2367">
        <f>(1-Summary!$B$11)*S2367+Summary!$B$11*U2367</f>
        <v/>
      </c>
      <c r="P2367">
        <f>IF(B2387=0,0,O2367/B2387)</f>
        <v/>
      </c>
      <c r="Q2367">
        <f>IFERROR(1/IF(Inputs!$B$38="pvp",15,MAX(0.1,Skills!D17-IF(Skills!E17=TRUE,Inputs!$B$32,0))),0)</f>
        <v/>
      </c>
      <c r="R2367" t="n">
        <v>0</v>
      </c>
      <c r="S2367" t="n">
        <v>0</v>
      </c>
      <c r="U2367" t="n">
        <v>0</v>
      </c>
    </row>
    <row r="2368">
      <c r="A2368">
        <f>Skills!A18</f>
        <v/>
      </c>
      <c r="B2368">
        <f>Skills!B18</f>
        <v/>
      </c>
      <c r="C2368">
        <f>Inputs!$B$3&gt;=43</f>
        <v/>
      </c>
      <c r="D2368">
        <f>IF(Skills!C18=1,60+Inputs!$B$25+Inputs!$B$29,IF(Skills!C18=2,90+Inputs!$B$26+Inputs!$B$29,IF(Skills!C18=3,120+Inputs!$B$27+Inputs!$B$29,MAX(0,(Inputs!$B$3-100)*3)+Inputs!$B$28+Inputs!$B$29)))</f>
        <v/>
      </c>
      <c r="E2368">
        <f>INDEX(FactorTable!$B$2:$Y$301, MATCH(ROUND(MIN(300,MAX(1,D2368)),0), FactorTable!$A$2:$A$301,0), Skills!L18+1)</f>
        <v/>
      </c>
      <c r="F2368">
        <f>IF(Skills!M18=TRUE,(Skills!K18/10)*(E2368/1000),Skills!K18/10)+Skills!N18</f>
        <v/>
      </c>
      <c r="G2368">
        <f>Calc!G18</f>
        <v/>
      </c>
      <c r="H2368">
        <f>Calc!H18</f>
        <v/>
      </c>
      <c r="I2368">
        <f>IF(Skills!T18&lt;&gt;"",1+(Skills!T18/10)*(Z2353/1000)/100,1)</f>
        <v/>
      </c>
      <c r="J2368" t="inlineStr"/>
      <c r="K2368" t="inlineStr"/>
      <c r="L2368" t="inlineStr"/>
      <c r="M2368" t="inlineStr"/>
      <c r="N2368" t="inlineStr"/>
      <c r="O2368">
        <f>(1-Summary!$B$11)*S2368+Summary!$B$11*U2368</f>
        <v/>
      </c>
      <c r="P2368">
        <f>IF(B2387=0,0,O2368/B2387)</f>
        <v/>
      </c>
      <c r="Q2368">
        <f>IFERROR(1/IF(Inputs!$B$38="pvp",15,MAX(0.1,Skills!D18-IF(Skills!E18=TRUE,Inputs!$B$32,0))),0)</f>
        <v/>
      </c>
      <c r="R2368" t="n">
        <v>0</v>
      </c>
      <c r="S2368" t="n">
        <v>0</v>
      </c>
      <c r="U2368" t="n">
        <v>0</v>
      </c>
    </row>
    <row r="2369">
      <c r="A2369">
        <f>Skills!A19</f>
        <v/>
      </c>
      <c r="B2369">
        <f>Skills!B19</f>
        <v/>
      </c>
      <c r="C2369">
        <f>Inputs!$B$3&gt;=50</f>
        <v/>
      </c>
      <c r="D2369">
        <f>IF(Skills!C19=1,60+Inputs!$B$25+Inputs!$B$29,IF(Skills!C19=2,90+Inputs!$B$26+Inputs!$B$29,IF(Skills!C19=3,120+Inputs!$B$27+Inputs!$B$29,MAX(0,(Inputs!$B$3-100)*3)+Inputs!$B$28+Inputs!$B$29)))</f>
        <v/>
      </c>
      <c r="E2369">
        <f>INDEX(FactorTable!$B$2:$Y$301, MATCH(ROUND(MIN(300,MAX(1,D2369)),0), FactorTable!$A$2:$A$301,0), Skills!L19+1)</f>
        <v/>
      </c>
      <c r="F2369">
        <f>IF(Skills!M19=TRUE,(Skills!K19/10)*(E2369/1000),Skills!K19/10)+Skills!N19</f>
        <v/>
      </c>
      <c r="G2369">
        <f>Calc!G19</f>
        <v/>
      </c>
      <c r="H2369">
        <f>Calc!H19</f>
        <v/>
      </c>
      <c r="I2369">
        <f>IF(Skills!T19&lt;&gt;"",1+(Skills!T19/10)*(Z2353/1000)/100,1)</f>
        <v/>
      </c>
      <c r="J2369" t="inlineStr"/>
      <c r="K2369" t="inlineStr"/>
      <c r="L2369" t="inlineStr"/>
      <c r="M2369" t="inlineStr"/>
      <c r="N2369" t="inlineStr"/>
      <c r="O2369">
        <f>(1-Summary!$B$11)*S2369+Summary!$B$11*U2369</f>
        <v/>
      </c>
      <c r="P2369">
        <f>IF(B2387=0,0,O2369/B2387)</f>
        <v/>
      </c>
      <c r="Q2369">
        <f>IFERROR(1/IF(Inputs!$B$38="pvp",15,MAX(0.1,Skills!D19-IF(Skills!E19=TRUE,Inputs!$B$32,0))),0)</f>
        <v/>
      </c>
      <c r="R2369" t="n">
        <v>0</v>
      </c>
      <c r="S2369" t="n">
        <v>0</v>
      </c>
      <c r="U2369" t="n">
        <v>0</v>
      </c>
    </row>
    <row r="2370">
      <c r="A2370">
        <f>Skills!A20</f>
        <v/>
      </c>
      <c r="B2370">
        <f>Skills!B20</f>
        <v/>
      </c>
      <c r="C2370">
        <f>Inputs!$B$3&gt;=74</f>
        <v/>
      </c>
      <c r="D2370">
        <f>IF(Skills!C20=1,60+Inputs!$B$25+Inputs!$B$29,IF(Skills!C20=2,90+Inputs!$B$26+Inputs!$B$29,IF(Skills!C20=3,120+Inputs!$B$27+Inputs!$B$29,MAX(0,(Inputs!$B$3-100)*3)+Inputs!$B$28+Inputs!$B$29)))</f>
        <v/>
      </c>
      <c r="E2370">
        <f>INDEX(FactorTable!$B$2:$Y$301, MATCH(ROUND(MIN(300,MAX(1,D2370)),0), FactorTable!$A$2:$A$301,0), Skills!L20+1)</f>
        <v/>
      </c>
      <c r="F2370">
        <f>IF(Skills!M20=TRUE,(Skills!K20/10)*(E2370/1000),Skills!K20/10)+Skills!N20</f>
        <v/>
      </c>
      <c r="G2370">
        <f>Calc!G20</f>
        <v/>
      </c>
      <c r="H2370">
        <f>Calc!H20</f>
        <v/>
      </c>
      <c r="I2370">
        <f>IF(Skills!T20&lt;&gt;"",1+(Skills!T20/10)*(Z2353/1000)/100,1)</f>
        <v/>
      </c>
      <c r="J2370" t="inlineStr"/>
      <c r="K2370" t="inlineStr"/>
      <c r="L2370" t="inlineStr"/>
      <c r="M2370" t="inlineStr"/>
      <c r="N2370" t="inlineStr"/>
      <c r="O2370">
        <f>(1-Summary!$B$11)*S2370+Summary!$B$11*U2370</f>
        <v/>
      </c>
      <c r="P2370">
        <f>IF(B2387=0,0,O2370/B2387)</f>
        <v/>
      </c>
      <c r="Q2370">
        <f>IFERROR(1/IF(Inputs!$B$38="pvp",15,MAX(0.1,Skills!D20-IF(Skills!E20=TRUE,Inputs!$B$32,0))),0)</f>
        <v/>
      </c>
      <c r="R2370" t="n">
        <v>0</v>
      </c>
      <c r="S2370" t="n">
        <v>0</v>
      </c>
      <c r="U2370" t="n">
        <v>0</v>
      </c>
    </row>
    <row r="2371">
      <c r="A2371">
        <f>Skills!A21</f>
        <v/>
      </c>
      <c r="B2371">
        <f>Skills!B21</f>
        <v/>
      </c>
      <c r="C2371">
        <f>Inputs!$B$3&gt;=74</f>
        <v/>
      </c>
      <c r="D2371">
        <f>IF(Skills!C21=1,60+Inputs!$B$25+Inputs!$B$29,IF(Skills!C21=2,90+Inputs!$B$26+Inputs!$B$29,IF(Skills!C21=3,120+Inputs!$B$27+Inputs!$B$29,MAX(0,(Inputs!$B$3-100)*3)+Inputs!$B$28+Inputs!$B$29)))</f>
        <v/>
      </c>
      <c r="E2371">
        <f>INDEX(FactorTable!$B$2:$Y$301, MATCH(ROUND(MIN(300,MAX(1,D2371)),0), FactorTable!$A$2:$A$301,0), Skills!L21+1)</f>
        <v/>
      </c>
      <c r="F2371">
        <f>IF(Skills!M21=TRUE,(Skills!K21/10)*(E2371/1000),Skills!K21/10)+Skills!N21</f>
        <v/>
      </c>
      <c r="G2371">
        <f>Calc!G21</f>
        <v/>
      </c>
      <c r="H2371">
        <f>Calc!H21</f>
        <v/>
      </c>
      <c r="I2371">
        <f>IF(Skills!T21&lt;&gt;"",1+(Skills!T21/10)*(Z2353/1000)/100,1)</f>
        <v/>
      </c>
      <c r="J2371" t="inlineStr"/>
      <c r="K2371" t="inlineStr"/>
      <c r="L2371" t="inlineStr"/>
      <c r="M2371" t="inlineStr"/>
      <c r="N2371" t="inlineStr"/>
      <c r="O2371">
        <f>(1-Summary!$B$11)*S2371+Summary!$B$11*U2371</f>
        <v/>
      </c>
      <c r="P2371">
        <f>IF(B2387=0,0,O2371/B2387)</f>
        <v/>
      </c>
      <c r="Q2371">
        <f>IFERROR(1/IF(Inputs!$B$38="pvp",15,MAX(0.1,Skills!D21-IF(Skills!E21=TRUE,Inputs!$B$32,0))),0)</f>
        <v/>
      </c>
      <c r="R2371" t="n">
        <v>0</v>
      </c>
      <c r="S2371" t="n">
        <v>0</v>
      </c>
      <c r="U2371" t="n">
        <v>0</v>
      </c>
    </row>
    <row r="2372">
      <c r="A2372">
        <f>Skills!A22</f>
        <v/>
      </c>
      <c r="B2372">
        <f>Skills!B22</f>
        <v/>
      </c>
      <c r="C2372">
        <f>Inputs!$B$3&gt;=117</f>
        <v/>
      </c>
      <c r="D2372">
        <f>IF(Skills!C22=1,60+Inputs!$B$25+Inputs!$B$29,IF(Skills!C22=2,90+Inputs!$B$26+Inputs!$B$29,IF(Skills!C22=3,120+Inputs!$B$27+Inputs!$B$29,MAX(0,(Inputs!$B$3-100)*3)+Inputs!$B$28+Inputs!$B$29)))</f>
        <v/>
      </c>
      <c r="E2372">
        <f>INDEX(FactorTable!$B$2:$Y$301, MATCH(ROUND(MIN(300,MAX(1,D2372)),0), FactorTable!$A$2:$A$301,0), Skills!L22+1)</f>
        <v/>
      </c>
      <c r="F2372">
        <f>IF(Skills!M22=TRUE,(Skills!K22/10)*(E2372/1000),Skills!K22/10)+Skills!N22</f>
        <v/>
      </c>
      <c r="G2372">
        <f>Calc!G22</f>
        <v/>
      </c>
      <c r="H2372">
        <f>Calc!H22</f>
        <v/>
      </c>
      <c r="I2372">
        <f>IF(Skills!T22&lt;&gt;"",1+(Skills!T22/10)*(Z2353/1000)/100,1)</f>
        <v/>
      </c>
      <c r="J2372" t="inlineStr"/>
      <c r="K2372" t="inlineStr"/>
      <c r="L2372" t="inlineStr"/>
      <c r="M2372" t="inlineStr"/>
      <c r="N2372" t="inlineStr"/>
      <c r="O2372">
        <f>(1-Summary!$B$11)*S2372+Summary!$B$11*U2372</f>
        <v/>
      </c>
      <c r="P2372">
        <f>IF(B2387=0,0,O2372/B2387)</f>
        <v/>
      </c>
      <c r="Q2372">
        <f>IFERROR(1/IF(Inputs!$B$38="pvp",15,MAX(0.1,Skills!D22-IF(Skills!E22=TRUE,Inputs!$B$32,0))),0)</f>
        <v/>
      </c>
      <c r="R2372" t="n">
        <v>0</v>
      </c>
      <c r="S2372" t="n">
        <v>0</v>
      </c>
      <c r="U2372" t="n">
        <v>0</v>
      </c>
    </row>
    <row r="2373">
      <c r="A2373">
        <f>Skills!A23</f>
        <v/>
      </c>
      <c r="B2373">
        <f>Skills!B23</f>
        <v/>
      </c>
      <c r="C2373">
        <f>Inputs!$B$3&gt;=120</f>
        <v/>
      </c>
      <c r="D2373">
        <f>IF(Skills!C23=1,60+Inputs!$B$25+Inputs!$B$29,IF(Skills!C23=2,90+Inputs!$B$26+Inputs!$B$29,IF(Skills!C23=3,120+Inputs!$B$27+Inputs!$B$29,MAX(0,(Inputs!$B$3-100)*3)+Inputs!$B$28+Inputs!$B$29)))</f>
        <v/>
      </c>
      <c r="E2373">
        <f>INDEX(FactorTable!$B$2:$Y$301, MATCH(ROUND(MIN(300,MAX(1,D2373)),0), FactorTable!$A$2:$A$301,0), Skills!L23+1)</f>
        <v/>
      </c>
      <c r="F2373">
        <f>IF(Skills!M23=TRUE,(Skills!K23/10)*(E2373/1000),Skills!K23/10)+Skills!N23</f>
        <v/>
      </c>
      <c r="G2373">
        <f>Calc!G23</f>
        <v/>
      </c>
      <c r="H2373">
        <f>Calc!H23</f>
        <v/>
      </c>
      <c r="I2373">
        <f>IF(Skills!T23&lt;&gt;"",1+(Skills!T23/10)*(Z2353/1000)/100,1)</f>
        <v/>
      </c>
      <c r="J2373" t="inlineStr"/>
      <c r="K2373" t="inlineStr"/>
      <c r="L2373" t="inlineStr"/>
      <c r="M2373" t="inlineStr"/>
      <c r="N2373" t="inlineStr"/>
      <c r="O2373">
        <f>(1-Summary!$B$11)*S2373+Summary!$B$11*U2373</f>
        <v/>
      </c>
      <c r="P2373">
        <f>IF(B2387=0,0,O2373/B2387)</f>
        <v/>
      </c>
      <c r="Q2373">
        <f>IFERROR(1/IF(Inputs!$B$38="pvp",15,MAX(0.1,Skills!D23-IF(Skills!E23=TRUE,Inputs!$B$32,0))),0)</f>
        <v/>
      </c>
      <c r="R2373" t="n">
        <v>0</v>
      </c>
      <c r="S2373" t="n">
        <v>0</v>
      </c>
      <c r="U2373" t="n">
        <v>0</v>
      </c>
    </row>
    <row r="2374">
      <c r="A2374">
        <f>Skills!A24</f>
        <v/>
      </c>
      <c r="B2374">
        <f>Skills!B24</f>
        <v/>
      </c>
      <c r="C2374">
        <f>TRUE</f>
        <v/>
      </c>
      <c r="D2374">
        <f>IF(Skills!C24=1,60+Inputs!$B$25+Inputs!$B$29,IF(Skills!C24=2,90+Inputs!$B$26+Inputs!$B$29,IF(Skills!C24=3,120+Inputs!$B$27+Inputs!$B$29,MAX(0,(Inputs!$B$3-100)*3)+Inputs!$B$28+Inputs!$B$29)))</f>
        <v/>
      </c>
      <c r="E2374">
        <f>INDEX(FactorTable!$B$2:$Y$301, MATCH(ROUND(MIN(300,MAX(1,D2374)),0), FactorTable!$A$2:$A$301,0), Skills!L24+1)</f>
        <v/>
      </c>
      <c r="F2374">
        <f>IF(Skills!M24=TRUE,(Skills!K24/10)*(E2374/1000),Skills!K24/10)+Skills!N24</f>
        <v/>
      </c>
      <c r="G2374">
        <f>Calc!G24</f>
        <v/>
      </c>
      <c r="H2374">
        <f>Calc!H24</f>
        <v/>
      </c>
      <c r="I2374">
        <f>IF(Skills!T24&lt;&gt;"",1+(Skills!T24/10)*(Z2353/1000)/100,1)</f>
        <v/>
      </c>
      <c r="J2374" t="inlineStr"/>
      <c r="K2374" t="inlineStr"/>
      <c r="L2374" t="inlineStr"/>
      <c r="M2374" t="inlineStr"/>
      <c r="N2374" t="inlineStr"/>
      <c r="O2374">
        <f>(1-Summary!$B$11)*S2374+Summary!$B$11*U2374</f>
        <v/>
      </c>
      <c r="P2374">
        <f>IF(B2387=0,0,O2374/B2387)</f>
        <v/>
      </c>
      <c r="Q2374">
        <f>IFERROR(1/IF(Inputs!$B$38="pvp",15,MAX(0.1,Skills!D24-IF(Skills!E24=TRUE,Inputs!$B$32,0))),0)</f>
        <v/>
      </c>
      <c r="R2374">
        <f>IF(AND(Inputs!$B$38&lt;&gt;"pvp",Inputs!$B$43&gt;0),IF(Inputs!$B$43&lt;=0,0,(INT(Inputs!$B$43/IF(Inputs!$B$38="pvp",15,MAX(0.1,Skills!D24-IF(Skills!E24=TRUE,Inputs!$B$32,0))))+1)),0)</f>
        <v/>
      </c>
      <c r="S2374" t="n">
        <v>0</v>
      </c>
      <c r="U2374" t="n">
        <v>0</v>
      </c>
    </row>
    <row r="2377">
      <c r="A2377" t="inlineStr">
        <is>
          <t>Average Buff Multiplier (Magic Guard + Meditation + Artifact Attack%, summed; then Infinity)</t>
        </is>
      </c>
      <c r="B2377">
        <f>(1+(IF(C2353=TRUE,F2353*IF(AND(Inputs!$B$38&lt;&gt;"pvp",Inputs!$B$43&gt;0),(((R2353-1)*(Skills!S3*(1+(Inputs!$B$34)/100))+MIN((Skills!S3*(1+(Inputs!$B$34)/100)),MAX(0,Inputs!$B$43-((R2353-1)*Skills!D3))))/Inputs!$B$43),IF(Inputs!$B$38="pvp",MIN((Skills!S3*(1+(Inputs!$B$34)/100)),15)/15,(Skills!S3*(1+(Inputs!$B$34)/100))/Skills!D3)),0)+IF(C2354=TRUE,F2354*IF(AND(Inputs!$B$38&lt;&gt;"pvp",Inputs!$B$43&gt;0),(((R2354-1)*(Skills!S4*(1+(Inputs!$B$34)/100))+MIN((Skills!S4*(1+(Inputs!$B$34)/100)),MAX(0,Inputs!$B$43-((R2354-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2366=TRUE,(1+F2366*IF(AND(Inputs!$B$38&lt;&gt;"pvp",Inputs!$B$43&gt;0),(((R2366-1)*(Skills!S16*(1+(Inputs!$B$34)/100))+MIN((Skills!S16*(1+(Inputs!$B$34)/100)),MAX(0,Inputs!$B$43-((R2366-1)*Skills!D16))))/Inputs!$B$43),IF(Inputs!$B$38="pvp",MIN((Skills!S16*(1+(Inputs!$B$34)/100)),15)/15,(Skills!S16*(1+(Inputs!$B$34)/100))/Skills!D16))/100),1)</f>
        <v/>
      </c>
    </row>
    <row r="2378">
      <c r="A2378" t="inlineStr">
        <is>
          <t>Monster Damage Taken Bonus % (Freezing Breath - Weaken + Elemental Reset + Artifact Enemy Damage Taken, summed)</t>
        </is>
      </c>
      <c r="B2378">
        <f>IF(Inputs!$B$3&gt;=118,15*IF(Inputs!$B$38="pvp",MIN((30*(1+(Inputs!$B$34)/100)),15)/15,(30*(1+(Inputs!$B$34)/100))/Skills!D8),0)+IF(C2364=TRUE,F2364,0)+(IF(AND(ArtifactsInput!$M$35,Inputs!$B$4&lt;&gt;"Chapter Hunt"),CHOOSE(ArtifactsInput!$N$35+1,15,18,21,24,27,30)*(1-EXP(-(0.2*B2381)*5)),0)+IF(AND(ArtifactsInput!$M$22,Inputs!$B$4&lt;&gt;"Chapter Hunt"),CHOOSE(ArtifactsInput!$N$22+1,10,12,14,16,18,20)*((0*(((0.15*B2381*5))^0/1)+1*(((0.15*B2381*5))^1/1)+2*(((0.15*B2381*5))^2/2)+3*(((0.15*B2381*5))^3/6)+4*(((0.15*B2381*5))^4/24)+5*(((0.15*B2381*5))^5/120))/((((0.15*B2381*5))^0/1)+(((0.15*B2381*5))^1/1)+(((0.15*B2381*5))^2/2)+(((0.15*B2381*5))^3/6)+(((0.15*B2381*5))^4/24)+(((0.15*B2381*5))^5/120))),0))</f>
        <v/>
      </c>
    </row>
    <row r="2379">
      <c r="A2379" t="inlineStr">
        <is>
          <t>Damage % Bonus (Frozen Break + Frost Clutch, flat)</t>
        </is>
      </c>
      <c r="B2379">
        <f>IF(Inputs!$B$3&gt;=66,15,0)+IF(Inputs!$B$3&gt;=98,10,0)+IF(Inputs!$B$3&gt;=125,20,0)</f>
        <v/>
      </c>
    </row>
    <row r="2380">
      <c r="A2380" t="inlineStr">
        <is>
          <t>Attack Speed Bonus % (MP Eater - MP Boost, always-on + Nimble Feet, duty-cycle averaged)</t>
        </is>
      </c>
      <c r="B2380">
        <f>IF(C2363=TRUE,F2363+(F2367-Calc!F17),0)+((C2374=TRUE)*F2374*IF(AND(Inputs!$B$38&lt;&gt;"pvp",Inputs!$B$43&gt;0),(((R2374-1)*(Skills!S24*(1+(Inputs!$B$34)/100))+MIN((Skills!S24*(1+(Inputs!$B$34)/100)),MAX(0,Inputs!$B$43-((R2374-1)*Skills!D24))))/Inputs!$B$43),IF(Inputs!$B$38="pvp",MIN((Skills!S24*(1+(Inputs!$B$34)/100)),15)/15,(Skills!S24*(1+(Inputs!$B$34)/100))/Skills!D24)))</f>
        <v/>
      </c>
    </row>
    <row r="2381">
      <c r="A2381" t="inlineStr">
        <is>
          <t>Actions Per Second</t>
        </is>
      </c>
      <c r="B2381">
        <f>1+MIN(150,150*(1-(1-(Inputs!$B$11+(ArtifactsInput!$M$15-ArtifactsInput!$M$15)*CHOOSE(ArtifactsInput!$N$15+1,8,9.6,11.2,12.8,14.4,16))/150)*(1-B2380/150)))/100</f>
        <v/>
      </c>
    </row>
    <row r="2382">
      <c r="A2382" t="inlineStr">
        <is>
          <t>Skill + Buff Cast Rate</t>
        </is>
      </c>
      <c r="B2382">
        <f>IF(AND(Inputs!$B$38&lt;&gt;"pvp",Inputs!$B$43&gt;0),SUMPRODUCT((Skills!E2:E24=TRUE)*(C2352:C2374=TRUE)*R2352:R2374)/Inputs!$B$43,SUMPRODUCT((Skills!E2:E24=TRUE)*(C2352:C2374=TRUE)*Q2352:Q2374))</f>
        <v/>
      </c>
    </row>
    <row r="2383">
      <c r="A2383" t="inlineStr">
        <is>
          <t>Chain Lightning Casts Per Second</t>
        </is>
      </c>
      <c r="B2383">
        <f>MAX(0,B2381-B2382)</f>
        <v/>
      </c>
    </row>
    <row r="2384">
      <c r="A2384" t="inlineStr">
        <is>
          <t>Buff-Casting Startup Delay (s, fixed-duration only)</t>
        </is>
      </c>
      <c r="B2384">
        <f>IF(AND(Inputs!$B$38&lt;&gt;"pvp",Inputs!$B$43&gt;0),SUMPRODUCT((Skills!S2:S24&gt;0)*(Skills!E2:E24=TRUE)*(C2352:C2374=TRUE))/B2381,0)</f>
        <v/>
      </c>
    </row>
    <row r="2385">
      <c r="A2385" t="inlineStr">
        <is>
          <t>Boss-Only Total DPS (this block's swept value)</t>
        </is>
      </c>
      <c r="B2385">
        <f>SUM(S2352:S2374)</f>
        <v/>
      </c>
    </row>
    <row r="2386">
      <c r="A2386" t="inlineStr">
        <is>
          <t>Normal-Only Total DPS (this block's swept value)</t>
        </is>
      </c>
      <c r="B2386">
        <f>SUM(U2352:U2374)</f>
        <v/>
      </c>
    </row>
    <row r="2387">
      <c r="A2387" s="6" t="inlineStr">
        <is>
          <t>TOTAL DPS</t>
        </is>
      </c>
      <c r="B2387" s="6">
        <f>SUM(O2352:O2374)</f>
        <v/>
      </c>
    </row>
    <row r="2390">
      <c r="A2390" s="6" t="inlineStr">
        <is>
          <t>Stat: Reindeer's Spear (Equip)</t>
        </is>
      </c>
    </row>
    <row r="2391">
      <c r="A2391" s="5" t="inlineStr">
        <is>
          <t>Key</t>
        </is>
      </c>
      <c r="B2391" s="5" t="inlineStr">
        <is>
          <t>Name</t>
        </is>
      </c>
      <c r="C2391" s="5" t="inlineStr">
        <is>
          <t>Unlocked</t>
        </is>
      </c>
      <c r="D2391" s="5" t="inlineStr">
        <is>
          <t>InputLevel</t>
        </is>
      </c>
      <c r="E2391" s="5" t="inlineStr">
        <is>
          <t>Factor</t>
        </is>
      </c>
      <c r="F2391" s="5" t="inlineStr">
        <is>
          <t>CoefficientPercent</t>
        </is>
      </c>
      <c r="G2391" s="5" t="inlineStr">
        <is>
          <t>EffectiveHits</t>
        </is>
      </c>
      <c r="H2391" s="5" t="inlineStr">
        <is>
          <t>ProcProbability</t>
        </is>
      </c>
      <c r="I2391" s="5" t="inlineStr">
        <is>
          <t>MapleHeroMultiplier</t>
        </is>
      </c>
      <c r="J2391" s="5" t="inlineStr">
        <is>
          <t>BaseDamage</t>
        </is>
      </c>
      <c r="K2391" s="5" t="inlineStr">
        <is>
          <t>BaseHitDamage</t>
        </is>
      </c>
      <c r="L2391" s="5" t="inlineStr">
        <is>
          <t>NonCritAvg</t>
        </is>
      </c>
      <c r="M2391" s="5" t="inlineStr">
        <is>
          <t>CritAvg</t>
        </is>
      </c>
      <c r="N2391" s="5" t="inlineStr">
        <is>
          <t>ExpectedDamage(perHit)</t>
        </is>
      </c>
      <c r="O2391" s="5" t="inlineStr">
        <is>
          <t>DPS</t>
        </is>
      </c>
      <c r="P2391" s="5" t="inlineStr">
        <is>
          <t>% of Total</t>
        </is>
      </c>
      <c r="R2391" t="inlineStr">
        <is>
          <t>helpers</t>
        </is>
      </c>
    </row>
    <row r="2392">
      <c r="A2392">
        <f>Skills!A2</f>
        <v/>
      </c>
      <c r="B2392">
        <f>Skills!B2</f>
        <v/>
      </c>
      <c r="C2392">
        <f>Inputs!$B$3&gt;=100</f>
        <v/>
      </c>
      <c r="D2392" t="inlineStr"/>
      <c r="E2392" t="inlineStr"/>
      <c r="F2392">
        <f>T2394+Skills!N2</f>
        <v/>
      </c>
      <c r="G2392">
        <f>Calc!G2</f>
        <v/>
      </c>
      <c r="H2392">
        <f>Calc!H2</f>
        <v/>
      </c>
      <c r="I2392">
        <f>IF(Skills!T2&lt;&gt;"",1+(Skills!T2/10)*(Z2393/1000)/100,1)</f>
        <v/>
      </c>
      <c r="J2392">
        <f>((Inputs!$B$6*(1+Inputs!$B$7/100))+(((Inputs!$B$12*(1+Inputs!$B$13/100))-(Inputs!$B$12*(1+Inputs!$B$13/100)))+0.25*(Inputs!$B$14-Inputs!$B$14))*(1+Inputs!$B$7/100))*(F2392/100)</f>
        <v/>
      </c>
      <c r="K2392">
        <f>J2392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2="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F2408-Calc!F18),(Inputs!$B$23+(IF(ArtifactsInput!$M$15,CHOOSE(ArtifactsInput!$N$15+1,25,30,35,40,45,50)/100*(Inputs!$B$11-Inputs!$B$11),0))))/100+(Inputs!$B$23+(IF(ArtifactsInput!$M$15,CHOOSE(ArtifactsInput!$N$15+1,25,30,35,40,45,50)/100*(Inputs!$B$11-Inputs!$B$11),0)))/100)/2</f>
        <v/>
      </c>
      <c r="M2392">
        <f>L2392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(1-Summary!$B$11)*S2392+Summary!$B$11*U2392</f>
        <v/>
      </c>
      <c r="P2392">
        <f>IF(B2427=0,0,O2392/B2427)</f>
        <v/>
      </c>
      <c r="Q2392">
        <f>IFERROR(1/IF(Inputs!$B$38="pvp",15,MAX(0.1,Skills!D2-IF(Skills!E2=TRUE,Inputs!$B$32,0))),0)</f>
        <v/>
      </c>
      <c r="R2392" t="n">
        <v>0</v>
      </c>
      <c r="S2392">
        <f>IF(C2392,(Skills!F2*N2392*B2423)*IF(Inputs!$B$38="pvp",1,1+(Inputs!$B$20+Skills!O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2392*(1-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92">
        <f>MAX(0,(Inputs!$B$3-100)*3)+Inputs!$B$28+Inputs!$B$29</f>
        <v/>
      </c>
      <c r="U2392">
        <f>IF(C2392,(Skills!F2*N2392*B2423)*IF(Inputs!$B$38="pvp",1,(1+(Inputs!$B$21+Skills!P2+B2418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92">
        <f>MAX(0,(Inputs!$B$3-100)*3)+Inputs!$B$28+Inputs!$B$29</f>
        <v/>
      </c>
    </row>
    <row r="2393">
      <c r="A2393">
        <f>Skills!A3</f>
        <v/>
      </c>
      <c r="B2393">
        <f>Skills!B3</f>
        <v/>
      </c>
      <c r="C2393">
        <f>Inputs!$B$3&gt;=15</f>
        <v/>
      </c>
      <c r="D2393">
        <f>IF(Skills!C3=1,60+Inputs!$B$25+Inputs!$B$29,IF(Skills!C3=2,90+Inputs!$B$26+Inputs!$B$29,IF(Skills!C3=3,120+Inputs!$B$27+Inputs!$B$29,MAX(0,(Inputs!$B$3-100)*3)+Inputs!$B$28+Inputs!$B$29)))</f>
        <v/>
      </c>
      <c r="E2393">
        <f>INDEX(FactorTable!$B$2:$Y$301, MATCH(ROUND(MIN(300,MAX(1,D2393)),0), FactorTable!$A$2:$A$301,0), Skills!L3+1)</f>
        <v/>
      </c>
      <c r="F2393">
        <f>IF(Skills!M3=TRUE,(Skills!K3/10)*(E2393/1000),Skills!K3/10)+Skills!N3</f>
        <v/>
      </c>
      <c r="G2393">
        <f>Calc!G3</f>
        <v/>
      </c>
      <c r="H2393">
        <f>Calc!H3</f>
        <v/>
      </c>
      <c r="I2393">
        <f>IF(Skills!T3&lt;&gt;"",1+(Skills!T3/10)*(Z2393/1000)/100,1)</f>
        <v/>
      </c>
      <c r="J2393" t="inlineStr"/>
      <c r="K2393" t="inlineStr"/>
      <c r="L2393" t="inlineStr"/>
      <c r="M2393" t="inlineStr"/>
      <c r="N2393" t="inlineStr"/>
      <c r="O2393">
        <f>(1-Summary!$B$11)*S2393+Summary!$B$11*U2393</f>
        <v/>
      </c>
      <c r="P2393">
        <f>IF(B2427=0,0,O2393/B2427)</f>
        <v/>
      </c>
      <c r="Q2393">
        <f>IFERROR(1/IF(Inputs!$B$38="pvp",15,MAX(0.1,Skills!D3-IF(Skills!E3=TRUE,Inputs!$B$32,0))),0)</f>
        <v/>
      </c>
      <c r="R2393">
        <f>IF(AND(Inputs!$B$38&lt;&gt;"pvp",Inputs!$B$43&gt;0),IF(Inputs!$B$43&lt;=0,0,(INT(Inputs!$B$43/IF(Inputs!$B$38="pvp",15,MAX(0.1,Skills!D3-IF(Skills!E3=TRUE,Inputs!$B$32,0))))+1)),0)</f>
        <v/>
      </c>
      <c r="S2393" t="n">
        <v>0</v>
      </c>
      <c r="T2393">
        <f>INDEX(FactorTable!$B$2:$Y$301, MATCH(ROUND(MIN(300,MAX(1,T2392)),0), FactorTable!$A$2:$A$301,0), 22)</f>
        <v/>
      </c>
      <c r="U2393" t="n">
        <v>0</v>
      </c>
      <c r="Z2393">
        <f>INDEX(FactorTable!$B$2:$Y$301, MATCH(ROUND(MIN(300,MAX(1,Z2392)),0), FactorTable!$A$2:$A$301,0), 24)</f>
        <v/>
      </c>
    </row>
    <row r="2394">
      <c r="A2394">
        <f>Skills!A4</f>
        <v/>
      </c>
      <c r="B2394">
        <f>Skills!B4</f>
        <v/>
      </c>
      <c r="C2394">
        <f>Inputs!$B$3&gt;=40</f>
        <v/>
      </c>
      <c r="D2394">
        <f>IF(Skills!C4=1,60+Inputs!$B$25+Inputs!$B$29,IF(Skills!C4=2,90+Inputs!$B$26+Inputs!$B$29,IF(Skills!C4=3,120+Inputs!$B$27+Inputs!$B$29,MAX(0,(Inputs!$B$3-100)*3)+Inputs!$B$28+Inputs!$B$29)))</f>
        <v/>
      </c>
      <c r="E2394">
        <f>INDEX(FactorTable!$B$2:$Y$301, MATCH(ROUND(MIN(300,MAX(1,D2394)),0), FactorTable!$A$2:$A$301,0), Skills!L4+1)</f>
        <v/>
      </c>
      <c r="F2394">
        <f>IF(Skills!M4=TRUE,(Skills!K4/10)*(E2394/1000),Skills!K4/10)+Skills!N4</f>
        <v/>
      </c>
      <c r="G2394">
        <f>Calc!G4</f>
        <v/>
      </c>
      <c r="H2394">
        <f>Calc!H4</f>
        <v/>
      </c>
      <c r="I2394">
        <f>IF(Skills!T4&lt;&gt;"",1+(Skills!T4/10)*(Z2393/1000)/100,1)</f>
        <v/>
      </c>
      <c r="J2394" t="inlineStr"/>
      <c r="K2394" t="inlineStr"/>
      <c r="L2394" t="inlineStr"/>
      <c r="M2394" t="inlineStr"/>
      <c r="N2394" t="inlineStr"/>
      <c r="O2394">
        <f>(1-Summary!$B$11)*S2394+Summary!$B$11*U2394</f>
        <v/>
      </c>
      <c r="P2394">
        <f>IF(B2427=0,0,O2394/B2427)</f>
        <v/>
      </c>
      <c r="Q2394">
        <f>IFERROR(1/IF(Inputs!$B$38="pvp",15,MAX(0.1,Skills!D4-IF(Skills!E4=TRUE,Inputs!$B$32,0))),0)</f>
        <v/>
      </c>
      <c r="R2394">
        <f>IF(AND(Inputs!$B$38&lt;&gt;"pvp",Inputs!$B$43&gt;0),IF(Inputs!$B$43&lt;=0,0,(INT(Inputs!$B$43/IF(Inputs!$B$38="pvp",15,MAX(0.1,Skills!D4-IF(Skills!E4=TRUE,Inputs!$B$32,0))))+1)),0)</f>
        <v/>
      </c>
      <c r="S2394" t="n">
        <v>0</v>
      </c>
      <c r="T2394">
        <f>290*T2393/1000</f>
        <v/>
      </c>
      <c r="U2394" t="n">
        <v>0</v>
      </c>
    </row>
    <row r="2395">
      <c r="A2395">
        <f>Skills!A5</f>
        <v/>
      </c>
      <c r="B2395">
        <f>Skills!B5</f>
        <v/>
      </c>
      <c r="C2395">
        <f>Inputs!$B$3&gt;=38</f>
        <v/>
      </c>
      <c r="D2395">
        <f>IF(Skills!C5=1,60+Inputs!$B$25+Inputs!$B$29,IF(Skills!C5=2,90+Inputs!$B$26+Inputs!$B$29,IF(Skills!C5=3,120+Inputs!$B$27+Inputs!$B$29,MAX(0,(Inputs!$B$3-100)*3)+Inputs!$B$28+Inputs!$B$29)))</f>
        <v/>
      </c>
      <c r="E2395">
        <f>INDEX(FactorTable!$B$2:$Y$301, MATCH(ROUND(MIN(300,MAX(1,D2395)),0), FactorTable!$A$2:$A$301,0), Skills!L5+1)</f>
        <v/>
      </c>
      <c r="F2395">
        <f>IF(Skills!M5=TRUE,(Skills!K5/10)*(E2395/1000),Skills!K5/10)+Skills!N5</f>
        <v/>
      </c>
      <c r="G2395">
        <f>Calc!G5</f>
        <v/>
      </c>
      <c r="H2395">
        <f>Calc!H5</f>
        <v/>
      </c>
      <c r="I2395">
        <f>IF(Skills!T5&lt;&gt;"",1+(Skills!T5/10)*(Z2393/1000)/100,1)</f>
        <v/>
      </c>
      <c r="J2395">
        <f>((Inputs!$B$6*(1+Inputs!$B$7/100))+(((Inputs!$B$12*(1+Inputs!$B$13/100))-(Inputs!$B$12*(1+Inputs!$B$13/100)))+0.25*(Inputs!$B$14-Inputs!$B$14))*(1+Inputs!$B$7/100))*(F2395/100)</f>
        <v/>
      </c>
      <c r="K2395">
        <f>J2395*(1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5="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F2408-Calc!F18),(Inputs!$B$23+(IF(ArtifactsInput!$M$15,CHOOSE(ArtifactsInput!$N$15+1,25,30,35,40,45,50)/100*(Inputs!$B$11-Inputs!$B$11),0))))/100+(Inputs!$B$23+(IF(ArtifactsInput!$M$15,CHOOSE(ArtifactsInput!$N$15+1,25,30,35,40,45,50)/100*(Inputs!$B$11-Inputs!$B$11),0)))/100)/2</f>
        <v/>
      </c>
      <c r="M2395">
        <f>L2395*(1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(1-Summary!$B$11)*S2395+Summary!$B$11*U2395</f>
        <v/>
      </c>
      <c r="P2395">
        <f>IF(B2427=0,0,O2395/B2427)</f>
        <v/>
      </c>
      <c r="Q2395">
        <f>IFERROR(1/IF(Inputs!$B$38="pvp",15,MAX(0.1,Skills!D5-IF(Skills!E5=TRUE,Inputs!$B$32,0))),0)</f>
        <v/>
      </c>
      <c r="R2395">
        <f>IF(AND(Inputs!$B$38&lt;&gt;"pvp",Inputs!$B$43&gt;0),IF(MAX(0,Inputs!$B$43-B2424)&lt;=0,0,(INT(MAX(0,Inputs!$B$43-B2424)/IF(Inputs!$B$38="pvp",15,MAX(0.1,Skills!D5-IF(Skills!E5=TRUE,Inputs!$B$32,0))))+1)),0)</f>
        <v/>
      </c>
      <c r="S2395">
        <f>IF(C2395,(H2395*N2395*IF(AND(Inputs!$B$38&lt;&gt;"pvp",Inputs!$B$43&gt;0),((Skills!F5*((R2395-1)*IF(Skills!G5&gt;0,Skills!H5/Skills!G5,1)+IF(Skills!G5&gt;0,MIN(Skills!H5,MAX(0,MAX(0,Inputs!$B$43-B2424)-((R2395-1)*IF(Inputs!$B$38="pvp",15,MAX(0.1,Skills!D5-IF(Skills!E5=TRUE,Inputs!$B$32,0))))))/Skills!G5,1)))/Inputs!$B$43),G2395*Q2395))*IF(Inputs!$B$38="pvp",1,1+(Inputs!$B$20+Skills!O5+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2395*(1-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IF(C2395,(H2395*N2395*IF(AND(Inputs!$B$38&lt;&gt;"pvp",Inputs!$B$43&gt;0),((Skills!F5*((R2395-1)*IF(Skills!G5&gt;0,Skills!H5/Skills!G5,1)+IF(Skills!G5&gt;0,MIN(Skills!H5,MAX(0,MAX(0,Inputs!$B$43-B2424)-((R2395-1)*IF(Inputs!$B$38="pvp",15,MAX(0.1,Skills!D5-IF(Skills!E5=TRUE,Inputs!$B$32,0))))))/Skills!G5,1)))/Inputs!$B$43),G2395*Q2395))*IF(Inputs!$B$38="pvp",1,(1+(Inputs!$B$21+Skills!P5+B2418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Skills!A6</f>
        <v/>
      </c>
      <c r="B2396">
        <f>Skills!B6</f>
        <v/>
      </c>
      <c r="C2396">
        <f>Inputs!$B$3&gt;=63</f>
        <v/>
      </c>
      <c r="D2396">
        <f>IF(Skills!C6=1,60+Inputs!$B$25+Inputs!$B$29,IF(Skills!C6=2,90+Inputs!$B$26+Inputs!$B$29,IF(Skills!C6=3,120+Inputs!$B$27+Inputs!$B$29,MAX(0,(Inputs!$B$3-100)*3)+Inputs!$B$28+Inputs!$B$29)))</f>
        <v/>
      </c>
      <c r="E2396">
        <f>INDEX(FactorTable!$B$2:$Y$301, MATCH(ROUND(MIN(300,MAX(1,D2396)),0), FactorTable!$A$2:$A$301,0), Skills!L6+1)</f>
        <v/>
      </c>
      <c r="F2396">
        <f>IF(Skills!M6=TRUE,(Skills!K6/10)*(E2396/1000),Skills!K6/10)+Skills!N6</f>
        <v/>
      </c>
      <c r="G2396">
        <f>Calc!G6</f>
        <v/>
      </c>
      <c r="H2396">
        <f>Calc!H6</f>
        <v/>
      </c>
      <c r="I2396">
        <f>IF(Skills!T6&lt;&gt;"",1+(Skills!T6/10)*(Z2393/1000)/100,1)</f>
        <v/>
      </c>
      <c r="J2396">
        <f>((Inputs!$B$6*(1+Inputs!$B$7/100))+(((Inputs!$B$12*(1+Inputs!$B$13/100))-(Inputs!$B$12*(1+Inputs!$B$13/100)))+0.25*(Inputs!$B$14-Inputs!$B$14))*(1+Inputs!$B$7/100))*(F2396/100)</f>
        <v/>
      </c>
      <c r="K2396">
        <f>J2396*(1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6="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F2408-Calc!F18),(Inputs!$B$23+(IF(ArtifactsInput!$M$15,CHOOSE(ArtifactsInput!$N$15+1,25,30,35,40,45,50)/100*(Inputs!$B$11-Inputs!$B$11),0))))/100+(Inputs!$B$23+(IF(ArtifactsInput!$M$15,CHOOSE(ArtifactsInput!$N$15+1,25,30,35,40,45,50)/100*(Inputs!$B$11-Inputs!$B$11),0)))/100)/2</f>
        <v/>
      </c>
      <c r="M2396">
        <f>L2396*(1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(1-Summary!$B$11)*S2396+Summary!$B$11*U2396</f>
        <v/>
      </c>
      <c r="P2396">
        <f>IF(B2427=0,0,O2396/B2427)</f>
        <v/>
      </c>
      <c r="Q2396">
        <f>IFERROR(1/IF(Inputs!$B$38="pvp",15,MAX(0.1,Skills!D6-IF(Skills!E6=TRUE,Inputs!$B$32,0))),0)</f>
        <v/>
      </c>
      <c r="R2396">
        <f>IF(AND(Inputs!$B$38&lt;&gt;"pvp",Inputs!$B$43&gt;0),IF(MAX(0,Inputs!$B$43-B2424)&lt;=0,0,(INT(MAX(0,Inputs!$B$43-B2424)/IF(Inputs!$B$38="pvp",15,MAX(0.1,Skills!D6-IF(Skills!E6=TRUE,Inputs!$B$32,0))))+1)),0)</f>
        <v/>
      </c>
      <c r="S2396">
        <f>IF(C2396,(H2396*N2396*IF(AND(Inputs!$B$38&lt;&gt;"pvp",Inputs!$B$43&gt;0),((Skills!F6*((R2396-1)*IF(Skills!G6&gt;0,Skills!H6/Skills!G6,1)+IF(Skills!G6&gt;0,MIN(Skills!H6,MAX(0,MAX(0,Inputs!$B$43-B2424)-((R2396-1)*IF(Inputs!$B$38="pvp",15,MAX(0.1,Skills!D6-IF(Skills!E6=TRUE,Inputs!$B$32,0))))))/Skills!G6,1)))/Inputs!$B$43),G2396*Q2396))*IF(Inputs!$B$38="pvp",1,1+(Inputs!$B$20+Skills!O6+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2396*(1-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F(C2396,(H2396*N2396*IF(AND(Inputs!$B$38&lt;&gt;"pvp",Inputs!$B$43&gt;0),((Skills!F6*((R2396-1)*IF(Skills!G6&gt;0,Skills!H6/Skills!G6,1)+IF(Skills!G6&gt;0,MIN(Skills!H6,MAX(0,MAX(0,Inputs!$B$43-B2424)-((R2396-1)*IF(Inputs!$B$38="pvp",15,MAX(0.1,Skills!D6-IF(Skills!E6=TRUE,Inputs!$B$32,0))))))/Skills!G6,1)))/Inputs!$B$43),G2396*Q2396))*IF(Inputs!$B$38="pvp",1,(1+(Inputs!$B$21+Skills!P6+B2418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Skills!A7</f>
        <v/>
      </c>
      <c r="B2397">
        <f>Skills!B7</f>
        <v/>
      </c>
      <c r="C2397">
        <f>Inputs!$B$3&gt;=69</f>
        <v/>
      </c>
      <c r="D2397">
        <f>IF(Skills!C7=1,60+Inputs!$B$25+Inputs!$B$29,IF(Skills!C7=2,90+Inputs!$B$26+Inputs!$B$29,IF(Skills!C7=3,120+Inputs!$B$27+Inputs!$B$29,MAX(0,(Inputs!$B$3-100)*3)+Inputs!$B$28+Inputs!$B$29)))</f>
        <v/>
      </c>
      <c r="E2397">
        <f>INDEX(FactorTable!$B$2:$Y$301, MATCH(ROUND(MIN(300,MAX(1,D2397)),0), FactorTable!$A$2:$A$301,0), Skills!L7+1)</f>
        <v/>
      </c>
      <c r="F2397">
        <f>IF(Skills!M7=TRUE,(Skills!K7/10)*(E2397/1000),Skills!K7/10)+Skills!N7</f>
        <v/>
      </c>
      <c r="G2397">
        <f>Calc!G7</f>
        <v/>
      </c>
      <c r="H2397">
        <f>Calc!H7</f>
        <v/>
      </c>
      <c r="I2397">
        <f>IF(Skills!T7&lt;&gt;"",1+(Skills!T7/10)*(Z2393/1000)/100,1)</f>
        <v/>
      </c>
      <c r="J2397">
        <f>((Inputs!$B$6*(1+Inputs!$B$7/100))+(((Inputs!$B$12*(1+Inputs!$B$13/100))-(Inputs!$B$12*(1+Inputs!$B$13/100)))+0.25*(Inputs!$B$14-Inputs!$B$14))*(1+Inputs!$B$7/100))*(F2397/100)</f>
        <v/>
      </c>
      <c r="K2397">
        <f>J2397*(1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7="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F2408-Calc!F18),(Inputs!$B$23+(IF(ArtifactsInput!$M$15,CHOOSE(ArtifactsInput!$N$15+1,25,30,35,40,45,50)/100*(Inputs!$B$11-Inputs!$B$11),0))))/100+(Inputs!$B$23+(IF(ArtifactsInput!$M$15,CHOOSE(ArtifactsInput!$N$15+1,25,30,35,40,45,50)/100*(Inputs!$B$11-Inputs!$B$11),0)))/100)/2</f>
        <v/>
      </c>
      <c r="M2397">
        <f>L2397*(1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(1-Summary!$B$11)*S2397+Summary!$B$11*U2397</f>
        <v/>
      </c>
      <c r="P2397">
        <f>IF(B2427=0,0,O2397/B2427)</f>
        <v/>
      </c>
      <c r="Q2397">
        <f>IFERROR(1/IF(Inputs!$B$38="pvp",15,MAX(0.1,Skills!D7-IF(Skills!E7=TRUE,Inputs!$B$32,0))),0)</f>
        <v/>
      </c>
      <c r="R2397">
        <f>IF(AND(Inputs!$B$38&lt;&gt;"pvp",Inputs!$B$43&gt;0),IF(MAX(0,Inputs!$B$43-B2424)&lt;=0,0,(INT(MAX(0,Inputs!$B$43-B2424)/IF(Inputs!$B$38="pvp",15,MAX(0.1,Skills!D7-IF(Skills!E7=TRUE,Inputs!$B$32,0))))+1)),0)</f>
        <v/>
      </c>
      <c r="S2397">
        <f>IF(C2397,(H2397*N2397*IF(AND(Inputs!$B$38&lt;&gt;"pvp",Inputs!$B$43&gt;0),((Skills!F7*((R2397-1)*IF(Skills!G7&gt;0,Skills!H7/Skills!G7,1)+IF(Skills!G7&gt;0,MIN(Skills!H7,MAX(0,MAX(0,Inputs!$B$43-B2424)-((R2397-1)*IF(Inputs!$B$38="pvp",15,MAX(0.1,Skills!D7-IF(Skills!E7=TRUE,Inputs!$B$32,0))))))/Skills!G7,1)))/Inputs!$B$43),G2397*Q2397))*IF(Inputs!$B$38="pvp",1,1+(Inputs!$B$20+Skills!O7+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2397*(1-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IF(C2397,(H2397*N2397*IF(AND(Inputs!$B$38&lt;&gt;"pvp",Inputs!$B$43&gt;0),((Skills!F7*((R2397-1)*IF(Skills!G7&gt;0,Skills!H7/Skills!G7,1)+IF(Skills!G7&gt;0,MIN(Skills!H7,MAX(0,MAX(0,Inputs!$B$43-B2424)-((R2397-1)*IF(Inputs!$B$38="pvp",15,MAX(0.1,Skills!D7-IF(Skills!E7=TRUE,Inputs!$B$32,0))))))/Skills!G7,1)))/Inputs!$B$43),G2397*Q2397))*IF(Inputs!$B$38="pvp",1,(1+(Inputs!$B$21+Skills!P7+B2418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Skills!A8</f>
        <v/>
      </c>
      <c r="B2398">
        <f>Skills!B8</f>
        <v/>
      </c>
      <c r="C2398">
        <f>Inputs!$B$3&gt;=103</f>
        <v/>
      </c>
      <c r="D2398">
        <f>IF(Skills!C8=1,60+Inputs!$B$25+Inputs!$B$29,IF(Skills!C8=2,90+Inputs!$B$26+Inputs!$B$29,IF(Skills!C8=3,120+Inputs!$B$27+Inputs!$B$29,MAX(0,(Inputs!$B$3-100)*3)+Inputs!$B$28+Inputs!$B$29)))</f>
        <v/>
      </c>
      <c r="E2398">
        <f>INDEX(FactorTable!$B$2:$Y$301, MATCH(ROUND(MIN(300,MAX(1,D2398)),0), FactorTable!$A$2:$A$301,0), Skills!L8+1)</f>
        <v/>
      </c>
      <c r="F2398">
        <f>IF(Skills!M8=TRUE,(Skills!K8/10)*(E2398/1000),Skills!K8/10)+Skills!N8</f>
        <v/>
      </c>
      <c r="G2398">
        <f>Calc!G8</f>
        <v/>
      </c>
      <c r="H2398">
        <f>Calc!H8</f>
        <v/>
      </c>
      <c r="I2398">
        <f>IF(Skills!T8&lt;&gt;"",1+(Skills!T8/10)*(Z2393/1000)/100,1)</f>
        <v/>
      </c>
      <c r="J2398">
        <f>((Inputs!$B$6*(1+Inputs!$B$7/100))+(((Inputs!$B$12*(1+Inputs!$B$13/100))-(Inputs!$B$12*(1+Inputs!$B$13/100)))+0.25*(Inputs!$B$14-Inputs!$B$14))*(1+Inputs!$B$7/100))*(F2398/100)</f>
        <v/>
      </c>
      <c r="K2398">
        <f>J2398*(1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8="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F2408-Calc!F18),(Inputs!$B$23+(IF(ArtifactsInput!$M$15,CHOOSE(ArtifactsInput!$N$15+1,25,30,35,40,45,50)/100*(Inputs!$B$11-Inputs!$B$11),0))))/100+(Inputs!$B$23+(IF(ArtifactsInput!$M$15,CHOOSE(ArtifactsInput!$N$15+1,25,30,35,40,45,50)/100*(Inputs!$B$11-Inputs!$B$11),0)))/100)/2</f>
        <v/>
      </c>
      <c r="M2398">
        <f>L2398*(1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(1-Summary!$B$11)*S2398+Summary!$B$11*U2398</f>
        <v/>
      </c>
      <c r="P2398">
        <f>IF(B2427=0,0,O2398/B2427)</f>
        <v/>
      </c>
      <c r="Q2398">
        <f>IFERROR(1/IF(Inputs!$B$38="pvp",15,MAX(0.1,Skills!D8-IF(Skills!E8=TRUE,Inputs!$B$32,0))),0)</f>
        <v/>
      </c>
      <c r="R2398">
        <f>IF(AND(Inputs!$B$38&lt;&gt;"pvp",Inputs!$B$43&gt;0),IF(MAX(0,Inputs!$B$43-B2424)&lt;=0,0,(INT(MAX(0,Inputs!$B$43-B2424)/IF(Inputs!$B$38="pvp",15,MAX(0.1,Skills!D8-IF(Skills!E8=TRUE,Inputs!$B$32,0))))+1)),0)</f>
        <v/>
      </c>
      <c r="S2398">
        <f>IF(C2398,(H2398*N2398*IF(AND(Inputs!$B$38&lt;&gt;"pvp",Inputs!$B$43&gt;0),((Skills!F8*((R2398-1)*IF(Skills!G8&gt;0,Skills!H8/Skills!G8,1)+IF(Skills!G8&gt;0,MIN(Skills!H8,MAX(0,MAX(0,Inputs!$B$43-B2424)-((R2398-1)*IF(Inputs!$B$38="pvp",15,MAX(0.1,Skills!D8-IF(Skills!E8=TRUE,Inputs!$B$32,0))))))/Skills!G8,1)))/Inputs!$B$43),G2398*Q2398))*IF(Inputs!$B$38="pvp",1,1+(Inputs!$B$20+Skills!O8+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2398*(1-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8">
        <f>IF(C2398,(H2398*N2398*IF(AND(Inputs!$B$38&lt;&gt;"pvp",Inputs!$B$43&gt;0),((Skills!F8*((R2398-1)*IF(Skills!G8&gt;0,Skills!H8/Skills!G8,1)+IF(Skills!G8&gt;0,MIN(Skills!H8,MAX(0,MAX(0,Inputs!$B$43-B2424)-((R2398-1)*IF(Inputs!$B$38="pvp",15,MAX(0.1,Skills!D8-IF(Skills!E8=TRUE,Inputs!$B$32,0))))))/Skills!G8,1)))/Inputs!$B$43),G2398*Q2398))*IF(Inputs!$B$38="pvp",1,(1+(Inputs!$B$21+Skills!P8+B2418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Skills!A9</f>
        <v/>
      </c>
      <c r="B2399">
        <f>Skills!B9</f>
        <v/>
      </c>
      <c r="C2399">
        <f>Inputs!$B$3&gt;=105</f>
        <v/>
      </c>
      <c r="D2399">
        <f>IF(Skills!C9=1,60+Inputs!$B$25+Inputs!$B$29,IF(Skills!C9=2,90+Inputs!$B$26+Inputs!$B$29,IF(Skills!C9=3,120+Inputs!$B$27+Inputs!$B$29,MAX(0,(Inputs!$B$3-100)*3)+Inputs!$B$28+Inputs!$B$29)))</f>
        <v/>
      </c>
      <c r="E2399">
        <f>INDEX(FactorTable!$B$2:$Y$301, MATCH(ROUND(MIN(300,MAX(1,D2399)),0), FactorTable!$A$2:$A$301,0), Skills!L9+1)</f>
        <v/>
      </c>
      <c r="F2399">
        <f>IF(Skills!M9=TRUE,(Skills!K9/10)*(E2399/1000),Skills!K9/10)+Skills!N9</f>
        <v/>
      </c>
      <c r="G2399">
        <f>Calc!G9</f>
        <v/>
      </c>
      <c r="H2399">
        <f>Calc!H9</f>
        <v/>
      </c>
      <c r="I2399">
        <f>IF(Skills!T9&lt;&gt;"",1+(Skills!T9/10)*(Z2393/1000)/100,1)</f>
        <v/>
      </c>
      <c r="J2399">
        <f>((Inputs!$B$6*(1+Inputs!$B$7/100))+(((Inputs!$B$12*(1+Inputs!$B$13/100))-(Inputs!$B$12*(1+Inputs!$B$13/100)))+0.25*(Inputs!$B$14-Inputs!$B$14))*(1+Inputs!$B$7/100))*(F2399/100)</f>
        <v/>
      </c>
      <c r="K2399">
        <f>J2399*(1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9="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F2408-Calc!F18),(Inputs!$B$23+(IF(ArtifactsInput!$M$15,CHOOSE(ArtifactsInput!$N$15+1,25,30,35,40,45,50)/100*(Inputs!$B$11-Inputs!$B$11),0))))/100+(Inputs!$B$23+(IF(ArtifactsInput!$M$15,CHOOSE(ArtifactsInput!$N$15+1,25,30,35,40,45,50)/100*(Inputs!$B$11-Inputs!$B$11),0)))/100)/2</f>
        <v/>
      </c>
      <c r="M2399">
        <f>L2399*(1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(1-Summary!$B$11)*S2399+Summary!$B$11*U2399</f>
        <v/>
      </c>
      <c r="P2399">
        <f>IF(B2427=0,0,O2399/B2427)</f>
        <v/>
      </c>
      <c r="Q2399">
        <f>IFERROR(1/IF(Inputs!$B$38="pvp",15,MAX(0.1,Skills!D9-IF(Skills!E9=TRUE,Inputs!$B$32,0))),0)</f>
        <v/>
      </c>
      <c r="R2399">
        <f>IF(AND(Inputs!$B$38&lt;&gt;"pvp",Inputs!$B$43&gt;0),IF(MAX(0,Inputs!$B$43-B2424)&lt;=0,0,(INT(MAX(0,Inputs!$B$43-B2424)/IF(Inputs!$B$38="pvp",15,MAX(0.1,Skills!D9-IF(Skills!E9=TRUE,Inputs!$B$32,0))))+1)),0)</f>
        <v/>
      </c>
      <c r="S2399">
        <f>IF(C2399,(H2399*N2399*IF(AND(Inputs!$B$38&lt;&gt;"pvp",Inputs!$B$43&gt;0),((Skills!F9*((R2399-1)*IF(Skills!G9&gt;0,Skills!H9/Skills!G9,1)+IF(Skills!G9&gt;0,MIN(Skills!H9,MAX(0,MAX(0,Inputs!$B$43-B2424)-((R2399-1)*IF(Inputs!$B$38="pvp",15,MAX(0.1,Skills!D9-IF(Skills!E9=TRUE,Inputs!$B$32,0))))))/Skills!G9,1)))/Inputs!$B$43),G2399*Q2399))*IF(Inputs!$B$38="pvp",1,1+(Inputs!$B$20+Skills!O9+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2399*(1-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9">
        <f>IF(C2399,(H2399*N2399*IF(AND(Inputs!$B$38&lt;&gt;"pvp",Inputs!$B$43&gt;0),((Skills!F9*((R2399-1)*IF(Skills!G9&gt;0,Skills!H9/Skills!G9,1)+IF(Skills!G9&gt;0,MIN(Skills!H9,MAX(0,MAX(0,Inputs!$B$43-B2424)-((R2399-1)*IF(Inputs!$B$38="pvp",15,MAX(0.1,Skills!D9-IF(Skills!E9=TRUE,Inputs!$B$32,0))))))/Skills!G9,1)))/Inputs!$B$43),G2399*Q2399))*IF(Inputs!$B$38="pvp",1,(1+(Inputs!$B$21+Skills!P9+B2418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Skills!A10</f>
        <v/>
      </c>
      <c r="B2400">
        <f>Skills!B10</f>
        <v/>
      </c>
      <c r="C2400">
        <f>Inputs!$B$3&gt;=113</f>
        <v/>
      </c>
      <c r="D2400">
        <f>IF(Skills!C10=1,60+Inputs!$B$25+Inputs!$B$29,IF(Skills!C10=2,90+Inputs!$B$26+Inputs!$B$29,IF(Skills!C10=3,120+Inputs!$B$27+Inputs!$B$29,MAX(0,(Inputs!$B$3-100)*3)+Inputs!$B$28+Inputs!$B$29)))</f>
        <v/>
      </c>
      <c r="E2400">
        <f>INDEX(FactorTable!$B$2:$Y$301, MATCH(ROUND(MIN(300,MAX(1,D2400)),0), FactorTable!$A$2:$A$301,0), Skills!L10+1)</f>
        <v/>
      </c>
      <c r="F2400">
        <f>IF(Skills!M10=TRUE,(Skills!K10/10)*(E2400/1000),Skills!K10/10)+Skills!N10</f>
        <v/>
      </c>
      <c r="G2400">
        <f>Calc!G10</f>
        <v/>
      </c>
      <c r="H2400">
        <f>Calc!H10</f>
        <v/>
      </c>
      <c r="I2400">
        <f>IF(Skills!T10&lt;&gt;"",1+(Skills!T10/10)*(Z2393/1000)/100,1)</f>
        <v/>
      </c>
      <c r="J2400">
        <f>((Inputs!$B$6*(1+Inputs!$B$7/100))+(((Inputs!$B$12*(1+Inputs!$B$13/100))-(Inputs!$B$12*(1+Inputs!$B$13/100)))+0.25*(Inputs!$B$14-Inputs!$B$14))*(1+Inputs!$B$7/100))*(F2400/100)</f>
        <v/>
      </c>
      <c r="K2400">
        <f>J2400*(1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10="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F2408-Calc!F18),(Inputs!$B$23+(IF(ArtifactsInput!$M$15,CHOOSE(ArtifactsInput!$N$15+1,25,30,35,40,45,50)/100*(Inputs!$B$11-Inputs!$B$11),0))))/100+(Inputs!$B$23+(IF(ArtifactsInput!$M$15,CHOOSE(ArtifactsInput!$N$15+1,25,30,35,40,45,50)/100*(Inputs!$B$11-Inputs!$B$11),0)))/100)/2</f>
        <v/>
      </c>
      <c r="M2400">
        <f>L2400*(1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(1-Summary!$B$11)*S2400+Summary!$B$11*U2400</f>
        <v/>
      </c>
      <c r="P2400">
        <f>IF(B2427=0,0,O2400/B2427)</f>
        <v/>
      </c>
      <c r="Q2400">
        <f>IFERROR(1/IF(Inputs!$B$38="pvp",15,MAX(0.1,Skills!D10-IF(Skills!E9=TRUE,Inputs!$B$32,0))),0)</f>
        <v/>
      </c>
      <c r="R2400">
        <f>IF(AND(Inputs!$B$38&lt;&gt;"pvp",Inputs!$B$43&gt;0),IF(MAX(0,Inputs!$B$43-B2424)&lt;=0,0,(INT(MAX(0,Inputs!$B$43-B2424)/IF(Inputs!$B$38="pvp",15,MAX(0.1,Skills!D10-IF(Skills!E9=TRUE,Inputs!$B$32,0))))+1)),0)</f>
        <v/>
      </c>
      <c r="S2400">
        <f>IF(C2400,(H2400*N2400*IF(AND(Inputs!$B$38&lt;&gt;"pvp",Inputs!$B$43&gt;0),((Skills!F10*((R2400-1)*IF(Skills!G10&gt;0,Skills!H10/Skills!G10,1)+IF(Skills!G10&gt;0,MIN(Skills!H10,MAX(0,MAX(0,Inputs!$B$43-B2424)-((R2400-1)*IF(Inputs!$B$38="pvp",15,MAX(0.1,Skills!D10-IF(Skills!E9=TRUE,Inputs!$B$32,0))))))/Skills!G10,1)))/Inputs!$B$43),G2400*Q2400))*IF(Inputs!$B$38="pvp",1,1+(Inputs!$B$20+Skills!O10+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2400*(1-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0">
        <f>IF(C2400,(H2400*N2400*IF(AND(Inputs!$B$38&lt;&gt;"pvp",Inputs!$B$43&gt;0),((Skills!F10*((R2400-1)*IF(Skills!G10&gt;0,Skills!H10/Skills!G10,1)+IF(Skills!G10&gt;0,MIN(Skills!H10,MAX(0,MAX(0,Inputs!$B$43-B2424)-((R2400-1)*IF(Inputs!$B$38="pvp",15,MAX(0.1,Skills!D10-IF(Skills!E9=TRUE,Inputs!$B$32,0))))))/Skills!G10,1)))/Inputs!$B$43),G2400*Q2400))*IF(Inputs!$B$38="pvp",1,(1+(Inputs!$B$21+Skills!P10+B2418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Skills!A11</f>
        <v/>
      </c>
      <c r="B2401">
        <f>Skills!B11</f>
        <v/>
      </c>
      <c r="C2401">
        <f>Inputs!$B$3&gt;=107</f>
        <v/>
      </c>
      <c r="D2401">
        <f>IF(Skills!C11=1,60+Inputs!$B$25+Inputs!$B$29,IF(Skills!C11=2,90+Inputs!$B$26+Inputs!$B$29,IF(Skills!C11=3,120+Inputs!$B$27+Inputs!$B$29,MAX(0,(Inputs!$B$3-100)*3)+Inputs!$B$28+Inputs!$B$29)))</f>
        <v/>
      </c>
      <c r="E2401">
        <f>INDEX(FactorTable!$B$2:$Y$301, MATCH(ROUND(MIN(300,MAX(1,D2401)),0), FactorTable!$A$2:$A$301,0), Skills!L11+1)</f>
        <v/>
      </c>
      <c r="F2401">
        <f>IF(Skills!M11=TRUE,(Skills!K11/10)*(E2401/1000),Skills!K11/10)+Skills!N11</f>
        <v/>
      </c>
      <c r="G2401">
        <f>Calc!G11</f>
        <v/>
      </c>
      <c r="H2401">
        <f>Calc!H11</f>
        <v/>
      </c>
      <c r="I2401">
        <f>IF(Skills!T11&lt;&gt;"",1+(Skills!T11/10)*(Z2393/1000)/100,1)</f>
        <v/>
      </c>
      <c r="J2401">
        <f>((Inputs!$B$6*(1+Inputs!$B$7/100))+(((Inputs!$B$12*(1+Inputs!$B$13/100))-(Inputs!$B$12*(1+Inputs!$B$13/100)))+0.25*(Inputs!$B$14-Inputs!$B$14))*(1+Inputs!$B$7/100))*(F2401/100)</f>
        <v/>
      </c>
      <c r="K2401">
        <f>J2401*(1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11="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F2408-Calc!F18),(Inputs!$B$23+(IF(ArtifactsInput!$M$15,CHOOSE(ArtifactsInput!$N$15+1,25,30,35,40,45,50)/100*(Inputs!$B$11-Inputs!$B$11),0))))/100+(Inputs!$B$23+(IF(ArtifactsInput!$M$15,CHOOSE(ArtifactsInput!$N$15+1,25,30,35,40,45,50)/100*(Inputs!$B$11-Inputs!$B$11),0)))/100)/2</f>
        <v/>
      </c>
      <c r="M2401">
        <f>L2401*(1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(1-Summary!$B$11)*S2401+Summary!$B$11*U2401</f>
        <v/>
      </c>
      <c r="P2401">
        <f>IF(B2427=0,0,O2401/B2427)</f>
        <v/>
      </c>
      <c r="Q2401">
        <f>IFERROR(1/IF(Inputs!$B$38="pvp",15,MAX(0.1,Skills!D11-IF(Skills!E11=TRUE,Inputs!$B$32,0))),0)</f>
        <v/>
      </c>
      <c r="R2401">
        <f>IF(AND(Inputs!$B$38&lt;&gt;"pvp",Inputs!$B$43&gt;0),IF(MAX(0,Inputs!$B$43-B2424)&lt;=0,0,(INT(MAX(0,Inputs!$B$43-B2424)/IF(Inputs!$B$38="pvp",15,MAX(0.1,Skills!D11-IF(Skills!E11=TRUE,Inputs!$B$32,0))))+1)),0)</f>
        <v/>
      </c>
      <c r="S2401">
        <f>IF(C2401,H2401*N2401*IF(AND(Inputs!$B$38&lt;&gt;"pvp",Inputs!$B$43&gt;0),((Skills!F11*((R2401-1)*IF(Skills!G11&gt;0,Skills!H11/Skills!G11,1)+IF(Skills!G11&gt;0,MIN(Skills!H11,MAX(0,MAX(0,Inputs!$B$43-B2424)-((R2401-1)*IF(Inputs!$B$38="pvp",15,MAX(0.1,Skills!D11-IF(Skills!E11=TRUE,Inputs!$B$32,0))))))/Skills!G11,1)))/Inputs!$B$43),G2401*Q2401)*0.5*IF(Inputs!$B$38="pvp",1,1+(Inputs!$B$20+Skills!O11+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2401*(1-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1">
        <f>IF(C2401,H2401*N2401*IF(AND(Inputs!$B$38&lt;&gt;"pvp",Inputs!$B$43&gt;0),((Skills!F11*((R2401-1)*IF(Skills!G11&gt;0,Skills!H11/Skills!G11,1)+IF(Skills!G11&gt;0,MIN(Skills!H11,MAX(0,MAX(0,Inputs!$B$43-B2424)-((R2401-1)*IF(Inputs!$B$38="pvp",15,MAX(0.1,Skills!D11-IF(Skills!E11=TRUE,Inputs!$B$32,0))))))/Skills!G11,1)))/Inputs!$B$43),G2401*Q2401)*1*IF(Inputs!$B$38="pvp",1,(1+(Inputs!$B$21+Skills!P11+B2418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Skills!A12</f>
        <v/>
      </c>
      <c r="B2402">
        <f>Skills!B12</f>
        <v/>
      </c>
      <c r="C2402">
        <f>Inputs!$B$3&gt;=115</f>
        <v/>
      </c>
      <c r="D2402">
        <f>IF(Skills!C12=1,60+Inputs!$B$25+Inputs!$B$29,IF(Skills!C12=2,90+Inputs!$B$26+Inputs!$B$29,IF(Skills!C12=3,120+Inputs!$B$27+Inputs!$B$29,MAX(0,(Inputs!$B$3-100)*3)+Inputs!$B$28+Inputs!$B$29)))</f>
        <v/>
      </c>
      <c r="E2402">
        <f>INDEX(FactorTable!$B$2:$Y$301, MATCH(ROUND(MIN(300,MAX(1,D2402)),0), FactorTable!$A$2:$A$301,0), Skills!L12+1)</f>
        <v/>
      </c>
      <c r="F2402">
        <f>IF(Skills!M12=TRUE,(Skills!K12/10)*(E2402/1000),Skills!K12/10)+Skills!N12</f>
        <v/>
      </c>
      <c r="G2402">
        <f>Calc!G12</f>
        <v/>
      </c>
      <c r="H2402">
        <f>Calc!H12</f>
        <v/>
      </c>
      <c r="I2402">
        <f>IF(Skills!T12&lt;&gt;"",1+(Skills!T12/10)*(Z2393/1000)/100,1)</f>
        <v/>
      </c>
      <c r="J2402">
        <f>((Inputs!$B$6*(1+Inputs!$B$7/100))+(((Inputs!$B$12*(1+Inputs!$B$13/100))-(Inputs!$B$12*(1+Inputs!$B$13/100)))+0.25*(Inputs!$B$14-Inputs!$B$14))*(1+Inputs!$B$7/100))*(F2402/100)</f>
        <v/>
      </c>
      <c r="K2402">
        <f>J2402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12="CHAIN_LIGHTNING",Inputs!$B$17+((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F2408-Calc!F18),(Inputs!$B$23+(IF(ArtifactsInput!$M$15,CHOOSE(ArtifactsInput!$N$15+1,25,30,35,40,45,50)/100*(Inputs!$B$11-Inputs!$B$11),0))))/100+(Inputs!$B$23+(IF(ArtifactsInput!$M$15,CHOOSE(ArtifactsInput!$N$15+1,25,30,35,40,45,50)/100*(Inputs!$B$11-Inputs!$B$11),0)))/100)/2</f>
        <v/>
      </c>
      <c r="M2402">
        <f>L2402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(1-Summary!$B$11)*S2402+Summary!$B$11*U2402</f>
        <v/>
      </c>
      <c r="P2402">
        <f>IF(B2427=0,0,O2402/B2427)</f>
        <v/>
      </c>
      <c r="Q2402">
        <f>IFERROR(1/IF(Inputs!$B$38="pvp",15,MAX(0.1,Skills!D12-IF(Skills!E12=TRUE,Inputs!$B$32,0))),0)</f>
        <v/>
      </c>
      <c r="R2402">
        <f>IF(AND(Inputs!$B$38&lt;&gt;"pvp",Inputs!$B$43&gt;0),IF(MAX(0,Inputs!$B$43-B2424)&lt;=0,0,(INT(MAX(0,Inputs!$B$43-B2424)/IF(Inputs!$B$38="pvp",15,MAX(0.1,Skills!D12-IF(Skills!E12=TRUE,Inputs!$B$32,0))))+1)),0)</f>
        <v/>
      </c>
      <c r="S2402">
        <f>IF(C2402,(H2402*N2402*IF(AND(Inputs!$B$38&lt;&gt;"pvp",Inputs!$B$43&gt;0),((Skills!F12*((R2402-1)*IF(Skills!G12&gt;0,Skills!H12/Skills!G12,1)+IF(Skills!G12&gt;0,MIN(Skills!H12,MAX(0,MAX(0,Inputs!$B$43-B2424)-((R2402-1)*IF(Inputs!$B$38="pvp",15,MAX(0.1,Skills!D12-IF(Skills!E12=TRUE,Inputs!$B$32,0))))))/Skills!G12,1)))/Inputs!$B$43),G2402*Q2402))*IF(Inputs!$B$38="pvp",1,1+(Inputs!$B$20+Skills!O12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2402*(1-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F2410-Calc!F20)+(F2409-Calc!F19))+(ArtifactsInput!$M$24-ArtifactsInput!$M$24)*CHOOSE(ArtifactsInput!$N$24+1,10,12,14,16,18,20)+(IF(AND(Inputs!$B$38&lt;&gt;"pvp",Inputs!$B$43=0),1,IF(IF(Inputs!$B$38="pvp",15,Inputs!$B$43)-(B2424)&lt;=0,1,MAX(0,IF(Inputs!$B$38="pvp",15,Inputs!$B$43)-MAX(5,B2424))/(IF(Inputs!$B$38="pvp",15,Inputs!$B$43)-(B2424)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2">
        <f>IF(C2402,(H2402*N2402*IF(AND(Inputs!$B$38&lt;&gt;"pvp",Inputs!$B$43&gt;0),((Skills!F12*((R2402-1)*IF(Skills!G12&gt;0,Skills!H12/Skills!G12,1)+IF(Skills!G12&gt;0,MIN(Skills!H12,MAX(0,MAX(0,Inputs!$B$43-B2424)-((R2402-1)*IF(Inputs!$B$38="pvp",15,MAX(0.1,Skills!D12-IF(Skills!E12=TRUE,Inputs!$B$32,0))))))/Skills!G12,1)))/Inputs!$B$43),G2402*Q2402))*IF(Inputs!$B$38="pvp",1,(1+(Inputs!$B$21+Skills!P12+B2418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Skills!A13</f>
        <v/>
      </c>
      <c r="B2403">
        <f>Skills!B13</f>
        <v/>
      </c>
      <c r="C2403">
        <f>Inputs!$B$3&gt;=49</f>
        <v/>
      </c>
      <c r="D2403">
        <f>IF(Skills!C13=1,60+Inputs!$B$25+Inputs!$B$29,IF(Skills!C13=2,90+Inputs!$B$26+Inputs!$B$29,IF(Skills!C13=3,120+Inputs!$B$27+Inputs!$B$29,MAX(0,(Inputs!$B$3-100)*3)+Inputs!$B$28+Inputs!$B$29)))</f>
        <v/>
      </c>
      <c r="E2403">
        <f>INDEX(FactorTable!$B$2:$Y$301, MATCH(ROUND(MIN(300,MAX(1,D2403)),0), FactorTable!$A$2:$A$301,0), Skills!L13+1)</f>
        <v/>
      </c>
      <c r="F2403">
        <f>IF(Skills!M13=TRUE,(Skills!K13/10)*(E2403/1000),Skills!K13/10)+Skills!N13</f>
        <v/>
      </c>
      <c r="G2403">
        <f>Calc!G13</f>
        <v/>
      </c>
      <c r="H2403">
        <f>Calc!H13</f>
        <v/>
      </c>
      <c r="I2403">
        <f>IF(Skills!T13&lt;&gt;"",1+(Skills!T13/10)*(Z2393/1000)/100,1)</f>
        <v/>
      </c>
      <c r="J2403" t="inlineStr"/>
      <c r="K2403" t="inlineStr"/>
      <c r="L2403" t="inlineStr"/>
      <c r="M2403" t="inlineStr"/>
      <c r="N2403" t="inlineStr"/>
      <c r="O2403">
        <f>(1-Summary!$B$11)*S2403+Summary!$B$11*U2403</f>
        <v/>
      </c>
      <c r="P2403">
        <f>IF(B2427=0,0,O2403/B2427)</f>
        <v/>
      </c>
      <c r="Q2403">
        <f>IFERROR(1/IF(Inputs!$B$38="pvp",15,MAX(0.1,Skills!D13-IF(Skills!E13=TRUE,Inputs!$B$32,0))),0)</f>
        <v/>
      </c>
      <c r="R2403" t="n">
        <v>0</v>
      </c>
      <c r="S2403" t="n">
        <v>0</v>
      </c>
      <c r="U2403" t="n">
        <v>0</v>
      </c>
    </row>
    <row r="2404">
      <c r="A2404">
        <f>Skills!A14</f>
        <v/>
      </c>
      <c r="B2404">
        <f>Skills!B14</f>
        <v/>
      </c>
      <c r="C2404">
        <f>Inputs!$B$3&gt;=72</f>
        <v/>
      </c>
      <c r="D2404">
        <f>IF(Skills!C14=1,60+Inputs!$B$25+Inputs!$B$29,IF(Skills!C14=2,90+Inputs!$B$26+Inputs!$B$29,IF(Skills!C14=3,120+Inputs!$B$27+Inputs!$B$29,MAX(0,(Inputs!$B$3-100)*3)+Inputs!$B$28+Inputs!$B$29)))</f>
        <v/>
      </c>
      <c r="E2404">
        <f>INDEX(FactorTable!$B$2:$Y$301, MATCH(ROUND(MIN(300,MAX(1,D2404)),0), FactorTable!$A$2:$A$301,0), Skills!L14+1)</f>
        <v/>
      </c>
      <c r="F2404">
        <f>IF(Skills!M14=TRUE,(Skills!K14/10)*(E2404/1000),Skills!K14/10)+Skills!N14</f>
        <v/>
      </c>
      <c r="G2404">
        <f>Calc!G14</f>
        <v/>
      </c>
      <c r="H2404">
        <f>Calc!H14</f>
        <v/>
      </c>
      <c r="I2404">
        <f>IF(Skills!T14&lt;&gt;"",1+(Skills!T14/10)*(Z2393/1000)/100,1)</f>
        <v/>
      </c>
      <c r="J2404" t="inlineStr"/>
      <c r="K2404" t="inlineStr"/>
      <c r="L2404" t="inlineStr"/>
      <c r="M2404" t="inlineStr"/>
      <c r="N2404" t="inlineStr"/>
      <c r="O2404">
        <f>(1-Summary!$B$11)*S2404+Summary!$B$11*U2404</f>
        <v/>
      </c>
      <c r="P2404">
        <f>IF(B2427=0,0,O2404/B2427)</f>
        <v/>
      </c>
      <c r="Q2404">
        <f>IFERROR(1/IF(Inputs!$B$38="pvp",15,MAX(0.1,Skills!D14-IF(Skills!E14=TRUE,Inputs!$B$32,0))),0)</f>
        <v/>
      </c>
      <c r="R2404" t="n">
        <v>0</v>
      </c>
      <c r="S2404" t="n">
        <v>0</v>
      </c>
      <c r="U2404" t="n">
        <v>0</v>
      </c>
    </row>
    <row r="2405">
      <c r="A2405">
        <f>Skills!A15</f>
        <v/>
      </c>
      <c r="B2405">
        <f>Skills!B15</f>
        <v/>
      </c>
      <c r="C2405">
        <f>Inputs!$B$3&gt;=75</f>
        <v/>
      </c>
      <c r="D2405">
        <f>IF(Skills!C15=1,60+Inputs!$B$25+Inputs!$B$29,IF(Skills!C15=2,90+Inputs!$B$26+Inputs!$B$29,IF(Skills!C15=3,120+Inputs!$B$27+Inputs!$B$29,MAX(0,(Inputs!$B$3-100)*3)+Inputs!$B$28+Inputs!$B$29)))</f>
        <v/>
      </c>
      <c r="E2405">
        <f>INDEX(FactorTable!$B$2:$Y$301, MATCH(ROUND(MIN(300,MAX(1,D2405)),0), FactorTable!$A$2:$A$301,0), Skills!L15+1)</f>
        <v/>
      </c>
      <c r="F2405">
        <f>IF(Skills!M15=TRUE,(Skills!K15/10)*(E2405/1000),Skills!K15/10)+Skills!N15</f>
        <v/>
      </c>
      <c r="G2405">
        <f>Calc!G15</f>
        <v/>
      </c>
      <c r="H2405">
        <f>Calc!H15</f>
        <v/>
      </c>
      <c r="I2405">
        <f>IF(Skills!T15&lt;&gt;"",1+(Skills!T15/10)*(Z2393/1000)/100,1)</f>
        <v/>
      </c>
      <c r="J2405" t="inlineStr"/>
      <c r="K2405" t="inlineStr"/>
      <c r="L2405" t="inlineStr"/>
      <c r="M2405" t="inlineStr"/>
      <c r="N2405" t="inlineStr"/>
      <c r="O2405">
        <f>(1-Summary!$B$11)*S2405+Summary!$B$11*U2405</f>
        <v/>
      </c>
      <c r="P2405">
        <f>IF(B2427=0,0,O2405/B2427)</f>
        <v/>
      </c>
      <c r="Q2405">
        <f>IFERROR(1/IF(Inputs!$B$38="pvp",15,MAX(0.1,Skills!D15-IF(Skills!E15=TRUE,Inputs!$B$32,0))),0)</f>
        <v/>
      </c>
      <c r="R2405" t="n">
        <v>0</v>
      </c>
      <c r="S2405" t="n">
        <v>0</v>
      </c>
      <c r="U2405" t="n">
        <v>0</v>
      </c>
    </row>
    <row r="2406">
      <c r="A2406">
        <f>Skills!A16</f>
        <v/>
      </c>
      <c r="B2406">
        <f>Skills!B16</f>
        <v/>
      </c>
      <c r="C2406">
        <f>Inputs!$B$3&gt;=110</f>
        <v/>
      </c>
      <c r="D2406">
        <f>IF(Skills!C16=1,60+Inputs!$B$25+Inputs!$B$29,IF(Skills!C16=2,90+Inputs!$B$26+Inputs!$B$29,IF(Skills!C16=3,120+Inputs!$B$27+Inputs!$B$29,MAX(0,(Inputs!$B$3-100)*3)+Inputs!$B$28+Inputs!$B$29)))</f>
        <v/>
      </c>
      <c r="E2406">
        <f>INDEX(FactorTable!$B$2:$Y$301, MATCH(ROUND(MIN(300,MAX(1,D2406)),0), FactorTable!$A$2:$A$301,0), Skills!L16+1)</f>
        <v/>
      </c>
      <c r="F2406">
        <f>(Skills!K16/10)*(E2406/1000)*64/45+Skills!N16</f>
        <v/>
      </c>
      <c r="G2406">
        <f>Calc!G16</f>
        <v/>
      </c>
      <c r="H2406">
        <f>Calc!H16</f>
        <v/>
      </c>
      <c r="I2406">
        <f>IF(Skills!T16&lt;&gt;"",1+(Skills!T16/10)*(Z2393/1000)/100,1)</f>
        <v/>
      </c>
      <c r="J2406" t="inlineStr"/>
      <c r="K2406" t="inlineStr"/>
      <c r="L2406" t="inlineStr"/>
      <c r="M2406" t="inlineStr"/>
      <c r="N2406" t="inlineStr"/>
      <c r="O2406">
        <f>(1-Summary!$B$11)*S2406+Summary!$B$11*U2406</f>
        <v/>
      </c>
      <c r="P2406">
        <f>IF(B2427=0,0,O2406/B2427)</f>
        <v/>
      </c>
      <c r="Q2406">
        <f>IFERROR(1/IF(Inputs!$B$38="pvp",15,MAX(0.1,Skills!D16-IF(Skills!E16=TRUE,Inputs!$B$32,0))),0)</f>
        <v/>
      </c>
      <c r="R2406">
        <f>IF(AND(Inputs!$B$38&lt;&gt;"pvp",Inputs!$B$43&gt;0),IF(Inputs!$B$43&lt;=0,0,(INT(Inputs!$B$43/IF(Inputs!$B$38="pvp",15,MAX(0.1,Skills!D16-IF(Skills!E16=TRUE,Inputs!$B$32,0))))+1)),0)</f>
        <v/>
      </c>
      <c r="S2406" t="n">
        <v>0</v>
      </c>
      <c r="U2406" t="n">
        <v>0</v>
      </c>
    </row>
    <row r="2407">
      <c r="A2407">
        <f>Skills!A17</f>
        <v/>
      </c>
      <c r="B2407">
        <f>Skills!B17</f>
        <v/>
      </c>
      <c r="C2407">
        <f>Inputs!$B$3&gt;=33</f>
        <v/>
      </c>
      <c r="D2407">
        <f>IF(Skills!C17=1,60+Inputs!$B$25+Inputs!$B$29,IF(Skills!C17=2,90+Inputs!$B$26+Inputs!$B$29,IF(Skills!C17=3,120+Inputs!$B$27+Inputs!$B$29,MAX(0,(Inputs!$B$3-100)*3)+Inputs!$B$28+Inputs!$B$29)))</f>
        <v/>
      </c>
      <c r="E2407">
        <f>INDEX(FactorTable!$B$2:$Y$301, MATCH(ROUND(MIN(300,MAX(1,D2407)),0), FactorTable!$A$2:$A$301,0), Skills!L17+1)</f>
        <v/>
      </c>
      <c r="F2407">
        <f>IF(Skills!M17=TRUE,(Skills!K17/10)*(E2407/1000),Skills!K17/10)+Skills!N17</f>
        <v/>
      </c>
      <c r="G2407">
        <f>Calc!G17</f>
        <v/>
      </c>
      <c r="H2407">
        <f>Calc!H17</f>
        <v/>
      </c>
      <c r="I2407">
        <f>IF(Skills!T17&lt;&gt;"",1+(Skills!T17/10)*(Z2393/1000)/100,1)</f>
        <v/>
      </c>
      <c r="J2407" t="inlineStr"/>
      <c r="K2407" t="inlineStr"/>
      <c r="L2407" t="inlineStr"/>
      <c r="M2407" t="inlineStr"/>
      <c r="N2407" t="inlineStr"/>
      <c r="O2407">
        <f>(1-Summary!$B$11)*S2407+Summary!$B$11*U2407</f>
        <v/>
      </c>
      <c r="P2407">
        <f>IF(B2427=0,0,O2407/B2427)</f>
        <v/>
      </c>
      <c r="Q2407">
        <f>IFERROR(1/IF(Inputs!$B$38="pvp",15,MAX(0.1,Skills!D17-IF(Skills!E17=TRUE,Inputs!$B$32,0))),0)</f>
        <v/>
      </c>
      <c r="R2407" t="n">
        <v>0</v>
      </c>
      <c r="S2407" t="n">
        <v>0</v>
      </c>
      <c r="U2407" t="n">
        <v>0</v>
      </c>
    </row>
    <row r="2408">
      <c r="A2408">
        <f>Skills!A18</f>
        <v/>
      </c>
      <c r="B2408">
        <f>Skills!B18</f>
        <v/>
      </c>
      <c r="C2408">
        <f>Inputs!$B$3&gt;=43</f>
        <v/>
      </c>
      <c r="D2408">
        <f>IF(Skills!C18=1,60+Inputs!$B$25+Inputs!$B$29,IF(Skills!C18=2,90+Inputs!$B$26+Inputs!$B$29,IF(Skills!C18=3,120+Inputs!$B$27+Inputs!$B$29,MAX(0,(Inputs!$B$3-100)*3)+Inputs!$B$28+Inputs!$B$29)))</f>
        <v/>
      </c>
      <c r="E2408">
        <f>INDEX(FactorTable!$B$2:$Y$301, MATCH(ROUND(MIN(300,MAX(1,D2408)),0), FactorTable!$A$2:$A$301,0), Skills!L18+1)</f>
        <v/>
      </c>
      <c r="F2408">
        <f>IF(Skills!M18=TRUE,(Skills!K18/10)*(E2408/1000),Skills!K18/10)+Skills!N18</f>
        <v/>
      </c>
      <c r="G2408">
        <f>Calc!G18</f>
        <v/>
      </c>
      <c r="H2408">
        <f>Calc!H18</f>
        <v/>
      </c>
      <c r="I2408">
        <f>IF(Skills!T18&lt;&gt;"",1+(Skills!T18/10)*(Z2393/1000)/100,1)</f>
        <v/>
      </c>
      <c r="J2408" t="inlineStr"/>
      <c r="K2408" t="inlineStr"/>
      <c r="L2408" t="inlineStr"/>
      <c r="M2408" t="inlineStr"/>
      <c r="N2408" t="inlineStr"/>
      <c r="O2408">
        <f>(1-Summary!$B$11)*S2408+Summary!$B$11*U2408</f>
        <v/>
      </c>
      <c r="P2408">
        <f>IF(B2427=0,0,O2408/B2427)</f>
        <v/>
      </c>
      <c r="Q2408">
        <f>IFERROR(1/IF(Inputs!$B$38="pvp",15,MAX(0.1,Skills!D18-IF(Skills!E18=TRUE,Inputs!$B$32,0))),0)</f>
        <v/>
      </c>
      <c r="R2408" t="n">
        <v>0</v>
      </c>
      <c r="S2408" t="n">
        <v>0</v>
      </c>
      <c r="U2408" t="n">
        <v>0</v>
      </c>
    </row>
    <row r="2409">
      <c r="A2409">
        <f>Skills!A19</f>
        <v/>
      </c>
      <c r="B2409">
        <f>Skills!B19</f>
        <v/>
      </c>
      <c r="C2409">
        <f>Inputs!$B$3&gt;=50</f>
        <v/>
      </c>
      <c r="D2409">
        <f>IF(Skills!C19=1,60+Inputs!$B$25+Inputs!$B$29,IF(Skills!C19=2,90+Inputs!$B$26+Inputs!$B$29,IF(Skills!C19=3,120+Inputs!$B$27+Inputs!$B$29,MAX(0,(Inputs!$B$3-100)*3)+Inputs!$B$28+Inputs!$B$29)))</f>
        <v/>
      </c>
      <c r="E2409">
        <f>INDEX(FactorTable!$B$2:$Y$301, MATCH(ROUND(MIN(300,MAX(1,D2409)),0), FactorTable!$A$2:$A$301,0), Skills!L19+1)</f>
        <v/>
      </c>
      <c r="F2409">
        <f>IF(Skills!M19=TRUE,(Skills!K19/10)*(E2409/1000),Skills!K19/10)+Skills!N19</f>
        <v/>
      </c>
      <c r="G2409">
        <f>Calc!G19</f>
        <v/>
      </c>
      <c r="H2409">
        <f>Calc!H19</f>
        <v/>
      </c>
      <c r="I2409">
        <f>IF(Skills!T19&lt;&gt;"",1+(Skills!T19/10)*(Z2393/1000)/100,1)</f>
        <v/>
      </c>
      <c r="J2409" t="inlineStr"/>
      <c r="K2409" t="inlineStr"/>
      <c r="L2409" t="inlineStr"/>
      <c r="M2409" t="inlineStr"/>
      <c r="N2409" t="inlineStr"/>
      <c r="O2409">
        <f>(1-Summary!$B$11)*S2409+Summary!$B$11*U2409</f>
        <v/>
      </c>
      <c r="P2409">
        <f>IF(B2427=0,0,O2409/B2427)</f>
        <v/>
      </c>
      <c r="Q2409">
        <f>IFERROR(1/IF(Inputs!$B$38="pvp",15,MAX(0.1,Skills!D19-IF(Skills!E19=TRUE,Inputs!$B$32,0))),0)</f>
        <v/>
      </c>
      <c r="R2409" t="n">
        <v>0</v>
      </c>
      <c r="S2409" t="n">
        <v>0</v>
      </c>
      <c r="U2409" t="n">
        <v>0</v>
      </c>
    </row>
    <row r="2410">
      <c r="A2410">
        <f>Skills!A20</f>
        <v/>
      </c>
      <c r="B2410">
        <f>Skills!B20</f>
        <v/>
      </c>
      <c r="C2410">
        <f>Inputs!$B$3&gt;=74</f>
        <v/>
      </c>
      <c r="D2410">
        <f>IF(Skills!C20=1,60+Inputs!$B$25+Inputs!$B$29,IF(Skills!C20=2,90+Inputs!$B$26+Inputs!$B$29,IF(Skills!C20=3,120+Inputs!$B$27+Inputs!$B$29,MAX(0,(Inputs!$B$3-100)*3)+Inputs!$B$28+Inputs!$B$29)))</f>
        <v/>
      </c>
      <c r="E2410">
        <f>INDEX(FactorTable!$B$2:$Y$301, MATCH(ROUND(MIN(300,MAX(1,D2410)),0), FactorTable!$A$2:$A$301,0), Skills!L20+1)</f>
        <v/>
      </c>
      <c r="F2410">
        <f>IF(Skills!M20=TRUE,(Skills!K20/10)*(E2410/1000),Skills!K20/10)+Skills!N20</f>
        <v/>
      </c>
      <c r="G2410">
        <f>Calc!G20</f>
        <v/>
      </c>
      <c r="H2410">
        <f>Calc!H20</f>
        <v/>
      </c>
      <c r="I2410">
        <f>IF(Skills!T20&lt;&gt;"",1+(Skills!T20/10)*(Z2393/1000)/100,1)</f>
        <v/>
      </c>
      <c r="J2410" t="inlineStr"/>
      <c r="K2410" t="inlineStr"/>
      <c r="L2410" t="inlineStr"/>
      <c r="M2410" t="inlineStr"/>
      <c r="N2410" t="inlineStr"/>
      <c r="O2410">
        <f>(1-Summary!$B$11)*S2410+Summary!$B$11*U2410</f>
        <v/>
      </c>
      <c r="P2410">
        <f>IF(B2427=0,0,O2410/B2427)</f>
        <v/>
      </c>
      <c r="Q2410">
        <f>IFERROR(1/IF(Inputs!$B$38="pvp",15,MAX(0.1,Skills!D20-IF(Skills!E20=TRUE,Inputs!$B$32,0))),0)</f>
        <v/>
      </c>
      <c r="R2410" t="n">
        <v>0</v>
      </c>
      <c r="S2410" t="n">
        <v>0</v>
      </c>
      <c r="U2410" t="n">
        <v>0</v>
      </c>
    </row>
    <row r="2411">
      <c r="A2411">
        <f>Skills!A21</f>
        <v/>
      </c>
      <c r="B2411">
        <f>Skills!B21</f>
        <v/>
      </c>
      <c r="C2411">
        <f>Inputs!$B$3&gt;=74</f>
        <v/>
      </c>
      <c r="D2411">
        <f>IF(Skills!C21=1,60+Inputs!$B$25+Inputs!$B$29,IF(Skills!C21=2,90+Inputs!$B$26+Inputs!$B$29,IF(Skills!C21=3,120+Inputs!$B$27+Inputs!$B$29,MAX(0,(Inputs!$B$3-100)*3)+Inputs!$B$28+Inputs!$B$29)))</f>
        <v/>
      </c>
      <c r="E2411">
        <f>INDEX(FactorTable!$B$2:$Y$301, MATCH(ROUND(MIN(300,MAX(1,D2411)),0), FactorTable!$A$2:$A$301,0), Skills!L21+1)</f>
        <v/>
      </c>
      <c r="F2411">
        <f>IF(Skills!M21=TRUE,(Skills!K21/10)*(E2411/1000),Skills!K21/10)+Skills!N21</f>
        <v/>
      </c>
      <c r="G2411">
        <f>Calc!G21</f>
        <v/>
      </c>
      <c r="H2411">
        <f>Calc!H21</f>
        <v/>
      </c>
      <c r="I2411">
        <f>IF(Skills!T21&lt;&gt;"",1+(Skills!T21/10)*(Z2393/1000)/100,1)</f>
        <v/>
      </c>
      <c r="J2411" t="inlineStr"/>
      <c r="K2411" t="inlineStr"/>
      <c r="L2411" t="inlineStr"/>
      <c r="M2411" t="inlineStr"/>
      <c r="N2411" t="inlineStr"/>
      <c r="O2411">
        <f>(1-Summary!$B$11)*S2411+Summary!$B$11*U2411</f>
        <v/>
      </c>
      <c r="P2411">
        <f>IF(B2427=0,0,O2411/B2427)</f>
        <v/>
      </c>
      <c r="Q2411">
        <f>IFERROR(1/IF(Inputs!$B$38="pvp",15,MAX(0.1,Skills!D21-IF(Skills!E21=TRUE,Inputs!$B$32,0))),0)</f>
        <v/>
      </c>
      <c r="R2411" t="n">
        <v>0</v>
      </c>
      <c r="S2411" t="n">
        <v>0</v>
      </c>
      <c r="U2411" t="n">
        <v>0</v>
      </c>
    </row>
    <row r="2412">
      <c r="A2412">
        <f>Skills!A22</f>
        <v/>
      </c>
      <c r="B2412">
        <f>Skills!B22</f>
        <v/>
      </c>
      <c r="C2412">
        <f>Inputs!$B$3&gt;=117</f>
        <v/>
      </c>
      <c r="D2412">
        <f>IF(Skills!C22=1,60+Inputs!$B$25+Inputs!$B$29,IF(Skills!C22=2,90+Inputs!$B$26+Inputs!$B$29,IF(Skills!C22=3,120+Inputs!$B$27+Inputs!$B$29,MAX(0,(Inputs!$B$3-100)*3)+Inputs!$B$28+Inputs!$B$29)))</f>
        <v/>
      </c>
      <c r="E2412">
        <f>INDEX(FactorTable!$B$2:$Y$301, MATCH(ROUND(MIN(300,MAX(1,D2412)),0), FactorTable!$A$2:$A$301,0), Skills!L22+1)</f>
        <v/>
      </c>
      <c r="F2412">
        <f>IF(Skills!M22=TRUE,(Skills!K22/10)*(E2412/1000),Skills!K22/10)+Skills!N22</f>
        <v/>
      </c>
      <c r="G2412">
        <f>Calc!G22</f>
        <v/>
      </c>
      <c r="H2412">
        <f>Calc!H22</f>
        <v/>
      </c>
      <c r="I2412">
        <f>IF(Skills!T22&lt;&gt;"",1+(Skills!T22/10)*(Z2393/1000)/100,1)</f>
        <v/>
      </c>
      <c r="J2412" t="inlineStr"/>
      <c r="K2412" t="inlineStr"/>
      <c r="L2412" t="inlineStr"/>
      <c r="M2412" t="inlineStr"/>
      <c r="N2412" t="inlineStr"/>
      <c r="O2412">
        <f>(1-Summary!$B$11)*S2412+Summary!$B$11*U2412</f>
        <v/>
      </c>
      <c r="P2412">
        <f>IF(B2427=0,0,O2412/B2427)</f>
        <v/>
      </c>
      <c r="Q2412">
        <f>IFERROR(1/IF(Inputs!$B$38="pvp",15,MAX(0.1,Skills!D22-IF(Skills!E22=TRUE,Inputs!$B$32,0))),0)</f>
        <v/>
      </c>
      <c r="R2412" t="n">
        <v>0</v>
      </c>
      <c r="S2412" t="n">
        <v>0</v>
      </c>
      <c r="U2412" t="n">
        <v>0</v>
      </c>
    </row>
    <row r="2413">
      <c r="A2413">
        <f>Skills!A23</f>
        <v/>
      </c>
      <c r="B2413">
        <f>Skills!B23</f>
        <v/>
      </c>
      <c r="C2413">
        <f>Inputs!$B$3&gt;=120</f>
        <v/>
      </c>
      <c r="D2413">
        <f>IF(Skills!C23=1,60+Inputs!$B$25+Inputs!$B$29,IF(Skills!C23=2,90+Inputs!$B$26+Inputs!$B$29,IF(Skills!C23=3,120+Inputs!$B$27+Inputs!$B$29,MAX(0,(Inputs!$B$3-100)*3)+Inputs!$B$28+Inputs!$B$29)))</f>
        <v/>
      </c>
      <c r="E2413">
        <f>INDEX(FactorTable!$B$2:$Y$301, MATCH(ROUND(MIN(300,MAX(1,D2413)),0), FactorTable!$A$2:$A$301,0), Skills!L23+1)</f>
        <v/>
      </c>
      <c r="F2413">
        <f>IF(Skills!M23=TRUE,(Skills!K23/10)*(E2413/1000),Skills!K23/10)+Skills!N23</f>
        <v/>
      </c>
      <c r="G2413">
        <f>Calc!G23</f>
        <v/>
      </c>
      <c r="H2413">
        <f>Calc!H23</f>
        <v/>
      </c>
      <c r="I2413">
        <f>IF(Skills!T23&lt;&gt;"",1+(Skills!T23/10)*(Z2393/1000)/100,1)</f>
        <v/>
      </c>
      <c r="J2413" t="inlineStr"/>
      <c r="K2413" t="inlineStr"/>
      <c r="L2413" t="inlineStr"/>
      <c r="M2413" t="inlineStr"/>
      <c r="N2413" t="inlineStr"/>
      <c r="O2413">
        <f>(1-Summary!$B$11)*S2413+Summary!$B$11*U2413</f>
        <v/>
      </c>
      <c r="P2413">
        <f>IF(B2427=0,0,O2413/B2427)</f>
        <v/>
      </c>
      <c r="Q2413">
        <f>IFERROR(1/IF(Inputs!$B$38="pvp",15,MAX(0.1,Skills!D23-IF(Skills!E23=TRUE,Inputs!$B$32,0))),0)</f>
        <v/>
      </c>
      <c r="R2413" t="n">
        <v>0</v>
      </c>
      <c r="S2413" t="n">
        <v>0</v>
      </c>
      <c r="U2413" t="n">
        <v>0</v>
      </c>
    </row>
    <row r="2414">
      <c r="A2414">
        <f>Skills!A24</f>
        <v/>
      </c>
      <c r="B2414">
        <f>Skills!B24</f>
        <v/>
      </c>
      <c r="C2414">
        <f>TRUE</f>
        <v/>
      </c>
      <c r="D2414">
        <f>IF(Skills!C24=1,60+Inputs!$B$25+Inputs!$B$29,IF(Skills!C24=2,90+Inputs!$B$26+Inputs!$B$29,IF(Skills!C24=3,120+Inputs!$B$27+Inputs!$B$29,MAX(0,(Inputs!$B$3-100)*3)+Inputs!$B$28+Inputs!$B$29)))</f>
        <v/>
      </c>
      <c r="E2414">
        <f>INDEX(FactorTable!$B$2:$Y$301, MATCH(ROUND(MIN(300,MAX(1,D2414)),0), FactorTable!$A$2:$A$301,0), Skills!L24+1)</f>
        <v/>
      </c>
      <c r="F2414">
        <f>IF(Skills!M24=TRUE,(Skills!K24/10)*(E2414/1000),Skills!K24/10)+Skills!N24</f>
        <v/>
      </c>
      <c r="G2414">
        <f>Calc!G24</f>
        <v/>
      </c>
      <c r="H2414">
        <f>Calc!H24</f>
        <v/>
      </c>
      <c r="I2414">
        <f>IF(Skills!T24&lt;&gt;"",1+(Skills!T24/10)*(Z2393/1000)/100,1)</f>
        <v/>
      </c>
      <c r="J2414" t="inlineStr"/>
      <c r="K2414" t="inlineStr"/>
      <c r="L2414" t="inlineStr"/>
      <c r="M2414" t="inlineStr"/>
      <c r="N2414" t="inlineStr"/>
      <c r="O2414">
        <f>(1-Summary!$B$11)*S2414+Summary!$B$11*U2414</f>
        <v/>
      </c>
      <c r="P2414">
        <f>IF(B2427=0,0,O2414/B2427)</f>
        <v/>
      </c>
      <c r="Q2414">
        <f>IFERROR(1/IF(Inputs!$B$38="pvp",15,MAX(0.1,Skills!D24-IF(Skills!E24=TRUE,Inputs!$B$32,0))),0)</f>
        <v/>
      </c>
      <c r="R2414">
        <f>IF(AND(Inputs!$B$38&lt;&gt;"pvp",Inputs!$B$43&gt;0),IF(Inputs!$B$43&lt;=0,0,(INT(Inputs!$B$43/IF(Inputs!$B$38="pvp",15,MAX(0.1,Skills!D24-IF(Skills!E24=TRUE,Inputs!$B$32,0))))+1)),0)</f>
        <v/>
      </c>
      <c r="S2414" t="n">
        <v>0</v>
      </c>
      <c r="U2414" t="n">
        <v>0</v>
      </c>
    </row>
    <row r="2417">
      <c r="A2417" t="inlineStr">
        <is>
          <t>Average Buff Multiplier (Magic Guard + Meditation + Artifact Attack%, summed; then Infinity)</t>
        </is>
      </c>
      <c r="B2417">
        <f>(1+(IF(C2393=TRUE,F2393*IF(AND(Inputs!$B$38&lt;&gt;"pvp",Inputs!$B$43&gt;0),(((R2393-1)*(Skills!S3*(1+(Inputs!$B$34)/100))+MIN((Skills!S3*(1+(Inputs!$B$34)/100)),MAX(0,Inputs!$B$43-((R2393-1)*Skills!D3))))/Inputs!$B$43),IF(Inputs!$B$38="pvp",MIN((Skills!S3*(1+(Inputs!$B$34)/100)),15)/15,(Skills!S3*(1+(Inputs!$B$34)/100))/Skills!D3)),0)+IF(C2394=TRUE,F2394*IF(AND(Inputs!$B$38&lt;&gt;"pvp",Inputs!$B$43&gt;0),(((R2394-1)*(Skills!S4*(1+(Inputs!$B$34)/100))+MIN((Skills!S4*(1+(Inputs!$B$34)/100)),MAX(0,Inputs!$B$43-((R2394-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2406=TRUE,(1+F2406*IF(AND(Inputs!$B$38&lt;&gt;"pvp",Inputs!$B$43&gt;0),(((R2406-1)*(Skills!S16*(1+(Inputs!$B$34)/100))+MIN((Skills!S16*(1+(Inputs!$B$34)/100)),MAX(0,Inputs!$B$43-((R2406-1)*Skills!D16))))/Inputs!$B$43),IF(Inputs!$B$38="pvp",MIN((Skills!S16*(1+(Inputs!$B$34)/100)),15)/15,(Skills!S16*(1+(Inputs!$B$34)/100))/Skills!D16))/100),1)</f>
        <v/>
      </c>
    </row>
    <row r="2418">
      <c r="A2418" t="inlineStr">
        <is>
          <t>Monster Damage Taken Bonus % (Freezing Breath - Weaken + Elemental Reset + Artifact Enemy Damage Taken, summed)</t>
        </is>
      </c>
      <c r="B2418">
        <f>IF(Inputs!$B$3&gt;=118,15*IF(Inputs!$B$38="pvp",MIN((30*(1+(Inputs!$B$34)/100)),15)/15,(30*(1+(Inputs!$B$34)/100))/Skills!D8),0)+IF(C2404=TRUE,F2404,0)+(IF(AND(ArtifactsInput!$M$35,Inputs!$B$4&lt;&gt;"Chapter Hunt"),CHOOSE(ArtifactsInput!$N$35+1,15,18,21,24,27,30)*(1-EXP(-(0.2*B2421)*5)),0)+IF(AND(ArtifactsInput!$M$22,Inputs!$B$4&lt;&gt;"Chapter Hunt"),CHOOSE(ArtifactsInput!$N$22+1,10,12,14,16,18,20)*((0*(((0.15*B2421*5))^0/1)+1*(((0.15*B2421*5))^1/1)+2*(((0.15*B2421*5))^2/2)+3*(((0.15*B2421*5))^3/6)+4*(((0.15*B2421*5))^4/24)+5*(((0.15*B2421*5))^5/120))/((((0.15*B2421*5))^0/1)+(((0.15*B2421*5))^1/1)+(((0.15*B2421*5))^2/2)+(((0.15*B2421*5))^3/6)+(((0.15*B2421*5))^4/24)+(((0.15*B2421*5))^5/120))),0))</f>
        <v/>
      </c>
    </row>
    <row r="2419">
      <c r="A2419" t="inlineStr">
        <is>
          <t>Damage % Bonus (Frozen Break + Frost Clutch, flat)</t>
        </is>
      </c>
      <c r="B2419">
        <f>IF(Inputs!$B$3&gt;=66,15,0)+IF(Inputs!$B$3&gt;=98,10,0)+IF(Inputs!$B$3&gt;=125,20,0)</f>
        <v/>
      </c>
    </row>
    <row r="2420">
      <c r="A2420" t="inlineStr">
        <is>
          <t>Attack Speed Bonus % (MP Eater - MP Boost, always-on + Nimble Feet, duty-cycle averaged)</t>
        </is>
      </c>
      <c r="B2420">
        <f>IF(C2403=TRUE,F2403+(F2407-Calc!F17),0)+((C2414=TRUE)*F2414*IF(AND(Inputs!$B$38&lt;&gt;"pvp",Inputs!$B$43&gt;0),(((R2414-1)*(Skills!S24*(1+(Inputs!$B$34)/100))+MIN((Skills!S24*(1+(Inputs!$B$34)/100)),MAX(0,Inputs!$B$43-((R2414-1)*Skills!D24))))/Inputs!$B$43),IF(Inputs!$B$38="pvp",MIN((Skills!S24*(1+(Inputs!$B$34)/100)),15)/15,(Skills!S24*(1+(Inputs!$B$34)/100))/Skills!D24)))</f>
        <v/>
      </c>
    </row>
    <row r="2421">
      <c r="A2421" t="inlineStr">
        <is>
          <t>Actions Per Second</t>
        </is>
      </c>
      <c r="B2421">
        <f>1+MIN(150,150*(1-(1-(Inputs!$B$11+(ArtifactsInput!$M$15-ArtifactsInput!$M$15)*CHOOSE(ArtifactsInput!$N$15+1,8,9.6,11.2,12.8,14.4,16))/150)*(1-B2420/150)))/100</f>
        <v/>
      </c>
    </row>
    <row r="2422">
      <c r="A2422" t="inlineStr">
        <is>
          <t>Skill + Buff Cast Rate</t>
        </is>
      </c>
      <c r="B2422">
        <f>IF(AND(Inputs!$B$38&lt;&gt;"pvp",Inputs!$B$43&gt;0),SUMPRODUCT((Skills!E2:E24=TRUE)*(C2392:C2414=TRUE)*R2392:R2414)/Inputs!$B$43,SUMPRODUCT((Skills!E2:E24=TRUE)*(C2392:C2414=TRUE)*Q2392:Q2414))</f>
        <v/>
      </c>
    </row>
    <row r="2423">
      <c r="A2423" t="inlineStr">
        <is>
          <t>Chain Lightning Casts Per Second</t>
        </is>
      </c>
      <c r="B2423">
        <f>MAX(0,B2421-B2422)</f>
        <v/>
      </c>
    </row>
    <row r="2424">
      <c r="A2424" t="inlineStr">
        <is>
          <t>Buff-Casting Startup Delay (s, fixed-duration only)</t>
        </is>
      </c>
      <c r="B2424">
        <f>IF(AND(Inputs!$B$38&lt;&gt;"pvp",Inputs!$B$43&gt;0),SUMPRODUCT((Skills!S2:S24&gt;0)*(Skills!E2:E24=TRUE)*(C2392:C2414=TRUE))/B2421,0)</f>
        <v/>
      </c>
    </row>
    <row r="2425">
      <c r="A2425" t="inlineStr">
        <is>
          <t>Boss-Only Total DPS (this block's swept value)</t>
        </is>
      </c>
      <c r="B2425">
        <f>SUM(S2392:S2414)</f>
        <v/>
      </c>
    </row>
    <row r="2426">
      <c r="A2426" t="inlineStr">
        <is>
          <t>Normal-Only Total DPS (this block's swept value)</t>
        </is>
      </c>
      <c r="B2426">
        <f>SUM(U2392:U2414)</f>
        <v/>
      </c>
    </row>
    <row r="2427">
      <c r="A2427" s="6" t="inlineStr">
        <is>
          <t>TOTAL DPS</t>
        </is>
      </c>
      <c r="B2427" s="6">
        <f>SUM(O2392:O2414)</f>
        <v/>
      </c>
    </row>
    <row r="2430">
      <c r="A2430" s="6" t="inlineStr">
        <is>
          <t>Stat: Secret Map (Equip)</t>
        </is>
      </c>
    </row>
    <row r="2431">
      <c r="A2431" s="5" t="inlineStr">
        <is>
          <t>Key</t>
        </is>
      </c>
      <c r="B2431" s="5" t="inlineStr">
        <is>
          <t>Name</t>
        </is>
      </c>
      <c r="C2431" s="5" t="inlineStr">
        <is>
          <t>Unlocked</t>
        </is>
      </c>
      <c r="D2431" s="5" t="inlineStr">
        <is>
          <t>InputLevel</t>
        </is>
      </c>
      <c r="E2431" s="5" t="inlineStr">
        <is>
          <t>Factor</t>
        </is>
      </c>
      <c r="F2431" s="5" t="inlineStr">
        <is>
          <t>CoefficientPercent</t>
        </is>
      </c>
      <c r="G2431" s="5" t="inlineStr">
        <is>
          <t>EffectiveHits</t>
        </is>
      </c>
      <c r="H2431" s="5" t="inlineStr">
        <is>
          <t>ProcProbability</t>
        </is>
      </c>
      <c r="I2431" s="5" t="inlineStr">
        <is>
          <t>MapleHeroMultiplier</t>
        </is>
      </c>
      <c r="J2431" s="5" t="inlineStr">
        <is>
          <t>BaseDamage</t>
        </is>
      </c>
      <c r="K2431" s="5" t="inlineStr">
        <is>
          <t>BaseHitDamage</t>
        </is>
      </c>
      <c r="L2431" s="5" t="inlineStr">
        <is>
          <t>NonCritAvg</t>
        </is>
      </c>
      <c r="M2431" s="5" t="inlineStr">
        <is>
          <t>CritAvg</t>
        </is>
      </c>
      <c r="N2431" s="5" t="inlineStr">
        <is>
          <t>ExpectedDamage(perHit)</t>
        </is>
      </c>
      <c r="O2431" s="5" t="inlineStr">
        <is>
          <t>DPS</t>
        </is>
      </c>
      <c r="P2431" s="5" t="inlineStr">
        <is>
          <t>% of Total</t>
        </is>
      </c>
      <c r="R2431" t="inlineStr">
        <is>
          <t>helpers</t>
        </is>
      </c>
    </row>
    <row r="2432">
      <c r="A2432">
        <f>Skills!A2</f>
        <v/>
      </c>
      <c r="B2432">
        <f>Skills!B2</f>
        <v/>
      </c>
      <c r="C2432">
        <f>Inputs!$B$3&gt;=100</f>
        <v/>
      </c>
      <c r="D2432" t="inlineStr"/>
      <c r="E2432" t="inlineStr"/>
      <c r="F2432">
        <f>T2434+Skills!N2</f>
        <v/>
      </c>
      <c r="G2432">
        <f>Calc!G2</f>
        <v/>
      </c>
      <c r="H2432">
        <f>Calc!H2</f>
        <v/>
      </c>
      <c r="I2432">
        <f>IF(Skills!T2&lt;&gt;"",1+(Skills!T2/10)*(Z2433/1000)/100,1)</f>
        <v/>
      </c>
      <c r="J2432">
        <f>((Inputs!$B$6*(1+Inputs!$B$7/100))+(((Inputs!$B$12*(1+Inputs!$B$13/100))-(Inputs!$B$12*(1+Inputs!$B$13/100)))+0.25*(Inputs!$B$14-Inputs!$B$14))*(1+Inputs!$B$7/100))*(F2432/100)</f>
        <v/>
      </c>
      <c r="K2432">
        <f>J2432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2="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F2448-Calc!F18),(Inputs!$B$23+(IF(ArtifactsInput!$M$15,CHOOSE(ArtifactsInput!$N$15+1,25,30,35,40,45,50)/100*(Inputs!$B$11-Inputs!$B$11),0))))/100+(Inputs!$B$23+(IF(ArtifactsInput!$M$15,CHOOSE(ArtifactsInput!$N$15+1,25,30,35,40,45,50)/100*(Inputs!$B$11-Inputs!$B$11),0)))/100)/2</f>
        <v/>
      </c>
      <c r="M2432">
        <f>L2432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(1-Summary!$B$11)*S2432+Summary!$B$11*U2432</f>
        <v/>
      </c>
      <c r="P2432">
        <f>IF(B2467=0,0,O2432/B2467)</f>
        <v/>
      </c>
      <c r="Q2432">
        <f>IFERROR(1/IF(Inputs!$B$38="pvp",15,MAX(0.1,Skills!D2-IF(Skills!E2=TRUE,Inputs!$B$32,0))),0)</f>
        <v/>
      </c>
      <c r="R2432" t="n">
        <v>0</v>
      </c>
      <c r="S2432">
        <f>IF(C2432,(Skills!F2*N2432*B2463)*IF(Inputs!$B$38="pvp",1,1+(Inputs!$B$20+Skills!O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2432*(1-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32">
        <f>MAX(0,(Inputs!$B$3-100)*3)+Inputs!$B$28+Inputs!$B$29</f>
        <v/>
      </c>
      <c r="U2432">
        <f>IF(C2432,(Skills!F2*N2432*B2463)*IF(Inputs!$B$38="pvp",1,(1+(Inputs!$B$21+Skills!P2+B2458+(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32">
        <f>MAX(0,(Inputs!$B$3-100)*3)+Inputs!$B$28+Inputs!$B$29</f>
        <v/>
      </c>
    </row>
    <row r="2433">
      <c r="A2433">
        <f>Skills!A3</f>
        <v/>
      </c>
      <c r="B2433">
        <f>Skills!B3</f>
        <v/>
      </c>
      <c r="C2433">
        <f>Inputs!$B$3&gt;=15</f>
        <v/>
      </c>
      <c r="D2433">
        <f>IF(Skills!C3=1,60+Inputs!$B$25+Inputs!$B$29,IF(Skills!C3=2,90+Inputs!$B$26+Inputs!$B$29,IF(Skills!C3=3,120+Inputs!$B$27+Inputs!$B$29,MAX(0,(Inputs!$B$3-100)*3)+Inputs!$B$28+Inputs!$B$29)))</f>
        <v/>
      </c>
      <c r="E2433">
        <f>INDEX(FactorTable!$B$2:$Y$301, MATCH(ROUND(MIN(300,MAX(1,D2433)),0), FactorTable!$A$2:$A$301,0), Skills!L3+1)</f>
        <v/>
      </c>
      <c r="F2433">
        <f>IF(Skills!M3=TRUE,(Skills!K3/10)*(E2433/1000),Skills!K3/10)+Skills!N3</f>
        <v/>
      </c>
      <c r="G2433">
        <f>Calc!G3</f>
        <v/>
      </c>
      <c r="H2433">
        <f>Calc!H3</f>
        <v/>
      </c>
      <c r="I2433">
        <f>IF(Skills!T3&lt;&gt;"",1+(Skills!T3/10)*(Z2433/1000)/100,1)</f>
        <v/>
      </c>
      <c r="J2433" t="inlineStr"/>
      <c r="K2433" t="inlineStr"/>
      <c r="L2433" t="inlineStr"/>
      <c r="M2433" t="inlineStr"/>
      <c r="N2433" t="inlineStr"/>
      <c r="O2433">
        <f>(1-Summary!$B$11)*S2433+Summary!$B$11*U2433</f>
        <v/>
      </c>
      <c r="P2433">
        <f>IF(B2467=0,0,O2433/B2467)</f>
        <v/>
      </c>
      <c r="Q2433">
        <f>IFERROR(1/IF(Inputs!$B$38="pvp",15,MAX(0.1,Skills!D3-IF(Skills!E3=TRUE,Inputs!$B$32,0))),0)</f>
        <v/>
      </c>
      <c r="R2433">
        <f>IF(AND(Inputs!$B$38&lt;&gt;"pvp",Inputs!$B$43&gt;0),IF(Inputs!$B$43&lt;=0,0,(INT(Inputs!$B$43/IF(Inputs!$B$38="pvp",15,MAX(0.1,Skills!D3-IF(Skills!E3=TRUE,Inputs!$B$32,0))))+1)),0)</f>
        <v/>
      </c>
      <c r="S2433" t="n">
        <v>0</v>
      </c>
      <c r="T2433">
        <f>INDEX(FactorTable!$B$2:$Y$301, MATCH(ROUND(MIN(300,MAX(1,T2432)),0), FactorTable!$A$2:$A$301,0), 22)</f>
        <v/>
      </c>
      <c r="U2433" t="n">
        <v>0</v>
      </c>
      <c r="Z2433">
        <f>INDEX(FactorTable!$B$2:$Y$301, MATCH(ROUND(MIN(300,MAX(1,Z2432)),0), FactorTable!$A$2:$A$301,0), 24)</f>
        <v/>
      </c>
    </row>
    <row r="2434">
      <c r="A2434">
        <f>Skills!A4</f>
        <v/>
      </c>
      <c r="B2434">
        <f>Skills!B4</f>
        <v/>
      </c>
      <c r="C2434">
        <f>Inputs!$B$3&gt;=40</f>
        <v/>
      </c>
      <c r="D2434">
        <f>IF(Skills!C4=1,60+Inputs!$B$25+Inputs!$B$29,IF(Skills!C4=2,90+Inputs!$B$26+Inputs!$B$29,IF(Skills!C4=3,120+Inputs!$B$27+Inputs!$B$29,MAX(0,(Inputs!$B$3-100)*3)+Inputs!$B$28+Inputs!$B$29)))</f>
        <v/>
      </c>
      <c r="E2434">
        <f>INDEX(FactorTable!$B$2:$Y$301, MATCH(ROUND(MIN(300,MAX(1,D2434)),0), FactorTable!$A$2:$A$301,0), Skills!L4+1)</f>
        <v/>
      </c>
      <c r="F2434">
        <f>IF(Skills!M4=TRUE,(Skills!K4/10)*(E2434/1000),Skills!K4/10)+Skills!N4</f>
        <v/>
      </c>
      <c r="G2434">
        <f>Calc!G4</f>
        <v/>
      </c>
      <c r="H2434">
        <f>Calc!H4</f>
        <v/>
      </c>
      <c r="I2434">
        <f>IF(Skills!T4&lt;&gt;"",1+(Skills!T4/10)*(Z2433/1000)/100,1)</f>
        <v/>
      </c>
      <c r="J2434" t="inlineStr"/>
      <c r="K2434" t="inlineStr"/>
      <c r="L2434" t="inlineStr"/>
      <c r="M2434" t="inlineStr"/>
      <c r="N2434" t="inlineStr"/>
      <c r="O2434">
        <f>(1-Summary!$B$11)*S2434+Summary!$B$11*U2434</f>
        <v/>
      </c>
      <c r="P2434">
        <f>IF(B2467=0,0,O2434/B2467)</f>
        <v/>
      </c>
      <c r="Q2434">
        <f>IFERROR(1/IF(Inputs!$B$38="pvp",15,MAX(0.1,Skills!D4-IF(Skills!E4=TRUE,Inputs!$B$32,0))),0)</f>
        <v/>
      </c>
      <c r="R2434">
        <f>IF(AND(Inputs!$B$38&lt;&gt;"pvp",Inputs!$B$43&gt;0),IF(Inputs!$B$43&lt;=0,0,(INT(Inputs!$B$43/IF(Inputs!$B$38="pvp",15,MAX(0.1,Skills!D4-IF(Skills!E4=TRUE,Inputs!$B$32,0))))+1)),0)</f>
        <v/>
      </c>
      <c r="S2434" t="n">
        <v>0</v>
      </c>
      <c r="T2434">
        <f>290*T2433/1000</f>
        <v/>
      </c>
      <c r="U2434" t="n">
        <v>0</v>
      </c>
    </row>
    <row r="2435">
      <c r="A2435">
        <f>Skills!A5</f>
        <v/>
      </c>
      <c r="B2435">
        <f>Skills!B5</f>
        <v/>
      </c>
      <c r="C2435">
        <f>Inputs!$B$3&gt;=38</f>
        <v/>
      </c>
      <c r="D2435">
        <f>IF(Skills!C5=1,60+Inputs!$B$25+Inputs!$B$29,IF(Skills!C5=2,90+Inputs!$B$26+Inputs!$B$29,IF(Skills!C5=3,120+Inputs!$B$27+Inputs!$B$29,MAX(0,(Inputs!$B$3-100)*3)+Inputs!$B$28+Inputs!$B$29)))</f>
        <v/>
      </c>
      <c r="E2435">
        <f>INDEX(FactorTable!$B$2:$Y$301, MATCH(ROUND(MIN(300,MAX(1,D2435)),0), FactorTable!$A$2:$A$301,0), Skills!L5+1)</f>
        <v/>
      </c>
      <c r="F2435">
        <f>IF(Skills!M5=TRUE,(Skills!K5/10)*(E2435/1000),Skills!K5/10)+Skills!N5</f>
        <v/>
      </c>
      <c r="G2435">
        <f>Calc!G5</f>
        <v/>
      </c>
      <c r="H2435">
        <f>Calc!H5</f>
        <v/>
      </c>
      <c r="I2435">
        <f>IF(Skills!T5&lt;&gt;"",1+(Skills!T5/10)*(Z2433/1000)/100,1)</f>
        <v/>
      </c>
      <c r="J2435">
        <f>((Inputs!$B$6*(1+Inputs!$B$7/100))+(((Inputs!$B$12*(1+Inputs!$B$13/100))-(Inputs!$B$12*(1+Inputs!$B$13/100)))+0.25*(Inputs!$B$14-Inputs!$B$14))*(1+Inputs!$B$7/100))*(F2435/100)</f>
        <v/>
      </c>
      <c r="K2435">
        <f>J2435*(1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5="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F2448-Calc!F18),(Inputs!$B$23+(IF(ArtifactsInput!$M$15,CHOOSE(ArtifactsInput!$N$15+1,25,30,35,40,45,50)/100*(Inputs!$B$11-Inputs!$B$11),0))))/100+(Inputs!$B$23+(IF(ArtifactsInput!$M$15,CHOOSE(ArtifactsInput!$N$15+1,25,30,35,40,45,50)/100*(Inputs!$B$11-Inputs!$B$11),0)))/100)/2</f>
        <v/>
      </c>
      <c r="M2435">
        <f>L2435*(1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(1-Summary!$B$11)*S2435+Summary!$B$11*U2435</f>
        <v/>
      </c>
      <c r="P2435">
        <f>IF(B2467=0,0,O2435/B2467)</f>
        <v/>
      </c>
      <c r="Q2435">
        <f>IFERROR(1/IF(Inputs!$B$38="pvp",15,MAX(0.1,Skills!D5-IF(Skills!E5=TRUE,Inputs!$B$32,0))),0)</f>
        <v/>
      </c>
      <c r="R2435">
        <f>IF(AND(Inputs!$B$38&lt;&gt;"pvp",Inputs!$B$43&gt;0),IF(MAX(0,Inputs!$B$43-B2464)&lt;=0,0,(INT(MAX(0,Inputs!$B$43-B2464)/IF(Inputs!$B$38="pvp",15,MAX(0.1,Skills!D5-IF(Skills!E5=TRUE,Inputs!$B$32,0))))+1)),0)</f>
        <v/>
      </c>
      <c r="S2435">
        <f>IF(C2435,(H2435*N2435*IF(AND(Inputs!$B$38&lt;&gt;"pvp",Inputs!$B$43&gt;0),((Skills!F5*((R2435-1)*IF(Skills!G5&gt;0,Skills!H5/Skills!G5,1)+IF(Skills!G5&gt;0,MIN(Skills!H5,MAX(0,MAX(0,Inputs!$B$43-B2464)-((R2435-1)*IF(Inputs!$B$38="pvp",15,MAX(0.1,Skills!D5-IF(Skills!E5=TRUE,Inputs!$B$32,0))))))/Skills!G5,1)))/Inputs!$B$43),G2435*Q2435))*IF(Inputs!$B$38="pvp",1,1+(Inputs!$B$20+Skills!O5+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2435*(1-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IF(C2435,(H2435*N2435*IF(AND(Inputs!$B$38&lt;&gt;"pvp",Inputs!$B$43&gt;0),((Skills!F5*((R2435-1)*IF(Skills!G5&gt;0,Skills!H5/Skills!G5,1)+IF(Skills!G5&gt;0,MIN(Skills!H5,MAX(0,MAX(0,Inputs!$B$43-B2464)-((R2435-1)*IF(Inputs!$B$38="pvp",15,MAX(0.1,Skills!D5-IF(Skills!E5=TRUE,Inputs!$B$32,0))))))/Skills!G5,1)))/Inputs!$B$43),G2435*Q2435))*IF(Inputs!$B$38="pvp",1,(1+(Inputs!$B$21+Skills!P5+B2458+(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Skills!A6</f>
        <v/>
      </c>
      <c r="B2436">
        <f>Skills!B6</f>
        <v/>
      </c>
      <c r="C2436">
        <f>Inputs!$B$3&gt;=63</f>
        <v/>
      </c>
      <c r="D2436">
        <f>IF(Skills!C6=1,60+Inputs!$B$25+Inputs!$B$29,IF(Skills!C6=2,90+Inputs!$B$26+Inputs!$B$29,IF(Skills!C6=3,120+Inputs!$B$27+Inputs!$B$29,MAX(0,(Inputs!$B$3-100)*3)+Inputs!$B$28+Inputs!$B$29)))</f>
        <v/>
      </c>
      <c r="E2436">
        <f>INDEX(FactorTable!$B$2:$Y$301, MATCH(ROUND(MIN(300,MAX(1,D2436)),0), FactorTable!$A$2:$A$301,0), Skills!L6+1)</f>
        <v/>
      </c>
      <c r="F2436">
        <f>IF(Skills!M6=TRUE,(Skills!K6/10)*(E2436/1000),Skills!K6/10)+Skills!N6</f>
        <v/>
      </c>
      <c r="G2436">
        <f>Calc!G6</f>
        <v/>
      </c>
      <c r="H2436">
        <f>Calc!H6</f>
        <v/>
      </c>
      <c r="I2436">
        <f>IF(Skills!T6&lt;&gt;"",1+(Skills!T6/10)*(Z2433/1000)/100,1)</f>
        <v/>
      </c>
      <c r="J2436">
        <f>((Inputs!$B$6*(1+Inputs!$B$7/100))+(((Inputs!$B$12*(1+Inputs!$B$13/100))-(Inputs!$B$12*(1+Inputs!$B$13/100)))+0.25*(Inputs!$B$14-Inputs!$B$14))*(1+Inputs!$B$7/100))*(F2436/100)</f>
        <v/>
      </c>
      <c r="K2436">
        <f>J2436*(1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6="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F2448-Calc!F18),(Inputs!$B$23+(IF(ArtifactsInput!$M$15,CHOOSE(ArtifactsInput!$N$15+1,25,30,35,40,45,50)/100*(Inputs!$B$11-Inputs!$B$11),0))))/100+(Inputs!$B$23+(IF(ArtifactsInput!$M$15,CHOOSE(ArtifactsInput!$N$15+1,25,30,35,40,45,50)/100*(Inputs!$B$11-Inputs!$B$11),0)))/100)/2</f>
        <v/>
      </c>
      <c r="M2436">
        <f>L2436*(1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(1-Summary!$B$11)*S2436+Summary!$B$11*U2436</f>
        <v/>
      </c>
      <c r="P2436">
        <f>IF(B2467=0,0,O2436/B2467)</f>
        <v/>
      </c>
      <c r="Q2436">
        <f>IFERROR(1/IF(Inputs!$B$38="pvp",15,MAX(0.1,Skills!D6-IF(Skills!E6=TRUE,Inputs!$B$32,0))),0)</f>
        <v/>
      </c>
      <c r="R2436">
        <f>IF(AND(Inputs!$B$38&lt;&gt;"pvp",Inputs!$B$43&gt;0),IF(MAX(0,Inputs!$B$43-B2464)&lt;=0,0,(INT(MAX(0,Inputs!$B$43-B2464)/IF(Inputs!$B$38="pvp",15,MAX(0.1,Skills!D6-IF(Skills!E6=TRUE,Inputs!$B$32,0))))+1)),0)</f>
        <v/>
      </c>
      <c r="S2436">
        <f>IF(C2436,(H2436*N2436*IF(AND(Inputs!$B$38&lt;&gt;"pvp",Inputs!$B$43&gt;0),((Skills!F6*((R2436-1)*IF(Skills!G6&gt;0,Skills!H6/Skills!G6,1)+IF(Skills!G6&gt;0,MIN(Skills!H6,MAX(0,MAX(0,Inputs!$B$43-B2464)-((R2436-1)*IF(Inputs!$B$38="pvp",15,MAX(0.1,Skills!D6-IF(Skills!E6=TRUE,Inputs!$B$32,0))))))/Skills!G6,1)))/Inputs!$B$43),G2436*Q2436))*IF(Inputs!$B$38="pvp",1,1+(Inputs!$B$20+Skills!O6+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2436*(1-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6">
        <f>IF(C2436,(H2436*N2436*IF(AND(Inputs!$B$38&lt;&gt;"pvp",Inputs!$B$43&gt;0),((Skills!F6*((R2436-1)*IF(Skills!G6&gt;0,Skills!H6/Skills!G6,1)+IF(Skills!G6&gt;0,MIN(Skills!H6,MAX(0,MAX(0,Inputs!$B$43-B2464)-((R2436-1)*IF(Inputs!$B$38="pvp",15,MAX(0.1,Skills!D6-IF(Skills!E6=TRUE,Inputs!$B$32,0))))))/Skills!G6,1)))/Inputs!$B$43),G2436*Q2436))*IF(Inputs!$B$38="pvp",1,(1+(Inputs!$B$21+Skills!P6+B2458+(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Skills!A7</f>
        <v/>
      </c>
      <c r="B2437">
        <f>Skills!B7</f>
        <v/>
      </c>
      <c r="C2437">
        <f>Inputs!$B$3&gt;=69</f>
        <v/>
      </c>
      <c r="D2437">
        <f>IF(Skills!C7=1,60+Inputs!$B$25+Inputs!$B$29,IF(Skills!C7=2,90+Inputs!$B$26+Inputs!$B$29,IF(Skills!C7=3,120+Inputs!$B$27+Inputs!$B$29,MAX(0,(Inputs!$B$3-100)*3)+Inputs!$B$28+Inputs!$B$29)))</f>
        <v/>
      </c>
      <c r="E2437">
        <f>INDEX(FactorTable!$B$2:$Y$301, MATCH(ROUND(MIN(300,MAX(1,D2437)),0), FactorTable!$A$2:$A$301,0), Skills!L7+1)</f>
        <v/>
      </c>
      <c r="F2437">
        <f>IF(Skills!M7=TRUE,(Skills!K7/10)*(E2437/1000),Skills!K7/10)+Skills!N7</f>
        <v/>
      </c>
      <c r="G2437">
        <f>Calc!G7</f>
        <v/>
      </c>
      <c r="H2437">
        <f>Calc!H7</f>
        <v/>
      </c>
      <c r="I2437">
        <f>IF(Skills!T7&lt;&gt;"",1+(Skills!T7/10)*(Z2433/1000)/100,1)</f>
        <v/>
      </c>
      <c r="J2437">
        <f>((Inputs!$B$6*(1+Inputs!$B$7/100))+(((Inputs!$B$12*(1+Inputs!$B$13/100))-(Inputs!$B$12*(1+Inputs!$B$13/100)))+0.25*(Inputs!$B$14-Inputs!$B$14))*(1+Inputs!$B$7/100))*(F2437/100)</f>
        <v/>
      </c>
      <c r="K2437">
        <f>J2437*(1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7="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F2448-Calc!F18),(Inputs!$B$23+(IF(ArtifactsInput!$M$15,CHOOSE(ArtifactsInput!$N$15+1,25,30,35,40,45,50)/100*(Inputs!$B$11-Inputs!$B$11),0))))/100+(Inputs!$B$23+(IF(ArtifactsInput!$M$15,CHOOSE(ArtifactsInput!$N$15+1,25,30,35,40,45,50)/100*(Inputs!$B$11-Inputs!$B$11),0)))/100)/2</f>
        <v/>
      </c>
      <c r="M2437">
        <f>L2437*(1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(1-Summary!$B$11)*S2437+Summary!$B$11*U2437</f>
        <v/>
      </c>
      <c r="P2437">
        <f>IF(B2467=0,0,O2437/B2467)</f>
        <v/>
      </c>
      <c r="Q2437">
        <f>IFERROR(1/IF(Inputs!$B$38="pvp",15,MAX(0.1,Skills!D7-IF(Skills!E7=TRUE,Inputs!$B$32,0))),0)</f>
        <v/>
      </c>
      <c r="R2437">
        <f>IF(AND(Inputs!$B$38&lt;&gt;"pvp",Inputs!$B$43&gt;0),IF(MAX(0,Inputs!$B$43-B2464)&lt;=0,0,(INT(MAX(0,Inputs!$B$43-B2464)/IF(Inputs!$B$38="pvp",15,MAX(0.1,Skills!D7-IF(Skills!E7=TRUE,Inputs!$B$32,0))))+1)),0)</f>
        <v/>
      </c>
      <c r="S2437">
        <f>IF(C2437,(H2437*N2437*IF(AND(Inputs!$B$38&lt;&gt;"pvp",Inputs!$B$43&gt;0),((Skills!F7*((R2437-1)*IF(Skills!G7&gt;0,Skills!H7/Skills!G7,1)+IF(Skills!G7&gt;0,MIN(Skills!H7,MAX(0,MAX(0,Inputs!$B$43-B2464)-((R2437-1)*IF(Inputs!$B$38="pvp",15,MAX(0.1,Skills!D7-IF(Skills!E7=TRUE,Inputs!$B$32,0))))))/Skills!G7,1)))/Inputs!$B$43),G2437*Q2437))*IF(Inputs!$B$38="pvp",1,1+(Inputs!$B$20+Skills!O7+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2437*(1-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7">
        <f>IF(C2437,(H2437*N2437*IF(AND(Inputs!$B$38&lt;&gt;"pvp",Inputs!$B$43&gt;0),((Skills!F7*((R2437-1)*IF(Skills!G7&gt;0,Skills!H7/Skills!G7,1)+IF(Skills!G7&gt;0,MIN(Skills!H7,MAX(0,MAX(0,Inputs!$B$43-B2464)-((R2437-1)*IF(Inputs!$B$38="pvp",15,MAX(0.1,Skills!D7-IF(Skills!E7=TRUE,Inputs!$B$32,0))))))/Skills!G7,1)))/Inputs!$B$43),G2437*Q2437))*IF(Inputs!$B$38="pvp",1,(1+(Inputs!$B$21+Skills!P7+B2458+(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Skills!A8</f>
        <v/>
      </c>
      <c r="B2438">
        <f>Skills!B8</f>
        <v/>
      </c>
      <c r="C2438">
        <f>Inputs!$B$3&gt;=103</f>
        <v/>
      </c>
      <c r="D2438">
        <f>IF(Skills!C8=1,60+Inputs!$B$25+Inputs!$B$29,IF(Skills!C8=2,90+Inputs!$B$26+Inputs!$B$29,IF(Skills!C8=3,120+Inputs!$B$27+Inputs!$B$29,MAX(0,(Inputs!$B$3-100)*3)+Inputs!$B$28+Inputs!$B$29)))</f>
        <v/>
      </c>
      <c r="E2438">
        <f>INDEX(FactorTable!$B$2:$Y$301, MATCH(ROUND(MIN(300,MAX(1,D2438)),0), FactorTable!$A$2:$A$301,0), Skills!L8+1)</f>
        <v/>
      </c>
      <c r="F2438">
        <f>IF(Skills!M8=TRUE,(Skills!K8/10)*(E2438/1000),Skills!K8/10)+Skills!N8</f>
        <v/>
      </c>
      <c r="G2438">
        <f>Calc!G8</f>
        <v/>
      </c>
      <c r="H2438">
        <f>Calc!H8</f>
        <v/>
      </c>
      <c r="I2438">
        <f>IF(Skills!T8&lt;&gt;"",1+(Skills!T8/10)*(Z2433/1000)/100,1)</f>
        <v/>
      </c>
      <c r="J2438">
        <f>((Inputs!$B$6*(1+Inputs!$B$7/100))+(((Inputs!$B$12*(1+Inputs!$B$13/100))-(Inputs!$B$12*(1+Inputs!$B$13/100)))+0.25*(Inputs!$B$14-Inputs!$B$14))*(1+Inputs!$B$7/100))*(F2438/100)</f>
        <v/>
      </c>
      <c r="K2438">
        <f>J2438*(1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8="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F2448-Calc!F18),(Inputs!$B$23+(IF(ArtifactsInput!$M$15,CHOOSE(ArtifactsInput!$N$15+1,25,30,35,40,45,50)/100*(Inputs!$B$11-Inputs!$B$11),0))))/100+(Inputs!$B$23+(IF(ArtifactsInput!$M$15,CHOOSE(ArtifactsInput!$N$15+1,25,30,35,40,45,50)/100*(Inputs!$B$11-Inputs!$B$11),0)))/100)/2</f>
        <v/>
      </c>
      <c r="M2438">
        <f>L2438*(1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(1-Summary!$B$11)*S2438+Summary!$B$11*U2438</f>
        <v/>
      </c>
      <c r="P2438">
        <f>IF(B2467=0,0,O2438/B2467)</f>
        <v/>
      </c>
      <c r="Q2438">
        <f>IFERROR(1/IF(Inputs!$B$38="pvp",15,MAX(0.1,Skills!D8-IF(Skills!E8=TRUE,Inputs!$B$32,0))),0)</f>
        <v/>
      </c>
      <c r="R2438">
        <f>IF(AND(Inputs!$B$38&lt;&gt;"pvp",Inputs!$B$43&gt;0),IF(MAX(0,Inputs!$B$43-B2464)&lt;=0,0,(INT(MAX(0,Inputs!$B$43-B2464)/IF(Inputs!$B$38="pvp",15,MAX(0.1,Skills!D8-IF(Skills!E8=TRUE,Inputs!$B$32,0))))+1)),0)</f>
        <v/>
      </c>
      <c r="S2438">
        <f>IF(C2438,(H2438*N2438*IF(AND(Inputs!$B$38&lt;&gt;"pvp",Inputs!$B$43&gt;0),((Skills!F8*((R2438-1)*IF(Skills!G8&gt;0,Skills!H8/Skills!G8,1)+IF(Skills!G8&gt;0,MIN(Skills!H8,MAX(0,MAX(0,Inputs!$B$43-B2464)-((R2438-1)*IF(Inputs!$B$38="pvp",15,MAX(0.1,Skills!D8-IF(Skills!E8=TRUE,Inputs!$B$32,0))))))/Skills!G8,1)))/Inputs!$B$43),G2438*Q2438))*IF(Inputs!$B$38="pvp",1,1+(Inputs!$B$20+Skills!O8+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2438*(1-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IF(C2438,(H2438*N2438*IF(AND(Inputs!$B$38&lt;&gt;"pvp",Inputs!$B$43&gt;0),((Skills!F8*((R2438-1)*IF(Skills!G8&gt;0,Skills!H8/Skills!G8,1)+IF(Skills!G8&gt;0,MIN(Skills!H8,MAX(0,MAX(0,Inputs!$B$43-B2464)-((R2438-1)*IF(Inputs!$B$38="pvp",15,MAX(0.1,Skills!D8-IF(Skills!E8=TRUE,Inputs!$B$32,0))))))/Skills!G8,1)))/Inputs!$B$43),G2438*Q2438))*IF(Inputs!$B$38="pvp",1,(1+(Inputs!$B$21+Skills!P8+B2458+(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Skills!A9</f>
        <v/>
      </c>
      <c r="B2439">
        <f>Skills!B9</f>
        <v/>
      </c>
      <c r="C2439">
        <f>Inputs!$B$3&gt;=105</f>
        <v/>
      </c>
      <c r="D2439">
        <f>IF(Skills!C9=1,60+Inputs!$B$25+Inputs!$B$29,IF(Skills!C9=2,90+Inputs!$B$26+Inputs!$B$29,IF(Skills!C9=3,120+Inputs!$B$27+Inputs!$B$29,MAX(0,(Inputs!$B$3-100)*3)+Inputs!$B$28+Inputs!$B$29)))</f>
        <v/>
      </c>
      <c r="E2439">
        <f>INDEX(FactorTable!$B$2:$Y$301, MATCH(ROUND(MIN(300,MAX(1,D2439)),0), FactorTable!$A$2:$A$301,0), Skills!L9+1)</f>
        <v/>
      </c>
      <c r="F2439">
        <f>IF(Skills!M9=TRUE,(Skills!K9/10)*(E2439/1000),Skills!K9/10)+Skills!N9</f>
        <v/>
      </c>
      <c r="G2439">
        <f>Calc!G9</f>
        <v/>
      </c>
      <c r="H2439">
        <f>Calc!H9</f>
        <v/>
      </c>
      <c r="I2439">
        <f>IF(Skills!T9&lt;&gt;"",1+(Skills!T9/10)*(Z2433/1000)/100,1)</f>
        <v/>
      </c>
      <c r="J2439">
        <f>((Inputs!$B$6*(1+Inputs!$B$7/100))+(((Inputs!$B$12*(1+Inputs!$B$13/100))-(Inputs!$B$12*(1+Inputs!$B$13/100)))+0.25*(Inputs!$B$14-Inputs!$B$14))*(1+Inputs!$B$7/100))*(F2439/100)</f>
        <v/>
      </c>
      <c r="K2439">
        <f>J2439*(1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9="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F2448-Calc!F18),(Inputs!$B$23+(IF(ArtifactsInput!$M$15,CHOOSE(ArtifactsInput!$N$15+1,25,30,35,40,45,50)/100*(Inputs!$B$11-Inputs!$B$11),0))))/100+(Inputs!$B$23+(IF(ArtifactsInput!$M$15,CHOOSE(ArtifactsInput!$N$15+1,25,30,35,40,45,50)/100*(Inputs!$B$11-Inputs!$B$11),0)))/100)/2</f>
        <v/>
      </c>
      <c r="M2439">
        <f>L2439*(1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(1-Summary!$B$11)*S2439+Summary!$B$11*U2439</f>
        <v/>
      </c>
      <c r="P2439">
        <f>IF(B2467=0,0,O2439/B2467)</f>
        <v/>
      </c>
      <c r="Q2439">
        <f>IFERROR(1/IF(Inputs!$B$38="pvp",15,MAX(0.1,Skills!D9-IF(Skills!E9=TRUE,Inputs!$B$32,0))),0)</f>
        <v/>
      </c>
      <c r="R2439">
        <f>IF(AND(Inputs!$B$38&lt;&gt;"pvp",Inputs!$B$43&gt;0),IF(MAX(0,Inputs!$B$43-B2464)&lt;=0,0,(INT(MAX(0,Inputs!$B$43-B2464)/IF(Inputs!$B$38="pvp",15,MAX(0.1,Skills!D9-IF(Skills!E9=TRUE,Inputs!$B$32,0))))+1)),0)</f>
        <v/>
      </c>
      <c r="S2439">
        <f>IF(C2439,(H2439*N2439*IF(AND(Inputs!$B$38&lt;&gt;"pvp",Inputs!$B$43&gt;0),((Skills!F9*((R2439-1)*IF(Skills!G9&gt;0,Skills!H9/Skills!G9,1)+IF(Skills!G9&gt;0,MIN(Skills!H9,MAX(0,MAX(0,Inputs!$B$43-B2464)-((R2439-1)*IF(Inputs!$B$38="pvp",15,MAX(0.1,Skills!D9-IF(Skills!E9=TRUE,Inputs!$B$32,0))))))/Skills!G9,1)))/Inputs!$B$43),G2439*Q2439))*IF(Inputs!$B$38="pvp",1,1+(Inputs!$B$20+Skills!O9+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2439*(1-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F(C2439,(H2439*N2439*IF(AND(Inputs!$B$38&lt;&gt;"pvp",Inputs!$B$43&gt;0),((Skills!F9*((R2439-1)*IF(Skills!G9&gt;0,Skills!H9/Skills!G9,1)+IF(Skills!G9&gt;0,MIN(Skills!H9,MAX(0,MAX(0,Inputs!$B$43-B2464)-((R2439-1)*IF(Inputs!$B$38="pvp",15,MAX(0.1,Skills!D9-IF(Skills!E9=TRUE,Inputs!$B$32,0))))))/Skills!G9,1)))/Inputs!$B$43),G2439*Q2439))*IF(Inputs!$B$38="pvp",1,(1+(Inputs!$B$21+Skills!P9+B2458+(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Skills!A10</f>
        <v/>
      </c>
      <c r="B2440">
        <f>Skills!B10</f>
        <v/>
      </c>
      <c r="C2440">
        <f>Inputs!$B$3&gt;=113</f>
        <v/>
      </c>
      <c r="D2440">
        <f>IF(Skills!C10=1,60+Inputs!$B$25+Inputs!$B$29,IF(Skills!C10=2,90+Inputs!$B$26+Inputs!$B$29,IF(Skills!C10=3,120+Inputs!$B$27+Inputs!$B$29,MAX(0,(Inputs!$B$3-100)*3)+Inputs!$B$28+Inputs!$B$29)))</f>
        <v/>
      </c>
      <c r="E2440">
        <f>INDEX(FactorTable!$B$2:$Y$301, MATCH(ROUND(MIN(300,MAX(1,D2440)),0), FactorTable!$A$2:$A$301,0), Skills!L10+1)</f>
        <v/>
      </c>
      <c r="F2440">
        <f>IF(Skills!M10=TRUE,(Skills!K10/10)*(E2440/1000),Skills!K10/10)+Skills!N10</f>
        <v/>
      </c>
      <c r="G2440">
        <f>Calc!G10</f>
        <v/>
      </c>
      <c r="H2440">
        <f>Calc!H10</f>
        <v/>
      </c>
      <c r="I2440">
        <f>IF(Skills!T10&lt;&gt;"",1+(Skills!T10/10)*(Z2433/1000)/100,1)</f>
        <v/>
      </c>
      <c r="J2440">
        <f>((Inputs!$B$6*(1+Inputs!$B$7/100))+(((Inputs!$B$12*(1+Inputs!$B$13/100))-(Inputs!$B$12*(1+Inputs!$B$13/100)))+0.25*(Inputs!$B$14-Inputs!$B$14))*(1+Inputs!$B$7/100))*(F2440/100)</f>
        <v/>
      </c>
      <c r="K2440">
        <f>J2440*(1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10="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F2448-Calc!F18),(Inputs!$B$23+(IF(ArtifactsInput!$M$15,CHOOSE(ArtifactsInput!$N$15+1,25,30,35,40,45,50)/100*(Inputs!$B$11-Inputs!$B$11),0))))/100+(Inputs!$B$23+(IF(ArtifactsInput!$M$15,CHOOSE(ArtifactsInput!$N$15+1,25,30,35,40,45,50)/100*(Inputs!$B$11-Inputs!$B$11),0)))/100)/2</f>
        <v/>
      </c>
      <c r="M2440">
        <f>L2440*(1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(1-Summary!$B$11)*S2440+Summary!$B$11*U2440</f>
        <v/>
      </c>
      <c r="P2440">
        <f>IF(B2467=0,0,O2440/B2467)</f>
        <v/>
      </c>
      <c r="Q2440">
        <f>IFERROR(1/IF(Inputs!$B$38="pvp",15,MAX(0.1,Skills!D10-IF(Skills!E9=TRUE,Inputs!$B$32,0))),0)</f>
        <v/>
      </c>
      <c r="R2440">
        <f>IF(AND(Inputs!$B$38&lt;&gt;"pvp",Inputs!$B$43&gt;0),IF(MAX(0,Inputs!$B$43-B2464)&lt;=0,0,(INT(MAX(0,Inputs!$B$43-B2464)/IF(Inputs!$B$38="pvp",15,MAX(0.1,Skills!D10-IF(Skills!E9=TRUE,Inputs!$B$32,0))))+1)),0)</f>
        <v/>
      </c>
      <c r="S2440">
        <f>IF(C2440,(H2440*N2440*IF(AND(Inputs!$B$38&lt;&gt;"pvp",Inputs!$B$43&gt;0),((Skills!F10*((R2440-1)*IF(Skills!G10&gt;0,Skills!H10/Skills!G10,1)+IF(Skills!G10&gt;0,MIN(Skills!H10,MAX(0,MAX(0,Inputs!$B$43-B2464)-((R2440-1)*IF(Inputs!$B$38="pvp",15,MAX(0.1,Skills!D10-IF(Skills!E9=TRUE,Inputs!$B$32,0))))))/Skills!G10,1)))/Inputs!$B$43),G2440*Q2440))*IF(Inputs!$B$38="pvp",1,1+(Inputs!$B$20+Skills!O10+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2440*(1-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IF(C2440,(H2440*N2440*IF(AND(Inputs!$B$38&lt;&gt;"pvp",Inputs!$B$43&gt;0),((Skills!F10*((R2440-1)*IF(Skills!G10&gt;0,Skills!H10/Skills!G10,1)+IF(Skills!G10&gt;0,MIN(Skills!H10,MAX(0,MAX(0,Inputs!$B$43-B2464)-((R2440-1)*IF(Inputs!$B$38="pvp",15,MAX(0.1,Skills!D10-IF(Skills!E9=TRUE,Inputs!$B$32,0))))))/Skills!G10,1)))/Inputs!$B$43),G2440*Q2440))*IF(Inputs!$B$38="pvp",1,(1+(Inputs!$B$21+Skills!P10+B2458+(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Skills!A11</f>
        <v/>
      </c>
      <c r="B2441">
        <f>Skills!B11</f>
        <v/>
      </c>
      <c r="C2441">
        <f>Inputs!$B$3&gt;=107</f>
        <v/>
      </c>
      <c r="D2441">
        <f>IF(Skills!C11=1,60+Inputs!$B$25+Inputs!$B$29,IF(Skills!C11=2,90+Inputs!$B$26+Inputs!$B$29,IF(Skills!C11=3,120+Inputs!$B$27+Inputs!$B$29,MAX(0,(Inputs!$B$3-100)*3)+Inputs!$B$28+Inputs!$B$29)))</f>
        <v/>
      </c>
      <c r="E2441">
        <f>INDEX(FactorTable!$B$2:$Y$301, MATCH(ROUND(MIN(300,MAX(1,D2441)),0), FactorTable!$A$2:$A$301,0), Skills!L11+1)</f>
        <v/>
      </c>
      <c r="F2441">
        <f>IF(Skills!M11=TRUE,(Skills!K11/10)*(E2441/1000),Skills!K11/10)+Skills!N11</f>
        <v/>
      </c>
      <c r="G2441">
        <f>Calc!G11</f>
        <v/>
      </c>
      <c r="H2441">
        <f>Calc!H11</f>
        <v/>
      </c>
      <c r="I2441">
        <f>IF(Skills!T11&lt;&gt;"",1+(Skills!T11/10)*(Z2433/1000)/100,1)</f>
        <v/>
      </c>
      <c r="J2441">
        <f>((Inputs!$B$6*(1+Inputs!$B$7/100))+(((Inputs!$B$12*(1+Inputs!$B$13/100))-(Inputs!$B$12*(1+Inputs!$B$13/100)))+0.25*(Inputs!$B$14-Inputs!$B$14))*(1+Inputs!$B$7/100))*(F2441/100)</f>
        <v/>
      </c>
      <c r="K2441">
        <f>J2441*(1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11="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F2448-Calc!F18),(Inputs!$B$23+(IF(ArtifactsInput!$M$15,CHOOSE(ArtifactsInput!$N$15+1,25,30,35,40,45,50)/100*(Inputs!$B$11-Inputs!$B$11),0))))/100+(Inputs!$B$23+(IF(ArtifactsInput!$M$15,CHOOSE(ArtifactsInput!$N$15+1,25,30,35,40,45,50)/100*(Inputs!$B$11-Inputs!$B$11),0)))/100)/2</f>
        <v/>
      </c>
      <c r="M2441">
        <f>L2441*(1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(1-Summary!$B$11)*S2441+Summary!$B$11*U2441</f>
        <v/>
      </c>
      <c r="P2441">
        <f>IF(B2467=0,0,O2441/B2467)</f>
        <v/>
      </c>
      <c r="Q2441">
        <f>IFERROR(1/IF(Inputs!$B$38="pvp",15,MAX(0.1,Skills!D11-IF(Skills!E11=TRUE,Inputs!$B$32,0))),0)</f>
        <v/>
      </c>
      <c r="R2441">
        <f>IF(AND(Inputs!$B$38&lt;&gt;"pvp",Inputs!$B$43&gt;0),IF(MAX(0,Inputs!$B$43-B2464)&lt;=0,0,(INT(MAX(0,Inputs!$B$43-B2464)/IF(Inputs!$B$38="pvp",15,MAX(0.1,Skills!D11-IF(Skills!E11=TRUE,Inputs!$B$32,0))))+1)),0)</f>
        <v/>
      </c>
      <c r="S2441">
        <f>IF(C2441,H2441*N2441*IF(AND(Inputs!$B$38&lt;&gt;"pvp",Inputs!$B$43&gt;0),((Skills!F11*((R2441-1)*IF(Skills!G11&gt;0,Skills!H11/Skills!G11,1)+IF(Skills!G11&gt;0,MIN(Skills!H11,MAX(0,MAX(0,Inputs!$B$43-B2464)-((R2441-1)*IF(Inputs!$B$38="pvp",15,MAX(0.1,Skills!D11-IF(Skills!E11=TRUE,Inputs!$B$32,0))))))/Skills!G11,1)))/Inputs!$B$43),G2441*Q2441)*0.5*IF(Inputs!$B$38="pvp",1,1+(Inputs!$B$20+Skills!O11+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2441*(1-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1">
        <f>IF(C2441,H2441*N2441*IF(AND(Inputs!$B$38&lt;&gt;"pvp",Inputs!$B$43&gt;0),((Skills!F11*((R2441-1)*IF(Skills!G11&gt;0,Skills!H11/Skills!G11,1)+IF(Skills!G11&gt;0,MIN(Skills!H11,MAX(0,MAX(0,Inputs!$B$43-B2464)-((R2441-1)*IF(Inputs!$B$38="pvp",15,MAX(0.1,Skills!D11-IF(Skills!E11=TRUE,Inputs!$B$32,0))))))/Skills!G11,1)))/Inputs!$B$43),G2441*Q2441)*1*IF(Inputs!$B$38="pvp",1,(1+(Inputs!$B$21+Skills!P11+B2458+(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Skills!A12</f>
        <v/>
      </c>
      <c r="B2442">
        <f>Skills!B12</f>
        <v/>
      </c>
      <c r="C2442">
        <f>Inputs!$B$3&gt;=115</f>
        <v/>
      </c>
      <c r="D2442">
        <f>IF(Skills!C12=1,60+Inputs!$B$25+Inputs!$B$29,IF(Skills!C12=2,90+Inputs!$B$26+Inputs!$B$29,IF(Skills!C12=3,120+Inputs!$B$27+Inputs!$B$29,MAX(0,(Inputs!$B$3-100)*3)+Inputs!$B$28+Inputs!$B$29)))</f>
        <v/>
      </c>
      <c r="E2442">
        <f>INDEX(FactorTable!$B$2:$Y$301, MATCH(ROUND(MIN(300,MAX(1,D2442)),0), FactorTable!$A$2:$A$301,0), Skills!L12+1)</f>
        <v/>
      </c>
      <c r="F2442">
        <f>IF(Skills!M12=TRUE,(Skills!K12/10)*(E2442/1000),Skills!K12/10)+Skills!N12</f>
        <v/>
      </c>
      <c r="G2442">
        <f>Calc!G12</f>
        <v/>
      </c>
      <c r="H2442">
        <f>Calc!H12</f>
        <v/>
      </c>
      <c r="I2442">
        <f>IF(Skills!T12&lt;&gt;"",1+(Skills!T12/10)*(Z2433/1000)/100,1)</f>
        <v/>
      </c>
      <c r="J2442">
        <f>((Inputs!$B$6*(1+Inputs!$B$7/100))+(((Inputs!$B$12*(1+Inputs!$B$13/100))-(Inputs!$B$12*(1+Inputs!$B$13/100)))+0.25*(Inputs!$B$14-Inputs!$B$14))*(1+Inputs!$B$7/100))*(F2442/100)</f>
        <v/>
      </c>
      <c r="K2442">
        <f>J2442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12="CHAIN_LIGHTNING",Inputs!$B$17+((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F2448-Calc!F18),(Inputs!$B$23+(IF(ArtifactsInput!$M$15,CHOOSE(ArtifactsInput!$N$15+1,25,30,35,40,45,50)/100*(Inputs!$B$11-Inputs!$B$11),0))))/100+(Inputs!$B$23+(IF(ArtifactsInput!$M$15,CHOOSE(ArtifactsInput!$N$15+1,25,30,35,40,45,50)/100*(Inputs!$B$11-Inputs!$B$11),0)))/100)/2</f>
        <v/>
      </c>
      <c r="M2442">
        <f>L2442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(1-Summary!$B$11)*S2442+Summary!$B$11*U2442</f>
        <v/>
      </c>
      <c r="P2442">
        <f>IF(B2467=0,0,O2442/B2467)</f>
        <v/>
      </c>
      <c r="Q2442">
        <f>IFERROR(1/IF(Inputs!$B$38="pvp",15,MAX(0.1,Skills!D12-IF(Skills!E12=TRUE,Inputs!$B$32,0))),0)</f>
        <v/>
      </c>
      <c r="R2442">
        <f>IF(AND(Inputs!$B$38&lt;&gt;"pvp",Inputs!$B$43&gt;0),IF(MAX(0,Inputs!$B$43-B2464)&lt;=0,0,(INT(MAX(0,Inputs!$B$43-B2464)/IF(Inputs!$B$38="pvp",15,MAX(0.1,Skills!D12-IF(Skills!E12=TRUE,Inputs!$B$32,0))))+1)),0)</f>
        <v/>
      </c>
      <c r="S2442">
        <f>IF(C2442,(H2442*N2442*IF(AND(Inputs!$B$38&lt;&gt;"pvp",Inputs!$B$43&gt;0),((Skills!F12*((R2442-1)*IF(Skills!G12&gt;0,Skills!H12/Skills!G12,1)+IF(Skills!G12&gt;0,MIN(Skills!H12,MAX(0,MAX(0,Inputs!$B$43-B2464)-((R2442-1)*IF(Inputs!$B$38="pvp",15,MAX(0.1,Skills!D12-IF(Skills!E12=TRUE,Inputs!$B$32,0))))))/Skills!G12,1)))/Inputs!$B$43),G2442*Q2442))*IF(Inputs!$B$38="pvp",1,1+(Inputs!$B$20+Skills!O12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2442*(1-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F2450-Calc!F20)+(F2449-Calc!F19))+(ArtifactsInput!$M$24-ArtifactsInput!$M$24)*CHOOSE(ArtifactsInput!$N$24+1,10,12,14,16,18,20)+(IF(AND(Inputs!$B$38&lt;&gt;"pvp",Inputs!$B$43=0),1,IF(IF(Inputs!$B$38="pvp",15,Inputs!$B$43)-(B2464)&lt;=0,1,MAX(0,IF(Inputs!$B$38="pvp",15,Inputs!$B$43)-MAX(5,B2464))/(IF(Inputs!$B$38="pvp",15,Inputs!$B$43)-(B2464)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2">
        <f>IF(C2442,(H2442*N2442*IF(AND(Inputs!$B$38&lt;&gt;"pvp",Inputs!$B$43&gt;0),((Skills!F12*((R2442-1)*IF(Skills!G12&gt;0,Skills!H12/Skills!G12,1)+IF(Skills!G12&gt;0,MIN(Skills!H12,MAX(0,MAX(0,Inputs!$B$43-B2464)-((R2442-1)*IF(Inputs!$B$38="pvp",15,MAX(0.1,Skills!D12-IF(Skills!E12=TRUE,Inputs!$B$32,0))))))/Skills!G12,1)))/Inputs!$B$43),G2442*Q2442))*IF(Inputs!$B$38="pvp",1,(1+(Inputs!$B$21+Skills!P12+B2458+(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Skills!A13</f>
        <v/>
      </c>
      <c r="B2443">
        <f>Skills!B13</f>
        <v/>
      </c>
      <c r="C2443">
        <f>Inputs!$B$3&gt;=49</f>
        <v/>
      </c>
      <c r="D2443">
        <f>IF(Skills!C13=1,60+Inputs!$B$25+Inputs!$B$29,IF(Skills!C13=2,90+Inputs!$B$26+Inputs!$B$29,IF(Skills!C13=3,120+Inputs!$B$27+Inputs!$B$29,MAX(0,(Inputs!$B$3-100)*3)+Inputs!$B$28+Inputs!$B$29)))</f>
        <v/>
      </c>
      <c r="E2443">
        <f>INDEX(FactorTable!$B$2:$Y$301, MATCH(ROUND(MIN(300,MAX(1,D2443)),0), FactorTable!$A$2:$A$301,0), Skills!L13+1)</f>
        <v/>
      </c>
      <c r="F2443">
        <f>IF(Skills!M13=TRUE,(Skills!K13/10)*(E2443/1000),Skills!K13/10)+Skills!N13</f>
        <v/>
      </c>
      <c r="G2443">
        <f>Calc!G13</f>
        <v/>
      </c>
      <c r="H2443">
        <f>Calc!H13</f>
        <v/>
      </c>
      <c r="I2443">
        <f>IF(Skills!T13&lt;&gt;"",1+(Skills!T13/10)*(Z2433/1000)/100,1)</f>
        <v/>
      </c>
      <c r="J2443" t="inlineStr"/>
      <c r="K2443" t="inlineStr"/>
      <c r="L2443" t="inlineStr"/>
      <c r="M2443" t="inlineStr"/>
      <c r="N2443" t="inlineStr"/>
      <c r="O2443">
        <f>(1-Summary!$B$11)*S2443+Summary!$B$11*U2443</f>
        <v/>
      </c>
      <c r="P2443">
        <f>IF(B2467=0,0,O2443/B2467)</f>
        <v/>
      </c>
      <c r="Q2443">
        <f>IFERROR(1/IF(Inputs!$B$38="pvp",15,MAX(0.1,Skills!D13-IF(Skills!E13=TRUE,Inputs!$B$32,0))),0)</f>
        <v/>
      </c>
      <c r="R2443" t="n">
        <v>0</v>
      </c>
      <c r="S2443" t="n">
        <v>0</v>
      </c>
      <c r="U2443" t="n">
        <v>0</v>
      </c>
    </row>
    <row r="2444">
      <c r="A2444">
        <f>Skills!A14</f>
        <v/>
      </c>
      <c r="B2444">
        <f>Skills!B14</f>
        <v/>
      </c>
      <c r="C2444">
        <f>Inputs!$B$3&gt;=72</f>
        <v/>
      </c>
      <c r="D2444">
        <f>IF(Skills!C14=1,60+Inputs!$B$25+Inputs!$B$29,IF(Skills!C14=2,90+Inputs!$B$26+Inputs!$B$29,IF(Skills!C14=3,120+Inputs!$B$27+Inputs!$B$29,MAX(0,(Inputs!$B$3-100)*3)+Inputs!$B$28+Inputs!$B$29)))</f>
        <v/>
      </c>
      <c r="E2444">
        <f>INDEX(FactorTable!$B$2:$Y$301, MATCH(ROUND(MIN(300,MAX(1,D2444)),0), FactorTable!$A$2:$A$301,0), Skills!L14+1)</f>
        <v/>
      </c>
      <c r="F2444">
        <f>IF(Skills!M14=TRUE,(Skills!K14/10)*(E2444/1000),Skills!K14/10)+Skills!N14</f>
        <v/>
      </c>
      <c r="G2444">
        <f>Calc!G14</f>
        <v/>
      </c>
      <c r="H2444">
        <f>Calc!H14</f>
        <v/>
      </c>
      <c r="I2444">
        <f>IF(Skills!T14&lt;&gt;"",1+(Skills!T14/10)*(Z2433/1000)/100,1)</f>
        <v/>
      </c>
      <c r="J2444" t="inlineStr"/>
      <c r="K2444" t="inlineStr"/>
      <c r="L2444" t="inlineStr"/>
      <c r="M2444" t="inlineStr"/>
      <c r="N2444" t="inlineStr"/>
      <c r="O2444">
        <f>(1-Summary!$B$11)*S2444+Summary!$B$11*U2444</f>
        <v/>
      </c>
      <c r="P2444">
        <f>IF(B2467=0,0,O2444/B2467)</f>
        <v/>
      </c>
      <c r="Q2444">
        <f>IFERROR(1/IF(Inputs!$B$38="pvp",15,MAX(0.1,Skills!D14-IF(Skills!E14=TRUE,Inputs!$B$32,0))),0)</f>
        <v/>
      </c>
      <c r="R2444" t="n">
        <v>0</v>
      </c>
      <c r="S2444" t="n">
        <v>0</v>
      </c>
      <c r="U2444" t="n">
        <v>0</v>
      </c>
    </row>
    <row r="2445">
      <c r="A2445">
        <f>Skills!A15</f>
        <v/>
      </c>
      <c r="B2445">
        <f>Skills!B15</f>
        <v/>
      </c>
      <c r="C2445">
        <f>Inputs!$B$3&gt;=75</f>
        <v/>
      </c>
      <c r="D2445">
        <f>IF(Skills!C15=1,60+Inputs!$B$25+Inputs!$B$29,IF(Skills!C15=2,90+Inputs!$B$26+Inputs!$B$29,IF(Skills!C15=3,120+Inputs!$B$27+Inputs!$B$29,MAX(0,(Inputs!$B$3-100)*3)+Inputs!$B$28+Inputs!$B$29)))</f>
        <v/>
      </c>
      <c r="E2445">
        <f>INDEX(FactorTable!$B$2:$Y$301, MATCH(ROUND(MIN(300,MAX(1,D2445)),0), FactorTable!$A$2:$A$301,0), Skills!L15+1)</f>
        <v/>
      </c>
      <c r="F2445">
        <f>IF(Skills!M15=TRUE,(Skills!K15/10)*(E2445/1000),Skills!K15/10)+Skills!N15</f>
        <v/>
      </c>
      <c r="G2445">
        <f>Calc!G15</f>
        <v/>
      </c>
      <c r="H2445">
        <f>Calc!H15</f>
        <v/>
      </c>
      <c r="I2445">
        <f>IF(Skills!T15&lt;&gt;"",1+(Skills!T15/10)*(Z2433/1000)/100,1)</f>
        <v/>
      </c>
      <c r="J2445" t="inlineStr"/>
      <c r="K2445" t="inlineStr"/>
      <c r="L2445" t="inlineStr"/>
      <c r="M2445" t="inlineStr"/>
      <c r="N2445" t="inlineStr"/>
      <c r="O2445">
        <f>(1-Summary!$B$11)*S2445+Summary!$B$11*U2445</f>
        <v/>
      </c>
      <c r="P2445">
        <f>IF(B2467=0,0,O2445/B2467)</f>
        <v/>
      </c>
      <c r="Q2445">
        <f>IFERROR(1/IF(Inputs!$B$38="pvp",15,MAX(0.1,Skills!D15-IF(Skills!E15=TRUE,Inputs!$B$32,0))),0)</f>
        <v/>
      </c>
      <c r="R2445" t="n">
        <v>0</v>
      </c>
      <c r="S2445" t="n">
        <v>0</v>
      </c>
      <c r="U2445" t="n">
        <v>0</v>
      </c>
    </row>
    <row r="2446">
      <c r="A2446">
        <f>Skills!A16</f>
        <v/>
      </c>
      <c r="B2446">
        <f>Skills!B16</f>
        <v/>
      </c>
      <c r="C2446">
        <f>Inputs!$B$3&gt;=110</f>
        <v/>
      </c>
      <c r="D2446">
        <f>IF(Skills!C16=1,60+Inputs!$B$25+Inputs!$B$29,IF(Skills!C16=2,90+Inputs!$B$26+Inputs!$B$29,IF(Skills!C16=3,120+Inputs!$B$27+Inputs!$B$29,MAX(0,(Inputs!$B$3-100)*3)+Inputs!$B$28+Inputs!$B$29)))</f>
        <v/>
      </c>
      <c r="E2446">
        <f>INDEX(FactorTable!$B$2:$Y$301, MATCH(ROUND(MIN(300,MAX(1,D2446)),0), FactorTable!$A$2:$A$301,0), Skills!L16+1)</f>
        <v/>
      </c>
      <c r="F2446">
        <f>(Skills!K16/10)*(E2446/1000)*64/45+Skills!N16</f>
        <v/>
      </c>
      <c r="G2446">
        <f>Calc!G16</f>
        <v/>
      </c>
      <c r="H2446">
        <f>Calc!H16</f>
        <v/>
      </c>
      <c r="I2446">
        <f>IF(Skills!T16&lt;&gt;"",1+(Skills!T16/10)*(Z2433/1000)/100,1)</f>
        <v/>
      </c>
      <c r="J2446" t="inlineStr"/>
      <c r="K2446" t="inlineStr"/>
      <c r="L2446" t="inlineStr"/>
      <c r="M2446" t="inlineStr"/>
      <c r="N2446" t="inlineStr"/>
      <c r="O2446">
        <f>(1-Summary!$B$11)*S2446+Summary!$B$11*U2446</f>
        <v/>
      </c>
      <c r="P2446">
        <f>IF(B2467=0,0,O2446/B2467)</f>
        <v/>
      </c>
      <c r="Q2446">
        <f>IFERROR(1/IF(Inputs!$B$38="pvp",15,MAX(0.1,Skills!D16-IF(Skills!E16=TRUE,Inputs!$B$32,0))),0)</f>
        <v/>
      </c>
      <c r="R2446">
        <f>IF(AND(Inputs!$B$38&lt;&gt;"pvp",Inputs!$B$43&gt;0),IF(Inputs!$B$43&lt;=0,0,(INT(Inputs!$B$43/IF(Inputs!$B$38="pvp",15,MAX(0.1,Skills!D16-IF(Skills!E16=TRUE,Inputs!$B$32,0))))+1)),0)</f>
        <v/>
      </c>
      <c r="S2446" t="n">
        <v>0</v>
      </c>
      <c r="U2446" t="n">
        <v>0</v>
      </c>
    </row>
    <row r="2447">
      <c r="A2447">
        <f>Skills!A17</f>
        <v/>
      </c>
      <c r="B2447">
        <f>Skills!B17</f>
        <v/>
      </c>
      <c r="C2447">
        <f>Inputs!$B$3&gt;=33</f>
        <v/>
      </c>
      <c r="D2447">
        <f>IF(Skills!C17=1,60+Inputs!$B$25+Inputs!$B$29,IF(Skills!C17=2,90+Inputs!$B$26+Inputs!$B$29,IF(Skills!C17=3,120+Inputs!$B$27+Inputs!$B$29,MAX(0,(Inputs!$B$3-100)*3)+Inputs!$B$28+Inputs!$B$29)))</f>
        <v/>
      </c>
      <c r="E2447">
        <f>INDEX(FactorTable!$B$2:$Y$301, MATCH(ROUND(MIN(300,MAX(1,D2447)),0), FactorTable!$A$2:$A$301,0), Skills!L17+1)</f>
        <v/>
      </c>
      <c r="F2447">
        <f>IF(Skills!M17=TRUE,(Skills!K17/10)*(E2447/1000),Skills!K17/10)+Skills!N17</f>
        <v/>
      </c>
      <c r="G2447">
        <f>Calc!G17</f>
        <v/>
      </c>
      <c r="H2447">
        <f>Calc!H17</f>
        <v/>
      </c>
      <c r="I2447">
        <f>IF(Skills!T17&lt;&gt;"",1+(Skills!T17/10)*(Z2433/1000)/100,1)</f>
        <v/>
      </c>
      <c r="J2447" t="inlineStr"/>
      <c r="K2447" t="inlineStr"/>
      <c r="L2447" t="inlineStr"/>
      <c r="M2447" t="inlineStr"/>
      <c r="N2447" t="inlineStr"/>
      <c r="O2447">
        <f>(1-Summary!$B$11)*S2447+Summary!$B$11*U2447</f>
        <v/>
      </c>
      <c r="P2447">
        <f>IF(B2467=0,0,O2447/B2467)</f>
        <v/>
      </c>
      <c r="Q2447">
        <f>IFERROR(1/IF(Inputs!$B$38="pvp",15,MAX(0.1,Skills!D17-IF(Skills!E17=TRUE,Inputs!$B$32,0))),0)</f>
        <v/>
      </c>
      <c r="R2447" t="n">
        <v>0</v>
      </c>
      <c r="S2447" t="n">
        <v>0</v>
      </c>
      <c r="U2447" t="n">
        <v>0</v>
      </c>
    </row>
    <row r="2448">
      <c r="A2448">
        <f>Skills!A18</f>
        <v/>
      </c>
      <c r="B2448">
        <f>Skills!B18</f>
        <v/>
      </c>
      <c r="C2448">
        <f>Inputs!$B$3&gt;=43</f>
        <v/>
      </c>
      <c r="D2448">
        <f>IF(Skills!C18=1,60+Inputs!$B$25+Inputs!$B$29,IF(Skills!C18=2,90+Inputs!$B$26+Inputs!$B$29,IF(Skills!C18=3,120+Inputs!$B$27+Inputs!$B$29,MAX(0,(Inputs!$B$3-100)*3)+Inputs!$B$28+Inputs!$B$29)))</f>
        <v/>
      </c>
      <c r="E2448">
        <f>INDEX(FactorTable!$B$2:$Y$301, MATCH(ROUND(MIN(300,MAX(1,D2448)),0), FactorTable!$A$2:$A$301,0), Skills!L18+1)</f>
        <v/>
      </c>
      <c r="F2448">
        <f>IF(Skills!M18=TRUE,(Skills!K18/10)*(E2448/1000),Skills!K18/10)+Skills!N18</f>
        <v/>
      </c>
      <c r="G2448">
        <f>Calc!G18</f>
        <v/>
      </c>
      <c r="H2448">
        <f>Calc!H18</f>
        <v/>
      </c>
      <c r="I2448">
        <f>IF(Skills!T18&lt;&gt;"",1+(Skills!T18/10)*(Z2433/1000)/100,1)</f>
        <v/>
      </c>
      <c r="J2448" t="inlineStr"/>
      <c r="K2448" t="inlineStr"/>
      <c r="L2448" t="inlineStr"/>
      <c r="M2448" t="inlineStr"/>
      <c r="N2448" t="inlineStr"/>
      <c r="O2448">
        <f>(1-Summary!$B$11)*S2448+Summary!$B$11*U2448</f>
        <v/>
      </c>
      <c r="P2448">
        <f>IF(B2467=0,0,O2448/B2467)</f>
        <v/>
      </c>
      <c r="Q2448">
        <f>IFERROR(1/IF(Inputs!$B$38="pvp",15,MAX(0.1,Skills!D18-IF(Skills!E18=TRUE,Inputs!$B$32,0))),0)</f>
        <v/>
      </c>
      <c r="R2448" t="n">
        <v>0</v>
      </c>
      <c r="S2448" t="n">
        <v>0</v>
      </c>
      <c r="U2448" t="n">
        <v>0</v>
      </c>
    </row>
    <row r="2449">
      <c r="A2449">
        <f>Skills!A19</f>
        <v/>
      </c>
      <c r="B2449">
        <f>Skills!B19</f>
        <v/>
      </c>
      <c r="C2449">
        <f>Inputs!$B$3&gt;=50</f>
        <v/>
      </c>
      <c r="D2449">
        <f>IF(Skills!C19=1,60+Inputs!$B$25+Inputs!$B$29,IF(Skills!C19=2,90+Inputs!$B$26+Inputs!$B$29,IF(Skills!C19=3,120+Inputs!$B$27+Inputs!$B$29,MAX(0,(Inputs!$B$3-100)*3)+Inputs!$B$28+Inputs!$B$29)))</f>
        <v/>
      </c>
      <c r="E2449">
        <f>INDEX(FactorTable!$B$2:$Y$301, MATCH(ROUND(MIN(300,MAX(1,D2449)),0), FactorTable!$A$2:$A$301,0), Skills!L19+1)</f>
        <v/>
      </c>
      <c r="F2449">
        <f>IF(Skills!M19=TRUE,(Skills!K19/10)*(E2449/1000),Skills!K19/10)+Skills!N19</f>
        <v/>
      </c>
      <c r="G2449">
        <f>Calc!G19</f>
        <v/>
      </c>
      <c r="H2449">
        <f>Calc!H19</f>
        <v/>
      </c>
      <c r="I2449">
        <f>IF(Skills!T19&lt;&gt;"",1+(Skills!T19/10)*(Z2433/1000)/100,1)</f>
        <v/>
      </c>
      <c r="J2449" t="inlineStr"/>
      <c r="K2449" t="inlineStr"/>
      <c r="L2449" t="inlineStr"/>
      <c r="M2449" t="inlineStr"/>
      <c r="N2449" t="inlineStr"/>
      <c r="O2449">
        <f>(1-Summary!$B$11)*S2449+Summary!$B$11*U2449</f>
        <v/>
      </c>
      <c r="P2449">
        <f>IF(B2467=0,0,O2449/B2467)</f>
        <v/>
      </c>
      <c r="Q2449">
        <f>IFERROR(1/IF(Inputs!$B$38="pvp",15,MAX(0.1,Skills!D19-IF(Skills!E19=TRUE,Inputs!$B$32,0))),0)</f>
        <v/>
      </c>
      <c r="R2449" t="n">
        <v>0</v>
      </c>
      <c r="S2449" t="n">
        <v>0</v>
      </c>
      <c r="U2449" t="n">
        <v>0</v>
      </c>
    </row>
    <row r="2450">
      <c r="A2450">
        <f>Skills!A20</f>
        <v/>
      </c>
      <c r="B2450">
        <f>Skills!B20</f>
        <v/>
      </c>
      <c r="C2450">
        <f>Inputs!$B$3&gt;=74</f>
        <v/>
      </c>
      <c r="D2450">
        <f>IF(Skills!C20=1,60+Inputs!$B$25+Inputs!$B$29,IF(Skills!C20=2,90+Inputs!$B$26+Inputs!$B$29,IF(Skills!C20=3,120+Inputs!$B$27+Inputs!$B$29,MAX(0,(Inputs!$B$3-100)*3)+Inputs!$B$28+Inputs!$B$29)))</f>
        <v/>
      </c>
      <c r="E2450">
        <f>INDEX(FactorTable!$B$2:$Y$301, MATCH(ROUND(MIN(300,MAX(1,D2450)),0), FactorTable!$A$2:$A$301,0), Skills!L20+1)</f>
        <v/>
      </c>
      <c r="F2450">
        <f>IF(Skills!M20=TRUE,(Skills!K20/10)*(E2450/1000),Skills!K20/10)+Skills!N20</f>
        <v/>
      </c>
      <c r="G2450">
        <f>Calc!G20</f>
        <v/>
      </c>
      <c r="H2450">
        <f>Calc!H20</f>
        <v/>
      </c>
      <c r="I2450">
        <f>IF(Skills!T20&lt;&gt;"",1+(Skills!T20/10)*(Z2433/1000)/100,1)</f>
        <v/>
      </c>
      <c r="J2450" t="inlineStr"/>
      <c r="K2450" t="inlineStr"/>
      <c r="L2450" t="inlineStr"/>
      <c r="M2450" t="inlineStr"/>
      <c r="N2450" t="inlineStr"/>
      <c r="O2450">
        <f>(1-Summary!$B$11)*S2450+Summary!$B$11*U2450</f>
        <v/>
      </c>
      <c r="P2450">
        <f>IF(B2467=0,0,O2450/B2467)</f>
        <v/>
      </c>
      <c r="Q2450">
        <f>IFERROR(1/IF(Inputs!$B$38="pvp",15,MAX(0.1,Skills!D20-IF(Skills!E20=TRUE,Inputs!$B$32,0))),0)</f>
        <v/>
      </c>
      <c r="R2450" t="n">
        <v>0</v>
      </c>
      <c r="S2450" t="n">
        <v>0</v>
      </c>
      <c r="U2450" t="n">
        <v>0</v>
      </c>
    </row>
    <row r="2451">
      <c r="A2451">
        <f>Skills!A21</f>
        <v/>
      </c>
      <c r="B2451">
        <f>Skills!B21</f>
        <v/>
      </c>
      <c r="C2451">
        <f>Inputs!$B$3&gt;=74</f>
        <v/>
      </c>
      <c r="D2451">
        <f>IF(Skills!C21=1,60+Inputs!$B$25+Inputs!$B$29,IF(Skills!C21=2,90+Inputs!$B$26+Inputs!$B$29,IF(Skills!C21=3,120+Inputs!$B$27+Inputs!$B$29,MAX(0,(Inputs!$B$3-100)*3)+Inputs!$B$28+Inputs!$B$29)))</f>
        <v/>
      </c>
      <c r="E2451">
        <f>INDEX(FactorTable!$B$2:$Y$301, MATCH(ROUND(MIN(300,MAX(1,D2451)),0), FactorTable!$A$2:$A$301,0), Skills!L21+1)</f>
        <v/>
      </c>
      <c r="F2451">
        <f>IF(Skills!M21=TRUE,(Skills!K21/10)*(E2451/1000),Skills!K21/10)+Skills!N21</f>
        <v/>
      </c>
      <c r="G2451">
        <f>Calc!G21</f>
        <v/>
      </c>
      <c r="H2451">
        <f>Calc!H21</f>
        <v/>
      </c>
      <c r="I2451">
        <f>IF(Skills!T21&lt;&gt;"",1+(Skills!T21/10)*(Z2433/1000)/100,1)</f>
        <v/>
      </c>
      <c r="J2451" t="inlineStr"/>
      <c r="K2451" t="inlineStr"/>
      <c r="L2451" t="inlineStr"/>
      <c r="M2451" t="inlineStr"/>
      <c r="N2451" t="inlineStr"/>
      <c r="O2451">
        <f>(1-Summary!$B$11)*S2451+Summary!$B$11*U2451</f>
        <v/>
      </c>
      <c r="P2451">
        <f>IF(B2467=0,0,O2451/B2467)</f>
        <v/>
      </c>
      <c r="Q2451">
        <f>IFERROR(1/IF(Inputs!$B$38="pvp",15,MAX(0.1,Skills!D21-IF(Skills!E21=TRUE,Inputs!$B$32,0))),0)</f>
        <v/>
      </c>
      <c r="R2451" t="n">
        <v>0</v>
      </c>
      <c r="S2451" t="n">
        <v>0</v>
      </c>
      <c r="U2451" t="n">
        <v>0</v>
      </c>
    </row>
    <row r="2452">
      <c r="A2452">
        <f>Skills!A22</f>
        <v/>
      </c>
      <c r="B2452">
        <f>Skills!B22</f>
        <v/>
      </c>
      <c r="C2452">
        <f>Inputs!$B$3&gt;=117</f>
        <v/>
      </c>
      <c r="D2452">
        <f>IF(Skills!C22=1,60+Inputs!$B$25+Inputs!$B$29,IF(Skills!C22=2,90+Inputs!$B$26+Inputs!$B$29,IF(Skills!C22=3,120+Inputs!$B$27+Inputs!$B$29,MAX(0,(Inputs!$B$3-100)*3)+Inputs!$B$28+Inputs!$B$29)))</f>
        <v/>
      </c>
      <c r="E2452">
        <f>INDEX(FactorTable!$B$2:$Y$301, MATCH(ROUND(MIN(300,MAX(1,D2452)),0), FactorTable!$A$2:$A$301,0), Skills!L22+1)</f>
        <v/>
      </c>
      <c r="F2452">
        <f>IF(Skills!M22=TRUE,(Skills!K22/10)*(E2452/1000),Skills!K22/10)+Skills!N22</f>
        <v/>
      </c>
      <c r="G2452">
        <f>Calc!G22</f>
        <v/>
      </c>
      <c r="H2452">
        <f>Calc!H22</f>
        <v/>
      </c>
      <c r="I2452">
        <f>IF(Skills!T22&lt;&gt;"",1+(Skills!T22/10)*(Z2433/1000)/100,1)</f>
        <v/>
      </c>
      <c r="J2452" t="inlineStr"/>
      <c r="K2452" t="inlineStr"/>
      <c r="L2452" t="inlineStr"/>
      <c r="M2452" t="inlineStr"/>
      <c r="N2452" t="inlineStr"/>
      <c r="O2452">
        <f>(1-Summary!$B$11)*S2452+Summary!$B$11*U2452</f>
        <v/>
      </c>
      <c r="P2452">
        <f>IF(B2467=0,0,O2452/B2467)</f>
        <v/>
      </c>
      <c r="Q2452">
        <f>IFERROR(1/IF(Inputs!$B$38="pvp",15,MAX(0.1,Skills!D22-IF(Skills!E22=TRUE,Inputs!$B$32,0))),0)</f>
        <v/>
      </c>
      <c r="R2452" t="n">
        <v>0</v>
      </c>
      <c r="S2452" t="n">
        <v>0</v>
      </c>
      <c r="U2452" t="n">
        <v>0</v>
      </c>
    </row>
    <row r="2453">
      <c r="A2453">
        <f>Skills!A23</f>
        <v/>
      </c>
      <c r="B2453">
        <f>Skills!B23</f>
        <v/>
      </c>
      <c r="C2453">
        <f>Inputs!$B$3&gt;=120</f>
        <v/>
      </c>
      <c r="D2453">
        <f>IF(Skills!C23=1,60+Inputs!$B$25+Inputs!$B$29,IF(Skills!C23=2,90+Inputs!$B$26+Inputs!$B$29,IF(Skills!C23=3,120+Inputs!$B$27+Inputs!$B$29,MAX(0,(Inputs!$B$3-100)*3)+Inputs!$B$28+Inputs!$B$29)))</f>
        <v/>
      </c>
      <c r="E2453">
        <f>INDEX(FactorTable!$B$2:$Y$301, MATCH(ROUND(MIN(300,MAX(1,D2453)),0), FactorTable!$A$2:$A$301,0), Skills!L23+1)</f>
        <v/>
      </c>
      <c r="F2453">
        <f>IF(Skills!M23=TRUE,(Skills!K23/10)*(E2453/1000),Skills!K23/10)+Skills!N23</f>
        <v/>
      </c>
      <c r="G2453">
        <f>Calc!G23</f>
        <v/>
      </c>
      <c r="H2453">
        <f>Calc!H23</f>
        <v/>
      </c>
      <c r="I2453">
        <f>IF(Skills!T23&lt;&gt;"",1+(Skills!T23/10)*(Z2433/1000)/100,1)</f>
        <v/>
      </c>
      <c r="J2453" t="inlineStr"/>
      <c r="K2453" t="inlineStr"/>
      <c r="L2453" t="inlineStr"/>
      <c r="M2453" t="inlineStr"/>
      <c r="N2453" t="inlineStr"/>
      <c r="O2453">
        <f>(1-Summary!$B$11)*S2453+Summary!$B$11*U2453</f>
        <v/>
      </c>
      <c r="P2453">
        <f>IF(B2467=0,0,O2453/B2467)</f>
        <v/>
      </c>
      <c r="Q2453">
        <f>IFERROR(1/IF(Inputs!$B$38="pvp",15,MAX(0.1,Skills!D23-IF(Skills!E23=TRUE,Inputs!$B$32,0))),0)</f>
        <v/>
      </c>
      <c r="R2453" t="n">
        <v>0</v>
      </c>
      <c r="S2453" t="n">
        <v>0</v>
      </c>
      <c r="U2453" t="n">
        <v>0</v>
      </c>
    </row>
    <row r="2454">
      <c r="A2454">
        <f>Skills!A24</f>
        <v/>
      </c>
      <c r="B2454">
        <f>Skills!B24</f>
        <v/>
      </c>
      <c r="C2454">
        <f>TRUE</f>
        <v/>
      </c>
      <c r="D2454">
        <f>IF(Skills!C24=1,60+Inputs!$B$25+Inputs!$B$29,IF(Skills!C24=2,90+Inputs!$B$26+Inputs!$B$29,IF(Skills!C24=3,120+Inputs!$B$27+Inputs!$B$29,MAX(0,(Inputs!$B$3-100)*3)+Inputs!$B$28+Inputs!$B$29)))</f>
        <v/>
      </c>
      <c r="E2454">
        <f>INDEX(FactorTable!$B$2:$Y$301, MATCH(ROUND(MIN(300,MAX(1,D2454)),0), FactorTable!$A$2:$A$301,0), Skills!L24+1)</f>
        <v/>
      </c>
      <c r="F2454">
        <f>IF(Skills!M24=TRUE,(Skills!K24/10)*(E2454/1000),Skills!K24/10)+Skills!N24</f>
        <v/>
      </c>
      <c r="G2454">
        <f>Calc!G24</f>
        <v/>
      </c>
      <c r="H2454">
        <f>Calc!H24</f>
        <v/>
      </c>
      <c r="I2454">
        <f>IF(Skills!T24&lt;&gt;"",1+(Skills!T24/10)*(Z2433/1000)/100,1)</f>
        <v/>
      </c>
      <c r="J2454" t="inlineStr"/>
      <c r="K2454" t="inlineStr"/>
      <c r="L2454" t="inlineStr"/>
      <c r="M2454" t="inlineStr"/>
      <c r="N2454" t="inlineStr"/>
      <c r="O2454">
        <f>(1-Summary!$B$11)*S2454+Summary!$B$11*U2454</f>
        <v/>
      </c>
      <c r="P2454">
        <f>IF(B2467=0,0,O2454/B2467)</f>
        <v/>
      </c>
      <c r="Q2454">
        <f>IFERROR(1/IF(Inputs!$B$38="pvp",15,MAX(0.1,Skills!D24-IF(Skills!E24=TRUE,Inputs!$B$32,0))),0)</f>
        <v/>
      </c>
      <c r="R2454">
        <f>IF(AND(Inputs!$B$38&lt;&gt;"pvp",Inputs!$B$43&gt;0),IF(Inputs!$B$43&lt;=0,0,(INT(Inputs!$B$43/IF(Inputs!$B$38="pvp",15,MAX(0.1,Skills!D24-IF(Skills!E24=TRUE,Inputs!$B$32,0))))+1)),0)</f>
        <v/>
      </c>
      <c r="S2454" t="n">
        <v>0</v>
      </c>
      <c r="U2454" t="n">
        <v>0</v>
      </c>
    </row>
    <row r="2457">
      <c r="A2457" t="inlineStr">
        <is>
          <t>Average Buff Multiplier (Magic Guard + Meditation + Artifact Attack%, summed; then Infinity)</t>
        </is>
      </c>
      <c r="B2457">
        <f>(1+(IF(C2433=TRUE,F2433*IF(AND(Inputs!$B$38&lt;&gt;"pvp",Inputs!$B$43&gt;0),(((R2433-1)*(Skills!S3*(1+(Inputs!$B$34)/100))+MIN((Skills!S3*(1+(Inputs!$B$34)/100)),MAX(0,Inputs!$B$43-((R2433-1)*Skills!D3))))/Inputs!$B$43),IF(Inputs!$B$38="pvp",MIN((Skills!S3*(1+(Inputs!$B$34)/100)),15)/15,(Skills!S3*(1+(Inputs!$B$34)/100))/Skills!D3)),0)+IF(C2434=TRUE,F2434*IF(AND(Inputs!$B$38&lt;&gt;"pvp",Inputs!$B$43&gt;0),(((R2434-1)*(Skills!S4*(1+(Inputs!$B$34)/100))+MIN((Skills!S4*(1+(Inputs!$B$34)/100)),MAX(0,Inputs!$B$43-((R2434-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2446=TRUE,(1+F2446*IF(AND(Inputs!$B$38&lt;&gt;"pvp",Inputs!$B$43&gt;0),(((R2446-1)*(Skills!S16*(1+(Inputs!$B$34)/100))+MIN((Skills!S16*(1+(Inputs!$B$34)/100)),MAX(0,Inputs!$B$43-((R2446-1)*Skills!D16))))/Inputs!$B$43),IF(Inputs!$B$38="pvp",MIN((Skills!S16*(1+(Inputs!$B$34)/100)),15)/15,(Skills!S16*(1+(Inputs!$B$34)/100))/Skills!D16))/100),1)</f>
        <v/>
      </c>
    </row>
    <row r="2458">
      <c r="A2458" t="inlineStr">
        <is>
          <t>Monster Damage Taken Bonus % (Freezing Breath - Weaken + Elemental Reset + Artifact Enemy Damage Taken, summed)</t>
        </is>
      </c>
      <c r="B2458">
        <f>IF(Inputs!$B$3&gt;=118,15*IF(Inputs!$B$38="pvp",MIN((30*(1+(Inputs!$B$34)/100)),15)/15,(30*(1+(Inputs!$B$34)/100))/Skills!D8),0)+IF(C2444=TRUE,F2444,0)+(IF(AND(ArtifactsInput!$M$35,Inputs!$B$4&lt;&gt;"Chapter Hunt"),CHOOSE(ArtifactsInput!$N$35+1,15,18,21,24,27,30)*(1-EXP(-(0.2*B2461)*5)),0)+IF(AND(ArtifactsInput!$M$22,Inputs!$B$4&lt;&gt;"Chapter Hunt"),CHOOSE(ArtifactsInput!$N$22+1,10,12,14,16,18,20)*((0*(((0.15*B2461*5))^0/1)+1*(((0.15*B2461*5))^1/1)+2*(((0.15*B2461*5))^2/2)+3*(((0.15*B2461*5))^3/6)+4*(((0.15*B2461*5))^4/24)+5*(((0.15*B2461*5))^5/120))/((((0.15*B2461*5))^0/1)+(((0.15*B2461*5))^1/1)+(((0.15*B2461*5))^2/2)+(((0.15*B2461*5))^3/6)+(((0.15*B2461*5))^4/24)+(((0.15*B2461*5))^5/120))),0))</f>
        <v/>
      </c>
    </row>
    <row r="2459">
      <c r="A2459" t="inlineStr">
        <is>
          <t>Damage % Bonus (Frozen Break + Frost Clutch, flat)</t>
        </is>
      </c>
      <c r="B2459">
        <f>IF(Inputs!$B$3&gt;=66,15,0)+IF(Inputs!$B$3&gt;=98,10,0)+IF(Inputs!$B$3&gt;=125,20,0)</f>
        <v/>
      </c>
    </row>
    <row r="2460">
      <c r="A2460" t="inlineStr">
        <is>
          <t>Attack Speed Bonus % (MP Eater - MP Boost, always-on + Nimble Feet, duty-cycle averaged)</t>
        </is>
      </c>
      <c r="B2460">
        <f>IF(C2443=TRUE,F2443+(F2447-Calc!F17),0)+((C2454=TRUE)*F2454*IF(AND(Inputs!$B$38&lt;&gt;"pvp",Inputs!$B$43&gt;0),(((R2454-1)*(Skills!S24*(1+(Inputs!$B$34)/100))+MIN((Skills!S24*(1+(Inputs!$B$34)/100)),MAX(0,Inputs!$B$43-((R2454-1)*Skills!D24))))/Inputs!$B$43),IF(Inputs!$B$38="pvp",MIN((Skills!S24*(1+(Inputs!$B$34)/100)),15)/15,(Skills!S24*(1+(Inputs!$B$34)/100))/Skills!D24)))</f>
        <v/>
      </c>
    </row>
    <row r="2461">
      <c r="A2461" t="inlineStr">
        <is>
          <t>Actions Per Second</t>
        </is>
      </c>
      <c r="B2461">
        <f>1+MIN(150,150*(1-(1-(Inputs!$B$11+(ArtifactsInput!$M$15-ArtifactsInput!$M$15)*CHOOSE(ArtifactsInput!$N$15+1,8,9.6,11.2,12.8,14.4,16))/150)*(1-B2460/150)))/100</f>
        <v/>
      </c>
    </row>
    <row r="2462">
      <c r="A2462" t="inlineStr">
        <is>
          <t>Skill + Buff Cast Rate</t>
        </is>
      </c>
      <c r="B2462">
        <f>IF(AND(Inputs!$B$38&lt;&gt;"pvp",Inputs!$B$43&gt;0),SUMPRODUCT((Skills!E2:E24=TRUE)*(C2432:C2454=TRUE)*R2432:R2454)/Inputs!$B$43,SUMPRODUCT((Skills!E2:E24=TRUE)*(C2432:C2454=TRUE)*Q2432:Q2454))</f>
        <v/>
      </c>
    </row>
    <row r="2463">
      <c r="A2463" t="inlineStr">
        <is>
          <t>Chain Lightning Casts Per Second</t>
        </is>
      </c>
      <c r="B2463">
        <f>MAX(0,B2461-B2462)</f>
        <v/>
      </c>
    </row>
    <row r="2464">
      <c r="A2464" t="inlineStr">
        <is>
          <t>Buff-Casting Startup Delay (s, fixed-duration only)</t>
        </is>
      </c>
      <c r="B2464">
        <f>IF(AND(Inputs!$B$38&lt;&gt;"pvp",Inputs!$B$43&gt;0),SUMPRODUCT((Skills!S2:S24&gt;0)*(Skills!E2:E24=TRUE)*(C2432:C2454=TRUE))/B2461,0)</f>
        <v/>
      </c>
    </row>
    <row r="2465">
      <c r="A2465" t="inlineStr">
        <is>
          <t>Boss-Only Total DPS (this block's swept value)</t>
        </is>
      </c>
      <c r="B2465">
        <f>SUM(S2432:S2454)</f>
        <v/>
      </c>
    </row>
    <row r="2466">
      <c r="A2466" t="inlineStr">
        <is>
          <t>Normal-Only Total DPS (this block's swept value)</t>
        </is>
      </c>
      <c r="B2466">
        <f>SUM(U2432:U2454)</f>
        <v/>
      </c>
    </row>
    <row r="2467">
      <c r="A2467" s="6" t="inlineStr">
        <is>
          <t>TOTAL DPS</t>
        </is>
      </c>
      <c r="B2467" s="6">
        <f>SUM(O2432:O2454)</f>
        <v/>
      </c>
    </row>
    <row r="2470">
      <c r="A2470" s="6" t="inlineStr">
        <is>
          <t>Stat: Ring of Cycles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R2471" t="inlineStr">
        <is>
          <t>helpers</t>
        </is>
      </c>
    </row>
    <row r="2472">
      <c r="A2472">
        <f>Skills!A2</f>
        <v/>
      </c>
      <c r="B2472">
        <f>Skills!B2</f>
        <v/>
      </c>
      <c r="C2472">
        <f>Inputs!$B$3&gt;=100</f>
        <v/>
      </c>
      <c r="D2472" t="inlineStr"/>
      <c r="E2472" t="inlineStr"/>
      <c r="F2472">
        <f>T2474+Skills!N2</f>
        <v/>
      </c>
      <c r="G2472">
        <f>Calc!G2</f>
        <v/>
      </c>
      <c r="H2472">
        <f>Calc!H2</f>
        <v/>
      </c>
      <c r="I2472">
        <f>IF(Skills!T2&lt;&gt;"",1+(Skills!T2/10)*(Z2473/1000)/100,1)</f>
        <v/>
      </c>
      <c r="J2472">
        <f>((Inputs!$B$6*(1+Inputs!$B$7/100))+(((Inputs!$B$12*(1+Inputs!$B$13/100))-(Inputs!$B$12*(1+Inputs!$B$13/100)))+0.25*(Inputs!$B$14-Inputs!$B$14))*(1+Inputs!$B$7/100))*(F2472/100)</f>
        <v/>
      </c>
      <c r="K2472">
        <f>J2472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2="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F2488-Calc!F18),(Inputs!$B$23+(IF(ArtifactsInput!$M$15,CHOOSE(ArtifactsInput!$N$15+1,25,30,35,40,45,50)/100*(Inputs!$B$11-Inputs!$B$11),0))))/100+(Inputs!$B$23+(IF(ArtifactsInput!$M$15,CHOOSE(ArtifactsInput!$N$15+1,25,30,35,40,45,50)/100*(Inputs!$B$11-Inputs!$B$11),0)))/100)/2</f>
        <v/>
      </c>
      <c r="M2472">
        <f>L2472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(1-Summary!$B$11)*S2472+Summary!$B$11*U2472</f>
        <v/>
      </c>
      <c r="P2472">
        <f>IF(B2507=0,0,O2472/B2507)</f>
        <v/>
      </c>
      <c r="Q2472">
        <f>IFERROR(1/IF(Inputs!$B$38="pvp",15,MAX(0.1,Skills!D2-IF(Skills!E2=TRUE,Inputs!$B$32,0))),0)</f>
        <v/>
      </c>
      <c r="R2472" t="n">
        <v>0</v>
      </c>
      <c r="S2472">
        <f>IF(C2472,(Skills!F2*N2472*B2503)*IF(Inputs!$B$38="pvp",1,1+(Inputs!$B$20+Skills!O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2472*(1-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72">
        <f>MAX(0,(Inputs!$B$3-100)*3)+Inputs!$B$28+Inputs!$B$29</f>
        <v/>
      </c>
      <c r="U2472">
        <f>IF(C2472,(Skills!F2*N2472*B2503)*IF(Inputs!$B$38="pvp",1,(1+(Inputs!$B$21+Skills!P2+B2498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72">
        <f>MAX(0,(Inputs!$B$3-100)*3)+Inputs!$B$28+Inputs!$B$29</f>
        <v/>
      </c>
    </row>
    <row r="2473">
      <c r="A2473">
        <f>Skills!A3</f>
        <v/>
      </c>
      <c r="B2473">
        <f>Skills!B3</f>
        <v/>
      </c>
      <c r="C2473">
        <f>Inputs!$B$3&gt;=15</f>
        <v/>
      </c>
      <c r="D2473">
        <f>IF(Skills!C3=1,60+Inputs!$B$25+Inputs!$B$29,IF(Skills!C3=2,90+Inputs!$B$26+Inputs!$B$29,IF(Skills!C3=3,120+Inputs!$B$27+Inputs!$B$29,MAX(0,(Inputs!$B$3-100)*3)+Inputs!$B$28+Inputs!$B$29)))</f>
        <v/>
      </c>
      <c r="E2473">
        <f>INDEX(FactorTable!$B$2:$Y$301, MATCH(ROUND(MIN(300,MAX(1,D2473)),0), FactorTable!$A$2:$A$301,0), Skills!L3+1)</f>
        <v/>
      </c>
      <c r="F2473">
        <f>IF(Skills!M3=TRUE,(Skills!K3/10)*(E2473/1000),Skills!K3/10)+Skills!N3</f>
        <v/>
      </c>
      <c r="G2473">
        <f>Calc!G3</f>
        <v/>
      </c>
      <c r="H2473">
        <f>Calc!H3</f>
        <v/>
      </c>
      <c r="I2473">
        <f>IF(Skills!T3&lt;&gt;"",1+(Skills!T3/10)*(Z2473/1000)/100,1)</f>
        <v/>
      </c>
      <c r="J2473" t="inlineStr"/>
      <c r="K2473" t="inlineStr"/>
      <c r="L2473" t="inlineStr"/>
      <c r="M2473" t="inlineStr"/>
      <c r="N2473" t="inlineStr"/>
      <c r="O2473">
        <f>(1-Summary!$B$11)*S2473+Summary!$B$11*U2473</f>
        <v/>
      </c>
      <c r="P2473">
        <f>IF(B2507=0,0,O2473/B2507)</f>
        <v/>
      </c>
      <c r="Q2473">
        <f>IFERROR(1/IF(Inputs!$B$38="pvp",15,MAX(0.1,Skills!D3-IF(Skills!E3=TRUE,Inputs!$B$32,0))),0)</f>
        <v/>
      </c>
      <c r="R2473">
        <f>IF(AND(Inputs!$B$38&lt;&gt;"pvp",Inputs!$B$43&gt;0),IF(Inputs!$B$43&lt;=0,0,(INT(Inputs!$B$43/IF(Inputs!$B$38="pvp",15,MAX(0.1,Skills!D3-IF(Skills!E3=TRUE,Inputs!$B$32,0))))+1)),0)</f>
        <v/>
      </c>
      <c r="S2473" t="n">
        <v>0</v>
      </c>
      <c r="T2473">
        <f>INDEX(FactorTable!$B$2:$Y$301, MATCH(ROUND(MIN(300,MAX(1,T2472)),0), FactorTable!$A$2:$A$301,0), 22)</f>
        <v/>
      </c>
      <c r="U2473" t="n">
        <v>0</v>
      </c>
      <c r="Z2473">
        <f>INDEX(FactorTable!$B$2:$Y$301, MATCH(ROUND(MIN(300,MAX(1,Z2472)),0), FactorTable!$A$2:$A$301,0), 24)</f>
        <v/>
      </c>
    </row>
    <row r="2474">
      <c r="A2474">
        <f>Skills!A4</f>
        <v/>
      </c>
      <c r="B2474">
        <f>Skills!B4</f>
        <v/>
      </c>
      <c r="C2474">
        <f>Inputs!$B$3&gt;=40</f>
        <v/>
      </c>
      <c r="D2474">
        <f>IF(Skills!C4=1,60+Inputs!$B$25+Inputs!$B$29,IF(Skills!C4=2,90+Inputs!$B$26+Inputs!$B$29,IF(Skills!C4=3,120+Inputs!$B$27+Inputs!$B$29,MAX(0,(Inputs!$B$3-100)*3)+Inputs!$B$28+Inputs!$B$29)))</f>
        <v/>
      </c>
      <c r="E2474">
        <f>INDEX(FactorTable!$B$2:$Y$301, MATCH(ROUND(MIN(300,MAX(1,D2474)),0), FactorTable!$A$2:$A$301,0), Skills!L4+1)</f>
        <v/>
      </c>
      <c r="F2474">
        <f>IF(Skills!M4=TRUE,(Skills!K4/10)*(E2474/1000),Skills!K4/10)+Skills!N4</f>
        <v/>
      </c>
      <c r="G2474">
        <f>Calc!G4</f>
        <v/>
      </c>
      <c r="H2474">
        <f>Calc!H4</f>
        <v/>
      </c>
      <c r="I2474">
        <f>IF(Skills!T4&lt;&gt;"",1+(Skills!T4/10)*(Z2473/1000)/100,1)</f>
        <v/>
      </c>
      <c r="J2474" t="inlineStr"/>
      <c r="K2474" t="inlineStr"/>
      <c r="L2474" t="inlineStr"/>
      <c r="M2474" t="inlineStr"/>
      <c r="N2474" t="inlineStr"/>
      <c r="O2474">
        <f>(1-Summary!$B$11)*S2474+Summary!$B$11*U2474</f>
        <v/>
      </c>
      <c r="P2474">
        <f>IF(B2507=0,0,O2474/B2507)</f>
        <v/>
      </c>
      <c r="Q2474">
        <f>IFERROR(1/IF(Inputs!$B$38="pvp",15,MAX(0.1,Skills!D4-IF(Skills!E4=TRUE,Inputs!$B$32,0))),0)</f>
        <v/>
      </c>
      <c r="R2474">
        <f>IF(AND(Inputs!$B$38&lt;&gt;"pvp",Inputs!$B$43&gt;0),IF(Inputs!$B$43&lt;=0,0,(INT(Inputs!$B$43/IF(Inputs!$B$38="pvp",15,MAX(0.1,Skills!D4-IF(Skills!E4=TRUE,Inputs!$B$32,0))))+1)),0)</f>
        <v/>
      </c>
      <c r="S2474" t="n">
        <v>0</v>
      </c>
      <c r="T2474">
        <f>290*T2473/1000</f>
        <v/>
      </c>
      <c r="U2474" t="n">
        <v>0</v>
      </c>
    </row>
    <row r="2475">
      <c r="A2475">
        <f>Skills!A5</f>
        <v/>
      </c>
      <c r="B2475">
        <f>Skills!B5</f>
        <v/>
      </c>
      <c r="C2475">
        <f>Inputs!$B$3&gt;=38</f>
        <v/>
      </c>
      <c r="D2475">
        <f>IF(Skills!C5=1,60+Inputs!$B$25+Inputs!$B$29,IF(Skills!C5=2,90+Inputs!$B$26+Inputs!$B$29,IF(Skills!C5=3,120+Inputs!$B$27+Inputs!$B$29,MAX(0,(Inputs!$B$3-100)*3)+Inputs!$B$28+Inputs!$B$29)))</f>
        <v/>
      </c>
      <c r="E2475">
        <f>INDEX(FactorTable!$B$2:$Y$301, MATCH(ROUND(MIN(300,MAX(1,D2475)),0), FactorTable!$A$2:$A$301,0), Skills!L5+1)</f>
        <v/>
      </c>
      <c r="F2475">
        <f>IF(Skills!M5=TRUE,(Skills!K5/10)*(E2475/1000),Skills!K5/10)+Skills!N5</f>
        <v/>
      </c>
      <c r="G2475">
        <f>Calc!G5</f>
        <v/>
      </c>
      <c r="H2475">
        <f>Calc!H5</f>
        <v/>
      </c>
      <c r="I2475">
        <f>IF(Skills!T5&lt;&gt;"",1+(Skills!T5/10)*(Z2473/1000)/100,1)</f>
        <v/>
      </c>
      <c r="J2475">
        <f>((Inputs!$B$6*(1+Inputs!$B$7/100))+(((Inputs!$B$12*(1+Inputs!$B$13/100))-(Inputs!$B$12*(1+Inputs!$B$13/100)))+0.25*(Inputs!$B$14-Inputs!$B$14))*(1+Inputs!$B$7/100))*(F2475/100)</f>
        <v/>
      </c>
      <c r="K2475">
        <f>J2475*(1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5="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F2488-Calc!F18),(Inputs!$B$23+(IF(ArtifactsInput!$M$15,CHOOSE(ArtifactsInput!$N$15+1,25,30,35,40,45,50)/100*(Inputs!$B$11-Inputs!$B$11),0))))/100+(Inputs!$B$23+(IF(ArtifactsInput!$M$15,CHOOSE(ArtifactsInput!$N$15+1,25,30,35,40,45,50)/100*(Inputs!$B$11-Inputs!$B$11),0)))/100)/2</f>
        <v/>
      </c>
      <c r="M2475">
        <f>L2475*(1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(1-Summary!$B$11)*S2475+Summary!$B$11*U2475</f>
        <v/>
      </c>
      <c r="P2475">
        <f>IF(B2507=0,0,O2475/B2507)</f>
        <v/>
      </c>
      <c r="Q2475">
        <f>IFERROR(1/IF(Inputs!$B$38="pvp",15,MAX(0.1,Skills!D5-IF(Skills!E5=TRUE,Inputs!$B$32,0))),0)</f>
        <v/>
      </c>
      <c r="R2475">
        <f>IF(AND(Inputs!$B$38&lt;&gt;"pvp",Inputs!$B$43&gt;0),IF(MAX(0,Inputs!$B$43-B2504)&lt;=0,0,(INT(MAX(0,Inputs!$B$43-B2504)/IF(Inputs!$B$38="pvp",15,MAX(0.1,Skills!D5-IF(Skills!E5=TRUE,Inputs!$B$32,0))))+1)),0)</f>
        <v/>
      </c>
      <c r="S2475">
        <f>IF(C2475,(H2475*N2475*IF(AND(Inputs!$B$38&lt;&gt;"pvp",Inputs!$B$43&gt;0),((Skills!F5*((R2475-1)*IF(Skills!G5&gt;0,Skills!H5/Skills!G5,1)+IF(Skills!G5&gt;0,MIN(Skills!H5,MAX(0,MAX(0,Inputs!$B$43-B2504)-((R2475-1)*IF(Inputs!$B$38="pvp",15,MAX(0.1,Skills!D5-IF(Skills!E5=TRUE,Inputs!$B$32,0))))))/Skills!G5,1)))/Inputs!$B$43),G2475*Q2475))*IF(Inputs!$B$38="pvp",1,1+(Inputs!$B$20+Skills!O5+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2475*(1-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IF(C2475,(H2475*N2475*IF(AND(Inputs!$B$38&lt;&gt;"pvp",Inputs!$B$43&gt;0),((Skills!F5*((R2475-1)*IF(Skills!G5&gt;0,Skills!H5/Skills!G5,1)+IF(Skills!G5&gt;0,MIN(Skills!H5,MAX(0,MAX(0,Inputs!$B$43-B2504)-((R2475-1)*IF(Inputs!$B$38="pvp",15,MAX(0.1,Skills!D5-IF(Skills!E5=TRUE,Inputs!$B$32,0))))))/Skills!G5,1)))/Inputs!$B$43),G2475*Q2475))*IF(Inputs!$B$38="pvp",1,(1+(Inputs!$B$21+Skills!P5+B2498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Skills!A6</f>
        <v/>
      </c>
      <c r="B2476">
        <f>Skills!B6</f>
        <v/>
      </c>
      <c r="C2476">
        <f>Inputs!$B$3&gt;=63</f>
        <v/>
      </c>
      <c r="D2476">
        <f>IF(Skills!C6=1,60+Inputs!$B$25+Inputs!$B$29,IF(Skills!C6=2,90+Inputs!$B$26+Inputs!$B$29,IF(Skills!C6=3,120+Inputs!$B$27+Inputs!$B$29,MAX(0,(Inputs!$B$3-100)*3)+Inputs!$B$28+Inputs!$B$29)))</f>
        <v/>
      </c>
      <c r="E2476">
        <f>INDEX(FactorTable!$B$2:$Y$301, MATCH(ROUND(MIN(300,MAX(1,D2476)),0), FactorTable!$A$2:$A$301,0), Skills!L6+1)</f>
        <v/>
      </c>
      <c r="F2476">
        <f>IF(Skills!M6=TRUE,(Skills!K6/10)*(E2476/1000),Skills!K6/10)+Skills!N6</f>
        <v/>
      </c>
      <c r="G2476">
        <f>Calc!G6</f>
        <v/>
      </c>
      <c r="H2476">
        <f>Calc!H6</f>
        <v/>
      </c>
      <c r="I2476">
        <f>IF(Skills!T6&lt;&gt;"",1+(Skills!T6/10)*(Z2473/1000)/100,1)</f>
        <v/>
      </c>
      <c r="J2476">
        <f>((Inputs!$B$6*(1+Inputs!$B$7/100))+(((Inputs!$B$12*(1+Inputs!$B$13/100))-(Inputs!$B$12*(1+Inputs!$B$13/100)))+0.25*(Inputs!$B$14-Inputs!$B$14))*(1+Inputs!$B$7/100))*(F2476/100)</f>
        <v/>
      </c>
      <c r="K2476">
        <f>J2476*(1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6="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F2488-Calc!F18),(Inputs!$B$23+(IF(ArtifactsInput!$M$15,CHOOSE(ArtifactsInput!$N$15+1,25,30,35,40,45,50)/100*(Inputs!$B$11-Inputs!$B$11),0))))/100+(Inputs!$B$23+(IF(ArtifactsInput!$M$15,CHOOSE(ArtifactsInput!$N$15+1,25,30,35,40,45,50)/100*(Inputs!$B$11-Inputs!$B$11),0)))/100)/2</f>
        <v/>
      </c>
      <c r="M2476">
        <f>L2476*(1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(1-Summary!$B$11)*S2476+Summary!$B$11*U2476</f>
        <v/>
      </c>
      <c r="P2476">
        <f>IF(B2507=0,0,O2476/B2507)</f>
        <v/>
      </c>
      <c r="Q2476">
        <f>IFERROR(1/IF(Inputs!$B$38="pvp",15,MAX(0.1,Skills!D6-IF(Skills!E6=TRUE,Inputs!$B$32,0))),0)</f>
        <v/>
      </c>
      <c r="R2476">
        <f>IF(AND(Inputs!$B$38&lt;&gt;"pvp",Inputs!$B$43&gt;0),IF(MAX(0,Inputs!$B$43-B2504)&lt;=0,0,(INT(MAX(0,Inputs!$B$43-B2504)/IF(Inputs!$B$38="pvp",15,MAX(0.1,Skills!D6-IF(Skills!E6=TRUE,Inputs!$B$32,0))))+1)),0)</f>
        <v/>
      </c>
      <c r="S2476">
        <f>IF(C2476,(H2476*N2476*IF(AND(Inputs!$B$38&lt;&gt;"pvp",Inputs!$B$43&gt;0),((Skills!F6*((R2476-1)*IF(Skills!G6&gt;0,Skills!H6/Skills!G6,1)+IF(Skills!G6&gt;0,MIN(Skills!H6,MAX(0,MAX(0,Inputs!$B$43-B2504)-((R2476-1)*IF(Inputs!$B$38="pvp",15,MAX(0.1,Skills!D6-IF(Skills!E6=TRUE,Inputs!$B$32,0))))))/Skills!G6,1)))/Inputs!$B$43),G2476*Q2476))*IF(Inputs!$B$38="pvp",1,1+(Inputs!$B$20+Skills!O6+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2476*(1-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6">
        <f>IF(C2476,(H2476*N2476*IF(AND(Inputs!$B$38&lt;&gt;"pvp",Inputs!$B$43&gt;0),((Skills!F6*((R2476-1)*IF(Skills!G6&gt;0,Skills!H6/Skills!G6,1)+IF(Skills!G6&gt;0,MIN(Skills!H6,MAX(0,MAX(0,Inputs!$B$43-B2504)-((R2476-1)*IF(Inputs!$B$38="pvp",15,MAX(0.1,Skills!D6-IF(Skills!E6=TRUE,Inputs!$B$32,0))))))/Skills!G6,1)))/Inputs!$B$43),G2476*Q2476))*IF(Inputs!$B$38="pvp",1,(1+(Inputs!$B$21+Skills!P6+B2498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Skills!A7</f>
        <v/>
      </c>
      <c r="B2477">
        <f>Skills!B7</f>
        <v/>
      </c>
      <c r="C2477">
        <f>Inputs!$B$3&gt;=69</f>
        <v/>
      </c>
      <c r="D2477">
        <f>IF(Skills!C7=1,60+Inputs!$B$25+Inputs!$B$29,IF(Skills!C7=2,90+Inputs!$B$26+Inputs!$B$29,IF(Skills!C7=3,120+Inputs!$B$27+Inputs!$B$29,MAX(0,(Inputs!$B$3-100)*3)+Inputs!$B$28+Inputs!$B$29)))</f>
        <v/>
      </c>
      <c r="E2477">
        <f>INDEX(FactorTable!$B$2:$Y$301, MATCH(ROUND(MIN(300,MAX(1,D2477)),0), FactorTable!$A$2:$A$301,0), Skills!L7+1)</f>
        <v/>
      </c>
      <c r="F2477">
        <f>IF(Skills!M7=TRUE,(Skills!K7/10)*(E2477/1000),Skills!K7/10)+Skills!N7</f>
        <v/>
      </c>
      <c r="G2477">
        <f>Calc!G7</f>
        <v/>
      </c>
      <c r="H2477">
        <f>Calc!H7</f>
        <v/>
      </c>
      <c r="I2477">
        <f>IF(Skills!T7&lt;&gt;"",1+(Skills!T7/10)*(Z2473/1000)/100,1)</f>
        <v/>
      </c>
      <c r="J2477">
        <f>((Inputs!$B$6*(1+Inputs!$B$7/100))+(((Inputs!$B$12*(1+Inputs!$B$13/100))-(Inputs!$B$12*(1+Inputs!$B$13/100)))+0.25*(Inputs!$B$14-Inputs!$B$14))*(1+Inputs!$B$7/100))*(F2477/100)</f>
        <v/>
      </c>
      <c r="K2477">
        <f>J2477*(1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7="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F2488-Calc!F18),(Inputs!$B$23+(IF(ArtifactsInput!$M$15,CHOOSE(ArtifactsInput!$N$15+1,25,30,35,40,45,50)/100*(Inputs!$B$11-Inputs!$B$11),0))))/100+(Inputs!$B$23+(IF(ArtifactsInput!$M$15,CHOOSE(ArtifactsInput!$N$15+1,25,30,35,40,45,50)/100*(Inputs!$B$11-Inputs!$B$11),0)))/100)/2</f>
        <v/>
      </c>
      <c r="M2477">
        <f>L2477*(1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(1-Summary!$B$11)*S2477+Summary!$B$11*U2477</f>
        <v/>
      </c>
      <c r="P2477">
        <f>IF(B2507=0,0,O2477/B2507)</f>
        <v/>
      </c>
      <c r="Q2477">
        <f>IFERROR(1/IF(Inputs!$B$38="pvp",15,MAX(0.1,Skills!D7-IF(Skills!E7=TRUE,Inputs!$B$32,0))),0)</f>
        <v/>
      </c>
      <c r="R2477">
        <f>IF(AND(Inputs!$B$38&lt;&gt;"pvp",Inputs!$B$43&gt;0),IF(MAX(0,Inputs!$B$43-B2504)&lt;=0,0,(INT(MAX(0,Inputs!$B$43-B2504)/IF(Inputs!$B$38="pvp",15,MAX(0.1,Skills!D7-IF(Skills!E7=TRUE,Inputs!$B$32,0))))+1)),0)</f>
        <v/>
      </c>
      <c r="S2477">
        <f>IF(C2477,(H2477*N2477*IF(AND(Inputs!$B$38&lt;&gt;"pvp",Inputs!$B$43&gt;0),((Skills!F7*((R2477-1)*IF(Skills!G7&gt;0,Skills!H7/Skills!G7,1)+IF(Skills!G7&gt;0,MIN(Skills!H7,MAX(0,MAX(0,Inputs!$B$43-B2504)-((R2477-1)*IF(Inputs!$B$38="pvp",15,MAX(0.1,Skills!D7-IF(Skills!E7=TRUE,Inputs!$B$32,0))))))/Skills!G7,1)))/Inputs!$B$43),G2477*Q2477))*IF(Inputs!$B$38="pvp",1,1+(Inputs!$B$20+Skills!O7+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2477*(1-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7">
        <f>IF(C2477,(H2477*N2477*IF(AND(Inputs!$B$38&lt;&gt;"pvp",Inputs!$B$43&gt;0),((Skills!F7*((R2477-1)*IF(Skills!G7&gt;0,Skills!H7/Skills!G7,1)+IF(Skills!G7&gt;0,MIN(Skills!H7,MAX(0,MAX(0,Inputs!$B$43-B2504)-((R2477-1)*IF(Inputs!$B$38="pvp",15,MAX(0.1,Skills!D7-IF(Skills!E7=TRUE,Inputs!$B$32,0))))))/Skills!G7,1)))/Inputs!$B$43),G2477*Q2477))*IF(Inputs!$B$38="pvp",1,(1+(Inputs!$B$21+Skills!P7+B2498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Skills!A8</f>
        <v/>
      </c>
      <c r="B2478">
        <f>Skills!B8</f>
        <v/>
      </c>
      <c r="C2478">
        <f>Inputs!$B$3&gt;=103</f>
        <v/>
      </c>
      <c r="D2478">
        <f>IF(Skills!C8=1,60+Inputs!$B$25+Inputs!$B$29,IF(Skills!C8=2,90+Inputs!$B$26+Inputs!$B$29,IF(Skills!C8=3,120+Inputs!$B$27+Inputs!$B$29,MAX(0,(Inputs!$B$3-100)*3)+Inputs!$B$28+Inputs!$B$29)))</f>
        <v/>
      </c>
      <c r="E2478">
        <f>INDEX(FactorTable!$B$2:$Y$301, MATCH(ROUND(MIN(300,MAX(1,D2478)),0), FactorTable!$A$2:$A$301,0), Skills!L8+1)</f>
        <v/>
      </c>
      <c r="F2478">
        <f>IF(Skills!M8=TRUE,(Skills!K8/10)*(E2478/1000),Skills!K8/10)+Skills!N8</f>
        <v/>
      </c>
      <c r="G2478">
        <f>Calc!G8</f>
        <v/>
      </c>
      <c r="H2478">
        <f>Calc!H8</f>
        <v/>
      </c>
      <c r="I2478">
        <f>IF(Skills!T8&lt;&gt;"",1+(Skills!T8/10)*(Z2473/1000)/100,1)</f>
        <v/>
      </c>
      <c r="J2478">
        <f>((Inputs!$B$6*(1+Inputs!$B$7/100))+(((Inputs!$B$12*(1+Inputs!$B$13/100))-(Inputs!$B$12*(1+Inputs!$B$13/100)))+0.25*(Inputs!$B$14-Inputs!$B$14))*(1+Inputs!$B$7/100))*(F2478/100)</f>
        <v/>
      </c>
      <c r="K2478">
        <f>J2478*(1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8="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F2488-Calc!F18),(Inputs!$B$23+(IF(ArtifactsInput!$M$15,CHOOSE(ArtifactsInput!$N$15+1,25,30,35,40,45,50)/100*(Inputs!$B$11-Inputs!$B$11),0))))/100+(Inputs!$B$23+(IF(ArtifactsInput!$M$15,CHOOSE(ArtifactsInput!$N$15+1,25,30,35,40,45,50)/100*(Inputs!$B$11-Inputs!$B$11),0)))/100)/2</f>
        <v/>
      </c>
      <c r="M2478">
        <f>L2478*(1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(1-Summary!$B$11)*S2478+Summary!$B$11*U2478</f>
        <v/>
      </c>
      <c r="P2478">
        <f>IF(B2507=0,0,O2478/B2507)</f>
        <v/>
      </c>
      <c r="Q2478">
        <f>IFERROR(1/IF(Inputs!$B$38="pvp",15,MAX(0.1,Skills!D8-IF(Skills!E8=TRUE,Inputs!$B$32,0))),0)</f>
        <v/>
      </c>
      <c r="R2478">
        <f>IF(AND(Inputs!$B$38&lt;&gt;"pvp",Inputs!$B$43&gt;0),IF(MAX(0,Inputs!$B$43-B2504)&lt;=0,0,(INT(MAX(0,Inputs!$B$43-B2504)/IF(Inputs!$B$38="pvp",15,MAX(0.1,Skills!D8-IF(Skills!E8=TRUE,Inputs!$B$32,0))))+1)),0)</f>
        <v/>
      </c>
      <c r="S2478">
        <f>IF(C2478,(H2478*N2478*IF(AND(Inputs!$B$38&lt;&gt;"pvp",Inputs!$B$43&gt;0),((Skills!F8*((R2478-1)*IF(Skills!G8&gt;0,Skills!H8/Skills!G8,1)+IF(Skills!G8&gt;0,MIN(Skills!H8,MAX(0,MAX(0,Inputs!$B$43-B2504)-((R2478-1)*IF(Inputs!$B$38="pvp",15,MAX(0.1,Skills!D8-IF(Skills!E8=TRUE,Inputs!$B$32,0))))))/Skills!G8,1)))/Inputs!$B$43),G2478*Q2478))*IF(Inputs!$B$38="pvp",1,1+(Inputs!$B$20+Skills!O8+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2478*(1-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8">
        <f>IF(C2478,(H2478*N2478*IF(AND(Inputs!$B$38&lt;&gt;"pvp",Inputs!$B$43&gt;0),((Skills!F8*((R2478-1)*IF(Skills!G8&gt;0,Skills!H8/Skills!G8,1)+IF(Skills!G8&gt;0,MIN(Skills!H8,MAX(0,MAX(0,Inputs!$B$43-B2504)-((R2478-1)*IF(Inputs!$B$38="pvp",15,MAX(0.1,Skills!D8-IF(Skills!E8=TRUE,Inputs!$B$32,0))))))/Skills!G8,1)))/Inputs!$B$43),G2478*Q2478))*IF(Inputs!$B$38="pvp",1,(1+(Inputs!$B$21+Skills!P8+B2498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Skills!A9</f>
        <v/>
      </c>
      <c r="B2479">
        <f>Skills!B9</f>
        <v/>
      </c>
      <c r="C2479">
        <f>Inputs!$B$3&gt;=105</f>
        <v/>
      </c>
      <c r="D2479">
        <f>IF(Skills!C9=1,60+Inputs!$B$25+Inputs!$B$29,IF(Skills!C9=2,90+Inputs!$B$26+Inputs!$B$29,IF(Skills!C9=3,120+Inputs!$B$27+Inputs!$B$29,MAX(0,(Inputs!$B$3-100)*3)+Inputs!$B$28+Inputs!$B$29)))</f>
        <v/>
      </c>
      <c r="E2479">
        <f>INDEX(FactorTable!$B$2:$Y$301, MATCH(ROUND(MIN(300,MAX(1,D2479)),0), FactorTable!$A$2:$A$301,0), Skills!L9+1)</f>
        <v/>
      </c>
      <c r="F2479">
        <f>IF(Skills!M9=TRUE,(Skills!K9/10)*(E2479/1000),Skills!K9/10)+Skills!N9</f>
        <v/>
      </c>
      <c r="G2479">
        <f>Calc!G9</f>
        <v/>
      </c>
      <c r="H2479">
        <f>Calc!H9</f>
        <v/>
      </c>
      <c r="I2479">
        <f>IF(Skills!T9&lt;&gt;"",1+(Skills!T9/10)*(Z2473/1000)/100,1)</f>
        <v/>
      </c>
      <c r="J2479">
        <f>((Inputs!$B$6*(1+Inputs!$B$7/100))+(((Inputs!$B$12*(1+Inputs!$B$13/100))-(Inputs!$B$12*(1+Inputs!$B$13/100)))+0.25*(Inputs!$B$14-Inputs!$B$14))*(1+Inputs!$B$7/100))*(F2479/100)</f>
        <v/>
      </c>
      <c r="K2479">
        <f>J2479*(1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9="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F2488-Calc!F18),(Inputs!$B$23+(IF(ArtifactsInput!$M$15,CHOOSE(ArtifactsInput!$N$15+1,25,30,35,40,45,50)/100*(Inputs!$B$11-Inputs!$B$11),0))))/100+(Inputs!$B$23+(IF(ArtifactsInput!$M$15,CHOOSE(ArtifactsInput!$N$15+1,25,30,35,40,45,50)/100*(Inputs!$B$11-Inputs!$B$11),0)))/100)/2</f>
        <v/>
      </c>
      <c r="M2479">
        <f>L2479*(1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(1-Summary!$B$11)*S2479+Summary!$B$11*U2479</f>
        <v/>
      </c>
      <c r="P2479">
        <f>IF(B2507=0,0,O2479/B2507)</f>
        <v/>
      </c>
      <c r="Q2479">
        <f>IFERROR(1/IF(Inputs!$B$38="pvp",15,MAX(0.1,Skills!D9-IF(Skills!E9=TRUE,Inputs!$B$32,0))),0)</f>
        <v/>
      </c>
      <c r="R2479">
        <f>IF(AND(Inputs!$B$38&lt;&gt;"pvp",Inputs!$B$43&gt;0),IF(MAX(0,Inputs!$B$43-B2504)&lt;=0,0,(INT(MAX(0,Inputs!$B$43-B2504)/IF(Inputs!$B$38="pvp",15,MAX(0.1,Skills!D9-IF(Skills!E9=TRUE,Inputs!$B$32,0))))+1)),0)</f>
        <v/>
      </c>
      <c r="S2479">
        <f>IF(C2479,(H2479*N2479*IF(AND(Inputs!$B$38&lt;&gt;"pvp",Inputs!$B$43&gt;0),((Skills!F9*((R2479-1)*IF(Skills!G9&gt;0,Skills!H9/Skills!G9,1)+IF(Skills!G9&gt;0,MIN(Skills!H9,MAX(0,MAX(0,Inputs!$B$43-B2504)-((R2479-1)*IF(Inputs!$B$38="pvp",15,MAX(0.1,Skills!D9-IF(Skills!E9=TRUE,Inputs!$B$32,0))))))/Skills!G9,1)))/Inputs!$B$43),G2479*Q2479))*IF(Inputs!$B$38="pvp",1,1+(Inputs!$B$20+Skills!O9+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2479*(1-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9">
        <f>IF(C2479,(H2479*N2479*IF(AND(Inputs!$B$38&lt;&gt;"pvp",Inputs!$B$43&gt;0),((Skills!F9*((R2479-1)*IF(Skills!G9&gt;0,Skills!H9/Skills!G9,1)+IF(Skills!G9&gt;0,MIN(Skills!H9,MAX(0,MAX(0,Inputs!$B$43-B2504)-((R2479-1)*IF(Inputs!$B$38="pvp",15,MAX(0.1,Skills!D9-IF(Skills!E9=TRUE,Inputs!$B$32,0))))))/Skills!G9,1)))/Inputs!$B$43),G2479*Q2479))*IF(Inputs!$B$38="pvp",1,(1+(Inputs!$B$21+Skills!P9+B2498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Skills!A10</f>
        <v/>
      </c>
      <c r="B2480">
        <f>Skills!B10</f>
        <v/>
      </c>
      <c r="C2480">
        <f>Inputs!$B$3&gt;=113</f>
        <v/>
      </c>
      <c r="D2480">
        <f>IF(Skills!C10=1,60+Inputs!$B$25+Inputs!$B$29,IF(Skills!C10=2,90+Inputs!$B$26+Inputs!$B$29,IF(Skills!C10=3,120+Inputs!$B$27+Inputs!$B$29,MAX(0,(Inputs!$B$3-100)*3)+Inputs!$B$28+Inputs!$B$29)))</f>
        <v/>
      </c>
      <c r="E2480">
        <f>INDEX(FactorTable!$B$2:$Y$301, MATCH(ROUND(MIN(300,MAX(1,D2480)),0), FactorTable!$A$2:$A$301,0), Skills!L10+1)</f>
        <v/>
      </c>
      <c r="F2480">
        <f>IF(Skills!M10=TRUE,(Skills!K10/10)*(E2480/1000),Skills!K10/10)+Skills!N10</f>
        <v/>
      </c>
      <c r="G2480">
        <f>Calc!G10</f>
        <v/>
      </c>
      <c r="H2480">
        <f>Calc!H10</f>
        <v/>
      </c>
      <c r="I2480">
        <f>IF(Skills!T10&lt;&gt;"",1+(Skills!T10/10)*(Z2473/1000)/100,1)</f>
        <v/>
      </c>
      <c r="J2480">
        <f>((Inputs!$B$6*(1+Inputs!$B$7/100))+(((Inputs!$B$12*(1+Inputs!$B$13/100))-(Inputs!$B$12*(1+Inputs!$B$13/100)))+0.25*(Inputs!$B$14-Inputs!$B$14))*(1+Inputs!$B$7/100))*(F2480/100)</f>
        <v/>
      </c>
      <c r="K2480">
        <f>J2480*(1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10="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F2488-Calc!F18),(Inputs!$B$23+(IF(ArtifactsInput!$M$15,CHOOSE(ArtifactsInput!$N$15+1,25,30,35,40,45,50)/100*(Inputs!$B$11-Inputs!$B$11),0))))/100+(Inputs!$B$23+(IF(ArtifactsInput!$M$15,CHOOSE(ArtifactsInput!$N$15+1,25,30,35,40,45,50)/100*(Inputs!$B$11-Inputs!$B$11),0)))/100)/2</f>
        <v/>
      </c>
      <c r="M2480">
        <f>L2480*(1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(1-Summary!$B$11)*S2480+Summary!$B$11*U2480</f>
        <v/>
      </c>
      <c r="P2480">
        <f>IF(B2507=0,0,O2480/B2507)</f>
        <v/>
      </c>
      <c r="Q2480">
        <f>IFERROR(1/IF(Inputs!$B$38="pvp",15,MAX(0.1,Skills!D10-IF(Skills!E9=TRUE,Inputs!$B$32,0))),0)</f>
        <v/>
      </c>
      <c r="R2480">
        <f>IF(AND(Inputs!$B$38&lt;&gt;"pvp",Inputs!$B$43&gt;0),IF(MAX(0,Inputs!$B$43-B2504)&lt;=0,0,(INT(MAX(0,Inputs!$B$43-B2504)/IF(Inputs!$B$38="pvp",15,MAX(0.1,Skills!D10-IF(Skills!E9=TRUE,Inputs!$B$32,0))))+1)),0)</f>
        <v/>
      </c>
      <c r="S2480">
        <f>IF(C2480,(H2480*N2480*IF(AND(Inputs!$B$38&lt;&gt;"pvp",Inputs!$B$43&gt;0),((Skills!F10*((R2480-1)*IF(Skills!G10&gt;0,Skills!H10/Skills!G10,1)+IF(Skills!G10&gt;0,MIN(Skills!H10,MAX(0,MAX(0,Inputs!$B$43-B2504)-((R2480-1)*IF(Inputs!$B$38="pvp",15,MAX(0.1,Skills!D10-IF(Skills!E9=TRUE,Inputs!$B$32,0))))))/Skills!G10,1)))/Inputs!$B$43),G2480*Q2480))*IF(Inputs!$B$38="pvp",1,1+(Inputs!$B$20+Skills!O10+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2480*(1-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0">
        <f>IF(C2480,(H2480*N2480*IF(AND(Inputs!$B$38&lt;&gt;"pvp",Inputs!$B$43&gt;0),((Skills!F10*((R2480-1)*IF(Skills!G10&gt;0,Skills!H10/Skills!G10,1)+IF(Skills!G10&gt;0,MIN(Skills!H10,MAX(0,MAX(0,Inputs!$B$43-B2504)-((R2480-1)*IF(Inputs!$B$38="pvp",15,MAX(0.1,Skills!D10-IF(Skills!E9=TRUE,Inputs!$B$32,0))))))/Skills!G10,1)))/Inputs!$B$43),G2480*Q2480))*IF(Inputs!$B$38="pvp",1,(1+(Inputs!$B$21+Skills!P10+B2498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Skills!A11</f>
        <v/>
      </c>
      <c r="B2481">
        <f>Skills!B11</f>
        <v/>
      </c>
      <c r="C2481">
        <f>Inputs!$B$3&gt;=107</f>
        <v/>
      </c>
      <c r="D2481">
        <f>IF(Skills!C11=1,60+Inputs!$B$25+Inputs!$B$29,IF(Skills!C11=2,90+Inputs!$B$26+Inputs!$B$29,IF(Skills!C11=3,120+Inputs!$B$27+Inputs!$B$29,MAX(0,(Inputs!$B$3-100)*3)+Inputs!$B$28+Inputs!$B$29)))</f>
        <v/>
      </c>
      <c r="E2481">
        <f>INDEX(FactorTable!$B$2:$Y$301, MATCH(ROUND(MIN(300,MAX(1,D2481)),0), FactorTable!$A$2:$A$301,0), Skills!L11+1)</f>
        <v/>
      </c>
      <c r="F2481">
        <f>IF(Skills!M11=TRUE,(Skills!K11/10)*(E2481/1000),Skills!K11/10)+Skills!N11</f>
        <v/>
      </c>
      <c r="G2481">
        <f>Calc!G11</f>
        <v/>
      </c>
      <c r="H2481">
        <f>Calc!H11</f>
        <v/>
      </c>
      <c r="I2481">
        <f>IF(Skills!T11&lt;&gt;"",1+(Skills!T11/10)*(Z2473/1000)/100,1)</f>
        <v/>
      </c>
      <c r="J2481">
        <f>((Inputs!$B$6*(1+Inputs!$B$7/100))+(((Inputs!$B$12*(1+Inputs!$B$13/100))-(Inputs!$B$12*(1+Inputs!$B$13/100)))+0.25*(Inputs!$B$14-Inputs!$B$14))*(1+Inputs!$B$7/100))*(F2481/100)</f>
        <v/>
      </c>
      <c r="K2481">
        <f>J2481*(1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11="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F2488-Calc!F18),(Inputs!$B$23+(IF(ArtifactsInput!$M$15,CHOOSE(ArtifactsInput!$N$15+1,25,30,35,40,45,50)/100*(Inputs!$B$11-Inputs!$B$11),0))))/100+(Inputs!$B$23+(IF(ArtifactsInput!$M$15,CHOOSE(ArtifactsInput!$N$15+1,25,30,35,40,45,50)/100*(Inputs!$B$11-Inputs!$B$11),0)))/100)/2</f>
        <v/>
      </c>
      <c r="M2481">
        <f>L2481*(1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(1-Summary!$B$11)*S2481+Summary!$B$11*U2481</f>
        <v/>
      </c>
      <c r="P2481">
        <f>IF(B2507=0,0,O2481/B2507)</f>
        <v/>
      </c>
      <c r="Q2481">
        <f>IFERROR(1/IF(Inputs!$B$38="pvp",15,MAX(0.1,Skills!D11-IF(Skills!E11=TRUE,Inputs!$B$32,0))),0)</f>
        <v/>
      </c>
      <c r="R2481">
        <f>IF(AND(Inputs!$B$38&lt;&gt;"pvp",Inputs!$B$43&gt;0),IF(MAX(0,Inputs!$B$43-B2504)&lt;=0,0,(INT(MAX(0,Inputs!$B$43-B2504)/IF(Inputs!$B$38="pvp",15,MAX(0.1,Skills!D11-IF(Skills!E11=TRUE,Inputs!$B$32,0))))+1)),0)</f>
        <v/>
      </c>
      <c r="S2481">
        <f>IF(C2481,H2481*N2481*IF(AND(Inputs!$B$38&lt;&gt;"pvp",Inputs!$B$43&gt;0),((Skills!F11*((R2481-1)*IF(Skills!G11&gt;0,Skills!H11/Skills!G11,1)+IF(Skills!G11&gt;0,MIN(Skills!H11,MAX(0,MAX(0,Inputs!$B$43-B2504)-((R2481-1)*IF(Inputs!$B$38="pvp",15,MAX(0.1,Skills!D11-IF(Skills!E11=TRUE,Inputs!$B$32,0))))))/Skills!G11,1)))/Inputs!$B$43),G2481*Q2481)*0.5*IF(Inputs!$B$38="pvp",1,1+(Inputs!$B$20+Skills!O11+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IF(C2481,H2481*N2481*IF(AND(Inputs!$B$38&lt;&gt;"pvp",Inputs!$B$43&gt;0),((Skills!F11*((R2481-1)*IF(Skills!G11&gt;0,Skills!H11/Skills!G11,1)+IF(Skills!G11&gt;0,MIN(Skills!H11,MAX(0,MAX(0,Inputs!$B$43-B2504)-((R2481-1)*IF(Inputs!$B$38="pvp",15,MAX(0.1,Skills!D11-IF(Skills!E11=TRUE,Inputs!$B$32,0))))))/Skills!G11,1)))/Inputs!$B$43),G2481*Q2481)*1*IF(Inputs!$B$38="pvp",1,(1+(Inputs!$B$21+Skills!P11+B2498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Skills!A12</f>
        <v/>
      </c>
      <c r="B2482">
        <f>Skills!B12</f>
        <v/>
      </c>
      <c r="C2482">
        <f>Inputs!$B$3&gt;=115</f>
        <v/>
      </c>
      <c r="D2482">
        <f>IF(Skills!C12=1,60+Inputs!$B$25+Inputs!$B$29,IF(Skills!C12=2,90+Inputs!$B$26+Inputs!$B$29,IF(Skills!C12=3,120+Inputs!$B$27+Inputs!$B$29,MAX(0,(Inputs!$B$3-100)*3)+Inputs!$B$28+Inputs!$B$29)))</f>
        <v/>
      </c>
      <c r="E2482">
        <f>INDEX(FactorTable!$B$2:$Y$301, MATCH(ROUND(MIN(300,MAX(1,D2482)),0), FactorTable!$A$2:$A$301,0), Skills!L12+1)</f>
        <v/>
      </c>
      <c r="F2482">
        <f>IF(Skills!M12=TRUE,(Skills!K12/10)*(E2482/1000),Skills!K12/10)+Skills!N12</f>
        <v/>
      </c>
      <c r="G2482">
        <f>Calc!G12</f>
        <v/>
      </c>
      <c r="H2482">
        <f>Calc!H12</f>
        <v/>
      </c>
      <c r="I2482">
        <f>IF(Skills!T12&lt;&gt;"",1+(Skills!T12/10)*(Z2473/1000)/100,1)</f>
        <v/>
      </c>
      <c r="J2482">
        <f>((Inputs!$B$6*(1+Inputs!$B$7/100))+(((Inputs!$B$12*(1+Inputs!$B$13/100))-(Inputs!$B$12*(1+Inputs!$B$13/100)))+0.25*(Inputs!$B$14-Inputs!$B$14))*(1+Inputs!$B$7/100))*(F2482/100)</f>
        <v/>
      </c>
      <c r="K2482">
        <f>J2482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12="CHAIN_LIGHTNING",Inputs!$B$17+((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F2488-Calc!F18),(Inputs!$B$23+(IF(ArtifactsInput!$M$15,CHOOSE(ArtifactsInput!$N$15+1,25,30,35,40,45,50)/100*(Inputs!$B$11-Inputs!$B$11),0))))/100+(Inputs!$B$23+(IF(ArtifactsInput!$M$15,CHOOSE(ArtifactsInput!$N$15+1,25,30,35,40,45,50)/100*(Inputs!$B$11-Inputs!$B$11),0)))/100)/2</f>
        <v/>
      </c>
      <c r="M2482">
        <f>L2482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(1-Summary!$B$11)*S2482+Summary!$B$11*U2482</f>
        <v/>
      </c>
      <c r="P2482">
        <f>IF(B2507=0,0,O2482/B2507)</f>
        <v/>
      </c>
      <c r="Q2482">
        <f>IFERROR(1/IF(Inputs!$B$38="pvp",15,MAX(0.1,Skills!D12-IF(Skills!E12=TRUE,Inputs!$B$32,0))),0)</f>
        <v/>
      </c>
      <c r="R2482">
        <f>IF(AND(Inputs!$B$38&lt;&gt;"pvp",Inputs!$B$43&gt;0),IF(MAX(0,Inputs!$B$43-B2504)&lt;=0,0,(INT(MAX(0,Inputs!$B$43-B2504)/IF(Inputs!$B$38="pvp",15,MAX(0.1,Skills!D12-IF(Skills!E12=TRUE,Inputs!$B$32,0))))+1)),0)</f>
        <v/>
      </c>
      <c r="S2482">
        <f>IF(C2482,(H2482*N2482*IF(AND(Inputs!$B$38&lt;&gt;"pvp",Inputs!$B$43&gt;0),((Skills!F12*((R2482-1)*IF(Skills!G12&gt;0,Skills!H12/Skills!G12,1)+IF(Skills!G12&gt;0,MIN(Skills!H12,MAX(0,MAX(0,Inputs!$B$43-B2504)-((R2482-1)*IF(Inputs!$B$38="pvp",15,MAX(0.1,Skills!D12-IF(Skills!E12=TRUE,Inputs!$B$32,0))))))/Skills!G12,1)))/Inputs!$B$43),G2482*Q2482))*IF(Inputs!$B$38="pvp",1,1+(Inputs!$B$20+Skills!O12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2482*(1-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F2490-Calc!F20)+(F2489-Calc!F19))+(ArtifactsInput!$M$24-ArtifactsInput!$M$24)*CHOOSE(ArtifactsInput!$N$24+1,10,12,14,16,18,20)+(IF(AND(Inputs!$B$38&lt;&gt;"pvp",Inputs!$B$43=0),1,IF(IF(Inputs!$B$38="pvp",15,Inputs!$B$43)-(B2504)&lt;=0,1,MAX(0,IF(Inputs!$B$38="pvp",15,Inputs!$B$43)-MAX(5,B2504))/(IF(Inputs!$B$38="pvp",15,Inputs!$B$43)-(B2504)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F(C2482,(H2482*N2482*IF(AND(Inputs!$B$38&lt;&gt;"pvp",Inputs!$B$43&gt;0),((Skills!F12*((R2482-1)*IF(Skills!G12&gt;0,Skills!H12/Skills!G12,1)+IF(Skills!G12&gt;0,MIN(Skills!H12,MAX(0,MAX(0,Inputs!$B$43-B2504)-((R2482-1)*IF(Inputs!$B$38="pvp",15,MAX(0.1,Skills!D12-IF(Skills!E12=TRUE,Inputs!$B$32,0))))))/Skills!G12,1)))/Inputs!$B$43),G2482*Q2482))*IF(Inputs!$B$38="pvp",1,(1+(Inputs!$B$21+Skills!P12+B2498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Skills!A13</f>
        <v/>
      </c>
      <c r="B2483">
        <f>Skills!B13</f>
        <v/>
      </c>
      <c r="C2483">
        <f>Inputs!$B$3&gt;=49</f>
        <v/>
      </c>
      <c r="D2483">
        <f>IF(Skills!C13=1,60+Inputs!$B$25+Inputs!$B$29,IF(Skills!C13=2,90+Inputs!$B$26+Inputs!$B$29,IF(Skills!C13=3,120+Inputs!$B$27+Inputs!$B$29,MAX(0,(Inputs!$B$3-100)*3)+Inputs!$B$28+Inputs!$B$29)))</f>
        <v/>
      </c>
      <c r="E2483">
        <f>INDEX(FactorTable!$B$2:$Y$301, MATCH(ROUND(MIN(300,MAX(1,D2483)),0), FactorTable!$A$2:$A$301,0), Skills!L13+1)</f>
        <v/>
      </c>
      <c r="F2483">
        <f>IF(Skills!M13=TRUE,(Skills!K13/10)*(E2483/1000),Skills!K13/10)+Skills!N13</f>
        <v/>
      </c>
      <c r="G2483">
        <f>Calc!G13</f>
        <v/>
      </c>
      <c r="H2483">
        <f>Calc!H13</f>
        <v/>
      </c>
      <c r="I2483">
        <f>IF(Skills!T13&lt;&gt;"",1+(Skills!T13/10)*(Z2473/1000)/100,1)</f>
        <v/>
      </c>
      <c r="J2483" t="inlineStr"/>
      <c r="K2483" t="inlineStr"/>
      <c r="L2483" t="inlineStr"/>
      <c r="M2483" t="inlineStr"/>
      <c r="N2483" t="inlineStr"/>
      <c r="O2483">
        <f>(1-Summary!$B$11)*S2483+Summary!$B$11*U2483</f>
        <v/>
      </c>
      <c r="P2483">
        <f>IF(B2507=0,0,O2483/B2507)</f>
        <v/>
      </c>
      <c r="Q2483">
        <f>IFERROR(1/IF(Inputs!$B$38="pvp",15,MAX(0.1,Skills!D13-IF(Skills!E13=TRUE,Inputs!$B$32,0))),0)</f>
        <v/>
      </c>
      <c r="R2483" t="n">
        <v>0</v>
      </c>
      <c r="S2483" t="n">
        <v>0</v>
      </c>
      <c r="U2483" t="n">
        <v>0</v>
      </c>
    </row>
    <row r="2484">
      <c r="A2484">
        <f>Skills!A14</f>
        <v/>
      </c>
      <c r="B2484">
        <f>Skills!B14</f>
        <v/>
      </c>
      <c r="C2484">
        <f>Inputs!$B$3&gt;=72</f>
        <v/>
      </c>
      <c r="D2484">
        <f>IF(Skills!C14=1,60+Inputs!$B$25+Inputs!$B$29,IF(Skills!C14=2,90+Inputs!$B$26+Inputs!$B$29,IF(Skills!C14=3,120+Inputs!$B$27+Inputs!$B$29,MAX(0,(Inputs!$B$3-100)*3)+Inputs!$B$28+Inputs!$B$29)))</f>
        <v/>
      </c>
      <c r="E2484">
        <f>INDEX(FactorTable!$B$2:$Y$301, MATCH(ROUND(MIN(300,MAX(1,D2484)),0), FactorTable!$A$2:$A$301,0), Skills!L14+1)</f>
        <v/>
      </c>
      <c r="F2484">
        <f>IF(Skills!M14=TRUE,(Skills!K14/10)*(E2484/1000),Skills!K14/10)+Skills!N14</f>
        <v/>
      </c>
      <c r="G2484">
        <f>Calc!G14</f>
        <v/>
      </c>
      <c r="H2484">
        <f>Calc!H14</f>
        <v/>
      </c>
      <c r="I2484">
        <f>IF(Skills!T14&lt;&gt;"",1+(Skills!T14/10)*(Z2473/1000)/100,1)</f>
        <v/>
      </c>
      <c r="J2484" t="inlineStr"/>
      <c r="K2484" t="inlineStr"/>
      <c r="L2484" t="inlineStr"/>
      <c r="M2484" t="inlineStr"/>
      <c r="N2484" t="inlineStr"/>
      <c r="O2484">
        <f>(1-Summary!$B$11)*S2484+Summary!$B$11*U2484</f>
        <v/>
      </c>
      <c r="P2484">
        <f>IF(B2507=0,0,O2484/B2507)</f>
        <v/>
      </c>
      <c r="Q2484">
        <f>IFERROR(1/IF(Inputs!$B$38="pvp",15,MAX(0.1,Skills!D14-IF(Skills!E14=TRUE,Inputs!$B$32,0))),0)</f>
        <v/>
      </c>
      <c r="R2484" t="n">
        <v>0</v>
      </c>
      <c r="S2484" t="n">
        <v>0</v>
      </c>
      <c r="U2484" t="n">
        <v>0</v>
      </c>
    </row>
    <row r="2485">
      <c r="A2485">
        <f>Skills!A15</f>
        <v/>
      </c>
      <c r="B2485">
        <f>Skills!B15</f>
        <v/>
      </c>
      <c r="C2485">
        <f>Inputs!$B$3&gt;=75</f>
        <v/>
      </c>
      <c r="D2485">
        <f>IF(Skills!C15=1,60+Inputs!$B$25+Inputs!$B$29,IF(Skills!C15=2,90+Inputs!$B$26+Inputs!$B$29,IF(Skills!C15=3,120+Inputs!$B$27+Inputs!$B$29,MAX(0,(Inputs!$B$3-100)*3)+Inputs!$B$28+Inputs!$B$29)))</f>
        <v/>
      </c>
      <c r="E2485">
        <f>INDEX(FactorTable!$B$2:$Y$301, MATCH(ROUND(MIN(300,MAX(1,D2485)),0), FactorTable!$A$2:$A$301,0), Skills!L15+1)</f>
        <v/>
      </c>
      <c r="F2485">
        <f>IF(Skills!M15=TRUE,(Skills!K15/10)*(E2485/1000),Skills!K15/10)+Skills!N15</f>
        <v/>
      </c>
      <c r="G2485">
        <f>Calc!G15</f>
        <v/>
      </c>
      <c r="H2485">
        <f>Calc!H15</f>
        <v/>
      </c>
      <c r="I2485">
        <f>IF(Skills!T15&lt;&gt;"",1+(Skills!T15/10)*(Z2473/1000)/100,1)</f>
        <v/>
      </c>
      <c r="J2485" t="inlineStr"/>
      <c r="K2485" t="inlineStr"/>
      <c r="L2485" t="inlineStr"/>
      <c r="M2485" t="inlineStr"/>
      <c r="N2485" t="inlineStr"/>
      <c r="O2485">
        <f>(1-Summary!$B$11)*S2485+Summary!$B$11*U2485</f>
        <v/>
      </c>
      <c r="P2485">
        <f>IF(B2507=0,0,O2485/B2507)</f>
        <v/>
      </c>
      <c r="Q2485">
        <f>IFERROR(1/IF(Inputs!$B$38="pvp",15,MAX(0.1,Skills!D15-IF(Skills!E15=TRUE,Inputs!$B$32,0))),0)</f>
        <v/>
      </c>
      <c r="R2485" t="n">
        <v>0</v>
      </c>
      <c r="S2485" t="n">
        <v>0</v>
      </c>
      <c r="U2485" t="n">
        <v>0</v>
      </c>
    </row>
    <row r="2486">
      <c r="A2486">
        <f>Skills!A16</f>
        <v/>
      </c>
      <c r="B2486">
        <f>Skills!B16</f>
        <v/>
      </c>
      <c r="C2486">
        <f>Inputs!$B$3&gt;=110</f>
        <v/>
      </c>
      <c r="D2486">
        <f>IF(Skills!C16=1,60+Inputs!$B$25+Inputs!$B$29,IF(Skills!C16=2,90+Inputs!$B$26+Inputs!$B$29,IF(Skills!C16=3,120+Inputs!$B$27+Inputs!$B$29,MAX(0,(Inputs!$B$3-100)*3)+Inputs!$B$28+Inputs!$B$29)))</f>
        <v/>
      </c>
      <c r="E2486">
        <f>INDEX(FactorTable!$B$2:$Y$301, MATCH(ROUND(MIN(300,MAX(1,D2486)),0), FactorTable!$A$2:$A$301,0), Skills!L16+1)</f>
        <v/>
      </c>
      <c r="F2486">
        <f>(Skills!K16/10)*(E2486/1000)*64/45+Skills!N16</f>
        <v/>
      </c>
      <c r="G2486">
        <f>Calc!G16</f>
        <v/>
      </c>
      <c r="H2486">
        <f>Calc!H16</f>
        <v/>
      </c>
      <c r="I2486">
        <f>IF(Skills!T16&lt;&gt;"",1+(Skills!T16/10)*(Z2473/1000)/100,1)</f>
        <v/>
      </c>
      <c r="J2486" t="inlineStr"/>
      <c r="K2486" t="inlineStr"/>
      <c r="L2486" t="inlineStr"/>
      <c r="M2486" t="inlineStr"/>
      <c r="N2486" t="inlineStr"/>
      <c r="O2486">
        <f>(1-Summary!$B$11)*S2486+Summary!$B$11*U2486</f>
        <v/>
      </c>
      <c r="P2486">
        <f>IF(B2507=0,0,O2486/B2507)</f>
        <v/>
      </c>
      <c r="Q2486">
        <f>IFERROR(1/IF(Inputs!$B$38="pvp",15,MAX(0.1,Skills!D16-IF(Skills!E16=TRUE,Inputs!$B$32,0))),0)</f>
        <v/>
      </c>
      <c r="R2486">
        <f>IF(AND(Inputs!$B$38&lt;&gt;"pvp",Inputs!$B$43&gt;0),IF(Inputs!$B$43&lt;=0,0,(INT(Inputs!$B$43/IF(Inputs!$B$38="pvp",15,MAX(0.1,Skills!D16-IF(Skills!E16=TRUE,Inputs!$B$32,0))))+1)),0)</f>
        <v/>
      </c>
      <c r="S2486" t="n">
        <v>0</v>
      </c>
      <c r="U2486" t="n">
        <v>0</v>
      </c>
    </row>
    <row r="2487">
      <c r="A2487">
        <f>Skills!A17</f>
        <v/>
      </c>
      <c r="B2487">
        <f>Skills!B17</f>
        <v/>
      </c>
      <c r="C2487">
        <f>Inputs!$B$3&gt;=33</f>
        <v/>
      </c>
      <c r="D2487">
        <f>IF(Skills!C17=1,60+Inputs!$B$25+Inputs!$B$29,IF(Skills!C17=2,90+Inputs!$B$26+Inputs!$B$29,IF(Skills!C17=3,120+Inputs!$B$27+Inputs!$B$29,MAX(0,(Inputs!$B$3-100)*3)+Inputs!$B$28+Inputs!$B$29)))</f>
        <v/>
      </c>
      <c r="E2487">
        <f>INDEX(FactorTable!$B$2:$Y$301, MATCH(ROUND(MIN(300,MAX(1,D2487)),0), FactorTable!$A$2:$A$301,0), Skills!L17+1)</f>
        <v/>
      </c>
      <c r="F2487">
        <f>IF(Skills!M17=TRUE,(Skills!K17/10)*(E2487/1000),Skills!K17/10)+Skills!N17</f>
        <v/>
      </c>
      <c r="G2487">
        <f>Calc!G17</f>
        <v/>
      </c>
      <c r="H2487">
        <f>Calc!H17</f>
        <v/>
      </c>
      <c r="I2487">
        <f>IF(Skills!T17&lt;&gt;"",1+(Skills!T17/10)*(Z2473/1000)/100,1)</f>
        <v/>
      </c>
      <c r="J2487" t="inlineStr"/>
      <c r="K2487" t="inlineStr"/>
      <c r="L2487" t="inlineStr"/>
      <c r="M2487" t="inlineStr"/>
      <c r="N2487" t="inlineStr"/>
      <c r="O2487">
        <f>(1-Summary!$B$11)*S2487+Summary!$B$11*U2487</f>
        <v/>
      </c>
      <c r="P2487">
        <f>IF(B2507=0,0,O2487/B2507)</f>
        <v/>
      </c>
      <c r="Q2487">
        <f>IFERROR(1/IF(Inputs!$B$38="pvp",15,MAX(0.1,Skills!D17-IF(Skills!E17=TRUE,Inputs!$B$32,0))),0)</f>
        <v/>
      </c>
      <c r="R2487" t="n">
        <v>0</v>
      </c>
      <c r="S2487" t="n">
        <v>0</v>
      </c>
      <c r="U2487" t="n">
        <v>0</v>
      </c>
    </row>
    <row r="2488">
      <c r="A2488">
        <f>Skills!A18</f>
        <v/>
      </c>
      <c r="B2488">
        <f>Skills!B18</f>
        <v/>
      </c>
      <c r="C2488">
        <f>Inputs!$B$3&gt;=43</f>
        <v/>
      </c>
      <c r="D2488">
        <f>IF(Skills!C18=1,60+Inputs!$B$25+Inputs!$B$29,IF(Skills!C18=2,90+Inputs!$B$26+Inputs!$B$29,IF(Skills!C18=3,120+Inputs!$B$27+Inputs!$B$29,MAX(0,(Inputs!$B$3-100)*3)+Inputs!$B$28+Inputs!$B$29)))</f>
        <v/>
      </c>
      <c r="E2488">
        <f>INDEX(FactorTable!$B$2:$Y$301, MATCH(ROUND(MIN(300,MAX(1,D2488)),0), FactorTable!$A$2:$A$301,0), Skills!L18+1)</f>
        <v/>
      </c>
      <c r="F2488">
        <f>IF(Skills!M18=TRUE,(Skills!K18/10)*(E2488/1000),Skills!K18/10)+Skills!N18</f>
        <v/>
      </c>
      <c r="G2488">
        <f>Calc!G18</f>
        <v/>
      </c>
      <c r="H2488">
        <f>Calc!H18</f>
        <v/>
      </c>
      <c r="I2488">
        <f>IF(Skills!T18&lt;&gt;"",1+(Skills!T18/10)*(Z2473/1000)/100,1)</f>
        <v/>
      </c>
      <c r="J2488" t="inlineStr"/>
      <c r="K2488" t="inlineStr"/>
      <c r="L2488" t="inlineStr"/>
      <c r="M2488" t="inlineStr"/>
      <c r="N2488" t="inlineStr"/>
      <c r="O2488">
        <f>(1-Summary!$B$11)*S2488+Summary!$B$11*U2488</f>
        <v/>
      </c>
      <c r="P2488">
        <f>IF(B2507=0,0,O2488/B2507)</f>
        <v/>
      </c>
      <c r="Q2488">
        <f>IFERROR(1/IF(Inputs!$B$38="pvp",15,MAX(0.1,Skills!D18-IF(Skills!E18=TRUE,Inputs!$B$32,0))),0)</f>
        <v/>
      </c>
      <c r="R2488" t="n">
        <v>0</v>
      </c>
      <c r="S2488" t="n">
        <v>0</v>
      </c>
      <c r="U2488" t="n">
        <v>0</v>
      </c>
    </row>
    <row r="2489">
      <c r="A2489">
        <f>Skills!A19</f>
        <v/>
      </c>
      <c r="B2489">
        <f>Skills!B19</f>
        <v/>
      </c>
      <c r="C2489">
        <f>Inputs!$B$3&gt;=50</f>
        <v/>
      </c>
      <c r="D2489">
        <f>IF(Skills!C19=1,60+Inputs!$B$25+Inputs!$B$29,IF(Skills!C19=2,90+Inputs!$B$26+Inputs!$B$29,IF(Skills!C19=3,120+Inputs!$B$27+Inputs!$B$29,MAX(0,(Inputs!$B$3-100)*3)+Inputs!$B$28+Inputs!$B$29)))</f>
        <v/>
      </c>
      <c r="E2489">
        <f>INDEX(FactorTable!$B$2:$Y$301, MATCH(ROUND(MIN(300,MAX(1,D2489)),0), FactorTable!$A$2:$A$301,0), Skills!L19+1)</f>
        <v/>
      </c>
      <c r="F2489">
        <f>IF(Skills!M19=TRUE,(Skills!K19/10)*(E2489/1000),Skills!K19/10)+Skills!N19</f>
        <v/>
      </c>
      <c r="G2489">
        <f>Calc!G19</f>
        <v/>
      </c>
      <c r="H2489">
        <f>Calc!H19</f>
        <v/>
      </c>
      <c r="I2489">
        <f>IF(Skills!T19&lt;&gt;"",1+(Skills!T19/10)*(Z2473/1000)/100,1)</f>
        <v/>
      </c>
      <c r="J2489" t="inlineStr"/>
      <c r="K2489" t="inlineStr"/>
      <c r="L2489" t="inlineStr"/>
      <c r="M2489" t="inlineStr"/>
      <c r="N2489" t="inlineStr"/>
      <c r="O2489">
        <f>(1-Summary!$B$11)*S2489+Summary!$B$11*U2489</f>
        <v/>
      </c>
      <c r="P2489">
        <f>IF(B2507=0,0,O2489/B2507)</f>
        <v/>
      </c>
      <c r="Q2489">
        <f>IFERROR(1/IF(Inputs!$B$38="pvp",15,MAX(0.1,Skills!D19-IF(Skills!E19=TRUE,Inputs!$B$32,0))),0)</f>
        <v/>
      </c>
      <c r="R2489" t="n">
        <v>0</v>
      </c>
      <c r="S2489" t="n">
        <v>0</v>
      </c>
      <c r="U2489" t="n">
        <v>0</v>
      </c>
    </row>
    <row r="2490">
      <c r="A2490">
        <f>Skills!A20</f>
        <v/>
      </c>
      <c r="B2490">
        <f>Skills!B20</f>
        <v/>
      </c>
      <c r="C2490">
        <f>Inputs!$B$3&gt;=74</f>
        <v/>
      </c>
      <c r="D2490">
        <f>IF(Skills!C20=1,60+Inputs!$B$25+Inputs!$B$29,IF(Skills!C20=2,90+Inputs!$B$26+Inputs!$B$29,IF(Skills!C20=3,120+Inputs!$B$27+Inputs!$B$29,MAX(0,(Inputs!$B$3-100)*3)+Inputs!$B$28+Inputs!$B$29)))</f>
        <v/>
      </c>
      <c r="E2490">
        <f>INDEX(FactorTable!$B$2:$Y$301, MATCH(ROUND(MIN(300,MAX(1,D2490)),0), FactorTable!$A$2:$A$301,0), Skills!L20+1)</f>
        <v/>
      </c>
      <c r="F2490">
        <f>IF(Skills!M20=TRUE,(Skills!K20/10)*(E2490/1000),Skills!K20/10)+Skills!N20</f>
        <v/>
      </c>
      <c r="G2490">
        <f>Calc!G20</f>
        <v/>
      </c>
      <c r="H2490">
        <f>Calc!H20</f>
        <v/>
      </c>
      <c r="I2490">
        <f>IF(Skills!T20&lt;&gt;"",1+(Skills!T20/10)*(Z2473/1000)/100,1)</f>
        <v/>
      </c>
      <c r="J2490" t="inlineStr"/>
      <c r="K2490" t="inlineStr"/>
      <c r="L2490" t="inlineStr"/>
      <c r="M2490" t="inlineStr"/>
      <c r="N2490" t="inlineStr"/>
      <c r="O2490">
        <f>(1-Summary!$B$11)*S2490+Summary!$B$11*U2490</f>
        <v/>
      </c>
      <c r="P2490">
        <f>IF(B2507=0,0,O2490/B2507)</f>
        <v/>
      </c>
      <c r="Q2490">
        <f>IFERROR(1/IF(Inputs!$B$38="pvp",15,MAX(0.1,Skills!D20-IF(Skills!E20=TRUE,Inputs!$B$32,0))),0)</f>
        <v/>
      </c>
      <c r="R2490" t="n">
        <v>0</v>
      </c>
      <c r="S2490" t="n">
        <v>0</v>
      </c>
      <c r="U2490" t="n">
        <v>0</v>
      </c>
    </row>
    <row r="2491">
      <c r="A2491">
        <f>Skills!A21</f>
        <v/>
      </c>
      <c r="B2491">
        <f>Skills!B21</f>
        <v/>
      </c>
      <c r="C2491">
        <f>Inputs!$B$3&gt;=74</f>
        <v/>
      </c>
      <c r="D2491">
        <f>IF(Skills!C21=1,60+Inputs!$B$25+Inputs!$B$29,IF(Skills!C21=2,90+Inputs!$B$26+Inputs!$B$29,IF(Skills!C21=3,120+Inputs!$B$27+Inputs!$B$29,MAX(0,(Inputs!$B$3-100)*3)+Inputs!$B$28+Inputs!$B$29)))</f>
        <v/>
      </c>
      <c r="E2491">
        <f>INDEX(FactorTable!$B$2:$Y$301, MATCH(ROUND(MIN(300,MAX(1,D2491)),0), FactorTable!$A$2:$A$301,0), Skills!L21+1)</f>
        <v/>
      </c>
      <c r="F2491">
        <f>IF(Skills!M21=TRUE,(Skills!K21/10)*(E2491/1000),Skills!K21/10)+Skills!N21</f>
        <v/>
      </c>
      <c r="G2491">
        <f>Calc!G21</f>
        <v/>
      </c>
      <c r="H2491">
        <f>Calc!H21</f>
        <v/>
      </c>
      <c r="I2491">
        <f>IF(Skills!T21&lt;&gt;"",1+(Skills!T21/10)*(Z2473/1000)/100,1)</f>
        <v/>
      </c>
      <c r="J2491" t="inlineStr"/>
      <c r="K2491" t="inlineStr"/>
      <c r="L2491" t="inlineStr"/>
      <c r="M2491" t="inlineStr"/>
      <c r="N2491" t="inlineStr"/>
      <c r="O2491">
        <f>(1-Summary!$B$11)*S2491+Summary!$B$11*U2491</f>
        <v/>
      </c>
      <c r="P2491">
        <f>IF(B2507=0,0,O2491/B2507)</f>
        <v/>
      </c>
      <c r="Q2491">
        <f>IFERROR(1/IF(Inputs!$B$38="pvp",15,MAX(0.1,Skills!D21-IF(Skills!E21=TRUE,Inputs!$B$32,0))),0)</f>
        <v/>
      </c>
      <c r="R2491" t="n">
        <v>0</v>
      </c>
      <c r="S2491" t="n">
        <v>0</v>
      </c>
      <c r="U2491" t="n">
        <v>0</v>
      </c>
    </row>
    <row r="2492">
      <c r="A2492">
        <f>Skills!A22</f>
        <v/>
      </c>
      <c r="B2492">
        <f>Skills!B22</f>
        <v/>
      </c>
      <c r="C2492">
        <f>Inputs!$B$3&gt;=117</f>
        <v/>
      </c>
      <c r="D2492">
        <f>IF(Skills!C22=1,60+Inputs!$B$25+Inputs!$B$29,IF(Skills!C22=2,90+Inputs!$B$26+Inputs!$B$29,IF(Skills!C22=3,120+Inputs!$B$27+Inputs!$B$29,MAX(0,(Inputs!$B$3-100)*3)+Inputs!$B$28+Inputs!$B$29)))</f>
        <v/>
      </c>
      <c r="E2492">
        <f>INDEX(FactorTable!$B$2:$Y$301, MATCH(ROUND(MIN(300,MAX(1,D2492)),0), FactorTable!$A$2:$A$301,0), Skills!L22+1)</f>
        <v/>
      </c>
      <c r="F2492">
        <f>IF(Skills!M22=TRUE,(Skills!K22/10)*(E2492/1000),Skills!K22/10)+Skills!N22</f>
        <v/>
      </c>
      <c r="G2492">
        <f>Calc!G22</f>
        <v/>
      </c>
      <c r="H2492">
        <f>Calc!H22</f>
        <v/>
      </c>
      <c r="I2492">
        <f>IF(Skills!T22&lt;&gt;"",1+(Skills!T22/10)*(Z2473/1000)/100,1)</f>
        <v/>
      </c>
      <c r="J2492" t="inlineStr"/>
      <c r="K2492" t="inlineStr"/>
      <c r="L2492" t="inlineStr"/>
      <c r="M2492" t="inlineStr"/>
      <c r="N2492" t="inlineStr"/>
      <c r="O2492">
        <f>(1-Summary!$B$11)*S2492+Summary!$B$11*U2492</f>
        <v/>
      </c>
      <c r="P2492">
        <f>IF(B2507=0,0,O2492/B2507)</f>
        <v/>
      </c>
      <c r="Q2492">
        <f>IFERROR(1/IF(Inputs!$B$38="pvp",15,MAX(0.1,Skills!D22-IF(Skills!E22=TRUE,Inputs!$B$32,0))),0)</f>
        <v/>
      </c>
      <c r="R2492" t="n">
        <v>0</v>
      </c>
      <c r="S2492" t="n">
        <v>0</v>
      </c>
      <c r="U2492" t="n">
        <v>0</v>
      </c>
    </row>
    <row r="2493">
      <c r="A2493">
        <f>Skills!A23</f>
        <v/>
      </c>
      <c r="B2493">
        <f>Skills!B23</f>
        <v/>
      </c>
      <c r="C2493">
        <f>Inputs!$B$3&gt;=120</f>
        <v/>
      </c>
      <c r="D2493">
        <f>IF(Skills!C23=1,60+Inputs!$B$25+Inputs!$B$29,IF(Skills!C23=2,90+Inputs!$B$26+Inputs!$B$29,IF(Skills!C23=3,120+Inputs!$B$27+Inputs!$B$29,MAX(0,(Inputs!$B$3-100)*3)+Inputs!$B$28+Inputs!$B$29)))</f>
        <v/>
      </c>
      <c r="E2493">
        <f>INDEX(FactorTable!$B$2:$Y$301, MATCH(ROUND(MIN(300,MAX(1,D2493)),0), FactorTable!$A$2:$A$301,0), Skills!L23+1)</f>
        <v/>
      </c>
      <c r="F2493">
        <f>IF(Skills!M23=TRUE,(Skills!K23/10)*(E2493/1000),Skills!K23/10)+Skills!N23</f>
        <v/>
      </c>
      <c r="G2493">
        <f>Calc!G23</f>
        <v/>
      </c>
      <c r="H2493">
        <f>Calc!H23</f>
        <v/>
      </c>
      <c r="I2493">
        <f>IF(Skills!T23&lt;&gt;"",1+(Skills!T23/10)*(Z2473/1000)/100,1)</f>
        <v/>
      </c>
      <c r="J2493" t="inlineStr"/>
      <c r="K2493" t="inlineStr"/>
      <c r="L2493" t="inlineStr"/>
      <c r="M2493" t="inlineStr"/>
      <c r="N2493" t="inlineStr"/>
      <c r="O2493">
        <f>(1-Summary!$B$11)*S2493+Summary!$B$11*U2493</f>
        <v/>
      </c>
      <c r="P2493">
        <f>IF(B2507=0,0,O2493/B2507)</f>
        <v/>
      </c>
      <c r="Q2493">
        <f>IFERROR(1/IF(Inputs!$B$38="pvp",15,MAX(0.1,Skills!D23-IF(Skills!E23=TRUE,Inputs!$B$32,0))),0)</f>
        <v/>
      </c>
      <c r="R2493" t="n">
        <v>0</v>
      </c>
      <c r="S2493" t="n">
        <v>0</v>
      </c>
      <c r="U2493" t="n">
        <v>0</v>
      </c>
    </row>
    <row r="2494">
      <c r="A2494">
        <f>Skills!A24</f>
        <v/>
      </c>
      <c r="B2494">
        <f>Skills!B24</f>
        <v/>
      </c>
      <c r="C2494">
        <f>TRUE</f>
        <v/>
      </c>
      <c r="D2494">
        <f>IF(Skills!C24=1,60+Inputs!$B$25+Inputs!$B$29,IF(Skills!C24=2,90+Inputs!$B$26+Inputs!$B$29,IF(Skills!C24=3,120+Inputs!$B$27+Inputs!$B$29,MAX(0,(Inputs!$B$3-100)*3)+Inputs!$B$28+Inputs!$B$29)))</f>
        <v/>
      </c>
      <c r="E2494">
        <f>INDEX(FactorTable!$B$2:$Y$301, MATCH(ROUND(MIN(300,MAX(1,D2494)),0), FactorTable!$A$2:$A$301,0), Skills!L24+1)</f>
        <v/>
      </c>
      <c r="F2494">
        <f>IF(Skills!M24=TRUE,(Skills!K24/10)*(E2494/1000),Skills!K24/10)+Skills!N24</f>
        <v/>
      </c>
      <c r="G2494">
        <f>Calc!G24</f>
        <v/>
      </c>
      <c r="H2494">
        <f>Calc!H24</f>
        <v/>
      </c>
      <c r="I2494">
        <f>IF(Skills!T24&lt;&gt;"",1+(Skills!T24/10)*(Z2473/1000)/100,1)</f>
        <v/>
      </c>
      <c r="J2494" t="inlineStr"/>
      <c r="K2494" t="inlineStr"/>
      <c r="L2494" t="inlineStr"/>
      <c r="M2494" t="inlineStr"/>
      <c r="N2494" t="inlineStr"/>
      <c r="O2494">
        <f>(1-Summary!$B$11)*S2494+Summary!$B$11*U2494</f>
        <v/>
      </c>
      <c r="P2494">
        <f>IF(B2507=0,0,O2494/B2507)</f>
        <v/>
      </c>
      <c r="Q2494">
        <f>IFERROR(1/IF(Inputs!$B$38="pvp",15,MAX(0.1,Skills!D24-IF(Skills!E24=TRUE,Inputs!$B$32,0))),0)</f>
        <v/>
      </c>
      <c r="R2494">
        <f>IF(AND(Inputs!$B$38&lt;&gt;"pvp",Inputs!$B$43&gt;0),IF(Inputs!$B$43&lt;=0,0,(INT(Inputs!$B$43/IF(Inputs!$B$38="pvp",15,MAX(0.1,Skills!D24-IF(Skills!E24=TRUE,Inputs!$B$32,0))))+1)),0)</f>
        <v/>
      </c>
      <c r="S2494" t="n">
        <v>0</v>
      </c>
      <c r="U2494" t="n">
        <v>0</v>
      </c>
    </row>
    <row r="2497">
      <c r="A2497" t="inlineStr">
        <is>
          <t>Average Buff Multiplier (Magic Guard + Meditation + Artifact Attack%, summed; then Infinity)</t>
        </is>
      </c>
      <c r="B2497">
        <f>(1+(IF(C2473=TRUE,F2473*IF(AND(Inputs!$B$38&lt;&gt;"pvp",Inputs!$B$43&gt;0),(((R2473-1)*(Skills!S3*(1+(Inputs!$B$34)/100))+MIN((Skills!S3*(1+(Inputs!$B$34)/100)),MAX(0,Inputs!$B$43-((R2473-1)*Skills!D3))))/Inputs!$B$43),IF(Inputs!$B$38="pvp",MIN((Skills!S3*(1+(Inputs!$B$34)/100)),15)/15,(Skills!S3*(1+(Inputs!$B$34)/100))/Skills!D3)),0)+IF(C2474=TRUE,F2474*IF(AND(Inputs!$B$38&lt;&gt;"pvp",Inputs!$B$43&gt;0),(((R2474-1)*(Skills!S4*(1+(Inputs!$B$34)/100))+MIN((Skills!S4*(1+(Inputs!$B$34)/100)),MAX(0,Inputs!$B$43-((R2474-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2486=TRUE,(1+F2486*IF(AND(Inputs!$B$38&lt;&gt;"pvp",Inputs!$B$43&gt;0),(((R2486-1)*(Skills!S16*(1+(Inputs!$B$34)/100))+MIN((Skills!S16*(1+(Inputs!$B$34)/100)),MAX(0,Inputs!$B$43-((R2486-1)*Skills!D16))))/Inputs!$B$43),IF(Inputs!$B$38="pvp",MIN((Skills!S16*(1+(Inputs!$B$34)/100)),15)/15,(Skills!S16*(1+(Inputs!$B$34)/100))/Skills!D16))/100),1)</f>
        <v/>
      </c>
    </row>
    <row r="2498">
      <c r="A2498" t="inlineStr">
        <is>
          <t>Monster Damage Taken Bonus % (Freezing Breath - Weaken + Elemental Reset + Artifact Enemy Damage Taken, summed)</t>
        </is>
      </c>
      <c r="B2498">
        <f>IF(Inputs!$B$3&gt;=118,15*IF(Inputs!$B$38="pvp",MIN((30*(1+(Inputs!$B$34)/100)),15)/15,(30*(1+(Inputs!$B$34)/100))/Skills!D8),0)+IF(C2484=TRUE,F2484,0)+(IF(AND(ArtifactsInput!$M$35,Inputs!$B$4&lt;&gt;"Chapter Hunt"),CHOOSE(ArtifactsInput!$N$35+1,15,18,21,24,27,30)*(1-EXP(-(0.2*B2501)*5)),0)+IF(AND(ArtifactsInput!$M$22,Inputs!$B$4&lt;&gt;"Chapter Hunt"),CHOOSE(ArtifactsInput!$N$22+1,10,12,14,16,18,20)*((0*(((0.15*B2501*5))^0/1)+1*(((0.15*B2501*5))^1/1)+2*(((0.15*B2501*5))^2/2)+3*(((0.15*B2501*5))^3/6)+4*(((0.15*B2501*5))^4/24)+5*(((0.15*B2501*5))^5/120))/((((0.15*B2501*5))^0/1)+(((0.15*B2501*5))^1/1)+(((0.15*B2501*5))^2/2)+(((0.15*B2501*5))^3/6)+(((0.15*B2501*5))^4/24)+(((0.15*B2501*5))^5/120))),0))</f>
        <v/>
      </c>
    </row>
    <row r="2499">
      <c r="A2499" t="inlineStr">
        <is>
          <t>Damage % Bonus (Frozen Break + Frost Clutch, flat)</t>
        </is>
      </c>
      <c r="B2499">
        <f>IF(Inputs!$B$3&gt;=66,15,0)+IF(Inputs!$B$3&gt;=98,10,0)+IF(Inputs!$B$3&gt;=125,20,0)</f>
        <v/>
      </c>
    </row>
    <row r="2500">
      <c r="A2500" t="inlineStr">
        <is>
          <t>Attack Speed Bonus % (MP Eater - MP Boost, always-on + Nimble Feet, duty-cycle averaged)</t>
        </is>
      </c>
      <c r="B2500">
        <f>IF(C2483=TRUE,F2483+(F2487-Calc!F17),0)+((C2494=TRUE)*F2494*IF(AND(Inputs!$B$38&lt;&gt;"pvp",Inputs!$B$43&gt;0),(((R2494-1)*(Skills!S24*(1+(Inputs!$B$34)/100))+MIN((Skills!S24*(1+(Inputs!$B$34)/100)),MAX(0,Inputs!$B$43-((R2494-1)*Skills!D24))))/Inputs!$B$43),IF(Inputs!$B$38="pvp",MIN((Skills!S24*(1+(Inputs!$B$34)/100)),15)/15,(Skills!S24*(1+(Inputs!$B$34)/100))/Skills!D24)))</f>
        <v/>
      </c>
    </row>
    <row r="2501">
      <c r="A2501" t="inlineStr">
        <is>
          <t>Actions Per Second</t>
        </is>
      </c>
      <c r="B2501">
        <f>1+MIN(150,150*(1-(1-(Inputs!$B$11+(ArtifactsInput!$M$15-ArtifactsInput!$M$15)*CHOOSE(ArtifactsInput!$N$15+1,8,9.6,11.2,12.8,14.4,16))/150)*(1-B2500/150)))/100</f>
        <v/>
      </c>
    </row>
    <row r="2502">
      <c r="A2502" t="inlineStr">
        <is>
          <t>Skill + Buff Cast Rate</t>
        </is>
      </c>
      <c r="B2502">
        <f>IF(AND(Inputs!$B$38&lt;&gt;"pvp",Inputs!$B$43&gt;0),SUMPRODUCT((Skills!E2:E24=TRUE)*(C2472:C2494=TRUE)*R2472:R2494)/Inputs!$B$43,SUMPRODUCT((Skills!E2:E24=TRUE)*(C2472:C2494=TRUE)*Q2472:Q2494))</f>
        <v/>
      </c>
    </row>
    <row r="2503">
      <c r="A2503" t="inlineStr">
        <is>
          <t>Chain Lightning Casts Per Second</t>
        </is>
      </c>
      <c r="B2503">
        <f>MAX(0,B2501-B2502)</f>
        <v/>
      </c>
    </row>
    <row r="2504">
      <c r="A2504" t="inlineStr">
        <is>
          <t>Buff-Casting Startup Delay (s, fixed-duration only)</t>
        </is>
      </c>
      <c r="B2504">
        <f>IF(AND(Inputs!$B$38&lt;&gt;"pvp",Inputs!$B$43&gt;0),SUMPRODUCT((Skills!S2:S24&gt;0)*(Skills!E2:E24=TRUE)*(C2472:C2494=TRUE))/B2501,0)</f>
        <v/>
      </c>
    </row>
    <row r="2505">
      <c r="A2505" t="inlineStr">
        <is>
          <t>Boss-Only Total DPS (this block's swept value)</t>
        </is>
      </c>
      <c r="B2505">
        <f>SUM(S2472:S2494)</f>
        <v/>
      </c>
    </row>
    <row r="2506">
      <c r="A2506" t="inlineStr">
        <is>
          <t>Normal-Only Total DPS (this block's swept value)</t>
        </is>
      </c>
      <c r="B2506">
        <f>SUM(U2472:U2494)</f>
        <v/>
      </c>
    </row>
    <row r="2507">
      <c r="A2507" s="6" t="inlineStr">
        <is>
          <t>TOTAL DPS</t>
        </is>
      </c>
      <c r="B2507" s="6">
        <f>SUM(O2472:O2494)</f>
        <v/>
      </c>
    </row>
    <row r="2510">
      <c r="A2510" s="9" t="inlineStr">
        <is>
          <t>Cooldown Reduction Milestone Sweep (absolute CDR seconds, fixed-duration content only)</t>
        </is>
      </c>
    </row>
    <row r="2511">
      <c r="A2511" s="5" t="inlineStr">
        <is>
          <t>CDR (s)</t>
        </is>
      </c>
      <c r="B2511" s="5" t="inlineStr">
        <is>
          <t>Total DPS</t>
        </is>
      </c>
      <c r="C2511" s="5" t="inlineStr">
        <is>
          <t>DPS Gain (vs prior step)</t>
        </is>
      </c>
      <c r="D2511" s="5" t="inlineStr">
        <is>
          <t>% Gain (vs current CDR)</t>
        </is>
      </c>
    </row>
    <row r="2512">
      <c r="A2512" t="n">
        <v>0.5</v>
      </c>
      <c r="B2512">
        <f>B2561</f>
        <v/>
      </c>
      <c r="C2512" t="n">
        <v>0</v>
      </c>
      <c r="D2512">
        <f>IF(Summary!$B$3=0,0,(B2512-Summary!$B$3)/Summary!$B$3*100)</f>
        <v/>
      </c>
    </row>
    <row r="2513">
      <c r="A2513" t="n">
        <v>1</v>
      </c>
      <c r="B2513">
        <f>B2601</f>
        <v/>
      </c>
      <c r="C2513">
        <f>B2513-B2512</f>
        <v/>
      </c>
      <c r="D2513">
        <f>IF(Summary!$B$3=0,0,(B2513-Summary!$B$3)/Summary!$B$3*100)</f>
        <v/>
      </c>
    </row>
    <row r="2514">
      <c r="A2514" t="n">
        <v>1.5</v>
      </c>
      <c r="B2514">
        <f>B2641</f>
        <v/>
      </c>
      <c r="C2514">
        <f>B2514-B2513</f>
        <v/>
      </c>
      <c r="D2514">
        <f>IF(Summary!$B$3=0,0,(B2514-Summary!$B$3)/Summary!$B$3*100)</f>
        <v/>
      </c>
    </row>
    <row r="2515">
      <c r="A2515" t="n">
        <v>2</v>
      </c>
      <c r="B2515">
        <f>B2681</f>
        <v/>
      </c>
      <c r="C2515">
        <f>B2515-B2514</f>
        <v/>
      </c>
      <c r="D2515">
        <f>IF(Summary!$B$3=0,0,(B2515-Summary!$B$3)/Summary!$B$3*100)</f>
        <v/>
      </c>
    </row>
    <row r="2516">
      <c r="A2516" t="n">
        <v>2.5</v>
      </c>
      <c r="B2516">
        <f>B2721</f>
        <v/>
      </c>
      <c r="C2516">
        <f>B2516-B2515</f>
        <v/>
      </c>
      <c r="D2516">
        <f>IF(Summary!$B$3=0,0,(B2516-Summary!$B$3)/Summary!$B$3*100)</f>
        <v/>
      </c>
    </row>
    <row r="2517">
      <c r="A2517" t="n">
        <v>3</v>
      </c>
      <c r="B2517">
        <f>B2761</f>
        <v/>
      </c>
      <c r="C2517">
        <f>B2517-B2516</f>
        <v/>
      </c>
      <c r="D2517">
        <f>IF(Summary!$B$3=0,0,(B2517-Summary!$B$3)/Summary!$B$3*100)</f>
        <v/>
      </c>
    </row>
    <row r="2518">
      <c r="A2518" t="n">
        <v>3.5</v>
      </c>
      <c r="B2518">
        <f>B2801</f>
        <v/>
      </c>
      <c r="C2518">
        <f>B2518-B2517</f>
        <v/>
      </c>
      <c r="D2518">
        <f>IF(Summary!$B$3=0,0,(B2518-Summary!$B$3)/Summary!$B$3*100)</f>
        <v/>
      </c>
    </row>
    <row r="2519">
      <c r="A2519" t="n">
        <v>4</v>
      </c>
      <c r="B2519">
        <f>B2841</f>
        <v/>
      </c>
      <c r="C2519">
        <f>B2519-B2518</f>
        <v/>
      </c>
      <c r="D2519">
        <f>IF(Summary!$B$3=0,0,(B2519-Summary!$B$3)/Summary!$B$3*100)</f>
        <v/>
      </c>
    </row>
    <row r="2520">
      <c r="A2520" t="n">
        <v>4.5</v>
      </c>
      <c r="B2520">
        <f>B2881</f>
        <v/>
      </c>
      <c r="C2520">
        <f>B2520-B2519</f>
        <v/>
      </c>
      <c r="D2520">
        <f>IF(Summary!$B$3=0,0,(B2520-Summary!$B$3)/Summary!$B$3*100)</f>
        <v/>
      </c>
    </row>
    <row r="2521">
      <c r="A2521" t="n">
        <v>5</v>
      </c>
      <c r="B2521">
        <f>B2921</f>
        <v/>
      </c>
      <c r="C2521">
        <f>B2521-B2520</f>
        <v/>
      </c>
      <c r="D2521">
        <f>IF(Summary!$B$3=0,0,(B2521-Summary!$B$3)/Summary!$B$3*100)</f>
        <v/>
      </c>
    </row>
    <row r="2524">
      <c r="A2524" s="6" t="inlineStr">
        <is>
          <t>Stat: CDR = 0.5s</t>
        </is>
      </c>
    </row>
    <row r="2525">
      <c r="A2525" s="5" t="inlineStr">
        <is>
          <t>Key</t>
        </is>
      </c>
      <c r="B2525" s="5" t="inlineStr">
        <is>
          <t>Name</t>
        </is>
      </c>
      <c r="C2525" s="5" t="inlineStr">
        <is>
          <t>Unlocked</t>
        </is>
      </c>
      <c r="D2525" s="5" t="inlineStr">
        <is>
          <t>InputLevel</t>
        </is>
      </c>
      <c r="E2525" s="5" t="inlineStr">
        <is>
          <t>Factor</t>
        </is>
      </c>
      <c r="F2525" s="5" t="inlineStr">
        <is>
          <t>CoefficientPercent</t>
        </is>
      </c>
      <c r="G2525" s="5" t="inlineStr">
        <is>
          <t>EffectiveHits</t>
        </is>
      </c>
      <c r="H2525" s="5" t="inlineStr">
        <is>
          <t>ProcProbability</t>
        </is>
      </c>
      <c r="I2525" s="5" t="inlineStr">
        <is>
          <t>MapleHeroMultiplier</t>
        </is>
      </c>
      <c r="J2525" s="5" t="inlineStr">
        <is>
          <t>BaseDamage</t>
        </is>
      </c>
      <c r="K2525" s="5" t="inlineStr">
        <is>
          <t>BaseHitDamage</t>
        </is>
      </c>
      <c r="L2525" s="5" t="inlineStr">
        <is>
          <t>NonCritAvg</t>
        </is>
      </c>
      <c r="M2525" s="5" t="inlineStr">
        <is>
          <t>CritAvg</t>
        </is>
      </c>
      <c r="N2525" s="5" t="inlineStr">
        <is>
          <t>ExpectedDamage(perHit)</t>
        </is>
      </c>
      <c r="O2525" s="5" t="inlineStr">
        <is>
          <t>DPS</t>
        </is>
      </c>
      <c r="P2525" s="5" t="inlineStr">
        <is>
          <t>% of Total</t>
        </is>
      </c>
      <c r="R2525" t="inlineStr">
        <is>
          <t>helpers</t>
        </is>
      </c>
    </row>
    <row r="2526">
      <c r="A2526">
        <f>Skills!A2</f>
        <v/>
      </c>
      <c r="B2526">
        <f>Skills!B2</f>
        <v/>
      </c>
      <c r="C2526">
        <f>Inputs!$B$3&gt;=100</f>
        <v/>
      </c>
      <c r="D2526" t="inlineStr"/>
      <c r="E2526" t="inlineStr"/>
      <c r="F2526">
        <f>T2528+Skills!N2</f>
        <v/>
      </c>
      <c r="G2526">
        <f>Calc!G2</f>
        <v/>
      </c>
      <c r="H2526">
        <f>Calc!H2</f>
        <v/>
      </c>
      <c r="I2526">
        <f>IF(Skills!T2&lt;&gt;"",1+(Skills!T2/10)*(Z2527/1000)/100,1)</f>
        <v/>
      </c>
      <c r="J2526">
        <f>((Inputs!$B$6*(1+Inputs!$B$7/100))+(((Inputs!$B$12*(1+Inputs!$B$13/100))-(Inputs!$B$12*(1+Inputs!$B$13/100)))+0.25*(Inputs!$B$14-Inputs!$B$14))*(1+Inputs!$B$7/100))*(F2526/100)</f>
        <v/>
      </c>
      <c r="K2526">
        <f>J2526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2="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F2542-Calc!F18),(Inputs!$B$23+(IF(ArtifactsInput!$M$15,CHOOSE(ArtifactsInput!$N$15+1,25,30,35,40,45,50)/100*(Inputs!$B$11-Inputs!$B$11),0))))/100+(Inputs!$B$23+(IF(ArtifactsInput!$M$15,CHOOSE(ArtifactsInput!$N$15+1,25,30,35,40,45,50)/100*(Inputs!$B$11-Inputs!$B$11),0)))/100)/2</f>
        <v/>
      </c>
      <c r="M2526">
        <f>L2526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(1-Summary!$B$11)*S2526+Summary!$B$11*U2526</f>
        <v/>
      </c>
      <c r="P2526">
        <f>IF(B2561=0,0,O2526/B2561)</f>
        <v/>
      </c>
      <c r="Q2526">
        <f>IFERROR(1/IF(Inputs!$B$38="pvp",15,MAX(0.1,Skills!D2-IF(Skills!E2=TRUE,0.5,0))),0)</f>
        <v/>
      </c>
      <c r="R2526" t="n">
        <v>0</v>
      </c>
      <c r="S2526">
        <f>IF(C2526,(Skills!F2*N2526*B2557)*IF(Inputs!$B$38="pvp",1,1+(Inputs!$B$20+Skills!O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2526*(1-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26">
        <f>MAX(0,(Inputs!$B$3-100)*3)+Inputs!$B$28+Inputs!$B$29</f>
        <v/>
      </c>
      <c r="U2526">
        <f>IF(C2526,(Skills!F2*N2526*B2557)*IF(Inputs!$B$38="pvp",1,(1+(Inputs!$B$21+Skills!P2+B2552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26">
        <f>MAX(0,(Inputs!$B$3-100)*3)+Inputs!$B$28+Inputs!$B$29</f>
        <v/>
      </c>
    </row>
    <row r="2527">
      <c r="A2527">
        <f>Skills!A3</f>
        <v/>
      </c>
      <c r="B2527">
        <f>Skills!B3</f>
        <v/>
      </c>
      <c r="C2527">
        <f>Inputs!$B$3&gt;=15</f>
        <v/>
      </c>
      <c r="D2527">
        <f>IF(Skills!C3=1,60+Inputs!$B$25+Inputs!$B$29,IF(Skills!C3=2,90+Inputs!$B$26+Inputs!$B$29,IF(Skills!C3=3,120+Inputs!$B$27+Inputs!$B$29,MAX(0,(Inputs!$B$3-100)*3)+Inputs!$B$28+Inputs!$B$29)))</f>
        <v/>
      </c>
      <c r="E2527">
        <f>INDEX(FactorTable!$B$2:$Y$301, MATCH(ROUND(MIN(300,MAX(1,D2527)),0), FactorTable!$A$2:$A$301,0), Skills!L3+1)</f>
        <v/>
      </c>
      <c r="F2527">
        <f>IF(Skills!M3=TRUE,(Skills!K3/10)*(E2527/1000),Skills!K3/10)+Skills!N3</f>
        <v/>
      </c>
      <c r="G2527">
        <f>Calc!G3</f>
        <v/>
      </c>
      <c r="H2527">
        <f>Calc!H3</f>
        <v/>
      </c>
      <c r="I2527">
        <f>IF(Skills!T3&lt;&gt;"",1+(Skills!T3/10)*(Z2527/1000)/100,1)</f>
        <v/>
      </c>
      <c r="J2527" t="inlineStr"/>
      <c r="K2527" t="inlineStr"/>
      <c r="L2527" t="inlineStr"/>
      <c r="M2527" t="inlineStr"/>
      <c r="N2527" t="inlineStr"/>
      <c r="O2527">
        <f>(1-Summary!$B$11)*S2527+Summary!$B$11*U2527</f>
        <v/>
      </c>
      <c r="P2527">
        <f>IF(B2561=0,0,O2527/B2561)</f>
        <v/>
      </c>
      <c r="Q2527">
        <f>IFERROR(1/IF(Inputs!$B$38="pvp",15,MAX(0.1,Skills!D3-IF(Skills!E3=TRUE,0.5,0))),0)</f>
        <v/>
      </c>
      <c r="R2527">
        <f>IF(AND(Inputs!$B$38&lt;&gt;"pvp",Inputs!$B$43&gt;0),IF(Inputs!$B$43&lt;=0,0,(INT(Inputs!$B$43/IF(Inputs!$B$38="pvp",15,MAX(0.1,Skills!D3-IF(Skills!E3=TRUE,0.5,0))))+1)),0)</f>
        <v/>
      </c>
      <c r="S2527" t="n">
        <v>0</v>
      </c>
      <c r="T2527">
        <f>INDEX(FactorTable!$B$2:$Y$301, MATCH(ROUND(MIN(300,MAX(1,T2526)),0), FactorTable!$A$2:$A$301,0), 22)</f>
        <v/>
      </c>
      <c r="U2527" t="n">
        <v>0</v>
      </c>
      <c r="Z2527">
        <f>INDEX(FactorTable!$B$2:$Y$301, MATCH(ROUND(MIN(300,MAX(1,Z2526)),0), FactorTable!$A$2:$A$301,0), 24)</f>
        <v/>
      </c>
    </row>
    <row r="2528">
      <c r="A2528">
        <f>Skills!A4</f>
        <v/>
      </c>
      <c r="B2528">
        <f>Skills!B4</f>
        <v/>
      </c>
      <c r="C2528">
        <f>Inputs!$B$3&gt;=40</f>
        <v/>
      </c>
      <c r="D2528">
        <f>IF(Skills!C4=1,60+Inputs!$B$25+Inputs!$B$29,IF(Skills!C4=2,90+Inputs!$B$26+Inputs!$B$29,IF(Skills!C4=3,120+Inputs!$B$27+Inputs!$B$29,MAX(0,(Inputs!$B$3-100)*3)+Inputs!$B$28+Inputs!$B$29)))</f>
        <v/>
      </c>
      <c r="E2528">
        <f>INDEX(FactorTable!$B$2:$Y$301, MATCH(ROUND(MIN(300,MAX(1,D2528)),0), FactorTable!$A$2:$A$301,0), Skills!L4+1)</f>
        <v/>
      </c>
      <c r="F2528">
        <f>IF(Skills!M4=TRUE,(Skills!K4/10)*(E2528/1000),Skills!K4/10)+Skills!N4</f>
        <v/>
      </c>
      <c r="G2528">
        <f>Calc!G4</f>
        <v/>
      </c>
      <c r="H2528">
        <f>Calc!H4</f>
        <v/>
      </c>
      <c r="I2528">
        <f>IF(Skills!T4&lt;&gt;"",1+(Skills!T4/10)*(Z2527/1000)/100,1)</f>
        <v/>
      </c>
      <c r="J2528" t="inlineStr"/>
      <c r="K2528" t="inlineStr"/>
      <c r="L2528" t="inlineStr"/>
      <c r="M2528" t="inlineStr"/>
      <c r="N2528" t="inlineStr"/>
      <c r="O2528">
        <f>(1-Summary!$B$11)*S2528+Summary!$B$11*U2528</f>
        <v/>
      </c>
      <c r="P2528">
        <f>IF(B2561=0,0,O2528/B2561)</f>
        <v/>
      </c>
      <c r="Q2528">
        <f>IFERROR(1/IF(Inputs!$B$38="pvp",15,MAX(0.1,Skills!D4-IF(Skills!E4=TRUE,0.5,0))),0)</f>
        <v/>
      </c>
      <c r="R2528">
        <f>IF(AND(Inputs!$B$38&lt;&gt;"pvp",Inputs!$B$43&gt;0),IF(Inputs!$B$43&lt;=0,0,(INT(Inputs!$B$43/IF(Inputs!$B$38="pvp",15,MAX(0.1,Skills!D4-IF(Skills!E4=TRUE,0.5,0))))+1)),0)</f>
        <v/>
      </c>
      <c r="S2528" t="n">
        <v>0</v>
      </c>
      <c r="T2528">
        <f>290*T2527/1000</f>
        <v/>
      </c>
      <c r="U2528" t="n">
        <v>0</v>
      </c>
    </row>
    <row r="2529">
      <c r="A2529">
        <f>Skills!A5</f>
        <v/>
      </c>
      <c r="B2529">
        <f>Skills!B5</f>
        <v/>
      </c>
      <c r="C2529">
        <f>Inputs!$B$3&gt;=38</f>
        <v/>
      </c>
      <c r="D2529">
        <f>IF(Skills!C5=1,60+Inputs!$B$25+Inputs!$B$29,IF(Skills!C5=2,90+Inputs!$B$26+Inputs!$B$29,IF(Skills!C5=3,120+Inputs!$B$27+Inputs!$B$29,MAX(0,(Inputs!$B$3-100)*3)+Inputs!$B$28+Inputs!$B$29)))</f>
        <v/>
      </c>
      <c r="E2529">
        <f>INDEX(FactorTable!$B$2:$Y$301, MATCH(ROUND(MIN(300,MAX(1,D2529)),0), FactorTable!$A$2:$A$301,0), Skills!L5+1)</f>
        <v/>
      </c>
      <c r="F2529">
        <f>IF(Skills!M5=TRUE,(Skills!K5/10)*(E2529/1000),Skills!K5/10)+Skills!N5</f>
        <v/>
      </c>
      <c r="G2529">
        <f>Calc!G5</f>
        <v/>
      </c>
      <c r="H2529">
        <f>Calc!H5</f>
        <v/>
      </c>
      <c r="I2529">
        <f>IF(Skills!T5&lt;&gt;"",1+(Skills!T5/10)*(Z2527/1000)/100,1)</f>
        <v/>
      </c>
      <c r="J2529">
        <f>((Inputs!$B$6*(1+Inputs!$B$7/100))+(((Inputs!$B$12*(1+Inputs!$B$13/100))-(Inputs!$B$12*(1+Inputs!$B$13/100)))+0.25*(Inputs!$B$14-Inputs!$B$14))*(1+Inputs!$B$7/100))*(F2529/100)</f>
        <v/>
      </c>
      <c r="K2529">
        <f>J2529*(1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5="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F2542-Calc!F18),(Inputs!$B$23+(IF(ArtifactsInput!$M$15,CHOOSE(ArtifactsInput!$N$15+1,25,30,35,40,45,50)/100*(Inputs!$B$11-Inputs!$B$11),0))))/100+(Inputs!$B$23+(IF(ArtifactsInput!$M$15,CHOOSE(ArtifactsInput!$N$15+1,25,30,35,40,45,50)/100*(Inputs!$B$11-Inputs!$B$11),0)))/100)/2</f>
        <v/>
      </c>
      <c r="M2529">
        <f>L2529*(1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(1-Summary!$B$11)*S2529+Summary!$B$11*U2529</f>
        <v/>
      </c>
      <c r="P2529">
        <f>IF(B2561=0,0,O2529/B2561)</f>
        <v/>
      </c>
      <c r="Q2529">
        <f>IFERROR(1/IF(Inputs!$B$38="pvp",15,MAX(0.1,Skills!D5-IF(Skills!E5=TRUE,0.5,0))),0)</f>
        <v/>
      </c>
      <c r="R2529">
        <f>IF(AND(Inputs!$B$38&lt;&gt;"pvp",Inputs!$B$43&gt;0),IF(MAX(0,Inputs!$B$43-B2558)&lt;=0,0,(INT(MAX(0,Inputs!$B$43-B2558)/IF(Inputs!$B$38="pvp",15,MAX(0.1,Skills!D5-IF(Skills!E5=TRUE,0.5,0))))+1)),0)</f>
        <v/>
      </c>
      <c r="S2529">
        <f>IF(C2529,(H2529*N2529*IF(AND(Inputs!$B$38&lt;&gt;"pvp",Inputs!$B$43&gt;0),((Skills!F5*((R2529-1)*IF(Skills!G5&gt;0,Skills!H5/Skills!G5,1)+IF(Skills!G5&gt;0,MIN(Skills!H5,MAX(0,MAX(0,Inputs!$B$43-B2558)-((R2529-1)*IF(Inputs!$B$38="pvp",15,MAX(0.1,Skills!D5-IF(Skills!E5=TRUE,0.5,0))))))/Skills!G5,1)))/Inputs!$B$43),G2529*Q2529))*IF(Inputs!$B$38="pvp",1,1+(Inputs!$B$20+Skills!O5+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2529*(1-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9">
        <f>IF(C2529,(H2529*N2529*IF(AND(Inputs!$B$38&lt;&gt;"pvp",Inputs!$B$43&gt;0),((Skills!F5*((R2529-1)*IF(Skills!G5&gt;0,Skills!H5/Skills!G5,1)+IF(Skills!G5&gt;0,MIN(Skills!H5,MAX(0,MAX(0,Inputs!$B$43-B2558)-((R2529-1)*IF(Inputs!$B$38="pvp",15,MAX(0.1,Skills!D5-IF(Skills!E5=TRUE,0.5,0))))))/Skills!G5,1)))/Inputs!$B$43),G2529*Q2529))*IF(Inputs!$B$38="pvp",1,(1+(Inputs!$B$21+Skills!P5+B2552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Skills!A6</f>
        <v/>
      </c>
      <c r="B2530">
        <f>Skills!B6</f>
        <v/>
      </c>
      <c r="C2530">
        <f>Inputs!$B$3&gt;=63</f>
        <v/>
      </c>
      <c r="D2530">
        <f>IF(Skills!C6=1,60+Inputs!$B$25+Inputs!$B$29,IF(Skills!C6=2,90+Inputs!$B$26+Inputs!$B$29,IF(Skills!C6=3,120+Inputs!$B$27+Inputs!$B$29,MAX(0,(Inputs!$B$3-100)*3)+Inputs!$B$28+Inputs!$B$29)))</f>
        <v/>
      </c>
      <c r="E2530">
        <f>INDEX(FactorTable!$B$2:$Y$301, MATCH(ROUND(MIN(300,MAX(1,D2530)),0), FactorTable!$A$2:$A$301,0), Skills!L6+1)</f>
        <v/>
      </c>
      <c r="F2530">
        <f>IF(Skills!M6=TRUE,(Skills!K6/10)*(E2530/1000),Skills!K6/10)+Skills!N6</f>
        <v/>
      </c>
      <c r="G2530">
        <f>Calc!G6</f>
        <v/>
      </c>
      <c r="H2530">
        <f>Calc!H6</f>
        <v/>
      </c>
      <c r="I2530">
        <f>IF(Skills!T6&lt;&gt;"",1+(Skills!T6/10)*(Z2527/1000)/100,1)</f>
        <v/>
      </c>
      <c r="J2530">
        <f>((Inputs!$B$6*(1+Inputs!$B$7/100))+(((Inputs!$B$12*(1+Inputs!$B$13/100))-(Inputs!$B$12*(1+Inputs!$B$13/100)))+0.25*(Inputs!$B$14-Inputs!$B$14))*(1+Inputs!$B$7/100))*(F2530/100)</f>
        <v/>
      </c>
      <c r="K2530">
        <f>J2530*(1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6="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F2542-Calc!F18),(Inputs!$B$23+(IF(ArtifactsInput!$M$15,CHOOSE(ArtifactsInput!$N$15+1,25,30,35,40,45,50)/100*(Inputs!$B$11-Inputs!$B$11),0))))/100+(Inputs!$B$23+(IF(ArtifactsInput!$M$15,CHOOSE(ArtifactsInput!$N$15+1,25,30,35,40,45,50)/100*(Inputs!$B$11-Inputs!$B$11),0)))/100)/2</f>
        <v/>
      </c>
      <c r="M2530">
        <f>L2530*(1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(1-Summary!$B$11)*S2530+Summary!$B$11*U2530</f>
        <v/>
      </c>
      <c r="P2530">
        <f>IF(B2561=0,0,O2530/B2561)</f>
        <v/>
      </c>
      <c r="Q2530">
        <f>IFERROR(1/IF(Inputs!$B$38="pvp",15,MAX(0.1,Skills!D6-IF(Skills!E6=TRUE,0.5,0))),0)</f>
        <v/>
      </c>
      <c r="R2530">
        <f>IF(AND(Inputs!$B$38&lt;&gt;"pvp",Inputs!$B$43&gt;0),IF(MAX(0,Inputs!$B$43-B2558)&lt;=0,0,(INT(MAX(0,Inputs!$B$43-B2558)/IF(Inputs!$B$38="pvp",15,MAX(0.1,Skills!D6-IF(Skills!E6=TRUE,0.5,0))))+1)),0)</f>
        <v/>
      </c>
      <c r="S2530">
        <f>IF(C2530,(H2530*N2530*IF(AND(Inputs!$B$38&lt;&gt;"pvp",Inputs!$B$43&gt;0),((Skills!F6*((R2530-1)*IF(Skills!G6&gt;0,Skills!H6/Skills!G6,1)+IF(Skills!G6&gt;0,MIN(Skills!H6,MAX(0,MAX(0,Inputs!$B$43-B2558)-((R2530-1)*IF(Inputs!$B$38="pvp",15,MAX(0.1,Skills!D6-IF(Skills!E6=TRUE,0.5,0))))))/Skills!G6,1)))/Inputs!$B$43),G2530*Q2530))*IF(Inputs!$B$38="pvp",1,1+(Inputs!$B$20+Skills!O6+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2530*(1-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0">
        <f>IF(C2530,(H2530*N2530*IF(AND(Inputs!$B$38&lt;&gt;"pvp",Inputs!$B$43&gt;0),((Skills!F6*((R2530-1)*IF(Skills!G6&gt;0,Skills!H6/Skills!G6,1)+IF(Skills!G6&gt;0,MIN(Skills!H6,MAX(0,MAX(0,Inputs!$B$43-B2558)-((R2530-1)*IF(Inputs!$B$38="pvp",15,MAX(0.1,Skills!D6-IF(Skills!E6=TRUE,0.5,0))))))/Skills!G6,1)))/Inputs!$B$43),G2530*Q2530))*IF(Inputs!$B$38="pvp",1,(1+(Inputs!$B$21+Skills!P6+B2552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Skills!A7</f>
        <v/>
      </c>
      <c r="B2531">
        <f>Skills!B7</f>
        <v/>
      </c>
      <c r="C2531">
        <f>Inputs!$B$3&gt;=69</f>
        <v/>
      </c>
      <c r="D2531">
        <f>IF(Skills!C7=1,60+Inputs!$B$25+Inputs!$B$29,IF(Skills!C7=2,90+Inputs!$B$26+Inputs!$B$29,IF(Skills!C7=3,120+Inputs!$B$27+Inputs!$B$29,MAX(0,(Inputs!$B$3-100)*3)+Inputs!$B$28+Inputs!$B$29)))</f>
        <v/>
      </c>
      <c r="E2531">
        <f>INDEX(FactorTable!$B$2:$Y$301, MATCH(ROUND(MIN(300,MAX(1,D2531)),0), FactorTable!$A$2:$A$301,0), Skills!L7+1)</f>
        <v/>
      </c>
      <c r="F2531">
        <f>IF(Skills!M7=TRUE,(Skills!K7/10)*(E2531/1000),Skills!K7/10)+Skills!N7</f>
        <v/>
      </c>
      <c r="G2531">
        <f>Calc!G7</f>
        <v/>
      </c>
      <c r="H2531">
        <f>Calc!H7</f>
        <v/>
      </c>
      <c r="I2531">
        <f>IF(Skills!T7&lt;&gt;"",1+(Skills!T7/10)*(Z2527/1000)/100,1)</f>
        <v/>
      </c>
      <c r="J2531">
        <f>((Inputs!$B$6*(1+Inputs!$B$7/100))+(((Inputs!$B$12*(1+Inputs!$B$13/100))-(Inputs!$B$12*(1+Inputs!$B$13/100)))+0.25*(Inputs!$B$14-Inputs!$B$14))*(1+Inputs!$B$7/100))*(F2531/100)</f>
        <v/>
      </c>
      <c r="K2531">
        <f>J2531*(1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7="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F2542-Calc!F18),(Inputs!$B$23+(IF(ArtifactsInput!$M$15,CHOOSE(ArtifactsInput!$N$15+1,25,30,35,40,45,50)/100*(Inputs!$B$11-Inputs!$B$11),0))))/100+(Inputs!$B$23+(IF(ArtifactsInput!$M$15,CHOOSE(ArtifactsInput!$N$15+1,25,30,35,40,45,50)/100*(Inputs!$B$11-Inputs!$B$11),0)))/100)/2</f>
        <v/>
      </c>
      <c r="M2531">
        <f>L2531*(1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(1-Summary!$B$11)*S2531+Summary!$B$11*U2531</f>
        <v/>
      </c>
      <c r="P2531">
        <f>IF(B2561=0,0,O2531/B2561)</f>
        <v/>
      </c>
      <c r="Q2531">
        <f>IFERROR(1/IF(Inputs!$B$38="pvp",15,MAX(0.1,Skills!D7-IF(Skills!E7=TRUE,0.5,0))),0)</f>
        <v/>
      </c>
      <c r="R2531">
        <f>IF(AND(Inputs!$B$38&lt;&gt;"pvp",Inputs!$B$43&gt;0),IF(MAX(0,Inputs!$B$43-B2558)&lt;=0,0,(INT(MAX(0,Inputs!$B$43-B2558)/IF(Inputs!$B$38="pvp",15,MAX(0.1,Skills!D7-IF(Skills!E7=TRUE,0.5,0))))+1)),0)</f>
        <v/>
      </c>
      <c r="S2531">
        <f>IF(C2531,(H2531*N2531*IF(AND(Inputs!$B$38&lt;&gt;"pvp",Inputs!$B$43&gt;0),((Skills!F7*((R2531-1)*IF(Skills!G7&gt;0,Skills!H7/Skills!G7,1)+IF(Skills!G7&gt;0,MIN(Skills!H7,MAX(0,MAX(0,Inputs!$B$43-B2558)-((R2531-1)*IF(Inputs!$B$38="pvp",15,MAX(0.1,Skills!D7-IF(Skills!E7=TRUE,0.5,0))))))/Skills!G7,1)))/Inputs!$B$43),G2531*Q2531))*IF(Inputs!$B$38="pvp",1,1+(Inputs!$B$20+Skills!O7+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1">
        <f>IF(C2531,(H2531*N2531*IF(AND(Inputs!$B$38&lt;&gt;"pvp",Inputs!$B$43&gt;0),((Skills!F7*((R2531-1)*IF(Skills!G7&gt;0,Skills!H7/Skills!G7,1)+IF(Skills!G7&gt;0,MIN(Skills!H7,MAX(0,MAX(0,Inputs!$B$43-B2558)-((R2531-1)*IF(Inputs!$B$38="pvp",15,MAX(0.1,Skills!D7-IF(Skills!E7=TRUE,0.5,0))))))/Skills!G7,1)))/Inputs!$B$43),G2531*Q2531))*IF(Inputs!$B$38="pvp",1,(1+(Inputs!$B$21+Skills!P7+B2552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Skills!A8</f>
        <v/>
      </c>
      <c r="B2532">
        <f>Skills!B8</f>
        <v/>
      </c>
      <c r="C2532">
        <f>Inputs!$B$3&gt;=103</f>
        <v/>
      </c>
      <c r="D2532">
        <f>IF(Skills!C8=1,60+Inputs!$B$25+Inputs!$B$29,IF(Skills!C8=2,90+Inputs!$B$26+Inputs!$B$29,IF(Skills!C8=3,120+Inputs!$B$27+Inputs!$B$29,MAX(0,(Inputs!$B$3-100)*3)+Inputs!$B$28+Inputs!$B$29)))</f>
        <v/>
      </c>
      <c r="E2532">
        <f>INDEX(FactorTable!$B$2:$Y$301, MATCH(ROUND(MIN(300,MAX(1,D2532)),0), FactorTable!$A$2:$A$301,0), Skills!L8+1)</f>
        <v/>
      </c>
      <c r="F2532">
        <f>IF(Skills!M8=TRUE,(Skills!K8/10)*(E2532/1000),Skills!K8/10)+Skills!N8</f>
        <v/>
      </c>
      <c r="G2532">
        <f>Calc!G8</f>
        <v/>
      </c>
      <c r="H2532">
        <f>Calc!H8</f>
        <v/>
      </c>
      <c r="I2532">
        <f>IF(Skills!T8&lt;&gt;"",1+(Skills!T8/10)*(Z2527/1000)/100,1)</f>
        <v/>
      </c>
      <c r="J2532">
        <f>((Inputs!$B$6*(1+Inputs!$B$7/100))+(((Inputs!$B$12*(1+Inputs!$B$13/100))-(Inputs!$B$12*(1+Inputs!$B$13/100)))+0.25*(Inputs!$B$14-Inputs!$B$14))*(1+Inputs!$B$7/100))*(F2532/100)</f>
        <v/>
      </c>
      <c r="K2532">
        <f>J2532*(1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8="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F2542-Calc!F18),(Inputs!$B$23+(IF(ArtifactsInput!$M$15,CHOOSE(ArtifactsInput!$N$15+1,25,30,35,40,45,50)/100*(Inputs!$B$11-Inputs!$B$11),0))))/100+(Inputs!$B$23+(IF(ArtifactsInput!$M$15,CHOOSE(ArtifactsInput!$N$15+1,25,30,35,40,45,50)/100*(Inputs!$B$11-Inputs!$B$11),0)))/100)/2</f>
        <v/>
      </c>
      <c r="M2532">
        <f>L2532*(1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(1-Summary!$B$11)*S2532+Summary!$B$11*U2532</f>
        <v/>
      </c>
      <c r="P2532">
        <f>IF(B2561=0,0,O2532/B2561)</f>
        <v/>
      </c>
      <c r="Q2532">
        <f>IFERROR(1/IF(Inputs!$B$38="pvp",15,MAX(0.1,Skills!D8-IF(Skills!E8=TRUE,0.5,0))),0)</f>
        <v/>
      </c>
      <c r="R2532">
        <f>IF(AND(Inputs!$B$38&lt;&gt;"pvp",Inputs!$B$43&gt;0),IF(MAX(0,Inputs!$B$43-B2558)&lt;=0,0,(INT(MAX(0,Inputs!$B$43-B2558)/IF(Inputs!$B$38="pvp",15,MAX(0.1,Skills!D8-IF(Skills!E8=TRUE,0.5,0))))+1)),0)</f>
        <v/>
      </c>
      <c r="S2532">
        <f>IF(C2532,(H2532*N2532*IF(AND(Inputs!$B$38&lt;&gt;"pvp",Inputs!$B$43&gt;0),((Skills!F8*((R2532-1)*IF(Skills!G8&gt;0,Skills!H8/Skills!G8,1)+IF(Skills!G8&gt;0,MIN(Skills!H8,MAX(0,MAX(0,Inputs!$B$43-B2558)-((R2532-1)*IF(Inputs!$B$38="pvp",15,MAX(0.1,Skills!D8-IF(Skills!E8=TRUE,0.5,0))))))/Skills!G8,1)))/Inputs!$B$43),G2532*Q2532))*IF(Inputs!$B$38="pvp",1,1+(Inputs!$B$20+Skills!O8+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2532*(1-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2">
        <f>IF(C2532,(H2532*N2532*IF(AND(Inputs!$B$38&lt;&gt;"pvp",Inputs!$B$43&gt;0),((Skills!F8*((R2532-1)*IF(Skills!G8&gt;0,Skills!H8/Skills!G8,1)+IF(Skills!G8&gt;0,MIN(Skills!H8,MAX(0,MAX(0,Inputs!$B$43-B2558)-((R2532-1)*IF(Inputs!$B$38="pvp",15,MAX(0.1,Skills!D8-IF(Skills!E8=TRUE,0.5,0))))))/Skills!G8,1)))/Inputs!$B$43),G2532*Q2532))*IF(Inputs!$B$38="pvp",1,(1+(Inputs!$B$21+Skills!P8+B2552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Skills!A9</f>
        <v/>
      </c>
      <c r="B2533">
        <f>Skills!B9</f>
        <v/>
      </c>
      <c r="C2533">
        <f>Inputs!$B$3&gt;=105</f>
        <v/>
      </c>
      <c r="D2533">
        <f>IF(Skills!C9=1,60+Inputs!$B$25+Inputs!$B$29,IF(Skills!C9=2,90+Inputs!$B$26+Inputs!$B$29,IF(Skills!C9=3,120+Inputs!$B$27+Inputs!$B$29,MAX(0,(Inputs!$B$3-100)*3)+Inputs!$B$28+Inputs!$B$29)))</f>
        <v/>
      </c>
      <c r="E2533">
        <f>INDEX(FactorTable!$B$2:$Y$301, MATCH(ROUND(MIN(300,MAX(1,D2533)),0), FactorTable!$A$2:$A$301,0), Skills!L9+1)</f>
        <v/>
      </c>
      <c r="F2533">
        <f>IF(Skills!M9=TRUE,(Skills!K9/10)*(E2533/1000),Skills!K9/10)+Skills!N9</f>
        <v/>
      </c>
      <c r="G2533">
        <f>Calc!G9</f>
        <v/>
      </c>
      <c r="H2533">
        <f>Calc!H9</f>
        <v/>
      </c>
      <c r="I2533">
        <f>IF(Skills!T9&lt;&gt;"",1+(Skills!T9/10)*(Z2527/1000)/100,1)</f>
        <v/>
      </c>
      <c r="J2533">
        <f>((Inputs!$B$6*(1+Inputs!$B$7/100))+(((Inputs!$B$12*(1+Inputs!$B$13/100))-(Inputs!$B$12*(1+Inputs!$B$13/100)))+0.25*(Inputs!$B$14-Inputs!$B$14))*(1+Inputs!$B$7/100))*(F2533/100)</f>
        <v/>
      </c>
      <c r="K2533">
        <f>J2533*(1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9="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F2542-Calc!F18),(Inputs!$B$23+(IF(ArtifactsInput!$M$15,CHOOSE(ArtifactsInput!$N$15+1,25,30,35,40,45,50)/100*(Inputs!$B$11-Inputs!$B$11),0))))/100+(Inputs!$B$23+(IF(ArtifactsInput!$M$15,CHOOSE(ArtifactsInput!$N$15+1,25,30,35,40,45,50)/100*(Inputs!$B$11-Inputs!$B$11),0)))/100)/2</f>
        <v/>
      </c>
      <c r="M2533">
        <f>L2533*(1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(1-Summary!$B$11)*S2533+Summary!$B$11*U2533</f>
        <v/>
      </c>
      <c r="P2533">
        <f>IF(B2561=0,0,O2533/B2561)</f>
        <v/>
      </c>
      <c r="Q2533">
        <f>IFERROR(1/IF(Inputs!$B$38="pvp",15,MAX(0.1,Skills!D9-IF(Skills!E9=TRUE,0.5,0))),0)</f>
        <v/>
      </c>
      <c r="R2533">
        <f>IF(AND(Inputs!$B$38&lt;&gt;"pvp",Inputs!$B$43&gt;0),IF(MAX(0,Inputs!$B$43-B2558)&lt;=0,0,(INT(MAX(0,Inputs!$B$43-B2558)/IF(Inputs!$B$38="pvp",15,MAX(0.1,Skills!D9-IF(Skills!E9=TRUE,0.5,0))))+1)),0)</f>
        <v/>
      </c>
      <c r="S2533">
        <f>IF(C2533,(H2533*N2533*IF(AND(Inputs!$B$38&lt;&gt;"pvp",Inputs!$B$43&gt;0),((Skills!F9*((R2533-1)*IF(Skills!G9&gt;0,Skills!H9/Skills!G9,1)+IF(Skills!G9&gt;0,MIN(Skills!H9,MAX(0,MAX(0,Inputs!$B$43-B2558)-((R2533-1)*IF(Inputs!$B$38="pvp",15,MAX(0.1,Skills!D9-IF(Skills!E9=TRUE,0.5,0))))))/Skills!G9,1)))/Inputs!$B$43),G2533*Q2533))*IF(Inputs!$B$38="pvp",1,1+(Inputs!$B$20+Skills!O9+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2533*(1-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3">
        <f>IF(C2533,(H2533*N2533*IF(AND(Inputs!$B$38&lt;&gt;"pvp",Inputs!$B$43&gt;0),((Skills!F9*((R2533-1)*IF(Skills!G9&gt;0,Skills!H9/Skills!G9,1)+IF(Skills!G9&gt;0,MIN(Skills!H9,MAX(0,MAX(0,Inputs!$B$43-B2558)-((R2533-1)*IF(Inputs!$B$38="pvp",15,MAX(0.1,Skills!D9-IF(Skills!E9=TRUE,0.5,0))))))/Skills!G9,1)))/Inputs!$B$43),G2533*Q2533))*IF(Inputs!$B$38="pvp",1,(1+(Inputs!$B$21+Skills!P9+B2552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Skills!A10</f>
        <v/>
      </c>
      <c r="B2534">
        <f>Skills!B10</f>
        <v/>
      </c>
      <c r="C2534">
        <f>Inputs!$B$3&gt;=113</f>
        <v/>
      </c>
      <c r="D2534">
        <f>IF(Skills!C10=1,60+Inputs!$B$25+Inputs!$B$29,IF(Skills!C10=2,90+Inputs!$B$26+Inputs!$B$29,IF(Skills!C10=3,120+Inputs!$B$27+Inputs!$B$29,MAX(0,(Inputs!$B$3-100)*3)+Inputs!$B$28+Inputs!$B$29)))</f>
        <v/>
      </c>
      <c r="E2534">
        <f>INDEX(FactorTable!$B$2:$Y$301, MATCH(ROUND(MIN(300,MAX(1,D2534)),0), FactorTable!$A$2:$A$301,0), Skills!L10+1)</f>
        <v/>
      </c>
      <c r="F2534">
        <f>IF(Skills!M10=TRUE,(Skills!K10/10)*(E2534/1000),Skills!K10/10)+Skills!N10</f>
        <v/>
      </c>
      <c r="G2534">
        <f>Calc!G10</f>
        <v/>
      </c>
      <c r="H2534">
        <f>Calc!H10</f>
        <v/>
      </c>
      <c r="I2534">
        <f>IF(Skills!T10&lt;&gt;"",1+(Skills!T10/10)*(Z2527/1000)/100,1)</f>
        <v/>
      </c>
      <c r="J2534">
        <f>((Inputs!$B$6*(1+Inputs!$B$7/100))+(((Inputs!$B$12*(1+Inputs!$B$13/100))-(Inputs!$B$12*(1+Inputs!$B$13/100)))+0.25*(Inputs!$B$14-Inputs!$B$14))*(1+Inputs!$B$7/100))*(F2534/100)</f>
        <v/>
      </c>
      <c r="K2534">
        <f>J2534*(1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10="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F2542-Calc!F18),(Inputs!$B$23+(IF(ArtifactsInput!$M$15,CHOOSE(ArtifactsInput!$N$15+1,25,30,35,40,45,50)/100*(Inputs!$B$11-Inputs!$B$11),0))))/100+(Inputs!$B$23+(IF(ArtifactsInput!$M$15,CHOOSE(ArtifactsInput!$N$15+1,25,30,35,40,45,50)/100*(Inputs!$B$11-Inputs!$B$11),0)))/100)/2</f>
        <v/>
      </c>
      <c r="M2534">
        <f>L2534*(1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(1-Summary!$B$11)*S2534+Summary!$B$11*U2534</f>
        <v/>
      </c>
      <c r="P2534">
        <f>IF(B2561=0,0,O2534/B2561)</f>
        <v/>
      </c>
      <c r="Q2534">
        <f>IFERROR(1/IF(Inputs!$B$38="pvp",15,MAX(0.1,Skills!D10-IF(Skills!E9=TRUE,0.5,0))),0)</f>
        <v/>
      </c>
      <c r="R2534">
        <f>IF(AND(Inputs!$B$38&lt;&gt;"pvp",Inputs!$B$43&gt;0),IF(MAX(0,Inputs!$B$43-B2558)&lt;=0,0,(INT(MAX(0,Inputs!$B$43-B2558)/IF(Inputs!$B$38="pvp",15,MAX(0.1,Skills!D10-IF(Skills!E9=TRUE,0.5,0))))+1)),0)</f>
        <v/>
      </c>
      <c r="S2534">
        <f>IF(C2534,(H2534*N2534*IF(AND(Inputs!$B$38&lt;&gt;"pvp",Inputs!$B$43&gt;0),((Skills!F10*((R2534-1)*IF(Skills!G10&gt;0,Skills!H10/Skills!G10,1)+IF(Skills!G10&gt;0,MIN(Skills!H10,MAX(0,MAX(0,Inputs!$B$43-B2558)-((R2534-1)*IF(Inputs!$B$38="pvp",15,MAX(0.1,Skills!D10-IF(Skills!E9=TRUE,0.5,0))))))/Skills!G10,1)))/Inputs!$B$43),G2534*Q2534))*IF(Inputs!$B$38="pvp",1,1+(Inputs!$B$20+Skills!O10+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2534*(1-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4">
        <f>IF(C2534,(H2534*N2534*IF(AND(Inputs!$B$38&lt;&gt;"pvp",Inputs!$B$43&gt;0),((Skills!F10*((R2534-1)*IF(Skills!G10&gt;0,Skills!H10/Skills!G10,1)+IF(Skills!G10&gt;0,MIN(Skills!H10,MAX(0,MAX(0,Inputs!$B$43-B2558)-((R2534-1)*IF(Inputs!$B$38="pvp",15,MAX(0.1,Skills!D10-IF(Skills!E9=TRUE,0.5,0))))))/Skills!G10,1)))/Inputs!$B$43),G2534*Q2534))*IF(Inputs!$B$38="pvp",1,(1+(Inputs!$B$21+Skills!P10+B2552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Skills!A11</f>
        <v/>
      </c>
      <c r="B2535">
        <f>Skills!B11</f>
        <v/>
      </c>
      <c r="C2535">
        <f>Inputs!$B$3&gt;=107</f>
        <v/>
      </c>
      <c r="D2535">
        <f>IF(Skills!C11=1,60+Inputs!$B$25+Inputs!$B$29,IF(Skills!C11=2,90+Inputs!$B$26+Inputs!$B$29,IF(Skills!C11=3,120+Inputs!$B$27+Inputs!$B$29,MAX(0,(Inputs!$B$3-100)*3)+Inputs!$B$28+Inputs!$B$29)))</f>
        <v/>
      </c>
      <c r="E2535">
        <f>INDEX(FactorTable!$B$2:$Y$301, MATCH(ROUND(MIN(300,MAX(1,D2535)),0), FactorTable!$A$2:$A$301,0), Skills!L11+1)</f>
        <v/>
      </c>
      <c r="F2535">
        <f>IF(Skills!M11=TRUE,(Skills!K11/10)*(E2535/1000),Skills!K11/10)+Skills!N11</f>
        <v/>
      </c>
      <c r="G2535">
        <f>Calc!G11</f>
        <v/>
      </c>
      <c r="H2535">
        <f>Calc!H11</f>
        <v/>
      </c>
      <c r="I2535">
        <f>IF(Skills!T11&lt;&gt;"",1+(Skills!T11/10)*(Z2527/1000)/100,1)</f>
        <v/>
      </c>
      <c r="J2535">
        <f>((Inputs!$B$6*(1+Inputs!$B$7/100))+(((Inputs!$B$12*(1+Inputs!$B$13/100))-(Inputs!$B$12*(1+Inputs!$B$13/100)))+0.25*(Inputs!$B$14-Inputs!$B$14))*(1+Inputs!$B$7/100))*(F2535/100)</f>
        <v/>
      </c>
      <c r="K2535">
        <f>J2535*(1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11="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F2542-Calc!F18),(Inputs!$B$23+(IF(ArtifactsInput!$M$15,CHOOSE(ArtifactsInput!$N$15+1,25,30,35,40,45,50)/100*(Inputs!$B$11-Inputs!$B$11),0))))/100+(Inputs!$B$23+(IF(ArtifactsInput!$M$15,CHOOSE(ArtifactsInput!$N$15+1,25,30,35,40,45,50)/100*(Inputs!$B$11-Inputs!$B$11),0)))/100)/2</f>
        <v/>
      </c>
      <c r="M2535">
        <f>L2535*(1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(1-Summary!$B$11)*S2535+Summary!$B$11*U2535</f>
        <v/>
      </c>
      <c r="P2535">
        <f>IF(B2561=0,0,O2535/B2561)</f>
        <v/>
      </c>
      <c r="Q2535">
        <f>IFERROR(1/IF(Inputs!$B$38="pvp",15,MAX(0.1,Skills!D11-IF(Skills!E11=TRUE,0.5,0))),0)</f>
        <v/>
      </c>
      <c r="R2535">
        <f>IF(AND(Inputs!$B$38&lt;&gt;"pvp",Inputs!$B$43&gt;0),IF(MAX(0,Inputs!$B$43-B2558)&lt;=0,0,(INT(MAX(0,Inputs!$B$43-B2558)/IF(Inputs!$B$38="pvp",15,MAX(0.1,Skills!D11-IF(Skills!E11=TRUE,0.5,0))))+1)),0)</f>
        <v/>
      </c>
      <c r="S2535">
        <f>IF(C2535,H2535*N2535*IF(AND(Inputs!$B$38&lt;&gt;"pvp",Inputs!$B$43&gt;0),((Skills!F11*((R2535-1)*IF(Skills!G11&gt;0,Skills!H11/Skills!G11,1)+IF(Skills!G11&gt;0,MIN(Skills!H11,MAX(0,MAX(0,Inputs!$B$43-B2558)-((R2535-1)*IF(Inputs!$B$38="pvp",15,MAX(0.1,Skills!D11-IF(Skills!E11=TRUE,0.5,0))))))/Skills!G11,1)))/Inputs!$B$43),G2535*Q2535)*0.5*IF(Inputs!$B$38="pvp",1,1+(Inputs!$B$20+Skills!O11+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2535*(1-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5">
        <f>IF(C2535,H2535*N2535*IF(AND(Inputs!$B$38&lt;&gt;"pvp",Inputs!$B$43&gt;0),((Skills!F11*((R2535-1)*IF(Skills!G11&gt;0,Skills!H11/Skills!G11,1)+IF(Skills!G11&gt;0,MIN(Skills!H11,MAX(0,MAX(0,Inputs!$B$43-B2558)-((R2535-1)*IF(Inputs!$B$38="pvp",15,MAX(0.1,Skills!D11-IF(Skills!E11=TRUE,0.5,0))))))/Skills!G11,1)))/Inputs!$B$43),G2535*Q2535)*1*IF(Inputs!$B$38="pvp",1,(1+(Inputs!$B$21+Skills!P11+B2552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Skills!A12</f>
        <v/>
      </c>
      <c r="B2536">
        <f>Skills!B12</f>
        <v/>
      </c>
      <c r="C2536">
        <f>Inputs!$B$3&gt;=115</f>
        <v/>
      </c>
      <c r="D2536">
        <f>IF(Skills!C12=1,60+Inputs!$B$25+Inputs!$B$29,IF(Skills!C12=2,90+Inputs!$B$26+Inputs!$B$29,IF(Skills!C12=3,120+Inputs!$B$27+Inputs!$B$29,MAX(0,(Inputs!$B$3-100)*3)+Inputs!$B$28+Inputs!$B$29)))</f>
        <v/>
      </c>
      <c r="E2536">
        <f>INDEX(FactorTable!$B$2:$Y$301, MATCH(ROUND(MIN(300,MAX(1,D2536)),0), FactorTable!$A$2:$A$301,0), Skills!L12+1)</f>
        <v/>
      </c>
      <c r="F2536">
        <f>IF(Skills!M12=TRUE,(Skills!K12/10)*(E2536/1000),Skills!K12/10)+Skills!N12</f>
        <v/>
      </c>
      <c r="G2536">
        <f>Calc!G12</f>
        <v/>
      </c>
      <c r="H2536">
        <f>Calc!H12</f>
        <v/>
      </c>
      <c r="I2536">
        <f>IF(Skills!T12&lt;&gt;"",1+(Skills!T12/10)*(Z2527/1000)/100,1)</f>
        <v/>
      </c>
      <c r="J2536">
        <f>((Inputs!$B$6*(1+Inputs!$B$7/100))+(((Inputs!$B$12*(1+Inputs!$B$13/100))-(Inputs!$B$12*(1+Inputs!$B$13/100)))+0.25*(Inputs!$B$14-Inputs!$B$14))*(1+Inputs!$B$7/100))*(F2536/100)</f>
        <v/>
      </c>
      <c r="K2536">
        <f>J2536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12="CHAIN_LIGHTNING",Inputs!$B$17+((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2542-Calc!F18),(Inputs!$B$23+(IF(ArtifactsInput!$M$15,CHOOSE(ArtifactsInput!$N$15+1,25,30,35,40,45,50)/100*(Inputs!$B$11-Inputs!$B$11),0))))/100+(Inputs!$B$23+(IF(ArtifactsInput!$M$15,CHOOSE(ArtifactsInput!$N$15+1,25,30,35,40,45,50)/100*(Inputs!$B$11-Inputs!$B$11),0)))/100)/2</f>
        <v/>
      </c>
      <c r="M2536">
        <f>L2536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IF(B2561=0,0,O2536/B2561)</f>
        <v/>
      </c>
      <c r="Q2536">
        <f>IFERROR(1/IF(Inputs!$B$38="pvp",15,MAX(0.1,Skills!D12-IF(Skills!E12=TRUE,0.5,0))),0)</f>
        <v/>
      </c>
      <c r="R2536">
        <f>IF(AND(Inputs!$B$38&lt;&gt;"pvp",Inputs!$B$43&gt;0),IF(MAX(0,Inputs!$B$43-B2558)&lt;=0,0,(INT(MAX(0,Inputs!$B$43-B2558)/IF(Inputs!$B$38="pvp",15,MAX(0.1,Skills!D12-IF(Skills!E12=TRUE,0.5,0))))+1)),0)</f>
        <v/>
      </c>
      <c r="S2536">
        <f>IF(C2536,(H2536*N2536*IF(AND(Inputs!$B$38&lt;&gt;"pvp",Inputs!$B$43&gt;0),((Skills!F12*((R2536-1)*IF(Skills!G12&gt;0,Skills!H12/Skills!G12,1)+IF(Skills!G12&gt;0,MIN(Skills!H12,MAX(0,MAX(0,Inputs!$B$43-B2558)-((R2536-1)*IF(Inputs!$B$38="pvp",15,MAX(0.1,Skills!D12-IF(Skills!E12=TRUE,0.5,0))))))/Skills!G12,1)))/Inputs!$B$43),G2536*Q2536))*IF(Inputs!$B$38="pvp",1,1+(Inputs!$B$20+Skills!O12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2544-Calc!F20)+(F2543-Calc!F19))+(ArtifactsInput!$M$24-ArtifactsInput!$M$24)*CHOOSE(ArtifactsInput!$N$24+1,10,12,14,16,18,20)+(IF(AND(Inputs!$B$38&lt;&gt;"pvp",Inputs!$B$43=0),1,IF(IF(Inputs!$B$38="pvp",15,Inputs!$B$43)-(B2558)&lt;=0,1,MAX(0,IF(Inputs!$B$38="pvp",15,Inputs!$B$43)-MAX(5,B2558))/(IF(Inputs!$B$38="pvp",15,Inputs!$B$43)-(B2558)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6">
        <f>IF(C2536,(H2536*N2536*IF(AND(Inputs!$B$38&lt;&gt;"pvp",Inputs!$B$43&gt;0),((Skills!F12*((R2536-1)*IF(Skills!G12&gt;0,Skills!H12/Skills!G12,1)+IF(Skills!G12&gt;0,MIN(Skills!H12,MAX(0,MAX(0,Inputs!$B$43-B2558)-((R2536-1)*IF(Inputs!$B$38="pvp",15,MAX(0.1,Skills!D12-IF(Skills!E12=TRUE,0.5,0))))))/Skills!G12,1)))/Inputs!$B$43),G2536*Q2536))*IF(Inputs!$B$38="pvp",1,(1+(Inputs!$B$21+Skills!P12+B2552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Skills!A13</f>
        <v/>
      </c>
      <c r="B2537">
        <f>Skills!B13</f>
        <v/>
      </c>
      <c r="C2537">
        <f>Inputs!$B$3&gt;=49</f>
        <v/>
      </c>
      <c r="D2537">
        <f>IF(Skills!C13=1,60+Inputs!$B$25+Inputs!$B$29,IF(Skills!C13=2,90+Inputs!$B$26+Inputs!$B$29,IF(Skills!C13=3,120+Inputs!$B$27+Inputs!$B$29,MAX(0,(Inputs!$B$3-100)*3)+Inputs!$B$28+Inputs!$B$29)))</f>
        <v/>
      </c>
      <c r="E2537">
        <f>INDEX(FactorTable!$B$2:$Y$301, MATCH(ROUND(MIN(300,MAX(1,D2537)),0), FactorTable!$A$2:$A$301,0), Skills!L13+1)</f>
        <v/>
      </c>
      <c r="F2537">
        <f>IF(Skills!M13=TRUE,(Skills!K13/10)*(E2537/1000),Skills!K13/10)+Skills!N13</f>
        <v/>
      </c>
      <c r="G2537">
        <f>Calc!G13</f>
        <v/>
      </c>
      <c r="H2537">
        <f>Calc!H13</f>
        <v/>
      </c>
      <c r="I2537">
        <f>IF(Skills!T13&lt;&gt;"",1+(Skills!T13/10)*(Z2527/1000)/100,1)</f>
        <v/>
      </c>
      <c r="J2537" t="inlineStr"/>
      <c r="K2537" t="inlineStr"/>
      <c r="L2537" t="inlineStr"/>
      <c r="M2537" t="inlineStr"/>
      <c r="N2537" t="inlineStr"/>
      <c r="O2537">
        <f>(1-Summary!$B$11)*S2537+Summary!$B$11*U2537</f>
        <v/>
      </c>
      <c r="P2537">
        <f>IF(B2561=0,0,O2537/B2561)</f>
        <v/>
      </c>
      <c r="Q2537">
        <f>IFERROR(1/IF(Inputs!$B$38="pvp",15,MAX(0.1,Skills!D13-IF(Skills!E13=TRUE,0.5,0))),0)</f>
        <v/>
      </c>
      <c r="R2537" t="n">
        <v>0</v>
      </c>
      <c r="S2537" t="n">
        <v>0</v>
      </c>
      <c r="U2537" t="n">
        <v>0</v>
      </c>
    </row>
    <row r="2538">
      <c r="A2538">
        <f>Skills!A14</f>
        <v/>
      </c>
      <c r="B2538">
        <f>Skills!B14</f>
        <v/>
      </c>
      <c r="C2538">
        <f>Inputs!$B$3&gt;=72</f>
        <v/>
      </c>
      <c r="D2538">
        <f>IF(Skills!C14=1,60+Inputs!$B$25+Inputs!$B$29,IF(Skills!C14=2,90+Inputs!$B$26+Inputs!$B$29,IF(Skills!C14=3,120+Inputs!$B$27+Inputs!$B$29,MAX(0,(Inputs!$B$3-100)*3)+Inputs!$B$28+Inputs!$B$29)))</f>
        <v/>
      </c>
      <c r="E2538">
        <f>INDEX(FactorTable!$B$2:$Y$301, MATCH(ROUND(MIN(300,MAX(1,D2538)),0), FactorTable!$A$2:$A$301,0), Skills!L14+1)</f>
        <v/>
      </c>
      <c r="F2538">
        <f>IF(Skills!M14=TRUE,(Skills!K14/10)*(E2538/1000),Skills!K14/10)+Skills!N14</f>
        <v/>
      </c>
      <c r="G2538">
        <f>Calc!G14</f>
        <v/>
      </c>
      <c r="H2538">
        <f>Calc!H14</f>
        <v/>
      </c>
      <c r="I2538">
        <f>IF(Skills!T14&lt;&gt;"",1+(Skills!T14/10)*(Z2527/1000)/100,1)</f>
        <v/>
      </c>
      <c r="J2538" t="inlineStr"/>
      <c r="K2538" t="inlineStr"/>
      <c r="L2538" t="inlineStr"/>
      <c r="M2538" t="inlineStr"/>
      <c r="N2538" t="inlineStr"/>
      <c r="O2538">
        <f>(1-Summary!$B$11)*S2538+Summary!$B$11*U2538</f>
        <v/>
      </c>
      <c r="P2538">
        <f>IF(B2561=0,0,O2538/B2561)</f>
        <v/>
      </c>
      <c r="Q2538">
        <f>IFERROR(1/IF(Inputs!$B$38="pvp",15,MAX(0.1,Skills!D14-IF(Skills!E14=TRUE,0.5,0))),0)</f>
        <v/>
      </c>
      <c r="R2538" t="n">
        <v>0</v>
      </c>
      <c r="S2538" t="n">
        <v>0</v>
      </c>
      <c r="U2538" t="n">
        <v>0</v>
      </c>
    </row>
    <row r="2539">
      <c r="A2539">
        <f>Skills!A15</f>
        <v/>
      </c>
      <c r="B2539">
        <f>Skills!B15</f>
        <v/>
      </c>
      <c r="C2539">
        <f>Inputs!$B$3&gt;=75</f>
        <v/>
      </c>
      <c r="D2539">
        <f>IF(Skills!C15=1,60+Inputs!$B$25+Inputs!$B$29,IF(Skills!C15=2,90+Inputs!$B$26+Inputs!$B$29,IF(Skills!C15=3,120+Inputs!$B$27+Inputs!$B$29,MAX(0,(Inputs!$B$3-100)*3)+Inputs!$B$28+Inputs!$B$29)))</f>
        <v/>
      </c>
      <c r="E2539">
        <f>INDEX(FactorTable!$B$2:$Y$301, MATCH(ROUND(MIN(300,MAX(1,D2539)),0), FactorTable!$A$2:$A$301,0), Skills!L15+1)</f>
        <v/>
      </c>
      <c r="F2539">
        <f>IF(Skills!M15=TRUE,(Skills!K15/10)*(E2539/1000),Skills!K15/10)+Skills!N15</f>
        <v/>
      </c>
      <c r="G2539">
        <f>Calc!G15</f>
        <v/>
      </c>
      <c r="H2539">
        <f>Calc!H15</f>
        <v/>
      </c>
      <c r="I2539">
        <f>IF(Skills!T15&lt;&gt;"",1+(Skills!T15/10)*(Z2527/1000)/100,1)</f>
        <v/>
      </c>
      <c r="J2539" t="inlineStr"/>
      <c r="K2539" t="inlineStr"/>
      <c r="L2539" t="inlineStr"/>
      <c r="M2539" t="inlineStr"/>
      <c r="N2539" t="inlineStr"/>
      <c r="O2539">
        <f>(1-Summary!$B$11)*S2539+Summary!$B$11*U2539</f>
        <v/>
      </c>
      <c r="P2539">
        <f>IF(B2561=0,0,O2539/B2561)</f>
        <v/>
      </c>
      <c r="Q2539">
        <f>IFERROR(1/IF(Inputs!$B$38="pvp",15,MAX(0.1,Skills!D15-IF(Skills!E15=TRUE,0.5,0))),0)</f>
        <v/>
      </c>
      <c r="R2539" t="n">
        <v>0</v>
      </c>
      <c r="S2539" t="n">
        <v>0</v>
      </c>
      <c r="U2539" t="n">
        <v>0</v>
      </c>
    </row>
    <row r="2540">
      <c r="A2540">
        <f>Skills!A16</f>
        <v/>
      </c>
      <c r="B2540">
        <f>Skills!B16</f>
        <v/>
      </c>
      <c r="C2540">
        <f>Inputs!$B$3&gt;=110</f>
        <v/>
      </c>
      <c r="D2540">
        <f>IF(Skills!C16=1,60+Inputs!$B$25+Inputs!$B$29,IF(Skills!C16=2,90+Inputs!$B$26+Inputs!$B$29,IF(Skills!C16=3,120+Inputs!$B$27+Inputs!$B$29,MAX(0,(Inputs!$B$3-100)*3)+Inputs!$B$28+Inputs!$B$29)))</f>
        <v/>
      </c>
      <c r="E2540">
        <f>INDEX(FactorTable!$B$2:$Y$301, MATCH(ROUND(MIN(300,MAX(1,D2540)),0), FactorTable!$A$2:$A$301,0), Skills!L16+1)</f>
        <v/>
      </c>
      <c r="F2540">
        <f>(Skills!K16/10)*(E2540/1000)*64/45+Skills!N16</f>
        <v/>
      </c>
      <c r="G2540">
        <f>Calc!G16</f>
        <v/>
      </c>
      <c r="H2540">
        <f>Calc!H16</f>
        <v/>
      </c>
      <c r="I2540">
        <f>IF(Skills!T16&lt;&gt;"",1+(Skills!T16/10)*(Z2527/1000)/100,1)</f>
        <v/>
      </c>
      <c r="J2540" t="inlineStr"/>
      <c r="K2540" t="inlineStr"/>
      <c r="L2540" t="inlineStr"/>
      <c r="M2540" t="inlineStr"/>
      <c r="N2540" t="inlineStr"/>
      <c r="O2540">
        <f>(1-Summary!$B$11)*S2540+Summary!$B$11*U2540</f>
        <v/>
      </c>
      <c r="P2540">
        <f>IF(B2561=0,0,O2540/B2561)</f>
        <v/>
      </c>
      <c r="Q2540">
        <f>IFERROR(1/IF(Inputs!$B$38="pvp",15,MAX(0.1,Skills!D16-IF(Skills!E16=TRUE,0.5,0))),0)</f>
        <v/>
      </c>
      <c r="R2540">
        <f>IF(AND(Inputs!$B$38&lt;&gt;"pvp",Inputs!$B$43&gt;0),IF(Inputs!$B$43&lt;=0,0,(INT(Inputs!$B$43/IF(Inputs!$B$38="pvp",15,MAX(0.1,Skills!D16-IF(Skills!E16=TRUE,0.5,0))))+1)),0)</f>
        <v/>
      </c>
      <c r="S2540" t="n">
        <v>0</v>
      </c>
      <c r="U2540" t="n">
        <v>0</v>
      </c>
    </row>
    <row r="2541">
      <c r="A2541">
        <f>Skills!A17</f>
        <v/>
      </c>
      <c r="B2541">
        <f>Skills!B17</f>
        <v/>
      </c>
      <c r="C2541">
        <f>Inputs!$B$3&gt;=33</f>
        <v/>
      </c>
      <c r="D2541">
        <f>IF(Skills!C17=1,60+Inputs!$B$25+Inputs!$B$29,IF(Skills!C17=2,90+Inputs!$B$26+Inputs!$B$29,IF(Skills!C17=3,120+Inputs!$B$27+Inputs!$B$29,MAX(0,(Inputs!$B$3-100)*3)+Inputs!$B$28+Inputs!$B$29)))</f>
        <v/>
      </c>
      <c r="E2541">
        <f>INDEX(FactorTable!$B$2:$Y$301, MATCH(ROUND(MIN(300,MAX(1,D2541)),0), FactorTable!$A$2:$A$301,0), Skills!L17+1)</f>
        <v/>
      </c>
      <c r="F2541">
        <f>IF(Skills!M17=TRUE,(Skills!K17/10)*(E2541/1000),Skills!K17/10)+Skills!N17</f>
        <v/>
      </c>
      <c r="G2541">
        <f>Calc!G17</f>
        <v/>
      </c>
      <c r="H2541">
        <f>Calc!H17</f>
        <v/>
      </c>
      <c r="I2541">
        <f>IF(Skills!T17&lt;&gt;"",1+(Skills!T17/10)*(Z2527/1000)/100,1)</f>
        <v/>
      </c>
      <c r="J2541" t="inlineStr"/>
      <c r="K2541" t="inlineStr"/>
      <c r="L2541" t="inlineStr"/>
      <c r="M2541" t="inlineStr"/>
      <c r="N2541" t="inlineStr"/>
      <c r="O2541">
        <f>(1-Summary!$B$11)*S2541+Summary!$B$11*U2541</f>
        <v/>
      </c>
      <c r="P2541">
        <f>IF(B2561=0,0,O2541/B2561)</f>
        <v/>
      </c>
      <c r="Q2541">
        <f>IFERROR(1/IF(Inputs!$B$38="pvp",15,MAX(0.1,Skills!D17-IF(Skills!E17=TRUE,0.5,0))),0)</f>
        <v/>
      </c>
      <c r="R2541" t="n">
        <v>0</v>
      </c>
      <c r="S2541" t="n">
        <v>0</v>
      </c>
      <c r="U2541" t="n">
        <v>0</v>
      </c>
    </row>
    <row r="2542">
      <c r="A2542">
        <f>Skills!A18</f>
        <v/>
      </c>
      <c r="B2542">
        <f>Skills!B18</f>
        <v/>
      </c>
      <c r="C2542">
        <f>Inputs!$B$3&gt;=43</f>
        <v/>
      </c>
      <c r="D2542">
        <f>IF(Skills!C18=1,60+Inputs!$B$25+Inputs!$B$29,IF(Skills!C18=2,90+Inputs!$B$26+Inputs!$B$29,IF(Skills!C18=3,120+Inputs!$B$27+Inputs!$B$29,MAX(0,(Inputs!$B$3-100)*3)+Inputs!$B$28+Inputs!$B$29)))</f>
        <v/>
      </c>
      <c r="E2542">
        <f>INDEX(FactorTable!$B$2:$Y$301, MATCH(ROUND(MIN(300,MAX(1,D2542)),0), FactorTable!$A$2:$A$301,0), Skills!L18+1)</f>
        <v/>
      </c>
      <c r="F2542">
        <f>IF(Skills!M18=TRUE,(Skills!K18/10)*(E2542/1000),Skills!K18/10)+Skills!N18</f>
        <v/>
      </c>
      <c r="G2542">
        <f>Calc!G18</f>
        <v/>
      </c>
      <c r="H2542">
        <f>Calc!H18</f>
        <v/>
      </c>
      <c r="I2542">
        <f>IF(Skills!T18&lt;&gt;"",1+(Skills!T18/10)*(Z2527/1000)/100,1)</f>
        <v/>
      </c>
      <c r="J2542" t="inlineStr"/>
      <c r="K2542" t="inlineStr"/>
      <c r="L2542" t="inlineStr"/>
      <c r="M2542" t="inlineStr"/>
      <c r="N2542" t="inlineStr"/>
      <c r="O2542">
        <f>(1-Summary!$B$11)*S2542+Summary!$B$11*U2542</f>
        <v/>
      </c>
      <c r="P2542">
        <f>IF(B2561=0,0,O2542/B2561)</f>
        <v/>
      </c>
      <c r="Q2542">
        <f>IFERROR(1/IF(Inputs!$B$38="pvp",15,MAX(0.1,Skills!D18-IF(Skills!E18=TRUE,0.5,0))),0)</f>
        <v/>
      </c>
      <c r="R2542" t="n">
        <v>0</v>
      </c>
      <c r="S2542" t="n">
        <v>0</v>
      </c>
      <c r="U2542" t="n">
        <v>0</v>
      </c>
    </row>
    <row r="2543">
      <c r="A2543">
        <f>Skills!A19</f>
        <v/>
      </c>
      <c r="B2543">
        <f>Skills!B19</f>
        <v/>
      </c>
      <c r="C2543">
        <f>Inputs!$B$3&gt;=50</f>
        <v/>
      </c>
      <c r="D2543">
        <f>IF(Skills!C19=1,60+Inputs!$B$25+Inputs!$B$29,IF(Skills!C19=2,90+Inputs!$B$26+Inputs!$B$29,IF(Skills!C19=3,120+Inputs!$B$27+Inputs!$B$29,MAX(0,(Inputs!$B$3-100)*3)+Inputs!$B$28+Inputs!$B$29)))</f>
        <v/>
      </c>
      <c r="E2543">
        <f>INDEX(FactorTable!$B$2:$Y$301, MATCH(ROUND(MIN(300,MAX(1,D2543)),0), FactorTable!$A$2:$A$301,0), Skills!L19+1)</f>
        <v/>
      </c>
      <c r="F2543">
        <f>IF(Skills!M19=TRUE,(Skills!K19/10)*(E2543/1000),Skills!K19/10)+Skills!N19</f>
        <v/>
      </c>
      <c r="G2543">
        <f>Calc!G19</f>
        <v/>
      </c>
      <c r="H2543">
        <f>Calc!H19</f>
        <v/>
      </c>
      <c r="I2543">
        <f>IF(Skills!T19&lt;&gt;"",1+(Skills!T19/10)*(Z2527/1000)/100,1)</f>
        <v/>
      </c>
      <c r="J2543" t="inlineStr"/>
      <c r="K2543" t="inlineStr"/>
      <c r="L2543" t="inlineStr"/>
      <c r="M2543" t="inlineStr"/>
      <c r="N2543" t="inlineStr"/>
      <c r="O2543">
        <f>(1-Summary!$B$11)*S2543+Summary!$B$11*U2543</f>
        <v/>
      </c>
      <c r="P2543">
        <f>IF(B2561=0,0,O2543/B2561)</f>
        <v/>
      </c>
      <c r="Q2543">
        <f>IFERROR(1/IF(Inputs!$B$38="pvp",15,MAX(0.1,Skills!D19-IF(Skills!E19=TRUE,0.5,0))),0)</f>
        <v/>
      </c>
      <c r="R2543" t="n">
        <v>0</v>
      </c>
      <c r="S2543" t="n">
        <v>0</v>
      </c>
      <c r="U2543" t="n">
        <v>0</v>
      </c>
    </row>
    <row r="2544">
      <c r="A2544">
        <f>Skills!A20</f>
        <v/>
      </c>
      <c r="B2544">
        <f>Skills!B20</f>
        <v/>
      </c>
      <c r="C2544">
        <f>Inputs!$B$3&gt;=74</f>
        <v/>
      </c>
      <c r="D2544">
        <f>IF(Skills!C20=1,60+Inputs!$B$25+Inputs!$B$29,IF(Skills!C20=2,90+Inputs!$B$26+Inputs!$B$29,IF(Skills!C20=3,120+Inputs!$B$27+Inputs!$B$29,MAX(0,(Inputs!$B$3-100)*3)+Inputs!$B$28+Inputs!$B$29)))</f>
        <v/>
      </c>
      <c r="E2544">
        <f>INDEX(FactorTable!$B$2:$Y$301, MATCH(ROUND(MIN(300,MAX(1,D2544)),0), FactorTable!$A$2:$A$301,0), Skills!L20+1)</f>
        <v/>
      </c>
      <c r="F2544">
        <f>IF(Skills!M20=TRUE,(Skills!K20/10)*(E2544/1000),Skills!K20/10)+Skills!N20</f>
        <v/>
      </c>
      <c r="G2544">
        <f>Calc!G20</f>
        <v/>
      </c>
      <c r="H2544">
        <f>Calc!H20</f>
        <v/>
      </c>
      <c r="I2544">
        <f>IF(Skills!T20&lt;&gt;"",1+(Skills!T20/10)*(Z2527/1000)/100,1)</f>
        <v/>
      </c>
      <c r="J2544" t="inlineStr"/>
      <c r="K2544" t="inlineStr"/>
      <c r="L2544" t="inlineStr"/>
      <c r="M2544" t="inlineStr"/>
      <c r="N2544" t="inlineStr"/>
      <c r="O2544">
        <f>(1-Summary!$B$11)*S2544+Summary!$B$11*U2544</f>
        <v/>
      </c>
      <c r="P2544">
        <f>IF(B2561=0,0,O2544/B2561)</f>
        <v/>
      </c>
      <c r="Q2544">
        <f>IFERROR(1/IF(Inputs!$B$38="pvp",15,MAX(0.1,Skills!D20-IF(Skills!E20=TRUE,0.5,0))),0)</f>
        <v/>
      </c>
      <c r="R2544" t="n">
        <v>0</v>
      </c>
      <c r="S2544" t="n">
        <v>0</v>
      </c>
      <c r="U2544" t="n">
        <v>0</v>
      </c>
    </row>
    <row r="2545">
      <c r="A2545">
        <f>Skills!A21</f>
        <v/>
      </c>
      <c r="B2545">
        <f>Skills!B21</f>
        <v/>
      </c>
      <c r="C2545">
        <f>Inputs!$B$3&gt;=74</f>
        <v/>
      </c>
      <c r="D2545">
        <f>IF(Skills!C21=1,60+Inputs!$B$25+Inputs!$B$29,IF(Skills!C21=2,90+Inputs!$B$26+Inputs!$B$29,IF(Skills!C21=3,120+Inputs!$B$27+Inputs!$B$29,MAX(0,(Inputs!$B$3-100)*3)+Inputs!$B$28+Inputs!$B$29)))</f>
        <v/>
      </c>
      <c r="E2545">
        <f>INDEX(FactorTable!$B$2:$Y$301, MATCH(ROUND(MIN(300,MAX(1,D2545)),0), FactorTable!$A$2:$A$301,0), Skills!L21+1)</f>
        <v/>
      </c>
      <c r="F2545">
        <f>IF(Skills!M21=TRUE,(Skills!K21/10)*(E2545/1000),Skills!K21/10)+Skills!N21</f>
        <v/>
      </c>
      <c r="G2545">
        <f>Calc!G21</f>
        <v/>
      </c>
      <c r="H2545">
        <f>Calc!H21</f>
        <v/>
      </c>
      <c r="I2545">
        <f>IF(Skills!T21&lt;&gt;"",1+(Skills!T21/10)*(Z2527/1000)/100,1)</f>
        <v/>
      </c>
      <c r="J2545" t="inlineStr"/>
      <c r="K2545" t="inlineStr"/>
      <c r="L2545" t="inlineStr"/>
      <c r="M2545" t="inlineStr"/>
      <c r="N2545" t="inlineStr"/>
      <c r="O2545">
        <f>(1-Summary!$B$11)*S2545+Summary!$B$11*U2545</f>
        <v/>
      </c>
      <c r="P2545">
        <f>IF(B2561=0,0,O2545/B2561)</f>
        <v/>
      </c>
      <c r="Q2545">
        <f>IFERROR(1/IF(Inputs!$B$38="pvp",15,MAX(0.1,Skills!D21-IF(Skills!E21=TRUE,0.5,0))),0)</f>
        <v/>
      </c>
      <c r="R2545" t="n">
        <v>0</v>
      </c>
      <c r="S2545" t="n">
        <v>0</v>
      </c>
      <c r="U2545" t="n">
        <v>0</v>
      </c>
    </row>
    <row r="2546">
      <c r="A2546">
        <f>Skills!A22</f>
        <v/>
      </c>
      <c r="B2546">
        <f>Skills!B22</f>
        <v/>
      </c>
      <c r="C2546">
        <f>Inputs!$B$3&gt;=117</f>
        <v/>
      </c>
      <c r="D2546">
        <f>IF(Skills!C22=1,60+Inputs!$B$25+Inputs!$B$29,IF(Skills!C22=2,90+Inputs!$B$26+Inputs!$B$29,IF(Skills!C22=3,120+Inputs!$B$27+Inputs!$B$29,MAX(0,(Inputs!$B$3-100)*3)+Inputs!$B$28+Inputs!$B$29)))</f>
        <v/>
      </c>
      <c r="E2546">
        <f>INDEX(FactorTable!$B$2:$Y$301, MATCH(ROUND(MIN(300,MAX(1,D2546)),0), FactorTable!$A$2:$A$301,0), Skills!L22+1)</f>
        <v/>
      </c>
      <c r="F2546">
        <f>IF(Skills!M22=TRUE,(Skills!K22/10)*(E2546/1000),Skills!K22/10)+Skills!N22</f>
        <v/>
      </c>
      <c r="G2546">
        <f>Calc!G22</f>
        <v/>
      </c>
      <c r="H2546">
        <f>Calc!H22</f>
        <v/>
      </c>
      <c r="I2546">
        <f>IF(Skills!T22&lt;&gt;"",1+(Skills!T22/10)*(Z2527/1000)/100,1)</f>
        <v/>
      </c>
      <c r="J2546" t="inlineStr"/>
      <c r="K2546" t="inlineStr"/>
      <c r="L2546" t="inlineStr"/>
      <c r="M2546" t="inlineStr"/>
      <c r="N2546" t="inlineStr"/>
      <c r="O2546">
        <f>(1-Summary!$B$11)*S2546+Summary!$B$11*U2546</f>
        <v/>
      </c>
      <c r="P2546">
        <f>IF(B2561=0,0,O2546/B2561)</f>
        <v/>
      </c>
      <c r="Q2546">
        <f>IFERROR(1/IF(Inputs!$B$38="pvp",15,MAX(0.1,Skills!D22-IF(Skills!E22=TRUE,0.5,0))),0)</f>
        <v/>
      </c>
      <c r="R2546" t="n">
        <v>0</v>
      </c>
      <c r="S2546" t="n">
        <v>0</v>
      </c>
      <c r="U2546" t="n">
        <v>0</v>
      </c>
    </row>
    <row r="2547">
      <c r="A2547">
        <f>Skills!A23</f>
        <v/>
      </c>
      <c r="B2547">
        <f>Skills!B23</f>
        <v/>
      </c>
      <c r="C2547">
        <f>Inputs!$B$3&gt;=120</f>
        <v/>
      </c>
      <c r="D2547">
        <f>IF(Skills!C23=1,60+Inputs!$B$25+Inputs!$B$29,IF(Skills!C23=2,90+Inputs!$B$26+Inputs!$B$29,IF(Skills!C23=3,120+Inputs!$B$27+Inputs!$B$29,MAX(0,(Inputs!$B$3-100)*3)+Inputs!$B$28+Inputs!$B$29)))</f>
        <v/>
      </c>
      <c r="E2547">
        <f>INDEX(FactorTable!$B$2:$Y$301, MATCH(ROUND(MIN(300,MAX(1,D2547)),0), FactorTable!$A$2:$A$301,0), Skills!L23+1)</f>
        <v/>
      </c>
      <c r="F2547">
        <f>IF(Skills!M23=TRUE,(Skills!K23/10)*(E2547/1000),Skills!K23/10)+Skills!N23</f>
        <v/>
      </c>
      <c r="G2547">
        <f>Calc!G23</f>
        <v/>
      </c>
      <c r="H2547">
        <f>Calc!H23</f>
        <v/>
      </c>
      <c r="I2547">
        <f>IF(Skills!T23&lt;&gt;"",1+(Skills!T23/10)*(Z2527/1000)/100,1)</f>
        <v/>
      </c>
      <c r="J2547" t="inlineStr"/>
      <c r="K2547" t="inlineStr"/>
      <c r="L2547" t="inlineStr"/>
      <c r="M2547" t="inlineStr"/>
      <c r="N2547" t="inlineStr"/>
      <c r="O2547">
        <f>(1-Summary!$B$11)*S2547+Summary!$B$11*U2547</f>
        <v/>
      </c>
      <c r="P2547">
        <f>IF(B2561=0,0,O2547/B2561)</f>
        <v/>
      </c>
      <c r="Q2547">
        <f>IFERROR(1/IF(Inputs!$B$38="pvp",15,MAX(0.1,Skills!D23-IF(Skills!E23=TRUE,0.5,0))),0)</f>
        <v/>
      </c>
      <c r="R2547" t="n">
        <v>0</v>
      </c>
      <c r="S2547" t="n">
        <v>0</v>
      </c>
      <c r="U2547" t="n">
        <v>0</v>
      </c>
    </row>
    <row r="2548">
      <c r="A2548">
        <f>Skills!A24</f>
        <v/>
      </c>
      <c r="B2548">
        <f>Skills!B24</f>
        <v/>
      </c>
      <c r="C2548">
        <f>TRUE</f>
        <v/>
      </c>
      <c r="D2548">
        <f>IF(Skills!C24=1,60+Inputs!$B$25+Inputs!$B$29,IF(Skills!C24=2,90+Inputs!$B$26+Inputs!$B$29,IF(Skills!C24=3,120+Inputs!$B$27+Inputs!$B$29,MAX(0,(Inputs!$B$3-100)*3)+Inputs!$B$28+Inputs!$B$29)))</f>
        <v/>
      </c>
      <c r="E2548">
        <f>INDEX(FactorTable!$B$2:$Y$301, MATCH(ROUND(MIN(300,MAX(1,D2548)),0), FactorTable!$A$2:$A$301,0), Skills!L24+1)</f>
        <v/>
      </c>
      <c r="F2548">
        <f>IF(Skills!M24=TRUE,(Skills!K24/10)*(E2548/1000),Skills!K24/10)+Skills!N24</f>
        <v/>
      </c>
      <c r="G2548">
        <f>Calc!G24</f>
        <v/>
      </c>
      <c r="H2548">
        <f>Calc!H24</f>
        <v/>
      </c>
      <c r="I2548">
        <f>IF(Skills!T24&lt;&gt;"",1+(Skills!T24/10)*(Z2527/1000)/100,1)</f>
        <v/>
      </c>
      <c r="J2548" t="inlineStr"/>
      <c r="K2548" t="inlineStr"/>
      <c r="L2548" t="inlineStr"/>
      <c r="M2548" t="inlineStr"/>
      <c r="N2548" t="inlineStr"/>
      <c r="O2548">
        <f>(1-Summary!$B$11)*S2548+Summary!$B$11*U2548</f>
        <v/>
      </c>
      <c r="P2548">
        <f>IF(B2561=0,0,O2548/B2561)</f>
        <v/>
      </c>
      <c r="Q2548">
        <f>IFERROR(1/IF(Inputs!$B$38="pvp",15,MAX(0.1,Skills!D24-IF(Skills!E24=TRUE,0.5,0))),0)</f>
        <v/>
      </c>
      <c r="R2548">
        <f>IF(AND(Inputs!$B$38&lt;&gt;"pvp",Inputs!$B$43&gt;0),IF(Inputs!$B$43&lt;=0,0,(INT(Inputs!$B$43/IF(Inputs!$B$38="pvp",15,MAX(0.1,Skills!D24-IF(Skills!E24=TRUE,0.5,0))))+1)),0)</f>
        <v/>
      </c>
      <c r="S2548" t="n">
        <v>0</v>
      </c>
      <c r="U2548" t="n">
        <v>0</v>
      </c>
    </row>
    <row r="2551">
      <c r="A2551" t="inlineStr">
        <is>
          <t>Average Buff Multiplier (Magic Guard + Meditation + Artifact Attack%, summed; then Infinity)</t>
        </is>
      </c>
      <c r="B2551">
        <f>(1+(IF(C2527=TRUE,F2527*IF(AND(Inputs!$B$38&lt;&gt;"pvp",Inputs!$B$43&gt;0),(((R2527-1)*(Skills!S3*(1+(Inputs!$B$34)/100))+MIN((Skills!S3*(1+(Inputs!$B$34)/100)),MAX(0,Inputs!$B$43-((R2527-1)*Skills!D3))))/Inputs!$B$43),IF(Inputs!$B$38="pvp",MIN((Skills!S3*(1+(Inputs!$B$34)/100)),15)/15,(Skills!S3*(1+(Inputs!$B$34)/100))/Skills!D3)),0)+IF(C2528=TRUE,F2528*IF(AND(Inputs!$B$38&lt;&gt;"pvp",Inputs!$B$43&gt;0),(((R2528-1)*(Skills!S4*(1+(Inputs!$B$34)/100))+MIN((Skills!S4*(1+(Inputs!$B$34)/100)),MAX(0,Inputs!$B$43-((R2528-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2540=TRUE,(1+F2540*IF(AND(Inputs!$B$38&lt;&gt;"pvp",Inputs!$B$43&gt;0),(((R2540-1)*(Skills!S16*(1+(Inputs!$B$34)/100))+MIN((Skills!S16*(1+(Inputs!$B$34)/100)),MAX(0,Inputs!$B$43-((R2540-1)*Skills!D16))))/Inputs!$B$43),IF(Inputs!$B$38="pvp",MIN((Skills!S16*(1+(Inputs!$B$34)/100)),15)/15,(Skills!S16*(1+(Inputs!$B$34)/100))/Skills!D16))/100),1)</f>
        <v/>
      </c>
    </row>
    <row r="2552">
      <c r="A2552" t="inlineStr">
        <is>
          <t>Monster Damage Taken Bonus % (Freezing Breath - Weaken + Elemental Reset + Artifact Enemy Damage Taken, summed)</t>
        </is>
      </c>
      <c r="B2552">
        <f>IF(Inputs!$B$3&gt;=118,15*IF(Inputs!$B$38="pvp",MIN((30*(1+(Inputs!$B$34)/100)),15)/15,(30*(1+(Inputs!$B$34)/100))/Skills!D8),0)+IF(C2538=TRUE,F2538,0)+(IF(AND(ArtifactsInput!$M$35,Inputs!$B$4&lt;&gt;"Chapter Hunt"),CHOOSE(ArtifactsInput!$N$35+1,15,18,21,24,27,30)*(1-EXP(-(0.2*B2555)*5)),0)+IF(AND(ArtifactsInput!$M$22,Inputs!$B$4&lt;&gt;"Chapter Hunt"),CHOOSE(ArtifactsInput!$N$22+1,10,12,14,16,18,20)*((0*(((0.15*B2555*5))^0/1)+1*(((0.15*B2555*5))^1/1)+2*(((0.15*B2555*5))^2/2)+3*(((0.15*B2555*5))^3/6)+4*(((0.15*B2555*5))^4/24)+5*(((0.15*B2555*5))^5/120))/((((0.15*B2555*5))^0/1)+(((0.15*B2555*5))^1/1)+(((0.15*B2555*5))^2/2)+(((0.15*B2555*5))^3/6)+(((0.15*B2555*5))^4/24)+(((0.15*B2555*5))^5/120))),0))</f>
        <v/>
      </c>
    </row>
    <row r="2553">
      <c r="A2553" t="inlineStr">
        <is>
          <t>Damage % Bonus (Frozen Break + Frost Clutch, flat)</t>
        </is>
      </c>
      <c r="B2553">
        <f>IF(Inputs!$B$3&gt;=66,15,0)+IF(Inputs!$B$3&gt;=98,10,0)+IF(Inputs!$B$3&gt;=125,20,0)</f>
        <v/>
      </c>
    </row>
    <row r="2554">
      <c r="A2554" t="inlineStr">
        <is>
          <t>Attack Speed Bonus % (MP Eater - MP Boost, always-on + Nimble Feet, duty-cycle averaged)</t>
        </is>
      </c>
      <c r="B2554">
        <f>IF(C2537=TRUE,F2537+(F2541-Calc!F17),0)+((C2548=TRUE)*F2548*IF(AND(Inputs!$B$38&lt;&gt;"pvp",Inputs!$B$43&gt;0),(((R2548-1)*(Skills!S24*(1+(Inputs!$B$34)/100))+MIN((Skills!S24*(1+(Inputs!$B$34)/100)),MAX(0,Inputs!$B$43-((R2548-1)*Skills!D24))))/Inputs!$B$43),IF(Inputs!$B$38="pvp",MIN((Skills!S24*(1+(Inputs!$B$34)/100)),15)/15,(Skills!S24*(1+(Inputs!$B$34)/100))/Skills!D24)))</f>
        <v/>
      </c>
    </row>
    <row r="2555">
      <c r="A2555" t="inlineStr">
        <is>
          <t>Actions Per Second</t>
        </is>
      </c>
      <c r="B2555">
        <f>1+MIN(150,150*(1-(1-(Inputs!$B$11+(ArtifactsInput!$M$15-ArtifactsInput!$M$15)*CHOOSE(ArtifactsInput!$N$15+1,8,9.6,11.2,12.8,14.4,16))/150)*(1-B2554/150)))/100</f>
        <v/>
      </c>
    </row>
    <row r="2556">
      <c r="A2556" t="inlineStr">
        <is>
          <t>Skill + Buff Cast Rate</t>
        </is>
      </c>
      <c r="B2556">
        <f>IF(AND(Inputs!$B$38&lt;&gt;"pvp",Inputs!$B$43&gt;0),SUMPRODUCT((Skills!E2:E24=TRUE)*(C2526:C2548=TRUE)*R2526:R2548)/Inputs!$B$43,SUMPRODUCT((Skills!E2:E24=TRUE)*(C2526:C2548=TRUE)*Q2526:Q2548))</f>
        <v/>
      </c>
    </row>
    <row r="2557">
      <c r="A2557" t="inlineStr">
        <is>
          <t>Chain Lightning Casts Per Second</t>
        </is>
      </c>
      <c r="B2557">
        <f>MAX(0,B2555-B2556)</f>
        <v/>
      </c>
    </row>
    <row r="2558">
      <c r="A2558" t="inlineStr">
        <is>
          <t>Buff-Casting Startup Delay (s, fixed-duration only)</t>
        </is>
      </c>
      <c r="B2558">
        <f>IF(AND(Inputs!$B$38&lt;&gt;"pvp",Inputs!$B$43&gt;0),SUMPRODUCT((Skills!S2:S24&gt;0)*(Skills!E2:E24=TRUE)*(C2526:C2548=TRUE))/B2555,0)</f>
        <v/>
      </c>
    </row>
    <row r="2559">
      <c r="A2559" t="inlineStr">
        <is>
          <t>Boss-Only Total DPS (this block's swept value)</t>
        </is>
      </c>
      <c r="B2559">
        <f>SUM(S2526:S2548)</f>
        <v/>
      </c>
    </row>
    <row r="2560">
      <c r="A2560" t="inlineStr">
        <is>
          <t>Normal-Only Total DPS (this block's swept value)</t>
        </is>
      </c>
      <c r="B2560">
        <f>SUM(U2526:U2548)</f>
        <v/>
      </c>
    </row>
    <row r="2561">
      <c r="A2561" s="6" t="inlineStr">
        <is>
          <t>TOTAL DPS</t>
        </is>
      </c>
      <c r="B2561" s="6">
        <f>SUM(O2526:O2548)</f>
        <v/>
      </c>
    </row>
    <row r="2564">
      <c r="A2564" s="6" t="inlineStr">
        <is>
          <t>Stat: CDR = 1.0s</t>
        </is>
      </c>
    </row>
    <row r="2565">
      <c r="A2565" s="5" t="inlineStr">
        <is>
          <t>Key</t>
        </is>
      </c>
      <c r="B2565" s="5" t="inlineStr">
        <is>
          <t>Name</t>
        </is>
      </c>
      <c r="C2565" s="5" t="inlineStr">
        <is>
          <t>Unlocked</t>
        </is>
      </c>
      <c r="D2565" s="5" t="inlineStr">
        <is>
          <t>InputLevel</t>
        </is>
      </c>
      <c r="E2565" s="5" t="inlineStr">
        <is>
          <t>Factor</t>
        </is>
      </c>
      <c r="F2565" s="5" t="inlineStr">
        <is>
          <t>CoefficientPercent</t>
        </is>
      </c>
      <c r="G2565" s="5" t="inlineStr">
        <is>
          <t>EffectiveHits</t>
        </is>
      </c>
      <c r="H2565" s="5" t="inlineStr">
        <is>
          <t>ProcProbability</t>
        </is>
      </c>
      <c r="I2565" s="5" t="inlineStr">
        <is>
          <t>MapleHeroMultiplier</t>
        </is>
      </c>
      <c r="J2565" s="5" t="inlineStr">
        <is>
          <t>BaseDamage</t>
        </is>
      </c>
      <c r="K2565" s="5" t="inlineStr">
        <is>
          <t>BaseHitDamage</t>
        </is>
      </c>
      <c r="L2565" s="5" t="inlineStr">
        <is>
          <t>NonCritAvg</t>
        </is>
      </c>
      <c r="M2565" s="5" t="inlineStr">
        <is>
          <t>CritAvg</t>
        </is>
      </c>
      <c r="N2565" s="5" t="inlineStr">
        <is>
          <t>ExpectedDamage(perHit)</t>
        </is>
      </c>
      <c r="O2565" s="5" t="inlineStr">
        <is>
          <t>DPS</t>
        </is>
      </c>
      <c r="P2565" s="5" t="inlineStr">
        <is>
          <t>% of Total</t>
        </is>
      </c>
      <c r="R2565" t="inlineStr">
        <is>
          <t>helpers</t>
        </is>
      </c>
    </row>
    <row r="2566">
      <c r="A2566">
        <f>Skills!A2</f>
        <v/>
      </c>
      <c r="B2566">
        <f>Skills!B2</f>
        <v/>
      </c>
      <c r="C2566">
        <f>Inputs!$B$3&gt;=100</f>
        <v/>
      </c>
      <c r="D2566" t="inlineStr"/>
      <c r="E2566" t="inlineStr"/>
      <c r="F2566">
        <f>T2568+Skills!N2</f>
        <v/>
      </c>
      <c r="G2566">
        <f>Calc!G2</f>
        <v/>
      </c>
      <c r="H2566">
        <f>Calc!H2</f>
        <v/>
      </c>
      <c r="I2566">
        <f>IF(Skills!T2&lt;&gt;"",1+(Skills!T2/10)*(Z2567/1000)/100,1)</f>
        <v/>
      </c>
      <c r="J2566">
        <f>((Inputs!$B$6*(1+Inputs!$B$7/100))+(((Inputs!$B$12*(1+Inputs!$B$13/100))-(Inputs!$B$12*(1+Inputs!$B$13/100)))+0.25*(Inputs!$B$14-Inputs!$B$14))*(1+Inputs!$B$7/100))*(F2566/100)</f>
        <v/>
      </c>
      <c r="K2566">
        <f>J2566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2="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F2582-Calc!F18),(Inputs!$B$23+(IF(ArtifactsInput!$M$15,CHOOSE(ArtifactsInput!$N$15+1,25,30,35,40,45,50)/100*(Inputs!$B$11-Inputs!$B$11),0))))/100+(Inputs!$B$23+(IF(ArtifactsInput!$M$15,CHOOSE(ArtifactsInput!$N$15+1,25,30,35,40,45,50)/100*(Inputs!$B$11-Inputs!$B$11),0)))/100)/2</f>
        <v/>
      </c>
      <c r="M2566">
        <f>L2566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(1-Summary!$B$11)*S2566+Summary!$B$11*U2566</f>
        <v/>
      </c>
      <c r="P2566">
        <f>IF(B2601=0,0,O2566/B2601)</f>
        <v/>
      </c>
      <c r="Q2566">
        <f>IFERROR(1/IF(Inputs!$B$38="pvp",15,MAX(0.1,Skills!D2-IF(Skills!E2=TRUE,1.0,0))),0)</f>
        <v/>
      </c>
      <c r="R2566" t="n">
        <v>0</v>
      </c>
      <c r="S2566">
        <f>IF(C2566,(Skills!F2*N2566*B2597)*IF(Inputs!$B$38="pvp",1,1+(Inputs!$B$20+Skills!O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2566*(1-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66">
        <f>MAX(0,(Inputs!$B$3-100)*3)+Inputs!$B$28+Inputs!$B$29</f>
        <v/>
      </c>
      <c r="U2566">
        <f>IF(C2566,(Skills!F2*N2566*B2597)*IF(Inputs!$B$38="pvp",1,(1+(Inputs!$B$21+Skills!P2+B2592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66">
        <f>MAX(0,(Inputs!$B$3-100)*3)+Inputs!$B$28+Inputs!$B$29</f>
        <v/>
      </c>
    </row>
    <row r="2567">
      <c r="A2567">
        <f>Skills!A3</f>
        <v/>
      </c>
      <c r="B2567">
        <f>Skills!B3</f>
        <v/>
      </c>
      <c r="C2567">
        <f>Inputs!$B$3&gt;=15</f>
        <v/>
      </c>
      <c r="D2567">
        <f>IF(Skills!C3=1,60+Inputs!$B$25+Inputs!$B$29,IF(Skills!C3=2,90+Inputs!$B$26+Inputs!$B$29,IF(Skills!C3=3,120+Inputs!$B$27+Inputs!$B$29,MAX(0,(Inputs!$B$3-100)*3)+Inputs!$B$28+Inputs!$B$29)))</f>
        <v/>
      </c>
      <c r="E2567">
        <f>INDEX(FactorTable!$B$2:$Y$301, MATCH(ROUND(MIN(300,MAX(1,D2567)),0), FactorTable!$A$2:$A$301,0), Skills!L3+1)</f>
        <v/>
      </c>
      <c r="F2567">
        <f>IF(Skills!M3=TRUE,(Skills!K3/10)*(E2567/1000),Skills!K3/10)+Skills!N3</f>
        <v/>
      </c>
      <c r="G2567">
        <f>Calc!G3</f>
        <v/>
      </c>
      <c r="H2567">
        <f>Calc!H3</f>
        <v/>
      </c>
      <c r="I2567">
        <f>IF(Skills!T3&lt;&gt;"",1+(Skills!T3/10)*(Z2567/1000)/100,1)</f>
        <v/>
      </c>
      <c r="J2567" t="inlineStr"/>
      <c r="K2567" t="inlineStr"/>
      <c r="L2567" t="inlineStr"/>
      <c r="M2567" t="inlineStr"/>
      <c r="N2567" t="inlineStr"/>
      <c r="O2567">
        <f>(1-Summary!$B$11)*S2567+Summary!$B$11*U2567</f>
        <v/>
      </c>
      <c r="P2567">
        <f>IF(B2601=0,0,O2567/B2601)</f>
        <v/>
      </c>
      <c r="Q2567">
        <f>IFERROR(1/IF(Inputs!$B$38="pvp",15,MAX(0.1,Skills!D3-IF(Skills!E3=TRUE,1.0,0))),0)</f>
        <v/>
      </c>
      <c r="R2567">
        <f>IF(AND(Inputs!$B$38&lt;&gt;"pvp",Inputs!$B$43&gt;0),IF(Inputs!$B$43&lt;=0,0,(INT(Inputs!$B$43/IF(Inputs!$B$38="pvp",15,MAX(0.1,Skills!D3-IF(Skills!E3=TRUE,1.0,0))))+1)),0)</f>
        <v/>
      </c>
      <c r="S2567" t="n">
        <v>0</v>
      </c>
      <c r="T2567">
        <f>INDEX(FactorTable!$B$2:$Y$301, MATCH(ROUND(MIN(300,MAX(1,T2566)),0), FactorTable!$A$2:$A$301,0), 22)</f>
        <v/>
      </c>
      <c r="U2567" t="n">
        <v>0</v>
      </c>
      <c r="Z2567">
        <f>INDEX(FactorTable!$B$2:$Y$301, MATCH(ROUND(MIN(300,MAX(1,Z2566)),0), FactorTable!$A$2:$A$301,0), 24)</f>
        <v/>
      </c>
    </row>
    <row r="2568">
      <c r="A2568">
        <f>Skills!A4</f>
        <v/>
      </c>
      <c r="B2568">
        <f>Skills!B4</f>
        <v/>
      </c>
      <c r="C2568">
        <f>Inputs!$B$3&gt;=40</f>
        <v/>
      </c>
      <c r="D2568">
        <f>IF(Skills!C4=1,60+Inputs!$B$25+Inputs!$B$29,IF(Skills!C4=2,90+Inputs!$B$26+Inputs!$B$29,IF(Skills!C4=3,120+Inputs!$B$27+Inputs!$B$29,MAX(0,(Inputs!$B$3-100)*3)+Inputs!$B$28+Inputs!$B$29)))</f>
        <v/>
      </c>
      <c r="E2568">
        <f>INDEX(FactorTable!$B$2:$Y$301, MATCH(ROUND(MIN(300,MAX(1,D2568)),0), FactorTable!$A$2:$A$301,0), Skills!L4+1)</f>
        <v/>
      </c>
      <c r="F2568">
        <f>IF(Skills!M4=TRUE,(Skills!K4/10)*(E2568/1000),Skills!K4/10)+Skills!N4</f>
        <v/>
      </c>
      <c r="G2568">
        <f>Calc!G4</f>
        <v/>
      </c>
      <c r="H2568">
        <f>Calc!H4</f>
        <v/>
      </c>
      <c r="I2568">
        <f>IF(Skills!T4&lt;&gt;"",1+(Skills!T4/10)*(Z2567/1000)/100,1)</f>
        <v/>
      </c>
      <c r="J2568" t="inlineStr"/>
      <c r="K2568" t="inlineStr"/>
      <c r="L2568" t="inlineStr"/>
      <c r="M2568" t="inlineStr"/>
      <c r="N2568" t="inlineStr"/>
      <c r="O2568">
        <f>(1-Summary!$B$11)*S2568+Summary!$B$11*U2568</f>
        <v/>
      </c>
      <c r="P2568">
        <f>IF(B2601=0,0,O2568/B2601)</f>
        <v/>
      </c>
      <c r="Q2568">
        <f>IFERROR(1/IF(Inputs!$B$38="pvp",15,MAX(0.1,Skills!D4-IF(Skills!E4=TRUE,1.0,0))),0)</f>
        <v/>
      </c>
      <c r="R2568">
        <f>IF(AND(Inputs!$B$38&lt;&gt;"pvp",Inputs!$B$43&gt;0),IF(Inputs!$B$43&lt;=0,0,(INT(Inputs!$B$43/IF(Inputs!$B$38="pvp",15,MAX(0.1,Skills!D4-IF(Skills!E4=TRUE,1.0,0))))+1)),0)</f>
        <v/>
      </c>
      <c r="S2568" t="n">
        <v>0</v>
      </c>
      <c r="T2568">
        <f>290*T2567/1000</f>
        <v/>
      </c>
      <c r="U2568" t="n">
        <v>0</v>
      </c>
    </row>
    <row r="2569">
      <c r="A2569">
        <f>Skills!A5</f>
        <v/>
      </c>
      <c r="B2569">
        <f>Skills!B5</f>
        <v/>
      </c>
      <c r="C2569">
        <f>Inputs!$B$3&gt;=38</f>
        <v/>
      </c>
      <c r="D2569">
        <f>IF(Skills!C5=1,60+Inputs!$B$25+Inputs!$B$29,IF(Skills!C5=2,90+Inputs!$B$26+Inputs!$B$29,IF(Skills!C5=3,120+Inputs!$B$27+Inputs!$B$29,MAX(0,(Inputs!$B$3-100)*3)+Inputs!$B$28+Inputs!$B$29)))</f>
        <v/>
      </c>
      <c r="E2569">
        <f>INDEX(FactorTable!$B$2:$Y$301, MATCH(ROUND(MIN(300,MAX(1,D2569)),0), FactorTable!$A$2:$A$301,0), Skills!L5+1)</f>
        <v/>
      </c>
      <c r="F2569">
        <f>IF(Skills!M5=TRUE,(Skills!K5/10)*(E2569/1000),Skills!K5/10)+Skills!N5</f>
        <v/>
      </c>
      <c r="G2569">
        <f>Calc!G5</f>
        <v/>
      </c>
      <c r="H2569">
        <f>Calc!H5</f>
        <v/>
      </c>
      <c r="I2569">
        <f>IF(Skills!T5&lt;&gt;"",1+(Skills!T5/10)*(Z2567/1000)/100,1)</f>
        <v/>
      </c>
      <c r="J2569">
        <f>((Inputs!$B$6*(1+Inputs!$B$7/100))+(((Inputs!$B$12*(1+Inputs!$B$13/100))-(Inputs!$B$12*(1+Inputs!$B$13/100)))+0.25*(Inputs!$B$14-Inputs!$B$14))*(1+Inputs!$B$7/100))*(F2569/100)</f>
        <v/>
      </c>
      <c r="K2569">
        <f>J2569*(1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5="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F2582-Calc!F18),(Inputs!$B$23+(IF(ArtifactsInput!$M$15,CHOOSE(ArtifactsInput!$N$15+1,25,30,35,40,45,50)/100*(Inputs!$B$11-Inputs!$B$11),0))))/100+(Inputs!$B$23+(IF(ArtifactsInput!$M$15,CHOOSE(ArtifactsInput!$N$15+1,25,30,35,40,45,50)/100*(Inputs!$B$11-Inputs!$B$11),0)))/100)/2</f>
        <v/>
      </c>
      <c r="M2569">
        <f>L2569*(1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(1-Summary!$B$11)*S2569+Summary!$B$11*U2569</f>
        <v/>
      </c>
      <c r="P2569">
        <f>IF(B2601=0,0,O2569/B2601)</f>
        <v/>
      </c>
      <c r="Q2569">
        <f>IFERROR(1/IF(Inputs!$B$38="pvp",15,MAX(0.1,Skills!D5-IF(Skills!E5=TRUE,1.0,0))),0)</f>
        <v/>
      </c>
      <c r="R2569">
        <f>IF(AND(Inputs!$B$38&lt;&gt;"pvp",Inputs!$B$43&gt;0),IF(MAX(0,Inputs!$B$43-B2598)&lt;=0,0,(INT(MAX(0,Inputs!$B$43-B2598)/IF(Inputs!$B$38="pvp",15,MAX(0.1,Skills!D5-IF(Skills!E5=TRUE,1.0,0))))+1)),0)</f>
        <v/>
      </c>
      <c r="S2569">
        <f>IF(C2569,(H2569*N2569*IF(AND(Inputs!$B$38&lt;&gt;"pvp",Inputs!$B$43&gt;0),((Skills!F5*((R2569-1)*IF(Skills!G5&gt;0,Skills!H5/Skills!G5,1)+IF(Skills!G5&gt;0,MIN(Skills!H5,MAX(0,MAX(0,Inputs!$B$43-B2598)-((R2569-1)*IF(Inputs!$B$38="pvp",15,MAX(0.1,Skills!D5-IF(Skills!E5=TRUE,1.0,0))))))/Skills!G5,1)))/Inputs!$B$43),G2569*Q2569))*IF(Inputs!$B$38="pvp",1,1+(Inputs!$B$20+Skills!O5+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2569*(1-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IF(C2569,(H2569*N2569*IF(AND(Inputs!$B$38&lt;&gt;"pvp",Inputs!$B$43&gt;0),((Skills!F5*((R2569-1)*IF(Skills!G5&gt;0,Skills!H5/Skills!G5,1)+IF(Skills!G5&gt;0,MIN(Skills!H5,MAX(0,MAX(0,Inputs!$B$43-B2598)-((R2569-1)*IF(Inputs!$B$38="pvp",15,MAX(0.1,Skills!D5-IF(Skills!E5=TRUE,1.0,0))))))/Skills!G5,1)))/Inputs!$B$43),G2569*Q2569))*IF(Inputs!$B$38="pvp",1,(1+(Inputs!$B$21+Skills!P5+B2592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Skills!A6</f>
        <v/>
      </c>
      <c r="B2570">
        <f>Skills!B6</f>
        <v/>
      </c>
      <c r="C2570">
        <f>Inputs!$B$3&gt;=63</f>
        <v/>
      </c>
      <c r="D2570">
        <f>IF(Skills!C6=1,60+Inputs!$B$25+Inputs!$B$29,IF(Skills!C6=2,90+Inputs!$B$26+Inputs!$B$29,IF(Skills!C6=3,120+Inputs!$B$27+Inputs!$B$29,MAX(0,(Inputs!$B$3-100)*3)+Inputs!$B$28+Inputs!$B$29)))</f>
        <v/>
      </c>
      <c r="E2570">
        <f>INDEX(FactorTable!$B$2:$Y$301, MATCH(ROUND(MIN(300,MAX(1,D2570)),0), FactorTable!$A$2:$A$301,0), Skills!L6+1)</f>
        <v/>
      </c>
      <c r="F2570">
        <f>IF(Skills!M6=TRUE,(Skills!K6/10)*(E2570/1000),Skills!K6/10)+Skills!N6</f>
        <v/>
      </c>
      <c r="G2570">
        <f>Calc!G6</f>
        <v/>
      </c>
      <c r="H2570">
        <f>Calc!H6</f>
        <v/>
      </c>
      <c r="I2570">
        <f>IF(Skills!T6&lt;&gt;"",1+(Skills!T6/10)*(Z2567/1000)/100,1)</f>
        <v/>
      </c>
      <c r="J2570">
        <f>((Inputs!$B$6*(1+Inputs!$B$7/100))+(((Inputs!$B$12*(1+Inputs!$B$13/100))-(Inputs!$B$12*(1+Inputs!$B$13/100)))+0.25*(Inputs!$B$14-Inputs!$B$14))*(1+Inputs!$B$7/100))*(F2570/100)</f>
        <v/>
      </c>
      <c r="K2570">
        <f>J2570*(1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6="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F2582-Calc!F18),(Inputs!$B$23+(IF(ArtifactsInput!$M$15,CHOOSE(ArtifactsInput!$N$15+1,25,30,35,40,45,50)/100*(Inputs!$B$11-Inputs!$B$11),0))))/100+(Inputs!$B$23+(IF(ArtifactsInput!$M$15,CHOOSE(ArtifactsInput!$N$15+1,25,30,35,40,45,50)/100*(Inputs!$B$11-Inputs!$B$11),0)))/100)/2</f>
        <v/>
      </c>
      <c r="M2570">
        <f>L2570*(1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(1-Summary!$B$11)*S2570+Summary!$B$11*U2570</f>
        <v/>
      </c>
      <c r="P2570">
        <f>IF(B2601=0,0,O2570/B2601)</f>
        <v/>
      </c>
      <c r="Q2570">
        <f>IFERROR(1/IF(Inputs!$B$38="pvp",15,MAX(0.1,Skills!D6-IF(Skills!E6=TRUE,1.0,0))),0)</f>
        <v/>
      </c>
      <c r="R2570">
        <f>IF(AND(Inputs!$B$38&lt;&gt;"pvp",Inputs!$B$43&gt;0),IF(MAX(0,Inputs!$B$43-B2598)&lt;=0,0,(INT(MAX(0,Inputs!$B$43-B2598)/IF(Inputs!$B$38="pvp",15,MAX(0.1,Skills!D6-IF(Skills!E6=TRUE,1.0,0))))+1)),0)</f>
        <v/>
      </c>
      <c r="S2570">
        <f>IF(C2570,(H2570*N2570*IF(AND(Inputs!$B$38&lt;&gt;"pvp",Inputs!$B$43&gt;0),((Skills!F6*((R2570-1)*IF(Skills!G6&gt;0,Skills!H6/Skills!G6,1)+IF(Skills!G6&gt;0,MIN(Skills!H6,MAX(0,MAX(0,Inputs!$B$43-B2598)-((R2570-1)*IF(Inputs!$B$38="pvp",15,MAX(0.1,Skills!D6-IF(Skills!E6=TRUE,1.0,0))))))/Skills!G6,1)))/Inputs!$B$43),G2570*Q2570))*IF(Inputs!$B$38="pvp",1,1+(Inputs!$B$20+Skills!O6+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2570*(1-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F(C2570,(H2570*N2570*IF(AND(Inputs!$B$38&lt;&gt;"pvp",Inputs!$B$43&gt;0),((Skills!F6*((R2570-1)*IF(Skills!G6&gt;0,Skills!H6/Skills!G6,1)+IF(Skills!G6&gt;0,MIN(Skills!H6,MAX(0,MAX(0,Inputs!$B$43-B2598)-((R2570-1)*IF(Inputs!$B$38="pvp",15,MAX(0.1,Skills!D6-IF(Skills!E6=TRUE,1.0,0))))))/Skills!G6,1)))/Inputs!$B$43),G2570*Q2570))*IF(Inputs!$B$38="pvp",1,(1+(Inputs!$B$21+Skills!P6+B2592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Skills!A7</f>
        <v/>
      </c>
      <c r="B2571">
        <f>Skills!B7</f>
        <v/>
      </c>
      <c r="C2571">
        <f>Inputs!$B$3&gt;=69</f>
        <v/>
      </c>
      <c r="D2571">
        <f>IF(Skills!C7=1,60+Inputs!$B$25+Inputs!$B$29,IF(Skills!C7=2,90+Inputs!$B$26+Inputs!$B$29,IF(Skills!C7=3,120+Inputs!$B$27+Inputs!$B$29,MAX(0,(Inputs!$B$3-100)*3)+Inputs!$B$28+Inputs!$B$29)))</f>
        <v/>
      </c>
      <c r="E2571">
        <f>INDEX(FactorTable!$B$2:$Y$301, MATCH(ROUND(MIN(300,MAX(1,D2571)),0), FactorTable!$A$2:$A$301,0), Skills!L7+1)</f>
        <v/>
      </c>
      <c r="F2571">
        <f>IF(Skills!M7=TRUE,(Skills!K7/10)*(E2571/1000),Skills!K7/10)+Skills!N7</f>
        <v/>
      </c>
      <c r="G2571">
        <f>Calc!G7</f>
        <v/>
      </c>
      <c r="H2571">
        <f>Calc!H7</f>
        <v/>
      </c>
      <c r="I2571">
        <f>IF(Skills!T7&lt;&gt;"",1+(Skills!T7/10)*(Z2567/1000)/100,1)</f>
        <v/>
      </c>
      <c r="J2571">
        <f>((Inputs!$B$6*(1+Inputs!$B$7/100))+(((Inputs!$B$12*(1+Inputs!$B$13/100))-(Inputs!$B$12*(1+Inputs!$B$13/100)))+0.25*(Inputs!$B$14-Inputs!$B$14))*(1+Inputs!$B$7/100))*(F2571/100)</f>
        <v/>
      </c>
      <c r="K2571">
        <f>J2571*(1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7="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F2582-Calc!F18),(Inputs!$B$23+(IF(ArtifactsInput!$M$15,CHOOSE(ArtifactsInput!$N$15+1,25,30,35,40,45,50)/100*(Inputs!$B$11-Inputs!$B$11),0))))/100+(Inputs!$B$23+(IF(ArtifactsInput!$M$15,CHOOSE(ArtifactsInput!$N$15+1,25,30,35,40,45,50)/100*(Inputs!$B$11-Inputs!$B$11),0)))/100)/2</f>
        <v/>
      </c>
      <c r="M2571">
        <f>L2571*(1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(1-Summary!$B$11)*S2571+Summary!$B$11*U2571</f>
        <v/>
      </c>
      <c r="P2571">
        <f>IF(B2601=0,0,O2571/B2601)</f>
        <v/>
      </c>
      <c r="Q2571">
        <f>IFERROR(1/IF(Inputs!$B$38="pvp",15,MAX(0.1,Skills!D7-IF(Skills!E7=TRUE,1.0,0))),0)</f>
        <v/>
      </c>
      <c r="R2571">
        <f>IF(AND(Inputs!$B$38&lt;&gt;"pvp",Inputs!$B$43&gt;0),IF(MAX(0,Inputs!$B$43-B2598)&lt;=0,0,(INT(MAX(0,Inputs!$B$43-B2598)/IF(Inputs!$B$38="pvp",15,MAX(0.1,Skills!D7-IF(Skills!E7=TRUE,1.0,0))))+1)),0)</f>
        <v/>
      </c>
      <c r="S2571">
        <f>IF(C2571,(H2571*N2571*IF(AND(Inputs!$B$38&lt;&gt;"pvp",Inputs!$B$43&gt;0),((Skills!F7*((R2571-1)*IF(Skills!G7&gt;0,Skills!H7/Skills!G7,1)+IF(Skills!G7&gt;0,MIN(Skills!H7,MAX(0,MAX(0,Inputs!$B$43-B2598)-((R2571-1)*IF(Inputs!$B$38="pvp",15,MAX(0.1,Skills!D7-IF(Skills!E7=TRUE,1.0,0))))))/Skills!G7,1)))/Inputs!$B$43),G2571*Q2571))*IF(Inputs!$B$38="pvp",1,1+(Inputs!$B$20+Skills!O7+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2571*(1-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1">
        <f>IF(C2571,(H2571*N2571*IF(AND(Inputs!$B$38&lt;&gt;"pvp",Inputs!$B$43&gt;0),((Skills!F7*((R2571-1)*IF(Skills!G7&gt;0,Skills!H7/Skills!G7,1)+IF(Skills!G7&gt;0,MIN(Skills!H7,MAX(0,MAX(0,Inputs!$B$43-B2598)-((R2571-1)*IF(Inputs!$B$38="pvp",15,MAX(0.1,Skills!D7-IF(Skills!E7=TRUE,1.0,0))))))/Skills!G7,1)))/Inputs!$B$43),G2571*Q2571))*IF(Inputs!$B$38="pvp",1,(1+(Inputs!$B$21+Skills!P7+B2592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Skills!A8</f>
        <v/>
      </c>
      <c r="B2572">
        <f>Skills!B8</f>
        <v/>
      </c>
      <c r="C2572">
        <f>Inputs!$B$3&gt;=103</f>
        <v/>
      </c>
      <c r="D2572">
        <f>IF(Skills!C8=1,60+Inputs!$B$25+Inputs!$B$29,IF(Skills!C8=2,90+Inputs!$B$26+Inputs!$B$29,IF(Skills!C8=3,120+Inputs!$B$27+Inputs!$B$29,MAX(0,(Inputs!$B$3-100)*3)+Inputs!$B$28+Inputs!$B$29)))</f>
        <v/>
      </c>
      <c r="E2572">
        <f>INDEX(FactorTable!$B$2:$Y$301, MATCH(ROUND(MIN(300,MAX(1,D2572)),0), FactorTable!$A$2:$A$301,0), Skills!L8+1)</f>
        <v/>
      </c>
      <c r="F2572">
        <f>IF(Skills!M8=TRUE,(Skills!K8/10)*(E2572/1000),Skills!K8/10)+Skills!N8</f>
        <v/>
      </c>
      <c r="G2572">
        <f>Calc!G8</f>
        <v/>
      </c>
      <c r="H2572">
        <f>Calc!H8</f>
        <v/>
      </c>
      <c r="I2572">
        <f>IF(Skills!T8&lt;&gt;"",1+(Skills!T8/10)*(Z2567/1000)/100,1)</f>
        <v/>
      </c>
      <c r="J2572">
        <f>((Inputs!$B$6*(1+Inputs!$B$7/100))+(((Inputs!$B$12*(1+Inputs!$B$13/100))-(Inputs!$B$12*(1+Inputs!$B$13/100)))+0.25*(Inputs!$B$14-Inputs!$B$14))*(1+Inputs!$B$7/100))*(F2572/100)</f>
        <v/>
      </c>
      <c r="K2572">
        <f>J2572*(1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8="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F2582-Calc!F18),(Inputs!$B$23+(IF(ArtifactsInput!$M$15,CHOOSE(ArtifactsInput!$N$15+1,25,30,35,40,45,50)/100*(Inputs!$B$11-Inputs!$B$11),0))))/100+(Inputs!$B$23+(IF(ArtifactsInput!$M$15,CHOOSE(ArtifactsInput!$N$15+1,25,30,35,40,45,50)/100*(Inputs!$B$11-Inputs!$B$11),0)))/100)/2</f>
        <v/>
      </c>
      <c r="M2572">
        <f>L2572*(1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(1-Summary!$B$11)*S2572+Summary!$B$11*U2572</f>
        <v/>
      </c>
      <c r="P2572">
        <f>IF(B2601=0,0,O2572/B2601)</f>
        <v/>
      </c>
      <c r="Q2572">
        <f>IFERROR(1/IF(Inputs!$B$38="pvp",15,MAX(0.1,Skills!D8-IF(Skills!E8=TRUE,1.0,0))),0)</f>
        <v/>
      </c>
      <c r="R2572">
        <f>IF(AND(Inputs!$B$38&lt;&gt;"pvp",Inputs!$B$43&gt;0),IF(MAX(0,Inputs!$B$43-B2598)&lt;=0,0,(INT(MAX(0,Inputs!$B$43-B2598)/IF(Inputs!$B$38="pvp",15,MAX(0.1,Skills!D8-IF(Skills!E8=TRUE,1.0,0))))+1)),0)</f>
        <v/>
      </c>
      <c r="S2572">
        <f>IF(C2572,(H2572*N2572*IF(AND(Inputs!$B$38&lt;&gt;"pvp",Inputs!$B$43&gt;0),((Skills!F8*((R2572-1)*IF(Skills!G8&gt;0,Skills!H8/Skills!G8,1)+IF(Skills!G8&gt;0,MIN(Skills!H8,MAX(0,MAX(0,Inputs!$B$43-B2598)-((R2572-1)*IF(Inputs!$B$38="pvp",15,MAX(0.1,Skills!D8-IF(Skills!E8=TRUE,1.0,0))))))/Skills!G8,1)))/Inputs!$B$43),G2572*Q2572))*IF(Inputs!$B$38="pvp",1,1+(Inputs!$B$20+Skills!O8+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2572*(1-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2">
        <f>IF(C2572,(H2572*N2572*IF(AND(Inputs!$B$38&lt;&gt;"pvp",Inputs!$B$43&gt;0),((Skills!F8*((R2572-1)*IF(Skills!G8&gt;0,Skills!H8/Skills!G8,1)+IF(Skills!G8&gt;0,MIN(Skills!H8,MAX(0,MAX(0,Inputs!$B$43-B2598)-((R2572-1)*IF(Inputs!$B$38="pvp",15,MAX(0.1,Skills!D8-IF(Skills!E8=TRUE,1.0,0))))))/Skills!G8,1)))/Inputs!$B$43),G2572*Q2572))*IF(Inputs!$B$38="pvp",1,(1+(Inputs!$B$21+Skills!P8+B2592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Skills!A9</f>
        <v/>
      </c>
      <c r="B2573">
        <f>Skills!B9</f>
        <v/>
      </c>
      <c r="C2573">
        <f>Inputs!$B$3&gt;=105</f>
        <v/>
      </c>
      <c r="D2573">
        <f>IF(Skills!C9=1,60+Inputs!$B$25+Inputs!$B$29,IF(Skills!C9=2,90+Inputs!$B$26+Inputs!$B$29,IF(Skills!C9=3,120+Inputs!$B$27+Inputs!$B$29,MAX(0,(Inputs!$B$3-100)*3)+Inputs!$B$28+Inputs!$B$29)))</f>
        <v/>
      </c>
      <c r="E2573">
        <f>INDEX(FactorTable!$B$2:$Y$301, MATCH(ROUND(MIN(300,MAX(1,D2573)),0), FactorTable!$A$2:$A$301,0), Skills!L9+1)</f>
        <v/>
      </c>
      <c r="F2573">
        <f>IF(Skills!M9=TRUE,(Skills!K9/10)*(E2573/1000),Skills!K9/10)+Skills!N9</f>
        <v/>
      </c>
      <c r="G2573">
        <f>Calc!G9</f>
        <v/>
      </c>
      <c r="H2573">
        <f>Calc!H9</f>
        <v/>
      </c>
      <c r="I2573">
        <f>IF(Skills!T9&lt;&gt;"",1+(Skills!T9/10)*(Z2567/1000)/100,1)</f>
        <v/>
      </c>
      <c r="J2573">
        <f>((Inputs!$B$6*(1+Inputs!$B$7/100))+(((Inputs!$B$12*(1+Inputs!$B$13/100))-(Inputs!$B$12*(1+Inputs!$B$13/100)))+0.25*(Inputs!$B$14-Inputs!$B$14))*(1+Inputs!$B$7/100))*(F2573/100)</f>
        <v/>
      </c>
      <c r="K2573">
        <f>J2573*(1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9="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F2582-Calc!F18),(Inputs!$B$23+(IF(ArtifactsInput!$M$15,CHOOSE(ArtifactsInput!$N$15+1,25,30,35,40,45,50)/100*(Inputs!$B$11-Inputs!$B$11),0))))/100+(Inputs!$B$23+(IF(ArtifactsInput!$M$15,CHOOSE(ArtifactsInput!$N$15+1,25,30,35,40,45,50)/100*(Inputs!$B$11-Inputs!$B$11),0)))/100)/2</f>
        <v/>
      </c>
      <c r="M2573">
        <f>L2573*(1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(1-Summary!$B$11)*S2573+Summary!$B$11*U2573</f>
        <v/>
      </c>
      <c r="P2573">
        <f>IF(B2601=0,0,O2573/B2601)</f>
        <v/>
      </c>
      <c r="Q2573">
        <f>IFERROR(1/IF(Inputs!$B$38="pvp",15,MAX(0.1,Skills!D9-IF(Skills!E9=TRUE,1.0,0))),0)</f>
        <v/>
      </c>
      <c r="R2573">
        <f>IF(AND(Inputs!$B$38&lt;&gt;"pvp",Inputs!$B$43&gt;0),IF(MAX(0,Inputs!$B$43-B2598)&lt;=0,0,(INT(MAX(0,Inputs!$B$43-B2598)/IF(Inputs!$B$38="pvp",15,MAX(0.1,Skills!D9-IF(Skills!E9=TRUE,1.0,0))))+1)),0)</f>
        <v/>
      </c>
      <c r="S2573">
        <f>IF(C2573,(H2573*N2573*IF(AND(Inputs!$B$38&lt;&gt;"pvp",Inputs!$B$43&gt;0),((Skills!F9*((R2573-1)*IF(Skills!G9&gt;0,Skills!H9/Skills!G9,1)+IF(Skills!G9&gt;0,MIN(Skills!H9,MAX(0,MAX(0,Inputs!$B$43-B2598)-((R2573-1)*IF(Inputs!$B$38="pvp",15,MAX(0.1,Skills!D9-IF(Skills!E9=TRUE,1.0,0))))))/Skills!G9,1)))/Inputs!$B$43),G2573*Q2573))*IF(Inputs!$B$38="pvp",1,1+(Inputs!$B$20+Skills!O9+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2573*(1-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3">
        <f>IF(C2573,(H2573*N2573*IF(AND(Inputs!$B$38&lt;&gt;"pvp",Inputs!$B$43&gt;0),((Skills!F9*((R2573-1)*IF(Skills!G9&gt;0,Skills!H9/Skills!G9,1)+IF(Skills!G9&gt;0,MIN(Skills!H9,MAX(0,MAX(0,Inputs!$B$43-B2598)-((R2573-1)*IF(Inputs!$B$38="pvp",15,MAX(0.1,Skills!D9-IF(Skills!E9=TRUE,1.0,0))))))/Skills!G9,1)))/Inputs!$B$43),G2573*Q2573))*IF(Inputs!$B$38="pvp",1,(1+(Inputs!$B$21+Skills!P9+B2592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Skills!A10</f>
        <v/>
      </c>
      <c r="B2574">
        <f>Skills!B10</f>
        <v/>
      </c>
      <c r="C2574">
        <f>Inputs!$B$3&gt;=113</f>
        <v/>
      </c>
      <c r="D2574">
        <f>IF(Skills!C10=1,60+Inputs!$B$25+Inputs!$B$29,IF(Skills!C10=2,90+Inputs!$B$26+Inputs!$B$29,IF(Skills!C10=3,120+Inputs!$B$27+Inputs!$B$29,MAX(0,(Inputs!$B$3-100)*3)+Inputs!$B$28+Inputs!$B$29)))</f>
        <v/>
      </c>
      <c r="E2574">
        <f>INDEX(FactorTable!$B$2:$Y$301, MATCH(ROUND(MIN(300,MAX(1,D2574)),0), FactorTable!$A$2:$A$301,0), Skills!L10+1)</f>
        <v/>
      </c>
      <c r="F2574">
        <f>IF(Skills!M10=TRUE,(Skills!K10/10)*(E2574/1000),Skills!K10/10)+Skills!N10</f>
        <v/>
      </c>
      <c r="G2574">
        <f>Calc!G10</f>
        <v/>
      </c>
      <c r="H2574">
        <f>Calc!H10</f>
        <v/>
      </c>
      <c r="I2574">
        <f>IF(Skills!T10&lt;&gt;"",1+(Skills!T10/10)*(Z2567/1000)/100,1)</f>
        <v/>
      </c>
      <c r="J2574">
        <f>((Inputs!$B$6*(1+Inputs!$B$7/100))+(((Inputs!$B$12*(1+Inputs!$B$13/100))-(Inputs!$B$12*(1+Inputs!$B$13/100)))+0.25*(Inputs!$B$14-Inputs!$B$14))*(1+Inputs!$B$7/100))*(F2574/100)</f>
        <v/>
      </c>
      <c r="K2574">
        <f>J2574*(1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10="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F2582-Calc!F18),(Inputs!$B$23+(IF(ArtifactsInput!$M$15,CHOOSE(ArtifactsInput!$N$15+1,25,30,35,40,45,50)/100*(Inputs!$B$11-Inputs!$B$11),0))))/100+(Inputs!$B$23+(IF(ArtifactsInput!$M$15,CHOOSE(ArtifactsInput!$N$15+1,25,30,35,40,45,50)/100*(Inputs!$B$11-Inputs!$B$11),0)))/100)/2</f>
        <v/>
      </c>
      <c r="M2574">
        <f>L2574*(1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(1-Summary!$B$11)*S2574+Summary!$B$11*U2574</f>
        <v/>
      </c>
      <c r="P2574">
        <f>IF(B2601=0,0,O2574/B2601)</f>
        <v/>
      </c>
      <c r="Q2574">
        <f>IFERROR(1/IF(Inputs!$B$38="pvp",15,MAX(0.1,Skills!D10-IF(Skills!E9=TRUE,1.0,0))),0)</f>
        <v/>
      </c>
      <c r="R2574">
        <f>IF(AND(Inputs!$B$38&lt;&gt;"pvp",Inputs!$B$43&gt;0),IF(MAX(0,Inputs!$B$43-B2598)&lt;=0,0,(INT(MAX(0,Inputs!$B$43-B2598)/IF(Inputs!$B$38="pvp",15,MAX(0.1,Skills!D10-IF(Skills!E9=TRUE,1.0,0))))+1)),0)</f>
        <v/>
      </c>
      <c r="S2574">
        <f>IF(C2574,(H2574*N2574*IF(AND(Inputs!$B$38&lt;&gt;"pvp",Inputs!$B$43&gt;0),((Skills!F10*((R2574-1)*IF(Skills!G10&gt;0,Skills!H10/Skills!G10,1)+IF(Skills!G10&gt;0,MIN(Skills!H10,MAX(0,MAX(0,Inputs!$B$43-B2598)-((R2574-1)*IF(Inputs!$B$38="pvp",15,MAX(0.1,Skills!D10-IF(Skills!E9=TRUE,1.0,0))))))/Skills!G10,1)))/Inputs!$B$43),G2574*Q2574))*IF(Inputs!$B$38="pvp",1,1+(Inputs!$B$20+Skills!O10+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2574*(1-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4">
        <f>IF(C2574,(H2574*N2574*IF(AND(Inputs!$B$38&lt;&gt;"pvp",Inputs!$B$43&gt;0),((Skills!F10*((R2574-1)*IF(Skills!G10&gt;0,Skills!H10/Skills!G10,1)+IF(Skills!G10&gt;0,MIN(Skills!H10,MAX(0,MAX(0,Inputs!$B$43-B2598)-((R2574-1)*IF(Inputs!$B$38="pvp",15,MAX(0.1,Skills!D10-IF(Skills!E9=TRUE,1.0,0))))))/Skills!G10,1)))/Inputs!$B$43),G2574*Q2574))*IF(Inputs!$B$38="pvp",1,(1+(Inputs!$B$21+Skills!P10+B2592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Skills!A11</f>
        <v/>
      </c>
      <c r="B2575">
        <f>Skills!B11</f>
        <v/>
      </c>
      <c r="C2575">
        <f>Inputs!$B$3&gt;=107</f>
        <v/>
      </c>
      <c r="D2575">
        <f>IF(Skills!C11=1,60+Inputs!$B$25+Inputs!$B$29,IF(Skills!C11=2,90+Inputs!$B$26+Inputs!$B$29,IF(Skills!C11=3,120+Inputs!$B$27+Inputs!$B$29,MAX(0,(Inputs!$B$3-100)*3)+Inputs!$B$28+Inputs!$B$29)))</f>
        <v/>
      </c>
      <c r="E2575">
        <f>INDEX(FactorTable!$B$2:$Y$301, MATCH(ROUND(MIN(300,MAX(1,D2575)),0), FactorTable!$A$2:$A$301,0), Skills!L11+1)</f>
        <v/>
      </c>
      <c r="F2575">
        <f>IF(Skills!M11=TRUE,(Skills!K11/10)*(E2575/1000),Skills!K11/10)+Skills!N11</f>
        <v/>
      </c>
      <c r="G2575">
        <f>Calc!G11</f>
        <v/>
      </c>
      <c r="H2575">
        <f>Calc!H11</f>
        <v/>
      </c>
      <c r="I2575">
        <f>IF(Skills!T11&lt;&gt;"",1+(Skills!T11/10)*(Z2567/1000)/100,1)</f>
        <v/>
      </c>
      <c r="J2575">
        <f>((Inputs!$B$6*(1+Inputs!$B$7/100))+(((Inputs!$B$12*(1+Inputs!$B$13/100))-(Inputs!$B$12*(1+Inputs!$B$13/100)))+0.25*(Inputs!$B$14-Inputs!$B$14))*(1+Inputs!$B$7/100))*(F2575/100)</f>
        <v/>
      </c>
      <c r="K2575">
        <f>J2575*(1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11="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F2582-Calc!F18),(Inputs!$B$23+(IF(ArtifactsInput!$M$15,CHOOSE(ArtifactsInput!$N$15+1,25,30,35,40,45,50)/100*(Inputs!$B$11-Inputs!$B$11),0))))/100+(Inputs!$B$23+(IF(ArtifactsInput!$M$15,CHOOSE(ArtifactsInput!$N$15+1,25,30,35,40,45,50)/100*(Inputs!$B$11-Inputs!$B$11),0)))/100)/2</f>
        <v/>
      </c>
      <c r="M2575">
        <f>L2575*(1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(1-Summary!$B$11)*S2575+Summary!$B$11*U2575</f>
        <v/>
      </c>
      <c r="P2575">
        <f>IF(B2601=0,0,O2575/B2601)</f>
        <v/>
      </c>
      <c r="Q2575">
        <f>IFERROR(1/IF(Inputs!$B$38="pvp",15,MAX(0.1,Skills!D11-IF(Skills!E11=TRUE,1.0,0))),0)</f>
        <v/>
      </c>
      <c r="R2575">
        <f>IF(AND(Inputs!$B$38&lt;&gt;"pvp",Inputs!$B$43&gt;0),IF(MAX(0,Inputs!$B$43-B2598)&lt;=0,0,(INT(MAX(0,Inputs!$B$43-B2598)/IF(Inputs!$B$38="pvp",15,MAX(0.1,Skills!D11-IF(Skills!E11=TRUE,1.0,0))))+1)),0)</f>
        <v/>
      </c>
      <c r="S2575">
        <f>IF(C2575,H2575*N2575*IF(AND(Inputs!$B$38&lt;&gt;"pvp",Inputs!$B$43&gt;0),((Skills!F11*((R2575-1)*IF(Skills!G11&gt;0,Skills!H11/Skills!G11,1)+IF(Skills!G11&gt;0,MIN(Skills!H11,MAX(0,MAX(0,Inputs!$B$43-B2598)-((R2575-1)*IF(Inputs!$B$38="pvp",15,MAX(0.1,Skills!D11-IF(Skills!E11=TRUE,1.0,0))))))/Skills!G11,1)))/Inputs!$B$43),G2575*Q2575)*0.5*IF(Inputs!$B$38="pvp",1,1+(Inputs!$B$20+Skills!O11+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2575*(1-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5">
        <f>IF(C2575,H2575*N2575*IF(AND(Inputs!$B$38&lt;&gt;"pvp",Inputs!$B$43&gt;0),((Skills!F11*((R2575-1)*IF(Skills!G11&gt;0,Skills!H11/Skills!G11,1)+IF(Skills!G11&gt;0,MIN(Skills!H11,MAX(0,MAX(0,Inputs!$B$43-B2598)-((R2575-1)*IF(Inputs!$B$38="pvp",15,MAX(0.1,Skills!D11-IF(Skills!E11=TRUE,1.0,0))))))/Skills!G11,1)))/Inputs!$B$43),G2575*Q2575)*1*IF(Inputs!$B$38="pvp",1,(1+(Inputs!$B$21+Skills!P11+B2592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Skills!A12</f>
        <v/>
      </c>
      <c r="B2576">
        <f>Skills!B12</f>
        <v/>
      </c>
      <c r="C2576">
        <f>Inputs!$B$3&gt;=115</f>
        <v/>
      </c>
      <c r="D2576">
        <f>IF(Skills!C12=1,60+Inputs!$B$25+Inputs!$B$29,IF(Skills!C12=2,90+Inputs!$B$26+Inputs!$B$29,IF(Skills!C12=3,120+Inputs!$B$27+Inputs!$B$29,MAX(0,(Inputs!$B$3-100)*3)+Inputs!$B$28+Inputs!$B$29)))</f>
        <v/>
      </c>
      <c r="E2576">
        <f>INDEX(FactorTable!$B$2:$Y$301, MATCH(ROUND(MIN(300,MAX(1,D2576)),0), FactorTable!$A$2:$A$301,0), Skills!L12+1)</f>
        <v/>
      </c>
      <c r="F2576">
        <f>IF(Skills!M12=TRUE,(Skills!K12/10)*(E2576/1000),Skills!K12/10)+Skills!N12</f>
        <v/>
      </c>
      <c r="G2576">
        <f>Calc!G12</f>
        <v/>
      </c>
      <c r="H2576">
        <f>Calc!H12</f>
        <v/>
      </c>
      <c r="I2576">
        <f>IF(Skills!T12&lt;&gt;"",1+(Skills!T12/10)*(Z2567/1000)/100,1)</f>
        <v/>
      </c>
      <c r="J2576">
        <f>((Inputs!$B$6*(1+Inputs!$B$7/100))+(((Inputs!$B$12*(1+Inputs!$B$13/100))-(Inputs!$B$12*(1+Inputs!$B$13/100)))+0.25*(Inputs!$B$14-Inputs!$B$14))*(1+Inputs!$B$7/100))*(F2576/100)</f>
        <v/>
      </c>
      <c r="K2576">
        <f>J2576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12="CHAIN_LIGHTNING",Inputs!$B$17+((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F2582-Calc!F18),(Inputs!$B$23+(IF(ArtifactsInput!$M$15,CHOOSE(ArtifactsInput!$N$15+1,25,30,35,40,45,50)/100*(Inputs!$B$11-Inputs!$B$11),0))))/100+(Inputs!$B$23+(IF(ArtifactsInput!$M$15,CHOOSE(ArtifactsInput!$N$15+1,25,30,35,40,45,50)/100*(Inputs!$B$11-Inputs!$B$11),0)))/100)/2</f>
        <v/>
      </c>
      <c r="M2576">
        <f>L2576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(1-Summary!$B$11)*S2576+Summary!$B$11*U2576</f>
        <v/>
      </c>
      <c r="P2576">
        <f>IF(B2601=0,0,O2576/B2601)</f>
        <v/>
      </c>
      <c r="Q2576">
        <f>IFERROR(1/IF(Inputs!$B$38="pvp",15,MAX(0.1,Skills!D12-IF(Skills!E12=TRUE,1.0,0))),0)</f>
        <v/>
      </c>
      <c r="R2576">
        <f>IF(AND(Inputs!$B$38&lt;&gt;"pvp",Inputs!$B$43&gt;0),IF(MAX(0,Inputs!$B$43-B2598)&lt;=0,0,(INT(MAX(0,Inputs!$B$43-B2598)/IF(Inputs!$B$38="pvp",15,MAX(0.1,Skills!D12-IF(Skills!E12=TRUE,1.0,0))))+1)),0)</f>
        <v/>
      </c>
      <c r="S2576">
        <f>IF(C2576,(H2576*N2576*IF(AND(Inputs!$B$38&lt;&gt;"pvp",Inputs!$B$43&gt;0),((Skills!F12*((R2576-1)*IF(Skills!G12&gt;0,Skills!H12/Skills!G12,1)+IF(Skills!G12&gt;0,MIN(Skills!H12,MAX(0,MAX(0,Inputs!$B$43-B2598)-((R2576-1)*IF(Inputs!$B$38="pvp",15,MAX(0.1,Skills!D12-IF(Skills!E12=TRUE,1.0,0))))))/Skills!G12,1)))/Inputs!$B$43),G2576*Q2576))*IF(Inputs!$B$38="pvp",1,1+(Inputs!$B$20+Skills!O12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2576*(1-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F2584-Calc!F20)+(F2583-Calc!F19))+(ArtifactsInput!$M$24-ArtifactsInput!$M$24)*CHOOSE(ArtifactsInput!$N$24+1,10,12,14,16,18,20)+(IF(AND(Inputs!$B$38&lt;&gt;"pvp",Inputs!$B$43=0),1,IF(IF(Inputs!$B$38="pvp",15,Inputs!$B$43)-(B2598)&lt;=0,1,MAX(0,IF(Inputs!$B$38="pvp",15,Inputs!$B$43)-MAX(5,B2598))/(IF(Inputs!$B$38="pvp",15,Inputs!$B$43)-(B2598)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6">
        <f>IF(C2576,(H2576*N2576*IF(AND(Inputs!$B$38&lt;&gt;"pvp",Inputs!$B$43&gt;0),((Skills!F12*((R2576-1)*IF(Skills!G12&gt;0,Skills!H12/Skills!G12,1)+IF(Skills!G12&gt;0,MIN(Skills!H12,MAX(0,MAX(0,Inputs!$B$43-B2598)-((R2576-1)*IF(Inputs!$B$38="pvp",15,MAX(0.1,Skills!D12-IF(Skills!E12=TRUE,1.0,0))))))/Skills!G12,1)))/Inputs!$B$43),G2576*Q2576))*IF(Inputs!$B$38="pvp",1,(1+(Inputs!$B$21+Skills!P12+B2592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Skills!A13</f>
        <v/>
      </c>
      <c r="B2577">
        <f>Skills!B13</f>
        <v/>
      </c>
      <c r="C2577">
        <f>Inputs!$B$3&gt;=49</f>
        <v/>
      </c>
      <c r="D2577">
        <f>IF(Skills!C13=1,60+Inputs!$B$25+Inputs!$B$29,IF(Skills!C13=2,90+Inputs!$B$26+Inputs!$B$29,IF(Skills!C13=3,120+Inputs!$B$27+Inputs!$B$29,MAX(0,(Inputs!$B$3-100)*3)+Inputs!$B$28+Inputs!$B$29)))</f>
        <v/>
      </c>
      <c r="E2577">
        <f>INDEX(FactorTable!$B$2:$Y$301, MATCH(ROUND(MIN(300,MAX(1,D2577)),0), FactorTable!$A$2:$A$301,0), Skills!L13+1)</f>
        <v/>
      </c>
      <c r="F2577">
        <f>IF(Skills!M13=TRUE,(Skills!K13/10)*(E2577/1000),Skills!K13/10)+Skills!N13</f>
        <v/>
      </c>
      <c r="G2577">
        <f>Calc!G13</f>
        <v/>
      </c>
      <c r="H2577">
        <f>Calc!H13</f>
        <v/>
      </c>
      <c r="I2577">
        <f>IF(Skills!T13&lt;&gt;"",1+(Skills!T13/10)*(Z2567/1000)/100,1)</f>
        <v/>
      </c>
      <c r="J2577" t="inlineStr"/>
      <c r="K2577" t="inlineStr"/>
      <c r="L2577" t="inlineStr"/>
      <c r="M2577" t="inlineStr"/>
      <c r="N2577" t="inlineStr"/>
      <c r="O2577">
        <f>(1-Summary!$B$11)*S2577+Summary!$B$11*U2577</f>
        <v/>
      </c>
      <c r="P2577">
        <f>IF(B2601=0,0,O2577/B2601)</f>
        <v/>
      </c>
      <c r="Q2577">
        <f>IFERROR(1/IF(Inputs!$B$38="pvp",15,MAX(0.1,Skills!D13-IF(Skills!E13=TRUE,1.0,0))),0)</f>
        <v/>
      </c>
      <c r="R2577" t="n">
        <v>0</v>
      </c>
      <c r="S2577" t="n">
        <v>0</v>
      </c>
      <c r="U2577" t="n">
        <v>0</v>
      </c>
    </row>
    <row r="2578">
      <c r="A2578">
        <f>Skills!A14</f>
        <v/>
      </c>
      <c r="B2578">
        <f>Skills!B14</f>
        <v/>
      </c>
      <c r="C2578">
        <f>Inputs!$B$3&gt;=72</f>
        <v/>
      </c>
      <c r="D2578">
        <f>IF(Skills!C14=1,60+Inputs!$B$25+Inputs!$B$29,IF(Skills!C14=2,90+Inputs!$B$26+Inputs!$B$29,IF(Skills!C14=3,120+Inputs!$B$27+Inputs!$B$29,MAX(0,(Inputs!$B$3-100)*3)+Inputs!$B$28+Inputs!$B$29)))</f>
        <v/>
      </c>
      <c r="E2578">
        <f>INDEX(FactorTable!$B$2:$Y$301, MATCH(ROUND(MIN(300,MAX(1,D2578)),0), FactorTable!$A$2:$A$301,0), Skills!L14+1)</f>
        <v/>
      </c>
      <c r="F2578">
        <f>IF(Skills!M14=TRUE,(Skills!K14/10)*(E2578/1000),Skills!K14/10)+Skills!N14</f>
        <v/>
      </c>
      <c r="G2578">
        <f>Calc!G14</f>
        <v/>
      </c>
      <c r="H2578">
        <f>Calc!H14</f>
        <v/>
      </c>
      <c r="I2578">
        <f>IF(Skills!T14&lt;&gt;"",1+(Skills!T14/10)*(Z2567/1000)/100,1)</f>
        <v/>
      </c>
      <c r="J2578" t="inlineStr"/>
      <c r="K2578" t="inlineStr"/>
      <c r="L2578" t="inlineStr"/>
      <c r="M2578" t="inlineStr"/>
      <c r="N2578" t="inlineStr"/>
      <c r="O2578">
        <f>(1-Summary!$B$11)*S2578+Summary!$B$11*U2578</f>
        <v/>
      </c>
      <c r="P2578">
        <f>IF(B2601=0,0,O2578/B2601)</f>
        <v/>
      </c>
      <c r="Q2578">
        <f>IFERROR(1/IF(Inputs!$B$38="pvp",15,MAX(0.1,Skills!D14-IF(Skills!E14=TRUE,1.0,0))),0)</f>
        <v/>
      </c>
      <c r="R2578" t="n">
        <v>0</v>
      </c>
      <c r="S2578" t="n">
        <v>0</v>
      </c>
      <c r="U2578" t="n">
        <v>0</v>
      </c>
    </row>
    <row r="2579">
      <c r="A2579">
        <f>Skills!A15</f>
        <v/>
      </c>
      <c r="B2579">
        <f>Skills!B15</f>
        <v/>
      </c>
      <c r="C2579">
        <f>Inputs!$B$3&gt;=75</f>
        <v/>
      </c>
      <c r="D2579">
        <f>IF(Skills!C15=1,60+Inputs!$B$25+Inputs!$B$29,IF(Skills!C15=2,90+Inputs!$B$26+Inputs!$B$29,IF(Skills!C15=3,120+Inputs!$B$27+Inputs!$B$29,MAX(0,(Inputs!$B$3-100)*3)+Inputs!$B$28+Inputs!$B$29)))</f>
        <v/>
      </c>
      <c r="E2579">
        <f>INDEX(FactorTable!$B$2:$Y$301, MATCH(ROUND(MIN(300,MAX(1,D2579)),0), FactorTable!$A$2:$A$301,0), Skills!L15+1)</f>
        <v/>
      </c>
      <c r="F2579">
        <f>IF(Skills!M15=TRUE,(Skills!K15/10)*(E2579/1000),Skills!K15/10)+Skills!N15</f>
        <v/>
      </c>
      <c r="G2579">
        <f>Calc!G15</f>
        <v/>
      </c>
      <c r="H2579">
        <f>Calc!H15</f>
        <v/>
      </c>
      <c r="I2579">
        <f>IF(Skills!T15&lt;&gt;"",1+(Skills!T15/10)*(Z2567/1000)/100,1)</f>
        <v/>
      </c>
      <c r="J2579" t="inlineStr"/>
      <c r="K2579" t="inlineStr"/>
      <c r="L2579" t="inlineStr"/>
      <c r="M2579" t="inlineStr"/>
      <c r="N2579" t="inlineStr"/>
      <c r="O2579">
        <f>(1-Summary!$B$11)*S2579+Summary!$B$11*U2579</f>
        <v/>
      </c>
      <c r="P2579">
        <f>IF(B2601=0,0,O2579/B2601)</f>
        <v/>
      </c>
      <c r="Q2579">
        <f>IFERROR(1/IF(Inputs!$B$38="pvp",15,MAX(0.1,Skills!D15-IF(Skills!E15=TRUE,1.0,0))),0)</f>
        <v/>
      </c>
      <c r="R2579" t="n">
        <v>0</v>
      </c>
      <c r="S2579" t="n">
        <v>0</v>
      </c>
      <c r="U2579" t="n">
        <v>0</v>
      </c>
    </row>
    <row r="2580">
      <c r="A2580">
        <f>Skills!A16</f>
        <v/>
      </c>
      <c r="B2580">
        <f>Skills!B16</f>
        <v/>
      </c>
      <c r="C2580">
        <f>Inputs!$B$3&gt;=110</f>
        <v/>
      </c>
      <c r="D2580">
        <f>IF(Skills!C16=1,60+Inputs!$B$25+Inputs!$B$29,IF(Skills!C16=2,90+Inputs!$B$26+Inputs!$B$29,IF(Skills!C16=3,120+Inputs!$B$27+Inputs!$B$29,MAX(0,(Inputs!$B$3-100)*3)+Inputs!$B$28+Inputs!$B$29)))</f>
        <v/>
      </c>
      <c r="E2580">
        <f>INDEX(FactorTable!$B$2:$Y$301, MATCH(ROUND(MIN(300,MAX(1,D2580)),0), FactorTable!$A$2:$A$301,0), Skills!L16+1)</f>
        <v/>
      </c>
      <c r="F2580">
        <f>(Skills!K16/10)*(E2580/1000)*64/45+Skills!N16</f>
        <v/>
      </c>
      <c r="G2580">
        <f>Calc!G16</f>
        <v/>
      </c>
      <c r="H2580">
        <f>Calc!H16</f>
        <v/>
      </c>
      <c r="I2580">
        <f>IF(Skills!T16&lt;&gt;"",1+(Skills!T16/10)*(Z2567/1000)/100,1)</f>
        <v/>
      </c>
      <c r="J2580" t="inlineStr"/>
      <c r="K2580" t="inlineStr"/>
      <c r="L2580" t="inlineStr"/>
      <c r="M2580" t="inlineStr"/>
      <c r="N2580" t="inlineStr"/>
      <c r="O2580">
        <f>(1-Summary!$B$11)*S2580+Summary!$B$11*U2580</f>
        <v/>
      </c>
      <c r="P2580">
        <f>IF(B2601=0,0,O2580/B2601)</f>
        <v/>
      </c>
      <c r="Q2580">
        <f>IFERROR(1/IF(Inputs!$B$38="pvp",15,MAX(0.1,Skills!D16-IF(Skills!E16=TRUE,1.0,0))),0)</f>
        <v/>
      </c>
      <c r="R2580">
        <f>IF(AND(Inputs!$B$38&lt;&gt;"pvp",Inputs!$B$43&gt;0),IF(Inputs!$B$43&lt;=0,0,(INT(Inputs!$B$43/IF(Inputs!$B$38="pvp",15,MAX(0.1,Skills!D16-IF(Skills!E16=TRUE,1.0,0))))+1)),0)</f>
        <v/>
      </c>
      <c r="S2580" t="n">
        <v>0</v>
      </c>
      <c r="U2580" t="n">
        <v>0</v>
      </c>
    </row>
    <row r="2581">
      <c r="A2581">
        <f>Skills!A17</f>
        <v/>
      </c>
      <c r="B2581">
        <f>Skills!B17</f>
        <v/>
      </c>
      <c r="C2581">
        <f>Inputs!$B$3&gt;=33</f>
        <v/>
      </c>
      <c r="D2581">
        <f>IF(Skills!C17=1,60+Inputs!$B$25+Inputs!$B$29,IF(Skills!C17=2,90+Inputs!$B$26+Inputs!$B$29,IF(Skills!C17=3,120+Inputs!$B$27+Inputs!$B$29,MAX(0,(Inputs!$B$3-100)*3)+Inputs!$B$28+Inputs!$B$29)))</f>
        <v/>
      </c>
      <c r="E2581">
        <f>INDEX(FactorTable!$B$2:$Y$301, MATCH(ROUND(MIN(300,MAX(1,D2581)),0), FactorTable!$A$2:$A$301,0), Skills!L17+1)</f>
        <v/>
      </c>
      <c r="F2581">
        <f>IF(Skills!M17=TRUE,(Skills!K17/10)*(E2581/1000),Skills!K17/10)+Skills!N17</f>
        <v/>
      </c>
      <c r="G2581">
        <f>Calc!G17</f>
        <v/>
      </c>
      <c r="H2581">
        <f>Calc!H17</f>
        <v/>
      </c>
      <c r="I2581">
        <f>IF(Skills!T17&lt;&gt;"",1+(Skills!T17/10)*(Z2567/1000)/100,1)</f>
        <v/>
      </c>
      <c r="J2581" t="inlineStr"/>
      <c r="K2581" t="inlineStr"/>
      <c r="L2581" t="inlineStr"/>
      <c r="M2581" t="inlineStr"/>
      <c r="N2581" t="inlineStr"/>
      <c r="O2581">
        <f>(1-Summary!$B$11)*S2581+Summary!$B$11*U2581</f>
        <v/>
      </c>
      <c r="P2581">
        <f>IF(B2601=0,0,O2581/B2601)</f>
        <v/>
      </c>
      <c r="Q2581">
        <f>IFERROR(1/IF(Inputs!$B$38="pvp",15,MAX(0.1,Skills!D17-IF(Skills!E17=TRUE,1.0,0))),0)</f>
        <v/>
      </c>
      <c r="R2581" t="n">
        <v>0</v>
      </c>
      <c r="S2581" t="n">
        <v>0</v>
      </c>
      <c r="U2581" t="n">
        <v>0</v>
      </c>
    </row>
    <row r="2582">
      <c r="A2582">
        <f>Skills!A18</f>
        <v/>
      </c>
      <c r="B2582">
        <f>Skills!B18</f>
        <v/>
      </c>
      <c r="C2582">
        <f>Inputs!$B$3&gt;=43</f>
        <v/>
      </c>
      <c r="D2582">
        <f>IF(Skills!C18=1,60+Inputs!$B$25+Inputs!$B$29,IF(Skills!C18=2,90+Inputs!$B$26+Inputs!$B$29,IF(Skills!C18=3,120+Inputs!$B$27+Inputs!$B$29,MAX(0,(Inputs!$B$3-100)*3)+Inputs!$B$28+Inputs!$B$29)))</f>
        <v/>
      </c>
      <c r="E2582">
        <f>INDEX(FactorTable!$B$2:$Y$301, MATCH(ROUND(MIN(300,MAX(1,D2582)),0), FactorTable!$A$2:$A$301,0), Skills!L18+1)</f>
        <v/>
      </c>
      <c r="F2582">
        <f>IF(Skills!M18=TRUE,(Skills!K18/10)*(E2582/1000),Skills!K18/10)+Skills!N18</f>
        <v/>
      </c>
      <c r="G2582">
        <f>Calc!G18</f>
        <v/>
      </c>
      <c r="H2582">
        <f>Calc!H18</f>
        <v/>
      </c>
      <c r="I2582">
        <f>IF(Skills!T18&lt;&gt;"",1+(Skills!T18/10)*(Z2567/1000)/100,1)</f>
        <v/>
      </c>
      <c r="J2582" t="inlineStr"/>
      <c r="K2582" t="inlineStr"/>
      <c r="L2582" t="inlineStr"/>
      <c r="M2582" t="inlineStr"/>
      <c r="N2582" t="inlineStr"/>
      <c r="O2582">
        <f>(1-Summary!$B$11)*S2582+Summary!$B$11*U2582</f>
        <v/>
      </c>
      <c r="P2582">
        <f>IF(B2601=0,0,O2582/B2601)</f>
        <v/>
      </c>
      <c r="Q2582">
        <f>IFERROR(1/IF(Inputs!$B$38="pvp",15,MAX(0.1,Skills!D18-IF(Skills!E18=TRUE,1.0,0))),0)</f>
        <v/>
      </c>
      <c r="R2582" t="n">
        <v>0</v>
      </c>
      <c r="S2582" t="n">
        <v>0</v>
      </c>
      <c r="U2582" t="n">
        <v>0</v>
      </c>
    </row>
    <row r="2583">
      <c r="A2583">
        <f>Skills!A19</f>
        <v/>
      </c>
      <c r="B2583">
        <f>Skills!B19</f>
        <v/>
      </c>
      <c r="C2583">
        <f>Inputs!$B$3&gt;=50</f>
        <v/>
      </c>
      <c r="D2583">
        <f>IF(Skills!C19=1,60+Inputs!$B$25+Inputs!$B$29,IF(Skills!C19=2,90+Inputs!$B$26+Inputs!$B$29,IF(Skills!C19=3,120+Inputs!$B$27+Inputs!$B$29,MAX(0,(Inputs!$B$3-100)*3)+Inputs!$B$28+Inputs!$B$29)))</f>
        <v/>
      </c>
      <c r="E2583">
        <f>INDEX(FactorTable!$B$2:$Y$301, MATCH(ROUND(MIN(300,MAX(1,D2583)),0), FactorTable!$A$2:$A$301,0), Skills!L19+1)</f>
        <v/>
      </c>
      <c r="F2583">
        <f>IF(Skills!M19=TRUE,(Skills!K19/10)*(E2583/1000),Skills!K19/10)+Skills!N19</f>
        <v/>
      </c>
      <c r="G2583">
        <f>Calc!G19</f>
        <v/>
      </c>
      <c r="H2583">
        <f>Calc!H19</f>
        <v/>
      </c>
      <c r="I2583">
        <f>IF(Skills!T19&lt;&gt;"",1+(Skills!T19/10)*(Z2567/1000)/100,1)</f>
        <v/>
      </c>
      <c r="J2583" t="inlineStr"/>
      <c r="K2583" t="inlineStr"/>
      <c r="L2583" t="inlineStr"/>
      <c r="M2583" t="inlineStr"/>
      <c r="N2583" t="inlineStr"/>
      <c r="O2583">
        <f>(1-Summary!$B$11)*S2583+Summary!$B$11*U2583</f>
        <v/>
      </c>
      <c r="P2583">
        <f>IF(B2601=0,0,O2583/B2601)</f>
        <v/>
      </c>
      <c r="Q2583">
        <f>IFERROR(1/IF(Inputs!$B$38="pvp",15,MAX(0.1,Skills!D19-IF(Skills!E19=TRUE,1.0,0))),0)</f>
        <v/>
      </c>
      <c r="R2583" t="n">
        <v>0</v>
      </c>
      <c r="S2583" t="n">
        <v>0</v>
      </c>
      <c r="U2583" t="n">
        <v>0</v>
      </c>
    </row>
    <row r="2584">
      <c r="A2584">
        <f>Skills!A20</f>
        <v/>
      </c>
      <c r="B2584">
        <f>Skills!B20</f>
        <v/>
      </c>
      <c r="C2584">
        <f>Inputs!$B$3&gt;=74</f>
        <v/>
      </c>
      <c r="D2584">
        <f>IF(Skills!C20=1,60+Inputs!$B$25+Inputs!$B$29,IF(Skills!C20=2,90+Inputs!$B$26+Inputs!$B$29,IF(Skills!C20=3,120+Inputs!$B$27+Inputs!$B$29,MAX(0,(Inputs!$B$3-100)*3)+Inputs!$B$28+Inputs!$B$29)))</f>
        <v/>
      </c>
      <c r="E2584">
        <f>INDEX(FactorTable!$B$2:$Y$301, MATCH(ROUND(MIN(300,MAX(1,D2584)),0), FactorTable!$A$2:$A$301,0), Skills!L20+1)</f>
        <v/>
      </c>
      <c r="F2584">
        <f>IF(Skills!M20=TRUE,(Skills!K20/10)*(E2584/1000),Skills!K20/10)+Skills!N20</f>
        <v/>
      </c>
      <c r="G2584">
        <f>Calc!G20</f>
        <v/>
      </c>
      <c r="H2584">
        <f>Calc!H20</f>
        <v/>
      </c>
      <c r="I2584">
        <f>IF(Skills!T20&lt;&gt;"",1+(Skills!T20/10)*(Z2567/1000)/100,1)</f>
        <v/>
      </c>
      <c r="J2584" t="inlineStr"/>
      <c r="K2584" t="inlineStr"/>
      <c r="L2584" t="inlineStr"/>
      <c r="M2584" t="inlineStr"/>
      <c r="N2584" t="inlineStr"/>
      <c r="O2584">
        <f>(1-Summary!$B$11)*S2584+Summary!$B$11*U2584</f>
        <v/>
      </c>
      <c r="P2584">
        <f>IF(B2601=0,0,O2584/B2601)</f>
        <v/>
      </c>
      <c r="Q2584">
        <f>IFERROR(1/IF(Inputs!$B$38="pvp",15,MAX(0.1,Skills!D20-IF(Skills!E20=TRUE,1.0,0))),0)</f>
        <v/>
      </c>
      <c r="R2584" t="n">
        <v>0</v>
      </c>
      <c r="S2584" t="n">
        <v>0</v>
      </c>
      <c r="U2584" t="n">
        <v>0</v>
      </c>
    </row>
    <row r="2585">
      <c r="A2585">
        <f>Skills!A21</f>
        <v/>
      </c>
      <c r="B2585">
        <f>Skills!B21</f>
        <v/>
      </c>
      <c r="C2585">
        <f>Inputs!$B$3&gt;=74</f>
        <v/>
      </c>
      <c r="D2585">
        <f>IF(Skills!C21=1,60+Inputs!$B$25+Inputs!$B$29,IF(Skills!C21=2,90+Inputs!$B$26+Inputs!$B$29,IF(Skills!C21=3,120+Inputs!$B$27+Inputs!$B$29,MAX(0,(Inputs!$B$3-100)*3)+Inputs!$B$28+Inputs!$B$29)))</f>
        <v/>
      </c>
      <c r="E2585">
        <f>INDEX(FactorTable!$B$2:$Y$301, MATCH(ROUND(MIN(300,MAX(1,D2585)),0), FactorTable!$A$2:$A$301,0), Skills!L21+1)</f>
        <v/>
      </c>
      <c r="F2585">
        <f>IF(Skills!M21=TRUE,(Skills!K21/10)*(E2585/1000),Skills!K21/10)+Skills!N21</f>
        <v/>
      </c>
      <c r="G2585">
        <f>Calc!G21</f>
        <v/>
      </c>
      <c r="H2585">
        <f>Calc!H21</f>
        <v/>
      </c>
      <c r="I2585">
        <f>IF(Skills!T21&lt;&gt;"",1+(Skills!T21/10)*(Z2567/1000)/100,1)</f>
        <v/>
      </c>
      <c r="J2585" t="inlineStr"/>
      <c r="K2585" t="inlineStr"/>
      <c r="L2585" t="inlineStr"/>
      <c r="M2585" t="inlineStr"/>
      <c r="N2585" t="inlineStr"/>
      <c r="O2585">
        <f>(1-Summary!$B$11)*S2585+Summary!$B$11*U2585</f>
        <v/>
      </c>
      <c r="P2585">
        <f>IF(B2601=0,0,O2585/B2601)</f>
        <v/>
      </c>
      <c r="Q2585">
        <f>IFERROR(1/IF(Inputs!$B$38="pvp",15,MAX(0.1,Skills!D21-IF(Skills!E21=TRUE,1.0,0))),0)</f>
        <v/>
      </c>
      <c r="R2585" t="n">
        <v>0</v>
      </c>
      <c r="S2585" t="n">
        <v>0</v>
      </c>
      <c r="U2585" t="n">
        <v>0</v>
      </c>
    </row>
    <row r="2586">
      <c r="A2586">
        <f>Skills!A22</f>
        <v/>
      </c>
      <c r="B2586">
        <f>Skills!B22</f>
        <v/>
      </c>
      <c r="C2586">
        <f>Inputs!$B$3&gt;=117</f>
        <v/>
      </c>
      <c r="D2586">
        <f>IF(Skills!C22=1,60+Inputs!$B$25+Inputs!$B$29,IF(Skills!C22=2,90+Inputs!$B$26+Inputs!$B$29,IF(Skills!C22=3,120+Inputs!$B$27+Inputs!$B$29,MAX(0,(Inputs!$B$3-100)*3)+Inputs!$B$28+Inputs!$B$29)))</f>
        <v/>
      </c>
      <c r="E2586">
        <f>INDEX(FactorTable!$B$2:$Y$301, MATCH(ROUND(MIN(300,MAX(1,D2586)),0), FactorTable!$A$2:$A$301,0), Skills!L22+1)</f>
        <v/>
      </c>
      <c r="F2586">
        <f>IF(Skills!M22=TRUE,(Skills!K22/10)*(E2586/1000),Skills!K22/10)+Skills!N22</f>
        <v/>
      </c>
      <c r="G2586">
        <f>Calc!G22</f>
        <v/>
      </c>
      <c r="H2586">
        <f>Calc!H22</f>
        <v/>
      </c>
      <c r="I2586">
        <f>IF(Skills!T22&lt;&gt;"",1+(Skills!T22/10)*(Z2567/1000)/100,1)</f>
        <v/>
      </c>
      <c r="J2586" t="inlineStr"/>
      <c r="K2586" t="inlineStr"/>
      <c r="L2586" t="inlineStr"/>
      <c r="M2586" t="inlineStr"/>
      <c r="N2586" t="inlineStr"/>
      <c r="O2586">
        <f>(1-Summary!$B$11)*S2586+Summary!$B$11*U2586</f>
        <v/>
      </c>
      <c r="P2586">
        <f>IF(B2601=0,0,O2586/B2601)</f>
        <v/>
      </c>
      <c r="Q2586">
        <f>IFERROR(1/IF(Inputs!$B$38="pvp",15,MAX(0.1,Skills!D22-IF(Skills!E22=TRUE,1.0,0))),0)</f>
        <v/>
      </c>
      <c r="R2586" t="n">
        <v>0</v>
      </c>
      <c r="S2586" t="n">
        <v>0</v>
      </c>
      <c r="U2586" t="n">
        <v>0</v>
      </c>
    </row>
    <row r="2587">
      <c r="A2587">
        <f>Skills!A23</f>
        <v/>
      </c>
      <c r="B2587">
        <f>Skills!B23</f>
        <v/>
      </c>
      <c r="C2587">
        <f>Inputs!$B$3&gt;=120</f>
        <v/>
      </c>
      <c r="D2587">
        <f>IF(Skills!C23=1,60+Inputs!$B$25+Inputs!$B$29,IF(Skills!C23=2,90+Inputs!$B$26+Inputs!$B$29,IF(Skills!C23=3,120+Inputs!$B$27+Inputs!$B$29,MAX(0,(Inputs!$B$3-100)*3)+Inputs!$B$28+Inputs!$B$29)))</f>
        <v/>
      </c>
      <c r="E2587">
        <f>INDEX(FactorTable!$B$2:$Y$301, MATCH(ROUND(MIN(300,MAX(1,D2587)),0), FactorTable!$A$2:$A$301,0), Skills!L23+1)</f>
        <v/>
      </c>
      <c r="F2587">
        <f>IF(Skills!M23=TRUE,(Skills!K23/10)*(E2587/1000),Skills!K23/10)+Skills!N23</f>
        <v/>
      </c>
      <c r="G2587">
        <f>Calc!G23</f>
        <v/>
      </c>
      <c r="H2587">
        <f>Calc!H23</f>
        <v/>
      </c>
      <c r="I2587">
        <f>IF(Skills!T23&lt;&gt;"",1+(Skills!T23/10)*(Z2567/1000)/100,1)</f>
        <v/>
      </c>
      <c r="J2587" t="inlineStr"/>
      <c r="K2587" t="inlineStr"/>
      <c r="L2587" t="inlineStr"/>
      <c r="M2587" t="inlineStr"/>
      <c r="N2587" t="inlineStr"/>
      <c r="O2587">
        <f>(1-Summary!$B$11)*S2587+Summary!$B$11*U2587</f>
        <v/>
      </c>
      <c r="P2587">
        <f>IF(B2601=0,0,O2587/B2601)</f>
        <v/>
      </c>
      <c r="Q2587">
        <f>IFERROR(1/IF(Inputs!$B$38="pvp",15,MAX(0.1,Skills!D23-IF(Skills!E23=TRUE,1.0,0))),0)</f>
        <v/>
      </c>
      <c r="R2587" t="n">
        <v>0</v>
      </c>
      <c r="S2587" t="n">
        <v>0</v>
      </c>
      <c r="U2587" t="n">
        <v>0</v>
      </c>
    </row>
    <row r="2588">
      <c r="A2588">
        <f>Skills!A24</f>
        <v/>
      </c>
      <c r="B2588">
        <f>Skills!B24</f>
        <v/>
      </c>
      <c r="C2588">
        <f>TRUE</f>
        <v/>
      </c>
      <c r="D2588">
        <f>IF(Skills!C24=1,60+Inputs!$B$25+Inputs!$B$29,IF(Skills!C24=2,90+Inputs!$B$26+Inputs!$B$29,IF(Skills!C24=3,120+Inputs!$B$27+Inputs!$B$29,MAX(0,(Inputs!$B$3-100)*3)+Inputs!$B$28+Inputs!$B$29)))</f>
        <v/>
      </c>
      <c r="E2588">
        <f>INDEX(FactorTable!$B$2:$Y$301, MATCH(ROUND(MIN(300,MAX(1,D2588)),0), FactorTable!$A$2:$A$301,0), Skills!L24+1)</f>
        <v/>
      </c>
      <c r="F2588">
        <f>IF(Skills!M24=TRUE,(Skills!K24/10)*(E2588/1000),Skills!K24/10)+Skills!N24</f>
        <v/>
      </c>
      <c r="G2588">
        <f>Calc!G24</f>
        <v/>
      </c>
      <c r="H2588">
        <f>Calc!H24</f>
        <v/>
      </c>
      <c r="I2588">
        <f>IF(Skills!T24&lt;&gt;"",1+(Skills!T24/10)*(Z2567/1000)/100,1)</f>
        <v/>
      </c>
      <c r="J2588" t="inlineStr"/>
      <c r="K2588" t="inlineStr"/>
      <c r="L2588" t="inlineStr"/>
      <c r="M2588" t="inlineStr"/>
      <c r="N2588" t="inlineStr"/>
      <c r="O2588">
        <f>(1-Summary!$B$11)*S2588+Summary!$B$11*U2588</f>
        <v/>
      </c>
      <c r="P2588">
        <f>IF(B2601=0,0,O2588/B2601)</f>
        <v/>
      </c>
      <c r="Q2588">
        <f>IFERROR(1/IF(Inputs!$B$38="pvp",15,MAX(0.1,Skills!D24-IF(Skills!E24=TRUE,1.0,0))),0)</f>
        <v/>
      </c>
      <c r="R2588">
        <f>IF(AND(Inputs!$B$38&lt;&gt;"pvp",Inputs!$B$43&gt;0),IF(Inputs!$B$43&lt;=0,0,(INT(Inputs!$B$43/IF(Inputs!$B$38="pvp",15,MAX(0.1,Skills!D24-IF(Skills!E24=TRUE,1.0,0))))+1)),0)</f>
        <v/>
      </c>
      <c r="S2588" t="n">
        <v>0</v>
      </c>
      <c r="U2588" t="n">
        <v>0</v>
      </c>
    </row>
    <row r="2591">
      <c r="A2591" t="inlineStr">
        <is>
          <t>Average Buff Multiplier (Magic Guard + Meditation + Artifact Attack%, summed; then Infinity)</t>
        </is>
      </c>
      <c r="B2591">
        <f>(1+(IF(C2567=TRUE,F2567*IF(AND(Inputs!$B$38&lt;&gt;"pvp",Inputs!$B$43&gt;0),(((R2567-1)*(Skills!S3*(1+(Inputs!$B$34)/100))+MIN((Skills!S3*(1+(Inputs!$B$34)/100)),MAX(0,Inputs!$B$43-((R2567-1)*Skills!D3))))/Inputs!$B$43),IF(Inputs!$B$38="pvp",MIN((Skills!S3*(1+(Inputs!$B$34)/100)),15)/15,(Skills!S3*(1+(Inputs!$B$34)/100))/Skills!D3)),0)+IF(C2568=TRUE,F2568*IF(AND(Inputs!$B$38&lt;&gt;"pvp",Inputs!$B$43&gt;0),(((R2568-1)*(Skills!S4*(1+(Inputs!$B$34)/100))+MIN((Skills!S4*(1+(Inputs!$B$34)/100)),MAX(0,Inputs!$B$43-((R2568-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2580=TRUE,(1+F2580*IF(AND(Inputs!$B$38&lt;&gt;"pvp",Inputs!$B$43&gt;0),(((R2580-1)*(Skills!S16*(1+(Inputs!$B$34)/100))+MIN((Skills!S16*(1+(Inputs!$B$34)/100)),MAX(0,Inputs!$B$43-((R2580-1)*Skills!D16))))/Inputs!$B$43),IF(Inputs!$B$38="pvp",MIN((Skills!S16*(1+(Inputs!$B$34)/100)),15)/15,(Skills!S16*(1+(Inputs!$B$34)/100))/Skills!D16))/100),1)</f>
        <v/>
      </c>
    </row>
    <row r="2592">
      <c r="A2592" t="inlineStr">
        <is>
          <t>Monster Damage Taken Bonus % (Freezing Breath - Weaken + Elemental Reset + Artifact Enemy Damage Taken, summed)</t>
        </is>
      </c>
      <c r="B2592">
        <f>IF(Inputs!$B$3&gt;=118,15*IF(Inputs!$B$38="pvp",MIN((30*(1+(Inputs!$B$34)/100)),15)/15,(30*(1+(Inputs!$B$34)/100))/Skills!D8),0)+IF(C2578=TRUE,F2578,0)+(IF(AND(ArtifactsInput!$M$35,Inputs!$B$4&lt;&gt;"Chapter Hunt"),CHOOSE(ArtifactsInput!$N$35+1,15,18,21,24,27,30)*(1-EXP(-(0.2*B2595)*5)),0)+IF(AND(ArtifactsInput!$M$22,Inputs!$B$4&lt;&gt;"Chapter Hunt"),CHOOSE(ArtifactsInput!$N$22+1,10,12,14,16,18,20)*((0*(((0.15*B2595*5))^0/1)+1*(((0.15*B2595*5))^1/1)+2*(((0.15*B2595*5))^2/2)+3*(((0.15*B2595*5))^3/6)+4*(((0.15*B2595*5))^4/24)+5*(((0.15*B2595*5))^5/120))/((((0.15*B2595*5))^0/1)+(((0.15*B2595*5))^1/1)+(((0.15*B2595*5))^2/2)+(((0.15*B2595*5))^3/6)+(((0.15*B2595*5))^4/24)+(((0.15*B2595*5))^5/120))),0))</f>
        <v/>
      </c>
    </row>
    <row r="2593">
      <c r="A2593" t="inlineStr">
        <is>
          <t>Damage % Bonus (Frozen Break + Frost Clutch, flat)</t>
        </is>
      </c>
      <c r="B2593">
        <f>IF(Inputs!$B$3&gt;=66,15,0)+IF(Inputs!$B$3&gt;=98,10,0)+IF(Inputs!$B$3&gt;=125,20,0)</f>
        <v/>
      </c>
    </row>
    <row r="2594">
      <c r="A2594" t="inlineStr">
        <is>
          <t>Attack Speed Bonus % (MP Eater - MP Boost, always-on + Nimble Feet, duty-cycle averaged)</t>
        </is>
      </c>
      <c r="B2594">
        <f>IF(C2577=TRUE,F2577+(F2581-Calc!F17),0)+((C2588=TRUE)*F2588*IF(AND(Inputs!$B$38&lt;&gt;"pvp",Inputs!$B$43&gt;0),(((R2588-1)*(Skills!S24*(1+(Inputs!$B$34)/100))+MIN((Skills!S24*(1+(Inputs!$B$34)/100)),MAX(0,Inputs!$B$43-((R2588-1)*Skills!D24))))/Inputs!$B$43),IF(Inputs!$B$38="pvp",MIN((Skills!S24*(1+(Inputs!$B$34)/100)),15)/15,(Skills!S24*(1+(Inputs!$B$34)/100))/Skills!D24)))</f>
        <v/>
      </c>
    </row>
    <row r="2595">
      <c r="A2595" t="inlineStr">
        <is>
          <t>Actions Per Second</t>
        </is>
      </c>
      <c r="B2595">
        <f>1+MIN(150,150*(1-(1-(Inputs!$B$11+(ArtifactsInput!$M$15-ArtifactsInput!$M$15)*CHOOSE(ArtifactsInput!$N$15+1,8,9.6,11.2,12.8,14.4,16))/150)*(1-B2594/150)))/100</f>
        <v/>
      </c>
    </row>
    <row r="2596">
      <c r="A2596" t="inlineStr">
        <is>
          <t>Skill + Buff Cast Rate</t>
        </is>
      </c>
      <c r="B2596">
        <f>IF(AND(Inputs!$B$38&lt;&gt;"pvp",Inputs!$B$43&gt;0),SUMPRODUCT((Skills!E2:E24=TRUE)*(C2566:C2588=TRUE)*R2566:R2588)/Inputs!$B$43,SUMPRODUCT((Skills!E2:E24=TRUE)*(C2566:C2588=TRUE)*Q2566:Q2588))</f>
        <v/>
      </c>
    </row>
    <row r="2597">
      <c r="A2597" t="inlineStr">
        <is>
          <t>Chain Lightning Casts Per Second</t>
        </is>
      </c>
      <c r="B2597">
        <f>MAX(0,B2595-B2596)</f>
        <v/>
      </c>
    </row>
    <row r="2598">
      <c r="A2598" t="inlineStr">
        <is>
          <t>Buff-Casting Startup Delay (s, fixed-duration only)</t>
        </is>
      </c>
      <c r="B2598">
        <f>IF(AND(Inputs!$B$38&lt;&gt;"pvp",Inputs!$B$43&gt;0),SUMPRODUCT((Skills!S2:S24&gt;0)*(Skills!E2:E24=TRUE)*(C2566:C2588=TRUE))/B2595,0)</f>
        <v/>
      </c>
    </row>
    <row r="2599">
      <c r="A2599" t="inlineStr">
        <is>
          <t>Boss-Only Total DPS (this block's swept value)</t>
        </is>
      </c>
      <c r="B2599">
        <f>SUM(S2566:S2588)</f>
        <v/>
      </c>
    </row>
    <row r="2600">
      <c r="A2600" t="inlineStr">
        <is>
          <t>Normal-Only Total DPS (this block's swept value)</t>
        </is>
      </c>
      <c r="B2600">
        <f>SUM(U2566:U2588)</f>
        <v/>
      </c>
    </row>
    <row r="2601">
      <c r="A2601" s="6" t="inlineStr">
        <is>
          <t>TOTAL DPS</t>
        </is>
      </c>
      <c r="B2601" s="6">
        <f>SUM(O2566:O2588)</f>
        <v/>
      </c>
    </row>
    <row r="2604">
      <c r="A2604" s="6" t="inlineStr">
        <is>
          <t>Stat: CDR = 1.5s</t>
        </is>
      </c>
    </row>
    <row r="2605">
      <c r="A2605" s="5" t="inlineStr">
        <is>
          <t>Key</t>
        </is>
      </c>
      <c r="B2605" s="5" t="inlineStr">
        <is>
          <t>Name</t>
        </is>
      </c>
      <c r="C2605" s="5" t="inlineStr">
        <is>
          <t>Unlocked</t>
        </is>
      </c>
      <c r="D2605" s="5" t="inlineStr">
        <is>
          <t>InputLevel</t>
        </is>
      </c>
      <c r="E2605" s="5" t="inlineStr">
        <is>
          <t>Factor</t>
        </is>
      </c>
      <c r="F2605" s="5" t="inlineStr">
        <is>
          <t>CoefficientPercent</t>
        </is>
      </c>
      <c r="G2605" s="5" t="inlineStr">
        <is>
          <t>EffectiveHits</t>
        </is>
      </c>
      <c r="H2605" s="5" t="inlineStr">
        <is>
          <t>ProcProbability</t>
        </is>
      </c>
      <c r="I2605" s="5" t="inlineStr">
        <is>
          <t>MapleHeroMultiplier</t>
        </is>
      </c>
      <c r="J2605" s="5" t="inlineStr">
        <is>
          <t>BaseDamage</t>
        </is>
      </c>
      <c r="K2605" s="5" t="inlineStr">
        <is>
          <t>BaseHitDamage</t>
        </is>
      </c>
      <c r="L2605" s="5" t="inlineStr">
        <is>
          <t>NonCritAvg</t>
        </is>
      </c>
      <c r="M2605" s="5" t="inlineStr">
        <is>
          <t>CritAvg</t>
        </is>
      </c>
      <c r="N2605" s="5" t="inlineStr">
        <is>
          <t>ExpectedDamage(perHit)</t>
        </is>
      </c>
      <c r="O2605" s="5" t="inlineStr">
        <is>
          <t>DPS</t>
        </is>
      </c>
      <c r="P2605" s="5" t="inlineStr">
        <is>
          <t>% of Total</t>
        </is>
      </c>
      <c r="R2605" t="inlineStr">
        <is>
          <t>helpers</t>
        </is>
      </c>
    </row>
    <row r="2606">
      <c r="A2606">
        <f>Skills!A2</f>
        <v/>
      </c>
      <c r="B2606">
        <f>Skills!B2</f>
        <v/>
      </c>
      <c r="C2606">
        <f>Inputs!$B$3&gt;=100</f>
        <v/>
      </c>
      <c r="D2606" t="inlineStr"/>
      <c r="E2606" t="inlineStr"/>
      <c r="F2606">
        <f>T2608+Skills!N2</f>
        <v/>
      </c>
      <c r="G2606">
        <f>Calc!G2</f>
        <v/>
      </c>
      <c r="H2606">
        <f>Calc!H2</f>
        <v/>
      </c>
      <c r="I2606">
        <f>IF(Skills!T2&lt;&gt;"",1+(Skills!T2/10)*(Z2607/1000)/100,1)</f>
        <v/>
      </c>
      <c r="J2606">
        <f>((Inputs!$B$6*(1+Inputs!$B$7/100))+(((Inputs!$B$12*(1+Inputs!$B$13/100))-(Inputs!$B$12*(1+Inputs!$B$13/100)))+0.25*(Inputs!$B$14-Inputs!$B$14))*(1+Inputs!$B$7/100))*(F2606/100)</f>
        <v/>
      </c>
      <c r="K2606">
        <f>J2606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2="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2622-Calc!F18),(Inputs!$B$23+(IF(ArtifactsInput!$M$15,CHOOSE(ArtifactsInput!$N$15+1,25,30,35,40,45,50)/100*(Inputs!$B$11-Inputs!$B$11),0))))/100+(Inputs!$B$23+(IF(ArtifactsInput!$M$15,CHOOSE(ArtifactsInput!$N$15+1,25,30,35,40,45,50)/100*(Inputs!$B$11-Inputs!$B$11),0)))/100)/2</f>
        <v/>
      </c>
      <c r="M2606">
        <f>L2606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IF(B2641=0,0,O2606/B2641)</f>
        <v/>
      </c>
      <c r="Q2606">
        <f>IFERROR(1/IF(Inputs!$B$38="pvp",15,MAX(0.1,Skills!D2-IF(Skills!E2=TRUE,1.5,0))),0)</f>
        <v/>
      </c>
      <c r="R2606" t="n">
        <v>0</v>
      </c>
      <c r="S2606">
        <f>IF(C2606,(Skills!F2*N2606*B2637)*IF(Inputs!$B$38="pvp",1,1+(Inputs!$B$20+Skills!O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06">
        <f>MAX(0,(Inputs!$B$3-100)*3)+Inputs!$B$28+Inputs!$B$29</f>
        <v/>
      </c>
      <c r="U2606">
        <f>IF(C2606,(Skills!F2*N2606*B2637)*IF(Inputs!$B$38="pvp",1,(1+(Inputs!$B$21+Skills!P2+B2632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06">
        <f>MAX(0,(Inputs!$B$3-100)*3)+Inputs!$B$28+Inputs!$B$29</f>
        <v/>
      </c>
    </row>
    <row r="2607">
      <c r="A2607">
        <f>Skills!A3</f>
        <v/>
      </c>
      <c r="B2607">
        <f>Skills!B3</f>
        <v/>
      </c>
      <c r="C2607">
        <f>Inputs!$B$3&gt;=15</f>
        <v/>
      </c>
      <c r="D2607">
        <f>IF(Skills!C3=1,60+Inputs!$B$25+Inputs!$B$29,IF(Skills!C3=2,90+Inputs!$B$26+Inputs!$B$29,IF(Skills!C3=3,120+Inputs!$B$27+Inputs!$B$29,MAX(0,(Inputs!$B$3-100)*3)+Inputs!$B$28+Inputs!$B$29)))</f>
        <v/>
      </c>
      <c r="E2607">
        <f>INDEX(FactorTable!$B$2:$Y$301, MATCH(ROUND(MIN(300,MAX(1,D2607)),0), FactorTable!$A$2:$A$301,0), Skills!L3+1)</f>
        <v/>
      </c>
      <c r="F2607">
        <f>IF(Skills!M3=TRUE,(Skills!K3/10)*(E2607/1000),Skills!K3/10)+Skills!N3</f>
        <v/>
      </c>
      <c r="G2607">
        <f>Calc!G3</f>
        <v/>
      </c>
      <c r="H2607">
        <f>Calc!H3</f>
        <v/>
      </c>
      <c r="I2607">
        <f>IF(Skills!T3&lt;&gt;"",1+(Skills!T3/10)*(Z2607/1000)/100,1)</f>
        <v/>
      </c>
      <c r="J2607" t="inlineStr"/>
      <c r="K2607" t="inlineStr"/>
      <c r="L2607" t="inlineStr"/>
      <c r="M2607" t="inlineStr"/>
      <c r="N2607" t="inlineStr"/>
      <c r="O2607">
        <f>(1-Summary!$B$11)*S2607+Summary!$B$11*U2607</f>
        <v/>
      </c>
      <c r="P2607">
        <f>IF(B2641=0,0,O2607/B2641)</f>
        <v/>
      </c>
      <c r="Q2607">
        <f>IFERROR(1/IF(Inputs!$B$38="pvp",15,MAX(0.1,Skills!D3-IF(Skills!E3=TRUE,1.5,0))),0)</f>
        <v/>
      </c>
      <c r="R2607">
        <f>IF(AND(Inputs!$B$38&lt;&gt;"pvp",Inputs!$B$43&gt;0),IF(Inputs!$B$43&lt;=0,0,(INT(Inputs!$B$43/IF(Inputs!$B$38="pvp",15,MAX(0.1,Skills!D3-IF(Skills!E3=TRUE,1.5,0))))+1)),0)</f>
        <v/>
      </c>
      <c r="S2607" t="n">
        <v>0</v>
      </c>
      <c r="T2607">
        <f>INDEX(FactorTable!$B$2:$Y$301, MATCH(ROUND(MIN(300,MAX(1,T2606)),0), FactorTable!$A$2:$A$301,0), 22)</f>
        <v/>
      </c>
      <c r="U2607" t="n">
        <v>0</v>
      </c>
      <c r="Z2607">
        <f>INDEX(FactorTable!$B$2:$Y$301, MATCH(ROUND(MIN(300,MAX(1,Z2606)),0), FactorTable!$A$2:$A$301,0), 24)</f>
        <v/>
      </c>
    </row>
    <row r="2608">
      <c r="A2608">
        <f>Skills!A4</f>
        <v/>
      </c>
      <c r="B2608">
        <f>Skills!B4</f>
        <v/>
      </c>
      <c r="C2608">
        <f>Inputs!$B$3&gt;=40</f>
        <v/>
      </c>
      <c r="D2608">
        <f>IF(Skills!C4=1,60+Inputs!$B$25+Inputs!$B$29,IF(Skills!C4=2,90+Inputs!$B$26+Inputs!$B$29,IF(Skills!C4=3,120+Inputs!$B$27+Inputs!$B$29,MAX(0,(Inputs!$B$3-100)*3)+Inputs!$B$28+Inputs!$B$29)))</f>
        <v/>
      </c>
      <c r="E2608">
        <f>INDEX(FactorTable!$B$2:$Y$301, MATCH(ROUND(MIN(300,MAX(1,D2608)),0), FactorTable!$A$2:$A$301,0), Skills!L4+1)</f>
        <v/>
      </c>
      <c r="F2608">
        <f>IF(Skills!M4=TRUE,(Skills!K4/10)*(E2608/1000),Skills!K4/10)+Skills!N4</f>
        <v/>
      </c>
      <c r="G2608">
        <f>Calc!G4</f>
        <v/>
      </c>
      <c r="H2608">
        <f>Calc!H4</f>
        <v/>
      </c>
      <c r="I2608">
        <f>IF(Skills!T4&lt;&gt;"",1+(Skills!T4/10)*(Z2607/1000)/100,1)</f>
        <v/>
      </c>
      <c r="J2608" t="inlineStr"/>
      <c r="K2608" t="inlineStr"/>
      <c r="L2608" t="inlineStr"/>
      <c r="M2608" t="inlineStr"/>
      <c r="N2608" t="inlineStr"/>
      <c r="O2608">
        <f>(1-Summary!$B$11)*S2608+Summary!$B$11*U2608</f>
        <v/>
      </c>
      <c r="P2608">
        <f>IF(B2641=0,0,O2608/B2641)</f>
        <v/>
      </c>
      <c r="Q2608">
        <f>IFERROR(1/IF(Inputs!$B$38="pvp",15,MAX(0.1,Skills!D4-IF(Skills!E4=TRUE,1.5,0))),0)</f>
        <v/>
      </c>
      <c r="R2608">
        <f>IF(AND(Inputs!$B$38&lt;&gt;"pvp",Inputs!$B$43&gt;0),IF(Inputs!$B$43&lt;=0,0,(INT(Inputs!$B$43/IF(Inputs!$B$38="pvp",15,MAX(0.1,Skills!D4-IF(Skills!E4=TRUE,1.5,0))))+1)),0)</f>
        <v/>
      </c>
      <c r="S2608" t="n">
        <v>0</v>
      </c>
      <c r="T2608">
        <f>290*T2607/1000</f>
        <v/>
      </c>
      <c r="U2608" t="n">
        <v>0</v>
      </c>
    </row>
    <row r="2609">
      <c r="A2609">
        <f>Skills!A5</f>
        <v/>
      </c>
      <c r="B2609">
        <f>Skills!B5</f>
        <v/>
      </c>
      <c r="C2609">
        <f>Inputs!$B$3&gt;=38</f>
        <v/>
      </c>
      <c r="D2609">
        <f>IF(Skills!C5=1,60+Inputs!$B$25+Inputs!$B$29,IF(Skills!C5=2,90+Inputs!$B$26+Inputs!$B$29,IF(Skills!C5=3,120+Inputs!$B$27+Inputs!$B$29,MAX(0,(Inputs!$B$3-100)*3)+Inputs!$B$28+Inputs!$B$29)))</f>
        <v/>
      </c>
      <c r="E2609">
        <f>INDEX(FactorTable!$B$2:$Y$301, MATCH(ROUND(MIN(300,MAX(1,D2609)),0), FactorTable!$A$2:$A$301,0), Skills!L5+1)</f>
        <v/>
      </c>
      <c r="F2609">
        <f>IF(Skills!M5=TRUE,(Skills!K5/10)*(E2609/1000),Skills!K5/10)+Skills!N5</f>
        <v/>
      </c>
      <c r="G2609">
        <f>Calc!G5</f>
        <v/>
      </c>
      <c r="H2609">
        <f>Calc!H5</f>
        <v/>
      </c>
      <c r="I2609">
        <f>IF(Skills!T5&lt;&gt;"",1+(Skills!T5/10)*(Z2607/1000)/100,1)</f>
        <v/>
      </c>
      <c r="J2609">
        <f>((Inputs!$B$6*(1+Inputs!$B$7/100))+(((Inputs!$B$12*(1+Inputs!$B$13/100))-(Inputs!$B$12*(1+Inputs!$B$13/100)))+0.25*(Inputs!$B$14-Inputs!$B$14))*(1+Inputs!$B$7/100))*(F2609/100)</f>
        <v/>
      </c>
      <c r="K2609">
        <f>J2609*(1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5="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F2622-Calc!F18),(Inputs!$B$23+(IF(ArtifactsInput!$M$15,CHOOSE(ArtifactsInput!$N$15+1,25,30,35,40,45,50)/100*(Inputs!$B$11-Inputs!$B$11),0))))/100+(Inputs!$B$23+(IF(ArtifactsInput!$M$15,CHOOSE(ArtifactsInput!$N$15+1,25,30,35,40,45,50)/100*(Inputs!$B$11-Inputs!$B$11),0)))/100)/2</f>
        <v/>
      </c>
      <c r="M2609">
        <f>L2609*(1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(1-Summary!$B$11)*S2609+Summary!$B$11*U2609</f>
        <v/>
      </c>
      <c r="P2609">
        <f>IF(B2641=0,0,O2609/B2641)</f>
        <v/>
      </c>
      <c r="Q2609">
        <f>IFERROR(1/IF(Inputs!$B$38="pvp",15,MAX(0.1,Skills!D5-IF(Skills!E5=TRUE,1.5,0))),0)</f>
        <v/>
      </c>
      <c r="R2609">
        <f>IF(AND(Inputs!$B$38&lt;&gt;"pvp",Inputs!$B$43&gt;0),IF(MAX(0,Inputs!$B$43-B2638)&lt;=0,0,(INT(MAX(0,Inputs!$B$43-B2638)/IF(Inputs!$B$38="pvp",15,MAX(0.1,Skills!D5-IF(Skills!E5=TRUE,1.5,0))))+1)),0)</f>
        <v/>
      </c>
      <c r="S2609">
        <f>IF(C2609,(H2609*N2609*IF(AND(Inputs!$B$38&lt;&gt;"pvp",Inputs!$B$43&gt;0),((Skills!F5*((R2609-1)*IF(Skills!G5&gt;0,Skills!H5/Skills!G5,1)+IF(Skills!G5&gt;0,MIN(Skills!H5,MAX(0,MAX(0,Inputs!$B$43-B2638)-((R2609-1)*IF(Inputs!$B$38="pvp",15,MAX(0.1,Skills!D5-IF(Skills!E5=TRUE,1.5,0))))))/Skills!G5,1)))/Inputs!$B$43),G2609*Q2609))*IF(Inputs!$B$38="pvp",1,1+(Inputs!$B$20+Skills!O5+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2609*(1-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IF(C2609,(H2609*N2609*IF(AND(Inputs!$B$38&lt;&gt;"pvp",Inputs!$B$43&gt;0),((Skills!F5*((R2609-1)*IF(Skills!G5&gt;0,Skills!H5/Skills!G5,1)+IF(Skills!G5&gt;0,MIN(Skills!H5,MAX(0,MAX(0,Inputs!$B$43-B2638)-((R2609-1)*IF(Inputs!$B$38="pvp",15,MAX(0.1,Skills!D5-IF(Skills!E5=TRUE,1.5,0))))))/Skills!G5,1)))/Inputs!$B$43),G2609*Q2609))*IF(Inputs!$B$38="pvp",1,(1+(Inputs!$B$21+Skills!P5+B2632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Skills!A6</f>
        <v/>
      </c>
      <c r="B2610">
        <f>Skills!B6</f>
        <v/>
      </c>
      <c r="C2610">
        <f>Inputs!$B$3&gt;=63</f>
        <v/>
      </c>
      <c r="D2610">
        <f>IF(Skills!C6=1,60+Inputs!$B$25+Inputs!$B$29,IF(Skills!C6=2,90+Inputs!$B$26+Inputs!$B$29,IF(Skills!C6=3,120+Inputs!$B$27+Inputs!$B$29,MAX(0,(Inputs!$B$3-100)*3)+Inputs!$B$28+Inputs!$B$29)))</f>
        <v/>
      </c>
      <c r="E2610">
        <f>INDEX(FactorTable!$B$2:$Y$301, MATCH(ROUND(MIN(300,MAX(1,D2610)),0), FactorTable!$A$2:$A$301,0), Skills!L6+1)</f>
        <v/>
      </c>
      <c r="F2610">
        <f>IF(Skills!M6=TRUE,(Skills!K6/10)*(E2610/1000),Skills!K6/10)+Skills!N6</f>
        <v/>
      </c>
      <c r="G2610">
        <f>Calc!G6</f>
        <v/>
      </c>
      <c r="H2610">
        <f>Calc!H6</f>
        <v/>
      </c>
      <c r="I2610">
        <f>IF(Skills!T6&lt;&gt;"",1+(Skills!T6/10)*(Z2607/1000)/100,1)</f>
        <v/>
      </c>
      <c r="J2610">
        <f>((Inputs!$B$6*(1+Inputs!$B$7/100))+(((Inputs!$B$12*(1+Inputs!$B$13/100))-(Inputs!$B$12*(1+Inputs!$B$13/100)))+0.25*(Inputs!$B$14-Inputs!$B$14))*(1+Inputs!$B$7/100))*(F2610/100)</f>
        <v/>
      </c>
      <c r="K2610">
        <f>J2610*(1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6="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F2622-Calc!F18),(Inputs!$B$23+(IF(ArtifactsInput!$M$15,CHOOSE(ArtifactsInput!$N$15+1,25,30,35,40,45,50)/100*(Inputs!$B$11-Inputs!$B$11),0))))/100+(Inputs!$B$23+(IF(ArtifactsInput!$M$15,CHOOSE(ArtifactsInput!$N$15+1,25,30,35,40,45,50)/100*(Inputs!$B$11-Inputs!$B$11),0)))/100)/2</f>
        <v/>
      </c>
      <c r="M2610">
        <f>L2610*(1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(1-Summary!$B$11)*S2610+Summary!$B$11*U2610</f>
        <v/>
      </c>
      <c r="P2610">
        <f>IF(B2641=0,0,O2610/B2641)</f>
        <v/>
      </c>
      <c r="Q2610">
        <f>IFERROR(1/IF(Inputs!$B$38="pvp",15,MAX(0.1,Skills!D6-IF(Skills!E6=TRUE,1.5,0))),0)</f>
        <v/>
      </c>
      <c r="R2610">
        <f>IF(AND(Inputs!$B$38&lt;&gt;"pvp",Inputs!$B$43&gt;0),IF(MAX(0,Inputs!$B$43-B2638)&lt;=0,0,(INT(MAX(0,Inputs!$B$43-B2638)/IF(Inputs!$B$38="pvp",15,MAX(0.1,Skills!D6-IF(Skills!E6=TRUE,1.5,0))))+1)),0)</f>
        <v/>
      </c>
      <c r="S2610">
        <f>IF(C2610,(H2610*N2610*IF(AND(Inputs!$B$38&lt;&gt;"pvp",Inputs!$B$43&gt;0),((Skills!F6*((R2610-1)*IF(Skills!G6&gt;0,Skills!H6/Skills!G6,1)+IF(Skills!G6&gt;0,MIN(Skills!H6,MAX(0,MAX(0,Inputs!$B$43-B2638)-((R2610-1)*IF(Inputs!$B$38="pvp",15,MAX(0.1,Skills!D6-IF(Skills!E6=TRUE,1.5,0))))))/Skills!G6,1)))/Inputs!$B$43),G2610*Q2610))*IF(Inputs!$B$38="pvp",1,1+(Inputs!$B$20+Skills!O6+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2610*(1-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IF(C2610,(H2610*N2610*IF(AND(Inputs!$B$38&lt;&gt;"pvp",Inputs!$B$43&gt;0),((Skills!F6*((R2610-1)*IF(Skills!G6&gt;0,Skills!H6/Skills!G6,1)+IF(Skills!G6&gt;0,MIN(Skills!H6,MAX(0,MAX(0,Inputs!$B$43-B2638)-((R2610-1)*IF(Inputs!$B$38="pvp",15,MAX(0.1,Skills!D6-IF(Skills!E6=TRUE,1.5,0))))))/Skills!G6,1)))/Inputs!$B$43),G2610*Q2610))*IF(Inputs!$B$38="pvp",1,(1+(Inputs!$B$21+Skills!P6+B2632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Skills!A7</f>
        <v/>
      </c>
      <c r="B2611">
        <f>Skills!B7</f>
        <v/>
      </c>
      <c r="C2611">
        <f>Inputs!$B$3&gt;=69</f>
        <v/>
      </c>
      <c r="D2611">
        <f>IF(Skills!C7=1,60+Inputs!$B$25+Inputs!$B$29,IF(Skills!C7=2,90+Inputs!$B$26+Inputs!$B$29,IF(Skills!C7=3,120+Inputs!$B$27+Inputs!$B$29,MAX(0,(Inputs!$B$3-100)*3)+Inputs!$B$28+Inputs!$B$29)))</f>
        <v/>
      </c>
      <c r="E2611">
        <f>INDEX(FactorTable!$B$2:$Y$301, MATCH(ROUND(MIN(300,MAX(1,D2611)),0), FactorTable!$A$2:$A$301,0), Skills!L7+1)</f>
        <v/>
      </c>
      <c r="F2611">
        <f>IF(Skills!M7=TRUE,(Skills!K7/10)*(E2611/1000),Skills!K7/10)+Skills!N7</f>
        <v/>
      </c>
      <c r="G2611">
        <f>Calc!G7</f>
        <v/>
      </c>
      <c r="H2611">
        <f>Calc!H7</f>
        <v/>
      </c>
      <c r="I2611">
        <f>IF(Skills!T7&lt;&gt;"",1+(Skills!T7/10)*(Z2607/1000)/100,1)</f>
        <v/>
      </c>
      <c r="J2611">
        <f>((Inputs!$B$6*(1+Inputs!$B$7/100))+(((Inputs!$B$12*(1+Inputs!$B$13/100))-(Inputs!$B$12*(1+Inputs!$B$13/100)))+0.25*(Inputs!$B$14-Inputs!$B$14))*(1+Inputs!$B$7/100))*(F2611/100)</f>
        <v/>
      </c>
      <c r="K2611">
        <f>J2611*(1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7="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F2622-Calc!F18),(Inputs!$B$23+(IF(ArtifactsInput!$M$15,CHOOSE(ArtifactsInput!$N$15+1,25,30,35,40,45,50)/100*(Inputs!$B$11-Inputs!$B$11),0))))/100+(Inputs!$B$23+(IF(ArtifactsInput!$M$15,CHOOSE(ArtifactsInput!$N$15+1,25,30,35,40,45,50)/100*(Inputs!$B$11-Inputs!$B$11),0)))/100)/2</f>
        <v/>
      </c>
      <c r="M2611">
        <f>L2611*(1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(1-Summary!$B$11)*S2611+Summary!$B$11*U2611</f>
        <v/>
      </c>
      <c r="P2611">
        <f>IF(B2641=0,0,O2611/B2641)</f>
        <v/>
      </c>
      <c r="Q2611">
        <f>IFERROR(1/IF(Inputs!$B$38="pvp",15,MAX(0.1,Skills!D7-IF(Skills!E7=TRUE,1.5,0))),0)</f>
        <v/>
      </c>
      <c r="R2611">
        <f>IF(AND(Inputs!$B$38&lt;&gt;"pvp",Inputs!$B$43&gt;0),IF(MAX(0,Inputs!$B$43-B2638)&lt;=0,0,(INT(MAX(0,Inputs!$B$43-B2638)/IF(Inputs!$B$38="pvp",15,MAX(0.1,Skills!D7-IF(Skills!E7=TRUE,1.5,0))))+1)),0)</f>
        <v/>
      </c>
      <c r="S2611">
        <f>IF(C2611,(H2611*N2611*IF(AND(Inputs!$B$38&lt;&gt;"pvp",Inputs!$B$43&gt;0),((Skills!F7*((R2611-1)*IF(Skills!G7&gt;0,Skills!H7/Skills!G7,1)+IF(Skills!G7&gt;0,MIN(Skills!H7,MAX(0,MAX(0,Inputs!$B$43-B2638)-((R2611-1)*IF(Inputs!$B$38="pvp",15,MAX(0.1,Skills!D7-IF(Skills!E7=TRUE,1.5,0))))))/Skills!G7,1)))/Inputs!$B$43),G2611*Q2611))*IF(Inputs!$B$38="pvp",1,1+(Inputs!$B$20+Skills!O7+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F(C2611,(H2611*N2611*IF(AND(Inputs!$B$38&lt;&gt;"pvp",Inputs!$B$43&gt;0),((Skills!F7*((R2611-1)*IF(Skills!G7&gt;0,Skills!H7/Skills!G7,1)+IF(Skills!G7&gt;0,MIN(Skills!H7,MAX(0,MAX(0,Inputs!$B$43-B2638)-((R2611-1)*IF(Inputs!$B$38="pvp",15,MAX(0.1,Skills!D7-IF(Skills!E7=TRUE,1.5,0))))))/Skills!G7,1)))/Inputs!$B$43),G2611*Q2611))*IF(Inputs!$B$38="pvp",1,(1+(Inputs!$B$21+Skills!P7+B2632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Skills!A8</f>
        <v/>
      </c>
      <c r="B2612">
        <f>Skills!B8</f>
        <v/>
      </c>
      <c r="C2612">
        <f>Inputs!$B$3&gt;=103</f>
        <v/>
      </c>
      <c r="D2612">
        <f>IF(Skills!C8=1,60+Inputs!$B$25+Inputs!$B$29,IF(Skills!C8=2,90+Inputs!$B$26+Inputs!$B$29,IF(Skills!C8=3,120+Inputs!$B$27+Inputs!$B$29,MAX(0,(Inputs!$B$3-100)*3)+Inputs!$B$28+Inputs!$B$29)))</f>
        <v/>
      </c>
      <c r="E2612">
        <f>INDEX(FactorTable!$B$2:$Y$301, MATCH(ROUND(MIN(300,MAX(1,D2612)),0), FactorTable!$A$2:$A$301,0), Skills!L8+1)</f>
        <v/>
      </c>
      <c r="F2612">
        <f>IF(Skills!M8=TRUE,(Skills!K8/10)*(E2612/1000),Skills!K8/10)+Skills!N8</f>
        <v/>
      </c>
      <c r="G2612">
        <f>Calc!G8</f>
        <v/>
      </c>
      <c r="H2612">
        <f>Calc!H8</f>
        <v/>
      </c>
      <c r="I2612">
        <f>IF(Skills!T8&lt;&gt;"",1+(Skills!T8/10)*(Z2607/1000)/100,1)</f>
        <v/>
      </c>
      <c r="J2612">
        <f>((Inputs!$B$6*(1+Inputs!$B$7/100))+(((Inputs!$B$12*(1+Inputs!$B$13/100))-(Inputs!$B$12*(1+Inputs!$B$13/100)))+0.25*(Inputs!$B$14-Inputs!$B$14))*(1+Inputs!$B$7/100))*(F2612/100)</f>
        <v/>
      </c>
      <c r="K2612">
        <f>J2612*(1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8="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F2622-Calc!F18),(Inputs!$B$23+(IF(ArtifactsInput!$M$15,CHOOSE(ArtifactsInput!$N$15+1,25,30,35,40,45,50)/100*(Inputs!$B$11-Inputs!$B$11),0))))/100+(Inputs!$B$23+(IF(ArtifactsInput!$M$15,CHOOSE(ArtifactsInput!$N$15+1,25,30,35,40,45,50)/100*(Inputs!$B$11-Inputs!$B$11),0)))/100)/2</f>
        <v/>
      </c>
      <c r="M2612">
        <f>L2612*(1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(1-Summary!$B$11)*S2612+Summary!$B$11*U2612</f>
        <v/>
      </c>
      <c r="P2612">
        <f>IF(B2641=0,0,O2612/B2641)</f>
        <v/>
      </c>
      <c r="Q2612">
        <f>IFERROR(1/IF(Inputs!$B$38="pvp",15,MAX(0.1,Skills!D8-IF(Skills!E8=TRUE,1.5,0))),0)</f>
        <v/>
      </c>
      <c r="R2612">
        <f>IF(AND(Inputs!$B$38&lt;&gt;"pvp",Inputs!$B$43&gt;0),IF(MAX(0,Inputs!$B$43-B2638)&lt;=0,0,(INT(MAX(0,Inputs!$B$43-B2638)/IF(Inputs!$B$38="pvp",15,MAX(0.1,Skills!D8-IF(Skills!E8=TRUE,1.5,0))))+1)),0)</f>
        <v/>
      </c>
      <c r="S2612">
        <f>IF(C2612,(H2612*N2612*IF(AND(Inputs!$B$38&lt;&gt;"pvp",Inputs!$B$43&gt;0),((Skills!F8*((R2612-1)*IF(Skills!G8&gt;0,Skills!H8/Skills!G8,1)+IF(Skills!G8&gt;0,MIN(Skills!H8,MAX(0,MAX(0,Inputs!$B$43-B2638)-((R2612-1)*IF(Inputs!$B$38="pvp",15,MAX(0.1,Skills!D8-IF(Skills!E8=TRUE,1.5,0))))))/Skills!G8,1)))/Inputs!$B$43),G2612*Q2612))*IF(Inputs!$B$38="pvp",1,1+(Inputs!$B$20+Skills!O8+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2612*(1-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F(C2612,(H2612*N2612*IF(AND(Inputs!$B$38&lt;&gt;"pvp",Inputs!$B$43&gt;0),((Skills!F8*((R2612-1)*IF(Skills!G8&gt;0,Skills!H8/Skills!G8,1)+IF(Skills!G8&gt;0,MIN(Skills!H8,MAX(0,MAX(0,Inputs!$B$43-B2638)-((R2612-1)*IF(Inputs!$B$38="pvp",15,MAX(0.1,Skills!D8-IF(Skills!E8=TRUE,1.5,0))))))/Skills!G8,1)))/Inputs!$B$43),G2612*Q2612))*IF(Inputs!$B$38="pvp",1,(1+(Inputs!$B$21+Skills!P8+B2632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Skills!A9</f>
        <v/>
      </c>
      <c r="B2613">
        <f>Skills!B9</f>
        <v/>
      </c>
      <c r="C2613">
        <f>Inputs!$B$3&gt;=105</f>
        <v/>
      </c>
      <c r="D2613">
        <f>IF(Skills!C9=1,60+Inputs!$B$25+Inputs!$B$29,IF(Skills!C9=2,90+Inputs!$B$26+Inputs!$B$29,IF(Skills!C9=3,120+Inputs!$B$27+Inputs!$B$29,MAX(0,(Inputs!$B$3-100)*3)+Inputs!$B$28+Inputs!$B$29)))</f>
        <v/>
      </c>
      <c r="E2613">
        <f>INDEX(FactorTable!$B$2:$Y$301, MATCH(ROUND(MIN(300,MAX(1,D2613)),0), FactorTable!$A$2:$A$301,0), Skills!L9+1)</f>
        <v/>
      </c>
      <c r="F2613">
        <f>IF(Skills!M9=TRUE,(Skills!K9/10)*(E2613/1000),Skills!K9/10)+Skills!N9</f>
        <v/>
      </c>
      <c r="G2613">
        <f>Calc!G9</f>
        <v/>
      </c>
      <c r="H2613">
        <f>Calc!H9</f>
        <v/>
      </c>
      <c r="I2613">
        <f>IF(Skills!T9&lt;&gt;"",1+(Skills!T9/10)*(Z2607/1000)/100,1)</f>
        <v/>
      </c>
      <c r="J2613">
        <f>((Inputs!$B$6*(1+Inputs!$B$7/100))+(((Inputs!$B$12*(1+Inputs!$B$13/100))-(Inputs!$B$12*(1+Inputs!$B$13/100)))+0.25*(Inputs!$B$14-Inputs!$B$14))*(1+Inputs!$B$7/100))*(F2613/100)</f>
        <v/>
      </c>
      <c r="K2613">
        <f>J2613*(1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9="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F2622-Calc!F18),(Inputs!$B$23+(IF(ArtifactsInput!$M$15,CHOOSE(ArtifactsInput!$N$15+1,25,30,35,40,45,50)/100*(Inputs!$B$11-Inputs!$B$11),0))))/100+(Inputs!$B$23+(IF(ArtifactsInput!$M$15,CHOOSE(ArtifactsInput!$N$15+1,25,30,35,40,45,50)/100*(Inputs!$B$11-Inputs!$B$11),0)))/100)/2</f>
        <v/>
      </c>
      <c r="M2613">
        <f>L2613*(1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(1-Summary!$B$11)*S2613+Summary!$B$11*U2613</f>
        <v/>
      </c>
      <c r="P2613">
        <f>IF(B2641=0,0,O2613/B2641)</f>
        <v/>
      </c>
      <c r="Q2613">
        <f>IFERROR(1/IF(Inputs!$B$38="pvp",15,MAX(0.1,Skills!D9-IF(Skills!E9=TRUE,1.5,0))),0)</f>
        <v/>
      </c>
      <c r="R2613">
        <f>IF(AND(Inputs!$B$38&lt;&gt;"pvp",Inputs!$B$43&gt;0),IF(MAX(0,Inputs!$B$43-B2638)&lt;=0,0,(INT(MAX(0,Inputs!$B$43-B2638)/IF(Inputs!$B$38="pvp",15,MAX(0.1,Skills!D9-IF(Skills!E9=TRUE,1.5,0))))+1)),0)</f>
        <v/>
      </c>
      <c r="S2613">
        <f>IF(C2613,(H2613*N2613*IF(AND(Inputs!$B$38&lt;&gt;"pvp",Inputs!$B$43&gt;0),((Skills!F9*((R2613-1)*IF(Skills!G9&gt;0,Skills!H9/Skills!G9,1)+IF(Skills!G9&gt;0,MIN(Skills!H9,MAX(0,MAX(0,Inputs!$B$43-B2638)-((R2613-1)*IF(Inputs!$B$38="pvp",15,MAX(0.1,Skills!D9-IF(Skills!E9=TRUE,1.5,0))))))/Skills!G9,1)))/Inputs!$B$43),G2613*Q2613))*IF(Inputs!$B$38="pvp",1,1+(Inputs!$B$20+Skills!O9+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2613*(1-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3">
        <f>IF(C2613,(H2613*N2613*IF(AND(Inputs!$B$38&lt;&gt;"pvp",Inputs!$B$43&gt;0),((Skills!F9*((R2613-1)*IF(Skills!G9&gt;0,Skills!H9/Skills!G9,1)+IF(Skills!G9&gt;0,MIN(Skills!H9,MAX(0,MAX(0,Inputs!$B$43-B2638)-((R2613-1)*IF(Inputs!$B$38="pvp",15,MAX(0.1,Skills!D9-IF(Skills!E9=TRUE,1.5,0))))))/Skills!G9,1)))/Inputs!$B$43),G2613*Q2613))*IF(Inputs!$B$38="pvp",1,(1+(Inputs!$B$21+Skills!P9+B2632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Skills!A10</f>
        <v/>
      </c>
      <c r="B2614">
        <f>Skills!B10</f>
        <v/>
      </c>
      <c r="C2614">
        <f>Inputs!$B$3&gt;=113</f>
        <v/>
      </c>
      <c r="D2614">
        <f>IF(Skills!C10=1,60+Inputs!$B$25+Inputs!$B$29,IF(Skills!C10=2,90+Inputs!$B$26+Inputs!$B$29,IF(Skills!C10=3,120+Inputs!$B$27+Inputs!$B$29,MAX(0,(Inputs!$B$3-100)*3)+Inputs!$B$28+Inputs!$B$29)))</f>
        <v/>
      </c>
      <c r="E2614">
        <f>INDEX(FactorTable!$B$2:$Y$301, MATCH(ROUND(MIN(300,MAX(1,D2614)),0), FactorTable!$A$2:$A$301,0), Skills!L10+1)</f>
        <v/>
      </c>
      <c r="F2614">
        <f>IF(Skills!M10=TRUE,(Skills!K10/10)*(E2614/1000),Skills!K10/10)+Skills!N10</f>
        <v/>
      </c>
      <c r="G2614">
        <f>Calc!G10</f>
        <v/>
      </c>
      <c r="H2614">
        <f>Calc!H10</f>
        <v/>
      </c>
      <c r="I2614">
        <f>IF(Skills!T10&lt;&gt;"",1+(Skills!T10/10)*(Z2607/1000)/100,1)</f>
        <v/>
      </c>
      <c r="J2614">
        <f>((Inputs!$B$6*(1+Inputs!$B$7/100))+(((Inputs!$B$12*(1+Inputs!$B$13/100))-(Inputs!$B$12*(1+Inputs!$B$13/100)))+0.25*(Inputs!$B$14-Inputs!$B$14))*(1+Inputs!$B$7/100))*(F2614/100)</f>
        <v/>
      </c>
      <c r="K2614">
        <f>J2614*(1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10="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F2622-Calc!F18),(Inputs!$B$23+(IF(ArtifactsInput!$M$15,CHOOSE(ArtifactsInput!$N$15+1,25,30,35,40,45,50)/100*(Inputs!$B$11-Inputs!$B$11),0))))/100+(Inputs!$B$23+(IF(ArtifactsInput!$M$15,CHOOSE(ArtifactsInput!$N$15+1,25,30,35,40,45,50)/100*(Inputs!$B$11-Inputs!$B$11),0)))/100)/2</f>
        <v/>
      </c>
      <c r="M2614">
        <f>L2614*(1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(1-Summary!$B$11)*S2614+Summary!$B$11*U2614</f>
        <v/>
      </c>
      <c r="P2614">
        <f>IF(B2641=0,0,O2614/B2641)</f>
        <v/>
      </c>
      <c r="Q2614">
        <f>IFERROR(1/IF(Inputs!$B$38="pvp",15,MAX(0.1,Skills!D10-IF(Skills!E9=TRUE,1.5,0))),0)</f>
        <v/>
      </c>
      <c r="R2614">
        <f>IF(AND(Inputs!$B$38&lt;&gt;"pvp",Inputs!$B$43&gt;0),IF(MAX(0,Inputs!$B$43-B2638)&lt;=0,0,(INT(MAX(0,Inputs!$B$43-B2638)/IF(Inputs!$B$38="pvp",15,MAX(0.1,Skills!D10-IF(Skills!E9=TRUE,1.5,0))))+1)),0)</f>
        <v/>
      </c>
      <c r="S2614">
        <f>IF(C2614,(H2614*N2614*IF(AND(Inputs!$B$38&lt;&gt;"pvp",Inputs!$B$43&gt;0),((Skills!F10*((R2614-1)*IF(Skills!G10&gt;0,Skills!H10/Skills!G10,1)+IF(Skills!G10&gt;0,MIN(Skills!H10,MAX(0,MAX(0,Inputs!$B$43-B2638)-((R2614-1)*IF(Inputs!$B$38="pvp",15,MAX(0.1,Skills!D10-IF(Skills!E9=TRUE,1.5,0))))))/Skills!G10,1)))/Inputs!$B$43),G2614*Q2614))*IF(Inputs!$B$38="pvp",1,1+(Inputs!$B$20+Skills!O10+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2614*(1-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4">
        <f>IF(C2614,(H2614*N2614*IF(AND(Inputs!$B$38&lt;&gt;"pvp",Inputs!$B$43&gt;0),((Skills!F10*((R2614-1)*IF(Skills!G10&gt;0,Skills!H10/Skills!G10,1)+IF(Skills!G10&gt;0,MIN(Skills!H10,MAX(0,MAX(0,Inputs!$B$43-B2638)-((R2614-1)*IF(Inputs!$B$38="pvp",15,MAX(0.1,Skills!D10-IF(Skills!E9=TRUE,1.5,0))))))/Skills!G10,1)))/Inputs!$B$43),G2614*Q2614))*IF(Inputs!$B$38="pvp",1,(1+(Inputs!$B$21+Skills!P10+B2632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Skills!A11</f>
        <v/>
      </c>
      <c r="B2615">
        <f>Skills!B11</f>
        <v/>
      </c>
      <c r="C2615">
        <f>Inputs!$B$3&gt;=107</f>
        <v/>
      </c>
      <c r="D2615">
        <f>IF(Skills!C11=1,60+Inputs!$B$25+Inputs!$B$29,IF(Skills!C11=2,90+Inputs!$B$26+Inputs!$B$29,IF(Skills!C11=3,120+Inputs!$B$27+Inputs!$B$29,MAX(0,(Inputs!$B$3-100)*3)+Inputs!$B$28+Inputs!$B$29)))</f>
        <v/>
      </c>
      <c r="E2615">
        <f>INDEX(FactorTable!$B$2:$Y$301, MATCH(ROUND(MIN(300,MAX(1,D2615)),0), FactorTable!$A$2:$A$301,0), Skills!L11+1)</f>
        <v/>
      </c>
      <c r="F2615">
        <f>IF(Skills!M11=TRUE,(Skills!K11/10)*(E2615/1000),Skills!K11/10)+Skills!N11</f>
        <v/>
      </c>
      <c r="G2615">
        <f>Calc!G11</f>
        <v/>
      </c>
      <c r="H2615">
        <f>Calc!H11</f>
        <v/>
      </c>
      <c r="I2615">
        <f>IF(Skills!T11&lt;&gt;"",1+(Skills!T11/10)*(Z2607/1000)/100,1)</f>
        <v/>
      </c>
      <c r="J2615">
        <f>((Inputs!$B$6*(1+Inputs!$B$7/100))+(((Inputs!$B$12*(1+Inputs!$B$13/100))-(Inputs!$B$12*(1+Inputs!$B$13/100)))+0.25*(Inputs!$B$14-Inputs!$B$14))*(1+Inputs!$B$7/100))*(F2615/100)</f>
        <v/>
      </c>
      <c r="K2615">
        <f>J2615*(1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11="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F2622-Calc!F18),(Inputs!$B$23+(IF(ArtifactsInput!$M$15,CHOOSE(ArtifactsInput!$N$15+1,25,30,35,40,45,50)/100*(Inputs!$B$11-Inputs!$B$11),0))))/100+(Inputs!$B$23+(IF(ArtifactsInput!$M$15,CHOOSE(ArtifactsInput!$N$15+1,25,30,35,40,45,50)/100*(Inputs!$B$11-Inputs!$B$11),0)))/100)/2</f>
        <v/>
      </c>
      <c r="M2615">
        <f>L2615*(1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(1-Summary!$B$11)*S2615+Summary!$B$11*U2615</f>
        <v/>
      </c>
      <c r="P2615">
        <f>IF(B2641=0,0,O2615/B2641)</f>
        <v/>
      </c>
      <c r="Q2615">
        <f>IFERROR(1/IF(Inputs!$B$38="pvp",15,MAX(0.1,Skills!D11-IF(Skills!E11=TRUE,1.5,0))),0)</f>
        <v/>
      </c>
      <c r="R2615">
        <f>IF(AND(Inputs!$B$38&lt;&gt;"pvp",Inputs!$B$43&gt;0),IF(MAX(0,Inputs!$B$43-B2638)&lt;=0,0,(INT(MAX(0,Inputs!$B$43-B2638)/IF(Inputs!$B$38="pvp",15,MAX(0.1,Skills!D11-IF(Skills!E11=TRUE,1.5,0))))+1)),0)</f>
        <v/>
      </c>
      <c r="S2615">
        <f>IF(C2615,H2615*N2615*IF(AND(Inputs!$B$38&lt;&gt;"pvp",Inputs!$B$43&gt;0),((Skills!F11*((R2615-1)*IF(Skills!G11&gt;0,Skills!H11/Skills!G11,1)+IF(Skills!G11&gt;0,MIN(Skills!H11,MAX(0,MAX(0,Inputs!$B$43-B2638)-((R2615-1)*IF(Inputs!$B$38="pvp",15,MAX(0.1,Skills!D11-IF(Skills!E11=TRUE,1.5,0))))))/Skills!G11,1)))/Inputs!$B$43),G2615*Q2615)*0.5*IF(Inputs!$B$38="pvp",1,1+(Inputs!$B$20+Skills!O11+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2615*(1-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5">
        <f>IF(C2615,H2615*N2615*IF(AND(Inputs!$B$38&lt;&gt;"pvp",Inputs!$B$43&gt;0),((Skills!F11*((R2615-1)*IF(Skills!G11&gt;0,Skills!H11/Skills!G11,1)+IF(Skills!G11&gt;0,MIN(Skills!H11,MAX(0,MAX(0,Inputs!$B$43-B2638)-((R2615-1)*IF(Inputs!$B$38="pvp",15,MAX(0.1,Skills!D11-IF(Skills!E11=TRUE,1.5,0))))))/Skills!G11,1)))/Inputs!$B$43),G2615*Q2615)*1*IF(Inputs!$B$38="pvp",1,(1+(Inputs!$B$21+Skills!P11+B2632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Skills!A12</f>
        <v/>
      </c>
      <c r="B2616">
        <f>Skills!B12</f>
        <v/>
      </c>
      <c r="C2616">
        <f>Inputs!$B$3&gt;=115</f>
        <v/>
      </c>
      <c r="D2616">
        <f>IF(Skills!C12=1,60+Inputs!$B$25+Inputs!$B$29,IF(Skills!C12=2,90+Inputs!$B$26+Inputs!$B$29,IF(Skills!C12=3,120+Inputs!$B$27+Inputs!$B$29,MAX(0,(Inputs!$B$3-100)*3)+Inputs!$B$28+Inputs!$B$29)))</f>
        <v/>
      </c>
      <c r="E2616">
        <f>INDEX(FactorTable!$B$2:$Y$301, MATCH(ROUND(MIN(300,MAX(1,D2616)),0), FactorTable!$A$2:$A$301,0), Skills!L12+1)</f>
        <v/>
      </c>
      <c r="F2616">
        <f>IF(Skills!M12=TRUE,(Skills!K12/10)*(E2616/1000),Skills!K12/10)+Skills!N12</f>
        <v/>
      </c>
      <c r="G2616">
        <f>Calc!G12</f>
        <v/>
      </c>
      <c r="H2616">
        <f>Calc!H12</f>
        <v/>
      </c>
      <c r="I2616">
        <f>IF(Skills!T12&lt;&gt;"",1+(Skills!T12/10)*(Z2607/1000)/100,1)</f>
        <v/>
      </c>
      <c r="J2616">
        <f>((Inputs!$B$6*(1+Inputs!$B$7/100))+(((Inputs!$B$12*(1+Inputs!$B$13/100))-(Inputs!$B$12*(1+Inputs!$B$13/100)))+0.25*(Inputs!$B$14-Inputs!$B$14))*(1+Inputs!$B$7/100))*(F2616/100)</f>
        <v/>
      </c>
      <c r="K2616">
        <f>J2616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12="CHAIN_LIGHTNING",Inputs!$B$17+((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F2622-Calc!F18),(Inputs!$B$23+(IF(ArtifactsInput!$M$15,CHOOSE(ArtifactsInput!$N$15+1,25,30,35,40,45,50)/100*(Inputs!$B$11-Inputs!$B$11),0))))/100+(Inputs!$B$23+(IF(ArtifactsInput!$M$15,CHOOSE(ArtifactsInput!$N$15+1,25,30,35,40,45,50)/100*(Inputs!$B$11-Inputs!$B$11),0)))/100)/2</f>
        <v/>
      </c>
      <c r="M2616">
        <f>L2616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(1-Summary!$B$11)*S2616+Summary!$B$11*U2616</f>
        <v/>
      </c>
      <c r="P2616">
        <f>IF(B2641=0,0,O2616/B2641)</f>
        <v/>
      </c>
      <c r="Q2616">
        <f>IFERROR(1/IF(Inputs!$B$38="pvp",15,MAX(0.1,Skills!D12-IF(Skills!E12=TRUE,1.5,0))),0)</f>
        <v/>
      </c>
      <c r="R2616">
        <f>IF(AND(Inputs!$B$38&lt;&gt;"pvp",Inputs!$B$43&gt;0),IF(MAX(0,Inputs!$B$43-B2638)&lt;=0,0,(INT(MAX(0,Inputs!$B$43-B2638)/IF(Inputs!$B$38="pvp",15,MAX(0.1,Skills!D12-IF(Skills!E12=TRUE,1.5,0))))+1)),0)</f>
        <v/>
      </c>
      <c r="S2616">
        <f>IF(C2616,(H2616*N2616*IF(AND(Inputs!$B$38&lt;&gt;"pvp",Inputs!$B$43&gt;0),((Skills!F12*((R2616-1)*IF(Skills!G12&gt;0,Skills!H12/Skills!G12,1)+IF(Skills!G12&gt;0,MIN(Skills!H12,MAX(0,MAX(0,Inputs!$B$43-B2638)-((R2616-1)*IF(Inputs!$B$38="pvp",15,MAX(0.1,Skills!D12-IF(Skills!E12=TRUE,1.5,0))))))/Skills!G12,1)))/Inputs!$B$43),G2616*Q2616))*IF(Inputs!$B$38="pvp",1,1+(Inputs!$B$20+Skills!O12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2616*(1-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F2624-Calc!F20)+(F2623-Calc!F19))+(ArtifactsInput!$M$24-ArtifactsInput!$M$24)*CHOOSE(ArtifactsInput!$N$24+1,10,12,14,16,18,20)+(IF(AND(Inputs!$B$38&lt;&gt;"pvp",Inputs!$B$43=0),1,IF(IF(Inputs!$B$38="pvp",15,Inputs!$B$43)-(B2638)&lt;=0,1,MAX(0,IF(Inputs!$B$38="pvp",15,Inputs!$B$43)-MAX(5,B2638))/(IF(Inputs!$B$38="pvp",15,Inputs!$B$43)-(B2638)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6">
        <f>IF(C2616,(H2616*N2616*IF(AND(Inputs!$B$38&lt;&gt;"pvp",Inputs!$B$43&gt;0),((Skills!F12*((R2616-1)*IF(Skills!G12&gt;0,Skills!H12/Skills!G12,1)+IF(Skills!G12&gt;0,MIN(Skills!H12,MAX(0,MAX(0,Inputs!$B$43-B2638)-((R2616-1)*IF(Inputs!$B$38="pvp",15,MAX(0.1,Skills!D12-IF(Skills!E12=TRUE,1.5,0))))))/Skills!G12,1)))/Inputs!$B$43),G2616*Q2616))*IF(Inputs!$B$38="pvp",1,(1+(Inputs!$B$21+Skills!P12+B2632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Skills!A13</f>
        <v/>
      </c>
      <c r="B2617">
        <f>Skills!B13</f>
        <v/>
      </c>
      <c r="C2617">
        <f>Inputs!$B$3&gt;=49</f>
        <v/>
      </c>
      <c r="D2617">
        <f>IF(Skills!C13=1,60+Inputs!$B$25+Inputs!$B$29,IF(Skills!C13=2,90+Inputs!$B$26+Inputs!$B$29,IF(Skills!C13=3,120+Inputs!$B$27+Inputs!$B$29,MAX(0,(Inputs!$B$3-100)*3)+Inputs!$B$28+Inputs!$B$29)))</f>
        <v/>
      </c>
      <c r="E2617">
        <f>INDEX(FactorTable!$B$2:$Y$301, MATCH(ROUND(MIN(300,MAX(1,D2617)),0), FactorTable!$A$2:$A$301,0), Skills!L13+1)</f>
        <v/>
      </c>
      <c r="F2617">
        <f>IF(Skills!M13=TRUE,(Skills!K13/10)*(E2617/1000),Skills!K13/10)+Skills!N13</f>
        <v/>
      </c>
      <c r="G2617">
        <f>Calc!G13</f>
        <v/>
      </c>
      <c r="H2617">
        <f>Calc!H13</f>
        <v/>
      </c>
      <c r="I2617">
        <f>IF(Skills!T13&lt;&gt;"",1+(Skills!T13/10)*(Z2607/1000)/100,1)</f>
        <v/>
      </c>
      <c r="J2617" t="inlineStr"/>
      <c r="K2617" t="inlineStr"/>
      <c r="L2617" t="inlineStr"/>
      <c r="M2617" t="inlineStr"/>
      <c r="N2617" t="inlineStr"/>
      <c r="O2617">
        <f>(1-Summary!$B$11)*S2617+Summary!$B$11*U2617</f>
        <v/>
      </c>
      <c r="P2617">
        <f>IF(B2641=0,0,O2617/B2641)</f>
        <v/>
      </c>
      <c r="Q2617">
        <f>IFERROR(1/IF(Inputs!$B$38="pvp",15,MAX(0.1,Skills!D13-IF(Skills!E13=TRUE,1.5,0))),0)</f>
        <v/>
      </c>
      <c r="R2617" t="n">
        <v>0</v>
      </c>
      <c r="S2617" t="n">
        <v>0</v>
      </c>
      <c r="U2617" t="n">
        <v>0</v>
      </c>
    </row>
    <row r="2618">
      <c r="A2618">
        <f>Skills!A14</f>
        <v/>
      </c>
      <c r="B2618">
        <f>Skills!B14</f>
        <v/>
      </c>
      <c r="C2618">
        <f>Inputs!$B$3&gt;=72</f>
        <v/>
      </c>
      <c r="D2618">
        <f>IF(Skills!C14=1,60+Inputs!$B$25+Inputs!$B$29,IF(Skills!C14=2,90+Inputs!$B$26+Inputs!$B$29,IF(Skills!C14=3,120+Inputs!$B$27+Inputs!$B$29,MAX(0,(Inputs!$B$3-100)*3)+Inputs!$B$28+Inputs!$B$29)))</f>
        <v/>
      </c>
      <c r="E2618">
        <f>INDEX(FactorTable!$B$2:$Y$301, MATCH(ROUND(MIN(300,MAX(1,D2618)),0), FactorTable!$A$2:$A$301,0), Skills!L14+1)</f>
        <v/>
      </c>
      <c r="F2618">
        <f>IF(Skills!M14=TRUE,(Skills!K14/10)*(E2618/1000),Skills!K14/10)+Skills!N14</f>
        <v/>
      </c>
      <c r="G2618">
        <f>Calc!G14</f>
        <v/>
      </c>
      <c r="H2618">
        <f>Calc!H14</f>
        <v/>
      </c>
      <c r="I2618">
        <f>IF(Skills!T14&lt;&gt;"",1+(Skills!T14/10)*(Z2607/1000)/100,1)</f>
        <v/>
      </c>
      <c r="J2618" t="inlineStr"/>
      <c r="K2618" t="inlineStr"/>
      <c r="L2618" t="inlineStr"/>
      <c r="M2618" t="inlineStr"/>
      <c r="N2618" t="inlineStr"/>
      <c r="O2618">
        <f>(1-Summary!$B$11)*S2618+Summary!$B$11*U2618</f>
        <v/>
      </c>
      <c r="P2618">
        <f>IF(B2641=0,0,O2618/B2641)</f>
        <v/>
      </c>
      <c r="Q2618">
        <f>IFERROR(1/IF(Inputs!$B$38="pvp",15,MAX(0.1,Skills!D14-IF(Skills!E14=TRUE,1.5,0))),0)</f>
        <v/>
      </c>
      <c r="R2618" t="n">
        <v>0</v>
      </c>
      <c r="S2618" t="n">
        <v>0</v>
      </c>
      <c r="U2618" t="n">
        <v>0</v>
      </c>
    </row>
    <row r="2619">
      <c r="A2619">
        <f>Skills!A15</f>
        <v/>
      </c>
      <c r="B2619">
        <f>Skills!B15</f>
        <v/>
      </c>
      <c r="C2619">
        <f>Inputs!$B$3&gt;=75</f>
        <v/>
      </c>
      <c r="D2619">
        <f>IF(Skills!C15=1,60+Inputs!$B$25+Inputs!$B$29,IF(Skills!C15=2,90+Inputs!$B$26+Inputs!$B$29,IF(Skills!C15=3,120+Inputs!$B$27+Inputs!$B$29,MAX(0,(Inputs!$B$3-100)*3)+Inputs!$B$28+Inputs!$B$29)))</f>
        <v/>
      </c>
      <c r="E2619">
        <f>INDEX(FactorTable!$B$2:$Y$301, MATCH(ROUND(MIN(300,MAX(1,D2619)),0), FactorTable!$A$2:$A$301,0), Skills!L15+1)</f>
        <v/>
      </c>
      <c r="F2619">
        <f>IF(Skills!M15=TRUE,(Skills!K15/10)*(E2619/1000),Skills!K15/10)+Skills!N15</f>
        <v/>
      </c>
      <c r="G2619">
        <f>Calc!G15</f>
        <v/>
      </c>
      <c r="H2619">
        <f>Calc!H15</f>
        <v/>
      </c>
      <c r="I2619">
        <f>IF(Skills!T15&lt;&gt;"",1+(Skills!T15/10)*(Z2607/1000)/100,1)</f>
        <v/>
      </c>
      <c r="J2619" t="inlineStr"/>
      <c r="K2619" t="inlineStr"/>
      <c r="L2619" t="inlineStr"/>
      <c r="M2619" t="inlineStr"/>
      <c r="N2619" t="inlineStr"/>
      <c r="O2619">
        <f>(1-Summary!$B$11)*S2619+Summary!$B$11*U2619</f>
        <v/>
      </c>
      <c r="P2619">
        <f>IF(B2641=0,0,O2619/B2641)</f>
        <v/>
      </c>
      <c r="Q2619">
        <f>IFERROR(1/IF(Inputs!$B$38="pvp",15,MAX(0.1,Skills!D15-IF(Skills!E15=TRUE,1.5,0))),0)</f>
        <v/>
      </c>
      <c r="R2619" t="n">
        <v>0</v>
      </c>
      <c r="S2619" t="n">
        <v>0</v>
      </c>
      <c r="U2619" t="n">
        <v>0</v>
      </c>
    </row>
    <row r="2620">
      <c r="A2620">
        <f>Skills!A16</f>
        <v/>
      </c>
      <c r="B2620">
        <f>Skills!B16</f>
        <v/>
      </c>
      <c r="C2620">
        <f>Inputs!$B$3&gt;=110</f>
        <v/>
      </c>
      <c r="D2620">
        <f>IF(Skills!C16=1,60+Inputs!$B$25+Inputs!$B$29,IF(Skills!C16=2,90+Inputs!$B$26+Inputs!$B$29,IF(Skills!C16=3,120+Inputs!$B$27+Inputs!$B$29,MAX(0,(Inputs!$B$3-100)*3)+Inputs!$B$28+Inputs!$B$29)))</f>
        <v/>
      </c>
      <c r="E2620">
        <f>INDEX(FactorTable!$B$2:$Y$301, MATCH(ROUND(MIN(300,MAX(1,D2620)),0), FactorTable!$A$2:$A$301,0), Skills!L16+1)</f>
        <v/>
      </c>
      <c r="F2620">
        <f>(Skills!K16/10)*(E2620/1000)*64/45+Skills!N16</f>
        <v/>
      </c>
      <c r="G2620">
        <f>Calc!G16</f>
        <v/>
      </c>
      <c r="H2620">
        <f>Calc!H16</f>
        <v/>
      </c>
      <c r="I2620">
        <f>IF(Skills!T16&lt;&gt;"",1+(Skills!T16/10)*(Z2607/1000)/100,1)</f>
        <v/>
      </c>
      <c r="J2620" t="inlineStr"/>
      <c r="K2620" t="inlineStr"/>
      <c r="L2620" t="inlineStr"/>
      <c r="M2620" t="inlineStr"/>
      <c r="N2620" t="inlineStr"/>
      <c r="O2620">
        <f>(1-Summary!$B$11)*S2620+Summary!$B$11*U2620</f>
        <v/>
      </c>
      <c r="P2620">
        <f>IF(B2641=0,0,O2620/B2641)</f>
        <v/>
      </c>
      <c r="Q2620">
        <f>IFERROR(1/IF(Inputs!$B$38="pvp",15,MAX(0.1,Skills!D16-IF(Skills!E16=TRUE,1.5,0))),0)</f>
        <v/>
      </c>
      <c r="R2620">
        <f>IF(AND(Inputs!$B$38&lt;&gt;"pvp",Inputs!$B$43&gt;0),IF(Inputs!$B$43&lt;=0,0,(INT(Inputs!$B$43/IF(Inputs!$B$38="pvp",15,MAX(0.1,Skills!D16-IF(Skills!E16=TRUE,1.5,0))))+1)),0)</f>
        <v/>
      </c>
      <c r="S2620" t="n">
        <v>0</v>
      </c>
      <c r="U2620" t="n">
        <v>0</v>
      </c>
    </row>
    <row r="2621">
      <c r="A2621">
        <f>Skills!A17</f>
        <v/>
      </c>
      <c r="B2621">
        <f>Skills!B17</f>
        <v/>
      </c>
      <c r="C2621">
        <f>Inputs!$B$3&gt;=33</f>
        <v/>
      </c>
      <c r="D2621">
        <f>IF(Skills!C17=1,60+Inputs!$B$25+Inputs!$B$29,IF(Skills!C17=2,90+Inputs!$B$26+Inputs!$B$29,IF(Skills!C17=3,120+Inputs!$B$27+Inputs!$B$29,MAX(0,(Inputs!$B$3-100)*3)+Inputs!$B$28+Inputs!$B$29)))</f>
        <v/>
      </c>
      <c r="E2621">
        <f>INDEX(FactorTable!$B$2:$Y$301, MATCH(ROUND(MIN(300,MAX(1,D2621)),0), FactorTable!$A$2:$A$301,0), Skills!L17+1)</f>
        <v/>
      </c>
      <c r="F2621">
        <f>IF(Skills!M17=TRUE,(Skills!K17/10)*(E2621/1000),Skills!K17/10)+Skills!N17</f>
        <v/>
      </c>
      <c r="G2621">
        <f>Calc!G17</f>
        <v/>
      </c>
      <c r="H2621">
        <f>Calc!H17</f>
        <v/>
      </c>
      <c r="I2621">
        <f>IF(Skills!T17&lt;&gt;"",1+(Skills!T17/10)*(Z2607/1000)/100,1)</f>
        <v/>
      </c>
      <c r="J2621" t="inlineStr"/>
      <c r="K2621" t="inlineStr"/>
      <c r="L2621" t="inlineStr"/>
      <c r="M2621" t="inlineStr"/>
      <c r="N2621" t="inlineStr"/>
      <c r="O2621">
        <f>(1-Summary!$B$11)*S2621+Summary!$B$11*U2621</f>
        <v/>
      </c>
      <c r="P2621">
        <f>IF(B2641=0,0,O2621/B2641)</f>
        <v/>
      </c>
      <c r="Q2621">
        <f>IFERROR(1/IF(Inputs!$B$38="pvp",15,MAX(0.1,Skills!D17-IF(Skills!E17=TRUE,1.5,0))),0)</f>
        <v/>
      </c>
      <c r="R2621" t="n">
        <v>0</v>
      </c>
      <c r="S2621" t="n">
        <v>0</v>
      </c>
      <c r="U2621" t="n">
        <v>0</v>
      </c>
    </row>
    <row r="2622">
      <c r="A2622">
        <f>Skills!A18</f>
        <v/>
      </c>
      <c r="B2622">
        <f>Skills!B18</f>
        <v/>
      </c>
      <c r="C2622">
        <f>Inputs!$B$3&gt;=43</f>
        <v/>
      </c>
      <c r="D2622">
        <f>IF(Skills!C18=1,60+Inputs!$B$25+Inputs!$B$29,IF(Skills!C18=2,90+Inputs!$B$26+Inputs!$B$29,IF(Skills!C18=3,120+Inputs!$B$27+Inputs!$B$29,MAX(0,(Inputs!$B$3-100)*3)+Inputs!$B$28+Inputs!$B$29)))</f>
        <v/>
      </c>
      <c r="E2622">
        <f>INDEX(FactorTable!$B$2:$Y$301, MATCH(ROUND(MIN(300,MAX(1,D2622)),0), FactorTable!$A$2:$A$301,0), Skills!L18+1)</f>
        <v/>
      </c>
      <c r="F2622">
        <f>IF(Skills!M18=TRUE,(Skills!K18/10)*(E2622/1000),Skills!K18/10)+Skills!N18</f>
        <v/>
      </c>
      <c r="G2622">
        <f>Calc!G18</f>
        <v/>
      </c>
      <c r="H2622">
        <f>Calc!H18</f>
        <v/>
      </c>
      <c r="I2622">
        <f>IF(Skills!T18&lt;&gt;"",1+(Skills!T18/10)*(Z2607/1000)/100,1)</f>
        <v/>
      </c>
      <c r="J2622" t="inlineStr"/>
      <c r="K2622" t="inlineStr"/>
      <c r="L2622" t="inlineStr"/>
      <c r="M2622" t="inlineStr"/>
      <c r="N2622" t="inlineStr"/>
      <c r="O2622">
        <f>(1-Summary!$B$11)*S2622+Summary!$B$11*U2622</f>
        <v/>
      </c>
      <c r="P2622">
        <f>IF(B2641=0,0,O2622/B2641)</f>
        <v/>
      </c>
      <c r="Q2622">
        <f>IFERROR(1/IF(Inputs!$B$38="pvp",15,MAX(0.1,Skills!D18-IF(Skills!E18=TRUE,1.5,0))),0)</f>
        <v/>
      </c>
      <c r="R2622" t="n">
        <v>0</v>
      </c>
      <c r="S2622" t="n">
        <v>0</v>
      </c>
      <c r="U2622" t="n">
        <v>0</v>
      </c>
    </row>
    <row r="2623">
      <c r="A2623">
        <f>Skills!A19</f>
        <v/>
      </c>
      <c r="B2623">
        <f>Skills!B19</f>
        <v/>
      </c>
      <c r="C2623">
        <f>Inputs!$B$3&gt;=50</f>
        <v/>
      </c>
      <c r="D2623">
        <f>IF(Skills!C19=1,60+Inputs!$B$25+Inputs!$B$29,IF(Skills!C19=2,90+Inputs!$B$26+Inputs!$B$29,IF(Skills!C19=3,120+Inputs!$B$27+Inputs!$B$29,MAX(0,(Inputs!$B$3-100)*3)+Inputs!$B$28+Inputs!$B$29)))</f>
        <v/>
      </c>
      <c r="E2623">
        <f>INDEX(FactorTable!$B$2:$Y$301, MATCH(ROUND(MIN(300,MAX(1,D2623)),0), FactorTable!$A$2:$A$301,0), Skills!L19+1)</f>
        <v/>
      </c>
      <c r="F2623">
        <f>IF(Skills!M19=TRUE,(Skills!K19/10)*(E2623/1000),Skills!K19/10)+Skills!N19</f>
        <v/>
      </c>
      <c r="G2623">
        <f>Calc!G19</f>
        <v/>
      </c>
      <c r="H2623">
        <f>Calc!H19</f>
        <v/>
      </c>
      <c r="I2623">
        <f>IF(Skills!T19&lt;&gt;"",1+(Skills!T19/10)*(Z2607/1000)/100,1)</f>
        <v/>
      </c>
      <c r="J2623" t="inlineStr"/>
      <c r="K2623" t="inlineStr"/>
      <c r="L2623" t="inlineStr"/>
      <c r="M2623" t="inlineStr"/>
      <c r="N2623" t="inlineStr"/>
      <c r="O2623">
        <f>(1-Summary!$B$11)*S2623+Summary!$B$11*U2623</f>
        <v/>
      </c>
      <c r="P2623">
        <f>IF(B2641=0,0,O2623/B2641)</f>
        <v/>
      </c>
      <c r="Q2623">
        <f>IFERROR(1/IF(Inputs!$B$38="pvp",15,MAX(0.1,Skills!D19-IF(Skills!E19=TRUE,1.5,0))),0)</f>
        <v/>
      </c>
      <c r="R2623" t="n">
        <v>0</v>
      </c>
      <c r="S2623" t="n">
        <v>0</v>
      </c>
      <c r="U2623" t="n">
        <v>0</v>
      </c>
    </row>
    <row r="2624">
      <c r="A2624">
        <f>Skills!A20</f>
        <v/>
      </c>
      <c r="B2624">
        <f>Skills!B20</f>
        <v/>
      </c>
      <c r="C2624">
        <f>Inputs!$B$3&gt;=74</f>
        <v/>
      </c>
      <c r="D2624">
        <f>IF(Skills!C20=1,60+Inputs!$B$25+Inputs!$B$29,IF(Skills!C20=2,90+Inputs!$B$26+Inputs!$B$29,IF(Skills!C20=3,120+Inputs!$B$27+Inputs!$B$29,MAX(0,(Inputs!$B$3-100)*3)+Inputs!$B$28+Inputs!$B$29)))</f>
        <v/>
      </c>
      <c r="E2624">
        <f>INDEX(FactorTable!$B$2:$Y$301, MATCH(ROUND(MIN(300,MAX(1,D2624)),0), FactorTable!$A$2:$A$301,0), Skills!L20+1)</f>
        <v/>
      </c>
      <c r="F2624">
        <f>IF(Skills!M20=TRUE,(Skills!K20/10)*(E2624/1000),Skills!K20/10)+Skills!N20</f>
        <v/>
      </c>
      <c r="G2624">
        <f>Calc!G20</f>
        <v/>
      </c>
      <c r="H2624">
        <f>Calc!H20</f>
        <v/>
      </c>
      <c r="I2624">
        <f>IF(Skills!T20&lt;&gt;"",1+(Skills!T20/10)*(Z2607/1000)/100,1)</f>
        <v/>
      </c>
      <c r="J2624" t="inlineStr"/>
      <c r="K2624" t="inlineStr"/>
      <c r="L2624" t="inlineStr"/>
      <c r="M2624" t="inlineStr"/>
      <c r="N2624" t="inlineStr"/>
      <c r="O2624">
        <f>(1-Summary!$B$11)*S2624+Summary!$B$11*U2624</f>
        <v/>
      </c>
      <c r="P2624">
        <f>IF(B2641=0,0,O2624/B2641)</f>
        <v/>
      </c>
      <c r="Q2624">
        <f>IFERROR(1/IF(Inputs!$B$38="pvp",15,MAX(0.1,Skills!D20-IF(Skills!E20=TRUE,1.5,0))),0)</f>
        <v/>
      </c>
      <c r="R2624" t="n">
        <v>0</v>
      </c>
      <c r="S2624" t="n">
        <v>0</v>
      </c>
      <c r="U2624" t="n">
        <v>0</v>
      </c>
    </row>
    <row r="2625">
      <c r="A2625">
        <f>Skills!A21</f>
        <v/>
      </c>
      <c r="B2625">
        <f>Skills!B21</f>
        <v/>
      </c>
      <c r="C2625">
        <f>Inputs!$B$3&gt;=74</f>
        <v/>
      </c>
      <c r="D2625">
        <f>IF(Skills!C21=1,60+Inputs!$B$25+Inputs!$B$29,IF(Skills!C21=2,90+Inputs!$B$26+Inputs!$B$29,IF(Skills!C21=3,120+Inputs!$B$27+Inputs!$B$29,MAX(0,(Inputs!$B$3-100)*3)+Inputs!$B$28+Inputs!$B$29)))</f>
        <v/>
      </c>
      <c r="E2625">
        <f>INDEX(FactorTable!$B$2:$Y$301, MATCH(ROUND(MIN(300,MAX(1,D2625)),0), FactorTable!$A$2:$A$301,0), Skills!L21+1)</f>
        <v/>
      </c>
      <c r="F2625">
        <f>IF(Skills!M21=TRUE,(Skills!K21/10)*(E2625/1000),Skills!K21/10)+Skills!N21</f>
        <v/>
      </c>
      <c r="G2625">
        <f>Calc!G21</f>
        <v/>
      </c>
      <c r="H2625">
        <f>Calc!H21</f>
        <v/>
      </c>
      <c r="I2625">
        <f>IF(Skills!T21&lt;&gt;"",1+(Skills!T21/10)*(Z2607/1000)/100,1)</f>
        <v/>
      </c>
      <c r="J2625" t="inlineStr"/>
      <c r="K2625" t="inlineStr"/>
      <c r="L2625" t="inlineStr"/>
      <c r="M2625" t="inlineStr"/>
      <c r="N2625" t="inlineStr"/>
      <c r="O2625">
        <f>(1-Summary!$B$11)*S2625+Summary!$B$11*U2625</f>
        <v/>
      </c>
      <c r="P2625">
        <f>IF(B2641=0,0,O2625/B2641)</f>
        <v/>
      </c>
      <c r="Q2625">
        <f>IFERROR(1/IF(Inputs!$B$38="pvp",15,MAX(0.1,Skills!D21-IF(Skills!E21=TRUE,1.5,0))),0)</f>
        <v/>
      </c>
      <c r="R2625" t="n">
        <v>0</v>
      </c>
      <c r="S2625" t="n">
        <v>0</v>
      </c>
      <c r="U2625" t="n">
        <v>0</v>
      </c>
    </row>
    <row r="2626">
      <c r="A2626">
        <f>Skills!A22</f>
        <v/>
      </c>
      <c r="B2626">
        <f>Skills!B22</f>
        <v/>
      </c>
      <c r="C2626">
        <f>Inputs!$B$3&gt;=117</f>
        <v/>
      </c>
      <c r="D2626">
        <f>IF(Skills!C22=1,60+Inputs!$B$25+Inputs!$B$29,IF(Skills!C22=2,90+Inputs!$B$26+Inputs!$B$29,IF(Skills!C22=3,120+Inputs!$B$27+Inputs!$B$29,MAX(0,(Inputs!$B$3-100)*3)+Inputs!$B$28+Inputs!$B$29)))</f>
        <v/>
      </c>
      <c r="E2626">
        <f>INDEX(FactorTable!$B$2:$Y$301, MATCH(ROUND(MIN(300,MAX(1,D2626)),0), FactorTable!$A$2:$A$301,0), Skills!L22+1)</f>
        <v/>
      </c>
      <c r="F2626">
        <f>IF(Skills!M22=TRUE,(Skills!K22/10)*(E2626/1000),Skills!K22/10)+Skills!N22</f>
        <v/>
      </c>
      <c r="G2626">
        <f>Calc!G22</f>
        <v/>
      </c>
      <c r="H2626">
        <f>Calc!H22</f>
        <v/>
      </c>
      <c r="I2626">
        <f>IF(Skills!T22&lt;&gt;"",1+(Skills!T22/10)*(Z2607/1000)/100,1)</f>
        <v/>
      </c>
      <c r="J2626" t="inlineStr"/>
      <c r="K2626" t="inlineStr"/>
      <c r="L2626" t="inlineStr"/>
      <c r="M2626" t="inlineStr"/>
      <c r="N2626" t="inlineStr"/>
      <c r="O2626">
        <f>(1-Summary!$B$11)*S2626+Summary!$B$11*U2626</f>
        <v/>
      </c>
      <c r="P2626">
        <f>IF(B2641=0,0,O2626/B2641)</f>
        <v/>
      </c>
      <c r="Q2626">
        <f>IFERROR(1/IF(Inputs!$B$38="pvp",15,MAX(0.1,Skills!D22-IF(Skills!E22=TRUE,1.5,0))),0)</f>
        <v/>
      </c>
      <c r="R2626" t="n">
        <v>0</v>
      </c>
      <c r="S2626" t="n">
        <v>0</v>
      </c>
      <c r="U2626" t="n">
        <v>0</v>
      </c>
    </row>
    <row r="2627">
      <c r="A2627">
        <f>Skills!A23</f>
        <v/>
      </c>
      <c r="B2627">
        <f>Skills!B23</f>
        <v/>
      </c>
      <c r="C2627">
        <f>Inputs!$B$3&gt;=120</f>
        <v/>
      </c>
      <c r="D2627">
        <f>IF(Skills!C23=1,60+Inputs!$B$25+Inputs!$B$29,IF(Skills!C23=2,90+Inputs!$B$26+Inputs!$B$29,IF(Skills!C23=3,120+Inputs!$B$27+Inputs!$B$29,MAX(0,(Inputs!$B$3-100)*3)+Inputs!$B$28+Inputs!$B$29)))</f>
        <v/>
      </c>
      <c r="E2627">
        <f>INDEX(FactorTable!$B$2:$Y$301, MATCH(ROUND(MIN(300,MAX(1,D2627)),0), FactorTable!$A$2:$A$301,0), Skills!L23+1)</f>
        <v/>
      </c>
      <c r="F2627">
        <f>IF(Skills!M23=TRUE,(Skills!K23/10)*(E2627/1000),Skills!K23/10)+Skills!N23</f>
        <v/>
      </c>
      <c r="G2627">
        <f>Calc!G23</f>
        <v/>
      </c>
      <c r="H2627">
        <f>Calc!H23</f>
        <v/>
      </c>
      <c r="I2627">
        <f>IF(Skills!T23&lt;&gt;"",1+(Skills!T23/10)*(Z2607/1000)/100,1)</f>
        <v/>
      </c>
      <c r="J2627" t="inlineStr"/>
      <c r="K2627" t="inlineStr"/>
      <c r="L2627" t="inlineStr"/>
      <c r="M2627" t="inlineStr"/>
      <c r="N2627" t="inlineStr"/>
      <c r="O2627">
        <f>(1-Summary!$B$11)*S2627+Summary!$B$11*U2627</f>
        <v/>
      </c>
      <c r="P2627">
        <f>IF(B2641=0,0,O2627/B2641)</f>
        <v/>
      </c>
      <c r="Q2627">
        <f>IFERROR(1/IF(Inputs!$B$38="pvp",15,MAX(0.1,Skills!D23-IF(Skills!E23=TRUE,1.5,0))),0)</f>
        <v/>
      </c>
      <c r="R2627" t="n">
        <v>0</v>
      </c>
      <c r="S2627" t="n">
        <v>0</v>
      </c>
      <c r="U2627" t="n">
        <v>0</v>
      </c>
    </row>
    <row r="2628">
      <c r="A2628">
        <f>Skills!A24</f>
        <v/>
      </c>
      <c r="B2628">
        <f>Skills!B24</f>
        <v/>
      </c>
      <c r="C2628">
        <f>TRUE</f>
        <v/>
      </c>
      <c r="D2628">
        <f>IF(Skills!C24=1,60+Inputs!$B$25+Inputs!$B$29,IF(Skills!C24=2,90+Inputs!$B$26+Inputs!$B$29,IF(Skills!C24=3,120+Inputs!$B$27+Inputs!$B$29,MAX(0,(Inputs!$B$3-100)*3)+Inputs!$B$28+Inputs!$B$29)))</f>
        <v/>
      </c>
      <c r="E2628">
        <f>INDEX(FactorTable!$B$2:$Y$301, MATCH(ROUND(MIN(300,MAX(1,D2628)),0), FactorTable!$A$2:$A$301,0), Skills!L24+1)</f>
        <v/>
      </c>
      <c r="F2628">
        <f>IF(Skills!M24=TRUE,(Skills!K24/10)*(E2628/1000),Skills!K24/10)+Skills!N24</f>
        <v/>
      </c>
      <c r="G2628">
        <f>Calc!G24</f>
        <v/>
      </c>
      <c r="H2628">
        <f>Calc!H24</f>
        <v/>
      </c>
      <c r="I2628">
        <f>IF(Skills!T24&lt;&gt;"",1+(Skills!T24/10)*(Z2607/1000)/100,1)</f>
        <v/>
      </c>
      <c r="J2628" t="inlineStr"/>
      <c r="K2628" t="inlineStr"/>
      <c r="L2628" t="inlineStr"/>
      <c r="M2628" t="inlineStr"/>
      <c r="N2628" t="inlineStr"/>
      <c r="O2628">
        <f>(1-Summary!$B$11)*S2628+Summary!$B$11*U2628</f>
        <v/>
      </c>
      <c r="P2628">
        <f>IF(B2641=0,0,O2628/B2641)</f>
        <v/>
      </c>
      <c r="Q2628">
        <f>IFERROR(1/IF(Inputs!$B$38="pvp",15,MAX(0.1,Skills!D24-IF(Skills!E24=TRUE,1.5,0))),0)</f>
        <v/>
      </c>
      <c r="R2628">
        <f>IF(AND(Inputs!$B$38&lt;&gt;"pvp",Inputs!$B$43&gt;0),IF(Inputs!$B$43&lt;=0,0,(INT(Inputs!$B$43/IF(Inputs!$B$38="pvp",15,MAX(0.1,Skills!D24-IF(Skills!E24=TRUE,1.5,0))))+1)),0)</f>
        <v/>
      </c>
      <c r="S2628" t="n">
        <v>0</v>
      </c>
      <c r="U2628" t="n">
        <v>0</v>
      </c>
    </row>
    <row r="2631">
      <c r="A2631" t="inlineStr">
        <is>
          <t>Average Buff Multiplier (Magic Guard + Meditation + Artifact Attack%, summed; then Infinity)</t>
        </is>
      </c>
      <c r="B2631">
        <f>(1+(IF(C2607=TRUE,F2607*IF(AND(Inputs!$B$38&lt;&gt;"pvp",Inputs!$B$43&gt;0),(((R2607-1)*(Skills!S3*(1+(Inputs!$B$34)/100))+MIN((Skills!S3*(1+(Inputs!$B$34)/100)),MAX(0,Inputs!$B$43-((R2607-1)*Skills!D3))))/Inputs!$B$43),IF(Inputs!$B$38="pvp",MIN((Skills!S3*(1+(Inputs!$B$34)/100)),15)/15,(Skills!S3*(1+(Inputs!$B$34)/100))/Skills!D3)),0)+IF(C2608=TRUE,F2608*IF(AND(Inputs!$B$38&lt;&gt;"pvp",Inputs!$B$43&gt;0),(((R2608-1)*(Skills!S4*(1+(Inputs!$B$34)/100))+MIN((Skills!S4*(1+(Inputs!$B$34)/100)),MAX(0,Inputs!$B$43-((R2608-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2620=TRUE,(1+F2620*IF(AND(Inputs!$B$38&lt;&gt;"pvp",Inputs!$B$43&gt;0),(((R2620-1)*(Skills!S16*(1+(Inputs!$B$34)/100))+MIN((Skills!S16*(1+(Inputs!$B$34)/100)),MAX(0,Inputs!$B$43-((R2620-1)*Skills!D16))))/Inputs!$B$43),IF(Inputs!$B$38="pvp",MIN((Skills!S16*(1+(Inputs!$B$34)/100)),15)/15,(Skills!S16*(1+(Inputs!$B$34)/100))/Skills!D16))/100),1)</f>
        <v/>
      </c>
    </row>
    <row r="2632">
      <c r="A2632" t="inlineStr">
        <is>
          <t>Monster Damage Taken Bonus % (Freezing Breath - Weaken + Elemental Reset + Artifact Enemy Damage Taken, summed)</t>
        </is>
      </c>
      <c r="B2632">
        <f>IF(Inputs!$B$3&gt;=118,15*IF(Inputs!$B$38="pvp",MIN((30*(1+(Inputs!$B$34)/100)),15)/15,(30*(1+(Inputs!$B$34)/100))/Skills!D8),0)+IF(C2618=TRUE,F2618,0)+(IF(AND(ArtifactsInput!$M$35,Inputs!$B$4&lt;&gt;"Chapter Hunt"),CHOOSE(ArtifactsInput!$N$35+1,15,18,21,24,27,30)*(1-EXP(-(0.2*B2635)*5)),0)+IF(AND(ArtifactsInput!$M$22,Inputs!$B$4&lt;&gt;"Chapter Hunt"),CHOOSE(ArtifactsInput!$N$22+1,10,12,14,16,18,20)*((0*(((0.15*B2635*5))^0/1)+1*(((0.15*B2635*5))^1/1)+2*(((0.15*B2635*5))^2/2)+3*(((0.15*B2635*5))^3/6)+4*(((0.15*B2635*5))^4/24)+5*(((0.15*B2635*5))^5/120))/((((0.15*B2635*5))^0/1)+(((0.15*B2635*5))^1/1)+(((0.15*B2635*5))^2/2)+(((0.15*B2635*5))^3/6)+(((0.15*B2635*5))^4/24)+(((0.15*B2635*5))^5/120))),0))</f>
        <v/>
      </c>
    </row>
    <row r="2633">
      <c r="A2633" t="inlineStr">
        <is>
          <t>Damage % Bonus (Frozen Break + Frost Clutch, flat)</t>
        </is>
      </c>
      <c r="B2633">
        <f>IF(Inputs!$B$3&gt;=66,15,0)+IF(Inputs!$B$3&gt;=98,10,0)+IF(Inputs!$B$3&gt;=125,20,0)</f>
        <v/>
      </c>
    </row>
    <row r="2634">
      <c r="A2634" t="inlineStr">
        <is>
          <t>Attack Speed Bonus % (MP Eater - MP Boost, always-on + Nimble Feet, duty-cycle averaged)</t>
        </is>
      </c>
      <c r="B2634">
        <f>IF(C2617=TRUE,F2617+(F2621-Calc!F17),0)+((C2628=TRUE)*F2628*IF(AND(Inputs!$B$38&lt;&gt;"pvp",Inputs!$B$43&gt;0),(((R2628-1)*(Skills!S24*(1+(Inputs!$B$34)/100))+MIN((Skills!S24*(1+(Inputs!$B$34)/100)),MAX(0,Inputs!$B$43-((R2628-1)*Skills!D24))))/Inputs!$B$43),IF(Inputs!$B$38="pvp",MIN((Skills!S24*(1+(Inputs!$B$34)/100)),15)/15,(Skills!S24*(1+(Inputs!$B$34)/100))/Skills!D24)))</f>
        <v/>
      </c>
    </row>
    <row r="2635">
      <c r="A2635" t="inlineStr">
        <is>
          <t>Actions Per Second</t>
        </is>
      </c>
      <c r="B2635">
        <f>1+MIN(150,150*(1-(1-(Inputs!$B$11+(ArtifactsInput!$M$15-ArtifactsInput!$M$15)*CHOOSE(ArtifactsInput!$N$15+1,8,9.6,11.2,12.8,14.4,16))/150)*(1-B2634/150)))/100</f>
        <v/>
      </c>
    </row>
    <row r="2636">
      <c r="A2636" t="inlineStr">
        <is>
          <t>Skill + Buff Cast Rate</t>
        </is>
      </c>
      <c r="B2636">
        <f>IF(AND(Inputs!$B$38&lt;&gt;"pvp",Inputs!$B$43&gt;0),SUMPRODUCT((Skills!E2:E24=TRUE)*(C2606:C2628=TRUE)*R2606:R2628)/Inputs!$B$43,SUMPRODUCT((Skills!E2:E24=TRUE)*(C2606:C2628=TRUE)*Q2606:Q2628))</f>
        <v/>
      </c>
    </row>
    <row r="2637">
      <c r="A2637" t="inlineStr">
        <is>
          <t>Chain Lightning Casts Per Second</t>
        </is>
      </c>
      <c r="B2637">
        <f>MAX(0,B2635-B2636)</f>
        <v/>
      </c>
    </row>
    <row r="2638">
      <c r="A2638" t="inlineStr">
        <is>
          <t>Buff-Casting Startup Delay (s, fixed-duration only)</t>
        </is>
      </c>
      <c r="B2638">
        <f>IF(AND(Inputs!$B$38&lt;&gt;"pvp",Inputs!$B$43&gt;0),SUMPRODUCT((Skills!S2:S24&gt;0)*(Skills!E2:E24=TRUE)*(C2606:C2628=TRUE))/B2635,0)</f>
        <v/>
      </c>
    </row>
    <row r="2639">
      <c r="A2639" t="inlineStr">
        <is>
          <t>Boss-Only Total DPS (this block's swept value)</t>
        </is>
      </c>
      <c r="B2639">
        <f>SUM(S2606:S2628)</f>
        <v/>
      </c>
    </row>
    <row r="2640">
      <c r="A2640" t="inlineStr">
        <is>
          <t>Normal-Only Total DPS (this block's swept value)</t>
        </is>
      </c>
      <c r="B2640">
        <f>SUM(U2606:U2628)</f>
        <v/>
      </c>
    </row>
    <row r="2641">
      <c r="A2641" s="6" t="inlineStr">
        <is>
          <t>TOTAL DPS</t>
        </is>
      </c>
      <c r="B2641" s="6">
        <f>SUM(O2606:O2628)</f>
        <v/>
      </c>
    </row>
    <row r="2644">
      <c r="A2644" s="6" t="inlineStr">
        <is>
          <t>Stat: CDR = 2.0s</t>
        </is>
      </c>
    </row>
    <row r="2645">
      <c r="A2645" s="5" t="inlineStr">
        <is>
          <t>Key</t>
        </is>
      </c>
      <c r="B2645" s="5" t="inlineStr">
        <is>
          <t>Name</t>
        </is>
      </c>
      <c r="C2645" s="5" t="inlineStr">
        <is>
          <t>Unlocked</t>
        </is>
      </c>
      <c r="D2645" s="5" t="inlineStr">
        <is>
          <t>InputLevel</t>
        </is>
      </c>
      <c r="E2645" s="5" t="inlineStr">
        <is>
          <t>Factor</t>
        </is>
      </c>
      <c r="F2645" s="5" t="inlineStr">
        <is>
          <t>CoefficientPercent</t>
        </is>
      </c>
      <c r="G2645" s="5" t="inlineStr">
        <is>
          <t>EffectiveHits</t>
        </is>
      </c>
      <c r="H2645" s="5" t="inlineStr">
        <is>
          <t>ProcProbability</t>
        </is>
      </c>
      <c r="I2645" s="5" t="inlineStr">
        <is>
          <t>MapleHeroMultiplier</t>
        </is>
      </c>
      <c r="J2645" s="5" t="inlineStr">
        <is>
          <t>BaseDamage</t>
        </is>
      </c>
      <c r="K2645" s="5" t="inlineStr">
        <is>
          <t>BaseHitDamage</t>
        </is>
      </c>
      <c r="L2645" s="5" t="inlineStr">
        <is>
          <t>NonCritAvg</t>
        </is>
      </c>
      <c r="M2645" s="5" t="inlineStr">
        <is>
          <t>CritAvg</t>
        </is>
      </c>
      <c r="N2645" s="5" t="inlineStr">
        <is>
          <t>ExpectedDamage(perHit)</t>
        </is>
      </c>
      <c r="O2645" s="5" t="inlineStr">
        <is>
          <t>DPS</t>
        </is>
      </c>
      <c r="P2645" s="5" t="inlineStr">
        <is>
          <t>% of Total</t>
        </is>
      </c>
      <c r="R2645" t="inlineStr">
        <is>
          <t>helpers</t>
        </is>
      </c>
    </row>
    <row r="2646">
      <c r="A2646">
        <f>Skills!A2</f>
        <v/>
      </c>
      <c r="B2646">
        <f>Skills!B2</f>
        <v/>
      </c>
      <c r="C2646">
        <f>Inputs!$B$3&gt;=100</f>
        <v/>
      </c>
      <c r="D2646" t="inlineStr"/>
      <c r="E2646" t="inlineStr"/>
      <c r="F2646">
        <f>T2648+Skills!N2</f>
        <v/>
      </c>
      <c r="G2646">
        <f>Calc!G2</f>
        <v/>
      </c>
      <c r="H2646">
        <f>Calc!H2</f>
        <v/>
      </c>
      <c r="I2646">
        <f>IF(Skills!T2&lt;&gt;"",1+(Skills!T2/10)*(Z2647/1000)/100,1)</f>
        <v/>
      </c>
      <c r="J2646">
        <f>((Inputs!$B$6*(1+Inputs!$B$7/100))+(((Inputs!$B$12*(1+Inputs!$B$13/100))-(Inputs!$B$12*(1+Inputs!$B$13/100)))+0.25*(Inputs!$B$14-Inputs!$B$14))*(1+Inputs!$B$7/100))*(F2646/100)</f>
        <v/>
      </c>
      <c r="K2646">
        <f>J2646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2="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2662-Calc!F18),(Inputs!$B$23+(IF(ArtifactsInput!$M$15,CHOOSE(ArtifactsInput!$N$15+1,25,30,35,40,45,50)/100*(Inputs!$B$11-Inputs!$B$11),0))))/100+(Inputs!$B$23+(IF(ArtifactsInput!$M$15,CHOOSE(ArtifactsInput!$N$15+1,25,30,35,40,45,50)/100*(Inputs!$B$11-Inputs!$B$11),0)))/100)/2</f>
        <v/>
      </c>
      <c r="M2646">
        <f>L2646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IF(B2681=0,0,O2646/B2681)</f>
        <v/>
      </c>
      <c r="Q2646">
        <f>IFERROR(1/IF(Inputs!$B$38="pvp",15,MAX(0.1,Skills!D2-IF(Skills!E2=TRUE,2.0,0))),0)</f>
        <v/>
      </c>
      <c r="R2646" t="n">
        <v>0</v>
      </c>
      <c r="S2646">
        <f>IF(C2646,(Skills!F2*N2646*B2677)*IF(Inputs!$B$38="pvp",1,1+(Inputs!$B$20+Skills!O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2646*(1-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46">
        <f>MAX(0,(Inputs!$B$3-100)*3)+Inputs!$B$28+Inputs!$B$29</f>
        <v/>
      </c>
      <c r="U2646">
        <f>IF(C2646,(Skills!F2*N2646*B2677)*IF(Inputs!$B$38="pvp",1,(1+(Inputs!$B$21+Skills!P2+B2672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46">
        <f>MAX(0,(Inputs!$B$3-100)*3)+Inputs!$B$28+Inputs!$B$29</f>
        <v/>
      </c>
    </row>
    <row r="2647">
      <c r="A2647">
        <f>Skills!A3</f>
        <v/>
      </c>
      <c r="B2647">
        <f>Skills!B3</f>
        <v/>
      </c>
      <c r="C2647">
        <f>Inputs!$B$3&gt;=15</f>
        <v/>
      </c>
      <c r="D2647">
        <f>IF(Skills!C3=1,60+Inputs!$B$25+Inputs!$B$29,IF(Skills!C3=2,90+Inputs!$B$26+Inputs!$B$29,IF(Skills!C3=3,120+Inputs!$B$27+Inputs!$B$29,MAX(0,(Inputs!$B$3-100)*3)+Inputs!$B$28+Inputs!$B$29)))</f>
        <v/>
      </c>
      <c r="E2647">
        <f>INDEX(FactorTable!$B$2:$Y$301, MATCH(ROUND(MIN(300,MAX(1,D2647)),0), FactorTable!$A$2:$A$301,0), Skills!L3+1)</f>
        <v/>
      </c>
      <c r="F2647">
        <f>IF(Skills!M3=TRUE,(Skills!K3/10)*(E2647/1000),Skills!K3/10)+Skills!N3</f>
        <v/>
      </c>
      <c r="G2647">
        <f>Calc!G3</f>
        <v/>
      </c>
      <c r="H2647">
        <f>Calc!H3</f>
        <v/>
      </c>
      <c r="I2647">
        <f>IF(Skills!T3&lt;&gt;"",1+(Skills!T3/10)*(Z2647/1000)/100,1)</f>
        <v/>
      </c>
      <c r="J2647" t="inlineStr"/>
      <c r="K2647" t="inlineStr"/>
      <c r="L2647" t="inlineStr"/>
      <c r="M2647" t="inlineStr"/>
      <c r="N2647" t="inlineStr"/>
      <c r="O2647">
        <f>(1-Summary!$B$11)*S2647+Summary!$B$11*U2647</f>
        <v/>
      </c>
      <c r="P2647">
        <f>IF(B2681=0,0,O2647/B2681)</f>
        <v/>
      </c>
      <c r="Q2647">
        <f>IFERROR(1/IF(Inputs!$B$38="pvp",15,MAX(0.1,Skills!D3-IF(Skills!E3=TRUE,2.0,0))),0)</f>
        <v/>
      </c>
      <c r="R2647">
        <f>IF(AND(Inputs!$B$38&lt;&gt;"pvp",Inputs!$B$43&gt;0),IF(Inputs!$B$43&lt;=0,0,(INT(Inputs!$B$43/IF(Inputs!$B$38="pvp",15,MAX(0.1,Skills!D3-IF(Skills!E3=TRUE,2.0,0))))+1)),0)</f>
        <v/>
      </c>
      <c r="S2647" t="n">
        <v>0</v>
      </c>
      <c r="T2647">
        <f>INDEX(FactorTable!$B$2:$Y$301, MATCH(ROUND(MIN(300,MAX(1,T2646)),0), FactorTable!$A$2:$A$301,0), 22)</f>
        <v/>
      </c>
      <c r="U2647" t="n">
        <v>0</v>
      </c>
      <c r="Z2647">
        <f>INDEX(FactorTable!$B$2:$Y$301, MATCH(ROUND(MIN(300,MAX(1,Z2646)),0), FactorTable!$A$2:$A$301,0), 24)</f>
        <v/>
      </c>
    </row>
    <row r="2648">
      <c r="A2648">
        <f>Skills!A4</f>
        <v/>
      </c>
      <c r="B2648">
        <f>Skills!B4</f>
        <v/>
      </c>
      <c r="C2648">
        <f>Inputs!$B$3&gt;=40</f>
        <v/>
      </c>
      <c r="D2648">
        <f>IF(Skills!C4=1,60+Inputs!$B$25+Inputs!$B$29,IF(Skills!C4=2,90+Inputs!$B$26+Inputs!$B$29,IF(Skills!C4=3,120+Inputs!$B$27+Inputs!$B$29,MAX(0,(Inputs!$B$3-100)*3)+Inputs!$B$28+Inputs!$B$29)))</f>
        <v/>
      </c>
      <c r="E2648">
        <f>INDEX(FactorTable!$B$2:$Y$301, MATCH(ROUND(MIN(300,MAX(1,D2648)),0), FactorTable!$A$2:$A$301,0), Skills!L4+1)</f>
        <v/>
      </c>
      <c r="F2648">
        <f>IF(Skills!M4=TRUE,(Skills!K4/10)*(E2648/1000),Skills!K4/10)+Skills!N4</f>
        <v/>
      </c>
      <c r="G2648">
        <f>Calc!G4</f>
        <v/>
      </c>
      <c r="H2648">
        <f>Calc!H4</f>
        <v/>
      </c>
      <c r="I2648">
        <f>IF(Skills!T4&lt;&gt;"",1+(Skills!T4/10)*(Z2647/1000)/100,1)</f>
        <v/>
      </c>
      <c r="J2648" t="inlineStr"/>
      <c r="K2648" t="inlineStr"/>
      <c r="L2648" t="inlineStr"/>
      <c r="M2648" t="inlineStr"/>
      <c r="N2648" t="inlineStr"/>
      <c r="O2648">
        <f>(1-Summary!$B$11)*S2648+Summary!$B$11*U2648</f>
        <v/>
      </c>
      <c r="P2648">
        <f>IF(B2681=0,0,O2648/B2681)</f>
        <v/>
      </c>
      <c r="Q2648">
        <f>IFERROR(1/IF(Inputs!$B$38="pvp",15,MAX(0.1,Skills!D4-IF(Skills!E4=TRUE,2.0,0))),0)</f>
        <v/>
      </c>
      <c r="R2648">
        <f>IF(AND(Inputs!$B$38&lt;&gt;"pvp",Inputs!$B$43&gt;0),IF(Inputs!$B$43&lt;=0,0,(INT(Inputs!$B$43/IF(Inputs!$B$38="pvp",15,MAX(0.1,Skills!D4-IF(Skills!E4=TRUE,2.0,0))))+1)),0)</f>
        <v/>
      </c>
      <c r="S2648" t="n">
        <v>0</v>
      </c>
      <c r="T2648">
        <f>290*T2647/1000</f>
        <v/>
      </c>
      <c r="U2648" t="n">
        <v>0</v>
      </c>
    </row>
    <row r="2649">
      <c r="A2649">
        <f>Skills!A5</f>
        <v/>
      </c>
      <c r="B2649">
        <f>Skills!B5</f>
        <v/>
      </c>
      <c r="C2649">
        <f>Inputs!$B$3&gt;=38</f>
        <v/>
      </c>
      <c r="D2649">
        <f>IF(Skills!C5=1,60+Inputs!$B$25+Inputs!$B$29,IF(Skills!C5=2,90+Inputs!$B$26+Inputs!$B$29,IF(Skills!C5=3,120+Inputs!$B$27+Inputs!$B$29,MAX(0,(Inputs!$B$3-100)*3)+Inputs!$B$28+Inputs!$B$29)))</f>
        <v/>
      </c>
      <c r="E2649">
        <f>INDEX(FactorTable!$B$2:$Y$301, MATCH(ROUND(MIN(300,MAX(1,D2649)),0), FactorTable!$A$2:$A$301,0), Skills!L5+1)</f>
        <v/>
      </c>
      <c r="F2649">
        <f>IF(Skills!M5=TRUE,(Skills!K5/10)*(E2649/1000),Skills!K5/10)+Skills!N5</f>
        <v/>
      </c>
      <c r="G2649">
        <f>Calc!G5</f>
        <v/>
      </c>
      <c r="H2649">
        <f>Calc!H5</f>
        <v/>
      </c>
      <c r="I2649">
        <f>IF(Skills!T5&lt;&gt;"",1+(Skills!T5/10)*(Z2647/1000)/100,1)</f>
        <v/>
      </c>
      <c r="J2649">
        <f>((Inputs!$B$6*(1+Inputs!$B$7/100))+(((Inputs!$B$12*(1+Inputs!$B$13/100))-(Inputs!$B$12*(1+Inputs!$B$13/100)))+0.25*(Inputs!$B$14-Inputs!$B$14))*(1+Inputs!$B$7/100))*(F2649/100)</f>
        <v/>
      </c>
      <c r="K2649">
        <f>J2649*(1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5="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F2662-Calc!F18),(Inputs!$B$23+(IF(ArtifactsInput!$M$15,CHOOSE(ArtifactsInput!$N$15+1,25,30,35,40,45,50)/100*(Inputs!$B$11-Inputs!$B$11),0))))/100+(Inputs!$B$23+(IF(ArtifactsInput!$M$15,CHOOSE(ArtifactsInput!$N$15+1,25,30,35,40,45,50)/100*(Inputs!$B$11-Inputs!$B$11),0)))/100)/2</f>
        <v/>
      </c>
      <c r="M2649">
        <f>L2649*(1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(1-Summary!$B$11)*S2649+Summary!$B$11*U2649</f>
        <v/>
      </c>
      <c r="P2649">
        <f>IF(B2681=0,0,O2649/B2681)</f>
        <v/>
      </c>
      <c r="Q2649">
        <f>IFERROR(1/IF(Inputs!$B$38="pvp",15,MAX(0.1,Skills!D5-IF(Skills!E5=TRUE,2.0,0))),0)</f>
        <v/>
      </c>
      <c r="R2649">
        <f>IF(AND(Inputs!$B$38&lt;&gt;"pvp",Inputs!$B$43&gt;0),IF(MAX(0,Inputs!$B$43-B2678)&lt;=0,0,(INT(MAX(0,Inputs!$B$43-B2678)/IF(Inputs!$B$38="pvp",15,MAX(0.1,Skills!D5-IF(Skills!E5=TRUE,2.0,0))))+1)),0)</f>
        <v/>
      </c>
      <c r="S2649">
        <f>IF(C2649,(H2649*N2649*IF(AND(Inputs!$B$38&lt;&gt;"pvp",Inputs!$B$43&gt;0),((Skills!F5*((R2649-1)*IF(Skills!G5&gt;0,Skills!H5/Skills!G5,1)+IF(Skills!G5&gt;0,MIN(Skills!H5,MAX(0,MAX(0,Inputs!$B$43-B2678)-((R2649-1)*IF(Inputs!$B$38="pvp",15,MAX(0.1,Skills!D5-IF(Skills!E5=TRUE,2.0,0))))))/Skills!G5,1)))/Inputs!$B$43),G2649*Q2649))*IF(Inputs!$B$38="pvp",1,1+(Inputs!$B$20+Skills!O5+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2649*(1-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IF(C2649,(H2649*N2649*IF(AND(Inputs!$B$38&lt;&gt;"pvp",Inputs!$B$43&gt;0),((Skills!F5*((R2649-1)*IF(Skills!G5&gt;0,Skills!H5/Skills!G5,1)+IF(Skills!G5&gt;0,MIN(Skills!H5,MAX(0,MAX(0,Inputs!$B$43-B2678)-((R2649-1)*IF(Inputs!$B$38="pvp",15,MAX(0.1,Skills!D5-IF(Skills!E5=TRUE,2.0,0))))))/Skills!G5,1)))/Inputs!$B$43),G2649*Q2649))*IF(Inputs!$B$38="pvp",1,(1+(Inputs!$B$21+Skills!P5+B2672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Skills!A6</f>
        <v/>
      </c>
      <c r="B2650">
        <f>Skills!B6</f>
        <v/>
      </c>
      <c r="C2650">
        <f>Inputs!$B$3&gt;=63</f>
        <v/>
      </c>
      <c r="D2650">
        <f>IF(Skills!C6=1,60+Inputs!$B$25+Inputs!$B$29,IF(Skills!C6=2,90+Inputs!$B$26+Inputs!$B$29,IF(Skills!C6=3,120+Inputs!$B$27+Inputs!$B$29,MAX(0,(Inputs!$B$3-100)*3)+Inputs!$B$28+Inputs!$B$29)))</f>
        <v/>
      </c>
      <c r="E2650">
        <f>INDEX(FactorTable!$B$2:$Y$301, MATCH(ROUND(MIN(300,MAX(1,D2650)),0), FactorTable!$A$2:$A$301,0), Skills!L6+1)</f>
        <v/>
      </c>
      <c r="F2650">
        <f>IF(Skills!M6=TRUE,(Skills!K6/10)*(E2650/1000),Skills!K6/10)+Skills!N6</f>
        <v/>
      </c>
      <c r="G2650">
        <f>Calc!G6</f>
        <v/>
      </c>
      <c r="H2650">
        <f>Calc!H6</f>
        <v/>
      </c>
      <c r="I2650">
        <f>IF(Skills!T6&lt;&gt;"",1+(Skills!T6/10)*(Z2647/1000)/100,1)</f>
        <v/>
      </c>
      <c r="J2650">
        <f>((Inputs!$B$6*(1+Inputs!$B$7/100))+(((Inputs!$B$12*(1+Inputs!$B$13/100))-(Inputs!$B$12*(1+Inputs!$B$13/100)))+0.25*(Inputs!$B$14-Inputs!$B$14))*(1+Inputs!$B$7/100))*(F2650/100)</f>
        <v/>
      </c>
      <c r="K2650">
        <f>J2650*(1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6="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2662-Calc!F18),(Inputs!$B$23+(IF(ArtifactsInput!$M$15,CHOOSE(ArtifactsInput!$N$15+1,25,30,35,40,45,50)/100*(Inputs!$B$11-Inputs!$B$11),0))))/100+(Inputs!$B$23+(IF(ArtifactsInput!$M$15,CHOOSE(ArtifactsInput!$N$15+1,25,30,35,40,45,50)/100*(Inputs!$B$11-Inputs!$B$11),0)))/100)/2</f>
        <v/>
      </c>
      <c r="M2650">
        <f>L2650*(1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IF(B2681=0,0,O2650/B2681)</f>
        <v/>
      </c>
      <c r="Q2650">
        <f>IFERROR(1/IF(Inputs!$B$38="pvp",15,MAX(0.1,Skills!D6-IF(Skills!E6=TRUE,2.0,0))),0)</f>
        <v/>
      </c>
      <c r="R2650">
        <f>IF(AND(Inputs!$B$38&lt;&gt;"pvp",Inputs!$B$43&gt;0),IF(MAX(0,Inputs!$B$43-B2678)&lt;=0,0,(INT(MAX(0,Inputs!$B$43-B2678)/IF(Inputs!$B$38="pvp",15,MAX(0.1,Skills!D6-IF(Skills!E6=TRUE,2.0,0))))+1)),0)</f>
        <v/>
      </c>
      <c r="S2650">
        <f>IF(C2650,(H2650*N2650*IF(AND(Inputs!$B$38&lt;&gt;"pvp",Inputs!$B$43&gt;0),((Skills!F6*((R2650-1)*IF(Skills!G6&gt;0,Skills!H6/Skills!G6,1)+IF(Skills!G6&gt;0,MIN(Skills!H6,MAX(0,MAX(0,Inputs!$B$43-B2678)-((R2650-1)*IF(Inputs!$B$38="pvp",15,MAX(0.1,Skills!D6-IF(Skills!E6=TRUE,2.0,0))))))/Skills!G6,1)))/Inputs!$B$43),G2650*Q2650))*IF(Inputs!$B$38="pvp",1,1+(Inputs!$B$20+Skills!O6+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2650*(1-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F6*((R2650-1)*IF(Skills!G6&gt;0,Skills!H6/Skills!G6,1)+IF(Skills!G6&gt;0,MIN(Skills!H6,MAX(0,MAX(0,Inputs!$B$43-B2678)-((R2650-1)*IF(Inputs!$B$38="pvp",15,MAX(0.1,Skills!D6-IF(Skills!E6=TRUE,2.0,0))))))/Skills!G6,1)))/Inputs!$B$43),G2650*Q2650))*IF(Inputs!$B$38="pvp",1,(1+(Inputs!$B$21+Skills!P6+B2672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Skills!A7</f>
        <v/>
      </c>
      <c r="B2651">
        <f>Skills!B7</f>
        <v/>
      </c>
      <c r="C2651">
        <f>Inputs!$B$3&gt;=69</f>
        <v/>
      </c>
      <c r="D2651">
        <f>IF(Skills!C7=1,60+Inputs!$B$25+Inputs!$B$29,IF(Skills!C7=2,90+Inputs!$B$26+Inputs!$B$29,IF(Skills!C7=3,120+Inputs!$B$27+Inputs!$B$29,MAX(0,(Inputs!$B$3-100)*3)+Inputs!$B$28+Inputs!$B$29)))</f>
        <v/>
      </c>
      <c r="E2651">
        <f>INDEX(FactorTable!$B$2:$Y$301, MATCH(ROUND(MIN(300,MAX(1,D2651)),0), FactorTable!$A$2:$A$301,0), Skills!L7+1)</f>
        <v/>
      </c>
      <c r="F2651">
        <f>IF(Skills!M7=TRUE,(Skills!K7/10)*(E2651/1000),Skills!K7/10)+Skills!N7</f>
        <v/>
      </c>
      <c r="G2651">
        <f>Calc!G7</f>
        <v/>
      </c>
      <c r="H2651">
        <f>Calc!H7</f>
        <v/>
      </c>
      <c r="I2651">
        <f>IF(Skills!T7&lt;&gt;"",1+(Skills!T7/10)*(Z2647/1000)/100,1)</f>
        <v/>
      </c>
      <c r="J2651">
        <f>((Inputs!$B$6*(1+Inputs!$B$7/100))+(((Inputs!$B$12*(1+Inputs!$B$13/100))-(Inputs!$B$12*(1+Inputs!$B$13/100)))+0.25*(Inputs!$B$14-Inputs!$B$14))*(1+Inputs!$B$7/100))*(F2651/100)</f>
        <v/>
      </c>
      <c r="K2651">
        <f>J2651*(1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7="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F2662-Calc!F18),(Inputs!$B$23+(IF(ArtifactsInput!$M$15,CHOOSE(ArtifactsInput!$N$15+1,25,30,35,40,45,50)/100*(Inputs!$B$11-Inputs!$B$11),0))))/100+(Inputs!$B$23+(IF(ArtifactsInput!$M$15,CHOOSE(ArtifactsInput!$N$15+1,25,30,35,40,45,50)/100*(Inputs!$B$11-Inputs!$B$11),0)))/100)/2</f>
        <v/>
      </c>
      <c r="M2651">
        <f>L2651*(1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(1-Summary!$B$11)*S2651+Summary!$B$11*U2651</f>
        <v/>
      </c>
      <c r="P2651">
        <f>IF(B2681=0,0,O2651/B2681)</f>
        <v/>
      </c>
      <c r="Q2651">
        <f>IFERROR(1/IF(Inputs!$B$38="pvp",15,MAX(0.1,Skills!D7-IF(Skills!E7=TRUE,2.0,0))),0)</f>
        <v/>
      </c>
      <c r="R2651">
        <f>IF(AND(Inputs!$B$38&lt;&gt;"pvp",Inputs!$B$43&gt;0),IF(MAX(0,Inputs!$B$43-B2678)&lt;=0,0,(INT(MAX(0,Inputs!$B$43-B2678)/IF(Inputs!$B$38="pvp",15,MAX(0.1,Skills!D7-IF(Skills!E7=TRUE,2.0,0))))+1)),0)</f>
        <v/>
      </c>
      <c r="S2651">
        <f>IF(C2651,(H2651*N2651*IF(AND(Inputs!$B$38&lt;&gt;"pvp",Inputs!$B$43&gt;0),((Skills!F7*((R2651-1)*IF(Skills!G7&gt;0,Skills!H7/Skills!G7,1)+IF(Skills!G7&gt;0,MIN(Skills!H7,MAX(0,MAX(0,Inputs!$B$43-B2678)-((R2651-1)*IF(Inputs!$B$38="pvp",15,MAX(0.1,Skills!D7-IF(Skills!E7=TRUE,2.0,0))))))/Skills!G7,1)))/Inputs!$B$43),G2651*Q2651))*IF(Inputs!$B$38="pvp",1,1+(Inputs!$B$20+Skills!O7+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2651*(1-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1">
        <f>IF(C2651,(H2651*N2651*IF(AND(Inputs!$B$38&lt;&gt;"pvp",Inputs!$B$43&gt;0),((Skills!F7*((R2651-1)*IF(Skills!G7&gt;0,Skills!H7/Skills!G7,1)+IF(Skills!G7&gt;0,MIN(Skills!H7,MAX(0,MAX(0,Inputs!$B$43-B2678)-((R2651-1)*IF(Inputs!$B$38="pvp",15,MAX(0.1,Skills!D7-IF(Skills!E7=TRUE,2.0,0))))))/Skills!G7,1)))/Inputs!$B$43),G2651*Q2651))*IF(Inputs!$B$38="pvp",1,(1+(Inputs!$B$21+Skills!P7+B2672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Skills!A8</f>
        <v/>
      </c>
      <c r="B2652">
        <f>Skills!B8</f>
        <v/>
      </c>
      <c r="C2652">
        <f>Inputs!$B$3&gt;=103</f>
        <v/>
      </c>
      <c r="D2652">
        <f>IF(Skills!C8=1,60+Inputs!$B$25+Inputs!$B$29,IF(Skills!C8=2,90+Inputs!$B$26+Inputs!$B$29,IF(Skills!C8=3,120+Inputs!$B$27+Inputs!$B$29,MAX(0,(Inputs!$B$3-100)*3)+Inputs!$B$28+Inputs!$B$29)))</f>
        <v/>
      </c>
      <c r="E2652">
        <f>INDEX(FactorTable!$B$2:$Y$301, MATCH(ROUND(MIN(300,MAX(1,D2652)),0), FactorTable!$A$2:$A$301,0), Skills!L8+1)</f>
        <v/>
      </c>
      <c r="F2652">
        <f>IF(Skills!M8=TRUE,(Skills!K8/10)*(E2652/1000),Skills!K8/10)+Skills!N8</f>
        <v/>
      </c>
      <c r="G2652">
        <f>Calc!G8</f>
        <v/>
      </c>
      <c r="H2652">
        <f>Calc!H8</f>
        <v/>
      </c>
      <c r="I2652">
        <f>IF(Skills!T8&lt;&gt;"",1+(Skills!T8/10)*(Z2647/1000)/100,1)</f>
        <v/>
      </c>
      <c r="J2652">
        <f>((Inputs!$B$6*(1+Inputs!$B$7/100))+(((Inputs!$B$12*(1+Inputs!$B$13/100))-(Inputs!$B$12*(1+Inputs!$B$13/100)))+0.25*(Inputs!$B$14-Inputs!$B$14))*(1+Inputs!$B$7/100))*(F2652/100)</f>
        <v/>
      </c>
      <c r="K2652">
        <f>J2652*(1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8="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F2662-Calc!F18),(Inputs!$B$23+(IF(ArtifactsInput!$M$15,CHOOSE(ArtifactsInput!$N$15+1,25,30,35,40,45,50)/100*(Inputs!$B$11-Inputs!$B$11),0))))/100+(Inputs!$B$23+(IF(ArtifactsInput!$M$15,CHOOSE(ArtifactsInput!$N$15+1,25,30,35,40,45,50)/100*(Inputs!$B$11-Inputs!$B$11),0)))/100)/2</f>
        <v/>
      </c>
      <c r="M2652">
        <f>L2652*(1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(1-Summary!$B$11)*S2652+Summary!$B$11*U2652</f>
        <v/>
      </c>
      <c r="P2652">
        <f>IF(B2681=0,0,O2652/B2681)</f>
        <v/>
      </c>
      <c r="Q2652">
        <f>IFERROR(1/IF(Inputs!$B$38="pvp",15,MAX(0.1,Skills!D8-IF(Skills!E8=TRUE,2.0,0))),0)</f>
        <v/>
      </c>
      <c r="R2652">
        <f>IF(AND(Inputs!$B$38&lt;&gt;"pvp",Inputs!$B$43&gt;0),IF(MAX(0,Inputs!$B$43-B2678)&lt;=0,0,(INT(MAX(0,Inputs!$B$43-B2678)/IF(Inputs!$B$38="pvp",15,MAX(0.1,Skills!D8-IF(Skills!E8=TRUE,2.0,0))))+1)),0)</f>
        <v/>
      </c>
      <c r="S2652">
        <f>IF(C2652,(H2652*N2652*IF(AND(Inputs!$B$38&lt;&gt;"pvp",Inputs!$B$43&gt;0),((Skills!F8*((R2652-1)*IF(Skills!G8&gt;0,Skills!H8/Skills!G8,1)+IF(Skills!G8&gt;0,MIN(Skills!H8,MAX(0,MAX(0,Inputs!$B$43-B2678)-((R2652-1)*IF(Inputs!$B$38="pvp",15,MAX(0.1,Skills!D8-IF(Skills!E8=TRUE,2.0,0))))))/Skills!G8,1)))/Inputs!$B$43),G2652*Q2652))*IF(Inputs!$B$38="pvp",1,1+(Inputs!$B$20+Skills!O8+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2652*(1-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2">
        <f>IF(C2652,(H2652*N2652*IF(AND(Inputs!$B$38&lt;&gt;"pvp",Inputs!$B$43&gt;0),((Skills!F8*((R2652-1)*IF(Skills!G8&gt;0,Skills!H8/Skills!G8,1)+IF(Skills!G8&gt;0,MIN(Skills!H8,MAX(0,MAX(0,Inputs!$B$43-B2678)-((R2652-1)*IF(Inputs!$B$38="pvp",15,MAX(0.1,Skills!D8-IF(Skills!E8=TRUE,2.0,0))))))/Skills!G8,1)))/Inputs!$B$43),G2652*Q2652))*IF(Inputs!$B$38="pvp",1,(1+(Inputs!$B$21+Skills!P8+B2672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Skills!A9</f>
        <v/>
      </c>
      <c r="B2653">
        <f>Skills!B9</f>
        <v/>
      </c>
      <c r="C2653">
        <f>Inputs!$B$3&gt;=105</f>
        <v/>
      </c>
      <c r="D2653">
        <f>IF(Skills!C9=1,60+Inputs!$B$25+Inputs!$B$29,IF(Skills!C9=2,90+Inputs!$B$26+Inputs!$B$29,IF(Skills!C9=3,120+Inputs!$B$27+Inputs!$B$29,MAX(0,(Inputs!$B$3-100)*3)+Inputs!$B$28+Inputs!$B$29)))</f>
        <v/>
      </c>
      <c r="E2653">
        <f>INDEX(FactorTable!$B$2:$Y$301, MATCH(ROUND(MIN(300,MAX(1,D2653)),0), FactorTable!$A$2:$A$301,0), Skills!L9+1)</f>
        <v/>
      </c>
      <c r="F2653">
        <f>IF(Skills!M9=TRUE,(Skills!K9/10)*(E2653/1000),Skills!K9/10)+Skills!N9</f>
        <v/>
      </c>
      <c r="G2653">
        <f>Calc!G9</f>
        <v/>
      </c>
      <c r="H2653">
        <f>Calc!H9</f>
        <v/>
      </c>
      <c r="I2653">
        <f>IF(Skills!T9&lt;&gt;"",1+(Skills!T9/10)*(Z2647/1000)/100,1)</f>
        <v/>
      </c>
      <c r="J2653">
        <f>((Inputs!$B$6*(1+Inputs!$B$7/100))+(((Inputs!$B$12*(1+Inputs!$B$13/100))-(Inputs!$B$12*(1+Inputs!$B$13/100)))+0.25*(Inputs!$B$14-Inputs!$B$14))*(1+Inputs!$B$7/100))*(F2653/100)</f>
        <v/>
      </c>
      <c r="K2653">
        <f>J2653*(1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9="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F2662-Calc!F18),(Inputs!$B$23+(IF(ArtifactsInput!$M$15,CHOOSE(ArtifactsInput!$N$15+1,25,30,35,40,45,50)/100*(Inputs!$B$11-Inputs!$B$11),0))))/100+(Inputs!$B$23+(IF(ArtifactsInput!$M$15,CHOOSE(ArtifactsInput!$N$15+1,25,30,35,40,45,50)/100*(Inputs!$B$11-Inputs!$B$11),0)))/100)/2</f>
        <v/>
      </c>
      <c r="M2653">
        <f>L2653*(1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(1-Summary!$B$11)*S2653+Summary!$B$11*U2653</f>
        <v/>
      </c>
      <c r="P2653">
        <f>IF(B2681=0,0,O2653/B2681)</f>
        <v/>
      </c>
      <c r="Q2653">
        <f>IFERROR(1/IF(Inputs!$B$38="pvp",15,MAX(0.1,Skills!D9-IF(Skills!E9=TRUE,2.0,0))),0)</f>
        <v/>
      </c>
      <c r="R2653">
        <f>IF(AND(Inputs!$B$38&lt;&gt;"pvp",Inputs!$B$43&gt;0),IF(MAX(0,Inputs!$B$43-B2678)&lt;=0,0,(INT(MAX(0,Inputs!$B$43-B2678)/IF(Inputs!$B$38="pvp",15,MAX(0.1,Skills!D9-IF(Skills!E9=TRUE,2.0,0))))+1)),0)</f>
        <v/>
      </c>
      <c r="S2653">
        <f>IF(C2653,(H2653*N2653*IF(AND(Inputs!$B$38&lt;&gt;"pvp",Inputs!$B$43&gt;0),((Skills!F9*((R2653-1)*IF(Skills!G9&gt;0,Skills!H9/Skills!G9,1)+IF(Skills!G9&gt;0,MIN(Skills!H9,MAX(0,MAX(0,Inputs!$B$43-B2678)-((R2653-1)*IF(Inputs!$B$38="pvp",15,MAX(0.1,Skills!D9-IF(Skills!E9=TRUE,2.0,0))))))/Skills!G9,1)))/Inputs!$B$43),G2653*Q2653))*IF(Inputs!$B$38="pvp",1,1+(Inputs!$B$20+Skills!O9+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2653*(1-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IF(C2653,(H2653*N2653*IF(AND(Inputs!$B$38&lt;&gt;"pvp",Inputs!$B$43&gt;0),((Skills!F9*((R2653-1)*IF(Skills!G9&gt;0,Skills!H9/Skills!G9,1)+IF(Skills!G9&gt;0,MIN(Skills!H9,MAX(0,MAX(0,Inputs!$B$43-B2678)-((R2653-1)*IF(Inputs!$B$38="pvp",15,MAX(0.1,Skills!D9-IF(Skills!E9=TRUE,2.0,0))))))/Skills!G9,1)))/Inputs!$B$43),G2653*Q2653))*IF(Inputs!$B$38="pvp",1,(1+(Inputs!$B$21+Skills!P9+B2672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Skills!A10</f>
        <v/>
      </c>
      <c r="B2654">
        <f>Skills!B10</f>
        <v/>
      </c>
      <c r="C2654">
        <f>Inputs!$B$3&gt;=113</f>
        <v/>
      </c>
      <c r="D2654">
        <f>IF(Skills!C10=1,60+Inputs!$B$25+Inputs!$B$29,IF(Skills!C10=2,90+Inputs!$B$26+Inputs!$B$29,IF(Skills!C10=3,120+Inputs!$B$27+Inputs!$B$29,MAX(0,(Inputs!$B$3-100)*3)+Inputs!$B$28+Inputs!$B$29)))</f>
        <v/>
      </c>
      <c r="E2654">
        <f>INDEX(FactorTable!$B$2:$Y$301, MATCH(ROUND(MIN(300,MAX(1,D2654)),0), FactorTable!$A$2:$A$301,0), Skills!L10+1)</f>
        <v/>
      </c>
      <c r="F2654">
        <f>IF(Skills!M10=TRUE,(Skills!K10/10)*(E2654/1000),Skills!K10/10)+Skills!N10</f>
        <v/>
      </c>
      <c r="G2654">
        <f>Calc!G10</f>
        <v/>
      </c>
      <c r="H2654">
        <f>Calc!H10</f>
        <v/>
      </c>
      <c r="I2654">
        <f>IF(Skills!T10&lt;&gt;"",1+(Skills!T10/10)*(Z2647/1000)/100,1)</f>
        <v/>
      </c>
      <c r="J2654">
        <f>((Inputs!$B$6*(1+Inputs!$B$7/100))+(((Inputs!$B$12*(1+Inputs!$B$13/100))-(Inputs!$B$12*(1+Inputs!$B$13/100)))+0.25*(Inputs!$B$14-Inputs!$B$14))*(1+Inputs!$B$7/100))*(F2654/100)</f>
        <v/>
      </c>
      <c r="K2654">
        <f>J2654*(1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10="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F2662-Calc!F18),(Inputs!$B$23+(IF(ArtifactsInput!$M$15,CHOOSE(ArtifactsInput!$N$15+1,25,30,35,40,45,50)/100*(Inputs!$B$11-Inputs!$B$11),0))))/100+(Inputs!$B$23+(IF(ArtifactsInput!$M$15,CHOOSE(ArtifactsInput!$N$15+1,25,30,35,40,45,50)/100*(Inputs!$B$11-Inputs!$B$11),0)))/100)/2</f>
        <v/>
      </c>
      <c r="M2654">
        <f>L2654*(1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(1-Summary!$B$11)*S2654+Summary!$B$11*U2654</f>
        <v/>
      </c>
      <c r="P2654">
        <f>IF(B2681=0,0,O2654/B2681)</f>
        <v/>
      </c>
      <c r="Q2654">
        <f>IFERROR(1/IF(Inputs!$B$38="pvp",15,MAX(0.1,Skills!D10-IF(Skills!E9=TRUE,2.0,0))),0)</f>
        <v/>
      </c>
      <c r="R2654">
        <f>IF(AND(Inputs!$B$38&lt;&gt;"pvp",Inputs!$B$43&gt;0),IF(MAX(0,Inputs!$B$43-B2678)&lt;=0,0,(INT(MAX(0,Inputs!$B$43-B2678)/IF(Inputs!$B$38="pvp",15,MAX(0.1,Skills!D10-IF(Skills!E9=TRUE,2.0,0))))+1)),0)</f>
        <v/>
      </c>
      <c r="S2654">
        <f>IF(C2654,(H2654*N2654*IF(AND(Inputs!$B$38&lt;&gt;"pvp",Inputs!$B$43&gt;0),((Skills!F10*((R2654-1)*IF(Skills!G10&gt;0,Skills!H10/Skills!G10,1)+IF(Skills!G10&gt;0,MIN(Skills!H10,MAX(0,MAX(0,Inputs!$B$43-B2678)-((R2654-1)*IF(Inputs!$B$38="pvp",15,MAX(0.1,Skills!D10-IF(Skills!E9=TRUE,2.0,0))))))/Skills!G10,1)))/Inputs!$B$43),G2654*Q2654))*IF(Inputs!$B$38="pvp",1,1+(Inputs!$B$20+Skills!O10+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2654*(1-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F(C2654,(H2654*N2654*IF(AND(Inputs!$B$38&lt;&gt;"pvp",Inputs!$B$43&gt;0),((Skills!F10*((R2654-1)*IF(Skills!G10&gt;0,Skills!H10/Skills!G10,1)+IF(Skills!G10&gt;0,MIN(Skills!H10,MAX(0,MAX(0,Inputs!$B$43-B2678)-((R2654-1)*IF(Inputs!$B$38="pvp",15,MAX(0.1,Skills!D10-IF(Skills!E9=TRUE,2.0,0))))))/Skills!G10,1)))/Inputs!$B$43),G2654*Q2654))*IF(Inputs!$B$38="pvp",1,(1+(Inputs!$B$21+Skills!P10+B2672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Skills!A11</f>
        <v/>
      </c>
      <c r="B2655">
        <f>Skills!B11</f>
        <v/>
      </c>
      <c r="C2655">
        <f>Inputs!$B$3&gt;=107</f>
        <v/>
      </c>
      <c r="D2655">
        <f>IF(Skills!C11=1,60+Inputs!$B$25+Inputs!$B$29,IF(Skills!C11=2,90+Inputs!$B$26+Inputs!$B$29,IF(Skills!C11=3,120+Inputs!$B$27+Inputs!$B$29,MAX(0,(Inputs!$B$3-100)*3)+Inputs!$B$28+Inputs!$B$29)))</f>
        <v/>
      </c>
      <c r="E2655">
        <f>INDEX(FactorTable!$B$2:$Y$301, MATCH(ROUND(MIN(300,MAX(1,D2655)),0), FactorTable!$A$2:$A$301,0), Skills!L11+1)</f>
        <v/>
      </c>
      <c r="F2655">
        <f>IF(Skills!M11=TRUE,(Skills!K11/10)*(E2655/1000),Skills!K11/10)+Skills!N11</f>
        <v/>
      </c>
      <c r="G2655">
        <f>Calc!G11</f>
        <v/>
      </c>
      <c r="H2655">
        <f>Calc!H11</f>
        <v/>
      </c>
      <c r="I2655">
        <f>IF(Skills!T11&lt;&gt;"",1+(Skills!T11/10)*(Z2647/1000)/100,1)</f>
        <v/>
      </c>
      <c r="J2655">
        <f>((Inputs!$B$6*(1+Inputs!$B$7/100))+(((Inputs!$B$12*(1+Inputs!$B$13/100))-(Inputs!$B$12*(1+Inputs!$B$13/100)))+0.25*(Inputs!$B$14-Inputs!$B$14))*(1+Inputs!$B$7/100))*(F2655/100)</f>
        <v/>
      </c>
      <c r="K2655">
        <f>J2655*(1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11="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F2662-Calc!F18),(Inputs!$B$23+(IF(ArtifactsInput!$M$15,CHOOSE(ArtifactsInput!$N$15+1,25,30,35,40,45,50)/100*(Inputs!$B$11-Inputs!$B$11),0))))/100+(Inputs!$B$23+(IF(ArtifactsInput!$M$15,CHOOSE(ArtifactsInput!$N$15+1,25,30,35,40,45,50)/100*(Inputs!$B$11-Inputs!$B$11),0)))/100)/2</f>
        <v/>
      </c>
      <c r="M2655">
        <f>L2655*(1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(1-Summary!$B$11)*S2655+Summary!$B$11*U2655</f>
        <v/>
      </c>
      <c r="P2655">
        <f>IF(B2681=0,0,O2655/B2681)</f>
        <v/>
      </c>
      <c r="Q2655">
        <f>IFERROR(1/IF(Inputs!$B$38="pvp",15,MAX(0.1,Skills!D11-IF(Skills!E11=TRUE,2.0,0))),0)</f>
        <v/>
      </c>
      <c r="R2655">
        <f>IF(AND(Inputs!$B$38&lt;&gt;"pvp",Inputs!$B$43&gt;0),IF(MAX(0,Inputs!$B$43-B2678)&lt;=0,0,(INT(MAX(0,Inputs!$B$43-B2678)/IF(Inputs!$B$38="pvp",15,MAX(0.1,Skills!D11-IF(Skills!E11=TRUE,2.0,0))))+1)),0)</f>
        <v/>
      </c>
      <c r="S2655">
        <f>IF(C2655,H2655*N2655*IF(AND(Inputs!$B$38&lt;&gt;"pvp",Inputs!$B$43&gt;0),((Skills!F11*((R2655-1)*IF(Skills!G11&gt;0,Skills!H11/Skills!G11,1)+IF(Skills!G11&gt;0,MIN(Skills!H11,MAX(0,MAX(0,Inputs!$B$43-B2678)-((R2655-1)*IF(Inputs!$B$38="pvp",15,MAX(0.1,Skills!D11-IF(Skills!E11=TRUE,2.0,0))))))/Skills!G11,1)))/Inputs!$B$43),G2655*Q2655)*0.5*IF(Inputs!$B$38="pvp",1,1+(Inputs!$B$20+Skills!O11+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2655*(1-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IF(C2655,H2655*N2655*IF(AND(Inputs!$B$38&lt;&gt;"pvp",Inputs!$B$43&gt;0),((Skills!F11*((R2655-1)*IF(Skills!G11&gt;0,Skills!H11/Skills!G11,1)+IF(Skills!G11&gt;0,MIN(Skills!H11,MAX(0,MAX(0,Inputs!$B$43-B2678)-((R2655-1)*IF(Inputs!$B$38="pvp",15,MAX(0.1,Skills!D11-IF(Skills!E11=TRUE,2.0,0))))))/Skills!G11,1)))/Inputs!$B$43),G2655*Q2655)*1*IF(Inputs!$B$38="pvp",1,(1+(Inputs!$B$21+Skills!P11+B2672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Skills!A12</f>
        <v/>
      </c>
      <c r="B2656">
        <f>Skills!B12</f>
        <v/>
      </c>
      <c r="C2656">
        <f>Inputs!$B$3&gt;=115</f>
        <v/>
      </c>
      <c r="D2656">
        <f>IF(Skills!C12=1,60+Inputs!$B$25+Inputs!$B$29,IF(Skills!C12=2,90+Inputs!$B$26+Inputs!$B$29,IF(Skills!C12=3,120+Inputs!$B$27+Inputs!$B$29,MAX(0,(Inputs!$B$3-100)*3)+Inputs!$B$28+Inputs!$B$29)))</f>
        <v/>
      </c>
      <c r="E2656">
        <f>INDEX(FactorTable!$B$2:$Y$301, MATCH(ROUND(MIN(300,MAX(1,D2656)),0), FactorTable!$A$2:$A$301,0), Skills!L12+1)</f>
        <v/>
      </c>
      <c r="F2656">
        <f>IF(Skills!M12=TRUE,(Skills!K12/10)*(E2656/1000),Skills!K12/10)+Skills!N12</f>
        <v/>
      </c>
      <c r="G2656">
        <f>Calc!G12</f>
        <v/>
      </c>
      <c r="H2656">
        <f>Calc!H12</f>
        <v/>
      </c>
      <c r="I2656">
        <f>IF(Skills!T12&lt;&gt;"",1+(Skills!T12/10)*(Z2647/1000)/100,1)</f>
        <v/>
      </c>
      <c r="J2656">
        <f>((Inputs!$B$6*(1+Inputs!$B$7/100))+(((Inputs!$B$12*(1+Inputs!$B$13/100))-(Inputs!$B$12*(1+Inputs!$B$13/100)))+0.25*(Inputs!$B$14-Inputs!$B$14))*(1+Inputs!$B$7/100))*(F2656/100)</f>
        <v/>
      </c>
      <c r="K2656">
        <f>J2656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12="CHAIN_LIGHTNING",Inputs!$B$17+((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F2662-Calc!F18),(Inputs!$B$23+(IF(ArtifactsInput!$M$15,CHOOSE(ArtifactsInput!$N$15+1,25,30,35,40,45,50)/100*(Inputs!$B$11-Inputs!$B$11),0))))/100+(Inputs!$B$23+(IF(ArtifactsInput!$M$15,CHOOSE(ArtifactsInput!$N$15+1,25,30,35,40,45,50)/100*(Inputs!$B$11-Inputs!$B$11),0)))/100)/2</f>
        <v/>
      </c>
      <c r="M2656">
        <f>L2656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(1-Summary!$B$11)*S2656+Summary!$B$11*U2656</f>
        <v/>
      </c>
      <c r="P2656">
        <f>IF(B2681=0,0,O2656/B2681)</f>
        <v/>
      </c>
      <c r="Q2656">
        <f>IFERROR(1/IF(Inputs!$B$38="pvp",15,MAX(0.1,Skills!D12-IF(Skills!E12=TRUE,2.0,0))),0)</f>
        <v/>
      </c>
      <c r="R2656">
        <f>IF(AND(Inputs!$B$38&lt;&gt;"pvp",Inputs!$B$43&gt;0),IF(MAX(0,Inputs!$B$43-B2678)&lt;=0,0,(INT(MAX(0,Inputs!$B$43-B2678)/IF(Inputs!$B$38="pvp",15,MAX(0.1,Skills!D12-IF(Skills!E12=TRUE,2.0,0))))+1)),0)</f>
        <v/>
      </c>
      <c r="S2656">
        <f>IF(C2656,(H2656*N2656*IF(AND(Inputs!$B$38&lt;&gt;"pvp",Inputs!$B$43&gt;0),((Skills!F12*((R2656-1)*IF(Skills!G12&gt;0,Skills!H12/Skills!G12,1)+IF(Skills!G12&gt;0,MIN(Skills!H12,MAX(0,MAX(0,Inputs!$B$43-B2678)-((R2656-1)*IF(Inputs!$B$38="pvp",15,MAX(0.1,Skills!D12-IF(Skills!E12=TRUE,2.0,0))))))/Skills!G12,1)))/Inputs!$B$43),G2656*Q2656))*IF(Inputs!$B$38="pvp",1,1+(Inputs!$B$20+Skills!O12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2656*(1-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F2664-Calc!F20)+(F2663-Calc!F19))+(ArtifactsInput!$M$24-ArtifactsInput!$M$24)*CHOOSE(ArtifactsInput!$N$24+1,10,12,14,16,18,20)+(IF(AND(Inputs!$B$38&lt;&gt;"pvp",Inputs!$B$43=0),1,IF(IF(Inputs!$B$38="pvp",15,Inputs!$B$43)-(B2678)&lt;=0,1,MAX(0,IF(Inputs!$B$38="pvp",15,Inputs!$B$43)-MAX(5,B2678))/(IF(Inputs!$B$38="pvp",15,Inputs!$B$43)-(B2678)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6">
        <f>IF(C2656,(H2656*N2656*IF(AND(Inputs!$B$38&lt;&gt;"pvp",Inputs!$B$43&gt;0),((Skills!F12*((R2656-1)*IF(Skills!G12&gt;0,Skills!H12/Skills!G12,1)+IF(Skills!G12&gt;0,MIN(Skills!H12,MAX(0,MAX(0,Inputs!$B$43-B2678)-((R2656-1)*IF(Inputs!$B$38="pvp",15,MAX(0.1,Skills!D12-IF(Skills!E12=TRUE,2.0,0))))))/Skills!G12,1)))/Inputs!$B$43),G2656*Q2656))*IF(Inputs!$B$38="pvp",1,(1+(Inputs!$B$21+Skills!P12+B2672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Skills!A13</f>
        <v/>
      </c>
      <c r="B2657">
        <f>Skills!B13</f>
        <v/>
      </c>
      <c r="C2657">
        <f>Inputs!$B$3&gt;=49</f>
        <v/>
      </c>
      <c r="D2657">
        <f>IF(Skills!C13=1,60+Inputs!$B$25+Inputs!$B$29,IF(Skills!C13=2,90+Inputs!$B$26+Inputs!$B$29,IF(Skills!C13=3,120+Inputs!$B$27+Inputs!$B$29,MAX(0,(Inputs!$B$3-100)*3)+Inputs!$B$28+Inputs!$B$29)))</f>
        <v/>
      </c>
      <c r="E2657">
        <f>INDEX(FactorTable!$B$2:$Y$301, MATCH(ROUND(MIN(300,MAX(1,D2657)),0), FactorTable!$A$2:$A$301,0), Skills!L13+1)</f>
        <v/>
      </c>
      <c r="F2657">
        <f>IF(Skills!M13=TRUE,(Skills!K13/10)*(E2657/1000),Skills!K13/10)+Skills!N13</f>
        <v/>
      </c>
      <c r="G2657">
        <f>Calc!G13</f>
        <v/>
      </c>
      <c r="H2657">
        <f>Calc!H13</f>
        <v/>
      </c>
      <c r="I2657">
        <f>IF(Skills!T13&lt;&gt;"",1+(Skills!T13/10)*(Z2647/1000)/100,1)</f>
        <v/>
      </c>
      <c r="J2657" t="inlineStr"/>
      <c r="K2657" t="inlineStr"/>
      <c r="L2657" t="inlineStr"/>
      <c r="M2657" t="inlineStr"/>
      <c r="N2657" t="inlineStr"/>
      <c r="O2657">
        <f>(1-Summary!$B$11)*S2657+Summary!$B$11*U2657</f>
        <v/>
      </c>
      <c r="P2657">
        <f>IF(B2681=0,0,O2657/B2681)</f>
        <v/>
      </c>
      <c r="Q2657">
        <f>IFERROR(1/IF(Inputs!$B$38="pvp",15,MAX(0.1,Skills!D13-IF(Skills!E13=TRUE,2.0,0))),0)</f>
        <v/>
      </c>
      <c r="R2657" t="n">
        <v>0</v>
      </c>
      <c r="S2657" t="n">
        <v>0</v>
      </c>
      <c r="U2657" t="n">
        <v>0</v>
      </c>
    </row>
    <row r="2658">
      <c r="A2658">
        <f>Skills!A14</f>
        <v/>
      </c>
      <c r="B2658">
        <f>Skills!B14</f>
        <v/>
      </c>
      <c r="C2658">
        <f>Inputs!$B$3&gt;=72</f>
        <v/>
      </c>
      <c r="D2658">
        <f>IF(Skills!C14=1,60+Inputs!$B$25+Inputs!$B$29,IF(Skills!C14=2,90+Inputs!$B$26+Inputs!$B$29,IF(Skills!C14=3,120+Inputs!$B$27+Inputs!$B$29,MAX(0,(Inputs!$B$3-100)*3)+Inputs!$B$28+Inputs!$B$29)))</f>
        <v/>
      </c>
      <c r="E2658">
        <f>INDEX(FactorTable!$B$2:$Y$301, MATCH(ROUND(MIN(300,MAX(1,D2658)),0), FactorTable!$A$2:$A$301,0), Skills!L14+1)</f>
        <v/>
      </c>
      <c r="F2658">
        <f>IF(Skills!M14=TRUE,(Skills!K14/10)*(E2658/1000),Skills!K14/10)+Skills!N14</f>
        <v/>
      </c>
      <c r="G2658">
        <f>Calc!G14</f>
        <v/>
      </c>
      <c r="H2658">
        <f>Calc!H14</f>
        <v/>
      </c>
      <c r="I2658">
        <f>IF(Skills!T14&lt;&gt;"",1+(Skills!T14/10)*(Z2647/1000)/100,1)</f>
        <v/>
      </c>
      <c r="J2658" t="inlineStr"/>
      <c r="K2658" t="inlineStr"/>
      <c r="L2658" t="inlineStr"/>
      <c r="M2658" t="inlineStr"/>
      <c r="N2658" t="inlineStr"/>
      <c r="O2658">
        <f>(1-Summary!$B$11)*S2658+Summary!$B$11*U2658</f>
        <v/>
      </c>
      <c r="P2658">
        <f>IF(B2681=0,0,O2658/B2681)</f>
        <v/>
      </c>
      <c r="Q2658">
        <f>IFERROR(1/IF(Inputs!$B$38="pvp",15,MAX(0.1,Skills!D14-IF(Skills!E14=TRUE,2.0,0))),0)</f>
        <v/>
      </c>
      <c r="R2658" t="n">
        <v>0</v>
      </c>
      <c r="S2658" t="n">
        <v>0</v>
      </c>
      <c r="U2658" t="n">
        <v>0</v>
      </c>
    </row>
    <row r="2659">
      <c r="A2659">
        <f>Skills!A15</f>
        <v/>
      </c>
      <c r="B2659">
        <f>Skills!B15</f>
        <v/>
      </c>
      <c r="C2659">
        <f>Inputs!$B$3&gt;=75</f>
        <v/>
      </c>
      <c r="D2659">
        <f>IF(Skills!C15=1,60+Inputs!$B$25+Inputs!$B$29,IF(Skills!C15=2,90+Inputs!$B$26+Inputs!$B$29,IF(Skills!C15=3,120+Inputs!$B$27+Inputs!$B$29,MAX(0,(Inputs!$B$3-100)*3)+Inputs!$B$28+Inputs!$B$29)))</f>
        <v/>
      </c>
      <c r="E2659">
        <f>INDEX(FactorTable!$B$2:$Y$301, MATCH(ROUND(MIN(300,MAX(1,D2659)),0), FactorTable!$A$2:$A$301,0), Skills!L15+1)</f>
        <v/>
      </c>
      <c r="F2659">
        <f>IF(Skills!M15=TRUE,(Skills!K15/10)*(E2659/1000),Skills!K15/10)+Skills!N15</f>
        <v/>
      </c>
      <c r="G2659">
        <f>Calc!G15</f>
        <v/>
      </c>
      <c r="H2659">
        <f>Calc!H15</f>
        <v/>
      </c>
      <c r="I2659">
        <f>IF(Skills!T15&lt;&gt;"",1+(Skills!T15/10)*(Z2647/1000)/100,1)</f>
        <v/>
      </c>
      <c r="J2659" t="inlineStr"/>
      <c r="K2659" t="inlineStr"/>
      <c r="L2659" t="inlineStr"/>
      <c r="M2659" t="inlineStr"/>
      <c r="N2659" t="inlineStr"/>
      <c r="O2659">
        <f>(1-Summary!$B$11)*S2659+Summary!$B$11*U2659</f>
        <v/>
      </c>
      <c r="P2659">
        <f>IF(B2681=0,0,O2659/B2681)</f>
        <v/>
      </c>
      <c r="Q2659">
        <f>IFERROR(1/IF(Inputs!$B$38="pvp",15,MAX(0.1,Skills!D15-IF(Skills!E15=TRUE,2.0,0))),0)</f>
        <v/>
      </c>
      <c r="R2659" t="n">
        <v>0</v>
      </c>
      <c r="S2659" t="n">
        <v>0</v>
      </c>
      <c r="U2659" t="n">
        <v>0</v>
      </c>
    </row>
    <row r="2660">
      <c r="A2660">
        <f>Skills!A16</f>
        <v/>
      </c>
      <c r="B2660">
        <f>Skills!B16</f>
        <v/>
      </c>
      <c r="C2660">
        <f>Inputs!$B$3&gt;=110</f>
        <v/>
      </c>
      <c r="D2660">
        <f>IF(Skills!C16=1,60+Inputs!$B$25+Inputs!$B$29,IF(Skills!C16=2,90+Inputs!$B$26+Inputs!$B$29,IF(Skills!C16=3,120+Inputs!$B$27+Inputs!$B$29,MAX(0,(Inputs!$B$3-100)*3)+Inputs!$B$28+Inputs!$B$29)))</f>
        <v/>
      </c>
      <c r="E2660">
        <f>INDEX(FactorTable!$B$2:$Y$301, MATCH(ROUND(MIN(300,MAX(1,D2660)),0), FactorTable!$A$2:$A$301,0), Skills!L16+1)</f>
        <v/>
      </c>
      <c r="F2660">
        <f>(Skills!K16/10)*(E2660/1000)*64/45+Skills!N16</f>
        <v/>
      </c>
      <c r="G2660">
        <f>Calc!G16</f>
        <v/>
      </c>
      <c r="H2660">
        <f>Calc!H16</f>
        <v/>
      </c>
      <c r="I2660">
        <f>IF(Skills!T16&lt;&gt;"",1+(Skills!T16/10)*(Z2647/1000)/100,1)</f>
        <v/>
      </c>
      <c r="J2660" t="inlineStr"/>
      <c r="K2660" t="inlineStr"/>
      <c r="L2660" t="inlineStr"/>
      <c r="M2660" t="inlineStr"/>
      <c r="N2660" t="inlineStr"/>
      <c r="O2660">
        <f>(1-Summary!$B$11)*S2660+Summary!$B$11*U2660</f>
        <v/>
      </c>
      <c r="P2660">
        <f>IF(B2681=0,0,O2660/B2681)</f>
        <v/>
      </c>
      <c r="Q2660">
        <f>IFERROR(1/IF(Inputs!$B$38="pvp",15,MAX(0.1,Skills!D16-IF(Skills!E16=TRUE,2.0,0))),0)</f>
        <v/>
      </c>
      <c r="R2660">
        <f>IF(AND(Inputs!$B$38&lt;&gt;"pvp",Inputs!$B$43&gt;0),IF(Inputs!$B$43&lt;=0,0,(INT(Inputs!$B$43/IF(Inputs!$B$38="pvp",15,MAX(0.1,Skills!D16-IF(Skills!E16=TRUE,2.0,0))))+1)),0)</f>
        <v/>
      </c>
      <c r="S2660" t="n">
        <v>0</v>
      </c>
      <c r="U2660" t="n">
        <v>0</v>
      </c>
    </row>
    <row r="2661">
      <c r="A2661">
        <f>Skills!A17</f>
        <v/>
      </c>
      <c r="B2661">
        <f>Skills!B17</f>
        <v/>
      </c>
      <c r="C2661">
        <f>Inputs!$B$3&gt;=33</f>
        <v/>
      </c>
      <c r="D2661">
        <f>IF(Skills!C17=1,60+Inputs!$B$25+Inputs!$B$29,IF(Skills!C17=2,90+Inputs!$B$26+Inputs!$B$29,IF(Skills!C17=3,120+Inputs!$B$27+Inputs!$B$29,MAX(0,(Inputs!$B$3-100)*3)+Inputs!$B$28+Inputs!$B$29)))</f>
        <v/>
      </c>
      <c r="E2661">
        <f>INDEX(FactorTable!$B$2:$Y$301, MATCH(ROUND(MIN(300,MAX(1,D2661)),0), FactorTable!$A$2:$A$301,0), Skills!L17+1)</f>
        <v/>
      </c>
      <c r="F2661">
        <f>IF(Skills!M17=TRUE,(Skills!K17/10)*(E2661/1000),Skills!K17/10)+Skills!N17</f>
        <v/>
      </c>
      <c r="G2661">
        <f>Calc!G17</f>
        <v/>
      </c>
      <c r="H2661">
        <f>Calc!H17</f>
        <v/>
      </c>
      <c r="I2661">
        <f>IF(Skills!T17&lt;&gt;"",1+(Skills!T17/10)*(Z2647/1000)/100,1)</f>
        <v/>
      </c>
      <c r="J2661" t="inlineStr"/>
      <c r="K2661" t="inlineStr"/>
      <c r="L2661" t="inlineStr"/>
      <c r="M2661" t="inlineStr"/>
      <c r="N2661" t="inlineStr"/>
      <c r="O2661">
        <f>(1-Summary!$B$11)*S2661+Summary!$B$11*U2661</f>
        <v/>
      </c>
      <c r="P2661">
        <f>IF(B2681=0,0,O2661/B2681)</f>
        <v/>
      </c>
      <c r="Q2661">
        <f>IFERROR(1/IF(Inputs!$B$38="pvp",15,MAX(0.1,Skills!D17-IF(Skills!E17=TRUE,2.0,0))),0)</f>
        <v/>
      </c>
      <c r="R2661" t="n">
        <v>0</v>
      </c>
      <c r="S2661" t="n">
        <v>0</v>
      </c>
      <c r="U2661" t="n">
        <v>0</v>
      </c>
    </row>
    <row r="2662">
      <c r="A2662">
        <f>Skills!A18</f>
        <v/>
      </c>
      <c r="B2662">
        <f>Skills!B18</f>
        <v/>
      </c>
      <c r="C2662">
        <f>Inputs!$B$3&gt;=43</f>
        <v/>
      </c>
      <c r="D2662">
        <f>IF(Skills!C18=1,60+Inputs!$B$25+Inputs!$B$29,IF(Skills!C18=2,90+Inputs!$B$26+Inputs!$B$29,IF(Skills!C18=3,120+Inputs!$B$27+Inputs!$B$29,MAX(0,(Inputs!$B$3-100)*3)+Inputs!$B$28+Inputs!$B$29)))</f>
        <v/>
      </c>
      <c r="E2662">
        <f>INDEX(FactorTable!$B$2:$Y$301, MATCH(ROUND(MIN(300,MAX(1,D2662)),0), FactorTable!$A$2:$A$301,0), Skills!L18+1)</f>
        <v/>
      </c>
      <c r="F2662">
        <f>IF(Skills!M18=TRUE,(Skills!K18/10)*(E2662/1000),Skills!K18/10)+Skills!N18</f>
        <v/>
      </c>
      <c r="G2662">
        <f>Calc!G18</f>
        <v/>
      </c>
      <c r="H2662">
        <f>Calc!H18</f>
        <v/>
      </c>
      <c r="I2662">
        <f>IF(Skills!T18&lt;&gt;"",1+(Skills!T18/10)*(Z2647/1000)/100,1)</f>
        <v/>
      </c>
      <c r="J2662" t="inlineStr"/>
      <c r="K2662" t="inlineStr"/>
      <c r="L2662" t="inlineStr"/>
      <c r="M2662" t="inlineStr"/>
      <c r="N2662" t="inlineStr"/>
      <c r="O2662">
        <f>(1-Summary!$B$11)*S2662+Summary!$B$11*U2662</f>
        <v/>
      </c>
      <c r="P2662">
        <f>IF(B2681=0,0,O2662/B2681)</f>
        <v/>
      </c>
      <c r="Q2662">
        <f>IFERROR(1/IF(Inputs!$B$38="pvp",15,MAX(0.1,Skills!D18-IF(Skills!E18=TRUE,2.0,0))),0)</f>
        <v/>
      </c>
      <c r="R2662" t="n">
        <v>0</v>
      </c>
      <c r="S2662" t="n">
        <v>0</v>
      </c>
      <c r="U2662" t="n">
        <v>0</v>
      </c>
    </row>
    <row r="2663">
      <c r="A2663">
        <f>Skills!A19</f>
        <v/>
      </c>
      <c r="B2663">
        <f>Skills!B19</f>
        <v/>
      </c>
      <c r="C2663">
        <f>Inputs!$B$3&gt;=50</f>
        <v/>
      </c>
      <c r="D2663">
        <f>IF(Skills!C19=1,60+Inputs!$B$25+Inputs!$B$29,IF(Skills!C19=2,90+Inputs!$B$26+Inputs!$B$29,IF(Skills!C19=3,120+Inputs!$B$27+Inputs!$B$29,MAX(0,(Inputs!$B$3-100)*3)+Inputs!$B$28+Inputs!$B$29)))</f>
        <v/>
      </c>
      <c r="E2663">
        <f>INDEX(FactorTable!$B$2:$Y$301, MATCH(ROUND(MIN(300,MAX(1,D2663)),0), FactorTable!$A$2:$A$301,0), Skills!L19+1)</f>
        <v/>
      </c>
      <c r="F2663">
        <f>IF(Skills!M19=TRUE,(Skills!K19/10)*(E2663/1000),Skills!K19/10)+Skills!N19</f>
        <v/>
      </c>
      <c r="G2663">
        <f>Calc!G19</f>
        <v/>
      </c>
      <c r="H2663">
        <f>Calc!H19</f>
        <v/>
      </c>
      <c r="I2663">
        <f>IF(Skills!T19&lt;&gt;"",1+(Skills!T19/10)*(Z2647/1000)/100,1)</f>
        <v/>
      </c>
      <c r="J2663" t="inlineStr"/>
      <c r="K2663" t="inlineStr"/>
      <c r="L2663" t="inlineStr"/>
      <c r="M2663" t="inlineStr"/>
      <c r="N2663" t="inlineStr"/>
      <c r="O2663">
        <f>(1-Summary!$B$11)*S2663+Summary!$B$11*U2663</f>
        <v/>
      </c>
      <c r="P2663">
        <f>IF(B2681=0,0,O2663/B2681)</f>
        <v/>
      </c>
      <c r="Q2663">
        <f>IFERROR(1/IF(Inputs!$B$38="pvp",15,MAX(0.1,Skills!D19-IF(Skills!E19=TRUE,2.0,0))),0)</f>
        <v/>
      </c>
      <c r="R2663" t="n">
        <v>0</v>
      </c>
      <c r="S2663" t="n">
        <v>0</v>
      </c>
      <c r="U2663" t="n">
        <v>0</v>
      </c>
    </row>
    <row r="2664">
      <c r="A2664">
        <f>Skills!A20</f>
        <v/>
      </c>
      <c r="B2664">
        <f>Skills!B20</f>
        <v/>
      </c>
      <c r="C2664">
        <f>Inputs!$B$3&gt;=74</f>
        <v/>
      </c>
      <c r="D2664">
        <f>IF(Skills!C20=1,60+Inputs!$B$25+Inputs!$B$29,IF(Skills!C20=2,90+Inputs!$B$26+Inputs!$B$29,IF(Skills!C20=3,120+Inputs!$B$27+Inputs!$B$29,MAX(0,(Inputs!$B$3-100)*3)+Inputs!$B$28+Inputs!$B$29)))</f>
        <v/>
      </c>
      <c r="E2664">
        <f>INDEX(FactorTable!$B$2:$Y$301, MATCH(ROUND(MIN(300,MAX(1,D2664)),0), FactorTable!$A$2:$A$301,0), Skills!L20+1)</f>
        <v/>
      </c>
      <c r="F2664">
        <f>IF(Skills!M20=TRUE,(Skills!K20/10)*(E2664/1000),Skills!K20/10)+Skills!N20</f>
        <v/>
      </c>
      <c r="G2664">
        <f>Calc!G20</f>
        <v/>
      </c>
      <c r="H2664">
        <f>Calc!H20</f>
        <v/>
      </c>
      <c r="I2664">
        <f>IF(Skills!T20&lt;&gt;"",1+(Skills!T20/10)*(Z2647/1000)/100,1)</f>
        <v/>
      </c>
      <c r="J2664" t="inlineStr"/>
      <c r="K2664" t="inlineStr"/>
      <c r="L2664" t="inlineStr"/>
      <c r="M2664" t="inlineStr"/>
      <c r="N2664" t="inlineStr"/>
      <c r="O2664">
        <f>(1-Summary!$B$11)*S2664+Summary!$B$11*U2664</f>
        <v/>
      </c>
      <c r="P2664">
        <f>IF(B2681=0,0,O2664/B2681)</f>
        <v/>
      </c>
      <c r="Q2664">
        <f>IFERROR(1/IF(Inputs!$B$38="pvp",15,MAX(0.1,Skills!D20-IF(Skills!E20=TRUE,2.0,0))),0)</f>
        <v/>
      </c>
      <c r="R2664" t="n">
        <v>0</v>
      </c>
      <c r="S2664" t="n">
        <v>0</v>
      </c>
      <c r="U2664" t="n">
        <v>0</v>
      </c>
    </row>
    <row r="2665">
      <c r="A2665">
        <f>Skills!A21</f>
        <v/>
      </c>
      <c r="B2665">
        <f>Skills!B21</f>
        <v/>
      </c>
      <c r="C2665">
        <f>Inputs!$B$3&gt;=74</f>
        <v/>
      </c>
      <c r="D2665">
        <f>IF(Skills!C21=1,60+Inputs!$B$25+Inputs!$B$29,IF(Skills!C21=2,90+Inputs!$B$26+Inputs!$B$29,IF(Skills!C21=3,120+Inputs!$B$27+Inputs!$B$29,MAX(0,(Inputs!$B$3-100)*3)+Inputs!$B$28+Inputs!$B$29)))</f>
        <v/>
      </c>
      <c r="E2665">
        <f>INDEX(FactorTable!$B$2:$Y$301, MATCH(ROUND(MIN(300,MAX(1,D2665)),0), FactorTable!$A$2:$A$301,0), Skills!L21+1)</f>
        <v/>
      </c>
      <c r="F2665">
        <f>IF(Skills!M21=TRUE,(Skills!K21/10)*(E2665/1000),Skills!K21/10)+Skills!N21</f>
        <v/>
      </c>
      <c r="G2665">
        <f>Calc!G21</f>
        <v/>
      </c>
      <c r="H2665">
        <f>Calc!H21</f>
        <v/>
      </c>
      <c r="I2665">
        <f>IF(Skills!T21&lt;&gt;"",1+(Skills!T21/10)*(Z2647/1000)/100,1)</f>
        <v/>
      </c>
      <c r="J2665" t="inlineStr"/>
      <c r="K2665" t="inlineStr"/>
      <c r="L2665" t="inlineStr"/>
      <c r="M2665" t="inlineStr"/>
      <c r="N2665" t="inlineStr"/>
      <c r="O2665">
        <f>(1-Summary!$B$11)*S2665+Summary!$B$11*U2665</f>
        <v/>
      </c>
      <c r="P2665">
        <f>IF(B2681=0,0,O2665/B2681)</f>
        <v/>
      </c>
      <c r="Q2665">
        <f>IFERROR(1/IF(Inputs!$B$38="pvp",15,MAX(0.1,Skills!D21-IF(Skills!E21=TRUE,2.0,0))),0)</f>
        <v/>
      </c>
      <c r="R2665" t="n">
        <v>0</v>
      </c>
      <c r="S2665" t="n">
        <v>0</v>
      </c>
      <c r="U2665" t="n">
        <v>0</v>
      </c>
    </row>
    <row r="2666">
      <c r="A2666">
        <f>Skills!A22</f>
        <v/>
      </c>
      <c r="B2666">
        <f>Skills!B22</f>
        <v/>
      </c>
      <c r="C2666">
        <f>Inputs!$B$3&gt;=117</f>
        <v/>
      </c>
      <c r="D2666">
        <f>IF(Skills!C22=1,60+Inputs!$B$25+Inputs!$B$29,IF(Skills!C22=2,90+Inputs!$B$26+Inputs!$B$29,IF(Skills!C22=3,120+Inputs!$B$27+Inputs!$B$29,MAX(0,(Inputs!$B$3-100)*3)+Inputs!$B$28+Inputs!$B$29)))</f>
        <v/>
      </c>
      <c r="E2666">
        <f>INDEX(FactorTable!$B$2:$Y$301, MATCH(ROUND(MIN(300,MAX(1,D2666)),0), FactorTable!$A$2:$A$301,0), Skills!L22+1)</f>
        <v/>
      </c>
      <c r="F2666">
        <f>IF(Skills!M22=TRUE,(Skills!K22/10)*(E2666/1000),Skills!K22/10)+Skills!N22</f>
        <v/>
      </c>
      <c r="G2666">
        <f>Calc!G22</f>
        <v/>
      </c>
      <c r="H2666">
        <f>Calc!H22</f>
        <v/>
      </c>
      <c r="I2666">
        <f>IF(Skills!T22&lt;&gt;"",1+(Skills!T22/10)*(Z2647/1000)/100,1)</f>
        <v/>
      </c>
      <c r="J2666" t="inlineStr"/>
      <c r="K2666" t="inlineStr"/>
      <c r="L2666" t="inlineStr"/>
      <c r="M2666" t="inlineStr"/>
      <c r="N2666" t="inlineStr"/>
      <c r="O2666">
        <f>(1-Summary!$B$11)*S2666+Summary!$B$11*U2666</f>
        <v/>
      </c>
      <c r="P2666">
        <f>IF(B2681=0,0,O2666/B2681)</f>
        <v/>
      </c>
      <c r="Q2666">
        <f>IFERROR(1/IF(Inputs!$B$38="pvp",15,MAX(0.1,Skills!D22-IF(Skills!E22=TRUE,2.0,0))),0)</f>
        <v/>
      </c>
      <c r="R2666" t="n">
        <v>0</v>
      </c>
      <c r="S2666" t="n">
        <v>0</v>
      </c>
      <c r="U2666" t="n">
        <v>0</v>
      </c>
    </row>
    <row r="2667">
      <c r="A2667">
        <f>Skills!A23</f>
        <v/>
      </c>
      <c r="B2667">
        <f>Skills!B23</f>
        <v/>
      </c>
      <c r="C2667">
        <f>Inputs!$B$3&gt;=120</f>
        <v/>
      </c>
      <c r="D2667">
        <f>IF(Skills!C23=1,60+Inputs!$B$25+Inputs!$B$29,IF(Skills!C23=2,90+Inputs!$B$26+Inputs!$B$29,IF(Skills!C23=3,120+Inputs!$B$27+Inputs!$B$29,MAX(0,(Inputs!$B$3-100)*3)+Inputs!$B$28+Inputs!$B$29)))</f>
        <v/>
      </c>
      <c r="E2667">
        <f>INDEX(FactorTable!$B$2:$Y$301, MATCH(ROUND(MIN(300,MAX(1,D2667)),0), FactorTable!$A$2:$A$301,0), Skills!L23+1)</f>
        <v/>
      </c>
      <c r="F2667">
        <f>IF(Skills!M23=TRUE,(Skills!K23/10)*(E2667/1000),Skills!K23/10)+Skills!N23</f>
        <v/>
      </c>
      <c r="G2667">
        <f>Calc!G23</f>
        <v/>
      </c>
      <c r="H2667">
        <f>Calc!H23</f>
        <v/>
      </c>
      <c r="I2667">
        <f>IF(Skills!T23&lt;&gt;"",1+(Skills!T23/10)*(Z2647/1000)/100,1)</f>
        <v/>
      </c>
      <c r="J2667" t="inlineStr"/>
      <c r="K2667" t="inlineStr"/>
      <c r="L2667" t="inlineStr"/>
      <c r="M2667" t="inlineStr"/>
      <c r="N2667" t="inlineStr"/>
      <c r="O2667">
        <f>(1-Summary!$B$11)*S2667+Summary!$B$11*U2667</f>
        <v/>
      </c>
      <c r="P2667">
        <f>IF(B2681=0,0,O2667/B2681)</f>
        <v/>
      </c>
      <c r="Q2667">
        <f>IFERROR(1/IF(Inputs!$B$38="pvp",15,MAX(0.1,Skills!D23-IF(Skills!E23=TRUE,2.0,0))),0)</f>
        <v/>
      </c>
      <c r="R2667" t="n">
        <v>0</v>
      </c>
      <c r="S2667" t="n">
        <v>0</v>
      </c>
      <c r="U2667" t="n">
        <v>0</v>
      </c>
    </row>
    <row r="2668">
      <c r="A2668">
        <f>Skills!A24</f>
        <v/>
      </c>
      <c r="B2668">
        <f>Skills!B24</f>
        <v/>
      </c>
      <c r="C2668">
        <f>TRUE</f>
        <v/>
      </c>
      <c r="D2668">
        <f>IF(Skills!C24=1,60+Inputs!$B$25+Inputs!$B$29,IF(Skills!C24=2,90+Inputs!$B$26+Inputs!$B$29,IF(Skills!C24=3,120+Inputs!$B$27+Inputs!$B$29,MAX(0,(Inputs!$B$3-100)*3)+Inputs!$B$28+Inputs!$B$29)))</f>
        <v/>
      </c>
      <c r="E2668">
        <f>INDEX(FactorTable!$B$2:$Y$301, MATCH(ROUND(MIN(300,MAX(1,D2668)),0), FactorTable!$A$2:$A$301,0), Skills!L24+1)</f>
        <v/>
      </c>
      <c r="F2668">
        <f>IF(Skills!M24=TRUE,(Skills!K24/10)*(E2668/1000),Skills!K24/10)+Skills!N24</f>
        <v/>
      </c>
      <c r="G2668">
        <f>Calc!G24</f>
        <v/>
      </c>
      <c r="H2668">
        <f>Calc!H24</f>
        <v/>
      </c>
      <c r="I2668">
        <f>IF(Skills!T24&lt;&gt;"",1+(Skills!T24/10)*(Z2647/1000)/100,1)</f>
        <v/>
      </c>
      <c r="J2668" t="inlineStr"/>
      <c r="K2668" t="inlineStr"/>
      <c r="L2668" t="inlineStr"/>
      <c r="M2668" t="inlineStr"/>
      <c r="N2668" t="inlineStr"/>
      <c r="O2668">
        <f>(1-Summary!$B$11)*S2668+Summary!$B$11*U2668</f>
        <v/>
      </c>
      <c r="P2668">
        <f>IF(B2681=0,0,O2668/B2681)</f>
        <v/>
      </c>
      <c r="Q2668">
        <f>IFERROR(1/IF(Inputs!$B$38="pvp",15,MAX(0.1,Skills!D24-IF(Skills!E24=TRUE,2.0,0))),0)</f>
        <v/>
      </c>
      <c r="R2668">
        <f>IF(AND(Inputs!$B$38&lt;&gt;"pvp",Inputs!$B$43&gt;0),IF(Inputs!$B$43&lt;=0,0,(INT(Inputs!$B$43/IF(Inputs!$B$38="pvp",15,MAX(0.1,Skills!D24-IF(Skills!E24=TRUE,2.0,0))))+1)),0)</f>
        <v/>
      </c>
      <c r="S2668" t="n">
        <v>0</v>
      </c>
      <c r="U2668" t="n">
        <v>0</v>
      </c>
    </row>
    <row r="2671">
      <c r="A2671" t="inlineStr">
        <is>
          <t>Average Buff Multiplier (Magic Guard + Meditation + Artifact Attack%, summed; then Infinity)</t>
        </is>
      </c>
      <c r="B2671">
        <f>(1+(IF(C2647=TRUE,F2647*IF(AND(Inputs!$B$38&lt;&gt;"pvp",Inputs!$B$43&gt;0),(((R2647-1)*(Skills!S3*(1+(Inputs!$B$34)/100))+MIN((Skills!S3*(1+(Inputs!$B$34)/100)),MAX(0,Inputs!$B$43-((R2647-1)*Skills!D3))))/Inputs!$B$43),IF(Inputs!$B$38="pvp",MIN((Skills!S3*(1+(Inputs!$B$34)/100)),15)/15,(Skills!S3*(1+(Inputs!$B$34)/100))/Skills!D3)),0)+IF(C2648=TRUE,F2648*IF(AND(Inputs!$B$38&lt;&gt;"pvp",Inputs!$B$43&gt;0),(((R2648-1)*(Skills!S4*(1+(Inputs!$B$34)/100))+MIN((Skills!S4*(1+(Inputs!$B$34)/100)),MAX(0,Inputs!$B$43-((R2648-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2660=TRUE,(1+F2660*IF(AND(Inputs!$B$38&lt;&gt;"pvp",Inputs!$B$43&gt;0),(((R2660-1)*(Skills!S16*(1+(Inputs!$B$34)/100))+MIN((Skills!S16*(1+(Inputs!$B$34)/100)),MAX(0,Inputs!$B$43-((R2660-1)*Skills!D16))))/Inputs!$B$43),IF(Inputs!$B$38="pvp",MIN((Skills!S16*(1+(Inputs!$B$34)/100)),15)/15,(Skills!S16*(1+(Inputs!$B$34)/100))/Skills!D16))/100),1)</f>
        <v/>
      </c>
    </row>
    <row r="2672">
      <c r="A2672" t="inlineStr">
        <is>
          <t>Monster Damage Taken Bonus % (Freezing Breath - Weaken + Elemental Reset + Artifact Enemy Damage Taken, summed)</t>
        </is>
      </c>
      <c r="B2672">
        <f>IF(Inputs!$B$3&gt;=118,15*IF(Inputs!$B$38="pvp",MIN((30*(1+(Inputs!$B$34)/100)),15)/15,(30*(1+(Inputs!$B$34)/100))/Skills!D8),0)+IF(C2658=TRUE,F2658,0)+(IF(AND(ArtifactsInput!$M$35,Inputs!$B$4&lt;&gt;"Chapter Hunt"),CHOOSE(ArtifactsInput!$N$35+1,15,18,21,24,27,30)*(1-EXP(-(0.2*B2675)*5)),0)+IF(AND(ArtifactsInput!$M$22,Inputs!$B$4&lt;&gt;"Chapter Hunt"),CHOOSE(ArtifactsInput!$N$22+1,10,12,14,16,18,20)*((0*(((0.15*B2675*5))^0/1)+1*(((0.15*B2675*5))^1/1)+2*(((0.15*B2675*5))^2/2)+3*(((0.15*B2675*5))^3/6)+4*(((0.15*B2675*5))^4/24)+5*(((0.15*B2675*5))^5/120))/((((0.15*B2675*5))^0/1)+(((0.15*B2675*5))^1/1)+(((0.15*B2675*5))^2/2)+(((0.15*B2675*5))^3/6)+(((0.15*B2675*5))^4/24)+(((0.15*B2675*5))^5/120))),0))</f>
        <v/>
      </c>
    </row>
    <row r="2673">
      <c r="A2673" t="inlineStr">
        <is>
          <t>Damage % Bonus (Frozen Break + Frost Clutch, flat)</t>
        </is>
      </c>
      <c r="B2673">
        <f>IF(Inputs!$B$3&gt;=66,15,0)+IF(Inputs!$B$3&gt;=98,10,0)+IF(Inputs!$B$3&gt;=125,20,0)</f>
        <v/>
      </c>
    </row>
    <row r="2674">
      <c r="A2674" t="inlineStr">
        <is>
          <t>Attack Speed Bonus % (MP Eater - MP Boost, always-on + Nimble Feet, duty-cycle averaged)</t>
        </is>
      </c>
      <c r="B2674">
        <f>IF(C2657=TRUE,F2657+(F2661-Calc!F17),0)+((C2668=TRUE)*F2668*IF(AND(Inputs!$B$38&lt;&gt;"pvp",Inputs!$B$43&gt;0),(((R2668-1)*(Skills!S24*(1+(Inputs!$B$34)/100))+MIN((Skills!S24*(1+(Inputs!$B$34)/100)),MAX(0,Inputs!$B$43-((R2668-1)*Skills!D24))))/Inputs!$B$43),IF(Inputs!$B$38="pvp",MIN((Skills!S24*(1+(Inputs!$B$34)/100)),15)/15,(Skills!S24*(1+(Inputs!$B$34)/100))/Skills!D24)))</f>
        <v/>
      </c>
    </row>
    <row r="2675">
      <c r="A2675" t="inlineStr">
        <is>
          <t>Actions Per Second</t>
        </is>
      </c>
      <c r="B2675">
        <f>1+MIN(150,150*(1-(1-(Inputs!$B$11+(ArtifactsInput!$M$15-ArtifactsInput!$M$15)*CHOOSE(ArtifactsInput!$N$15+1,8,9.6,11.2,12.8,14.4,16))/150)*(1-B2674/150)))/100</f>
        <v/>
      </c>
    </row>
    <row r="2676">
      <c r="A2676" t="inlineStr">
        <is>
          <t>Skill + Buff Cast Rate</t>
        </is>
      </c>
      <c r="B2676">
        <f>IF(AND(Inputs!$B$38&lt;&gt;"pvp",Inputs!$B$43&gt;0),SUMPRODUCT((Skills!E2:E24=TRUE)*(C2646:C2668=TRUE)*R2646:R2668)/Inputs!$B$43,SUMPRODUCT((Skills!E2:E24=TRUE)*(C2646:C2668=TRUE)*Q2646:Q2668))</f>
        <v/>
      </c>
    </row>
    <row r="2677">
      <c r="A2677" t="inlineStr">
        <is>
          <t>Chain Lightning Casts Per Second</t>
        </is>
      </c>
      <c r="B2677">
        <f>MAX(0,B2675-B2676)</f>
        <v/>
      </c>
    </row>
    <row r="2678">
      <c r="A2678" t="inlineStr">
        <is>
          <t>Buff-Casting Startup Delay (s, fixed-duration only)</t>
        </is>
      </c>
      <c r="B2678">
        <f>IF(AND(Inputs!$B$38&lt;&gt;"pvp",Inputs!$B$43&gt;0),SUMPRODUCT((Skills!S2:S24&gt;0)*(Skills!E2:E24=TRUE)*(C2646:C2668=TRUE))/B2675,0)</f>
        <v/>
      </c>
    </row>
    <row r="2679">
      <c r="A2679" t="inlineStr">
        <is>
          <t>Boss-Only Total DPS (this block's swept value)</t>
        </is>
      </c>
      <c r="B2679">
        <f>SUM(S2646:S2668)</f>
        <v/>
      </c>
    </row>
    <row r="2680">
      <c r="A2680" t="inlineStr">
        <is>
          <t>Normal-Only Total DPS (this block's swept value)</t>
        </is>
      </c>
      <c r="B2680">
        <f>SUM(U2646:U2668)</f>
        <v/>
      </c>
    </row>
    <row r="2681">
      <c r="A2681" s="6" t="inlineStr">
        <is>
          <t>TOTAL DPS</t>
        </is>
      </c>
      <c r="B2681" s="6">
        <f>SUM(O2646:O2668)</f>
        <v/>
      </c>
    </row>
    <row r="2684">
      <c r="A2684" s="6" t="inlineStr">
        <is>
          <t>Stat: CDR = 2.5s</t>
        </is>
      </c>
    </row>
    <row r="2685">
      <c r="A2685" s="5" t="inlineStr">
        <is>
          <t>Key</t>
        </is>
      </c>
      <c r="B2685" s="5" t="inlineStr">
        <is>
          <t>Name</t>
        </is>
      </c>
      <c r="C2685" s="5" t="inlineStr">
        <is>
          <t>Unlocked</t>
        </is>
      </c>
      <c r="D2685" s="5" t="inlineStr">
        <is>
          <t>InputLevel</t>
        </is>
      </c>
      <c r="E2685" s="5" t="inlineStr">
        <is>
          <t>Factor</t>
        </is>
      </c>
      <c r="F2685" s="5" t="inlineStr">
        <is>
          <t>CoefficientPercent</t>
        </is>
      </c>
      <c r="G2685" s="5" t="inlineStr">
        <is>
          <t>EffectiveHits</t>
        </is>
      </c>
      <c r="H2685" s="5" t="inlineStr">
        <is>
          <t>ProcProbability</t>
        </is>
      </c>
      <c r="I2685" s="5" t="inlineStr">
        <is>
          <t>MapleHeroMultiplier</t>
        </is>
      </c>
      <c r="J2685" s="5" t="inlineStr">
        <is>
          <t>BaseDamage</t>
        </is>
      </c>
      <c r="K2685" s="5" t="inlineStr">
        <is>
          <t>BaseHitDamage</t>
        </is>
      </c>
      <c r="L2685" s="5" t="inlineStr">
        <is>
          <t>NonCritAvg</t>
        </is>
      </c>
      <c r="M2685" s="5" t="inlineStr">
        <is>
          <t>CritAvg</t>
        </is>
      </c>
      <c r="N2685" s="5" t="inlineStr">
        <is>
          <t>ExpectedDamage(perHit)</t>
        </is>
      </c>
      <c r="O2685" s="5" t="inlineStr">
        <is>
          <t>DPS</t>
        </is>
      </c>
      <c r="P2685" s="5" t="inlineStr">
        <is>
          <t>% of Total</t>
        </is>
      </c>
      <c r="R2685" t="inlineStr">
        <is>
          <t>helpers</t>
        </is>
      </c>
    </row>
    <row r="2686">
      <c r="A2686">
        <f>Skills!A2</f>
        <v/>
      </c>
      <c r="B2686">
        <f>Skills!B2</f>
        <v/>
      </c>
      <c r="C2686">
        <f>Inputs!$B$3&gt;=100</f>
        <v/>
      </c>
      <c r="D2686" t="inlineStr"/>
      <c r="E2686" t="inlineStr"/>
      <c r="F2686">
        <f>T2688+Skills!N2</f>
        <v/>
      </c>
      <c r="G2686">
        <f>Calc!G2</f>
        <v/>
      </c>
      <c r="H2686">
        <f>Calc!H2</f>
        <v/>
      </c>
      <c r="I2686">
        <f>IF(Skills!T2&lt;&gt;"",1+(Skills!T2/10)*(Z2687/1000)/100,1)</f>
        <v/>
      </c>
      <c r="J2686">
        <f>((Inputs!$B$6*(1+Inputs!$B$7/100))+(((Inputs!$B$12*(1+Inputs!$B$13/100))-(Inputs!$B$12*(1+Inputs!$B$13/100)))+0.25*(Inputs!$B$14-Inputs!$B$14))*(1+Inputs!$B$7/100))*(F2686/100)</f>
        <v/>
      </c>
      <c r="K2686">
        <f>J2686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2="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F2702-Calc!F18),(Inputs!$B$23+(IF(ArtifactsInput!$M$15,CHOOSE(ArtifactsInput!$N$15+1,25,30,35,40,45,50)/100*(Inputs!$B$11-Inputs!$B$11),0))))/100+(Inputs!$B$23+(IF(ArtifactsInput!$M$15,CHOOSE(ArtifactsInput!$N$15+1,25,30,35,40,45,50)/100*(Inputs!$B$11-Inputs!$B$11),0)))/100)/2</f>
        <v/>
      </c>
      <c r="M2686">
        <f>L2686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(1-Summary!$B$11)*S2686+Summary!$B$11*U2686</f>
        <v/>
      </c>
      <c r="P2686">
        <f>IF(B2721=0,0,O2686/B2721)</f>
        <v/>
      </c>
      <c r="Q2686">
        <f>IFERROR(1/IF(Inputs!$B$38="pvp",15,MAX(0.1,Skills!D2-IF(Skills!E2=TRUE,2.5,0))),0)</f>
        <v/>
      </c>
      <c r="R2686" t="n">
        <v>0</v>
      </c>
      <c r="S2686">
        <f>IF(C2686,(Skills!F2*N2686*B2717)*IF(Inputs!$B$38="pvp",1,1+(Inputs!$B$20+Skills!O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2686*(1-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86">
        <f>MAX(0,(Inputs!$B$3-100)*3)+Inputs!$B$28+Inputs!$B$29</f>
        <v/>
      </c>
      <c r="U2686">
        <f>IF(C2686,(Skills!F2*N2686*B2717)*IF(Inputs!$B$38="pvp",1,(1+(Inputs!$B$21+Skills!P2+B2712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86">
        <f>MAX(0,(Inputs!$B$3-100)*3)+Inputs!$B$28+Inputs!$B$29</f>
        <v/>
      </c>
    </row>
    <row r="2687">
      <c r="A2687">
        <f>Skills!A3</f>
        <v/>
      </c>
      <c r="B2687">
        <f>Skills!B3</f>
        <v/>
      </c>
      <c r="C2687">
        <f>Inputs!$B$3&gt;=15</f>
        <v/>
      </c>
      <c r="D2687">
        <f>IF(Skills!C3=1,60+Inputs!$B$25+Inputs!$B$29,IF(Skills!C3=2,90+Inputs!$B$26+Inputs!$B$29,IF(Skills!C3=3,120+Inputs!$B$27+Inputs!$B$29,MAX(0,(Inputs!$B$3-100)*3)+Inputs!$B$28+Inputs!$B$29)))</f>
        <v/>
      </c>
      <c r="E2687">
        <f>INDEX(FactorTable!$B$2:$Y$301, MATCH(ROUND(MIN(300,MAX(1,D2687)),0), FactorTable!$A$2:$A$301,0), Skills!L3+1)</f>
        <v/>
      </c>
      <c r="F2687">
        <f>IF(Skills!M3=TRUE,(Skills!K3/10)*(E2687/1000),Skills!K3/10)+Skills!N3</f>
        <v/>
      </c>
      <c r="G2687">
        <f>Calc!G3</f>
        <v/>
      </c>
      <c r="H2687">
        <f>Calc!H3</f>
        <v/>
      </c>
      <c r="I2687">
        <f>IF(Skills!T3&lt;&gt;"",1+(Skills!T3/10)*(Z2687/1000)/100,1)</f>
        <v/>
      </c>
      <c r="J2687" t="inlineStr"/>
      <c r="K2687" t="inlineStr"/>
      <c r="L2687" t="inlineStr"/>
      <c r="M2687" t="inlineStr"/>
      <c r="N2687" t="inlineStr"/>
      <c r="O2687">
        <f>(1-Summary!$B$11)*S2687+Summary!$B$11*U2687</f>
        <v/>
      </c>
      <c r="P2687">
        <f>IF(B2721=0,0,O2687/B2721)</f>
        <v/>
      </c>
      <c r="Q2687">
        <f>IFERROR(1/IF(Inputs!$B$38="pvp",15,MAX(0.1,Skills!D3-IF(Skills!E3=TRUE,2.5,0))),0)</f>
        <v/>
      </c>
      <c r="R2687">
        <f>IF(AND(Inputs!$B$38&lt;&gt;"pvp",Inputs!$B$43&gt;0),IF(Inputs!$B$43&lt;=0,0,(INT(Inputs!$B$43/IF(Inputs!$B$38="pvp",15,MAX(0.1,Skills!D3-IF(Skills!E3=TRUE,2.5,0))))+1)),0)</f>
        <v/>
      </c>
      <c r="S2687" t="n">
        <v>0</v>
      </c>
      <c r="T2687">
        <f>INDEX(FactorTable!$B$2:$Y$301, MATCH(ROUND(MIN(300,MAX(1,T2686)),0), FactorTable!$A$2:$A$301,0), 22)</f>
        <v/>
      </c>
      <c r="U2687" t="n">
        <v>0</v>
      </c>
      <c r="Z2687">
        <f>INDEX(FactorTable!$B$2:$Y$301, MATCH(ROUND(MIN(300,MAX(1,Z2686)),0), FactorTable!$A$2:$A$301,0), 24)</f>
        <v/>
      </c>
    </row>
    <row r="2688">
      <c r="A2688">
        <f>Skills!A4</f>
        <v/>
      </c>
      <c r="B2688">
        <f>Skills!B4</f>
        <v/>
      </c>
      <c r="C2688">
        <f>Inputs!$B$3&gt;=40</f>
        <v/>
      </c>
      <c r="D2688">
        <f>IF(Skills!C4=1,60+Inputs!$B$25+Inputs!$B$29,IF(Skills!C4=2,90+Inputs!$B$26+Inputs!$B$29,IF(Skills!C4=3,120+Inputs!$B$27+Inputs!$B$29,MAX(0,(Inputs!$B$3-100)*3)+Inputs!$B$28+Inputs!$B$29)))</f>
        <v/>
      </c>
      <c r="E2688">
        <f>INDEX(FactorTable!$B$2:$Y$301, MATCH(ROUND(MIN(300,MAX(1,D2688)),0), FactorTable!$A$2:$A$301,0), Skills!L4+1)</f>
        <v/>
      </c>
      <c r="F2688">
        <f>IF(Skills!M4=TRUE,(Skills!K4/10)*(E2688/1000),Skills!K4/10)+Skills!N4</f>
        <v/>
      </c>
      <c r="G2688">
        <f>Calc!G4</f>
        <v/>
      </c>
      <c r="H2688">
        <f>Calc!H4</f>
        <v/>
      </c>
      <c r="I2688">
        <f>IF(Skills!T4&lt;&gt;"",1+(Skills!T4/10)*(Z2687/1000)/100,1)</f>
        <v/>
      </c>
      <c r="J2688" t="inlineStr"/>
      <c r="K2688" t="inlineStr"/>
      <c r="L2688" t="inlineStr"/>
      <c r="M2688" t="inlineStr"/>
      <c r="N2688" t="inlineStr"/>
      <c r="O2688">
        <f>(1-Summary!$B$11)*S2688+Summary!$B$11*U2688</f>
        <v/>
      </c>
      <c r="P2688">
        <f>IF(B2721=0,0,O2688/B2721)</f>
        <v/>
      </c>
      <c r="Q2688">
        <f>IFERROR(1/IF(Inputs!$B$38="pvp",15,MAX(0.1,Skills!D4-IF(Skills!E4=TRUE,2.5,0))),0)</f>
        <v/>
      </c>
      <c r="R2688">
        <f>IF(AND(Inputs!$B$38&lt;&gt;"pvp",Inputs!$B$43&gt;0),IF(Inputs!$B$43&lt;=0,0,(INT(Inputs!$B$43/IF(Inputs!$B$38="pvp",15,MAX(0.1,Skills!D4-IF(Skills!E4=TRUE,2.5,0))))+1)),0)</f>
        <v/>
      </c>
      <c r="S2688" t="n">
        <v>0</v>
      </c>
      <c r="T2688">
        <f>290*T2687/1000</f>
        <v/>
      </c>
      <c r="U2688" t="n">
        <v>0</v>
      </c>
    </row>
    <row r="2689">
      <c r="A2689">
        <f>Skills!A5</f>
        <v/>
      </c>
      <c r="B2689">
        <f>Skills!B5</f>
        <v/>
      </c>
      <c r="C2689">
        <f>Inputs!$B$3&gt;=38</f>
        <v/>
      </c>
      <c r="D2689">
        <f>IF(Skills!C5=1,60+Inputs!$B$25+Inputs!$B$29,IF(Skills!C5=2,90+Inputs!$B$26+Inputs!$B$29,IF(Skills!C5=3,120+Inputs!$B$27+Inputs!$B$29,MAX(0,(Inputs!$B$3-100)*3)+Inputs!$B$28+Inputs!$B$29)))</f>
        <v/>
      </c>
      <c r="E2689">
        <f>INDEX(FactorTable!$B$2:$Y$301, MATCH(ROUND(MIN(300,MAX(1,D2689)),0), FactorTable!$A$2:$A$301,0), Skills!L5+1)</f>
        <v/>
      </c>
      <c r="F2689">
        <f>IF(Skills!M5=TRUE,(Skills!K5/10)*(E2689/1000),Skills!K5/10)+Skills!N5</f>
        <v/>
      </c>
      <c r="G2689">
        <f>Calc!G5</f>
        <v/>
      </c>
      <c r="H2689">
        <f>Calc!H5</f>
        <v/>
      </c>
      <c r="I2689">
        <f>IF(Skills!T5&lt;&gt;"",1+(Skills!T5/10)*(Z2687/1000)/100,1)</f>
        <v/>
      </c>
      <c r="J2689">
        <f>((Inputs!$B$6*(1+Inputs!$B$7/100))+(((Inputs!$B$12*(1+Inputs!$B$13/100))-(Inputs!$B$12*(1+Inputs!$B$13/100)))+0.25*(Inputs!$B$14-Inputs!$B$14))*(1+Inputs!$B$7/100))*(F2689/100)</f>
        <v/>
      </c>
      <c r="K2689">
        <f>J2689*(1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5="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F2702-Calc!F18),(Inputs!$B$23+(IF(ArtifactsInput!$M$15,CHOOSE(ArtifactsInput!$N$15+1,25,30,35,40,45,50)/100*(Inputs!$B$11-Inputs!$B$11),0))))/100+(Inputs!$B$23+(IF(ArtifactsInput!$M$15,CHOOSE(ArtifactsInput!$N$15+1,25,30,35,40,45,50)/100*(Inputs!$B$11-Inputs!$B$11),0)))/100)/2</f>
        <v/>
      </c>
      <c r="M2689">
        <f>L2689*(1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(1-Summary!$B$11)*S2689+Summary!$B$11*U2689</f>
        <v/>
      </c>
      <c r="P2689">
        <f>IF(B2721=0,0,O2689/B2721)</f>
        <v/>
      </c>
      <c r="Q2689">
        <f>IFERROR(1/IF(Inputs!$B$38="pvp",15,MAX(0.1,Skills!D5-IF(Skills!E5=TRUE,2.5,0))),0)</f>
        <v/>
      </c>
      <c r="R2689">
        <f>IF(AND(Inputs!$B$38&lt;&gt;"pvp",Inputs!$B$43&gt;0),IF(MAX(0,Inputs!$B$43-B2718)&lt;=0,0,(INT(MAX(0,Inputs!$B$43-B2718)/IF(Inputs!$B$38="pvp",15,MAX(0.1,Skills!D5-IF(Skills!E5=TRUE,2.5,0))))+1)),0)</f>
        <v/>
      </c>
      <c r="S2689">
        <f>IF(C2689,(H2689*N2689*IF(AND(Inputs!$B$38&lt;&gt;"pvp",Inputs!$B$43&gt;0),((Skills!F5*((R2689-1)*IF(Skills!G5&gt;0,Skills!H5/Skills!G5,1)+IF(Skills!G5&gt;0,MIN(Skills!H5,MAX(0,MAX(0,Inputs!$B$43-B2718)-((R2689-1)*IF(Inputs!$B$38="pvp",15,MAX(0.1,Skills!D5-IF(Skills!E5=TRUE,2.5,0))))))/Skills!G5,1)))/Inputs!$B$43),G2689*Q2689))*IF(Inputs!$B$38="pvp",1,1+(Inputs!$B$20+Skills!O5+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2689*(1-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IF(C2689,(H2689*N2689*IF(AND(Inputs!$B$38&lt;&gt;"pvp",Inputs!$B$43&gt;0),((Skills!F5*((R2689-1)*IF(Skills!G5&gt;0,Skills!H5/Skills!G5,1)+IF(Skills!G5&gt;0,MIN(Skills!H5,MAX(0,MAX(0,Inputs!$B$43-B2718)-((R2689-1)*IF(Inputs!$B$38="pvp",15,MAX(0.1,Skills!D5-IF(Skills!E5=TRUE,2.5,0))))))/Skills!G5,1)))/Inputs!$B$43),G2689*Q2689))*IF(Inputs!$B$38="pvp",1,(1+(Inputs!$B$21+Skills!P5+B2712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Skills!A6</f>
        <v/>
      </c>
      <c r="B2690">
        <f>Skills!B6</f>
        <v/>
      </c>
      <c r="C2690">
        <f>Inputs!$B$3&gt;=63</f>
        <v/>
      </c>
      <c r="D2690">
        <f>IF(Skills!C6=1,60+Inputs!$B$25+Inputs!$B$29,IF(Skills!C6=2,90+Inputs!$B$26+Inputs!$B$29,IF(Skills!C6=3,120+Inputs!$B$27+Inputs!$B$29,MAX(0,(Inputs!$B$3-100)*3)+Inputs!$B$28+Inputs!$B$29)))</f>
        <v/>
      </c>
      <c r="E2690">
        <f>INDEX(FactorTable!$B$2:$Y$301, MATCH(ROUND(MIN(300,MAX(1,D2690)),0), FactorTable!$A$2:$A$301,0), Skills!L6+1)</f>
        <v/>
      </c>
      <c r="F2690">
        <f>IF(Skills!M6=TRUE,(Skills!K6/10)*(E2690/1000),Skills!K6/10)+Skills!N6</f>
        <v/>
      </c>
      <c r="G2690">
        <f>Calc!G6</f>
        <v/>
      </c>
      <c r="H2690">
        <f>Calc!H6</f>
        <v/>
      </c>
      <c r="I2690">
        <f>IF(Skills!T6&lt;&gt;"",1+(Skills!T6/10)*(Z2687/1000)/100,1)</f>
        <v/>
      </c>
      <c r="J2690">
        <f>((Inputs!$B$6*(1+Inputs!$B$7/100))+(((Inputs!$B$12*(1+Inputs!$B$13/100))-(Inputs!$B$12*(1+Inputs!$B$13/100)))+0.25*(Inputs!$B$14-Inputs!$B$14))*(1+Inputs!$B$7/100))*(F2690/100)</f>
        <v/>
      </c>
      <c r="K2690">
        <f>J2690*(1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6="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2702-Calc!F18),(Inputs!$B$23+(IF(ArtifactsInput!$M$15,CHOOSE(ArtifactsInput!$N$15+1,25,30,35,40,45,50)/100*(Inputs!$B$11-Inputs!$B$11),0))))/100+(Inputs!$B$23+(IF(ArtifactsInput!$M$15,CHOOSE(ArtifactsInput!$N$15+1,25,30,35,40,45,50)/100*(Inputs!$B$11-Inputs!$B$11),0)))/100)/2</f>
        <v/>
      </c>
      <c r="M2690">
        <f>L2690*(1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IF(B2721=0,0,O2690/B2721)</f>
        <v/>
      </c>
      <c r="Q2690">
        <f>IFERROR(1/IF(Inputs!$B$38="pvp",15,MAX(0.1,Skills!D6-IF(Skills!E6=TRUE,2.5,0))),0)</f>
        <v/>
      </c>
      <c r="R2690">
        <f>IF(AND(Inputs!$B$38&lt;&gt;"pvp",Inputs!$B$43&gt;0),IF(MAX(0,Inputs!$B$43-B2718)&lt;=0,0,(INT(MAX(0,Inputs!$B$43-B2718)/IF(Inputs!$B$38="pvp",15,MAX(0.1,Skills!D6-IF(Skills!E6=TRUE,2.5,0))))+1)),0)</f>
        <v/>
      </c>
      <c r="S2690">
        <f>IF(C2690,(H2690*N2690*IF(AND(Inputs!$B$38&lt;&gt;"pvp",Inputs!$B$43&gt;0),((Skills!F6*((R2690-1)*IF(Skills!G6&gt;0,Skills!H6/Skills!G6,1)+IF(Skills!G6&gt;0,MIN(Skills!H6,MAX(0,MAX(0,Inputs!$B$43-B2718)-((R2690-1)*IF(Inputs!$B$38="pvp",15,MAX(0.1,Skills!D6-IF(Skills!E6=TRUE,2.5,0))))))/Skills!G6,1)))/Inputs!$B$43),G2690*Q2690))*IF(Inputs!$B$38="pvp",1,1+(Inputs!$B$20+Skills!O6+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F6*((R2690-1)*IF(Skills!G6&gt;0,Skills!H6/Skills!G6,1)+IF(Skills!G6&gt;0,MIN(Skills!H6,MAX(0,MAX(0,Inputs!$B$43-B2718)-((R2690-1)*IF(Inputs!$B$38="pvp",15,MAX(0.1,Skills!D6-IF(Skills!E6=TRUE,2.5,0))))))/Skills!G6,1)))/Inputs!$B$43),G2690*Q2690))*IF(Inputs!$B$38="pvp",1,(1+(Inputs!$B$21+Skills!P6+B2712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Skills!A7</f>
        <v/>
      </c>
      <c r="B2691">
        <f>Skills!B7</f>
        <v/>
      </c>
      <c r="C2691">
        <f>Inputs!$B$3&gt;=69</f>
        <v/>
      </c>
      <c r="D2691">
        <f>IF(Skills!C7=1,60+Inputs!$B$25+Inputs!$B$29,IF(Skills!C7=2,90+Inputs!$B$26+Inputs!$B$29,IF(Skills!C7=3,120+Inputs!$B$27+Inputs!$B$29,MAX(0,(Inputs!$B$3-100)*3)+Inputs!$B$28+Inputs!$B$29)))</f>
        <v/>
      </c>
      <c r="E2691">
        <f>INDEX(FactorTable!$B$2:$Y$301, MATCH(ROUND(MIN(300,MAX(1,D2691)),0), FactorTable!$A$2:$A$301,0), Skills!L7+1)</f>
        <v/>
      </c>
      <c r="F2691">
        <f>IF(Skills!M7=TRUE,(Skills!K7/10)*(E2691/1000),Skills!K7/10)+Skills!N7</f>
        <v/>
      </c>
      <c r="G2691">
        <f>Calc!G7</f>
        <v/>
      </c>
      <c r="H2691">
        <f>Calc!H7</f>
        <v/>
      </c>
      <c r="I2691">
        <f>IF(Skills!T7&lt;&gt;"",1+(Skills!T7/10)*(Z2687/1000)/100,1)</f>
        <v/>
      </c>
      <c r="J2691">
        <f>((Inputs!$B$6*(1+Inputs!$B$7/100))+(((Inputs!$B$12*(1+Inputs!$B$13/100))-(Inputs!$B$12*(1+Inputs!$B$13/100)))+0.25*(Inputs!$B$14-Inputs!$B$14))*(1+Inputs!$B$7/100))*(F2691/100)</f>
        <v/>
      </c>
      <c r="K2691">
        <f>J2691*(1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7="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F2702-Calc!F18),(Inputs!$B$23+(IF(ArtifactsInput!$M$15,CHOOSE(ArtifactsInput!$N$15+1,25,30,35,40,45,50)/100*(Inputs!$B$11-Inputs!$B$11),0))))/100+(Inputs!$B$23+(IF(ArtifactsInput!$M$15,CHOOSE(ArtifactsInput!$N$15+1,25,30,35,40,45,50)/100*(Inputs!$B$11-Inputs!$B$11),0)))/100)/2</f>
        <v/>
      </c>
      <c r="M2691">
        <f>L2691*(1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(1-Summary!$B$11)*S2691+Summary!$B$11*U2691</f>
        <v/>
      </c>
      <c r="P2691">
        <f>IF(B2721=0,0,O2691/B2721)</f>
        <v/>
      </c>
      <c r="Q2691">
        <f>IFERROR(1/IF(Inputs!$B$38="pvp",15,MAX(0.1,Skills!D7-IF(Skills!E7=TRUE,2.5,0))),0)</f>
        <v/>
      </c>
      <c r="R2691">
        <f>IF(AND(Inputs!$B$38&lt;&gt;"pvp",Inputs!$B$43&gt;0),IF(MAX(0,Inputs!$B$43-B2718)&lt;=0,0,(INT(MAX(0,Inputs!$B$43-B2718)/IF(Inputs!$B$38="pvp",15,MAX(0.1,Skills!D7-IF(Skills!E7=TRUE,2.5,0))))+1)),0)</f>
        <v/>
      </c>
      <c r="S2691">
        <f>IF(C2691,(H2691*N2691*IF(AND(Inputs!$B$38&lt;&gt;"pvp",Inputs!$B$43&gt;0),((Skills!F7*((R2691-1)*IF(Skills!G7&gt;0,Skills!H7/Skills!G7,1)+IF(Skills!G7&gt;0,MIN(Skills!H7,MAX(0,MAX(0,Inputs!$B$43-B2718)-((R2691-1)*IF(Inputs!$B$38="pvp",15,MAX(0.1,Skills!D7-IF(Skills!E7=TRUE,2.5,0))))))/Skills!G7,1)))/Inputs!$B$43),G2691*Q2691))*IF(Inputs!$B$38="pvp",1,1+(Inputs!$B$20+Skills!O7+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2691*(1-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IF(C2691,(H2691*N2691*IF(AND(Inputs!$B$38&lt;&gt;"pvp",Inputs!$B$43&gt;0),((Skills!F7*((R2691-1)*IF(Skills!G7&gt;0,Skills!H7/Skills!G7,1)+IF(Skills!G7&gt;0,MIN(Skills!H7,MAX(0,MAX(0,Inputs!$B$43-B2718)-((R2691-1)*IF(Inputs!$B$38="pvp",15,MAX(0.1,Skills!D7-IF(Skills!E7=TRUE,2.5,0))))))/Skills!G7,1)))/Inputs!$B$43),G2691*Q2691))*IF(Inputs!$B$38="pvp",1,(1+(Inputs!$B$21+Skills!P7+B2712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Skills!A8</f>
        <v/>
      </c>
      <c r="B2692">
        <f>Skills!B8</f>
        <v/>
      </c>
      <c r="C2692">
        <f>Inputs!$B$3&gt;=103</f>
        <v/>
      </c>
      <c r="D2692">
        <f>IF(Skills!C8=1,60+Inputs!$B$25+Inputs!$B$29,IF(Skills!C8=2,90+Inputs!$B$26+Inputs!$B$29,IF(Skills!C8=3,120+Inputs!$B$27+Inputs!$B$29,MAX(0,(Inputs!$B$3-100)*3)+Inputs!$B$28+Inputs!$B$29)))</f>
        <v/>
      </c>
      <c r="E2692">
        <f>INDEX(FactorTable!$B$2:$Y$301, MATCH(ROUND(MIN(300,MAX(1,D2692)),0), FactorTable!$A$2:$A$301,0), Skills!L8+1)</f>
        <v/>
      </c>
      <c r="F2692">
        <f>IF(Skills!M8=TRUE,(Skills!K8/10)*(E2692/1000),Skills!K8/10)+Skills!N8</f>
        <v/>
      </c>
      <c r="G2692">
        <f>Calc!G8</f>
        <v/>
      </c>
      <c r="H2692">
        <f>Calc!H8</f>
        <v/>
      </c>
      <c r="I2692">
        <f>IF(Skills!T8&lt;&gt;"",1+(Skills!T8/10)*(Z2687/1000)/100,1)</f>
        <v/>
      </c>
      <c r="J2692">
        <f>((Inputs!$B$6*(1+Inputs!$B$7/100))+(((Inputs!$B$12*(1+Inputs!$B$13/100))-(Inputs!$B$12*(1+Inputs!$B$13/100)))+0.25*(Inputs!$B$14-Inputs!$B$14))*(1+Inputs!$B$7/100))*(F2692/100)</f>
        <v/>
      </c>
      <c r="K2692">
        <f>J2692*(1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8="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F2702-Calc!F18),(Inputs!$B$23+(IF(ArtifactsInput!$M$15,CHOOSE(ArtifactsInput!$N$15+1,25,30,35,40,45,50)/100*(Inputs!$B$11-Inputs!$B$11),0))))/100+(Inputs!$B$23+(IF(ArtifactsInput!$M$15,CHOOSE(ArtifactsInput!$N$15+1,25,30,35,40,45,50)/100*(Inputs!$B$11-Inputs!$B$11),0)))/100)/2</f>
        <v/>
      </c>
      <c r="M2692">
        <f>L2692*(1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(1-Summary!$B$11)*S2692+Summary!$B$11*U2692</f>
        <v/>
      </c>
      <c r="P2692">
        <f>IF(B2721=0,0,O2692/B2721)</f>
        <v/>
      </c>
      <c r="Q2692">
        <f>IFERROR(1/IF(Inputs!$B$38="pvp",15,MAX(0.1,Skills!D8-IF(Skills!E8=TRUE,2.5,0))),0)</f>
        <v/>
      </c>
      <c r="R2692">
        <f>IF(AND(Inputs!$B$38&lt;&gt;"pvp",Inputs!$B$43&gt;0),IF(MAX(0,Inputs!$B$43-B2718)&lt;=0,0,(INT(MAX(0,Inputs!$B$43-B2718)/IF(Inputs!$B$38="pvp",15,MAX(0.1,Skills!D8-IF(Skills!E8=TRUE,2.5,0))))+1)),0)</f>
        <v/>
      </c>
      <c r="S2692">
        <f>IF(C2692,(H2692*N2692*IF(AND(Inputs!$B$38&lt;&gt;"pvp",Inputs!$B$43&gt;0),((Skills!F8*((R2692-1)*IF(Skills!G8&gt;0,Skills!H8/Skills!G8,1)+IF(Skills!G8&gt;0,MIN(Skills!H8,MAX(0,MAX(0,Inputs!$B$43-B2718)-((R2692-1)*IF(Inputs!$B$38="pvp",15,MAX(0.1,Skills!D8-IF(Skills!E8=TRUE,2.5,0))))))/Skills!G8,1)))/Inputs!$B$43),G2692*Q2692))*IF(Inputs!$B$38="pvp",1,1+(Inputs!$B$20+Skills!O8+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2692*(1-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2">
        <f>IF(C2692,(H2692*N2692*IF(AND(Inputs!$B$38&lt;&gt;"pvp",Inputs!$B$43&gt;0),((Skills!F8*((R2692-1)*IF(Skills!G8&gt;0,Skills!H8/Skills!G8,1)+IF(Skills!G8&gt;0,MIN(Skills!H8,MAX(0,MAX(0,Inputs!$B$43-B2718)-((R2692-1)*IF(Inputs!$B$38="pvp",15,MAX(0.1,Skills!D8-IF(Skills!E8=TRUE,2.5,0))))))/Skills!G8,1)))/Inputs!$B$43),G2692*Q2692))*IF(Inputs!$B$38="pvp",1,(1+(Inputs!$B$21+Skills!P8+B2712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Skills!A9</f>
        <v/>
      </c>
      <c r="B2693">
        <f>Skills!B9</f>
        <v/>
      </c>
      <c r="C2693">
        <f>Inputs!$B$3&gt;=105</f>
        <v/>
      </c>
      <c r="D2693">
        <f>IF(Skills!C9=1,60+Inputs!$B$25+Inputs!$B$29,IF(Skills!C9=2,90+Inputs!$B$26+Inputs!$B$29,IF(Skills!C9=3,120+Inputs!$B$27+Inputs!$B$29,MAX(0,(Inputs!$B$3-100)*3)+Inputs!$B$28+Inputs!$B$29)))</f>
        <v/>
      </c>
      <c r="E2693">
        <f>INDEX(FactorTable!$B$2:$Y$301, MATCH(ROUND(MIN(300,MAX(1,D2693)),0), FactorTable!$A$2:$A$301,0), Skills!L9+1)</f>
        <v/>
      </c>
      <c r="F2693">
        <f>IF(Skills!M9=TRUE,(Skills!K9/10)*(E2693/1000),Skills!K9/10)+Skills!N9</f>
        <v/>
      </c>
      <c r="G2693">
        <f>Calc!G9</f>
        <v/>
      </c>
      <c r="H2693">
        <f>Calc!H9</f>
        <v/>
      </c>
      <c r="I2693">
        <f>IF(Skills!T9&lt;&gt;"",1+(Skills!T9/10)*(Z2687/1000)/100,1)</f>
        <v/>
      </c>
      <c r="J2693">
        <f>((Inputs!$B$6*(1+Inputs!$B$7/100))+(((Inputs!$B$12*(1+Inputs!$B$13/100))-(Inputs!$B$12*(1+Inputs!$B$13/100)))+0.25*(Inputs!$B$14-Inputs!$B$14))*(1+Inputs!$B$7/100))*(F2693/100)</f>
        <v/>
      </c>
      <c r="K2693">
        <f>J2693*(1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9="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F2702-Calc!F18),(Inputs!$B$23+(IF(ArtifactsInput!$M$15,CHOOSE(ArtifactsInput!$N$15+1,25,30,35,40,45,50)/100*(Inputs!$B$11-Inputs!$B$11),0))))/100+(Inputs!$B$23+(IF(ArtifactsInput!$M$15,CHOOSE(ArtifactsInput!$N$15+1,25,30,35,40,45,50)/100*(Inputs!$B$11-Inputs!$B$11),0)))/100)/2</f>
        <v/>
      </c>
      <c r="M2693">
        <f>L2693*(1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(1-Summary!$B$11)*S2693+Summary!$B$11*U2693</f>
        <v/>
      </c>
      <c r="P2693">
        <f>IF(B2721=0,0,O2693/B2721)</f>
        <v/>
      </c>
      <c r="Q2693">
        <f>IFERROR(1/IF(Inputs!$B$38="pvp",15,MAX(0.1,Skills!D9-IF(Skills!E9=TRUE,2.5,0))),0)</f>
        <v/>
      </c>
      <c r="R2693">
        <f>IF(AND(Inputs!$B$38&lt;&gt;"pvp",Inputs!$B$43&gt;0),IF(MAX(0,Inputs!$B$43-B2718)&lt;=0,0,(INT(MAX(0,Inputs!$B$43-B2718)/IF(Inputs!$B$38="pvp",15,MAX(0.1,Skills!D9-IF(Skills!E9=TRUE,2.5,0))))+1)),0)</f>
        <v/>
      </c>
      <c r="S2693">
        <f>IF(C2693,(H2693*N2693*IF(AND(Inputs!$B$38&lt;&gt;"pvp",Inputs!$B$43&gt;0),((Skills!F9*((R2693-1)*IF(Skills!G9&gt;0,Skills!H9/Skills!G9,1)+IF(Skills!G9&gt;0,MIN(Skills!H9,MAX(0,MAX(0,Inputs!$B$43-B2718)-((R2693-1)*IF(Inputs!$B$38="pvp",15,MAX(0.1,Skills!D9-IF(Skills!E9=TRUE,2.5,0))))))/Skills!G9,1)))/Inputs!$B$43),G2693*Q2693))*IF(Inputs!$B$38="pvp",1,1+(Inputs!$B$20+Skills!O9+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2693*(1-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IF(C2693,(H2693*N2693*IF(AND(Inputs!$B$38&lt;&gt;"pvp",Inputs!$B$43&gt;0),((Skills!F9*((R2693-1)*IF(Skills!G9&gt;0,Skills!H9/Skills!G9,1)+IF(Skills!G9&gt;0,MIN(Skills!H9,MAX(0,MAX(0,Inputs!$B$43-B2718)-((R2693-1)*IF(Inputs!$B$38="pvp",15,MAX(0.1,Skills!D9-IF(Skills!E9=TRUE,2.5,0))))))/Skills!G9,1)))/Inputs!$B$43),G2693*Q2693))*IF(Inputs!$B$38="pvp",1,(1+(Inputs!$B$21+Skills!P9+B2712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Skills!A10</f>
        <v/>
      </c>
      <c r="B2694">
        <f>Skills!B10</f>
        <v/>
      </c>
      <c r="C2694">
        <f>Inputs!$B$3&gt;=113</f>
        <v/>
      </c>
      <c r="D2694">
        <f>IF(Skills!C10=1,60+Inputs!$B$25+Inputs!$B$29,IF(Skills!C10=2,90+Inputs!$B$26+Inputs!$B$29,IF(Skills!C10=3,120+Inputs!$B$27+Inputs!$B$29,MAX(0,(Inputs!$B$3-100)*3)+Inputs!$B$28+Inputs!$B$29)))</f>
        <v/>
      </c>
      <c r="E2694">
        <f>INDEX(FactorTable!$B$2:$Y$301, MATCH(ROUND(MIN(300,MAX(1,D2694)),0), FactorTable!$A$2:$A$301,0), Skills!L10+1)</f>
        <v/>
      </c>
      <c r="F2694">
        <f>IF(Skills!M10=TRUE,(Skills!K10/10)*(E2694/1000),Skills!K10/10)+Skills!N10</f>
        <v/>
      </c>
      <c r="G2694">
        <f>Calc!G10</f>
        <v/>
      </c>
      <c r="H2694">
        <f>Calc!H10</f>
        <v/>
      </c>
      <c r="I2694">
        <f>IF(Skills!T10&lt;&gt;"",1+(Skills!T10/10)*(Z2687/1000)/100,1)</f>
        <v/>
      </c>
      <c r="J2694">
        <f>((Inputs!$B$6*(1+Inputs!$B$7/100))+(((Inputs!$B$12*(1+Inputs!$B$13/100))-(Inputs!$B$12*(1+Inputs!$B$13/100)))+0.25*(Inputs!$B$14-Inputs!$B$14))*(1+Inputs!$B$7/100))*(F2694/100)</f>
        <v/>
      </c>
      <c r="K2694">
        <f>J2694*(1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10="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2702-Calc!F18),(Inputs!$B$23+(IF(ArtifactsInput!$M$15,CHOOSE(ArtifactsInput!$N$15+1,25,30,35,40,45,50)/100*(Inputs!$B$11-Inputs!$B$11),0))))/100+(Inputs!$B$23+(IF(ArtifactsInput!$M$15,CHOOSE(ArtifactsInput!$N$15+1,25,30,35,40,45,50)/100*(Inputs!$B$11-Inputs!$B$11),0)))/100)/2</f>
        <v/>
      </c>
      <c r="M2694">
        <f>L2694*(1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IF(B2721=0,0,O2694/B2721)</f>
        <v/>
      </c>
      <c r="Q2694">
        <f>IFERROR(1/IF(Inputs!$B$38="pvp",15,MAX(0.1,Skills!D10-IF(Skills!E9=TRUE,2.5,0))),0)</f>
        <v/>
      </c>
      <c r="R2694">
        <f>IF(AND(Inputs!$B$38&lt;&gt;"pvp",Inputs!$B$43&gt;0),IF(MAX(0,Inputs!$B$43-B2718)&lt;=0,0,(INT(MAX(0,Inputs!$B$43-B2718)/IF(Inputs!$B$38="pvp",15,MAX(0.1,Skills!D10-IF(Skills!E9=TRUE,2.5,0))))+1)),0)</f>
        <v/>
      </c>
      <c r="S2694">
        <f>IF(C2694,(H2694*N2694*IF(AND(Inputs!$B$38&lt;&gt;"pvp",Inputs!$B$43&gt;0),((Skills!F10*((R2694-1)*IF(Skills!G10&gt;0,Skills!H10/Skills!G10,1)+IF(Skills!G10&gt;0,MIN(Skills!H10,MAX(0,MAX(0,Inputs!$B$43-B2718)-((R2694-1)*IF(Inputs!$B$38="pvp",15,MAX(0.1,Skills!D10-IF(Skills!E9=TRUE,2.5,0))))))/Skills!G10,1)))/Inputs!$B$43),G2694*Q2694))*IF(Inputs!$B$38="pvp",1,1+(Inputs!$B$20+Skills!O10+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F10*((R2694-1)*IF(Skills!G10&gt;0,Skills!H10/Skills!G10,1)+IF(Skills!G10&gt;0,MIN(Skills!H10,MAX(0,MAX(0,Inputs!$B$43-B2718)-((R2694-1)*IF(Inputs!$B$38="pvp",15,MAX(0.1,Skills!D10-IF(Skills!E9=TRUE,2.5,0))))))/Skills!G10,1)))/Inputs!$B$43),G2694*Q2694))*IF(Inputs!$B$38="pvp",1,(1+(Inputs!$B$21+Skills!P10+B2712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Skills!A11</f>
        <v/>
      </c>
      <c r="B2695">
        <f>Skills!B11</f>
        <v/>
      </c>
      <c r="C2695">
        <f>Inputs!$B$3&gt;=107</f>
        <v/>
      </c>
      <c r="D2695">
        <f>IF(Skills!C11=1,60+Inputs!$B$25+Inputs!$B$29,IF(Skills!C11=2,90+Inputs!$B$26+Inputs!$B$29,IF(Skills!C11=3,120+Inputs!$B$27+Inputs!$B$29,MAX(0,(Inputs!$B$3-100)*3)+Inputs!$B$28+Inputs!$B$29)))</f>
        <v/>
      </c>
      <c r="E2695">
        <f>INDEX(FactorTable!$B$2:$Y$301, MATCH(ROUND(MIN(300,MAX(1,D2695)),0), FactorTable!$A$2:$A$301,0), Skills!L11+1)</f>
        <v/>
      </c>
      <c r="F2695">
        <f>IF(Skills!M11=TRUE,(Skills!K11/10)*(E2695/1000),Skills!K11/10)+Skills!N11</f>
        <v/>
      </c>
      <c r="G2695">
        <f>Calc!G11</f>
        <v/>
      </c>
      <c r="H2695">
        <f>Calc!H11</f>
        <v/>
      </c>
      <c r="I2695">
        <f>IF(Skills!T11&lt;&gt;"",1+(Skills!T11/10)*(Z2687/1000)/100,1)</f>
        <v/>
      </c>
      <c r="J2695">
        <f>((Inputs!$B$6*(1+Inputs!$B$7/100))+(((Inputs!$B$12*(1+Inputs!$B$13/100))-(Inputs!$B$12*(1+Inputs!$B$13/100)))+0.25*(Inputs!$B$14-Inputs!$B$14))*(1+Inputs!$B$7/100))*(F2695/100)</f>
        <v/>
      </c>
      <c r="K2695">
        <f>J2695*(1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11="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F2702-Calc!F18),(Inputs!$B$23+(IF(ArtifactsInput!$M$15,CHOOSE(ArtifactsInput!$N$15+1,25,30,35,40,45,50)/100*(Inputs!$B$11-Inputs!$B$11),0))))/100+(Inputs!$B$23+(IF(ArtifactsInput!$M$15,CHOOSE(ArtifactsInput!$N$15+1,25,30,35,40,45,50)/100*(Inputs!$B$11-Inputs!$B$11),0)))/100)/2</f>
        <v/>
      </c>
      <c r="M2695">
        <f>L2695*(1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(1-Summary!$B$11)*S2695+Summary!$B$11*U2695</f>
        <v/>
      </c>
      <c r="P2695">
        <f>IF(B2721=0,0,O2695/B2721)</f>
        <v/>
      </c>
      <c r="Q2695">
        <f>IFERROR(1/IF(Inputs!$B$38="pvp",15,MAX(0.1,Skills!D11-IF(Skills!E11=TRUE,2.5,0))),0)</f>
        <v/>
      </c>
      <c r="R2695">
        <f>IF(AND(Inputs!$B$38&lt;&gt;"pvp",Inputs!$B$43&gt;0),IF(MAX(0,Inputs!$B$43-B2718)&lt;=0,0,(INT(MAX(0,Inputs!$B$43-B2718)/IF(Inputs!$B$38="pvp",15,MAX(0.1,Skills!D11-IF(Skills!E11=TRUE,2.5,0))))+1)),0)</f>
        <v/>
      </c>
      <c r="S2695">
        <f>IF(C2695,H2695*N2695*IF(AND(Inputs!$B$38&lt;&gt;"pvp",Inputs!$B$43&gt;0),((Skills!F11*((R2695-1)*IF(Skills!G11&gt;0,Skills!H11/Skills!G11,1)+IF(Skills!G11&gt;0,MIN(Skills!H11,MAX(0,MAX(0,Inputs!$B$43-B2718)-((R2695-1)*IF(Inputs!$B$38="pvp",15,MAX(0.1,Skills!D11-IF(Skills!E11=TRUE,2.5,0))))))/Skills!G11,1)))/Inputs!$B$43),G2695*Q2695)*0.5*IF(Inputs!$B$38="pvp",1,1+(Inputs!$B$20+Skills!O11+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2695*(1-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IF(C2695,H2695*N2695*IF(AND(Inputs!$B$38&lt;&gt;"pvp",Inputs!$B$43&gt;0),((Skills!F11*((R2695-1)*IF(Skills!G11&gt;0,Skills!H11/Skills!G11,1)+IF(Skills!G11&gt;0,MIN(Skills!H11,MAX(0,MAX(0,Inputs!$B$43-B2718)-((R2695-1)*IF(Inputs!$B$38="pvp",15,MAX(0.1,Skills!D11-IF(Skills!E11=TRUE,2.5,0))))))/Skills!G11,1)))/Inputs!$B$43),G2695*Q2695)*1*IF(Inputs!$B$38="pvp",1,(1+(Inputs!$B$21+Skills!P11+B2712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Skills!A12</f>
        <v/>
      </c>
      <c r="B2696">
        <f>Skills!B12</f>
        <v/>
      </c>
      <c r="C2696">
        <f>Inputs!$B$3&gt;=115</f>
        <v/>
      </c>
      <c r="D2696">
        <f>IF(Skills!C12=1,60+Inputs!$B$25+Inputs!$B$29,IF(Skills!C12=2,90+Inputs!$B$26+Inputs!$B$29,IF(Skills!C12=3,120+Inputs!$B$27+Inputs!$B$29,MAX(0,(Inputs!$B$3-100)*3)+Inputs!$B$28+Inputs!$B$29)))</f>
        <v/>
      </c>
      <c r="E2696">
        <f>INDEX(FactorTable!$B$2:$Y$301, MATCH(ROUND(MIN(300,MAX(1,D2696)),0), FactorTable!$A$2:$A$301,0), Skills!L12+1)</f>
        <v/>
      </c>
      <c r="F2696">
        <f>IF(Skills!M12=TRUE,(Skills!K12/10)*(E2696/1000),Skills!K12/10)+Skills!N12</f>
        <v/>
      </c>
      <c r="G2696">
        <f>Calc!G12</f>
        <v/>
      </c>
      <c r="H2696">
        <f>Calc!H12</f>
        <v/>
      </c>
      <c r="I2696">
        <f>IF(Skills!T12&lt;&gt;"",1+(Skills!T12/10)*(Z2687/1000)/100,1)</f>
        <v/>
      </c>
      <c r="J2696">
        <f>((Inputs!$B$6*(1+Inputs!$B$7/100))+(((Inputs!$B$12*(1+Inputs!$B$13/100))-(Inputs!$B$12*(1+Inputs!$B$13/100)))+0.25*(Inputs!$B$14-Inputs!$B$14))*(1+Inputs!$B$7/100))*(F2696/100)</f>
        <v/>
      </c>
      <c r="K2696">
        <f>J2696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12="CHAIN_LIGHTNING",Inputs!$B$17+((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F2702-Calc!F18),(Inputs!$B$23+(IF(ArtifactsInput!$M$15,CHOOSE(ArtifactsInput!$N$15+1,25,30,35,40,45,50)/100*(Inputs!$B$11-Inputs!$B$11),0))))/100+(Inputs!$B$23+(IF(ArtifactsInput!$M$15,CHOOSE(ArtifactsInput!$N$15+1,25,30,35,40,45,50)/100*(Inputs!$B$11-Inputs!$B$11),0)))/100)/2</f>
        <v/>
      </c>
      <c r="M2696">
        <f>L2696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(1-Summary!$B$11)*S2696+Summary!$B$11*U2696</f>
        <v/>
      </c>
      <c r="P2696">
        <f>IF(B2721=0,0,O2696/B2721)</f>
        <v/>
      </c>
      <c r="Q2696">
        <f>IFERROR(1/IF(Inputs!$B$38="pvp",15,MAX(0.1,Skills!D12-IF(Skills!E12=TRUE,2.5,0))),0)</f>
        <v/>
      </c>
      <c r="R2696">
        <f>IF(AND(Inputs!$B$38&lt;&gt;"pvp",Inputs!$B$43&gt;0),IF(MAX(0,Inputs!$B$43-B2718)&lt;=0,0,(INT(MAX(0,Inputs!$B$43-B2718)/IF(Inputs!$B$38="pvp",15,MAX(0.1,Skills!D12-IF(Skills!E12=TRUE,2.5,0))))+1)),0)</f>
        <v/>
      </c>
      <c r="S2696">
        <f>IF(C2696,(H2696*N2696*IF(AND(Inputs!$B$38&lt;&gt;"pvp",Inputs!$B$43&gt;0),((Skills!F12*((R2696-1)*IF(Skills!G12&gt;0,Skills!H12/Skills!G12,1)+IF(Skills!G12&gt;0,MIN(Skills!H12,MAX(0,MAX(0,Inputs!$B$43-B2718)-((R2696-1)*IF(Inputs!$B$38="pvp",15,MAX(0.1,Skills!D12-IF(Skills!E12=TRUE,2.5,0))))))/Skills!G12,1)))/Inputs!$B$43),G2696*Q2696))*IF(Inputs!$B$38="pvp",1,1+(Inputs!$B$20+Skills!O12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2696*(1-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F2704-Calc!F20)+(F2703-Calc!F19))+(ArtifactsInput!$M$24-ArtifactsInput!$M$24)*CHOOSE(ArtifactsInput!$N$24+1,10,12,14,16,18,20)+(IF(AND(Inputs!$B$38&lt;&gt;"pvp",Inputs!$B$43=0),1,IF(IF(Inputs!$B$38="pvp",15,Inputs!$B$43)-(B2718)&lt;=0,1,MAX(0,IF(Inputs!$B$38="pvp",15,Inputs!$B$43)-MAX(5,B2718))/(IF(Inputs!$B$38="pvp",15,Inputs!$B$43)-(B2718)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IF(C2696,(H2696*N2696*IF(AND(Inputs!$B$38&lt;&gt;"pvp",Inputs!$B$43&gt;0),((Skills!F12*((R2696-1)*IF(Skills!G12&gt;0,Skills!H12/Skills!G12,1)+IF(Skills!G12&gt;0,MIN(Skills!H12,MAX(0,MAX(0,Inputs!$B$43-B2718)-((R2696-1)*IF(Inputs!$B$38="pvp",15,MAX(0.1,Skills!D12-IF(Skills!E12=TRUE,2.5,0))))))/Skills!G12,1)))/Inputs!$B$43),G2696*Q2696))*IF(Inputs!$B$38="pvp",1,(1+(Inputs!$B$21+Skills!P12+B2712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Skills!A13</f>
        <v/>
      </c>
      <c r="B2697">
        <f>Skills!B13</f>
        <v/>
      </c>
      <c r="C2697">
        <f>Inputs!$B$3&gt;=49</f>
        <v/>
      </c>
      <c r="D2697">
        <f>IF(Skills!C13=1,60+Inputs!$B$25+Inputs!$B$29,IF(Skills!C13=2,90+Inputs!$B$26+Inputs!$B$29,IF(Skills!C13=3,120+Inputs!$B$27+Inputs!$B$29,MAX(0,(Inputs!$B$3-100)*3)+Inputs!$B$28+Inputs!$B$29)))</f>
        <v/>
      </c>
      <c r="E2697">
        <f>INDEX(FactorTable!$B$2:$Y$301, MATCH(ROUND(MIN(300,MAX(1,D2697)),0), FactorTable!$A$2:$A$301,0), Skills!L13+1)</f>
        <v/>
      </c>
      <c r="F2697">
        <f>IF(Skills!M13=TRUE,(Skills!K13/10)*(E2697/1000),Skills!K13/10)+Skills!N13</f>
        <v/>
      </c>
      <c r="G2697">
        <f>Calc!G13</f>
        <v/>
      </c>
      <c r="H2697">
        <f>Calc!H13</f>
        <v/>
      </c>
      <c r="I2697">
        <f>IF(Skills!T13&lt;&gt;"",1+(Skills!T13/10)*(Z2687/1000)/100,1)</f>
        <v/>
      </c>
      <c r="J2697" t="inlineStr"/>
      <c r="K2697" t="inlineStr"/>
      <c r="L2697" t="inlineStr"/>
      <c r="M2697" t="inlineStr"/>
      <c r="N2697" t="inlineStr"/>
      <c r="O2697">
        <f>(1-Summary!$B$11)*S2697+Summary!$B$11*U2697</f>
        <v/>
      </c>
      <c r="P2697">
        <f>IF(B2721=0,0,O2697/B2721)</f>
        <v/>
      </c>
      <c r="Q2697">
        <f>IFERROR(1/IF(Inputs!$B$38="pvp",15,MAX(0.1,Skills!D13-IF(Skills!E13=TRUE,2.5,0))),0)</f>
        <v/>
      </c>
      <c r="R2697" t="n">
        <v>0</v>
      </c>
      <c r="S2697" t="n">
        <v>0</v>
      </c>
      <c r="U2697" t="n">
        <v>0</v>
      </c>
    </row>
    <row r="2698">
      <c r="A2698">
        <f>Skills!A14</f>
        <v/>
      </c>
      <c r="B2698">
        <f>Skills!B14</f>
        <v/>
      </c>
      <c r="C2698">
        <f>Inputs!$B$3&gt;=72</f>
        <v/>
      </c>
      <c r="D2698">
        <f>IF(Skills!C14=1,60+Inputs!$B$25+Inputs!$B$29,IF(Skills!C14=2,90+Inputs!$B$26+Inputs!$B$29,IF(Skills!C14=3,120+Inputs!$B$27+Inputs!$B$29,MAX(0,(Inputs!$B$3-100)*3)+Inputs!$B$28+Inputs!$B$29)))</f>
        <v/>
      </c>
      <c r="E2698">
        <f>INDEX(FactorTable!$B$2:$Y$301, MATCH(ROUND(MIN(300,MAX(1,D2698)),0), FactorTable!$A$2:$A$301,0), Skills!L14+1)</f>
        <v/>
      </c>
      <c r="F2698">
        <f>IF(Skills!M14=TRUE,(Skills!K14/10)*(E2698/1000),Skills!K14/10)+Skills!N14</f>
        <v/>
      </c>
      <c r="G2698">
        <f>Calc!G14</f>
        <v/>
      </c>
      <c r="H2698">
        <f>Calc!H14</f>
        <v/>
      </c>
      <c r="I2698">
        <f>IF(Skills!T14&lt;&gt;"",1+(Skills!T14/10)*(Z2687/1000)/100,1)</f>
        <v/>
      </c>
      <c r="J2698" t="inlineStr"/>
      <c r="K2698" t="inlineStr"/>
      <c r="L2698" t="inlineStr"/>
      <c r="M2698" t="inlineStr"/>
      <c r="N2698" t="inlineStr"/>
      <c r="O2698">
        <f>(1-Summary!$B$11)*S2698+Summary!$B$11*U2698</f>
        <v/>
      </c>
      <c r="P2698">
        <f>IF(B2721=0,0,O2698/B2721)</f>
        <v/>
      </c>
      <c r="Q2698">
        <f>IFERROR(1/IF(Inputs!$B$38="pvp",15,MAX(0.1,Skills!D14-IF(Skills!E14=TRUE,2.5,0))),0)</f>
        <v/>
      </c>
      <c r="R2698" t="n">
        <v>0</v>
      </c>
      <c r="S2698" t="n">
        <v>0</v>
      </c>
      <c r="U2698" t="n">
        <v>0</v>
      </c>
    </row>
    <row r="2699">
      <c r="A2699">
        <f>Skills!A15</f>
        <v/>
      </c>
      <c r="B2699">
        <f>Skills!B15</f>
        <v/>
      </c>
      <c r="C2699">
        <f>Inputs!$B$3&gt;=75</f>
        <v/>
      </c>
      <c r="D2699">
        <f>IF(Skills!C15=1,60+Inputs!$B$25+Inputs!$B$29,IF(Skills!C15=2,90+Inputs!$B$26+Inputs!$B$29,IF(Skills!C15=3,120+Inputs!$B$27+Inputs!$B$29,MAX(0,(Inputs!$B$3-100)*3)+Inputs!$B$28+Inputs!$B$29)))</f>
        <v/>
      </c>
      <c r="E2699">
        <f>INDEX(FactorTable!$B$2:$Y$301, MATCH(ROUND(MIN(300,MAX(1,D2699)),0), FactorTable!$A$2:$A$301,0), Skills!L15+1)</f>
        <v/>
      </c>
      <c r="F2699">
        <f>IF(Skills!M15=TRUE,(Skills!K15/10)*(E2699/1000),Skills!K15/10)+Skills!N15</f>
        <v/>
      </c>
      <c r="G2699">
        <f>Calc!G15</f>
        <v/>
      </c>
      <c r="H2699">
        <f>Calc!H15</f>
        <v/>
      </c>
      <c r="I2699">
        <f>IF(Skills!T15&lt;&gt;"",1+(Skills!T15/10)*(Z2687/1000)/100,1)</f>
        <v/>
      </c>
      <c r="J2699" t="inlineStr"/>
      <c r="K2699" t="inlineStr"/>
      <c r="L2699" t="inlineStr"/>
      <c r="M2699" t="inlineStr"/>
      <c r="N2699" t="inlineStr"/>
      <c r="O2699">
        <f>(1-Summary!$B$11)*S2699+Summary!$B$11*U2699</f>
        <v/>
      </c>
      <c r="P2699">
        <f>IF(B2721=0,0,O2699/B2721)</f>
        <v/>
      </c>
      <c r="Q2699">
        <f>IFERROR(1/IF(Inputs!$B$38="pvp",15,MAX(0.1,Skills!D15-IF(Skills!E15=TRUE,2.5,0))),0)</f>
        <v/>
      </c>
      <c r="R2699" t="n">
        <v>0</v>
      </c>
      <c r="S2699" t="n">
        <v>0</v>
      </c>
      <c r="U2699" t="n">
        <v>0</v>
      </c>
    </row>
    <row r="2700">
      <c r="A2700">
        <f>Skills!A16</f>
        <v/>
      </c>
      <c r="B2700">
        <f>Skills!B16</f>
        <v/>
      </c>
      <c r="C2700">
        <f>Inputs!$B$3&gt;=110</f>
        <v/>
      </c>
      <c r="D2700">
        <f>IF(Skills!C16=1,60+Inputs!$B$25+Inputs!$B$29,IF(Skills!C16=2,90+Inputs!$B$26+Inputs!$B$29,IF(Skills!C16=3,120+Inputs!$B$27+Inputs!$B$29,MAX(0,(Inputs!$B$3-100)*3)+Inputs!$B$28+Inputs!$B$29)))</f>
        <v/>
      </c>
      <c r="E2700">
        <f>INDEX(FactorTable!$B$2:$Y$301, MATCH(ROUND(MIN(300,MAX(1,D2700)),0), FactorTable!$A$2:$A$301,0), Skills!L16+1)</f>
        <v/>
      </c>
      <c r="F2700">
        <f>(Skills!K16/10)*(E2700/1000)*64/45+Skills!N16</f>
        <v/>
      </c>
      <c r="G2700">
        <f>Calc!G16</f>
        <v/>
      </c>
      <c r="H2700">
        <f>Calc!H16</f>
        <v/>
      </c>
      <c r="I2700">
        <f>IF(Skills!T16&lt;&gt;"",1+(Skills!T16/10)*(Z2687/1000)/100,1)</f>
        <v/>
      </c>
      <c r="J2700" t="inlineStr"/>
      <c r="K2700" t="inlineStr"/>
      <c r="L2700" t="inlineStr"/>
      <c r="M2700" t="inlineStr"/>
      <c r="N2700" t="inlineStr"/>
      <c r="O2700">
        <f>(1-Summary!$B$11)*S2700+Summary!$B$11*U2700</f>
        <v/>
      </c>
      <c r="P2700">
        <f>IF(B2721=0,0,O2700/B2721)</f>
        <v/>
      </c>
      <c r="Q2700">
        <f>IFERROR(1/IF(Inputs!$B$38="pvp",15,MAX(0.1,Skills!D16-IF(Skills!E16=TRUE,2.5,0))),0)</f>
        <v/>
      </c>
      <c r="R2700">
        <f>IF(AND(Inputs!$B$38&lt;&gt;"pvp",Inputs!$B$43&gt;0),IF(Inputs!$B$43&lt;=0,0,(INT(Inputs!$B$43/IF(Inputs!$B$38="pvp",15,MAX(0.1,Skills!D16-IF(Skills!E16=TRUE,2.5,0))))+1)),0)</f>
        <v/>
      </c>
      <c r="S2700" t="n">
        <v>0</v>
      </c>
      <c r="U2700" t="n">
        <v>0</v>
      </c>
    </row>
    <row r="2701">
      <c r="A2701">
        <f>Skills!A17</f>
        <v/>
      </c>
      <c r="B2701">
        <f>Skills!B17</f>
        <v/>
      </c>
      <c r="C2701">
        <f>Inputs!$B$3&gt;=33</f>
        <v/>
      </c>
      <c r="D2701">
        <f>IF(Skills!C17=1,60+Inputs!$B$25+Inputs!$B$29,IF(Skills!C17=2,90+Inputs!$B$26+Inputs!$B$29,IF(Skills!C17=3,120+Inputs!$B$27+Inputs!$B$29,MAX(0,(Inputs!$B$3-100)*3)+Inputs!$B$28+Inputs!$B$29)))</f>
        <v/>
      </c>
      <c r="E2701">
        <f>INDEX(FactorTable!$B$2:$Y$301, MATCH(ROUND(MIN(300,MAX(1,D2701)),0), FactorTable!$A$2:$A$301,0), Skills!L17+1)</f>
        <v/>
      </c>
      <c r="F2701">
        <f>IF(Skills!M17=TRUE,(Skills!K17/10)*(E2701/1000),Skills!K17/10)+Skills!N17</f>
        <v/>
      </c>
      <c r="G2701">
        <f>Calc!G17</f>
        <v/>
      </c>
      <c r="H2701">
        <f>Calc!H17</f>
        <v/>
      </c>
      <c r="I2701">
        <f>IF(Skills!T17&lt;&gt;"",1+(Skills!T17/10)*(Z2687/1000)/100,1)</f>
        <v/>
      </c>
      <c r="J2701" t="inlineStr"/>
      <c r="K2701" t="inlineStr"/>
      <c r="L2701" t="inlineStr"/>
      <c r="M2701" t="inlineStr"/>
      <c r="N2701" t="inlineStr"/>
      <c r="O2701">
        <f>(1-Summary!$B$11)*S2701+Summary!$B$11*U2701</f>
        <v/>
      </c>
      <c r="P2701">
        <f>IF(B2721=0,0,O2701/B2721)</f>
        <v/>
      </c>
      <c r="Q2701">
        <f>IFERROR(1/IF(Inputs!$B$38="pvp",15,MAX(0.1,Skills!D17-IF(Skills!E17=TRUE,2.5,0))),0)</f>
        <v/>
      </c>
      <c r="R2701" t="n">
        <v>0</v>
      </c>
      <c r="S2701" t="n">
        <v>0</v>
      </c>
      <c r="U2701" t="n">
        <v>0</v>
      </c>
    </row>
    <row r="2702">
      <c r="A2702">
        <f>Skills!A18</f>
        <v/>
      </c>
      <c r="B2702">
        <f>Skills!B18</f>
        <v/>
      </c>
      <c r="C2702">
        <f>Inputs!$B$3&gt;=43</f>
        <v/>
      </c>
      <c r="D2702">
        <f>IF(Skills!C18=1,60+Inputs!$B$25+Inputs!$B$29,IF(Skills!C18=2,90+Inputs!$B$26+Inputs!$B$29,IF(Skills!C18=3,120+Inputs!$B$27+Inputs!$B$29,MAX(0,(Inputs!$B$3-100)*3)+Inputs!$B$28+Inputs!$B$29)))</f>
        <v/>
      </c>
      <c r="E2702">
        <f>INDEX(FactorTable!$B$2:$Y$301, MATCH(ROUND(MIN(300,MAX(1,D2702)),0), FactorTable!$A$2:$A$301,0), Skills!L18+1)</f>
        <v/>
      </c>
      <c r="F2702">
        <f>IF(Skills!M18=TRUE,(Skills!K18/10)*(E2702/1000),Skills!K18/10)+Skills!N18</f>
        <v/>
      </c>
      <c r="G2702">
        <f>Calc!G18</f>
        <v/>
      </c>
      <c r="H2702">
        <f>Calc!H18</f>
        <v/>
      </c>
      <c r="I2702">
        <f>IF(Skills!T18&lt;&gt;"",1+(Skills!T18/10)*(Z2687/1000)/100,1)</f>
        <v/>
      </c>
      <c r="J2702" t="inlineStr"/>
      <c r="K2702" t="inlineStr"/>
      <c r="L2702" t="inlineStr"/>
      <c r="M2702" t="inlineStr"/>
      <c r="N2702" t="inlineStr"/>
      <c r="O2702">
        <f>(1-Summary!$B$11)*S2702+Summary!$B$11*U2702</f>
        <v/>
      </c>
      <c r="P2702">
        <f>IF(B2721=0,0,O2702/B2721)</f>
        <v/>
      </c>
      <c r="Q2702">
        <f>IFERROR(1/IF(Inputs!$B$38="pvp",15,MAX(0.1,Skills!D18-IF(Skills!E18=TRUE,2.5,0))),0)</f>
        <v/>
      </c>
      <c r="R2702" t="n">
        <v>0</v>
      </c>
      <c r="S2702" t="n">
        <v>0</v>
      </c>
      <c r="U2702" t="n">
        <v>0</v>
      </c>
    </row>
    <row r="2703">
      <c r="A2703">
        <f>Skills!A19</f>
        <v/>
      </c>
      <c r="B2703">
        <f>Skills!B19</f>
        <v/>
      </c>
      <c r="C2703">
        <f>Inputs!$B$3&gt;=50</f>
        <v/>
      </c>
      <c r="D2703">
        <f>IF(Skills!C19=1,60+Inputs!$B$25+Inputs!$B$29,IF(Skills!C19=2,90+Inputs!$B$26+Inputs!$B$29,IF(Skills!C19=3,120+Inputs!$B$27+Inputs!$B$29,MAX(0,(Inputs!$B$3-100)*3)+Inputs!$B$28+Inputs!$B$29)))</f>
        <v/>
      </c>
      <c r="E2703">
        <f>INDEX(FactorTable!$B$2:$Y$301, MATCH(ROUND(MIN(300,MAX(1,D2703)),0), FactorTable!$A$2:$A$301,0), Skills!L19+1)</f>
        <v/>
      </c>
      <c r="F2703">
        <f>IF(Skills!M19=TRUE,(Skills!K19/10)*(E2703/1000),Skills!K19/10)+Skills!N19</f>
        <v/>
      </c>
      <c r="G2703">
        <f>Calc!G19</f>
        <v/>
      </c>
      <c r="H2703">
        <f>Calc!H19</f>
        <v/>
      </c>
      <c r="I2703">
        <f>IF(Skills!T19&lt;&gt;"",1+(Skills!T19/10)*(Z2687/1000)/100,1)</f>
        <v/>
      </c>
      <c r="J2703" t="inlineStr"/>
      <c r="K2703" t="inlineStr"/>
      <c r="L2703" t="inlineStr"/>
      <c r="M2703" t="inlineStr"/>
      <c r="N2703" t="inlineStr"/>
      <c r="O2703">
        <f>(1-Summary!$B$11)*S2703+Summary!$B$11*U2703</f>
        <v/>
      </c>
      <c r="P2703">
        <f>IF(B2721=0,0,O2703/B2721)</f>
        <v/>
      </c>
      <c r="Q2703">
        <f>IFERROR(1/IF(Inputs!$B$38="pvp",15,MAX(0.1,Skills!D19-IF(Skills!E19=TRUE,2.5,0))),0)</f>
        <v/>
      </c>
      <c r="R2703" t="n">
        <v>0</v>
      </c>
      <c r="S2703" t="n">
        <v>0</v>
      </c>
      <c r="U2703" t="n">
        <v>0</v>
      </c>
    </row>
    <row r="2704">
      <c r="A2704">
        <f>Skills!A20</f>
        <v/>
      </c>
      <c r="B2704">
        <f>Skills!B20</f>
        <v/>
      </c>
      <c r="C2704">
        <f>Inputs!$B$3&gt;=74</f>
        <v/>
      </c>
      <c r="D2704">
        <f>IF(Skills!C20=1,60+Inputs!$B$25+Inputs!$B$29,IF(Skills!C20=2,90+Inputs!$B$26+Inputs!$B$29,IF(Skills!C20=3,120+Inputs!$B$27+Inputs!$B$29,MAX(0,(Inputs!$B$3-100)*3)+Inputs!$B$28+Inputs!$B$29)))</f>
        <v/>
      </c>
      <c r="E2704">
        <f>INDEX(FactorTable!$B$2:$Y$301, MATCH(ROUND(MIN(300,MAX(1,D2704)),0), FactorTable!$A$2:$A$301,0), Skills!L20+1)</f>
        <v/>
      </c>
      <c r="F2704">
        <f>IF(Skills!M20=TRUE,(Skills!K20/10)*(E2704/1000),Skills!K20/10)+Skills!N20</f>
        <v/>
      </c>
      <c r="G2704">
        <f>Calc!G20</f>
        <v/>
      </c>
      <c r="H2704">
        <f>Calc!H20</f>
        <v/>
      </c>
      <c r="I2704">
        <f>IF(Skills!T20&lt;&gt;"",1+(Skills!T20/10)*(Z2687/1000)/100,1)</f>
        <v/>
      </c>
      <c r="J2704" t="inlineStr"/>
      <c r="K2704" t="inlineStr"/>
      <c r="L2704" t="inlineStr"/>
      <c r="M2704" t="inlineStr"/>
      <c r="N2704" t="inlineStr"/>
      <c r="O2704">
        <f>(1-Summary!$B$11)*S2704+Summary!$B$11*U2704</f>
        <v/>
      </c>
      <c r="P2704">
        <f>IF(B2721=0,0,O2704/B2721)</f>
        <v/>
      </c>
      <c r="Q2704">
        <f>IFERROR(1/IF(Inputs!$B$38="pvp",15,MAX(0.1,Skills!D20-IF(Skills!E20=TRUE,2.5,0))),0)</f>
        <v/>
      </c>
      <c r="R2704" t="n">
        <v>0</v>
      </c>
      <c r="S2704" t="n">
        <v>0</v>
      </c>
      <c r="U2704" t="n">
        <v>0</v>
      </c>
    </row>
    <row r="2705">
      <c r="A2705">
        <f>Skills!A21</f>
        <v/>
      </c>
      <c r="B2705">
        <f>Skills!B21</f>
        <v/>
      </c>
      <c r="C2705">
        <f>Inputs!$B$3&gt;=74</f>
        <v/>
      </c>
      <c r="D2705">
        <f>IF(Skills!C21=1,60+Inputs!$B$25+Inputs!$B$29,IF(Skills!C21=2,90+Inputs!$B$26+Inputs!$B$29,IF(Skills!C21=3,120+Inputs!$B$27+Inputs!$B$29,MAX(0,(Inputs!$B$3-100)*3)+Inputs!$B$28+Inputs!$B$29)))</f>
        <v/>
      </c>
      <c r="E2705">
        <f>INDEX(FactorTable!$B$2:$Y$301, MATCH(ROUND(MIN(300,MAX(1,D2705)),0), FactorTable!$A$2:$A$301,0), Skills!L21+1)</f>
        <v/>
      </c>
      <c r="F2705">
        <f>IF(Skills!M21=TRUE,(Skills!K21/10)*(E2705/1000),Skills!K21/10)+Skills!N21</f>
        <v/>
      </c>
      <c r="G2705">
        <f>Calc!G21</f>
        <v/>
      </c>
      <c r="H2705">
        <f>Calc!H21</f>
        <v/>
      </c>
      <c r="I2705">
        <f>IF(Skills!T21&lt;&gt;"",1+(Skills!T21/10)*(Z2687/1000)/100,1)</f>
        <v/>
      </c>
      <c r="J2705" t="inlineStr"/>
      <c r="K2705" t="inlineStr"/>
      <c r="L2705" t="inlineStr"/>
      <c r="M2705" t="inlineStr"/>
      <c r="N2705" t="inlineStr"/>
      <c r="O2705">
        <f>(1-Summary!$B$11)*S2705+Summary!$B$11*U2705</f>
        <v/>
      </c>
      <c r="P2705">
        <f>IF(B2721=0,0,O2705/B2721)</f>
        <v/>
      </c>
      <c r="Q2705">
        <f>IFERROR(1/IF(Inputs!$B$38="pvp",15,MAX(0.1,Skills!D21-IF(Skills!E21=TRUE,2.5,0))),0)</f>
        <v/>
      </c>
      <c r="R2705" t="n">
        <v>0</v>
      </c>
      <c r="S2705" t="n">
        <v>0</v>
      </c>
      <c r="U2705" t="n">
        <v>0</v>
      </c>
    </row>
    <row r="2706">
      <c r="A2706">
        <f>Skills!A22</f>
        <v/>
      </c>
      <c r="B2706">
        <f>Skills!B22</f>
        <v/>
      </c>
      <c r="C2706">
        <f>Inputs!$B$3&gt;=117</f>
        <v/>
      </c>
      <c r="D2706">
        <f>IF(Skills!C22=1,60+Inputs!$B$25+Inputs!$B$29,IF(Skills!C22=2,90+Inputs!$B$26+Inputs!$B$29,IF(Skills!C22=3,120+Inputs!$B$27+Inputs!$B$29,MAX(0,(Inputs!$B$3-100)*3)+Inputs!$B$28+Inputs!$B$29)))</f>
        <v/>
      </c>
      <c r="E2706">
        <f>INDEX(FactorTable!$B$2:$Y$301, MATCH(ROUND(MIN(300,MAX(1,D2706)),0), FactorTable!$A$2:$A$301,0), Skills!L22+1)</f>
        <v/>
      </c>
      <c r="F2706">
        <f>IF(Skills!M22=TRUE,(Skills!K22/10)*(E2706/1000),Skills!K22/10)+Skills!N22</f>
        <v/>
      </c>
      <c r="G2706">
        <f>Calc!G22</f>
        <v/>
      </c>
      <c r="H2706">
        <f>Calc!H22</f>
        <v/>
      </c>
      <c r="I2706">
        <f>IF(Skills!T22&lt;&gt;"",1+(Skills!T22/10)*(Z2687/1000)/100,1)</f>
        <v/>
      </c>
      <c r="J2706" t="inlineStr"/>
      <c r="K2706" t="inlineStr"/>
      <c r="L2706" t="inlineStr"/>
      <c r="M2706" t="inlineStr"/>
      <c r="N2706" t="inlineStr"/>
      <c r="O2706">
        <f>(1-Summary!$B$11)*S2706+Summary!$B$11*U2706</f>
        <v/>
      </c>
      <c r="P2706">
        <f>IF(B2721=0,0,O2706/B2721)</f>
        <v/>
      </c>
      <c r="Q2706">
        <f>IFERROR(1/IF(Inputs!$B$38="pvp",15,MAX(0.1,Skills!D22-IF(Skills!E22=TRUE,2.5,0))),0)</f>
        <v/>
      </c>
      <c r="R2706" t="n">
        <v>0</v>
      </c>
      <c r="S2706" t="n">
        <v>0</v>
      </c>
      <c r="U2706" t="n">
        <v>0</v>
      </c>
    </row>
    <row r="2707">
      <c r="A2707">
        <f>Skills!A23</f>
        <v/>
      </c>
      <c r="B2707">
        <f>Skills!B23</f>
        <v/>
      </c>
      <c r="C2707">
        <f>Inputs!$B$3&gt;=120</f>
        <v/>
      </c>
      <c r="D2707">
        <f>IF(Skills!C23=1,60+Inputs!$B$25+Inputs!$B$29,IF(Skills!C23=2,90+Inputs!$B$26+Inputs!$B$29,IF(Skills!C23=3,120+Inputs!$B$27+Inputs!$B$29,MAX(0,(Inputs!$B$3-100)*3)+Inputs!$B$28+Inputs!$B$29)))</f>
        <v/>
      </c>
      <c r="E2707">
        <f>INDEX(FactorTable!$B$2:$Y$301, MATCH(ROUND(MIN(300,MAX(1,D2707)),0), FactorTable!$A$2:$A$301,0), Skills!L23+1)</f>
        <v/>
      </c>
      <c r="F2707">
        <f>IF(Skills!M23=TRUE,(Skills!K23/10)*(E2707/1000),Skills!K23/10)+Skills!N23</f>
        <v/>
      </c>
      <c r="G2707">
        <f>Calc!G23</f>
        <v/>
      </c>
      <c r="H2707">
        <f>Calc!H23</f>
        <v/>
      </c>
      <c r="I2707">
        <f>IF(Skills!T23&lt;&gt;"",1+(Skills!T23/10)*(Z2687/1000)/100,1)</f>
        <v/>
      </c>
      <c r="J2707" t="inlineStr"/>
      <c r="K2707" t="inlineStr"/>
      <c r="L2707" t="inlineStr"/>
      <c r="M2707" t="inlineStr"/>
      <c r="N2707" t="inlineStr"/>
      <c r="O2707">
        <f>(1-Summary!$B$11)*S2707+Summary!$B$11*U2707</f>
        <v/>
      </c>
      <c r="P2707">
        <f>IF(B2721=0,0,O2707/B2721)</f>
        <v/>
      </c>
      <c r="Q2707">
        <f>IFERROR(1/IF(Inputs!$B$38="pvp",15,MAX(0.1,Skills!D23-IF(Skills!E23=TRUE,2.5,0))),0)</f>
        <v/>
      </c>
      <c r="R2707" t="n">
        <v>0</v>
      </c>
      <c r="S2707" t="n">
        <v>0</v>
      </c>
      <c r="U2707" t="n">
        <v>0</v>
      </c>
    </row>
    <row r="2708">
      <c r="A2708">
        <f>Skills!A24</f>
        <v/>
      </c>
      <c r="B2708">
        <f>Skills!B24</f>
        <v/>
      </c>
      <c r="C2708">
        <f>TRUE</f>
        <v/>
      </c>
      <c r="D2708">
        <f>IF(Skills!C24=1,60+Inputs!$B$25+Inputs!$B$29,IF(Skills!C24=2,90+Inputs!$B$26+Inputs!$B$29,IF(Skills!C24=3,120+Inputs!$B$27+Inputs!$B$29,MAX(0,(Inputs!$B$3-100)*3)+Inputs!$B$28+Inputs!$B$29)))</f>
        <v/>
      </c>
      <c r="E2708">
        <f>INDEX(FactorTable!$B$2:$Y$301, MATCH(ROUND(MIN(300,MAX(1,D2708)),0), FactorTable!$A$2:$A$301,0), Skills!L24+1)</f>
        <v/>
      </c>
      <c r="F2708">
        <f>IF(Skills!M24=TRUE,(Skills!K24/10)*(E2708/1000),Skills!K24/10)+Skills!N24</f>
        <v/>
      </c>
      <c r="G2708">
        <f>Calc!G24</f>
        <v/>
      </c>
      <c r="H2708">
        <f>Calc!H24</f>
        <v/>
      </c>
      <c r="I2708">
        <f>IF(Skills!T24&lt;&gt;"",1+(Skills!T24/10)*(Z2687/1000)/100,1)</f>
        <v/>
      </c>
      <c r="J2708" t="inlineStr"/>
      <c r="K2708" t="inlineStr"/>
      <c r="L2708" t="inlineStr"/>
      <c r="M2708" t="inlineStr"/>
      <c r="N2708" t="inlineStr"/>
      <c r="O2708">
        <f>(1-Summary!$B$11)*S2708+Summary!$B$11*U2708</f>
        <v/>
      </c>
      <c r="P2708">
        <f>IF(B2721=0,0,O2708/B2721)</f>
        <v/>
      </c>
      <c r="Q2708">
        <f>IFERROR(1/IF(Inputs!$B$38="pvp",15,MAX(0.1,Skills!D24-IF(Skills!E24=TRUE,2.5,0))),0)</f>
        <v/>
      </c>
      <c r="R2708">
        <f>IF(AND(Inputs!$B$38&lt;&gt;"pvp",Inputs!$B$43&gt;0),IF(Inputs!$B$43&lt;=0,0,(INT(Inputs!$B$43/IF(Inputs!$B$38="pvp",15,MAX(0.1,Skills!D24-IF(Skills!E24=TRUE,2.5,0))))+1)),0)</f>
        <v/>
      </c>
      <c r="S2708" t="n">
        <v>0</v>
      </c>
      <c r="U2708" t="n">
        <v>0</v>
      </c>
    </row>
    <row r="2711">
      <c r="A2711" t="inlineStr">
        <is>
          <t>Average Buff Multiplier (Magic Guard + Meditation + Artifact Attack%, summed; then Infinity)</t>
        </is>
      </c>
      <c r="B2711">
        <f>(1+(IF(C2687=TRUE,F2687*IF(AND(Inputs!$B$38&lt;&gt;"pvp",Inputs!$B$43&gt;0),(((R2687-1)*(Skills!S3*(1+(Inputs!$B$34)/100))+MIN((Skills!S3*(1+(Inputs!$B$34)/100)),MAX(0,Inputs!$B$43-((R2687-1)*Skills!D3))))/Inputs!$B$43),IF(Inputs!$B$38="pvp",MIN((Skills!S3*(1+(Inputs!$B$34)/100)),15)/15,(Skills!S3*(1+(Inputs!$B$34)/100))/Skills!D3)),0)+IF(C2688=TRUE,F2688*IF(AND(Inputs!$B$38&lt;&gt;"pvp",Inputs!$B$43&gt;0),(((R2688-1)*(Skills!S4*(1+(Inputs!$B$34)/100))+MIN((Skills!S4*(1+(Inputs!$B$34)/100)),MAX(0,Inputs!$B$43-((R2688-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2700=TRUE,(1+F2700*IF(AND(Inputs!$B$38&lt;&gt;"pvp",Inputs!$B$43&gt;0),(((R2700-1)*(Skills!S16*(1+(Inputs!$B$34)/100))+MIN((Skills!S16*(1+(Inputs!$B$34)/100)),MAX(0,Inputs!$B$43-((R2700-1)*Skills!D16))))/Inputs!$B$43),IF(Inputs!$B$38="pvp",MIN((Skills!S16*(1+(Inputs!$B$34)/100)),15)/15,(Skills!S16*(1+(Inputs!$B$34)/100))/Skills!D16))/100),1)</f>
        <v/>
      </c>
    </row>
    <row r="2712">
      <c r="A2712" t="inlineStr">
        <is>
          <t>Monster Damage Taken Bonus % (Freezing Breath - Weaken + Elemental Reset + Artifact Enemy Damage Taken, summed)</t>
        </is>
      </c>
      <c r="B2712">
        <f>IF(Inputs!$B$3&gt;=118,15*IF(Inputs!$B$38="pvp",MIN((30*(1+(Inputs!$B$34)/100)),15)/15,(30*(1+(Inputs!$B$34)/100))/Skills!D8),0)+IF(C2698=TRUE,F2698,0)+(IF(AND(ArtifactsInput!$M$35,Inputs!$B$4&lt;&gt;"Chapter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f>
        <v/>
      </c>
    </row>
    <row r="2713">
      <c r="A2713" t="inlineStr">
        <is>
          <t>Damage % Bonus (Frozen Break + Frost Clutch, flat)</t>
        </is>
      </c>
      <c r="B2713">
        <f>IF(Inputs!$B$3&gt;=66,15,0)+IF(Inputs!$B$3&gt;=98,10,0)+IF(Inputs!$B$3&gt;=125,20,0)</f>
        <v/>
      </c>
    </row>
    <row r="2714">
      <c r="A2714" t="inlineStr">
        <is>
          <t>Attack Speed Bonus % (MP Eater - MP Boost, always-on + Nimble Feet, duty-cycle averaged)</t>
        </is>
      </c>
      <c r="B2714">
        <f>IF(C2697=TRUE,F2697+(F2701-Calc!F17),0)+((C2708=TRUE)*F2708*IF(AND(Inputs!$B$38&lt;&gt;"pvp",Inputs!$B$43&gt;0),(((R2708-1)*(Skills!S24*(1+(Inputs!$B$34)/100))+MIN((Skills!S24*(1+(Inputs!$B$34)/100)),MAX(0,Inputs!$B$43-((R2708-1)*Skills!D24))))/Inputs!$B$43),IF(Inputs!$B$38="pvp",MIN((Skills!S24*(1+(Inputs!$B$34)/100)),15)/15,(Skills!S24*(1+(Inputs!$B$34)/100))/Skills!D24)))</f>
        <v/>
      </c>
    </row>
    <row r="2715">
      <c r="A2715" t="inlineStr">
        <is>
          <t>Actions Per Second</t>
        </is>
      </c>
      <c r="B2715">
        <f>1+MIN(150,150*(1-(1-(Inputs!$B$11+(ArtifactsInput!$M$15-ArtifactsInput!$M$15)*CHOOSE(ArtifactsInput!$N$15+1,8,9.6,11.2,12.8,14.4,16))/150)*(1-B2714/150)))/100</f>
        <v/>
      </c>
    </row>
    <row r="2716">
      <c r="A2716" t="inlineStr">
        <is>
          <t>Skill + Buff Cast Rate</t>
        </is>
      </c>
      <c r="B2716">
        <f>IF(AND(Inputs!$B$38&lt;&gt;"pvp",Inputs!$B$43&gt;0),SUMPRODUCT((Skills!E2:E24=TRUE)*(C2686:C2708=TRUE)*R2686:R2708)/Inputs!$B$43,SUMPRODUCT((Skills!E2:E24=TRUE)*(C2686:C2708=TRUE)*Q2686:Q2708))</f>
        <v/>
      </c>
    </row>
    <row r="2717">
      <c r="A2717" t="inlineStr">
        <is>
          <t>Chain Lightning Casts Per Second</t>
        </is>
      </c>
      <c r="B2717">
        <f>MAX(0,B2715-B2716)</f>
        <v/>
      </c>
    </row>
    <row r="2718">
      <c r="A2718" t="inlineStr">
        <is>
          <t>Buff-Casting Startup Delay (s, fixed-duration only)</t>
        </is>
      </c>
      <c r="B2718">
        <f>IF(AND(Inputs!$B$38&lt;&gt;"pvp",Inputs!$B$43&gt;0),SUMPRODUCT((Skills!S2:S24&gt;0)*(Skills!E2:E24=TRUE)*(C2686:C2708=TRUE))/B2715,0)</f>
        <v/>
      </c>
    </row>
    <row r="2719">
      <c r="A2719" t="inlineStr">
        <is>
          <t>Boss-Only Total DPS (this block's swept value)</t>
        </is>
      </c>
      <c r="B2719">
        <f>SUM(S2686:S2708)</f>
        <v/>
      </c>
    </row>
    <row r="2720">
      <c r="A2720" t="inlineStr">
        <is>
          <t>Normal-Only Total DPS (this block's swept value)</t>
        </is>
      </c>
      <c r="B2720">
        <f>SUM(U2686:U2708)</f>
        <v/>
      </c>
    </row>
    <row r="2721">
      <c r="A2721" s="6" t="inlineStr">
        <is>
          <t>TOTAL DPS</t>
        </is>
      </c>
      <c r="B2721" s="6">
        <f>SUM(O2686:O2708)</f>
        <v/>
      </c>
    </row>
    <row r="2724">
      <c r="A2724" s="6" t="inlineStr">
        <is>
          <t>Stat: CDR = 3.0s</t>
        </is>
      </c>
    </row>
    <row r="2725">
      <c r="A2725" s="5" t="inlineStr">
        <is>
          <t>Key</t>
        </is>
      </c>
      <c r="B2725" s="5" t="inlineStr">
        <is>
          <t>Name</t>
        </is>
      </c>
      <c r="C2725" s="5" t="inlineStr">
        <is>
          <t>Unlocked</t>
        </is>
      </c>
      <c r="D2725" s="5" t="inlineStr">
        <is>
          <t>InputLevel</t>
        </is>
      </c>
      <c r="E2725" s="5" t="inlineStr">
        <is>
          <t>Factor</t>
        </is>
      </c>
      <c r="F2725" s="5" t="inlineStr">
        <is>
          <t>CoefficientPercent</t>
        </is>
      </c>
      <c r="G2725" s="5" t="inlineStr">
        <is>
          <t>EffectiveHits</t>
        </is>
      </c>
      <c r="H2725" s="5" t="inlineStr">
        <is>
          <t>ProcProbability</t>
        </is>
      </c>
      <c r="I2725" s="5" t="inlineStr">
        <is>
          <t>MapleHeroMultiplier</t>
        </is>
      </c>
      <c r="J2725" s="5" t="inlineStr">
        <is>
          <t>BaseDamage</t>
        </is>
      </c>
      <c r="K2725" s="5" t="inlineStr">
        <is>
          <t>BaseHitDamage</t>
        </is>
      </c>
      <c r="L2725" s="5" t="inlineStr">
        <is>
          <t>NonCritAvg</t>
        </is>
      </c>
      <c r="M2725" s="5" t="inlineStr">
        <is>
          <t>CritAvg</t>
        </is>
      </c>
      <c r="N2725" s="5" t="inlineStr">
        <is>
          <t>ExpectedDamage(perHit)</t>
        </is>
      </c>
      <c r="O2725" s="5" t="inlineStr">
        <is>
          <t>DPS</t>
        </is>
      </c>
      <c r="P2725" s="5" t="inlineStr">
        <is>
          <t>% of Total</t>
        </is>
      </c>
      <c r="R2725" t="inlineStr">
        <is>
          <t>helpers</t>
        </is>
      </c>
    </row>
    <row r="2726">
      <c r="A2726">
        <f>Skills!A2</f>
        <v/>
      </c>
      <c r="B2726">
        <f>Skills!B2</f>
        <v/>
      </c>
      <c r="C2726">
        <f>Inputs!$B$3&gt;=100</f>
        <v/>
      </c>
      <c r="D2726" t="inlineStr"/>
      <c r="E2726" t="inlineStr"/>
      <c r="F2726">
        <f>T2728+Skills!N2</f>
        <v/>
      </c>
      <c r="G2726">
        <f>Calc!G2</f>
        <v/>
      </c>
      <c r="H2726">
        <f>Calc!H2</f>
        <v/>
      </c>
      <c r="I2726">
        <f>IF(Skills!T2&lt;&gt;"",1+(Skills!T2/10)*(Z2727/1000)/100,1)</f>
        <v/>
      </c>
      <c r="J2726">
        <f>((Inputs!$B$6*(1+Inputs!$B$7/100))+(((Inputs!$B$12*(1+Inputs!$B$13/100))-(Inputs!$B$12*(1+Inputs!$B$13/100)))+0.25*(Inputs!$B$14-Inputs!$B$14))*(1+Inputs!$B$7/100))*(F2726/100)</f>
        <v/>
      </c>
      <c r="K2726">
        <f>J2726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2="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2742-Calc!F18),(Inputs!$B$23+(IF(ArtifactsInput!$M$15,CHOOSE(ArtifactsInput!$N$15+1,25,30,35,40,45,50)/100*(Inputs!$B$11-Inputs!$B$11),0))))/100+(Inputs!$B$23+(IF(ArtifactsInput!$M$15,CHOOSE(ArtifactsInput!$N$15+1,25,30,35,40,45,50)/100*(Inputs!$B$11-Inputs!$B$11),0)))/100)/2</f>
        <v/>
      </c>
      <c r="M2726">
        <f>L2726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IF(B2761=0,0,O2726/B2761)</f>
        <v/>
      </c>
      <c r="Q2726">
        <f>IFERROR(1/IF(Inputs!$B$38="pvp",15,MAX(0.1,Skills!D2-IF(Skills!E2=TRUE,3.0,0))),0)</f>
        <v/>
      </c>
      <c r="R2726" t="n">
        <v>0</v>
      </c>
      <c r="S2726">
        <f>IF(C2726,(Skills!F2*N2726*B2757)*IF(Inputs!$B$38="pvp",1,1+(Inputs!$B$20+Skills!O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6">
        <f>MAX(0,(Inputs!$B$3-100)*3)+Inputs!$B$28+Inputs!$B$29</f>
        <v/>
      </c>
      <c r="U2726">
        <f>IF(C2726,(Skills!F2*N2726*B2757)*IF(Inputs!$B$38="pvp",1,(1+(Inputs!$B$21+Skills!P2+B2752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6">
        <f>MAX(0,(Inputs!$B$3-100)*3)+Inputs!$B$28+Inputs!$B$29</f>
        <v/>
      </c>
    </row>
    <row r="2727">
      <c r="A2727">
        <f>Skills!A3</f>
        <v/>
      </c>
      <c r="B2727">
        <f>Skills!B3</f>
        <v/>
      </c>
      <c r="C2727">
        <f>Inputs!$B$3&gt;=15</f>
        <v/>
      </c>
      <c r="D2727">
        <f>IF(Skills!C3=1,60+Inputs!$B$25+Inputs!$B$29,IF(Skills!C3=2,90+Inputs!$B$26+Inputs!$B$29,IF(Skills!C3=3,120+Inputs!$B$27+Inputs!$B$29,MAX(0,(Inputs!$B$3-100)*3)+Inputs!$B$28+Inputs!$B$29)))</f>
        <v/>
      </c>
      <c r="E2727">
        <f>INDEX(FactorTable!$B$2:$Y$301, MATCH(ROUND(MIN(300,MAX(1,D2727)),0), FactorTable!$A$2:$A$301,0), Skills!L3+1)</f>
        <v/>
      </c>
      <c r="F2727">
        <f>IF(Skills!M3=TRUE,(Skills!K3/10)*(E2727/1000),Skills!K3/10)+Skills!N3</f>
        <v/>
      </c>
      <c r="G2727">
        <f>Calc!G3</f>
        <v/>
      </c>
      <c r="H2727">
        <f>Calc!H3</f>
        <v/>
      </c>
      <c r="I2727">
        <f>IF(Skills!T3&lt;&gt;"",1+(Skills!T3/10)*(Z2727/1000)/100,1)</f>
        <v/>
      </c>
      <c r="J2727" t="inlineStr"/>
      <c r="K2727" t="inlineStr"/>
      <c r="L2727" t="inlineStr"/>
      <c r="M2727" t="inlineStr"/>
      <c r="N2727" t="inlineStr"/>
      <c r="O2727">
        <f>(1-Summary!$B$11)*S2727+Summary!$B$11*U2727</f>
        <v/>
      </c>
      <c r="P2727">
        <f>IF(B2761=0,0,O2727/B2761)</f>
        <v/>
      </c>
      <c r="Q2727">
        <f>IFERROR(1/IF(Inputs!$B$38="pvp",15,MAX(0.1,Skills!D3-IF(Skills!E3=TRUE,3.0,0))),0)</f>
        <v/>
      </c>
      <c r="R2727">
        <f>IF(AND(Inputs!$B$38&lt;&gt;"pvp",Inputs!$B$43&gt;0),IF(Inputs!$B$43&lt;=0,0,(INT(Inputs!$B$43/IF(Inputs!$B$38="pvp",15,MAX(0.1,Skills!D3-IF(Skills!E3=TRUE,3.0,0))))+1)),0)</f>
        <v/>
      </c>
      <c r="S2727" t="n">
        <v>0</v>
      </c>
      <c r="T2727">
        <f>INDEX(FactorTable!$B$2:$Y$301, MATCH(ROUND(MIN(300,MAX(1,T2726)),0), FactorTable!$A$2:$A$301,0), 22)</f>
        <v/>
      </c>
      <c r="U2727" t="n">
        <v>0</v>
      </c>
      <c r="Z2727">
        <f>INDEX(FactorTable!$B$2:$Y$301, MATCH(ROUND(MIN(300,MAX(1,Z2726)),0), FactorTable!$A$2:$A$301,0), 24)</f>
        <v/>
      </c>
    </row>
    <row r="2728">
      <c r="A2728">
        <f>Skills!A4</f>
        <v/>
      </c>
      <c r="B2728">
        <f>Skills!B4</f>
        <v/>
      </c>
      <c r="C2728">
        <f>Inputs!$B$3&gt;=40</f>
        <v/>
      </c>
      <c r="D2728">
        <f>IF(Skills!C4=1,60+Inputs!$B$25+Inputs!$B$29,IF(Skills!C4=2,90+Inputs!$B$26+Inputs!$B$29,IF(Skills!C4=3,120+Inputs!$B$27+Inputs!$B$29,MAX(0,(Inputs!$B$3-100)*3)+Inputs!$B$28+Inputs!$B$29)))</f>
        <v/>
      </c>
      <c r="E2728">
        <f>INDEX(FactorTable!$B$2:$Y$301, MATCH(ROUND(MIN(300,MAX(1,D2728)),0), FactorTable!$A$2:$A$301,0), Skills!L4+1)</f>
        <v/>
      </c>
      <c r="F2728">
        <f>IF(Skills!M4=TRUE,(Skills!K4/10)*(E2728/1000),Skills!K4/10)+Skills!N4</f>
        <v/>
      </c>
      <c r="G2728">
        <f>Calc!G4</f>
        <v/>
      </c>
      <c r="H2728">
        <f>Calc!H4</f>
        <v/>
      </c>
      <c r="I2728">
        <f>IF(Skills!T4&lt;&gt;"",1+(Skills!T4/10)*(Z2727/1000)/100,1)</f>
        <v/>
      </c>
      <c r="J2728" t="inlineStr"/>
      <c r="K2728" t="inlineStr"/>
      <c r="L2728" t="inlineStr"/>
      <c r="M2728" t="inlineStr"/>
      <c r="N2728" t="inlineStr"/>
      <c r="O2728">
        <f>(1-Summary!$B$11)*S2728+Summary!$B$11*U2728</f>
        <v/>
      </c>
      <c r="P2728">
        <f>IF(B2761=0,0,O2728/B2761)</f>
        <v/>
      </c>
      <c r="Q2728">
        <f>IFERROR(1/IF(Inputs!$B$38="pvp",15,MAX(0.1,Skills!D4-IF(Skills!E4=TRUE,3.0,0))),0)</f>
        <v/>
      </c>
      <c r="R2728">
        <f>IF(AND(Inputs!$B$38&lt;&gt;"pvp",Inputs!$B$43&gt;0),IF(Inputs!$B$43&lt;=0,0,(INT(Inputs!$B$43/IF(Inputs!$B$38="pvp",15,MAX(0.1,Skills!D4-IF(Skills!E4=TRUE,3.0,0))))+1)),0)</f>
        <v/>
      </c>
      <c r="S2728" t="n">
        <v>0</v>
      </c>
      <c r="T2728">
        <f>290*T2727/1000</f>
        <v/>
      </c>
      <c r="U2728" t="n">
        <v>0</v>
      </c>
    </row>
    <row r="2729">
      <c r="A2729">
        <f>Skills!A5</f>
        <v/>
      </c>
      <c r="B2729">
        <f>Skills!B5</f>
        <v/>
      </c>
      <c r="C2729">
        <f>Inputs!$B$3&gt;=38</f>
        <v/>
      </c>
      <c r="D2729">
        <f>IF(Skills!C5=1,60+Inputs!$B$25+Inputs!$B$29,IF(Skills!C5=2,90+Inputs!$B$26+Inputs!$B$29,IF(Skills!C5=3,120+Inputs!$B$27+Inputs!$B$29,MAX(0,(Inputs!$B$3-100)*3)+Inputs!$B$28+Inputs!$B$29)))</f>
        <v/>
      </c>
      <c r="E2729">
        <f>INDEX(FactorTable!$B$2:$Y$301, MATCH(ROUND(MIN(300,MAX(1,D2729)),0), FactorTable!$A$2:$A$301,0), Skills!L5+1)</f>
        <v/>
      </c>
      <c r="F2729">
        <f>IF(Skills!M5=TRUE,(Skills!K5/10)*(E2729/1000),Skills!K5/10)+Skills!N5</f>
        <v/>
      </c>
      <c r="G2729">
        <f>Calc!G5</f>
        <v/>
      </c>
      <c r="H2729">
        <f>Calc!H5</f>
        <v/>
      </c>
      <c r="I2729">
        <f>IF(Skills!T5&lt;&gt;"",1+(Skills!T5/10)*(Z2727/1000)/100,1)</f>
        <v/>
      </c>
      <c r="J2729">
        <f>((Inputs!$B$6*(1+Inputs!$B$7/100))+(((Inputs!$B$12*(1+Inputs!$B$13/100))-(Inputs!$B$12*(1+Inputs!$B$13/100)))+0.25*(Inputs!$B$14-Inputs!$B$14))*(1+Inputs!$B$7/100))*(F2729/100)</f>
        <v/>
      </c>
      <c r="K2729">
        <f>J2729*(1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5="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F2742-Calc!F18),(Inputs!$B$23+(IF(ArtifactsInput!$M$15,CHOOSE(ArtifactsInput!$N$15+1,25,30,35,40,45,50)/100*(Inputs!$B$11-Inputs!$B$11),0))))/100+(Inputs!$B$23+(IF(ArtifactsInput!$M$15,CHOOSE(ArtifactsInput!$N$15+1,25,30,35,40,45,50)/100*(Inputs!$B$11-Inputs!$B$11),0)))/100)/2</f>
        <v/>
      </c>
      <c r="M2729">
        <f>L2729*(1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(1-Summary!$B$11)*S2729+Summary!$B$11*U2729</f>
        <v/>
      </c>
      <c r="P2729">
        <f>IF(B2761=0,0,O2729/B2761)</f>
        <v/>
      </c>
      <c r="Q2729">
        <f>IFERROR(1/IF(Inputs!$B$38="pvp",15,MAX(0.1,Skills!D5-IF(Skills!E5=TRUE,3.0,0))),0)</f>
        <v/>
      </c>
      <c r="R2729">
        <f>IF(AND(Inputs!$B$38&lt;&gt;"pvp",Inputs!$B$43&gt;0),IF(MAX(0,Inputs!$B$43-B2758)&lt;=0,0,(INT(MAX(0,Inputs!$B$43-B2758)/IF(Inputs!$B$38="pvp",15,MAX(0.1,Skills!D5-IF(Skills!E5=TRUE,3.0,0))))+1)),0)</f>
        <v/>
      </c>
      <c r="S2729">
        <f>IF(C2729,(H2729*N2729*IF(AND(Inputs!$B$38&lt;&gt;"pvp",Inputs!$B$43&gt;0),((Skills!F5*((R2729-1)*IF(Skills!G5&gt;0,Skills!H5/Skills!G5,1)+IF(Skills!G5&gt;0,MIN(Skills!H5,MAX(0,MAX(0,Inputs!$B$43-B2758)-((R2729-1)*IF(Inputs!$B$38="pvp",15,MAX(0.1,Skills!D5-IF(Skills!E5=TRUE,3.0,0))))))/Skills!G5,1)))/Inputs!$B$43),G2729*Q2729))*IF(Inputs!$B$38="pvp",1,1+(Inputs!$B$20+Skills!O5+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2729*(1-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IF(C2729,(H2729*N2729*IF(AND(Inputs!$B$38&lt;&gt;"pvp",Inputs!$B$43&gt;0),((Skills!F5*((R2729-1)*IF(Skills!G5&gt;0,Skills!H5/Skills!G5,1)+IF(Skills!G5&gt;0,MIN(Skills!H5,MAX(0,MAX(0,Inputs!$B$43-B2758)-((R2729-1)*IF(Inputs!$B$38="pvp",15,MAX(0.1,Skills!D5-IF(Skills!E5=TRUE,3.0,0))))))/Skills!G5,1)))/Inputs!$B$43),G2729*Q2729))*IF(Inputs!$B$38="pvp",1,(1+(Inputs!$B$21+Skills!P5+B2752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Skills!A6</f>
        <v/>
      </c>
      <c r="B2730">
        <f>Skills!B6</f>
        <v/>
      </c>
      <c r="C2730">
        <f>Inputs!$B$3&gt;=63</f>
        <v/>
      </c>
      <c r="D2730">
        <f>IF(Skills!C6=1,60+Inputs!$B$25+Inputs!$B$29,IF(Skills!C6=2,90+Inputs!$B$26+Inputs!$B$29,IF(Skills!C6=3,120+Inputs!$B$27+Inputs!$B$29,MAX(0,(Inputs!$B$3-100)*3)+Inputs!$B$28+Inputs!$B$29)))</f>
        <v/>
      </c>
      <c r="E2730">
        <f>INDEX(FactorTable!$B$2:$Y$301, MATCH(ROUND(MIN(300,MAX(1,D2730)),0), FactorTable!$A$2:$A$301,0), Skills!L6+1)</f>
        <v/>
      </c>
      <c r="F2730">
        <f>IF(Skills!M6=TRUE,(Skills!K6/10)*(E2730/1000),Skills!K6/10)+Skills!N6</f>
        <v/>
      </c>
      <c r="G2730">
        <f>Calc!G6</f>
        <v/>
      </c>
      <c r="H2730">
        <f>Calc!H6</f>
        <v/>
      </c>
      <c r="I2730">
        <f>IF(Skills!T6&lt;&gt;"",1+(Skills!T6/10)*(Z2727/1000)/100,1)</f>
        <v/>
      </c>
      <c r="J2730">
        <f>((Inputs!$B$6*(1+Inputs!$B$7/100))+(((Inputs!$B$12*(1+Inputs!$B$13/100))-(Inputs!$B$12*(1+Inputs!$B$13/100)))+0.25*(Inputs!$B$14-Inputs!$B$14))*(1+Inputs!$B$7/100))*(F2730/100)</f>
        <v/>
      </c>
      <c r="K2730">
        <f>J2730*(1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6="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F2742-Calc!F18),(Inputs!$B$23+(IF(ArtifactsInput!$M$15,CHOOSE(ArtifactsInput!$N$15+1,25,30,35,40,45,50)/100*(Inputs!$B$11-Inputs!$B$11),0))))/100+(Inputs!$B$23+(IF(ArtifactsInput!$M$15,CHOOSE(ArtifactsInput!$N$15+1,25,30,35,40,45,50)/100*(Inputs!$B$11-Inputs!$B$11),0)))/100)/2</f>
        <v/>
      </c>
      <c r="M2730">
        <f>L2730*(1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(1-Summary!$B$11)*S2730+Summary!$B$11*U2730</f>
        <v/>
      </c>
      <c r="P2730">
        <f>IF(B2761=0,0,O2730/B2761)</f>
        <v/>
      </c>
      <c r="Q2730">
        <f>IFERROR(1/IF(Inputs!$B$38="pvp",15,MAX(0.1,Skills!D6-IF(Skills!E6=TRUE,3.0,0))),0)</f>
        <v/>
      </c>
      <c r="R2730">
        <f>IF(AND(Inputs!$B$38&lt;&gt;"pvp",Inputs!$B$43&gt;0),IF(MAX(0,Inputs!$B$43-B2758)&lt;=0,0,(INT(MAX(0,Inputs!$B$43-B2758)/IF(Inputs!$B$38="pvp",15,MAX(0.1,Skills!D6-IF(Skills!E6=TRUE,3.0,0))))+1)),0)</f>
        <v/>
      </c>
      <c r="S2730">
        <f>IF(C2730,(H2730*N2730*IF(AND(Inputs!$B$38&lt;&gt;"pvp",Inputs!$B$43&gt;0),((Skills!F6*((R2730-1)*IF(Skills!G6&gt;0,Skills!H6/Skills!G6,1)+IF(Skills!G6&gt;0,MIN(Skills!H6,MAX(0,MAX(0,Inputs!$B$43-B2758)-((R2730-1)*IF(Inputs!$B$38="pvp",15,MAX(0.1,Skills!D6-IF(Skills!E6=TRUE,3.0,0))))))/Skills!G6,1)))/Inputs!$B$43),G2730*Q2730))*IF(Inputs!$B$38="pvp",1,1+(Inputs!$B$20+Skills!O6+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2730*(1-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0">
        <f>IF(C2730,(H2730*N2730*IF(AND(Inputs!$B$38&lt;&gt;"pvp",Inputs!$B$43&gt;0),((Skills!F6*((R2730-1)*IF(Skills!G6&gt;0,Skills!H6/Skills!G6,1)+IF(Skills!G6&gt;0,MIN(Skills!H6,MAX(0,MAX(0,Inputs!$B$43-B2758)-((R2730-1)*IF(Inputs!$B$38="pvp",15,MAX(0.1,Skills!D6-IF(Skills!E6=TRUE,3.0,0))))))/Skills!G6,1)))/Inputs!$B$43),G2730*Q2730))*IF(Inputs!$B$38="pvp",1,(1+(Inputs!$B$21+Skills!P6+B2752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Skills!A7</f>
        <v/>
      </c>
      <c r="B2731">
        <f>Skills!B7</f>
        <v/>
      </c>
      <c r="C2731">
        <f>Inputs!$B$3&gt;=69</f>
        <v/>
      </c>
      <c r="D2731">
        <f>IF(Skills!C7=1,60+Inputs!$B$25+Inputs!$B$29,IF(Skills!C7=2,90+Inputs!$B$26+Inputs!$B$29,IF(Skills!C7=3,120+Inputs!$B$27+Inputs!$B$29,MAX(0,(Inputs!$B$3-100)*3)+Inputs!$B$28+Inputs!$B$29)))</f>
        <v/>
      </c>
      <c r="E2731">
        <f>INDEX(FactorTable!$B$2:$Y$301, MATCH(ROUND(MIN(300,MAX(1,D2731)),0), FactorTable!$A$2:$A$301,0), Skills!L7+1)</f>
        <v/>
      </c>
      <c r="F2731">
        <f>IF(Skills!M7=TRUE,(Skills!K7/10)*(E2731/1000),Skills!K7/10)+Skills!N7</f>
        <v/>
      </c>
      <c r="G2731">
        <f>Calc!G7</f>
        <v/>
      </c>
      <c r="H2731">
        <f>Calc!H7</f>
        <v/>
      </c>
      <c r="I2731">
        <f>IF(Skills!T7&lt;&gt;"",1+(Skills!T7/10)*(Z2727/1000)/100,1)</f>
        <v/>
      </c>
      <c r="J2731">
        <f>((Inputs!$B$6*(1+Inputs!$B$7/100))+(((Inputs!$B$12*(1+Inputs!$B$13/100))-(Inputs!$B$12*(1+Inputs!$B$13/100)))+0.25*(Inputs!$B$14-Inputs!$B$14))*(1+Inputs!$B$7/100))*(F2731/100)</f>
        <v/>
      </c>
      <c r="K2731">
        <f>J2731*(1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7="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F2742-Calc!F18),(Inputs!$B$23+(IF(ArtifactsInput!$M$15,CHOOSE(ArtifactsInput!$N$15+1,25,30,35,40,45,50)/100*(Inputs!$B$11-Inputs!$B$11),0))))/100+(Inputs!$B$23+(IF(ArtifactsInput!$M$15,CHOOSE(ArtifactsInput!$N$15+1,25,30,35,40,45,50)/100*(Inputs!$B$11-Inputs!$B$11),0)))/100)/2</f>
        <v/>
      </c>
      <c r="M2731">
        <f>L2731*(1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(1-Summary!$B$11)*S2731+Summary!$B$11*U2731</f>
        <v/>
      </c>
      <c r="P2731">
        <f>IF(B2761=0,0,O2731/B2761)</f>
        <v/>
      </c>
      <c r="Q2731">
        <f>IFERROR(1/IF(Inputs!$B$38="pvp",15,MAX(0.1,Skills!D7-IF(Skills!E7=TRUE,3.0,0))),0)</f>
        <v/>
      </c>
      <c r="R2731">
        <f>IF(AND(Inputs!$B$38&lt;&gt;"pvp",Inputs!$B$43&gt;0),IF(MAX(0,Inputs!$B$43-B2758)&lt;=0,0,(INT(MAX(0,Inputs!$B$43-B2758)/IF(Inputs!$B$38="pvp",15,MAX(0.1,Skills!D7-IF(Skills!E7=TRUE,3.0,0))))+1)),0)</f>
        <v/>
      </c>
      <c r="S2731">
        <f>IF(C2731,(H2731*N2731*IF(AND(Inputs!$B$38&lt;&gt;"pvp",Inputs!$B$43&gt;0),((Skills!F7*((R2731-1)*IF(Skills!G7&gt;0,Skills!H7/Skills!G7,1)+IF(Skills!G7&gt;0,MIN(Skills!H7,MAX(0,MAX(0,Inputs!$B$43-B2758)-((R2731-1)*IF(Inputs!$B$38="pvp",15,MAX(0.1,Skills!D7-IF(Skills!E7=TRUE,3.0,0))))))/Skills!G7,1)))/Inputs!$B$43),G2731*Q2731))*IF(Inputs!$B$38="pvp",1,1+(Inputs!$B$20+Skills!O7+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2731*(1-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1">
        <f>IF(C2731,(H2731*N2731*IF(AND(Inputs!$B$38&lt;&gt;"pvp",Inputs!$B$43&gt;0),((Skills!F7*((R2731-1)*IF(Skills!G7&gt;0,Skills!H7/Skills!G7,1)+IF(Skills!G7&gt;0,MIN(Skills!H7,MAX(0,MAX(0,Inputs!$B$43-B2758)-((R2731-1)*IF(Inputs!$B$38="pvp",15,MAX(0.1,Skills!D7-IF(Skills!E7=TRUE,3.0,0))))))/Skills!G7,1)))/Inputs!$B$43),G2731*Q2731))*IF(Inputs!$B$38="pvp",1,(1+(Inputs!$B$21+Skills!P7+B2752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Skills!A8</f>
        <v/>
      </c>
      <c r="B2732">
        <f>Skills!B8</f>
        <v/>
      </c>
      <c r="C2732">
        <f>Inputs!$B$3&gt;=103</f>
        <v/>
      </c>
      <c r="D2732">
        <f>IF(Skills!C8=1,60+Inputs!$B$25+Inputs!$B$29,IF(Skills!C8=2,90+Inputs!$B$26+Inputs!$B$29,IF(Skills!C8=3,120+Inputs!$B$27+Inputs!$B$29,MAX(0,(Inputs!$B$3-100)*3)+Inputs!$B$28+Inputs!$B$29)))</f>
        <v/>
      </c>
      <c r="E2732">
        <f>INDEX(FactorTable!$B$2:$Y$301, MATCH(ROUND(MIN(300,MAX(1,D2732)),0), FactorTable!$A$2:$A$301,0), Skills!L8+1)</f>
        <v/>
      </c>
      <c r="F2732">
        <f>IF(Skills!M8=TRUE,(Skills!K8/10)*(E2732/1000),Skills!K8/10)+Skills!N8</f>
        <v/>
      </c>
      <c r="G2732">
        <f>Calc!G8</f>
        <v/>
      </c>
      <c r="H2732">
        <f>Calc!H8</f>
        <v/>
      </c>
      <c r="I2732">
        <f>IF(Skills!T8&lt;&gt;"",1+(Skills!T8/10)*(Z2727/1000)/100,1)</f>
        <v/>
      </c>
      <c r="J2732">
        <f>((Inputs!$B$6*(1+Inputs!$B$7/100))+(((Inputs!$B$12*(1+Inputs!$B$13/100))-(Inputs!$B$12*(1+Inputs!$B$13/100)))+0.25*(Inputs!$B$14-Inputs!$B$14))*(1+Inputs!$B$7/100))*(F2732/100)</f>
        <v/>
      </c>
      <c r="K2732">
        <f>J2732*(1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8="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F2742-Calc!F18),(Inputs!$B$23+(IF(ArtifactsInput!$M$15,CHOOSE(ArtifactsInput!$N$15+1,25,30,35,40,45,50)/100*(Inputs!$B$11-Inputs!$B$11),0))))/100+(Inputs!$B$23+(IF(ArtifactsInput!$M$15,CHOOSE(ArtifactsInput!$N$15+1,25,30,35,40,45,50)/100*(Inputs!$B$11-Inputs!$B$11),0)))/100)/2</f>
        <v/>
      </c>
      <c r="M2732">
        <f>L2732*(1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(1-Summary!$B$11)*S2732+Summary!$B$11*U2732</f>
        <v/>
      </c>
      <c r="P2732">
        <f>IF(B2761=0,0,O2732/B2761)</f>
        <v/>
      </c>
      <c r="Q2732">
        <f>IFERROR(1/IF(Inputs!$B$38="pvp",15,MAX(0.1,Skills!D8-IF(Skills!E8=TRUE,3.0,0))),0)</f>
        <v/>
      </c>
      <c r="R2732">
        <f>IF(AND(Inputs!$B$38&lt;&gt;"pvp",Inputs!$B$43&gt;0),IF(MAX(0,Inputs!$B$43-B2758)&lt;=0,0,(INT(MAX(0,Inputs!$B$43-B2758)/IF(Inputs!$B$38="pvp",15,MAX(0.1,Skills!D8-IF(Skills!E8=TRUE,3.0,0))))+1)),0)</f>
        <v/>
      </c>
      <c r="S2732">
        <f>IF(C2732,(H2732*N2732*IF(AND(Inputs!$B$38&lt;&gt;"pvp",Inputs!$B$43&gt;0),((Skills!F8*((R2732-1)*IF(Skills!G8&gt;0,Skills!H8/Skills!G8,1)+IF(Skills!G8&gt;0,MIN(Skills!H8,MAX(0,MAX(0,Inputs!$B$43-B2758)-((R2732-1)*IF(Inputs!$B$38="pvp",15,MAX(0.1,Skills!D8-IF(Skills!E8=TRUE,3.0,0))))))/Skills!G8,1)))/Inputs!$B$43),G2732*Q2732))*IF(Inputs!$B$38="pvp",1,1+(Inputs!$B$20+Skills!O8+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2732*(1-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2">
        <f>IF(C2732,(H2732*N2732*IF(AND(Inputs!$B$38&lt;&gt;"pvp",Inputs!$B$43&gt;0),((Skills!F8*((R2732-1)*IF(Skills!G8&gt;0,Skills!H8/Skills!G8,1)+IF(Skills!G8&gt;0,MIN(Skills!H8,MAX(0,MAX(0,Inputs!$B$43-B2758)-((R2732-1)*IF(Inputs!$B$38="pvp",15,MAX(0.1,Skills!D8-IF(Skills!E8=TRUE,3.0,0))))))/Skills!G8,1)))/Inputs!$B$43),G2732*Q2732))*IF(Inputs!$B$38="pvp",1,(1+(Inputs!$B$21+Skills!P8+B2752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Skills!A9</f>
        <v/>
      </c>
      <c r="B2733">
        <f>Skills!B9</f>
        <v/>
      </c>
      <c r="C2733">
        <f>Inputs!$B$3&gt;=105</f>
        <v/>
      </c>
      <c r="D2733">
        <f>IF(Skills!C9=1,60+Inputs!$B$25+Inputs!$B$29,IF(Skills!C9=2,90+Inputs!$B$26+Inputs!$B$29,IF(Skills!C9=3,120+Inputs!$B$27+Inputs!$B$29,MAX(0,(Inputs!$B$3-100)*3)+Inputs!$B$28+Inputs!$B$29)))</f>
        <v/>
      </c>
      <c r="E2733">
        <f>INDEX(FactorTable!$B$2:$Y$301, MATCH(ROUND(MIN(300,MAX(1,D2733)),0), FactorTable!$A$2:$A$301,0), Skills!L9+1)</f>
        <v/>
      </c>
      <c r="F2733">
        <f>IF(Skills!M9=TRUE,(Skills!K9/10)*(E2733/1000),Skills!K9/10)+Skills!N9</f>
        <v/>
      </c>
      <c r="G2733">
        <f>Calc!G9</f>
        <v/>
      </c>
      <c r="H2733">
        <f>Calc!H9</f>
        <v/>
      </c>
      <c r="I2733">
        <f>IF(Skills!T9&lt;&gt;"",1+(Skills!T9/10)*(Z2727/1000)/100,1)</f>
        <v/>
      </c>
      <c r="J2733">
        <f>((Inputs!$B$6*(1+Inputs!$B$7/100))+(((Inputs!$B$12*(1+Inputs!$B$13/100))-(Inputs!$B$12*(1+Inputs!$B$13/100)))+0.25*(Inputs!$B$14-Inputs!$B$14))*(1+Inputs!$B$7/100))*(F2733/100)</f>
        <v/>
      </c>
      <c r="K2733">
        <f>J2733*(1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9="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F2742-Calc!F18),(Inputs!$B$23+(IF(ArtifactsInput!$M$15,CHOOSE(ArtifactsInput!$N$15+1,25,30,35,40,45,50)/100*(Inputs!$B$11-Inputs!$B$11),0))))/100+(Inputs!$B$23+(IF(ArtifactsInput!$M$15,CHOOSE(ArtifactsInput!$N$15+1,25,30,35,40,45,50)/100*(Inputs!$B$11-Inputs!$B$11),0)))/100)/2</f>
        <v/>
      </c>
      <c r="M2733">
        <f>L2733*(1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(1-Summary!$B$11)*S2733+Summary!$B$11*U2733</f>
        <v/>
      </c>
      <c r="P2733">
        <f>IF(B2761=0,0,O2733/B2761)</f>
        <v/>
      </c>
      <c r="Q2733">
        <f>IFERROR(1/IF(Inputs!$B$38="pvp",15,MAX(0.1,Skills!D9-IF(Skills!E9=TRUE,3.0,0))),0)</f>
        <v/>
      </c>
      <c r="R2733">
        <f>IF(AND(Inputs!$B$38&lt;&gt;"pvp",Inputs!$B$43&gt;0),IF(MAX(0,Inputs!$B$43-B2758)&lt;=0,0,(INT(MAX(0,Inputs!$B$43-B2758)/IF(Inputs!$B$38="pvp",15,MAX(0.1,Skills!D9-IF(Skills!E9=TRUE,3.0,0))))+1)),0)</f>
        <v/>
      </c>
      <c r="S2733">
        <f>IF(C2733,(H2733*N2733*IF(AND(Inputs!$B$38&lt;&gt;"pvp",Inputs!$B$43&gt;0),((Skills!F9*((R2733-1)*IF(Skills!G9&gt;0,Skills!H9/Skills!G9,1)+IF(Skills!G9&gt;0,MIN(Skills!H9,MAX(0,MAX(0,Inputs!$B$43-B2758)-((R2733-1)*IF(Inputs!$B$38="pvp",15,MAX(0.1,Skills!D9-IF(Skills!E9=TRUE,3.0,0))))))/Skills!G9,1)))/Inputs!$B$43),G2733*Q2733))*IF(Inputs!$B$38="pvp",1,1+(Inputs!$B$20+Skills!O9+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2733*(1-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IF(C2733,(H2733*N2733*IF(AND(Inputs!$B$38&lt;&gt;"pvp",Inputs!$B$43&gt;0),((Skills!F9*((R2733-1)*IF(Skills!G9&gt;0,Skills!H9/Skills!G9,1)+IF(Skills!G9&gt;0,MIN(Skills!H9,MAX(0,MAX(0,Inputs!$B$43-B2758)-((R2733-1)*IF(Inputs!$B$38="pvp",15,MAX(0.1,Skills!D9-IF(Skills!E9=TRUE,3.0,0))))))/Skills!G9,1)))/Inputs!$B$43),G2733*Q2733))*IF(Inputs!$B$38="pvp",1,(1+(Inputs!$B$21+Skills!P9+B2752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Skills!A10</f>
        <v/>
      </c>
      <c r="B2734">
        <f>Skills!B10</f>
        <v/>
      </c>
      <c r="C2734">
        <f>Inputs!$B$3&gt;=113</f>
        <v/>
      </c>
      <c r="D2734">
        <f>IF(Skills!C10=1,60+Inputs!$B$25+Inputs!$B$29,IF(Skills!C10=2,90+Inputs!$B$26+Inputs!$B$29,IF(Skills!C10=3,120+Inputs!$B$27+Inputs!$B$29,MAX(0,(Inputs!$B$3-100)*3)+Inputs!$B$28+Inputs!$B$29)))</f>
        <v/>
      </c>
      <c r="E2734">
        <f>INDEX(FactorTable!$B$2:$Y$301, MATCH(ROUND(MIN(300,MAX(1,D2734)),0), FactorTable!$A$2:$A$301,0), Skills!L10+1)</f>
        <v/>
      </c>
      <c r="F2734">
        <f>IF(Skills!M10=TRUE,(Skills!K10/10)*(E2734/1000),Skills!K10/10)+Skills!N10</f>
        <v/>
      </c>
      <c r="G2734">
        <f>Calc!G10</f>
        <v/>
      </c>
      <c r="H2734">
        <f>Calc!H10</f>
        <v/>
      </c>
      <c r="I2734">
        <f>IF(Skills!T10&lt;&gt;"",1+(Skills!T10/10)*(Z2727/1000)/100,1)</f>
        <v/>
      </c>
      <c r="J2734">
        <f>((Inputs!$B$6*(1+Inputs!$B$7/100))+(((Inputs!$B$12*(1+Inputs!$B$13/100))-(Inputs!$B$12*(1+Inputs!$B$13/100)))+0.25*(Inputs!$B$14-Inputs!$B$14))*(1+Inputs!$B$7/100))*(F2734/100)</f>
        <v/>
      </c>
      <c r="K2734">
        <f>J2734*(1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10="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2742-Calc!F18),(Inputs!$B$23+(IF(ArtifactsInput!$M$15,CHOOSE(ArtifactsInput!$N$15+1,25,30,35,40,45,50)/100*(Inputs!$B$11-Inputs!$B$11),0))))/100+(Inputs!$B$23+(IF(ArtifactsInput!$M$15,CHOOSE(ArtifactsInput!$N$15+1,25,30,35,40,45,50)/100*(Inputs!$B$11-Inputs!$B$11),0)))/100)/2</f>
        <v/>
      </c>
      <c r="M2734">
        <f>L2734*(1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IF(B2761=0,0,O2734/B2761)</f>
        <v/>
      </c>
      <c r="Q2734">
        <f>IFERROR(1/IF(Inputs!$B$38="pvp",15,MAX(0.1,Skills!D10-IF(Skills!E9=TRUE,3.0,0))),0)</f>
        <v/>
      </c>
      <c r="R2734">
        <f>IF(AND(Inputs!$B$38&lt;&gt;"pvp",Inputs!$B$43&gt;0),IF(MAX(0,Inputs!$B$43-B2758)&lt;=0,0,(INT(MAX(0,Inputs!$B$43-B2758)/IF(Inputs!$B$38="pvp",15,MAX(0.1,Skills!D10-IF(Skills!E9=TRUE,3.0,0))))+1)),0)</f>
        <v/>
      </c>
      <c r="S2734">
        <f>IF(C2734,(H2734*N2734*IF(AND(Inputs!$B$38&lt;&gt;"pvp",Inputs!$B$43&gt;0),((Skills!F10*((R2734-1)*IF(Skills!G10&gt;0,Skills!H10/Skills!G10,1)+IF(Skills!G10&gt;0,MIN(Skills!H10,MAX(0,MAX(0,Inputs!$B$43-B2758)-((R2734-1)*IF(Inputs!$B$38="pvp",15,MAX(0.1,Skills!D10-IF(Skills!E9=TRUE,3.0,0))))))/Skills!G10,1)))/Inputs!$B$43),G2734*Q2734))*IF(Inputs!$B$38="pvp",1,1+(Inputs!$B$20+Skills!O10+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F10*((R2734-1)*IF(Skills!G10&gt;0,Skills!H10/Skills!G10,1)+IF(Skills!G10&gt;0,MIN(Skills!H10,MAX(0,MAX(0,Inputs!$B$43-B2758)-((R2734-1)*IF(Inputs!$B$38="pvp",15,MAX(0.1,Skills!D10-IF(Skills!E9=TRUE,3.0,0))))))/Skills!G10,1)))/Inputs!$B$43),G2734*Q2734))*IF(Inputs!$B$38="pvp",1,(1+(Inputs!$B$21+Skills!P10+B2752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Skills!A11</f>
        <v/>
      </c>
      <c r="B2735">
        <f>Skills!B11</f>
        <v/>
      </c>
      <c r="C2735">
        <f>Inputs!$B$3&gt;=107</f>
        <v/>
      </c>
      <c r="D2735">
        <f>IF(Skills!C11=1,60+Inputs!$B$25+Inputs!$B$29,IF(Skills!C11=2,90+Inputs!$B$26+Inputs!$B$29,IF(Skills!C11=3,120+Inputs!$B$27+Inputs!$B$29,MAX(0,(Inputs!$B$3-100)*3)+Inputs!$B$28+Inputs!$B$29)))</f>
        <v/>
      </c>
      <c r="E2735">
        <f>INDEX(FactorTable!$B$2:$Y$301, MATCH(ROUND(MIN(300,MAX(1,D2735)),0), FactorTable!$A$2:$A$301,0), Skills!L11+1)</f>
        <v/>
      </c>
      <c r="F2735">
        <f>IF(Skills!M11=TRUE,(Skills!K11/10)*(E2735/1000),Skills!K11/10)+Skills!N11</f>
        <v/>
      </c>
      <c r="G2735">
        <f>Calc!G11</f>
        <v/>
      </c>
      <c r="H2735">
        <f>Calc!H11</f>
        <v/>
      </c>
      <c r="I2735">
        <f>IF(Skills!T11&lt;&gt;"",1+(Skills!T11/10)*(Z2727/1000)/100,1)</f>
        <v/>
      </c>
      <c r="J2735">
        <f>((Inputs!$B$6*(1+Inputs!$B$7/100))+(((Inputs!$B$12*(1+Inputs!$B$13/100))-(Inputs!$B$12*(1+Inputs!$B$13/100)))+0.25*(Inputs!$B$14-Inputs!$B$14))*(1+Inputs!$B$7/100))*(F2735/100)</f>
        <v/>
      </c>
      <c r="K2735">
        <f>J2735*(1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11="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F2742-Calc!F18),(Inputs!$B$23+(IF(ArtifactsInput!$M$15,CHOOSE(ArtifactsInput!$N$15+1,25,30,35,40,45,50)/100*(Inputs!$B$11-Inputs!$B$11),0))))/100+(Inputs!$B$23+(IF(ArtifactsInput!$M$15,CHOOSE(ArtifactsInput!$N$15+1,25,30,35,40,45,50)/100*(Inputs!$B$11-Inputs!$B$11),0)))/100)/2</f>
        <v/>
      </c>
      <c r="M2735">
        <f>L2735*(1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(1-Summary!$B$11)*S2735+Summary!$B$11*U2735</f>
        <v/>
      </c>
      <c r="P2735">
        <f>IF(B2761=0,0,O2735/B2761)</f>
        <v/>
      </c>
      <c r="Q2735">
        <f>IFERROR(1/IF(Inputs!$B$38="pvp",15,MAX(0.1,Skills!D11-IF(Skills!E11=TRUE,3.0,0))),0)</f>
        <v/>
      </c>
      <c r="R2735">
        <f>IF(AND(Inputs!$B$38&lt;&gt;"pvp",Inputs!$B$43&gt;0),IF(MAX(0,Inputs!$B$43-B2758)&lt;=0,0,(INT(MAX(0,Inputs!$B$43-B2758)/IF(Inputs!$B$38="pvp",15,MAX(0.1,Skills!D11-IF(Skills!E11=TRUE,3.0,0))))+1)),0)</f>
        <v/>
      </c>
      <c r="S2735">
        <f>IF(C2735,H2735*N2735*IF(AND(Inputs!$B$38&lt;&gt;"pvp",Inputs!$B$43&gt;0),((Skills!F11*((R2735-1)*IF(Skills!G11&gt;0,Skills!H11/Skills!G11,1)+IF(Skills!G11&gt;0,MIN(Skills!H11,MAX(0,MAX(0,Inputs!$B$43-B2758)-((R2735-1)*IF(Inputs!$B$38="pvp",15,MAX(0.1,Skills!D11-IF(Skills!E11=TRUE,3.0,0))))))/Skills!G11,1)))/Inputs!$B$43),G2735*Q2735)*0.5*IF(Inputs!$B$38="pvp",1,1+(Inputs!$B$20+Skills!O11+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2735*(1-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IF(C2735,H2735*N2735*IF(AND(Inputs!$B$38&lt;&gt;"pvp",Inputs!$B$43&gt;0),((Skills!F11*((R2735-1)*IF(Skills!G11&gt;0,Skills!H11/Skills!G11,1)+IF(Skills!G11&gt;0,MIN(Skills!H11,MAX(0,MAX(0,Inputs!$B$43-B2758)-((R2735-1)*IF(Inputs!$B$38="pvp",15,MAX(0.1,Skills!D11-IF(Skills!E11=TRUE,3.0,0))))))/Skills!G11,1)))/Inputs!$B$43),G2735*Q2735)*1*IF(Inputs!$B$38="pvp",1,(1+(Inputs!$B$21+Skills!P11+B2752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Skills!A12</f>
        <v/>
      </c>
      <c r="B2736">
        <f>Skills!B12</f>
        <v/>
      </c>
      <c r="C2736">
        <f>Inputs!$B$3&gt;=115</f>
        <v/>
      </c>
      <c r="D2736">
        <f>IF(Skills!C12=1,60+Inputs!$B$25+Inputs!$B$29,IF(Skills!C12=2,90+Inputs!$B$26+Inputs!$B$29,IF(Skills!C12=3,120+Inputs!$B$27+Inputs!$B$29,MAX(0,(Inputs!$B$3-100)*3)+Inputs!$B$28+Inputs!$B$29)))</f>
        <v/>
      </c>
      <c r="E2736">
        <f>INDEX(FactorTable!$B$2:$Y$301, MATCH(ROUND(MIN(300,MAX(1,D2736)),0), FactorTable!$A$2:$A$301,0), Skills!L12+1)</f>
        <v/>
      </c>
      <c r="F2736">
        <f>IF(Skills!M12=TRUE,(Skills!K12/10)*(E2736/1000),Skills!K12/10)+Skills!N12</f>
        <v/>
      </c>
      <c r="G2736">
        <f>Calc!G12</f>
        <v/>
      </c>
      <c r="H2736">
        <f>Calc!H12</f>
        <v/>
      </c>
      <c r="I2736">
        <f>IF(Skills!T12&lt;&gt;"",1+(Skills!T12/10)*(Z2727/1000)/100,1)</f>
        <v/>
      </c>
      <c r="J2736">
        <f>((Inputs!$B$6*(1+Inputs!$B$7/100))+(((Inputs!$B$12*(1+Inputs!$B$13/100))-(Inputs!$B$12*(1+Inputs!$B$13/100)))+0.25*(Inputs!$B$14-Inputs!$B$14))*(1+Inputs!$B$7/100))*(F2736/100)</f>
        <v/>
      </c>
      <c r="K2736">
        <f>J2736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12="CHAIN_LIGHTNING",Inputs!$B$17+((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F2742-Calc!F18),(Inputs!$B$23+(IF(ArtifactsInput!$M$15,CHOOSE(ArtifactsInput!$N$15+1,25,30,35,40,45,50)/100*(Inputs!$B$11-Inputs!$B$11),0))))/100+(Inputs!$B$23+(IF(ArtifactsInput!$M$15,CHOOSE(ArtifactsInput!$N$15+1,25,30,35,40,45,50)/100*(Inputs!$B$11-Inputs!$B$11),0)))/100)/2</f>
        <v/>
      </c>
      <c r="M2736">
        <f>L2736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(1-Summary!$B$11)*S2736+Summary!$B$11*U2736</f>
        <v/>
      </c>
      <c r="P2736">
        <f>IF(B2761=0,0,O2736/B2761)</f>
        <v/>
      </c>
      <c r="Q2736">
        <f>IFERROR(1/IF(Inputs!$B$38="pvp",15,MAX(0.1,Skills!D12-IF(Skills!E12=TRUE,3.0,0))),0)</f>
        <v/>
      </c>
      <c r="R2736">
        <f>IF(AND(Inputs!$B$38&lt;&gt;"pvp",Inputs!$B$43&gt;0),IF(MAX(0,Inputs!$B$43-B2758)&lt;=0,0,(INT(MAX(0,Inputs!$B$43-B2758)/IF(Inputs!$B$38="pvp",15,MAX(0.1,Skills!D12-IF(Skills!E12=TRUE,3.0,0))))+1)),0)</f>
        <v/>
      </c>
      <c r="S2736">
        <f>IF(C2736,(H2736*N2736*IF(AND(Inputs!$B$38&lt;&gt;"pvp",Inputs!$B$43&gt;0),((Skills!F12*((R2736-1)*IF(Skills!G12&gt;0,Skills!H12/Skills!G12,1)+IF(Skills!G12&gt;0,MIN(Skills!H12,MAX(0,MAX(0,Inputs!$B$43-B2758)-((R2736-1)*IF(Inputs!$B$38="pvp",15,MAX(0.1,Skills!D12-IF(Skills!E12=TRUE,3.0,0))))))/Skills!G12,1)))/Inputs!$B$43),G2736*Q2736))*IF(Inputs!$B$38="pvp",1,1+(Inputs!$B$20+Skills!O12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2736*(1-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F2744-Calc!F20)+(F2743-Calc!F19))+(ArtifactsInput!$M$24-ArtifactsInput!$M$24)*CHOOSE(ArtifactsInput!$N$24+1,10,12,14,16,18,20)+(IF(AND(Inputs!$B$38&lt;&gt;"pvp",Inputs!$B$43=0),1,IF(IF(Inputs!$B$38="pvp",15,Inputs!$B$43)-(B2758)&lt;=0,1,MAX(0,IF(Inputs!$B$38="pvp",15,Inputs!$B$43)-MAX(5,B2758))/(IF(Inputs!$B$38="pvp",15,Inputs!$B$43)-(B2758)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6">
        <f>IF(C2736,(H2736*N2736*IF(AND(Inputs!$B$38&lt;&gt;"pvp",Inputs!$B$43&gt;0),((Skills!F12*((R2736-1)*IF(Skills!G12&gt;0,Skills!H12/Skills!G12,1)+IF(Skills!G12&gt;0,MIN(Skills!H12,MAX(0,MAX(0,Inputs!$B$43-B2758)-((R2736-1)*IF(Inputs!$B$38="pvp",15,MAX(0.1,Skills!D12-IF(Skills!E12=TRUE,3.0,0))))))/Skills!G12,1)))/Inputs!$B$43),G2736*Q2736))*IF(Inputs!$B$38="pvp",1,(1+(Inputs!$B$21+Skills!P12+B2752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Skills!A13</f>
        <v/>
      </c>
      <c r="B2737">
        <f>Skills!B13</f>
        <v/>
      </c>
      <c r="C2737">
        <f>Inputs!$B$3&gt;=49</f>
        <v/>
      </c>
      <c r="D2737">
        <f>IF(Skills!C13=1,60+Inputs!$B$25+Inputs!$B$29,IF(Skills!C13=2,90+Inputs!$B$26+Inputs!$B$29,IF(Skills!C13=3,120+Inputs!$B$27+Inputs!$B$29,MAX(0,(Inputs!$B$3-100)*3)+Inputs!$B$28+Inputs!$B$29)))</f>
        <v/>
      </c>
      <c r="E2737">
        <f>INDEX(FactorTable!$B$2:$Y$301, MATCH(ROUND(MIN(300,MAX(1,D2737)),0), FactorTable!$A$2:$A$301,0), Skills!L13+1)</f>
        <v/>
      </c>
      <c r="F2737">
        <f>IF(Skills!M13=TRUE,(Skills!K13/10)*(E2737/1000),Skills!K13/10)+Skills!N13</f>
        <v/>
      </c>
      <c r="G2737">
        <f>Calc!G13</f>
        <v/>
      </c>
      <c r="H2737">
        <f>Calc!H13</f>
        <v/>
      </c>
      <c r="I2737">
        <f>IF(Skills!T13&lt;&gt;"",1+(Skills!T13/10)*(Z2727/1000)/100,1)</f>
        <v/>
      </c>
      <c r="J2737" t="inlineStr"/>
      <c r="K2737" t="inlineStr"/>
      <c r="L2737" t="inlineStr"/>
      <c r="M2737" t="inlineStr"/>
      <c r="N2737" t="inlineStr"/>
      <c r="O2737">
        <f>(1-Summary!$B$11)*S2737+Summary!$B$11*U2737</f>
        <v/>
      </c>
      <c r="P2737">
        <f>IF(B2761=0,0,O2737/B2761)</f>
        <v/>
      </c>
      <c r="Q2737">
        <f>IFERROR(1/IF(Inputs!$B$38="pvp",15,MAX(0.1,Skills!D13-IF(Skills!E13=TRUE,3.0,0))),0)</f>
        <v/>
      </c>
      <c r="R2737" t="n">
        <v>0</v>
      </c>
      <c r="S2737" t="n">
        <v>0</v>
      </c>
      <c r="U2737" t="n">
        <v>0</v>
      </c>
    </row>
    <row r="2738">
      <c r="A2738">
        <f>Skills!A14</f>
        <v/>
      </c>
      <c r="B2738">
        <f>Skills!B14</f>
        <v/>
      </c>
      <c r="C2738">
        <f>Inputs!$B$3&gt;=72</f>
        <v/>
      </c>
      <c r="D2738">
        <f>IF(Skills!C14=1,60+Inputs!$B$25+Inputs!$B$29,IF(Skills!C14=2,90+Inputs!$B$26+Inputs!$B$29,IF(Skills!C14=3,120+Inputs!$B$27+Inputs!$B$29,MAX(0,(Inputs!$B$3-100)*3)+Inputs!$B$28+Inputs!$B$29)))</f>
        <v/>
      </c>
      <c r="E2738">
        <f>INDEX(FactorTable!$B$2:$Y$301, MATCH(ROUND(MIN(300,MAX(1,D2738)),0), FactorTable!$A$2:$A$301,0), Skills!L14+1)</f>
        <v/>
      </c>
      <c r="F2738">
        <f>IF(Skills!M14=TRUE,(Skills!K14/10)*(E2738/1000),Skills!K14/10)+Skills!N14</f>
        <v/>
      </c>
      <c r="G2738">
        <f>Calc!G14</f>
        <v/>
      </c>
      <c r="H2738">
        <f>Calc!H14</f>
        <v/>
      </c>
      <c r="I2738">
        <f>IF(Skills!T14&lt;&gt;"",1+(Skills!T14/10)*(Z2727/1000)/100,1)</f>
        <v/>
      </c>
      <c r="J2738" t="inlineStr"/>
      <c r="K2738" t="inlineStr"/>
      <c r="L2738" t="inlineStr"/>
      <c r="M2738" t="inlineStr"/>
      <c r="N2738" t="inlineStr"/>
      <c r="O2738">
        <f>(1-Summary!$B$11)*S2738+Summary!$B$11*U2738</f>
        <v/>
      </c>
      <c r="P2738">
        <f>IF(B2761=0,0,O2738/B2761)</f>
        <v/>
      </c>
      <c r="Q2738">
        <f>IFERROR(1/IF(Inputs!$B$38="pvp",15,MAX(0.1,Skills!D14-IF(Skills!E14=TRUE,3.0,0))),0)</f>
        <v/>
      </c>
      <c r="R2738" t="n">
        <v>0</v>
      </c>
      <c r="S2738" t="n">
        <v>0</v>
      </c>
      <c r="U2738" t="n">
        <v>0</v>
      </c>
    </row>
    <row r="2739">
      <c r="A2739">
        <f>Skills!A15</f>
        <v/>
      </c>
      <c r="B2739">
        <f>Skills!B15</f>
        <v/>
      </c>
      <c r="C2739">
        <f>Inputs!$B$3&gt;=75</f>
        <v/>
      </c>
      <c r="D2739">
        <f>IF(Skills!C15=1,60+Inputs!$B$25+Inputs!$B$29,IF(Skills!C15=2,90+Inputs!$B$26+Inputs!$B$29,IF(Skills!C15=3,120+Inputs!$B$27+Inputs!$B$29,MAX(0,(Inputs!$B$3-100)*3)+Inputs!$B$28+Inputs!$B$29)))</f>
        <v/>
      </c>
      <c r="E2739">
        <f>INDEX(FactorTable!$B$2:$Y$301, MATCH(ROUND(MIN(300,MAX(1,D2739)),0), FactorTable!$A$2:$A$301,0), Skills!L15+1)</f>
        <v/>
      </c>
      <c r="F2739">
        <f>IF(Skills!M15=TRUE,(Skills!K15/10)*(E2739/1000),Skills!K15/10)+Skills!N15</f>
        <v/>
      </c>
      <c r="G2739">
        <f>Calc!G15</f>
        <v/>
      </c>
      <c r="H2739">
        <f>Calc!H15</f>
        <v/>
      </c>
      <c r="I2739">
        <f>IF(Skills!T15&lt;&gt;"",1+(Skills!T15/10)*(Z2727/1000)/100,1)</f>
        <v/>
      </c>
      <c r="J2739" t="inlineStr"/>
      <c r="K2739" t="inlineStr"/>
      <c r="L2739" t="inlineStr"/>
      <c r="M2739" t="inlineStr"/>
      <c r="N2739" t="inlineStr"/>
      <c r="O2739">
        <f>(1-Summary!$B$11)*S2739+Summary!$B$11*U2739</f>
        <v/>
      </c>
      <c r="P2739">
        <f>IF(B2761=0,0,O2739/B2761)</f>
        <v/>
      </c>
      <c r="Q2739">
        <f>IFERROR(1/IF(Inputs!$B$38="pvp",15,MAX(0.1,Skills!D15-IF(Skills!E15=TRUE,3.0,0))),0)</f>
        <v/>
      </c>
      <c r="R2739" t="n">
        <v>0</v>
      </c>
      <c r="S2739" t="n">
        <v>0</v>
      </c>
      <c r="U2739" t="n">
        <v>0</v>
      </c>
    </row>
    <row r="2740">
      <c r="A2740">
        <f>Skills!A16</f>
        <v/>
      </c>
      <c r="B2740">
        <f>Skills!B16</f>
        <v/>
      </c>
      <c r="C2740">
        <f>Inputs!$B$3&gt;=110</f>
        <v/>
      </c>
      <c r="D2740">
        <f>IF(Skills!C16=1,60+Inputs!$B$25+Inputs!$B$29,IF(Skills!C16=2,90+Inputs!$B$26+Inputs!$B$29,IF(Skills!C16=3,120+Inputs!$B$27+Inputs!$B$29,MAX(0,(Inputs!$B$3-100)*3)+Inputs!$B$28+Inputs!$B$29)))</f>
        <v/>
      </c>
      <c r="E2740">
        <f>INDEX(FactorTable!$B$2:$Y$301, MATCH(ROUND(MIN(300,MAX(1,D2740)),0), FactorTable!$A$2:$A$301,0), Skills!L16+1)</f>
        <v/>
      </c>
      <c r="F2740">
        <f>(Skills!K16/10)*(E2740/1000)*64/45+Skills!N16</f>
        <v/>
      </c>
      <c r="G2740">
        <f>Calc!G16</f>
        <v/>
      </c>
      <c r="H2740">
        <f>Calc!H16</f>
        <v/>
      </c>
      <c r="I2740">
        <f>IF(Skills!T16&lt;&gt;"",1+(Skills!T16/10)*(Z2727/1000)/100,1)</f>
        <v/>
      </c>
      <c r="J2740" t="inlineStr"/>
      <c r="K2740" t="inlineStr"/>
      <c r="L2740" t="inlineStr"/>
      <c r="M2740" t="inlineStr"/>
      <c r="N2740" t="inlineStr"/>
      <c r="O2740">
        <f>(1-Summary!$B$11)*S2740+Summary!$B$11*U2740</f>
        <v/>
      </c>
      <c r="P2740">
        <f>IF(B2761=0,0,O2740/B2761)</f>
        <v/>
      </c>
      <c r="Q2740">
        <f>IFERROR(1/IF(Inputs!$B$38="pvp",15,MAX(0.1,Skills!D16-IF(Skills!E16=TRUE,3.0,0))),0)</f>
        <v/>
      </c>
      <c r="R2740">
        <f>IF(AND(Inputs!$B$38&lt;&gt;"pvp",Inputs!$B$43&gt;0),IF(Inputs!$B$43&lt;=0,0,(INT(Inputs!$B$43/IF(Inputs!$B$38="pvp",15,MAX(0.1,Skills!D16-IF(Skills!E16=TRUE,3.0,0))))+1)),0)</f>
        <v/>
      </c>
      <c r="S2740" t="n">
        <v>0</v>
      </c>
      <c r="U2740" t="n">
        <v>0</v>
      </c>
    </row>
    <row r="2741">
      <c r="A2741">
        <f>Skills!A17</f>
        <v/>
      </c>
      <c r="B2741">
        <f>Skills!B17</f>
        <v/>
      </c>
      <c r="C2741">
        <f>Inputs!$B$3&gt;=33</f>
        <v/>
      </c>
      <c r="D2741">
        <f>IF(Skills!C17=1,60+Inputs!$B$25+Inputs!$B$29,IF(Skills!C17=2,90+Inputs!$B$26+Inputs!$B$29,IF(Skills!C17=3,120+Inputs!$B$27+Inputs!$B$29,MAX(0,(Inputs!$B$3-100)*3)+Inputs!$B$28+Inputs!$B$29)))</f>
        <v/>
      </c>
      <c r="E2741">
        <f>INDEX(FactorTable!$B$2:$Y$301, MATCH(ROUND(MIN(300,MAX(1,D2741)),0), FactorTable!$A$2:$A$301,0), Skills!L17+1)</f>
        <v/>
      </c>
      <c r="F2741">
        <f>IF(Skills!M17=TRUE,(Skills!K17/10)*(E2741/1000),Skills!K17/10)+Skills!N17</f>
        <v/>
      </c>
      <c r="G2741">
        <f>Calc!G17</f>
        <v/>
      </c>
      <c r="H2741">
        <f>Calc!H17</f>
        <v/>
      </c>
      <c r="I2741">
        <f>IF(Skills!T17&lt;&gt;"",1+(Skills!T17/10)*(Z2727/1000)/100,1)</f>
        <v/>
      </c>
      <c r="J2741" t="inlineStr"/>
      <c r="K2741" t="inlineStr"/>
      <c r="L2741" t="inlineStr"/>
      <c r="M2741" t="inlineStr"/>
      <c r="N2741" t="inlineStr"/>
      <c r="O2741">
        <f>(1-Summary!$B$11)*S2741+Summary!$B$11*U2741</f>
        <v/>
      </c>
      <c r="P2741">
        <f>IF(B2761=0,0,O2741/B2761)</f>
        <v/>
      </c>
      <c r="Q2741">
        <f>IFERROR(1/IF(Inputs!$B$38="pvp",15,MAX(0.1,Skills!D17-IF(Skills!E17=TRUE,3.0,0))),0)</f>
        <v/>
      </c>
      <c r="R2741" t="n">
        <v>0</v>
      </c>
      <c r="S2741" t="n">
        <v>0</v>
      </c>
      <c r="U2741" t="n">
        <v>0</v>
      </c>
    </row>
    <row r="2742">
      <c r="A2742">
        <f>Skills!A18</f>
        <v/>
      </c>
      <c r="B2742">
        <f>Skills!B18</f>
        <v/>
      </c>
      <c r="C2742">
        <f>Inputs!$B$3&gt;=43</f>
        <v/>
      </c>
      <c r="D2742">
        <f>IF(Skills!C18=1,60+Inputs!$B$25+Inputs!$B$29,IF(Skills!C18=2,90+Inputs!$B$26+Inputs!$B$29,IF(Skills!C18=3,120+Inputs!$B$27+Inputs!$B$29,MAX(0,(Inputs!$B$3-100)*3)+Inputs!$B$28+Inputs!$B$29)))</f>
        <v/>
      </c>
      <c r="E2742">
        <f>INDEX(FactorTable!$B$2:$Y$301, MATCH(ROUND(MIN(300,MAX(1,D2742)),0), FactorTable!$A$2:$A$301,0), Skills!L18+1)</f>
        <v/>
      </c>
      <c r="F2742">
        <f>IF(Skills!M18=TRUE,(Skills!K18/10)*(E2742/1000),Skills!K18/10)+Skills!N18</f>
        <v/>
      </c>
      <c r="G2742">
        <f>Calc!G18</f>
        <v/>
      </c>
      <c r="H2742">
        <f>Calc!H18</f>
        <v/>
      </c>
      <c r="I2742">
        <f>IF(Skills!T18&lt;&gt;"",1+(Skills!T18/10)*(Z2727/1000)/100,1)</f>
        <v/>
      </c>
      <c r="J2742" t="inlineStr"/>
      <c r="K2742" t="inlineStr"/>
      <c r="L2742" t="inlineStr"/>
      <c r="M2742" t="inlineStr"/>
      <c r="N2742" t="inlineStr"/>
      <c r="O2742">
        <f>(1-Summary!$B$11)*S2742+Summary!$B$11*U2742</f>
        <v/>
      </c>
      <c r="P2742">
        <f>IF(B2761=0,0,O2742/B2761)</f>
        <v/>
      </c>
      <c r="Q2742">
        <f>IFERROR(1/IF(Inputs!$B$38="pvp",15,MAX(0.1,Skills!D18-IF(Skills!E18=TRUE,3.0,0))),0)</f>
        <v/>
      </c>
      <c r="R2742" t="n">
        <v>0</v>
      </c>
      <c r="S2742" t="n">
        <v>0</v>
      </c>
      <c r="U2742" t="n">
        <v>0</v>
      </c>
    </row>
    <row r="2743">
      <c r="A2743">
        <f>Skills!A19</f>
        <v/>
      </c>
      <c r="B2743">
        <f>Skills!B19</f>
        <v/>
      </c>
      <c r="C2743">
        <f>Inputs!$B$3&gt;=50</f>
        <v/>
      </c>
      <c r="D2743">
        <f>IF(Skills!C19=1,60+Inputs!$B$25+Inputs!$B$29,IF(Skills!C19=2,90+Inputs!$B$26+Inputs!$B$29,IF(Skills!C19=3,120+Inputs!$B$27+Inputs!$B$29,MAX(0,(Inputs!$B$3-100)*3)+Inputs!$B$28+Inputs!$B$29)))</f>
        <v/>
      </c>
      <c r="E2743">
        <f>INDEX(FactorTable!$B$2:$Y$301, MATCH(ROUND(MIN(300,MAX(1,D2743)),0), FactorTable!$A$2:$A$301,0), Skills!L19+1)</f>
        <v/>
      </c>
      <c r="F2743">
        <f>IF(Skills!M19=TRUE,(Skills!K19/10)*(E2743/1000),Skills!K19/10)+Skills!N19</f>
        <v/>
      </c>
      <c r="G2743">
        <f>Calc!G19</f>
        <v/>
      </c>
      <c r="H2743">
        <f>Calc!H19</f>
        <v/>
      </c>
      <c r="I2743">
        <f>IF(Skills!T19&lt;&gt;"",1+(Skills!T19/10)*(Z2727/1000)/100,1)</f>
        <v/>
      </c>
      <c r="J2743" t="inlineStr"/>
      <c r="K2743" t="inlineStr"/>
      <c r="L2743" t="inlineStr"/>
      <c r="M2743" t="inlineStr"/>
      <c r="N2743" t="inlineStr"/>
      <c r="O2743">
        <f>(1-Summary!$B$11)*S2743+Summary!$B$11*U2743</f>
        <v/>
      </c>
      <c r="P2743">
        <f>IF(B2761=0,0,O2743/B2761)</f>
        <v/>
      </c>
      <c r="Q2743">
        <f>IFERROR(1/IF(Inputs!$B$38="pvp",15,MAX(0.1,Skills!D19-IF(Skills!E19=TRUE,3.0,0))),0)</f>
        <v/>
      </c>
      <c r="R2743" t="n">
        <v>0</v>
      </c>
      <c r="S2743" t="n">
        <v>0</v>
      </c>
      <c r="U2743" t="n">
        <v>0</v>
      </c>
    </row>
    <row r="2744">
      <c r="A2744">
        <f>Skills!A20</f>
        <v/>
      </c>
      <c r="B2744">
        <f>Skills!B20</f>
        <v/>
      </c>
      <c r="C2744">
        <f>Inputs!$B$3&gt;=74</f>
        <v/>
      </c>
      <c r="D2744">
        <f>IF(Skills!C20=1,60+Inputs!$B$25+Inputs!$B$29,IF(Skills!C20=2,90+Inputs!$B$26+Inputs!$B$29,IF(Skills!C20=3,120+Inputs!$B$27+Inputs!$B$29,MAX(0,(Inputs!$B$3-100)*3)+Inputs!$B$28+Inputs!$B$29)))</f>
        <v/>
      </c>
      <c r="E2744">
        <f>INDEX(FactorTable!$B$2:$Y$301, MATCH(ROUND(MIN(300,MAX(1,D2744)),0), FactorTable!$A$2:$A$301,0), Skills!L20+1)</f>
        <v/>
      </c>
      <c r="F2744">
        <f>IF(Skills!M20=TRUE,(Skills!K20/10)*(E2744/1000),Skills!K20/10)+Skills!N20</f>
        <v/>
      </c>
      <c r="G2744">
        <f>Calc!G20</f>
        <v/>
      </c>
      <c r="H2744">
        <f>Calc!H20</f>
        <v/>
      </c>
      <c r="I2744">
        <f>IF(Skills!T20&lt;&gt;"",1+(Skills!T20/10)*(Z2727/1000)/100,1)</f>
        <v/>
      </c>
      <c r="J2744" t="inlineStr"/>
      <c r="K2744" t="inlineStr"/>
      <c r="L2744" t="inlineStr"/>
      <c r="M2744" t="inlineStr"/>
      <c r="N2744" t="inlineStr"/>
      <c r="O2744">
        <f>(1-Summary!$B$11)*S2744+Summary!$B$11*U2744</f>
        <v/>
      </c>
      <c r="P2744">
        <f>IF(B2761=0,0,O2744/B2761)</f>
        <v/>
      </c>
      <c r="Q2744">
        <f>IFERROR(1/IF(Inputs!$B$38="pvp",15,MAX(0.1,Skills!D20-IF(Skills!E20=TRUE,3.0,0))),0)</f>
        <v/>
      </c>
      <c r="R2744" t="n">
        <v>0</v>
      </c>
      <c r="S2744" t="n">
        <v>0</v>
      </c>
      <c r="U2744" t="n">
        <v>0</v>
      </c>
    </row>
    <row r="2745">
      <c r="A2745">
        <f>Skills!A21</f>
        <v/>
      </c>
      <c r="B2745">
        <f>Skills!B21</f>
        <v/>
      </c>
      <c r="C2745">
        <f>Inputs!$B$3&gt;=74</f>
        <v/>
      </c>
      <c r="D2745">
        <f>IF(Skills!C21=1,60+Inputs!$B$25+Inputs!$B$29,IF(Skills!C21=2,90+Inputs!$B$26+Inputs!$B$29,IF(Skills!C21=3,120+Inputs!$B$27+Inputs!$B$29,MAX(0,(Inputs!$B$3-100)*3)+Inputs!$B$28+Inputs!$B$29)))</f>
        <v/>
      </c>
      <c r="E2745">
        <f>INDEX(FactorTable!$B$2:$Y$301, MATCH(ROUND(MIN(300,MAX(1,D2745)),0), FactorTable!$A$2:$A$301,0), Skills!L21+1)</f>
        <v/>
      </c>
      <c r="F2745">
        <f>IF(Skills!M21=TRUE,(Skills!K21/10)*(E2745/1000),Skills!K21/10)+Skills!N21</f>
        <v/>
      </c>
      <c r="G2745">
        <f>Calc!G21</f>
        <v/>
      </c>
      <c r="H2745">
        <f>Calc!H21</f>
        <v/>
      </c>
      <c r="I2745">
        <f>IF(Skills!T21&lt;&gt;"",1+(Skills!T21/10)*(Z2727/1000)/100,1)</f>
        <v/>
      </c>
      <c r="J2745" t="inlineStr"/>
      <c r="K2745" t="inlineStr"/>
      <c r="L2745" t="inlineStr"/>
      <c r="M2745" t="inlineStr"/>
      <c r="N2745" t="inlineStr"/>
      <c r="O2745">
        <f>(1-Summary!$B$11)*S2745+Summary!$B$11*U2745</f>
        <v/>
      </c>
      <c r="P2745">
        <f>IF(B2761=0,0,O2745/B2761)</f>
        <v/>
      </c>
      <c r="Q2745">
        <f>IFERROR(1/IF(Inputs!$B$38="pvp",15,MAX(0.1,Skills!D21-IF(Skills!E21=TRUE,3.0,0))),0)</f>
        <v/>
      </c>
      <c r="R2745" t="n">
        <v>0</v>
      </c>
      <c r="S2745" t="n">
        <v>0</v>
      </c>
      <c r="U2745" t="n">
        <v>0</v>
      </c>
    </row>
    <row r="2746">
      <c r="A2746">
        <f>Skills!A22</f>
        <v/>
      </c>
      <c r="B2746">
        <f>Skills!B22</f>
        <v/>
      </c>
      <c r="C2746">
        <f>Inputs!$B$3&gt;=117</f>
        <v/>
      </c>
      <c r="D2746">
        <f>IF(Skills!C22=1,60+Inputs!$B$25+Inputs!$B$29,IF(Skills!C22=2,90+Inputs!$B$26+Inputs!$B$29,IF(Skills!C22=3,120+Inputs!$B$27+Inputs!$B$29,MAX(0,(Inputs!$B$3-100)*3)+Inputs!$B$28+Inputs!$B$29)))</f>
        <v/>
      </c>
      <c r="E2746">
        <f>INDEX(FactorTable!$B$2:$Y$301, MATCH(ROUND(MIN(300,MAX(1,D2746)),0), FactorTable!$A$2:$A$301,0), Skills!L22+1)</f>
        <v/>
      </c>
      <c r="F2746">
        <f>IF(Skills!M22=TRUE,(Skills!K22/10)*(E2746/1000),Skills!K22/10)+Skills!N22</f>
        <v/>
      </c>
      <c r="G2746">
        <f>Calc!G22</f>
        <v/>
      </c>
      <c r="H2746">
        <f>Calc!H22</f>
        <v/>
      </c>
      <c r="I2746">
        <f>IF(Skills!T22&lt;&gt;"",1+(Skills!T22/10)*(Z2727/1000)/100,1)</f>
        <v/>
      </c>
      <c r="J2746" t="inlineStr"/>
      <c r="K2746" t="inlineStr"/>
      <c r="L2746" t="inlineStr"/>
      <c r="M2746" t="inlineStr"/>
      <c r="N2746" t="inlineStr"/>
      <c r="O2746">
        <f>(1-Summary!$B$11)*S2746+Summary!$B$11*U2746</f>
        <v/>
      </c>
      <c r="P2746">
        <f>IF(B2761=0,0,O2746/B2761)</f>
        <v/>
      </c>
      <c r="Q2746">
        <f>IFERROR(1/IF(Inputs!$B$38="pvp",15,MAX(0.1,Skills!D22-IF(Skills!E22=TRUE,3.0,0))),0)</f>
        <v/>
      </c>
      <c r="R2746" t="n">
        <v>0</v>
      </c>
      <c r="S2746" t="n">
        <v>0</v>
      </c>
      <c r="U2746" t="n">
        <v>0</v>
      </c>
    </row>
    <row r="2747">
      <c r="A2747">
        <f>Skills!A23</f>
        <v/>
      </c>
      <c r="B2747">
        <f>Skills!B23</f>
        <v/>
      </c>
      <c r="C2747">
        <f>Inputs!$B$3&gt;=120</f>
        <v/>
      </c>
      <c r="D2747">
        <f>IF(Skills!C23=1,60+Inputs!$B$25+Inputs!$B$29,IF(Skills!C23=2,90+Inputs!$B$26+Inputs!$B$29,IF(Skills!C23=3,120+Inputs!$B$27+Inputs!$B$29,MAX(0,(Inputs!$B$3-100)*3)+Inputs!$B$28+Inputs!$B$29)))</f>
        <v/>
      </c>
      <c r="E2747">
        <f>INDEX(FactorTable!$B$2:$Y$301, MATCH(ROUND(MIN(300,MAX(1,D2747)),0), FactorTable!$A$2:$A$301,0), Skills!L23+1)</f>
        <v/>
      </c>
      <c r="F2747">
        <f>IF(Skills!M23=TRUE,(Skills!K23/10)*(E2747/1000),Skills!K23/10)+Skills!N23</f>
        <v/>
      </c>
      <c r="G2747">
        <f>Calc!G23</f>
        <v/>
      </c>
      <c r="H2747">
        <f>Calc!H23</f>
        <v/>
      </c>
      <c r="I2747">
        <f>IF(Skills!T23&lt;&gt;"",1+(Skills!T23/10)*(Z2727/1000)/100,1)</f>
        <v/>
      </c>
      <c r="J2747" t="inlineStr"/>
      <c r="K2747" t="inlineStr"/>
      <c r="L2747" t="inlineStr"/>
      <c r="M2747" t="inlineStr"/>
      <c r="N2747" t="inlineStr"/>
      <c r="O2747">
        <f>(1-Summary!$B$11)*S2747+Summary!$B$11*U2747</f>
        <v/>
      </c>
      <c r="P2747">
        <f>IF(B2761=0,0,O2747/B2761)</f>
        <v/>
      </c>
      <c r="Q2747">
        <f>IFERROR(1/IF(Inputs!$B$38="pvp",15,MAX(0.1,Skills!D23-IF(Skills!E23=TRUE,3.0,0))),0)</f>
        <v/>
      </c>
      <c r="R2747" t="n">
        <v>0</v>
      </c>
      <c r="S2747" t="n">
        <v>0</v>
      </c>
      <c r="U2747" t="n">
        <v>0</v>
      </c>
    </row>
    <row r="2748">
      <c r="A2748">
        <f>Skills!A24</f>
        <v/>
      </c>
      <c r="B2748">
        <f>Skills!B24</f>
        <v/>
      </c>
      <c r="C2748">
        <f>TRUE</f>
        <v/>
      </c>
      <c r="D2748">
        <f>IF(Skills!C24=1,60+Inputs!$B$25+Inputs!$B$29,IF(Skills!C24=2,90+Inputs!$B$26+Inputs!$B$29,IF(Skills!C24=3,120+Inputs!$B$27+Inputs!$B$29,MAX(0,(Inputs!$B$3-100)*3)+Inputs!$B$28+Inputs!$B$29)))</f>
        <v/>
      </c>
      <c r="E2748">
        <f>INDEX(FactorTable!$B$2:$Y$301, MATCH(ROUND(MIN(300,MAX(1,D2748)),0), FactorTable!$A$2:$A$301,0), Skills!L24+1)</f>
        <v/>
      </c>
      <c r="F2748">
        <f>IF(Skills!M24=TRUE,(Skills!K24/10)*(E2748/1000),Skills!K24/10)+Skills!N24</f>
        <v/>
      </c>
      <c r="G2748">
        <f>Calc!G24</f>
        <v/>
      </c>
      <c r="H2748">
        <f>Calc!H24</f>
        <v/>
      </c>
      <c r="I2748">
        <f>IF(Skills!T24&lt;&gt;"",1+(Skills!T24/10)*(Z2727/1000)/100,1)</f>
        <v/>
      </c>
      <c r="J2748" t="inlineStr"/>
      <c r="K2748" t="inlineStr"/>
      <c r="L2748" t="inlineStr"/>
      <c r="M2748" t="inlineStr"/>
      <c r="N2748" t="inlineStr"/>
      <c r="O2748">
        <f>(1-Summary!$B$11)*S2748+Summary!$B$11*U2748</f>
        <v/>
      </c>
      <c r="P2748">
        <f>IF(B2761=0,0,O2748/B2761)</f>
        <v/>
      </c>
      <c r="Q2748">
        <f>IFERROR(1/IF(Inputs!$B$38="pvp",15,MAX(0.1,Skills!D24-IF(Skills!E24=TRUE,3.0,0))),0)</f>
        <v/>
      </c>
      <c r="R2748">
        <f>IF(AND(Inputs!$B$38&lt;&gt;"pvp",Inputs!$B$43&gt;0),IF(Inputs!$B$43&lt;=0,0,(INT(Inputs!$B$43/IF(Inputs!$B$38="pvp",15,MAX(0.1,Skills!D24-IF(Skills!E24=TRUE,3.0,0))))+1)),0)</f>
        <v/>
      </c>
      <c r="S2748" t="n">
        <v>0</v>
      </c>
      <c r="U2748" t="n">
        <v>0</v>
      </c>
    </row>
    <row r="2751">
      <c r="A2751" t="inlineStr">
        <is>
          <t>Average Buff Multiplier (Magic Guard + Meditation + Artifact Attack%, summed; then Infinity)</t>
        </is>
      </c>
      <c r="B2751">
        <f>(1+(IF(C2727=TRUE,F2727*IF(AND(Inputs!$B$38&lt;&gt;"pvp",Inputs!$B$43&gt;0),(((R2727-1)*(Skills!S3*(1+(Inputs!$B$34)/100))+MIN((Skills!S3*(1+(Inputs!$B$34)/100)),MAX(0,Inputs!$B$43-((R2727-1)*Skills!D3))))/Inputs!$B$43),IF(Inputs!$B$38="pvp",MIN((Skills!S3*(1+(Inputs!$B$34)/100)),15)/15,(Skills!S3*(1+(Inputs!$B$34)/100))/Skills!D3)),0)+IF(C2728=TRUE,F2728*IF(AND(Inputs!$B$38&lt;&gt;"pvp",Inputs!$B$43&gt;0),(((R2728-1)*(Skills!S4*(1+(Inputs!$B$34)/100))+MIN((Skills!S4*(1+(Inputs!$B$34)/100)),MAX(0,Inputs!$B$43-((R2728-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2740=TRUE,(1+F2740*IF(AND(Inputs!$B$38&lt;&gt;"pvp",Inputs!$B$43&gt;0),(((R2740-1)*(Skills!S16*(1+(Inputs!$B$34)/100))+MIN((Skills!S16*(1+(Inputs!$B$34)/100)),MAX(0,Inputs!$B$43-((R2740-1)*Skills!D16))))/Inputs!$B$43),IF(Inputs!$B$38="pvp",MIN((Skills!S16*(1+(Inputs!$B$34)/100)),15)/15,(Skills!S16*(1+(Inputs!$B$34)/100))/Skills!D16))/100),1)</f>
        <v/>
      </c>
    </row>
    <row r="2752">
      <c r="A2752" t="inlineStr">
        <is>
          <t>Monster Damage Taken Bonus % (Freezing Breath - Weaken + Elemental Reset + Artifact Enemy Damage Taken, summed)</t>
        </is>
      </c>
      <c r="B2752">
        <f>IF(Inputs!$B$3&gt;=118,15*IF(Inputs!$B$38="pvp",MIN((30*(1+(Inputs!$B$34)/100)),15)/15,(30*(1+(Inputs!$B$34)/100))/Skills!D8),0)+IF(C2738=TRUE,F2738,0)+(IF(AND(ArtifactsInput!$M$35,Inputs!$B$4&lt;&gt;"Chapter Hunt"),CHOOSE(ArtifactsInput!$N$35+1,15,18,21,24,27,30)*(1-EXP(-(0.2*B2755)*5)),0)+IF(AND(ArtifactsInput!$M$22,Inputs!$B$4&lt;&gt;"Chapter Hunt"),CHOOSE(ArtifactsInput!$N$22+1,10,12,14,16,18,20)*((0*(((0.15*B2755*5))^0/1)+1*(((0.15*B2755*5))^1/1)+2*(((0.15*B2755*5))^2/2)+3*(((0.15*B2755*5))^3/6)+4*(((0.15*B2755*5))^4/24)+5*(((0.15*B2755*5))^5/120))/((((0.15*B2755*5))^0/1)+(((0.15*B2755*5))^1/1)+(((0.15*B2755*5))^2/2)+(((0.15*B2755*5))^3/6)+(((0.15*B2755*5))^4/24)+(((0.15*B2755*5))^5/120))),0))</f>
        <v/>
      </c>
    </row>
    <row r="2753">
      <c r="A2753" t="inlineStr">
        <is>
          <t>Damage % Bonus (Frozen Break + Frost Clutch, flat)</t>
        </is>
      </c>
      <c r="B2753">
        <f>IF(Inputs!$B$3&gt;=66,15,0)+IF(Inputs!$B$3&gt;=98,10,0)+IF(Inputs!$B$3&gt;=125,20,0)</f>
        <v/>
      </c>
    </row>
    <row r="2754">
      <c r="A2754" t="inlineStr">
        <is>
          <t>Attack Speed Bonus % (MP Eater - MP Boost, always-on + Nimble Feet, duty-cycle averaged)</t>
        </is>
      </c>
      <c r="B2754">
        <f>IF(C2737=TRUE,F2737+(F2741-Calc!F17),0)+((C2748=TRUE)*F2748*IF(AND(Inputs!$B$38&lt;&gt;"pvp",Inputs!$B$43&gt;0),(((R2748-1)*(Skills!S24*(1+(Inputs!$B$34)/100))+MIN((Skills!S24*(1+(Inputs!$B$34)/100)),MAX(0,Inputs!$B$43-((R2748-1)*Skills!D24))))/Inputs!$B$43),IF(Inputs!$B$38="pvp",MIN((Skills!S24*(1+(Inputs!$B$34)/100)),15)/15,(Skills!S24*(1+(Inputs!$B$34)/100))/Skills!D24)))</f>
        <v/>
      </c>
    </row>
    <row r="2755">
      <c r="A2755" t="inlineStr">
        <is>
          <t>Actions Per Second</t>
        </is>
      </c>
      <c r="B2755">
        <f>1+MIN(150,150*(1-(1-(Inputs!$B$11+(ArtifactsInput!$M$15-ArtifactsInput!$M$15)*CHOOSE(ArtifactsInput!$N$15+1,8,9.6,11.2,12.8,14.4,16))/150)*(1-B2754/150)))/100</f>
        <v/>
      </c>
    </row>
    <row r="2756">
      <c r="A2756" t="inlineStr">
        <is>
          <t>Skill + Buff Cast Rate</t>
        </is>
      </c>
      <c r="B2756">
        <f>IF(AND(Inputs!$B$38&lt;&gt;"pvp",Inputs!$B$43&gt;0),SUMPRODUCT((Skills!E2:E24=TRUE)*(C2726:C2748=TRUE)*R2726:R2748)/Inputs!$B$43,SUMPRODUCT((Skills!E2:E24=TRUE)*(C2726:C2748=TRUE)*Q2726:Q2748))</f>
        <v/>
      </c>
    </row>
    <row r="2757">
      <c r="A2757" t="inlineStr">
        <is>
          <t>Chain Lightning Casts Per Second</t>
        </is>
      </c>
      <c r="B2757">
        <f>MAX(0,B2755-B2756)</f>
        <v/>
      </c>
    </row>
    <row r="2758">
      <c r="A2758" t="inlineStr">
        <is>
          <t>Buff-Casting Startup Delay (s, fixed-duration only)</t>
        </is>
      </c>
      <c r="B2758">
        <f>IF(AND(Inputs!$B$38&lt;&gt;"pvp",Inputs!$B$43&gt;0),SUMPRODUCT((Skills!S2:S24&gt;0)*(Skills!E2:E24=TRUE)*(C2726:C2748=TRUE))/B2755,0)</f>
        <v/>
      </c>
    </row>
    <row r="2759">
      <c r="A2759" t="inlineStr">
        <is>
          <t>Boss-Only Total DPS (this block's swept value)</t>
        </is>
      </c>
      <c r="B2759">
        <f>SUM(S2726:S2748)</f>
        <v/>
      </c>
    </row>
    <row r="2760">
      <c r="A2760" t="inlineStr">
        <is>
          <t>Normal-Only Total DPS (this block's swept value)</t>
        </is>
      </c>
      <c r="B2760">
        <f>SUM(U2726:U2748)</f>
        <v/>
      </c>
    </row>
    <row r="2761">
      <c r="A2761" s="6" t="inlineStr">
        <is>
          <t>TOTAL DPS</t>
        </is>
      </c>
      <c r="B2761" s="6">
        <f>SUM(O2726:O2748)</f>
        <v/>
      </c>
    </row>
    <row r="2764">
      <c r="A2764" s="6" t="inlineStr">
        <is>
          <t>Stat: CDR = 3.5s</t>
        </is>
      </c>
    </row>
    <row r="2765">
      <c r="A2765" s="5" t="inlineStr">
        <is>
          <t>Key</t>
        </is>
      </c>
      <c r="B2765" s="5" t="inlineStr">
        <is>
          <t>Name</t>
        </is>
      </c>
      <c r="C2765" s="5" t="inlineStr">
        <is>
          <t>Unlocked</t>
        </is>
      </c>
      <c r="D2765" s="5" t="inlineStr">
        <is>
          <t>InputLevel</t>
        </is>
      </c>
      <c r="E2765" s="5" t="inlineStr">
        <is>
          <t>Factor</t>
        </is>
      </c>
      <c r="F2765" s="5" t="inlineStr">
        <is>
          <t>CoefficientPercent</t>
        </is>
      </c>
      <c r="G2765" s="5" t="inlineStr">
        <is>
          <t>EffectiveHits</t>
        </is>
      </c>
      <c r="H2765" s="5" t="inlineStr">
        <is>
          <t>ProcProbability</t>
        </is>
      </c>
      <c r="I2765" s="5" t="inlineStr">
        <is>
          <t>MapleHeroMultiplier</t>
        </is>
      </c>
      <c r="J2765" s="5" t="inlineStr">
        <is>
          <t>BaseDamage</t>
        </is>
      </c>
      <c r="K2765" s="5" t="inlineStr">
        <is>
          <t>BaseHitDamage</t>
        </is>
      </c>
      <c r="L2765" s="5" t="inlineStr">
        <is>
          <t>NonCritAvg</t>
        </is>
      </c>
      <c r="M2765" s="5" t="inlineStr">
        <is>
          <t>CritAvg</t>
        </is>
      </c>
      <c r="N2765" s="5" t="inlineStr">
        <is>
          <t>ExpectedDamage(perHit)</t>
        </is>
      </c>
      <c r="O2765" s="5" t="inlineStr">
        <is>
          <t>DPS</t>
        </is>
      </c>
      <c r="P2765" s="5" t="inlineStr">
        <is>
          <t>% of Total</t>
        </is>
      </c>
      <c r="R2765" t="inlineStr">
        <is>
          <t>helpers</t>
        </is>
      </c>
    </row>
    <row r="2766">
      <c r="A2766">
        <f>Skills!A2</f>
        <v/>
      </c>
      <c r="B2766">
        <f>Skills!B2</f>
        <v/>
      </c>
      <c r="C2766">
        <f>Inputs!$B$3&gt;=100</f>
        <v/>
      </c>
      <c r="D2766" t="inlineStr"/>
      <c r="E2766" t="inlineStr"/>
      <c r="F2766">
        <f>T2768+Skills!N2</f>
        <v/>
      </c>
      <c r="G2766">
        <f>Calc!G2</f>
        <v/>
      </c>
      <c r="H2766">
        <f>Calc!H2</f>
        <v/>
      </c>
      <c r="I2766">
        <f>IF(Skills!T2&lt;&gt;"",1+(Skills!T2/10)*(Z2767/1000)/100,1)</f>
        <v/>
      </c>
      <c r="J2766">
        <f>((Inputs!$B$6*(1+Inputs!$B$7/100))+(((Inputs!$B$12*(1+Inputs!$B$13/100))-(Inputs!$B$12*(1+Inputs!$B$13/100)))+0.25*(Inputs!$B$14-Inputs!$B$14))*(1+Inputs!$B$7/100))*(F2766/100)</f>
        <v/>
      </c>
      <c r="K2766">
        <f>J2766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2="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F2782-Calc!F18),(Inputs!$B$23+(IF(ArtifactsInput!$M$15,CHOOSE(ArtifactsInput!$N$15+1,25,30,35,40,45,50)/100*(Inputs!$B$11-Inputs!$B$11),0))))/100+(Inputs!$B$23+(IF(ArtifactsInput!$M$15,CHOOSE(ArtifactsInput!$N$15+1,25,30,35,40,45,50)/100*(Inputs!$B$11-Inputs!$B$11),0)))/100)/2</f>
        <v/>
      </c>
      <c r="M2766">
        <f>L2766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(1-Summary!$B$11)*S2766+Summary!$B$11*U2766</f>
        <v/>
      </c>
      <c r="P2766">
        <f>IF(B2801=0,0,O2766/B2801)</f>
        <v/>
      </c>
      <c r="Q2766">
        <f>IFERROR(1/IF(Inputs!$B$38="pvp",15,MAX(0.1,Skills!D2-IF(Skills!E2=TRUE,3.5,0))),0)</f>
        <v/>
      </c>
      <c r="R2766" t="n">
        <v>0</v>
      </c>
      <c r="S2766">
        <f>IF(C2766,(Skills!F2*N2766*B2797)*IF(Inputs!$B$38="pvp",1,1+(Inputs!$B$20+Skills!O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2766*(1-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66">
        <f>MAX(0,(Inputs!$B$3-100)*3)+Inputs!$B$28+Inputs!$B$29</f>
        <v/>
      </c>
      <c r="U2766">
        <f>IF(C2766,(Skills!F2*N2766*B2797)*IF(Inputs!$B$38="pvp",1,(1+(Inputs!$B$21+Skills!P2+B2792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66">
        <f>MAX(0,(Inputs!$B$3-100)*3)+Inputs!$B$28+Inputs!$B$29</f>
        <v/>
      </c>
    </row>
    <row r="2767">
      <c r="A2767">
        <f>Skills!A3</f>
        <v/>
      </c>
      <c r="B2767">
        <f>Skills!B3</f>
        <v/>
      </c>
      <c r="C2767">
        <f>Inputs!$B$3&gt;=15</f>
        <v/>
      </c>
      <c r="D2767">
        <f>IF(Skills!C3=1,60+Inputs!$B$25+Inputs!$B$29,IF(Skills!C3=2,90+Inputs!$B$26+Inputs!$B$29,IF(Skills!C3=3,120+Inputs!$B$27+Inputs!$B$29,MAX(0,(Inputs!$B$3-100)*3)+Inputs!$B$28+Inputs!$B$29)))</f>
        <v/>
      </c>
      <c r="E2767">
        <f>INDEX(FactorTable!$B$2:$Y$301, MATCH(ROUND(MIN(300,MAX(1,D2767)),0), FactorTable!$A$2:$A$301,0), Skills!L3+1)</f>
        <v/>
      </c>
      <c r="F2767">
        <f>IF(Skills!M3=TRUE,(Skills!K3/10)*(E2767/1000),Skills!K3/10)+Skills!N3</f>
        <v/>
      </c>
      <c r="G2767">
        <f>Calc!G3</f>
        <v/>
      </c>
      <c r="H2767">
        <f>Calc!H3</f>
        <v/>
      </c>
      <c r="I2767">
        <f>IF(Skills!T3&lt;&gt;"",1+(Skills!T3/10)*(Z2767/1000)/100,1)</f>
        <v/>
      </c>
      <c r="J2767" t="inlineStr"/>
      <c r="K2767" t="inlineStr"/>
      <c r="L2767" t="inlineStr"/>
      <c r="M2767" t="inlineStr"/>
      <c r="N2767" t="inlineStr"/>
      <c r="O2767">
        <f>(1-Summary!$B$11)*S2767+Summary!$B$11*U2767</f>
        <v/>
      </c>
      <c r="P2767">
        <f>IF(B2801=0,0,O2767/B2801)</f>
        <v/>
      </c>
      <c r="Q2767">
        <f>IFERROR(1/IF(Inputs!$B$38="pvp",15,MAX(0.1,Skills!D3-IF(Skills!E3=TRUE,3.5,0))),0)</f>
        <v/>
      </c>
      <c r="R2767">
        <f>IF(AND(Inputs!$B$38&lt;&gt;"pvp",Inputs!$B$43&gt;0),IF(Inputs!$B$43&lt;=0,0,(INT(Inputs!$B$43/IF(Inputs!$B$38="pvp",15,MAX(0.1,Skills!D3-IF(Skills!E3=TRUE,3.5,0))))+1)),0)</f>
        <v/>
      </c>
      <c r="S2767" t="n">
        <v>0</v>
      </c>
      <c r="T2767">
        <f>INDEX(FactorTable!$B$2:$Y$301, MATCH(ROUND(MIN(300,MAX(1,T2766)),0), FactorTable!$A$2:$A$301,0), 22)</f>
        <v/>
      </c>
      <c r="U2767" t="n">
        <v>0</v>
      </c>
      <c r="Z2767">
        <f>INDEX(FactorTable!$B$2:$Y$301, MATCH(ROUND(MIN(300,MAX(1,Z2766)),0), FactorTable!$A$2:$A$301,0), 24)</f>
        <v/>
      </c>
    </row>
    <row r="2768">
      <c r="A2768">
        <f>Skills!A4</f>
        <v/>
      </c>
      <c r="B2768">
        <f>Skills!B4</f>
        <v/>
      </c>
      <c r="C2768">
        <f>Inputs!$B$3&gt;=40</f>
        <v/>
      </c>
      <c r="D2768">
        <f>IF(Skills!C4=1,60+Inputs!$B$25+Inputs!$B$29,IF(Skills!C4=2,90+Inputs!$B$26+Inputs!$B$29,IF(Skills!C4=3,120+Inputs!$B$27+Inputs!$B$29,MAX(0,(Inputs!$B$3-100)*3)+Inputs!$B$28+Inputs!$B$29)))</f>
        <v/>
      </c>
      <c r="E2768">
        <f>INDEX(FactorTable!$B$2:$Y$301, MATCH(ROUND(MIN(300,MAX(1,D2768)),0), FactorTable!$A$2:$A$301,0), Skills!L4+1)</f>
        <v/>
      </c>
      <c r="F2768">
        <f>IF(Skills!M4=TRUE,(Skills!K4/10)*(E2768/1000),Skills!K4/10)+Skills!N4</f>
        <v/>
      </c>
      <c r="G2768">
        <f>Calc!G4</f>
        <v/>
      </c>
      <c r="H2768">
        <f>Calc!H4</f>
        <v/>
      </c>
      <c r="I2768">
        <f>IF(Skills!T4&lt;&gt;"",1+(Skills!T4/10)*(Z2767/1000)/100,1)</f>
        <v/>
      </c>
      <c r="J2768" t="inlineStr"/>
      <c r="K2768" t="inlineStr"/>
      <c r="L2768" t="inlineStr"/>
      <c r="M2768" t="inlineStr"/>
      <c r="N2768" t="inlineStr"/>
      <c r="O2768">
        <f>(1-Summary!$B$11)*S2768+Summary!$B$11*U2768</f>
        <v/>
      </c>
      <c r="P2768">
        <f>IF(B2801=0,0,O2768/B2801)</f>
        <v/>
      </c>
      <c r="Q2768">
        <f>IFERROR(1/IF(Inputs!$B$38="pvp",15,MAX(0.1,Skills!D4-IF(Skills!E4=TRUE,3.5,0))),0)</f>
        <v/>
      </c>
      <c r="R2768">
        <f>IF(AND(Inputs!$B$38&lt;&gt;"pvp",Inputs!$B$43&gt;0),IF(Inputs!$B$43&lt;=0,0,(INT(Inputs!$B$43/IF(Inputs!$B$38="pvp",15,MAX(0.1,Skills!D4-IF(Skills!E4=TRUE,3.5,0))))+1)),0)</f>
        <v/>
      </c>
      <c r="S2768" t="n">
        <v>0</v>
      </c>
      <c r="T2768">
        <f>290*T2767/1000</f>
        <v/>
      </c>
      <c r="U2768" t="n">
        <v>0</v>
      </c>
    </row>
    <row r="2769">
      <c r="A2769">
        <f>Skills!A5</f>
        <v/>
      </c>
      <c r="B2769">
        <f>Skills!B5</f>
        <v/>
      </c>
      <c r="C2769">
        <f>Inputs!$B$3&gt;=38</f>
        <v/>
      </c>
      <c r="D2769">
        <f>IF(Skills!C5=1,60+Inputs!$B$25+Inputs!$B$29,IF(Skills!C5=2,90+Inputs!$B$26+Inputs!$B$29,IF(Skills!C5=3,120+Inputs!$B$27+Inputs!$B$29,MAX(0,(Inputs!$B$3-100)*3)+Inputs!$B$28+Inputs!$B$29)))</f>
        <v/>
      </c>
      <c r="E2769">
        <f>INDEX(FactorTable!$B$2:$Y$301, MATCH(ROUND(MIN(300,MAX(1,D2769)),0), FactorTable!$A$2:$A$301,0), Skills!L5+1)</f>
        <v/>
      </c>
      <c r="F2769">
        <f>IF(Skills!M5=TRUE,(Skills!K5/10)*(E2769/1000),Skills!K5/10)+Skills!N5</f>
        <v/>
      </c>
      <c r="G2769">
        <f>Calc!G5</f>
        <v/>
      </c>
      <c r="H2769">
        <f>Calc!H5</f>
        <v/>
      </c>
      <c r="I2769">
        <f>IF(Skills!T5&lt;&gt;"",1+(Skills!T5/10)*(Z2767/1000)/100,1)</f>
        <v/>
      </c>
      <c r="J2769">
        <f>((Inputs!$B$6*(1+Inputs!$B$7/100))+(((Inputs!$B$12*(1+Inputs!$B$13/100))-(Inputs!$B$12*(1+Inputs!$B$13/100)))+0.25*(Inputs!$B$14-Inputs!$B$14))*(1+Inputs!$B$7/100))*(F2769/100)</f>
        <v/>
      </c>
      <c r="K2769">
        <f>J2769*(1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5="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F2782-Calc!F18),(Inputs!$B$23+(IF(ArtifactsInput!$M$15,CHOOSE(ArtifactsInput!$N$15+1,25,30,35,40,45,50)/100*(Inputs!$B$11-Inputs!$B$11),0))))/100+(Inputs!$B$23+(IF(ArtifactsInput!$M$15,CHOOSE(ArtifactsInput!$N$15+1,25,30,35,40,45,50)/100*(Inputs!$B$11-Inputs!$B$11),0)))/100)/2</f>
        <v/>
      </c>
      <c r="M2769">
        <f>L2769*(1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(1-Summary!$B$11)*S2769+Summary!$B$11*U2769</f>
        <v/>
      </c>
      <c r="P2769">
        <f>IF(B2801=0,0,O2769/B2801)</f>
        <v/>
      </c>
      <c r="Q2769">
        <f>IFERROR(1/IF(Inputs!$B$38="pvp",15,MAX(0.1,Skills!D5-IF(Skills!E5=TRUE,3.5,0))),0)</f>
        <v/>
      </c>
      <c r="R2769">
        <f>IF(AND(Inputs!$B$38&lt;&gt;"pvp",Inputs!$B$43&gt;0),IF(MAX(0,Inputs!$B$43-B2798)&lt;=0,0,(INT(MAX(0,Inputs!$B$43-B2798)/IF(Inputs!$B$38="pvp",15,MAX(0.1,Skills!D5-IF(Skills!E5=TRUE,3.5,0))))+1)),0)</f>
        <v/>
      </c>
      <c r="S2769">
        <f>IF(C2769,(H2769*N2769*IF(AND(Inputs!$B$38&lt;&gt;"pvp",Inputs!$B$43&gt;0),((Skills!F5*((R2769-1)*IF(Skills!G5&gt;0,Skills!H5/Skills!G5,1)+IF(Skills!G5&gt;0,MIN(Skills!H5,MAX(0,MAX(0,Inputs!$B$43-B2798)-((R2769-1)*IF(Inputs!$B$38="pvp",15,MAX(0.1,Skills!D5-IF(Skills!E5=TRUE,3.5,0))))))/Skills!G5,1)))/Inputs!$B$43),G2769*Q2769))*IF(Inputs!$B$38="pvp",1,1+(Inputs!$B$20+Skills!O5+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2769*(1-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IF(C2769,(H2769*N2769*IF(AND(Inputs!$B$38&lt;&gt;"pvp",Inputs!$B$43&gt;0),((Skills!F5*((R2769-1)*IF(Skills!G5&gt;0,Skills!H5/Skills!G5,1)+IF(Skills!G5&gt;0,MIN(Skills!H5,MAX(0,MAX(0,Inputs!$B$43-B2798)-((R2769-1)*IF(Inputs!$B$38="pvp",15,MAX(0.1,Skills!D5-IF(Skills!E5=TRUE,3.5,0))))))/Skills!G5,1)))/Inputs!$B$43),G2769*Q2769))*IF(Inputs!$B$38="pvp",1,(1+(Inputs!$B$21+Skills!P5+B2792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Skills!A6</f>
        <v/>
      </c>
      <c r="B2770">
        <f>Skills!B6</f>
        <v/>
      </c>
      <c r="C2770">
        <f>Inputs!$B$3&gt;=63</f>
        <v/>
      </c>
      <c r="D2770">
        <f>IF(Skills!C6=1,60+Inputs!$B$25+Inputs!$B$29,IF(Skills!C6=2,90+Inputs!$B$26+Inputs!$B$29,IF(Skills!C6=3,120+Inputs!$B$27+Inputs!$B$29,MAX(0,(Inputs!$B$3-100)*3)+Inputs!$B$28+Inputs!$B$29)))</f>
        <v/>
      </c>
      <c r="E2770">
        <f>INDEX(FactorTable!$B$2:$Y$301, MATCH(ROUND(MIN(300,MAX(1,D2770)),0), FactorTable!$A$2:$A$301,0), Skills!L6+1)</f>
        <v/>
      </c>
      <c r="F2770">
        <f>IF(Skills!M6=TRUE,(Skills!K6/10)*(E2770/1000),Skills!K6/10)+Skills!N6</f>
        <v/>
      </c>
      <c r="G2770">
        <f>Calc!G6</f>
        <v/>
      </c>
      <c r="H2770">
        <f>Calc!H6</f>
        <v/>
      </c>
      <c r="I2770">
        <f>IF(Skills!T6&lt;&gt;"",1+(Skills!T6/10)*(Z2767/1000)/100,1)</f>
        <v/>
      </c>
      <c r="J2770">
        <f>((Inputs!$B$6*(1+Inputs!$B$7/100))+(((Inputs!$B$12*(1+Inputs!$B$13/100))-(Inputs!$B$12*(1+Inputs!$B$13/100)))+0.25*(Inputs!$B$14-Inputs!$B$14))*(1+Inputs!$B$7/100))*(F2770/100)</f>
        <v/>
      </c>
      <c r="K2770">
        <f>J2770*(1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6="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2782-Calc!F18),(Inputs!$B$23+(IF(ArtifactsInput!$M$15,CHOOSE(ArtifactsInput!$N$15+1,25,30,35,40,45,50)/100*(Inputs!$B$11-Inputs!$B$11),0))))/100+(Inputs!$B$23+(IF(ArtifactsInput!$M$15,CHOOSE(ArtifactsInput!$N$15+1,25,30,35,40,45,50)/100*(Inputs!$B$11-Inputs!$B$11),0)))/100)/2</f>
        <v/>
      </c>
      <c r="M2770">
        <f>L2770*(1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IF(B2801=0,0,O2770/B2801)</f>
        <v/>
      </c>
      <c r="Q2770">
        <f>IFERROR(1/IF(Inputs!$B$38="pvp",15,MAX(0.1,Skills!D6-IF(Skills!E6=TRUE,3.5,0))),0)</f>
        <v/>
      </c>
      <c r="R2770">
        <f>IF(AND(Inputs!$B$38&lt;&gt;"pvp",Inputs!$B$43&gt;0),IF(MAX(0,Inputs!$B$43-B2798)&lt;=0,0,(INT(MAX(0,Inputs!$B$43-B2798)/IF(Inputs!$B$38="pvp",15,MAX(0.1,Skills!D6-IF(Skills!E6=TRUE,3.5,0))))+1)),0)</f>
        <v/>
      </c>
      <c r="S2770">
        <f>IF(C2770,(H2770*N2770*IF(AND(Inputs!$B$38&lt;&gt;"pvp",Inputs!$B$43&gt;0),((Skills!F6*((R2770-1)*IF(Skills!G6&gt;0,Skills!H6/Skills!G6,1)+IF(Skills!G6&gt;0,MIN(Skills!H6,MAX(0,MAX(0,Inputs!$B$43-B2798)-((R2770-1)*IF(Inputs!$B$38="pvp",15,MAX(0.1,Skills!D6-IF(Skills!E6=TRUE,3.5,0))))))/Skills!G6,1)))/Inputs!$B$43),G2770*Q2770))*IF(Inputs!$B$38="pvp",1,1+(Inputs!$B$20+Skills!O6+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0">
        <f>IF(C2770,(H2770*N2770*IF(AND(Inputs!$B$38&lt;&gt;"pvp",Inputs!$B$43&gt;0),((Skills!F6*((R2770-1)*IF(Skills!G6&gt;0,Skills!H6/Skills!G6,1)+IF(Skills!G6&gt;0,MIN(Skills!H6,MAX(0,MAX(0,Inputs!$B$43-B2798)-((R2770-1)*IF(Inputs!$B$38="pvp",15,MAX(0.1,Skills!D6-IF(Skills!E6=TRUE,3.5,0))))))/Skills!G6,1)))/Inputs!$B$43),G2770*Q2770))*IF(Inputs!$B$38="pvp",1,(1+(Inputs!$B$21+Skills!P6+B2792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Skills!A7</f>
        <v/>
      </c>
      <c r="B2771">
        <f>Skills!B7</f>
        <v/>
      </c>
      <c r="C2771">
        <f>Inputs!$B$3&gt;=69</f>
        <v/>
      </c>
      <c r="D2771">
        <f>IF(Skills!C7=1,60+Inputs!$B$25+Inputs!$B$29,IF(Skills!C7=2,90+Inputs!$B$26+Inputs!$B$29,IF(Skills!C7=3,120+Inputs!$B$27+Inputs!$B$29,MAX(0,(Inputs!$B$3-100)*3)+Inputs!$B$28+Inputs!$B$29)))</f>
        <v/>
      </c>
      <c r="E2771">
        <f>INDEX(FactorTable!$B$2:$Y$301, MATCH(ROUND(MIN(300,MAX(1,D2771)),0), FactorTable!$A$2:$A$301,0), Skills!L7+1)</f>
        <v/>
      </c>
      <c r="F2771">
        <f>IF(Skills!M7=TRUE,(Skills!K7/10)*(E2771/1000),Skills!K7/10)+Skills!N7</f>
        <v/>
      </c>
      <c r="G2771">
        <f>Calc!G7</f>
        <v/>
      </c>
      <c r="H2771">
        <f>Calc!H7</f>
        <v/>
      </c>
      <c r="I2771">
        <f>IF(Skills!T7&lt;&gt;"",1+(Skills!T7/10)*(Z2767/1000)/100,1)</f>
        <v/>
      </c>
      <c r="J2771">
        <f>((Inputs!$B$6*(1+Inputs!$B$7/100))+(((Inputs!$B$12*(1+Inputs!$B$13/100))-(Inputs!$B$12*(1+Inputs!$B$13/100)))+0.25*(Inputs!$B$14-Inputs!$B$14))*(1+Inputs!$B$7/100))*(F2771/100)</f>
        <v/>
      </c>
      <c r="K2771">
        <f>J2771*(1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7="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2782-Calc!F18),(Inputs!$B$23+(IF(ArtifactsInput!$M$15,CHOOSE(ArtifactsInput!$N$15+1,25,30,35,40,45,50)/100*(Inputs!$B$11-Inputs!$B$11),0))))/100+(Inputs!$B$23+(IF(ArtifactsInput!$M$15,CHOOSE(ArtifactsInput!$N$15+1,25,30,35,40,45,50)/100*(Inputs!$B$11-Inputs!$B$11),0)))/100)/2</f>
        <v/>
      </c>
      <c r="M2771">
        <f>L2771*(1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IF(B2801=0,0,O2771/B2801)</f>
        <v/>
      </c>
      <c r="Q2771">
        <f>IFERROR(1/IF(Inputs!$B$38="pvp",15,MAX(0.1,Skills!D7-IF(Skills!E7=TRUE,3.5,0))),0)</f>
        <v/>
      </c>
      <c r="R2771">
        <f>IF(AND(Inputs!$B$38&lt;&gt;"pvp",Inputs!$B$43&gt;0),IF(MAX(0,Inputs!$B$43-B2798)&lt;=0,0,(INT(MAX(0,Inputs!$B$43-B2798)/IF(Inputs!$B$38="pvp",15,MAX(0.1,Skills!D7-IF(Skills!E7=TRUE,3.5,0))))+1)),0)</f>
        <v/>
      </c>
      <c r="S2771">
        <f>IF(C2771,(H2771*N2771*IF(AND(Inputs!$B$38&lt;&gt;"pvp",Inputs!$B$43&gt;0),((Skills!F7*((R2771-1)*IF(Skills!G7&gt;0,Skills!H7/Skills!G7,1)+IF(Skills!G7&gt;0,MIN(Skills!H7,MAX(0,MAX(0,Inputs!$B$43-B2798)-((R2771-1)*IF(Inputs!$B$38="pvp",15,MAX(0.1,Skills!D7-IF(Skills!E7=TRUE,3.5,0))))))/Skills!G7,1)))/Inputs!$B$43),G2771*Q2771))*IF(Inputs!$B$38="pvp",1,1+(Inputs!$B$20+Skills!O7+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1">
        <f>IF(C2771,(H2771*N2771*IF(AND(Inputs!$B$38&lt;&gt;"pvp",Inputs!$B$43&gt;0),((Skills!F7*((R2771-1)*IF(Skills!G7&gt;0,Skills!H7/Skills!G7,1)+IF(Skills!G7&gt;0,MIN(Skills!H7,MAX(0,MAX(0,Inputs!$B$43-B2798)-((R2771-1)*IF(Inputs!$B$38="pvp",15,MAX(0.1,Skills!D7-IF(Skills!E7=TRUE,3.5,0))))))/Skills!G7,1)))/Inputs!$B$43),G2771*Q2771))*IF(Inputs!$B$38="pvp",1,(1+(Inputs!$B$21+Skills!P7+B2792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Skills!A8</f>
        <v/>
      </c>
      <c r="B2772">
        <f>Skills!B8</f>
        <v/>
      </c>
      <c r="C2772">
        <f>Inputs!$B$3&gt;=103</f>
        <v/>
      </c>
      <c r="D2772">
        <f>IF(Skills!C8=1,60+Inputs!$B$25+Inputs!$B$29,IF(Skills!C8=2,90+Inputs!$B$26+Inputs!$B$29,IF(Skills!C8=3,120+Inputs!$B$27+Inputs!$B$29,MAX(0,(Inputs!$B$3-100)*3)+Inputs!$B$28+Inputs!$B$29)))</f>
        <v/>
      </c>
      <c r="E2772">
        <f>INDEX(FactorTable!$B$2:$Y$301, MATCH(ROUND(MIN(300,MAX(1,D2772)),0), FactorTable!$A$2:$A$301,0), Skills!L8+1)</f>
        <v/>
      </c>
      <c r="F2772">
        <f>IF(Skills!M8=TRUE,(Skills!K8/10)*(E2772/1000),Skills!K8/10)+Skills!N8</f>
        <v/>
      </c>
      <c r="G2772">
        <f>Calc!G8</f>
        <v/>
      </c>
      <c r="H2772">
        <f>Calc!H8</f>
        <v/>
      </c>
      <c r="I2772">
        <f>IF(Skills!T8&lt;&gt;"",1+(Skills!T8/10)*(Z2767/1000)/100,1)</f>
        <v/>
      </c>
      <c r="J2772">
        <f>((Inputs!$B$6*(1+Inputs!$B$7/100))+(((Inputs!$B$12*(1+Inputs!$B$13/100))-(Inputs!$B$12*(1+Inputs!$B$13/100)))+0.25*(Inputs!$B$14-Inputs!$B$14))*(1+Inputs!$B$7/100))*(F2772/100)</f>
        <v/>
      </c>
      <c r="K2772">
        <f>J2772*(1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8="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2782-Calc!F18),(Inputs!$B$23+(IF(ArtifactsInput!$M$15,CHOOSE(ArtifactsInput!$N$15+1,25,30,35,40,45,50)/100*(Inputs!$B$11-Inputs!$B$11),0))))/100+(Inputs!$B$23+(IF(ArtifactsInput!$M$15,CHOOSE(ArtifactsInput!$N$15+1,25,30,35,40,45,50)/100*(Inputs!$B$11-Inputs!$B$11),0)))/100)/2</f>
        <v/>
      </c>
      <c r="M2772">
        <f>L2772*(1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IF(B2801=0,0,O2772/B2801)</f>
        <v/>
      </c>
      <c r="Q2772">
        <f>IFERROR(1/IF(Inputs!$B$38="pvp",15,MAX(0.1,Skills!D8-IF(Skills!E8=TRUE,3.5,0))),0)</f>
        <v/>
      </c>
      <c r="R2772">
        <f>IF(AND(Inputs!$B$38&lt;&gt;"pvp",Inputs!$B$43&gt;0),IF(MAX(0,Inputs!$B$43-B2798)&lt;=0,0,(INT(MAX(0,Inputs!$B$43-B2798)/IF(Inputs!$B$38="pvp",15,MAX(0.1,Skills!D8-IF(Skills!E8=TRUE,3.5,0))))+1)),0)</f>
        <v/>
      </c>
      <c r="S2772">
        <f>IF(C2772,(H2772*N2772*IF(AND(Inputs!$B$38&lt;&gt;"pvp",Inputs!$B$43&gt;0),((Skills!F8*((R2772-1)*IF(Skills!G8&gt;0,Skills!H8/Skills!G8,1)+IF(Skills!G8&gt;0,MIN(Skills!H8,MAX(0,MAX(0,Inputs!$B$43-B2798)-((R2772-1)*IF(Inputs!$B$38="pvp",15,MAX(0.1,Skills!D8-IF(Skills!E8=TRUE,3.5,0))))))/Skills!G8,1)))/Inputs!$B$43),G2772*Q2772))*IF(Inputs!$B$38="pvp",1,1+(Inputs!$B$20+Skills!O8+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2">
        <f>IF(C2772,(H2772*N2772*IF(AND(Inputs!$B$38&lt;&gt;"pvp",Inputs!$B$43&gt;0),((Skills!F8*((R2772-1)*IF(Skills!G8&gt;0,Skills!H8/Skills!G8,1)+IF(Skills!G8&gt;0,MIN(Skills!H8,MAX(0,MAX(0,Inputs!$B$43-B2798)-((R2772-1)*IF(Inputs!$B$38="pvp",15,MAX(0.1,Skills!D8-IF(Skills!E8=TRUE,3.5,0))))))/Skills!G8,1)))/Inputs!$B$43),G2772*Q2772))*IF(Inputs!$B$38="pvp",1,(1+(Inputs!$B$21+Skills!P8+B2792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Skills!A9</f>
        <v/>
      </c>
      <c r="B2773">
        <f>Skills!B9</f>
        <v/>
      </c>
      <c r="C2773">
        <f>Inputs!$B$3&gt;=105</f>
        <v/>
      </c>
      <c r="D2773">
        <f>IF(Skills!C9=1,60+Inputs!$B$25+Inputs!$B$29,IF(Skills!C9=2,90+Inputs!$B$26+Inputs!$B$29,IF(Skills!C9=3,120+Inputs!$B$27+Inputs!$B$29,MAX(0,(Inputs!$B$3-100)*3)+Inputs!$B$28+Inputs!$B$29)))</f>
        <v/>
      </c>
      <c r="E2773">
        <f>INDEX(FactorTable!$B$2:$Y$301, MATCH(ROUND(MIN(300,MAX(1,D2773)),0), FactorTable!$A$2:$A$301,0), Skills!L9+1)</f>
        <v/>
      </c>
      <c r="F2773">
        <f>IF(Skills!M9=TRUE,(Skills!K9/10)*(E2773/1000),Skills!K9/10)+Skills!N9</f>
        <v/>
      </c>
      <c r="G2773">
        <f>Calc!G9</f>
        <v/>
      </c>
      <c r="H2773">
        <f>Calc!H9</f>
        <v/>
      </c>
      <c r="I2773">
        <f>IF(Skills!T9&lt;&gt;"",1+(Skills!T9/10)*(Z2767/1000)/100,1)</f>
        <v/>
      </c>
      <c r="J2773">
        <f>((Inputs!$B$6*(1+Inputs!$B$7/100))+(((Inputs!$B$12*(1+Inputs!$B$13/100))-(Inputs!$B$12*(1+Inputs!$B$13/100)))+0.25*(Inputs!$B$14-Inputs!$B$14))*(1+Inputs!$B$7/100))*(F2773/100)</f>
        <v/>
      </c>
      <c r="K2773">
        <f>J2773*(1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9="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2782-Calc!F18),(Inputs!$B$23+(IF(ArtifactsInput!$M$15,CHOOSE(ArtifactsInput!$N$15+1,25,30,35,40,45,50)/100*(Inputs!$B$11-Inputs!$B$11),0))))/100+(Inputs!$B$23+(IF(ArtifactsInput!$M$15,CHOOSE(ArtifactsInput!$N$15+1,25,30,35,40,45,50)/100*(Inputs!$B$11-Inputs!$B$11),0)))/100)/2</f>
        <v/>
      </c>
      <c r="M2773">
        <f>L2773*(1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IF(B2801=0,0,O2773/B2801)</f>
        <v/>
      </c>
      <c r="Q2773">
        <f>IFERROR(1/IF(Inputs!$B$38="pvp",15,MAX(0.1,Skills!D9-IF(Skills!E9=TRUE,3.5,0))),0)</f>
        <v/>
      </c>
      <c r="R2773">
        <f>IF(AND(Inputs!$B$38&lt;&gt;"pvp",Inputs!$B$43&gt;0),IF(MAX(0,Inputs!$B$43-B2798)&lt;=0,0,(INT(MAX(0,Inputs!$B$43-B2798)/IF(Inputs!$B$38="pvp",15,MAX(0.1,Skills!D9-IF(Skills!E9=TRUE,3.5,0))))+1)),0)</f>
        <v/>
      </c>
      <c r="S2773">
        <f>IF(C2773,(H2773*N2773*IF(AND(Inputs!$B$38&lt;&gt;"pvp",Inputs!$B$43&gt;0),((Skills!F9*((R2773-1)*IF(Skills!G9&gt;0,Skills!H9/Skills!G9,1)+IF(Skills!G9&gt;0,MIN(Skills!H9,MAX(0,MAX(0,Inputs!$B$43-B2798)-((R2773-1)*IF(Inputs!$B$38="pvp",15,MAX(0.1,Skills!D9-IF(Skills!E9=TRUE,3.5,0))))))/Skills!G9,1)))/Inputs!$B$43),G2773*Q2773))*IF(Inputs!$B$38="pvp",1,1+(Inputs!$B$20+Skills!O9+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F9*((R2773-1)*IF(Skills!G9&gt;0,Skills!H9/Skills!G9,1)+IF(Skills!G9&gt;0,MIN(Skills!H9,MAX(0,MAX(0,Inputs!$B$43-B2798)-((R2773-1)*IF(Inputs!$B$38="pvp",15,MAX(0.1,Skills!D9-IF(Skills!E9=TRUE,3.5,0))))))/Skills!G9,1)))/Inputs!$B$43),G2773*Q2773))*IF(Inputs!$B$38="pvp",1,(1+(Inputs!$B$21+Skills!P9+B2792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Skills!A10</f>
        <v/>
      </c>
      <c r="B2774">
        <f>Skills!B10</f>
        <v/>
      </c>
      <c r="C2774">
        <f>Inputs!$B$3&gt;=113</f>
        <v/>
      </c>
      <c r="D2774">
        <f>IF(Skills!C10=1,60+Inputs!$B$25+Inputs!$B$29,IF(Skills!C10=2,90+Inputs!$B$26+Inputs!$B$29,IF(Skills!C10=3,120+Inputs!$B$27+Inputs!$B$29,MAX(0,(Inputs!$B$3-100)*3)+Inputs!$B$28+Inputs!$B$29)))</f>
        <v/>
      </c>
      <c r="E2774">
        <f>INDEX(FactorTable!$B$2:$Y$301, MATCH(ROUND(MIN(300,MAX(1,D2774)),0), FactorTable!$A$2:$A$301,0), Skills!L10+1)</f>
        <v/>
      </c>
      <c r="F2774">
        <f>IF(Skills!M10=TRUE,(Skills!K10/10)*(E2774/1000),Skills!K10/10)+Skills!N10</f>
        <v/>
      </c>
      <c r="G2774">
        <f>Calc!G10</f>
        <v/>
      </c>
      <c r="H2774">
        <f>Calc!H10</f>
        <v/>
      </c>
      <c r="I2774">
        <f>IF(Skills!T10&lt;&gt;"",1+(Skills!T10/10)*(Z2767/1000)/100,1)</f>
        <v/>
      </c>
      <c r="J2774">
        <f>((Inputs!$B$6*(1+Inputs!$B$7/100))+(((Inputs!$B$12*(1+Inputs!$B$13/100))-(Inputs!$B$12*(1+Inputs!$B$13/100)))+0.25*(Inputs!$B$14-Inputs!$B$14))*(1+Inputs!$B$7/100))*(F2774/100)</f>
        <v/>
      </c>
      <c r="K2774">
        <f>J2774*(1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10="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F2782-Calc!F18),(Inputs!$B$23+(IF(ArtifactsInput!$M$15,CHOOSE(ArtifactsInput!$N$15+1,25,30,35,40,45,50)/100*(Inputs!$B$11-Inputs!$B$11),0))))/100+(Inputs!$B$23+(IF(ArtifactsInput!$M$15,CHOOSE(ArtifactsInput!$N$15+1,25,30,35,40,45,50)/100*(Inputs!$B$11-Inputs!$B$11),0)))/100)/2</f>
        <v/>
      </c>
      <c r="M2774">
        <f>L2774*(1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(1-Summary!$B$11)*S2774+Summary!$B$11*U2774</f>
        <v/>
      </c>
      <c r="P2774">
        <f>IF(B2801=0,0,O2774/B2801)</f>
        <v/>
      </c>
      <c r="Q2774">
        <f>IFERROR(1/IF(Inputs!$B$38="pvp",15,MAX(0.1,Skills!D10-IF(Skills!E9=TRUE,3.5,0))),0)</f>
        <v/>
      </c>
      <c r="R2774">
        <f>IF(AND(Inputs!$B$38&lt;&gt;"pvp",Inputs!$B$43&gt;0),IF(MAX(0,Inputs!$B$43-B2798)&lt;=0,0,(INT(MAX(0,Inputs!$B$43-B2798)/IF(Inputs!$B$38="pvp",15,MAX(0.1,Skills!D10-IF(Skills!E9=TRUE,3.5,0))))+1)),0)</f>
        <v/>
      </c>
      <c r="S2774">
        <f>IF(C2774,(H2774*N2774*IF(AND(Inputs!$B$38&lt;&gt;"pvp",Inputs!$B$43&gt;0),((Skills!F10*((R2774-1)*IF(Skills!G10&gt;0,Skills!H10/Skills!G10,1)+IF(Skills!G10&gt;0,MIN(Skills!H10,MAX(0,MAX(0,Inputs!$B$43-B2798)-((R2774-1)*IF(Inputs!$B$38="pvp",15,MAX(0.1,Skills!D10-IF(Skills!E9=TRUE,3.5,0))))))/Skills!G10,1)))/Inputs!$B$43),G2774*Q2774))*IF(Inputs!$B$38="pvp",1,1+(Inputs!$B$20+Skills!O10+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2774*(1-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4">
        <f>IF(C2774,(H2774*N2774*IF(AND(Inputs!$B$38&lt;&gt;"pvp",Inputs!$B$43&gt;0),((Skills!F10*((R2774-1)*IF(Skills!G10&gt;0,Skills!H10/Skills!G10,1)+IF(Skills!G10&gt;0,MIN(Skills!H10,MAX(0,MAX(0,Inputs!$B$43-B2798)-((R2774-1)*IF(Inputs!$B$38="pvp",15,MAX(0.1,Skills!D10-IF(Skills!E9=TRUE,3.5,0))))))/Skills!G10,1)))/Inputs!$B$43),G2774*Q2774))*IF(Inputs!$B$38="pvp",1,(1+(Inputs!$B$21+Skills!P10+B2792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Skills!A11</f>
        <v/>
      </c>
      <c r="B2775">
        <f>Skills!B11</f>
        <v/>
      </c>
      <c r="C2775">
        <f>Inputs!$B$3&gt;=107</f>
        <v/>
      </c>
      <c r="D2775">
        <f>IF(Skills!C11=1,60+Inputs!$B$25+Inputs!$B$29,IF(Skills!C11=2,90+Inputs!$B$26+Inputs!$B$29,IF(Skills!C11=3,120+Inputs!$B$27+Inputs!$B$29,MAX(0,(Inputs!$B$3-100)*3)+Inputs!$B$28+Inputs!$B$29)))</f>
        <v/>
      </c>
      <c r="E2775">
        <f>INDEX(FactorTable!$B$2:$Y$301, MATCH(ROUND(MIN(300,MAX(1,D2775)),0), FactorTable!$A$2:$A$301,0), Skills!L11+1)</f>
        <v/>
      </c>
      <c r="F2775">
        <f>IF(Skills!M11=TRUE,(Skills!K11/10)*(E2775/1000),Skills!K11/10)+Skills!N11</f>
        <v/>
      </c>
      <c r="G2775">
        <f>Calc!G11</f>
        <v/>
      </c>
      <c r="H2775">
        <f>Calc!H11</f>
        <v/>
      </c>
      <c r="I2775">
        <f>IF(Skills!T11&lt;&gt;"",1+(Skills!T11/10)*(Z2767/1000)/100,1)</f>
        <v/>
      </c>
      <c r="J2775">
        <f>((Inputs!$B$6*(1+Inputs!$B$7/100))+(((Inputs!$B$12*(1+Inputs!$B$13/100))-(Inputs!$B$12*(1+Inputs!$B$13/100)))+0.25*(Inputs!$B$14-Inputs!$B$14))*(1+Inputs!$B$7/100))*(F2775/100)</f>
        <v/>
      </c>
      <c r="K2775">
        <f>J2775*(1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11="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2782-Calc!F18),(Inputs!$B$23+(IF(ArtifactsInput!$M$15,CHOOSE(ArtifactsInput!$N$15+1,25,30,35,40,45,50)/100*(Inputs!$B$11-Inputs!$B$11),0))))/100+(Inputs!$B$23+(IF(ArtifactsInput!$M$15,CHOOSE(ArtifactsInput!$N$15+1,25,30,35,40,45,50)/100*(Inputs!$B$11-Inputs!$B$11),0)))/100)/2</f>
        <v/>
      </c>
      <c r="M2775">
        <f>L2775*(1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IF(B2801=0,0,O2775/B2801)</f>
        <v/>
      </c>
      <c r="Q2775">
        <f>IFERROR(1/IF(Inputs!$B$38="pvp",15,MAX(0.1,Skills!D11-IF(Skills!E11=TRUE,3.5,0))),0)</f>
        <v/>
      </c>
      <c r="R2775">
        <f>IF(AND(Inputs!$B$38&lt;&gt;"pvp",Inputs!$B$43&gt;0),IF(MAX(0,Inputs!$B$43-B2798)&lt;=0,0,(INT(MAX(0,Inputs!$B$43-B2798)/IF(Inputs!$B$38="pvp",15,MAX(0.1,Skills!D11-IF(Skills!E11=TRUE,3.5,0))))+1)),0)</f>
        <v/>
      </c>
      <c r="S2775">
        <f>IF(C2775,H2775*N2775*IF(AND(Inputs!$B$38&lt;&gt;"pvp",Inputs!$B$43&gt;0),((Skills!F11*((R2775-1)*IF(Skills!G11&gt;0,Skills!H11/Skills!G11,1)+IF(Skills!G11&gt;0,MIN(Skills!H11,MAX(0,MAX(0,Inputs!$B$43-B2798)-((R2775-1)*IF(Inputs!$B$38="pvp",15,MAX(0.1,Skills!D11-IF(Skills!E11=TRUE,3.5,0))))))/Skills!G11,1)))/Inputs!$B$43),G2775*Q2775)*0.5*IF(Inputs!$B$38="pvp",1,1+(Inputs!$B$20+Skills!O11+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F11*((R2775-1)*IF(Skills!G11&gt;0,Skills!H11/Skills!G11,1)+IF(Skills!G11&gt;0,MIN(Skills!H11,MAX(0,MAX(0,Inputs!$B$43-B2798)-((R2775-1)*IF(Inputs!$B$38="pvp",15,MAX(0.1,Skills!D11-IF(Skills!E11=TRUE,3.5,0))))))/Skills!G11,1)))/Inputs!$B$43),G2775*Q2775)*1*IF(Inputs!$B$38="pvp",1,(1+(Inputs!$B$21+Skills!P11+B2792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Skills!A12</f>
        <v/>
      </c>
      <c r="B2776">
        <f>Skills!B12</f>
        <v/>
      </c>
      <c r="C2776">
        <f>Inputs!$B$3&gt;=115</f>
        <v/>
      </c>
      <c r="D2776">
        <f>IF(Skills!C12=1,60+Inputs!$B$25+Inputs!$B$29,IF(Skills!C12=2,90+Inputs!$B$26+Inputs!$B$29,IF(Skills!C12=3,120+Inputs!$B$27+Inputs!$B$29,MAX(0,(Inputs!$B$3-100)*3)+Inputs!$B$28+Inputs!$B$29)))</f>
        <v/>
      </c>
      <c r="E2776">
        <f>INDEX(FactorTable!$B$2:$Y$301, MATCH(ROUND(MIN(300,MAX(1,D2776)),0), FactorTable!$A$2:$A$301,0), Skills!L12+1)</f>
        <v/>
      </c>
      <c r="F2776">
        <f>IF(Skills!M12=TRUE,(Skills!K12/10)*(E2776/1000),Skills!K12/10)+Skills!N12</f>
        <v/>
      </c>
      <c r="G2776">
        <f>Calc!G12</f>
        <v/>
      </c>
      <c r="H2776">
        <f>Calc!H12</f>
        <v/>
      </c>
      <c r="I2776">
        <f>IF(Skills!T12&lt;&gt;"",1+(Skills!T12/10)*(Z2767/1000)/100,1)</f>
        <v/>
      </c>
      <c r="J2776">
        <f>((Inputs!$B$6*(1+Inputs!$B$7/100))+(((Inputs!$B$12*(1+Inputs!$B$13/100))-(Inputs!$B$12*(1+Inputs!$B$13/100)))+0.25*(Inputs!$B$14-Inputs!$B$14))*(1+Inputs!$B$7/100))*(F2776/100)</f>
        <v/>
      </c>
      <c r="K2776">
        <f>J2776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12="CHAIN_LIGHTNING",Inputs!$B$17+((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2782-Calc!F18),(Inputs!$B$23+(IF(ArtifactsInput!$M$15,CHOOSE(ArtifactsInput!$N$15+1,25,30,35,40,45,50)/100*(Inputs!$B$11-Inputs!$B$11),0))))/100+(Inputs!$B$23+(IF(ArtifactsInput!$M$15,CHOOSE(ArtifactsInput!$N$15+1,25,30,35,40,45,50)/100*(Inputs!$B$11-Inputs!$B$11),0)))/100)/2</f>
        <v/>
      </c>
      <c r="M2776">
        <f>L2776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IF(B2801=0,0,O2776/B2801)</f>
        <v/>
      </c>
      <c r="Q2776">
        <f>IFERROR(1/IF(Inputs!$B$38="pvp",15,MAX(0.1,Skills!D12-IF(Skills!E12=TRUE,3.5,0))),0)</f>
        <v/>
      </c>
      <c r="R2776">
        <f>IF(AND(Inputs!$B$38&lt;&gt;"pvp",Inputs!$B$43&gt;0),IF(MAX(0,Inputs!$B$43-B2798)&lt;=0,0,(INT(MAX(0,Inputs!$B$43-B2798)/IF(Inputs!$B$38="pvp",15,MAX(0.1,Skills!D12-IF(Skills!E12=TRUE,3.5,0))))+1)),0)</f>
        <v/>
      </c>
      <c r="S2776">
        <f>IF(C2776,(H2776*N2776*IF(AND(Inputs!$B$38&lt;&gt;"pvp",Inputs!$B$43&gt;0),((Skills!F12*((R2776-1)*IF(Skills!G12&gt;0,Skills!H12/Skills!G12,1)+IF(Skills!G12&gt;0,MIN(Skills!H12,MAX(0,MAX(0,Inputs!$B$43-B2798)-((R2776-1)*IF(Inputs!$B$38="pvp",15,MAX(0.1,Skills!D12-IF(Skills!E12=TRUE,3.5,0))))))/Skills!G12,1)))/Inputs!$B$43),G2776*Q2776))*IF(Inputs!$B$38="pvp",1,1+(Inputs!$B$20+Skills!O12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2784-Calc!F20)+(F2783-Calc!F19))+(ArtifactsInput!$M$24-ArtifactsInput!$M$24)*CHOOSE(ArtifactsInput!$N$24+1,10,12,14,16,18,20)+(IF(AND(Inputs!$B$38&lt;&gt;"pvp",Inputs!$B$43=0),1,IF(IF(Inputs!$B$38="pvp",15,Inputs!$B$43)-(B2798)&lt;=0,1,MAX(0,IF(Inputs!$B$38="pvp",15,Inputs!$B$43)-MAX(5,B2798))/(IF(Inputs!$B$38="pvp",15,Inputs!$B$43)-(B2798)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F12*((R2776-1)*IF(Skills!G12&gt;0,Skills!H12/Skills!G12,1)+IF(Skills!G12&gt;0,MIN(Skills!H12,MAX(0,MAX(0,Inputs!$B$43-B2798)-((R2776-1)*IF(Inputs!$B$38="pvp",15,MAX(0.1,Skills!D12-IF(Skills!E12=TRUE,3.5,0))))))/Skills!G12,1)))/Inputs!$B$43),G2776*Q2776))*IF(Inputs!$B$38="pvp",1,(1+(Inputs!$B$21+Skills!P12+B2792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Skills!A13</f>
        <v/>
      </c>
      <c r="B2777">
        <f>Skills!B13</f>
        <v/>
      </c>
      <c r="C2777">
        <f>Inputs!$B$3&gt;=49</f>
        <v/>
      </c>
      <c r="D2777">
        <f>IF(Skills!C13=1,60+Inputs!$B$25+Inputs!$B$29,IF(Skills!C13=2,90+Inputs!$B$26+Inputs!$B$29,IF(Skills!C13=3,120+Inputs!$B$27+Inputs!$B$29,MAX(0,(Inputs!$B$3-100)*3)+Inputs!$B$28+Inputs!$B$29)))</f>
        <v/>
      </c>
      <c r="E2777">
        <f>INDEX(FactorTable!$B$2:$Y$301, MATCH(ROUND(MIN(300,MAX(1,D2777)),0), FactorTable!$A$2:$A$301,0), Skills!L13+1)</f>
        <v/>
      </c>
      <c r="F2777">
        <f>IF(Skills!M13=TRUE,(Skills!K13/10)*(E2777/1000),Skills!K13/10)+Skills!N13</f>
        <v/>
      </c>
      <c r="G2777">
        <f>Calc!G13</f>
        <v/>
      </c>
      <c r="H2777">
        <f>Calc!H13</f>
        <v/>
      </c>
      <c r="I2777">
        <f>IF(Skills!T13&lt;&gt;"",1+(Skills!T13/10)*(Z2767/1000)/100,1)</f>
        <v/>
      </c>
      <c r="J2777" t="inlineStr"/>
      <c r="K2777" t="inlineStr"/>
      <c r="L2777" t="inlineStr"/>
      <c r="M2777" t="inlineStr"/>
      <c r="N2777" t="inlineStr"/>
      <c r="O2777">
        <f>(1-Summary!$B$11)*S2777+Summary!$B$11*U2777</f>
        <v/>
      </c>
      <c r="P2777">
        <f>IF(B2801=0,0,O2777/B2801)</f>
        <v/>
      </c>
      <c r="Q2777">
        <f>IFERROR(1/IF(Inputs!$B$38="pvp",15,MAX(0.1,Skills!D13-IF(Skills!E13=TRUE,3.5,0))),0)</f>
        <v/>
      </c>
      <c r="R2777" t="n">
        <v>0</v>
      </c>
      <c r="S2777" t="n">
        <v>0</v>
      </c>
      <c r="U2777" t="n">
        <v>0</v>
      </c>
    </row>
    <row r="2778">
      <c r="A2778">
        <f>Skills!A14</f>
        <v/>
      </c>
      <c r="B2778">
        <f>Skills!B14</f>
        <v/>
      </c>
      <c r="C2778">
        <f>Inputs!$B$3&gt;=72</f>
        <v/>
      </c>
      <c r="D2778">
        <f>IF(Skills!C14=1,60+Inputs!$B$25+Inputs!$B$29,IF(Skills!C14=2,90+Inputs!$B$26+Inputs!$B$29,IF(Skills!C14=3,120+Inputs!$B$27+Inputs!$B$29,MAX(0,(Inputs!$B$3-100)*3)+Inputs!$B$28+Inputs!$B$29)))</f>
        <v/>
      </c>
      <c r="E2778">
        <f>INDEX(FactorTable!$B$2:$Y$301, MATCH(ROUND(MIN(300,MAX(1,D2778)),0), FactorTable!$A$2:$A$301,0), Skills!L14+1)</f>
        <v/>
      </c>
      <c r="F2778">
        <f>IF(Skills!M14=TRUE,(Skills!K14/10)*(E2778/1000),Skills!K14/10)+Skills!N14</f>
        <v/>
      </c>
      <c r="G2778">
        <f>Calc!G14</f>
        <v/>
      </c>
      <c r="H2778">
        <f>Calc!H14</f>
        <v/>
      </c>
      <c r="I2778">
        <f>IF(Skills!T14&lt;&gt;"",1+(Skills!T14/10)*(Z2767/1000)/100,1)</f>
        <v/>
      </c>
      <c r="J2778" t="inlineStr"/>
      <c r="K2778" t="inlineStr"/>
      <c r="L2778" t="inlineStr"/>
      <c r="M2778" t="inlineStr"/>
      <c r="N2778" t="inlineStr"/>
      <c r="O2778">
        <f>(1-Summary!$B$11)*S2778+Summary!$B$11*U2778</f>
        <v/>
      </c>
      <c r="P2778">
        <f>IF(B2801=0,0,O2778/B2801)</f>
        <v/>
      </c>
      <c r="Q2778">
        <f>IFERROR(1/IF(Inputs!$B$38="pvp",15,MAX(0.1,Skills!D14-IF(Skills!E14=TRUE,3.5,0))),0)</f>
        <v/>
      </c>
      <c r="R2778" t="n">
        <v>0</v>
      </c>
      <c r="S2778" t="n">
        <v>0</v>
      </c>
      <c r="U2778" t="n">
        <v>0</v>
      </c>
    </row>
    <row r="2779">
      <c r="A2779">
        <f>Skills!A15</f>
        <v/>
      </c>
      <c r="B2779">
        <f>Skills!B15</f>
        <v/>
      </c>
      <c r="C2779">
        <f>Inputs!$B$3&gt;=75</f>
        <v/>
      </c>
      <c r="D2779">
        <f>IF(Skills!C15=1,60+Inputs!$B$25+Inputs!$B$29,IF(Skills!C15=2,90+Inputs!$B$26+Inputs!$B$29,IF(Skills!C15=3,120+Inputs!$B$27+Inputs!$B$29,MAX(0,(Inputs!$B$3-100)*3)+Inputs!$B$28+Inputs!$B$29)))</f>
        <v/>
      </c>
      <c r="E2779">
        <f>INDEX(FactorTable!$B$2:$Y$301, MATCH(ROUND(MIN(300,MAX(1,D2779)),0), FactorTable!$A$2:$A$301,0), Skills!L15+1)</f>
        <v/>
      </c>
      <c r="F2779">
        <f>IF(Skills!M15=TRUE,(Skills!K15/10)*(E2779/1000),Skills!K15/10)+Skills!N15</f>
        <v/>
      </c>
      <c r="G2779">
        <f>Calc!G15</f>
        <v/>
      </c>
      <c r="H2779">
        <f>Calc!H15</f>
        <v/>
      </c>
      <c r="I2779">
        <f>IF(Skills!T15&lt;&gt;"",1+(Skills!T15/10)*(Z2767/1000)/100,1)</f>
        <v/>
      </c>
      <c r="J2779" t="inlineStr"/>
      <c r="K2779" t="inlineStr"/>
      <c r="L2779" t="inlineStr"/>
      <c r="M2779" t="inlineStr"/>
      <c r="N2779" t="inlineStr"/>
      <c r="O2779">
        <f>(1-Summary!$B$11)*S2779+Summary!$B$11*U2779</f>
        <v/>
      </c>
      <c r="P2779">
        <f>IF(B2801=0,0,O2779/B2801)</f>
        <v/>
      </c>
      <c r="Q2779">
        <f>IFERROR(1/IF(Inputs!$B$38="pvp",15,MAX(0.1,Skills!D15-IF(Skills!E15=TRUE,3.5,0))),0)</f>
        <v/>
      </c>
      <c r="R2779" t="n">
        <v>0</v>
      </c>
      <c r="S2779" t="n">
        <v>0</v>
      </c>
      <c r="U2779" t="n">
        <v>0</v>
      </c>
    </row>
    <row r="2780">
      <c r="A2780">
        <f>Skills!A16</f>
        <v/>
      </c>
      <c r="B2780">
        <f>Skills!B16</f>
        <v/>
      </c>
      <c r="C2780">
        <f>Inputs!$B$3&gt;=110</f>
        <v/>
      </c>
      <c r="D2780">
        <f>IF(Skills!C16=1,60+Inputs!$B$25+Inputs!$B$29,IF(Skills!C16=2,90+Inputs!$B$26+Inputs!$B$29,IF(Skills!C16=3,120+Inputs!$B$27+Inputs!$B$29,MAX(0,(Inputs!$B$3-100)*3)+Inputs!$B$28+Inputs!$B$29)))</f>
        <v/>
      </c>
      <c r="E2780">
        <f>INDEX(FactorTable!$B$2:$Y$301, MATCH(ROUND(MIN(300,MAX(1,D2780)),0), FactorTable!$A$2:$A$301,0), Skills!L16+1)</f>
        <v/>
      </c>
      <c r="F2780">
        <f>(Skills!K16/10)*(E2780/1000)*64/45+Skills!N16</f>
        <v/>
      </c>
      <c r="G2780">
        <f>Calc!G16</f>
        <v/>
      </c>
      <c r="H2780">
        <f>Calc!H16</f>
        <v/>
      </c>
      <c r="I2780">
        <f>IF(Skills!T16&lt;&gt;"",1+(Skills!T16/10)*(Z2767/1000)/100,1)</f>
        <v/>
      </c>
      <c r="J2780" t="inlineStr"/>
      <c r="K2780" t="inlineStr"/>
      <c r="L2780" t="inlineStr"/>
      <c r="M2780" t="inlineStr"/>
      <c r="N2780" t="inlineStr"/>
      <c r="O2780">
        <f>(1-Summary!$B$11)*S2780+Summary!$B$11*U2780</f>
        <v/>
      </c>
      <c r="P2780">
        <f>IF(B2801=0,0,O2780/B2801)</f>
        <v/>
      </c>
      <c r="Q2780">
        <f>IFERROR(1/IF(Inputs!$B$38="pvp",15,MAX(0.1,Skills!D16-IF(Skills!E16=TRUE,3.5,0))),0)</f>
        <v/>
      </c>
      <c r="R2780">
        <f>IF(AND(Inputs!$B$38&lt;&gt;"pvp",Inputs!$B$43&gt;0),IF(Inputs!$B$43&lt;=0,0,(INT(Inputs!$B$43/IF(Inputs!$B$38="pvp",15,MAX(0.1,Skills!D16-IF(Skills!E16=TRUE,3.5,0))))+1)),0)</f>
        <v/>
      </c>
      <c r="S2780" t="n">
        <v>0</v>
      </c>
      <c r="U2780" t="n">
        <v>0</v>
      </c>
    </row>
    <row r="2781">
      <c r="A2781">
        <f>Skills!A17</f>
        <v/>
      </c>
      <c r="B2781">
        <f>Skills!B17</f>
        <v/>
      </c>
      <c r="C2781">
        <f>Inputs!$B$3&gt;=33</f>
        <v/>
      </c>
      <c r="D2781">
        <f>IF(Skills!C17=1,60+Inputs!$B$25+Inputs!$B$29,IF(Skills!C17=2,90+Inputs!$B$26+Inputs!$B$29,IF(Skills!C17=3,120+Inputs!$B$27+Inputs!$B$29,MAX(0,(Inputs!$B$3-100)*3)+Inputs!$B$28+Inputs!$B$29)))</f>
        <v/>
      </c>
      <c r="E2781">
        <f>INDEX(FactorTable!$B$2:$Y$301, MATCH(ROUND(MIN(300,MAX(1,D2781)),0), FactorTable!$A$2:$A$301,0), Skills!L17+1)</f>
        <v/>
      </c>
      <c r="F2781">
        <f>IF(Skills!M17=TRUE,(Skills!K17/10)*(E2781/1000),Skills!K17/10)+Skills!N17</f>
        <v/>
      </c>
      <c r="G2781">
        <f>Calc!G17</f>
        <v/>
      </c>
      <c r="H2781">
        <f>Calc!H17</f>
        <v/>
      </c>
      <c r="I2781">
        <f>IF(Skills!T17&lt;&gt;"",1+(Skills!T17/10)*(Z2767/1000)/100,1)</f>
        <v/>
      </c>
      <c r="J2781" t="inlineStr"/>
      <c r="K2781" t="inlineStr"/>
      <c r="L2781" t="inlineStr"/>
      <c r="M2781" t="inlineStr"/>
      <c r="N2781" t="inlineStr"/>
      <c r="O2781">
        <f>(1-Summary!$B$11)*S2781+Summary!$B$11*U2781</f>
        <v/>
      </c>
      <c r="P2781">
        <f>IF(B2801=0,0,O2781/B2801)</f>
        <v/>
      </c>
      <c r="Q2781">
        <f>IFERROR(1/IF(Inputs!$B$38="pvp",15,MAX(0.1,Skills!D17-IF(Skills!E17=TRUE,3.5,0))),0)</f>
        <v/>
      </c>
      <c r="R2781" t="n">
        <v>0</v>
      </c>
      <c r="S2781" t="n">
        <v>0</v>
      </c>
      <c r="U2781" t="n">
        <v>0</v>
      </c>
    </row>
    <row r="2782">
      <c r="A2782">
        <f>Skills!A18</f>
        <v/>
      </c>
      <c r="B2782">
        <f>Skills!B18</f>
        <v/>
      </c>
      <c r="C2782">
        <f>Inputs!$B$3&gt;=43</f>
        <v/>
      </c>
      <c r="D2782">
        <f>IF(Skills!C18=1,60+Inputs!$B$25+Inputs!$B$29,IF(Skills!C18=2,90+Inputs!$B$26+Inputs!$B$29,IF(Skills!C18=3,120+Inputs!$B$27+Inputs!$B$29,MAX(0,(Inputs!$B$3-100)*3)+Inputs!$B$28+Inputs!$B$29)))</f>
        <v/>
      </c>
      <c r="E2782">
        <f>INDEX(FactorTable!$B$2:$Y$301, MATCH(ROUND(MIN(300,MAX(1,D2782)),0), FactorTable!$A$2:$A$301,0), Skills!L18+1)</f>
        <v/>
      </c>
      <c r="F2782">
        <f>IF(Skills!M18=TRUE,(Skills!K18/10)*(E2782/1000),Skills!K18/10)+Skills!N18</f>
        <v/>
      </c>
      <c r="G2782">
        <f>Calc!G18</f>
        <v/>
      </c>
      <c r="H2782">
        <f>Calc!H18</f>
        <v/>
      </c>
      <c r="I2782">
        <f>IF(Skills!T18&lt;&gt;"",1+(Skills!T18/10)*(Z2767/1000)/100,1)</f>
        <v/>
      </c>
      <c r="J2782" t="inlineStr"/>
      <c r="K2782" t="inlineStr"/>
      <c r="L2782" t="inlineStr"/>
      <c r="M2782" t="inlineStr"/>
      <c r="N2782" t="inlineStr"/>
      <c r="O2782">
        <f>(1-Summary!$B$11)*S2782+Summary!$B$11*U2782</f>
        <v/>
      </c>
      <c r="P2782">
        <f>IF(B2801=0,0,O2782/B2801)</f>
        <v/>
      </c>
      <c r="Q2782">
        <f>IFERROR(1/IF(Inputs!$B$38="pvp",15,MAX(0.1,Skills!D18-IF(Skills!E18=TRUE,3.5,0))),0)</f>
        <v/>
      </c>
      <c r="R2782" t="n">
        <v>0</v>
      </c>
      <c r="S2782" t="n">
        <v>0</v>
      </c>
      <c r="U2782" t="n">
        <v>0</v>
      </c>
    </row>
    <row r="2783">
      <c r="A2783">
        <f>Skills!A19</f>
        <v/>
      </c>
      <c r="B2783">
        <f>Skills!B19</f>
        <v/>
      </c>
      <c r="C2783">
        <f>Inputs!$B$3&gt;=50</f>
        <v/>
      </c>
      <c r="D2783">
        <f>IF(Skills!C19=1,60+Inputs!$B$25+Inputs!$B$29,IF(Skills!C19=2,90+Inputs!$B$26+Inputs!$B$29,IF(Skills!C19=3,120+Inputs!$B$27+Inputs!$B$29,MAX(0,(Inputs!$B$3-100)*3)+Inputs!$B$28+Inputs!$B$29)))</f>
        <v/>
      </c>
      <c r="E2783">
        <f>INDEX(FactorTable!$B$2:$Y$301, MATCH(ROUND(MIN(300,MAX(1,D2783)),0), FactorTable!$A$2:$A$301,0), Skills!L19+1)</f>
        <v/>
      </c>
      <c r="F2783">
        <f>IF(Skills!M19=TRUE,(Skills!K19/10)*(E2783/1000),Skills!K19/10)+Skills!N19</f>
        <v/>
      </c>
      <c r="G2783">
        <f>Calc!G19</f>
        <v/>
      </c>
      <c r="H2783">
        <f>Calc!H19</f>
        <v/>
      </c>
      <c r="I2783">
        <f>IF(Skills!T19&lt;&gt;"",1+(Skills!T19/10)*(Z2767/1000)/100,1)</f>
        <v/>
      </c>
      <c r="J2783" t="inlineStr"/>
      <c r="K2783" t="inlineStr"/>
      <c r="L2783" t="inlineStr"/>
      <c r="M2783" t="inlineStr"/>
      <c r="N2783" t="inlineStr"/>
      <c r="O2783">
        <f>(1-Summary!$B$11)*S2783+Summary!$B$11*U2783</f>
        <v/>
      </c>
      <c r="P2783">
        <f>IF(B2801=0,0,O2783/B2801)</f>
        <v/>
      </c>
      <c r="Q2783">
        <f>IFERROR(1/IF(Inputs!$B$38="pvp",15,MAX(0.1,Skills!D19-IF(Skills!E19=TRUE,3.5,0))),0)</f>
        <v/>
      </c>
      <c r="R2783" t="n">
        <v>0</v>
      </c>
      <c r="S2783" t="n">
        <v>0</v>
      </c>
      <c r="U2783" t="n">
        <v>0</v>
      </c>
    </row>
    <row r="2784">
      <c r="A2784">
        <f>Skills!A20</f>
        <v/>
      </c>
      <c r="B2784">
        <f>Skills!B20</f>
        <v/>
      </c>
      <c r="C2784">
        <f>Inputs!$B$3&gt;=74</f>
        <v/>
      </c>
      <c r="D2784">
        <f>IF(Skills!C20=1,60+Inputs!$B$25+Inputs!$B$29,IF(Skills!C20=2,90+Inputs!$B$26+Inputs!$B$29,IF(Skills!C20=3,120+Inputs!$B$27+Inputs!$B$29,MAX(0,(Inputs!$B$3-100)*3)+Inputs!$B$28+Inputs!$B$29)))</f>
        <v/>
      </c>
      <c r="E2784">
        <f>INDEX(FactorTable!$B$2:$Y$301, MATCH(ROUND(MIN(300,MAX(1,D2784)),0), FactorTable!$A$2:$A$301,0), Skills!L20+1)</f>
        <v/>
      </c>
      <c r="F2784">
        <f>IF(Skills!M20=TRUE,(Skills!K20/10)*(E2784/1000),Skills!K20/10)+Skills!N20</f>
        <v/>
      </c>
      <c r="G2784">
        <f>Calc!G20</f>
        <v/>
      </c>
      <c r="H2784">
        <f>Calc!H20</f>
        <v/>
      </c>
      <c r="I2784">
        <f>IF(Skills!T20&lt;&gt;"",1+(Skills!T20/10)*(Z2767/1000)/100,1)</f>
        <v/>
      </c>
      <c r="J2784" t="inlineStr"/>
      <c r="K2784" t="inlineStr"/>
      <c r="L2784" t="inlineStr"/>
      <c r="M2784" t="inlineStr"/>
      <c r="N2784" t="inlineStr"/>
      <c r="O2784">
        <f>(1-Summary!$B$11)*S2784+Summary!$B$11*U2784</f>
        <v/>
      </c>
      <c r="P2784">
        <f>IF(B2801=0,0,O2784/B2801)</f>
        <v/>
      </c>
      <c r="Q2784">
        <f>IFERROR(1/IF(Inputs!$B$38="pvp",15,MAX(0.1,Skills!D20-IF(Skills!E20=TRUE,3.5,0))),0)</f>
        <v/>
      </c>
      <c r="R2784" t="n">
        <v>0</v>
      </c>
      <c r="S2784" t="n">
        <v>0</v>
      </c>
      <c r="U2784" t="n">
        <v>0</v>
      </c>
    </row>
    <row r="2785">
      <c r="A2785">
        <f>Skills!A21</f>
        <v/>
      </c>
      <c r="B2785">
        <f>Skills!B21</f>
        <v/>
      </c>
      <c r="C2785">
        <f>Inputs!$B$3&gt;=74</f>
        <v/>
      </c>
      <c r="D2785">
        <f>IF(Skills!C21=1,60+Inputs!$B$25+Inputs!$B$29,IF(Skills!C21=2,90+Inputs!$B$26+Inputs!$B$29,IF(Skills!C21=3,120+Inputs!$B$27+Inputs!$B$29,MAX(0,(Inputs!$B$3-100)*3)+Inputs!$B$28+Inputs!$B$29)))</f>
        <v/>
      </c>
      <c r="E2785">
        <f>INDEX(FactorTable!$B$2:$Y$301, MATCH(ROUND(MIN(300,MAX(1,D2785)),0), FactorTable!$A$2:$A$301,0), Skills!L21+1)</f>
        <v/>
      </c>
      <c r="F2785">
        <f>IF(Skills!M21=TRUE,(Skills!K21/10)*(E2785/1000),Skills!K21/10)+Skills!N21</f>
        <v/>
      </c>
      <c r="G2785">
        <f>Calc!G21</f>
        <v/>
      </c>
      <c r="H2785">
        <f>Calc!H21</f>
        <v/>
      </c>
      <c r="I2785">
        <f>IF(Skills!T21&lt;&gt;"",1+(Skills!T21/10)*(Z2767/1000)/100,1)</f>
        <v/>
      </c>
      <c r="J2785" t="inlineStr"/>
      <c r="K2785" t="inlineStr"/>
      <c r="L2785" t="inlineStr"/>
      <c r="M2785" t="inlineStr"/>
      <c r="N2785" t="inlineStr"/>
      <c r="O2785">
        <f>(1-Summary!$B$11)*S2785+Summary!$B$11*U2785</f>
        <v/>
      </c>
      <c r="P2785">
        <f>IF(B2801=0,0,O2785/B2801)</f>
        <v/>
      </c>
      <c r="Q2785">
        <f>IFERROR(1/IF(Inputs!$B$38="pvp",15,MAX(0.1,Skills!D21-IF(Skills!E21=TRUE,3.5,0))),0)</f>
        <v/>
      </c>
      <c r="R2785" t="n">
        <v>0</v>
      </c>
      <c r="S2785" t="n">
        <v>0</v>
      </c>
      <c r="U2785" t="n">
        <v>0</v>
      </c>
    </row>
    <row r="2786">
      <c r="A2786">
        <f>Skills!A22</f>
        <v/>
      </c>
      <c r="B2786">
        <f>Skills!B22</f>
        <v/>
      </c>
      <c r="C2786">
        <f>Inputs!$B$3&gt;=117</f>
        <v/>
      </c>
      <c r="D2786">
        <f>IF(Skills!C22=1,60+Inputs!$B$25+Inputs!$B$29,IF(Skills!C22=2,90+Inputs!$B$26+Inputs!$B$29,IF(Skills!C22=3,120+Inputs!$B$27+Inputs!$B$29,MAX(0,(Inputs!$B$3-100)*3)+Inputs!$B$28+Inputs!$B$29)))</f>
        <v/>
      </c>
      <c r="E2786">
        <f>INDEX(FactorTable!$B$2:$Y$301, MATCH(ROUND(MIN(300,MAX(1,D2786)),0), FactorTable!$A$2:$A$301,0), Skills!L22+1)</f>
        <v/>
      </c>
      <c r="F2786">
        <f>IF(Skills!M22=TRUE,(Skills!K22/10)*(E2786/1000),Skills!K22/10)+Skills!N22</f>
        <v/>
      </c>
      <c r="G2786">
        <f>Calc!G22</f>
        <v/>
      </c>
      <c r="H2786">
        <f>Calc!H22</f>
        <v/>
      </c>
      <c r="I2786">
        <f>IF(Skills!T22&lt;&gt;"",1+(Skills!T22/10)*(Z2767/1000)/100,1)</f>
        <v/>
      </c>
      <c r="J2786" t="inlineStr"/>
      <c r="K2786" t="inlineStr"/>
      <c r="L2786" t="inlineStr"/>
      <c r="M2786" t="inlineStr"/>
      <c r="N2786" t="inlineStr"/>
      <c r="O2786">
        <f>(1-Summary!$B$11)*S2786+Summary!$B$11*U2786</f>
        <v/>
      </c>
      <c r="P2786">
        <f>IF(B2801=0,0,O2786/B2801)</f>
        <v/>
      </c>
      <c r="Q2786">
        <f>IFERROR(1/IF(Inputs!$B$38="pvp",15,MAX(0.1,Skills!D22-IF(Skills!E22=TRUE,3.5,0))),0)</f>
        <v/>
      </c>
      <c r="R2786" t="n">
        <v>0</v>
      </c>
      <c r="S2786" t="n">
        <v>0</v>
      </c>
      <c r="U2786" t="n">
        <v>0</v>
      </c>
    </row>
    <row r="2787">
      <c r="A2787">
        <f>Skills!A23</f>
        <v/>
      </c>
      <c r="B2787">
        <f>Skills!B23</f>
        <v/>
      </c>
      <c r="C2787">
        <f>Inputs!$B$3&gt;=120</f>
        <v/>
      </c>
      <c r="D2787">
        <f>IF(Skills!C23=1,60+Inputs!$B$25+Inputs!$B$29,IF(Skills!C23=2,90+Inputs!$B$26+Inputs!$B$29,IF(Skills!C23=3,120+Inputs!$B$27+Inputs!$B$29,MAX(0,(Inputs!$B$3-100)*3)+Inputs!$B$28+Inputs!$B$29)))</f>
        <v/>
      </c>
      <c r="E2787">
        <f>INDEX(FactorTable!$B$2:$Y$301, MATCH(ROUND(MIN(300,MAX(1,D2787)),0), FactorTable!$A$2:$A$301,0), Skills!L23+1)</f>
        <v/>
      </c>
      <c r="F2787">
        <f>IF(Skills!M23=TRUE,(Skills!K23/10)*(E2787/1000),Skills!K23/10)+Skills!N23</f>
        <v/>
      </c>
      <c r="G2787">
        <f>Calc!G23</f>
        <v/>
      </c>
      <c r="H2787">
        <f>Calc!H23</f>
        <v/>
      </c>
      <c r="I2787">
        <f>IF(Skills!T23&lt;&gt;"",1+(Skills!T23/10)*(Z2767/1000)/100,1)</f>
        <v/>
      </c>
      <c r="J2787" t="inlineStr"/>
      <c r="K2787" t="inlineStr"/>
      <c r="L2787" t="inlineStr"/>
      <c r="M2787" t="inlineStr"/>
      <c r="N2787" t="inlineStr"/>
      <c r="O2787">
        <f>(1-Summary!$B$11)*S2787+Summary!$B$11*U2787</f>
        <v/>
      </c>
      <c r="P2787">
        <f>IF(B2801=0,0,O2787/B2801)</f>
        <v/>
      </c>
      <c r="Q2787">
        <f>IFERROR(1/IF(Inputs!$B$38="pvp",15,MAX(0.1,Skills!D23-IF(Skills!E23=TRUE,3.5,0))),0)</f>
        <v/>
      </c>
      <c r="R2787" t="n">
        <v>0</v>
      </c>
      <c r="S2787" t="n">
        <v>0</v>
      </c>
      <c r="U2787" t="n">
        <v>0</v>
      </c>
    </row>
    <row r="2788">
      <c r="A2788">
        <f>Skills!A24</f>
        <v/>
      </c>
      <c r="B2788">
        <f>Skills!B24</f>
        <v/>
      </c>
      <c r="C2788">
        <f>TRUE</f>
        <v/>
      </c>
      <c r="D2788">
        <f>IF(Skills!C24=1,60+Inputs!$B$25+Inputs!$B$29,IF(Skills!C24=2,90+Inputs!$B$26+Inputs!$B$29,IF(Skills!C24=3,120+Inputs!$B$27+Inputs!$B$29,MAX(0,(Inputs!$B$3-100)*3)+Inputs!$B$28+Inputs!$B$29)))</f>
        <v/>
      </c>
      <c r="E2788">
        <f>INDEX(FactorTable!$B$2:$Y$301, MATCH(ROUND(MIN(300,MAX(1,D2788)),0), FactorTable!$A$2:$A$301,0), Skills!L24+1)</f>
        <v/>
      </c>
      <c r="F2788">
        <f>IF(Skills!M24=TRUE,(Skills!K24/10)*(E2788/1000),Skills!K24/10)+Skills!N24</f>
        <v/>
      </c>
      <c r="G2788">
        <f>Calc!G24</f>
        <v/>
      </c>
      <c r="H2788">
        <f>Calc!H24</f>
        <v/>
      </c>
      <c r="I2788">
        <f>IF(Skills!T24&lt;&gt;"",1+(Skills!T24/10)*(Z2767/1000)/100,1)</f>
        <v/>
      </c>
      <c r="J2788" t="inlineStr"/>
      <c r="K2788" t="inlineStr"/>
      <c r="L2788" t="inlineStr"/>
      <c r="M2788" t="inlineStr"/>
      <c r="N2788" t="inlineStr"/>
      <c r="O2788">
        <f>(1-Summary!$B$11)*S2788+Summary!$B$11*U2788</f>
        <v/>
      </c>
      <c r="P2788">
        <f>IF(B2801=0,0,O2788/B2801)</f>
        <v/>
      </c>
      <c r="Q2788">
        <f>IFERROR(1/IF(Inputs!$B$38="pvp",15,MAX(0.1,Skills!D24-IF(Skills!E24=TRUE,3.5,0))),0)</f>
        <v/>
      </c>
      <c r="R2788">
        <f>IF(AND(Inputs!$B$38&lt;&gt;"pvp",Inputs!$B$43&gt;0),IF(Inputs!$B$43&lt;=0,0,(INT(Inputs!$B$43/IF(Inputs!$B$38="pvp",15,MAX(0.1,Skills!D24-IF(Skills!E24=TRUE,3.5,0))))+1)),0)</f>
        <v/>
      </c>
      <c r="S2788" t="n">
        <v>0</v>
      </c>
      <c r="U2788" t="n">
        <v>0</v>
      </c>
    </row>
    <row r="2791">
      <c r="A2791" t="inlineStr">
        <is>
          <t>Average Buff Multiplier (Magic Guard + Meditation + Artifact Attack%, summed; then Infinity)</t>
        </is>
      </c>
      <c r="B2791">
        <f>(1+(IF(C2767=TRUE,F2767*IF(AND(Inputs!$B$38&lt;&gt;"pvp",Inputs!$B$43&gt;0),(((R2767-1)*(Skills!S3*(1+(Inputs!$B$34)/100))+MIN((Skills!S3*(1+(Inputs!$B$34)/100)),MAX(0,Inputs!$B$43-((R2767-1)*Skills!D3))))/Inputs!$B$43),IF(Inputs!$B$38="pvp",MIN((Skills!S3*(1+(Inputs!$B$34)/100)),15)/15,(Skills!S3*(1+(Inputs!$B$34)/100))/Skills!D3)),0)+IF(C2768=TRUE,F2768*IF(AND(Inputs!$B$38&lt;&gt;"pvp",Inputs!$B$43&gt;0),(((R2768-1)*(Skills!S4*(1+(Inputs!$B$34)/100))+MIN((Skills!S4*(1+(Inputs!$B$34)/100)),MAX(0,Inputs!$B$43-((R2768-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2780=TRUE,(1+F2780*IF(AND(Inputs!$B$38&lt;&gt;"pvp",Inputs!$B$43&gt;0),(((R2780-1)*(Skills!S16*(1+(Inputs!$B$34)/100))+MIN((Skills!S16*(1+(Inputs!$B$34)/100)),MAX(0,Inputs!$B$43-((R2780-1)*Skills!D16))))/Inputs!$B$43),IF(Inputs!$B$38="pvp",MIN((Skills!S16*(1+(Inputs!$B$34)/100)),15)/15,(Skills!S16*(1+(Inputs!$B$34)/100))/Skills!D16))/100),1)</f>
        <v/>
      </c>
    </row>
    <row r="2792">
      <c r="A2792" t="inlineStr">
        <is>
          <t>Monster Damage Taken Bonus % (Freezing Breath - Weaken + Elemental Reset + Artifact Enemy Damage Taken, summed)</t>
        </is>
      </c>
      <c r="B2792">
        <f>IF(Inputs!$B$3&gt;=118,15*IF(Inputs!$B$38="pvp",MIN((30*(1+(Inputs!$B$34)/100)),15)/15,(30*(1+(Inputs!$B$34)/100))/Skills!D8),0)+IF(C2778=TRUE,F2778,0)+(IF(AND(ArtifactsInput!$M$35,Inputs!$B$4&lt;&gt;"Chapter Hunt"),CHOOSE(ArtifactsInput!$N$35+1,15,18,21,24,27,30)*(1-EXP(-(0.2*B2795)*5)),0)+IF(AND(ArtifactsInput!$M$22,Inputs!$B$4&lt;&gt;"Chapter Hunt"),CHOOSE(ArtifactsInput!$N$22+1,10,12,14,16,18,20)*((0*(((0.15*B2795*5))^0/1)+1*(((0.15*B2795*5))^1/1)+2*(((0.15*B2795*5))^2/2)+3*(((0.15*B2795*5))^3/6)+4*(((0.15*B2795*5))^4/24)+5*(((0.15*B2795*5))^5/120))/((((0.15*B2795*5))^0/1)+(((0.15*B2795*5))^1/1)+(((0.15*B2795*5))^2/2)+(((0.15*B2795*5))^3/6)+(((0.15*B2795*5))^4/24)+(((0.15*B2795*5))^5/120))),0))</f>
        <v/>
      </c>
    </row>
    <row r="2793">
      <c r="A2793" t="inlineStr">
        <is>
          <t>Damage % Bonus (Frozen Break + Frost Clutch, flat)</t>
        </is>
      </c>
      <c r="B2793">
        <f>IF(Inputs!$B$3&gt;=66,15,0)+IF(Inputs!$B$3&gt;=98,10,0)+IF(Inputs!$B$3&gt;=125,20,0)</f>
        <v/>
      </c>
    </row>
    <row r="2794">
      <c r="A2794" t="inlineStr">
        <is>
          <t>Attack Speed Bonus % (MP Eater - MP Boost, always-on + Nimble Feet, duty-cycle averaged)</t>
        </is>
      </c>
      <c r="B2794">
        <f>IF(C2777=TRUE,F2777+(F2781-Calc!F17),0)+((C2788=TRUE)*F2788*IF(AND(Inputs!$B$38&lt;&gt;"pvp",Inputs!$B$43&gt;0),(((R2788-1)*(Skills!S24*(1+(Inputs!$B$34)/100))+MIN((Skills!S24*(1+(Inputs!$B$34)/100)),MAX(0,Inputs!$B$43-((R2788-1)*Skills!D24))))/Inputs!$B$43),IF(Inputs!$B$38="pvp",MIN((Skills!S24*(1+(Inputs!$B$34)/100)),15)/15,(Skills!S24*(1+(Inputs!$B$34)/100))/Skills!D24)))</f>
        <v/>
      </c>
    </row>
    <row r="2795">
      <c r="A2795" t="inlineStr">
        <is>
          <t>Actions Per Second</t>
        </is>
      </c>
      <c r="B2795">
        <f>1+MIN(150,150*(1-(1-(Inputs!$B$11+(ArtifactsInput!$M$15-ArtifactsInput!$M$15)*CHOOSE(ArtifactsInput!$N$15+1,8,9.6,11.2,12.8,14.4,16))/150)*(1-B2794/150)))/100</f>
        <v/>
      </c>
    </row>
    <row r="2796">
      <c r="A2796" t="inlineStr">
        <is>
          <t>Skill + Buff Cast Rate</t>
        </is>
      </c>
      <c r="B2796">
        <f>IF(AND(Inputs!$B$38&lt;&gt;"pvp",Inputs!$B$43&gt;0),SUMPRODUCT((Skills!E2:E24=TRUE)*(C2766:C2788=TRUE)*R2766:R2788)/Inputs!$B$43,SUMPRODUCT((Skills!E2:E24=TRUE)*(C2766:C2788=TRUE)*Q2766:Q2788))</f>
        <v/>
      </c>
    </row>
    <row r="2797">
      <c r="A2797" t="inlineStr">
        <is>
          <t>Chain Lightning Casts Per Second</t>
        </is>
      </c>
      <c r="B2797">
        <f>MAX(0,B2795-B2796)</f>
        <v/>
      </c>
    </row>
    <row r="2798">
      <c r="A2798" t="inlineStr">
        <is>
          <t>Buff-Casting Startup Delay (s, fixed-duration only)</t>
        </is>
      </c>
      <c r="B2798">
        <f>IF(AND(Inputs!$B$38&lt;&gt;"pvp",Inputs!$B$43&gt;0),SUMPRODUCT((Skills!S2:S24&gt;0)*(Skills!E2:E24=TRUE)*(C2766:C2788=TRUE))/B2795,0)</f>
        <v/>
      </c>
    </row>
    <row r="2799">
      <c r="A2799" t="inlineStr">
        <is>
          <t>Boss-Only Total DPS (this block's swept value)</t>
        </is>
      </c>
      <c r="B2799">
        <f>SUM(S2766:S2788)</f>
        <v/>
      </c>
    </row>
    <row r="2800">
      <c r="A2800" t="inlineStr">
        <is>
          <t>Normal-Only Total DPS (this block's swept value)</t>
        </is>
      </c>
      <c r="B2800">
        <f>SUM(U2766:U2788)</f>
        <v/>
      </c>
    </row>
    <row r="2801">
      <c r="A2801" s="6" t="inlineStr">
        <is>
          <t>TOTAL DPS</t>
        </is>
      </c>
      <c r="B2801" s="6">
        <f>SUM(O2766:O2788)</f>
        <v/>
      </c>
    </row>
    <row r="2804">
      <c r="A2804" s="6" t="inlineStr">
        <is>
          <t>Stat: CDR = 4.0s</t>
        </is>
      </c>
    </row>
    <row r="2805">
      <c r="A2805" s="5" t="inlineStr">
        <is>
          <t>Key</t>
        </is>
      </c>
      <c r="B2805" s="5" t="inlineStr">
        <is>
          <t>Name</t>
        </is>
      </c>
      <c r="C2805" s="5" t="inlineStr">
        <is>
          <t>Unlocked</t>
        </is>
      </c>
      <c r="D2805" s="5" t="inlineStr">
        <is>
          <t>InputLevel</t>
        </is>
      </c>
      <c r="E2805" s="5" t="inlineStr">
        <is>
          <t>Factor</t>
        </is>
      </c>
      <c r="F2805" s="5" t="inlineStr">
        <is>
          <t>CoefficientPercent</t>
        </is>
      </c>
      <c r="G2805" s="5" t="inlineStr">
        <is>
          <t>EffectiveHits</t>
        </is>
      </c>
      <c r="H2805" s="5" t="inlineStr">
        <is>
          <t>ProcProbability</t>
        </is>
      </c>
      <c r="I2805" s="5" t="inlineStr">
        <is>
          <t>MapleHeroMultiplier</t>
        </is>
      </c>
      <c r="J2805" s="5" t="inlineStr">
        <is>
          <t>BaseDamage</t>
        </is>
      </c>
      <c r="K2805" s="5" t="inlineStr">
        <is>
          <t>BaseHitDamage</t>
        </is>
      </c>
      <c r="L2805" s="5" t="inlineStr">
        <is>
          <t>NonCritAvg</t>
        </is>
      </c>
      <c r="M2805" s="5" t="inlineStr">
        <is>
          <t>CritAvg</t>
        </is>
      </c>
      <c r="N2805" s="5" t="inlineStr">
        <is>
          <t>ExpectedDamage(perHit)</t>
        </is>
      </c>
      <c r="O2805" s="5" t="inlineStr">
        <is>
          <t>DPS</t>
        </is>
      </c>
      <c r="P2805" s="5" t="inlineStr">
        <is>
          <t>% of Total</t>
        </is>
      </c>
      <c r="R2805" t="inlineStr">
        <is>
          <t>helpers</t>
        </is>
      </c>
    </row>
    <row r="2806">
      <c r="A2806">
        <f>Skills!A2</f>
        <v/>
      </c>
      <c r="B2806">
        <f>Skills!B2</f>
        <v/>
      </c>
      <c r="C2806">
        <f>Inputs!$B$3&gt;=100</f>
        <v/>
      </c>
      <c r="D2806" t="inlineStr"/>
      <c r="E2806" t="inlineStr"/>
      <c r="F2806">
        <f>T2808+Skills!N2</f>
        <v/>
      </c>
      <c r="G2806">
        <f>Calc!G2</f>
        <v/>
      </c>
      <c r="H2806">
        <f>Calc!H2</f>
        <v/>
      </c>
      <c r="I2806">
        <f>IF(Skills!T2&lt;&gt;"",1+(Skills!T2/10)*(Z2807/1000)/100,1)</f>
        <v/>
      </c>
      <c r="J2806">
        <f>((Inputs!$B$6*(1+Inputs!$B$7/100))+(((Inputs!$B$12*(1+Inputs!$B$13/100))-(Inputs!$B$12*(1+Inputs!$B$13/100)))+0.25*(Inputs!$B$14-Inputs!$B$14))*(1+Inputs!$B$7/100))*(F2806/100)</f>
        <v/>
      </c>
      <c r="K2806">
        <f>J2806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2="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F2822-Calc!F18),(Inputs!$B$23+(IF(ArtifactsInput!$M$15,CHOOSE(ArtifactsInput!$N$15+1,25,30,35,40,45,50)/100*(Inputs!$B$11-Inputs!$B$11),0))))/100+(Inputs!$B$23+(IF(ArtifactsInput!$M$15,CHOOSE(ArtifactsInput!$N$15+1,25,30,35,40,45,50)/100*(Inputs!$B$11-Inputs!$B$11),0)))/100)/2</f>
        <v/>
      </c>
      <c r="M2806">
        <f>L2806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(1-Summary!$B$11)*S2806+Summary!$B$11*U2806</f>
        <v/>
      </c>
      <c r="P2806">
        <f>IF(B2841=0,0,O2806/B2841)</f>
        <v/>
      </c>
      <c r="Q2806">
        <f>IFERROR(1/IF(Inputs!$B$38="pvp",15,MAX(0.1,Skills!D2-IF(Skills!E2=TRUE,4.0,0))),0)</f>
        <v/>
      </c>
      <c r="R2806" t="n">
        <v>0</v>
      </c>
      <c r="S2806">
        <f>IF(C2806,(Skills!F2*N2806*B2837)*IF(Inputs!$B$38="pvp",1,1+(Inputs!$B$20+Skills!O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2806*(1-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06">
        <f>MAX(0,(Inputs!$B$3-100)*3)+Inputs!$B$28+Inputs!$B$29</f>
        <v/>
      </c>
      <c r="U2806">
        <f>IF(C2806,(Skills!F2*N2806*B2837)*IF(Inputs!$B$38="pvp",1,(1+(Inputs!$B$21+Skills!P2+B2832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06">
        <f>MAX(0,(Inputs!$B$3-100)*3)+Inputs!$B$28+Inputs!$B$29</f>
        <v/>
      </c>
    </row>
    <row r="2807">
      <c r="A2807">
        <f>Skills!A3</f>
        <v/>
      </c>
      <c r="B2807">
        <f>Skills!B3</f>
        <v/>
      </c>
      <c r="C2807">
        <f>Inputs!$B$3&gt;=15</f>
        <v/>
      </c>
      <c r="D2807">
        <f>IF(Skills!C3=1,60+Inputs!$B$25+Inputs!$B$29,IF(Skills!C3=2,90+Inputs!$B$26+Inputs!$B$29,IF(Skills!C3=3,120+Inputs!$B$27+Inputs!$B$29,MAX(0,(Inputs!$B$3-100)*3)+Inputs!$B$28+Inputs!$B$29)))</f>
        <v/>
      </c>
      <c r="E2807">
        <f>INDEX(FactorTable!$B$2:$Y$301, MATCH(ROUND(MIN(300,MAX(1,D2807)),0), FactorTable!$A$2:$A$301,0), Skills!L3+1)</f>
        <v/>
      </c>
      <c r="F2807">
        <f>IF(Skills!M3=TRUE,(Skills!K3/10)*(E2807/1000),Skills!K3/10)+Skills!N3</f>
        <v/>
      </c>
      <c r="G2807">
        <f>Calc!G3</f>
        <v/>
      </c>
      <c r="H2807">
        <f>Calc!H3</f>
        <v/>
      </c>
      <c r="I2807">
        <f>IF(Skills!T3&lt;&gt;"",1+(Skills!T3/10)*(Z2807/1000)/100,1)</f>
        <v/>
      </c>
      <c r="J2807" t="inlineStr"/>
      <c r="K2807" t="inlineStr"/>
      <c r="L2807" t="inlineStr"/>
      <c r="M2807" t="inlineStr"/>
      <c r="N2807" t="inlineStr"/>
      <c r="O2807">
        <f>(1-Summary!$B$11)*S2807+Summary!$B$11*U2807</f>
        <v/>
      </c>
      <c r="P2807">
        <f>IF(B2841=0,0,O2807/B2841)</f>
        <v/>
      </c>
      <c r="Q2807">
        <f>IFERROR(1/IF(Inputs!$B$38="pvp",15,MAX(0.1,Skills!D3-IF(Skills!E3=TRUE,4.0,0))),0)</f>
        <v/>
      </c>
      <c r="R2807">
        <f>IF(AND(Inputs!$B$38&lt;&gt;"pvp",Inputs!$B$43&gt;0),IF(Inputs!$B$43&lt;=0,0,(INT(Inputs!$B$43/IF(Inputs!$B$38="pvp",15,MAX(0.1,Skills!D3-IF(Skills!E3=TRUE,4.0,0))))+1)),0)</f>
        <v/>
      </c>
      <c r="S2807" t="n">
        <v>0</v>
      </c>
      <c r="T2807">
        <f>INDEX(FactorTable!$B$2:$Y$301, MATCH(ROUND(MIN(300,MAX(1,T2806)),0), FactorTable!$A$2:$A$301,0), 22)</f>
        <v/>
      </c>
      <c r="U2807" t="n">
        <v>0</v>
      </c>
      <c r="Z2807">
        <f>INDEX(FactorTable!$B$2:$Y$301, MATCH(ROUND(MIN(300,MAX(1,Z2806)),0), FactorTable!$A$2:$A$301,0), 24)</f>
        <v/>
      </c>
    </row>
    <row r="2808">
      <c r="A2808">
        <f>Skills!A4</f>
        <v/>
      </c>
      <c r="B2808">
        <f>Skills!B4</f>
        <v/>
      </c>
      <c r="C2808">
        <f>Inputs!$B$3&gt;=40</f>
        <v/>
      </c>
      <c r="D2808">
        <f>IF(Skills!C4=1,60+Inputs!$B$25+Inputs!$B$29,IF(Skills!C4=2,90+Inputs!$B$26+Inputs!$B$29,IF(Skills!C4=3,120+Inputs!$B$27+Inputs!$B$29,MAX(0,(Inputs!$B$3-100)*3)+Inputs!$B$28+Inputs!$B$29)))</f>
        <v/>
      </c>
      <c r="E2808">
        <f>INDEX(FactorTable!$B$2:$Y$301, MATCH(ROUND(MIN(300,MAX(1,D2808)),0), FactorTable!$A$2:$A$301,0), Skills!L4+1)</f>
        <v/>
      </c>
      <c r="F2808">
        <f>IF(Skills!M4=TRUE,(Skills!K4/10)*(E2808/1000),Skills!K4/10)+Skills!N4</f>
        <v/>
      </c>
      <c r="G2808">
        <f>Calc!G4</f>
        <v/>
      </c>
      <c r="H2808">
        <f>Calc!H4</f>
        <v/>
      </c>
      <c r="I2808">
        <f>IF(Skills!T4&lt;&gt;"",1+(Skills!T4/10)*(Z2807/1000)/100,1)</f>
        <v/>
      </c>
      <c r="J2808" t="inlineStr"/>
      <c r="K2808" t="inlineStr"/>
      <c r="L2808" t="inlineStr"/>
      <c r="M2808" t="inlineStr"/>
      <c r="N2808" t="inlineStr"/>
      <c r="O2808">
        <f>(1-Summary!$B$11)*S2808+Summary!$B$11*U2808</f>
        <v/>
      </c>
      <c r="P2808">
        <f>IF(B2841=0,0,O2808/B2841)</f>
        <v/>
      </c>
      <c r="Q2808">
        <f>IFERROR(1/IF(Inputs!$B$38="pvp",15,MAX(0.1,Skills!D4-IF(Skills!E4=TRUE,4.0,0))),0)</f>
        <v/>
      </c>
      <c r="R2808">
        <f>IF(AND(Inputs!$B$38&lt;&gt;"pvp",Inputs!$B$43&gt;0),IF(Inputs!$B$43&lt;=0,0,(INT(Inputs!$B$43/IF(Inputs!$B$38="pvp",15,MAX(0.1,Skills!D4-IF(Skills!E4=TRUE,4.0,0))))+1)),0)</f>
        <v/>
      </c>
      <c r="S2808" t="n">
        <v>0</v>
      </c>
      <c r="T2808">
        <f>290*T2807/1000</f>
        <v/>
      </c>
      <c r="U2808" t="n">
        <v>0</v>
      </c>
    </row>
    <row r="2809">
      <c r="A2809">
        <f>Skills!A5</f>
        <v/>
      </c>
      <c r="B2809">
        <f>Skills!B5</f>
        <v/>
      </c>
      <c r="C2809">
        <f>Inputs!$B$3&gt;=38</f>
        <v/>
      </c>
      <c r="D2809">
        <f>IF(Skills!C5=1,60+Inputs!$B$25+Inputs!$B$29,IF(Skills!C5=2,90+Inputs!$B$26+Inputs!$B$29,IF(Skills!C5=3,120+Inputs!$B$27+Inputs!$B$29,MAX(0,(Inputs!$B$3-100)*3)+Inputs!$B$28+Inputs!$B$29)))</f>
        <v/>
      </c>
      <c r="E2809">
        <f>INDEX(FactorTable!$B$2:$Y$301, MATCH(ROUND(MIN(300,MAX(1,D2809)),0), FactorTable!$A$2:$A$301,0), Skills!L5+1)</f>
        <v/>
      </c>
      <c r="F2809">
        <f>IF(Skills!M5=TRUE,(Skills!K5/10)*(E2809/1000),Skills!K5/10)+Skills!N5</f>
        <v/>
      </c>
      <c r="G2809">
        <f>Calc!G5</f>
        <v/>
      </c>
      <c r="H2809">
        <f>Calc!H5</f>
        <v/>
      </c>
      <c r="I2809">
        <f>IF(Skills!T5&lt;&gt;"",1+(Skills!T5/10)*(Z2807/1000)/100,1)</f>
        <v/>
      </c>
      <c r="J2809">
        <f>((Inputs!$B$6*(1+Inputs!$B$7/100))+(((Inputs!$B$12*(1+Inputs!$B$13/100))-(Inputs!$B$12*(1+Inputs!$B$13/100)))+0.25*(Inputs!$B$14-Inputs!$B$14))*(1+Inputs!$B$7/100))*(F2809/100)</f>
        <v/>
      </c>
      <c r="K2809">
        <f>J2809*(1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5="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F2822-Calc!F18),(Inputs!$B$23+(IF(ArtifactsInput!$M$15,CHOOSE(ArtifactsInput!$N$15+1,25,30,35,40,45,50)/100*(Inputs!$B$11-Inputs!$B$11),0))))/100+(Inputs!$B$23+(IF(ArtifactsInput!$M$15,CHOOSE(ArtifactsInput!$N$15+1,25,30,35,40,45,50)/100*(Inputs!$B$11-Inputs!$B$11),0)))/100)/2</f>
        <v/>
      </c>
      <c r="M2809">
        <f>L2809*(1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(1-Summary!$B$11)*S2809+Summary!$B$11*U2809</f>
        <v/>
      </c>
      <c r="P2809">
        <f>IF(B2841=0,0,O2809/B2841)</f>
        <v/>
      </c>
      <c r="Q2809">
        <f>IFERROR(1/IF(Inputs!$B$38="pvp",15,MAX(0.1,Skills!D5-IF(Skills!E5=TRUE,4.0,0))),0)</f>
        <v/>
      </c>
      <c r="R2809">
        <f>IF(AND(Inputs!$B$38&lt;&gt;"pvp",Inputs!$B$43&gt;0),IF(MAX(0,Inputs!$B$43-B2838)&lt;=0,0,(INT(MAX(0,Inputs!$B$43-B2838)/IF(Inputs!$B$38="pvp",15,MAX(0.1,Skills!D5-IF(Skills!E5=TRUE,4.0,0))))+1)),0)</f>
        <v/>
      </c>
      <c r="S2809">
        <f>IF(C2809,(H2809*N2809*IF(AND(Inputs!$B$38&lt;&gt;"pvp",Inputs!$B$43&gt;0),((Skills!F5*((R2809-1)*IF(Skills!G5&gt;0,Skills!H5/Skills!G5,1)+IF(Skills!G5&gt;0,MIN(Skills!H5,MAX(0,MAX(0,Inputs!$B$43-B2838)-((R2809-1)*IF(Inputs!$B$38="pvp",15,MAX(0.1,Skills!D5-IF(Skills!E5=TRUE,4.0,0))))))/Skills!G5,1)))/Inputs!$B$43),G2809*Q2809))*IF(Inputs!$B$38="pvp",1,1+(Inputs!$B$20+Skills!O5+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2809*(1-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IF(C2809,(H2809*N2809*IF(AND(Inputs!$B$38&lt;&gt;"pvp",Inputs!$B$43&gt;0),((Skills!F5*((R2809-1)*IF(Skills!G5&gt;0,Skills!H5/Skills!G5,1)+IF(Skills!G5&gt;0,MIN(Skills!H5,MAX(0,MAX(0,Inputs!$B$43-B2838)-((R2809-1)*IF(Inputs!$B$38="pvp",15,MAX(0.1,Skills!D5-IF(Skills!E5=TRUE,4.0,0))))))/Skills!G5,1)))/Inputs!$B$43),G2809*Q2809))*IF(Inputs!$B$38="pvp",1,(1+(Inputs!$B$21+Skills!P5+B2832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Skills!A6</f>
        <v/>
      </c>
      <c r="B2810">
        <f>Skills!B6</f>
        <v/>
      </c>
      <c r="C2810">
        <f>Inputs!$B$3&gt;=63</f>
        <v/>
      </c>
      <c r="D2810">
        <f>IF(Skills!C6=1,60+Inputs!$B$25+Inputs!$B$29,IF(Skills!C6=2,90+Inputs!$B$26+Inputs!$B$29,IF(Skills!C6=3,120+Inputs!$B$27+Inputs!$B$29,MAX(0,(Inputs!$B$3-100)*3)+Inputs!$B$28+Inputs!$B$29)))</f>
        <v/>
      </c>
      <c r="E2810">
        <f>INDEX(FactorTable!$B$2:$Y$301, MATCH(ROUND(MIN(300,MAX(1,D2810)),0), FactorTable!$A$2:$A$301,0), Skills!L6+1)</f>
        <v/>
      </c>
      <c r="F2810">
        <f>IF(Skills!M6=TRUE,(Skills!K6/10)*(E2810/1000),Skills!K6/10)+Skills!N6</f>
        <v/>
      </c>
      <c r="G2810">
        <f>Calc!G6</f>
        <v/>
      </c>
      <c r="H2810">
        <f>Calc!H6</f>
        <v/>
      </c>
      <c r="I2810">
        <f>IF(Skills!T6&lt;&gt;"",1+(Skills!T6/10)*(Z2807/1000)/100,1)</f>
        <v/>
      </c>
      <c r="J2810">
        <f>((Inputs!$B$6*(1+Inputs!$B$7/100))+(((Inputs!$B$12*(1+Inputs!$B$13/100))-(Inputs!$B$12*(1+Inputs!$B$13/100)))+0.25*(Inputs!$B$14-Inputs!$B$14))*(1+Inputs!$B$7/100))*(F2810/100)</f>
        <v/>
      </c>
      <c r="K2810">
        <f>J2810*(1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6="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F2822-Calc!F18),(Inputs!$B$23+(IF(ArtifactsInput!$M$15,CHOOSE(ArtifactsInput!$N$15+1,25,30,35,40,45,50)/100*(Inputs!$B$11-Inputs!$B$11),0))))/100+(Inputs!$B$23+(IF(ArtifactsInput!$M$15,CHOOSE(ArtifactsInput!$N$15+1,25,30,35,40,45,50)/100*(Inputs!$B$11-Inputs!$B$11),0)))/100)/2</f>
        <v/>
      </c>
      <c r="M2810">
        <f>L2810*(1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(1-Summary!$B$11)*S2810+Summary!$B$11*U2810</f>
        <v/>
      </c>
      <c r="P2810">
        <f>IF(B2841=0,0,O2810/B2841)</f>
        <v/>
      </c>
      <c r="Q2810">
        <f>IFERROR(1/IF(Inputs!$B$38="pvp",15,MAX(0.1,Skills!D6-IF(Skills!E6=TRUE,4.0,0))),0)</f>
        <v/>
      </c>
      <c r="R2810">
        <f>IF(AND(Inputs!$B$38&lt;&gt;"pvp",Inputs!$B$43&gt;0),IF(MAX(0,Inputs!$B$43-B2838)&lt;=0,0,(INT(MAX(0,Inputs!$B$43-B2838)/IF(Inputs!$B$38="pvp",15,MAX(0.1,Skills!D6-IF(Skills!E6=TRUE,4.0,0))))+1)),0)</f>
        <v/>
      </c>
      <c r="S2810">
        <f>IF(C2810,(H2810*N2810*IF(AND(Inputs!$B$38&lt;&gt;"pvp",Inputs!$B$43&gt;0),((Skills!F6*((R2810-1)*IF(Skills!G6&gt;0,Skills!H6/Skills!G6,1)+IF(Skills!G6&gt;0,MIN(Skills!H6,MAX(0,MAX(0,Inputs!$B$43-B2838)-((R2810-1)*IF(Inputs!$B$38="pvp",15,MAX(0.1,Skills!D6-IF(Skills!E6=TRUE,4.0,0))))))/Skills!G6,1)))/Inputs!$B$43),G2810*Q2810))*IF(Inputs!$B$38="pvp",1,1+(Inputs!$B$20+Skills!O6+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2810*(1-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F(C2810,(H2810*N2810*IF(AND(Inputs!$B$38&lt;&gt;"pvp",Inputs!$B$43&gt;0),((Skills!F6*((R2810-1)*IF(Skills!G6&gt;0,Skills!H6/Skills!G6,1)+IF(Skills!G6&gt;0,MIN(Skills!H6,MAX(0,MAX(0,Inputs!$B$43-B2838)-((R2810-1)*IF(Inputs!$B$38="pvp",15,MAX(0.1,Skills!D6-IF(Skills!E6=TRUE,4.0,0))))))/Skills!G6,1)))/Inputs!$B$43),G2810*Q2810))*IF(Inputs!$B$38="pvp",1,(1+(Inputs!$B$21+Skills!P6+B2832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Skills!A7</f>
        <v/>
      </c>
      <c r="B2811">
        <f>Skills!B7</f>
        <v/>
      </c>
      <c r="C2811">
        <f>Inputs!$B$3&gt;=69</f>
        <v/>
      </c>
      <c r="D2811">
        <f>IF(Skills!C7=1,60+Inputs!$B$25+Inputs!$B$29,IF(Skills!C7=2,90+Inputs!$B$26+Inputs!$B$29,IF(Skills!C7=3,120+Inputs!$B$27+Inputs!$B$29,MAX(0,(Inputs!$B$3-100)*3)+Inputs!$B$28+Inputs!$B$29)))</f>
        <v/>
      </c>
      <c r="E2811">
        <f>INDEX(FactorTable!$B$2:$Y$301, MATCH(ROUND(MIN(300,MAX(1,D2811)),0), FactorTable!$A$2:$A$301,0), Skills!L7+1)</f>
        <v/>
      </c>
      <c r="F2811">
        <f>IF(Skills!M7=TRUE,(Skills!K7/10)*(E2811/1000),Skills!K7/10)+Skills!N7</f>
        <v/>
      </c>
      <c r="G2811">
        <f>Calc!G7</f>
        <v/>
      </c>
      <c r="H2811">
        <f>Calc!H7</f>
        <v/>
      </c>
      <c r="I2811">
        <f>IF(Skills!T7&lt;&gt;"",1+(Skills!T7/10)*(Z2807/1000)/100,1)</f>
        <v/>
      </c>
      <c r="J2811">
        <f>((Inputs!$B$6*(1+Inputs!$B$7/100))+(((Inputs!$B$12*(1+Inputs!$B$13/100))-(Inputs!$B$12*(1+Inputs!$B$13/100)))+0.25*(Inputs!$B$14-Inputs!$B$14))*(1+Inputs!$B$7/100))*(F2811/100)</f>
        <v/>
      </c>
      <c r="K2811">
        <f>J2811*(1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7="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F2822-Calc!F18),(Inputs!$B$23+(IF(ArtifactsInput!$M$15,CHOOSE(ArtifactsInput!$N$15+1,25,30,35,40,45,50)/100*(Inputs!$B$11-Inputs!$B$11),0))))/100+(Inputs!$B$23+(IF(ArtifactsInput!$M$15,CHOOSE(ArtifactsInput!$N$15+1,25,30,35,40,45,50)/100*(Inputs!$B$11-Inputs!$B$11),0)))/100)/2</f>
        <v/>
      </c>
      <c r="M2811">
        <f>L2811*(1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(1-Summary!$B$11)*S2811+Summary!$B$11*U2811</f>
        <v/>
      </c>
      <c r="P2811">
        <f>IF(B2841=0,0,O2811/B2841)</f>
        <v/>
      </c>
      <c r="Q2811">
        <f>IFERROR(1/IF(Inputs!$B$38="pvp",15,MAX(0.1,Skills!D7-IF(Skills!E7=TRUE,4.0,0))),0)</f>
        <v/>
      </c>
      <c r="R2811">
        <f>IF(AND(Inputs!$B$38&lt;&gt;"pvp",Inputs!$B$43&gt;0),IF(MAX(0,Inputs!$B$43-B2838)&lt;=0,0,(INT(MAX(0,Inputs!$B$43-B2838)/IF(Inputs!$B$38="pvp",15,MAX(0.1,Skills!D7-IF(Skills!E7=TRUE,4.0,0))))+1)),0)</f>
        <v/>
      </c>
      <c r="S2811">
        <f>IF(C2811,(H2811*N2811*IF(AND(Inputs!$B$38&lt;&gt;"pvp",Inputs!$B$43&gt;0),((Skills!F7*((R2811-1)*IF(Skills!G7&gt;0,Skills!H7/Skills!G7,1)+IF(Skills!G7&gt;0,MIN(Skills!H7,MAX(0,MAX(0,Inputs!$B$43-B2838)-((R2811-1)*IF(Inputs!$B$38="pvp",15,MAX(0.1,Skills!D7-IF(Skills!E7=TRUE,4.0,0))))))/Skills!G7,1)))/Inputs!$B$43),G2811*Q2811))*IF(Inputs!$B$38="pvp",1,1+(Inputs!$B$20+Skills!O7+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1">
        <f>IF(C2811,(H2811*N2811*IF(AND(Inputs!$B$38&lt;&gt;"pvp",Inputs!$B$43&gt;0),((Skills!F7*((R2811-1)*IF(Skills!G7&gt;0,Skills!H7/Skills!G7,1)+IF(Skills!G7&gt;0,MIN(Skills!H7,MAX(0,MAX(0,Inputs!$B$43-B2838)-((R2811-1)*IF(Inputs!$B$38="pvp",15,MAX(0.1,Skills!D7-IF(Skills!E7=TRUE,4.0,0))))))/Skills!G7,1)))/Inputs!$B$43),G2811*Q2811))*IF(Inputs!$B$38="pvp",1,(1+(Inputs!$B$21+Skills!P7+B2832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Skills!A8</f>
        <v/>
      </c>
      <c r="B2812">
        <f>Skills!B8</f>
        <v/>
      </c>
      <c r="C2812">
        <f>Inputs!$B$3&gt;=103</f>
        <v/>
      </c>
      <c r="D2812">
        <f>IF(Skills!C8=1,60+Inputs!$B$25+Inputs!$B$29,IF(Skills!C8=2,90+Inputs!$B$26+Inputs!$B$29,IF(Skills!C8=3,120+Inputs!$B$27+Inputs!$B$29,MAX(0,(Inputs!$B$3-100)*3)+Inputs!$B$28+Inputs!$B$29)))</f>
        <v/>
      </c>
      <c r="E2812">
        <f>INDEX(FactorTable!$B$2:$Y$301, MATCH(ROUND(MIN(300,MAX(1,D2812)),0), FactorTable!$A$2:$A$301,0), Skills!L8+1)</f>
        <v/>
      </c>
      <c r="F2812">
        <f>IF(Skills!M8=TRUE,(Skills!K8/10)*(E2812/1000),Skills!K8/10)+Skills!N8</f>
        <v/>
      </c>
      <c r="G2812">
        <f>Calc!G8</f>
        <v/>
      </c>
      <c r="H2812">
        <f>Calc!H8</f>
        <v/>
      </c>
      <c r="I2812">
        <f>IF(Skills!T8&lt;&gt;"",1+(Skills!T8/10)*(Z2807/1000)/100,1)</f>
        <v/>
      </c>
      <c r="J2812">
        <f>((Inputs!$B$6*(1+Inputs!$B$7/100))+(((Inputs!$B$12*(1+Inputs!$B$13/100))-(Inputs!$B$12*(1+Inputs!$B$13/100)))+0.25*(Inputs!$B$14-Inputs!$B$14))*(1+Inputs!$B$7/100))*(F2812/100)</f>
        <v/>
      </c>
      <c r="K2812">
        <f>J2812*(1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8="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F2822-Calc!F18),(Inputs!$B$23+(IF(ArtifactsInput!$M$15,CHOOSE(ArtifactsInput!$N$15+1,25,30,35,40,45,50)/100*(Inputs!$B$11-Inputs!$B$11),0))))/100+(Inputs!$B$23+(IF(ArtifactsInput!$M$15,CHOOSE(ArtifactsInput!$N$15+1,25,30,35,40,45,50)/100*(Inputs!$B$11-Inputs!$B$11),0)))/100)/2</f>
        <v/>
      </c>
      <c r="M2812">
        <f>L2812*(1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(1-Summary!$B$11)*S2812+Summary!$B$11*U2812</f>
        <v/>
      </c>
      <c r="P2812">
        <f>IF(B2841=0,0,O2812/B2841)</f>
        <v/>
      </c>
      <c r="Q2812">
        <f>IFERROR(1/IF(Inputs!$B$38="pvp",15,MAX(0.1,Skills!D8-IF(Skills!E8=TRUE,4.0,0))),0)</f>
        <v/>
      </c>
      <c r="R2812">
        <f>IF(AND(Inputs!$B$38&lt;&gt;"pvp",Inputs!$B$43&gt;0),IF(MAX(0,Inputs!$B$43-B2838)&lt;=0,0,(INT(MAX(0,Inputs!$B$43-B2838)/IF(Inputs!$B$38="pvp",15,MAX(0.1,Skills!D8-IF(Skills!E8=TRUE,4.0,0))))+1)),0)</f>
        <v/>
      </c>
      <c r="S2812">
        <f>IF(C2812,(H2812*N2812*IF(AND(Inputs!$B$38&lt;&gt;"pvp",Inputs!$B$43&gt;0),((Skills!F8*((R2812-1)*IF(Skills!G8&gt;0,Skills!H8/Skills!G8,1)+IF(Skills!G8&gt;0,MIN(Skills!H8,MAX(0,MAX(0,Inputs!$B$43-B2838)-((R2812-1)*IF(Inputs!$B$38="pvp",15,MAX(0.1,Skills!D8-IF(Skills!E8=TRUE,4.0,0))))))/Skills!G8,1)))/Inputs!$B$43),G2812*Q2812))*IF(Inputs!$B$38="pvp",1,1+(Inputs!$B$20+Skills!O8+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2812*(1-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2">
        <f>IF(C2812,(H2812*N2812*IF(AND(Inputs!$B$38&lt;&gt;"pvp",Inputs!$B$43&gt;0),((Skills!F8*((R2812-1)*IF(Skills!G8&gt;0,Skills!H8/Skills!G8,1)+IF(Skills!G8&gt;0,MIN(Skills!H8,MAX(0,MAX(0,Inputs!$B$43-B2838)-((R2812-1)*IF(Inputs!$B$38="pvp",15,MAX(0.1,Skills!D8-IF(Skills!E8=TRUE,4.0,0))))))/Skills!G8,1)))/Inputs!$B$43),G2812*Q2812))*IF(Inputs!$B$38="pvp",1,(1+(Inputs!$B$21+Skills!P8+B2832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Skills!A9</f>
        <v/>
      </c>
      <c r="B2813">
        <f>Skills!B9</f>
        <v/>
      </c>
      <c r="C2813">
        <f>Inputs!$B$3&gt;=105</f>
        <v/>
      </c>
      <c r="D2813">
        <f>IF(Skills!C9=1,60+Inputs!$B$25+Inputs!$B$29,IF(Skills!C9=2,90+Inputs!$B$26+Inputs!$B$29,IF(Skills!C9=3,120+Inputs!$B$27+Inputs!$B$29,MAX(0,(Inputs!$B$3-100)*3)+Inputs!$B$28+Inputs!$B$29)))</f>
        <v/>
      </c>
      <c r="E2813">
        <f>INDEX(FactorTable!$B$2:$Y$301, MATCH(ROUND(MIN(300,MAX(1,D2813)),0), FactorTable!$A$2:$A$301,0), Skills!L9+1)</f>
        <v/>
      </c>
      <c r="F2813">
        <f>IF(Skills!M9=TRUE,(Skills!K9/10)*(E2813/1000),Skills!K9/10)+Skills!N9</f>
        <v/>
      </c>
      <c r="G2813">
        <f>Calc!G9</f>
        <v/>
      </c>
      <c r="H2813">
        <f>Calc!H9</f>
        <v/>
      </c>
      <c r="I2813">
        <f>IF(Skills!T9&lt;&gt;"",1+(Skills!T9/10)*(Z2807/1000)/100,1)</f>
        <v/>
      </c>
      <c r="J2813">
        <f>((Inputs!$B$6*(1+Inputs!$B$7/100))+(((Inputs!$B$12*(1+Inputs!$B$13/100))-(Inputs!$B$12*(1+Inputs!$B$13/100)))+0.25*(Inputs!$B$14-Inputs!$B$14))*(1+Inputs!$B$7/100))*(F2813/100)</f>
        <v/>
      </c>
      <c r="K2813">
        <f>J2813*(1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9="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F2822-Calc!F18),(Inputs!$B$23+(IF(ArtifactsInput!$M$15,CHOOSE(ArtifactsInput!$N$15+1,25,30,35,40,45,50)/100*(Inputs!$B$11-Inputs!$B$11),0))))/100+(Inputs!$B$23+(IF(ArtifactsInput!$M$15,CHOOSE(ArtifactsInput!$N$15+1,25,30,35,40,45,50)/100*(Inputs!$B$11-Inputs!$B$11),0)))/100)/2</f>
        <v/>
      </c>
      <c r="M2813">
        <f>L2813*(1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(1-Summary!$B$11)*S2813+Summary!$B$11*U2813</f>
        <v/>
      </c>
      <c r="P2813">
        <f>IF(B2841=0,0,O2813/B2841)</f>
        <v/>
      </c>
      <c r="Q2813">
        <f>IFERROR(1/IF(Inputs!$B$38="pvp",15,MAX(0.1,Skills!D9-IF(Skills!E9=TRUE,4.0,0))),0)</f>
        <v/>
      </c>
      <c r="R2813">
        <f>IF(AND(Inputs!$B$38&lt;&gt;"pvp",Inputs!$B$43&gt;0),IF(MAX(0,Inputs!$B$43-B2838)&lt;=0,0,(INT(MAX(0,Inputs!$B$43-B2838)/IF(Inputs!$B$38="pvp",15,MAX(0.1,Skills!D9-IF(Skills!E9=TRUE,4.0,0))))+1)),0)</f>
        <v/>
      </c>
      <c r="S2813">
        <f>IF(C2813,(H2813*N2813*IF(AND(Inputs!$B$38&lt;&gt;"pvp",Inputs!$B$43&gt;0),((Skills!F9*((R2813-1)*IF(Skills!G9&gt;0,Skills!H9/Skills!G9,1)+IF(Skills!G9&gt;0,MIN(Skills!H9,MAX(0,MAX(0,Inputs!$B$43-B2838)-((R2813-1)*IF(Inputs!$B$38="pvp",15,MAX(0.1,Skills!D9-IF(Skills!E9=TRUE,4.0,0))))))/Skills!G9,1)))/Inputs!$B$43),G2813*Q2813))*IF(Inputs!$B$38="pvp",1,1+(Inputs!$B$20+Skills!O9+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2813*(1-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3">
        <f>IF(C2813,(H2813*N2813*IF(AND(Inputs!$B$38&lt;&gt;"pvp",Inputs!$B$43&gt;0),((Skills!F9*((R2813-1)*IF(Skills!G9&gt;0,Skills!H9/Skills!G9,1)+IF(Skills!G9&gt;0,MIN(Skills!H9,MAX(0,MAX(0,Inputs!$B$43-B2838)-((R2813-1)*IF(Inputs!$B$38="pvp",15,MAX(0.1,Skills!D9-IF(Skills!E9=TRUE,4.0,0))))))/Skills!G9,1)))/Inputs!$B$43),G2813*Q2813))*IF(Inputs!$B$38="pvp",1,(1+(Inputs!$B$21+Skills!P9+B2832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Skills!A10</f>
        <v/>
      </c>
      <c r="B2814">
        <f>Skills!B10</f>
        <v/>
      </c>
      <c r="C2814">
        <f>Inputs!$B$3&gt;=113</f>
        <v/>
      </c>
      <c r="D2814">
        <f>IF(Skills!C10=1,60+Inputs!$B$25+Inputs!$B$29,IF(Skills!C10=2,90+Inputs!$B$26+Inputs!$B$29,IF(Skills!C10=3,120+Inputs!$B$27+Inputs!$B$29,MAX(0,(Inputs!$B$3-100)*3)+Inputs!$B$28+Inputs!$B$29)))</f>
        <v/>
      </c>
      <c r="E2814">
        <f>INDEX(FactorTable!$B$2:$Y$301, MATCH(ROUND(MIN(300,MAX(1,D2814)),0), FactorTable!$A$2:$A$301,0), Skills!L10+1)</f>
        <v/>
      </c>
      <c r="F2814">
        <f>IF(Skills!M10=TRUE,(Skills!K10/10)*(E2814/1000),Skills!K10/10)+Skills!N10</f>
        <v/>
      </c>
      <c r="G2814">
        <f>Calc!G10</f>
        <v/>
      </c>
      <c r="H2814">
        <f>Calc!H10</f>
        <v/>
      </c>
      <c r="I2814">
        <f>IF(Skills!T10&lt;&gt;"",1+(Skills!T10/10)*(Z2807/1000)/100,1)</f>
        <v/>
      </c>
      <c r="J2814">
        <f>((Inputs!$B$6*(1+Inputs!$B$7/100))+(((Inputs!$B$12*(1+Inputs!$B$13/100))-(Inputs!$B$12*(1+Inputs!$B$13/100)))+0.25*(Inputs!$B$14-Inputs!$B$14))*(1+Inputs!$B$7/100))*(F2814/100)</f>
        <v/>
      </c>
      <c r="K2814">
        <f>J2814*(1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10="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2822-Calc!F18),(Inputs!$B$23+(IF(ArtifactsInput!$M$15,CHOOSE(ArtifactsInput!$N$15+1,25,30,35,40,45,50)/100*(Inputs!$B$11-Inputs!$B$11),0))))/100+(Inputs!$B$23+(IF(ArtifactsInput!$M$15,CHOOSE(ArtifactsInput!$N$15+1,25,30,35,40,45,50)/100*(Inputs!$B$11-Inputs!$B$11),0)))/100)/2</f>
        <v/>
      </c>
      <c r="M2814">
        <f>L2814*(1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IF(B2841=0,0,O2814/B2841)</f>
        <v/>
      </c>
      <c r="Q2814">
        <f>IFERROR(1/IF(Inputs!$B$38="pvp",15,MAX(0.1,Skills!D10-IF(Skills!E9=TRUE,4.0,0))),0)</f>
        <v/>
      </c>
      <c r="R2814">
        <f>IF(AND(Inputs!$B$38&lt;&gt;"pvp",Inputs!$B$43&gt;0),IF(MAX(0,Inputs!$B$43-B2838)&lt;=0,0,(INT(MAX(0,Inputs!$B$43-B2838)/IF(Inputs!$B$38="pvp",15,MAX(0.1,Skills!D10-IF(Skills!E9=TRUE,4.0,0))))+1)),0)</f>
        <v/>
      </c>
      <c r="S2814">
        <f>IF(C2814,(H2814*N2814*IF(AND(Inputs!$B$38&lt;&gt;"pvp",Inputs!$B$43&gt;0),((Skills!F10*((R2814-1)*IF(Skills!G10&gt;0,Skills!H10/Skills!G10,1)+IF(Skills!G10&gt;0,MIN(Skills!H10,MAX(0,MAX(0,Inputs!$B$43-B2838)-((R2814-1)*IF(Inputs!$B$38="pvp",15,MAX(0.1,Skills!D10-IF(Skills!E9=TRUE,4.0,0))))))/Skills!G10,1)))/Inputs!$B$43),G2814*Q2814))*IF(Inputs!$B$38="pvp",1,1+(Inputs!$B$20+Skills!O10+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4">
        <f>IF(C2814,(H2814*N2814*IF(AND(Inputs!$B$38&lt;&gt;"pvp",Inputs!$B$43&gt;0),((Skills!F10*((R2814-1)*IF(Skills!G10&gt;0,Skills!H10/Skills!G10,1)+IF(Skills!G10&gt;0,MIN(Skills!H10,MAX(0,MAX(0,Inputs!$B$43-B2838)-((R2814-1)*IF(Inputs!$B$38="pvp",15,MAX(0.1,Skills!D10-IF(Skills!E9=TRUE,4.0,0))))))/Skills!G10,1)))/Inputs!$B$43),G2814*Q2814))*IF(Inputs!$B$38="pvp",1,(1+(Inputs!$B$21+Skills!P10+B2832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Skills!A11</f>
        <v/>
      </c>
      <c r="B2815">
        <f>Skills!B11</f>
        <v/>
      </c>
      <c r="C2815">
        <f>Inputs!$B$3&gt;=107</f>
        <v/>
      </c>
      <c r="D2815">
        <f>IF(Skills!C11=1,60+Inputs!$B$25+Inputs!$B$29,IF(Skills!C11=2,90+Inputs!$B$26+Inputs!$B$29,IF(Skills!C11=3,120+Inputs!$B$27+Inputs!$B$29,MAX(0,(Inputs!$B$3-100)*3)+Inputs!$B$28+Inputs!$B$29)))</f>
        <v/>
      </c>
      <c r="E2815">
        <f>INDEX(FactorTable!$B$2:$Y$301, MATCH(ROUND(MIN(300,MAX(1,D2815)),0), FactorTable!$A$2:$A$301,0), Skills!L11+1)</f>
        <v/>
      </c>
      <c r="F2815">
        <f>IF(Skills!M11=TRUE,(Skills!K11/10)*(E2815/1000),Skills!K11/10)+Skills!N11</f>
        <v/>
      </c>
      <c r="G2815">
        <f>Calc!G11</f>
        <v/>
      </c>
      <c r="H2815">
        <f>Calc!H11</f>
        <v/>
      </c>
      <c r="I2815">
        <f>IF(Skills!T11&lt;&gt;"",1+(Skills!T11/10)*(Z2807/1000)/100,1)</f>
        <v/>
      </c>
      <c r="J2815">
        <f>((Inputs!$B$6*(1+Inputs!$B$7/100))+(((Inputs!$B$12*(1+Inputs!$B$13/100))-(Inputs!$B$12*(1+Inputs!$B$13/100)))+0.25*(Inputs!$B$14-Inputs!$B$14))*(1+Inputs!$B$7/100))*(F2815/100)</f>
        <v/>
      </c>
      <c r="K2815">
        <f>J2815*(1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11="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2822-Calc!F18),(Inputs!$B$23+(IF(ArtifactsInput!$M$15,CHOOSE(ArtifactsInput!$N$15+1,25,30,35,40,45,50)/100*(Inputs!$B$11-Inputs!$B$11),0))))/100+(Inputs!$B$23+(IF(ArtifactsInput!$M$15,CHOOSE(ArtifactsInput!$N$15+1,25,30,35,40,45,50)/100*(Inputs!$B$11-Inputs!$B$11),0)))/100)/2</f>
        <v/>
      </c>
      <c r="M2815">
        <f>L2815*(1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IF(B2841=0,0,O2815/B2841)</f>
        <v/>
      </c>
      <c r="Q2815">
        <f>IFERROR(1/IF(Inputs!$B$38="pvp",15,MAX(0.1,Skills!D11-IF(Skills!E11=TRUE,4.0,0))),0)</f>
        <v/>
      </c>
      <c r="R2815">
        <f>IF(AND(Inputs!$B$38&lt;&gt;"pvp",Inputs!$B$43&gt;0),IF(MAX(0,Inputs!$B$43-B2838)&lt;=0,0,(INT(MAX(0,Inputs!$B$43-B2838)/IF(Inputs!$B$38="pvp",15,MAX(0.1,Skills!D11-IF(Skills!E11=TRUE,4.0,0))))+1)),0)</f>
        <v/>
      </c>
      <c r="S2815">
        <f>IF(C2815,H2815*N2815*IF(AND(Inputs!$B$38&lt;&gt;"pvp",Inputs!$B$43&gt;0),((Skills!F11*((R2815-1)*IF(Skills!G11&gt;0,Skills!H11/Skills!G11,1)+IF(Skills!G11&gt;0,MIN(Skills!H11,MAX(0,MAX(0,Inputs!$B$43-B2838)-((R2815-1)*IF(Inputs!$B$38="pvp",15,MAX(0.1,Skills!D11-IF(Skills!E11=TRUE,4.0,0))))))/Skills!G11,1)))/Inputs!$B$43),G2815*Q2815)*0.5*IF(Inputs!$B$38="pvp",1,1+(Inputs!$B$20+Skills!O11+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IF(C2815,H2815*N2815*IF(AND(Inputs!$B$38&lt;&gt;"pvp",Inputs!$B$43&gt;0),((Skills!F11*((R2815-1)*IF(Skills!G11&gt;0,Skills!H11/Skills!G11,1)+IF(Skills!G11&gt;0,MIN(Skills!H11,MAX(0,MAX(0,Inputs!$B$43-B2838)-((R2815-1)*IF(Inputs!$B$38="pvp",15,MAX(0.1,Skills!D11-IF(Skills!E11=TRUE,4.0,0))))))/Skills!G11,1)))/Inputs!$B$43),G2815*Q2815)*1*IF(Inputs!$B$38="pvp",1,(1+(Inputs!$B$21+Skills!P11+B2832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Skills!A12</f>
        <v/>
      </c>
      <c r="B2816">
        <f>Skills!B12</f>
        <v/>
      </c>
      <c r="C2816">
        <f>Inputs!$B$3&gt;=115</f>
        <v/>
      </c>
      <c r="D2816">
        <f>IF(Skills!C12=1,60+Inputs!$B$25+Inputs!$B$29,IF(Skills!C12=2,90+Inputs!$B$26+Inputs!$B$29,IF(Skills!C12=3,120+Inputs!$B$27+Inputs!$B$29,MAX(0,(Inputs!$B$3-100)*3)+Inputs!$B$28+Inputs!$B$29)))</f>
        <v/>
      </c>
      <c r="E2816">
        <f>INDEX(FactorTable!$B$2:$Y$301, MATCH(ROUND(MIN(300,MAX(1,D2816)),0), FactorTable!$A$2:$A$301,0), Skills!L12+1)</f>
        <v/>
      </c>
      <c r="F2816">
        <f>IF(Skills!M12=TRUE,(Skills!K12/10)*(E2816/1000),Skills!K12/10)+Skills!N12</f>
        <v/>
      </c>
      <c r="G2816">
        <f>Calc!G12</f>
        <v/>
      </c>
      <c r="H2816">
        <f>Calc!H12</f>
        <v/>
      </c>
      <c r="I2816">
        <f>IF(Skills!T12&lt;&gt;"",1+(Skills!T12/10)*(Z2807/1000)/100,1)</f>
        <v/>
      </c>
      <c r="J2816">
        <f>((Inputs!$B$6*(1+Inputs!$B$7/100))+(((Inputs!$B$12*(1+Inputs!$B$13/100))-(Inputs!$B$12*(1+Inputs!$B$13/100)))+0.25*(Inputs!$B$14-Inputs!$B$14))*(1+Inputs!$B$7/100))*(F2816/100)</f>
        <v/>
      </c>
      <c r="K2816">
        <f>J2816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12="CHAIN_LIGHTNING",Inputs!$B$17+((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2822-Calc!F18),(Inputs!$B$23+(IF(ArtifactsInput!$M$15,CHOOSE(ArtifactsInput!$N$15+1,25,30,35,40,45,50)/100*(Inputs!$B$11-Inputs!$B$11),0))))/100+(Inputs!$B$23+(IF(ArtifactsInput!$M$15,CHOOSE(ArtifactsInput!$N$15+1,25,30,35,40,45,50)/100*(Inputs!$B$11-Inputs!$B$11),0)))/100)/2</f>
        <v/>
      </c>
      <c r="M2816">
        <f>L2816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IF(B2841=0,0,O2816/B2841)</f>
        <v/>
      </c>
      <c r="Q2816">
        <f>IFERROR(1/IF(Inputs!$B$38="pvp",15,MAX(0.1,Skills!D12-IF(Skills!E12=TRUE,4.0,0))),0)</f>
        <v/>
      </c>
      <c r="R2816">
        <f>IF(AND(Inputs!$B$38&lt;&gt;"pvp",Inputs!$B$43&gt;0),IF(MAX(0,Inputs!$B$43-B2838)&lt;=0,0,(INT(MAX(0,Inputs!$B$43-B2838)/IF(Inputs!$B$38="pvp",15,MAX(0.1,Skills!D12-IF(Skills!E12=TRUE,4.0,0))))+1)),0)</f>
        <v/>
      </c>
      <c r="S2816">
        <f>IF(C2816,(H2816*N2816*IF(AND(Inputs!$B$38&lt;&gt;"pvp",Inputs!$B$43&gt;0),((Skills!F12*((R2816-1)*IF(Skills!G12&gt;0,Skills!H12/Skills!G12,1)+IF(Skills!G12&gt;0,MIN(Skills!H12,MAX(0,MAX(0,Inputs!$B$43-B2838)-((R2816-1)*IF(Inputs!$B$38="pvp",15,MAX(0.1,Skills!D12-IF(Skills!E12=TRUE,4.0,0))))))/Skills!G12,1)))/Inputs!$B$43),G2816*Q2816))*IF(Inputs!$B$38="pvp",1,1+(Inputs!$B$20+Skills!O12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2824-Calc!F20)+(F2823-Calc!F19))+(ArtifactsInput!$M$24-ArtifactsInput!$M$24)*CHOOSE(ArtifactsInput!$N$24+1,10,12,14,16,18,20)+(IF(AND(Inputs!$B$38&lt;&gt;"pvp",Inputs!$B$43=0),1,IF(IF(Inputs!$B$38="pvp",15,Inputs!$B$43)-(B2838)&lt;=0,1,MAX(0,IF(Inputs!$B$38="pvp",15,Inputs!$B$43)-MAX(5,B2838))/(IF(Inputs!$B$38="pvp",15,Inputs!$B$43)-(B2838)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F(C2816,(H2816*N2816*IF(AND(Inputs!$B$38&lt;&gt;"pvp",Inputs!$B$43&gt;0),((Skills!F12*((R2816-1)*IF(Skills!G12&gt;0,Skills!H12/Skills!G12,1)+IF(Skills!G12&gt;0,MIN(Skills!H12,MAX(0,MAX(0,Inputs!$B$43-B2838)-((R2816-1)*IF(Inputs!$B$38="pvp",15,MAX(0.1,Skills!D12-IF(Skills!E12=TRUE,4.0,0))))))/Skills!G12,1)))/Inputs!$B$43),G2816*Q2816))*IF(Inputs!$B$38="pvp",1,(1+(Inputs!$B$21+Skills!P12+B2832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Skills!A13</f>
        <v/>
      </c>
      <c r="B2817">
        <f>Skills!B13</f>
        <v/>
      </c>
      <c r="C2817">
        <f>Inputs!$B$3&gt;=49</f>
        <v/>
      </c>
      <c r="D2817">
        <f>IF(Skills!C13=1,60+Inputs!$B$25+Inputs!$B$29,IF(Skills!C13=2,90+Inputs!$B$26+Inputs!$B$29,IF(Skills!C13=3,120+Inputs!$B$27+Inputs!$B$29,MAX(0,(Inputs!$B$3-100)*3)+Inputs!$B$28+Inputs!$B$29)))</f>
        <v/>
      </c>
      <c r="E2817">
        <f>INDEX(FactorTable!$B$2:$Y$301, MATCH(ROUND(MIN(300,MAX(1,D2817)),0), FactorTable!$A$2:$A$301,0), Skills!L13+1)</f>
        <v/>
      </c>
      <c r="F2817">
        <f>IF(Skills!M13=TRUE,(Skills!K13/10)*(E2817/1000),Skills!K13/10)+Skills!N13</f>
        <v/>
      </c>
      <c r="G2817">
        <f>Calc!G13</f>
        <v/>
      </c>
      <c r="H2817">
        <f>Calc!H13</f>
        <v/>
      </c>
      <c r="I2817">
        <f>IF(Skills!T13&lt;&gt;"",1+(Skills!T13/10)*(Z2807/1000)/100,1)</f>
        <v/>
      </c>
      <c r="J2817" t="inlineStr"/>
      <c r="K2817" t="inlineStr"/>
      <c r="L2817" t="inlineStr"/>
      <c r="M2817" t="inlineStr"/>
      <c r="N2817" t="inlineStr"/>
      <c r="O2817">
        <f>(1-Summary!$B$11)*S2817+Summary!$B$11*U2817</f>
        <v/>
      </c>
      <c r="P2817">
        <f>IF(B2841=0,0,O2817/B2841)</f>
        <v/>
      </c>
      <c r="Q2817">
        <f>IFERROR(1/IF(Inputs!$B$38="pvp",15,MAX(0.1,Skills!D13-IF(Skills!E13=TRUE,4.0,0))),0)</f>
        <v/>
      </c>
      <c r="R2817" t="n">
        <v>0</v>
      </c>
      <c r="S2817" t="n">
        <v>0</v>
      </c>
      <c r="U2817" t="n">
        <v>0</v>
      </c>
    </row>
    <row r="2818">
      <c r="A2818">
        <f>Skills!A14</f>
        <v/>
      </c>
      <c r="B2818">
        <f>Skills!B14</f>
        <v/>
      </c>
      <c r="C2818">
        <f>Inputs!$B$3&gt;=72</f>
        <v/>
      </c>
      <c r="D2818">
        <f>IF(Skills!C14=1,60+Inputs!$B$25+Inputs!$B$29,IF(Skills!C14=2,90+Inputs!$B$26+Inputs!$B$29,IF(Skills!C14=3,120+Inputs!$B$27+Inputs!$B$29,MAX(0,(Inputs!$B$3-100)*3)+Inputs!$B$28+Inputs!$B$29)))</f>
        <v/>
      </c>
      <c r="E2818">
        <f>INDEX(FactorTable!$B$2:$Y$301, MATCH(ROUND(MIN(300,MAX(1,D2818)),0), FactorTable!$A$2:$A$301,0), Skills!L14+1)</f>
        <v/>
      </c>
      <c r="F2818">
        <f>IF(Skills!M14=TRUE,(Skills!K14/10)*(E2818/1000),Skills!K14/10)+Skills!N14</f>
        <v/>
      </c>
      <c r="G2818">
        <f>Calc!G14</f>
        <v/>
      </c>
      <c r="H2818">
        <f>Calc!H14</f>
        <v/>
      </c>
      <c r="I2818">
        <f>IF(Skills!T14&lt;&gt;"",1+(Skills!T14/10)*(Z2807/1000)/100,1)</f>
        <v/>
      </c>
      <c r="J2818" t="inlineStr"/>
      <c r="K2818" t="inlineStr"/>
      <c r="L2818" t="inlineStr"/>
      <c r="M2818" t="inlineStr"/>
      <c r="N2818" t="inlineStr"/>
      <c r="O2818">
        <f>(1-Summary!$B$11)*S2818+Summary!$B$11*U2818</f>
        <v/>
      </c>
      <c r="P2818">
        <f>IF(B2841=0,0,O2818/B2841)</f>
        <v/>
      </c>
      <c r="Q2818">
        <f>IFERROR(1/IF(Inputs!$B$38="pvp",15,MAX(0.1,Skills!D14-IF(Skills!E14=TRUE,4.0,0))),0)</f>
        <v/>
      </c>
      <c r="R2818" t="n">
        <v>0</v>
      </c>
      <c r="S2818" t="n">
        <v>0</v>
      </c>
      <c r="U2818" t="n">
        <v>0</v>
      </c>
    </row>
    <row r="2819">
      <c r="A2819">
        <f>Skills!A15</f>
        <v/>
      </c>
      <c r="B2819">
        <f>Skills!B15</f>
        <v/>
      </c>
      <c r="C2819">
        <f>Inputs!$B$3&gt;=75</f>
        <v/>
      </c>
      <c r="D2819">
        <f>IF(Skills!C15=1,60+Inputs!$B$25+Inputs!$B$29,IF(Skills!C15=2,90+Inputs!$B$26+Inputs!$B$29,IF(Skills!C15=3,120+Inputs!$B$27+Inputs!$B$29,MAX(0,(Inputs!$B$3-100)*3)+Inputs!$B$28+Inputs!$B$29)))</f>
        <v/>
      </c>
      <c r="E2819">
        <f>INDEX(FactorTable!$B$2:$Y$301, MATCH(ROUND(MIN(300,MAX(1,D2819)),0), FactorTable!$A$2:$A$301,0), Skills!L15+1)</f>
        <v/>
      </c>
      <c r="F2819">
        <f>IF(Skills!M15=TRUE,(Skills!K15/10)*(E2819/1000),Skills!K15/10)+Skills!N15</f>
        <v/>
      </c>
      <c r="G2819">
        <f>Calc!G15</f>
        <v/>
      </c>
      <c r="H2819">
        <f>Calc!H15</f>
        <v/>
      </c>
      <c r="I2819">
        <f>IF(Skills!T15&lt;&gt;"",1+(Skills!T15/10)*(Z2807/1000)/100,1)</f>
        <v/>
      </c>
      <c r="J2819" t="inlineStr"/>
      <c r="K2819" t="inlineStr"/>
      <c r="L2819" t="inlineStr"/>
      <c r="M2819" t="inlineStr"/>
      <c r="N2819" t="inlineStr"/>
      <c r="O2819">
        <f>(1-Summary!$B$11)*S2819+Summary!$B$11*U2819</f>
        <v/>
      </c>
      <c r="P2819">
        <f>IF(B2841=0,0,O2819/B2841)</f>
        <v/>
      </c>
      <c r="Q2819">
        <f>IFERROR(1/IF(Inputs!$B$38="pvp",15,MAX(0.1,Skills!D15-IF(Skills!E15=TRUE,4.0,0))),0)</f>
        <v/>
      </c>
      <c r="R2819" t="n">
        <v>0</v>
      </c>
      <c r="S2819" t="n">
        <v>0</v>
      </c>
      <c r="U2819" t="n">
        <v>0</v>
      </c>
    </row>
    <row r="2820">
      <c r="A2820">
        <f>Skills!A16</f>
        <v/>
      </c>
      <c r="B2820">
        <f>Skills!B16</f>
        <v/>
      </c>
      <c r="C2820">
        <f>Inputs!$B$3&gt;=110</f>
        <v/>
      </c>
      <c r="D2820">
        <f>IF(Skills!C16=1,60+Inputs!$B$25+Inputs!$B$29,IF(Skills!C16=2,90+Inputs!$B$26+Inputs!$B$29,IF(Skills!C16=3,120+Inputs!$B$27+Inputs!$B$29,MAX(0,(Inputs!$B$3-100)*3)+Inputs!$B$28+Inputs!$B$29)))</f>
        <v/>
      </c>
      <c r="E2820">
        <f>INDEX(FactorTable!$B$2:$Y$301, MATCH(ROUND(MIN(300,MAX(1,D2820)),0), FactorTable!$A$2:$A$301,0), Skills!L16+1)</f>
        <v/>
      </c>
      <c r="F2820">
        <f>(Skills!K16/10)*(E2820/1000)*64/45+Skills!N16</f>
        <v/>
      </c>
      <c r="G2820">
        <f>Calc!G16</f>
        <v/>
      </c>
      <c r="H2820">
        <f>Calc!H16</f>
        <v/>
      </c>
      <c r="I2820">
        <f>IF(Skills!T16&lt;&gt;"",1+(Skills!T16/10)*(Z2807/1000)/100,1)</f>
        <v/>
      </c>
      <c r="J2820" t="inlineStr"/>
      <c r="K2820" t="inlineStr"/>
      <c r="L2820" t="inlineStr"/>
      <c r="M2820" t="inlineStr"/>
      <c r="N2820" t="inlineStr"/>
      <c r="O2820">
        <f>(1-Summary!$B$11)*S2820+Summary!$B$11*U2820</f>
        <v/>
      </c>
      <c r="P2820">
        <f>IF(B2841=0,0,O2820/B2841)</f>
        <v/>
      </c>
      <c r="Q2820">
        <f>IFERROR(1/IF(Inputs!$B$38="pvp",15,MAX(0.1,Skills!D16-IF(Skills!E16=TRUE,4.0,0))),0)</f>
        <v/>
      </c>
      <c r="R2820">
        <f>IF(AND(Inputs!$B$38&lt;&gt;"pvp",Inputs!$B$43&gt;0),IF(Inputs!$B$43&lt;=0,0,(INT(Inputs!$B$43/IF(Inputs!$B$38="pvp",15,MAX(0.1,Skills!D16-IF(Skills!E16=TRUE,4.0,0))))+1)),0)</f>
        <v/>
      </c>
      <c r="S2820" t="n">
        <v>0</v>
      </c>
      <c r="U2820" t="n">
        <v>0</v>
      </c>
    </row>
    <row r="2821">
      <c r="A2821">
        <f>Skills!A17</f>
        <v/>
      </c>
      <c r="B2821">
        <f>Skills!B17</f>
        <v/>
      </c>
      <c r="C2821">
        <f>Inputs!$B$3&gt;=33</f>
        <v/>
      </c>
      <c r="D2821">
        <f>IF(Skills!C17=1,60+Inputs!$B$25+Inputs!$B$29,IF(Skills!C17=2,90+Inputs!$B$26+Inputs!$B$29,IF(Skills!C17=3,120+Inputs!$B$27+Inputs!$B$29,MAX(0,(Inputs!$B$3-100)*3)+Inputs!$B$28+Inputs!$B$29)))</f>
        <v/>
      </c>
      <c r="E2821">
        <f>INDEX(FactorTable!$B$2:$Y$301, MATCH(ROUND(MIN(300,MAX(1,D2821)),0), FactorTable!$A$2:$A$301,0), Skills!L17+1)</f>
        <v/>
      </c>
      <c r="F2821">
        <f>IF(Skills!M17=TRUE,(Skills!K17/10)*(E2821/1000),Skills!K17/10)+Skills!N17</f>
        <v/>
      </c>
      <c r="G2821">
        <f>Calc!G17</f>
        <v/>
      </c>
      <c r="H2821">
        <f>Calc!H17</f>
        <v/>
      </c>
      <c r="I2821">
        <f>IF(Skills!T17&lt;&gt;"",1+(Skills!T17/10)*(Z2807/1000)/100,1)</f>
        <v/>
      </c>
      <c r="J2821" t="inlineStr"/>
      <c r="K2821" t="inlineStr"/>
      <c r="L2821" t="inlineStr"/>
      <c r="M2821" t="inlineStr"/>
      <c r="N2821" t="inlineStr"/>
      <c r="O2821">
        <f>(1-Summary!$B$11)*S2821+Summary!$B$11*U2821</f>
        <v/>
      </c>
      <c r="P2821">
        <f>IF(B2841=0,0,O2821/B2841)</f>
        <v/>
      </c>
      <c r="Q2821">
        <f>IFERROR(1/IF(Inputs!$B$38="pvp",15,MAX(0.1,Skills!D17-IF(Skills!E17=TRUE,4.0,0))),0)</f>
        <v/>
      </c>
      <c r="R2821" t="n">
        <v>0</v>
      </c>
      <c r="S2821" t="n">
        <v>0</v>
      </c>
      <c r="U2821" t="n">
        <v>0</v>
      </c>
    </row>
    <row r="2822">
      <c r="A2822">
        <f>Skills!A18</f>
        <v/>
      </c>
      <c r="B2822">
        <f>Skills!B18</f>
        <v/>
      </c>
      <c r="C2822">
        <f>Inputs!$B$3&gt;=43</f>
        <v/>
      </c>
      <c r="D2822">
        <f>IF(Skills!C18=1,60+Inputs!$B$25+Inputs!$B$29,IF(Skills!C18=2,90+Inputs!$B$26+Inputs!$B$29,IF(Skills!C18=3,120+Inputs!$B$27+Inputs!$B$29,MAX(0,(Inputs!$B$3-100)*3)+Inputs!$B$28+Inputs!$B$29)))</f>
        <v/>
      </c>
      <c r="E2822">
        <f>INDEX(FactorTable!$B$2:$Y$301, MATCH(ROUND(MIN(300,MAX(1,D2822)),0), FactorTable!$A$2:$A$301,0), Skills!L18+1)</f>
        <v/>
      </c>
      <c r="F2822">
        <f>IF(Skills!M18=TRUE,(Skills!K18/10)*(E2822/1000),Skills!K18/10)+Skills!N18</f>
        <v/>
      </c>
      <c r="G2822">
        <f>Calc!G18</f>
        <v/>
      </c>
      <c r="H2822">
        <f>Calc!H18</f>
        <v/>
      </c>
      <c r="I2822">
        <f>IF(Skills!T18&lt;&gt;"",1+(Skills!T18/10)*(Z2807/1000)/100,1)</f>
        <v/>
      </c>
      <c r="J2822" t="inlineStr"/>
      <c r="K2822" t="inlineStr"/>
      <c r="L2822" t="inlineStr"/>
      <c r="M2822" t="inlineStr"/>
      <c r="N2822" t="inlineStr"/>
      <c r="O2822">
        <f>(1-Summary!$B$11)*S2822+Summary!$B$11*U2822</f>
        <v/>
      </c>
      <c r="P2822">
        <f>IF(B2841=0,0,O2822/B2841)</f>
        <v/>
      </c>
      <c r="Q2822">
        <f>IFERROR(1/IF(Inputs!$B$38="pvp",15,MAX(0.1,Skills!D18-IF(Skills!E18=TRUE,4.0,0))),0)</f>
        <v/>
      </c>
      <c r="R2822" t="n">
        <v>0</v>
      </c>
      <c r="S2822" t="n">
        <v>0</v>
      </c>
      <c r="U2822" t="n">
        <v>0</v>
      </c>
    </row>
    <row r="2823">
      <c r="A2823">
        <f>Skills!A19</f>
        <v/>
      </c>
      <c r="B2823">
        <f>Skills!B19</f>
        <v/>
      </c>
      <c r="C2823">
        <f>Inputs!$B$3&gt;=50</f>
        <v/>
      </c>
      <c r="D2823">
        <f>IF(Skills!C19=1,60+Inputs!$B$25+Inputs!$B$29,IF(Skills!C19=2,90+Inputs!$B$26+Inputs!$B$29,IF(Skills!C19=3,120+Inputs!$B$27+Inputs!$B$29,MAX(0,(Inputs!$B$3-100)*3)+Inputs!$B$28+Inputs!$B$29)))</f>
        <v/>
      </c>
      <c r="E2823">
        <f>INDEX(FactorTable!$B$2:$Y$301, MATCH(ROUND(MIN(300,MAX(1,D2823)),0), FactorTable!$A$2:$A$301,0), Skills!L19+1)</f>
        <v/>
      </c>
      <c r="F2823">
        <f>IF(Skills!M19=TRUE,(Skills!K19/10)*(E2823/1000),Skills!K19/10)+Skills!N19</f>
        <v/>
      </c>
      <c r="G2823">
        <f>Calc!G19</f>
        <v/>
      </c>
      <c r="H2823">
        <f>Calc!H19</f>
        <v/>
      </c>
      <c r="I2823">
        <f>IF(Skills!T19&lt;&gt;"",1+(Skills!T19/10)*(Z2807/1000)/100,1)</f>
        <v/>
      </c>
      <c r="J2823" t="inlineStr"/>
      <c r="K2823" t="inlineStr"/>
      <c r="L2823" t="inlineStr"/>
      <c r="M2823" t="inlineStr"/>
      <c r="N2823" t="inlineStr"/>
      <c r="O2823">
        <f>(1-Summary!$B$11)*S2823+Summary!$B$11*U2823</f>
        <v/>
      </c>
      <c r="P2823">
        <f>IF(B2841=0,0,O2823/B2841)</f>
        <v/>
      </c>
      <c r="Q2823">
        <f>IFERROR(1/IF(Inputs!$B$38="pvp",15,MAX(0.1,Skills!D19-IF(Skills!E19=TRUE,4.0,0))),0)</f>
        <v/>
      </c>
      <c r="R2823" t="n">
        <v>0</v>
      </c>
      <c r="S2823" t="n">
        <v>0</v>
      </c>
      <c r="U2823" t="n">
        <v>0</v>
      </c>
    </row>
    <row r="2824">
      <c r="A2824">
        <f>Skills!A20</f>
        <v/>
      </c>
      <c r="B2824">
        <f>Skills!B20</f>
        <v/>
      </c>
      <c r="C2824">
        <f>Inputs!$B$3&gt;=74</f>
        <v/>
      </c>
      <c r="D2824">
        <f>IF(Skills!C20=1,60+Inputs!$B$25+Inputs!$B$29,IF(Skills!C20=2,90+Inputs!$B$26+Inputs!$B$29,IF(Skills!C20=3,120+Inputs!$B$27+Inputs!$B$29,MAX(0,(Inputs!$B$3-100)*3)+Inputs!$B$28+Inputs!$B$29)))</f>
        <v/>
      </c>
      <c r="E2824">
        <f>INDEX(FactorTable!$B$2:$Y$301, MATCH(ROUND(MIN(300,MAX(1,D2824)),0), FactorTable!$A$2:$A$301,0), Skills!L20+1)</f>
        <v/>
      </c>
      <c r="F2824">
        <f>IF(Skills!M20=TRUE,(Skills!K20/10)*(E2824/1000),Skills!K20/10)+Skills!N20</f>
        <v/>
      </c>
      <c r="G2824">
        <f>Calc!G20</f>
        <v/>
      </c>
      <c r="H2824">
        <f>Calc!H20</f>
        <v/>
      </c>
      <c r="I2824">
        <f>IF(Skills!T20&lt;&gt;"",1+(Skills!T20/10)*(Z2807/1000)/100,1)</f>
        <v/>
      </c>
      <c r="J2824" t="inlineStr"/>
      <c r="K2824" t="inlineStr"/>
      <c r="L2824" t="inlineStr"/>
      <c r="M2824" t="inlineStr"/>
      <c r="N2824" t="inlineStr"/>
      <c r="O2824">
        <f>(1-Summary!$B$11)*S2824+Summary!$B$11*U2824</f>
        <v/>
      </c>
      <c r="P2824">
        <f>IF(B2841=0,0,O2824/B2841)</f>
        <v/>
      </c>
      <c r="Q2824">
        <f>IFERROR(1/IF(Inputs!$B$38="pvp",15,MAX(0.1,Skills!D20-IF(Skills!E20=TRUE,4.0,0))),0)</f>
        <v/>
      </c>
      <c r="R2824" t="n">
        <v>0</v>
      </c>
      <c r="S2824" t="n">
        <v>0</v>
      </c>
      <c r="U2824" t="n">
        <v>0</v>
      </c>
    </row>
    <row r="2825">
      <c r="A2825">
        <f>Skills!A21</f>
        <v/>
      </c>
      <c r="B2825">
        <f>Skills!B21</f>
        <v/>
      </c>
      <c r="C2825">
        <f>Inputs!$B$3&gt;=74</f>
        <v/>
      </c>
      <c r="D2825">
        <f>IF(Skills!C21=1,60+Inputs!$B$25+Inputs!$B$29,IF(Skills!C21=2,90+Inputs!$B$26+Inputs!$B$29,IF(Skills!C21=3,120+Inputs!$B$27+Inputs!$B$29,MAX(0,(Inputs!$B$3-100)*3)+Inputs!$B$28+Inputs!$B$29)))</f>
        <v/>
      </c>
      <c r="E2825">
        <f>INDEX(FactorTable!$B$2:$Y$301, MATCH(ROUND(MIN(300,MAX(1,D2825)),0), FactorTable!$A$2:$A$301,0), Skills!L21+1)</f>
        <v/>
      </c>
      <c r="F2825">
        <f>IF(Skills!M21=TRUE,(Skills!K21/10)*(E2825/1000),Skills!K21/10)+Skills!N21</f>
        <v/>
      </c>
      <c r="G2825">
        <f>Calc!G21</f>
        <v/>
      </c>
      <c r="H2825">
        <f>Calc!H21</f>
        <v/>
      </c>
      <c r="I2825">
        <f>IF(Skills!T21&lt;&gt;"",1+(Skills!T21/10)*(Z2807/1000)/100,1)</f>
        <v/>
      </c>
      <c r="J2825" t="inlineStr"/>
      <c r="K2825" t="inlineStr"/>
      <c r="L2825" t="inlineStr"/>
      <c r="M2825" t="inlineStr"/>
      <c r="N2825" t="inlineStr"/>
      <c r="O2825">
        <f>(1-Summary!$B$11)*S2825+Summary!$B$11*U2825</f>
        <v/>
      </c>
      <c r="P2825">
        <f>IF(B2841=0,0,O2825/B2841)</f>
        <v/>
      </c>
      <c r="Q2825">
        <f>IFERROR(1/IF(Inputs!$B$38="pvp",15,MAX(0.1,Skills!D21-IF(Skills!E21=TRUE,4.0,0))),0)</f>
        <v/>
      </c>
      <c r="R2825" t="n">
        <v>0</v>
      </c>
      <c r="S2825" t="n">
        <v>0</v>
      </c>
      <c r="U2825" t="n">
        <v>0</v>
      </c>
    </row>
    <row r="2826">
      <c r="A2826">
        <f>Skills!A22</f>
        <v/>
      </c>
      <c r="B2826">
        <f>Skills!B22</f>
        <v/>
      </c>
      <c r="C2826">
        <f>Inputs!$B$3&gt;=117</f>
        <v/>
      </c>
      <c r="D2826">
        <f>IF(Skills!C22=1,60+Inputs!$B$25+Inputs!$B$29,IF(Skills!C22=2,90+Inputs!$B$26+Inputs!$B$29,IF(Skills!C22=3,120+Inputs!$B$27+Inputs!$B$29,MAX(0,(Inputs!$B$3-100)*3)+Inputs!$B$28+Inputs!$B$29)))</f>
        <v/>
      </c>
      <c r="E2826">
        <f>INDEX(FactorTable!$B$2:$Y$301, MATCH(ROUND(MIN(300,MAX(1,D2826)),0), FactorTable!$A$2:$A$301,0), Skills!L22+1)</f>
        <v/>
      </c>
      <c r="F2826">
        <f>IF(Skills!M22=TRUE,(Skills!K22/10)*(E2826/1000),Skills!K22/10)+Skills!N22</f>
        <v/>
      </c>
      <c r="G2826">
        <f>Calc!G22</f>
        <v/>
      </c>
      <c r="H2826">
        <f>Calc!H22</f>
        <v/>
      </c>
      <c r="I2826">
        <f>IF(Skills!T22&lt;&gt;"",1+(Skills!T22/10)*(Z2807/1000)/100,1)</f>
        <v/>
      </c>
      <c r="J2826" t="inlineStr"/>
      <c r="K2826" t="inlineStr"/>
      <c r="L2826" t="inlineStr"/>
      <c r="M2826" t="inlineStr"/>
      <c r="N2826" t="inlineStr"/>
      <c r="O2826">
        <f>(1-Summary!$B$11)*S2826+Summary!$B$11*U2826</f>
        <v/>
      </c>
      <c r="P2826">
        <f>IF(B2841=0,0,O2826/B2841)</f>
        <v/>
      </c>
      <c r="Q2826">
        <f>IFERROR(1/IF(Inputs!$B$38="pvp",15,MAX(0.1,Skills!D22-IF(Skills!E22=TRUE,4.0,0))),0)</f>
        <v/>
      </c>
      <c r="R2826" t="n">
        <v>0</v>
      </c>
      <c r="S2826" t="n">
        <v>0</v>
      </c>
      <c r="U2826" t="n">
        <v>0</v>
      </c>
    </row>
    <row r="2827">
      <c r="A2827">
        <f>Skills!A23</f>
        <v/>
      </c>
      <c r="B2827">
        <f>Skills!B23</f>
        <v/>
      </c>
      <c r="C2827">
        <f>Inputs!$B$3&gt;=120</f>
        <v/>
      </c>
      <c r="D2827">
        <f>IF(Skills!C23=1,60+Inputs!$B$25+Inputs!$B$29,IF(Skills!C23=2,90+Inputs!$B$26+Inputs!$B$29,IF(Skills!C23=3,120+Inputs!$B$27+Inputs!$B$29,MAX(0,(Inputs!$B$3-100)*3)+Inputs!$B$28+Inputs!$B$29)))</f>
        <v/>
      </c>
      <c r="E2827">
        <f>INDEX(FactorTable!$B$2:$Y$301, MATCH(ROUND(MIN(300,MAX(1,D2827)),0), FactorTable!$A$2:$A$301,0), Skills!L23+1)</f>
        <v/>
      </c>
      <c r="F2827">
        <f>IF(Skills!M23=TRUE,(Skills!K23/10)*(E2827/1000),Skills!K23/10)+Skills!N23</f>
        <v/>
      </c>
      <c r="G2827">
        <f>Calc!G23</f>
        <v/>
      </c>
      <c r="H2827">
        <f>Calc!H23</f>
        <v/>
      </c>
      <c r="I2827">
        <f>IF(Skills!T23&lt;&gt;"",1+(Skills!T23/10)*(Z2807/1000)/100,1)</f>
        <v/>
      </c>
      <c r="J2827" t="inlineStr"/>
      <c r="K2827" t="inlineStr"/>
      <c r="L2827" t="inlineStr"/>
      <c r="M2827" t="inlineStr"/>
      <c r="N2827" t="inlineStr"/>
      <c r="O2827">
        <f>(1-Summary!$B$11)*S2827+Summary!$B$11*U2827</f>
        <v/>
      </c>
      <c r="P2827">
        <f>IF(B2841=0,0,O2827/B2841)</f>
        <v/>
      </c>
      <c r="Q2827">
        <f>IFERROR(1/IF(Inputs!$B$38="pvp",15,MAX(0.1,Skills!D23-IF(Skills!E23=TRUE,4.0,0))),0)</f>
        <v/>
      </c>
      <c r="R2827" t="n">
        <v>0</v>
      </c>
      <c r="S2827" t="n">
        <v>0</v>
      </c>
      <c r="U2827" t="n">
        <v>0</v>
      </c>
    </row>
    <row r="2828">
      <c r="A2828">
        <f>Skills!A24</f>
        <v/>
      </c>
      <c r="B2828">
        <f>Skills!B24</f>
        <v/>
      </c>
      <c r="C2828">
        <f>TRUE</f>
        <v/>
      </c>
      <c r="D2828">
        <f>IF(Skills!C24=1,60+Inputs!$B$25+Inputs!$B$29,IF(Skills!C24=2,90+Inputs!$B$26+Inputs!$B$29,IF(Skills!C24=3,120+Inputs!$B$27+Inputs!$B$29,MAX(0,(Inputs!$B$3-100)*3)+Inputs!$B$28+Inputs!$B$29)))</f>
        <v/>
      </c>
      <c r="E2828">
        <f>INDEX(FactorTable!$B$2:$Y$301, MATCH(ROUND(MIN(300,MAX(1,D2828)),0), FactorTable!$A$2:$A$301,0), Skills!L24+1)</f>
        <v/>
      </c>
      <c r="F2828">
        <f>IF(Skills!M24=TRUE,(Skills!K24/10)*(E2828/1000),Skills!K24/10)+Skills!N24</f>
        <v/>
      </c>
      <c r="G2828">
        <f>Calc!G24</f>
        <v/>
      </c>
      <c r="H2828">
        <f>Calc!H24</f>
        <v/>
      </c>
      <c r="I2828">
        <f>IF(Skills!T24&lt;&gt;"",1+(Skills!T24/10)*(Z2807/1000)/100,1)</f>
        <v/>
      </c>
      <c r="J2828" t="inlineStr"/>
      <c r="K2828" t="inlineStr"/>
      <c r="L2828" t="inlineStr"/>
      <c r="M2828" t="inlineStr"/>
      <c r="N2828" t="inlineStr"/>
      <c r="O2828">
        <f>(1-Summary!$B$11)*S2828+Summary!$B$11*U2828</f>
        <v/>
      </c>
      <c r="P2828">
        <f>IF(B2841=0,0,O2828/B2841)</f>
        <v/>
      </c>
      <c r="Q2828">
        <f>IFERROR(1/IF(Inputs!$B$38="pvp",15,MAX(0.1,Skills!D24-IF(Skills!E24=TRUE,4.0,0))),0)</f>
        <v/>
      </c>
      <c r="R2828">
        <f>IF(AND(Inputs!$B$38&lt;&gt;"pvp",Inputs!$B$43&gt;0),IF(Inputs!$B$43&lt;=0,0,(INT(Inputs!$B$43/IF(Inputs!$B$38="pvp",15,MAX(0.1,Skills!D24-IF(Skills!E24=TRUE,4.0,0))))+1)),0)</f>
        <v/>
      </c>
      <c r="S2828" t="n">
        <v>0</v>
      </c>
      <c r="U2828" t="n">
        <v>0</v>
      </c>
    </row>
    <row r="2831">
      <c r="A2831" t="inlineStr">
        <is>
          <t>Average Buff Multiplier (Magic Guard + Meditation + Artifact Attack%, summed; then Infinity)</t>
        </is>
      </c>
      <c r="B2831">
        <f>(1+(IF(C2807=TRUE,F2807*IF(AND(Inputs!$B$38&lt;&gt;"pvp",Inputs!$B$43&gt;0),(((R2807-1)*(Skills!S3*(1+(Inputs!$B$34)/100))+MIN((Skills!S3*(1+(Inputs!$B$34)/100)),MAX(0,Inputs!$B$43-((R2807-1)*Skills!D3))))/Inputs!$B$43),IF(Inputs!$B$38="pvp",MIN((Skills!S3*(1+(Inputs!$B$34)/100)),15)/15,(Skills!S3*(1+(Inputs!$B$34)/100))/Skills!D3)),0)+IF(C2808=TRUE,F2808*IF(AND(Inputs!$B$38&lt;&gt;"pvp",Inputs!$B$43&gt;0),(((R2808-1)*(Skills!S4*(1+(Inputs!$B$34)/100))+MIN((Skills!S4*(1+(Inputs!$B$34)/100)),MAX(0,Inputs!$B$43-((R2808-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2820=TRUE,(1+F2820*IF(AND(Inputs!$B$38&lt;&gt;"pvp",Inputs!$B$43&gt;0),(((R2820-1)*(Skills!S16*(1+(Inputs!$B$34)/100))+MIN((Skills!S16*(1+(Inputs!$B$34)/100)),MAX(0,Inputs!$B$43-((R2820-1)*Skills!D16))))/Inputs!$B$43),IF(Inputs!$B$38="pvp",MIN((Skills!S16*(1+(Inputs!$B$34)/100)),15)/15,(Skills!S16*(1+(Inputs!$B$34)/100))/Skills!D16))/100),1)</f>
        <v/>
      </c>
    </row>
    <row r="2832">
      <c r="A2832" t="inlineStr">
        <is>
          <t>Monster Damage Taken Bonus % (Freezing Breath - Weaken + Elemental Reset + Artifact Enemy Damage Taken, summed)</t>
        </is>
      </c>
      <c r="B2832">
        <f>IF(Inputs!$B$3&gt;=118,15*IF(Inputs!$B$38="pvp",MIN((30*(1+(Inputs!$B$34)/100)),15)/15,(30*(1+(Inputs!$B$34)/100))/Skills!D8),0)+IF(C2818=TRUE,F2818,0)+(IF(AND(ArtifactsInput!$M$35,Inputs!$B$4&lt;&gt;"Chapter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f>
        <v/>
      </c>
    </row>
    <row r="2833">
      <c r="A2833" t="inlineStr">
        <is>
          <t>Damage % Bonus (Frozen Break + Frost Clutch, flat)</t>
        </is>
      </c>
      <c r="B2833">
        <f>IF(Inputs!$B$3&gt;=66,15,0)+IF(Inputs!$B$3&gt;=98,10,0)+IF(Inputs!$B$3&gt;=125,20,0)</f>
        <v/>
      </c>
    </row>
    <row r="2834">
      <c r="A2834" t="inlineStr">
        <is>
          <t>Attack Speed Bonus % (MP Eater - MP Boost, always-on + Nimble Feet, duty-cycle averaged)</t>
        </is>
      </c>
      <c r="B2834">
        <f>IF(C2817=TRUE,F2817+(F2821-Calc!F17),0)+((C2828=TRUE)*F2828*IF(AND(Inputs!$B$38&lt;&gt;"pvp",Inputs!$B$43&gt;0),(((R2828-1)*(Skills!S24*(1+(Inputs!$B$34)/100))+MIN((Skills!S24*(1+(Inputs!$B$34)/100)),MAX(0,Inputs!$B$43-((R2828-1)*Skills!D24))))/Inputs!$B$43),IF(Inputs!$B$38="pvp",MIN((Skills!S24*(1+(Inputs!$B$34)/100)),15)/15,(Skills!S24*(1+(Inputs!$B$34)/100))/Skills!D24)))</f>
        <v/>
      </c>
    </row>
    <row r="2835">
      <c r="A2835" t="inlineStr">
        <is>
          <t>Actions Per Second</t>
        </is>
      </c>
      <c r="B2835">
        <f>1+MIN(150,150*(1-(1-(Inputs!$B$11+(ArtifactsInput!$M$15-ArtifactsInput!$M$15)*CHOOSE(ArtifactsInput!$N$15+1,8,9.6,11.2,12.8,14.4,16))/150)*(1-B2834/150)))/100</f>
        <v/>
      </c>
    </row>
    <row r="2836">
      <c r="A2836" t="inlineStr">
        <is>
          <t>Skill + Buff Cast Rate</t>
        </is>
      </c>
      <c r="B2836">
        <f>IF(AND(Inputs!$B$38&lt;&gt;"pvp",Inputs!$B$43&gt;0),SUMPRODUCT((Skills!E2:E24=TRUE)*(C2806:C2828=TRUE)*R2806:R2828)/Inputs!$B$43,SUMPRODUCT((Skills!E2:E24=TRUE)*(C2806:C2828=TRUE)*Q2806:Q2828))</f>
        <v/>
      </c>
    </row>
    <row r="2837">
      <c r="A2837" t="inlineStr">
        <is>
          <t>Chain Lightning Casts Per Second</t>
        </is>
      </c>
      <c r="B2837">
        <f>MAX(0,B2835-B2836)</f>
        <v/>
      </c>
    </row>
    <row r="2838">
      <c r="A2838" t="inlineStr">
        <is>
          <t>Buff-Casting Startup Delay (s, fixed-duration only)</t>
        </is>
      </c>
      <c r="B2838">
        <f>IF(AND(Inputs!$B$38&lt;&gt;"pvp",Inputs!$B$43&gt;0),SUMPRODUCT((Skills!S2:S24&gt;0)*(Skills!E2:E24=TRUE)*(C2806:C2828=TRUE))/B2835,0)</f>
        <v/>
      </c>
    </row>
    <row r="2839">
      <c r="A2839" t="inlineStr">
        <is>
          <t>Boss-Only Total DPS (this block's swept value)</t>
        </is>
      </c>
      <c r="B2839">
        <f>SUM(S2806:S2828)</f>
        <v/>
      </c>
    </row>
    <row r="2840">
      <c r="A2840" t="inlineStr">
        <is>
          <t>Normal-Only Total DPS (this block's swept value)</t>
        </is>
      </c>
      <c r="B2840">
        <f>SUM(U2806:U2828)</f>
        <v/>
      </c>
    </row>
    <row r="2841">
      <c r="A2841" s="6" t="inlineStr">
        <is>
          <t>TOTAL DPS</t>
        </is>
      </c>
      <c r="B2841" s="6">
        <f>SUM(O2806:O2828)</f>
        <v/>
      </c>
    </row>
    <row r="2844">
      <c r="A2844" s="6" t="inlineStr">
        <is>
          <t>Stat: CDR = 4.5s</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R2845" t="inlineStr">
        <is>
          <t>helpers</t>
        </is>
      </c>
    </row>
    <row r="2846">
      <c r="A2846">
        <f>Skills!A2</f>
        <v/>
      </c>
      <c r="B2846">
        <f>Skills!B2</f>
        <v/>
      </c>
      <c r="C2846">
        <f>Inputs!$B$3&gt;=100</f>
        <v/>
      </c>
      <c r="D2846" t="inlineStr"/>
      <c r="E2846" t="inlineStr"/>
      <c r="F2846">
        <f>T2848+Skills!N2</f>
        <v/>
      </c>
      <c r="G2846">
        <f>Calc!G2</f>
        <v/>
      </c>
      <c r="H2846">
        <f>Calc!H2</f>
        <v/>
      </c>
      <c r="I2846">
        <f>IF(Skills!T2&lt;&gt;"",1+(Skills!T2/10)*(Z2847/1000)/100,1)</f>
        <v/>
      </c>
      <c r="J2846">
        <f>((Inputs!$B$6*(1+Inputs!$B$7/100))+(((Inputs!$B$12*(1+Inputs!$B$13/100))-(Inputs!$B$12*(1+Inputs!$B$13/100)))+0.25*(Inputs!$B$14-Inputs!$B$14))*(1+Inputs!$B$7/100))*(F2846/100)</f>
        <v/>
      </c>
      <c r="K2846">
        <f>J2846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2="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F2862-Calc!F18),(Inputs!$B$23+(IF(ArtifactsInput!$M$15,CHOOSE(ArtifactsInput!$N$15+1,25,30,35,40,45,50)/100*(Inputs!$B$11-Inputs!$B$11),0))))/100+(Inputs!$B$23+(IF(ArtifactsInput!$M$15,CHOOSE(ArtifactsInput!$N$15+1,25,30,35,40,45,50)/100*(Inputs!$B$11-Inputs!$B$11),0)))/100)/2</f>
        <v/>
      </c>
      <c r="M2846">
        <f>L2846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(1-Summary!$B$11)*S2846+Summary!$B$11*U2846</f>
        <v/>
      </c>
      <c r="P2846">
        <f>IF(B2881=0,0,O2846/B2881)</f>
        <v/>
      </c>
      <c r="Q2846">
        <f>IFERROR(1/IF(Inputs!$B$38="pvp",15,MAX(0.1,Skills!D2-IF(Skills!E2=TRUE,4.5,0))),0)</f>
        <v/>
      </c>
      <c r="R2846" t="n">
        <v>0</v>
      </c>
      <c r="S2846">
        <f>IF(C2846,(Skills!F2*N2846*B2877)*IF(Inputs!$B$38="pvp",1,1+(Inputs!$B$20+Skills!O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2846*(1-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46">
        <f>MAX(0,(Inputs!$B$3-100)*3)+Inputs!$B$28+Inputs!$B$29</f>
        <v/>
      </c>
      <c r="U2846">
        <f>IF(C2846,(Skills!F2*N2846*B2877)*IF(Inputs!$B$38="pvp",1,(1+(Inputs!$B$21+Skills!P2+B2872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46">
        <f>MAX(0,(Inputs!$B$3-100)*3)+Inputs!$B$28+Inputs!$B$29</f>
        <v/>
      </c>
    </row>
    <row r="2847">
      <c r="A2847">
        <f>Skills!A3</f>
        <v/>
      </c>
      <c r="B2847">
        <f>Skills!B3</f>
        <v/>
      </c>
      <c r="C2847">
        <f>Inputs!$B$3&gt;=15</f>
        <v/>
      </c>
      <c r="D2847">
        <f>IF(Skills!C3=1,60+Inputs!$B$25+Inputs!$B$29,IF(Skills!C3=2,90+Inputs!$B$26+Inputs!$B$29,IF(Skills!C3=3,120+Inputs!$B$27+Inputs!$B$29,MAX(0,(Inputs!$B$3-100)*3)+Inputs!$B$28+Inputs!$B$29)))</f>
        <v/>
      </c>
      <c r="E2847">
        <f>INDEX(FactorTable!$B$2:$Y$301, MATCH(ROUND(MIN(300,MAX(1,D2847)),0), FactorTable!$A$2:$A$301,0), Skills!L3+1)</f>
        <v/>
      </c>
      <c r="F2847">
        <f>IF(Skills!M3=TRUE,(Skills!K3/10)*(E2847/1000),Skills!K3/10)+Skills!N3</f>
        <v/>
      </c>
      <c r="G2847">
        <f>Calc!G3</f>
        <v/>
      </c>
      <c r="H2847">
        <f>Calc!H3</f>
        <v/>
      </c>
      <c r="I2847">
        <f>IF(Skills!T3&lt;&gt;"",1+(Skills!T3/10)*(Z2847/1000)/100,1)</f>
        <v/>
      </c>
      <c r="J2847" t="inlineStr"/>
      <c r="K2847" t="inlineStr"/>
      <c r="L2847" t="inlineStr"/>
      <c r="M2847" t="inlineStr"/>
      <c r="N2847" t="inlineStr"/>
      <c r="O2847">
        <f>(1-Summary!$B$11)*S2847+Summary!$B$11*U2847</f>
        <v/>
      </c>
      <c r="P2847">
        <f>IF(B2881=0,0,O2847/B2881)</f>
        <v/>
      </c>
      <c r="Q2847">
        <f>IFERROR(1/IF(Inputs!$B$38="pvp",15,MAX(0.1,Skills!D3-IF(Skills!E3=TRUE,4.5,0))),0)</f>
        <v/>
      </c>
      <c r="R2847">
        <f>IF(AND(Inputs!$B$38&lt;&gt;"pvp",Inputs!$B$43&gt;0),IF(Inputs!$B$43&lt;=0,0,(INT(Inputs!$B$43/IF(Inputs!$B$38="pvp",15,MAX(0.1,Skills!D3-IF(Skills!E3=TRUE,4.5,0))))+1)),0)</f>
        <v/>
      </c>
      <c r="S2847" t="n">
        <v>0</v>
      </c>
      <c r="T2847">
        <f>INDEX(FactorTable!$B$2:$Y$301, MATCH(ROUND(MIN(300,MAX(1,T2846)),0), FactorTable!$A$2:$A$301,0), 22)</f>
        <v/>
      </c>
      <c r="U2847" t="n">
        <v>0</v>
      </c>
      <c r="Z2847">
        <f>INDEX(FactorTable!$B$2:$Y$301, MATCH(ROUND(MIN(300,MAX(1,Z2846)),0), FactorTable!$A$2:$A$301,0), 24)</f>
        <v/>
      </c>
    </row>
    <row r="2848">
      <c r="A2848">
        <f>Skills!A4</f>
        <v/>
      </c>
      <c r="B2848">
        <f>Skills!B4</f>
        <v/>
      </c>
      <c r="C2848">
        <f>Inputs!$B$3&gt;=40</f>
        <v/>
      </c>
      <c r="D2848">
        <f>IF(Skills!C4=1,60+Inputs!$B$25+Inputs!$B$29,IF(Skills!C4=2,90+Inputs!$B$26+Inputs!$B$29,IF(Skills!C4=3,120+Inputs!$B$27+Inputs!$B$29,MAX(0,(Inputs!$B$3-100)*3)+Inputs!$B$28+Inputs!$B$29)))</f>
        <v/>
      </c>
      <c r="E2848">
        <f>INDEX(FactorTable!$B$2:$Y$301, MATCH(ROUND(MIN(300,MAX(1,D2848)),0), FactorTable!$A$2:$A$301,0), Skills!L4+1)</f>
        <v/>
      </c>
      <c r="F2848">
        <f>IF(Skills!M4=TRUE,(Skills!K4/10)*(E2848/1000),Skills!K4/10)+Skills!N4</f>
        <v/>
      </c>
      <c r="G2848">
        <f>Calc!G4</f>
        <v/>
      </c>
      <c r="H2848">
        <f>Calc!H4</f>
        <v/>
      </c>
      <c r="I2848">
        <f>IF(Skills!T4&lt;&gt;"",1+(Skills!T4/10)*(Z2847/1000)/100,1)</f>
        <v/>
      </c>
      <c r="J2848" t="inlineStr"/>
      <c r="K2848" t="inlineStr"/>
      <c r="L2848" t="inlineStr"/>
      <c r="M2848" t="inlineStr"/>
      <c r="N2848" t="inlineStr"/>
      <c r="O2848">
        <f>(1-Summary!$B$11)*S2848+Summary!$B$11*U2848</f>
        <v/>
      </c>
      <c r="P2848">
        <f>IF(B2881=0,0,O2848/B2881)</f>
        <v/>
      </c>
      <c r="Q2848">
        <f>IFERROR(1/IF(Inputs!$B$38="pvp",15,MAX(0.1,Skills!D4-IF(Skills!E4=TRUE,4.5,0))),0)</f>
        <v/>
      </c>
      <c r="R2848">
        <f>IF(AND(Inputs!$B$38&lt;&gt;"pvp",Inputs!$B$43&gt;0),IF(Inputs!$B$43&lt;=0,0,(INT(Inputs!$B$43/IF(Inputs!$B$38="pvp",15,MAX(0.1,Skills!D4-IF(Skills!E4=TRUE,4.5,0))))+1)),0)</f>
        <v/>
      </c>
      <c r="S2848" t="n">
        <v>0</v>
      </c>
      <c r="T2848">
        <f>290*T2847/1000</f>
        <v/>
      </c>
      <c r="U2848" t="n">
        <v>0</v>
      </c>
    </row>
    <row r="2849">
      <c r="A2849">
        <f>Skills!A5</f>
        <v/>
      </c>
      <c r="B2849">
        <f>Skills!B5</f>
        <v/>
      </c>
      <c r="C2849">
        <f>Inputs!$B$3&gt;=38</f>
        <v/>
      </c>
      <c r="D2849">
        <f>IF(Skills!C5=1,60+Inputs!$B$25+Inputs!$B$29,IF(Skills!C5=2,90+Inputs!$B$26+Inputs!$B$29,IF(Skills!C5=3,120+Inputs!$B$27+Inputs!$B$29,MAX(0,(Inputs!$B$3-100)*3)+Inputs!$B$28+Inputs!$B$29)))</f>
        <v/>
      </c>
      <c r="E2849">
        <f>INDEX(FactorTable!$B$2:$Y$301, MATCH(ROUND(MIN(300,MAX(1,D2849)),0), FactorTable!$A$2:$A$301,0), Skills!L5+1)</f>
        <v/>
      </c>
      <c r="F2849">
        <f>IF(Skills!M5=TRUE,(Skills!K5/10)*(E2849/1000),Skills!K5/10)+Skills!N5</f>
        <v/>
      </c>
      <c r="G2849">
        <f>Calc!G5</f>
        <v/>
      </c>
      <c r="H2849">
        <f>Calc!H5</f>
        <v/>
      </c>
      <c r="I2849">
        <f>IF(Skills!T5&lt;&gt;"",1+(Skills!T5/10)*(Z2847/1000)/100,1)</f>
        <v/>
      </c>
      <c r="J2849">
        <f>((Inputs!$B$6*(1+Inputs!$B$7/100))+(((Inputs!$B$12*(1+Inputs!$B$13/100))-(Inputs!$B$12*(1+Inputs!$B$13/100)))+0.25*(Inputs!$B$14-Inputs!$B$14))*(1+Inputs!$B$7/100))*(F2849/100)</f>
        <v/>
      </c>
      <c r="K2849">
        <f>J2849*(1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5="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F2862-Calc!F18),(Inputs!$B$23+(IF(ArtifactsInput!$M$15,CHOOSE(ArtifactsInput!$N$15+1,25,30,35,40,45,50)/100*(Inputs!$B$11-Inputs!$B$11),0))))/100+(Inputs!$B$23+(IF(ArtifactsInput!$M$15,CHOOSE(ArtifactsInput!$N$15+1,25,30,35,40,45,50)/100*(Inputs!$B$11-Inputs!$B$11),0)))/100)/2</f>
        <v/>
      </c>
      <c r="M2849">
        <f>L2849*(1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(1-Summary!$B$11)*S2849+Summary!$B$11*U2849</f>
        <v/>
      </c>
      <c r="P2849">
        <f>IF(B2881=0,0,O2849/B2881)</f>
        <v/>
      </c>
      <c r="Q2849">
        <f>IFERROR(1/IF(Inputs!$B$38="pvp",15,MAX(0.1,Skills!D5-IF(Skills!E5=TRUE,4.5,0))),0)</f>
        <v/>
      </c>
      <c r="R2849">
        <f>IF(AND(Inputs!$B$38&lt;&gt;"pvp",Inputs!$B$43&gt;0),IF(MAX(0,Inputs!$B$43-B2878)&lt;=0,0,(INT(MAX(0,Inputs!$B$43-B2878)/IF(Inputs!$B$38="pvp",15,MAX(0.1,Skills!D5-IF(Skills!E5=TRUE,4.5,0))))+1)),0)</f>
        <v/>
      </c>
      <c r="S2849">
        <f>IF(C2849,(H2849*N2849*IF(AND(Inputs!$B$38&lt;&gt;"pvp",Inputs!$B$43&gt;0),((Skills!F5*((R2849-1)*IF(Skills!G5&gt;0,Skills!H5/Skills!G5,1)+IF(Skills!G5&gt;0,MIN(Skills!H5,MAX(0,MAX(0,Inputs!$B$43-B2878)-((R2849-1)*IF(Inputs!$B$38="pvp",15,MAX(0.1,Skills!D5-IF(Skills!E5=TRUE,4.5,0))))))/Skills!G5,1)))/Inputs!$B$43),G2849*Q2849))*IF(Inputs!$B$38="pvp",1,1+(Inputs!$B$20+Skills!O5+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2849*(1-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IF(C2849,(H2849*N2849*IF(AND(Inputs!$B$38&lt;&gt;"pvp",Inputs!$B$43&gt;0),((Skills!F5*((R2849-1)*IF(Skills!G5&gt;0,Skills!H5/Skills!G5,1)+IF(Skills!G5&gt;0,MIN(Skills!H5,MAX(0,MAX(0,Inputs!$B$43-B2878)-((R2849-1)*IF(Inputs!$B$38="pvp",15,MAX(0.1,Skills!D5-IF(Skills!E5=TRUE,4.5,0))))))/Skills!G5,1)))/Inputs!$B$43),G2849*Q2849))*IF(Inputs!$B$38="pvp",1,(1+(Inputs!$B$21+Skills!P5+B2872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Inputs!$B$3&gt;=63</f>
        <v/>
      </c>
      <c r="D2850">
        <f>IF(Skills!C6=1,60+Inputs!$B$25+Inputs!$B$29,IF(Skills!C6=2,90+Inputs!$B$26+Inputs!$B$29,IF(Skills!C6=3,120+Inputs!$B$27+Inputs!$B$29,MAX(0,(Inputs!$B$3-100)*3)+Inputs!$B$28+Inputs!$B$29)))</f>
        <v/>
      </c>
      <c r="E2850">
        <f>INDEX(FactorTable!$B$2:$Y$301, MATCH(ROUND(MIN(300,MAX(1,D2850)),0), FactorTable!$A$2:$A$301,0), Skills!L6+1)</f>
        <v/>
      </c>
      <c r="F2850">
        <f>IF(Skills!M6=TRUE,(Skills!K6/10)*(E2850/1000),Skills!K6/10)+Skills!N6</f>
        <v/>
      </c>
      <c r="G2850">
        <f>Calc!G6</f>
        <v/>
      </c>
      <c r="H2850">
        <f>Calc!H6</f>
        <v/>
      </c>
      <c r="I2850">
        <f>IF(Skills!T6&lt;&gt;"",1+(Skills!T6/10)*(Z2847/1000)/100,1)</f>
        <v/>
      </c>
      <c r="J2850">
        <f>((Inputs!$B$6*(1+Inputs!$B$7/100))+(((Inputs!$B$12*(1+Inputs!$B$13/100))-(Inputs!$B$12*(1+Inputs!$B$13/100)))+0.25*(Inputs!$B$14-Inputs!$B$14))*(1+Inputs!$B$7/100))*(F2850/100)</f>
        <v/>
      </c>
      <c r="K2850">
        <f>J2850*(1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6="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F2862-Calc!F18),(Inputs!$B$23+(IF(ArtifactsInput!$M$15,CHOOSE(ArtifactsInput!$N$15+1,25,30,35,40,45,50)/100*(Inputs!$B$11-Inputs!$B$11),0))))/100+(Inputs!$B$23+(IF(ArtifactsInput!$M$15,CHOOSE(ArtifactsInput!$N$15+1,25,30,35,40,45,50)/100*(Inputs!$B$11-Inputs!$B$11),0)))/100)/2</f>
        <v/>
      </c>
      <c r="M2850">
        <f>L2850*(1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(1-Summary!$B$11)*S2850+Summary!$B$11*U2850</f>
        <v/>
      </c>
      <c r="P2850">
        <f>IF(B2881=0,0,O2850/B2881)</f>
        <v/>
      </c>
      <c r="Q2850">
        <f>IFERROR(1/IF(Inputs!$B$38="pvp",15,MAX(0.1,Skills!D6-IF(Skills!E6=TRUE,4.5,0))),0)</f>
        <v/>
      </c>
      <c r="R2850">
        <f>IF(AND(Inputs!$B$38&lt;&gt;"pvp",Inputs!$B$43&gt;0),IF(MAX(0,Inputs!$B$43-B2878)&lt;=0,0,(INT(MAX(0,Inputs!$B$43-B2878)/IF(Inputs!$B$38="pvp",15,MAX(0.1,Skills!D6-IF(Skills!E6=TRUE,4.5,0))))+1)),0)</f>
        <v/>
      </c>
      <c r="S2850">
        <f>IF(C2850,(H2850*N2850*IF(AND(Inputs!$B$38&lt;&gt;"pvp",Inputs!$B$43&gt;0),((Skills!F6*((R2850-1)*IF(Skills!G6&gt;0,Skills!H6/Skills!G6,1)+IF(Skills!G6&gt;0,MIN(Skills!H6,MAX(0,MAX(0,Inputs!$B$43-B2878)-((R2850-1)*IF(Inputs!$B$38="pvp",15,MAX(0.1,Skills!D6-IF(Skills!E6=TRUE,4.5,0))))))/Skills!G6,1)))/Inputs!$B$43),G2850*Q2850))*IF(Inputs!$B$38="pvp",1,1+(Inputs!$B$20+Skills!O6+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2850*(1-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0">
        <f>IF(C2850,(H2850*N2850*IF(AND(Inputs!$B$38&lt;&gt;"pvp",Inputs!$B$43&gt;0),((Skills!F6*((R2850-1)*IF(Skills!G6&gt;0,Skills!H6/Skills!G6,1)+IF(Skills!G6&gt;0,MIN(Skills!H6,MAX(0,MAX(0,Inputs!$B$43-B2878)-((R2850-1)*IF(Inputs!$B$38="pvp",15,MAX(0.1,Skills!D6-IF(Skills!E6=TRUE,4.5,0))))))/Skills!G6,1)))/Inputs!$B$43),G2850*Q2850))*IF(Inputs!$B$38="pvp",1,(1+(Inputs!$B$21+Skills!P6+B2872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Inputs!$B$3&gt;=69</f>
        <v/>
      </c>
      <c r="D2851">
        <f>IF(Skills!C7=1,60+Inputs!$B$25+Inputs!$B$29,IF(Skills!C7=2,90+Inputs!$B$26+Inputs!$B$29,IF(Skills!C7=3,120+Inputs!$B$27+Inputs!$B$29,MAX(0,(Inputs!$B$3-100)*3)+Inputs!$B$28+Inputs!$B$29)))</f>
        <v/>
      </c>
      <c r="E2851">
        <f>INDEX(FactorTable!$B$2:$Y$301, MATCH(ROUND(MIN(300,MAX(1,D2851)),0), FactorTable!$A$2:$A$301,0), Skills!L7+1)</f>
        <v/>
      </c>
      <c r="F2851">
        <f>IF(Skills!M7=TRUE,(Skills!K7/10)*(E2851/1000),Skills!K7/10)+Skills!N7</f>
        <v/>
      </c>
      <c r="G2851">
        <f>Calc!G7</f>
        <v/>
      </c>
      <c r="H2851">
        <f>Calc!H7</f>
        <v/>
      </c>
      <c r="I2851">
        <f>IF(Skills!T7&lt;&gt;"",1+(Skills!T7/10)*(Z2847/1000)/100,1)</f>
        <v/>
      </c>
      <c r="J2851">
        <f>((Inputs!$B$6*(1+Inputs!$B$7/100))+(((Inputs!$B$12*(1+Inputs!$B$13/100))-(Inputs!$B$12*(1+Inputs!$B$13/100)))+0.25*(Inputs!$B$14-Inputs!$B$14))*(1+Inputs!$B$7/100))*(F2851/100)</f>
        <v/>
      </c>
      <c r="K2851">
        <f>J2851*(1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7="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F2862-Calc!F18),(Inputs!$B$23+(IF(ArtifactsInput!$M$15,CHOOSE(ArtifactsInput!$N$15+1,25,30,35,40,45,50)/100*(Inputs!$B$11-Inputs!$B$11),0))))/100+(Inputs!$B$23+(IF(ArtifactsInput!$M$15,CHOOSE(ArtifactsInput!$N$15+1,25,30,35,40,45,50)/100*(Inputs!$B$11-Inputs!$B$11),0)))/100)/2</f>
        <v/>
      </c>
      <c r="M2851">
        <f>L2851*(1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(1-Summary!$B$11)*S2851+Summary!$B$11*U2851</f>
        <v/>
      </c>
      <c r="P2851">
        <f>IF(B2881=0,0,O2851/B2881)</f>
        <v/>
      </c>
      <c r="Q2851">
        <f>IFERROR(1/IF(Inputs!$B$38="pvp",15,MAX(0.1,Skills!D7-IF(Skills!E7=TRUE,4.5,0))),0)</f>
        <v/>
      </c>
      <c r="R2851">
        <f>IF(AND(Inputs!$B$38&lt;&gt;"pvp",Inputs!$B$43&gt;0),IF(MAX(0,Inputs!$B$43-B2878)&lt;=0,0,(INT(MAX(0,Inputs!$B$43-B2878)/IF(Inputs!$B$38="pvp",15,MAX(0.1,Skills!D7-IF(Skills!E7=TRUE,4.5,0))))+1)),0)</f>
        <v/>
      </c>
      <c r="S2851">
        <f>IF(C2851,(H2851*N2851*IF(AND(Inputs!$B$38&lt;&gt;"pvp",Inputs!$B$43&gt;0),((Skills!F7*((R2851-1)*IF(Skills!G7&gt;0,Skills!H7/Skills!G7,1)+IF(Skills!G7&gt;0,MIN(Skills!H7,MAX(0,MAX(0,Inputs!$B$43-B2878)-((R2851-1)*IF(Inputs!$B$38="pvp",15,MAX(0.1,Skills!D7-IF(Skills!E7=TRUE,4.5,0))))))/Skills!G7,1)))/Inputs!$B$43),G2851*Q2851))*IF(Inputs!$B$38="pvp",1,1+(Inputs!$B$20+Skills!O7+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2851*(1-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1">
        <f>IF(C2851,(H2851*N2851*IF(AND(Inputs!$B$38&lt;&gt;"pvp",Inputs!$B$43&gt;0),((Skills!F7*((R2851-1)*IF(Skills!G7&gt;0,Skills!H7/Skills!G7,1)+IF(Skills!G7&gt;0,MIN(Skills!H7,MAX(0,MAX(0,Inputs!$B$43-B2878)-((R2851-1)*IF(Inputs!$B$38="pvp",15,MAX(0.1,Skills!D7-IF(Skills!E7=TRUE,4.5,0))))))/Skills!G7,1)))/Inputs!$B$43),G2851*Q2851))*IF(Inputs!$B$38="pvp",1,(1+(Inputs!$B$21+Skills!P7+B2872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Skills!A8</f>
        <v/>
      </c>
      <c r="B2852">
        <f>Skills!B8</f>
        <v/>
      </c>
      <c r="C2852">
        <f>Inputs!$B$3&gt;=103</f>
        <v/>
      </c>
      <c r="D2852">
        <f>IF(Skills!C8=1,60+Inputs!$B$25+Inputs!$B$29,IF(Skills!C8=2,90+Inputs!$B$26+Inputs!$B$29,IF(Skills!C8=3,120+Inputs!$B$27+Inputs!$B$29,MAX(0,(Inputs!$B$3-100)*3)+Inputs!$B$28+Inputs!$B$29)))</f>
        <v/>
      </c>
      <c r="E2852">
        <f>INDEX(FactorTable!$B$2:$Y$301, MATCH(ROUND(MIN(300,MAX(1,D2852)),0), FactorTable!$A$2:$A$301,0), Skills!L8+1)</f>
        <v/>
      </c>
      <c r="F2852">
        <f>IF(Skills!M8=TRUE,(Skills!K8/10)*(E2852/1000),Skills!K8/10)+Skills!N8</f>
        <v/>
      </c>
      <c r="G2852">
        <f>Calc!G8</f>
        <v/>
      </c>
      <c r="H2852">
        <f>Calc!H8</f>
        <v/>
      </c>
      <c r="I2852">
        <f>IF(Skills!T8&lt;&gt;"",1+(Skills!T8/10)*(Z2847/1000)/100,1)</f>
        <v/>
      </c>
      <c r="J2852">
        <f>((Inputs!$B$6*(1+Inputs!$B$7/100))+(((Inputs!$B$12*(1+Inputs!$B$13/100))-(Inputs!$B$12*(1+Inputs!$B$13/100)))+0.25*(Inputs!$B$14-Inputs!$B$14))*(1+Inputs!$B$7/100))*(F2852/100)</f>
        <v/>
      </c>
      <c r="K2852">
        <f>J2852*(1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8="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F2862-Calc!F18),(Inputs!$B$23+(IF(ArtifactsInput!$M$15,CHOOSE(ArtifactsInput!$N$15+1,25,30,35,40,45,50)/100*(Inputs!$B$11-Inputs!$B$11),0))))/100+(Inputs!$B$23+(IF(ArtifactsInput!$M$15,CHOOSE(ArtifactsInput!$N$15+1,25,30,35,40,45,50)/100*(Inputs!$B$11-Inputs!$B$11),0)))/100)/2</f>
        <v/>
      </c>
      <c r="M2852">
        <f>L2852*(1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(1-Summary!$B$11)*S2852+Summary!$B$11*U2852</f>
        <v/>
      </c>
      <c r="P2852">
        <f>IF(B2881=0,0,O2852/B2881)</f>
        <v/>
      </c>
      <c r="Q2852">
        <f>IFERROR(1/IF(Inputs!$B$38="pvp",15,MAX(0.1,Skills!D8-IF(Skills!E8=TRUE,4.5,0))),0)</f>
        <v/>
      </c>
      <c r="R2852">
        <f>IF(AND(Inputs!$B$38&lt;&gt;"pvp",Inputs!$B$43&gt;0),IF(MAX(0,Inputs!$B$43-B2878)&lt;=0,0,(INT(MAX(0,Inputs!$B$43-B2878)/IF(Inputs!$B$38="pvp",15,MAX(0.1,Skills!D8-IF(Skills!E8=TRUE,4.5,0))))+1)),0)</f>
        <v/>
      </c>
      <c r="S2852">
        <f>IF(C2852,(H2852*N2852*IF(AND(Inputs!$B$38&lt;&gt;"pvp",Inputs!$B$43&gt;0),((Skills!F8*((R2852-1)*IF(Skills!G8&gt;0,Skills!H8/Skills!G8,1)+IF(Skills!G8&gt;0,MIN(Skills!H8,MAX(0,MAX(0,Inputs!$B$43-B2878)-((R2852-1)*IF(Inputs!$B$38="pvp",15,MAX(0.1,Skills!D8-IF(Skills!E8=TRUE,4.5,0))))))/Skills!G8,1)))/Inputs!$B$43),G2852*Q2852))*IF(Inputs!$B$38="pvp",1,1+(Inputs!$B$20+Skills!O8+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2852*(1-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2">
        <f>IF(C2852,(H2852*N2852*IF(AND(Inputs!$B$38&lt;&gt;"pvp",Inputs!$B$43&gt;0),((Skills!F8*((R2852-1)*IF(Skills!G8&gt;0,Skills!H8/Skills!G8,1)+IF(Skills!G8&gt;0,MIN(Skills!H8,MAX(0,MAX(0,Inputs!$B$43-B2878)-((R2852-1)*IF(Inputs!$B$38="pvp",15,MAX(0.1,Skills!D8-IF(Skills!E8=TRUE,4.5,0))))))/Skills!G8,1)))/Inputs!$B$43),G2852*Q2852))*IF(Inputs!$B$38="pvp",1,(1+(Inputs!$B$21+Skills!P8+B2872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Inputs!$B$3&gt;=105</f>
        <v/>
      </c>
      <c r="D2853">
        <f>IF(Skills!C9=1,60+Inputs!$B$25+Inputs!$B$29,IF(Skills!C9=2,90+Inputs!$B$26+Inputs!$B$29,IF(Skills!C9=3,120+Inputs!$B$27+Inputs!$B$29,MAX(0,(Inputs!$B$3-100)*3)+Inputs!$B$28+Inputs!$B$29)))</f>
        <v/>
      </c>
      <c r="E2853">
        <f>INDEX(FactorTable!$B$2:$Y$301, MATCH(ROUND(MIN(300,MAX(1,D2853)),0), FactorTable!$A$2:$A$301,0), Skills!L9+1)</f>
        <v/>
      </c>
      <c r="F2853">
        <f>IF(Skills!M9=TRUE,(Skills!K9/10)*(E2853/1000),Skills!K9/10)+Skills!N9</f>
        <v/>
      </c>
      <c r="G2853">
        <f>Calc!G9</f>
        <v/>
      </c>
      <c r="H2853">
        <f>Calc!H9</f>
        <v/>
      </c>
      <c r="I2853">
        <f>IF(Skills!T9&lt;&gt;"",1+(Skills!T9/10)*(Z2847/1000)/100,1)</f>
        <v/>
      </c>
      <c r="J2853">
        <f>((Inputs!$B$6*(1+Inputs!$B$7/100))+(((Inputs!$B$12*(1+Inputs!$B$13/100))-(Inputs!$B$12*(1+Inputs!$B$13/100)))+0.25*(Inputs!$B$14-Inputs!$B$14))*(1+Inputs!$B$7/100))*(F2853/100)</f>
        <v/>
      </c>
      <c r="K2853">
        <f>J2853*(1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9="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F2862-Calc!F18),(Inputs!$B$23+(IF(ArtifactsInput!$M$15,CHOOSE(ArtifactsInput!$N$15+1,25,30,35,40,45,50)/100*(Inputs!$B$11-Inputs!$B$11),0))))/100+(Inputs!$B$23+(IF(ArtifactsInput!$M$15,CHOOSE(ArtifactsInput!$N$15+1,25,30,35,40,45,50)/100*(Inputs!$B$11-Inputs!$B$11),0)))/100)/2</f>
        <v/>
      </c>
      <c r="M2853">
        <f>L2853*(1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(1-Summary!$B$11)*S2853+Summary!$B$11*U2853</f>
        <v/>
      </c>
      <c r="P2853">
        <f>IF(B2881=0,0,O2853/B2881)</f>
        <v/>
      </c>
      <c r="Q2853">
        <f>IFERROR(1/IF(Inputs!$B$38="pvp",15,MAX(0.1,Skills!D9-IF(Skills!E9=TRUE,4.5,0))),0)</f>
        <v/>
      </c>
      <c r="R2853">
        <f>IF(AND(Inputs!$B$38&lt;&gt;"pvp",Inputs!$B$43&gt;0),IF(MAX(0,Inputs!$B$43-B2878)&lt;=0,0,(INT(MAX(0,Inputs!$B$43-B2878)/IF(Inputs!$B$38="pvp",15,MAX(0.1,Skills!D9-IF(Skills!E9=TRUE,4.5,0))))+1)),0)</f>
        <v/>
      </c>
      <c r="S2853">
        <f>IF(C2853,(H2853*N2853*IF(AND(Inputs!$B$38&lt;&gt;"pvp",Inputs!$B$43&gt;0),((Skills!F9*((R2853-1)*IF(Skills!G9&gt;0,Skills!H9/Skills!G9,1)+IF(Skills!G9&gt;0,MIN(Skills!H9,MAX(0,MAX(0,Inputs!$B$43-B2878)-((R2853-1)*IF(Inputs!$B$38="pvp",15,MAX(0.1,Skills!D9-IF(Skills!E9=TRUE,4.5,0))))))/Skills!G9,1)))/Inputs!$B$43),G2853*Q2853))*IF(Inputs!$B$38="pvp",1,1+(Inputs!$B$20+Skills!O9+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2853*(1-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3">
        <f>IF(C2853,(H2853*N2853*IF(AND(Inputs!$B$38&lt;&gt;"pvp",Inputs!$B$43&gt;0),((Skills!F9*((R2853-1)*IF(Skills!G9&gt;0,Skills!H9/Skills!G9,1)+IF(Skills!G9&gt;0,MIN(Skills!H9,MAX(0,MAX(0,Inputs!$B$43-B2878)-((R2853-1)*IF(Inputs!$B$38="pvp",15,MAX(0.1,Skills!D9-IF(Skills!E9=TRUE,4.5,0))))))/Skills!G9,1)))/Inputs!$B$43),G2853*Q2853))*IF(Inputs!$B$38="pvp",1,(1+(Inputs!$B$21+Skills!P9+B2872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Inputs!$B$3&gt;=113</f>
        <v/>
      </c>
      <c r="D2854">
        <f>IF(Skills!C10=1,60+Inputs!$B$25+Inputs!$B$29,IF(Skills!C10=2,90+Inputs!$B$26+Inputs!$B$29,IF(Skills!C10=3,120+Inputs!$B$27+Inputs!$B$29,MAX(0,(Inputs!$B$3-100)*3)+Inputs!$B$28+Inputs!$B$29)))</f>
        <v/>
      </c>
      <c r="E2854">
        <f>INDEX(FactorTable!$B$2:$Y$301, MATCH(ROUND(MIN(300,MAX(1,D2854)),0), FactorTable!$A$2:$A$301,0), Skills!L10+1)</f>
        <v/>
      </c>
      <c r="F2854">
        <f>IF(Skills!M10=TRUE,(Skills!K10/10)*(E2854/1000),Skills!K10/10)+Skills!N10</f>
        <v/>
      </c>
      <c r="G2854">
        <f>Calc!G10</f>
        <v/>
      </c>
      <c r="H2854">
        <f>Calc!H10</f>
        <v/>
      </c>
      <c r="I2854">
        <f>IF(Skills!T10&lt;&gt;"",1+(Skills!T10/10)*(Z2847/1000)/100,1)</f>
        <v/>
      </c>
      <c r="J2854">
        <f>((Inputs!$B$6*(1+Inputs!$B$7/100))+(((Inputs!$B$12*(1+Inputs!$B$13/100))-(Inputs!$B$12*(1+Inputs!$B$13/100)))+0.25*(Inputs!$B$14-Inputs!$B$14))*(1+Inputs!$B$7/100))*(F2854/100)</f>
        <v/>
      </c>
      <c r="K2854">
        <f>J2854*(1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10="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F2862-Calc!F18),(Inputs!$B$23+(IF(ArtifactsInput!$M$15,CHOOSE(ArtifactsInput!$N$15+1,25,30,35,40,45,50)/100*(Inputs!$B$11-Inputs!$B$11),0))))/100+(Inputs!$B$23+(IF(ArtifactsInput!$M$15,CHOOSE(ArtifactsInput!$N$15+1,25,30,35,40,45,50)/100*(Inputs!$B$11-Inputs!$B$11),0)))/100)/2</f>
        <v/>
      </c>
      <c r="M2854">
        <f>L2854*(1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(1-Summary!$B$11)*S2854+Summary!$B$11*U2854</f>
        <v/>
      </c>
      <c r="P2854">
        <f>IF(B2881=0,0,O2854/B2881)</f>
        <v/>
      </c>
      <c r="Q2854">
        <f>IFERROR(1/IF(Inputs!$B$38="pvp",15,MAX(0.1,Skills!D10-IF(Skills!E9=TRUE,4.5,0))),0)</f>
        <v/>
      </c>
      <c r="R2854">
        <f>IF(AND(Inputs!$B$38&lt;&gt;"pvp",Inputs!$B$43&gt;0),IF(MAX(0,Inputs!$B$43-B2878)&lt;=0,0,(INT(MAX(0,Inputs!$B$43-B2878)/IF(Inputs!$B$38="pvp",15,MAX(0.1,Skills!D10-IF(Skills!E9=TRUE,4.5,0))))+1)),0)</f>
        <v/>
      </c>
      <c r="S2854">
        <f>IF(C2854,(H2854*N2854*IF(AND(Inputs!$B$38&lt;&gt;"pvp",Inputs!$B$43&gt;0),((Skills!F10*((R2854-1)*IF(Skills!G10&gt;0,Skills!H10/Skills!G10,1)+IF(Skills!G10&gt;0,MIN(Skills!H10,MAX(0,MAX(0,Inputs!$B$43-B2878)-((R2854-1)*IF(Inputs!$B$38="pvp",15,MAX(0.1,Skills!D10-IF(Skills!E9=TRUE,4.5,0))))))/Skills!G10,1)))/Inputs!$B$43),G2854*Q2854))*IF(Inputs!$B$38="pvp",1,1+(Inputs!$B$20+Skills!O10+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2854*(1-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4">
        <f>IF(C2854,(H2854*N2854*IF(AND(Inputs!$B$38&lt;&gt;"pvp",Inputs!$B$43&gt;0),((Skills!F10*((R2854-1)*IF(Skills!G10&gt;0,Skills!H10/Skills!G10,1)+IF(Skills!G10&gt;0,MIN(Skills!H10,MAX(0,MAX(0,Inputs!$B$43-B2878)-((R2854-1)*IF(Inputs!$B$38="pvp",15,MAX(0.1,Skills!D10-IF(Skills!E9=TRUE,4.5,0))))))/Skills!G10,1)))/Inputs!$B$43),G2854*Q2854))*IF(Inputs!$B$38="pvp",1,(1+(Inputs!$B$21+Skills!P10+B2872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Inputs!$B$3&gt;=107</f>
        <v/>
      </c>
      <c r="D2855">
        <f>IF(Skills!C11=1,60+Inputs!$B$25+Inputs!$B$29,IF(Skills!C11=2,90+Inputs!$B$26+Inputs!$B$29,IF(Skills!C11=3,120+Inputs!$B$27+Inputs!$B$29,MAX(0,(Inputs!$B$3-100)*3)+Inputs!$B$28+Inputs!$B$29)))</f>
        <v/>
      </c>
      <c r="E2855">
        <f>INDEX(FactorTable!$B$2:$Y$301, MATCH(ROUND(MIN(300,MAX(1,D2855)),0), FactorTable!$A$2:$A$301,0), Skills!L11+1)</f>
        <v/>
      </c>
      <c r="F2855">
        <f>IF(Skills!M11=TRUE,(Skills!K11/10)*(E2855/1000),Skills!K11/10)+Skills!N11</f>
        <v/>
      </c>
      <c r="G2855">
        <f>Calc!G11</f>
        <v/>
      </c>
      <c r="H2855">
        <f>Calc!H11</f>
        <v/>
      </c>
      <c r="I2855">
        <f>IF(Skills!T11&lt;&gt;"",1+(Skills!T11/10)*(Z2847/1000)/100,1)</f>
        <v/>
      </c>
      <c r="J2855">
        <f>((Inputs!$B$6*(1+Inputs!$B$7/100))+(((Inputs!$B$12*(1+Inputs!$B$13/100))-(Inputs!$B$12*(1+Inputs!$B$13/100)))+0.25*(Inputs!$B$14-Inputs!$B$14))*(1+Inputs!$B$7/100))*(F2855/100)</f>
        <v/>
      </c>
      <c r="K2855">
        <f>J2855*(1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11="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F2862-Calc!F18),(Inputs!$B$23+(IF(ArtifactsInput!$M$15,CHOOSE(ArtifactsInput!$N$15+1,25,30,35,40,45,50)/100*(Inputs!$B$11-Inputs!$B$11),0))))/100+(Inputs!$B$23+(IF(ArtifactsInput!$M$15,CHOOSE(ArtifactsInput!$N$15+1,25,30,35,40,45,50)/100*(Inputs!$B$11-Inputs!$B$11),0)))/100)/2</f>
        <v/>
      </c>
      <c r="M2855">
        <f>L2855*(1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(1-Summary!$B$11)*S2855+Summary!$B$11*U2855</f>
        <v/>
      </c>
      <c r="P2855">
        <f>IF(B2881=0,0,O2855/B2881)</f>
        <v/>
      </c>
      <c r="Q2855">
        <f>IFERROR(1/IF(Inputs!$B$38="pvp",15,MAX(0.1,Skills!D11-IF(Skills!E11=TRUE,4.5,0))),0)</f>
        <v/>
      </c>
      <c r="R2855">
        <f>IF(AND(Inputs!$B$38&lt;&gt;"pvp",Inputs!$B$43&gt;0),IF(MAX(0,Inputs!$B$43-B2878)&lt;=0,0,(INT(MAX(0,Inputs!$B$43-B2878)/IF(Inputs!$B$38="pvp",15,MAX(0.1,Skills!D11-IF(Skills!E11=TRUE,4.5,0))))+1)),0)</f>
        <v/>
      </c>
      <c r="S2855">
        <f>IF(C2855,H2855*N2855*IF(AND(Inputs!$B$38&lt;&gt;"pvp",Inputs!$B$43&gt;0),((Skills!F11*((R2855-1)*IF(Skills!G11&gt;0,Skills!H11/Skills!G11,1)+IF(Skills!G11&gt;0,MIN(Skills!H11,MAX(0,MAX(0,Inputs!$B$43-B2878)-((R2855-1)*IF(Inputs!$B$38="pvp",15,MAX(0.1,Skills!D11-IF(Skills!E11=TRUE,4.5,0))))))/Skills!G11,1)))/Inputs!$B$43),G2855*Q2855)*0.5*IF(Inputs!$B$38="pvp",1,1+(Inputs!$B$20+Skills!O11+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2855*(1-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5">
        <f>IF(C2855,H2855*N2855*IF(AND(Inputs!$B$38&lt;&gt;"pvp",Inputs!$B$43&gt;0),((Skills!F11*((R2855-1)*IF(Skills!G11&gt;0,Skills!H11/Skills!G11,1)+IF(Skills!G11&gt;0,MIN(Skills!H11,MAX(0,MAX(0,Inputs!$B$43-B2878)-((R2855-1)*IF(Inputs!$B$38="pvp",15,MAX(0.1,Skills!D11-IF(Skills!E11=TRUE,4.5,0))))))/Skills!G11,1)))/Inputs!$B$43),G2855*Q2855)*1*IF(Inputs!$B$38="pvp",1,(1+(Inputs!$B$21+Skills!P11+B2872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Skills!A12</f>
        <v/>
      </c>
      <c r="B2856">
        <f>Skills!B12</f>
        <v/>
      </c>
      <c r="C2856">
        <f>Inputs!$B$3&gt;=115</f>
        <v/>
      </c>
      <c r="D2856">
        <f>IF(Skills!C12=1,60+Inputs!$B$25+Inputs!$B$29,IF(Skills!C12=2,90+Inputs!$B$26+Inputs!$B$29,IF(Skills!C12=3,120+Inputs!$B$27+Inputs!$B$29,MAX(0,(Inputs!$B$3-100)*3)+Inputs!$B$28+Inputs!$B$29)))</f>
        <v/>
      </c>
      <c r="E2856">
        <f>INDEX(FactorTable!$B$2:$Y$301, MATCH(ROUND(MIN(300,MAX(1,D2856)),0), FactorTable!$A$2:$A$301,0), Skills!L12+1)</f>
        <v/>
      </c>
      <c r="F2856">
        <f>IF(Skills!M12=TRUE,(Skills!K12/10)*(E2856/1000),Skills!K12/10)+Skills!N12</f>
        <v/>
      </c>
      <c r="G2856">
        <f>Calc!G12</f>
        <v/>
      </c>
      <c r="H2856">
        <f>Calc!H12</f>
        <v/>
      </c>
      <c r="I2856">
        <f>IF(Skills!T12&lt;&gt;"",1+(Skills!T12/10)*(Z2847/1000)/100,1)</f>
        <v/>
      </c>
      <c r="J2856">
        <f>((Inputs!$B$6*(1+Inputs!$B$7/100))+(((Inputs!$B$12*(1+Inputs!$B$13/100))-(Inputs!$B$12*(1+Inputs!$B$13/100)))+0.25*(Inputs!$B$14-Inputs!$B$14))*(1+Inputs!$B$7/100))*(F2856/100)</f>
        <v/>
      </c>
      <c r="K2856">
        <f>J2856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12="CHAIN_LIGHTNING",Inputs!$B$17+((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F2862-Calc!F18),(Inputs!$B$23+(IF(ArtifactsInput!$M$15,CHOOSE(ArtifactsInput!$N$15+1,25,30,35,40,45,50)/100*(Inputs!$B$11-Inputs!$B$11),0))))/100+(Inputs!$B$23+(IF(ArtifactsInput!$M$15,CHOOSE(ArtifactsInput!$N$15+1,25,30,35,40,45,50)/100*(Inputs!$B$11-Inputs!$B$11),0)))/100)/2</f>
        <v/>
      </c>
      <c r="M2856">
        <f>L2856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(1-Summary!$B$11)*S2856+Summary!$B$11*U2856</f>
        <v/>
      </c>
      <c r="P2856">
        <f>IF(B2881=0,0,O2856/B2881)</f>
        <v/>
      </c>
      <c r="Q2856">
        <f>IFERROR(1/IF(Inputs!$B$38="pvp",15,MAX(0.1,Skills!D12-IF(Skills!E12=TRUE,4.5,0))),0)</f>
        <v/>
      </c>
      <c r="R2856">
        <f>IF(AND(Inputs!$B$38&lt;&gt;"pvp",Inputs!$B$43&gt;0),IF(MAX(0,Inputs!$B$43-B2878)&lt;=0,0,(INT(MAX(0,Inputs!$B$43-B2878)/IF(Inputs!$B$38="pvp",15,MAX(0.1,Skills!D12-IF(Skills!E12=TRUE,4.5,0))))+1)),0)</f>
        <v/>
      </c>
      <c r="S2856">
        <f>IF(C2856,(H2856*N2856*IF(AND(Inputs!$B$38&lt;&gt;"pvp",Inputs!$B$43&gt;0),((Skills!F12*((R2856-1)*IF(Skills!G12&gt;0,Skills!H12/Skills!G12,1)+IF(Skills!G12&gt;0,MIN(Skills!H12,MAX(0,MAX(0,Inputs!$B$43-B2878)-((R2856-1)*IF(Inputs!$B$38="pvp",15,MAX(0.1,Skills!D12-IF(Skills!E12=TRUE,4.5,0))))))/Skills!G12,1)))/Inputs!$B$43),G2856*Q2856))*IF(Inputs!$B$38="pvp",1,1+(Inputs!$B$20+Skills!O12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2856*(1-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F2864-Calc!F20)+(F2863-Calc!F19))+(ArtifactsInput!$M$24-ArtifactsInput!$M$24)*CHOOSE(ArtifactsInput!$N$24+1,10,12,14,16,18,20)+(IF(AND(Inputs!$B$38&lt;&gt;"pvp",Inputs!$B$43=0),1,IF(IF(Inputs!$B$38="pvp",15,Inputs!$B$43)-(B2878)&lt;=0,1,MAX(0,IF(Inputs!$B$38="pvp",15,Inputs!$B$43)-MAX(5,B2878))/(IF(Inputs!$B$38="pvp",15,Inputs!$B$43)-(B2878)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IF(C2856,(H2856*N2856*IF(AND(Inputs!$B$38&lt;&gt;"pvp",Inputs!$B$43&gt;0),((Skills!F12*((R2856-1)*IF(Skills!G12&gt;0,Skills!H12/Skills!G12,1)+IF(Skills!G12&gt;0,MIN(Skills!H12,MAX(0,MAX(0,Inputs!$B$43-B2878)-((R2856-1)*IF(Inputs!$B$38="pvp",15,MAX(0.1,Skills!D12-IF(Skills!E12=TRUE,4.5,0))))))/Skills!G12,1)))/Inputs!$B$43),G2856*Q2856))*IF(Inputs!$B$38="pvp",1,(1+(Inputs!$B$21+Skills!P12+B2872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Inputs!$B$3&gt;=49</f>
        <v/>
      </c>
      <c r="D2857">
        <f>IF(Skills!C13=1,60+Inputs!$B$25+Inputs!$B$29,IF(Skills!C13=2,90+Inputs!$B$26+Inputs!$B$29,IF(Skills!C13=3,120+Inputs!$B$27+Inputs!$B$29,MAX(0,(Inputs!$B$3-100)*3)+Inputs!$B$28+Inputs!$B$29)))</f>
        <v/>
      </c>
      <c r="E2857">
        <f>INDEX(FactorTable!$B$2:$Y$301, MATCH(ROUND(MIN(300,MAX(1,D2857)),0), FactorTable!$A$2:$A$301,0), Skills!L13+1)</f>
        <v/>
      </c>
      <c r="F2857">
        <f>IF(Skills!M13=TRUE,(Skills!K13/10)*(E2857/1000),Skills!K13/10)+Skills!N13</f>
        <v/>
      </c>
      <c r="G2857">
        <f>Calc!G13</f>
        <v/>
      </c>
      <c r="H2857">
        <f>Calc!H13</f>
        <v/>
      </c>
      <c r="I2857">
        <f>IF(Skills!T13&lt;&gt;"",1+(Skills!T13/10)*(Z2847/1000)/100,1)</f>
        <v/>
      </c>
      <c r="J2857" t="inlineStr"/>
      <c r="K2857" t="inlineStr"/>
      <c r="L2857" t="inlineStr"/>
      <c r="M2857" t="inlineStr"/>
      <c r="N2857" t="inlineStr"/>
      <c r="O2857">
        <f>(1-Summary!$B$11)*S2857+Summary!$B$11*U2857</f>
        <v/>
      </c>
      <c r="P2857">
        <f>IF(B2881=0,0,O2857/B2881)</f>
        <v/>
      </c>
      <c r="Q2857">
        <f>IFERROR(1/IF(Inputs!$B$38="pvp",15,MAX(0.1,Skills!D13-IF(Skills!E13=TRUE,4.5,0))),0)</f>
        <v/>
      </c>
      <c r="R2857" t="n">
        <v>0</v>
      </c>
      <c r="S2857" t="n">
        <v>0</v>
      </c>
      <c r="U2857" t="n">
        <v>0</v>
      </c>
    </row>
    <row r="2858">
      <c r="A2858">
        <f>Skills!A14</f>
        <v/>
      </c>
      <c r="B2858">
        <f>Skills!B14</f>
        <v/>
      </c>
      <c r="C2858">
        <f>Inputs!$B$3&gt;=72</f>
        <v/>
      </c>
      <c r="D2858">
        <f>IF(Skills!C14=1,60+Inputs!$B$25+Inputs!$B$29,IF(Skills!C14=2,90+Inputs!$B$26+Inputs!$B$29,IF(Skills!C14=3,120+Inputs!$B$27+Inputs!$B$29,MAX(0,(Inputs!$B$3-100)*3)+Inputs!$B$28+Inputs!$B$29)))</f>
        <v/>
      </c>
      <c r="E2858">
        <f>INDEX(FactorTable!$B$2:$Y$301, MATCH(ROUND(MIN(300,MAX(1,D2858)),0), FactorTable!$A$2:$A$301,0), Skills!L14+1)</f>
        <v/>
      </c>
      <c r="F2858">
        <f>IF(Skills!M14=TRUE,(Skills!K14/10)*(E2858/1000),Skills!K14/10)+Skills!N14</f>
        <v/>
      </c>
      <c r="G2858">
        <f>Calc!G14</f>
        <v/>
      </c>
      <c r="H2858">
        <f>Calc!H14</f>
        <v/>
      </c>
      <c r="I2858">
        <f>IF(Skills!T14&lt;&gt;"",1+(Skills!T14/10)*(Z2847/1000)/100,1)</f>
        <v/>
      </c>
      <c r="J2858" t="inlineStr"/>
      <c r="K2858" t="inlineStr"/>
      <c r="L2858" t="inlineStr"/>
      <c r="M2858" t="inlineStr"/>
      <c r="N2858" t="inlineStr"/>
      <c r="O2858">
        <f>(1-Summary!$B$11)*S2858+Summary!$B$11*U2858</f>
        <v/>
      </c>
      <c r="P2858">
        <f>IF(B2881=0,0,O2858/B2881)</f>
        <v/>
      </c>
      <c r="Q2858">
        <f>IFERROR(1/IF(Inputs!$B$38="pvp",15,MAX(0.1,Skills!D14-IF(Skills!E14=TRUE,4.5,0))),0)</f>
        <v/>
      </c>
      <c r="R2858" t="n">
        <v>0</v>
      </c>
      <c r="S2858" t="n">
        <v>0</v>
      </c>
      <c r="U2858" t="n">
        <v>0</v>
      </c>
    </row>
    <row r="2859">
      <c r="A2859">
        <f>Skills!A15</f>
        <v/>
      </c>
      <c r="B2859">
        <f>Skills!B15</f>
        <v/>
      </c>
      <c r="C2859">
        <f>Inputs!$B$3&gt;=75</f>
        <v/>
      </c>
      <c r="D2859">
        <f>IF(Skills!C15=1,60+Inputs!$B$25+Inputs!$B$29,IF(Skills!C15=2,90+Inputs!$B$26+Inputs!$B$29,IF(Skills!C15=3,120+Inputs!$B$27+Inputs!$B$29,MAX(0,(Inputs!$B$3-100)*3)+Inputs!$B$28+Inputs!$B$29)))</f>
        <v/>
      </c>
      <c r="E2859">
        <f>INDEX(FactorTable!$B$2:$Y$301, MATCH(ROUND(MIN(300,MAX(1,D2859)),0), FactorTable!$A$2:$A$301,0), Skills!L15+1)</f>
        <v/>
      </c>
      <c r="F2859">
        <f>IF(Skills!M15=TRUE,(Skills!K15/10)*(E2859/1000),Skills!K15/10)+Skills!N15</f>
        <v/>
      </c>
      <c r="G2859">
        <f>Calc!G15</f>
        <v/>
      </c>
      <c r="H2859">
        <f>Calc!H15</f>
        <v/>
      </c>
      <c r="I2859">
        <f>IF(Skills!T15&lt;&gt;"",1+(Skills!T15/10)*(Z2847/1000)/100,1)</f>
        <v/>
      </c>
      <c r="J2859" t="inlineStr"/>
      <c r="K2859" t="inlineStr"/>
      <c r="L2859" t="inlineStr"/>
      <c r="M2859" t="inlineStr"/>
      <c r="N2859" t="inlineStr"/>
      <c r="O2859">
        <f>(1-Summary!$B$11)*S2859+Summary!$B$11*U2859</f>
        <v/>
      </c>
      <c r="P2859">
        <f>IF(B2881=0,0,O2859/B2881)</f>
        <v/>
      </c>
      <c r="Q2859">
        <f>IFERROR(1/IF(Inputs!$B$38="pvp",15,MAX(0.1,Skills!D15-IF(Skills!E15=TRUE,4.5,0))),0)</f>
        <v/>
      </c>
      <c r="R2859" t="n">
        <v>0</v>
      </c>
      <c r="S2859" t="n">
        <v>0</v>
      </c>
      <c r="U2859" t="n">
        <v>0</v>
      </c>
    </row>
    <row r="2860">
      <c r="A2860">
        <f>Skills!A16</f>
        <v/>
      </c>
      <c r="B2860">
        <f>Skills!B16</f>
        <v/>
      </c>
      <c r="C2860">
        <f>Inputs!$B$3&gt;=110</f>
        <v/>
      </c>
      <c r="D2860">
        <f>IF(Skills!C16=1,60+Inputs!$B$25+Inputs!$B$29,IF(Skills!C16=2,90+Inputs!$B$26+Inputs!$B$29,IF(Skills!C16=3,120+Inputs!$B$27+Inputs!$B$29,MAX(0,(Inputs!$B$3-100)*3)+Inputs!$B$28+Inputs!$B$29)))</f>
        <v/>
      </c>
      <c r="E2860">
        <f>INDEX(FactorTable!$B$2:$Y$301, MATCH(ROUND(MIN(300,MAX(1,D2860)),0), FactorTable!$A$2:$A$301,0), Skills!L16+1)</f>
        <v/>
      </c>
      <c r="F2860">
        <f>(Skills!K16/10)*(E2860/1000)*64/45+Skills!N16</f>
        <v/>
      </c>
      <c r="G2860">
        <f>Calc!G16</f>
        <v/>
      </c>
      <c r="H2860">
        <f>Calc!H16</f>
        <v/>
      </c>
      <c r="I2860">
        <f>IF(Skills!T16&lt;&gt;"",1+(Skills!T16/10)*(Z2847/1000)/100,1)</f>
        <v/>
      </c>
      <c r="J2860" t="inlineStr"/>
      <c r="K2860" t="inlineStr"/>
      <c r="L2860" t="inlineStr"/>
      <c r="M2860" t="inlineStr"/>
      <c r="N2860" t="inlineStr"/>
      <c r="O2860">
        <f>(1-Summary!$B$11)*S2860+Summary!$B$11*U2860</f>
        <v/>
      </c>
      <c r="P2860">
        <f>IF(B2881=0,0,O2860/B2881)</f>
        <v/>
      </c>
      <c r="Q2860">
        <f>IFERROR(1/IF(Inputs!$B$38="pvp",15,MAX(0.1,Skills!D16-IF(Skills!E16=TRUE,4.5,0))),0)</f>
        <v/>
      </c>
      <c r="R2860">
        <f>IF(AND(Inputs!$B$38&lt;&gt;"pvp",Inputs!$B$43&gt;0),IF(Inputs!$B$43&lt;=0,0,(INT(Inputs!$B$43/IF(Inputs!$B$38="pvp",15,MAX(0.1,Skills!D16-IF(Skills!E16=TRUE,4.5,0))))+1)),0)</f>
        <v/>
      </c>
      <c r="S2860" t="n">
        <v>0</v>
      </c>
      <c r="U2860" t="n">
        <v>0</v>
      </c>
    </row>
    <row r="2861">
      <c r="A2861">
        <f>Skills!A17</f>
        <v/>
      </c>
      <c r="B2861">
        <f>Skills!B17</f>
        <v/>
      </c>
      <c r="C2861">
        <f>Inputs!$B$3&gt;=33</f>
        <v/>
      </c>
      <c r="D2861">
        <f>IF(Skills!C17=1,60+Inputs!$B$25+Inputs!$B$29,IF(Skills!C17=2,90+Inputs!$B$26+Inputs!$B$29,IF(Skills!C17=3,120+Inputs!$B$27+Inputs!$B$29,MAX(0,(Inputs!$B$3-100)*3)+Inputs!$B$28+Inputs!$B$29)))</f>
        <v/>
      </c>
      <c r="E2861">
        <f>INDEX(FactorTable!$B$2:$Y$301, MATCH(ROUND(MIN(300,MAX(1,D2861)),0), FactorTable!$A$2:$A$301,0), Skills!L17+1)</f>
        <v/>
      </c>
      <c r="F2861">
        <f>IF(Skills!M17=TRUE,(Skills!K17/10)*(E2861/1000),Skills!K17/10)+Skills!N17</f>
        <v/>
      </c>
      <c r="G2861">
        <f>Calc!G17</f>
        <v/>
      </c>
      <c r="H2861">
        <f>Calc!H17</f>
        <v/>
      </c>
      <c r="I2861">
        <f>IF(Skills!T17&lt;&gt;"",1+(Skills!T17/10)*(Z2847/1000)/100,1)</f>
        <v/>
      </c>
      <c r="J2861" t="inlineStr"/>
      <c r="K2861" t="inlineStr"/>
      <c r="L2861" t="inlineStr"/>
      <c r="M2861" t="inlineStr"/>
      <c r="N2861" t="inlineStr"/>
      <c r="O2861">
        <f>(1-Summary!$B$11)*S2861+Summary!$B$11*U2861</f>
        <v/>
      </c>
      <c r="P2861">
        <f>IF(B2881=0,0,O2861/B2881)</f>
        <v/>
      </c>
      <c r="Q2861">
        <f>IFERROR(1/IF(Inputs!$B$38="pvp",15,MAX(0.1,Skills!D17-IF(Skills!E17=TRUE,4.5,0))),0)</f>
        <v/>
      </c>
      <c r="R2861" t="n">
        <v>0</v>
      </c>
      <c r="S2861" t="n">
        <v>0</v>
      </c>
      <c r="U2861" t="n">
        <v>0</v>
      </c>
    </row>
    <row r="2862">
      <c r="A2862">
        <f>Skills!A18</f>
        <v/>
      </c>
      <c r="B2862">
        <f>Skills!B18</f>
        <v/>
      </c>
      <c r="C2862">
        <f>Inputs!$B$3&gt;=43</f>
        <v/>
      </c>
      <c r="D2862">
        <f>IF(Skills!C18=1,60+Inputs!$B$25+Inputs!$B$29,IF(Skills!C18=2,90+Inputs!$B$26+Inputs!$B$29,IF(Skills!C18=3,120+Inputs!$B$27+Inputs!$B$29,MAX(0,(Inputs!$B$3-100)*3)+Inputs!$B$28+Inputs!$B$29)))</f>
        <v/>
      </c>
      <c r="E2862">
        <f>INDEX(FactorTable!$B$2:$Y$301, MATCH(ROUND(MIN(300,MAX(1,D2862)),0), FactorTable!$A$2:$A$301,0), Skills!L18+1)</f>
        <v/>
      </c>
      <c r="F2862">
        <f>IF(Skills!M18=TRUE,(Skills!K18/10)*(E2862/1000),Skills!K18/10)+Skills!N18</f>
        <v/>
      </c>
      <c r="G2862">
        <f>Calc!G18</f>
        <v/>
      </c>
      <c r="H2862">
        <f>Calc!H18</f>
        <v/>
      </c>
      <c r="I2862">
        <f>IF(Skills!T18&lt;&gt;"",1+(Skills!T18/10)*(Z2847/1000)/100,1)</f>
        <v/>
      </c>
      <c r="J2862" t="inlineStr"/>
      <c r="K2862" t="inlineStr"/>
      <c r="L2862" t="inlineStr"/>
      <c r="M2862" t="inlineStr"/>
      <c r="N2862" t="inlineStr"/>
      <c r="O2862">
        <f>(1-Summary!$B$11)*S2862+Summary!$B$11*U2862</f>
        <v/>
      </c>
      <c r="P2862">
        <f>IF(B2881=0,0,O2862/B2881)</f>
        <v/>
      </c>
      <c r="Q2862">
        <f>IFERROR(1/IF(Inputs!$B$38="pvp",15,MAX(0.1,Skills!D18-IF(Skills!E18=TRUE,4.5,0))),0)</f>
        <v/>
      </c>
      <c r="R2862" t="n">
        <v>0</v>
      </c>
      <c r="S2862" t="n">
        <v>0</v>
      </c>
      <c r="U2862" t="n">
        <v>0</v>
      </c>
    </row>
    <row r="2863">
      <c r="A2863">
        <f>Skills!A19</f>
        <v/>
      </c>
      <c r="B2863">
        <f>Skills!B19</f>
        <v/>
      </c>
      <c r="C2863">
        <f>Inputs!$B$3&gt;=50</f>
        <v/>
      </c>
      <c r="D2863">
        <f>IF(Skills!C19=1,60+Inputs!$B$25+Inputs!$B$29,IF(Skills!C19=2,90+Inputs!$B$26+Inputs!$B$29,IF(Skills!C19=3,120+Inputs!$B$27+Inputs!$B$29,MAX(0,(Inputs!$B$3-100)*3)+Inputs!$B$28+Inputs!$B$29)))</f>
        <v/>
      </c>
      <c r="E2863">
        <f>INDEX(FactorTable!$B$2:$Y$301, MATCH(ROUND(MIN(300,MAX(1,D2863)),0), FactorTable!$A$2:$A$301,0), Skills!L19+1)</f>
        <v/>
      </c>
      <c r="F2863">
        <f>IF(Skills!M19=TRUE,(Skills!K19/10)*(E2863/1000),Skills!K19/10)+Skills!N19</f>
        <v/>
      </c>
      <c r="G2863">
        <f>Calc!G19</f>
        <v/>
      </c>
      <c r="H2863">
        <f>Calc!H19</f>
        <v/>
      </c>
      <c r="I2863">
        <f>IF(Skills!T19&lt;&gt;"",1+(Skills!T19/10)*(Z2847/1000)/100,1)</f>
        <v/>
      </c>
      <c r="J2863" t="inlineStr"/>
      <c r="K2863" t="inlineStr"/>
      <c r="L2863" t="inlineStr"/>
      <c r="M2863" t="inlineStr"/>
      <c r="N2863" t="inlineStr"/>
      <c r="O2863">
        <f>(1-Summary!$B$11)*S2863+Summary!$B$11*U2863</f>
        <v/>
      </c>
      <c r="P2863">
        <f>IF(B2881=0,0,O2863/B2881)</f>
        <v/>
      </c>
      <c r="Q2863">
        <f>IFERROR(1/IF(Inputs!$B$38="pvp",15,MAX(0.1,Skills!D19-IF(Skills!E19=TRUE,4.5,0))),0)</f>
        <v/>
      </c>
      <c r="R2863" t="n">
        <v>0</v>
      </c>
      <c r="S2863" t="n">
        <v>0</v>
      </c>
      <c r="U2863" t="n">
        <v>0</v>
      </c>
    </row>
    <row r="2864">
      <c r="A2864">
        <f>Skills!A20</f>
        <v/>
      </c>
      <c r="B2864">
        <f>Skills!B20</f>
        <v/>
      </c>
      <c r="C2864">
        <f>Inputs!$B$3&gt;=74</f>
        <v/>
      </c>
      <c r="D2864">
        <f>IF(Skills!C20=1,60+Inputs!$B$25+Inputs!$B$29,IF(Skills!C20=2,90+Inputs!$B$26+Inputs!$B$29,IF(Skills!C20=3,120+Inputs!$B$27+Inputs!$B$29,MAX(0,(Inputs!$B$3-100)*3)+Inputs!$B$28+Inputs!$B$29)))</f>
        <v/>
      </c>
      <c r="E2864">
        <f>INDEX(FactorTable!$B$2:$Y$301, MATCH(ROUND(MIN(300,MAX(1,D2864)),0), FactorTable!$A$2:$A$301,0), Skills!L20+1)</f>
        <v/>
      </c>
      <c r="F2864">
        <f>IF(Skills!M20=TRUE,(Skills!K20/10)*(E2864/1000),Skills!K20/10)+Skills!N20</f>
        <v/>
      </c>
      <c r="G2864">
        <f>Calc!G20</f>
        <v/>
      </c>
      <c r="H2864">
        <f>Calc!H20</f>
        <v/>
      </c>
      <c r="I2864">
        <f>IF(Skills!T20&lt;&gt;"",1+(Skills!T20/10)*(Z2847/1000)/100,1)</f>
        <v/>
      </c>
      <c r="J2864" t="inlineStr"/>
      <c r="K2864" t="inlineStr"/>
      <c r="L2864" t="inlineStr"/>
      <c r="M2864" t="inlineStr"/>
      <c r="N2864" t="inlineStr"/>
      <c r="O2864">
        <f>(1-Summary!$B$11)*S2864+Summary!$B$11*U2864</f>
        <v/>
      </c>
      <c r="P2864">
        <f>IF(B2881=0,0,O2864/B2881)</f>
        <v/>
      </c>
      <c r="Q2864">
        <f>IFERROR(1/IF(Inputs!$B$38="pvp",15,MAX(0.1,Skills!D20-IF(Skills!E20=TRUE,4.5,0))),0)</f>
        <v/>
      </c>
      <c r="R2864" t="n">
        <v>0</v>
      </c>
      <c r="S2864" t="n">
        <v>0</v>
      </c>
      <c r="U2864" t="n">
        <v>0</v>
      </c>
    </row>
    <row r="2865">
      <c r="A2865">
        <f>Skills!A21</f>
        <v/>
      </c>
      <c r="B2865">
        <f>Skills!B21</f>
        <v/>
      </c>
      <c r="C2865">
        <f>Inputs!$B$3&gt;=74</f>
        <v/>
      </c>
      <c r="D2865">
        <f>IF(Skills!C21=1,60+Inputs!$B$25+Inputs!$B$29,IF(Skills!C21=2,90+Inputs!$B$26+Inputs!$B$29,IF(Skills!C21=3,120+Inputs!$B$27+Inputs!$B$29,MAX(0,(Inputs!$B$3-100)*3)+Inputs!$B$28+Inputs!$B$29)))</f>
        <v/>
      </c>
      <c r="E2865">
        <f>INDEX(FactorTable!$B$2:$Y$301, MATCH(ROUND(MIN(300,MAX(1,D2865)),0), FactorTable!$A$2:$A$301,0), Skills!L21+1)</f>
        <v/>
      </c>
      <c r="F2865">
        <f>IF(Skills!M21=TRUE,(Skills!K21/10)*(E2865/1000),Skills!K21/10)+Skills!N21</f>
        <v/>
      </c>
      <c r="G2865">
        <f>Calc!G21</f>
        <v/>
      </c>
      <c r="H2865">
        <f>Calc!H21</f>
        <v/>
      </c>
      <c r="I2865">
        <f>IF(Skills!T21&lt;&gt;"",1+(Skills!T21/10)*(Z2847/1000)/100,1)</f>
        <v/>
      </c>
      <c r="J2865" t="inlineStr"/>
      <c r="K2865" t="inlineStr"/>
      <c r="L2865" t="inlineStr"/>
      <c r="M2865" t="inlineStr"/>
      <c r="N2865" t="inlineStr"/>
      <c r="O2865">
        <f>(1-Summary!$B$11)*S2865+Summary!$B$11*U2865</f>
        <v/>
      </c>
      <c r="P2865">
        <f>IF(B2881=0,0,O2865/B2881)</f>
        <v/>
      </c>
      <c r="Q2865">
        <f>IFERROR(1/IF(Inputs!$B$38="pvp",15,MAX(0.1,Skills!D21-IF(Skills!E21=TRUE,4.5,0))),0)</f>
        <v/>
      </c>
      <c r="R2865" t="n">
        <v>0</v>
      </c>
      <c r="S2865" t="n">
        <v>0</v>
      </c>
      <c r="U2865" t="n">
        <v>0</v>
      </c>
    </row>
    <row r="2866">
      <c r="A2866">
        <f>Skills!A22</f>
        <v/>
      </c>
      <c r="B2866">
        <f>Skills!B22</f>
        <v/>
      </c>
      <c r="C2866">
        <f>Inputs!$B$3&gt;=117</f>
        <v/>
      </c>
      <c r="D2866">
        <f>IF(Skills!C22=1,60+Inputs!$B$25+Inputs!$B$29,IF(Skills!C22=2,90+Inputs!$B$26+Inputs!$B$29,IF(Skills!C22=3,120+Inputs!$B$27+Inputs!$B$29,MAX(0,(Inputs!$B$3-100)*3)+Inputs!$B$28+Inputs!$B$29)))</f>
        <v/>
      </c>
      <c r="E2866">
        <f>INDEX(FactorTable!$B$2:$Y$301, MATCH(ROUND(MIN(300,MAX(1,D2866)),0), FactorTable!$A$2:$A$301,0), Skills!L22+1)</f>
        <v/>
      </c>
      <c r="F2866">
        <f>IF(Skills!M22=TRUE,(Skills!K22/10)*(E2866/1000),Skills!K22/10)+Skills!N22</f>
        <v/>
      </c>
      <c r="G2866">
        <f>Calc!G22</f>
        <v/>
      </c>
      <c r="H2866">
        <f>Calc!H22</f>
        <v/>
      </c>
      <c r="I2866">
        <f>IF(Skills!T22&lt;&gt;"",1+(Skills!T22/10)*(Z2847/1000)/100,1)</f>
        <v/>
      </c>
      <c r="J2866" t="inlineStr"/>
      <c r="K2866" t="inlineStr"/>
      <c r="L2866" t="inlineStr"/>
      <c r="M2866" t="inlineStr"/>
      <c r="N2866" t="inlineStr"/>
      <c r="O2866">
        <f>(1-Summary!$B$11)*S2866+Summary!$B$11*U2866</f>
        <v/>
      </c>
      <c r="P2866">
        <f>IF(B2881=0,0,O2866/B2881)</f>
        <v/>
      </c>
      <c r="Q2866">
        <f>IFERROR(1/IF(Inputs!$B$38="pvp",15,MAX(0.1,Skills!D22-IF(Skills!E22=TRUE,4.5,0))),0)</f>
        <v/>
      </c>
      <c r="R2866" t="n">
        <v>0</v>
      </c>
      <c r="S2866" t="n">
        <v>0</v>
      </c>
      <c r="U2866" t="n">
        <v>0</v>
      </c>
    </row>
    <row r="2867">
      <c r="A2867">
        <f>Skills!A23</f>
        <v/>
      </c>
      <c r="B2867">
        <f>Skills!B23</f>
        <v/>
      </c>
      <c r="C2867">
        <f>Inputs!$B$3&gt;=120</f>
        <v/>
      </c>
      <c r="D2867">
        <f>IF(Skills!C23=1,60+Inputs!$B$25+Inputs!$B$29,IF(Skills!C23=2,90+Inputs!$B$26+Inputs!$B$29,IF(Skills!C23=3,120+Inputs!$B$27+Inputs!$B$29,MAX(0,(Inputs!$B$3-100)*3)+Inputs!$B$28+Inputs!$B$29)))</f>
        <v/>
      </c>
      <c r="E2867">
        <f>INDEX(FactorTable!$B$2:$Y$301, MATCH(ROUND(MIN(300,MAX(1,D2867)),0), FactorTable!$A$2:$A$301,0), Skills!L23+1)</f>
        <v/>
      </c>
      <c r="F2867">
        <f>IF(Skills!M23=TRUE,(Skills!K23/10)*(E2867/1000),Skills!K23/10)+Skills!N23</f>
        <v/>
      </c>
      <c r="G2867">
        <f>Calc!G23</f>
        <v/>
      </c>
      <c r="H2867">
        <f>Calc!H23</f>
        <v/>
      </c>
      <c r="I2867">
        <f>IF(Skills!T23&lt;&gt;"",1+(Skills!T23/10)*(Z2847/1000)/100,1)</f>
        <v/>
      </c>
      <c r="J2867" t="inlineStr"/>
      <c r="K2867" t="inlineStr"/>
      <c r="L2867" t="inlineStr"/>
      <c r="M2867" t="inlineStr"/>
      <c r="N2867" t="inlineStr"/>
      <c r="O2867">
        <f>(1-Summary!$B$11)*S2867+Summary!$B$11*U2867</f>
        <v/>
      </c>
      <c r="P2867">
        <f>IF(B2881=0,0,O2867/B2881)</f>
        <v/>
      </c>
      <c r="Q2867">
        <f>IFERROR(1/IF(Inputs!$B$38="pvp",15,MAX(0.1,Skills!D23-IF(Skills!E23=TRUE,4.5,0))),0)</f>
        <v/>
      </c>
      <c r="R2867" t="n">
        <v>0</v>
      </c>
      <c r="S2867" t="n">
        <v>0</v>
      </c>
      <c r="U2867" t="n">
        <v>0</v>
      </c>
    </row>
    <row r="2868">
      <c r="A2868">
        <f>Skills!A24</f>
        <v/>
      </c>
      <c r="B2868">
        <f>Skills!B24</f>
        <v/>
      </c>
      <c r="C2868">
        <f>TRUE</f>
        <v/>
      </c>
      <c r="D2868">
        <f>IF(Skills!C24=1,60+Inputs!$B$25+Inputs!$B$29,IF(Skills!C24=2,90+Inputs!$B$26+Inputs!$B$29,IF(Skills!C24=3,120+Inputs!$B$27+Inputs!$B$29,MAX(0,(Inputs!$B$3-100)*3)+Inputs!$B$28+Inputs!$B$29)))</f>
        <v/>
      </c>
      <c r="E2868">
        <f>INDEX(FactorTable!$B$2:$Y$301, MATCH(ROUND(MIN(300,MAX(1,D2868)),0), FactorTable!$A$2:$A$301,0), Skills!L24+1)</f>
        <v/>
      </c>
      <c r="F2868">
        <f>IF(Skills!M24=TRUE,(Skills!K24/10)*(E2868/1000),Skills!K24/10)+Skills!N24</f>
        <v/>
      </c>
      <c r="G2868">
        <f>Calc!G24</f>
        <v/>
      </c>
      <c r="H2868">
        <f>Calc!H24</f>
        <v/>
      </c>
      <c r="I2868">
        <f>IF(Skills!T24&lt;&gt;"",1+(Skills!T24/10)*(Z2847/1000)/100,1)</f>
        <v/>
      </c>
      <c r="J2868" t="inlineStr"/>
      <c r="K2868" t="inlineStr"/>
      <c r="L2868" t="inlineStr"/>
      <c r="M2868" t="inlineStr"/>
      <c r="N2868" t="inlineStr"/>
      <c r="O2868">
        <f>(1-Summary!$B$11)*S2868+Summary!$B$11*U2868</f>
        <v/>
      </c>
      <c r="P2868">
        <f>IF(B2881=0,0,O2868/B2881)</f>
        <v/>
      </c>
      <c r="Q2868">
        <f>IFERROR(1/IF(Inputs!$B$38="pvp",15,MAX(0.1,Skills!D24-IF(Skills!E24=TRUE,4.5,0))),0)</f>
        <v/>
      </c>
      <c r="R2868">
        <f>IF(AND(Inputs!$B$38&lt;&gt;"pvp",Inputs!$B$43&gt;0),IF(Inputs!$B$43&lt;=0,0,(INT(Inputs!$B$43/IF(Inputs!$B$38="pvp",15,MAX(0.1,Skills!D24-IF(Skills!E24=TRUE,4.5,0))))+1)),0)</f>
        <v/>
      </c>
      <c r="S2868" t="n">
        <v>0</v>
      </c>
      <c r="U2868" t="n">
        <v>0</v>
      </c>
    </row>
    <row r="2871">
      <c r="A2871" t="inlineStr">
        <is>
          <t>Average Buff Multiplier (Magic Guard + Meditation + Artifact Attack%, summed; then Infinity)</t>
        </is>
      </c>
      <c r="B2871">
        <f>(1+(IF(C2847=TRUE,F2847*IF(AND(Inputs!$B$38&lt;&gt;"pvp",Inputs!$B$43&gt;0),(((R2847-1)*(Skills!S3*(1+(Inputs!$B$34)/100))+MIN((Skills!S3*(1+(Inputs!$B$34)/100)),MAX(0,Inputs!$B$43-((R2847-1)*Skills!D3))))/Inputs!$B$43),IF(Inputs!$B$38="pvp",MIN((Skills!S3*(1+(Inputs!$B$34)/100)),15)/15,(Skills!S3*(1+(Inputs!$B$34)/100))/Skills!D3)),0)+IF(C2848=TRUE,F2848*IF(AND(Inputs!$B$38&lt;&gt;"pvp",Inputs!$B$43&gt;0),(((R2848-1)*(Skills!S4*(1+(Inputs!$B$34)/100))+MIN((Skills!S4*(1+(Inputs!$B$34)/100)),MAX(0,Inputs!$B$43-((R2848-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2860=TRUE,(1+F2860*IF(AND(Inputs!$B$38&lt;&gt;"pvp",Inputs!$B$43&gt;0),(((R2860-1)*(Skills!S16*(1+(Inputs!$B$34)/100))+MIN((Skills!S16*(1+(Inputs!$B$34)/100)),MAX(0,Inputs!$B$43-((R2860-1)*Skills!D16))))/Inputs!$B$43),IF(Inputs!$B$38="pvp",MIN((Skills!S16*(1+(Inputs!$B$34)/100)),15)/15,(Skills!S16*(1+(Inputs!$B$34)/100))/Skills!D16))/100),1)</f>
        <v/>
      </c>
    </row>
    <row r="2872">
      <c r="A2872" t="inlineStr">
        <is>
          <t>Monster Damage Taken Bonus % (Freezing Breath - Weaken + Elemental Reset + Artifact Enemy Damage Taken, summed)</t>
        </is>
      </c>
      <c r="B2872">
        <f>IF(Inputs!$B$3&gt;=118,15*IF(Inputs!$B$38="pvp",MIN((30*(1+(Inputs!$B$34)/100)),15)/15,(30*(1+(Inputs!$B$34)/100))/Skills!D8),0)+IF(C2858=TRUE,F2858,0)+(IF(AND(ArtifactsInput!$M$35,Inputs!$B$4&lt;&gt;"Chapter Hunt"),CHOOSE(ArtifactsInput!$N$35+1,15,18,21,24,27,30)*(1-EXP(-(0.2*B2875)*5)),0)+IF(AND(ArtifactsInput!$M$22,Inputs!$B$4&lt;&gt;"Chapter Hunt"),CHOOSE(ArtifactsInput!$N$22+1,10,12,14,16,18,20)*((0*(((0.15*B2875*5))^0/1)+1*(((0.15*B2875*5))^1/1)+2*(((0.15*B2875*5))^2/2)+3*(((0.15*B2875*5))^3/6)+4*(((0.15*B2875*5))^4/24)+5*(((0.15*B2875*5))^5/120))/((((0.15*B2875*5))^0/1)+(((0.15*B2875*5))^1/1)+(((0.15*B2875*5))^2/2)+(((0.15*B2875*5))^3/6)+(((0.15*B2875*5))^4/24)+(((0.15*B2875*5))^5/120))),0))</f>
        <v/>
      </c>
    </row>
    <row r="2873">
      <c r="A2873" t="inlineStr">
        <is>
          <t>Damage % Bonus (Frozen Break + Frost Clutch, flat)</t>
        </is>
      </c>
      <c r="B2873">
        <f>IF(Inputs!$B$3&gt;=66,15,0)+IF(Inputs!$B$3&gt;=98,10,0)+IF(Inputs!$B$3&gt;=125,20,0)</f>
        <v/>
      </c>
    </row>
    <row r="2874">
      <c r="A2874" t="inlineStr">
        <is>
          <t>Attack Speed Bonus % (MP Eater - MP Boost, always-on + Nimble Feet, duty-cycle averaged)</t>
        </is>
      </c>
      <c r="B2874">
        <f>IF(C2857=TRUE,F2857+(F2861-Calc!F17),0)+((C2868=TRUE)*F2868*IF(AND(Inputs!$B$38&lt;&gt;"pvp",Inputs!$B$43&gt;0),(((R2868-1)*(Skills!S24*(1+(Inputs!$B$34)/100))+MIN((Skills!S24*(1+(Inputs!$B$34)/100)),MAX(0,Inputs!$B$43-((R2868-1)*Skills!D24))))/Inputs!$B$43),IF(Inputs!$B$38="pvp",MIN((Skills!S24*(1+(Inputs!$B$34)/100)),15)/15,(Skills!S24*(1+(Inputs!$B$34)/100))/Skills!D24)))</f>
        <v/>
      </c>
    </row>
    <row r="2875">
      <c r="A2875" t="inlineStr">
        <is>
          <t>Actions Per Second</t>
        </is>
      </c>
      <c r="B2875">
        <f>1+MIN(150,150*(1-(1-(Inputs!$B$11+(ArtifactsInput!$M$15-ArtifactsInput!$M$15)*CHOOSE(ArtifactsInput!$N$15+1,8,9.6,11.2,12.8,14.4,16))/150)*(1-B2874/150)))/100</f>
        <v/>
      </c>
    </row>
    <row r="2876">
      <c r="A2876" t="inlineStr">
        <is>
          <t>Skill + Buff Cast Rate</t>
        </is>
      </c>
      <c r="B2876">
        <f>IF(AND(Inputs!$B$38&lt;&gt;"pvp",Inputs!$B$43&gt;0),SUMPRODUCT((Skills!E2:E24=TRUE)*(C2846:C2868=TRUE)*R2846:R2868)/Inputs!$B$43,SUMPRODUCT((Skills!E2:E24=TRUE)*(C2846:C2868=TRUE)*Q2846:Q2868))</f>
        <v/>
      </c>
    </row>
    <row r="2877">
      <c r="A2877" t="inlineStr">
        <is>
          <t>Chain Lightning Casts Per Second</t>
        </is>
      </c>
      <c r="B2877">
        <f>MAX(0,B2875-B2876)</f>
        <v/>
      </c>
    </row>
    <row r="2878">
      <c r="A2878" t="inlineStr">
        <is>
          <t>Buff-Casting Startup Delay (s, fixed-duration only)</t>
        </is>
      </c>
      <c r="B2878">
        <f>IF(AND(Inputs!$B$38&lt;&gt;"pvp",Inputs!$B$43&gt;0),SUMPRODUCT((Skills!S2:S24&gt;0)*(Skills!E2:E24=TRUE)*(C2846:C2868=TRUE))/B2875,0)</f>
        <v/>
      </c>
    </row>
    <row r="2879">
      <c r="A2879" t="inlineStr">
        <is>
          <t>Boss-Only Total DPS (this block's swept value)</t>
        </is>
      </c>
      <c r="B2879">
        <f>SUM(S2846:S2868)</f>
        <v/>
      </c>
    </row>
    <row r="2880">
      <c r="A2880" t="inlineStr">
        <is>
          <t>Normal-Only Total DPS (this block's swept value)</t>
        </is>
      </c>
      <c r="B2880">
        <f>SUM(U2846:U2868)</f>
        <v/>
      </c>
    </row>
    <row r="2881">
      <c r="A2881" s="6" t="inlineStr">
        <is>
          <t>TOTAL DPS</t>
        </is>
      </c>
      <c r="B2881" s="6">
        <f>SUM(O2846:O2868)</f>
        <v/>
      </c>
    </row>
    <row r="2884">
      <c r="A2884" s="6" t="inlineStr">
        <is>
          <t>Stat: CDR = 5.0s</t>
        </is>
      </c>
    </row>
    <row r="2885">
      <c r="A2885" s="5" t="inlineStr">
        <is>
          <t>Key</t>
        </is>
      </c>
      <c r="B2885" s="5" t="inlineStr">
        <is>
          <t>Name</t>
        </is>
      </c>
      <c r="C2885" s="5" t="inlineStr">
        <is>
          <t>Unlocked</t>
        </is>
      </c>
      <c r="D2885" s="5" t="inlineStr">
        <is>
          <t>InputLevel</t>
        </is>
      </c>
      <c r="E2885" s="5" t="inlineStr">
        <is>
          <t>Factor</t>
        </is>
      </c>
      <c r="F2885" s="5" t="inlineStr">
        <is>
          <t>CoefficientPercent</t>
        </is>
      </c>
      <c r="G2885" s="5" t="inlineStr">
        <is>
          <t>EffectiveHits</t>
        </is>
      </c>
      <c r="H2885" s="5" t="inlineStr">
        <is>
          <t>ProcProbability</t>
        </is>
      </c>
      <c r="I2885" s="5" t="inlineStr">
        <is>
          <t>MapleHeroMultiplier</t>
        </is>
      </c>
      <c r="J2885" s="5" t="inlineStr">
        <is>
          <t>BaseDamage</t>
        </is>
      </c>
      <c r="K2885" s="5" t="inlineStr">
        <is>
          <t>BaseHitDamage</t>
        </is>
      </c>
      <c r="L2885" s="5" t="inlineStr">
        <is>
          <t>NonCritAvg</t>
        </is>
      </c>
      <c r="M2885" s="5" t="inlineStr">
        <is>
          <t>CritAvg</t>
        </is>
      </c>
      <c r="N2885" s="5" t="inlineStr">
        <is>
          <t>ExpectedDamage(perHit)</t>
        </is>
      </c>
      <c r="O2885" s="5" t="inlineStr">
        <is>
          <t>DPS</t>
        </is>
      </c>
      <c r="P2885" s="5" t="inlineStr">
        <is>
          <t>% of Total</t>
        </is>
      </c>
      <c r="R2885" t="inlineStr">
        <is>
          <t>helpers</t>
        </is>
      </c>
    </row>
    <row r="2886">
      <c r="A2886">
        <f>Skills!A2</f>
        <v/>
      </c>
      <c r="B2886">
        <f>Skills!B2</f>
        <v/>
      </c>
      <c r="C2886">
        <f>Inputs!$B$3&gt;=100</f>
        <v/>
      </c>
      <c r="D2886" t="inlineStr"/>
      <c r="E2886" t="inlineStr"/>
      <c r="F2886">
        <f>T2888+Skills!N2</f>
        <v/>
      </c>
      <c r="G2886">
        <f>Calc!G2</f>
        <v/>
      </c>
      <c r="H2886">
        <f>Calc!H2</f>
        <v/>
      </c>
      <c r="I2886">
        <f>IF(Skills!T2&lt;&gt;"",1+(Skills!T2/10)*(Z2887/1000)/100,1)</f>
        <v/>
      </c>
      <c r="J2886">
        <f>((Inputs!$B$6*(1+Inputs!$B$7/100))+(((Inputs!$B$12*(1+Inputs!$B$13/100))-(Inputs!$B$12*(1+Inputs!$B$13/100)))+0.25*(Inputs!$B$14-Inputs!$B$14))*(1+Inputs!$B$7/100))*(F2886/100)</f>
        <v/>
      </c>
      <c r="K2886">
        <f>J2886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2="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F2902-Calc!F18),(Inputs!$B$23+(IF(ArtifactsInput!$M$15,CHOOSE(ArtifactsInput!$N$15+1,25,30,35,40,45,50)/100*(Inputs!$B$11-Inputs!$B$11),0))))/100+(Inputs!$B$23+(IF(ArtifactsInput!$M$15,CHOOSE(ArtifactsInput!$N$15+1,25,30,35,40,45,50)/100*(Inputs!$B$11-Inputs!$B$11),0)))/100)/2</f>
        <v/>
      </c>
      <c r="M2886">
        <f>L2886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(1-Summary!$B$11)*S2886+Summary!$B$11*U2886</f>
        <v/>
      </c>
      <c r="P2886">
        <f>IF(B2921=0,0,O2886/B2921)</f>
        <v/>
      </c>
      <c r="Q2886">
        <f>IFERROR(1/IF(Inputs!$B$38="pvp",15,MAX(0.1,Skills!D2-IF(Skills!E2=TRUE,5.0,0))),0)</f>
        <v/>
      </c>
      <c r="R2886" t="n">
        <v>0</v>
      </c>
      <c r="S2886">
        <f>IF(C2886,(Skills!F2*N2886*B2917)*IF(Inputs!$B$38="pvp",1,1+(Inputs!$B$20+Skills!O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2886*(1-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86">
        <f>MAX(0,(Inputs!$B$3-100)*3)+Inputs!$B$28+Inputs!$B$29</f>
        <v/>
      </c>
      <c r="U2886">
        <f>IF(C2886,(Skills!F2*N2886*B2917)*IF(Inputs!$B$38="pvp",1,(1+(Inputs!$B$21+Skills!P2+B2912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86">
        <f>MAX(0,(Inputs!$B$3-100)*3)+Inputs!$B$28+Inputs!$B$29</f>
        <v/>
      </c>
    </row>
    <row r="2887">
      <c r="A2887">
        <f>Skills!A3</f>
        <v/>
      </c>
      <c r="B2887">
        <f>Skills!B3</f>
        <v/>
      </c>
      <c r="C2887">
        <f>Inputs!$B$3&gt;=15</f>
        <v/>
      </c>
      <c r="D2887">
        <f>IF(Skills!C3=1,60+Inputs!$B$25+Inputs!$B$29,IF(Skills!C3=2,90+Inputs!$B$26+Inputs!$B$29,IF(Skills!C3=3,120+Inputs!$B$27+Inputs!$B$29,MAX(0,(Inputs!$B$3-100)*3)+Inputs!$B$28+Inputs!$B$29)))</f>
        <v/>
      </c>
      <c r="E2887">
        <f>INDEX(FactorTable!$B$2:$Y$301, MATCH(ROUND(MIN(300,MAX(1,D2887)),0), FactorTable!$A$2:$A$301,0), Skills!L3+1)</f>
        <v/>
      </c>
      <c r="F2887">
        <f>IF(Skills!M3=TRUE,(Skills!K3/10)*(E2887/1000),Skills!K3/10)+Skills!N3</f>
        <v/>
      </c>
      <c r="G2887">
        <f>Calc!G3</f>
        <v/>
      </c>
      <c r="H2887">
        <f>Calc!H3</f>
        <v/>
      </c>
      <c r="I2887">
        <f>IF(Skills!T3&lt;&gt;"",1+(Skills!T3/10)*(Z2887/1000)/100,1)</f>
        <v/>
      </c>
      <c r="J2887" t="inlineStr"/>
      <c r="K2887" t="inlineStr"/>
      <c r="L2887" t="inlineStr"/>
      <c r="M2887" t="inlineStr"/>
      <c r="N2887" t="inlineStr"/>
      <c r="O2887">
        <f>(1-Summary!$B$11)*S2887+Summary!$B$11*U2887</f>
        <v/>
      </c>
      <c r="P2887">
        <f>IF(B2921=0,0,O2887/B2921)</f>
        <v/>
      </c>
      <c r="Q2887">
        <f>IFERROR(1/IF(Inputs!$B$38="pvp",15,MAX(0.1,Skills!D3-IF(Skills!E3=TRUE,5.0,0))),0)</f>
        <v/>
      </c>
      <c r="R2887">
        <f>IF(AND(Inputs!$B$38&lt;&gt;"pvp",Inputs!$B$43&gt;0),IF(Inputs!$B$43&lt;=0,0,(INT(Inputs!$B$43/IF(Inputs!$B$38="pvp",15,MAX(0.1,Skills!D3-IF(Skills!E3=TRUE,5.0,0))))+1)),0)</f>
        <v/>
      </c>
      <c r="S2887" t="n">
        <v>0</v>
      </c>
      <c r="T2887">
        <f>INDEX(FactorTable!$B$2:$Y$301, MATCH(ROUND(MIN(300,MAX(1,T2886)),0), FactorTable!$A$2:$A$301,0), 22)</f>
        <v/>
      </c>
      <c r="U2887" t="n">
        <v>0</v>
      </c>
      <c r="Z2887">
        <f>INDEX(FactorTable!$B$2:$Y$301, MATCH(ROUND(MIN(300,MAX(1,Z2886)),0), FactorTable!$A$2:$A$301,0), 24)</f>
        <v/>
      </c>
    </row>
    <row r="2888">
      <c r="A2888">
        <f>Skills!A4</f>
        <v/>
      </c>
      <c r="B2888">
        <f>Skills!B4</f>
        <v/>
      </c>
      <c r="C2888">
        <f>Inputs!$B$3&gt;=40</f>
        <v/>
      </c>
      <c r="D2888">
        <f>IF(Skills!C4=1,60+Inputs!$B$25+Inputs!$B$29,IF(Skills!C4=2,90+Inputs!$B$26+Inputs!$B$29,IF(Skills!C4=3,120+Inputs!$B$27+Inputs!$B$29,MAX(0,(Inputs!$B$3-100)*3)+Inputs!$B$28+Inputs!$B$29)))</f>
        <v/>
      </c>
      <c r="E2888">
        <f>INDEX(FactorTable!$B$2:$Y$301, MATCH(ROUND(MIN(300,MAX(1,D2888)),0), FactorTable!$A$2:$A$301,0), Skills!L4+1)</f>
        <v/>
      </c>
      <c r="F2888">
        <f>IF(Skills!M4=TRUE,(Skills!K4/10)*(E2888/1000),Skills!K4/10)+Skills!N4</f>
        <v/>
      </c>
      <c r="G2888">
        <f>Calc!G4</f>
        <v/>
      </c>
      <c r="H2888">
        <f>Calc!H4</f>
        <v/>
      </c>
      <c r="I2888">
        <f>IF(Skills!T4&lt;&gt;"",1+(Skills!T4/10)*(Z2887/1000)/100,1)</f>
        <v/>
      </c>
      <c r="J2888" t="inlineStr"/>
      <c r="K2888" t="inlineStr"/>
      <c r="L2888" t="inlineStr"/>
      <c r="M2888" t="inlineStr"/>
      <c r="N2888" t="inlineStr"/>
      <c r="O2888">
        <f>(1-Summary!$B$11)*S2888+Summary!$B$11*U2888</f>
        <v/>
      </c>
      <c r="P2888">
        <f>IF(B2921=0,0,O2888/B2921)</f>
        <v/>
      </c>
      <c r="Q2888">
        <f>IFERROR(1/IF(Inputs!$B$38="pvp",15,MAX(0.1,Skills!D4-IF(Skills!E4=TRUE,5.0,0))),0)</f>
        <v/>
      </c>
      <c r="R2888">
        <f>IF(AND(Inputs!$B$38&lt;&gt;"pvp",Inputs!$B$43&gt;0),IF(Inputs!$B$43&lt;=0,0,(INT(Inputs!$B$43/IF(Inputs!$B$38="pvp",15,MAX(0.1,Skills!D4-IF(Skills!E4=TRUE,5.0,0))))+1)),0)</f>
        <v/>
      </c>
      <c r="S2888" t="n">
        <v>0</v>
      </c>
      <c r="T2888">
        <f>290*T2887/1000</f>
        <v/>
      </c>
      <c r="U2888" t="n">
        <v>0</v>
      </c>
    </row>
    <row r="2889">
      <c r="A2889">
        <f>Skills!A5</f>
        <v/>
      </c>
      <c r="B2889">
        <f>Skills!B5</f>
        <v/>
      </c>
      <c r="C2889">
        <f>Inputs!$B$3&gt;=38</f>
        <v/>
      </c>
      <c r="D2889">
        <f>IF(Skills!C5=1,60+Inputs!$B$25+Inputs!$B$29,IF(Skills!C5=2,90+Inputs!$B$26+Inputs!$B$29,IF(Skills!C5=3,120+Inputs!$B$27+Inputs!$B$29,MAX(0,(Inputs!$B$3-100)*3)+Inputs!$B$28+Inputs!$B$29)))</f>
        <v/>
      </c>
      <c r="E2889">
        <f>INDEX(FactorTable!$B$2:$Y$301, MATCH(ROUND(MIN(300,MAX(1,D2889)),0), FactorTable!$A$2:$A$301,0), Skills!L5+1)</f>
        <v/>
      </c>
      <c r="F2889">
        <f>IF(Skills!M5=TRUE,(Skills!K5/10)*(E2889/1000),Skills!K5/10)+Skills!N5</f>
        <v/>
      </c>
      <c r="G2889">
        <f>Calc!G5</f>
        <v/>
      </c>
      <c r="H2889">
        <f>Calc!H5</f>
        <v/>
      </c>
      <c r="I2889">
        <f>IF(Skills!T5&lt;&gt;"",1+(Skills!T5/10)*(Z2887/1000)/100,1)</f>
        <v/>
      </c>
      <c r="J2889">
        <f>((Inputs!$B$6*(1+Inputs!$B$7/100))+(((Inputs!$B$12*(1+Inputs!$B$13/100))-(Inputs!$B$12*(1+Inputs!$B$13/100)))+0.25*(Inputs!$B$14-Inputs!$B$14))*(1+Inputs!$B$7/100))*(F2889/100)</f>
        <v/>
      </c>
      <c r="K2889">
        <f>J2889*(1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5="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F2902-Calc!F18),(Inputs!$B$23+(IF(ArtifactsInput!$M$15,CHOOSE(ArtifactsInput!$N$15+1,25,30,35,40,45,50)/100*(Inputs!$B$11-Inputs!$B$11),0))))/100+(Inputs!$B$23+(IF(ArtifactsInput!$M$15,CHOOSE(ArtifactsInput!$N$15+1,25,30,35,40,45,50)/100*(Inputs!$B$11-Inputs!$B$11),0)))/100)/2</f>
        <v/>
      </c>
      <c r="M2889">
        <f>L2889*(1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(1-Summary!$B$11)*S2889+Summary!$B$11*U2889</f>
        <v/>
      </c>
      <c r="P2889">
        <f>IF(B2921=0,0,O2889/B2921)</f>
        <v/>
      </c>
      <c r="Q2889">
        <f>IFERROR(1/IF(Inputs!$B$38="pvp",15,MAX(0.1,Skills!D5-IF(Skills!E5=TRUE,5.0,0))),0)</f>
        <v/>
      </c>
      <c r="R2889">
        <f>IF(AND(Inputs!$B$38&lt;&gt;"pvp",Inputs!$B$43&gt;0),IF(MAX(0,Inputs!$B$43-B2918)&lt;=0,0,(INT(MAX(0,Inputs!$B$43-B2918)/IF(Inputs!$B$38="pvp",15,MAX(0.1,Skills!D5-IF(Skills!E5=TRUE,5.0,0))))+1)),0)</f>
        <v/>
      </c>
      <c r="S2889">
        <f>IF(C2889,(H2889*N2889*IF(AND(Inputs!$B$38&lt;&gt;"pvp",Inputs!$B$43&gt;0),((Skills!F5*((R2889-1)*IF(Skills!G5&gt;0,Skills!H5/Skills!G5,1)+IF(Skills!G5&gt;0,MIN(Skills!H5,MAX(0,MAX(0,Inputs!$B$43-B2918)-((R2889-1)*IF(Inputs!$B$38="pvp",15,MAX(0.1,Skills!D5-IF(Skills!E5=TRUE,5.0,0))))))/Skills!G5,1)))/Inputs!$B$43),G2889*Q2889))*IF(Inputs!$B$38="pvp",1,1+(Inputs!$B$20+Skills!O5+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2889*(1-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IF(C2889,(H2889*N2889*IF(AND(Inputs!$B$38&lt;&gt;"pvp",Inputs!$B$43&gt;0),((Skills!F5*((R2889-1)*IF(Skills!G5&gt;0,Skills!H5/Skills!G5,1)+IF(Skills!G5&gt;0,MIN(Skills!H5,MAX(0,MAX(0,Inputs!$B$43-B2918)-((R2889-1)*IF(Inputs!$B$38="pvp",15,MAX(0.1,Skills!D5-IF(Skills!E5=TRUE,5.0,0))))))/Skills!G5,1)))/Inputs!$B$43),G2889*Q2889))*IF(Inputs!$B$38="pvp",1,(1+(Inputs!$B$21+Skills!P5+B2912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Skills!A6</f>
        <v/>
      </c>
      <c r="B2890">
        <f>Skills!B6</f>
        <v/>
      </c>
      <c r="C2890">
        <f>Inputs!$B$3&gt;=63</f>
        <v/>
      </c>
      <c r="D2890">
        <f>IF(Skills!C6=1,60+Inputs!$B$25+Inputs!$B$29,IF(Skills!C6=2,90+Inputs!$B$26+Inputs!$B$29,IF(Skills!C6=3,120+Inputs!$B$27+Inputs!$B$29,MAX(0,(Inputs!$B$3-100)*3)+Inputs!$B$28+Inputs!$B$29)))</f>
        <v/>
      </c>
      <c r="E2890">
        <f>INDEX(FactorTable!$B$2:$Y$301, MATCH(ROUND(MIN(300,MAX(1,D2890)),0), FactorTable!$A$2:$A$301,0), Skills!L6+1)</f>
        <v/>
      </c>
      <c r="F2890">
        <f>IF(Skills!M6=TRUE,(Skills!K6/10)*(E2890/1000),Skills!K6/10)+Skills!N6</f>
        <v/>
      </c>
      <c r="G2890">
        <f>Calc!G6</f>
        <v/>
      </c>
      <c r="H2890">
        <f>Calc!H6</f>
        <v/>
      </c>
      <c r="I2890">
        <f>IF(Skills!T6&lt;&gt;"",1+(Skills!T6/10)*(Z2887/1000)/100,1)</f>
        <v/>
      </c>
      <c r="J2890">
        <f>((Inputs!$B$6*(1+Inputs!$B$7/100))+(((Inputs!$B$12*(1+Inputs!$B$13/100))-(Inputs!$B$12*(1+Inputs!$B$13/100)))+0.25*(Inputs!$B$14-Inputs!$B$14))*(1+Inputs!$B$7/100))*(F2890/100)</f>
        <v/>
      </c>
      <c r="K2890">
        <f>J2890*(1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6="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F2902-Calc!F18),(Inputs!$B$23+(IF(ArtifactsInput!$M$15,CHOOSE(ArtifactsInput!$N$15+1,25,30,35,40,45,50)/100*(Inputs!$B$11-Inputs!$B$11),0))))/100+(Inputs!$B$23+(IF(ArtifactsInput!$M$15,CHOOSE(ArtifactsInput!$N$15+1,25,30,35,40,45,50)/100*(Inputs!$B$11-Inputs!$B$11),0)))/100)/2</f>
        <v/>
      </c>
      <c r="M2890">
        <f>L2890*(1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(1-Summary!$B$11)*S2890+Summary!$B$11*U2890</f>
        <v/>
      </c>
      <c r="P2890">
        <f>IF(B2921=0,0,O2890/B2921)</f>
        <v/>
      </c>
      <c r="Q2890">
        <f>IFERROR(1/IF(Inputs!$B$38="pvp",15,MAX(0.1,Skills!D6-IF(Skills!E6=TRUE,5.0,0))),0)</f>
        <v/>
      </c>
      <c r="R2890">
        <f>IF(AND(Inputs!$B$38&lt;&gt;"pvp",Inputs!$B$43&gt;0),IF(MAX(0,Inputs!$B$43-B2918)&lt;=0,0,(INT(MAX(0,Inputs!$B$43-B2918)/IF(Inputs!$B$38="pvp",15,MAX(0.1,Skills!D6-IF(Skills!E6=TRUE,5.0,0))))+1)),0)</f>
        <v/>
      </c>
      <c r="S2890">
        <f>IF(C2890,(H2890*N2890*IF(AND(Inputs!$B$38&lt;&gt;"pvp",Inputs!$B$43&gt;0),((Skills!F6*((R2890-1)*IF(Skills!G6&gt;0,Skills!H6/Skills!G6,1)+IF(Skills!G6&gt;0,MIN(Skills!H6,MAX(0,MAX(0,Inputs!$B$43-B2918)-((R2890-1)*IF(Inputs!$B$38="pvp",15,MAX(0.1,Skills!D6-IF(Skills!E6=TRUE,5.0,0))))))/Skills!G6,1)))/Inputs!$B$43),G2890*Q2890))*IF(Inputs!$B$38="pvp",1,1+(Inputs!$B$20+Skills!O6+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2890*(1-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0">
        <f>IF(C2890,(H2890*N2890*IF(AND(Inputs!$B$38&lt;&gt;"pvp",Inputs!$B$43&gt;0),((Skills!F6*((R2890-1)*IF(Skills!G6&gt;0,Skills!H6/Skills!G6,1)+IF(Skills!G6&gt;0,MIN(Skills!H6,MAX(0,MAX(0,Inputs!$B$43-B2918)-((R2890-1)*IF(Inputs!$B$38="pvp",15,MAX(0.1,Skills!D6-IF(Skills!E6=TRUE,5.0,0))))))/Skills!G6,1)))/Inputs!$B$43),G2890*Q2890))*IF(Inputs!$B$38="pvp",1,(1+(Inputs!$B$21+Skills!P6+B2912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Skills!A7</f>
        <v/>
      </c>
      <c r="B2891">
        <f>Skills!B7</f>
        <v/>
      </c>
      <c r="C2891">
        <f>Inputs!$B$3&gt;=69</f>
        <v/>
      </c>
      <c r="D2891">
        <f>IF(Skills!C7=1,60+Inputs!$B$25+Inputs!$B$29,IF(Skills!C7=2,90+Inputs!$B$26+Inputs!$B$29,IF(Skills!C7=3,120+Inputs!$B$27+Inputs!$B$29,MAX(0,(Inputs!$B$3-100)*3)+Inputs!$B$28+Inputs!$B$29)))</f>
        <v/>
      </c>
      <c r="E2891">
        <f>INDEX(FactorTable!$B$2:$Y$301, MATCH(ROUND(MIN(300,MAX(1,D2891)),0), FactorTable!$A$2:$A$301,0), Skills!L7+1)</f>
        <v/>
      </c>
      <c r="F2891">
        <f>IF(Skills!M7=TRUE,(Skills!K7/10)*(E2891/1000),Skills!K7/10)+Skills!N7</f>
        <v/>
      </c>
      <c r="G2891">
        <f>Calc!G7</f>
        <v/>
      </c>
      <c r="H2891">
        <f>Calc!H7</f>
        <v/>
      </c>
      <c r="I2891">
        <f>IF(Skills!T7&lt;&gt;"",1+(Skills!T7/10)*(Z2887/1000)/100,1)</f>
        <v/>
      </c>
      <c r="J2891">
        <f>((Inputs!$B$6*(1+Inputs!$B$7/100))+(((Inputs!$B$12*(1+Inputs!$B$13/100))-(Inputs!$B$12*(1+Inputs!$B$13/100)))+0.25*(Inputs!$B$14-Inputs!$B$14))*(1+Inputs!$B$7/100))*(F2891/100)</f>
        <v/>
      </c>
      <c r="K2891">
        <f>J2891*(1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7="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F2902-Calc!F18),(Inputs!$B$23+(IF(ArtifactsInput!$M$15,CHOOSE(ArtifactsInput!$N$15+1,25,30,35,40,45,50)/100*(Inputs!$B$11-Inputs!$B$11),0))))/100+(Inputs!$B$23+(IF(ArtifactsInput!$M$15,CHOOSE(ArtifactsInput!$N$15+1,25,30,35,40,45,50)/100*(Inputs!$B$11-Inputs!$B$11),0)))/100)/2</f>
        <v/>
      </c>
      <c r="M2891">
        <f>L2891*(1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(1-Summary!$B$11)*S2891+Summary!$B$11*U2891</f>
        <v/>
      </c>
      <c r="P2891">
        <f>IF(B2921=0,0,O2891/B2921)</f>
        <v/>
      </c>
      <c r="Q2891">
        <f>IFERROR(1/IF(Inputs!$B$38="pvp",15,MAX(0.1,Skills!D7-IF(Skills!E7=TRUE,5.0,0))),0)</f>
        <v/>
      </c>
      <c r="R2891">
        <f>IF(AND(Inputs!$B$38&lt;&gt;"pvp",Inputs!$B$43&gt;0),IF(MAX(0,Inputs!$B$43-B2918)&lt;=0,0,(INT(MAX(0,Inputs!$B$43-B2918)/IF(Inputs!$B$38="pvp",15,MAX(0.1,Skills!D7-IF(Skills!E7=TRUE,5.0,0))))+1)),0)</f>
        <v/>
      </c>
      <c r="S2891">
        <f>IF(C2891,(H2891*N2891*IF(AND(Inputs!$B$38&lt;&gt;"pvp",Inputs!$B$43&gt;0),((Skills!F7*((R2891-1)*IF(Skills!G7&gt;0,Skills!H7/Skills!G7,1)+IF(Skills!G7&gt;0,MIN(Skills!H7,MAX(0,MAX(0,Inputs!$B$43-B2918)-((R2891-1)*IF(Inputs!$B$38="pvp",15,MAX(0.1,Skills!D7-IF(Skills!E7=TRUE,5.0,0))))))/Skills!G7,1)))/Inputs!$B$43),G2891*Q2891))*IF(Inputs!$B$38="pvp",1,1+(Inputs!$B$20+Skills!O7+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2891*(1-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1">
        <f>IF(C2891,(H2891*N2891*IF(AND(Inputs!$B$38&lt;&gt;"pvp",Inputs!$B$43&gt;0),((Skills!F7*((R2891-1)*IF(Skills!G7&gt;0,Skills!H7/Skills!G7,1)+IF(Skills!G7&gt;0,MIN(Skills!H7,MAX(0,MAX(0,Inputs!$B$43-B2918)-((R2891-1)*IF(Inputs!$B$38="pvp",15,MAX(0.1,Skills!D7-IF(Skills!E7=TRUE,5.0,0))))))/Skills!G7,1)))/Inputs!$B$43),G2891*Q2891))*IF(Inputs!$B$38="pvp",1,(1+(Inputs!$B$21+Skills!P7+B2912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Skills!A8</f>
        <v/>
      </c>
      <c r="B2892">
        <f>Skills!B8</f>
        <v/>
      </c>
      <c r="C2892">
        <f>Inputs!$B$3&gt;=103</f>
        <v/>
      </c>
      <c r="D2892">
        <f>IF(Skills!C8=1,60+Inputs!$B$25+Inputs!$B$29,IF(Skills!C8=2,90+Inputs!$B$26+Inputs!$B$29,IF(Skills!C8=3,120+Inputs!$B$27+Inputs!$B$29,MAX(0,(Inputs!$B$3-100)*3)+Inputs!$B$28+Inputs!$B$29)))</f>
        <v/>
      </c>
      <c r="E2892">
        <f>INDEX(FactorTable!$B$2:$Y$301, MATCH(ROUND(MIN(300,MAX(1,D2892)),0), FactorTable!$A$2:$A$301,0), Skills!L8+1)</f>
        <v/>
      </c>
      <c r="F2892">
        <f>IF(Skills!M8=TRUE,(Skills!K8/10)*(E2892/1000),Skills!K8/10)+Skills!N8</f>
        <v/>
      </c>
      <c r="G2892">
        <f>Calc!G8</f>
        <v/>
      </c>
      <c r="H2892">
        <f>Calc!H8</f>
        <v/>
      </c>
      <c r="I2892">
        <f>IF(Skills!T8&lt;&gt;"",1+(Skills!T8/10)*(Z2887/1000)/100,1)</f>
        <v/>
      </c>
      <c r="J2892">
        <f>((Inputs!$B$6*(1+Inputs!$B$7/100))+(((Inputs!$B$12*(1+Inputs!$B$13/100))-(Inputs!$B$12*(1+Inputs!$B$13/100)))+0.25*(Inputs!$B$14-Inputs!$B$14))*(1+Inputs!$B$7/100))*(F2892/100)</f>
        <v/>
      </c>
      <c r="K2892">
        <f>J2892*(1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8="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F2902-Calc!F18),(Inputs!$B$23+(IF(ArtifactsInput!$M$15,CHOOSE(ArtifactsInput!$N$15+1,25,30,35,40,45,50)/100*(Inputs!$B$11-Inputs!$B$11),0))))/100+(Inputs!$B$23+(IF(ArtifactsInput!$M$15,CHOOSE(ArtifactsInput!$N$15+1,25,30,35,40,45,50)/100*(Inputs!$B$11-Inputs!$B$11),0)))/100)/2</f>
        <v/>
      </c>
      <c r="M2892">
        <f>L2892*(1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(1-Summary!$B$11)*S2892+Summary!$B$11*U2892</f>
        <v/>
      </c>
      <c r="P2892">
        <f>IF(B2921=0,0,O2892/B2921)</f>
        <v/>
      </c>
      <c r="Q2892">
        <f>IFERROR(1/IF(Inputs!$B$38="pvp",15,MAX(0.1,Skills!D8-IF(Skills!E8=TRUE,5.0,0))),0)</f>
        <v/>
      </c>
      <c r="R2892">
        <f>IF(AND(Inputs!$B$38&lt;&gt;"pvp",Inputs!$B$43&gt;0),IF(MAX(0,Inputs!$B$43-B2918)&lt;=0,0,(INT(MAX(0,Inputs!$B$43-B2918)/IF(Inputs!$B$38="pvp",15,MAX(0.1,Skills!D8-IF(Skills!E8=TRUE,5.0,0))))+1)),0)</f>
        <v/>
      </c>
      <c r="S2892">
        <f>IF(C2892,(H2892*N2892*IF(AND(Inputs!$B$38&lt;&gt;"pvp",Inputs!$B$43&gt;0),((Skills!F8*((R2892-1)*IF(Skills!G8&gt;0,Skills!H8/Skills!G8,1)+IF(Skills!G8&gt;0,MIN(Skills!H8,MAX(0,MAX(0,Inputs!$B$43-B2918)-((R2892-1)*IF(Inputs!$B$38="pvp",15,MAX(0.1,Skills!D8-IF(Skills!E8=TRUE,5.0,0))))))/Skills!G8,1)))/Inputs!$B$43),G2892*Q2892))*IF(Inputs!$B$38="pvp",1,1+(Inputs!$B$20+Skills!O8+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2892*(1-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2">
        <f>IF(C2892,(H2892*N2892*IF(AND(Inputs!$B$38&lt;&gt;"pvp",Inputs!$B$43&gt;0),((Skills!F8*((R2892-1)*IF(Skills!G8&gt;0,Skills!H8/Skills!G8,1)+IF(Skills!G8&gt;0,MIN(Skills!H8,MAX(0,MAX(0,Inputs!$B$43-B2918)-((R2892-1)*IF(Inputs!$B$38="pvp",15,MAX(0.1,Skills!D8-IF(Skills!E8=TRUE,5.0,0))))))/Skills!G8,1)))/Inputs!$B$43),G2892*Q2892))*IF(Inputs!$B$38="pvp",1,(1+(Inputs!$B$21+Skills!P8+B2912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Skills!A9</f>
        <v/>
      </c>
      <c r="B2893">
        <f>Skills!B9</f>
        <v/>
      </c>
      <c r="C2893">
        <f>Inputs!$B$3&gt;=105</f>
        <v/>
      </c>
      <c r="D2893">
        <f>IF(Skills!C9=1,60+Inputs!$B$25+Inputs!$B$29,IF(Skills!C9=2,90+Inputs!$B$26+Inputs!$B$29,IF(Skills!C9=3,120+Inputs!$B$27+Inputs!$B$29,MAX(0,(Inputs!$B$3-100)*3)+Inputs!$B$28+Inputs!$B$29)))</f>
        <v/>
      </c>
      <c r="E2893">
        <f>INDEX(FactorTable!$B$2:$Y$301, MATCH(ROUND(MIN(300,MAX(1,D2893)),0), FactorTable!$A$2:$A$301,0), Skills!L9+1)</f>
        <v/>
      </c>
      <c r="F2893">
        <f>IF(Skills!M9=TRUE,(Skills!K9/10)*(E2893/1000),Skills!K9/10)+Skills!N9</f>
        <v/>
      </c>
      <c r="G2893">
        <f>Calc!G9</f>
        <v/>
      </c>
      <c r="H2893">
        <f>Calc!H9</f>
        <v/>
      </c>
      <c r="I2893">
        <f>IF(Skills!T9&lt;&gt;"",1+(Skills!T9/10)*(Z2887/1000)/100,1)</f>
        <v/>
      </c>
      <c r="J2893">
        <f>((Inputs!$B$6*(1+Inputs!$B$7/100))+(((Inputs!$B$12*(1+Inputs!$B$13/100))-(Inputs!$B$12*(1+Inputs!$B$13/100)))+0.25*(Inputs!$B$14-Inputs!$B$14))*(1+Inputs!$B$7/100))*(F2893/100)</f>
        <v/>
      </c>
      <c r="K2893">
        <f>J2893*(1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9="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F2902-Calc!F18),(Inputs!$B$23+(IF(ArtifactsInput!$M$15,CHOOSE(ArtifactsInput!$N$15+1,25,30,35,40,45,50)/100*(Inputs!$B$11-Inputs!$B$11),0))))/100+(Inputs!$B$23+(IF(ArtifactsInput!$M$15,CHOOSE(ArtifactsInput!$N$15+1,25,30,35,40,45,50)/100*(Inputs!$B$11-Inputs!$B$11),0)))/100)/2</f>
        <v/>
      </c>
      <c r="M2893">
        <f>L2893*(1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(1-Summary!$B$11)*S2893+Summary!$B$11*U2893</f>
        <v/>
      </c>
      <c r="P2893">
        <f>IF(B2921=0,0,O2893/B2921)</f>
        <v/>
      </c>
      <c r="Q2893">
        <f>IFERROR(1/IF(Inputs!$B$38="pvp",15,MAX(0.1,Skills!D9-IF(Skills!E9=TRUE,5.0,0))),0)</f>
        <v/>
      </c>
      <c r="R2893">
        <f>IF(AND(Inputs!$B$38&lt;&gt;"pvp",Inputs!$B$43&gt;0),IF(MAX(0,Inputs!$B$43-B2918)&lt;=0,0,(INT(MAX(0,Inputs!$B$43-B2918)/IF(Inputs!$B$38="pvp",15,MAX(0.1,Skills!D9-IF(Skills!E9=TRUE,5.0,0))))+1)),0)</f>
        <v/>
      </c>
      <c r="S2893">
        <f>IF(C2893,(H2893*N2893*IF(AND(Inputs!$B$38&lt;&gt;"pvp",Inputs!$B$43&gt;0),((Skills!F9*((R2893-1)*IF(Skills!G9&gt;0,Skills!H9/Skills!G9,1)+IF(Skills!G9&gt;0,MIN(Skills!H9,MAX(0,MAX(0,Inputs!$B$43-B2918)-((R2893-1)*IF(Inputs!$B$38="pvp",15,MAX(0.1,Skills!D9-IF(Skills!E9=TRUE,5.0,0))))))/Skills!G9,1)))/Inputs!$B$43),G2893*Q2893))*IF(Inputs!$B$38="pvp",1,1+(Inputs!$B$20+Skills!O9+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2893*(1-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IF(C2893,(H2893*N2893*IF(AND(Inputs!$B$38&lt;&gt;"pvp",Inputs!$B$43&gt;0),((Skills!F9*((R2893-1)*IF(Skills!G9&gt;0,Skills!H9/Skills!G9,1)+IF(Skills!G9&gt;0,MIN(Skills!H9,MAX(0,MAX(0,Inputs!$B$43-B2918)-((R2893-1)*IF(Inputs!$B$38="pvp",15,MAX(0.1,Skills!D9-IF(Skills!E9=TRUE,5.0,0))))))/Skills!G9,1)))/Inputs!$B$43),G2893*Q2893))*IF(Inputs!$B$38="pvp",1,(1+(Inputs!$B$21+Skills!P9+B2912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Skills!A10</f>
        <v/>
      </c>
      <c r="B2894">
        <f>Skills!B10</f>
        <v/>
      </c>
      <c r="C2894">
        <f>Inputs!$B$3&gt;=113</f>
        <v/>
      </c>
      <c r="D2894">
        <f>IF(Skills!C10=1,60+Inputs!$B$25+Inputs!$B$29,IF(Skills!C10=2,90+Inputs!$B$26+Inputs!$B$29,IF(Skills!C10=3,120+Inputs!$B$27+Inputs!$B$29,MAX(0,(Inputs!$B$3-100)*3)+Inputs!$B$28+Inputs!$B$29)))</f>
        <v/>
      </c>
      <c r="E2894">
        <f>INDEX(FactorTable!$B$2:$Y$301, MATCH(ROUND(MIN(300,MAX(1,D2894)),0), FactorTable!$A$2:$A$301,0), Skills!L10+1)</f>
        <v/>
      </c>
      <c r="F2894">
        <f>IF(Skills!M10=TRUE,(Skills!K10/10)*(E2894/1000),Skills!K10/10)+Skills!N10</f>
        <v/>
      </c>
      <c r="G2894">
        <f>Calc!G10</f>
        <v/>
      </c>
      <c r="H2894">
        <f>Calc!H10</f>
        <v/>
      </c>
      <c r="I2894">
        <f>IF(Skills!T10&lt;&gt;"",1+(Skills!T10/10)*(Z2887/1000)/100,1)</f>
        <v/>
      </c>
      <c r="J2894">
        <f>((Inputs!$B$6*(1+Inputs!$B$7/100))+(((Inputs!$B$12*(1+Inputs!$B$13/100))-(Inputs!$B$12*(1+Inputs!$B$13/100)))+0.25*(Inputs!$B$14-Inputs!$B$14))*(1+Inputs!$B$7/100))*(F2894/100)</f>
        <v/>
      </c>
      <c r="K2894">
        <f>J2894*(1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10="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F2902-Calc!F18),(Inputs!$B$23+(IF(ArtifactsInput!$M$15,CHOOSE(ArtifactsInput!$N$15+1,25,30,35,40,45,50)/100*(Inputs!$B$11-Inputs!$B$11),0))))/100+(Inputs!$B$23+(IF(ArtifactsInput!$M$15,CHOOSE(ArtifactsInput!$N$15+1,25,30,35,40,45,50)/100*(Inputs!$B$11-Inputs!$B$11),0)))/100)/2</f>
        <v/>
      </c>
      <c r="M2894">
        <f>L2894*(1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(1-Summary!$B$11)*S2894+Summary!$B$11*U2894</f>
        <v/>
      </c>
      <c r="P2894">
        <f>IF(B2921=0,0,O2894/B2921)</f>
        <v/>
      </c>
      <c r="Q2894">
        <f>IFERROR(1/IF(Inputs!$B$38="pvp",15,MAX(0.1,Skills!D10-IF(Skills!E9=TRUE,5.0,0))),0)</f>
        <v/>
      </c>
      <c r="R2894">
        <f>IF(AND(Inputs!$B$38&lt;&gt;"pvp",Inputs!$B$43&gt;0),IF(MAX(0,Inputs!$B$43-B2918)&lt;=0,0,(INT(MAX(0,Inputs!$B$43-B2918)/IF(Inputs!$B$38="pvp",15,MAX(0.1,Skills!D10-IF(Skills!E9=TRUE,5.0,0))))+1)),0)</f>
        <v/>
      </c>
      <c r="S2894">
        <f>IF(C2894,(H2894*N2894*IF(AND(Inputs!$B$38&lt;&gt;"pvp",Inputs!$B$43&gt;0),((Skills!F10*((R2894-1)*IF(Skills!G10&gt;0,Skills!H10/Skills!G10,1)+IF(Skills!G10&gt;0,MIN(Skills!H10,MAX(0,MAX(0,Inputs!$B$43-B2918)-((R2894-1)*IF(Inputs!$B$38="pvp",15,MAX(0.1,Skills!D10-IF(Skills!E9=TRUE,5.0,0))))))/Skills!G10,1)))/Inputs!$B$43),G2894*Q2894))*IF(Inputs!$B$38="pvp",1,1+(Inputs!$B$20+Skills!O10+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2894*(1-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F(C2894,(H2894*N2894*IF(AND(Inputs!$B$38&lt;&gt;"pvp",Inputs!$B$43&gt;0),((Skills!F10*((R2894-1)*IF(Skills!G10&gt;0,Skills!H10/Skills!G10,1)+IF(Skills!G10&gt;0,MIN(Skills!H10,MAX(0,MAX(0,Inputs!$B$43-B2918)-((R2894-1)*IF(Inputs!$B$38="pvp",15,MAX(0.1,Skills!D10-IF(Skills!E9=TRUE,5.0,0))))))/Skills!G10,1)))/Inputs!$B$43),G2894*Q2894))*IF(Inputs!$B$38="pvp",1,(1+(Inputs!$B$21+Skills!P10+B2912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Skills!A11</f>
        <v/>
      </c>
      <c r="B2895">
        <f>Skills!B11</f>
        <v/>
      </c>
      <c r="C2895">
        <f>Inputs!$B$3&gt;=107</f>
        <v/>
      </c>
      <c r="D2895">
        <f>IF(Skills!C11=1,60+Inputs!$B$25+Inputs!$B$29,IF(Skills!C11=2,90+Inputs!$B$26+Inputs!$B$29,IF(Skills!C11=3,120+Inputs!$B$27+Inputs!$B$29,MAX(0,(Inputs!$B$3-100)*3)+Inputs!$B$28+Inputs!$B$29)))</f>
        <v/>
      </c>
      <c r="E2895">
        <f>INDEX(FactorTable!$B$2:$Y$301, MATCH(ROUND(MIN(300,MAX(1,D2895)),0), FactorTable!$A$2:$A$301,0), Skills!L11+1)</f>
        <v/>
      </c>
      <c r="F2895">
        <f>IF(Skills!M11=TRUE,(Skills!K11/10)*(E2895/1000),Skills!K11/10)+Skills!N11</f>
        <v/>
      </c>
      <c r="G2895">
        <f>Calc!G11</f>
        <v/>
      </c>
      <c r="H2895">
        <f>Calc!H11</f>
        <v/>
      </c>
      <c r="I2895">
        <f>IF(Skills!T11&lt;&gt;"",1+(Skills!T11/10)*(Z2887/1000)/100,1)</f>
        <v/>
      </c>
      <c r="J2895">
        <f>((Inputs!$B$6*(1+Inputs!$B$7/100))+(((Inputs!$B$12*(1+Inputs!$B$13/100))-(Inputs!$B$12*(1+Inputs!$B$13/100)))+0.25*(Inputs!$B$14-Inputs!$B$14))*(1+Inputs!$B$7/100))*(F2895/100)</f>
        <v/>
      </c>
      <c r="K2895">
        <f>J2895*(1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11="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F2902-Calc!F18),(Inputs!$B$23+(IF(ArtifactsInput!$M$15,CHOOSE(ArtifactsInput!$N$15+1,25,30,35,40,45,50)/100*(Inputs!$B$11-Inputs!$B$11),0))))/100+(Inputs!$B$23+(IF(ArtifactsInput!$M$15,CHOOSE(ArtifactsInput!$N$15+1,25,30,35,40,45,50)/100*(Inputs!$B$11-Inputs!$B$11),0)))/100)/2</f>
        <v/>
      </c>
      <c r="M2895">
        <f>L2895*(1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(1-Summary!$B$11)*S2895+Summary!$B$11*U2895</f>
        <v/>
      </c>
      <c r="P2895">
        <f>IF(B2921=0,0,O2895/B2921)</f>
        <v/>
      </c>
      <c r="Q2895">
        <f>IFERROR(1/IF(Inputs!$B$38="pvp",15,MAX(0.1,Skills!D11-IF(Skills!E11=TRUE,5.0,0))),0)</f>
        <v/>
      </c>
      <c r="R2895">
        <f>IF(AND(Inputs!$B$38&lt;&gt;"pvp",Inputs!$B$43&gt;0),IF(MAX(0,Inputs!$B$43-B2918)&lt;=0,0,(INT(MAX(0,Inputs!$B$43-B2918)/IF(Inputs!$B$38="pvp",15,MAX(0.1,Skills!D11-IF(Skills!E11=TRUE,5.0,0))))+1)),0)</f>
        <v/>
      </c>
      <c r="S2895">
        <f>IF(C2895,H2895*N2895*IF(AND(Inputs!$B$38&lt;&gt;"pvp",Inputs!$B$43&gt;0),((Skills!F11*((R2895-1)*IF(Skills!G11&gt;0,Skills!H11/Skills!G11,1)+IF(Skills!G11&gt;0,MIN(Skills!H11,MAX(0,MAX(0,Inputs!$B$43-B2918)-((R2895-1)*IF(Inputs!$B$38="pvp",15,MAX(0.1,Skills!D11-IF(Skills!E11=TRUE,5.0,0))))))/Skills!G11,1)))/Inputs!$B$43),G2895*Q2895)*0.5*IF(Inputs!$B$38="pvp",1,1+(Inputs!$B$20+Skills!O11+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2895*(1-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5">
        <f>IF(C2895,H2895*N2895*IF(AND(Inputs!$B$38&lt;&gt;"pvp",Inputs!$B$43&gt;0),((Skills!F11*((R2895-1)*IF(Skills!G11&gt;0,Skills!H11/Skills!G11,1)+IF(Skills!G11&gt;0,MIN(Skills!H11,MAX(0,MAX(0,Inputs!$B$43-B2918)-((R2895-1)*IF(Inputs!$B$38="pvp",15,MAX(0.1,Skills!D11-IF(Skills!E11=TRUE,5.0,0))))))/Skills!G11,1)))/Inputs!$B$43),G2895*Q2895)*1*IF(Inputs!$B$38="pvp",1,(1+(Inputs!$B$21+Skills!P11+B2912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Skills!A12</f>
        <v/>
      </c>
      <c r="B2896">
        <f>Skills!B12</f>
        <v/>
      </c>
      <c r="C2896">
        <f>Inputs!$B$3&gt;=115</f>
        <v/>
      </c>
      <c r="D2896">
        <f>IF(Skills!C12=1,60+Inputs!$B$25+Inputs!$B$29,IF(Skills!C12=2,90+Inputs!$B$26+Inputs!$B$29,IF(Skills!C12=3,120+Inputs!$B$27+Inputs!$B$29,MAX(0,(Inputs!$B$3-100)*3)+Inputs!$B$28+Inputs!$B$29)))</f>
        <v/>
      </c>
      <c r="E2896">
        <f>INDEX(FactorTable!$B$2:$Y$301, MATCH(ROUND(MIN(300,MAX(1,D2896)),0), FactorTable!$A$2:$A$301,0), Skills!L12+1)</f>
        <v/>
      </c>
      <c r="F2896">
        <f>IF(Skills!M12=TRUE,(Skills!K12/10)*(E2896/1000),Skills!K12/10)+Skills!N12</f>
        <v/>
      </c>
      <c r="G2896">
        <f>Calc!G12</f>
        <v/>
      </c>
      <c r="H2896">
        <f>Calc!H12</f>
        <v/>
      </c>
      <c r="I2896">
        <f>IF(Skills!T12&lt;&gt;"",1+(Skills!T12/10)*(Z2887/1000)/100,1)</f>
        <v/>
      </c>
      <c r="J2896">
        <f>((Inputs!$B$6*(1+Inputs!$B$7/100))+(((Inputs!$B$12*(1+Inputs!$B$13/100))-(Inputs!$B$12*(1+Inputs!$B$13/100)))+0.25*(Inputs!$B$14-Inputs!$B$14))*(1+Inputs!$B$7/100))*(F2896/100)</f>
        <v/>
      </c>
      <c r="K2896">
        <f>J2896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12="CHAIN_LIGHTNING",Inputs!$B$17+((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F2902-Calc!F18),(Inputs!$B$23+(IF(ArtifactsInput!$M$15,CHOOSE(ArtifactsInput!$N$15+1,25,30,35,40,45,50)/100*(Inputs!$B$11-Inputs!$B$11),0))))/100+(Inputs!$B$23+(IF(ArtifactsInput!$M$15,CHOOSE(ArtifactsInput!$N$15+1,25,30,35,40,45,50)/100*(Inputs!$B$11-Inputs!$B$11),0)))/100)/2</f>
        <v/>
      </c>
      <c r="M2896">
        <f>L2896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(1-Summary!$B$11)*S2896+Summary!$B$11*U2896</f>
        <v/>
      </c>
      <c r="P2896">
        <f>IF(B2921=0,0,O2896/B2921)</f>
        <v/>
      </c>
      <c r="Q2896">
        <f>IFERROR(1/IF(Inputs!$B$38="pvp",15,MAX(0.1,Skills!D12-IF(Skills!E12=TRUE,5.0,0))),0)</f>
        <v/>
      </c>
      <c r="R2896">
        <f>IF(AND(Inputs!$B$38&lt;&gt;"pvp",Inputs!$B$43&gt;0),IF(MAX(0,Inputs!$B$43-B2918)&lt;=0,0,(INT(MAX(0,Inputs!$B$43-B2918)/IF(Inputs!$B$38="pvp",15,MAX(0.1,Skills!D12-IF(Skills!E12=TRUE,5.0,0))))+1)),0)</f>
        <v/>
      </c>
      <c r="S2896">
        <f>IF(C2896,(H2896*N2896*IF(AND(Inputs!$B$38&lt;&gt;"pvp",Inputs!$B$43&gt;0),((Skills!F12*((R2896-1)*IF(Skills!G12&gt;0,Skills!H12/Skills!G12,1)+IF(Skills!G12&gt;0,MIN(Skills!H12,MAX(0,MAX(0,Inputs!$B$43-B2918)-((R2896-1)*IF(Inputs!$B$38="pvp",15,MAX(0.1,Skills!D12-IF(Skills!E12=TRUE,5.0,0))))))/Skills!G12,1)))/Inputs!$B$43),G2896*Q2896))*IF(Inputs!$B$38="pvp",1,1+(Inputs!$B$20+Skills!O12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2896*(1-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F2904-Calc!F20)+(F2903-Calc!F19))+(ArtifactsInput!$M$24-ArtifactsInput!$M$24)*CHOOSE(ArtifactsInput!$N$24+1,10,12,14,16,18,20)+(IF(AND(Inputs!$B$38&lt;&gt;"pvp",Inputs!$B$43=0),1,IF(IF(Inputs!$B$38="pvp",15,Inputs!$B$43)-(B2918)&lt;=0,1,MAX(0,IF(Inputs!$B$38="pvp",15,Inputs!$B$43)-MAX(5,B2918))/(IF(Inputs!$B$38="pvp",15,Inputs!$B$43)-(B2918)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6">
        <f>IF(C2896,(H2896*N2896*IF(AND(Inputs!$B$38&lt;&gt;"pvp",Inputs!$B$43&gt;0),((Skills!F12*((R2896-1)*IF(Skills!G12&gt;0,Skills!H12/Skills!G12,1)+IF(Skills!G12&gt;0,MIN(Skills!H12,MAX(0,MAX(0,Inputs!$B$43-B2918)-((R2896-1)*IF(Inputs!$B$38="pvp",15,MAX(0.1,Skills!D12-IF(Skills!E12=TRUE,5.0,0))))))/Skills!G12,1)))/Inputs!$B$43),G2896*Q2896))*IF(Inputs!$B$38="pvp",1,(1+(Inputs!$B$21+Skills!P12+B2912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Skills!A13</f>
        <v/>
      </c>
      <c r="B2897">
        <f>Skills!B13</f>
        <v/>
      </c>
      <c r="C2897">
        <f>Inputs!$B$3&gt;=49</f>
        <v/>
      </c>
      <c r="D2897">
        <f>IF(Skills!C13=1,60+Inputs!$B$25+Inputs!$B$29,IF(Skills!C13=2,90+Inputs!$B$26+Inputs!$B$29,IF(Skills!C13=3,120+Inputs!$B$27+Inputs!$B$29,MAX(0,(Inputs!$B$3-100)*3)+Inputs!$B$28+Inputs!$B$29)))</f>
        <v/>
      </c>
      <c r="E2897">
        <f>INDEX(FactorTable!$B$2:$Y$301, MATCH(ROUND(MIN(300,MAX(1,D2897)),0), FactorTable!$A$2:$A$301,0), Skills!L13+1)</f>
        <v/>
      </c>
      <c r="F2897">
        <f>IF(Skills!M13=TRUE,(Skills!K13/10)*(E2897/1000),Skills!K13/10)+Skills!N13</f>
        <v/>
      </c>
      <c r="G2897">
        <f>Calc!G13</f>
        <v/>
      </c>
      <c r="H2897">
        <f>Calc!H13</f>
        <v/>
      </c>
      <c r="I2897">
        <f>IF(Skills!T13&lt;&gt;"",1+(Skills!T13/10)*(Z2887/1000)/100,1)</f>
        <v/>
      </c>
      <c r="J2897" t="inlineStr"/>
      <c r="K2897" t="inlineStr"/>
      <c r="L2897" t="inlineStr"/>
      <c r="M2897" t="inlineStr"/>
      <c r="N2897" t="inlineStr"/>
      <c r="O2897">
        <f>(1-Summary!$B$11)*S2897+Summary!$B$11*U2897</f>
        <v/>
      </c>
      <c r="P2897">
        <f>IF(B2921=0,0,O2897/B2921)</f>
        <v/>
      </c>
      <c r="Q2897">
        <f>IFERROR(1/IF(Inputs!$B$38="pvp",15,MAX(0.1,Skills!D13-IF(Skills!E13=TRUE,5.0,0))),0)</f>
        <v/>
      </c>
      <c r="R2897" t="n">
        <v>0</v>
      </c>
      <c r="S2897" t="n">
        <v>0</v>
      </c>
      <c r="U2897" t="n">
        <v>0</v>
      </c>
    </row>
    <row r="2898">
      <c r="A2898">
        <f>Skills!A14</f>
        <v/>
      </c>
      <c r="B2898">
        <f>Skills!B14</f>
        <v/>
      </c>
      <c r="C2898">
        <f>Inputs!$B$3&gt;=72</f>
        <v/>
      </c>
      <c r="D2898">
        <f>IF(Skills!C14=1,60+Inputs!$B$25+Inputs!$B$29,IF(Skills!C14=2,90+Inputs!$B$26+Inputs!$B$29,IF(Skills!C14=3,120+Inputs!$B$27+Inputs!$B$29,MAX(0,(Inputs!$B$3-100)*3)+Inputs!$B$28+Inputs!$B$29)))</f>
        <v/>
      </c>
      <c r="E2898">
        <f>INDEX(FactorTable!$B$2:$Y$301, MATCH(ROUND(MIN(300,MAX(1,D2898)),0), FactorTable!$A$2:$A$301,0), Skills!L14+1)</f>
        <v/>
      </c>
      <c r="F2898">
        <f>IF(Skills!M14=TRUE,(Skills!K14/10)*(E2898/1000),Skills!K14/10)+Skills!N14</f>
        <v/>
      </c>
      <c r="G2898">
        <f>Calc!G14</f>
        <v/>
      </c>
      <c r="H2898">
        <f>Calc!H14</f>
        <v/>
      </c>
      <c r="I2898">
        <f>IF(Skills!T14&lt;&gt;"",1+(Skills!T14/10)*(Z2887/1000)/100,1)</f>
        <v/>
      </c>
      <c r="J2898" t="inlineStr"/>
      <c r="K2898" t="inlineStr"/>
      <c r="L2898" t="inlineStr"/>
      <c r="M2898" t="inlineStr"/>
      <c r="N2898" t="inlineStr"/>
      <c r="O2898">
        <f>(1-Summary!$B$11)*S2898+Summary!$B$11*U2898</f>
        <v/>
      </c>
      <c r="P2898">
        <f>IF(B2921=0,0,O2898/B2921)</f>
        <v/>
      </c>
      <c r="Q2898">
        <f>IFERROR(1/IF(Inputs!$B$38="pvp",15,MAX(0.1,Skills!D14-IF(Skills!E14=TRUE,5.0,0))),0)</f>
        <v/>
      </c>
      <c r="R2898" t="n">
        <v>0</v>
      </c>
      <c r="S2898" t="n">
        <v>0</v>
      </c>
      <c r="U2898" t="n">
        <v>0</v>
      </c>
    </row>
    <row r="2899">
      <c r="A2899">
        <f>Skills!A15</f>
        <v/>
      </c>
      <c r="B2899">
        <f>Skills!B15</f>
        <v/>
      </c>
      <c r="C2899">
        <f>Inputs!$B$3&gt;=75</f>
        <v/>
      </c>
      <c r="D2899">
        <f>IF(Skills!C15=1,60+Inputs!$B$25+Inputs!$B$29,IF(Skills!C15=2,90+Inputs!$B$26+Inputs!$B$29,IF(Skills!C15=3,120+Inputs!$B$27+Inputs!$B$29,MAX(0,(Inputs!$B$3-100)*3)+Inputs!$B$28+Inputs!$B$29)))</f>
        <v/>
      </c>
      <c r="E2899">
        <f>INDEX(FactorTable!$B$2:$Y$301, MATCH(ROUND(MIN(300,MAX(1,D2899)),0), FactorTable!$A$2:$A$301,0), Skills!L15+1)</f>
        <v/>
      </c>
      <c r="F2899">
        <f>IF(Skills!M15=TRUE,(Skills!K15/10)*(E2899/1000),Skills!K15/10)+Skills!N15</f>
        <v/>
      </c>
      <c r="G2899">
        <f>Calc!G15</f>
        <v/>
      </c>
      <c r="H2899">
        <f>Calc!H15</f>
        <v/>
      </c>
      <c r="I2899">
        <f>IF(Skills!T15&lt;&gt;"",1+(Skills!T15/10)*(Z2887/1000)/100,1)</f>
        <v/>
      </c>
      <c r="J2899" t="inlineStr"/>
      <c r="K2899" t="inlineStr"/>
      <c r="L2899" t="inlineStr"/>
      <c r="M2899" t="inlineStr"/>
      <c r="N2899" t="inlineStr"/>
      <c r="O2899">
        <f>(1-Summary!$B$11)*S2899+Summary!$B$11*U2899</f>
        <v/>
      </c>
      <c r="P2899">
        <f>IF(B2921=0,0,O2899/B2921)</f>
        <v/>
      </c>
      <c r="Q2899">
        <f>IFERROR(1/IF(Inputs!$B$38="pvp",15,MAX(0.1,Skills!D15-IF(Skills!E15=TRUE,5.0,0))),0)</f>
        <v/>
      </c>
      <c r="R2899" t="n">
        <v>0</v>
      </c>
      <c r="S2899" t="n">
        <v>0</v>
      </c>
      <c r="U2899" t="n">
        <v>0</v>
      </c>
    </row>
    <row r="2900">
      <c r="A2900">
        <f>Skills!A16</f>
        <v/>
      </c>
      <c r="B2900">
        <f>Skills!B16</f>
        <v/>
      </c>
      <c r="C2900">
        <f>Inputs!$B$3&gt;=110</f>
        <v/>
      </c>
      <c r="D2900">
        <f>IF(Skills!C16=1,60+Inputs!$B$25+Inputs!$B$29,IF(Skills!C16=2,90+Inputs!$B$26+Inputs!$B$29,IF(Skills!C16=3,120+Inputs!$B$27+Inputs!$B$29,MAX(0,(Inputs!$B$3-100)*3)+Inputs!$B$28+Inputs!$B$29)))</f>
        <v/>
      </c>
      <c r="E2900">
        <f>INDEX(FactorTable!$B$2:$Y$301, MATCH(ROUND(MIN(300,MAX(1,D2900)),0), FactorTable!$A$2:$A$301,0), Skills!L16+1)</f>
        <v/>
      </c>
      <c r="F2900">
        <f>(Skills!K16/10)*(E2900/1000)*64/45+Skills!N16</f>
        <v/>
      </c>
      <c r="G2900">
        <f>Calc!G16</f>
        <v/>
      </c>
      <c r="H2900">
        <f>Calc!H16</f>
        <v/>
      </c>
      <c r="I2900">
        <f>IF(Skills!T16&lt;&gt;"",1+(Skills!T16/10)*(Z2887/1000)/100,1)</f>
        <v/>
      </c>
      <c r="J2900" t="inlineStr"/>
      <c r="K2900" t="inlineStr"/>
      <c r="L2900" t="inlineStr"/>
      <c r="M2900" t="inlineStr"/>
      <c r="N2900" t="inlineStr"/>
      <c r="O2900">
        <f>(1-Summary!$B$11)*S2900+Summary!$B$11*U2900</f>
        <v/>
      </c>
      <c r="P2900">
        <f>IF(B2921=0,0,O2900/B2921)</f>
        <v/>
      </c>
      <c r="Q2900">
        <f>IFERROR(1/IF(Inputs!$B$38="pvp",15,MAX(0.1,Skills!D16-IF(Skills!E16=TRUE,5.0,0))),0)</f>
        <v/>
      </c>
      <c r="R2900">
        <f>IF(AND(Inputs!$B$38&lt;&gt;"pvp",Inputs!$B$43&gt;0),IF(Inputs!$B$43&lt;=0,0,(INT(Inputs!$B$43/IF(Inputs!$B$38="pvp",15,MAX(0.1,Skills!D16-IF(Skills!E16=TRUE,5.0,0))))+1)),0)</f>
        <v/>
      </c>
      <c r="S2900" t="n">
        <v>0</v>
      </c>
      <c r="U2900" t="n">
        <v>0</v>
      </c>
    </row>
    <row r="2901">
      <c r="A2901">
        <f>Skills!A17</f>
        <v/>
      </c>
      <c r="B2901">
        <f>Skills!B17</f>
        <v/>
      </c>
      <c r="C2901">
        <f>Inputs!$B$3&gt;=33</f>
        <v/>
      </c>
      <c r="D2901">
        <f>IF(Skills!C17=1,60+Inputs!$B$25+Inputs!$B$29,IF(Skills!C17=2,90+Inputs!$B$26+Inputs!$B$29,IF(Skills!C17=3,120+Inputs!$B$27+Inputs!$B$29,MAX(0,(Inputs!$B$3-100)*3)+Inputs!$B$28+Inputs!$B$29)))</f>
        <v/>
      </c>
      <c r="E2901">
        <f>INDEX(FactorTable!$B$2:$Y$301, MATCH(ROUND(MIN(300,MAX(1,D2901)),0), FactorTable!$A$2:$A$301,0), Skills!L17+1)</f>
        <v/>
      </c>
      <c r="F2901">
        <f>IF(Skills!M17=TRUE,(Skills!K17/10)*(E2901/1000),Skills!K17/10)+Skills!N17</f>
        <v/>
      </c>
      <c r="G2901">
        <f>Calc!G17</f>
        <v/>
      </c>
      <c r="H2901">
        <f>Calc!H17</f>
        <v/>
      </c>
      <c r="I2901">
        <f>IF(Skills!T17&lt;&gt;"",1+(Skills!T17/10)*(Z2887/1000)/100,1)</f>
        <v/>
      </c>
      <c r="J2901" t="inlineStr"/>
      <c r="K2901" t="inlineStr"/>
      <c r="L2901" t="inlineStr"/>
      <c r="M2901" t="inlineStr"/>
      <c r="N2901" t="inlineStr"/>
      <c r="O2901">
        <f>(1-Summary!$B$11)*S2901+Summary!$B$11*U2901</f>
        <v/>
      </c>
      <c r="P2901">
        <f>IF(B2921=0,0,O2901/B2921)</f>
        <v/>
      </c>
      <c r="Q2901">
        <f>IFERROR(1/IF(Inputs!$B$38="pvp",15,MAX(0.1,Skills!D17-IF(Skills!E17=TRUE,5.0,0))),0)</f>
        <v/>
      </c>
      <c r="R2901" t="n">
        <v>0</v>
      </c>
      <c r="S2901" t="n">
        <v>0</v>
      </c>
      <c r="U2901" t="n">
        <v>0</v>
      </c>
    </row>
    <row r="2902">
      <c r="A2902">
        <f>Skills!A18</f>
        <v/>
      </c>
      <c r="B2902">
        <f>Skills!B18</f>
        <v/>
      </c>
      <c r="C2902">
        <f>Inputs!$B$3&gt;=43</f>
        <v/>
      </c>
      <c r="D2902">
        <f>IF(Skills!C18=1,60+Inputs!$B$25+Inputs!$B$29,IF(Skills!C18=2,90+Inputs!$B$26+Inputs!$B$29,IF(Skills!C18=3,120+Inputs!$B$27+Inputs!$B$29,MAX(0,(Inputs!$B$3-100)*3)+Inputs!$B$28+Inputs!$B$29)))</f>
        <v/>
      </c>
      <c r="E2902">
        <f>INDEX(FactorTable!$B$2:$Y$301, MATCH(ROUND(MIN(300,MAX(1,D2902)),0), FactorTable!$A$2:$A$301,0), Skills!L18+1)</f>
        <v/>
      </c>
      <c r="F2902">
        <f>IF(Skills!M18=TRUE,(Skills!K18/10)*(E2902/1000),Skills!K18/10)+Skills!N18</f>
        <v/>
      </c>
      <c r="G2902">
        <f>Calc!G18</f>
        <v/>
      </c>
      <c r="H2902">
        <f>Calc!H18</f>
        <v/>
      </c>
      <c r="I2902">
        <f>IF(Skills!T18&lt;&gt;"",1+(Skills!T18/10)*(Z2887/1000)/100,1)</f>
        <v/>
      </c>
      <c r="J2902" t="inlineStr"/>
      <c r="K2902" t="inlineStr"/>
      <c r="L2902" t="inlineStr"/>
      <c r="M2902" t="inlineStr"/>
      <c r="N2902" t="inlineStr"/>
      <c r="O2902">
        <f>(1-Summary!$B$11)*S2902+Summary!$B$11*U2902</f>
        <v/>
      </c>
      <c r="P2902">
        <f>IF(B2921=0,0,O2902/B2921)</f>
        <v/>
      </c>
      <c r="Q2902">
        <f>IFERROR(1/IF(Inputs!$B$38="pvp",15,MAX(0.1,Skills!D18-IF(Skills!E18=TRUE,5.0,0))),0)</f>
        <v/>
      </c>
      <c r="R2902" t="n">
        <v>0</v>
      </c>
      <c r="S2902" t="n">
        <v>0</v>
      </c>
      <c r="U2902" t="n">
        <v>0</v>
      </c>
    </row>
    <row r="2903">
      <c r="A2903">
        <f>Skills!A19</f>
        <v/>
      </c>
      <c r="B2903">
        <f>Skills!B19</f>
        <v/>
      </c>
      <c r="C2903">
        <f>Inputs!$B$3&gt;=50</f>
        <v/>
      </c>
      <c r="D2903">
        <f>IF(Skills!C19=1,60+Inputs!$B$25+Inputs!$B$29,IF(Skills!C19=2,90+Inputs!$B$26+Inputs!$B$29,IF(Skills!C19=3,120+Inputs!$B$27+Inputs!$B$29,MAX(0,(Inputs!$B$3-100)*3)+Inputs!$B$28+Inputs!$B$29)))</f>
        <v/>
      </c>
      <c r="E2903">
        <f>INDEX(FactorTable!$B$2:$Y$301, MATCH(ROUND(MIN(300,MAX(1,D2903)),0), FactorTable!$A$2:$A$301,0), Skills!L19+1)</f>
        <v/>
      </c>
      <c r="F2903">
        <f>IF(Skills!M19=TRUE,(Skills!K19/10)*(E2903/1000),Skills!K19/10)+Skills!N19</f>
        <v/>
      </c>
      <c r="G2903">
        <f>Calc!G19</f>
        <v/>
      </c>
      <c r="H2903">
        <f>Calc!H19</f>
        <v/>
      </c>
      <c r="I2903">
        <f>IF(Skills!T19&lt;&gt;"",1+(Skills!T19/10)*(Z2887/1000)/100,1)</f>
        <v/>
      </c>
      <c r="J2903" t="inlineStr"/>
      <c r="K2903" t="inlineStr"/>
      <c r="L2903" t="inlineStr"/>
      <c r="M2903" t="inlineStr"/>
      <c r="N2903" t="inlineStr"/>
      <c r="O2903">
        <f>(1-Summary!$B$11)*S2903+Summary!$B$11*U2903</f>
        <v/>
      </c>
      <c r="P2903">
        <f>IF(B2921=0,0,O2903/B2921)</f>
        <v/>
      </c>
      <c r="Q2903">
        <f>IFERROR(1/IF(Inputs!$B$38="pvp",15,MAX(0.1,Skills!D19-IF(Skills!E19=TRUE,5.0,0))),0)</f>
        <v/>
      </c>
      <c r="R2903" t="n">
        <v>0</v>
      </c>
      <c r="S2903" t="n">
        <v>0</v>
      </c>
      <c r="U2903" t="n">
        <v>0</v>
      </c>
    </row>
    <row r="2904">
      <c r="A2904">
        <f>Skills!A20</f>
        <v/>
      </c>
      <c r="B2904">
        <f>Skills!B20</f>
        <v/>
      </c>
      <c r="C2904">
        <f>Inputs!$B$3&gt;=74</f>
        <v/>
      </c>
      <c r="D2904">
        <f>IF(Skills!C20=1,60+Inputs!$B$25+Inputs!$B$29,IF(Skills!C20=2,90+Inputs!$B$26+Inputs!$B$29,IF(Skills!C20=3,120+Inputs!$B$27+Inputs!$B$29,MAX(0,(Inputs!$B$3-100)*3)+Inputs!$B$28+Inputs!$B$29)))</f>
        <v/>
      </c>
      <c r="E2904">
        <f>INDEX(FactorTable!$B$2:$Y$301, MATCH(ROUND(MIN(300,MAX(1,D2904)),0), FactorTable!$A$2:$A$301,0), Skills!L20+1)</f>
        <v/>
      </c>
      <c r="F2904">
        <f>IF(Skills!M20=TRUE,(Skills!K20/10)*(E2904/1000),Skills!K20/10)+Skills!N20</f>
        <v/>
      </c>
      <c r="G2904">
        <f>Calc!G20</f>
        <v/>
      </c>
      <c r="H2904">
        <f>Calc!H20</f>
        <v/>
      </c>
      <c r="I2904">
        <f>IF(Skills!T20&lt;&gt;"",1+(Skills!T20/10)*(Z2887/1000)/100,1)</f>
        <v/>
      </c>
      <c r="J2904" t="inlineStr"/>
      <c r="K2904" t="inlineStr"/>
      <c r="L2904" t="inlineStr"/>
      <c r="M2904" t="inlineStr"/>
      <c r="N2904" t="inlineStr"/>
      <c r="O2904">
        <f>(1-Summary!$B$11)*S2904+Summary!$B$11*U2904</f>
        <v/>
      </c>
      <c r="P2904">
        <f>IF(B2921=0,0,O2904/B2921)</f>
        <v/>
      </c>
      <c r="Q2904">
        <f>IFERROR(1/IF(Inputs!$B$38="pvp",15,MAX(0.1,Skills!D20-IF(Skills!E20=TRUE,5.0,0))),0)</f>
        <v/>
      </c>
      <c r="R2904" t="n">
        <v>0</v>
      </c>
      <c r="S2904" t="n">
        <v>0</v>
      </c>
      <c r="U2904" t="n">
        <v>0</v>
      </c>
    </row>
    <row r="2905">
      <c r="A2905">
        <f>Skills!A21</f>
        <v/>
      </c>
      <c r="B2905">
        <f>Skills!B21</f>
        <v/>
      </c>
      <c r="C2905">
        <f>Inputs!$B$3&gt;=74</f>
        <v/>
      </c>
      <c r="D2905">
        <f>IF(Skills!C21=1,60+Inputs!$B$25+Inputs!$B$29,IF(Skills!C21=2,90+Inputs!$B$26+Inputs!$B$29,IF(Skills!C21=3,120+Inputs!$B$27+Inputs!$B$29,MAX(0,(Inputs!$B$3-100)*3)+Inputs!$B$28+Inputs!$B$29)))</f>
        <v/>
      </c>
      <c r="E2905">
        <f>INDEX(FactorTable!$B$2:$Y$301, MATCH(ROUND(MIN(300,MAX(1,D2905)),0), FactorTable!$A$2:$A$301,0), Skills!L21+1)</f>
        <v/>
      </c>
      <c r="F2905">
        <f>IF(Skills!M21=TRUE,(Skills!K21/10)*(E2905/1000),Skills!K21/10)+Skills!N21</f>
        <v/>
      </c>
      <c r="G2905">
        <f>Calc!G21</f>
        <v/>
      </c>
      <c r="H2905">
        <f>Calc!H21</f>
        <v/>
      </c>
      <c r="I2905">
        <f>IF(Skills!T21&lt;&gt;"",1+(Skills!T21/10)*(Z2887/1000)/100,1)</f>
        <v/>
      </c>
      <c r="J2905" t="inlineStr"/>
      <c r="K2905" t="inlineStr"/>
      <c r="L2905" t="inlineStr"/>
      <c r="M2905" t="inlineStr"/>
      <c r="N2905" t="inlineStr"/>
      <c r="O2905">
        <f>(1-Summary!$B$11)*S2905+Summary!$B$11*U2905</f>
        <v/>
      </c>
      <c r="P2905">
        <f>IF(B2921=0,0,O2905/B2921)</f>
        <v/>
      </c>
      <c r="Q2905">
        <f>IFERROR(1/IF(Inputs!$B$38="pvp",15,MAX(0.1,Skills!D21-IF(Skills!E21=TRUE,5.0,0))),0)</f>
        <v/>
      </c>
      <c r="R2905" t="n">
        <v>0</v>
      </c>
      <c r="S2905" t="n">
        <v>0</v>
      </c>
      <c r="U2905" t="n">
        <v>0</v>
      </c>
    </row>
    <row r="2906">
      <c r="A2906">
        <f>Skills!A22</f>
        <v/>
      </c>
      <c r="B2906">
        <f>Skills!B22</f>
        <v/>
      </c>
      <c r="C2906">
        <f>Inputs!$B$3&gt;=117</f>
        <v/>
      </c>
      <c r="D2906">
        <f>IF(Skills!C22=1,60+Inputs!$B$25+Inputs!$B$29,IF(Skills!C22=2,90+Inputs!$B$26+Inputs!$B$29,IF(Skills!C22=3,120+Inputs!$B$27+Inputs!$B$29,MAX(0,(Inputs!$B$3-100)*3)+Inputs!$B$28+Inputs!$B$29)))</f>
        <v/>
      </c>
      <c r="E2906">
        <f>INDEX(FactorTable!$B$2:$Y$301, MATCH(ROUND(MIN(300,MAX(1,D2906)),0), FactorTable!$A$2:$A$301,0), Skills!L22+1)</f>
        <v/>
      </c>
      <c r="F2906">
        <f>IF(Skills!M22=TRUE,(Skills!K22/10)*(E2906/1000),Skills!K22/10)+Skills!N22</f>
        <v/>
      </c>
      <c r="G2906">
        <f>Calc!G22</f>
        <v/>
      </c>
      <c r="H2906">
        <f>Calc!H22</f>
        <v/>
      </c>
      <c r="I2906">
        <f>IF(Skills!T22&lt;&gt;"",1+(Skills!T22/10)*(Z2887/1000)/100,1)</f>
        <v/>
      </c>
      <c r="J2906" t="inlineStr"/>
      <c r="K2906" t="inlineStr"/>
      <c r="L2906" t="inlineStr"/>
      <c r="M2906" t="inlineStr"/>
      <c r="N2906" t="inlineStr"/>
      <c r="O2906">
        <f>(1-Summary!$B$11)*S2906+Summary!$B$11*U2906</f>
        <v/>
      </c>
      <c r="P2906">
        <f>IF(B2921=0,0,O2906/B2921)</f>
        <v/>
      </c>
      <c r="Q2906">
        <f>IFERROR(1/IF(Inputs!$B$38="pvp",15,MAX(0.1,Skills!D22-IF(Skills!E22=TRUE,5.0,0))),0)</f>
        <v/>
      </c>
      <c r="R2906" t="n">
        <v>0</v>
      </c>
      <c r="S2906" t="n">
        <v>0</v>
      </c>
      <c r="U2906" t="n">
        <v>0</v>
      </c>
    </row>
    <row r="2907">
      <c r="A2907">
        <f>Skills!A23</f>
        <v/>
      </c>
      <c r="B2907">
        <f>Skills!B23</f>
        <v/>
      </c>
      <c r="C2907">
        <f>Inputs!$B$3&gt;=120</f>
        <v/>
      </c>
      <c r="D2907">
        <f>IF(Skills!C23=1,60+Inputs!$B$25+Inputs!$B$29,IF(Skills!C23=2,90+Inputs!$B$26+Inputs!$B$29,IF(Skills!C23=3,120+Inputs!$B$27+Inputs!$B$29,MAX(0,(Inputs!$B$3-100)*3)+Inputs!$B$28+Inputs!$B$29)))</f>
        <v/>
      </c>
      <c r="E2907">
        <f>INDEX(FactorTable!$B$2:$Y$301, MATCH(ROUND(MIN(300,MAX(1,D2907)),0), FactorTable!$A$2:$A$301,0), Skills!L23+1)</f>
        <v/>
      </c>
      <c r="F2907">
        <f>IF(Skills!M23=TRUE,(Skills!K23/10)*(E2907/1000),Skills!K23/10)+Skills!N23</f>
        <v/>
      </c>
      <c r="G2907">
        <f>Calc!G23</f>
        <v/>
      </c>
      <c r="H2907">
        <f>Calc!H23</f>
        <v/>
      </c>
      <c r="I2907">
        <f>IF(Skills!T23&lt;&gt;"",1+(Skills!T23/10)*(Z2887/1000)/100,1)</f>
        <v/>
      </c>
      <c r="J2907" t="inlineStr"/>
      <c r="K2907" t="inlineStr"/>
      <c r="L2907" t="inlineStr"/>
      <c r="M2907" t="inlineStr"/>
      <c r="N2907" t="inlineStr"/>
      <c r="O2907">
        <f>(1-Summary!$B$11)*S2907+Summary!$B$11*U2907</f>
        <v/>
      </c>
      <c r="P2907">
        <f>IF(B2921=0,0,O2907/B2921)</f>
        <v/>
      </c>
      <c r="Q2907">
        <f>IFERROR(1/IF(Inputs!$B$38="pvp",15,MAX(0.1,Skills!D23-IF(Skills!E23=TRUE,5.0,0))),0)</f>
        <v/>
      </c>
      <c r="R2907" t="n">
        <v>0</v>
      </c>
      <c r="S2907" t="n">
        <v>0</v>
      </c>
      <c r="U2907" t="n">
        <v>0</v>
      </c>
    </row>
    <row r="2908">
      <c r="A2908">
        <f>Skills!A24</f>
        <v/>
      </c>
      <c r="B2908">
        <f>Skills!B24</f>
        <v/>
      </c>
      <c r="C2908">
        <f>TRUE</f>
        <v/>
      </c>
      <c r="D2908">
        <f>IF(Skills!C24=1,60+Inputs!$B$25+Inputs!$B$29,IF(Skills!C24=2,90+Inputs!$B$26+Inputs!$B$29,IF(Skills!C24=3,120+Inputs!$B$27+Inputs!$B$29,MAX(0,(Inputs!$B$3-100)*3)+Inputs!$B$28+Inputs!$B$29)))</f>
        <v/>
      </c>
      <c r="E2908">
        <f>INDEX(FactorTable!$B$2:$Y$301, MATCH(ROUND(MIN(300,MAX(1,D2908)),0), FactorTable!$A$2:$A$301,0), Skills!L24+1)</f>
        <v/>
      </c>
      <c r="F2908">
        <f>IF(Skills!M24=TRUE,(Skills!K24/10)*(E2908/1000),Skills!K24/10)+Skills!N24</f>
        <v/>
      </c>
      <c r="G2908">
        <f>Calc!G24</f>
        <v/>
      </c>
      <c r="H2908">
        <f>Calc!H24</f>
        <v/>
      </c>
      <c r="I2908">
        <f>IF(Skills!T24&lt;&gt;"",1+(Skills!T24/10)*(Z2887/1000)/100,1)</f>
        <v/>
      </c>
      <c r="J2908" t="inlineStr"/>
      <c r="K2908" t="inlineStr"/>
      <c r="L2908" t="inlineStr"/>
      <c r="M2908" t="inlineStr"/>
      <c r="N2908" t="inlineStr"/>
      <c r="O2908">
        <f>(1-Summary!$B$11)*S2908+Summary!$B$11*U2908</f>
        <v/>
      </c>
      <c r="P2908">
        <f>IF(B2921=0,0,O2908/B2921)</f>
        <v/>
      </c>
      <c r="Q2908">
        <f>IFERROR(1/IF(Inputs!$B$38="pvp",15,MAX(0.1,Skills!D24-IF(Skills!E24=TRUE,5.0,0))),0)</f>
        <v/>
      </c>
      <c r="R2908">
        <f>IF(AND(Inputs!$B$38&lt;&gt;"pvp",Inputs!$B$43&gt;0),IF(Inputs!$B$43&lt;=0,0,(INT(Inputs!$B$43/IF(Inputs!$B$38="pvp",15,MAX(0.1,Skills!D24-IF(Skills!E24=TRUE,5.0,0))))+1)),0)</f>
        <v/>
      </c>
      <c r="S2908" t="n">
        <v>0</v>
      </c>
      <c r="U2908" t="n">
        <v>0</v>
      </c>
    </row>
    <row r="2911">
      <c r="A2911" t="inlineStr">
        <is>
          <t>Average Buff Multiplier (Magic Guard + Meditation + Artifact Attack%, summed; then Infinity)</t>
        </is>
      </c>
      <c r="B2911">
        <f>(1+(IF(C2887=TRUE,F2887*IF(AND(Inputs!$B$38&lt;&gt;"pvp",Inputs!$B$43&gt;0),(((R2887-1)*(Skills!S3*(1+(Inputs!$B$34)/100))+MIN((Skills!S3*(1+(Inputs!$B$34)/100)),MAX(0,Inputs!$B$43-((R2887-1)*Skills!D3))))/Inputs!$B$43),IF(Inputs!$B$38="pvp",MIN((Skills!S3*(1+(Inputs!$B$34)/100)),15)/15,(Skills!S3*(1+(Inputs!$B$34)/100))/Skills!D3)),0)+IF(C2888=TRUE,F2888*IF(AND(Inputs!$B$38&lt;&gt;"pvp",Inputs!$B$43&gt;0),(((R2888-1)*(Skills!S4*(1+(Inputs!$B$34)/100))+MIN((Skills!S4*(1+(Inputs!$B$34)/100)),MAX(0,Inputs!$B$43-((R2888-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2900=TRUE,(1+F2900*IF(AND(Inputs!$B$38&lt;&gt;"pvp",Inputs!$B$43&gt;0),(((R2900-1)*(Skills!S16*(1+(Inputs!$B$34)/100))+MIN((Skills!S16*(1+(Inputs!$B$34)/100)),MAX(0,Inputs!$B$43-((R2900-1)*Skills!D16))))/Inputs!$B$43),IF(Inputs!$B$38="pvp",MIN((Skills!S16*(1+(Inputs!$B$34)/100)),15)/15,(Skills!S16*(1+(Inputs!$B$34)/100))/Skills!D16))/100),1)</f>
        <v/>
      </c>
    </row>
    <row r="2912">
      <c r="A2912" t="inlineStr">
        <is>
          <t>Monster Damage Taken Bonus % (Freezing Breath - Weaken + Elemental Reset + Artifact Enemy Damage Taken, summed)</t>
        </is>
      </c>
      <c r="B2912">
        <f>IF(Inputs!$B$3&gt;=118,15*IF(Inputs!$B$38="pvp",MIN((30*(1+(Inputs!$B$34)/100)),15)/15,(30*(1+(Inputs!$B$34)/100))/Skills!D8),0)+IF(C2898=TRUE,F2898,0)+(IF(AND(ArtifactsInput!$M$35,Inputs!$B$4&lt;&gt;"Chapter Hunt"),CHOOSE(ArtifactsInput!$N$35+1,15,18,21,24,27,30)*(1-EXP(-(0.2*B2915)*5)),0)+IF(AND(ArtifactsInput!$M$22,Inputs!$B$4&lt;&gt;"Chapter Hunt"),CHOOSE(ArtifactsInput!$N$22+1,10,12,14,16,18,20)*((0*(((0.15*B2915*5))^0/1)+1*(((0.15*B2915*5))^1/1)+2*(((0.15*B2915*5))^2/2)+3*(((0.15*B2915*5))^3/6)+4*(((0.15*B2915*5))^4/24)+5*(((0.15*B2915*5))^5/120))/((((0.15*B2915*5))^0/1)+(((0.15*B2915*5))^1/1)+(((0.15*B2915*5))^2/2)+(((0.15*B2915*5))^3/6)+(((0.15*B2915*5))^4/24)+(((0.15*B2915*5))^5/120))),0))</f>
        <v/>
      </c>
    </row>
    <row r="2913">
      <c r="A2913" t="inlineStr">
        <is>
          <t>Damage % Bonus (Frozen Break + Frost Clutch, flat)</t>
        </is>
      </c>
      <c r="B2913">
        <f>IF(Inputs!$B$3&gt;=66,15,0)+IF(Inputs!$B$3&gt;=98,10,0)+IF(Inputs!$B$3&gt;=125,20,0)</f>
        <v/>
      </c>
    </row>
    <row r="2914">
      <c r="A2914" t="inlineStr">
        <is>
          <t>Attack Speed Bonus % (MP Eater - MP Boost, always-on + Nimble Feet, duty-cycle averaged)</t>
        </is>
      </c>
      <c r="B2914">
        <f>IF(C2897=TRUE,F2897+(F2901-Calc!F17),0)+((C2908=TRUE)*F2908*IF(AND(Inputs!$B$38&lt;&gt;"pvp",Inputs!$B$43&gt;0),(((R2908-1)*(Skills!S24*(1+(Inputs!$B$34)/100))+MIN((Skills!S24*(1+(Inputs!$B$34)/100)),MAX(0,Inputs!$B$43-((R2908-1)*Skills!D24))))/Inputs!$B$43),IF(Inputs!$B$38="pvp",MIN((Skills!S24*(1+(Inputs!$B$34)/100)),15)/15,(Skills!S24*(1+(Inputs!$B$34)/100))/Skills!D24)))</f>
        <v/>
      </c>
    </row>
    <row r="2915">
      <c r="A2915" t="inlineStr">
        <is>
          <t>Actions Per Second</t>
        </is>
      </c>
      <c r="B2915">
        <f>1+MIN(150,150*(1-(1-(Inputs!$B$11+(ArtifactsInput!$M$15-ArtifactsInput!$M$15)*CHOOSE(ArtifactsInput!$N$15+1,8,9.6,11.2,12.8,14.4,16))/150)*(1-B2914/150)))/100</f>
        <v/>
      </c>
    </row>
    <row r="2916">
      <c r="A2916" t="inlineStr">
        <is>
          <t>Skill + Buff Cast Rate</t>
        </is>
      </c>
      <c r="B2916">
        <f>IF(AND(Inputs!$B$38&lt;&gt;"pvp",Inputs!$B$43&gt;0),SUMPRODUCT((Skills!E2:E24=TRUE)*(C2886:C2908=TRUE)*R2886:R2908)/Inputs!$B$43,SUMPRODUCT((Skills!E2:E24=TRUE)*(C2886:C2908=TRUE)*Q2886:Q2908))</f>
        <v/>
      </c>
    </row>
    <row r="2917">
      <c r="A2917" t="inlineStr">
        <is>
          <t>Chain Lightning Casts Per Second</t>
        </is>
      </c>
      <c r="B2917">
        <f>MAX(0,B2915-B2916)</f>
        <v/>
      </c>
    </row>
    <row r="2918">
      <c r="A2918" t="inlineStr">
        <is>
          <t>Buff-Casting Startup Delay (s, fixed-duration only)</t>
        </is>
      </c>
      <c r="B2918">
        <f>IF(AND(Inputs!$B$38&lt;&gt;"pvp",Inputs!$B$43&gt;0),SUMPRODUCT((Skills!S2:S24&gt;0)*(Skills!E2:E24=TRUE)*(C2886:C2908=TRUE))/B2915,0)</f>
        <v/>
      </c>
    </row>
    <row r="2919">
      <c r="A2919" t="inlineStr">
        <is>
          <t>Boss-Only Total DPS (this block's swept value)</t>
        </is>
      </c>
      <c r="B2919">
        <f>SUM(S2886:S2908)</f>
        <v/>
      </c>
    </row>
    <row r="2920">
      <c r="A2920" t="inlineStr">
        <is>
          <t>Normal-Only Total DPS (this block's swept value)</t>
        </is>
      </c>
      <c r="B2920">
        <f>SUM(U2886:U2908)</f>
        <v/>
      </c>
    </row>
    <row r="2921">
      <c r="A2921" s="6" t="inlineStr">
        <is>
          <t>TOTAL DPS</t>
        </is>
      </c>
      <c r="B2921" s="6">
        <f>SUM(O2886:O2908)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2026-10-13T21:34:15Z</dcterms:created>
  <dcterms:modified xsi:type="dcterms:W3CDTF">2026-10-13T21:34:15Z</dcterms:modified>
</cp:coreProperties>
</file>