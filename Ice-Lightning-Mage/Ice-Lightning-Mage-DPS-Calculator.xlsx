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Arch Mage (Ice/Lightning)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Feet/MP Eater)</t>
        </is>
      </c>
      <c r="B11" s="6" t="n">
        <v>0</v>
      </c>
    </row>
    <row r="12">
      <c r="A12" s="5" t="inlineStr">
        <is>
          <t>Flat INT</t>
        </is>
      </c>
      <c r="B12" s="6" t="n">
        <v>0</v>
      </c>
    </row>
    <row r="13">
      <c r="A13" s="5" t="inlineStr">
        <is>
          <t>INT %</t>
        </is>
      </c>
      <c r="B13" s="6" t="n">
        <v>0</v>
      </c>
    </row>
    <row r="14">
      <c r="A14" s="5" t="inlineStr">
        <is>
          <t>LUK</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Infinity)</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S1" t="inlineStr">
        <is>
          <t>BossOnlyDPS</t>
        </is>
      </c>
      <c r="U1" t="inlineStr">
        <is>
          <t>NormalOnlyDPS</t>
        </is>
      </c>
      <c r="Z1" s="5" t="inlineStr">
        <is>
          <t>Maple Hero helper (jobStep4, factorIndex23)</t>
        </is>
      </c>
    </row>
    <row r="2">
      <c r="A2">
        <f>Skills!A2</f>
        <v/>
      </c>
      <c r="B2">
        <f>Skills!B2</f>
        <v/>
      </c>
      <c r="C2">
        <f>Inputs!$B$3&gt;=100</f>
        <v/>
      </c>
      <c r="D2" t="inlineStr"/>
      <c r="E2" t="inlineStr"/>
      <c r="F2">
        <f>Summary!$B$50+Skills!N2</f>
        <v/>
      </c>
      <c r="G2">
        <f>Skills!F2*IF(Skills!G2&gt;0,Skills!H2/Skills!G2,1)</f>
        <v/>
      </c>
      <c r="H2">
        <f>1-(1-Skills!I2/100)^Skills!J2</f>
        <v/>
      </c>
      <c r="I2">
        <f>IF(Skills!T2&lt;&gt;"",1+(Skills!T2/10)*($Z$3/1000)/100,1)</f>
        <v/>
      </c>
      <c r="J2">
        <f>Summary!$B$46*(F2/100)</f>
        <v/>
      </c>
      <c r="K2">
        <f>J2*(1+Summary!$B$47/100)*(1+(Inputs!$B$15+Summary!$B$55)/100)*(1+Inputs!$B$16/100)*(5000/(6000+Inputs!$B$42*(1-Inputs!$B$19/100)))*(1+Inputs!$B$24/100)*(1+IF(C15=TRUE,F15,0)/100)*(1+IF(C23=TRUE,F23,0)/100)^5*(1+(IF(Skills!A2="CHAIN_LIGHTNING",Inputs!$B$17,Inputs!$B$18))/100)*(Summary!$B$53*I2)</f>
        <v/>
      </c>
      <c r="L2">
        <f>K2*(MIN(Inputs!$B$22,Inputs!$B$23)/100+Inputs!$B$23/100)/2</f>
        <v/>
      </c>
      <c r="M2">
        <f>L2*(1+Inputs!$B$10/100)</f>
        <v/>
      </c>
      <c r="N2">
        <f>L2*(1-MIN(Inputs!$B$9,100)/100)+M2*(MIN(Inputs!$B$9,100)/100)</f>
        <v/>
      </c>
      <c r="O2">
        <f>(1-Summary!$B$51)*S2+Summary!$B$51*U2</f>
        <v/>
      </c>
      <c r="P2">
        <f>IF(Summary!$B$3=0,0,O2/Summary!$B$3)</f>
        <v/>
      </c>
      <c r="Q2">
        <f>IFERROR(1/IF(Inputs!$B$38="pvp",15,MAX(0.1,Skills!D2-IF(Skills!E2=TRUE,Inputs!$B$32,0))),0)</f>
        <v/>
      </c>
      <c r="R2" t="n">
        <v>0</v>
      </c>
      <c r="S2">
        <f>IF(C2,(Skills!F2*N2*Summary!$B$59)*IF(Inputs!$B$38="pvp",1,1+(Inputs!$B$20+Skills!O2+Summary!$B$54)/100),0)</f>
        <v/>
      </c>
      <c r="U2">
        <f>IF(C2,(Skills!F2*N2*Summary!$B$59)*IF(Inputs!$B$38="pvp",1,(1+(Inputs!$B$21+Skills!P2+Summary!$B$54)/100)*(MIN(Skills!Q2,Inputs!$B$37))),0)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(1-Summary!$B$51)*S3+Summary!$B$51*U3</f>
        <v/>
      </c>
      <c r="P3">
        <f>IF(Summary!$B$3=0,0,O3/Summary!$B$3)</f>
        <v/>
      </c>
      <c r="Q3">
        <f>IFERROR(1/IF(Inputs!$B$38="pvp",15,MAX(0.1,Skills!D3-IF(Skills!E3=TRUE,Inputs!$B$32,0))),0)</f>
        <v/>
      </c>
      <c r="R3">
        <f>IF(AND(Inputs!$B$38&lt;&gt;"pvp",Inputs!$B$43&gt;0),IF(Inputs!$B$43&lt;=0,0,(INT(Inputs!$B$43/IF(Inputs!$B$38="pvp",15,MAX(0.1,Skills!D3-IF(Skills!E3=TRUE,Inputs!$B$32,0))))+1)),0)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(1-Summary!$B$51)*S4+Summary!$B$51*U4</f>
        <v/>
      </c>
      <c r="P4">
        <f>IF(Summary!$B$3=0,0,O4/Summary!$B$3)</f>
        <v/>
      </c>
      <c r="Q4">
        <f>IFERROR(1/IF(Inputs!$B$38="pvp",15,MAX(0.1,Skills!D4-IF(Skills!E4=TRUE,Inputs!$B$32,0))),0)</f>
        <v/>
      </c>
      <c r="R4">
        <f>IF(AND(Inputs!$B$38&lt;&gt;"pvp",Inputs!$B$43&gt;0),IF(Inputs!$B$43&lt;=0,0,(INT(Inputs!$B$43/IF(Inputs!$B$38="pvp",15,MAX(0.1,Skills!D4-IF(Skills!E4=TRUE,Inputs!$B$32,0))))+1)),0)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Summary!$B$46*(F5/100)</f>
        <v/>
      </c>
      <c r="K5">
        <f>J5*(1+Summary!$B$47/100)*(1+(Inputs!$B$15+Summary!$B$55)/100)*(1+Inputs!$B$16/100)*(5000/(6000+Inputs!$B$42*(1-Inputs!$B$19/100)))*(1+Inputs!$B$24/100)*(1+IF(C15=TRUE,F15,0)/100)*(1+IF(C23=TRUE,F23,0)/100)^5*(1+(IF(Skills!A5="CHAIN_LIGHTNING",Inputs!$B$17,Inputs!$B$18))/100)*(Summary!$B$53*I5)</f>
        <v/>
      </c>
      <c r="L5">
        <f>K5*(MIN(Inputs!$B$22,Inputs!$B$23)/100+Inputs!$B$23/100)/2</f>
        <v/>
      </c>
      <c r="M5">
        <f>L5*(1+Inputs!$B$10/100)</f>
        <v/>
      </c>
      <c r="N5">
        <f>L5*(1-MIN(Inputs!$B$9,100)/100)+M5*(MIN(Inputs!$B$9,100)/100)</f>
        <v/>
      </c>
      <c r="O5">
        <f>(1-Summary!$B$51)*S5+Summary!$B$51*U5</f>
        <v/>
      </c>
      <c r="P5">
        <f>IF(Summary!$B$3=0,0,O5/Summary!$B$3)</f>
        <v/>
      </c>
      <c r="Q5">
        <f>IFERROR(1/IF(Inputs!$B$38="pvp",15,MAX(0.1,Skills!D5-IF(Skills!E5=TRUE,Inputs!$B$32,0))),0)</f>
        <v/>
      </c>
      <c r="R5">
        <f>IF(AND(Inputs!$B$38&lt;&gt;"pvp",Inputs!$B$43&gt;0),IF(MAX(0,Inputs!$B$43-Summary!$B$61)&lt;=0,0,(INT(MAX(0,Inputs!$B$43-Summary!$B$61)/IF(Inputs!$B$38="pvp",15,MAX(0.1,Skills!D5-IF(Skills!E5=TRUE,Inputs!$B$32,0))))+1)),0)</f>
        <v/>
      </c>
      <c r="S5">
        <f>IF(C5,(H5*N5*IF(AND(Inputs!$B$38&lt;&gt;"pvp",Inputs!$B$43&gt;0),((Skills!F5*((R5-1)*IF(Skills!G5&gt;0,Skills!H5/Skills!G5,1)+IF(Skills!G5&gt;0,MIN(Skills!H5,MAX(0,MAX(0,Inputs!$B$43-Summary!$B$61)-((R5-1)*IF(Inputs!$B$38="pvp",15,MAX(0.1,Skills!D5-IF(Skills!E5=TRUE,Inputs!$B$32,0))))))/Skills!G5,1)))/Inputs!$B$43),G5*Q5))*IF(Inputs!$B$38="pvp",1,1+(Inputs!$B$20+Skills!O5+Summary!$B$54)/100),0)</f>
        <v/>
      </c>
      <c r="U5">
        <f>IF(C5,(H5*N5*IF(AND(Inputs!$B$38&lt;&gt;"pvp",Inputs!$B$43&gt;0),((Skills!F5*((R5-1)*IF(Skills!G5&gt;0,Skills!H5/Skills!G5,1)+IF(Skills!G5&gt;0,MIN(Skills!H5,MAX(0,MAX(0,Inputs!$B$43-Summary!$B$61)-((R5-1)*IF(Inputs!$B$38="pvp",15,MAX(0.1,Skills!D5-IF(Skills!E5=TRUE,Inputs!$B$32,0))))))/Skills!G5,1)))/Inputs!$B$43),G5*Q5))*IF(Inputs!$B$38="pvp",1,(1+(Inputs!$B$21+Skills!P5+Summary!$B$54)/100)*(MIN(Skills!Q5,Inputs!$B$37))),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Summary!$B$46*(F6/100)</f>
        <v/>
      </c>
      <c r="K6">
        <f>J6*(1+Summary!$B$47/100)*(1+(Inputs!$B$15+Summary!$B$55)/100)*(1+Inputs!$B$16/100)*(5000/(6000+Inputs!$B$42*(1-Inputs!$B$19/100)))*(1+Inputs!$B$24/100)*(1+IF(C15=TRUE,F15,0)/100)*(1+IF(C23=TRUE,F23,0)/100)^5*(1+(IF(Skills!A6="CHAIN_LIGHTNING",Inputs!$B$17,Inputs!$B$18))/100)*(Summary!$B$53*I6)</f>
        <v/>
      </c>
      <c r="L6">
        <f>K6*(MIN(Inputs!$B$22,Inputs!$B$23)/100+Inputs!$B$23/100)/2</f>
        <v/>
      </c>
      <c r="M6">
        <f>L6*(1+Inputs!$B$10/100)</f>
        <v/>
      </c>
      <c r="N6">
        <f>L6*(1-MIN(Inputs!$B$9,100)/100)+M6*(MIN(Inputs!$B$9,100)/100)</f>
        <v/>
      </c>
      <c r="O6">
        <f>(1-Summary!$B$51)*S6+Summary!$B$51*U6</f>
        <v/>
      </c>
      <c r="P6">
        <f>IF(Summary!$B$3=0,0,O6/Summary!$B$3)</f>
        <v/>
      </c>
      <c r="Q6">
        <f>IFERROR(1/IF(Inputs!$B$38="pvp",15,MAX(0.1,Skills!D6-IF(Skills!E6=TRUE,Inputs!$B$32,0))),0)</f>
        <v/>
      </c>
      <c r="R6">
        <f>IF(AND(Inputs!$B$38&lt;&gt;"pvp",Inputs!$B$43&gt;0),IF(MAX(0,Inputs!$B$43-Summary!$B$61)&lt;=0,0,(INT(MAX(0,Inputs!$B$43-Summary!$B$61)/IF(Inputs!$B$38="pvp",15,MAX(0.1,Skills!D6-IF(Skills!E6=TRUE,Inputs!$B$32,0))))+1)),0)</f>
        <v/>
      </c>
      <c r="S6">
        <f>IF(C6,(H6*N6*IF(AND(Inputs!$B$38&lt;&gt;"pvp",Inputs!$B$43&gt;0),((Skills!F6*((R6-1)*IF(Skills!G6&gt;0,Skills!H6/Skills!G6,1)+IF(Skills!G6&gt;0,MIN(Skills!H6,MAX(0,MAX(0,Inputs!$B$43-Summary!$B$61)-((R6-1)*IF(Inputs!$B$38="pvp",15,MAX(0.1,Skills!D6-IF(Skills!E6=TRUE,Inputs!$B$32,0))))))/Skills!G6,1)))/Inputs!$B$43),G6*Q6))*IF(Inputs!$B$38="pvp",1,1+(Inputs!$B$20+Skills!O6+Summary!$B$54)/100),0)</f>
        <v/>
      </c>
      <c r="U6">
        <f>IF(C6,(H6*N6*IF(AND(Inputs!$B$38&lt;&gt;"pvp",Inputs!$B$43&gt;0),((Skills!F6*((R6-1)*IF(Skills!G6&gt;0,Skills!H6/Skills!G6,1)+IF(Skills!G6&gt;0,MIN(Skills!H6,MAX(0,MAX(0,Inputs!$B$43-Summary!$B$61)-((R6-1)*IF(Inputs!$B$38="pvp",15,MAX(0.1,Skills!D6-IF(Skills!E6=TRUE,Inputs!$B$32,0))))))/Skills!G6,1)))/Inputs!$B$43),G6*Q6))*IF(Inputs!$B$38="pvp",1,(1+(Inputs!$B$21+Skills!P6+Summary!$B$54)/100)*(MIN(Skills!Q6,Inputs!$B$37))),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Summary!$B$46*(F7/100)</f>
        <v/>
      </c>
      <c r="K7">
        <f>J7*(1+Summary!$B$47/100)*(1+(Inputs!$B$15+Summary!$B$55)/100)*(1+Inputs!$B$16/100)*(5000/(6000+Inputs!$B$42*(1-Inputs!$B$19/100)))*(1+Inputs!$B$24/100)*(1+IF(C15=TRUE,F15,0)/100)*(1+IF(C23=TRUE,F23,0)/100)^5*(1+(IF(Skills!A7="CHAIN_LIGHTNING",Inputs!$B$17,Inputs!$B$18))/100)*(Summary!$B$53*I7)</f>
        <v/>
      </c>
      <c r="L7">
        <f>K7*(MIN(Inputs!$B$22,Inputs!$B$23)/100+Inputs!$B$23/100)/2</f>
        <v/>
      </c>
      <c r="M7">
        <f>L7*(1+Inputs!$B$10/100)</f>
        <v/>
      </c>
      <c r="N7">
        <f>L7*(1-MIN(Inputs!$B$9,100)/100)+M7*(MIN(Inputs!$B$9,100)/100)</f>
        <v/>
      </c>
      <c r="O7">
        <f>(1-Summary!$B$51)*S7+Summary!$B$51*U7</f>
        <v/>
      </c>
      <c r="P7">
        <f>IF(Summary!$B$3=0,0,O7/Summary!$B$3)</f>
        <v/>
      </c>
      <c r="Q7">
        <f>IFERROR(1/IF(Inputs!$B$38="pvp",15,MAX(0.1,Skills!D7-IF(Skills!E7=TRUE,Inputs!$B$32,0))),0)</f>
        <v/>
      </c>
      <c r="R7">
        <f>IF(AND(Inputs!$B$38&lt;&gt;"pvp",Inputs!$B$43&gt;0),IF(MAX(0,Inputs!$B$43-Summary!$B$61)&lt;=0,0,(INT(MAX(0,Inputs!$B$43-Summary!$B$61)/IF(Inputs!$B$38="pvp",15,MAX(0.1,Skills!D7-IF(Skills!E7=TRUE,Inputs!$B$32,0))))+1)),0)</f>
        <v/>
      </c>
      <c r="S7">
        <f>IF(C7,(H7*N7*IF(AND(Inputs!$B$38&lt;&gt;"pvp",Inputs!$B$43&gt;0),((Skills!F7*((R7-1)*IF(Skills!G7&gt;0,Skills!H7/Skills!G7,1)+IF(Skills!G7&gt;0,MIN(Skills!H7,MAX(0,MAX(0,Inputs!$B$43-Summary!$B$61)-((R7-1)*IF(Inputs!$B$38="pvp",15,MAX(0.1,Skills!D7-IF(Skills!E7=TRUE,Inputs!$B$32,0))))))/Skills!G7,1)))/Inputs!$B$43),G7*Q7))*IF(Inputs!$B$38="pvp",1,1+(Inputs!$B$20+Skills!O7+Summary!$B$54)/100),0)</f>
        <v/>
      </c>
      <c r="U7">
        <f>IF(C7,(H7*N7*IF(AND(Inputs!$B$38&lt;&gt;"pvp",Inputs!$B$43&gt;0),((Skills!F7*((R7-1)*IF(Skills!G7&gt;0,Skills!H7/Skills!G7,1)+IF(Skills!G7&gt;0,MIN(Skills!H7,MAX(0,MAX(0,Inputs!$B$43-Summary!$B$61)-((R7-1)*IF(Inputs!$B$38="pvp",15,MAX(0.1,Skills!D7-IF(Skills!E7=TRUE,Inputs!$B$32,0))))))/Skills!G7,1)))/Inputs!$B$43),G7*Q7))*IF(Inputs!$B$38="pvp",1,(1+(Inputs!$B$21+Skills!P7+Summary!$B$54)/100)*(MIN(Skills!Q7,Inputs!$B$37))),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Summary!$B$46*(F8/100)</f>
        <v/>
      </c>
      <c r="K8">
        <f>J8*(1+Summary!$B$47/100)*(1+(Inputs!$B$15+Summary!$B$55)/100)*(1+Inputs!$B$16/100)*(5000/(6000+Inputs!$B$42*(1-Inputs!$B$19/100)))*(1+Inputs!$B$24/100)*(1+IF(C15=TRUE,F15,0)/100)*(1+IF(C23=TRUE,F23,0)/100)^5*(1+(IF(Skills!A8="CHAIN_LIGHTNING",Inputs!$B$17,Inputs!$B$18))/100)*(Summary!$B$53*I8)</f>
        <v/>
      </c>
      <c r="L8">
        <f>K8*(MIN(Inputs!$B$22,Inputs!$B$23)/100+Inputs!$B$23/100)/2</f>
        <v/>
      </c>
      <c r="M8">
        <f>L8*(1+Inputs!$B$10/100)</f>
        <v/>
      </c>
      <c r="N8">
        <f>L8*(1-MIN(Inputs!$B$9,100)/100)+M8*(MIN(Inputs!$B$9,100)/100)</f>
        <v/>
      </c>
      <c r="O8">
        <f>(1-Summary!$B$51)*S8+Summary!$B$51*U8</f>
        <v/>
      </c>
      <c r="P8">
        <f>IF(Summary!$B$3=0,0,O8/Summary!$B$3)</f>
        <v/>
      </c>
      <c r="Q8">
        <f>IFERROR(1/IF(Inputs!$B$38="pvp",15,MAX(0.1,Skills!D8-IF(Skills!E8=TRUE,Inputs!$B$32,0))),0)</f>
        <v/>
      </c>
      <c r="R8">
        <f>IF(AND(Inputs!$B$38&lt;&gt;"pvp",Inputs!$B$43&gt;0),IF(MAX(0,Inputs!$B$43-Summary!$B$61)&lt;=0,0,(INT(MAX(0,Inputs!$B$43-Summary!$B$61)/IF(Inputs!$B$38="pvp",15,MAX(0.1,Skills!D8-IF(Skills!E8=TRUE,Inputs!$B$32,0))))+1)),0)</f>
        <v/>
      </c>
      <c r="S8">
        <f>IF(C8,(H8*N8*IF(AND(Inputs!$B$38&lt;&gt;"pvp",Inputs!$B$43&gt;0),((Skills!F8*((R8-1)*IF(Skills!G8&gt;0,Skills!H8/Skills!G8,1)+IF(Skills!G8&gt;0,MIN(Skills!H8,MAX(0,MAX(0,Inputs!$B$43-Summary!$B$61)-((R8-1)*IF(Inputs!$B$38="pvp",15,MAX(0.1,Skills!D8-IF(Skills!E8=TRUE,Inputs!$B$32,0))))))/Skills!G8,1)))/Inputs!$B$43),G8*Q8))*IF(Inputs!$B$38="pvp",1,1+(Inputs!$B$20+Skills!O8+Summary!$B$54)/100),0)</f>
        <v/>
      </c>
      <c r="U8">
        <f>IF(C8,(H8*N8*IF(AND(Inputs!$B$38&lt;&gt;"pvp",Inputs!$B$43&gt;0),((Skills!F8*((R8-1)*IF(Skills!G8&gt;0,Skills!H8/Skills!G8,1)+IF(Skills!G8&gt;0,MIN(Skills!H8,MAX(0,MAX(0,Inputs!$B$43-Summary!$B$61)-((R8-1)*IF(Inputs!$B$38="pvp",15,MAX(0.1,Skills!D8-IF(Skills!E8=TRUE,Inputs!$B$32,0))))))/Skills!G8,1)))/Inputs!$B$43),G8*Q8))*IF(Inputs!$B$38="pvp",1,(1+(Inputs!$B$21+Skills!P8+Summary!$B$54)/100)*(MIN(Skills!Q8,Inputs!$B$37))),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Summary!$B$46*(F9/100)</f>
        <v/>
      </c>
      <c r="K9">
        <f>J9*(1+Summary!$B$47/100)*(1+(Inputs!$B$15+Summary!$B$55)/100)*(1+Inputs!$B$16/100)*(5000/(6000+Inputs!$B$42*(1-Inputs!$B$19/100)))*(1+Inputs!$B$24/100)*(1+IF(C15=TRUE,F15,0)/100)*(1+IF(C23=TRUE,F23,0)/100)^5*(1+(IF(Skills!A9="CHAIN_LIGHTNING",Inputs!$B$17,Inputs!$B$18))/100)*(Summary!$B$53*I9)</f>
        <v/>
      </c>
      <c r="L9">
        <f>K9*(MIN(Inputs!$B$22,Inputs!$B$23)/100+Inputs!$B$23/100)/2</f>
        <v/>
      </c>
      <c r="M9">
        <f>L9*(1+Inputs!$B$10/100)</f>
        <v/>
      </c>
      <c r="N9">
        <f>L9*(1-MIN(Inputs!$B$9,100)/100)+M9*(MIN(Inputs!$B$9,100)/100)</f>
        <v/>
      </c>
      <c r="O9">
        <f>(1-Summary!$B$51)*S9+Summary!$B$51*U9</f>
        <v/>
      </c>
      <c r="P9">
        <f>IF(Summary!$B$3=0,0,O9/Summary!$B$3)</f>
        <v/>
      </c>
      <c r="Q9">
        <f>IFERROR(1/IF(Inputs!$B$38="pvp",15,MAX(0.1,Skills!D9-IF(Skills!E9=TRUE,Inputs!$B$32,0))),0)</f>
        <v/>
      </c>
      <c r="R9">
        <f>IF(AND(Inputs!$B$38&lt;&gt;"pvp",Inputs!$B$43&gt;0),IF(MAX(0,Inputs!$B$43-Summary!$B$61)&lt;=0,0,(INT(MAX(0,Inputs!$B$43-Summary!$B$61)/IF(Inputs!$B$38="pvp",15,MAX(0.1,Skills!D9-IF(Skills!E9=TRUE,Inputs!$B$32,0))))+1)),0)</f>
        <v/>
      </c>
      <c r="S9">
        <f>IF(C9,(H9*N9*IF(AND(Inputs!$B$38&lt;&gt;"pvp",Inputs!$B$43&gt;0),((Skills!F9*((R9-1)*IF(Skills!G9&gt;0,Skills!H9/Skills!G9,1)+IF(Skills!G9&gt;0,MIN(Skills!H9,MAX(0,MAX(0,Inputs!$B$43-Summary!$B$61)-((R9-1)*IF(Inputs!$B$38="pvp",15,MAX(0.1,Skills!D9-IF(Skills!E9=TRUE,Inputs!$B$32,0))))))/Skills!G9,1)))/Inputs!$B$43),G9*Q9))*IF(Inputs!$B$38="pvp",1,1+(Inputs!$B$20+Skills!O9+Summary!$B$54)/100),0)</f>
        <v/>
      </c>
      <c r="U9">
        <f>IF(C9,(H9*N9*IF(AND(Inputs!$B$38&lt;&gt;"pvp",Inputs!$B$43&gt;0),((Skills!F9*((R9-1)*IF(Skills!G9&gt;0,Skills!H9/Skills!G9,1)+IF(Skills!G9&gt;0,MIN(Skills!H9,MAX(0,MAX(0,Inputs!$B$43-Summary!$B$61)-((R9-1)*IF(Inputs!$B$38="pvp",15,MAX(0.1,Skills!D9-IF(Skills!E9=TRUE,Inputs!$B$32,0))))))/Skills!G9,1)))/Inputs!$B$43),G9*Q9))*IF(Inputs!$B$38="pvp",1,(1+(Inputs!$B$21+Skills!P9+Summary!$B$54)/100)*(MIN(Skills!Q9,Inputs!$B$37))),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Summary!$B$46*(F10/100)</f>
        <v/>
      </c>
      <c r="K10">
        <f>J10*(1+Summary!$B$47/100)*(1+(Inputs!$B$15+Summary!$B$55)/100)*(1+Inputs!$B$16/100)*(5000/(6000+Inputs!$B$42*(1-Inputs!$B$19/100)))*(1+Inputs!$B$24/100)*(1+IF(C15=TRUE,F15,0)/100)*(1+IF(C23=TRUE,F23,0)/100)^5*(1+(IF(Skills!A10="CHAIN_LIGHTNING",Inputs!$B$17,Inputs!$B$18))/100)*(Summary!$B$53*I10)</f>
        <v/>
      </c>
      <c r="L10">
        <f>K10*(MIN(Inputs!$B$22,Inputs!$B$23)/100+Inputs!$B$23/100)/2</f>
        <v/>
      </c>
      <c r="M10">
        <f>L10*(1+Inputs!$B$10/100)</f>
        <v/>
      </c>
      <c r="N10">
        <f>L10*(1-MIN(Inputs!$B$9,100)/100)+M10*(MIN(Inputs!$B$9,100)/100)</f>
        <v/>
      </c>
      <c r="O10">
        <f>(1-Summary!$B$51)*S10+Summary!$B$51*U10</f>
        <v/>
      </c>
      <c r="P10">
        <f>IF(Summary!$B$3=0,0,O10/Summary!$B$3)</f>
        <v/>
      </c>
      <c r="Q10">
        <f>IFERROR(1/IF(Inputs!$B$38="pvp",15,MAX(0.1,Skills!D10-IF(Skills!E9=TRUE,Inputs!$B$32,0))),0)</f>
        <v/>
      </c>
      <c r="R10">
        <f>IF(AND(Inputs!$B$38&lt;&gt;"pvp",Inputs!$B$43&gt;0),IF(MAX(0,Inputs!$B$43-Summary!$B$61)&lt;=0,0,(INT(MAX(0,Inputs!$B$43-Summary!$B$61)/IF(Inputs!$B$38="pvp",15,MAX(0.1,Skills!D10-IF(Skills!E9=TRUE,Inputs!$B$32,0))))+1)),0)</f>
        <v/>
      </c>
      <c r="S10">
        <f>IF(C10,(H10*N10*IF(AND(Inputs!$B$38&lt;&gt;"pvp",Inputs!$B$43&gt;0),((Skills!F10*((R10-1)*IF(Skills!G10&gt;0,Skills!H10/Skills!G10,1)+IF(Skills!G10&gt;0,MIN(Skills!H10,MAX(0,MAX(0,Inputs!$B$43-Summary!$B$61)-((R10-1)*IF(Inputs!$B$38="pvp",15,MAX(0.1,Skills!D10-IF(Skills!E9=TRUE,Inputs!$B$32,0))))))/Skills!G10,1)))/Inputs!$B$43),G10*Q10))*IF(Inputs!$B$38="pvp",1,1+(Inputs!$B$20+Skills!O10+Summary!$B$54)/100),0)</f>
        <v/>
      </c>
      <c r="U10">
        <f>IF(C10,(H10*N10*IF(AND(Inputs!$B$38&lt;&gt;"pvp",Inputs!$B$43&gt;0),((Skills!F10*((R10-1)*IF(Skills!G10&gt;0,Skills!H10/Skills!G10,1)+IF(Skills!G10&gt;0,MIN(Skills!H10,MAX(0,MAX(0,Inputs!$B$43-Summary!$B$61)-((R10-1)*IF(Inputs!$B$38="pvp",15,MAX(0.1,Skills!D10-IF(Skills!E9=TRUE,Inputs!$B$32,0))))))/Skills!G10,1)))/Inputs!$B$43),G10*Q10))*IF(Inputs!$B$38="pvp",1,(1+(Inputs!$B$21+Skills!P10+Summary!$B$54)/100)*(MIN(Skills!Q10,Inputs!$B$37))),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Summary!$B$46*(F11/100)</f>
        <v/>
      </c>
      <c r="K11">
        <f>J11*(1+Summary!$B$47/100)*(1+(Inputs!$B$15+Summary!$B$55)/100)*(1+Inputs!$B$16/100)*(5000/(6000+Inputs!$B$42*(1-Inputs!$B$19/100)))*(1+Inputs!$B$24/100)*(1+IF(C15=TRUE,F15,0)/100)*(1+IF(C23=TRUE,F23,0)/100)^5*(1+(IF(Skills!A11="CHAIN_LIGHTNING",Inputs!$B$17,Inputs!$B$18))/100)*(Summary!$B$53*I11)</f>
        <v/>
      </c>
      <c r="L11">
        <f>K11*(MIN(Inputs!$B$22,Inputs!$B$23)/100+Inputs!$B$23/100)/2</f>
        <v/>
      </c>
      <c r="M11">
        <f>L11*(1+Inputs!$B$10/100)</f>
        <v/>
      </c>
      <c r="N11">
        <f>L11*(1-MIN(Inputs!$B$9,100)/100)+M11*(MIN(Inputs!$B$9,100)/100)</f>
        <v/>
      </c>
      <c r="O11">
        <f>(1-Summary!$B$51)*S11+Summary!$B$51*U11</f>
        <v/>
      </c>
      <c r="P11">
        <f>IF(Summary!$B$3=0,0,O11/Summary!$B$3)</f>
        <v/>
      </c>
      <c r="Q11">
        <f>IFERROR(1/IF(Inputs!$B$38="pvp",15,MAX(0.1,Skills!D11-IF(Skills!E11=TRUE,Inputs!$B$32,0))),0)</f>
        <v/>
      </c>
      <c r="R11">
        <f>IF(AND(Inputs!$B$38&lt;&gt;"pvp",Inputs!$B$43&gt;0),IF(MAX(0,Inputs!$B$43-Summary!$B$61)&lt;=0,0,(INT(MAX(0,Inputs!$B$43-Summary!$B$61)/IF(Inputs!$B$38="pvp",15,MAX(0.1,Skills!D11-IF(Skills!E11=TRUE,Inputs!$B$32,0))))+1)),0)</f>
        <v/>
      </c>
      <c r="S11">
        <f>IF(C11,H11*N11*IF(AND(Inputs!$B$38&lt;&gt;"pvp",Inputs!$B$43&gt;0),((Skills!F11*((R11-1)*IF(Skills!G11&gt;0,Skills!H11/Skills!G11,1)+IF(Skills!G11&gt;0,MIN(Skills!H11,MAX(0,MAX(0,Inputs!$B$43-Summary!$B$61)-((R11-1)*IF(Inputs!$B$38="pvp",15,MAX(0.1,Skills!D11-IF(Skills!E11=TRUE,Inputs!$B$32,0))))))/Skills!G11,1)))/Inputs!$B$43),G11*Q11)*0.5*IF(Inputs!$B$38="pvp",1,1+(Inputs!$B$20+Skills!O11+Summary!$B$54)/100),0)</f>
        <v/>
      </c>
      <c r="U11">
        <f>IF(C11,H11*N11*IF(AND(Inputs!$B$38&lt;&gt;"pvp",Inputs!$B$43&gt;0),((Skills!F11*((R11-1)*IF(Skills!G11&gt;0,Skills!H11/Skills!G11,1)+IF(Skills!G11&gt;0,MIN(Skills!H11,MAX(0,MAX(0,Inputs!$B$43-Summary!$B$61)-((R11-1)*IF(Inputs!$B$38="pvp",15,MAX(0.1,Skills!D11-IF(Skills!E11=TRUE,Inputs!$B$32,0))))))/Skills!G11,1)))/Inputs!$B$43),G11*Q11)*1*IF(Inputs!$B$38="pvp",1,(1+(Inputs!$B$21+Skills!P11+Summary!$B$54)/100)*(MIN(Skills!Q11,Inputs!$B$37))),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Summary!$B$46*(F12/100)</f>
        <v/>
      </c>
      <c r="K12">
        <f>J12*(1+Summary!$B$47/100)*(1+(Inputs!$B$15+Summary!$B$55)/100)*(1+Inputs!$B$16/100)*(5000/(6000+Inputs!$B$42*(1-Inputs!$B$19/100)))*(1+Inputs!$B$24/100)*(1+IF(C15=TRUE,F15,0)/100)*(1+IF(C23=TRUE,F23,0)/100)^5*(1+(IF(Skills!A12="CHAIN_LIGHTNING",Inputs!$B$17,Inputs!$B$18))/100)*(Summary!$B$53*I12)</f>
        <v/>
      </c>
      <c r="L12">
        <f>K12*(MIN(Inputs!$B$22,Inputs!$B$23)/100+Inputs!$B$23/100)/2</f>
        <v/>
      </c>
      <c r="M12">
        <f>L12*(1+Inputs!$B$10/100)</f>
        <v/>
      </c>
      <c r="N12">
        <f>L12*(1-MIN(Inputs!$B$9,100)/100)+M12*(MIN(Inputs!$B$9,100)/100)</f>
        <v/>
      </c>
      <c r="O12">
        <f>(1-Summary!$B$51)*S12+Summary!$B$51*U12</f>
        <v/>
      </c>
      <c r="P12">
        <f>IF(Summary!$B$3=0,0,O12/Summary!$B$3)</f>
        <v/>
      </c>
      <c r="Q12">
        <f>IFERROR(1/IF(Inputs!$B$38="pvp",15,MAX(0.1,Skills!D12-IF(Skills!E12=TRUE,Inputs!$B$32,0))),0)</f>
        <v/>
      </c>
      <c r="R12">
        <f>IF(AND(Inputs!$B$38&lt;&gt;"pvp",Inputs!$B$43&gt;0),IF(MAX(0,Inputs!$B$43-Summary!$B$61)&lt;=0,0,(INT(MAX(0,Inputs!$B$43-Summary!$B$61)/IF(Inputs!$B$38="pvp",15,MAX(0.1,Skills!D12-IF(Skills!E12=TRUE,Inputs!$B$32,0))))+1)),0)</f>
        <v/>
      </c>
      <c r="S12">
        <f>IF(C12,(H12*N12*IF(AND(Inputs!$B$38&lt;&gt;"pvp",Inputs!$B$43&gt;0),((Skills!F12*((R12-1)*IF(Skills!G12&gt;0,Skills!H12/Skills!G12,1)+IF(Skills!G12&gt;0,MIN(Skills!H12,MAX(0,MAX(0,Inputs!$B$43-Summary!$B$61)-((R12-1)*IF(Inputs!$B$38="pvp",15,MAX(0.1,Skills!D12-IF(Skills!E12=TRUE,Inputs!$B$32,0))))))/Skills!G12,1)))/Inputs!$B$43),G12*Q12))*IF(Inputs!$B$38="pvp",1,1+(Inputs!$B$20+Skills!O12+Summary!$B$54)/100),0)</f>
        <v/>
      </c>
      <c r="U12">
        <f>IF(C12,(H12*N12*IF(AND(Inputs!$B$38&lt;&gt;"pvp",Inputs!$B$43&gt;0),((Skills!F12*((R12-1)*IF(Skills!G12&gt;0,Skills!H12/Skills!G12,1)+IF(Skills!G12&gt;0,MIN(Skills!H12,MAX(0,MAX(0,Inputs!$B$43-Summary!$B$61)-((R12-1)*IF(Inputs!$B$38="pvp",15,MAX(0.1,Skills!D12-IF(Skills!E12=TRUE,Inputs!$B$32,0))))))/Skills!G12,1)))/Inputs!$B$43),G12*Q12))*IF(Inputs!$B$38="pvp",1,(1+(Inputs!$B$21+Skills!P12+Summary!$B$54)/100)*(MIN(Skills!Q12,Inputs!$B$37))),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(1-Summary!$B$51)*S13+Summary!$B$51*U13</f>
        <v/>
      </c>
      <c r="P13">
        <f>IF(Summary!$B$3=0,0,O13/Summary!$B$3)</f>
        <v/>
      </c>
      <c r="Q13">
        <f>IFERROR(1/IF(Inputs!$B$38="pvp",15,MAX(0.1,Skills!D13-IF(Skills!E13=TRUE,Inputs!$B$32,0))),0)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(1-Summary!$B$51)*S14+Summary!$B$51*U14</f>
        <v/>
      </c>
      <c r="P14">
        <f>IF(Summary!$B$3=0,0,O14/Summary!$B$3)</f>
        <v/>
      </c>
      <c r="Q14">
        <f>IFERROR(1/IF(Inputs!$B$38="pvp",15,MAX(0.1,Skills!D14-IF(Skills!E14=TRUE,Inputs!$B$32,0))),0)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(1-Summary!$B$51)*S15+Summary!$B$51*U15</f>
        <v/>
      </c>
      <c r="P15">
        <f>IF(Summary!$B$3=0,0,O15/Summary!$B$3)</f>
        <v/>
      </c>
      <c r="Q15">
        <f>IFERROR(1/IF(Inputs!$B$38="pvp",15,MAX(0.1,Skills!D15-IF(Skills!E15=TRUE,Inputs!$B$32,0))),0)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(1-Summary!$B$51)*S16+Summary!$B$51*U16</f>
        <v/>
      </c>
      <c r="P16">
        <f>IF(Summary!$B$3=0,0,O16/Summary!$B$3)</f>
        <v/>
      </c>
      <c r="Q16">
        <f>IFERROR(1/IF(Inputs!$B$38="pvp",15,MAX(0.1,Skills!D16-IF(Skills!E16=TRUE,Inputs!$B$32,0))),0)</f>
        <v/>
      </c>
      <c r="R16">
        <f>IF(AND(Inputs!$B$38&lt;&gt;"pvp",Inputs!$B$43&gt;0),IF(Inputs!$B$43&lt;=0,0,(INT(Inputs!$B$43/IF(Inputs!$B$38="pvp",15,MAX(0.1,Skills!D16-IF(Skills!E16=TRUE,Inputs!$B$32,0))))+1)),0)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(1-Summary!$B$51)*S17+Summary!$B$51*U17</f>
        <v/>
      </c>
      <c r="P17">
        <f>IF(Summary!$B$3=0,0,O17/Summary!$B$3)</f>
        <v/>
      </c>
      <c r="Q17">
        <f>IFERROR(1/IF(Inputs!$B$38="pvp",15,MAX(0.1,Skills!D17-IF(Skills!E17=TRUE,Inputs!$B$32,0))),0)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(1-Summary!$B$51)*S18+Summary!$B$51*U18</f>
        <v/>
      </c>
      <c r="P18">
        <f>IF(Summary!$B$3=0,0,O18/Summary!$B$3)</f>
        <v/>
      </c>
      <c r="Q18">
        <f>IFERROR(1/IF(Inputs!$B$38="pvp",15,MAX(0.1,Skills!D18-IF(Skills!E18=TRUE,Inputs!$B$32,0))),0)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(1-Summary!$B$51)*S19+Summary!$B$51*U19</f>
        <v/>
      </c>
      <c r="P19">
        <f>IF(Summary!$B$3=0,0,O19/Summary!$B$3)</f>
        <v/>
      </c>
      <c r="Q19">
        <f>IFERROR(1/IF(Inputs!$B$38="pvp",15,MAX(0.1,Skills!D19-IF(Skills!E19=TRUE,Inputs!$B$32,0))),0)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(1-Summary!$B$51)*S20+Summary!$B$51*U20</f>
        <v/>
      </c>
      <c r="P20">
        <f>IF(Summary!$B$3=0,0,O20/Summary!$B$3)</f>
        <v/>
      </c>
      <c r="Q20">
        <f>IFERROR(1/IF(Inputs!$B$38="pvp",15,MAX(0.1,Skills!D20-IF(Skills!E20=TRUE,Inputs!$B$32,0))),0)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(1-Summary!$B$51)*S21+Summary!$B$51*U21</f>
        <v/>
      </c>
      <c r="P21">
        <f>IF(Summary!$B$3=0,0,O21/Summary!$B$3)</f>
        <v/>
      </c>
      <c r="Q21">
        <f>IFERROR(1/IF(Inputs!$B$38="pvp",15,MAX(0.1,Skills!D21-IF(Skills!E21=TRUE,Inputs!$B$32,0))),0)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(1-Summary!$B$51)*S22+Summary!$B$51*U22</f>
        <v/>
      </c>
      <c r="P22">
        <f>IF(Summary!$B$3=0,0,O22/Summary!$B$3)</f>
        <v/>
      </c>
      <c r="Q22">
        <f>IFERROR(1/IF(Inputs!$B$38="pvp",15,MAX(0.1,Skills!D22-IF(Skills!E22=TRUE,Inputs!$B$32,0))),0)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(1-Summary!$B$51)*S23+Summary!$B$51*U23</f>
        <v/>
      </c>
      <c r="P23">
        <f>IF(Summary!$B$3=0,0,O23/Summary!$B$3)</f>
        <v/>
      </c>
      <c r="Q23">
        <f>IFERROR(1/IF(Inputs!$B$38="pvp",15,MAX(0.1,Skills!D23-IF(Skills!E23=TRUE,Inputs!$B$32,0))),0)</f>
        <v/>
      </c>
      <c r="R23" t="n">
        <v>0</v>
      </c>
      <c r="S23" t="n">
        <v>0</v>
      </c>
      <c r="U2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f>Calc!B12</f>
        <v/>
      </c>
      <c r="B15">
        <f>Calc!O12</f>
        <v/>
      </c>
      <c r="C15">
        <f>Calc!P12*100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5">
      <c r="A45" s="7" t="inlineStr">
        <is>
          <t>Derived Values (read-only, computed from Inputs)</t>
        </is>
      </c>
    </row>
    <row r="46">
      <c r="A46" t="inlineStr">
        <is>
          <t>ATTACK (= Flat ATTACK x (1+ATTACK%/100))</t>
        </is>
      </c>
      <c r="B46">
        <f>Inputs!$B$6*(1+Inputs!$B$7/100)</f>
        <v/>
      </c>
    </row>
    <row r="47">
      <c r="A47" t="inlineStr">
        <is>
          <t>STAT_DAMAGE % (= 1% of total INT + 0.25% of LUK)</t>
        </is>
      </c>
      <c r="B47">
        <f>(Inputs!$B$12*(1+Inputs!$B$13/100))*0.01+Inputs!$B$14*0.0025</f>
        <v/>
      </c>
    </row>
    <row r="48">
      <c r="A48" t="inlineStr">
        <is>
          <t>Basic Attack (Chain Lightning) Input Level (4th job formula)</t>
        </is>
      </c>
      <c r="B48">
        <f>MAX(0,(Inputs!$B$3-100)*3)+Inputs!$B$28+Inputs!$B$29</f>
        <v/>
      </c>
    </row>
    <row r="49">
      <c r="A49" t="inlineStr">
        <is>
          <t>Basic Attack Factor (factorIndex 21, from Chain Lightning reverse-engineering)</t>
        </is>
      </c>
      <c r="B49">
        <f>INDEX(FactorTable!$B$2:$Y$301, MATCH(ROUND(MIN(300,MAX(1,Summary!$B$48)),0), FactorTable!$A$2:$A$301,0), 22)</f>
        <v/>
      </c>
    </row>
    <row r="50">
      <c r="A50" t="inlineStr">
        <is>
          <t>SKILL_COEFFICIENT — Chain Lightning base coefficient % (before Skill Mastery)</t>
        </is>
      </c>
      <c r="B50">
        <f>290*Summary!$B$49/1000</f>
        <v/>
      </c>
    </row>
    <row r="51">
      <c r="A51" t="inlineStr">
        <is>
          <t>Normal-Monster Weight (= 0 for boss, 1 for normal, Breakthrough Normal Weight % for breakthrough, 0 for pvp)</t>
        </is>
      </c>
      <c r="B51">
        <f>IF(Inputs!$B$38="normal",1,IF(Inputs!$B$38="breakthrough",Inputs!$B$44/100,0))</f>
        <v/>
      </c>
    </row>
    <row r="53">
      <c r="A53" t="inlineStr">
        <is>
          <t>Average Buff Multiplier (Magic Guard + Meditation, summed; then Infinity)</t>
        </is>
      </c>
      <c r="B5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54">
      <c r="A54" t="inlineStr">
        <is>
          <t>Monster Damage Taken Bonus % (Freezing Breath - Weaken + Elemental Reset, summed)</t>
        </is>
      </c>
      <c r="B54">
        <f>IF(Inputs!$B$3&gt;=118,15*IF(Inputs!$B$38="pvp",MIN((30*(1+(Inputs!$B$34+IF(Inputs!$B$3&gt;=117,Calc!F22,0))/100)),15)/15,(30*(1+(Inputs!$B$34+IF(Inputs!$B$3&gt;=117,Calc!F22,0))/100))/Skills!D8),0)+IF(Calc!C14=TRUE,Calc!F14,0)</f>
        <v/>
      </c>
    </row>
    <row r="55">
      <c r="A55" t="inlineStr">
        <is>
          <t>Damage % Bonus (Frozen Break + Frost Clutch, flat)</t>
        </is>
      </c>
      <c r="B55">
        <f>IF(Inputs!$B$3&gt;=66,15,0)+IF(Inputs!$B$3&gt;=98,10,0)+IF(Inputs!$B$3&gt;=125,20,0)</f>
        <v/>
      </c>
    </row>
    <row r="56">
      <c r="A56" t="inlineStr">
        <is>
          <t>Attack Speed Bonus % (MP Eater - MP Boost, always-on once unlocked)</t>
        </is>
      </c>
      <c r="B56">
        <f>IF(Calc!C13=TRUE,Calc!F13,0)</f>
        <v/>
      </c>
    </row>
    <row r="57">
      <c r="A57" t="inlineStr">
        <is>
          <t>Actions Per Second (Attack Speed combined via diminishing-returns stack, factor 150, then capped)</t>
        </is>
      </c>
      <c r="B57">
        <f>1+MIN(150,150*(1-(1-Inputs!$B$11/150)*(1-B56/150)))/100</f>
        <v/>
      </c>
    </row>
    <row r="58">
      <c r="A58" t="inlineStr">
        <is>
          <t>Skill + Buff Cast Rate (subtracted from Chain Lightning, 1/s)</t>
        </is>
      </c>
      <c r="B58">
        <f>IF(AND(Inputs!$B$38&lt;&gt;"pvp",Inputs!$B$43&gt;0),SUMPRODUCT((Skills!E2:E23=TRUE)*(Calc!C2:C23=TRUE)*Calc!R2:R23)/Inputs!$B$43,SUMPRODUCT((Skills!E2:E23=TRUE)*(Calc!C2:C23=TRUE)*Calc!Q2:Q23))</f>
        <v/>
      </c>
    </row>
    <row r="59">
      <c r="A59" t="inlineStr">
        <is>
          <t>Chain Lightning Casts Per Second (basic-attack rate)</t>
        </is>
      </c>
      <c r="B59">
        <f>MAX(0,B57-B58)</f>
        <v/>
      </c>
    </row>
    <row r="60">
      <c r="A60" t="inlineStr">
        <is>
          <t>Chain Lightning DPS</t>
        </is>
      </c>
      <c r="B60">
        <f>Calc!O2</f>
        <v/>
      </c>
    </row>
    <row r="61">
      <c r="A61" t="inlineStr">
        <is>
          <t>Buff-Casting Startup Delay (s, before first damage-skill cast; fixed-duration only)</t>
        </is>
      </c>
      <c r="B61">
        <f>IF(AND(Inputs!$B$38&lt;&gt;"pvp",Inputs!$B$43&gt;0),SUMPRODUCT((Skills!S2:S23&gt;0)*(Skills!E2:E23=TRUE)*(Calc!C2:C23=TRUE))/B57,0)</f>
        <v/>
      </c>
    </row>
    <row r="62">
      <c r="A62" t="inlineStr">
        <is>
          <t>Boss-Only Total DPS (Sensitivity baseline)</t>
        </is>
      </c>
      <c r="B62">
        <f>SUM(Calc!S2:S23)</f>
        <v/>
      </c>
    </row>
    <row r="63">
      <c r="A63" t="inlineStr">
        <is>
          <t>Normal-Only Total DPS (Sensitivity baseline)</t>
        </is>
      </c>
      <c r="B63">
        <f>SUM(Calc!U2:U23)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40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B68</f>
        <v/>
      </c>
      <c r="H5">
        <f>Summary!$B$3*(((1-Summary!$B$51)*IFERROR(B66/Summary!$B$62,1)+Summary!$B$51*IFERROR(B67/Summary!$B$63,1))-1)</f>
        <v/>
      </c>
      <c r="I5">
        <f>((1-Summary!$B$51)*IFERROR(B66/Summary!$B$62,1)+Summary!$B$51*IFERROR(B67/Summary!$B$63,1))*100</f>
        <v/>
      </c>
    </row>
    <row r="6">
      <c r="A6" t="inlineStr">
        <is>
          <t>INT %</t>
        </is>
      </c>
      <c r="B6">
        <f>IFERROR(1/(I6-100),"n/a")</f>
        <v/>
      </c>
      <c r="C6" t="inlineStr">
        <is>
          <t>pct</t>
        </is>
      </c>
      <c r="D6">
        <f>Inputs!$B$13</f>
        <v/>
      </c>
      <c r="E6">
        <f>(Inputs!$B$13+1)</f>
        <v/>
      </c>
      <c r="F6">
        <f>Summary!$B$3</f>
        <v/>
      </c>
      <c r="G6">
        <f>B107</f>
        <v/>
      </c>
      <c r="H6">
        <f>Summary!$B$3*(((1-Summary!$B$51)*IFERROR(B105/Summary!$B$62,1)+Summary!$B$51*IFERROR(B106/Summary!$B$63,1))-1)</f>
        <v/>
      </c>
      <c r="I6">
        <f>((1-Summary!$B$51)*IFERROR(B105/Summary!$B$62,1)+Summary!$B$51*IFERROR(B106/Summary!$B$63,1))*100</f>
        <v/>
      </c>
    </row>
    <row r="7">
      <c r="A7" t="inlineStr">
        <is>
          <t>DAMAGE %</t>
        </is>
      </c>
      <c r="B7">
        <f>IFERROR(1/(I7-100),"n/a")</f>
        <v/>
      </c>
      <c r="C7" t="inlineStr">
        <is>
          <t>pct</t>
        </is>
      </c>
      <c r="D7">
        <f>Inputs!$B$15</f>
        <v/>
      </c>
      <c r="E7">
        <f>(Inputs!$B$15+1)</f>
        <v/>
      </c>
      <c r="F7">
        <f>Summary!$B$3</f>
        <v/>
      </c>
      <c r="G7">
        <f>B146</f>
        <v/>
      </c>
      <c r="H7">
        <f>Summary!$B$3*(((1-Summary!$B$51)*IFERROR(B144/Summary!$B$62,1)+Summary!$B$51*IFERROR(B145/Summary!$B$63,1))-1)</f>
        <v/>
      </c>
      <c r="I7">
        <f>((1-Summary!$B$51)*IFERROR(B144/Summary!$B$62,1)+Summary!$B$51*IFERROR(B145/Summary!$B$63,1))*100</f>
        <v/>
      </c>
    </row>
    <row r="8">
      <c r="A8" t="inlineStr">
        <is>
          <t>DAMAGE_AMP %</t>
        </is>
      </c>
      <c r="B8">
        <f>IFERROR(1/(I8-100),"n/a")</f>
        <v/>
      </c>
      <c r="C8" t="inlineStr">
        <is>
          <t>pct</t>
        </is>
      </c>
      <c r="D8">
        <f>Inputs!$B$16</f>
        <v/>
      </c>
      <c r="E8">
        <f>(Inputs!$B$16+1)</f>
        <v/>
      </c>
      <c r="F8">
        <f>Summary!$B$3</f>
        <v/>
      </c>
      <c r="G8">
        <f>B185</f>
        <v/>
      </c>
      <c r="H8">
        <f>Summary!$B$3*(((1-Summary!$B$51)*IFERROR(B183/Summary!$B$62,1)+Summary!$B$51*IFERROR(B184/Summary!$B$63,1))-1)</f>
        <v/>
      </c>
      <c r="I8">
        <f>((1-Summary!$B$51)*IFERROR(B183/Summary!$B$62,1)+Summary!$B$51*IFERROR(B184/Summary!$B$63,1))*100</f>
        <v/>
      </c>
    </row>
    <row r="9">
      <c r="A9" t="inlineStr">
        <is>
          <t>BOSS_DAMAGE %</t>
        </is>
      </c>
      <c r="B9">
        <f>IFERROR(1/(I9-100),"n/a")</f>
        <v/>
      </c>
      <c r="C9" t="inlineStr">
        <is>
          <t>pct</t>
        </is>
      </c>
      <c r="D9">
        <f>Inputs!$B$20</f>
        <v/>
      </c>
      <c r="E9">
        <f>(Inputs!$B$20+1)</f>
        <v/>
      </c>
      <c r="F9">
        <f>Summary!$B$3</f>
        <v/>
      </c>
      <c r="G9">
        <f>B224</f>
        <v/>
      </c>
      <c r="H9">
        <f>Summary!$B$3*(((1-Summary!$B$51)*IFERROR(B222/Summary!$B$62,1)+Summary!$B$51*IFERROR(B223/Summary!$B$63,1))-1)</f>
        <v/>
      </c>
      <c r="I9">
        <f>((1-Summary!$B$51)*IFERROR(B222/Summary!$B$62,1)+Summary!$B$51*IFERROR(B223/Summary!$B$63,1))*100</f>
        <v/>
      </c>
    </row>
    <row r="10">
      <c r="A10" t="inlineStr">
        <is>
          <t>NORMAL_DAMAGE %</t>
        </is>
      </c>
      <c r="B10">
        <f>IFERROR(1/(I10-100),"n/a")</f>
        <v/>
      </c>
      <c r="C10" t="inlineStr">
        <is>
          <t>pct</t>
        </is>
      </c>
      <c r="D10">
        <f>Inputs!$B$21</f>
        <v/>
      </c>
      <c r="E10">
        <f>(Inputs!$B$21+1)</f>
        <v/>
      </c>
      <c r="F10">
        <f>Summary!$B$3</f>
        <v/>
      </c>
      <c r="G10">
        <f>B263</f>
        <v/>
      </c>
      <c r="H10">
        <f>Summary!$B$3*(((1-Summary!$B$51)*IFERROR(B261/Summary!$B$62,1)+Summary!$B$51*IFERROR(B262/Summary!$B$63,1))-1)</f>
        <v/>
      </c>
      <c r="I10">
        <f>((1-Summary!$B$51)*IFERROR(B261/Summary!$B$62,1)+Summary!$B$51*IFERROR(B262/Summary!$B$63,1))*100</f>
        <v/>
      </c>
    </row>
    <row r="11">
      <c r="A11" t="inlineStr">
        <is>
          <t>FINAL_DAMAGE % (multiplicative source)</t>
        </is>
      </c>
      <c r="B11">
        <f>IFERROR(1/(I11-100),"n/a")</f>
        <v/>
      </c>
      <c r="C11" t="inlineStr">
        <is>
          <t>mult</t>
        </is>
      </c>
      <c r="D11">
        <f>Inputs!$B$24</f>
        <v/>
      </c>
      <c r="E11">
        <f>((((1+Inputs!$B$24/100)*(1.01))-1)*100)</f>
        <v/>
      </c>
      <c r="F11">
        <f>Summary!$B$3</f>
        <v/>
      </c>
      <c r="G11">
        <f>B302</f>
        <v/>
      </c>
      <c r="H11">
        <f>Summary!$B$3*(((1-Summary!$B$51)*IFERROR(B300/Summary!$B$62,1)+Summary!$B$51*IFERROR(B301/Summary!$B$63,1))-1)</f>
        <v/>
      </c>
      <c r="I11">
        <f>((1-Summary!$B$51)*IFERROR(B300/Summary!$B$62,1)+Summary!$B$51*IFERROR(B301/Summary!$B$63,1))*100</f>
        <v/>
      </c>
    </row>
    <row r="12">
      <c r="A12" t="inlineStr">
        <is>
          <t>MIN_DAMAGE %</t>
        </is>
      </c>
      <c r="B12">
        <f>IFERROR(1/(I12-100),"n/a")</f>
        <v/>
      </c>
      <c r="C12" t="inlineStr">
        <is>
          <t>pct</t>
        </is>
      </c>
      <c r="D12">
        <f>Inputs!$B$22</f>
        <v/>
      </c>
      <c r="E12">
        <f>(Inputs!$B$22+1)</f>
        <v/>
      </c>
      <c r="F12">
        <f>Summary!$B$3</f>
        <v/>
      </c>
      <c r="G12">
        <f>B341</f>
        <v/>
      </c>
      <c r="H12">
        <f>Summary!$B$3*(((1-Summary!$B$51)*IFERROR(B339/Summary!$B$62,1)+Summary!$B$51*IFERROR(B340/Summary!$B$63,1))-1)</f>
        <v/>
      </c>
      <c r="I12">
        <f>((1-Summary!$B$51)*IFERROR(B339/Summary!$B$62,1)+Summary!$B$51*IFERROR(B340/Summary!$B$63,1))*100</f>
        <v/>
      </c>
    </row>
    <row r="13">
      <c r="A13" t="inlineStr">
        <is>
          <t>MAX_DAMAGE %</t>
        </is>
      </c>
      <c r="B13">
        <f>IFERROR(1/(I13-100),"n/a")</f>
        <v/>
      </c>
      <c r="C13" t="inlineStr">
        <is>
          <t>pct</t>
        </is>
      </c>
      <c r="D13">
        <f>Inputs!$B$23</f>
        <v/>
      </c>
      <c r="E13">
        <f>(Inputs!$B$23+1)</f>
        <v/>
      </c>
      <c r="F13">
        <f>Summary!$B$3</f>
        <v/>
      </c>
      <c r="G13">
        <f>B380</f>
        <v/>
      </c>
      <c r="H13">
        <f>Summary!$B$3*(((1-Summary!$B$51)*IFERROR(B378/Summary!$B$62,1)+Summary!$B$51*IFERROR(B379/Summary!$B$63,1))-1)</f>
        <v/>
      </c>
      <c r="I13">
        <f>((1-Summary!$B$51)*IFERROR(B378/Summary!$B$62,1)+Summary!$B$51*IFERROR(B379/Summary!$B$63,1))*100</f>
        <v/>
      </c>
    </row>
    <row r="14">
      <c r="A14" t="inlineStr">
        <is>
          <t>CRIT_RATE %</t>
        </is>
      </c>
      <c r="B14">
        <f>IFERROR(1/(I14-100),"n/a")</f>
        <v/>
      </c>
      <c r="C14" t="inlineStr">
        <is>
          <t>pct</t>
        </is>
      </c>
      <c r="D14">
        <f>Inputs!$B$9</f>
        <v/>
      </c>
      <c r="E14">
        <f>(Inputs!$B$9+1)</f>
        <v/>
      </c>
      <c r="F14">
        <f>Summary!$B$3</f>
        <v/>
      </c>
      <c r="G14">
        <f>B419</f>
        <v/>
      </c>
      <c r="H14">
        <f>Summary!$B$3*(((1-Summary!$B$51)*IFERROR(B417/Summary!$B$62,1)+Summary!$B$51*IFERROR(B418/Summary!$B$63,1))-1)</f>
        <v/>
      </c>
      <c r="I14">
        <f>((1-Summary!$B$51)*IFERROR(B417/Summary!$B$62,1)+Summary!$B$51*IFERROR(B418/Summary!$B$63,1))*100</f>
        <v/>
      </c>
    </row>
    <row r="15">
      <c r="A15" t="inlineStr">
        <is>
          <t>CRIT_DAMAGE %</t>
        </is>
      </c>
      <c r="B15">
        <f>IFERROR(1/(I15-100),"n/a")</f>
        <v/>
      </c>
      <c r="C15" t="inlineStr">
        <is>
          <t>pct</t>
        </is>
      </c>
      <c r="D15">
        <f>Inputs!$B$10</f>
        <v/>
      </c>
      <c r="E15">
        <f>(Inputs!$B$10+1)</f>
        <v/>
      </c>
      <c r="F15">
        <f>Summary!$B$3</f>
        <v/>
      </c>
      <c r="G15">
        <f>B458</f>
        <v/>
      </c>
      <c r="H15">
        <f>Summary!$B$3*(((1-Summary!$B$51)*IFERROR(B456/Summary!$B$62,1)+Summary!$B$51*IFERROR(B457/Summary!$B$63,1))-1)</f>
        <v/>
      </c>
      <c r="I15">
        <f>((1-Summary!$B$51)*IFERROR(B456/Summary!$B$62,1)+Summary!$B$51*IFERROR(B457/Summary!$B$63,1))*100</f>
        <v/>
      </c>
    </row>
    <row r="16">
      <c r="A16" t="inlineStr">
        <is>
          <t>ATTACK_SPEED % (diminishing returns, factor 150)</t>
        </is>
      </c>
      <c r="B16">
        <f>IFERROR(1/(I16-100),"n/a")</f>
        <v/>
      </c>
      <c r="C16" t="inlineStr">
        <is>
          <t>dr150</t>
        </is>
      </c>
      <c r="D16">
        <f>Inputs!$B$11</f>
        <v/>
      </c>
      <c r="E16">
        <f>((1-(1-Inputs!$B$11/150)*(1-1/150))*150)</f>
        <v/>
      </c>
      <c r="F16">
        <f>Summary!$B$3</f>
        <v/>
      </c>
      <c r="G16">
        <f>B497</f>
        <v/>
      </c>
      <c r="H16">
        <f>Summary!$B$3*(((1-Summary!$B$51)*IFERROR(B495/Summary!$B$62,1)+Summary!$B$51*IFERROR(B496/Summary!$B$63,1))-1)</f>
        <v/>
      </c>
      <c r="I16">
        <f>((1-Summary!$B$51)*IFERROR(B495/Summary!$B$62,1)+Summary!$B$51*IFERROR(B496/Summary!$B$63,1))*100</f>
        <v/>
      </c>
    </row>
    <row r="17">
      <c r="A17" t="inlineStr">
        <is>
          <t>DEF_PEN % (diminishing returns, factor 100)</t>
        </is>
      </c>
      <c r="B17">
        <f>IFERROR(1/(I17-100),"n/a")</f>
        <v/>
      </c>
      <c r="C17" t="inlineStr">
        <is>
          <t>dr100</t>
        </is>
      </c>
      <c r="D17">
        <f>Inputs!$B$19</f>
        <v/>
      </c>
      <c r="E17">
        <f>((1-(1-Inputs!$B$19/100)*(1-1/100))*100)</f>
        <v/>
      </c>
      <c r="F17">
        <f>Summary!$B$3</f>
        <v/>
      </c>
      <c r="G17">
        <f>B536</f>
        <v/>
      </c>
      <c r="H17">
        <f>Summary!$B$3*(((1-Summary!$B$51)*IFERROR(B534/Summary!$B$62,1)+Summary!$B$51*IFERROR(B535/Summary!$B$63,1))-1)</f>
        <v/>
      </c>
      <c r="I17">
        <f>((1-Summary!$B$51)*IFERROR(B534/Summary!$B$62,1)+Summary!$B$51*IFERROR(B535/Summary!$B$63,1))*100</f>
        <v/>
      </c>
    </row>
    <row r="18">
      <c r="A18" t="inlineStr">
        <is>
          <t>BASIC_ATTACK_DAMAGE %</t>
        </is>
      </c>
      <c r="B18">
        <f>IFERROR(1/(I18-100),"n/a")</f>
        <v/>
      </c>
      <c r="C18" t="inlineStr">
        <is>
          <t>pct</t>
        </is>
      </c>
      <c r="D18">
        <f>Inputs!$B$17</f>
        <v/>
      </c>
      <c r="E18">
        <f>(Inputs!$B$17+1)</f>
        <v/>
      </c>
      <c r="F18">
        <f>Summary!$B$3</f>
        <v/>
      </c>
      <c r="G18">
        <f>B575</f>
        <v/>
      </c>
      <c r="H18">
        <f>Summary!$B$3*(((1-Summary!$B$51)*IFERROR(B573/Summary!$B$62,1)+Summary!$B$51*IFERROR(B574/Summary!$B$63,1))-1)</f>
        <v/>
      </c>
      <c r="I18">
        <f>((1-Summary!$B$51)*IFERROR(B573/Summary!$B$62,1)+Summary!$B$51*IFERROR(B574/Summary!$B$63,1))*100</f>
        <v/>
      </c>
    </row>
    <row r="19">
      <c r="A19" t="inlineStr">
        <is>
          <t>SKILL_DAMAGE %</t>
        </is>
      </c>
      <c r="B19">
        <f>IFERROR(1/(I19-100),"n/a")</f>
        <v/>
      </c>
      <c r="C19" t="inlineStr">
        <is>
          <t>pct</t>
        </is>
      </c>
      <c r="D19">
        <f>Inputs!$B$18</f>
        <v/>
      </c>
      <c r="E19">
        <f>(Inputs!$B$18+1)</f>
        <v/>
      </c>
      <c r="F19">
        <f>Summary!$B$3</f>
        <v/>
      </c>
      <c r="G19">
        <f>B614</f>
        <v/>
      </c>
      <c r="H19">
        <f>Summary!$B$3*(((1-Summary!$B$51)*IFERROR(B612/Summary!$B$62,1)+Summary!$B$51*IFERROR(B613/Summary!$B$63,1))-1)</f>
        <v/>
      </c>
      <c r="I19">
        <f>((1-Summary!$B$51)*IFERROR(B612/Summary!$B$62,1)+Summary!$B$51*IFERROR(B613/Summary!$B$63,1))*100</f>
        <v/>
      </c>
    </row>
    <row r="20">
      <c r="A20" t="inlineStr">
        <is>
          <t>Skill Level Bonus — 1st Job</t>
        </is>
      </c>
      <c r="B20">
        <f>IFERROR(1/(I20-100),"n/a")</f>
        <v/>
      </c>
      <c r="C20" t="inlineStr">
        <is>
          <t>level</t>
        </is>
      </c>
      <c r="D20">
        <f>Inputs!$B$25</f>
        <v/>
      </c>
      <c r="E20">
        <f>(Inputs!$B$25+1)</f>
        <v/>
      </c>
      <c r="F20">
        <f>Summary!$B$3</f>
        <v/>
      </c>
      <c r="G20">
        <f>B653</f>
        <v/>
      </c>
      <c r="H20">
        <f>Summary!$B$3*(((1-Summary!$B$51)*IFERROR(B651/Summary!$B$62,1)+Summary!$B$51*IFERROR(B652/Summary!$B$63,1))-1)</f>
        <v/>
      </c>
      <c r="I20">
        <f>((1-Summary!$B$51)*IFERROR(B651/Summary!$B$62,1)+Summary!$B$51*IFERROR(B652/Summary!$B$63,1))*100</f>
        <v/>
      </c>
    </row>
    <row r="21">
      <c r="A21" t="inlineStr">
        <is>
          <t>Skill Level Bonus — 2nd Job</t>
        </is>
      </c>
      <c r="B21">
        <f>IFERROR(1/(I21-100),"n/a")</f>
        <v/>
      </c>
      <c r="C21" t="inlineStr">
        <is>
          <t>level</t>
        </is>
      </c>
      <c r="D21">
        <f>Inputs!$B$26</f>
        <v/>
      </c>
      <c r="E21">
        <f>(Inputs!$B$26+1)</f>
        <v/>
      </c>
      <c r="F21">
        <f>Summary!$B$3</f>
        <v/>
      </c>
      <c r="G21">
        <f>B692</f>
        <v/>
      </c>
      <c r="H21">
        <f>Summary!$B$3*(((1-Summary!$B$51)*IFERROR(B690/Summary!$B$62,1)+Summary!$B$51*IFERROR(B691/Summary!$B$63,1))-1)</f>
        <v/>
      </c>
      <c r="I21">
        <f>((1-Summary!$B$51)*IFERROR(B690/Summary!$B$62,1)+Summary!$B$51*IFERROR(B691/Summary!$B$63,1))*100</f>
        <v/>
      </c>
    </row>
    <row r="22">
      <c r="A22" t="inlineStr">
        <is>
          <t>Skill Level Bonus — 3rd Job</t>
        </is>
      </c>
      <c r="B22">
        <f>IFERROR(1/(I22-100),"n/a")</f>
        <v/>
      </c>
      <c r="C22" t="inlineStr">
        <is>
          <t>level</t>
        </is>
      </c>
      <c r="D22">
        <f>Inputs!$B$27</f>
        <v/>
      </c>
      <c r="E22">
        <f>(Inputs!$B$27+1)</f>
        <v/>
      </c>
      <c r="F22">
        <f>Summary!$B$3</f>
        <v/>
      </c>
      <c r="G22">
        <f>B731</f>
        <v/>
      </c>
      <c r="H22">
        <f>Summary!$B$3*(((1-Summary!$B$51)*IFERROR(B729/Summary!$B$62,1)+Summary!$B$51*IFERROR(B730/Summary!$B$63,1))-1)</f>
        <v/>
      </c>
      <c r="I22">
        <f>((1-Summary!$B$51)*IFERROR(B729/Summary!$B$62,1)+Summary!$B$51*IFERROR(B730/Summary!$B$63,1))*100</f>
        <v/>
      </c>
    </row>
    <row r="23">
      <c r="A23" t="inlineStr">
        <is>
          <t>Skill Level Bonus — 4th Job</t>
        </is>
      </c>
      <c r="B23">
        <f>IFERROR(1/(I23-100),"n/a")</f>
        <v/>
      </c>
      <c r="C23" t="inlineStr">
        <is>
          <t>level</t>
        </is>
      </c>
      <c r="D23">
        <f>Inputs!$B$28</f>
        <v/>
      </c>
      <c r="E23">
        <f>(Inputs!$B$28+1)</f>
        <v/>
      </c>
      <c r="F23">
        <f>Summary!$B$3</f>
        <v/>
      </c>
      <c r="G23">
        <f>B770</f>
        <v/>
      </c>
      <c r="H23">
        <f>Summary!$B$3*(((1-Summary!$B$51)*IFERROR(B768/Summary!$B$62,1)+Summary!$B$51*IFERROR(B769/Summary!$B$63,1))-1)</f>
        <v/>
      </c>
      <c r="I23">
        <f>((1-Summary!$B$51)*IFERROR(B768/Summary!$B$62,1)+Summary!$B$51*IFERROR(B769/Summary!$B$63,1))*100</f>
        <v/>
      </c>
    </row>
    <row r="24">
      <c r="A24" t="inlineStr">
        <is>
          <t>Skill Level Bonus — All Skills</t>
        </is>
      </c>
      <c r="B24">
        <f>IFERROR(1/(I24-100),"n/a")</f>
        <v/>
      </c>
      <c r="C24" t="inlineStr">
        <is>
          <t>level</t>
        </is>
      </c>
      <c r="D24">
        <f>Inputs!$B$29</f>
        <v/>
      </c>
      <c r="E24">
        <f>(Inputs!$B$29+1)</f>
        <v/>
      </c>
      <c r="F24">
        <f>Summary!$B$3</f>
        <v/>
      </c>
      <c r="G24">
        <f>B809</f>
        <v/>
      </c>
      <c r="H24">
        <f>Summary!$B$3*(((1-Summary!$B$51)*IFERROR(B807/Summary!$B$62,1)+Summary!$B$51*IFERROR(B808/Summary!$B$63,1))-1)</f>
        <v/>
      </c>
      <c r="I24">
        <f>((1-Summary!$B$51)*IFERROR(B807/Summary!$B$62,1)+Summary!$B$51*IFERROR(B808/Summary!$B$63,1))*100</f>
        <v/>
      </c>
    </row>
    <row r="25">
      <c r="A25" t="inlineStr">
        <is>
          <t>Flat ATTACK</t>
        </is>
      </c>
      <c r="B25">
        <f>IFERROR(1/(I25-100),"n/a")</f>
        <v/>
      </c>
      <c r="C25" t="inlineStr">
        <is>
          <t>flat</t>
        </is>
      </c>
      <c r="D25">
        <f>Inputs!$B$6</f>
        <v/>
      </c>
      <c r="E25">
        <f>(Inputs!$B$6+1)</f>
        <v/>
      </c>
      <c r="F25">
        <f>Summary!$B$3</f>
        <v/>
      </c>
      <c r="G25">
        <f>B848</f>
        <v/>
      </c>
      <c r="H25">
        <f>Summary!$B$3*(((1-Summary!$B$51)*IFERROR(B846/Summary!$B$62,1)+Summary!$B$51*IFERROR(B847/Summary!$B$63,1))-1)</f>
        <v/>
      </c>
      <c r="I25">
        <f>((1-Summary!$B$51)*IFERROR(B846/Summary!$B$62,1)+Summary!$B$51*IFERROR(B847/Summary!$B$63,1))*100</f>
        <v/>
      </c>
    </row>
    <row r="26">
      <c r="A26" t="inlineStr">
        <is>
          <t>ATTACK %</t>
        </is>
      </c>
      <c r="B26">
        <f>IFERROR(1/(I26-100),"n/a")</f>
        <v/>
      </c>
      <c r="C26" t="inlineStr">
        <is>
          <t>pct</t>
        </is>
      </c>
      <c r="D26">
        <f>Inputs!$B$7</f>
        <v/>
      </c>
      <c r="E26">
        <f>(Inputs!$B$7+1)</f>
        <v/>
      </c>
      <c r="F26">
        <f>Summary!$B$3</f>
        <v/>
      </c>
      <c r="G26">
        <f>B887</f>
        <v/>
      </c>
      <c r="H26">
        <f>Summary!$B$3*(((1-Summary!$B$51)*IFERROR(B885/Summary!$B$62,1)+Summary!$B$51*IFERROR(B886/Summary!$B$63,1))-1)</f>
        <v/>
      </c>
      <c r="I26">
        <f>((1-Summary!$B$51)*IFERROR(B885/Summary!$B$62,1)+Summary!$B$51*IFERROR(B886/Summary!$B$63,1))*100</f>
        <v/>
      </c>
    </row>
    <row r="27">
      <c r="A27" t="inlineStr">
        <is>
          <t>Skill Cooldown Decrease (seconds)</t>
        </is>
      </c>
      <c r="B27">
        <f>IFERROR(1/(I27-100),"n/a")</f>
        <v/>
      </c>
      <c r="C27" t="inlineStr">
        <is>
          <t>flat</t>
        </is>
      </c>
      <c r="D27">
        <f>Inputs!$B$32</f>
        <v/>
      </c>
      <c r="E27">
        <f>(Inputs!$B$32+1)</f>
        <v/>
      </c>
      <c r="F27">
        <f>Summary!$B$3</f>
        <v/>
      </c>
      <c r="G27">
        <f>B926</f>
        <v/>
      </c>
      <c r="H27">
        <f>Summary!$B$3*(((1-Summary!$B$51)*IFERROR(B924/Summary!$B$62,1)+Summary!$B$51*IFERROR(B925/Summary!$B$63,1))-1)</f>
        <v/>
      </c>
      <c r="I27">
        <f>((1-Summary!$B$51)*IFERROR(B924/Summary!$B$62,1)+Summary!$B$51*IFERROR(B925/Summary!$B$63,1))*100</f>
        <v/>
      </c>
    </row>
    <row r="28">
      <c r="A28" t="inlineStr">
        <is>
          <t>Basic Attack Target Increase (flat)</t>
        </is>
      </c>
      <c r="B28">
        <f>IFERROR(1/(I28-100),"n/a")</f>
        <v/>
      </c>
      <c r="C28" t="inlineStr">
        <is>
          <t>flat</t>
        </is>
      </c>
      <c r="D28">
        <f>Inputs!$B$33</f>
        <v/>
      </c>
      <c r="E28">
        <f>(Inputs!$B$33+1)</f>
        <v/>
      </c>
      <c r="F28">
        <f>Summary!$B$3</f>
        <v/>
      </c>
      <c r="G28">
        <f>B965</f>
        <v/>
      </c>
      <c r="H28">
        <f>Summary!$B$3*(((1-Summary!$B$51)*IFERROR(B963/Summary!$B$62,1)+Summary!$B$51*IFERROR(B964/Summary!$B$63,1))-1)</f>
        <v/>
      </c>
      <c r="I28">
        <f>((1-Summary!$B$51)*IFERROR(B963/Summary!$B$62,1)+Summary!$B$51*IFERROR(B964/Summary!$B$63,1))*100</f>
        <v/>
      </c>
    </row>
    <row r="29">
      <c r="A29" t="inlineStr">
        <is>
          <t>Buff Duration Increase %</t>
        </is>
      </c>
      <c r="B29">
        <f>IFERROR(1/(I29-100),"n/a")</f>
        <v/>
      </c>
      <c r="C29" t="inlineStr">
        <is>
          <t>pct</t>
        </is>
      </c>
      <c r="D29">
        <f>Inputs!$B$34</f>
        <v/>
      </c>
      <c r="E29">
        <f>(Inputs!$B$34+1)</f>
        <v/>
      </c>
      <c r="F29">
        <f>Summary!$B$3</f>
        <v/>
      </c>
      <c r="G29">
        <f>B1004</f>
        <v/>
      </c>
      <c r="H29">
        <f>Summary!$B$3*(((1-Summary!$B$51)*IFERROR(B1002/Summary!$B$62,1)+Summary!$B$51*IFERROR(B1003/Summary!$B$63,1))-1)</f>
        <v/>
      </c>
      <c r="I29">
        <f>((1-Summary!$B$51)*IFERROR(B1002/Summary!$B$62,1)+Summary!$B$51*IFERROR(B1003/Summary!$B$63,1))*100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IF(Skills!T2&lt;&gt;"",1+(Skills!T2/10)*(Z35/1000)/100,1)</f>
        <v/>
      </c>
      <c r="J34">
        <f>((Inputs!$B$6*(1+Inputs!$B$7/100))+((((Inputs!$B$12+1)*(1+Inputs!$B$13/100))-(Inputs!$B$12*(1+Inputs!$B$13/100)))+0.25*(Inputs!$B$14-Inputs!$B$14))*(1+Inputs!$B$7/100))*(F34/100)</f>
        <v/>
      </c>
      <c r="K34">
        <f>J34*(1+(((Inputs!$B$12+1)*(1+Inputs!$B$13/100))*0.01+Inputs!$B$14*0.0025)/100)*(1+(Inputs!$B$15+B60)/100)*(1+Inputs!$B$16/100)*(5000/(6000+Inputs!$B$42*(1-Inputs!$B$19/100)))*(1+Inputs!$B$24/100)*(1+IF(C47=TRUE,F47,0)/100)*(1+IF(C55=TRUE,F55,0)/100)^5*(1+(IF(Skills!A2="CHAIN_LIGHTNING",Inputs!$B$17,Inputs!$B$18))/100)*(B58*I34)</f>
        <v/>
      </c>
      <c r="L34">
        <f>K34*(MIN(Inputs!$B$22+(F50-Calc!F18),Inputs!$B$23)/100+Inputs!$B$23/100)/2</f>
        <v/>
      </c>
      <c r="M34">
        <f>L34*(1+(Inputs!$B$10+(F53-Calc!F21))/100)</f>
        <v/>
      </c>
      <c r="N34">
        <f>L34*(1-MIN(Inputs!$B$9+((F52-Calc!F20)+(F51-Calc!F19)),100)/100)+M34*(MIN(Inputs!$B$9+((F52-Calc!F20)+(F51-Calc!F19)),100)/100)</f>
        <v/>
      </c>
      <c r="O34">
        <f>(1-Summary!$B$51)*S34+Summary!$B$51*U34</f>
        <v/>
      </c>
      <c r="P34">
        <f>IF(B68=0,0,O34/B68)</f>
        <v/>
      </c>
      <c r="Q34">
        <f>IFERROR(1/IF(Inputs!$B$38="pvp",15,MAX(0.1,Skills!D2-IF(Skills!E2=TRUE,Inputs!$B$32,0))),0)</f>
        <v/>
      </c>
      <c r="R34" t="n">
        <v>0</v>
      </c>
      <c r="S34">
        <f>IF(C34,(Skills!F2*N34*B64)*IF(Inputs!$B$38="pvp",1,1+(Inputs!$B$20+Skills!O2+B59)/100),0)</f>
        <v/>
      </c>
      <c r="T34">
        <f>MAX(0,(Inputs!$B$3-100)*3)+Inputs!$B$28+Inputs!$B$29</f>
        <v/>
      </c>
      <c r="U34">
        <f>IF(C34,(Skills!F2*N34*B64)*IF(Inputs!$B$38="pvp",1,(1+(Inputs!$B$21+Skills!P2+B59)/100)*(MIN((6+Inputs!$B$33),Inputs!$B$37))),0)</f>
        <v/>
      </c>
      <c r="Z34">
        <f>MAX(0,(Inputs!$B$3-100)*3)+Inputs!$B$28+Inputs!$B$29</f>
        <v/>
      </c>
    </row>
    <row r="35">
      <c r="A35">
        <f>Skills!A3</f>
        <v/>
      </c>
      <c r="B35">
        <f>Skills!B3</f>
        <v/>
      </c>
      <c r="C35">
        <f>Inputs!$B$3&gt;=15</f>
        <v/>
      </c>
      <c r="D35">
        <f>IF(Skills!C3=1,60+Inputs!$B$25+Inputs!$B$29,IF(Skills!C3=2,90+Inputs!$B$26+Inputs!$B$29,IF(Skills!C3=3,120+Inputs!$B$27+Inputs!$B$29,MAX(0,(Inputs!$B$3-100)*3)+Inputs!$B$28+Inputs!$B$29)))</f>
        <v/>
      </c>
      <c r="E35">
        <f>INDEX(FactorTable!$B$2:$Y$301, MATCH(ROUND(MIN(300,MAX(1,D35)),0), FactorTable!$A$2:$A$301,0), Skills!L3+1)</f>
        <v/>
      </c>
      <c r="F35">
        <f>IF(Skills!M3=TRUE,(Skills!K3/10)*(E35/1000),Skills!K3/10)+Skills!N3</f>
        <v/>
      </c>
      <c r="G35">
        <f>Calc!G3</f>
        <v/>
      </c>
      <c r="H35">
        <f>Calc!H3</f>
        <v/>
      </c>
      <c r="I35">
        <f>IF(Skills!T3&lt;&gt;"",1+(Skills!T3/10)*(Z35/1000)/100,1)</f>
        <v/>
      </c>
      <c r="J35" t="inlineStr"/>
      <c r="K35" t="inlineStr"/>
      <c r="L35" t="inlineStr"/>
      <c r="M35" t="inlineStr"/>
      <c r="N35" t="inlineStr"/>
      <c r="O35">
        <f>(1-Summary!$B$51)*S35+Summary!$B$51*U35</f>
        <v/>
      </c>
      <c r="P35">
        <f>IF(B68=0,0,O35/B68)</f>
        <v/>
      </c>
      <c r="Q35">
        <f>IFERROR(1/IF(Inputs!$B$38="pvp",15,MAX(0.1,Skills!D3-IF(Skills!E3=TRUE,Inputs!$B$32,0))),0)</f>
        <v/>
      </c>
      <c r="R35">
        <f>IF(AND(Inputs!$B$38&lt;&gt;"pvp",Inputs!$B$43&gt;0),IF(Inputs!$B$43&lt;=0,0,(INT(Inputs!$B$43/IF(Inputs!$B$38="pvp",15,MAX(0.1,Skills!D3-IF(Skills!E3=TRUE,Inputs!$B$32,0))))+1)),0)</f>
        <v/>
      </c>
      <c r="S35" t="n">
        <v>0</v>
      </c>
      <c r="T35">
        <f>INDEX(FactorTable!$B$2:$Y$301, MATCH(ROUND(MIN(300,MAX(1,T34)),0), FactorTable!$A$2:$A$301,0), 22)</f>
        <v/>
      </c>
      <c r="U35" t="n">
        <v>0</v>
      </c>
      <c r="Z35">
        <f>INDEX(FactorTable!$B$2:$Y$301, MATCH(ROUND(MIN(300,MAX(1,Z34)),0), FactorTable!$A$2:$A$301,0), 24)</f>
        <v/>
      </c>
    </row>
    <row r="36">
      <c r="A36">
        <f>Skills!A4</f>
        <v/>
      </c>
      <c r="B36">
        <f>Skills!B4</f>
        <v/>
      </c>
      <c r="C36">
        <f>Inputs!$B$3&gt;=40</f>
        <v/>
      </c>
      <c r="D36">
        <f>IF(Skills!C4=1,60+Inputs!$B$25+Inputs!$B$29,IF(Skills!C4=2,90+Inputs!$B$26+Inputs!$B$29,IF(Skills!C4=3,120+Inputs!$B$27+Inputs!$B$29,MAX(0,(Inputs!$B$3-100)*3)+Inputs!$B$28+Inputs!$B$29)))</f>
        <v/>
      </c>
      <c r="E36">
        <f>INDEX(FactorTable!$B$2:$Y$301, MATCH(ROUND(MIN(300,MAX(1,D36)),0), FactorTable!$A$2:$A$301,0), Skills!L4+1)</f>
        <v/>
      </c>
      <c r="F36">
        <f>IF(Skills!M4=TRUE,(Skills!K4/10)*(E36/1000),Skills!K4/10)+Skills!N4</f>
        <v/>
      </c>
      <c r="G36">
        <f>Calc!G4</f>
        <v/>
      </c>
      <c r="H36">
        <f>Calc!H4</f>
        <v/>
      </c>
      <c r="I36">
        <f>IF(Skills!T4&lt;&gt;"",1+(Skills!T4/10)*(Z35/1000)/100,1)</f>
        <v/>
      </c>
      <c r="J36" t="inlineStr"/>
      <c r="K36" t="inlineStr"/>
      <c r="L36" t="inlineStr"/>
      <c r="M36" t="inlineStr"/>
      <c r="N36" t="inlineStr"/>
      <c r="O36">
        <f>(1-Summary!$B$51)*S36+Summary!$B$51*U36</f>
        <v/>
      </c>
      <c r="P36">
        <f>IF(B68=0,0,O36/B68)</f>
        <v/>
      </c>
      <c r="Q36">
        <f>IFERROR(1/IF(Inputs!$B$38="pvp",15,MAX(0.1,Skills!D4-IF(Skills!E4=TRUE,Inputs!$B$32,0))),0)</f>
        <v/>
      </c>
      <c r="R36">
        <f>IF(AND(Inputs!$B$38&lt;&gt;"pvp",Inputs!$B$43&gt;0),IF(Inputs!$B$43&lt;=0,0,(INT(Inputs!$B$43/IF(Inputs!$B$38="pvp",15,MAX(0.1,Skills!D4-IF(Skills!E4=TRUE,Inputs!$B$32,0))))+1)),0)</f>
        <v/>
      </c>
      <c r="S36" t="n">
        <v>0</v>
      </c>
      <c r="T36">
        <f>290*T35/1000</f>
        <v/>
      </c>
      <c r="U36" t="n">
        <v>0</v>
      </c>
    </row>
    <row r="37">
      <c r="A37">
        <f>Skills!A5</f>
        <v/>
      </c>
      <c r="B37">
        <f>Skills!B5</f>
        <v/>
      </c>
      <c r="C37">
        <f>Inputs!$B$3&gt;=38</f>
        <v/>
      </c>
      <c r="D37">
        <f>IF(Skills!C5=1,60+Inputs!$B$25+Inputs!$B$29,IF(Skills!C5=2,90+Inputs!$B$26+Inputs!$B$29,IF(Skills!C5=3,120+Inputs!$B$27+Inputs!$B$29,MAX(0,(Inputs!$B$3-100)*3)+Inputs!$B$28+Inputs!$B$29)))</f>
        <v/>
      </c>
      <c r="E37">
        <f>INDEX(FactorTable!$B$2:$Y$301, MATCH(ROUND(MIN(300,MAX(1,D37)),0), FactorTable!$A$2:$A$301,0), Skills!L5+1)</f>
        <v/>
      </c>
      <c r="F37">
        <f>IF(Skills!M5=TRUE,(Skills!K5/10)*(E37/1000),Skills!K5/10)+Skills!N5</f>
        <v/>
      </c>
      <c r="G37">
        <f>Calc!G5</f>
        <v/>
      </c>
      <c r="H37">
        <f>Calc!H5</f>
        <v/>
      </c>
      <c r="I37">
        <f>IF(Skills!T5&lt;&gt;"",1+(Skills!T5/10)*(Z35/1000)/100,1)</f>
        <v/>
      </c>
      <c r="J37">
        <f>((Inputs!$B$6*(1+Inputs!$B$7/100))+((((Inputs!$B$12+1)*(1+Inputs!$B$13/100))-(Inputs!$B$12*(1+Inputs!$B$13/100)))+0.25*(Inputs!$B$14-Inputs!$B$14))*(1+Inputs!$B$7/100))*(F37/100)</f>
        <v/>
      </c>
      <c r="K37">
        <f>J37*(1+(((Inputs!$B$12+1)*(1+Inputs!$B$13/100))*0.01+Inputs!$B$14*0.0025)/100)*(1+(Inputs!$B$15+B60)/100)*(1+Inputs!$B$16/100)*(5000/(6000+Inputs!$B$42*(1-Inputs!$B$19/100)))*(1+Inputs!$B$24/100)*(1+IF(C47=TRUE,F47,0)/100)*(1+IF(C55=TRUE,F55,0)/100)^5*(1+(IF(Skills!A5="CHAIN_LIGHTNING",Inputs!$B$17,Inputs!$B$18))/100)*(B58*I37)</f>
        <v/>
      </c>
      <c r="L37">
        <f>K37*(MIN(Inputs!$B$22+(F50-Calc!F18),Inputs!$B$23)/100+Inputs!$B$23/100)/2</f>
        <v/>
      </c>
      <c r="M37">
        <f>L37*(1+(Inputs!$B$10+(F53-Calc!F21))/100)</f>
        <v/>
      </c>
      <c r="N37">
        <f>L37*(1-MIN(Inputs!$B$9+((F52-Calc!F20)+(F51-Calc!F19)),100)/100)+M37*(MIN(Inputs!$B$9+((F52-Calc!F20)+(F51-Calc!F19)),100)/100)</f>
        <v/>
      </c>
      <c r="O37">
        <f>(1-Summary!$B$51)*S37+Summary!$B$51*U37</f>
        <v/>
      </c>
      <c r="P37">
        <f>IF(B68=0,0,O37/B68)</f>
        <v/>
      </c>
      <c r="Q37">
        <f>IFERROR(1/IF(Inputs!$B$38="pvp",15,MAX(0.1,Skills!D5-IF(Skills!E5=TRUE,Inputs!$B$32,0))),0)</f>
        <v/>
      </c>
      <c r="R37">
        <f>IF(AND(Inputs!$B$38&lt;&gt;"pvp",Inputs!$B$43&gt;0),IF(MAX(0,Inputs!$B$43-B65)&lt;=0,0,(INT(MAX(0,Inputs!$B$43-B65)/IF(Inputs!$B$38="pvp",15,MAX(0.1,Skills!D5-IF(Skills!E5=TRUE,Inputs!$B$32,0))))+1)),0)</f>
        <v/>
      </c>
      <c r="S37">
        <f>IF(C37,(H37*N37*IF(AND(Inputs!$B$38&lt;&gt;"pvp",Inputs!$B$43&gt;0),((Skills!F5*((R37-1)*IF(Skills!G5&gt;0,Skills!H5/Skills!G5,1)+IF(Skills!G5&gt;0,MIN(Skills!H5,MAX(0,MAX(0,Inputs!$B$43-B65)-((R37-1)*IF(Inputs!$B$38="pvp",15,MAX(0.1,Skills!D5-IF(Skills!E5=TRUE,Inputs!$B$32,0))))))/Skills!G5,1)))/Inputs!$B$43),G37*Q37))*IF(Inputs!$B$38="pvp",1,1+(Inputs!$B$20+Skills!O5+B59)/100),0)</f>
        <v/>
      </c>
      <c r="U37">
        <f>IF(C37,(H37*N37*IF(AND(Inputs!$B$38&lt;&gt;"pvp",Inputs!$B$43&gt;0),((Skills!F5*((R37-1)*IF(Skills!G5&gt;0,Skills!H5/Skills!G5,1)+IF(Skills!G5&gt;0,MIN(Skills!H5,MAX(0,MAX(0,Inputs!$B$43-B65)-((R37-1)*IF(Inputs!$B$38="pvp",15,MAX(0.1,Skills!D5-IF(Skills!E5=TRUE,Inputs!$B$32,0))))))/Skills!G5,1)))/Inputs!$B$43),G37*Q37))*IF(Inputs!$B$38="pvp",1,(1+(Inputs!$B$21+Skills!P5+B59)/100)*(MIN(Skills!Q5,Inputs!$B$37))),0)</f>
        <v/>
      </c>
    </row>
    <row r="38">
      <c r="A38">
        <f>Skills!A6</f>
        <v/>
      </c>
      <c r="B38">
        <f>Skills!B6</f>
        <v/>
      </c>
      <c r="C38">
        <f>Inputs!$B$3&gt;=63</f>
        <v/>
      </c>
      <c r="D38">
        <f>IF(Skills!C6=1,60+Inputs!$B$25+Inputs!$B$29,IF(Skills!C6=2,90+Inputs!$B$26+Inputs!$B$29,IF(Skills!C6=3,120+Inputs!$B$27+Inputs!$B$29,MAX(0,(Inputs!$B$3-100)*3)+Inputs!$B$28+Inputs!$B$29)))</f>
        <v/>
      </c>
      <c r="E38">
        <f>INDEX(FactorTable!$B$2:$Y$301, MATCH(ROUND(MIN(300,MAX(1,D38)),0), FactorTable!$A$2:$A$301,0), Skills!L6+1)</f>
        <v/>
      </c>
      <c r="F38">
        <f>IF(Skills!M6=TRUE,(Skills!K6/10)*(E38/1000),Skills!K6/10)+Skills!N6</f>
        <v/>
      </c>
      <c r="G38">
        <f>Calc!G6</f>
        <v/>
      </c>
      <c r="H38">
        <f>Calc!H6</f>
        <v/>
      </c>
      <c r="I38">
        <f>IF(Skills!T6&lt;&gt;"",1+(Skills!T6/10)*(Z35/1000)/100,1)</f>
        <v/>
      </c>
      <c r="J38">
        <f>((Inputs!$B$6*(1+Inputs!$B$7/100))+((((Inputs!$B$12+1)*(1+Inputs!$B$13/100))-(Inputs!$B$12*(1+Inputs!$B$13/100)))+0.25*(Inputs!$B$14-Inputs!$B$14))*(1+Inputs!$B$7/100))*(F38/100)</f>
        <v/>
      </c>
      <c r="K38">
        <f>J38*(1+(((Inputs!$B$12+1)*(1+Inputs!$B$13/100))*0.01+Inputs!$B$14*0.0025)/100)*(1+(Inputs!$B$15+B60)/100)*(1+Inputs!$B$16/100)*(5000/(6000+Inputs!$B$42*(1-Inputs!$B$19/100)))*(1+Inputs!$B$24/100)*(1+IF(C47=TRUE,F47,0)/100)*(1+IF(C55=TRUE,F55,0)/100)^5*(1+(IF(Skills!A6="CHAIN_LIGHTNING",Inputs!$B$17,Inputs!$B$18))/100)*(B58*I38)</f>
        <v/>
      </c>
      <c r="L38">
        <f>K38*(MIN(Inputs!$B$22+(F50-Calc!F18),Inputs!$B$23)/100+Inputs!$B$23/100)/2</f>
        <v/>
      </c>
      <c r="M38">
        <f>L38*(1+(Inputs!$B$10+(F53-Calc!F21))/100)</f>
        <v/>
      </c>
      <c r="N38">
        <f>L38*(1-MIN(Inputs!$B$9+((F52-Calc!F20)+(F51-Calc!F19)),100)/100)+M38*(MIN(Inputs!$B$9+((F52-Calc!F20)+(F51-Calc!F19)),100)/100)</f>
        <v/>
      </c>
      <c r="O38">
        <f>(1-Summary!$B$51)*S38+Summary!$B$51*U38</f>
        <v/>
      </c>
      <c r="P38">
        <f>IF(B68=0,0,O38/B68)</f>
        <v/>
      </c>
      <c r="Q38">
        <f>IFERROR(1/IF(Inputs!$B$38="pvp",15,MAX(0.1,Skills!D6-IF(Skills!E6=TRUE,Inputs!$B$32,0))),0)</f>
        <v/>
      </c>
      <c r="R38">
        <f>IF(AND(Inputs!$B$38&lt;&gt;"pvp",Inputs!$B$43&gt;0),IF(MAX(0,Inputs!$B$43-B65)&lt;=0,0,(INT(MAX(0,Inputs!$B$43-B65)/IF(Inputs!$B$38="pvp",15,MAX(0.1,Skills!D6-IF(Skills!E6=TRUE,Inputs!$B$32,0))))+1)),0)</f>
        <v/>
      </c>
      <c r="S38">
        <f>IF(C38,(H38*N38*IF(AND(Inputs!$B$38&lt;&gt;"pvp",Inputs!$B$43&gt;0),((Skills!F6*((R38-1)*IF(Skills!G6&gt;0,Skills!H6/Skills!G6,1)+IF(Skills!G6&gt;0,MIN(Skills!H6,MAX(0,MAX(0,Inputs!$B$43-B65)-((R38-1)*IF(Inputs!$B$38="pvp",15,MAX(0.1,Skills!D6-IF(Skills!E6=TRUE,Inputs!$B$32,0))))))/Skills!G6,1)))/Inputs!$B$43),G38*Q38))*IF(Inputs!$B$38="pvp",1,1+(Inputs!$B$20+Skills!O6+B59)/100),0)</f>
        <v/>
      </c>
      <c r="U38">
        <f>IF(C38,(H38*N38*IF(AND(Inputs!$B$38&lt;&gt;"pvp",Inputs!$B$43&gt;0),((Skills!F6*((R38-1)*IF(Skills!G6&gt;0,Skills!H6/Skills!G6,1)+IF(Skills!G6&gt;0,MIN(Skills!H6,MAX(0,MAX(0,Inputs!$B$43-B65)-((R38-1)*IF(Inputs!$B$38="pvp",15,MAX(0.1,Skills!D6-IF(Skills!E6=TRUE,Inputs!$B$32,0))))))/Skills!G6,1)))/Inputs!$B$43),G38*Q38))*IF(Inputs!$B$38="pvp",1,(1+(Inputs!$B$21+Skills!P6+B59)/100)*(MIN(Skills!Q6,Inputs!$B$37))),0)</f>
        <v/>
      </c>
    </row>
    <row r="39">
      <c r="A39">
        <f>Skills!A7</f>
        <v/>
      </c>
      <c r="B39">
        <f>Skills!B7</f>
        <v/>
      </c>
      <c r="C39">
        <f>Inputs!$B$3&gt;=69</f>
        <v/>
      </c>
      <c r="D39">
        <f>IF(Skills!C7=1,60+Inputs!$B$25+Inputs!$B$29,IF(Skills!C7=2,90+Inputs!$B$26+Inputs!$B$29,IF(Skills!C7=3,120+Inputs!$B$27+Inputs!$B$29,MAX(0,(Inputs!$B$3-100)*3)+Inputs!$B$28+Inputs!$B$29)))</f>
        <v/>
      </c>
      <c r="E39">
        <f>INDEX(FactorTable!$B$2:$Y$301, MATCH(ROUND(MIN(300,MAX(1,D39)),0), FactorTable!$A$2:$A$301,0), Skills!L7+1)</f>
        <v/>
      </c>
      <c r="F39">
        <f>IF(Skills!M7=TRUE,(Skills!K7/10)*(E39/1000),Skills!K7/10)+Skills!N7</f>
        <v/>
      </c>
      <c r="G39">
        <f>Calc!G7</f>
        <v/>
      </c>
      <c r="H39">
        <f>Calc!H7</f>
        <v/>
      </c>
      <c r="I39">
        <f>IF(Skills!T7&lt;&gt;"",1+(Skills!T7/10)*(Z35/1000)/100,1)</f>
        <v/>
      </c>
      <c r="J39">
        <f>((Inputs!$B$6*(1+Inputs!$B$7/100))+((((Inputs!$B$12+1)*(1+Inputs!$B$13/100))-(Inputs!$B$12*(1+Inputs!$B$13/100)))+0.25*(Inputs!$B$14-Inputs!$B$14))*(1+Inputs!$B$7/100))*(F39/100)</f>
        <v/>
      </c>
      <c r="K39">
        <f>J39*(1+(((Inputs!$B$12+1)*(1+Inputs!$B$13/100))*0.01+Inputs!$B$14*0.0025)/100)*(1+(Inputs!$B$15+B60)/100)*(1+Inputs!$B$16/100)*(5000/(6000+Inputs!$B$42*(1-Inputs!$B$19/100)))*(1+Inputs!$B$24/100)*(1+IF(C47=TRUE,F47,0)/100)*(1+IF(C55=TRUE,F55,0)/100)^5*(1+(IF(Skills!A7="CHAIN_LIGHTNING",Inputs!$B$17,Inputs!$B$18))/100)*(B58*I39)</f>
        <v/>
      </c>
      <c r="L39">
        <f>K39*(MIN(Inputs!$B$22+(F50-Calc!F18),Inputs!$B$23)/100+Inputs!$B$23/100)/2</f>
        <v/>
      </c>
      <c r="M39">
        <f>L39*(1+(Inputs!$B$10+(F53-Calc!F21))/100)</f>
        <v/>
      </c>
      <c r="N39">
        <f>L39*(1-MIN(Inputs!$B$9+((F52-Calc!F20)+(F51-Calc!F19)),100)/100)+M39*(MIN(Inputs!$B$9+((F52-Calc!F20)+(F51-Calc!F19)),100)/100)</f>
        <v/>
      </c>
      <c r="O39">
        <f>(1-Summary!$B$51)*S39+Summary!$B$51*U39</f>
        <v/>
      </c>
      <c r="P39">
        <f>IF(B68=0,0,O39/B68)</f>
        <v/>
      </c>
      <c r="Q39">
        <f>IFERROR(1/IF(Inputs!$B$38="pvp",15,MAX(0.1,Skills!D7-IF(Skills!E7=TRUE,Inputs!$B$32,0))),0)</f>
        <v/>
      </c>
      <c r="R39">
        <f>IF(AND(Inputs!$B$38&lt;&gt;"pvp",Inputs!$B$43&gt;0),IF(MAX(0,Inputs!$B$43-B65)&lt;=0,0,(INT(MAX(0,Inputs!$B$43-B65)/IF(Inputs!$B$38="pvp",15,MAX(0.1,Skills!D7-IF(Skills!E7=TRUE,Inputs!$B$32,0))))+1)),0)</f>
        <v/>
      </c>
      <c r="S39">
        <f>IF(C39,(H39*N39*IF(AND(Inputs!$B$38&lt;&gt;"pvp",Inputs!$B$43&gt;0),((Skills!F7*((R39-1)*IF(Skills!G7&gt;0,Skills!H7/Skills!G7,1)+IF(Skills!G7&gt;0,MIN(Skills!H7,MAX(0,MAX(0,Inputs!$B$43-B65)-((R39-1)*IF(Inputs!$B$38="pvp",15,MAX(0.1,Skills!D7-IF(Skills!E7=TRUE,Inputs!$B$32,0))))))/Skills!G7,1)))/Inputs!$B$43),G39*Q39))*IF(Inputs!$B$38="pvp",1,1+(Inputs!$B$20+Skills!O7+B59)/100),0)</f>
        <v/>
      </c>
      <c r="U39">
        <f>IF(C39,(H39*N39*IF(AND(Inputs!$B$38&lt;&gt;"pvp",Inputs!$B$43&gt;0),((Skills!F7*((R39-1)*IF(Skills!G7&gt;0,Skills!H7/Skills!G7,1)+IF(Skills!G7&gt;0,MIN(Skills!H7,MAX(0,MAX(0,Inputs!$B$43-B65)-((R39-1)*IF(Inputs!$B$38="pvp",15,MAX(0.1,Skills!D7-IF(Skills!E7=TRUE,Inputs!$B$32,0))))))/Skills!G7,1)))/Inputs!$B$43),G39*Q39))*IF(Inputs!$B$38="pvp",1,(1+(Inputs!$B$21+Skills!P7+B59)/100)*(MIN(Skills!Q7,Inputs!$B$37))),0)</f>
        <v/>
      </c>
    </row>
    <row r="40">
      <c r="A40">
        <f>Skills!A8</f>
        <v/>
      </c>
      <c r="B40">
        <f>Skills!B8</f>
        <v/>
      </c>
      <c r="C40">
        <f>Inputs!$B$3&gt;=103</f>
        <v/>
      </c>
      <c r="D40">
        <f>IF(Skills!C8=1,60+Inputs!$B$25+Inputs!$B$29,IF(Skills!C8=2,90+Inputs!$B$26+Inputs!$B$29,IF(Skills!C8=3,120+Inputs!$B$27+Inputs!$B$29,MAX(0,(Inputs!$B$3-100)*3)+Inputs!$B$28+Inputs!$B$29)))</f>
        <v/>
      </c>
      <c r="E40">
        <f>INDEX(FactorTable!$B$2:$Y$301, MATCH(ROUND(MIN(300,MAX(1,D40)),0), FactorTable!$A$2:$A$301,0), Skills!L8+1)</f>
        <v/>
      </c>
      <c r="F40">
        <f>IF(Skills!M8=TRUE,(Skills!K8/10)*(E40/1000),Skills!K8/10)+Skills!N8</f>
        <v/>
      </c>
      <c r="G40">
        <f>Calc!G8</f>
        <v/>
      </c>
      <c r="H40">
        <f>Calc!H8</f>
        <v/>
      </c>
      <c r="I40">
        <f>IF(Skills!T8&lt;&gt;"",1+(Skills!T8/10)*(Z35/1000)/100,1)</f>
        <v/>
      </c>
      <c r="J40">
        <f>((Inputs!$B$6*(1+Inputs!$B$7/100))+((((Inputs!$B$12+1)*(1+Inputs!$B$13/100))-(Inputs!$B$12*(1+Inputs!$B$13/100)))+0.25*(Inputs!$B$14-Inputs!$B$14))*(1+Inputs!$B$7/100))*(F40/100)</f>
        <v/>
      </c>
      <c r="K40">
        <f>J40*(1+(((Inputs!$B$12+1)*(1+Inputs!$B$13/100))*0.01+Inputs!$B$14*0.0025)/100)*(1+(Inputs!$B$15+B60)/100)*(1+Inputs!$B$16/100)*(5000/(6000+Inputs!$B$42*(1-Inputs!$B$19/100)))*(1+Inputs!$B$24/100)*(1+IF(C47=TRUE,F47,0)/100)*(1+IF(C55=TRUE,F55,0)/100)^5*(1+(IF(Skills!A8="CHAIN_LIGHTNING",Inputs!$B$17,Inputs!$B$18))/100)*(B58*I40)</f>
        <v/>
      </c>
      <c r="L40">
        <f>K40*(MIN(Inputs!$B$22+(F50-Calc!F18),Inputs!$B$23)/100+Inputs!$B$23/100)/2</f>
        <v/>
      </c>
      <c r="M40">
        <f>L40*(1+(Inputs!$B$10+(F53-Calc!F21))/100)</f>
        <v/>
      </c>
      <c r="N40">
        <f>L40*(1-MIN(Inputs!$B$9+((F52-Calc!F20)+(F51-Calc!F19)),100)/100)+M40*(MIN(Inputs!$B$9+((F52-Calc!F20)+(F51-Calc!F19)),100)/100)</f>
        <v/>
      </c>
      <c r="O40">
        <f>(1-Summary!$B$51)*S40+Summary!$B$51*U40</f>
        <v/>
      </c>
      <c r="P40">
        <f>IF(B68=0,0,O40/B68)</f>
        <v/>
      </c>
      <c r="Q40">
        <f>IFERROR(1/IF(Inputs!$B$38="pvp",15,MAX(0.1,Skills!D8-IF(Skills!E8=TRUE,Inputs!$B$32,0))),0)</f>
        <v/>
      </c>
      <c r="R40">
        <f>IF(AND(Inputs!$B$38&lt;&gt;"pvp",Inputs!$B$43&gt;0),IF(MAX(0,Inputs!$B$43-B65)&lt;=0,0,(INT(MAX(0,Inputs!$B$43-B65)/IF(Inputs!$B$38="pvp",15,MAX(0.1,Skills!D8-IF(Skills!E8=TRUE,Inputs!$B$32,0))))+1)),0)</f>
        <v/>
      </c>
      <c r="S40">
        <f>IF(C40,(H40*N40*IF(AND(Inputs!$B$38&lt;&gt;"pvp",Inputs!$B$43&gt;0),((Skills!F8*((R40-1)*IF(Skills!G8&gt;0,Skills!H8/Skills!G8,1)+IF(Skills!G8&gt;0,MIN(Skills!H8,MAX(0,MAX(0,Inputs!$B$43-B65)-((R40-1)*IF(Inputs!$B$38="pvp",15,MAX(0.1,Skills!D8-IF(Skills!E8=TRUE,Inputs!$B$32,0))))))/Skills!G8,1)))/Inputs!$B$43),G40*Q40))*IF(Inputs!$B$38="pvp",1,1+(Inputs!$B$20+Skills!O8+B59)/100),0)</f>
        <v/>
      </c>
      <c r="U40">
        <f>IF(C40,(H40*N40*IF(AND(Inputs!$B$38&lt;&gt;"pvp",Inputs!$B$43&gt;0),((Skills!F8*((R40-1)*IF(Skills!G8&gt;0,Skills!H8/Skills!G8,1)+IF(Skills!G8&gt;0,MIN(Skills!H8,MAX(0,MAX(0,Inputs!$B$43-B65)-((R40-1)*IF(Inputs!$B$38="pvp",15,MAX(0.1,Skills!D8-IF(Skills!E8=TRUE,Inputs!$B$32,0))))))/Skills!G8,1)))/Inputs!$B$43),G40*Q40))*IF(Inputs!$B$38="pvp",1,(1+(Inputs!$B$21+Skills!P8+B59)/100)*(MIN(Skills!Q8,Inputs!$B$37))),0)</f>
        <v/>
      </c>
    </row>
    <row r="41">
      <c r="A41">
        <f>Skills!A9</f>
        <v/>
      </c>
      <c r="B41">
        <f>Skills!B9</f>
        <v/>
      </c>
      <c r="C41">
        <f>Inputs!$B$3&gt;=105</f>
        <v/>
      </c>
      <c r="D41">
        <f>IF(Skills!C9=1,60+Inputs!$B$25+Inputs!$B$29,IF(Skills!C9=2,90+Inputs!$B$26+Inputs!$B$29,IF(Skills!C9=3,120+Inputs!$B$27+Inputs!$B$29,MAX(0,(Inputs!$B$3-100)*3)+Inputs!$B$28+Inputs!$B$29)))</f>
        <v/>
      </c>
      <c r="E41">
        <f>INDEX(FactorTable!$B$2:$Y$301, MATCH(ROUND(MIN(300,MAX(1,D41)),0), FactorTable!$A$2:$A$301,0), Skills!L9+1)</f>
        <v/>
      </c>
      <c r="F41">
        <f>IF(Skills!M9=TRUE,(Skills!K9/10)*(E41/1000),Skills!K9/10)+Skills!N9</f>
        <v/>
      </c>
      <c r="G41">
        <f>Calc!G9</f>
        <v/>
      </c>
      <c r="H41">
        <f>Calc!H9</f>
        <v/>
      </c>
      <c r="I41">
        <f>IF(Skills!T9&lt;&gt;"",1+(Skills!T9/10)*(Z35/1000)/100,1)</f>
        <v/>
      </c>
      <c r="J41">
        <f>((Inputs!$B$6*(1+Inputs!$B$7/100))+((((Inputs!$B$12+1)*(1+Inputs!$B$13/100))-(Inputs!$B$12*(1+Inputs!$B$13/100)))+0.25*(Inputs!$B$14-Inputs!$B$14))*(1+Inputs!$B$7/100))*(F41/100)</f>
        <v/>
      </c>
      <c r="K41">
        <f>J41*(1+(((Inputs!$B$12+1)*(1+Inputs!$B$13/100))*0.01+Inputs!$B$14*0.0025)/100)*(1+(Inputs!$B$15+B60)/100)*(1+Inputs!$B$16/100)*(5000/(6000+Inputs!$B$42*(1-Inputs!$B$19/100)))*(1+Inputs!$B$24/100)*(1+IF(C47=TRUE,F47,0)/100)*(1+IF(C55=TRUE,F55,0)/100)^5*(1+(IF(Skills!A9="CHAIN_LIGHTNING",Inputs!$B$17,Inputs!$B$18))/100)*(B58*I41)</f>
        <v/>
      </c>
      <c r="L41">
        <f>K41*(MIN(Inputs!$B$22+(F50-Calc!F18),Inputs!$B$23)/100+Inputs!$B$23/100)/2</f>
        <v/>
      </c>
      <c r="M41">
        <f>L41*(1+(Inputs!$B$10+(F53-Calc!F21))/100)</f>
        <v/>
      </c>
      <c r="N41">
        <f>L41*(1-MIN(Inputs!$B$9+((F52-Calc!F20)+(F51-Calc!F19)),100)/100)+M41*(MIN(Inputs!$B$9+((F52-Calc!F20)+(F51-Calc!F19)),100)/100)</f>
        <v/>
      </c>
      <c r="O41">
        <f>(1-Summary!$B$51)*S41+Summary!$B$51*U41</f>
        <v/>
      </c>
      <c r="P41">
        <f>IF(B68=0,0,O41/B68)</f>
        <v/>
      </c>
      <c r="Q41">
        <f>IFERROR(1/IF(Inputs!$B$38="pvp",15,MAX(0.1,Skills!D9-IF(Skills!E9=TRUE,Inputs!$B$32,0))),0)</f>
        <v/>
      </c>
      <c r="R41">
        <f>IF(AND(Inputs!$B$38&lt;&gt;"pvp",Inputs!$B$43&gt;0),IF(MAX(0,Inputs!$B$43-B65)&lt;=0,0,(INT(MAX(0,Inputs!$B$43-B65)/IF(Inputs!$B$38="pvp",15,MAX(0.1,Skills!D9-IF(Skills!E9=TRUE,Inputs!$B$32,0))))+1)),0)</f>
        <v/>
      </c>
      <c r="S41">
        <f>IF(C41,(H41*N41*IF(AND(Inputs!$B$38&lt;&gt;"pvp",Inputs!$B$43&gt;0),((Skills!F9*((R41-1)*IF(Skills!G9&gt;0,Skills!H9/Skills!G9,1)+IF(Skills!G9&gt;0,MIN(Skills!H9,MAX(0,MAX(0,Inputs!$B$43-B65)-((R41-1)*IF(Inputs!$B$38="pvp",15,MAX(0.1,Skills!D9-IF(Skills!E9=TRUE,Inputs!$B$32,0))))))/Skills!G9,1)))/Inputs!$B$43),G41*Q41))*IF(Inputs!$B$38="pvp",1,1+(Inputs!$B$20+Skills!O9+B59)/100),0)</f>
        <v/>
      </c>
      <c r="U41">
        <f>IF(C41,(H41*N41*IF(AND(Inputs!$B$38&lt;&gt;"pvp",Inputs!$B$43&gt;0),((Skills!F9*((R41-1)*IF(Skills!G9&gt;0,Skills!H9/Skills!G9,1)+IF(Skills!G9&gt;0,MIN(Skills!H9,MAX(0,MAX(0,Inputs!$B$43-B65)-((R41-1)*IF(Inputs!$B$38="pvp",15,MAX(0.1,Skills!D9-IF(Skills!E9=TRUE,Inputs!$B$32,0))))))/Skills!G9,1)))/Inputs!$B$43),G41*Q41))*IF(Inputs!$B$38="pvp",1,(1+(Inputs!$B$21+Skills!P9+B59)/100)*(MIN(Skills!Q9,Inputs!$B$37))),0)</f>
        <v/>
      </c>
    </row>
    <row r="42">
      <c r="A42">
        <f>Skills!A10</f>
        <v/>
      </c>
      <c r="B42">
        <f>Skills!B10</f>
        <v/>
      </c>
      <c r="C42">
        <f>Inputs!$B$3&gt;=113</f>
        <v/>
      </c>
      <c r="D42">
        <f>IF(Skills!C10=1,60+Inputs!$B$25+Inputs!$B$29,IF(Skills!C10=2,90+Inputs!$B$26+Inputs!$B$29,IF(Skills!C10=3,120+Inputs!$B$27+Inputs!$B$29,MAX(0,(Inputs!$B$3-100)*3)+Inputs!$B$28+Inputs!$B$29)))</f>
        <v/>
      </c>
      <c r="E42">
        <f>INDEX(FactorTable!$B$2:$Y$301, MATCH(ROUND(MIN(300,MAX(1,D42)),0), FactorTable!$A$2:$A$301,0), Skills!L10+1)</f>
        <v/>
      </c>
      <c r="F42">
        <f>IF(Skills!M10=TRUE,(Skills!K10/10)*(E42/1000),Skills!K10/10)+Skills!N10</f>
        <v/>
      </c>
      <c r="G42">
        <f>Calc!G10</f>
        <v/>
      </c>
      <c r="H42">
        <f>Calc!H10</f>
        <v/>
      </c>
      <c r="I42">
        <f>IF(Skills!T10&lt;&gt;"",1+(Skills!T10/10)*(Z35/1000)/100,1)</f>
        <v/>
      </c>
      <c r="J42">
        <f>((Inputs!$B$6*(1+Inputs!$B$7/100))+((((Inputs!$B$12+1)*(1+Inputs!$B$13/100))-(Inputs!$B$12*(1+Inputs!$B$13/100)))+0.25*(Inputs!$B$14-Inputs!$B$14))*(1+Inputs!$B$7/100))*(F42/100)</f>
        <v/>
      </c>
      <c r="K42">
        <f>J42*(1+(((Inputs!$B$12+1)*(1+Inputs!$B$13/100))*0.01+Inputs!$B$14*0.0025)/100)*(1+(Inputs!$B$15+B60)/100)*(1+Inputs!$B$16/100)*(5000/(6000+Inputs!$B$42*(1-Inputs!$B$19/100)))*(1+Inputs!$B$24/100)*(1+IF(C47=TRUE,F47,0)/100)*(1+IF(C55=TRUE,F55,0)/100)^5*(1+(IF(Skills!A10="CHAIN_LIGHTNING",Inputs!$B$17,Inputs!$B$18))/100)*(B58*I42)</f>
        <v/>
      </c>
      <c r="L42">
        <f>K42*(MIN(Inputs!$B$22+(F50-Calc!F18),Inputs!$B$23)/100+Inputs!$B$23/100)/2</f>
        <v/>
      </c>
      <c r="M42">
        <f>L42*(1+(Inputs!$B$10+(F53-Calc!F21))/100)</f>
        <v/>
      </c>
      <c r="N42">
        <f>L42*(1-MIN(Inputs!$B$9+((F52-Calc!F20)+(F51-Calc!F19)),100)/100)+M42*(MIN(Inputs!$B$9+((F52-Calc!F20)+(F51-Calc!F19)),100)/100)</f>
        <v/>
      </c>
      <c r="O42">
        <f>(1-Summary!$B$51)*S42+Summary!$B$51*U42</f>
        <v/>
      </c>
      <c r="P42">
        <f>IF(B68=0,0,O42/B68)</f>
        <v/>
      </c>
      <c r="Q42">
        <f>IFERROR(1/IF(Inputs!$B$38="pvp",15,MAX(0.1,Skills!D10-IF(Skills!E9=TRUE,Inputs!$B$32,0))),0)</f>
        <v/>
      </c>
      <c r="R42">
        <f>IF(AND(Inputs!$B$38&lt;&gt;"pvp",Inputs!$B$43&gt;0),IF(MAX(0,Inputs!$B$43-B65)&lt;=0,0,(INT(MAX(0,Inputs!$B$43-B65)/IF(Inputs!$B$38="pvp",15,MAX(0.1,Skills!D10-IF(Skills!E9=TRUE,Inputs!$B$32,0))))+1)),0)</f>
        <v/>
      </c>
      <c r="S42">
        <f>IF(C42,(H42*N42*IF(AND(Inputs!$B$38&lt;&gt;"pvp",Inputs!$B$43&gt;0),((Skills!F10*((R42-1)*IF(Skills!G10&gt;0,Skills!H10/Skills!G10,1)+IF(Skills!G10&gt;0,MIN(Skills!H10,MAX(0,MAX(0,Inputs!$B$43-B65)-((R42-1)*IF(Inputs!$B$38="pvp",15,MAX(0.1,Skills!D10-IF(Skills!E9=TRUE,Inputs!$B$32,0))))))/Skills!G10,1)))/Inputs!$B$43),G42*Q42))*IF(Inputs!$B$38="pvp",1,1+(Inputs!$B$20+Skills!O10+B59)/100),0)</f>
        <v/>
      </c>
      <c r="U42">
        <f>IF(C42,(H42*N42*IF(AND(Inputs!$B$38&lt;&gt;"pvp",Inputs!$B$43&gt;0),((Skills!F10*((R42-1)*IF(Skills!G10&gt;0,Skills!H10/Skills!G10,1)+IF(Skills!G10&gt;0,MIN(Skills!H10,MAX(0,MAX(0,Inputs!$B$43-B65)-((R42-1)*IF(Inputs!$B$38="pvp",15,MAX(0.1,Skills!D10-IF(Skills!E9=TRUE,Inputs!$B$32,0))))))/Skills!G10,1)))/Inputs!$B$43),G42*Q42))*IF(Inputs!$B$38="pvp",1,(1+(Inputs!$B$21+Skills!P10+B59)/100)*(MIN(Skills!Q10,Inputs!$B$37))),0)</f>
        <v/>
      </c>
    </row>
    <row r="43">
      <c r="A43">
        <f>Skills!A11</f>
        <v/>
      </c>
      <c r="B43">
        <f>Skills!B11</f>
        <v/>
      </c>
      <c r="C43">
        <f>Inputs!$B$3&gt;=107</f>
        <v/>
      </c>
      <c r="D43">
        <f>IF(Skills!C11=1,60+Inputs!$B$25+Inputs!$B$29,IF(Skills!C11=2,90+Inputs!$B$26+Inputs!$B$29,IF(Skills!C11=3,120+Inputs!$B$27+Inputs!$B$29,MAX(0,(Inputs!$B$3-100)*3)+Inputs!$B$28+Inputs!$B$29)))</f>
        <v/>
      </c>
      <c r="E43">
        <f>INDEX(FactorTable!$B$2:$Y$301, MATCH(ROUND(MIN(300,MAX(1,D43)),0), FactorTable!$A$2:$A$301,0), Skills!L11+1)</f>
        <v/>
      </c>
      <c r="F43">
        <f>IF(Skills!M11=TRUE,(Skills!K11/10)*(E43/1000),Skills!K11/10)+Skills!N11</f>
        <v/>
      </c>
      <c r="G43">
        <f>Calc!G11</f>
        <v/>
      </c>
      <c r="H43">
        <f>Calc!H11</f>
        <v/>
      </c>
      <c r="I43">
        <f>IF(Skills!T11&lt;&gt;"",1+(Skills!T11/10)*(Z35/1000)/100,1)</f>
        <v/>
      </c>
      <c r="J43">
        <f>((Inputs!$B$6*(1+Inputs!$B$7/100))+((((Inputs!$B$12+1)*(1+Inputs!$B$13/100))-(Inputs!$B$12*(1+Inputs!$B$13/100)))+0.25*(Inputs!$B$14-Inputs!$B$14))*(1+Inputs!$B$7/100))*(F43/100)</f>
        <v/>
      </c>
      <c r="K43">
        <f>J43*(1+(((Inputs!$B$12+1)*(1+Inputs!$B$13/100))*0.01+Inputs!$B$14*0.0025)/100)*(1+(Inputs!$B$15+B60)/100)*(1+Inputs!$B$16/100)*(5000/(6000+Inputs!$B$42*(1-Inputs!$B$19/100)))*(1+Inputs!$B$24/100)*(1+IF(C47=TRUE,F47,0)/100)*(1+IF(C55=TRUE,F55,0)/100)^5*(1+(IF(Skills!A11="CHAIN_LIGHTNING",Inputs!$B$17,Inputs!$B$18))/100)*(B58*I43)</f>
        <v/>
      </c>
      <c r="L43">
        <f>K43*(MIN(Inputs!$B$22+(F50-Calc!F18),Inputs!$B$23)/100+Inputs!$B$23/100)/2</f>
        <v/>
      </c>
      <c r="M43">
        <f>L43*(1+(Inputs!$B$10+(F53-Calc!F21))/100)</f>
        <v/>
      </c>
      <c r="N43">
        <f>L43*(1-MIN(Inputs!$B$9+((F52-Calc!F20)+(F51-Calc!F19)),100)/100)+M43*(MIN(Inputs!$B$9+((F52-Calc!F20)+(F51-Calc!F19)),100)/100)</f>
        <v/>
      </c>
      <c r="O43">
        <f>(1-Summary!$B$51)*S43+Summary!$B$51*U43</f>
        <v/>
      </c>
      <c r="P43">
        <f>IF(B68=0,0,O43/B68)</f>
        <v/>
      </c>
      <c r="Q43">
        <f>IFERROR(1/IF(Inputs!$B$38="pvp",15,MAX(0.1,Skills!D11-IF(Skills!E11=TRUE,Inputs!$B$32,0))),0)</f>
        <v/>
      </c>
      <c r="R43">
        <f>IF(AND(Inputs!$B$38&lt;&gt;"pvp",Inputs!$B$43&gt;0),IF(MAX(0,Inputs!$B$43-B65)&lt;=0,0,(INT(MAX(0,Inputs!$B$43-B65)/IF(Inputs!$B$38="pvp",15,MAX(0.1,Skills!D11-IF(Skills!E11=TRUE,Inputs!$B$32,0))))+1)),0)</f>
        <v/>
      </c>
      <c r="S43">
        <f>IF(C43,H43*N43*IF(AND(Inputs!$B$38&lt;&gt;"pvp",Inputs!$B$43&gt;0),((Skills!F11*((R43-1)*IF(Skills!G11&gt;0,Skills!H11/Skills!G11,1)+IF(Skills!G11&gt;0,MIN(Skills!H11,MAX(0,MAX(0,Inputs!$B$43-B65)-((R43-1)*IF(Inputs!$B$38="pvp",15,MAX(0.1,Skills!D11-IF(Skills!E11=TRUE,Inputs!$B$32,0))))))/Skills!G11,1)))/Inputs!$B$43),G43*Q43)*0.5*IF(Inputs!$B$38="pvp",1,1+(Inputs!$B$20+Skills!O11+B59)/100),0)</f>
        <v/>
      </c>
      <c r="U43">
        <f>IF(C43,H43*N43*IF(AND(Inputs!$B$38&lt;&gt;"pvp",Inputs!$B$43&gt;0),((Skills!F11*((R43-1)*IF(Skills!G11&gt;0,Skills!H11/Skills!G11,1)+IF(Skills!G11&gt;0,MIN(Skills!H11,MAX(0,MAX(0,Inputs!$B$43-B65)-((R43-1)*IF(Inputs!$B$38="pvp",15,MAX(0.1,Skills!D11-IF(Skills!E11=TRUE,Inputs!$B$32,0))))))/Skills!G11,1)))/Inputs!$B$43),G43*Q43)*1*IF(Inputs!$B$38="pvp",1,(1+(Inputs!$B$21+Skills!P11+B59)/100)*(MIN(Skills!Q11,Inputs!$B$37))),0)</f>
        <v/>
      </c>
    </row>
    <row r="44">
      <c r="A44">
        <f>Skills!A12</f>
        <v/>
      </c>
      <c r="B44">
        <f>Skills!B12</f>
        <v/>
      </c>
      <c r="C44">
        <f>Inputs!$B$3&gt;=115</f>
        <v/>
      </c>
      <c r="D44">
        <f>IF(Skills!C12=1,60+Inputs!$B$25+Inputs!$B$29,IF(Skills!C12=2,90+Inputs!$B$26+Inputs!$B$29,IF(Skills!C12=3,120+Inputs!$B$27+Inputs!$B$29,MAX(0,(Inputs!$B$3-100)*3)+Inputs!$B$28+Inputs!$B$29)))</f>
        <v/>
      </c>
      <c r="E44">
        <f>INDEX(FactorTable!$B$2:$Y$301, MATCH(ROUND(MIN(300,MAX(1,D44)),0), FactorTable!$A$2:$A$301,0), Skills!L12+1)</f>
        <v/>
      </c>
      <c r="F44">
        <f>IF(Skills!M12=TRUE,(Skills!K12/10)*(E44/1000),Skills!K12/10)+Skills!N12</f>
        <v/>
      </c>
      <c r="G44">
        <f>Calc!G12</f>
        <v/>
      </c>
      <c r="H44">
        <f>Calc!H12</f>
        <v/>
      </c>
      <c r="I44">
        <f>IF(Skills!T12&lt;&gt;"",1+(Skills!T12/10)*(Z35/1000)/100,1)</f>
        <v/>
      </c>
      <c r="J44">
        <f>((Inputs!$B$6*(1+Inputs!$B$7/100))+((((Inputs!$B$12+1)*(1+Inputs!$B$13/100))-(Inputs!$B$12*(1+Inputs!$B$13/100)))+0.25*(Inputs!$B$14-Inputs!$B$14))*(1+Inputs!$B$7/100))*(F44/100)</f>
        <v/>
      </c>
      <c r="K44">
        <f>J44*(1+(((Inputs!$B$12+1)*(1+Inputs!$B$13/100))*0.01+Inputs!$B$14*0.0025)/100)*(1+(Inputs!$B$15+B60)/100)*(1+Inputs!$B$16/100)*(5000/(6000+Inputs!$B$42*(1-Inputs!$B$19/100)))*(1+Inputs!$B$24/100)*(1+IF(C47=TRUE,F47,0)/100)*(1+IF(C55=TRUE,F55,0)/100)^5*(1+(IF(Skills!A12="CHAIN_LIGHTNING",Inputs!$B$17,Inputs!$B$18))/100)*(B58*I44)</f>
        <v/>
      </c>
      <c r="L44">
        <f>K44*(MIN(Inputs!$B$22+(F50-Calc!F18),Inputs!$B$23)/100+Inputs!$B$23/100)/2</f>
        <v/>
      </c>
      <c r="M44">
        <f>L44*(1+(Inputs!$B$10+(F53-Calc!F21))/100)</f>
        <v/>
      </c>
      <c r="N44">
        <f>L44*(1-MIN(Inputs!$B$9+((F52-Calc!F20)+(F51-Calc!F19)),100)/100)+M44*(MIN(Inputs!$B$9+((F52-Calc!F20)+(F51-Calc!F19)),100)/100)</f>
        <v/>
      </c>
      <c r="O44">
        <f>(1-Summary!$B$51)*S44+Summary!$B$51*U44</f>
        <v/>
      </c>
      <c r="P44">
        <f>IF(B68=0,0,O44/B68)</f>
        <v/>
      </c>
      <c r="Q44">
        <f>IFERROR(1/IF(Inputs!$B$38="pvp",15,MAX(0.1,Skills!D12-IF(Skills!E12=TRUE,Inputs!$B$32,0))),0)</f>
        <v/>
      </c>
      <c r="R44">
        <f>IF(AND(Inputs!$B$38&lt;&gt;"pvp",Inputs!$B$43&gt;0),IF(MAX(0,Inputs!$B$43-B65)&lt;=0,0,(INT(MAX(0,Inputs!$B$43-B65)/IF(Inputs!$B$38="pvp",15,MAX(0.1,Skills!D12-IF(Skills!E12=TRUE,Inputs!$B$32,0))))+1)),0)</f>
        <v/>
      </c>
      <c r="S44">
        <f>IF(C44,(H44*N44*IF(AND(Inputs!$B$38&lt;&gt;"pvp",Inputs!$B$43&gt;0),((Skills!F12*((R44-1)*IF(Skills!G12&gt;0,Skills!H12/Skills!G12,1)+IF(Skills!G12&gt;0,MIN(Skills!H12,MAX(0,MAX(0,Inputs!$B$43-B65)-((R44-1)*IF(Inputs!$B$38="pvp",15,MAX(0.1,Skills!D12-IF(Skills!E12=TRUE,Inputs!$B$32,0))))))/Skills!G12,1)))/Inputs!$B$43),G44*Q44))*IF(Inputs!$B$38="pvp",1,1+(Inputs!$B$20+Skills!O12+B59)/100),0)</f>
        <v/>
      </c>
      <c r="U44">
        <f>IF(C44,(H44*N44*IF(AND(Inputs!$B$38&lt;&gt;"pvp",Inputs!$B$43&gt;0),((Skills!F12*((R44-1)*IF(Skills!G12&gt;0,Skills!H12/Skills!G12,1)+IF(Skills!G12&gt;0,MIN(Skills!H12,MAX(0,MAX(0,Inputs!$B$43-B65)-((R44-1)*IF(Inputs!$B$38="pvp",15,MAX(0.1,Skills!D12-IF(Skills!E12=TRUE,Inputs!$B$32,0))))))/Skills!G12,1)))/Inputs!$B$43),G44*Q44))*IF(Inputs!$B$38="pvp",1,(1+(Inputs!$B$21+Skills!P12+B59)/100)*(MIN(Skills!Q12,Inputs!$B$37))),0)</f>
        <v/>
      </c>
    </row>
    <row r="45">
      <c r="A45">
        <f>Skills!A13</f>
        <v/>
      </c>
      <c r="B45">
        <f>Skills!B13</f>
        <v/>
      </c>
      <c r="C45">
        <f>Inputs!$B$3&gt;=49</f>
        <v/>
      </c>
      <c r="D45">
        <f>IF(Skills!C13=1,60+Inputs!$B$25+Inputs!$B$29,IF(Skills!C13=2,90+Inputs!$B$26+Inputs!$B$29,IF(Skills!C13=3,120+Inputs!$B$27+Inputs!$B$29,MAX(0,(Inputs!$B$3-100)*3)+Inputs!$B$28+Inputs!$B$29)))</f>
        <v/>
      </c>
      <c r="E45">
        <f>INDEX(FactorTable!$B$2:$Y$301, MATCH(ROUND(MIN(300,MAX(1,D45)),0), FactorTable!$A$2:$A$301,0), Skills!L13+1)</f>
        <v/>
      </c>
      <c r="F45">
        <f>IF(Skills!M13=TRUE,(Skills!K13/10)*(E45/1000),Skills!K13/10)+Skills!N13</f>
        <v/>
      </c>
      <c r="G45">
        <f>Calc!G13</f>
        <v/>
      </c>
      <c r="H45">
        <f>Calc!H13</f>
        <v/>
      </c>
      <c r="I45">
        <f>IF(Skills!T13&lt;&gt;"",1+(Skills!T13/10)*(Z35/1000)/100,1)</f>
        <v/>
      </c>
      <c r="J45" t="inlineStr"/>
      <c r="K45" t="inlineStr"/>
      <c r="L45" t="inlineStr"/>
      <c r="M45" t="inlineStr"/>
      <c r="N45" t="inlineStr"/>
      <c r="O45">
        <f>(1-Summary!$B$51)*S45+Summary!$B$51*U45</f>
        <v/>
      </c>
      <c r="P45">
        <f>IF(B68=0,0,O45/B68)</f>
        <v/>
      </c>
      <c r="Q45">
        <f>IFERROR(1/IF(Inputs!$B$38="pvp",15,MAX(0.1,Skills!D13-IF(Skills!E13=TRUE,Inputs!$B$32,0))),0)</f>
        <v/>
      </c>
      <c r="R45" t="n">
        <v>0</v>
      </c>
      <c r="S45" t="n">
        <v>0</v>
      </c>
      <c r="U45" t="n">
        <v>0</v>
      </c>
    </row>
    <row r="46">
      <c r="A46">
        <f>Skills!A14</f>
        <v/>
      </c>
      <c r="B46">
        <f>Skills!B14</f>
        <v/>
      </c>
      <c r="C46">
        <f>Inputs!$B$3&gt;=72</f>
        <v/>
      </c>
      <c r="D46">
        <f>IF(Skills!C14=1,60+Inputs!$B$25+Inputs!$B$29,IF(Skills!C14=2,90+Inputs!$B$26+Inputs!$B$29,IF(Skills!C14=3,120+Inputs!$B$27+Inputs!$B$29,MAX(0,(Inputs!$B$3-100)*3)+Inputs!$B$28+Inputs!$B$29)))</f>
        <v/>
      </c>
      <c r="E46">
        <f>INDEX(FactorTable!$B$2:$Y$301, MATCH(ROUND(MIN(300,MAX(1,D46)),0), FactorTable!$A$2:$A$301,0), Skills!L14+1)</f>
        <v/>
      </c>
      <c r="F46">
        <f>IF(Skills!M14=TRUE,(Skills!K14/10)*(E46/1000),Skills!K14/10)+Skills!N14</f>
        <v/>
      </c>
      <c r="G46">
        <f>Calc!G14</f>
        <v/>
      </c>
      <c r="H46">
        <f>Calc!H14</f>
        <v/>
      </c>
      <c r="I46">
        <f>IF(Skills!T14&lt;&gt;"",1+(Skills!T14/10)*(Z35/1000)/100,1)</f>
        <v/>
      </c>
      <c r="J46" t="inlineStr"/>
      <c r="K46" t="inlineStr"/>
      <c r="L46" t="inlineStr"/>
      <c r="M46" t="inlineStr"/>
      <c r="N46" t="inlineStr"/>
      <c r="O46">
        <f>(1-Summary!$B$51)*S46+Summary!$B$51*U46</f>
        <v/>
      </c>
      <c r="P46">
        <f>IF(B68=0,0,O46/B68)</f>
        <v/>
      </c>
      <c r="Q46">
        <f>IFERROR(1/IF(Inputs!$B$38="pvp",15,MAX(0.1,Skills!D14-IF(Skills!E14=TRUE,Inputs!$B$32,0))),0)</f>
        <v/>
      </c>
      <c r="R46" t="n">
        <v>0</v>
      </c>
      <c r="S46" t="n">
        <v>0</v>
      </c>
      <c r="U46" t="n">
        <v>0</v>
      </c>
    </row>
    <row r="47">
      <c r="A47">
        <f>Skills!A15</f>
        <v/>
      </c>
      <c r="B47">
        <f>Skills!B15</f>
        <v/>
      </c>
      <c r="C47">
        <f>Inputs!$B$3&gt;=75</f>
        <v/>
      </c>
      <c r="D47">
        <f>IF(Skills!C15=1,60+Inputs!$B$25+Inputs!$B$29,IF(Skills!C15=2,90+Inputs!$B$26+Inputs!$B$29,IF(Skills!C15=3,120+Inputs!$B$27+Inputs!$B$29,MAX(0,(Inputs!$B$3-100)*3)+Inputs!$B$28+Inputs!$B$29)))</f>
        <v/>
      </c>
      <c r="E47">
        <f>INDEX(FactorTable!$B$2:$Y$301, MATCH(ROUND(MIN(300,MAX(1,D47)),0), FactorTable!$A$2:$A$301,0), Skills!L15+1)</f>
        <v/>
      </c>
      <c r="F47">
        <f>IF(Skills!M15=TRUE,(Skills!K15/10)*(E47/1000),Skills!K15/10)+Skills!N15</f>
        <v/>
      </c>
      <c r="G47">
        <f>Calc!G15</f>
        <v/>
      </c>
      <c r="H47">
        <f>Calc!H15</f>
        <v/>
      </c>
      <c r="I47">
        <f>IF(Skills!T15&lt;&gt;"",1+(Skills!T15/10)*(Z35/1000)/100,1)</f>
        <v/>
      </c>
      <c r="J47" t="inlineStr"/>
      <c r="K47" t="inlineStr"/>
      <c r="L47" t="inlineStr"/>
      <c r="M47" t="inlineStr"/>
      <c r="N47" t="inlineStr"/>
      <c r="O47">
        <f>(1-Summary!$B$51)*S47+Summary!$B$51*U47</f>
        <v/>
      </c>
      <c r="P47">
        <f>IF(B68=0,0,O47/B68)</f>
        <v/>
      </c>
      <c r="Q47">
        <f>IFERROR(1/IF(Inputs!$B$38="pvp",15,MAX(0.1,Skills!D15-IF(Skills!E15=TRUE,Inputs!$B$32,0))),0)</f>
        <v/>
      </c>
      <c r="R47" t="n">
        <v>0</v>
      </c>
      <c r="S47" t="n">
        <v>0</v>
      </c>
      <c r="U47" t="n">
        <v>0</v>
      </c>
    </row>
    <row r="48">
      <c r="A48">
        <f>Skills!A16</f>
        <v/>
      </c>
      <c r="B48">
        <f>Skills!B16</f>
        <v/>
      </c>
      <c r="C48">
        <f>Inputs!$B$3&gt;=110</f>
        <v/>
      </c>
      <c r="D48">
        <f>IF(Skills!C16=1,60+Inputs!$B$25+Inputs!$B$29,IF(Skills!C16=2,90+Inputs!$B$26+Inputs!$B$29,IF(Skills!C16=3,120+Inputs!$B$27+Inputs!$B$29,MAX(0,(Inputs!$B$3-100)*3)+Inputs!$B$28+Inputs!$B$29)))</f>
        <v/>
      </c>
      <c r="E48">
        <f>INDEX(FactorTable!$B$2:$Y$301, MATCH(ROUND(MIN(300,MAX(1,D48)),0), FactorTable!$A$2:$A$301,0), Skills!L16+1)</f>
        <v/>
      </c>
      <c r="F48">
        <f>(Skills!K16/10)*(E48/1000)*64/45+Skills!N16</f>
        <v/>
      </c>
      <c r="G48">
        <f>Calc!G16</f>
        <v/>
      </c>
      <c r="H48">
        <f>Calc!H16</f>
        <v/>
      </c>
      <c r="I48">
        <f>IF(Skills!T16&lt;&gt;"",1+(Skills!T16/10)*(Z35/1000)/100,1)</f>
        <v/>
      </c>
      <c r="J48" t="inlineStr"/>
      <c r="K48" t="inlineStr"/>
      <c r="L48" t="inlineStr"/>
      <c r="M48" t="inlineStr"/>
      <c r="N48" t="inlineStr"/>
      <c r="O48">
        <f>(1-Summary!$B$51)*S48+Summary!$B$51*U48</f>
        <v/>
      </c>
      <c r="P48">
        <f>IF(B68=0,0,O48/B68)</f>
        <v/>
      </c>
      <c r="Q48">
        <f>IFERROR(1/IF(Inputs!$B$38="pvp",15,MAX(0.1,Skills!D16-IF(Skills!E16=TRUE,Inputs!$B$32,0))),0)</f>
        <v/>
      </c>
      <c r="R48">
        <f>IF(AND(Inputs!$B$38&lt;&gt;"pvp",Inputs!$B$43&gt;0),IF(Inputs!$B$43&lt;=0,0,(INT(Inputs!$B$43/IF(Inputs!$B$38="pvp",15,MAX(0.1,Skills!D16-IF(Skills!E16=TRUE,Inputs!$B$32,0))))+1)),0)</f>
        <v/>
      </c>
      <c r="S48" t="n">
        <v>0</v>
      </c>
      <c r="U48" t="n">
        <v>0</v>
      </c>
    </row>
    <row r="49">
      <c r="A49">
        <f>Skills!A17</f>
        <v/>
      </c>
      <c r="B49">
        <f>Skills!B17</f>
        <v/>
      </c>
      <c r="C49">
        <f>Inputs!$B$3&gt;=33</f>
        <v/>
      </c>
      <c r="D49">
        <f>IF(Skills!C17=1,60+Inputs!$B$25+Inputs!$B$29,IF(Skills!C17=2,90+Inputs!$B$26+Inputs!$B$29,IF(Skills!C17=3,120+Inputs!$B$27+Inputs!$B$29,MAX(0,(Inputs!$B$3-100)*3)+Inputs!$B$28+Inputs!$B$29)))</f>
        <v/>
      </c>
      <c r="E49">
        <f>INDEX(FactorTable!$B$2:$Y$301, MATCH(ROUND(MIN(300,MAX(1,D49)),0), FactorTable!$A$2:$A$301,0), Skills!L17+1)</f>
        <v/>
      </c>
      <c r="F49">
        <f>IF(Skills!M17=TRUE,(Skills!K17/10)*(E49/1000),Skills!K17/10)+Skills!N17</f>
        <v/>
      </c>
      <c r="G49">
        <f>Calc!G17</f>
        <v/>
      </c>
      <c r="H49">
        <f>Calc!H17</f>
        <v/>
      </c>
      <c r="I49">
        <f>IF(Skills!T17&lt;&gt;"",1+(Skills!T17/10)*(Z35/1000)/100,1)</f>
        <v/>
      </c>
      <c r="J49" t="inlineStr"/>
      <c r="K49" t="inlineStr"/>
      <c r="L49" t="inlineStr"/>
      <c r="M49" t="inlineStr"/>
      <c r="N49" t="inlineStr"/>
      <c r="O49">
        <f>(1-Summary!$B$51)*S49+Summary!$B$51*U49</f>
        <v/>
      </c>
      <c r="P49">
        <f>IF(B68=0,0,O49/B68)</f>
        <v/>
      </c>
      <c r="Q49">
        <f>IFERROR(1/IF(Inputs!$B$38="pvp",15,MAX(0.1,Skills!D17-IF(Skills!E17=TRUE,Inputs!$B$32,0))),0)</f>
        <v/>
      </c>
      <c r="R49" t="n">
        <v>0</v>
      </c>
      <c r="S49" t="n">
        <v>0</v>
      </c>
      <c r="U49" t="n">
        <v>0</v>
      </c>
    </row>
    <row r="50">
      <c r="A50">
        <f>Skills!A18</f>
        <v/>
      </c>
      <c r="B50">
        <f>Skills!B18</f>
        <v/>
      </c>
      <c r="C50">
        <f>Inputs!$B$3&gt;=43</f>
        <v/>
      </c>
      <c r="D50">
        <f>IF(Skills!C18=1,60+Inputs!$B$25+Inputs!$B$29,IF(Skills!C18=2,90+Inputs!$B$26+Inputs!$B$29,IF(Skills!C18=3,120+Inputs!$B$27+Inputs!$B$29,MAX(0,(Inputs!$B$3-100)*3)+Inputs!$B$28+Inputs!$B$29)))</f>
        <v/>
      </c>
      <c r="E50">
        <f>INDEX(FactorTable!$B$2:$Y$301, MATCH(ROUND(MIN(300,MAX(1,D50)),0), FactorTable!$A$2:$A$301,0), Skills!L18+1)</f>
        <v/>
      </c>
      <c r="F50">
        <f>IF(Skills!M18=TRUE,(Skills!K18/10)*(E50/1000),Skills!K18/10)+Skills!N18</f>
        <v/>
      </c>
      <c r="G50">
        <f>Calc!G18</f>
        <v/>
      </c>
      <c r="H50">
        <f>Calc!H18</f>
        <v/>
      </c>
      <c r="I50">
        <f>IF(Skills!T18&lt;&gt;"",1+(Skills!T18/10)*(Z35/1000)/100,1)</f>
        <v/>
      </c>
      <c r="J50" t="inlineStr"/>
      <c r="K50" t="inlineStr"/>
      <c r="L50" t="inlineStr"/>
      <c r="M50" t="inlineStr"/>
      <c r="N50" t="inlineStr"/>
      <c r="O50">
        <f>(1-Summary!$B$51)*S50+Summary!$B$51*U50</f>
        <v/>
      </c>
      <c r="P50">
        <f>IF(B68=0,0,O50/B68)</f>
        <v/>
      </c>
      <c r="Q50">
        <f>IFERROR(1/IF(Inputs!$B$38="pvp",15,MAX(0.1,Skills!D18-IF(Skills!E18=TRUE,Inputs!$B$32,0))),0)</f>
        <v/>
      </c>
      <c r="R50" t="n">
        <v>0</v>
      </c>
      <c r="S50" t="n">
        <v>0</v>
      </c>
      <c r="U50" t="n">
        <v>0</v>
      </c>
    </row>
    <row r="51">
      <c r="A51">
        <f>Skills!A19</f>
        <v/>
      </c>
      <c r="B51">
        <f>Skills!B19</f>
        <v/>
      </c>
      <c r="C51">
        <f>Inputs!$B$3&gt;=50</f>
        <v/>
      </c>
      <c r="D51">
        <f>IF(Skills!C19=1,60+Inputs!$B$25+Inputs!$B$29,IF(Skills!C19=2,90+Inputs!$B$26+Inputs!$B$29,IF(Skills!C19=3,120+Inputs!$B$27+Inputs!$B$29,MAX(0,(Inputs!$B$3-100)*3)+Inputs!$B$28+Inputs!$B$29)))</f>
        <v/>
      </c>
      <c r="E51">
        <f>INDEX(FactorTable!$B$2:$Y$301, MATCH(ROUND(MIN(300,MAX(1,D51)),0), FactorTable!$A$2:$A$301,0), Skills!L19+1)</f>
        <v/>
      </c>
      <c r="F51">
        <f>IF(Skills!M19=TRUE,(Skills!K19/10)*(E51/1000),Skills!K19/10)+Skills!N19</f>
        <v/>
      </c>
      <c r="G51">
        <f>Calc!G19</f>
        <v/>
      </c>
      <c r="H51">
        <f>Calc!H19</f>
        <v/>
      </c>
      <c r="I51">
        <f>IF(Skills!T19&lt;&gt;"",1+(Skills!T19/10)*(Z35/1000)/100,1)</f>
        <v/>
      </c>
      <c r="J51" t="inlineStr"/>
      <c r="K51" t="inlineStr"/>
      <c r="L51" t="inlineStr"/>
      <c r="M51" t="inlineStr"/>
      <c r="N51" t="inlineStr"/>
      <c r="O51">
        <f>(1-Summary!$B$51)*S51+Summary!$B$51*U51</f>
        <v/>
      </c>
      <c r="P51">
        <f>IF(B68=0,0,O51/B68)</f>
        <v/>
      </c>
      <c r="Q51">
        <f>IFERROR(1/IF(Inputs!$B$38="pvp",15,MAX(0.1,Skills!D19-IF(Skills!E19=TRUE,Inputs!$B$32,0))),0)</f>
        <v/>
      </c>
      <c r="R51" t="n">
        <v>0</v>
      </c>
      <c r="S51" t="n">
        <v>0</v>
      </c>
      <c r="U51" t="n">
        <v>0</v>
      </c>
    </row>
    <row r="52">
      <c r="A52">
        <f>Skills!A20</f>
        <v/>
      </c>
      <c r="B52">
        <f>Skills!B20</f>
        <v/>
      </c>
      <c r="C52">
        <f>Inputs!$B$3&gt;=74</f>
        <v/>
      </c>
      <c r="D52">
        <f>IF(Skills!C20=1,60+Inputs!$B$25+Inputs!$B$29,IF(Skills!C20=2,90+Inputs!$B$26+Inputs!$B$29,IF(Skills!C20=3,120+Inputs!$B$27+Inputs!$B$29,MAX(0,(Inputs!$B$3-100)*3)+Inputs!$B$28+Inputs!$B$29)))</f>
        <v/>
      </c>
      <c r="E52">
        <f>INDEX(FactorTable!$B$2:$Y$301, MATCH(ROUND(MIN(300,MAX(1,D52)),0), FactorTable!$A$2:$A$301,0), Skills!L20+1)</f>
        <v/>
      </c>
      <c r="F52">
        <f>IF(Skills!M20=TRUE,(Skills!K20/10)*(E52/1000),Skills!K20/10)+Skills!N20</f>
        <v/>
      </c>
      <c r="G52">
        <f>Calc!G20</f>
        <v/>
      </c>
      <c r="H52">
        <f>Calc!H20</f>
        <v/>
      </c>
      <c r="I52">
        <f>IF(Skills!T20&lt;&gt;"",1+(Skills!T20/10)*(Z35/1000)/100,1)</f>
        <v/>
      </c>
      <c r="J52" t="inlineStr"/>
      <c r="K52" t="inlineStr"/>
      <c r="L52" t="inlineStr"/>
      <c r="M52" t="inlineStr"/>
      <c r="N52" t="inlineStr"/>
      <c r="O52">
        <f>(1-Summary!$B$51)*S52+Summary!$B$51*U52</f>
        <v/>
      </c>
      <c r="P52">
        <f>IF(B68=0,0,O52/B68)</f>
        <v/>
      </c>
      <c r="Q52">
        <f>IFERROR(1/IF(Inputs!$B$38="pvp",15,MAX(0.1,Skills!D20-IF(Skills!E20=TRUE,Inputs!$B$32,0))),0)</f>
        <v/>
      </c>
      <c r="R52" t="n">
        <v>0</v>
      </c>
      <c r="S52" t="n">
        <v>0</v>
      </c>
      <c r="U52" t="n">
        <v>0</v>
      </c>
    </row>
    <row r="53">
      <c r="A53">
        <f>Skills!A21</f>
        <v/>
      </c>
      <c r="B53">
        <f>Skills!B21</f>
        <v/>
      </c>
      <c r="C53">
        <f>Inputs!$B$3&gt;=74</f>
        <v/>
      </c>
      <c r="D53">
        <f>IF(Skills!C21=1,60+Inputs!$B$25+Inputs!$B$29,IF(Skills!C21=2,90+Inputs!$B$26+Inputs!$B$29,IF(Skills!C21=3,120+Inputs!$B$27+Inputs!$B$29,MAX(0,(Inputs!$B$3-100)*3)+Inputs!$B$28+Inputs!$B$29)))</f>
        <v/>
      </c>
      <c r="E53">
        <f>INDEX(FactorTable!$B$2:$Y$301, MATCH(ROUND(MIN(300,MAX(1,D53)),0), FactorTable!$A$2:$A$301,0), Skills!L21+1)</f>
        <v/>
      </c>
      <c r="F53">
        <f>IF(Skills!M21=TRUE,(Skills!K21/10)*(E53/1000),Skills!K21/10)+Skills!N21</f>
        <v/>
      </c>
      <c r="G53">
        <f>Calc!G21</f>
        <v/>
      </c>
      <c r="H53">
        <f>Calc!H21</f>
        <v/>
      </c>
      <c r="I53">
        <f>IF(Skills!T21&lt;&gt;"",1+(Skills!T21/10)*(Z35/1000)/100,1)</f>
        <v/>
      </c>
      <c r="J53" t="inlineStr"/>
      <c r="K53" t="inlineStr"/>
      <c r="L53" t="inlineStr"/>
      <c r="M53" t="inlineStr"/>
      <c r="N53" t="inlineStr"/>
      <c r="O53">
        <f>(1-Summary!$B$51)*S53+Summary!$B$51*U53</f>
        <v/>
      </c>
      <c r="P53">
        <f>IF(B68=0,0,O53/B68)</f>
        <v/>
      </c>
      <c r="Q53">
        <f>IFERROR(1/IF(Inputs!$B$38="pvp",15,MAX(0.1,Skills!D21-IF(Skills!E21=TRUE,Inputs!$B$32,0))),0)</f>
        <v/>
      </c>
      <c r="R53" t="n">
        <v>0</v>
      </c>
      <c r="S53" t="n">
        <v>0</v>
      </c>
      <c r="U53" t="n">
        <v>0</v>
      </c>
    </row>
    <row r="54">
      <c r="A54">
        <f>Skills!A22</f>
        <v/>
      </c>
      <c r="B54">
        <f>Skills!B22</f>
        <v/>
      </c>
      <c r="C54">
        <f>Inputs!$B$3&gt;=117</f>
        <v/>
      </c>
      <c r="D54">
        <f>IF(Skills!C22=1,60+Inputs!$B$25+Inputs!$B$29,IF(Skills!C22=2,90+Inputs!$B$26+Inputs!$B$29,IF(Skills!C22=3,120+Inputs!$B$27+Inputs!$B$29,MAX(0,(Inputs!$B$3-100)*3)+Inputs!$B$28+Inputs!$B$29)))</f>
        <v/>
      </c>
      <c r="E54">
        <f>INDEX(FactorTable!$B$2:$Y$301, MATCH(ROUND(MIN(300,MAX(1,D54)),0), FactorTable!$A$2:$A$301,0), Skills!L22+1)</f>
        <v/>
      </c>
      <c r="F54">
        <f>IF(Skills!M22=TRUE,(Skills!K22/10)*(E54/1000),Skills!K22/10)+Skills!N22</f>
        <v/>
      </c>
      <c r="G54">
        <f>Calc!G22</f>
        <v/>
      </c>
      <c r="H54">
        <f>Calc!H22</f>
        <v/>
      </c>
      <c r="I54">
        <f>IF(Skills!T22&lt;&gt;"",1+(Skills!T22/10)*(Z35/1000)/100,1)</f>
        <v/>
      </c>
      <c r="J54" t="inlineStr"/>
      <c r="K54" t="inlineStr"/>
      <c r="L54" t="inlineStr"/>
      <c r="M54" t="inlineStr"/>
      <c r="N54" t="inlineStr"/>
      <c r="O54">
        <f>(1-Summary!$B$51)*S54+Summary!$B$51*U54</f>
        <v/>
      </c>
      <c r="P54">
        <f>IF(B68=0,0,O54/B68)</f>
        <v/>
      </c>
      <c r="Q54">
        <f>IFERROR(1/IF(Inputs!$B$38="pvp",15,MAX(0.1,Skills!D22-IF(Skills!E22=TRUE,Inputs!$B$32,0))),0)</f>
        <v/>
      </c>
      <c r="R54" t="n">
        <v>0</v>
      </c>
      <c r="S54" t="n">
        <v>0</v>
      </c>
      <c r="U54" t="n">
        <v>0</v>
      </c>
    </row>
    <row r="55">
      <c r="A55">
        <f>Skills!A23</f>
        <v/>
      </c>
      <c r="B55">
        <f>Skills!B23</f>
        <v/>
      </c>
      <c r="C55">
        <f>Inputs!$B$3&gt;=120</f>
        <v/>
      </c>
      <c r="D55">
        <f>IF(Skills!C23=1,60+Inputs!$B$25+Inputs!$B$29,IF(Skills!C23=2,90+Inputs!$B$26+Inputs!$B$29,IF(Skills!C23=3,120+Inputs!$B$27+Inputs!$B$29,MAX(0,(Inputs!$B$3-100)*3)+Inputs!$B$28+Inputs!$B$29)))</f>
        <v/>
      </c>
      <c r="E55">
        <f>INDEX(FactorTable!$B$2:$Y$301, MATCH(ROUND(MIN(300,MAX(1,D55)),0), FactorTable!$A$2:$A$301,0), Skills!L23+1)</f>
        <v/>
      </c>
      <c r="F55">
        <f>IF(Skills!M23=TRUE,(Skills!K23/10)*(E55/1000),Skills!K23/10)+Skills!N23</f>
        <v/>
      </c>
      <c r="G55">
        <f>Calc!G23</f>
        <v/>
      </c>
      <c r="H55">
        <f>Calc!H23</f>
        <v/>
      </c>
      <c r="I55">
        <f>IF(Skills!T23&lt;&gt;"",1+(Skills!T23/10)*(Z35/1000)/100,1)</f>
        <v/>
      </c>
      <c r="J55" t="inlineStr"/>
      <c r="K55" t="inlineStr"/>
      <c r="L55" t="inlineStr"/>
      <c r="M55" t="inlineStr"/>
      <c r="N55" t="inlineStr"/>
      <c r="O55">
        <f>(1-Summary!$B$51)*S55+Summary!$B$51*U55</f>
        <v/>
      </c>
      <c r="P55">
        <f>IF(B68=0,0,O55/B68)</f>
        <v/>
      </c>
      <c r="Q55">
        <f>IFERROR(1/IF(Inputs!$B$38="pvp",15,MAX(0.1,Skills!D23-IF(Skills!E23=TRUE,Inputs!$B$32,0))),0)</f>
        <v/>
      </c>
      <c r="R55" t="n">
        <v>0</v>
      </c>
      <c r="S55" t="n">
        <v>0</v>
      </c>
      <c r="U55" t="n">
        <v>0</v>
      </c>
    </row>
    <row r="58">
      <c r="A58" t="inlineStr">
        <is>
          <t>Average Buff Multiplier (Magic Guard + Meditation, summed; then Infinity)</t>
        </is>
      </c>
      <c r="B58">
        <f>(1+(IF(C35=TRUE,F35*IF(AND(Inputs!$B$38&lt;&gt;"pvp",Inputs!$B$43&gt;0),(((R35-1)*(Skills!S3*(1+(Inputs!$B$34+IF(Inputs!$B$3&gt;=117,F54,0))/100))+MIN((Skills!S3*(1+(Inputs!$B$34+IF(Inputs!$B$3&gt;=117,F54,0))/100)),MAX(0,Inputs!$B$43-((R35-1)*Skills!D3))))/Inputs!$B$43),IF(Inputs!$B$38="pvp",MIN((Skills!S3*(1+(Inputs!$B$34+IF(Inputs!$B$3&gt;=117,F54,0))/100)),15)/15,(Skills!S3*(1+(Inputs!$B$34+IF(Inputs!$B$3&gt;=117,F54,0))/100))/Skills!D3)),0)+IF(C36=TRUE,F36*IF(AND(Inputs!$B$38&lt;&gt;"pvp",Inputs!$B$43&gt;0),(((R36-1)*(Skills!S4*(1+(Inputs!$B$34+IF(Inputs!$B$3&gt;=117,F54,0))/100))+MIN((Skills!S4*(1+(Inputs!$B$34+IF(Inputs!$B$3&gt;=117,F54,0))/100)),MAX(0,Inputs!$B$43-((R36-1)*Skills!D4))))/Inputs!$B$43),IF(Inputs!$B$38="pvp",MIN((Skills!S4*(1+(Inputs!$B$34+IF(Inputs!$B$3&gt;=117,F54,0))/100)),15)/15,(Skills!S4*(1+(Inputs!$B$34+IF(Inputs!$B$3&gt;=117,F54,0))/100))/Skills!D4)),0))/100)*IF(C48=TRUE,(1+F48*IF(AND(Inputs!$B$38&lt;&gt;"pvp",Inputs!$B$43&gt;0),(((R48-1)*(Skills!S16*(1+(Inputs!$B$34+IF(Inputs!$B$3&gt;=117,F54,0))/100))+MIN((Skills!S16*(1+(Inputs!$B$34+IF(Inputs!$B$3&gt;=117,F54,0))/100)),MAX(0,Inputs!$B$43-((R48-1)*Skills!D16))))/Inputs!$B$43),IF(Inputs!$B$38="pvp",MIN((Skills!S16*(1+(Inputs!$B$34+IF(Inputs!$B$3&gt;=117,F54,0))/100)),15)/15,(Skills!S16*(1+(Inputs!$B$34+IF(Inputs!$B$3&gt;=117,F54,0))/100))/Skills!D16))/100),1)</f>
        <v/>
      </c>
    </row>
    <row r="59">
      <c r="A59" t="inlineStr">
        <is>
          <t>Monster Damage Taken Bonus % (Freezing Breath - Weaken + Elemental Reset, summed)</t>
        </is>
      </c>
      <c r="B59">
        <f>IF(Inputs!$B$3&gt;=118,15*IF(Inputs!$B$38="pvp",MIN((30*(1+(Inputs!$B$34+IF(Inputs!$B$3&gt;=117,F54,0))/100)),15)/15,(30*(1+(Inputs!$B$34+IF(Inputs!$B$3&gt;=117,F54,0))/100))/Skills!D8),0)+IF(C46=TRUE,F46,0)</f>
        <v/>
      </c>
    </row>
    <row r="60">
      <c r="A60" t="inlineStr">
        <is>
          <t>Damage % Bonus (Frozen Break + Frost Clutch, flat)</t>
        </is>
      </c>
      <c r="B60">
        <f>IF(Inputs!$B$3&gt;=66,15,0)+IF(Inputs!$B$3&gt;=98,10,0)+IF(Inputs!$B$3&gt;=125,20,0)</f>
        <v/>
      </c>
    </row>
    <row r="61">
      <c r="A61" t="inlineStr">
        <is>
          <t>Attack Speed Bonus % (MP Eater - MP Boost, always-on once unlocked)</t>
        </is>
      </c>
      <c r="B61">
        <f>IF(C45=TRUE,F45+(F49-Calc!F17),0)</f>
        <v/>
      </c>
    </row>
    <row r="62">
      <c r="A62" t="inlineStr">
        <is>
          <t>Actions Per Second</t>
        </is>
      </c>
      <c r="B62">
        <f>1+MIN(150,150*(1-(1-Inputs!$B$11/150)*(1-B61/150)))/100</f>
        <v/>
      </c>
    </row>
    <row r="63">
      <c r="A63" t="inlineStr">
        <is>
          <t>Skill + Buff Cast Rate</t>
        </is>
      </c>
      <c r="B63">
        <f>IF(AND(Inputs!$B$38&lt;&gt;"pvp",Inputs!$B$43&gt;0),SUMPRODUCT((Skills!E2:E23=TRUE)*(C34:C55=TRUE)*R34:R55)/Inputs!$B$43,SUMPRODUCT((Skills!E2:E23=TRUE)*(C34:C55=TRUE)*Q34:Q55))</f>
        <v/>
      </c>
    </row>
    <row r="64">
      <c r="A64" t="inlineStr">
        <is>
          <t>Chain Lightning Casts Per Second</t>
        </is>
      </c>
      <c r="B64">
        <f>MAX(0,B62-B63)</f>
        <v/>
      </c>
    </row>
    <row r="65">
      <c r="A65" t="inlineStr">
        <is>
          <t>Buff-Casting Startup Delay (s, fixed-duration only)</t>
        </is>
      </c>
      <c r="B65">
        <f>IF(AND(Inputs!$B$38&lt;&gt;"pvp",Inputs!$B$43&gt;0),SUMPRODUCT((Skills!S2:S23&gt;0)*(Skills!E2:E23=TRUE)*(C34:C55=TRUE))/B62,0)</f>
        <v/>
      </c>
    </row>
    <row r="66">
      <c r="A66" t="inlineStr">
        <is>
          <t>Boss-Only Total DPS (this block's swept value)</t>
        </is>
      </c>
      <c r="B66">
        <f>SUM(S34:S55)</f>
        <v/>
      </c>
    </row>
    <row r="67">
      <c r="A67" t="inlineStr">
        <is>
          <t>Normal-Only Total DPS (this block's swept value)</t>
        </is>
      </c>
      <c r="B67">
        <f>SUM(U34:U55)</f>
        <v/>
      </c>
    </row>
    <row r="68">
      <c r="A68" s="5" t="inlineStr">
        <is>
          <t>TOTAL DPS</t>
        </is>
      </c>
      <c r="B68" s="5">
        <f>SUM(O34:O55)</f>
        <v/>
      </c>
    </row>
    <row r="71">
      <c r="A71" s="5" t="inlineStr">
        <is>
          <t>Stat: INT %</t>
        </is>
      </c>
    </row>
    <row r="72">
      <c r="A72" s="9" t="inlineStr">
        <is>
          <t>Key</t>
        </is>
      </c>
      <c r="B72" s="9" t="inlineStr">
        <is>
          <t>Name</t>
        </is>
      </c>
      <c r="C72" s="9" t="inlineStr">
        <is>
          <t>Unlocked</t>
        </is>
      </c>
      <c r="D72" s="9" t="inlineStr">
        <is>
          <t>InputLevel</t>
        </is>
      </c>
      <c r="E72" s="9" t="inlineStr">
        <is>
          <t>Factor</t>
        </is>
      </c>
      <c r="F72" s="9" t="inlineStr">
        <is>
          <t>CoefficientPercent</t>
        </is>
      </c>
      <c r="G72" s="9" t="inlineStr">
        <is>
          <t>EffectiveHits</t>
        </is>
      </c>
      <c r="H72" s="9" t="inlineStr">
        <is>
          <t>ProcProbability</t>
        </is>
      </c>
      <c r="I72" s="9" t="inlineStr">
        <is>
          <t>MapleHeroMultiplier</t>
        </is>
      </c>
      <c r="J72" s="9" t="inlineStr">
        <is>
          <t>BaseDamage</t>
        </is>
      </c>
      <c r="K72" s="9" t="inlineStr">
        <is>
          <t>BaseHitDamage</t>
        </is>
      </c>
      <c r="L72" s="9" t="inlineStr">
        <is>
          <t>NonCritAvg</t>
        </is>
      </c>
      <c r="M72" s="9" t="inlineStr">
        <is>
          <t>CritAvg</t>
        </is>
      </c>
      <c r="N72" s="9" t="inlineStr">
        <is>
          <t>ExpectedDamage(perHit)</t>
        </is>
      </c>
      <c r="O72" s="9" t="inlineStr">
        <is>
          <t>DPS</t>
        </is>
      </c>
      <c r="P72" s="9" t="inlineStr">
        <is>
          <t>% of Total</t>
        </is>
      </c>
      <c r="R72" t="inlineStr">
        <is>
          <t>helpers</t>
        </is>
      </c>
    </row>
    <row r="73">
      <c r="A73">
        <f>Skills!A2</f>
        <v/>
      </c>
      <c r="B73">
        <f>Skills!B2</f>
        <v/>
      </c>
      <c r="C73">
        <f>Inputs!$B$3&gt;=100</f>
        <v/>
      </c>
      <c r="D73" t="inlineStr"/>
      <c r="E73" t="inlineStr"/>
      <c r="F73">
        <f>T75+Skills!N2</f>
        <v/>
      </c>
      <c r="G73">
        <f>Calc!G2</f>
        <v/>
      </c>
      <c r="H73">
        <f>Calc!H2</f>
        <v/>
      </c>
      <c r="I73">
        <f>IF(Skills!T2&lt;&gt;"",1+(Skills!T2/10)*(Z74/1000)/100,1)</f>
        <v/>
      </c>
      <c r="J73">
        <f>((Inputs!$B$6*(1+Inputs!$B$7/100))+(((Inputs!$B$12*(1+(Inputs!$B$13+1)/100))-(Inputs!$B$12*(1+Inputs!$B$13/100)))+0.25*(Inputs!$B$14-Inputs!$B$14))*(1+Inputs!$B$7/100))*(F73/100)</f>
        <v/>
      </c>
      <c r="K73">
        <f>J73*(1+((Inputs!$B$12*(1+(Inputs!$B$13+1)/100))*0.01+Inputs!$B$14*0.0025)/100)*(1+(Inputs!$B$15+B99)/100)*(1+Inputs!$B$16/100)*(5000/(6000+Inputs!$B$42*(1-Inputs!$B$19/100)))*(1+Inputs!$B$24/100)*(1+IF(C86=TRUE,F86,0)/100)*(1+IF(C94=TRUE,F94,0)/100)^5*(1+(IF(Skills!A2="CHAIN_LIGHTNING",Inputs!$B$17,Inputs!$B$18))/100)*(B97*I73)</f>
        <v/>
      </c>
      <c r="L73">
        <f>K73*(MIN(Inputs!$B$22+(F89-Calc!F18),Inputs!$B$23)/100+Inputs!$B$23/100)/2</f>
        <v/>
      </c>
      <c r="M73">
        <f>L73*(1+(Inputs!$B$10+(F92-Calc!F21))/100)</f>
        <v/>
      </c>
      <c r="N73">
        <f>L73*(1-MIN(Inputs!$B$9+((F91-Calc!F20)+(F90-Calc!F19)),100)/100)+M73*(MIN(Inputs!$B$9+((F91-Calc!F20)+(F90-Calc!F19)),100)/100)</f>
        <v/>
      </c>
      <c r="O73">
        <f>(1-Summary!$B$51)*S73+Summary!$B$51*U73</f>
        <v/>
      </c>
      <c r="P73">
        <f>IF(B107=0,0,O73/B107)</f>
        <v/>
      </c>
      <c r="Q73">
        <f>IFERROR(1/IF(Inputs!$B$38="pvp",15,MAX(0.1,Skills!D2-IF(Skills!E2=TRUE,Inputs!$B$32,0))),0)</f>
        <v/>
      </c>
      <c r="R73" t="n">
        <v>0</v>
      </c>
      <c r="S73">
        <f>IF(C73,(Skills!F2*N73*B103)*IF(Inputs!$B$38="pvp",1,1+(Inputs!$B$20+Skills!O2+B98)/100),0)</f>
        <v/>
      </c>
      <c r="T73">
        <f>MAX(0,(Inputs!$B$3-100)*3)+Inputs!$B$28+Inputs!$B$29</f>
        <v/>
      </c>
      <c r="U73">
        <f>IF(C73,(Skills!F2*N73*B103)*IF(Inputs!$B$38="pvp",1,(1+(Inputs!$B$21+Skills!P2+B98)/100)*(MIN((6+Inputs!$B$33),Inputs!$B$37))),0)</f>
        <v/>
      </c>
      <c r="Z73">
        <f>MAX(0,(Inputs!$B$3-100)*3)+Inputs!$B$28+Inputs!$B$29</f>
        <v/>
      </c>
    </row>
    <row r="74">
      <c r="A74">
        <f>Skills!A3</f>
        <v/>
      </c>
      <c r="B74">
        <f>Skills!B3</f>
        <v/>
      </c>
      <c r="C74">
        <f>Inputs!$B$3&gt;=15</f>
        <v/>
      </c>
      <c r="D74">
        <f>IF(Skills!C3=1,60+Inputs!$B$25+Inputs!$B$29,IF(Skills!C3=2,90+Inputs!$B$26+Inputs!$B$29,IF(Skills!C3=3,120+Inputs!$B$27+Inputs!$B$29,MAX(0,(Inputs!$B$3-100)*3)+Inputs!$B$28+Inputs!$B$29)))</f>
        <v/>
      </c>
      <c r="E74">
        <f>INDEX(FactorTable!$B$2:$Y$301, MATCH(ROUND(MIN(300,MAX(1,D74)),0), FactorTable!$A$2:$A$301,0), Skills!L3+1)</f>
        <v/>
      </c>
      <c r="F74">
        <f>IF(Skills!M3=TRUE,(Skills!K3/10)*(E74/1000),Skills!K3/10)+Skills!N3</f>
        <v/>
      </c>
      <c r="G74">
        <f>Calc!G3</f>
        <v/>
      </c>
      <c r="H74">
        <f>Calc!H3</f>
        <v/>
      </c>
      <c r="I74">
        <f>IF(Skills!T3&lt;&gt;"",1+(Skills!T3/10)*(Z74/1000)/100,1)</f>
        <v/>
      </c>
      <c r="J74" t="inlineStr"/>
      <c r="K74" t="inlineStr"/>
      <c r="L74" t="inlineStr"/>
      <c r="M74" t="inlineStr"/>
      <c r="N74" t="inlineStr"/>
      <c r="O74">
        <f>(1-Summary!$B$51)*S74+Summary!$B$51*U74</f>
        <v/>
      </c>
      <c r="P74">
        <f>IF(B107=0,0,O74/B107)</f>
        <v/>
      </c>
      <c r="Q74">
        <f>IFERROR(1/IF(Inputs!$B$38="pvp",15,MAX(0.1,Skills!D3-IF(Skills!E3=TRUE,Inputs!$B$32,0))),0)</f>
        <v/>
      </c>
      <c r="R74">
        <f>IF(AND(Inputs!$B$38&lt;&gt;"pvp",Inputs!$B$43&gt;0),IF(Inputs!$B$43&lt;=0,0,(INT(Inputs!$B$43/IF(Inputs!$B$38="pvp",15,MAX(0.1,Skills!D3-IF(Skills!E3=TRUE,Inputs!$B$32,0))))+1)),0)</f>
        <v/>
      </c>
      <c r="S74" t="n">
        <v>0</v>
      </c>
      <c r="T74">
        <f>INDEX(FactorTable!$B$2:$Y$301, MATCH(ROUND(MIN(300,MAX(1,T73)),0), FactorTable!$A$2:$A$301,0), 22)</f>
        <v/>
      </c>
      <c r="U74" t="n">
        <v>0</v>
      </c>
      <c r="Z74">
        <f>INDEX(FactorTable!$B$2:$Y$301, MATCH(ROUND(MIN(300,MAX(1,Z73)),0), FactorTable!$A$2:$A$301,0), 24)</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Skills!L4+1)</f>
        <v/>
      </c>
      <c r="F75">
        <f>IF(Skills!M4=TRUE,(Skills!K4/10)*(E75/1000),Skills!K4/10)+Skills!N4</f>
        <v/>
      </c>
      <c r="G75">
        <f>Calc!G4</f>
        <v/>
      </c>
      <c r="H75">
        <f>Calc!H4</f>
        <v/>
      </c>
      <c r="I75">
        <f>IF(Skills!T4&lt;&gt;"",1+(Skills!T4/10)*(Z74/1000)/100,1)</f>
        <v/>
      </c>
      <c r="J75" t="inlineStr"/>
      <c r="K75" t="inlineStr"/>
      <c r="L75" t="inlineStr"/>
      <c r="M75" t="inlineStr"/>
      <c r="N75" t="inlineStr"/>
      <c r="O75">
        <f>(1-Summary!$B$51)*S75+Summary!$B$51*U75</f>
        <v/>
      </c>
      <c r="P75">
        <f>IF(B107=0,0,O75/B107)</f>
        <v/>
      </c>
      <c r="Q75">
        <f>IFERROR(1/IF(Inputs!$B$38="pvp",15,MAX(0.1,Skills!D4-IF(Skills!E4=TRUE,Inputs!$B$32,0))),0)</f>
        <v/>
      </c>
      <c r="R75">
        <f>IF(AND(Inputs!$B$38&lt;&gt;"pvp",Inputs!$B$43&gt;0),IF(Inputs!$B$43&lt;=0,0,(INT(Inputs!$B$43/IF(Inputs!$B$38="pvp",15,MAX(0.1,Skills!D4-IF(Skills!E4=TRUE,Inputs!$B$32,0))))+1)),0)</f>
        <v/>
      </c>
      <c r="S75" t="n">
        <v>0</v>
      </c>
      <c r="T75">
        <f>290*T74/1000</f>
        <v/>
      </c>
      <c r="U75" t="n">
        <v>0</v>
      </c>
    </row>
    <row r="76">
      <c r="A76">
        <f>Skills!A5</f>
        <v/>
      </c>
      <c r="B76">
        <f>Skills!B5</f>
        <v/>
      </c>
      <c r="C76">
        <f>Inputs!$B$3&gt;=38</f>
        <v/>
      </c>
      <c r="D76">
        <f>IF(Skills!C5=1,60+Inputs!$B$25+Inputs!$B$29,IF(Skills!C5=2,90+Inputs!$B$26+Inputs!$B$29,IF(Skills!C5=3,120+Inputs!$B$27+Inputs!$B$29,MAX(0,(Inputs!$B$3-100)*3)+Inputs!$B$28+Inputs!$B$29)))</f>
        <v/>
      </c>
      <c r="E76">
        <f>INDEX(FactorTable!$B$2:$Y$301, MATCH(ROUND(MIN(300,MAX(1,D76)),0), FactorTable!$A$2:$A$301,0), Skills!L5+1)</f>
        <v/>
      </c>
      <c r="F76">
        <f>IF(Skills!M5=TRUE,(Skills!K5/10)*(E76/1000),Skills!K5/10)+Skills!N5</f>
        <v/>
      </c>
      <c r="G76">
        <f>Calc!G5</f>
        <v/>
      </c>
      <c r="H76">
        <f>Calc!H5</f>
        <v/>
      </c>
      <c r="I76">
        <f>IF(Skills!T5&lt;&gt;"",1+(Skills!T5/10)*(Z74/1000)/100,1)</f>
        <v/>
      </c>
      <c r="J76">
        <f>((Inputs!$B$6*(1+Inputs!$B$7/100))+(((Inputs!$B$12*(1+(Inputs!$B$13+1)/100))-(Inputs!$B$12*(1+Inputs!$B$13/100)))+0.25*(Inputs!$B$14-Inputs!$B$14))*(1+Inputs!$B$7/100))*(F76/100)</f>
        <v/>
      </c>
      <c r="K76">
        <f>J76*(1+((Inputs!$B$12*(1+(Inputs!$B$13+1)/100))*0.01+Inputs!$B$14*0.0025)/100)*(1+(Inputs!$B$15+B99)/100)*(1+Inputs!$B$16/100)*(5000/(6000+Inputs!$B$42*(1-Inputs!$B$19/100)))*(1+Inputs!$B$24/100)*(1+IF(C86=TRUE,F86,0)/100)*(1+IF(C94=TRUE,F94,0)/100)^5*(1+(IF(Skills!A5="CHAIN_LIGHTNING",Inputs!$B$17,Inputs!$B$18))/100)*(B97*I76)</f>
        <v/>
      </c>
      <c r="L76">
        <f>K76*(MIN(Inputs!$B$22+(F89-Calc!F18),Inputs!$B$23)/100+Inputs!$B$23/100)/2</f>
        <v/>
      </c>
      <c r="M76">
        <f>L76*(1+(Inputs!$B$10+(F92-Calc!F21))/100)</f>
        <v/>
      </c>
      <c r="N76">
        <f>L76*(1-MIN(Inputs!$B$9+((F91-Calc!F20)+(F90-Calc!F19)),100)/100)+M76*(MIN(Inputs!$B$9+((F91-Calc!F20)+(F90-Calc!F19)),100)/100)</f>
        <v/>
      </c>
      <c r="O76">
        <f>(1-Summary!$B$51)*S76+Summary!$B$51*U76</f>
        <v/>
      </c>
      <c r="P76">
        <f>IF(B107=0,0,O76/B107)</f>
        <v/>
      </c>
      <c r="Q76">
        <f>IFERROR(1/IF(Inputs!$B$38="pvp",15,MAX(0.1,Skills!D5-IF(Skills!E5=TRUE,Inputs!$B$32,0))),0)</f>
        <v/>
      </c>
      <c r="R76">
        <f>IF(AND(Inputs!$B$38&lt;&gt;"pvp",Inputs!$B$43&gt;0),IF(MAX(0,Inputs!$B$43-B104)&lt;=0,0,(INT(MAX(0,Inputs!$B$43-B104)/IF(Inputs!$B$38="pvp",15,MAX(0.1,Skills!D5-IF(Skills!E5=TRUE,Inputs!$B$32,0))))+1)),0)</f>
        <v/>
      </c>
      <c r="S76">
        <f>IF(C76,(H76*N76*IF(AND(Inputs!$B$38&lt;&gt;"pvp",Inputs!$B$43&gt;0),((Skills!F5*((R76-1)*IF(Skills!G5&gt;0,Skills!H5/Skills!G5,1)+IF(Skills!G5&gt;0,MIN(Skills!H5,MAX(0,MAX(0,Inputs!$B$43-B104)-((R76-1)*IF(Inputs!$B$38="pvp",15,MAX(0.1,Skills!D5-IF(Skills!E5=TRUE,Inputs!$B$32,0))))))/Skills!G5,1)))/Inputs!$B$43),G76*Q76))*IF(Inputs!$B$38="pvp",1,1+(Inputs!$B$20+Skills!O5+B98)/100),0)</f>
        <v/>
      </c>
      <c r="U76">
        <f>IF(C76,(H76*N76*IF(AND(Inputs!$B$38&lt;&gt;"pvp",Inputs!$B$43&gt;0),((Skills!F5*((R76-1)*IF(Skills!G5&gt;0,Skills!H5/Skills!G5,1)+IF(Skills!G5&gt;0,MIN(Skills!H5,MAX(0,MAX(0,Inputs!$B$43-B104)-((R76-1)*IF(Inputs!$B$38="pvp",15,MAX(0.1,Skills!D5-IF(Skills!E5=TRUE,Inputs!$B$32,0))))))/Skills!G5,1)))/Inputs!$B$43),G76*Q76))*IF(Inputs!$B$38="pvp",1,(1+(Inputs!$B$21+Skills!P5+B98)/100)*(MIN(Skills!Q5,Inputs!$B$37))),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Skills!L6+1)</f>
        <v/>
      </c>
      <c r="F77">
        <f>IF(Skills!M6=TRUE,(Skills!K6/10)*(E77/1000),Skills!K6/10)+Skills!N6</f>
        <v/>
      </c>
      <c r="G77">
        <f>Calc!G6</f>
        <v/>
      </c>
      <c r="H77">
        <f>Calc!H6</f>
        <v/>
      </c>
      <c r="I77">
        <f>IF(Skills!T6&lt;&gt;"",1+(Skills!T6/10)*(Z74/1000)/100,1)</f>
        <v/>
      </c>
      <c r="J77">
        <f>((Inputs!$B$6*(1+Inputs!$B$7/100))+(((Inputs!$B$12*(1+(Inputs!$B$13+1)/100))-(Inputs!$B$12*(1+Inputs!$B$13/100)))+0.25*(Inputs!$B$14-Inputs!$B$14))*(1+Inputs!$B$7/100))*(F77/100)</f>
        <v/>
      </c>
      <c r="K77">
        <f>J77*(1+((Inputs!$B$12*(1+(Inputs!$B$13+1)/100))*0.01+Inputs!$B$14*0.0025)/100)*(1+(Inputs!$B$15+B99)/100)*(1+Inputs!$B$16/100)*(5000/(6000+Inputs!$B$42*(1-Inputs!$B$19/100)))*(1+Inputs!$B$24/100)*(1+IF(C86=TRUE,F86,0)/100)*(1+IF(C94=TRUE,F94,0)/100)^5*(1+(IF(Skills!A6="CHAIN_LIGHTNING",Inputs!$B$17,Inputs!$B$18))/100)*(B97*I77)</f>
        <v/>
      </c>
      <c r="L77">
        <f>K77*(MIN(Inputs!$B$22+(F89-Calc!F18),Inputs!$B$23)/100+Inputs!$B$23/100)/2</f>
        <v/>
      </c>
      <c r="M77">
        <f>L77*(1+(Inputs!$B$10+(F92-Calc!F21))/100)</f>
        <v/>
      </c>
      <c r="N77">
        <f>L77*(1-MIN(Inputs!$B$9+((F91-Calc!F20)+(F90-Calc!F19)),100)/100)+M77*(MIN(Inputs!$B$9+((F91-Calc!F20)+(F90-Calc!F19)),100)/100)</f>
        <v/>
      </c>
      <c r="O77">
        <f>(1-Summary!$B$51)*S77+Summary!$B$51*U77</f>
        <v/>
      </c>
      <c r="P77">
        <f>IF(B107=0,0,O77/B107)</f>
        <v/>
      </c>
      <c r="Q77">
        <f>IFERROR(1/IF(Inputs!$B$38="pvp",15,MAX(0.1,Skills!D6-IF(Skills!E6=TRUE,Inputs!$B$32,0))),0)</f>
        <v/>
      </c>
      <c r="R77">
        <f>IF(AND(Inputs!$B$38&lt;&gt;"pvp",Inputs!$B$43&gt;0),IF(MAX(0,Inputs!$B$43-B104)&lt;=0,0,(INT(MAX(0,Inputs!$B$43-B104)/IF(Inputs!$B$38="pvp",15,MAX(0.1,Skills!D6-IF(Skills!E6=TRUE,Inputs!$B$32,0))))+1)),0)</f>
        <v/>
      </c>
      <c r="S77">
        <f>IF(C77,(H77*N77*IF(AND(Inputs!$B$38&lt;&gt;"pvp",Inputs!$B$43&gt;0),((Skills!F6*((R77-1)*IF(Skills!G6&gt;0,Skills!H6/Skills!G6,1)+IF(Skills!G6&gt;0,MIN(Skills!H6,MAX(0,MAX(0,Inputs!$B$43-B104)-((R77-1)*IF(Inputs!$B$38="pvp",15,MAX(0.1,Skills!D6-IF(Skills!E6=TRUE,Inputs!$B$32,0))))))/Skills!G6,1)))/Inputs!$B$43),G77*Q77))*IF(Inputs!$B$38="pvp",1,1+(Inputs!$B$20+Skills!O6+B98)/100),0)</f>
        <v/>
      </c>
      <c r="U77">
        <f>IF(C77,(H77*N77*IF(AND(Inputs!$B$38&lt;&gt;"pvp",Inputs!$B$43&gt;0),((Skills!F6*((R77-1)*IF(Skills!G6&gt;0,Skills!H6/Skills!G6,1)+IF(Skills!G6&gt;0,MIN(Skills!H6,MAX(0,MAX(0,Inputs!$B$43-B104)-((R77-1)*IF(Inputs!$B$38="pvp",15,MAX(0.1,Skills!D6-IF(Skills!E6=TRUE,Inputs!$B$32,0))))))/Skills!G6,1)))/Inputs!$B$43),G77*Q77))*IF(Inputs!$B$38="pvp",1,(1+(Inputs!$B$21+Skills!P6+B98)/100)*(MIN(Skills!Q6,Inputs!$B$37))),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Skills!L7+1)</f>
        <v/>
      </c>
      <c r="F78">
        <f>IF(Skills!M7=TRUE,(Skills!K7/10)*(E78/1000),Skills!K7/10)+Skills!N7</f>
        <v/>
      </c>
      <c r="G78">
        <f>Calc!G7</f>
        <v/>
      </c>
      <c r="H78">
        <f>Calc!H7</f>
        <v/>
      </c>
      <c r="I78">
        <f>IF(Skills!T7&lt;&gt;"",1+(Skills!T7/10)*(Z74/1000)/100,1)</f>
        <v/>
      </c>
      <c r="J78">
        <f>((Inputs!$B$6*(1+Inputs!$B$7/100))+(((Inputs!$B$12*(1+(Inputs!$B$13+1)/100))-(Inputs!$B$12*(1+Inputs!$B$13/100)))+0.25*(Inputs!$B$14-Inputs!$B$14))*(1+Inputs!$B$7/100))*(F78/100)</f>
        <v/>
      </c>
      <c r="K78">
        <f>J78*(1+((Inputs!$B$12*(1+(Inputs!$B$13+1)/100))*0.01+Inputs!$B$14*0.0025)/100)*(1+(Inputs!$B$15+B99)/100)*(1+Inputs!$B$16/100)*(5000/(6000+Inputs!$B$42*(1-Inputs!$B$19/100)))*(1+Inputs!$B$24/100)*(1+IF(C86=TRUE,F86,0)/100)*(1+IF(C94=TRUE,F94,0)/100)^5*(1+(IF(Skills!A7="CHAIN_LIGHTNING",Inputs!$B$17,Inputs!$B$18))/100)*(B97*I78)</f>
        <v/>
      </c>
      <c r="L78">
        <f>K78*(MIN(Inputs!$B$22+(F89-Calc!F18),Inputs!$B$23)/100+Inputs!$B$23/100)/2</f>
        <v/>
      </c>
      <c r="M78">
        <f>L78*(1+(Inputs!$B$10+(F92-Calc!F21))/100)</f>
        <v/>
      </c>
      <c r="N78">
        <f>L78*(1-MIN(Inputs!$B$9+((F91-Calc!F20)+(F90-Calc!F19)),100)/100)+M78*(MIN(Inputs!$B$9+((F91-Calc!F20)+(F90-Calc!F19)),100)/100)</f>
        <v/>
      </c>
      <c r="O78">
        <f>(1-Summary!$B$51)*S78+Summary!$B$51*U78</f>
        <v/>
      </c>
      <c r="P78">
        <f>IF(B107=0,0,O78/B107)</f>
        <v/>
      </c>
      <c r="Q78">
        <f>IFERROR(1/IF(Inputs!$B$38="pvp",15,MAX(0.1,Skills!D7-IF(Skills!E7=TRUE,Inputs!$B$32,0))),0)</f>
        <v/>
      </c>
      <c r="R78">
        <f>IF(AND(Inputs!$B$38&lt;&gt;"pvp",Inputs!$B$43&gt;0),IF(MAX(0,Inputs!$B$43-B104)&lt;=0,0,(INT(MAX(0,Inputs!$B$43-B104)/IF(Inputs!$B$38="pvp",15,MAX(0.1,Skills!D7-IF(Skills!E7=TRUE,Inputs!$B$32,0))))+1)),0)</f>
        <v/>
      </c>
      <c r="S78">
        <f>IF(C78,(H78*N78*IF(AND(Inputs!$B$38&lt;&gt;"pvp",Inputs!$B$43&gt;0),((Skills!F7*((R78-1)*IF(Skills!G7&gt;0,Skills!H7/Skills!G7,1)+IF(Skills!G7&gt;0,MIN(Skills!H7,MAX(0,MAX(0,Inputs!$B$43-B104)-((R78-1)*IF(Inputs!$B$38="pvp",15,MAX(0.1,Skills!D7-IF(Skills!E7=TRUE,Inputs!$B$32,0))))))/Skills!G7,1)))/Inputs!$B$43),G78*Q78))*IF(Inputs!$B$38="pvp",1,1+(Inputs!$B$20+Skills!O7+B98)/100),0)</f>
        <v/>
      </c>
      <c r="U78">
        <f>IF(C78,(H78*N78*IF(AND(Inputs!$B$38&lt;&gt;"pvp",Inputs!$B$43&gt;0),((Skills!F7*((R78-1)*IF(Skills!G7&gt;0,Skills!H7/Skills!G7,1)+IF(Skills!G7&gt;0,MIN(Skills!H7,MAX(0,MAX(0,Inputs!$B$43-B104)-((R78-1)*IF(Inputs!$B$38="pvp",15,MAX(0.1,Skills!D7-IF(Skills!E7=TRUE,Inputs!$B$32,0))))))/Skills!G7,1)))/Inputs!$B$43),G78*Q78))*IF(Inputs!$B$38="pvp",1,(1+(Inputs!$B$21+Skills!P7+B98)/100)*(MIN(Skills!Q7,Inputs!$B$37))),0)</f>
        <v/>
      </c>
    </row>
    <row r="79">
      <c r="A79">
        <f>Skills!A8</f>
        <v/>
      </c>
      <c r="B79">
        <f>Skills!B8</f>
        <v/>
      </c>
      <c r="C79">
        <f>Inputs!$B$3&gt;=103</f>
        <v/>
      </c>
      <c r="D79">
        <f>IF(Skills!C8=1,60+Inputs!$B$25+Inputs!$B$29,IF(Skills!C8=2,90+Inputs!$B$26+Inputs!$B$29,IF(Skills!C8=3,120+Inputs!$B$27+Inputs!$B$29,MAX(0,(Inputs!$B$3-100)*3)+Inputs!$B$28+Inputs!$B$29)))</f>
        <v/>
      </c>
      <c r="E79">
        <f>INDEX(FactorTable!$B$2:$Y$301, MATCH(ROUND(MIN(300,MAX(1,D79)),0), FactorTable!$A$2:$A$301,0), Skills!L8+1)</f>
        <v/>
      </c>
      <c r="F79">
        <f>IF(Skills!M8=TRUE,(Skills!K8/10)*(E79/1000),Skills!K8/10)+Skills!N8</f>
        <v/>
      </c>
      <c r="G79">
        <f>Calc!G8</f>
        <v/>
      </c>
      <c r="H79">
        <f>Calc!H8</f>
        <v/>
      </c>
      <c r="I79">
        <f>IF(Skills!T8&lt;&gt;"",1+(Skills!T8/10)*(Z74/1000)/100,1)</f>
        <v/>
      </c>
      <c r="J79">
        <f>((Inputs!$B$6*(1+Inputs!$B$7/100))+(((Inputs!$B$12*(1+(Inputs!$B$13+1)/100))-(Inputs!$B$12*(1+Inputs!$B$13/100)))+0.25*(Inputs!$B$14-Inputs!$B$14))*(1+Inputs!$B$7/100))*(F79/100)</f>
        <v/>
      </c>
      <c r="K79">
        <f>J79*(1+((Inputs!$B$12*(1+(Inputs!$B$13+1)/100))*0.01+Inputs!$B$14*0.0025)/100)*(1+(Inputs!$B$15+B99)/100)*(1+Inputs!$B$16/100)*(5000/(6000+Inputs!$B$42*(1-Inputs!$B$19/100)))*(1+Inputs!$B$24/100)*(1+IF(C86=TRUE,F86,0)/100)*(1+IF(C94=TRUE,F94,0)/100)^5*(1+(IF(Skills!A8="CHAIN_LIGHTNING",Inputs!$B$17,Inputs!$B$18))/100)*(B97*I79)</f>
        <v/>
      </c>
      <c r="L79">
        <f>K79*(MIN(Inputs!$B$22+(F89-Calc!F18),Inputs!$B$23)/100+Inputs!$B$23/100)/2</f>
        <v/>
      </c>
      <c r="M79">
        <f>L79*(1+(Inputs!$B$10+(F92-Calc!F21))/100)</f>
        <v/>
      </c>
      <c r="N79">
        <f>L79*(1-MIN(Inputs!$B$9+((F91-Calc!F20)+(F90-Calc!F19)),100)/100)+M79*(MIN(Inputs!$B$9+((F91-Calc!F20)+(F90-Calc!F19)),100)/100)</f>
        <v/>
      </c>
      <c r="O79">
        <f>(1-Summary!$B$51)*S79+Summary!$B$51*U79</f>
        <v/>
      </c>
      <c r="P79">
        <f>IF(B107=0,0,O79/B107)</f>
        <v/>
      </c>
      <c r="Q79">
        <f>IFERROR(1/IF(Inputs!$B$38="pvp",15,MAX(0.1,Skills!D8-IF(Skills!E8=TRUE,Inputs!$B$32,0))),0)</f>
        <v/>
      </c>
      <c r="R79">
        <f>IF(AND(Inputs!$B$38&lt;&gt;"pvp",Inputs!$B$43&gt;0),IF(MAX(0,Inputs!$B$43-B104)&lt;=0,0,(INT(MAX(0,Inputs!$B$43-B104)/IF(Inputs!$B$38="pvp",15,MAX(0.1,Skills!D8-IF(Skills!E8=TRUE,Inputs!$B$32,0))))+1)),0)</f>
        <v/>
      </c>
      <c r="S79">
        <f>IF(C79,(H79*N79*IF(AND(Inputs!$B$38&lt;&gt;"pvp",Inputs!$B$43&gt;0),((Skills!F8*((R79-1)*IF(Skills!G8&gt;0,Skills!H8/Skills!G8,1)+IF(Skills!G8&gt;0,MIN(Skills!H8,MAX(0,MAX(0,Inputs!$B$43-B104)-((R79-1)*IF(Inputs!$B$38="pvp",15,MAX(0.1,Skills!D8-IF(Skills!E8=TRUE,Inputs!$B$32,0))))))/Skills!G8,1)))/Inputs!$B$43),G79*Q79))*IF(Inputs!$B$38="pvp",1,1+(Inputs!$B$20+Skills!O8+B98)/100),0)</f>
        <v/>
      </c>
      <c r="U79">
        <f>IF(C79,(H79*N79*IF(AND(Inputs!$B$38&lt;&gt;"pvp",Inputs!$B$43&gt;0),((Skills!F8*((R79-1)*IF(Skills!G8&gt;0,Skills!H8/Skills!G8,1)+IF(Skills!G8&gt;0,MIN(Skills!H8,MAX(0,MAX(0,Inputs!$B$43-B104)-((R79-1)*IF(Inputs!$B$38="pvp",15,MAX(0.1,Skills!D8-IF(Skills!E8=TRUE,Inputs!$B$32,0))))))/Skills!G8,1)))/Inputs!$B$43),G79*Q79))*IF(Inputs!$B$38="pvp",1,(1+(Inputs!$B$21+Skills!P8+B98)/100)*(MIN(Skills!Q8,Inputs!$B$37))),0)</f>
        <v/>
      </c>
    </row>
    <row r="80">
      <c r="A80">
        <f>Skills!A9</f>
        <v/>
      </c>
      <c r="B80">
        <f>Skills!B9</f>
        <v/>
      </c>
      <c r="C80">
        <f>Inputs!$B$3&gt;=105</f>
        <v/>
      </c>
      <c r="D80">
        <f>IF(Skills!C9=1,60+Inputs!$B$25+Inputs!$B$29,IF(Skills!C9=2,90+Inputs!$B$26+Inputs!$B$29,IF(Skills!C9=3,120+Inputs!$B$27+Inputs!$B$29,MAX(0,(Inputs!$B$3-100)*3)+Inputs!$B$28+Inputs!$B$29)))</f>
        <v/>
      </c>
      <c r="E80">
        <f>INDEX(FactorTable!$B$2:$Y$301, MATCH(ROUND(MIN(300,MAX(1,D80)),0), FactorTable!$A$2:$A$301,0), Skills!L9+1)</f>
        <v/>
      </c>
      <c r="F80">
        <f>IF(Skills!M9=TRUE,(Skills!K9/10)*(E80/1000),Skills!K9/10)+Skills!N9</f>
        <v/>
      </c>
      <c r="G80">
        <f>Calc!G9</f>
        <v/>
      </c>
      <c r="H80">
        <f>Calc!H9</f>
        <v/>
      </c>
      <c r="I80">
        <f>IF(Skills!T9&lt;&gt;"",1+(Skills!T9/10)*(Z74/1000)/100,1)</f>
        <v/>
      </c>
      <c r="J80">
        <f>((Inputs!$B$6*(1+Inputs!$B$7/100))+(((Inputs!$B$12*(1+(Inputs!$B$13+1)/100))-(Inputs!$B$12*(1+Inputs!$B$13/100)))+0.25*(Inputs!$B$14-Inputs!$B$14))*(1+Inputs!$B$7/100))*(F80/100)</f>
        <v/>
      </c>
      <c r="K80">
        <f>J80*(1+((Inputs!$B$12*(1+(Inputs!$B$13+1)/100))*0.01+Inputs!$B$14*0.0025)/100)*(1+(Inputs!$B$15+B99)/100)*(1+Inputs!$B$16/100)*(5000/(6000+Inputs!$B$42*(1-Inputs!$B$19/100)))*(1+Inputs!$B$24/100)*(1+IF(C86=TRUE,F86,0)/100)*(1+IF(C94=TRUE,F94,0)/100)^5*(1+(IF(Skills!A9="CHAIN_LIGHTNING",Inputs!$B$17,Inputs!$B$18))/100)*(B97*I80)</f>
        <v/>
      </c>
      <c r="L80">
        <f>K80*(MIN(Inputs!$B$22+(F89-Calc!F18),Inputs!$B$23)/100+Inputs!$B$23/100)/2</f>
        <v/>
      </c>
      <c r="M80">
        <f>L80*(1+(Inputs!$B$10+(F92-Calc!F21))/100)</f>
        <v/>
      </c>
      <c r="N80">
        <f>L80*(1-MIN(Inputs!$B$9+((F91-Calc!F20)+(F90-Calc!F19)),100)/100)+M80*(MIN(Inputs!$B$9+((F91-Calc!F20)+(F90-Calc!F19)),100)/100)</f>
        <v/>
      </c>
      <c r="O80">
        <f>(1-Summary!$B$51)*S80+Summary!$B$51*U80</f>
        <v/>
      </c>
      <c r="P80">
        <f>IF(B107=0,0,O80/B107)</f>
        <v/>
      </c>
      <c r="Q80">
        <f>IFERROR(1/IF(Inputs!$B$38="pvp",15,MAX(0.1,Skills!D9-IF(Skills!E9=TRUE,Inputs!$B$32,0))),0)</f>
        <v/>
      </c>
      <c r="R80">
        <f>IF(AND(Inputs!$B$38&lt;&gt;"pvp",Inputs!$B$43&gt;0),IF(MAX(0,Inputs!$B$43-B104)&lt;=0,0,(INT(MAX(0,Inputs!$B$43-B104)/IF(Inputs!$B$38="pvp",15,MAX(0.1,Skills!D9-IF(Skills!E9=TRUE,Inputs!$B$32,0))))+1)),0)</f>
        <v/>
      </c>
      <c r="S80">
        <f>IF(C80,(H80*N80*IF(AND(Inputs!$B$38&lt;&gt;"pvp",Inputs!$B$43&gt;0),((Skills!F9*((R80-1)*IF(Skills!G9&gt;0,Skills!H9/Skills!G9,1)+IF(Skills!G9&gt;0,MIN(Skills!H9,MAX(0,MAX(0,Inputs!$B$43-B104)-((R80-1)*IF(Inputs!$B$38="pvp",15,MAX(0.1,Skills!D9-IF(Skills!E9=TRUE,Inputs!$B$32,0))))))/Skills!G9,1)))/Inputs!$B$43),G80*Q80))*IF(Inputs!$B$38="pvp",1,1+(Inputs!$B$20+Skills!O9+B98)/100),0)</f>
        <v/>
      </c>
      <c r="U80">
        <f>IF(C80,(H80*N80*IF(AND(Inputs!$B$38&lt;&gt;"pvp",Inputs!$B$43&gt;0),((Skills!F9*((R80-1)*IF(Skills!G9&gt;0,Skills!H9/Skills!G9,1)+IF(Skills!G9&gt;0,MIN(Skills!H9,MAX(0,MAX(0,Inputs!$B$43-B104)-((R80-1)*IF(Inputs!$B$38="pvp",15,MAX(0.1,Skills!D9-IF(Skills!E9=TRUE,Inputs!$B$32,0))))))/Skills!G9,1)))/Inputs!$B$43),G80*Q80))*IF(Inputs!$B$38="pvp",1,(1+(Inputs!$B$21+Skills!P9+B98)/100)*(MIN(Skills!Q9,Inputs!$B$37))),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Skills!L10+1)</f>
        <v/>
      </c>
      <c r="F81">
        <f>IF(Skills!M10=TRUE,(Skills!K10/10)*(E81/1000),Skills!K10/10)+Skills!N10</f>
        <v/>
      </c>
      <c r="G81">
        <f>Calc!G10</f>
        <v/>
      </c>
      <c r="H81">
        <f>Calc!H10</f>
        <v/>
      </c>
      <c r="I81">
        <f>IF(Skills!T10&lt;&gt;"",1+(Skills!T10/10)*(Z74/1000)/100,1)</f>
        <v/>
      </c>
      <c r="J81">
        <f>((Inputs!$B$6*(1+Inputs!$B$7/100))+(((Inputs!$B$12*(1+(Inputs!$B$13+1)/100))-(Inputs!$B$12*(1+Inputs!$B$13/100)))+0.25*(Inputs!$B$14-Inputs!$B$14))*(1+Inputs!$B$7/100))*(F81/100)</f>
        <v/>
      </c>
      <c r="K81">
        <f>J81*(1+((Inputs!$B$12*(1+(Inputs!$B$13+1)/100))*0.01+Inputs!$B$14*0.0025)/100)*(1+(Inputs!$B$15+B99)/100)*(1+Inputs!$B$16/100)*(5000/(6000+Inputs!$B$42*(1-Inputs!$B$19/100)))*(1+Inputs!$B$24/100)*(1+IF(C86=TRUE,F86,0)/100)*(1+IF(C94=TRUE,F94,0)/100)^5*(1+(IF(Skills!A10="CHAIN_LIGHTNING",Inputs!$B$17,Inputs!$B$18))/100)*(B97*I81)</f>
        <v/>
      </c>
      <c r="L81">
        <f>K81*(MIN(Inputs!$B$22+(F89-Calc!F18),Inputs!$B$23)/100+Inputs!$B$23/100)/2</f>
        <v/>
      </c>
      <c r="M81">
        <f>L81*(1+(Inputs!$B$10+(F92-Calc!F21))/100)</f>
        <v/>
      </c>
      <c r="N81">
        <f>L81*(1-MIN(Inputs!$B$9+((F91-Calc!F20)+(F90-Calc!F19)),100)/100)+M81*(MIN(Inputs!$B$9+((F91-Calc!F20)+(F90-Calc!F19)),100)/100)</f>
        <v/>
      </c>
      <c r="O81">
        <f>(1-Summary!$B$51)*S81+Summary!$B$51*U81</f>
        <v/>
      </c>
      <c r="P81">
        <f>IF(B107=0,0,O81/B107)</f>
        <v/>
      </c>
      <c r="Q81">
        <f>IFERROR(1/IF(Inputs!$B$38="pvp",15,MAX(0.1,Skills!D10-IF(Skills!E9=TRUE,Inputs!$B$32,0))),0)</f>
        <v/>
      </c>
      <c r="R81">
        <f>IF(AND(Inputs!$B$38&lt;&gt;"pvp",Inputs!$B$43&gt;0),IF(MAX(0,Inputs!$B$43-B104)&lt;=0,0,(INT(MAX(0,Inputs!$B$43-B104)/IF(Inputs!$B$38="pvp",15,MAX(0.1,Skills!D10-IF(Skills!E9=TRUE,Inputs!$B$32,0))))+1)),0)</f>
        <v/>
      </c>
      <c r="S81">
        <f>IF(C81,(H81*N81*IF(AND(Inputs!$B$38&lt;&gt;"pvp",Inputs!$B$43&gt;0),((Skills!F10*((R81-1)*IF(Skills!G10&gt;0,Skills!H10/Skills!G10,1)+IF(Skills!G10&gt;0,MIN(Skills!H10,MAX(0,MAX(0,Inputs!$B$43-B104)-((R81-1)*IF(Inputs!$B$38="pvp",15,MAX(0.1,Skills!D10-IF(Skills!E9=TRUE,Inputs!$B$32,0))))))/Skills!G10,1)))/Inputs!$B$43),G81*Q81))*IF(Inputs!$B$38="pvp",1,1+(Inputs!$B$20+Skills!O10+B98)/100),0)</f>
        <v/>
      </c>
      <c r="U81">
        <f>IF(C81,(H81*N81*IF(AND(Inputs!$B$38&lt;&gt;"pvp",Inputs!$B$43&gt;0),((Skills!F10*((R81-1)*IF(Skills!G10&gt;0,Skills!H10/Skills!G10,1)+IF(Skills!G10&gt;0,MIN(Skills!H10,MAX(0,MAX(0,Inputs!$B$43-B104)-((R81-1)*IF(Inputs!$B$38="pvp",15,MAX(0.1,Skills!D10-IF(Skills!E9=TRUE,Inputs!$B$32,0))))))/Skills!G10,1)))/Inputs!$B$43),G81*Q81))*IF(Inputs!$B$38="pvp",1,(1+(Inputs!$B$21+Skills!P10+B98)/100)*(MIN(Skills!Q10,Inputs!$B$37))),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Skills!L11+1)</f>
        <v/>
      </c>
      <c r="F82">
        <f>IF(Skills!M11=TRUE,(Skills!K11/10)*(E82/1000),Skills!K11/10)+Skills!N11</f>
        <v/>
      </c>
      <c r="G82">
        <f>Calc!G11</f>
        <v/>
      </c>
      <c r="H82">
        <f>Calc!H11</f>
        <v/>
      </c>
      <c r="I82">
        <f>IF(Skills!T11&lt;&gt;"",1+(Skills!T11/10)*(Z74/1000)/100,1)</f>
        <v/>
      </c>
      <c r="J82">
        <f>((Inputs!$B$6*(1+Inputs!$B$7/100))+(((Inputs!$B$12*(1+(Inputs!$B$13+1)/100))-(Inputs!$B$12*(1+Inputs!$B$13/100)))+0.25*(Inputs!$B$14-Inputs!$B$14))*(1+Inputs!$B$7/100))*(F82/100)</f>
        <v/>
      </c>
      <c r="K82">
        <f>J82*(1+((Inputs!$B$12*(1+(Inputs!$B$13+1)/100))*0.01+Inputs!$B$14*0.0025)/100)*(1+(Inputs!$B$15+B99)/100)*(1+Inputs!$B$16/100)*(5000/(6000+Inputs!$B$42*(1-Inputs!$B$19/100)))*(1+Inputs!$B$24/100)*(1+IF(C86=TRUE,F86,0)/100)*(1+IF(C94=TRUE,F94,0)/100)^5*(1+(IF(Skills!A11="CHAIN_LIGHTNING",Inputs!$B$17,Inputs!$B$18))/100)*(B97*I82)</f>
        <v/>
      </c>
      <c r="L82">
        <f>K82*(MIN(Inputs!$B$22+(F89-Calc!F18),Inputs!$B$23)/100+Inputs!$B$23/100)/2</f>
        <v/>
      </c>
      <c r="M82">
        <f>L82*(1+(Inputs!$B$10+(F92-Calc!F21))/100)</f>
        <v/>
      </c>
      <c r="N82">
        <f>L82*(1-MIN(Inputs!$B$9+((F91-Calc!F20)+(F90-Calc!F19)),100)/100)+M82*(MIN(Inputs!$B$9+((F91-Calc!F20)+(F90-Calc!F19)),100)/100)</f>
        <v/>
      </c>
      <c r="O82">
        <f>(1-Summary!$B$51)*S82+Summary!$B$51*U82</f>
        <v/>
      </c>
      <c r="P82">
        <f>IF(B107=0,0,O82/B107)</f>
        <v/>
      </c>
      <c r="Q82">
        <f>IFERROR(1/IF(Inputs!$B$38="pvp",15,MAX(0.1,Skills!D11-IF(Skills!E11=TRUE,Inputs!$B$32,0))),0)</f>
        <v/>
      </c>
      <c r="R82">
        <f>IF(AND(Inputs!$B$38&lt;&gt;"pvp",Inputs!$B$43&gt;0),IF(MAX(0,Inputs!$B$43-B104)&lt;=0,0,(INT(MAX(0,Inputs!$B$43-B104)/IF(Inputs!$B$38="pvp",15,MAX(0.1,Skills!D11-IF(Skills!E11=TRUE,Inputs!$B$32,0))))+1)),0)</f>
        <v/>
      </c>
      <c r="S82">
        <f>IF(C82,H82*N82*IF(AND(Inputs!$B$38&lt;&gt;"pvp",Inputs!$B$43&gt;0),((Skills!F11*((R82-1)*IF(Skills!G11&gt;0,Skills!H11/Skills!G11,1)+IF(Skills!G11&gt;0,MIN(Skills!H11,MAX(0,MAX(0,Inputs!$B$43-B104)-((R82-1)*IF(Inputs!$B$38="pvp",15,MAX(0.1,Skills!D11-IF(Skills!E11=TRUE,Inputs!$B$32,0))))))/Skills!G11,1)))/Inputs!$B$43),G82*Q82)*0.5*IF(Inputs!$B$38="pvp",1,1+(Inputs!$B$20+Skills!O11+B98)/100),0)</f>
        <v/>
      </c>
      <c r="U82">
        <f>IF(C82,H82*N82*IF(AND(Inputs!$B$38&lt;&gt;"pvp",Inputs!$B$43&gt;0),((Skills!F11*((R82-1)*IF(Skills!G11&gt;0,Skills!H11/Skills!G11,1)+IF(Skills!G11&gt;0,MIN(Skills!H11,MAX(0,MAX(0,Inputs!$B$43-B104)-((R82-1)*IF(Inputs!$B$38="pvp",15,MAX(0.1,Skills!D11-IF(Skills!E11=TRUE,Inputs!$B$32,0))))))/Skills!G11,1)))/Inputs!$B$43),G82*Q82)*1*IF(Inputs!$B$38="pvp",1,(1+(Inputs!$B$21+Skills!P11+B98)/100)*(MIN(Skills!Q11,Inputs!$B$37))),0)</f>
        <v/>
      </c>
    </row>
    <row r="83">
      <c r="A83">
        <f>Skills!A12</f>
        <v/>
      </c>
      <c r="B83">
        <f>Skills!B12</f>
        <v/>
      </c>
      <c r="C83">
        <f>Inputs!$B$3&gt;=115</f>
        <v/>
      </c>
      <c r="D83">
        <f>IF(Skills!C12=1,60+Inputs!$B$25+Inputs!$B$29,IF(Skills!C12=2,90+Inputs!$B$26+Inputs!$B$29,IF(Skills!C12=3,120+Inputs!$B$27+Inputs!$B$29,MAX(0,(Inputs!$B$3-100)*3)+Inputs!$B$28+Inputs!$B$29)))</f>
        <v/>
      </c>
      <c r="E83">
        <f>INDEX(FactorTable!$B$2:$Y$301, MATCH(ROUND(MIN(300,MAX(1,D83)),0), FactorTable!$A$2:$A$301,0), Skills!L12+1)</f>
        <v/>
      </c>
      <c r="F83">
        <f>IF(Skills!M12=TRUE,(Skills!K12/10)*(E83/1000),Skills!K12/10)+Skills!N12</f>
        <v/>
      </c>
      <c r="G83">
        <f>Calc!G12</f>
        <v/>
      </c>
      <c r="H83">
        <f>Calc!H12</f>
        <v/>
      </c>
      <c r="I83">
        <f>IF(Skills!T12&lt;&gt;"",1+(Skills!T12/10)*(Z74/1000)/100,1)</f>
        <v/>
      </c>
      <c r="J83">
        <f>((Inputs!$B$6*(1+Inputs!$B$7/100))+(((Inputs!$B$12*(1+(Inputs!$B$13+1)/100))-(Inputs!$B$12*(1+Inputs!$B$13/100)))+0.25*(Inputs!$B$14-Inputs!$B$14))*(1+Inputs!$B$7/100))*(F83/100)</f>
        <v/>
      </c>
      <c r="K83">
        <f>J83*(1+((Inputs!$B$12*(1+(Inputs!$B$13+1)/100))*0.01+Inputs!$B$14*0.0025)/100)*(1+(Inputs!$B$15+B99)/100)*(1+Inputs!$B$16/100)*(5000/(6000+Inputs!$B$42*(1-Inputs!$B$19/100)))*(1+Inputs!$B$24/100)*(1+IF(C86=TRUE,F86,0)/100)*(1+IF(C94=TRUE,F94,0)/100)^5*(1+(IF(Skills!A12="CHAIN_LIGHTNING",Inputs!$B$17,Inputs!$B$18))/100)*(B97*I83)</f>
        <v/>
      </c>
      <c r="L83">
        <f>K83*(MIN(Inputs!$B$22+(F89-Calc!F18),Inputs!$B$23)/100+Inputs!$B$23/100)/2</f>
        <v/>
      </c>
      <c r="M83">
        <f>L83*(1+(Inputs!$B$10+(F92-Calc!F21))/100)</f>
        <v/>
      </c>
      <c r="N83">
        <f>L83*(1-MIN(Inputs!$B$9+((F91-Calc!F20)+(F90-Calc!F19)),100)/100)+M83*(MIN(Inputs!$B$9+((F91-Calc!F20)+(F90-Calc!F19)),100)/100)</f>
        <v/>
      </c>
      <c r="O83">
        <f>(1-Summary!$B$51)*S83+Summary!$B$51*U83</f>
        <v/>
      </c>
      <c r="P83">
        <f>IF(B107=0,0,O83/B107)</f>
        <v/>
      </c>
      <c r="Q83">
        <f>IFERROR(1/IF(Inputs!$B$38="pvp",15,MAX(0.1,Skills!D12-IF(Skills!E12=TRUE,Inputs!$B$32,0))),0)</f>
        <v/>
      </c>
      <c r="R83">
        <f>IF(AND(Inputs!$B$38&lt;&gt;"pvp",Inputs!$B$43&gt;0),IF(MAX(0,Inputs!$B$43-B104)&lt;=0,0,(INT(MAX(0,Inputs!$B$43-B104)/IF(Inputs!$B$38="pvp",15,MAX(0.1,Skills!D12-IF(Skills!E12=TRUE,Inputs!$B$32,0))))+1)),0)</f>
        <v/>
      </c>
      <c r="S83">
        <f>IF(C83,(H83*N83*IF(AND(Inputs!$B$38&lt;&gt;"pvp",Inputs!$B$43&gt;0),((Skills!F12*((R83-1)*IF(Skills!G12&gt;0,Skills!H12/Skills!G12,1)+IF(Skills!G12&gt;0,MIN(Skills!H12,MAX(0,MAX(0,Inputs!$B$43-B104)-((R83-1)*IF(Inputs!$B$38="pvp",15,MAX(0.1,Skills!D12-IF(Skills!E12=TRUE,Inputs!$B$32,0))))))/Skills!G12,1)))/Inputs!$B$43),G83*Q83))*IF(Inputs!$B$38="pvp",1,1+(Inputs!$B$20+Skills!O12+B98)/100),0)</f>
        <v/>
      </c>
      <c r="U83">
        <f>IF(C83,(H83*N83*IF(AND(Inputs!$B$38&lt;&gt;"pvp",Inputs!$B$43&gt;0),((Skills!F12*((R83-1)*IF(Skills!G12&gt;0,Skills!H12/Skills!G12,1)+IF(Skills!G12&gt;0,MIN(Skills!H12,MAX(0,MAX(0,Inputs!$B$43-B104)-((R83-1)*IF(Inputs!$B$38="pvp",15,MAX(0.1,Skills!D12-IF(Skills!E12=TRUE,Inputs!$B$32,0))))))/Skills!G12,1)))/Inputs!$B$43),G83*Q83))*IF(Inputs!$B$38="pvp",1,(1+(Inputs!$B$21+Skills!P12+B98)/100)*(MIN(Skills!Q12,Inputs!$B$37))),0)</f>
        <v/>
      </c>
    </row>
    <row r="84">
      <c r="A84">
        <f>Skills!A13</f>
        <v/>
      </c>
      <c r="B84">
        <f>Skills!B13</f>
        <v/>
      </c>
      <c r="C84">
        <f>Inputs!$B$3&gt;=49</f>
        <v/>
      </c>
      <c r="D84">
        <f>IF(Skills!C13=1,60+Inputs!$B$25+Inputs!$B$29,IF(Skills!C13=2,90+Inputs!$B$26+Inputs!$B$29,IF(Skills!C13=3,120+Inputs!$B$27+Inputs!$B$29,MAX(0,(Inputs!$B$3-100)*3)+Inputs!$B$28+Inputs!$B$29)))</f>
        <v/>
      </c>
      <c r="E84">
        <f>INDEX(FactorTable!$B$2:$Y$301, MATCH(ROUND(MIN(300,MAX(1,D84)),0), FactorTable!$A$2:$A$301,0), Skills!L13+1)</f>
        <v/>
      </c>
      <c r="F84">
        <f>IF(Skills!M13=TRUE,(Skills!K13/10)*(E84/1000),Skills!K13/10)+Skills!N13</f>
        <v/>
      </c>
      <c r="G84">
        <f>Calc!G13</f>
        <v/>
      </c>
      <c r="H84">
        <f>Calc!H13</f>
        <v/>
      </c>
      <c r="I84">
        <f>IF(Skills!T13&lt;&gt;"",1+(Skills!T13/10)*(Z74/1000)/100,1)</f>
        <v/>
      </c>
      <c r="J84" t="inlineStr"/>
      <c r="K84" t="inlineStr"/>
      <c r="L84" t="inlineStr"/>
      <c r="M84" t="inlineStr"/>
      <c r="N84" t="inlineStr"/>
      <c r="O84">
        <f>(1-Summary!$B$51)*S84+Summary!$B$51*U84</f>
        <v/>
      </c>
      <c r="P84">
        <f>IF(B107=0,0,O84/B107)</f>
        <v/>
      </c>
      <c r="Q84">
        <f>IFERROR(1/IF(Inputs!$B$38="pvp",15,MAX(0.1,Skills!D13-IF(Skills!E13=TRUE,Inputs!$B$32,0))),0)</f>
        <v/>
      </c>
      <c r="R84" t="n">
        <v>0</v>
      </c>
      <c r="S84" t="n">
        <v>0</v>
      </c>
      <c r="U84" t="n">
        <v>0</v>
      </c>
    </row>
    <row r="85">
      <c r="A85">
        <f>Skills!A14</f>
        <v/>
      </c>
      <c r="B85">
        <f>Skills!B14</f>
        <v/>
      </c>
      <c r="C85">
        <f>Inputs!$B$3&gt;=72</f>
        <v/>
      </c>
      <c r="D85">
        <f>IF(Skills!C14=1,60+Inputs!$B$25+Inputs!$B$29,IF(Skills!C14=2,90+Inputs!$B$26+Inputs!$B$29,IF(Skills!C14=3,120+Inputs!$B$27+Inputs!$B$29,MAX(0,(Inputs!$B$3-100)*3)+Inputs!$B$28+Inputs!$B$29)))</f>
        <v/>
      </c>
      <c r="E85">
        <f>INDEX(FactorTable!$B$2:$Y$301, MATCH(ROUND(MIN(300,MAX(1,D85)),0), FactorTable!$A$2:$A$301,0), Skills!L14+1)</f>
        <v/>
      </c>
      <c r="F85">
        <f>IF(Skills!M14=TRUE,(Skills!K14/10)*(E85/1000),Skills!K14/10)+Skills!N14</f>
        <v/>
      </c>
      <c r="G85">
        <f>Calc!G14</f>
        <v/>
      </c>
      <c r="H85">
        <f>Calc!H14</f>
        <v/>
      </c>
      <c r="I85">
        <f>IF(Skills!T14&lt;&gt;"",1+(Skills!T14/10)*(Z74/1000)/100,1)</f>
        <v/>
      </c>
      <c r="J85" t="inlineStr"/>
      <c r="K85" t="inlineStr"/>
      <c r="L85" t="inlineStr"/>
      <c r="M85" t="inlineStr"/>
      <c r="N85" t="inlineStr"/>
      <c r="O85">
        <f>(1-Summary!$B$51)*S85+Summary!$B$51*U85</f>
        <v/>
      </c>
      <c r="P85">
        <f>IF(B107=0,0,O85/B107)</f>
        <v/>
      </c>
      <c r="Q85">
        <f>IFERROR(1/IF(Inputs!$B$38="pvp",15,MAX(0.1,Skills!D14-IF(Skills!E14=TRUE,Inputs!$B$32,0))),0)</f>
        <v/>
      </c>
      <c r="R85" t="n">
        <v>0</v>
      </c>
      <c r="S85" t="n">
        <v>0</v>
      </c>
      <c r="U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Skills!L15+1)</f>
        <v/>
      </c>
      <c r="F86">
        <f>IF(Skills!M15=TRUE,(Skills!K15/10)*(E86/1000),Skills!K15/10)+Skills!N15</f>
        <v/>
      </c>
      <c r="G86">
        <f>Calc!G15</f>
        <v/>
      </c>
      <c r="H86">
        <f>Calc!H15</f>
        <v/>
      </c>
      <c r="I86">
        <f>IF(Skills!T15&lt;&gt;"",1+(Skills!T15/10)*(Z74/1000)/100,1)</f>
        <v/>
      </c>
      <c r="J86" t="inlineStr"/>
      <c r="K86" t="inlineStr"/>
      <c r="L86" t="inlineStr"/>
      <c r="M86" t="inlineStr"/>
      <c r="N86" t="inlineStr"/>
      <c r="O86">
        <f>(1-Summary!$B$51)*S86+Summary!$B$51*U86</f>
        <v/>
      </c>
      <c r="P86">
        <f>IF(B107=0,0,O86/B107)</f>
        <v/>
      </c>
      <c r="Q86">
        <f>IFERROR(1/IF(Inputs!$B$38="pvp",15,MAX(0.1,Skills!D15-IF(Skills!E15=TRUE,Inputs!$B$32,0))),0)</f>
        <v/>
      </c>
      <c r="R86" t="n">
        <v>0</v>
      </c>
      <c r="S86" t="n">
        <v>0</v>
      </c>
      <c r="U86" t="n">
        <v>0</v>
      </c>
    </row>
    <row r="87">
      <c r="A87">
        <f>Skills!A16</f>
        <v/>
      </c>
      <c r="B87">
        <f>Skills!B16</f>
        <v/>
      </c>
      <c r="C87">
        <f>Inputs!$B$3&gt;=110</f>
        <v/>
      </c>
      <c r="D87">
        <f>IF(Skills!C16=1,60+Inputs!$B$25+Inputs!$B$29,IF(Skills!C16=2,90+Inputs!$B$26+Inputs!$B$29,IF(Skills!C16=3,120+Inputs!$B$27+Inputs!$B$29,MAX(0,(Inputs!$B$3-100)*3)+Inputs!$B$28+Inputs!$B$29)))</f>
        <v/>
      </c>
      <c r="E87">
        <f>INDEX(FactorTable!$B$2:$Y$301, MATCH(ROUND(MIN(300,MAX(1,D87)),0), FactorTable!$A$2:$A$301,0), Skills!L16+1)</f>
        <v/>
      </c>
      <c r="F87">
        <f>(Skills!K16/10)*(E87/1000)*64/45+Skills!N16</f>
        <v/>
      </c>
      <c r="G87">
        <f>Calc!G16</f>
        <v/>
      </c>
      <c r="H87">
        <f>Calc!H16</f>
        <v/>
      </c>
      <c r="I87">
        <f>IF(Skills!T16&lt;&gt;"",1+(Skills!T16/10)*(Z74/1000)/100,1)</f>
        <v/>
      </c>
      <c r="J87" t="inlineStr"/>
      <c r="K87" t="inlineStr"/>
      <c r="L87" t="inlineStr"/>
      <c r="M87" t="inlineStr"/>
      <c r="N87" t="inlineStr"/>
      <c r="O87">
        <f>(1-Summary!$B$51)*S87+Summary!$B$51*U87</f>
        <v/>
      </c>
      <c r="P87">
        <f>IF(B107=0,0,O87/B107)</f>
        <v/>
      </c>
      <c r="Q87">
        <f>IFERROR(1/IF(Inputs!$B$38="pvp",15,MAX(0.1,Skills!D16-IF(Skills!E16=TRUE,Inputs!$B$32,0))),0)</f>
        <v/>
      </c>
      <c r="R87">
        <f>IF(AND(Inputs!$B$38&lt;&gt;"pvp",Inputs!$B$43&gt;0),IF(Inputs!$B$43&lt;=0,0,(INT(Inputs!$B$43/IF(Inputs!$B$38="pvp",15,MAX(0.1,Skills!D16-IF(Skills!E16=TRUE,Inputs!$B$32,0))))+1)),0)</f>
        <v/>
      </c>
      <c r="S87" t="n">
        <v>0</v>
      </c>
      <c r="U87" t="n">
        <v>0</v>
      </c>
    </row>
    <row r="88">
      <c r="A88">
        <f>Skills!A17</f>
        <v/>
      </c>
      <c r="B88">
        <f>Skills!B17</f>
        <v/>
      </c>
      <c r="C88">
        <f>Inputs!$B$3&gt;=33</f>
        <v/>
      </c>
      <c r="D88">
        <f>IF(Skills!C17=1,60+Inputs!$B$25+Inputs!$B$29,IF(Skills!C17=2,90+Inputs!$B$26+Inputs!$B$29,IF(Skills!C17=3,120+Inputs!$B$27+Inputs!$B$29,MAX(0,(Inputs!$B$3-100)*3)+Inputs!$B$28+Inputs!$B$29)))</f>
        <v/>
      </c>
      <c r="E88">
        <f>INDEX(FactorTable!$B$2:$Y$301, MATCH(ROUND(MIN(300,MAX(1,D88)),0), FactorTable!$A$2:$A$301,0), Skills!L17+1)</f>
        <v/>
      </c>
      <c r="F88">
        <f>IF(Skills!M17=TRUE,(Skills!K17/10)*(E88/1000),Skills!K17/10)+Skills!N17</f>
        <v/>
      </c>
      <c r="G88">
        <f>Calc!G17</f>
        <v/>
      </c>
      <c r="H88">
        <f>Calc!H17</f>
        <v/>
      </c>
      <c r="I88">
        <f>IF(Skills!T17&lt;&gt;"",1+(Skills!T17/10)*(Z74/1000)/100,1)</f>
        <v/>
      </c>
      <c r="J88" t="inlineStr"/>
      <c r="K88" t="inlineStr"/>
      <c r="L88" t="inlineStr"/>
      <c r="M88" t="inlineStr"/>
      <c r="N88" t="inlineStr"/>
      <c r="O88">
        <f>(1-Summary!$B$51)*S88+Summary!$B$51*U88</f>
        <v/>
      </c>
      <c r="P88">
        <f>IF(B107=0,0,O88/B107)</f>
        <v/>
      </c>
      <c r="Q88">
        <f>IFERROR(1/IF(Inputs!$B$38="pvp",15,MAX(0.1,Skills!D17-IF(Skills!E17=TRUE,Inputs!$B$32,0))),0)</f>
        <v/>
      </c>
      <c r="R88" t="n">
        <v>0</v>
      </c>
      <c r="S88" t="n">
        <v>0</v>
      </c>
      <c r="U88" t="n">
        <v>0</v>
      </c>
    </row>
    <row r="89">
      <c r="A89">
        <f>Skills!A18</f>
        <v/>
      </c>
      <c r="B89">
        <f>Skills!B18</f>
        <v/>
      </c>
      <c r="C89">
        <f>Inputs!$B$3&gt;=43</f>
        <v/>
      </c>
      <c r="D89">
        <f>IF(Skills!C18=1,60+Inputs!$B$25+Inputs!$B$29,IF(Skills!C18=2,90+Inputs!$B$26+Inputs!$B$29,IF(Skills!C18=3,120+Inputs!$B$27+Inputs!$B$29,MAX(0,(Inputs!$B$3-100)*3)+Inputs!$B$28+Inputs!$B$29)))</f>
        <v/>
      </c>
      <c r="E89">
        <f>INDEX(FactorTable!$B$2:$Y$301, MATCH(ROUND(MIN(300,MAX(1,D89)),0), FactorTable!$A$2:$A$301,0), Skills!L18+1)</f>
        <v/>
      </c>
      <c r="F89">
        <f>IF(Skills!M18=TRUE,(Skills!K18/10)*(E89/1000),Skills!K18/10)+Skills!N18</f>
        <v/>
      </c>
      <c r="G89">
        <f>Calc!G18</f>
        <v/>
      </c>
      <c r="H89">
        <f>Calc!H18</f>
        <v/>
      </c>
      <c r="I89">
        <f>IF(Skills!T18&lt;&gt;"",1+(Skills!T18/10)*(Z74/1000)/100,1)</f>
        <v/>
      </c>
      <c r="J89" t="inlineStr"/>
      <c r="K89" t="inlineStr"/>
      <c r="L89" t="inlineStr"/>
      <c r="M89" t="inlineStr"/>
      <c r="N89" t="inlineStr"/>
      <c r="O89">
        <f>(1-Summary!$B$51)*S89+Summary!$B$51*U89</f>
        <v/>
      </c>
      <c r="P89">
        <f>IF(B107=0,0,O89/B107)</f>
        <v/>
      </c>
      <c r="Q89">
        <f>IFERROR(1/IF(Inputs!$B$38="pvp",15,MAX(0.1,Skills!D18-IF(Skills!E18=TRUE,Inputs!$B$32,0))),0)</f>
        <v/>
      </c>
      <c r="R89" t="n">
        <v>0</v>
      </c>
      <c r="S89" t="n">
        <v>0</v>
      </c>
      <c r="U89" t="n">
        <v>0</v>
      </c>
    </row>
    <row r="90">
      <c r="A90">
        <f>Skills!A19</f>
        <v/>
      </c>
      <c r="B90">
        <f>Skills!B19</f>
        <v/>
      </c>
      <c r="C90">
        <f>Inputs!$B$3&gt;=50</f>
        <v/>
      </c>
      <c r="D90">
        <f>IF(Skills!C19=1,60+Inputs!$B$25+Inputs!$B$29,IF(Skills!C19=2,90+Inputs!$B$26+Inputs!$B$29,IF(Skills!C19=3,120+Inputs!$B$27+Inputs!$B$29,MAX(0,(Inputs!$B$3-100)*3)+Inputs!$B$28+Inputs!$B$29)))</f>
        <v/>
      </c>
      <c r="E90">
        <f>INDEX(FactorTable!$B$2:$Y$301, MATCH(ROUND(MIN(300,MAX(1,D90)),0), FactorTable!$A$2:$A$301,0), Skills!L19+1)</f>
        <v/>
      </c>
      <c r="F90">
        <f>IF(Skills!M19=TRUE,(Skills!K19/10)*(E90/1000),Skills!K19/10)+Skills!N19</f>
        <v/>
      </c>
      <c r="G90">
        <f>Calc!G19</f>
        <v/>
      </c>
      <c r="H90">
        <f>Calc!H19</f>
        <v/>
      </c>
      <c r="I90">
        <f>IF(Skills!T19&lt;&gt;"",1+(Skills!T19/10)*(Z74/1000)/100,1)</f>
        <v/>
      </c>
      <c r="J90" t="inlineStr"/>
      <c r="K90" t="inlineStr"/>
      <c r="L90" t="inlineStr"/>
      <c r="M90" t="inlineStr"/>
      <c r="N90" t="inlineStr"/>
      <c r="O90">
        <f>(1-Summary!$B$51)*S90+Summary!$B$51*U90</f>
        <v/>
      </c>
      <c r="P90">
        <f>IF(B107=0,0,O90/B107)</f>
        <v/>
      </c>
      <c r="Q90">
        <f>IFERROR(1/IF(Inputs!$B$38="pvp",15,MAX(0.1,Skills!D19-IF(Skills!E19=TRUE,Inputs!$B$32,0))),0)</f>
        <v/>
      </c>
      <c r="R90" t="n">
        <v>0</v>
      </c>
      <c r="S90" t="n">
        <v>0</v>
      </c>
      <c r="U90" t="n">
        <v>0</v>
      </c>
    </row>
    <row r="91">
      <c r="A91">
        <f>Skills!A20</f>
        <v/>
      </c>
      <c r="B91">
        <f>Skills!B20</f>
        <v/>
      </c>
      <c r="C91">
        <f>Inputs!$B$3&gt;=74</f>
        <v/>
      </c>
      <c r="D91">
        <f>IF(Skills!C20=1,60+Inputs!$B$25+Inputs!$B$29,IF(Skills!C20=2,90+Inputs!$B$26+Inputs!$B$29,IF(Skills!C20=3,120+Inputs!$B$27+Inputs!$B$29,MAX(0,(Inputs!$B$3-100)*3)+Inputs!$B$28+Inputs!$B$29)))</f>
        <v/>
      </c>
      <c r="E91">
        <f>INDEX(FactorTable!$B$2:$Y$301, MATCH(ROUND(MIN(300,MAX(1,D91)),0), FactorTable!$A$2:$A$301,0), Skills!L20+1)</f>
        <v/>
      </c>
      <c r="F91">
        <f>IF(Skills!M20=TRUE,(Skills!K20/10)*(E91/1000),Skills!K20/10)+Skills!N20</f>
        <v/>
      </c>
      <c r="G91">
        <f>Calc!G20</f>
        <v/>
      </c>
      <c r="H91">
        <f>Calc!H20</f>
        <v/>
      </c>
      <c r="I91">
        <f>IF(Skills!T20&lt;&gt;"",1+(Skills!T20/10)*(Z74/1000)/100,1)</f>
        <v/>
      </c>
      <c r="J91" t="inlineStr"/>
      <c r="K91" t="inlineStr"/>
      <c r="L91" t="inlineStr"/>
      <c r="M91" t="inlineStr"/>
      <c r="N91" t="inlineStr"/>
      <c r="O91">
        <f>(1-Summary!$B$51)*S91+Summary!$B$51*U91</f>
        <v/>
      </c>
      <c r="P91">
        <f>IF(B107=0,0,O91/B107)</f>
        <v/>
      </c>
      <c r="Q91">
        <f>IFERROR(1/IF(Inputs!$B$38="pvp",15,MAX(0.1,Skills!D20-IF(Skills!E20=TRUE,Inputs!$B$32,0))),0)</f>
        <v/>
      </c>
      <c r="R91" t="n">
        <v>0</v>
      </c>
      <c r="S91" t="n">
        <v>0</v>
      </c>
      <c r="U91" t="n">
        <v>0</v>
      </c>
    </row>
    <row r="92">
      <c r="A92">
        <f>Skills!A21</f>
        <v/>
      </c>
      <c r="B92">
        <f>Skills!B21</f>
        <v/>
      </c>
      <c r="C92">
        <f>Inputs!$B$3&gt;=74</f>
        <v/>
      </c>
      <c r="D92">
        <f>IF(Skills!C21=1,60+Inputs!$B$25+Inputs!$B$29,IF(Skills!C21=2,90+Inputs!$B$26+Inputs!$B$29,IF(Skills!C21=3,120+Inputs!$B$27+Inputs!$B$29,MAX(0,(Inputs!$B$3-100)*3)+Inputs!$B$28+Inputs!$B$29)))</f>
        <v/>
      </c>
      <c r="E92">
        <f>INDEX(FactorTable!$B$2:$Y$301, MATCH(ROUND(MIN(300,MAX(1,D92)),0), FactorTable!$A$2:$A$301,0), Skills!L21+1)</f>
        <v/>
      </c>
      <c r="F92">
        <f>IF(Skills!M21=TRUE,(Skills!K21/10)*(E92/1000),Skills!K21/10)+Skills!N21</f>
        <v/>
      </c>
      <c r="G92">
        <f>Calc!G21</f>
        <v/>
      </c>
      <c r="H92">
        <f>Calc!H21</f>
        <v/>
      </c>
      <c r="I92">
        <f>IF(Skills!T21&lt;&gt;"",1+(Skills!T21/10)*(Z74/1000)/100,1)</f>
        <v/>
      </c>
      <c r="J92" t="inlineStr"/>
      <c r="K92" t="inlineStr"/>
      <c r="L92" t="inlineStr"/>
      <c r="M92" t="inlineStr"/>
      <c r="N92" t="inlineStr"/>
      <c r="O92">
        <f>(1-Summary!$B$51)*S92+Summary!$B$51*U92</f>
        <v/>
      </c>
      <c r="P92">
        <f>IF(B107=0,0,O92/B107)</f>
        <v/>
      </c>
      <c r="Q92">
        <f>IFERROR(1/IF(Inputs!$B$38="pvp",15,MAX(0.1,Skills!D21-IF(Skills!E21=TRUE,Inputs!$B$32,0))),0)</f>
        <v/>
      </c>
      <c r="R92" t="n">
        <v>0</v>
      </c>
      <c r="S92" t="n">
        <v>0</v>
      </c>
      <c r="U92" t="n">
        <v>0</v>
      </c>
    </row>
    <row r="93">
      <c r="A93">
        <f>Skills!A22</f>
        <v/>
      </c>
      <c r="B93">
        <f>Skills!B22</f>
        <v/>
      </c>
      <c r="C93">
        <f>Inputs!$B$3&gt;=117</f>
        <v/>
      </c>
      <c r="D93">
        <f>IF(Skills!C22=1,60+Inputs!$B$25+Inputs!$B$29,IF(Skills!C22=2,90+Inputs!$B$26+Inputs!$B$29,IF(Skills!C22=3,120+Inputs!$B$27+Inputs!$B$29,MAX(0,(Inputs!$B$3-100)*3)+Inputs!$B$28+Inputs!$B$29)))</f>
        <v/>
      </c>
      <c r="E93">
        <f>INDEX(FactorTable!$B$2:$Y$301, MATCH(ROUND(MIN(300,MAX(1,D93)),0), FactorTable!$A$2:$A$301,0), Skills!L22+1)</f>
        <v/>
      </c>
      <c r="F93">
        <f>IF(Skills!M22=TRUE,(Skills!K22/10)*(E93/1000),Skills!K22/10)+Skills!N22</f>
        <v/>
      </c>
      <c r="G93">
        <f>Calc!G22</f>
        <v/>
      </c>
      <c r="H93">
        <f>Calc!H22</f>
        <v/>
      </c>
      <c r="I93">
        <f>IF(Skills!T22&lt;&gt;"",1+(Skills!T22/10)*(Z74/1000)/100,1)</f>
        <v/>
      </c>
      <c r="J93" t="inlineStr"/>
      <c r="K93" t="inlineStr"/>
      <c r="L93" t="inlineStr"/>
      <c r="M93" t="inlineStr"/>
      <c r="N93" t="inlineStr"/>
      <c r="O93">
        <f>(1-Summary!$B$51)*S93+Summary!$B$51*U93</f>
        <v/>
      </c>
      <c r="P93">
        <f>IF(B107=0,0,O93/B107)</f>
        <v/>
      </c>
      <c r="Q93">
        <f>IFERROR(1/IF(Inputs!$B$38="pvp",15,MAX(0.1,Skills!D22-IF(Skills!E22=TRUE,Inputs!$B$32,0))),0)</f>
        <v/>
      </c>
      <c r="R93" t="n">
        <v>0</v>
      </c>
      <c r="S93" t="n">
        <v>0</v>
      </c>
      <c r="U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Skills!L23+1)</f>
        <v/>
      </c>
      <c r="F94">
        <f>IF(Skills!M23=TRUE,(Skills!K23/10)*(E94/1000),Skills!K23/10)+Skills!N23</f>
        <v/>
      </c>
      <c r="G94">
        <f>Calc!G23</f>
        <v/>
      </c>
      <c r="H94">
        <f>Calc!H23</f>
        <v/>
      </c>
      <c r="I94">
        <f>IF(Skills!T23&lt;&gt;"",1+(Skills!T23/10)*(Z74/1000)/100,1)</f>
        <v/>
      </c>
      <c r="J94" t="inlineStr"/>
      <c r="K94" t="inlineStr"/>
      <c r="L94" t="inlineStr"/>
      <c r="M94" t="inlineStr"/>
      <c r="N94" t="inlineStr"/>
      <c r="O94">
        <f>(1-Summary!$B$51)*S94+Summary!$B$51*U94</f>
        <v/>
      </c>
      <c r="P94">
        <f>IF(B107=0,0,O94/B107)</f>
        <v/>
      </c>
      <c r="Q94">
        <f>IFERROR(1/IF(Inputs!$B$38="pvp",15,MAX(0.1,Skills!D23-IF(Skills!E23=TRUE,Inputs!$B$32,0))),0)</f>
        <v/>
      </c>
      <c r="R94" t="n">
        <v>0</v>
      </c>
      <c r="S94" t="n">
        <v>0</v>
      </c>
      <c r="U94" t="n">
        <v>0</v>
      </c>
    </row>
    <row r="97">
      <c r="A97" t="inlineStr">
        <is>
          <t>Average Buff Multiplier (Magic Guard + Meditation, summed; then Infinity)</t>
        </is>
      </c>
      <c r="B97">
        <f>(1+(IF(C74=TRUE,F74*IF(AND(Inputs!$B$38&lt;&gt;"pvp",Inputs!$B$43&gt;0),(((R74-1)*(Skills!S3*(1+(Inputs!$B$34+IF(Inputs!$B$3&gt;=117,F93,0))/100))+MIN((Skills!S3*(1+(Inputs!$B$34+IF(Inputs!$B$3&gt;=117,F93,0))/100)),MAX(0,Inputs!$B$43-((R74-1)*Skills!D3))))/Inputs!$B$43),IF(Inputs!$B$38="pvp",MIN((Skills!S3*(1+(Inputs!$B$34+IF(Inputs!$B$3&gt;=117,F93,0))/100)),15)/15,(Skills!S3*(1+(Inputs!$B$34+IF(Inputs!$B$3&gt;=117,F93,0))/100))/Skills!D3)),0)+IF(C75=TRUE,F75*IF(AND(Inputs!$B$38&lt;&gt;"pvp",Inputs!$B$43&gt;0),(((R75-1)*(Skills!S4*(1+(Inputs!$B$34+IF(Inputs!$B$3&gt;=117,F93,0))/100))+MIN((Skills!S4*(1+(Inputs!$B$34+IF(Inputs!$B$3&gt;=117,F93,0))/100)),MAX(0,Inputs!$B$43-((R75-1)*Skills!D4))))/Inputs!$B$43),IF(Inputs!$B$38="pvp",MIN((Skills!S4*(1+(Inputs!$B$34+IF(Inputs!$B$3&gt;=117,F93,0))/100)),15)/15,(Skills!S4*(1+(Inputs!$B$34+IF(Inputs!$B$3&gt;=117,F93,0))/100))/Skills!D4)),0))/100)*IF(C87=TRUE,(1+F87*IF(AND(Inputs!$B$38&lt;&gt;"pvp",Inputs!$B$43&gt;0),(((R87-1)*(Skills!S16*(1+(Inputs!$B$34+IF(Inputs!$B$3&gt;=117,F93,0))/100))+MIN((Skills!S16*(1+(Inputs!$B$34+IF(Inputs!$B$3&gt;=117,F93,0))/100)),MAX(0,Inputs!$B$43-((R87-1)*Skills!D16))))/Inputs!$B$43),IF(Inputs!$B$38="pvp",MIN((Skills!S16*(1+(Inputs!$B$34+IF(Inputs!$B$3&gt;=117,F93,0))/100)),15)/15,(Skills!S16*(1+(Inputs!$B$34+IF(Inputs!$B$3&gt;=117,F93,0))/100))/Skills!D16))/100),1)</f>
        <v/>
      </c>
    </row>
    <row r="98">
      <c r="A98" t="inlineStr">
        <is>
          <t>Monster Damage Taken Bonus % (Freezing Breath - Weaken + Elemental Reset, summed)</t>
        </is>
      </c>
      <c r="B98">
        <f>IF(Inputs!$B$3&gt;=118,15*IF(Inputs!$B$38="pvp",MIN((30*(1+(Inputs!$B$34+IF(Inputs!$B$3&gt;=117,F93,0))/100)),15)/15,(30*(1+(Inputs!$B$34+IF(Inputs!$B$3&gt;=117,F93,0))/100))/Skills!D8),0)+IF(C85=TRUE,F85,0)</f>
        <v/>
      </c>
    </row>
    <row r="99">
      <c r="A99" t="inlineStr">
        <is>
          <t>Damage % Bonus (Frozen Break + Frost Clutch, flat)</t>
        </is>
      </c>
      <c r="B99">
        <f>IF(Inputs!$B$3&gt;=66,15,0)+IF(Inputs!$B$3&gt;=98,10,0)+IF(Inputs!$B$3&gt;=125,20,0)</f>
        <v/>
      </c>
    </row>
    <row r="100">
      <c r="A100" t="inlineStr">
        <is>
          <t>Attack Speed Bonus % (MP Eater - MP Boost, always-on once unlocked)</t>
        </is>
      </c>
      <c r="B100">
        <f>IF(C84=TRUE,F84+(F88-Calc!F17),0)</f>
        <v/>
      </c>
    </row>
    <row r="101">
      <c r="A101" t="inlineStr">
        <is>
          <t>Actions Per Second</t>
        </is>
      </c>
      <c r="B101">
        <f>1+MIN(150,150*(1-(1-Inputs!$B$11/150)*(1-B100/150)))/100</f>
        <v/>
      </c>
    </row>
    <row r="102">
      <c r="A102" t="inlineStr">
        <is>
          <t>Skill + Buff Cast Rate</t>
        </is>
      </c>
      <c r="B102">
        <f>IF(AND(Inputs!$B$38&lt;&gt;"pvp",Inputs!$B$43&gt;0),SUMPRODUCT((Skills!E2:E23=TRUE)*(C73:C94=TRUE)*R73:R94)/Inputs!$B$43,SUMPRODUCT((Skills!E2:E23=TRUE)*(C73:C94=TRUE)*Q73:Q94))</f>
        <v/>
      </c>
    </row>
    <row r="103">
      <c r="A103" t="inlineStr">
        <is>
          <t>Chain Lightning Casts Per Second</t>
        </is>
      </c>
      <c r="B103">
        <f>MAX(0,B101-B102)</f>
        <v/>
      </c>
    </row>
    <row r="104">
      <c r="A104" t="inlineStr">
        <is>
          <t>Buff-Casting Startup Delay (s, fixed-duration only)</t>
        </is>
      </c>
      <c r="B104">
        <f>IF(AND(Inputs!$B$38&lt;&gt;"pvp",Inputs!$B$43&gt;0),SUMPRODUCT((Skills!S2:S23&gt;0)*(Skills!E2:E23=TRUE)*(C73:C94=TRUE))/B101,0)</f>
        <v/>
      </c>
    </row>
    <row r="105">
      <c r="A105" t="inlineStr">
        <is>
          <t>Boss-Only Total DPS (this block's swept value)</t>
        </is>
      </c>
      <c r="B105">
        <f>SUM(S73:S94)</f>
        <v/>
      </c>
    </row>
    <row r="106">
      <c r="A106" t="inlineStr">
        <is>
          <t>Normal-Only Total DPS (this block's swept value)</t>
        </is>
      </c>
      <c r="B106">
        <f>SUM(U73:U94)</f>
        <v/>
      </c>
    </row>
    <row r="107">
      <c r="A107" s="5" t="inlineStr">
        <is>
          <t>TOTAL DPS</t>
        </is>
      </c>
      <c r="B107" s="5">
        <f>SUM(O73:O94)</f>
        <v/>
      </c>
    </row>
    <row r="110">
      <c r="A110" s="5" t="inlineStr">
        <is>
          <t>Stat: DAMAGE %</t>
        </is>
      </c>
    </row>
    <row r="111">
      <c r="A111" s="9" t="inlineStr">
        <is>
          <t>Key</t>
        </is>
      </c>
      <c r="B111" s="9" t="inlineStr">
        <is>
          <t>Name</t>
        </is>
      </c>
      <c r="C111" s="9" t="inlineStr">
        <is>
          <t>Unlocked</t>
        </is>
      </c>
      <c r="D111" s="9" t="inlineStr">
        <is>
          <t>InputLevel</t>
        </is>
      </c>
      <c r="E111" s="9" t="inlineStr">
        <is>
          <t>Factor</t>
        </is>
      </c>
      <c r="F111" s="9" t="inlineStr">
        <is>
          <t>CoefficientPercent</t>
        </is>
      </c>
      <c r="G111" s="9" t="inlineStr">
        <is>
          <t>EffectiveHits</t>
        </is>
      </c>
      <c r="H111" s="9" t="inlineStr">
        <is>
          <t>ProcProbability</t>
        </is>
      </c>
      <c r="I111" s="9" t="inlineStr">
        <is>
          <t>MapleHeroMultiplier</t>
        </is>
      </c>
      <c r="J111" s="9" t="inlineStr">
        <is>
          <t>BaseDamage</t>
        </is>
      </c>
      <c r="K111" s="9" t="inlineStr">
        <is>
          <t>BaseHitDamage</t>
        </is>
      </c>
      <c r="L111" s="9" t="inlineStr">
        <is>
          <t>NonCritAvg</t>
        </is>
      </c>
      <c r="M111" s="9" t="inlineStr">
        <is>
          <t>CritAvg</t>
        </is>
      </c>
      <c r="N111" s="9" t="inlineStr">
        <is>
          <t>ExpectedDamage(perHit)</t>
        </is>
      </c>
      <c r="O111" s="9" t="inlineStr">
        <is>
          <t>DPS</t>
        </is>
      </c>
      <c r="P111" s="9" t="inlineStr">
        <is>
          <t>% of Total</t>
        </is>
      </c>
      <c r="R111" t="inlineStr">
        <is>
          <t>helpers</t>
        </is>
      </c>
    </row>
    <row r="112">
      <c r="A112">
        <f>Skills!A2</f>
        <v/>
      </c>
      <c r="B112">
        <f>Skills!B2</f>
        <v/>
      </c>
      <c r="C112">
        <f>Inputs!$B$3&gt;=100</f>
        <v/>
      </c>
      <c r="D112" t="inlineStr"/>
      <c r="E112" t="inlineStr"/>
      <c r="F112">
        <f>T114+Skills!N2</f>
        <v/>
      </c>
      <c r="G112">
        <f>Calc!G2</f>
        <v/>
      </c>
      <c r="H112">
        <f>Calc!H2</f>
        <v/>
      </c>
      <c r="I112">
        <f>IF(Skills!T2&lt;&gt;"",1+(Skills!T2/10)*(Z113/1000)/100,1)</f>
        <v/>
      </c>
      <c r="J112">
        <f>((Inputs!$B$6*(1+Inputs!$B$7/100))+(((Inputs!$B$12*(1+Inputs!$B$13/100))-(Inputs!$B$12*(1+Inputs!$B$13/100)))+0.25*(Inputs!$B$14-Inputs!$B$14))*(1+Inputs!$B$7/100))*(F112/100)</f>
        <v/>
      </c>
      <c r="K112">
        <f>J112*(1+((Inputs!$B$12*(1+Inputs!$B$13/100))*0.01+Inputs!$B$14*0.0025)/100)*(1+((Inputs!$B$15+1)+B138)/100)*(1+Inputs!$B$16/100)*(5000/(6000+Inputs!$B$42*(1-Inputs!$B$19/100)))*(1+Inputs!$B$24/100)*(1+IF(C125=TRUE,F125,0)/100)*(1+IF(C133=TRUE,F133,0)/100)^5*(1+(IF(Skills!A2="CHAIN_LIGHTNING",Inputs!$B$17,Inputs!$B$18))/100)*(B136*I112)</f>
        <v/>
      </c>
      <c r="L112">
        <f>K112*(MIN(Inputs!$B$22+(F128-Calc!F18),Inputs!$B$23)/100+Inputs!$B$23/100)/2</f>
        <v/>
      </c>
      <c r="M112">
        <f>L112*(1+(Inputs!$B$10+(F131-Calc!F21))/100)</f>
        <v/>
      </c>
      <c r="N112">
        <f>L112*(1-MIN(Inputs!$B$9+((F130-Calc!F20)+(F129-Calc!F19)),100)/100)+M112*(MIN(Inputs!$B$9+((F130-Calc!F20)+(F129-Calc!F19)),100)/100)</f>
        <v/>
      </c>
      <c r="O112">
        <f>(1-Summary!$B$51)*S112+Summary!$B$51*U112</f>
        <v/>
      </c>
      <c r="P112">
        <f>IF(B146=0,0,O112/B146)</f>
        <v/>
      </c>
      <c r="Q112">
        <f>IFERROR(1/IF(Inputs!$B$38="pvp",15,MAX(0.1,Skills!D2-IF(Skills!E2=TRUE,Inputs!$B$32,0))),0)</f>
        <v/>
      </c>
      <c r="R112" t="n">
        <v>0</v>
      </c>
      <c r="S112">
        <f>IF(C112,(Skills!F2*N112*B142)*IF(Inputs!$B$38="pvp",1,1+(Inputs!$B$20+Skills!O2+B137)/100),0)</f>
        <v/>
      </c>
      <c r="T112">
        <f>MAX(0,(Inputs!$B$3-100)*3)+Inputs!$B$28+Inputs!$B$29</f>
        <v/>
      </c>
      <c r="U112">
        <f>IF(C112,(Skills!F2*N112*B142)*IF(Inputs!$B$38="pvp",1,(1+(Inputs!$B$21+Skills!P2+B137)/100)*(MIN((6+Inputs!$B$33),Inputs!$B$37))),0)</f>
        <v/>
      </c>
      <c r="Z112">
        <f>MAX(0,(Inputs!$B$3-100)*3)+Inputs!$B$28+Inputs!$B$29</f>
        <v/>
      </c>
    </row>
    <row r="113">
      <c r="A113">
        <f>Skills!A3</f>
        <v/>
      </c>
      <c r="B113">
        <f>Skills!B3</f>
        <v/>
      </c>
      <c r="C113">
        <f>Inputs!$B$3&gt;=15</f>
        <v/>
      </c>
      <c r="D113">
        <f>IF(Skills!C3=1,60+Inputs!$B$25+Inputs!$B$29,IF(Skills!C3=2,90+Inputs!$B$26+Inputs!$B$29,IF(Skills!C3=3,120+Inputs!$B$27+Inputs!$B$29,MAX(0,(Inputs!$B$3-100)*3)+Inputs!$B$28+Inputs!$B$29)))</f>
        <v/>
      </c>
      <c r="E113">
        <f>INDEX(FactorTable!$B$2:$Y$301, MATCH(ROUND(MIN(300,MAX(1,D113)),0), FactorTable!$A$2:$A$301,0), Skills!L3+1)</f>
        <v/>
      </c>
      <c r="F113">
        <f>IF(Skills!M3=TRUE,(Skills!K3/10)*(E113/1000),Skills!K3/10)+Skills!N3</f>
        <v/>
      </c>
      <c r="G113">
        <f>Calc!G3</f>
        <v/>
      </c>
      <c r="H113">
        <f>Calc!H3</f>
        <v/>
      </c>
      <c r="I113">
        <f>IF(Skills!T3&lt;&gt;"",1+(Skills!T3/10)*(Z113/1000)/100,1)</f>
        <v/>
      </c>
      <c r="J113" t="inlineStr"/>
      <c r="K113" t="inlineStr"/>
      <c r="L113" t="inlineStr"/>
      <c r="M113" t="inlineStr"/>
      <c r="N113" t="inlineStr"/>
      <c r="O113">
        <f>(1-Summary!$B$51)*S113+Summary!$B$51*U113</f>
        <v/>
      </c>
      <c r="P113">
        <f>IF(B146=0,0,O113/B146)</f>
        <v/>
      </c>
      <c r="Q113">
        <f>IFERROR(1/IF(Inputs!$B$38="pvp",15,MAX(0.1,Skills!D3-IF(Skills!E3=TRUE,Inputs!$B$32,0))),0)</f>
        <v/>
      </c>
      <c r="R113">
        <f>IF(AND(Inputs!$B$38&lt;&gt;"pvp",Inputs!$B$43&gt;0),IF(Inputs!$B$43&lt;=0,0,(INT(Inputs!$B$43/IF(Inputs!$B$38="pvp",15,MAX(0.1,Skills!D3-IF(Skills!E3=TRUE,Inputs!$B$32,0))))+1)),0)</f>
        <v/>
      </c>
      <c r="S113" t="n">
        <v>0</v>
      </c>
      <c r="T113">
        <f>INDEX(FactorTable!$B$2:$Y$301, MATCH(ROUND(MIN(300,MAX(1,T112)),0), FactorTable!$A$2:$A$301,0), 22)</f>
        <v/>
      </c>
      <c r="U113" t="n">
        <v>0</v>
      </c>
      <c r="Z113">
        <f>INDEX(FactorTable!$B$2:$Y$301, MATCH(ROUND(MIN(300,MAX(1,Z112)),0), FactorTable!$A$2:$A$301,0), 24)</f>
        <v/>
      </c>
    </row>
    <row r="114">
      <c r="A114">
        <f>Skills!A4</f>
        <v/>
      </c>
      <c r="B114">
        <f>Skills!B4</f>
        <v/>
      </c>
      <c r="C114">
        <f>Inputs!$B$3&gt;=40</f>
        <v/>
      </c>
      <c r="D114">
        <f>IF(Skills!C4=1,60+Inputs!$B$25+Inputs!$B$29,IF(Skills!C4=2,90+Inputs!$B$26+Inputs!$B$29,IF(Skills!C4=3,120+Inputs!$B$27+Inputs!$B$29,MAX(0,(Inputs!$B$3-100)*3)+Inputs!$B$28+Inputs!$B$29)))</f>
        <v/>
      </c>
      <c r="E114">
        <f>INDEX(FactorTable!$B$2:$Y$301, MATCH(ROUND(MIN(300,MAX(1,D114)),0), FactorTable!$A$2:$A$301,0), Skills!L4+1)</f>
        <v/>
      </c>
      <c r="F114">
        <f>IF(Skills!M4=TRUE,(Skills!K4/10)*(E114/1000),Skills!K4/10)+Skills!N4</f>
        <v/>
      </c>
      <c r="G114">
        <f>Calc!G4</f>
        <v/>
      </c>
      <c r="H114">
        <f>Calc!H4</f>
        <v/>
      </c>
      <c r="I114">
        <f>IF(Skills!T4&lt;&gt;"",1+(Skills!T4/10)*(Z113/1000)/100,1)</f>
        <v/>
      </c>
      <c r="J114" t="inlineStr"/>
      <c r="K114" t="inlineStr"/>
      <c r="L114" t="inlineStr"/>
      <c r="M114" t="inlineStr"/>
      <c r="N114" t="inlineStr"/>
      <c r="O114">
        <f>(1-Summary!$B$51)*S114+Summary!$B$51*U114</f>
        <v/>
      </c>
      <c r="P114">
        <f>IF(B146=0,0,O114/B146)</f>
        <v/>
      </c>
      <c r="Q114">
        <f>IFERROR(1/IF(Inputs!$B$38="pvp",15,MAX(0.1,Skills!D4-IF(Skills!E4=TRUE,Inputs!$B$32,0))),0)</f>
        <v/>
      </c>
      <c r="R114">
        <f>IF(AND(Inputs!$B$38&lt;&gt;"pvp",Inputs!$B$43&gt;0),IF(Inputs!$B$43&lt;=0,0,(INT(Inputs!$B$43/IF(Inputs!$B$38="pvp",15,MAX(0.1,Skills!D4-IF(Skills!E4=TRUE,Inputs!$B$32,0))))+1)),0)</f>
        <v/>
      </c>
      <c r="S114" t="n">
        <v>0</v>
      </c>
      <c r="T114">
        <f>290*T113/1000</f>
        <v/>
      </c>
      <c r="U114" t="n">
        <v>0</v>
      </c>
    </row>
    <row r="115">
      <c r="A115">
        <f>Skills!A5</f>
        <v/>
      </c>
      <c r="B115">
        <f>Skills!B5</f>
        <v/>
      </c>
      <c r="C115">
        <f>Inputs!$B$3&gt;=38</f>
        <v/>
      </c>
      <c r="D115">
        <f>IF(Skills!C5=1,60+Inputs!$B$25+Inputs!$B$29,IF(Skills!C5=2,90+Inputs!$B$26+Inputs!$B$29,IF(Skills!C5=3,120+Inputs!$B$27+Inputs!$B$29,MAX(0,(Inputs!$B$3-100)*3)+Inputs!$B$28+Inputs!$B$29)))</f>
        <v/>
      </c>
      <c r="E115">
        <f>INDEX(FactorTable!$B$2:$Y$301, MATCH(ROUND(MIN(300,MAX(1,D115)),0), FactorTable!$A$2:$A$301,0), Skills!L5+1)</f>
        <v/>
      </c>
      <c r="F115">
        <f>IF(Skills!M5=TRUE,(Skills!K5/10)*(E115/1000),Skills!K5/10)+Skills!N5</f>
        <v/>
      </c>
      <c r="G115">
        <f>Calc!G5</f>
        <v/>
      </c>
      <c r="H115">
        <f>Calc!H5</f>
        <v/>
      </c>
      <c r="I115">
        <f>IF(Skills!T5&lt;&gt;"",1+(Skills!T5/10)*(Z113/1000)/100,1)</f>
        <v/>
      </c>
      <c r="J115">
        <f>((Inputs!$B$6*(1+Inputs!$B$7/100))+(((Inputs!$B$12*(1+Inputs!$B$13/100))-(Inputs!$B$12*(1+Inputs!$B$13/100)))+0.25*(Inputs!$B$14-Inputs!$B$14))*(1+Inputs!$B$7/100))*(F115/100)</f>
        <v/>
      </c>
      <c r="K115">
        <f>J115*(1+((Inputs!$B$12*(1+Inputs!$B$13/100))*0.01+Inputs!$B$14*0.0025)/100)*(1+((Inputs!$B$15+1)+B138)/100)*(1+Inputs!$B$16/100)*(5000/(6000+Inputs!$B$42*(1-Inputs!$B$19/100)))*(1+Inputs!$B$24/100)*(1+IF(C125=TRUE,F125,0)/100)*(1+IF(C133=TRUE,F133,0)/100)^5*(1+(IF(Skills!A5="CHAIN_LIGHTNING",Inputs!$B$17,Inputs!$B$18))/100)*(B136*I115)</f>
        <v/>
      </c>
      <c r="L115">
        <f>K115*(MIN(Inputs!$B$22+(F128-Calc!F18),Inputs!$B$23)/100+Inputs!$B$23/100)/2</f>
        <v/>
      </c>
      <c r="M115">
        <f>L115*(1+(Inputs!$B$10+(F131-Calc!F21))/100)</f>
        <v/>
      </c>
      <c r="N115">
        <f>L115*(1-MIN(Inputs!$B$9+((F130-Calc!F20)+(F129-Calc!F19)),100)/100)+M115*(MIN(Inputs!$B$9+((F130-Calc!F20)+(F129-Calc!F19)),100)/100)</f>
        <v/>
      </c>
      <c r="O115">
        <f>(1-Summary!$B$51)*S115+Summary!$B$51*U115</f>
        <v/>
      </c>
      <c r="P115">
        <f>IF(B146=0,0,O115/B146)</f>
        <v/>
      </c>
      <c r="Q115">
        <f>IFERROR(1/IF(Inputs!$B$38="pvp",15,MAX(0.1,Skills!D5-IF(Skills!E5=TRUE,Inputs!$B$32,0))),0)</f>
        <v/>
      </c>
      <c r="R115">
        <f>IF(AND(Inputs!$B$38&lt;&gt;"pvp",Inputs!$B$43&gt;0),IF(MAX(0,Inputs!$B$43-B143)&lt;=0,0,(INT(MAX(0,Inputs!$B$43-B143)/IF(Inputs!$B$38="pvp",15,MAX(0.1,Skills!D5-IF(Skills!E5=TRUE,Inputs!$B$32,0))))+1)),0)</f>
        <v/>
      </c>
      <c r="S115">
        <f>IF(C115,(H115*N115*IF(AND(Inputs!$B$38&lt;&gt;"pvp",Inputs!$B$43&gt;0),((Skills!F5*((R115-1)*IF(Skills!G5&gt;0,Skills!H5/Skills!G5,1)+IF(Skills!G5&gt;0,MIN(Skills!H5,MAX(0,MAX(0,Inputs!$B$43-B143)-((R115-1)*IF(Inputs!$B$38="pvp",15,MAX(0.1,Skills!D5-IF(Skills!E5=TRUE,Inputs!$B$32,0))))))/Skills!G5,1)))/Inputs!$B$43),G115*Q115))*IF(Inputs!$B$38="pvp",1,1+(Inputs!$B$20+Skills!O5+B137)/100),0)</f>
        <v/>
      </c>
      <c r="U115">
        <f>IF(C115,(H115*N115*IF(AND(Inputs!$B$38&lt;&gt;"pvp",Inputs!$B$43&gt;0),((Skills!F5*((R115-1)*IF(Skills!G5&gt;0,Skills!H5/Skills!G5,1)+IF(Skills!G5&gt;0,MIN(Skills!H5,MAX(0,MAX(0,Inputs!$B$43-B143)-((R115-1)*IF(Inputs!$B$38="pvp",15,MAX(0.1,Skills!D5-IF(Skills!E5=TRUE,Inputs!$B$32,0))))))/Skills!G5,1)))/Inputs!$B$43),G115*Q115))*IF(Inputs!$B$38="pvp",1,(1+(Inputs!$B$21+Skills!P5+B137)/100)*(MIN(Skills!Q5,Inputs!$B$37))),0)</f>
        <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Skills!L6+1)</f>
        <v/>
      </c>
      <c r="F116">
        <f>IF(Skills!M6=TRUE,(Skills!K6/10)*(E116/1000),Skills!K6/10)+Skills!N6</f>
        <v/>
      </c>
      <c r="G116">
        <f>Calc!G6</f>
        <v/>
      </c>
      <c r="H116">
        <f>Calc!H6</f>
        <v/>
      </c>
      <c r="I116">
        <f>IF(Skills!T6&lt;&gt;"",1+(Skills!T6/10)*(Z113/1000)/100,1)</f>
        <v/>
      </c>
      <c r="J116">
        <f>((Inputs!$B$6*(1+Inputs!$B$7/100))+(((Inputs!$B$12*(1+Inputs!$B$13/100))-(Inputs!$B$12*(1+Inputs!$B$13/100)))+0.25*(Inputs!$B$14-Inputs!$B$14))*(1+Inputs!$B$7/100))*(F116/100)</f>
        <v/>
      </c>
      <c r="K116">
        <f>J116*(1+((Inputs!$B$12*(1+Inputs!$B$13/100))*0.01+Inputs!$B$14*0.0025)/100)*(1+((Inputs!$B$15+1)+B138)/100)*(1+Inputs!$B$16/100)*(5000/(6000+Inputs!$B$42*(1-Inputs!$B$19/100)))*(1+Inputs!$B$24/100)*(1+IF(C125=TRUE,F125,0)/100)*(1+IF(C133=TRUE,F133,0)/100)^5*(1+(IF(Skills!A6="CHAIN_LIGHTNING",Inputs!$B$17,Inputs!$B$18))/100)*(B136*I116)</f>
        <v/>
      </c>
      <c r="L116">
        <f>K116*(MIN(Inputs!$B$22+(F128-Calc!F18),Inputs!$B$23)/100+Inputs!$B$23/100)/2</f>
        <v/>
      </c>
      <c r="M116">
        <f>L116*(1+(Inputs!$B$10+(F131-Calc!F21))/100)</f>
        <v/>
      </c>
      <c r="N116">
        <f>L116*(1-MIN(Inputs!$B$9+((F130-Calc!F20)+(F129-Calc!F19)),100)/100)+M116*(MIN(Inputs!$B$9+((F130-Calc!F20)+(F129-Calc!F19)),100)/100)</f>
        <v/>
      </c>
      <c r="O116">
        <f>(1-Summary!$B$51)*S116+Summary!$B$51*U116</f>
        <v/>
      </c>
      <c r="P116">
        <f>IF(B146=0,0,O116/B146)</f>
        <v/>
      </c>
      <c r="Q116">
        <f>IFERROR(1/IF(Inputs!$B$38="pvp",15,MAX(0.1,Skills!D6-IF(Skills!E6=TRUE,Inputs!$B$32,0))),0)</f>
        <v/>
      </c>
      <c r="R116">
        <f>IF(AND(Inputs!$B$38&lt;&gt;"pvp",Inputs!$B$43&gt;0),IF(MAX(0,Inputs!$B$43-B143)&lt;=0,0,(INT(MAX(0,Inputs!$B$43-B143)/IF(Inputs!$B$38="pvp",15,MAX(0.1,Skills!D6-IF(Skills!E6=TRUE,Inputs!$B$32,0))))+1)),0)</f>
        <v/>
      </c>
      <c r="S116">
        <f>IF(C116,(H116*N116*IF(AND(Inputs!$B$38&lt;&gt;"pvp",Inputs!$B$43&gt;0),((Skills!F6*((R116-1)*IF(Skills!G6&gt;0,Skills!H6/Skills!G6,1)+IF(Skills!G6&gt;0,MIN(Skills!H6,MAX(0,MAX(0,Inputs!$B$43-B143)-((R116-1)*IF(Inputs!$B$38="pvp",15,MAX(0.1,Skills!D6-IF(Skills!E6=TRUE,Inputs!$B$32,0))))))/Skills!G6,1)))/Inputs!$B$43),G116*Q116))*IF(Inputs!$B$38="pvp",1,1+(Inputs!$B$20+Skills!O6+B137)/100),0)</f>
        <v/>
      </c>
      <c r="U116">
        <f>IF(C116,(H116*N116*IF(AND(Inputs!$B$38&lt;&gt;"pvp",Inputs!$B$43&gt;0),((Skills!F6*((R116-1)*IF(Skills!G6&gt;0,Skills!H6/Skills!G6,1)+IF(Skills!G6&gt;0,MIN(Skills!H6,MAX(0,MAX(0,Inputs!$B$43-B143)-((R116-1)*IF(Inputs!$B$38="pvp",15,MAX(0.1,Skills!D6-IF(Skills!E6=TRUE,Inputs!$B$32,0))))))/Skills!G6,1)))/Inputs!$B$43),G116*Q116))*IF(Inputs!$B$38="pvp",1,(1+(Inputs!$B$21+Skills!P6+B137)/100)*(MIN(Skills!Q6,Inputs!$B$37))),0)</f>
        <v/>
      </c>
    </row>
    <row r="117">
      <c r="A117">
        <f>Skills!A7</f>
        <v/>
      </c>
      <c r="B117">
        <f>Skills!B7</f>
        <v/>
      </c>
      <c r="C117">
        <f>Inputs!$B$3&gt;=69</f>
        <v/>
      </c>
      <c r="D117">
        <f>IF(Skills!C7=1,60+Inputs!$B$25+Inputs!$B$29,IF(Skills!C7=2,90+Inputs!$B$26+Inputs!$B$29,IF(Skills!C7=3,120+Inputs!$B$27+Inputs!$B$29,MAX(0,(Inputs!$B$3-100)*3)+Inputs!$B$28+Inputs!$B$29)))</f>
        <v/>
      </c>
      <c r="E117">
        <f>INDEX(FactorTable!$B$2:$Y$301, MATCH(ROUND(MIN(300,MAX(1,D117)),0), FactorTable!$A$2:$A$301,0), Skills!L7+1)</f>
        <v/>
      </c>
      <c r="F117">
        <f>IF(Skills!M7=TRUE,(Skills!K7/10)*(E117/1000),Skills!K7/10)+Skills!N7</f>
        <v/>
      </c>
      <c r="G117">
        <f>Calc!G7</f>
        <v/>
      </c>
      <c r="H117">
        <f>Calc!H7</f>
        <v/>
      </c>
      <c r="I117">
        <f>IF(Skills!T7&lt;&gt;"",1+(Skills!T7/10)*(Z113/1000)/100,1)</f>
        <v/>
      </c>
      <c r="J117">
        <f>((Inputs!$B$6*(1+Inputs!$B$7/100))+(((Inputs!$B$12*(1+Inputs!$B$13/100))-(Inputs!$B$12*(1+Inputs!$B$13/100)))+0.25*(Inputs!$B$14-Inputs!$B$14))*(1+Inputs!$B$7/100))*(F117/100)</f>
        <v/>
      </c>
      <c r="K117">
        <f>J117*(1+((Inputs!$B$12*(1+Inputs!$B$13/100))*0.01+Inputs!$B$14*0.0025)/100)*(1+((Inputs!$B$15+1)+B138)/100)*(1+Inputs!$B$16/100)*(5000/(6000+Inputs!$B$42*(1-Inputs!$B$19/100)))*(1+Inputs!$B$24/100)*(1+IF(C125=TRUE,F125,0)/100)*(1+IF(C133=TRUE,F133,0)/100)^5*(1+(IF(Skills!A7="CHAIN_LIGHTNING",Inputs!$B$17,Inputs!$B$18))/100)*(B136*I117)</f>
        <v/>
      </c>
      <c r="L117">
        <f>K117*(MIN(Inputs!$B$22+(F128-Calc!F18),Inputs!$B$23)/100+Inputs!$B$23/100)/2</f>
        <v/>
      </c>
      <c r="M117">
        <f>L117*(1+(Inputs!$B$10+(F131-Calc!F21))/100)</f>
        <v/>
      </c>
      <c r="N117">
        <f>L117*(1-MIN(Inputs!$B$9+((F130-Calc!F20)+(F129-Calc!F19)),100)/100)+M117*(MIN(Inputs!$B$9+((F130-Calc!F20)+(F129-Calc!F19)),100)/100)</f>
        <v/>
      </c>
      <c r="O117">
        <f>(1-Summary!$B$51)*S117+Summary!$B$51*U117</f>
        <v/>
      </c>
      <c r="P117">
        <f>IF(B146=0,0,O117/B146)</f>
        <v/>
      </c>
      <c r="Q117">
        <f>IFERROR(1/IF(Inputs!$B$38="pvp",15,MAX(0.1,Skills!D7-IF(Skills!E7=TRUE,Inputs!$B$32,0))),0)</f>
        <v/>
      </c>
      <c r="R117">
        <f>IF(AND(Inputs!$B$38&lt;&gt;"pvp",Inputs!$B$43&gt;0),IF(MAX(0,Inputs!$B$43-B143)&lt;=0,0,(INT(MAX(0,Inputs!$B$43-B143)/IF(Inputs!$B$38="pvp",15,MAX(0.1,Skills!D7-IF(Skills!E7=TRUE,Inputs!$B$32,0))))+1)),0)</f>
        <v/>
      </c>
      <c r="S117">
        <f>IF(C117,(H117*N117*IF(AND(Inputs!$B$38&lt;&gt;"pvp",Inputs!$B$43&gt;0),((Skills!F7*((R117-1)*IF(Skills!G7&gt;0,Skills!H7/Skills!G7,1)+IF(Skills!G7&gt;0,MIN(Skills!H7,MAX(0,MAX(0,Inputs!$B$43-B143)-((R117-1)*IF(Inputs!$B$38="pvp",15,MAX(0.1,Skills!D7-IF(Skills!E7=TRUE,Inputs!$B$32,0))))))/Skills!G7,1)))/Inputs!$B$43),G117*Q117))*IF(Inputs!$B$38="pvp",1,1+(Inputs!$B$20+Skills!O7+B137)/100),0)</f>
        <v/>
      </c>
      <c r="U117">
        <f>IF(C117,(H117*N117*IF(AND(Inputs!$B$38&lt;&gt;"pvp",Inputs!$B$43&gt;0),((Skills!F7*((R117-1)*IF(Skills!G7&gt;0,Skills!H7/Skills!G7,1)+IF(Skills!G7&gt;0,MIN(Skills!H7,MAX(0,MAX(0,Inputs!$B$43-B143)-((R117-1)*IF(Inputs!$B$38="pvp",15,MAX(0.1,Skills!D7-IF(Skills!E7=TRUE,Inputs!$B$32,0))))))/Skills!G7,1)))/Inputs!$B$43),G117*Q117))*IF(Inputs!$B$38="pvp",1,(1+(Inputs!$B$21+Skills!P7+B137)/100)*(MIN(Skills!Q7,Inputs!$B$37))),0)</f>
        <v/>
      </c>
    </row>
    <row r="118">
      <c r="A118">
        <f>Skills!A8</f>
        <v/>
      </c>
      <c r="B118">
        <f>Skills!B8</f>
        <v/>
      </c>
      <c r="C118">
        <f>Inputs!$B$3&gt;=103</f>
        <v/>
      </c>
      <c r="D118">
        <f>IF(Skills!C8=1,60+Inputs!$B$25+Inputs!$B$29,IF(Skills!C8=2,90+Inputs!$B$26+Inputs!$B$29,IF(Skills!C8=3,120+Inputs!$B$27+Inputs!$B$29,MAX(0,(Inputs!$B$3-100)*3)+Inputs!$B$28+Inputs!$B$29)))</f>
        <v/>
      </c>
      <c r="E118">
        <f>INDEX(FactorTable!$B$2:$Y$301, MATCH(ROUND(MIN(300,MAX(1,D118)),0), FactorTable!$A$2:$A$301,0), Skills!L8+1)</f>
        <v/>
      </c>
      <c r="F118">
        <f>IF(Skills!M8=TRUE,(Skills!K8/10)*(E118/1000),Skills!K8/10)+Skills!N8</f>
        <v/>
      </c>
      <c r="G118">
        <f>Calc!G8</f>
        <v/>
      </c>
      <c r="H118">
        <f>Calc!H8</f>
        <v/>
      </c>
      <c r="I118">
        <f>IF(Skills!T8&lt;&gt;"",1+(Skills!T8/10)*(Z113/1000)/100,1)</f>
        <v/>
      </c>
      <c r="J118">
        <f>((Inputs!$B$6*(1+Inputs!$B$7/100))+(((Inputs!$B$12*(1+Inputs!$B$13/100))-(Inputs!$B$12*(1+Inputs!$B$13/100)))+0.25*(Inputs!$B$14-Inputs!$B$14))*(1+Inputs!$B$7/100))*(F118/100)</f>
        <v/>
      </c>
      <c r="K118">
        <f>J118*(1+((Inputs!$B$12*(1+Inputs!$B$13/100))*0.01+Inputs!$B$14*0.0025)/100)*(1+((Inputs!$B$15+1)+B138)/100)*(1+Inputs!$B$16/100)*(5000/(6000+Inputs!$B$42*(1-Inputs!$B$19/100)))*(1+Inputs!$B$24/100)*(1+IF(C125=TRUE,F125,0)/100)*(1+IF(C133=TRUE,F133,0)/100)^5*(1+(IF(Skills!A8="CHAIN_LIGHTNING",Inputs!$B$17,Inputs!$B$18))/100)*(B136*I118)</f>
        <v/>
      </c>
      <c r="L118">
        <f>K118*(MIN(Inputs!$B$22+(F128-Calc!F18),Inputs!$B$23)/100+Inputs!$B$23/100)/2</f>
        <v/>
      </c>
      <c r="M118">
        <f>L118*(1+(Inputs!$B$10+(F131-Calc!F21))/100)</f>
        <v/>
      </c>
      <c r="N118">
        <f>L118*(1-MIN(Inputs!$B$9+((F130-Calc!F20)+(F129-Calc!F19)),100)/100)+M118*(MIN(Inputs!$B$9+((F130-Calc!F20)+(F129-Calc!F19)),100)/100)</f>
        <v/>
      </c>
      <c r="O118">
        <f>(1-Summary!$B$51)*S118+Summary!$B$51*U118</f>
        <v/>
      </c>
      <c r="P118">
        <f>IF(B146=0,0,O118/B146)</f>
        <v/>
      </c>
      <c r="Q118">
        <f>IFERROR(1/IF(Inputs!$B$38="pvp",15,MAX(0.1,Skills!D8-IF(Skills!E8=TRUE,Inputs!$B$32,0))),0)</f>
        <v/>
      </c>
      <c r="R118">
        <f>IF(AND(Inputs!$B$38&lt;&gt;"pvp",Inputs!$B$43&gt;0),IF(MAX(0,Inputs!$B$43-B143)&lt;=0,0,(INT(MAX(0,Inputs!$B$43-B143)/IF(Inputs!$B$38="pvp",15,MAX(0.1,Skills!D8-IF(Skills!E8=TRUE,Inputs!$B$32,0))))+1)),0)</f>
        <v/>
      </c>
      <c r="S118">
        <f>IF(C118,(H118*N118*IF(AND(Inputs!$B$38&lt;&gt;"pvp",Inputs!$B$43&gt;0),((Skills!F8*((R118-1)*IF(Skills!G8&gt;0,Skills!H8/Skills!G8,1)+IF(Skills!G8&gt;0,MIN(Skills!H8,MAX(0,MAX(0,Inputs!$B$43-B143)-((R118-1)*IF(Inputs!$B$38="pvp",15,MAX(0.1,Skills!D8-IF(Skills!E8=TRUE,Inputs!$B$32,0))))))/Skills!G8,1)))/Inputs!$B$43),G118*Q118))*IF(Inputs!$B$38="pvp",1,1+(Inputs!$B$20+Skills!O8+B137)/100),0)</f>
        <v/>
      </c>
      <c r="U118">
        <f>IF(C118,(H118*N118*IF(AND(Inputs!$B$38&lt;&gt;"pvp",Inputs!$B$43&gt;0),((Skills!F8*((R118-1)*IF(Skills!G8&gt;0,Skills!H8/Skills!G8,1)+IF(Skills!G8&gt;0,MIN(Skills!H8,MAX(0,MAX(0,Inputs!$B$43-B143)-((R118-1)*IF(Inputs!$B$38="pvp",15,MAX(0.1,Skills!D8-IF(Skills!E8=TRUE,Inputs!$B$32,0))))))/Skills!G8,1)))/Inputs!$B$43),G118*Q118))*IF(Inputs!$B$38="pvp",1,(1+(Inputs!$B$21+Skills!P8+B137)/100)*(MIN(Skills!Q8,Inputs!$B$37))),0)</f>
        <v/>
      </c>
    </row>
    <row r="119">
      <c r="A119">
        <f>Skills!A9</f>
        <v/>
      </c>
      <c r="B119">
        <f>Skills!B9</f>
        <v/>
      </c>
      <c r="C119">
        <f>Inputs!$B$3&gt;=105</f>
        <v/>
      </c>
      <c r="D119">
        <f>IF(Skills!C9=1,60+Inputs!$B$25+Inputs!$B$29,IF(Skills!C9=2,90+Inputs!$B$26+Inputs!$B$29,IF(Skills!C9=3,120+Inputs!$B$27+Inputs!$B$29,MAX(0,(Inputs!$B$3-100)*3)+Inputs!$B$28+Inputs!$B$29)))</f>
        <v/>
      </c>
      <c r="E119">
        <f>INDEX(FactorTable!$B$2:$Y$301, MATCH(ROUND(MIN(300,MAX(1,D119)),0), FactorTable!$A$2:$A$301,0), Skills!L9+1)</f>
        <v/>
      </c>
      <c r="F119">
        <f>IF(Skills!M9=TRUE,(Skills!K9/10)*(E119/1000),Skills!K9/10)+Skills!N9</f>
        <v/>
      </c>
      <c r="G119">
        <f>Calc!G9</f>
        <v/>
      </c>
      <c r="H119">
        <f>Calc!H9</f>
        <v/>
      </c>
      <c r="I119">
        <f>IF(Skills!T9&lt;&gt;"",1+(Skills!T9/10)*(Z113/1000)/100,1)</f>
        <v/>
      </c>
      <c r="J119">
        <f>((Inputs!$B$6*(1+Inputs!$B$7/100))+(((Inputs!$B$12*(1+Inputs!$B$13/100))-(Inputs!$B$12*(1+Inputs!$B$13/100)))+0.25*(Inputs!$B$14-Inputs!$B$14))*(1+Inputs!$B$7/100))*(F119/100)</f>
        <v/>
      </c>
      <c r="K119">
        <f>J119*(1+((Inputs!$B$12*(1+Inputs!$B$13/100))*0.01+Inputs!$B$14*0.0025)/100)*(1+((Inputs!$B$15+1)+B138)/100)*(1+Inputs!$B$16/100)*(5000/(6000+Inputs!$B$42*(1-Inputs!$B$19/100)))*(1+Inputs!$B$24/100)*(1+IF(C125=TRUE,F125,0)/100)*(1+IF(C133=TRUE,F133,0)/100)^5*(1+(IF(Skills!A9="CHAIN_LIGHTNING",Inputs!$B$17,Inputs!$B$18))/100)*(B136*I119)</f>
        <v/>
      </c>
      <c r="L119">
        <f>K119*(MIN(Inputs!$B$22+(F128-Calc!F18),Inputs!$B$23)/100+Inputs!$B$23/100)/2</f>
        <v/>
      </c>
      <c r="M119">
        <f>L119*(1+(Inputs!$B$10+(F131-Calc!F21))/100)</f>
        <v/>
      </c>
      <c r="N119">
        <f>L119*(1-MIN(Inputs!$B$9+((F130-Calc!F20)+(F129-Calc!F19)),100)/100)+M119*(MIN(Inputs!$B$9+((F130-Calc!F20)+(F129-Calc!F19)),100)/100)</f>
        <v/>
      </c>
      <c r="O119">
        <f>(1-Summary!$B$51)*S119+Summary!$B$51*U119</f>
        <v/>
      </c>
      <c r="P119">
        <f>IF(B146=0,0,O119/B146)</f>
        <v/>
      </c>
      <c r="Q119">
        <f>IFERROR(1/IF(Inputs!$B$38="pvp",15,MAX(0.1,Skills!D9-IF(Skills!E9=TRUE,Inputs!$B$32,0))),0)</f>
        <v/>
      </c>
      <c r="R119">
        <f>IF(AND(Inputs!$B$38&lt;&gt;"pvp",Inputs!$B$43&gt;0),IF(MAX(0,Inputs!$B$43-B143)&lt;=0,0,(INT(MAX(0,Inputs!$B$43-B143)/IF(Inputs!$B$38="pvp",15,MAX(0.1,Skills!D9-IF(Skills!E9=TRUE,Inputs!$B$32,0))))+1)),0)</f>
        <v/>
      </c>
      <c r="S119">
        <f>IF(C119,(H119*N119*IF(AND(Inputs!$B$38&lt;&gt;"pvp",Inputs!$B$43&gt;0),((Skills!F9*((R119-1)*IF(Skills!G9&gt;0,Skills!H9/Skills!G9,1)+IF(Skills!G9&gt;0,MIN(Skills!H9,MAX(0,MAX(0,Inputs!$B$43-B143)-((R119-1)*IF(Inputs!$B$38="pvp",15,MAX(0.1,Skills!D9-IF(Skills!E9=TRUE,Inputs!$B$32,0))))))/Skills!G9,1)))/Inputs!$B$43),G119*Q119))*IF(Inputs!$B$38="pvp",1,1+(Inputs!$B$20+Skills!O9+B137)/100),0)</f>
        <v/>
      </c>
      <c r="U119">
        <f>IF(C119,(H119*N119*IF(AND(Inputs!$B$38&lt;&gt;"pvp",Inputs!$B$43&gt;0),((Skills!F9*((R119-1)*IF(Skills!G9&gt;0,Skills!H9/Skills!G9,1)+IF(Skills!G9&gt;0,MIN(Skills!H9,MAX(0,MAX(0,Inputs!$B$43-B143)-((R119-1)*IF(Inputs!$B$38="pvp",15,MAX(0.1,Skills!D9-IF(Skills!E9=TRUE,Inputs!$B$32,0))))))/Skills!G9,1)))/Inputs!$B$43),G119*Q119))*IF(Inputs!$B$38="pvp",1,(1+(Inputs!$B$21+Skills!P9+B137)/100)*(MIN(Skills!Q9,Inputs!$B$37))),0)</f>
        <v/>
      </c>
    </row>
    <row r="120">
      <c r="A120">
        <f>Skills!A10</f>
        <v/>
      </c>
      <c r="B120">
        <f>Skills!B10</f>
        <v/>
      </c>
      <c r="C120">
        <f>Inputs!$B$3&gt;=113</f>
        <v/>
      </c>
      <c r="D120">
        <f>IF(Skills!C10=1,60+Inputs!$B$25+Inputs!$B$29,IF(Skills!C10=2,90+Inputs!$B$26+Inputs!$B$29,IF(Skills!C10=3,120+Inputs!$B$27+Inputs!$B$29,MAX(0,(Inputs!$B$3-100)*3)+Inputs!$B$28+Inputs!$B$29)))</f>
        <v/>
      </c>
      <c r="E120">
        <f>INDEX(FactorTable!$B$2:$Y$301, MATCH(ROUND(MIN(300,MAX(1,D120)),0), FactorTable!$A$2:$A$301,0), Skills!L10+1)</f>
        <v/>
      </c>
      <c r="F120">
        <f>IF(Skills!M10=TRUE,(Skills!K10/10)*(E120/1000),Skills!K10/10)+Skills!N10</f>
        <v/>
      </c>
      <c r="G120">
        <f>Calc!G10</f>
        <v/>
      </c>
      <c r="H120">
        <f>Calc!H10</f>
        <v/>
      </c>
      <c r="I120">
        <f>IF(Skills!T10&lt;&gt;"",1+(Skills!T10/10)*(Z113/1000)/100,1)</f>
        <v/>
      </c>
      <c r="J120">
        <f>((Inputs!$B$6*(1+Inputs!$B$7/100))+(((Inputs!$B$12*(1+Inputs!$B$13/100))-(Inputs!$B$12*(1+Inputs!$B$13/100)))+0.25*(Inputs!$B$14-Inputs!$B$14))*(1+Inputs!$B$7/100))*(F120/100)</f>
        <v/>
      </c>
      <c r="K120">
        <f>J120*(1+((Inputs!$B$12*(1+Inputs!$B$13/100))*0.01+Inputs!$B$14*0.0025)/100)*(1+((Inputs!$B$15+1)+B138)/100)*(1+Inputs!$B$16/100)*(5000/(6000+Inputs!$B$42*(1-Inputs!$B$19/100)))*(1+Inputs!$B$24/100)*(1+IF(C125=TRUE,F125,0)/100)*(1+IF(C133=TRUE,F133,0)/100)^5*(1+(IF(Skills!A10="CHAIN_LIGHTNING",Inputs!$B$17,Inputs!$B$18))/100)*(B136*I120)</f>
        <v/>
      </c>
      <c r="L120">
        <f>K120*(MIN(Inputs!$B$22+(F128-Calc!F18),Inputs!$B$23)/100+Inputs!$B$23/100)/2</f>
        <v/>
      </c>
      <c r="M120">
        <f>L120*(1+(Inputs!$B$10+(F131-Calc!F21))/100)</f>
        <v/>
      </c>
      <c r="N120">
        <f>L120*(1-MIN(Inputs!$B$9+((F130-Calc!F20)+(F129-Calc!F19)),100)/100)+M120*(MIN(Inputs!$B$9+((F130-Calc!F20)+(F129-Calc!F19)),100)/100)</f>
        <v/>
      </c>
      <c r="O120">
        <f>(1-Summary!$B$51)*S120+Summary!$B$51*U120</f>
        <v/>
      </c>
      <c r="P120">
        <f>IF(B146=0,0,O120/B146)</f>
        <v/>
      </c>
      <c r="Q120">
        <f>IFERROR(1/IF(Inputs!$B$38="pvp",15,MAX(0.1,Skills!D10-IF(Skills!E9=TRUE,Inputs!$B$32,0))),0)</f>
        <v/>
      </c>
      <c r="R120">
        <f>IF(AND(Inputs!$B$38&lt;&gt;"pvp",Inputs!$B$43&gt;0),IF(MAX(0,Inputs!$B$43-B143)&lt;=0,0,(INT(MAX(0,Inputs!$B$43-B143)/IF(Inputs!$B$38="pvp",15,MAX(0.1,Skills!D10-IF(Skills!E9=TRUE,Inputs!$B$32,0))))+1)),0)</f>
        <v/>
      </c>
      <c r="S120">
        <f>IF(C120,(H120*N120*IF(AND(Inputs!$B$38&lt;&gt;"pvp",Inputs!$B$43&gt;0),((Skills!F10*((R120-1)*IF(Skills!G10&gt;0,Skills!H10/Skills!G10,1)+IF(Skills!G10&gt;0,MIN(Skills!H10,MAX(0,MAX(0,Inputs!$B$43-B143)-((R120-1)*IF(Inputs!$B$38="pvp",15,MAX(0.1,Skills!D10-IF(Skills!E9=TRUE,Inputs!$B$32,0))))))/Skills!G10,1)))/Inputs!$B$43),G120*Q120))*IF(Inputs!$B$38="pvp",1,1+(Inputs!$B$20+Skills!O10+B137)/100),0)</f>
        <v/>
      </c>
      <c r="U120">
        <f>IF(C120,(H120*N120*IF(AND(Inputs!$B$38&lt;&gt;"pvp",Inputs!$B$43&gt;0),((Skills!F10*((R120-1)*IF(Skills!G10&gt;0,Skills!H10/Skills!G10,1)+IF(Skills!G10&gt;0,MIN(Skills!H10,MAX(0,MAX(0,Inputs!$B$43-B143)-((R120-1)*IF(Inputs!$B$38="pvp",15,MAX(0.1,Skills!D10-IF(Skills!E9=TRUE,Inputs!$B$32,0))))))/Skills!G10,1)))/Inputs!$B$43),G120*Q120))*IF(Inputs!$B$38="pvp",1,(1+(Inputs!$B$21+Skills!P10+B137)/100)*(MIN(Skills!Q10,Inputs!$B$37))),0)</f>
        <v/>
      </c>
    </row>
    <row r="121">
      <c r="A121">
        <f>Skills!A11</f>
        <v/>
      </c>
      <c r="B121">
        <f>Skills!B11</f>
        <v/>
      </c>
      <c r="C121">
        <f>Inputs!$B$3&gt;=107</f>
        <v/>
      </c>
      <c r="D121">
        <f>IF(Skills!C11=1,60+Inputs!$B$25+Inputs!$B$29,IF(Skills!C11=2,90+Inputs!$B$26+Inputs!$B$29,IF(Skills!C11=3,120+Inputs!$B$27+Inputs!$B$29,MAX(0,(Inputs!$B$3-100)*3)+Inputs!$B$28+Inputs!$B$29)))</f>
        <v/>
      </c>
      <c r="E121">
        <f>INDEX(FactorTable!$B$2:$Y$301, MATCH(ROUND(MIN(300,MAX(1,D121)),0), FactorTable!$A$2:$A$301,0), Skills!L11+1)</f>
        <v/>
      </c>
      <c r="F121">
        <f>IF(Skills!M11=TRUE,(Skills!K11/10)*(E121/1000),Skills!K11/10)+Skills!N11</f>
        <v/>
      </c>
      <c r="G121">
        <f>Calc!G11</f>
        <v/>
      </c>
      <c r="H121">
        <f>Calc!H11</f>
        <v/>
      </c>
      <c r="I121">
        <f>IF(Skills!T11&lt;&gt;"",1+(Skills!T11/10)*(Z113/1000)/100,1)</f>
        <v/>
      </c>
      <c r="J121">
        <f>((Inputs!$B$6*(1+Inputs!$B$7/100))+(((Inputs!$B$12*(1+Inputs!$B$13/100))-(Inputs!$B$12*(1+Inputs!$B$13/100)))+0.25*(Inputs!$B$14-Inputs!$B$14))*(1+Inputs!$B$7/100))*(F121/100)</f>
        <v/>
      </c>
      <c r="K121">
        <f>J121*(1+((Inputs!$B$12*(1+Inputs!$B$13/100))*0.01+Inputs!$B$14*0.0025)/100)*(1+((Inputs!$B$15+1)+B138)/100)*(1+Inputs!$B$16/100)*(5000/(6000+Inputs!$B$42*(1-Inputs!$B$19/100)))*(1+Inputs!$B$24/100)*(1+IF(C125=TRUE,F125,0)/100)*(1+IF(C133=TRUE,F133,0)/100)^5*(1+(IF(Skills!A11="CHAIN_LIGHTNING",Inputs!$B$17,Inputs!$B$18))/100)*(B136*I121)</f>
        <v/>
      </c>
      <c r="L121">
        <f>K121*(MIN(Inputs!$B$22+(F128-Calc!F18),Inputs!$B$23)/100+Inputs!$B$23/100)/2</f>
        <v/>
      </c>
      <c r="M121">
        <f>L121*(1+(Inputs!$B$10+(F131-Calc!F21))/100)</f>
        <v/>
      </c>
      <c r="N121">
        <f>L121*(1-MIN(Inputs!$B$9+((F130-Calc!F20)+(F129-Calc!F19)),100)/100)+M121*(MIN(Inputs!$B$9+((F130-Calc!F20)+(F129-Calc!F19)),100)/100)</f>
        <v/>
      </c>
      <c r="O121">
        <f>(1-Summary!$B$51)*S121+Summary!$B$51*U121</f>
        <v/>
      </c>
      <c r="P121">
        <f>IF(B146=0,0,O121/B146)</f>
        <v/>
      </c>
      <c r="Q121">
        <f>IFERROR(1/IF(Inputs!$B$38="pvp",15,MAX(0.1,Skills!D11-IF(Skills!E11=TRUE,Inputs!$B$32,0))),0)</f>
        <v/>
      </c>
      <c r="R121">
        <f>IF(AND(Inputs!$B$38&lt;&gt;"pvp",Inputs!$B$43&gt;0),IF(MAX(0,Inputs!$B$43-B143)&lt;=0,0,(INT(MAX(0,Inputs!$B$43-B143)/IF(Inputs!$B$38="pvp",15,MAX(0.1,Skills!D11-IF(Skills!E11=TRUE,Inputs!$B$32,0))))+1)),0)</f>
        <v/>
      </c>
      <c r="S121">
        <f>IF(C121,H121*N121*IF(AND(Inputs!$B$38&lt;&gt;"pvp",Inputs!$B$43&gt;0),((Skills!F11*((R121-1)*IF(Skills!G11&gt;0,Skills!H11/Skills!G11,1)+IF(Skills!G11&gt;0,MIN(Skills!H11,MAX(0,MAX(0,Inputs!$B$43-B143)-((R121-1)*IF(Inputs!$B$38="pvp",15,MAX(0.1,Skills!D11-IF(Skills!E11=TRUE,Inputs!$B$32,0))))))/Skills!G11,1)))/Inputs!$B$43),G121*Q121)*0.5*IF(Inputs!$B$38="pvp",1,1+(Inputs!$B$20+Skills!O11+B137)/100),0)</f>
        <v/>
      </c>
      <c r="U121">
        <f>IF(C121,H121*N121*IF(AND(Inputs!$B$38&lt;&gt;"pvp",Inputs!$B$43&gt;0),((Skills!F11*((R121-1)*IF(Skills!G11&gt;0,Skills!H11/Skills!G11,1)+IF(Skills!G11&gt;0,MIN(Skills!H11,MAX(0,MAX(0,Inputs!$B$43-B143)-((R121-1)*IF(Inputs!$B$38="pvp",15,MAX(0.1,Skills!D11-IF(Skills!E11=TRUE,Inputs!$B$32,0))))))/Skills!G11,1)))/Inputs!$B$43),G121*Q121)*1*IF(Inputs!$B$38="pvp",1,(1+(Inputs!$B$21+Skills!P11+B137)/100)*(MIN(Skills!Q11,Inputs!$B$37))),0)</f>
        <v/>
      </c>
    </row>
    <row r="122">
      <c r="A122">
        <f>Skills!A12</f>
        <v/>
      </c>
      <c r="B122">
        <f>Skills!B12</f>
        <v/>
      </c>
      <c r="C122">
        <f>Inputs!$B$3&gt;=115</f>
        <v/>
      </c>
      <c r="D122">
        <f>IF(Skills!C12=1,60+Inputs!$B$25+Inputs!$B$29,IF(Skills!C12=2,90+Inputs!$B$26+Inputs!$B$29,IF(Skills!C12=3,120+Inputs!$B$27+Inputs!$B$29,MAX(0,(Inputs!$B$3-100)*3)+Inputs!$B$28+Inputs!$B$29)))</f>
        <v/>
      </c>
      <c r="E122">
        <f>INDEX(FactorTable!$B$2:$Y$301, MATCH(ROUND(MIN(300,MAX(1,D122)),0), FactorTable!$A$2:$A$301,0), Skills!L12+1)</f>
        <v/>
      </c>
      <c r="F122">
        <f>IF(Skills!M12=TRUE,(Skills!K12/10)*(E122/1000),Skills!K12/10)+Skills!N12</f>
        <v/>
      </c>
      <c r="G122">
        <f>Calc!G12</f>
        <v/>
      </c>
      <c r="H122">
        <f>Calc!H12</f>
        <v/>
      </c>
      <c r="I122">
        <f>IF(Skills!T12&lt;&gt;"",1+(Skills!T12/10)*(Z113/1000)/100,1)</f>
        <v/>
      </c>
      <c r="J122">
        <f>((Inputs!$B$6*(1+Inputs!$B$7/100))+(((Inputs!$B$12*(1+Inputs!$B$13/100))-(Inputs!$B$12*(1+Inputs!$B$13/100)))+0.25*(Inputs!$B$14-Inputs!$B$14))*(1+Inputs!$B$7/100))*(F122/100)</f>
        <v/>
      </c>
      <c r="K122">
        <f>J122*(1+((Inputs!$B$12*(1+Inputs!$B$13/100))*0.01+Inputs!$B$14*0.0025)/100)*(1+((Inputs!$B$15+1)+B138)/100)*(1+Inputs!$B$16/100)*(5000/(6000+Inputs!$B$42*(1-Inputs!$B$19/100)))*(1+Inputs!$B$24/100)*(1+IF(C125=TRUE,F125,0)/100)*(1+IF(C133=TRUE,F133,0)/100)^5*(1+(IF(Skills!A12="CHAIN_LIGHTNING",Inputs!$B$17,Inputs!$B$18))/100)*(B136*I122)</f>
        <v/>
      </c>
      <c r="L122">
        <f>K122*(MIN(Inputs!$B$22+(F128-Calc!F18),Inputs!$B$23)/100+Inputs!$B$23/100)/2</f>
        <v/>
      </c>
      <c r="M122">
        <f>L122*(1+(Inputs!$B$10+(F131-Calc!F21))/100)</f>
        <v/>
      </c>
      <c r="N122">
        <f>L122*(1-MIN(Inputs!$B$9+((F130-Calc!F20)+(F129-Calc!F19)),100)/100)+M122*(MIN(Inputs!$B$9+((F130-Calc!F20)+(F129-Calc!F19)),100)/100)</f>
        <v/>
      </c>
      <c r="O122">
        <f>(1-Summary!$B$51)*S122+Summary!$B$51*U122</f>
        <v/>
      </c>
      <c r="P122">
        <f>IF(B146=0,0,O122/B146)</f>
        <v/>
      </c>
      <c r="Q122">
        <f>IFERROR(1/IF(Inputs!$B$38="pvp",15,MAX(0.1,Skills!D12-IF(Skills!E12=TRUE,Inputs!$B$32,0))),0)</f>
        <v/>
      </c>
      <c r="R122">
        <f>IF(AND(Inputs!$B$38&lt;&gt;"pvp",Inputs!$B$43&gt;0),IF(MAX(0,Inputs!$B$43-B143)&lt;=0,0,(INT(MAX(0,Inputs!$B$43-B143)/IF(Inputs!$B$38="pvp",15,MAX(0.1,Skills!D12-IF(Skills!E12=TRUE,Inputs!$B$32,0))))+1)),0)</f>
        <v/>
      </c>
      <c r="S122">
        <f>IF(C122,(H122*N122*IF(AND(Inputs!$B$38&lt;&gt;"pvp",Inputs!$B$43&gt;0),((Skills!F12*((R122-1)*IF(Skills!G12&gt;0,Skills!H12/Skills!G12,1)+IF(Skills!G12&gt;0,MIN(Skills!H12,MAX(0,MAX(0,Inputs!$B$43-B143)-((R122-1)*IF(Inputs!$B$38="pvp",15,MAX(0.1,Skills!D12-IF(Skills!E12=TRUE,Inputs!$B$32,0))))))/Skills!G12,1)))/Inputs!$B$43),G122*Q122))*IF(Inputs!$B$38="pvp",1,1+(Inputs!$B$20+Skills!O12+B137)/100),0)</f>
        <v/>
      </c>
      <c r="U122">
        <f>IF(C122,(H122*N122*IF(AND(Inputs!$B$38&lt;&gt;"pvp",Inputs!$B$43&gt;0),((Skills!F12*((R122-1)*IF(Skills!G12&gt;0,Skills!H12/Skills!G12,1)+IF(Skills!G12&gt;0,MIN(Skills!H12,MAX(0,MAX(0,Inputs!$B$43-B143)-((R122-1)*IF(Inputs!$B$38="pvp",15,MAX(0.1,Skills!D12-IF(Skills!E12=TRUE,Inputs!$B$32,0))))))/Skills!G12,1)))/Inputs!$B$43),G122*Q122))*IF(Inputs!$B$38="pvp",1,(1+(Inputs!$B$21+Skills!P12+B137)/100)*(MIN(Skills!Q12,Inputs!$B$37))),0)</f>
        <v/>
      </c>
    </row>
    <row r="123">
      <c r="A123">
        <f>Skills!A13</f>
        <v/>
      </c>
      <c r="B123">
        <f>Skills!B13</f>
        <v/>
      </c>
      <c r="C123">
        <f>Inputs!$B$3&gt;=49</f>
        <v/>
      </c>
      <c r="D123">
        <f>IF(Skills!C13=1,60+Inputs!$B$25+Inputs!$B$29,IF(Skills!C13=2,90+Inputs!$B$26+Inputs!$B$29,IF(Skills!C13=3,120+Inputs!$B$27+Inputs!$B$29,MAX(0,(Inputs!$B$3-100)*3)+Inputs!$B$28+Inputs!$B$29)))</f>
        <v/>
      </c>
      <c r="E123">
        <f>INDEX(FactorTable!$B$2:$Y$301, MATCH(ROUND(MIN(300,MAX(1,D123)),0), FactorTable!$A$2:$A$301,0), Skills!L13+1)</f>
        <v/>
      </c>
      <c r="F123">
        <f>IF(Skills!M13=TRUE,(Skills!K13/10)*(E123/1000),Skills!K13/10)+Skills!N13</f>
        <v/>
      </c>
      <c r="G123">
        <f>Calc!G13</f>
        <v/>
      </c>
      <c r="H123">
        <f>Calc!H13</f>
        <v/>
      </c>
      <c r="I123">
        <f>IF(Skills!T13&lt;&gt;"",1+(Skills!T13/10)*(Z113/1000)/100,1)</f>
        <v/>
      </c>
      <c r="J123" t="inlineStr"/>
      <c r="K123" t="inlineStr"/>
      <c r="L123" t="inlineStr"/>
      <c r="M123" t="inlineStr"/>
      <c r="N123" t="inlineStr"/>
      <c r="O123">
        <f>(1-Summary!$B$51)*S123+Summary!$B$51*U123</f>
        <v/>
      </c>
      <c r="P123">
        <f>IF(B146=0,0,O123/B146)</f>
        <v/>
      </c>
      <c r="Q123">
        <f>IFERROR(1/IF(Inputs!$B$38="pvp",15,MAX(0.1,Skills!D13-IF(Skills!E13=TRUE,Inputs!$B$32,0))),0)</f>
        <v/>
      </c>
      <c r="R123" t="n">
        <v>0</v>
      </c>
      <c r="S123" t="n">
        <v>0</v>
      </c>
      <c r="U123" t="n">
        <v>0</v>
      </c>
    </row>
    <row r="124">
      <c r="A124">
        <f>Skills!A14</f>
        <v/>
      </c>
      <c r="B124">
        <f>Skills!B14</f>
        <v/>
      </c>
      <c r="C124">
        <f>Inputs!$B$3&gt;=72</f>
        <v/>
      </c>
      <c r="D124">
        <f>IF(Skills!C14=1,60+Inputs!$B$25+Inputs!$B$29,IF(Skills!C14=2,90+Inputs!$B$26+Inputs!$B$29,IF(Skills!C14=3,120+Inputs!$B$27+Inputs!$B$29,MAX(0,(Inputs!$B$3-100)*3)+Inputs!$B$28+Inputs!$B$29)))</f>
        <v/>
      </c>
      <c r="E124">
        <f>INDEX(FactorTable!$B$2:$Y$301, MATCH(ROUND(MIN(300,MAX(1,D124)),0), FactorTable!$A$2:$A$301,0), Skills!L14+1)</f>
        <v/>
      </c>
      <c r="F124">
        <f>IF(Skills!M14=TRUE,(Skills!K14/10)*(E124/1000),Skills!K14/10)+Skills!N14</f>
        <v/>
      </c>
      <c r="G124">
        <f>Calc!G14</f>
        <v/>
      </c>
      <c r="H124">
        <f>Calc!H14</f>
        <v/>
      </c>
      <c r="I124">
        <f>IF(Skills!T14&lt;&gt;"",1+(Skills!T14/10)*(Z113/1000)/100,1)</f>
        <v/>
      </c>
      <c r="J124" t="inlineStr"/>
      <c r="K124" t="inlineStr"/>
      <c r="L124" t="inlineStr"/>
      <c r="M124" t="inlineStr"/>
      <c r="N124" t="inlineStr"/>
      <c r="O124">
        <f>(1-Summary!$B$51)*S124+Summary!$B$51*U124</f>
        <v/>
      </c>
      <c r="P124">
        <f>IF(B146=0,0,O124/B146)</f>
        <v/>
      </c>
      <c r="Q124">
        <f>IFERROR(1/IF(Inputs!$B$38="pvp",15,MAX(0.1,Skills!D14-IF(Skills!E14=TRUE,Inputs!$B$32,0))),0)</f>
        <v/>
      </c>
      <c r="R124" t="n">
        <v>0</v>
      </c>
      <c r="S124" t="n">
        <v>0</v>
      </c>
      <c r="U124" t="n">
        <v>0</v>
      </c>
    </row>
    <row r="125">
      <c r="A125">
        <f>Skills!A15</f>
        <v/>
      </c>
      <c r="B125">
        <f>Skills!B15</f>
        <v/>
      </c>
      <c r="C125">
        <f>Inputs!$B$3&gt;=75</f>
        <v/>
      </c>
      <c r="D125">
        <f>IF(Skills!C15=1,60+Inputs!$B$25+Inputs!$B$29,IF(Skills!C15=2,90+Inputs!$B$26+Inputs!$B$29,IF(Skills!C15=3,120+Inputs!$B$27+Inputs!$B$29,MAX(0,(Inputs!$B$3-100)*3)+Inputs!$B$28+Inputs!$B$29)))</f>
        <v/>
      </c>
      <c r="E125">
        <f>INDEX(FactorTable!$B$2:$Y$301, MATCH(ROUND(MIN(300,MAX(1,D125)),0), FactorTable!$A$2:$A$301,0), Skills!L15+1)</f>
        <v/>
      </c>
      <c r="F125">
        <f>IF(Skills!M15=TRUE,(Skills!K15/10)*(E125/1000),Skills!K15/10)+Skills!N15</f>
        <v/>
      </c>
      <c r="G125">
        <f>Calc!G15</f>
        <v/>
      </c>
      <c r="H125">
        <f>Calc!H15</f>
        <v/>
      </c>
      <c r="I125">
        <f>IF(Skills!T15&lt;&gt;"",1+(Skills!T15/10)*(Z113/1000)/100,1)</f>
        <v/>
      </c>
      <c r="J125" t="inlineStr"/>
      <c r="K125" t="inlineStr"/>
      <c r="L125" t="inlineStr"/>
      <c r="M125" t="inlineStr"/>
      <c r="N125" t="inlineStr"/>
      <c r="O125">
        <f>(1-Summary!$B$51)*S125+Summary!$B$51*U125</f>
        <v/>
      </c>
      <c r="P125">
        <f>IF(B146=0,0,O125/B146)</f>
        <v/>
      </c>
      <c r="Q125">
        <f>IFERROR(1/IF(Inputs!$B$38="pvp",15,MAX(0.1,Skills!D15-IF(Skills!E15=TRUE,Inputs!$B$32,0))),0)</f>
        <v/>
      </c>
      <c r="R125" t="n">
        <v>0</v>
      </c>
      <c r="S125" t="n">
        <v>0</v>
      </c>
      <c r="U125" t="n">
        <v>0</v>
      </c>
    </row>
    <row r="126">
      <c r="A126">
        <f>Skills!A16</f>
        <v/>
      </c>
      <c r="B126">
        <f>Skills!B16</f>
        <v/>
      </c>
      <c r="C126">
        <f>Inputs!$B$3&gt;=110</f>
        <v/>
      </c>
      <c r="D126">
        <f>IF(Skills!C16=1,60+Inputs!$B$25+Inputs!$B$29,IF(Skills!C16=2,90+Inputs!$B$26+Inputs!$B$29,IF(Skills!C16=3,120+Inputs!$B$27+Inputs!$B$29,MAX(0,(Inputs!$B$3-100)*3)+Inputs!$B$28+Inputs!$B$29)))</f>
        <v/>
      </c>
      <c r="E126">
        <f>INDEX(FactorTable!$B$2:$Y$301, MATCH(ROUND(MIN(300,MAX(1,D126)),0), FactorTable!$A$2:$A$301,0), Skills!L16+1)</f>
        <v/>
      </c>
      <c r="F126">
        <f>(Skills!K16/10)*(E126/1000)*64/45+Skills!N16</f>
        <v/>
      </c>
      <c r="G126">
        <f>Calc!G16</f>
        <v/>
      </c>
      <c r="H126">
        <f>Calc!H16</f>
        <v/>
      </c>
      <c r="I126">
        <f>IF(Skills!T16&lt;&gt;"",1+(Skills!T16/10)*(Z113/1000)/100,1)</f>
        <v/>
      </c>
      <c r="J126" t="inlineStr"/>
      <c r="K126" t="inlineStr"/>
      <c r="L126" t="inlineStr"/>
      <c r="M126" t="inlineStr"/>
      <c r="N126" t="inlineStr"/>
      <c r="O126">
        <f>(1-Summary!$B$51)*S126+Summary!$B$51*U126</f>
        <v/>
      </c>
      <c r="P126">
        <f>IF(B146=0,0,O126/B146)</f>
        <v/>
      </c>
      <c r="Q126">
        <f>IFERROR(1/IF(Inputs!$B$38="pvp",15,MAX(0.1,Skills!D16-IF(Skills!E16=TRUE,Inputs!$B$32,0))),0)</f>
        <v/>
      </c>
      <c r="R126">
        <f>IF(AND(Inputs!$B$38&lt;&gt;"pvp",Inputs!$B$43&gt;0),IF(Inputs!$B$43&lt;=0,0,(INT(Inputs!$B$43/IF(Inputs!$B$38="pvp",15,MAX(0.1,Skills!D16-IF(Skills!E16=TRUE,Inputs!$B$32,0))))+1)),0)</f>
        <v/>
      </c>
      <c r="S126" t="n">
        <v>0</v>
      </c>
      <c r="U126" t="n">
        <v>0</v>
      </c>
    </row>
    <row r="127">
      <c r="A127">
        <f>Skills!A17</f>
        <v/>
      </c>
      <c r="B127">
        <f>Skills!B17</f>
        <v/>
      </c>
      <c r="C127">
        <f>Inputs!$B$3&gt;=33</f>
        <v/>
      </c>
      <c r="D127">
        <f>IF(Skills!C17=1,60+Inputs!$B$25+Inputs!$B$29,IF(Skills!C17=2,90+Inputs!$B$26+Inputs!$B$29,IF(Skills!C17=3,120+Inputs!$B$27+Inputs!$B$29,MAX(0,(Inputs!$B$3-100)*3)+Inputs!$B$28+Inputs!$B$29)))</f>
        <v/>
      </c>
      <c r="E127">
        <f>INDEX(FactorTable!$B$2:$Y$301, MATCH(ROUND(MIN(300,MAX(1,D127)),0), FactorTable!$A$2:$A$301,0), Skills!L17+1)</f>
        <v/>
      </c>
      <c r="F127">
        <f>IF(Skills!M17=TRUE,(Skills!K17/10)*(E127/1000),Skills!K17/10)+Skills!N17</f>
        <v/>
      </c>
      <c r="G127">
        <f>Calc!G17</f>
        <v/>
      </c>
      <c r="H127">
        <f>Calc!H17</f>
        <v/>
      </c>
      <c r="I127">
        <f>IF(Skills!T17&lt;&gt;"",1+(Skills!T17/10)*(Z113/1000)/100,1)</f>
        <v/>
      </c>
      <c r="J127" t="inlineStr"/>
      <c r="K127" t="inlineStr"/>
      <c r="L127" t="inlineStr"/>
      <c r="M127" t="inlineStr"/>
      <c r="N127" t="inlineStr"/>
      <c r="O127">
        <f>(1-Summary!$B$51)*S127+Summary!$B$51*U127</f>
        <v/>
      </c>
      <c r="P127">
        <f>IF(B146=0,0,O127/B146)</f>
        <v/>
      </c>
      <c r="Q127">
        <f>IFERROR(1/IF(Inputs!$B$38="pvp",15,MAX(0.1,Skills!D17-IF(Skills!E17=TRUE,Inputs!$B$32,0))),0)</f>
        <v/>
      </c>
      <c r="R127" t="n">
        <v>0</v>
      </c>
      <c r="S127" t="n">
        <v>0</v>
      </c>
      <c r="U127" t="n">
        <v>0</v>
      </c>
    </row>
    <row r="128">
      <c r="A128">
        <f>Skills!A18</f>
        <v/>
      </c>
      <c r="B128">
        <f>Skills!B18</f>
        <v/>
      </c>
      <c r="C128">
        <f>Inputs!$B$3&gt;=43</f>
        <v/>
      </c>
      <c r="D128">
        <f>IF(Skills!C18=1,60+Inputs!$B$25+Inputs!$B$29,IF(Skills!C18=2,90+Inputs!$B$26+Inputs!$B$29,IF(Skills!C18=3,120+Inputs!$B$27+Inputs!$B$29,MAX(0,(Inputs!$B$3-100)*3)+Inputs!$B$28+Inputs!$B$29)))</f>
        <v/>
      </c>
      <c r="E128">
        <f>INDEX(FactorTable!$B$2:$Y$301, MATCH(ROUND(MIN(300,MAX(1,D128)),0), FactorTable!$A$2:$A$301,0), Skills!L18+1)</f>
        <v/>
      </c>
      <c r="F128">
        <f>IF(Skills!M18=TRUE,(Skills!K18/10)*(E128/1000),Skills!K18/10)+Skills!N18</f>
        <v/>
      </c>
      <c r="G128">
        <f>Calc!G18</f>
        <v/>
      </c>
      <c r="H128">
        <f>Calc!H18</f>
        <v/>
      </c>
      <c r="I128">
        <f>IF(Skills!T18&lt;&gt;"",1+(Skills!T18/10)*(Z113/1000)/100,1)</f>
        <v/>
      </c>
      <c r="J128" t="inlineStr"/>
      <c r="K128" t="inlineStr"/>
      <c r="L128" t="inlineStr"/>
      <c r="M128" t="inlineStr"/>
      <c r="N128" t="inlineStr"/>
      <c r="O128">
        <f>(1-Summary!$B$51)*S128+Summary!$B$51*U128</f>
        <v/>
      </c>
      <c r="P128">
        <f>IF(B146=0,0,O128/B146)</f>
        <v/>
      </c>
      <c r="Q128">
        <f>IFERROR(1/IF(Inputs!$B$38="pvp",15,MAX(0.1,Skills!D18-IF(Skills!E18=TRUE,Inputs!$B$32,0))),0)</f>
        <v/>
      </c>
      <c r="R128" t="n">
        <v>0</v>
      </c>
      <c r="S128" t="n">
        <v>0</v>
      </c>
      <c r="U128" t="n">
        <v>0</v>
      </c>
    </row>
    <row r="129">
      <c r="A129">
        <f>Skills!A19</f>
        <v/>
      </c>
      <c r="B129">
        <f>Skills!B19</f>
        <v/>
      </c>
      <c r="C129">
        <f>Inputs!$B$3&gt;=50</f>
        <v/>
      </c>
      <c r="D129">
        <f>IF(Skills!C19=1,60+Inputs!$B$25+Inputs!$B$29,IF(Skills!C19=2,90+Inputs!$B$26+Inputs!$B$29,IF(Skills!C19=3,120+Inputs!$B$27+Inputs!$B$29,MAX(0,(Inputs!$B$3-100)*3)+Inputs!$B$28+Inputs!$B$29)))</f>
        <v/>
      </c>
      <c r="E129">
        <f>INDEX(FactorTable!$B$2:$Y$301, MATCH(ROUND(MIN(300,MAX(1,D129)),0), FactorTable!$A$2:$A$301,0), Skills!L19+1)</f>
        <v/>
      </c>
      <c r="F129">
        <f>IF(Skills!M19=TRUE,(Skills!K19/10)*(E129/1000),Skills!K19/10)+Skills!N19</f>
        <v/>
      </c>
      <c r="G129">
        <f>Calc!G19</f>
        <v/>
      </c>
      <c r="H129">
        <f>Calc!H19</f>
        <v/>
      </c>
      <c r="I129">
        <f>IF(Skills!T19&lt;&gt;"",1+(Skills!T19/10)*(Z113/1000)/100,1)</f>
        <v/>
      </c>
      <c r="J129" t="inlineStr"/>
      <c r="K129" t="inlineStr"/>
      <c r="L129" t="inlineStr"/>
      <c r="M129" t="inlineStr"/>
      <c r="N129" t="inlineStr"/>
      <c r="O129">
        <f>(1-Summary!$B$51)*S129+Summary!$B$51*U129</f>
        <v/>
      </c>
      <c r="P129">
        <f>IF(B146=0,0,O129/B146)</f>
        <v/>
      </c>
      <c r="Q129">
        <f>IFERROR(1/IF(Inputs!$B$38="pvp",15,MAX(0.1,Skills!D19-IF(Skills!E19=TRUE,Inputs!$B$32,0))),0)</f>
        <v/>
      </c>
      <c r="R129" t="n">
        <v>0</v>
      </c>
      <c r="S129" t="n">
        <v>0</v>
      </c>
      <c r="U129" t="n">
        <v>0</v>
      </c>
    </row>
    <row r="130">
      <c r="A130">
        <f>Skills!A20</f>
        <v/>
      </c>
      <c r="B130">
        <f>Skills!B20</f>
        <v/>
      </c>
      <c r="C130">
        <f>Inputs!$B$3&gt;=74</f>
        <v/>
      </c>
      <c r="D130">
        <f>IF(Skills!C20=1,60+Inputs!$B$25+Inputs!$B$29,IF(Skills!C20=2,90+Inputs!$B$26+Inputs!$B$29,IF(Skills!C20=3,120+Inputs!$B$27+Inputs!$B$29,MAX(0,(Inputs!$B$3-100)*3)+Inputs!$B$28+Inputs!$B$29)))</f>
        <v/>
      </c>
      <c r="E130">
        <f>INDEX(FactorTable!$B$2:$Y$301, MATCH(ROUND(MIN(300,MAX(1,D130)),0), FactorTable!$A$2:$A$301,0), Skills!L20+1)</f>
        <v/>
      </c>
      <c r="F130">
        <f>IF(Skills!M20=TRUE,(Skills!K20/10)*(E130/1000),Skills!K20/10)+Skills!N20</f>
        <v/>
      </c>
      <c r="G130">
        <f>Calc!G20</f>
        <v/>
      </c>
      <c r="H130">
        <f>Calc!H20</f>
        <v/>
      </c>
      <c r="I130">
        <f>IF(Skills!T20&lt;&gt;"",1+(Skills!T20/10)*(Z113/1000)/100,1)</f>
        <v/>
      </c>
      <c r="J130" t="inlineStr"/>
      <c r="K130" t="inlineStr"/>
      <c r="L130" t="inlineStr"/>
      <c r="M130" t="inlineStr"/>
      <c r="N130" t="inlineStr"/>
      <c r="O130">
        <f>(1-Summary!$B$51)*S130+Summary!$B$51*U130</f>
        <v/>
      </c>
      <c r="P130">
        <f>IF(B146=0,0,O130/B146)</f>
        <v/>
      </c>
      <c r="Q130">
        <f>IFERROR(1/IF(Inputs!$B$38="pvp",15,MAX(0.1,Skills!D20-IF(Skills!E20=TRUE,Inputs!$B$32,0))),0)</f>
        <v/>
      </c>
      <c r="R130" t="n">
        <v>0</v>
      </c>
      <c r="S130" t="n">
        <v>0</v>
      </c>
      <c r="U130" t="n">
        <v>0</v>
      </c>
    </row>
    <row r="131">
      <c r="A131">
        <f>Skills!A21</f>
        <v/>
      </c>
      <c r="B131">
        <f>Skills!B21</f>
        <v/>
      </c>
      <c r="C131">
        <f>Inputs!$B$3&gt;=74</f>
        <v/>
      </c>
      <c r="D131">
        <f>IF(Skills!C21=1,60+Inputs!$B$25+Inputs!$B$29,IF(Skills!C21=2,90+Inputs!$B$26+Inputs!$B$29,IF(Skills!C21=3,120+Inputs!$B$27+Inputs!$B$29,MAX(0,(Inputs!$B$3-100)*3)+Inputs!$B$28+Inputs!$B$29)))</f>
        <v/>
      </c>
      <c r="E131">
        <f>INDEX(FactorTable!$B$2:$Y$301, MATCH(ROUND(MIN(300,MAX(1,D131)),0), FactorTable!$A$2:$A$301,0), Skills!L21+1)</f>
        <v/>
      </c>
      <c r="F131">
        <f>IF(Skills!M21=TRUE,(Skills!K21/10)*(E131/1000),Skills!K21/10)+Skills!N21</f>
        <v/>
      </c>
      <c r="G131">
        <f>Calc!G21</f>
        <v/>
      </c>
      <c r="H131">
        <f>Calc!H21</f>
        <v/>
      </c>
      <c r="I131">
        <f>IF(Skills!T21&lt;&gt;"",1+(Skills!T21/10)*(Z113/1000)/100,1)</f>
        <v/>
      </c>
      <c r="J131" t="inlineStr"/>
      <c r="K131" t="inlineStr"/>
      <c r="L131" t="inlineStr"/>
      <c r="M131" t="inlineStr"/>
      <c r="N131" t="inlineStr"/>
      <c r="O131">
        <f>(1-Summary!$B$51)*S131+Summary!$B$51*U131</f>
        <v/>
      </c>
      <c r="P131">
        <f>IF(B146=0,0,O131/B146)</f>
        <v/>
      </c>
      <c r="Q131">
        <f>IFERROR(1/IF(Inputs!$B$38="pvp",15,MAX(0.1,Skills!D21-IF(Skills!E21=TRUE,Inputs!$B$32,0))),0)</f>
        <v/>
      </c>
      <c r="R131" t="n">
        <v>0</v>
      </c>
      <c r="S131" t="n">
        <v>0</v>
      </c>
      <c r="U131" t="n">
        <v>0</v>
      </c>
    </row>
    <row r="132">
      <c r="A132">
        <f>Skills!A22</f>
        <v/>
      </c>
      <c r="B132">
        <f>Skills!B22</f>
        <v/>
      </c>
      <c r="C132">
        <f>Inputs!$B$3&gt;=117</f>
        <v/>
      </c>
      <c r="D132">
        <f>IF(Skills!C22=1,60+Inputs!$B$25+Inputs!$B$29,IF(Skills!C22=2,90+Inputs!$B$26+Inputs!$B$29,IF(Skills!C22=3,120+Inputs!$B$27+Inputs!$B$29,MAX(0,(Inputs!$B$3-100)*3)+Inputs!$B$28+Inputs!$B$29)))</f>
        <v/>
      </c>
      <c r="E132">
        <f>INDEX(FactorTable!$B$2:$Y$301, MATCH(ROUND(MIN(300,MAX(1,D132)),0), FactorTable!$A$2:$A$301,0), Skills!L22+1)</f>
        <v/>
      </c>
      <c r="F132">
        <f>IF(Skills!M22=TRUE,(Skills!K22/10)*(E132/1000),Skills!K22/10)+Skills!N22</f>
        <v/>
      </c>
      <c r="G132">
        <f>Calc!G22</f>
        <v/>
      </c>
      <c r="H132">
        <f>Calc!H22</f>
        <v/>
      </c>
      <c r="I132">
        <f>IF(Skills!T22&lt;&gt;"",1+(Skills!T22/10)*(Z113/1000)/100,1)</f>
        <v/>
      </c>
      <c r="J132" t="inlineStr"/>
      <c r="K132" t="inlineStr"/>
      <c r="L132" t="inlineStr"/>
      <c r="M132" t="inlineStr"/>
      <c r="N132" t="inlineStr"/>
      <c r="O132">
        <f>(1-Summary!$B$51)*S132+Summary!$B$51*U132</f>
        <v/>
      </c>
      <c r="P132">
        <f>IF(B146=0,0,O132/B146)</f>
        <v/>
      </c>
      <c r="Q132">
        <f>IFERROR(1/IF(Inputs!$B$38="pvp",15,MAX(0.1,Skills!D22-IF(Skills!E22=TRUE,Inputs!$B$32,0))),0)</f>
        <v/>
      </c>
      <c r="R132" t="n">
        <v>0</v>
      </c>
      <c r="S132" t="n">
        <v>0</v>
      </c>
      <c r="U132" t="n">
        <v>0</v>
      </c>
    </row>
    <row r="133">
      <c r="A133">
        <f>Skills!A23</f>
        <v/>
      </c>
      <c r="B133">
        <f>Skills!B23</f>
        <v/>
      </c>
      <c r="C133">
        <f>Inputs!$B$3&gt;=120</f>
        <v/>
      </c>
      <c r="D133">
        <f>IF(Skills!C23=1,60+Inputs!$B$25+Inputs!$B$29,IF(Skills!C23=2,90+Inputs!$B$26+Inputs!$B$29,IF(Skills!C23=3,120+Inputs!$B$27+Inputs!$B$29,MAX(0,(Inputs!$B$3-100)*3)+Inputs!$B$28+Inputs!$B$29)))</f>
        <v/>
      </c>
      <c r="E133">
        <f>INDEX(FactorTable!$B$2:$Y$301, MATCH(ROUND(MIN(300,MAX(1,D133)),0), FactorTable!$A$2:$A$301,0), Skills!L23+1)</f>
        <v/>
      </c>
      <c r="F133">
        <f>IF(Skills!M23=TRUE,(Skills!K23/10)*(E133/1000),Skills!K23/10)+Skills!N23</f>
        <v/>
      </c>
      <c r="G133">
        <f>Calc!G23</f>
        <v/>
      </c>
      <c r="H133">
        <f>Calc!H23</f>
        <v/>
      </c>
      <c r="I133">
        <f>IF(Skills!T23&lt;&gt;"",1+(Skills!T23/10)*(Z113/1000)/100,1)</f>
        <v/>
      </c>
      <c r="J133" t="inlineStr"/>
      <c r="K133" t="inlineStr"/>
      <c r="L133" t="inlineStr"/>
      <c r="M133" t="inlineStr"/>
      <c r="N133" t="inlineStr"/>
      <c r="O133">
        <f>(1-Summary!$B$51)*S133+Summary!$B$51*U133</f>
        <v/>
      </c>
      <c r="P133">
        <f>IF(B146=0,0,O133/B146)</f>
        <v/>
      </c>
      <c r="Q133">
        <f>IFERROR(1/IF(Inputs!$B$38="pvp",15,MAX(0.1,Skills!D23-IF(Skills!E23=TRUE,Inputs!$B$32,0))),0)</f>
        <v/>
      </c>
      <c r="R133" t="n">
        <v>0</v>
      </c>
      <c r="S133" t="n">
        <v>0</v>
      </c>
      <c r="U133" t="n">
        <v>0</v>
      </c>
    </row>
    <row r="136">
      <c r="A136" t="inlineStr">
        <is>
          <t>Average Buff Multiplier (Magic Guard + Meditation, summed; then Infinity)</t>
        </is>
      </c>
      <c r="B136">
        <f>(1+(IF(C113=TRUE,F113*IF(AND(Inputs!$B$38&lt;&gt;"pvp",Inputs!$B$43&gt;0),(((R113-1)*(Skills!S3*(1+(Inputs!$B$34+IF(Inputs!$B$3&gt;=117,F132,0))/100))+MIN((Skills!S3*(1+(Inputs!$B$34+IF(Inputs!$B$3&gt;=117,F132,0))/100)),MAX(0,Inputs!$B$43-((R113-1)*Skills!D3))))/Inputs!$B$43),IF(Inputs!$B$38="pvp",MIN((Skills!S3*(1+(Inputs!$B$34+IF(Inputs!$B$3&gt;=117,F132,0))/100)),15)/15,(Skills!S3*(1+(Inputs!$B$34+IF(Inputs!$B$3&gt;=117,F132,0))/100))/Skills!D3)),0)+IF(C114=TRUE,F114*IF(AND(Inputs!$B$38&lt;&gt;"pvp",Inputs!$B$43&gt;0),(((R114-1)*(Skills!S4*(1+(Inputs!$B$34+IF(Inputs!$B$3&gt;=117,F132,0))/100))+MIN((Skills!S4*(1+(Inputs!$B$34+IF(Inputs!$B$3&gt;=117,F132,0))/100)),MAX(0,Inputs!$B$43-((R114-1)*Skills!D4))))/Inputs!$B$43),IF(Inputs!$B$38="pvp",MIN((Skills!S4*(1+(Inputs!$B$34+IF(Inputs!$B$3&gt;=117,F132,0))/100)),15)/15,(Skills!S4*(1+(Inputs!$B$34+IF(Inputs!$B$3&gt;=117,F132,0))/100))/Skills!D4)),0))/100)*IF(C126=TRUE,(1+F126*IF(AND(Inputs!$B$38&lt;&gt;"pvp",Inputs!$B$43&gt;0),(((R126-1)*(Skills!S16*(1+(Inputs!$B$34+IF(Inputs!$B$3&gt;=117,F132,0))/100))+MIN((Skills!S16*(1+(Inputs!$B$34+IF(Inputs!$B$3&gt;=117,F132,0))/100)),MAX(0,Inputs!$B$43-((R126-1)*Skills!D16))))/Inputs!$B$43),IF(Inputs!$B$38="pvp",MIN((Skills!S16*(1+(Inputs!$B$34+IF(Inputs!$B$3&gt;=117,F132,0))/100)),15)/15,(Skills!S16*(1+(Inputs!$B$34+IF(Inputs!$B$3&gt;=117,F132,0))/100))/Skills!D16))/100),1)</f>
        <v/>
      </c>
    </row>
    <row r="137">
      <c r="A137" t="inlineStr">
        <is>
          <t>Monster Damage Taken Bonus % (Freezing Breath - Weaken + Elemental Reset, summed)</t>
        </is>
      </c>
      <c r="B137">
        <f>IF(Inputs!$B$3&gt;=118,15*IF(Inputs!$B$38="pvp",MIN((30*(1+(Inputs!$B$34+IF(Inputs!$B$3&gt;=117,F132,0))/100)),15)/15,(30*(1+(Inputs!$B$34+IF(Inputs!$B$3&gt;=117,F132,0))/100))/Skills!D8),0)+IF(C124=TRUE,F124,0)</f>
        <v/>
      </c>
    </row>
    <row r="138">
      <c r="A138" t="inlineStr">
        <is>
          <t>Damage % Bonus (Frozen Break + Frost Clutch, flat)</t>
        </is>
      </c>
      <c r="B138">
        <f>IF(Inputs!$B$3&gt;=66,15,0)+IF(Inputs!$B$3&gt;=98,10,0)+IF(Inputs!$B$3&gt;=125,20,0)</f>
        <v/>
      </c>
    </row>
    <row r="139">
      <c r="A139" t="inlineStr">
        <is>
          <t>Attack Speed Bonus % (MP Eater - MP Boost, always-on once unlocked)</t>
        </is>
      </c>
      <c r="B139">
        <f>IF(C123=TRUE,F123+(F127-Calc!F17),0)</f>
        <v/>
      </c>
    </row>
    <row r="140">
      <c r="A140" t="inlineStr">
        <is>
          <t>Actions Per Second</t>
        </is>
      </c>
      <c r="B140">
        <f>1+MIN(150,150*(1-(1-Inputs!$B$11/150)*(1-B139/150)))/100</f>
        <v/>
      </c>
    </row>
    <row r="141">
      <c r="A141" t="inlineStr">
        <is>
          <t>Skill + Buff Cast Rate</t>
        </is>
      </c>
      <c r="B141">
        <f>IF(AND(Inputs!$B$38&lt;&gt;"pvp",Inputs!$B$43&gt;0),SUMPRODUCT((Skills!E2:E23=TRUE)*(C112:C133=TRUE)*R112:R133)/Inputs!$B$43,SUMPRODUCT((Skills!E2:E23=TRUE)*(C112:C133=TRUE)*Q112:Q133))</f>
        <v/>
      </c>
    </row>
    <row r="142">
      <c r="A142" t="inlineStr">
        <is>
          <t>Chain Lightning Casts Per Second</t>
        </is>
      </c>
      <c r="B142">
        <f>MAX(0,B140-B141)</f>
        <v/>
      </c>
    </row>
    <row r="143">
      <c r="A143" t="inlineStr">
        <is>
          <t>Buff-Casting Startup Delay (s, fixed-duration only)</t>
        </is>
      </c>
      <c r="B143">
        <f>IF(AND(Inputs!$B$38&lt;&gt;"pvp",Inputs!$B$43&gt;0),SUMPRODUCT((Skills!S2:S23&gt;0)*(Skills!E2:E23=TRUE)*(C112:C133=TRUE))/B140,0)</f>
        <v/>
      </c>
    </row>
    <row r="144">
      <c r="A144" t="inlineStr">
        <is>
          <t>Boss-Only Total DPS (this block's swept value)</t>
        </is>
      </c>
      <c r="B144">
        <f>SUM(S112:S133)</f>
        <v/>
      </c>
    </row>
    <row r="145">
      <c r="A145" t="inlineStr">
        <is>
          <t>Normal-Only Total DPS (this block's swept value)</t>
        </is>
      </c>
      <c r="B145">
        <f>SUM(U112:U133)</f>
        <v/>
      </c>
    </row>
    <row r="146">
      <c r="A146" s="5" t="inlineStr">
        <is>
          <t>TOTAL DPS</t>
        </is>
      </c>
      <c r="B146" s="5">
        <f>SUM(O112:O133)</f>
        <v/>
      </c>
    </row>
    <row r="149">
      <c r="A149" s="5" t="inlineStr">
        <is>
          <t>Stat: DAMAGE_AMP %</t>
        </is>
      </c>
    </row>
    <row r="150">
      <c r="A150" s="9" t="inlineStr">
        <is>
          <t>Key</t>
        </is>
      </c>
      <c r="B150" s="9" t="inlineStr">
        <is>
          <t>Name</t>
        </is>
      </c>
      <c r="C150" s="9" t="inlineStr">
        <is>
          <t>Unlocked</t>
        </is>
      </c>
      <c r="D150" s="9" t="inlineStr">
        <is>
          <t>InputLevel</t>
        </is>
      </c>
      <c r="E150" s="9" t="inlineStr">
        <is>
          <t>Factor</t>
        </is>
      </c>
      <c r="F150" s="9" t="inlineStr">
        <is>
          <t>CoefficientPercent</t>
        </is>
      </c>
      <c r="G150" s="9" t="inlineStr">
        <is>
          <t>EffectiveHits</t>
        </is>
      </c>
      <c r="H150" s="9" t="inlineStr">
        <is>
          <t>ProcProbability</t>
        </is>
      </c>
      <c r="I150" s="9" t="inlineStr">
        <is>
          <t>MapleHeroMultiplier</t>
        </is>
      </c>
      <c r="J150" s="9" t="inlineStr">
        <is>
          <t>BaseDamage</t>
        </is>
      </c>
      <c r="K150" s="9" t="inlineStr">
        <is>
          <t>BaseHitDamage</t>
        </is>
      </c>
      <c r="L150" s="9" t="inlineStr">
        <is>
          <t>NonCritAvg</t>
        </is>
      </c>
      <c r="M150" s="9" t="inlineStr">
        <is>
          <t>CritAvg</t>
        </is>
      </c>
      <c r="N150" s="9" t="inlineStr">
        <is>
          <t>ExpectedDamage(perHit)</t>
        </is>
      </c>
      <c r="O150" s="9" t="inlineStr">
        <is>
          <t>DPS</t>
        </is>
      </c>
      <c r="P150" s="9" t="inlineStr">
        <is>
          <t>% of Total</t>
        </is>
      </c>
      <c r="R150" t="inlineStr">
        <is>
          <t>helpers</t>
        </is>
      </c>
    </row>
    <row r="151">
      <c r="A151">
        <f>Skills!A2</f>
        <v/>
      </c>
      <c r="B151">
        <f>Skills!B2</f>
        <v/>
      </c>
      <c r="C151">
        <f>Inputs!$B$3&gt;=100</f>
        <v/>
      </c>
      <c r="D151" t="inlineStr"/>
      <c r="E151" t="inlineStr"/>
      <c r="F151">
        <f>T153+Skills!N2</f>
        <v/>
      </c>
      <c r="G151">
        <f>Calc!G2</f>
        <v/>
      </c>
      <c r="H151">
        <f>Calc!H2</f>
        <v/>
      </c>
      <c r="I151">
        <f>IF(Skills!T2&lt;&gt;"",1+(Skills!T2/10)*(Z152/1000)/100,1)</f>
        <v/>
      </c>
      <c r="J151">
        <f>((Inputs!$B$6*(1+Inputs!$B$7/100))+(((Inputs!$B$12*(1+Inputs!$B$13/100))-(Inputs!$B$12*(1+Inputs!$B$13/100)))+0.25*(Inputs!$B$14-Inputs!$B$14))*(1+Inputs!$B$7/100))*(F151/100)</f>
        <v/>
      </c>
      <c r="K151">
        <f>J151*(1+((Inputs!$B$12*(1+Inputs!$B$13/100))*0.01+Inputs!$B$14*0.0025)/100)*(1+(Inputs!$B$15+B177)/100)*(1+(Inputs!$B$16+1)/100)*(5000/(6000+Inputs!$B$42*(1-Inputs!$B$19/100)))*(1+Inputs!$B$24/100)*(1+IF(C164=TRUE,F164,0)/100)*(1+IF(C172=TRUE,F172,0)/100)^5*(1+(IF(Skills!A2="CHAIN_LIGHTNING",Inputs!$B$17,Inputs!$B$18))/100)*(B175*I151)</f>
        <v/>
      </c>
      <c r="L151">
        <f>K151*(MIN(Inputs!$B$22+(F167-Calc!F18),Inputs!$B$23)/100+Inputs!$B$23/100)/2</f>
        <v/>
      </c>
      <c r="M151">
        <f>L151*(1+(Inputs!$B$10+(F170-Calc!F21))/100)</f>
        <v/>
      </c>
      <c r="N151">
        <f>L151*(1-MIN(Inputs!$B$9+((F169-Calc!F20)+(F168-Calc!F19)),100)/100)+M151*(MIN(Inputs!$B$9+((F169-Calc!F20)+(F168-Calc!F19)),100)/100)</f>
        <v/>
      </c>
      <c r="O151">
        <f>(1-Summary!$B$51)*S151+Summary!$B$51*U151</f>
        <v/>
      </c>
      <c r="P151">
        <f>IF(B185=0,0,O151/B185)</f>
        <v/>
      </c>
      <c r="Q151">
        <f>IFERROR(1/IF(Inputs!$B$38="pvp",15,MAX(0.1,Skills!D2-IF(Skills!E2=TRUE,Inputs!$B$32,0))),0)</f>
        <v/>
      </c>
      <c r="R151" t="n">
        <v>0</v>
      </c>
      <c r="S151">
        <f>IF(C151,(Skills!F2*N151*B181)*IF(Inputs!$B$38="pvp",1,1+(Inputs!$B$20+Skills!O2+B176)/100),0)</f>
        <v/>
      </c>
      <c r="T151">
        <f>MAX(0,(Inputs!$B$3-100)*3)+Inputs!$B$28+Inputs!$B$29</f>
        <v/>
      </c>
      <c r="U151">
        <f>IF(C151,(Skills!F2*N151*B181)*IF(Inputs!$B$38="pvp",1,(1+(Inputs!$B$21+Skills!P2+B176)/100)*(MIN((6+Inputs!$B$33),Inputs!$B$37))),0)</f>
        <v/>
      </c>
      <c r="Z151">
        <f>MAX(0,(Inputs!$B$3-100)*3)+Inputs!$B$28+Inputs!$B$29</f>
        <v/>
      </c>
    </row>
    <row r="152">
      <c r="A152">
        <f>Skills!A3</f>
        <v/>
      </c>
      <c r="B152">
        <f>Skills!B3</f>
        <v/>
      </c>
      <c r="C152">
        <f>Inputs!$B$3&gt;=15</f>
        <v/>
      </c>
      <c r="D152">
        <f>IF(Skills!C3=1,60+Inputs!$B$25+Inputs!$B$29,IF(Skills!C3=2,90+Inputs!$B$26+Inputs!$B$29,IF(Skills!C3=3,120+Inputs!$B$27+Inputs!$B$29,MAX(0,(Inputs!$B$3-100)*3)+Inputs!$B$28+Inputs!$B$29)))</f>
        <v/>
      </c>
      <c r="E152">
        <f>INDEX(FactorTable!$B$2:$Y$301, MATCH(ROUND(MIN(300,MAX(1,D152)),0), FactorTable!$A$2:$A$301,0), Skills!L3+1)</f>
        <v/>
      </c>
      <c r="F152">
        <f>IF(Skills!M3=TRUE,(Skills!K3/10)*(E152/1000),Skills!K3/10)+Skills!N3</f>
        <v/>
      </c>
      <c r="G152">
        <f>Calc!G3</f>
        <v/>
      </c>
      <c r="H152">
        <f>Calc!H3</f>
        <v/>
      </c>
      <c r="I152">
        <f>IF(Skills!T3&lt;&gt;"",1+(Skills!T3/10)*(Z152/1000)/100,1)</f>
        <v/>
      </c>
      <c r="J152" t="inlineStr"/>
      <c r="K152" t="inlineStr"/>
      <c r="L152" t="inlineStr"/>
      <c r="M152" t="inlineStr"/>
      <c r="N152" t="inlineStr"/>
      <c r="O152">
        <f>(1-Summary!$B$51)*S152+Summary!$B$51*U152</f>
        <v/>
      </c>
      <c r="P152">
        <f>IF(B185=0,0,O152/B185)</f>
        <v/>
      </c>
      <c r="Q152">
        <f>IFERROR(1/IF(Inputs!$B$38="pvp",15,MAX(0.1,Skills!D3-IF(Skills!E3=TRUE,Inputs!$B$32,0))),0)</f>
        <v/>
      </c>
      <c r="R152">
        <f>IF(AND(Inputs!$B$38&lt;&gt;"pvp",Inputs!$B$43&gt;0),IF(Inputs!$B$43&lt;=0,0,(INT(Inputs!$B$43/IF(Inputs!$B$38="pvp",15,MAX(0.1,Skills!D3-IF(Skills!E3=TRUE,Inputs!$B$32,0))))+1)),0)</f>
        <v/>
      </c>
      <c r="S152" t="n">
        <v>0</v>
      </c>
      <c r="T152">
        <f>INDEX(FactorTable!$B$2:$Y$301, MATCH(ROUND(MIN(300,MAX(1,T151)),0), FactorTable!$A$2:$A$301,0), 22)</f>
        <v/>
      </c>
      <c r="U152" t="n">
        <v>0</v>
      </c>
      <c r="Z152">
        <f>INDEX(FactorTable!$B$2:$Y$301, MATCH(ROUND(MIN(300,MAX(1,Z151)),0), FactorTable!$A$2:$A$301,0), 24)</f>
        <v/>
      </c>
    </row>
    <row r="153">
      <c r="A153">
        <f>Skills!A4</f>
        <v/>
      </c>
      <c r="B153">
        <f>Skills!B4</f>
        <v/>
      </c>
      <c r="C153">
        <f>Inputs!$B$3&gt;=40</f>
        <v/>
      </c>
      <c r="D153">
        <f>IF(Skills!C4=1,60+Inputs!$B$25+Inputs!$B$29,IF(Skills!C4=2,90+Inputs!$B$26+Inputs!$B$29,IF(Skills!C4=3,120+Inputs!$B$27+Inputs!$B$29,MAX(0,(Inputs!$B$3-100)*3)+Inputs!$B$28+Inputs!$B$29)))</f>
        <v/>
      </c>
      <c r="E153">
        <f>INDEX(FactorTable!$B$2:$Y$301, MATCH(ROUND(MIN(300,MAX(1,D153)),0), FactorTable!$A$2:$A$301,0), Skills!L4+1)</f>
        <v/>
      </c>
      <c r="F153">
        <f>IF(Skills!M4=TRUE,(Skills!K4/10)*(E153/1000),Skills!K4/10)+Skills!N4</f>
        <v/>
      </c>
      <c r="G153">
        <f>Calc!G4</f>
        <v/>
      </c>
      <c r="H153">
        <f>Calc!H4</f>
        <v/>
      </c>
      <c r="I153">
        <f>IF(Skills!T4&lt;&gt;"",1+(Skills!T4/10)*(Z152/1000)/100,1)</f>
        <v/>
      </c>
      <c r="J153" t="inlineStr"/>
      <c r="K153" t="inlineStr"/>
      <c r="L153" t="inlineStr"/>
      <c r="M153" t="inlineStr"/>
      <c r="N153" t="inlineStr"/>
      <c r="O153">
        <f>(1-Summary!$B$51)*S153+Summary!$B$51*U153</f>
        <v/>
      </c>
      <c r="P153">
        <f>IF(B185=0,0,O153/B185)</f>
        <v/>
      </c>
      <c r="Q153">
        <f>IFERROR(1/IF(Inputs!$B$38="pvp",15,MAX(0.1,Skills!D4-IF(Skills!E4=TRUE,Inputs!$B$32,0))),0)</f>
        <v/>
      </c>
      <c r="R153">
        <f>IF(AND(Inputs!$B$38&lt;&gt;"pvp",Inputs!$B$43&gt;0),IF(Inputs!$B$43&lt;=0,0,(INT(Inputs!$B$43/IF(Inputs!$B$38="pvp",15,MAX(0.1,Skills!D4-IF(Skills!E4=TRUE,Inputs!$B$32,0))))+1)),0)</f>
        <v/>
      </c>
      <c r="S153" t="n">
        <v>0</v>
      </c>
      <c r="T153">
        <f>290*T152/1000</f>
        <v/>
      </c>
      <c r="U153" t="n">
        <v>0</v>
      </c>
    </row>
    <row r="154">
      <c r="A154">
        <f>Skills!A5</f>
        <v/>
      </c>
      <c r="B154">
        <f>Skills!B5</f>
        <v/>
      </c>
      <c r="C154">
        <f>Inputs!$B$3&gt;=38</f>
        <v/>
      </c>
      <c r="D154">
        <f>IF(Skills!C5=1,60+Inputs!$B$25+Inputs!$B$29,IF(Skills!C5=2,90+Inputs!$B$26+Inputs!$B$29,IF(Skills!C5=3,120+Inputs!$B$27+Inputs!$B$29,MAX(0,(Inputs!$B$3-100)*3)+Inputs!$B$28+Inputs!$B$29)))</f>
        <v/>
      </c>
      <c r="E154">
        <f>INDEX(FactorTable!$B$2:$Y$301, MATCH(ROUND(MIN(300,MAX(1,D154)),0), FactorTable!$A$2:$A$301,0), Skills!L5+1)</f>
        <v/>
      </c>
      <c r="F154">
        <f>IF(Skills!M5=TRUE,(Skills!K5/10)*(E154/1000),Skills!K5/10)+Skills!N5</f>
        <v/>
      </c>
      <c r="G154">
        <f>Calc!G5</f>
        <v/>
      </c>
      <c r="H154">
        <f>Calc!H5</f>
        <v/>
      </c>
      <c r="I154">
        <f>IF(Skills!T5&lt;&gt;"",1+(Skills!T5/10)*(Z152/1000)/100,1)</f>
        <v/>
      </c>
      <c r="J154">
        <f>((Inputs!$B$6*(1+Inputs!$B$7/100))+(((Inputs!$B$12*(1+Inputs!$B$13/100))-(Inputs!$B$12*(1+Inputs!$B$13/100)))+0.25*(Inputs!$B$14-Inputs!$B$14))*(1+Inputs!$B$7/100))*(F154/100)</f>
        <v/>
      </c>
      <c r="K154">
        <f>J154*(1+((Inputs!$B$12*(1+Inputs!$B$13/100))*0.01+Inputs!$B$14*0.0025)/100)*(1+(Inputs!$B$15+B177)/100)*(1+(Inputs!$B$16+1)/100)*(5000/(6000+Inputs!$B$42*(1-Inputs!$B$19/100)))*(1+Inputs!$B$24/100)*(1+IF(C164=TRUE,F164,0)/100)*(1+IF(C172=TRUE,F172,0)/100)^5*(1+(IF(Skills!A5="CHAIN_LIGHTNING",Inputs!$B$17,Inputs!$B$18))/100)*(B175*I154)</f>
        <v/>
      </c>
      <c r="L154">
        <f>K154*(MIN(Inputs!$B$22+(F167-Calc!F18),Inputs!$B$23)/100+Inputs!$B$23/100)/2</f>
        <v/>
      </c>
      <c r="M154">
        <f>L154*(1+(Inputs!$B$10+(F170-Calc!F21))/100)</f>
        <v/>
      </c>
      <c r="N154">
        <f>L154*(1-MIN(Inputs!$B$9+((F169-Calc!F20)+(F168-Calc!F19)),100)/100)+M154*(MIN(Inputs!$B$9+((F169-Calc!F20)+(F168-Calc!F19)),100)/100)</f>
        <v/>
      </c>
      <c r="O154">
        <f>(1-Summary!$B$51)*S154+Summary!$B$51*U154</f>
        <v/>
      </c>
      <c r="P154">
        <f>IF(B185=0,0,O154/B185)</f>
        <v/>
      </c>
      <c r="Q154">
        <f>IFERROR(1/IF(Inputs!$B$38="pvp",15,MAX(0.1,Skills!D5-IF(Skills!E5=TRUE,Inputs!$B$32,0))),0)</f>
        <v/>
      </c>
      <c r="R154">
        <f>IF(AND(Inputs!$B$38&lt;&gt;"pvp",Inputs!$B$43&gt;0),IF(MAX(0,Inputs!$B$43-B182)&lt;=0,0,(INT(MAX(0,Inputs!$B$43-B182)/IF(Inputs!$B$38="pvp",15,MAX(0.1,Skills!D5-IF(Skills!E5=TRUE,Inputs!$B$32,0))))+1)),0)</f>
        <v/>
      </c>
      <c r="S154">
        <f>IF(C154,(H154*N154*IF(AND(Inputs!$B$38&lt;&gt;"pvp",Inputs!$B$43&gt;0),((Skills!F5*((R154-1)*IF(Skills!G5&gt;0,Skills!H5/Skills!G5,1)+IF(Skills!G5&gt;0,MIN(Skills!H5,MAX(0,MAX(0,Inputs!$B$43-B182)-((R154-1)*IF(Inputs!$B$38="pvp",15,MAX(0.1,Skills!D5-IF(Skills!E5=TRUE,Inputs!$B$32,0))))))/Skills!G5,1)))/Inputs!$B$43),G154*Q154))*IF(Inputs!$B$38="pvp",1,1+(Inputs!$B$20+Skills!O5+B176)/100),0)</f>
        <v/>
      </c>
      <c r="U154">
        <f>IF(C154,(H154*N154*IF(AND(Inputs!$B$38&lt;&gt;"pvp",Inputs!$B$43&gt;0),((Skills!F5*((R154-1)*IF(Skills!G5&gt;0,Skills!H5/Skills!G5,1)+IF(Skills!G5&gt;0,MIN(Skills!H5,MAX(0,MAX(0,Inputs!$B$43-B182)-((R154-1)*IF(Inputs!$B$38="pvp",15,MAX(0.1,Skills!D5-IF(Skills!E5=TRUE,Inputs!$B$32,0))))))/Skills!G5,1)))/Inputs!$B$43),G154*Q154))*IF(Inputs!$B$38="pvp",1,(1+(Inputs!$B$21+Skills!P5+B176)/100)*(MIN(Skills!Q5,Inputs!$B$37))),0)</f>
        <v/>
      </c>
    </row>
    <row r="155">
      <c r="A155">
        <f>Skills!A6</f>
        <v/>
      </c>
      <c r="B155">
        <f>Skills!B6</f>
        <v/>
      </c>
      <c r="C155">
        <f>Inputs!$B$3&gt;=63</f>
        <v/>
      </c>
      <c r="D155">
        <f>IF(Skills!C6=1,60+Inputs!$B$25+Inputs!$B$29,IF(Skills!C6=2,90+Inputs!$B$26+Inputs!$B$29,IF(Skills!C6=3,120+Inputs!$B$27+Inputs!$B$29,MAX(0,(Inputs!$B$3-100)*3)+Inputs!$B$28+Inputs!$B$29)))</f>
        <v/>
      </c>
      <c r="E155">
        <f>INDEX(FactorTable!$B$2:$Y$301, MATCH(ROUND(MIN(300,MAX(1,D155)),0), FactorTable!$A$2:$A$301,0), Skills!L6+1)</f>
        <v/>
      </c>
      <c r="F155">
        <f>IF(Skills!M6=TRUE,(Skills!K6/10)*(E155/1000),Skills!K6/10)+Skills!N6</f>
        <v/>
      </c>
      <c r="G155">
        <f>Calc!G6</f>
        <v/>
      </c>
      <c r="H155">
        <f>Calc!H6</f>
        <v/>
      </c>
      <c r="I155">
        <f>IF(Skills!T6&lt;&gt;"",1+(Skills!T6/10)*(Z152/1000)/100,1)</f>
        <v/>
      </c>
      <c r="J155">
        <f>((Inputs!$B$6*(1+Inputs!$B$7/100))+(((Inputs!$B$12*(1+Inputs!$B$13/100))-(Inputs!$B$12*(1+Inputs!$B$13/100)))+0.25*(Inputs!$B$14-Inputs!$B$14))*(1+Inputs!$B$7/100))*(F155/100)</f>
        <v/>
      </c>
      <c r="K155">
        <f>J155*(1+((Inputs!$B$12*(1+Inputs!$B$13/100))*0.01+Inputs!$B$14*0.0025)/100)*(1+(Inputs!$B$15+B177)/100)*(1+(Inputs!$B$16+1)/100)*(5000/(6000+Inputs!$B$42*(1-Inputs!$B$19/100)))*(1+Inputs!$B$24/100)*(1+IF(C164=TRUE,F164,0)/100)*(1+IF(C172=TRUE,F172,0)/100)^5*(1+(IF(Skills!A6="CHAIN_LIGHTNING",Inputs!$B$17,Inputs!$B$18))/100)*(B175*I155)</f>
        <v/>
      </c>
      <c r="L155">
        <f>K155*(MIN(Inputs!$B$22+(F167-Calc!F18),Inputs!$B$23)/100+Inputs!$B$23/100)/2</f>
        <v/>
      </c>
      <c r="M155">
        <f>L155*(1+(Inputs!$B$10+(F170-Calc!F21))/100)</f>
        <v/>
      </c>
      <c r="N155">
        <f>L155*(1-MIN(Inputs!$B$9+((F169-Calc!F20)+(F168-Calc!F19)),100)/100)+M155*(MIN(Inputs!$B$9+((F169-Calc!F20)+(F168-Calc!F19)),100)/100)</f>
        <v/>
      </c>
      <c r="O155">
        <f>(1-Summary!$B$51)*S155+Summary!$B$51*U155</f>
        <v/>
      </c>
      <c r="P155">
        <f>IF(B185=0,0,O155/B185)</f>
        <v/>
      </c>
      <c r="Q155">
        <f>IFERROR(1/IF(Inputs!$B$38="pvp",15,MAX(0.1,Skills!D6-IF(Skills!E6=TRUE,Inputs!$B$32,0))),0)</f>
        <v/>
      </c>
      <c r="R155">
        <f>IF(AND(Inputs!$B$38&lt;&gt;"pvp",Inputs!$B$43&gt;0),IF(MAX(0,Inputs!$B$43-B182)&lt;=0,0,(INT(MAX(0,Inputs!$B$43-B182)/IF(Inputs!$B$38="pvp",15,MAX(0.1,Skills!D6-IF(Skills!E6=TRUE,Inputs!$B$32,0))))+1)),0)</f>
        <v/>
      </c>
      <c r="S155">
        <f>IF(C155,(H155*N155*IF(AND(Inputs!$B$38&lt;&gt;"pvp",Inputs!$B$43&gt;0),((Skills!F6*((R155-1)*IF(Skills!G6&gt;0,Skills!H6/Skills!G6,1)+IF(Skills!G6&gt;0,MIN(Skills!H6,MAX(0,MAX(0,Inputs!$B$43-B182)-((R155-1)*IF(Inputs!$B$38="pvp",15,MAX(0.1,Skills!D6-IF(Skills!E6=TRUE,Inputs!$B$32,0))))))/Skills!G6,1)))/Inputs!$B$43),G155*Q155))*IF(Inputs!$B$38="pvp",1,1+(Inputs!$B$20+Skills!O6+B176)/100),0)</f>
        <v/>
      </c>
      <c r="U155">
        <f>IF(C155,(H155*N155*IF(AND(Inputs!$B$38&lt;&gt;"pvp",Inputs!$B$43&gt;0),((Skills!F6*((R155-1)*IF(Skills!G6&gt;0,Skills!H6/Skills!G6,1)+IF(Skills!G6&gt;0,MIN(Skills!H6,MAX(0,MAX(0,Inputs!$B$43-B182)-((R155-1)*IF(Inputs!$B$38="pvp",15,MAX(0.1,Skills!D6-IF(Skills!E6=TRUE,Inputs!$B$32,0))))))/Skills!G6,1)))/Inputs!$B$43),G155*Q155))*IF(Inputs!$B$38="pvp",1,(1+(Inputs!$B$21+Skills!P6+B176)/100)*(MIN(Skills!Q6,Inputs!$B$37))),0)</f>
        <v/>
      </c>
    </row>
    <row r="156">
      <c r="A156">
        <f>Skills!A7</f>
        <v/>
      </c>
      <c r="B156">
        <f>Skills!B7</f>
        <v/>
      </c>
      <c r="C156">
        <f>Inputs!$B$3&gt;=69</f>
        <v/>
      </c>
      <c r="D156">
        <f>IF(Skills!C7=1,60+Inputs!$B$25+Inputs!$B$29,IF(Skills!C7=2,90+Inputs!$B$26+Inputs!$B$29,IF(Skills!C7=3,120+Inputs!$B$27+Inputs!$B$29,MAX(0,(Inputs!$B$3-100)*3)+Inputs!$B$28+Inputs!$B$29)))</f>
        <v/>
      </c>
      <c r="E156">
        <f>INDEX(FactorTable!$B$2:$Y$301, MATCH(ROUND(MIN(300,MAX(1,D156)),0), FactorTable!$A$2:$A$301,0), Skills!L7+1)</f>
        <v/>
      </c>
      <c r="F156">
        <f>IF(Skills!M7=TRUE,(Skills!K7/10)*(E156/1000),Skills!K7/10)+Skills!N7</f>
        <v/>
      </c>
      <c r="G156">
        <f>Calc!G7</f>
        <v/>
      </c>
      <c r="H156">
        <f>Calc!H7</f>
        <v/>
      </c>
      <c r="I156">
        <f>IF(Skills!T7&lt;&gt;"",1+(Skills!T7/10)*(Z152/1000)/100,1)</f>
        <v/>
      </c>
      <c r="J156">
        <f>((Inputs!$B$6*(1+Inputs!$B$7/100))+(((Inputs!$B$12*(1+Inputs!$B$13/100))-(Inputs!$B$12*(1+Inputs!$B$13/100)))+0.25*(Inputs!$B$14-Inputs!$B$14))*(1+Inputs!$B$7/100))*(F156/100)</f>
        <v/>
      </c>
      <c r="K156">
        <f>J156*(1+((Inputs!$B$12*(1+Inputs!$B$13/100))*0.01+Inputs!$B$14*0.0025)/100)*(1+(Inputs!$B$15+B177)/100)*(1+(Inputs!$B$16+1)/100)*(5000/(6000+Inputs!$B$42*(1-Inputs!$B$19/100)))*(1+Inputs!$B$24/100)*(1+IF(C164=TRUE,F164,0)/100)*(1+IF(C172=TRUE,F172,0)/100)^5*(1+(IF(Skills!A7="CHAIN_LIGHTNING",Inputs!$B$17,Inputs!$B$18))/100)*(B175*I156)</f>
        <v/>
      </c>
      <c r="L156">
        <f>K156*(MIN(Inputs!$B$22+(F167-Calc!F18),Inputs!$B$23)/100+Inputs!$B$23/100)/2</f>
        <v/>
      </c>
      <c r="M156">
        <f>L156*(1+(Inputs!$B$10+(F170-Calc!F21))/100)</f>
        <v/>
      </c>
      <c r="N156">
        <f>L156*(1-MIN(Inputs!$B$9+((F169-Calc!F20)+(F168-Calc!F19)),100)/100)+M156*(MIN(Inputs!$B$9+((F169-Calc!F20)+(F168-Calc!F19)),100)/100)</f>
        <v/>
      </c>
      <c r="O156">
        <f>(1-Summary!$B$51)*S156+Summary!$B$51*U156</f>
        <v/>
      </c>
      <c r="P156">
        <f>IF(B185=0,0,O156/B185)</f>
        <v/>
      </c>
      <c r="Q156">
        <f>IFERROR(1/IF(Inputs!$B$38="pvp",15,MAX(0.1,Skills!D7-IF(Skills!E7=TRUE,Inputs!$B$32,0))),0)</f>
        <v/>
      </c>
      <c r="R156">
        <f>IF(AND(Inputs!$B$38&lt;&gt;"pvp",Inputs!$B$43&gt;0),IF(MAX(0,Inputs!$B$43-B182)&lt;=0,0,(INT(MAX(0,Inputs!$B$43-B182)/IF(Inputs!$B$38="pvp",15,MAX(0.1,Skills!D7-IF(Skills!E7=TRUE,Inputs!$B$32,0))))+1)),0)</f>
        <v/>
      </c>
      <c r="S156">
        <f>IF(C156,(H156*N156*IF(AND(Inputs!$B$38&lt;&gt;"pvp",Inputs!$B$43&gt;0),((Skills!F7*((R156-1)*IF(Skills!G7&gt;0,Skills!H7/Skills!G7,1)+IF(Skills!G7&gt;0,MIN(Skills!H7,MAX(0,MAX(0,Inputs!$B$43-B182)-((R156-1)*IF(Inputs!$B$38="pvp",15,MAX(0.1,Skills!D7-IF(Skills!E7=TRUE,Inputs!$B$32,0))))))/Skills!G7,1)))/Inputs!$B$43),G156*Q156))*IF(Inputs!$B$38="pvp",1,1+(Inputs!$B$20+Skills!O7+B176)/100),0)</f>
        <v/>
      </c>
      <c r="U156">
        <f>IF(C156,(H156*N156*IF(AND(Inputs!$B$38&lt;&gt;"pvp",Inputs!$B$43&gt;0),((Skills!F7*((R156-1)*IF(Skills!G7&gt;0,Skills!H7/Skills!G7,1)+IF(Skills!G7&gt;0,MIN(Skills!H7,MAX(0,MAX(0,Inputs!$B$43-B182)-((R156-1)*IF(Inputs!$B$38="pvp",15,MAX(0.1,Skills!D7-IF(Skills!E7=TRUE,Inputs!$B$32,0))))))/Skills!G7,1)))/Inputs!$B$43),G156*Q156))*IF(Inputs!$B$38="pvp",1,(1+(Inputs!$B$21+Skills!P7+B176)/100)*(MIN(Skills!Q7,Inputs!$B$37))),0)</f>
        <v/>
      </c>
    </row>
    <row r="157">
      <c r="A157">
        <f>Skills!A8</f>
        <v/>
      </c>
      <c r="B157">
        <f>Skills!B8</f>
        <v/>
      </c>
      <c r="C157">
        <f>Inputs!$B$3&gt;=103</f>
        <v/>
      </c>
      <c r="D157">
        <f>IF(Skills!C8=1,60+Inputs!$B$25+Inputs!$B$29,IF(Skills!C8=2,90+Inputs!$B$26+Inputs!$B$29,IF(Skills!C8=3,120+Inputs!$B$27+Inputs!$B$29,MAX(0,(Inputs!$B$3-100)*3)+Inputs!$B$28+Inputs!$B$29)))</f>
        <v/>
      </c>
      <c r="E157">
        <f>INDEX(FactorTable!$B$2:$Y$301, MATCH(ROUND(MIN(300,MAX(1,D157)),0), FactorTable!$A$2:$A$301,0), Skills!L8+1)</f>
        <v/>
      </c>
      <c r="F157">
        <f>IF(Skills!M8=TRUE,(Skills!K8/10)*(E157/1000),Skills!K8/10)+Skills!N8</f>
        <v/>
      </c>
      <c r="G157">
        <f>Calc!G8</f>
        <v/>
      </c>
      <c r="H157">
        <f>Calc!H8</f>
        <v/>
      </c>
      <c r="I157">
        <f>IF(Skills!T8&lt;&gt;"",1+(Skills!T8/10)*(Z152/1000)/100,1)</f>
        <v/>
      </c>
      <c r="J157">
        <f>((Inputs!$B$6*(1+Inputs!$B$7/100))+(((Inputs!$B$12*(1+Inputs!$B$13/100))-(Inputs!$B$12*(1+Inputs!$B$13/100)))+0.25*(Inputs!$B$14-Inputs!$B$14))*(1+Inputs!$B$7/100))*(F157/100)</f>
        <v/>
      </c>
      <c r="K157">
        <f>J157*(1+((Inputs!$B$12*(1+Inputs!$B$13/100))*0.01+Inputs!$B$14*0.0025)/100)*(1+(Inputs!$B$15+B177)/100)*(1+(Inputs!$B$16+1)/100)*(5000/(6000+Inputs!$B$42*(1-Inputs!$B$19/100)))*(1+Inputs!$B$24/100)*(1+IF(C164=TRUE,F164,0)/100)*(1+IF(C172=TRUE,F172,0)/100)^5*(1+(IF(Skills!A8="CHAIN_LIGHTNING",Inputs!$B$17,Inputs!$B$18))/100)*(B175*I157)</f>
        <v/>
      </c>
      <c r="L157">
        <f>K157*(MIN(Inputs!$B$22+(F167-Calc!F18),Inputs!$B$23)/100+Inputs!$B$23/100)/2</f>
        <v/>
      </c>
      <c r="M157">
        <f>L157*(1+(Inputs!$B$10+(F170-Calc!F21))/100)</f>
        <v/>
      </c>
      <c r="N157">
        <f>L157*(1-MIN(Inputs!$B$9+((F169-Calc!F20)+(F168-Calc!F19)),100)/100)+M157*(MIN(Inputs!$B$9+((F169-Calc!F20)+(F168-Calc!F19)),100)/100)</f>
        <v/>
      </c>
      <c r="O157">
        <f>(1-Summary!$B$51)*S157+Summary!$B$51*U157</f>
        <v/>
      </c>
      <c r="P157">
        <f>IF(B185=0,0,O157/B185)</f>
        <v/>
      </c>
      <c r="Q157">
        <f>IFERROR(1/IF(Inputs!$B$38="pvp",15,MAX(0.1,Skills!D8-IF(Skills!E8=TRUE,Inputs!$B$32,0))),0)</f>
        <v/>
      </c>
      <c r="R157">
        <f>IF(AND(Inputs!$B$38&lt;&gt;"pvp",Inputs!$B$43&gt;0),IF(MAX(0,Inputs!$B$43-B182)&lt;=0,0,(INT(MAX(0,Inputs!$B$43-B182)/IF(Inputs!$B$38="pvp",15,MAX(0.1,Skills!D8-IF(Skills!E8=TRUE,Inputs!$B$32,0))))+1)),0)</f>
        <v/>
      </c>
      <c r="S157">
        <f>IF(C157,(H157*N157*IF(AND(Inputs!$B$38&lt;&gt;"pvp",Inputs!$B$43&gt;0),((Skills!F8*((R157-1)*IF(Skills!G8&gt;0,Skills!H8/Skills!G8,1)+IF(Skills!G8&gt;0,MIN(Skills!H8,MAX(0,MAX(0,Inputs!$B$43-B182)-((R157-1)*IF(Inputs!$B$38="pvp",15,MAX(0.1,Skills!D8-IF(Skills!E8=TRUE,Inputs!$B$32,0))))))/Skills!G8,1)))/Inputs!$B$43),G157*Q157))*IF(Inputs!$B$38="pvp",1,1+(Inputs!$B$20+Skills!O8+B176)/100),0)</f>
        <v/>
      </c>
      <c r="U157">
        <f>IF(C157,(H157*N157*IF(AND(Inputs!$B$38&lt;&gt;"pvp",Inputs!$B$43&gt;0),((Skills!F8*((R157-1)*IF(Skills!G8&gt;0,Skills!H8/Skills!G8,1)+IF(Skills!G8&gt;0,MIN(Skills!H8,MAX(0,MAX(0,Inputs!$B$43-B182)-((R157-1)*IF(Inputs!$B$38="pvp",15,MAX(0.1,Skills!D8-IF(Skills!E8=TRUE,Inputs!$B$32,0))))))/Skills!G8,1)))/Inputs!$B$43),G157*Q157))*IF(Inputs!$B$38="pvp",1,(1+(Inputs!$B$21+Skills!P8+B176)/100)*(MIN(Skills!Q8,Inputs!$B$37))),0)</f>
        <v/>
      </c>
    </row>
    <row r="158">
      <c r="A158">
        <f>Skills!A9</f>
        <v/>
      </c>
      <c r="B158">
        <f>Skills!B9</f>
        <v/>
      </c>
      <c r="C158">
        <f>Inputs!$B$3&gt;=105</f>
        <v/>
      </c>
      <c r="D158">
        <f>IF(Skills!C9=1,60+Inputs!$B$25+Inputs!$B$29,IF(Skills!C9=2,90+Inputs!$B$26+Inputs!$B$29,IF(Skills!C9=3,120+Inputs!$B$27+Inputs!$B$29,MAX(0,(Inputs!$B$3-100)*3)+Inputs!$B$28+Inputs!$B$29)))</f>
        <v/>
      </c>
      <c r="E158">
        <f>INDEX(FactorTable!$B$2:$Y$301, MATCH(ROUND(MIN(300,MAX(1,D158)),0), FactorTable!$A$2:$A$301,0), Skills!L9+1)</f>
        <v/>
      </c>
      <c r="F158">
        <f>IF(Skills!M9=TRUE,(Skills!K9/10)*(E158/1000),Skills!K9/10)+Skills!N9</f>
        <v/>
      </c>
      <c r="G158">
        <f>Calc!G9</f>
        <v/>
      </c>
      <c r="H158">
        <f>Calc!H9</f>
        <v/>
      </c>
      <c r="I158">
        <f>IF(Skills!T9&lt;&gt;"",1+(Skills!T9/10)*(Z152/1000)/100,1)</f>
        <v/>
      </c>
      <c r="J158">
        <f>((Inputs!$B$6*(1+Inputs!$B$7/100))+(((Inputs!$B$12*(1+Inputs!$B$13/100))-(Inputs!$B$12*(1+Inputs!$B$13/100)))+0.25*(Inputs!$B$14-Inputs!$B$14))*(1+Inputs!$B$7/100))*(F158/100)</f>
        <v/>
      </c>
      <c r="K158">
        <f>J158*(1+((Inputs!$B$12*(1+Inputs!$B$13/100))*0.01+Inputs!$B$14*0.0025)/100)*(1+(Inputs!$B$15+B177)/100)*(1+(Inputs!$B$16+1)/100)*(5000/(6000+Inputs!$B$42*(1-Inputs!$B$19/100)))*(1+Inputs!$B$24/100)*(1+IF(C164=TRUE,F164,0)/100)*(1+IF(C172=TRUE,F172,0)/100)^5*(1+(IF(Skills!A9="CHAIN_LIGHTNING",Inputs!$B$17,Inputs!$B$18))/100)*(B175*I158)</f>
        <v/>
      </c>
      <c r="L158">
        <f>K158*(MIN(Inputs!$B$22+(F167-Calc!F18),Inputs!$B$23)/100+Inputs!$B$23/100)/2</f>
        <v/>
      </c>
      <c r="M158">
        <f>L158*(1+(Inputs!$B$10+(F170-Calc!F21))/100)</f>
        <v/>
      </c>
      <c r="N158">
        <f>L158*(1-MIN(Inputs!$B$9+((F169-Calc!F20)+(F168-Calc!F19)),100)/100)+M158*(MIN(Inputs!$B$9+((F169-Calc!F20)+(F168-Calc!F19)),100)/100)</f>
        <v/>
      </c>
      <c r="O158">
        <f>(1-Summary!$B$51)*S158+Summary!$B$51*U158</f>
        <v/>
      </c>
      <c r="P158">
        <f>IF(B185=0,0,O158/B185)</f>
        <v/>
      </c>
      <c r="Q158">
        <f>IFERROR(1/IF(Inputs!$B$38="pvp",15,MAX(0.1,Skills!D9-IF(Skills!E9=TRUE,Inputs!$B$32,0))),0)</f>
        <v/>
      </c>
      <c r="R158">
        <f>IF(AND(Inputs!$B$38&lt;&gt;"pvp",Inputs!$B$43&gt;0),IF(MAX(0,Inputs!$B$43-B182)&lt;=0,0,(INT(MAX(0,Inputs!$B$43-B182)/IF(Inputs!$B$38="pvp",15,MAX(0.1,Skills!D9-IF(Skills!E9=TRUE,Inputs!$B$32,0))))+1)),0)</f>
        <v/>
      </c>
      <c r="S158">
        <f>IF(C158,(H158*N158*IF(AND(Inputs!$B$38&lt;&gt;"pvp",Inputs!$B$43&gt;0),((Skills!F9*((R158-1)*IF(Skills!G9&gt;0,Skills!H9/Skills!G9,1)+IF(Skills!G9&gt;0,MIN(Skills!H9,MAX(0,MAX(0,Inputs!$B$43-B182)-((R158-1)*IF(Inputs!$B$38="pvp",15,MAX(0.1,Skills!D9-IF(Skills!E9=TRUE,Inputs!$B$32,0))))))/Skills!G9,1)))/Inputs!$B$43),G158*Q158))*IF(Inputs!$B$38="pvp",1,1+(Inputs!$B$20+Skills!O9+B176)/100),0)</f>
        <v/>
      </c>
      <c r="U158">
        <f>IF(C158,(H158*N158*IF(AND(Inputs!$B$38&lt;&gt;"pvp",Inputs!$B$43&gt;0),((Skills!F9*((R158-1)*IF(Skills!G9&gt;0,Skills!H9/Skills!G9,1)+IF(Skills!G9&gt;0,MIN(Skills!H9,MAX(0,MAX(0,Inputs!$B$43-B182)-((R158-1)*IF(Inputs!$B$38="pvp",15,MAX(0.1,Skills!D9-IF(Skills!E9=TRUE,Inputs!$B$32,0))))))/Skills!G9,1)))/Inputs!$B$43),G158*Q158))*IF(Inputs!$B$38="pvp",1,(1+(Inputs!$B$21+Skills!P9+B176)/100)*(MIN(Skills!Q9,Inputs!$B$37))),0)</f>
        <v/>
      </c>
    </row>
    <row r="159">
      <c r="A159">
        <f>Skills!A10</f>
        <v/>
      </c>
      <c r="B159">
        <f>Skills!B10</f>
        <v/>
      </c>
      <c r="C159">
        <f>Inputs!$B$3&gt;=113</f>
        <v/>
      </c>
      <c r="D159">
        <f>IF(Skills!C10=1,60+Inputs!$B$25+Inputs!$B$29,IF(Skills!C10=2,90+Inputs!$B$26+Inputs!$B$29,IF(Skills!C10=3,120+Inputs!$B$27+Inputs!$B$29,MAX(0,(Inputs!$B$3-100)*3)+Inputs!$B$28+Inputs!$B$29)))</f>
        <v/>
      </c>
      <c r="E159">
        <f>INDEX(FactorTable!$B$2:$Y$301, MATCH(ROUND(MIN(300,MAX(1,D159)),0), FactorTable!$A$2:$A$301,0), Skills!L10+1)</f>
        <v/>
      </c>
      <c r="F159">
        <f>IF(Skills!M10=TRUE,(Skills!K10/10)*(E159/1000),Skills!K10/10)+Skills!N10</f>
        <v/>
      </c>
      <c r="G159">
        <f>Calc!G10</f>
        <v/>
      </c>
      <c r="H159">
        <f>Calc!H10</f>
        <v/>
      </c>
      <c r="I159">
        <f>IF(Skills!T10&lt;&gt;"",1+(Skills!T10/10)*(Z152/1000)/100,1)</f>
        <v/>
      </c>
      <c r="J159">
        <f>((Inputs!$B$6*(1+Inputs!$B$7/100))+(((Inputs!$B$12*(1+Inputs!$B$13/100))-(Inputs!$B$12*(1+Inputs!$B$13/100)))+0.25*(Inputs!$B$14-Inputs!$B$14))*(1+Inputs!$B$7/100))*(F159/100)</f>
        <v/>
      </c>
      <c r="K159">
        <f>J159*(1+((Inputs!$B$12*(1+Inputs!$B$13/100))*0.01+Inputs!$B$14*0.0025)/100)*(1+(Inputs!$B$15+B177)/100)*(1+(Inputs!$B$16+1)/100)*(5000/(6000+Inputs!$B$42*(1-Inputs!$B$19/100)))*(1+Inputs!$B$24/100)*(1+IF(C164=TRUE,F164,0)/100)*(1+IF(C172=TRUE,F172,0)/100)^5*(1+(IF(Skills!A10="CHAIN_LIGHTNING",Inputs!$B$17,Inputs!$B$18))/100)*(B175*I159)</f>
        <v/>
      </c>
      <c r="L159">
        <f>K159*(MIN(Inputs!$B$22+(F167-Calc!F18),Inputs!$B$23)/100+Inputs!$B$23/100)/2</f>
        <v/>
      </c>
      <c r="M159">
        <f>L159*(1+(Inputs!$B$10+(F170-Calc!F21))/100)</f>
        <v/>
      </c>
      <c r="N159">
        <f>L159*(1-MIN(Inputs!$B$9+((F169-Calc!F20)+(F168-Calc!F19)),100)/100)+M159*(MIN(Inputs!$B$9+((F169-Calc!F20)+(F168-Calc!F19)),100)/100)</f>
        <v/>
      </c>
      <c r="O159">
        <f>(1-Summary!$B$51)*S159+Summary!$B$51*U159</f>
        <v/>
      </c>
      <c r="P159">
        <f>IF(B185=0,0,O159/B185)</f>
        <v/>
      </c>
      <c r="Q159">
        <f>IFERROR(1/IF(Inputs!$B$38="pvp",15,MAX(0.1,Skills!D10-IF(Skills!E9=TRUE,Inputs!$B$32,0))),0)</f>
        <v/>
      </c>
      <c r="R159">
        <f>IF(AND(Inputs!$B$38&lt;&gt;"pvp",Inputs!$B$43&gt;0),IF(MAX(0,Inputs!$B$43-B182)&lt;=0,0,(INT(MAX(0,Inputs!$B$43-B182)/IF(Inputs!$B$38="pvp",15,MAX(0.1,Skills!D10-IF(Skills!E9=TRUE,Inputs!$B$32,0))))+1)),0)</f>
        <v/>
      </c>
      <c r="S159">
        <f>IF(C159,(H159*N159*IF(AND(Inputs!$B$38&lt;&gt;"pvp",Inputs!$B$43&gt;0),((Skills!F10*((R159-1)*IF(Skills!G10&gt;0,Skills!H10/Skills!G10,1)+IF(Skills!G10&gt;0,MIN(Skills!H10,MAX(0,MAX(0,Inputs!$B$43-B182)-((R159-1)*IF(Inputs!$B$38="pvp",15,MAX(0.1,Skills!D10-IF(Skills!E9=TRUE,Inputs!$B$32,0))))))/Skills!G10,1)))/Inputs!$B$43),G159*Q159))*IF(Inputs!$B$38="pvp",1,1+(Inputs!$B$20+Skills!O10+B176)/100),0)</f>
        <v/>
      </c>
      <c r="U159">
        <f>IF(C159,(H159*N159*IF(AND(Inputs!$B$38&lt;&gt;"pvp",Inputs!$B$43&gt;0),((Skills!F10*((R159-1)*IF(Skills!G10&gt;0,Skills!H10/Skills!G10,1)+IF(Skills!G10&gt;0,MIN(Skills!H10,MAX(0,MAX(0,Inputs!$B$43-B182)-((R159-1)*IF(Inputs!$B$38="pvp",15,MAX(0.1,Skills!D10-IF(Skills!E9=TRUE,Inputs!$B$32,0))))))/Skills!G10,1)))/Inputs!$B$43),G159*Q159))*IF(Inputs!$B$38="pvp",1,(1+(Inputs!$B$21+Skills!P10+B176)/100)*(MIN(Skills!Q10,Inputs!$B$37))),0)</f>
        <v/>
      </c>
    </row>
    <row r="160">
      <c r="A160">
        <f>Skills!A11</f>
        <v/>
      </c>
      <c r="B160">
        <f>Skills!B11</f>
        <v/>
      </c>
      <c r="C160">
        <f>Inputs!$B$3&gt;=107</f>
        <v/>
      </c>
      <c r="D160">
        <f>IF(Skills!C11=1,60+Inputs!$B$25+Inputs!$B$29,IF(Skills!C11=2,90+Inputs!$B$26+Inputs!$B$29,IF(Skills!C11=3,120+Inputs!$B$27+Inputs!$B$29,MAX(0,(Inputs!$B$3-100)*3)+Inputs!$B$28+Inputs!$B$29)))</f>
        <v/>
      </c>
      <c r="E160">
        <f>INDEX(FactorTable!$B$2:$Y$301, MATCH(ROUND(MIN(300,MAX(1,D160)),0), FactorTable!$A$2:$A$301,0), Skills!L11+1)</f>
        <v/>
      </c>
      <c r="F160">
        <f>IF(Skills!M11=TRUE,(Skills!K11/10)*(E160/1000),Skills!K11/10)+Skills!N11</f>
        <v/>
      </c>
      <c r="G160">
        <f>Calc!G11</f>
        <v/>
      </c>
      <c r="H160">
        <f>Calc!H11</f>
        <v/>
      </c>
      <c r="I160">
        <f>IF(Skills!T11&lt;&gt;"",1+(Skills!T11/10)*(Z152/1000)/100,1)</f>
        <v/>
      </c>
      <c r="J160">
        <f>((Inputs!$B$6*(1+Inputs!$B$7/100))+(((Inputs!$B$12*(1+Inputs!$B$13/100))-(Inputs!$B$12*(1+Inputs!$B$13/100)))+0.25*(Inputs!$B$14-Inputs!$B$14))*(1+Inputs!$B$7/100))*(F160/100)</f>
        <v/>
      </c>
      <c r="K160">
        <f>J160*(1+((Inputs!$B$12*(1+Inputs!$B$13/100))*0.01+Inputs!$B$14*0.0025)/100)*(1+(Inputs!$B$15+B177)/100)*(1+(Inputs!$B$16+1)/100)*(5000/(6000+Inputs!$B$42*(1-Inputs!$B$19/100)))*(1+Inputs!$B$24/100)*(1+IF(C164=TRUE,F164,0)/100)*(1+IF(C172=TRUE,F172,0)/100)^5*(1+(IF(Skills!A11="CHAIN_LIGHTNING",Inputs!$B$17,Inputs!$B$18))/100)*(B175*I160)</f>
        <v/>
      </c>
      <c r="L160">
        <f>K160*(MIN(Inputs!$B$22+(F167-Calc!F18),Inputs!$B$23)/100+Inputs!$B$23/100)/2</f>
        <v/>
      </c>
      <c r="M160">
        <f>L160*(1+(Inputs!$B$10+(F170-Calc!F21))/100)</f>
        <v/>
      </c>
      <c r="N160">
        <f>L160*(1-MIN(Inputs!$B$9+((F169-Calc!F20)+(F168-Calc!F19)),100)/100)+M160*(MIN(Inputs!$B$9+((F169-Calc!F20)+(F168-Calc!F19)),100)/100)</f>
        <v/>
      </c>
      <c r="O160">
        <f>(1-Summary!$B$51)*S160+Summary!$B$51*U160</f>
        <v/>
      </c>
      <c r="P160">
        <f>IF(B185=0,0,O160/B185)</f>
        <v/>
      </c>
      <c r="Q160">
        <f>IFERROR(1/IF(Inputs!$B$38="pvp",15,MAX(0.1,Skills!D11-IF(Skills!E11=TRUE,Inputs!$B$32,0))),0)</f>
        <v/>
      </c>
      <c r="R160">
        <f>IF(AND(Inputs!$B$38&lt;&gt;"pvp",Inputs!$B$43&gt;0),IF(MAX(0,Inputs!$B$43-B182)&lt;=0,0,(INT(MAX(0,Inputs!$B$43-B182)/IF(Inputs!$B$38="pvp",15,MAX(0.1,Skills!D11-IF(Skills!E11=TRUE,Inputs!$B$32,0))))+1)),0)</f>
        <v/>
      </c>
      <c r="S160">
        <f>IF(C160,H160*N160*IF(AND(Inputs!$B$38&lt;&gt;"pvp",Inputs!$B$43&gt;0),((Skills!F11*((R160-1)*IF(Skills!G11&gt;0,Skills!H11/Skills!G11,1)+IF(Skills!G11&gt;0,MIN(Skills!H11,MAX(0,MAX(0,Inputs!$B$43-B182)-((R160-1)*IF(Inputs!$B$38="pvp",15,MAX(0.1,Skills!D11-IF(Skills!E11=TRUE,Inputs!$B$32,0))))))/Skills!G11,1)))/Inputs!$B$43),G160*Q160)*0.5*IF(Inputs!$B$38="pvp",1,1+(Inputs!$B$20+Skills!O11+B176)/100),0)</f>
        <v/>
      </c>
      <c r="U160">
        <f>IF(C160,H160*N160*IF(AND(Inputs!$B$38&lt;&gt;"pvp",Inputs!$B$43&gt;0),((Skills!F11*((R160-1)*IF(Skills!G11&gt;0,Skills!H11/Skills!G11,1)+IF(Skills!G11&gt;0,MIN(Skills!H11,MAX(0,MAX(0,Inputs!$B$43-B182)-((R160-1)*IF(Inputs!$B$38="pvp",15,MAX(0.1,Skills!D11-IF(Skills!E11=TRUE,Inputs!$B$32,0))))))/Skills!G11,1)))/Inputs!$B$43),G160*Q160)*1*IF(Inputs!$B$38="pvp",1,(1+(Inputs!$B$21+Skills!P11+B176)/100)*(MIN(Skills!Q11,Inputs!$B$37))),0)</f>
        <v/>
      </c>
    </row>
    <row r="161">
      <c r="A161">
        <f>Skills!A12</f>
        <v/>
      </c>
      <c r="B161">
        <f>Skills!B12</f>
        <v/>
      </c>
      <c r="C161">
        <f>Inputs!$B$3&gt;=115</f>
        <v/>
      </c>
      <c r="D161">
        <f>IF(Skills!C12=1,60+Inputs!$B$25+Inputs!$B$29,IF(Skills!C12=2,90+Inputs!$B$26+Inputs!$B$29,IF(Skills!C12=3,120+Inputs!$B$27+Inputs!$B$29,MAX(0,(Inputs!$B$3-100)*3)+Inputs!$B$28+Inputs!$B$29)))</f>
        <v/>
      </c>
      <c r="E161">
        <f>INDEX(FactorTable!$B$2:$Y$301, MATCH(ROUND(MIN(300,MAX(1,D161)),0), FactorTable!$A$2:$A$301,0), Skills!L12+1)</f>
        <v/>
      </c>
      <c r="F161">
        <f>IF(Skills!M12=TRUE,(Skills!K12/10)*(E161/1000),Skills!K12/10)+Skills!N12</f>
        <v/>
      </c>
      <c r="G161">
        <f>Calc!G12</f>
        <v/>
      </c>
      <c r="H161">
        <f>Calc!H12</f>
        <v/>
      </c>
      <c r="I161">
        <f>IF(Skills!T12&lt;&gt;"",1+(Skills!T12/10)*(Z152/1000)/100,1)</f>
        <v/>
      </c>
      <c r="J161">
        <f>((Inputs!$B$6*(1+Inputs!$B$7/100))+(((Inputs!$B$12*(1+Inputs!$B$13/100))-(Inputs!$B$12*(1+Inputs!$B$13/100)))+0.25*(Inputs!$B$14-Inputs!$B$14))*(1+Inputs!$B$7/100))*(F161/100)</f>
        <v/>
      </c>
      <c r="K161">
        <f>J161*(1+((Inputs!$B$12*(1+Inputs!$B$13/100))*0.01+Inputs!$B$14*0.0025)/100)*(1+(Inputs!$B$15+B177)/100)*(1+(Inputs!$B$16+1)/100)*(5000/(6000+Inputs!$B$42*(1-Inputs!$B$19/100)))*(1+Inputs!$B$24/100)*(1+IF(C164=TRUE,F164,0)/100)*(1+IF(C172=TRUE,F172,0)/100)^5*(1+(IF(Skills!A12="CHAIN_LIGHTNING",Inputs!$B$17,Inputs!$B$18))/100)*(B175*I161)</f>
        <v/>
      </c>
      <c r="L161">
        <f>K161*(MIN(Inputs!$B$22+(F167-Calc!F18),Inputs!$B$23)/100+Inputs!$B$23/100)/2</f>
        <v/>
      </c>
      <c r="M161">
        <f>L161*(1+(Inputs!$B$10+(F170-Calc!F21))/100)</f>
        <v/>
      </c>
      <c r="N161">
        <f>L161*(1-MIN(Inputs!$B$9+((F169-Calc!F20)+(F168-Calc!F19)),100)/100)+M161*(MIN(Inputs!$B$9+((F169-Calc!F20)+(F168-Calc!F19)),100)/100)</f>
        <v/>
      </c>
      <c r="O161">
        <f>(1-Summary!$B$51)*S161+Summary!$B$51*U161</f>
        <v/>
      </c>
      <c r="P161">
        <f>IF(B185=0,0,O161/B185)</f>
        <v/>
      </c>
      <c r="Q161">
        <f>IFERROR(1/IF(Inputs!$B$38="pvp",15,MAX(0.1,Skills!D12-IF(Skills!E12=TRUE,Inputs!$B$32,0))),0)</f>
        <v/>
      </c>
      <c r="R161">
        <f>IF(AND(Inputs!$B$38&lt;&gt;"pvp",Inputs!$B$43&gt;0),IF(MAX(0,Inputs!$B$43-B182)&lt;=0,0,(INT(MAX(0,Inputs!$B$43-B182)/IF(Inputs!$B$38="pvp",15,MAX(0.1,Skills!D12-IF(Skills!E12=TRUE,Inputs!$B$32,0))))+1)),0)</f>
        <v/>
      </c>
      <c r="S161">
        <f>IF(C161,(H161*N161*IF(AND(Inputs!$B$38&lt;&gt;"pvp",Inputs!$B$43&gt;0),((Skills!F12*((R161-1)*IF(Skills!G12&gt;0,Skills!H12/Skills!G12,1)+IF(Skills!G12&gt;0,MIN(Skills!H12,MAX(0,MAX(0,Inputs!$B$43-B182)-((R161-1)*IF(Inputs!$B$38="pvp",15,MAX(0.1,Skills!D12-IF(Skills!E12=TRUE,Inputs!$B$32,0))))))/Skills!G12,1)))/Inputs!$B$43),G161*Q161))*IF(Inputs!$B$38="pvp",1,1+(Inputs!$B$20+Skills!O12+B176)/100),0)</f>
        <v/>
      </c>
      <c r="U161">
        <f>IF(C161,(H161*N161*IF(AND(Inputs!$B$38&lt;&gt;"pvp",Inputs!$B$43&gt;0),((Skills!F12*((R161-1)*IF(Skills!G12&gt;0,Skills!H12/Skills!G12,1)+IF(Skills!G12&gt;0,MIN(Skills!H12,MAX(0,MAX(0,Inputs!$B$43-B182)-((R161-1)*IF(Inputs!$B$38="pvp",15,MAX(0.1,Skills!D12-IF(Skills!E12=TRUE,Inputs!$B$32,0))))))/Skills!G12,1)))/Inputs!$B$43),G161*Q161))*IF(Inputs!$B$38="pvp",1,(1+(Inputs!$B$21+Skills!P12+B176)/100)*(MIN(Skills!Q12,Inputs!$B$37))),0)</f>
        <v/>
      </c>
    </row>
    <row r="162">
      <c r="A162">
        <f>Skills!A13</f>
        <v/>
      </c>
      <c r="B162">
        <f>Skills!B13</f>
        <v/>
      </c>
      <c r="C162">
        <f>Inputs!$B$3&gt;=49</f>
        <v/>
      </c>
      <c r="D162">
        <f>IF(Skills!C13=1,60+Inputs!$B$25+Inputs!$B$29,IF(Skills!C13=2,90+Inputs!$B$26+Inputs!$B$29,IF(Skills!C13=3,120+Inputs!$B$27+Inputs!$B$29,MAX(0,(Inputs!$B$3-100)*3)+Inputs!$B$28+Inputs!$B$29)))</f>
        <v/>
      </c>
      <c r="E162">
        <f>INDEX(FactorTable!$B$2:$Y$301, MATCH(ROUND(MIN(300,MAX(1,D162)),0), FactorTable!$A$2:$A$301,0), Skills!L13+1)</f>
        <v/>
      </c>
      <c r="F162">
        <f>IF(Skills!M13=TRUE,(Skills!K13/10)*(E162/1000),Skills!K13/10)+Skills!N13</f>
        <v/>
      </c>
      <c r="G162">
        <f>Calc!G13</f>
        <v/>
      </c>
      <c r="H162">
        <f>Calc!H13</f>
        <v/>
      </c>
      <c r="I162">
        <f>IF(Skills!T13&lt;&gt;"",1+(Skills!T13/10)*(Z152/1000)/100,1)</f>
        <v/>
      </c>
      <c r="J162" t="inlineStr"/>
      <c r="K162" t="inlineStr"/>
      <c r="L162" t="inlineStr"/>
      <c r="M162" t="inlineStr"/>
      <c r="N162" t="inlineStr"/>
      <c r="O162">
        <f>(1-Summary!$B$51)*S162+Summary!$B$51*U162</f>
        <v/>
      </c>
      <c r="P162">
        <f>IF(B185=0,0,O162/B185)</f>
        <v/>
      </c>
      <c r="Q162">
        <f>IFERROR(1/IF(Inputs!$B$38="pvp",15,MAX(0.1,Skills!D13-IF(Skills!E13=TRUE,Inputs!$B$32,0))),0)</f>
        <v/>
      </c>
      <c r="R162" t="n">
        <v>0</v>
      </c>
      <c r="S162" t="n">
        <v>0</v>
      </c>
      <c r="U162" t="n">
        <v>0</v>
      </c>
    </row>
    <row r="163">
      <c r="A163">
        <f>Skills!A14</f>
        <v/>
      </c>
      <c r="B163">
        <f>Skills!B14</f>
        <v/>
      </c>
      <c r="C163">
        <f>Inputs!$B$3&gt;=72</f>
        <v/>
      </c>
      <c r="D163">
        <f>IF(Skills!C14=1,60+Inputs!$B$25+Inputs!$B$29,IF(Skills!C14=2,90+Inputs!$B$26+Inputs!$B$29,IF(Skills!C14=3,120+Inputs!$B$27+Inputs!$B$29,MAX(0,(Inputs!$B$3-100)*3)+Inputs!$B$28+Inputs!$B$29)))</f>
        <v/>
      </c>
      <c r="E163">
        <f>INDEX(FactorTable!$B$2:$Y$301, MATCH(ROUND(MIN(300,MAX(1,D163)),0), FactorTable!$A$2:$A$301,0), Skills!L14+1)</f>
        <v/>
      </c>
      <c r="F163">
        <f>IF(Skills!M14=TRUE,(Skills!K14/10)*(E163/1000),Skills!K14/10)+Skills!N14</f>
        <v/>
      </c>
      <c r="G163">
        <f>Calc!G14</f>
        <v/>
      </c>
      <c r="H163">
        <f>Calc!H14</f>
        <v/>
      </c>
      <c r="I163">
        <f>IF(Skills!T14&lt;&gt;"",1+(Skills!T14/10)*(Z152/1000)/100,1)</f>
        <v/>
      </c>
      <c r="J163" t="inlineStr"/>
      <c r="K163" t="inlineStr"/>
      <c r="L163" t="inlineStr"/>
      <c r="M163" t="inlineStr"/>
      <c r="N163" t="inlineStr"/>
      <c r="O163">
        <f>(1-Summary!$B$51)*S163+Summary!$B$51*U163</f>
        <v/>
      </c>
      <c r="P163">
        <f>IF(B185=0,0,O163/B185)</f>
        <v/>
      </c>
      <c r="Q163">
        <f>IFERROR(1/IF(Inputs!$B$38="pvp",15,MAX(0.1,Skills!D14-IF(Skills!E14=TRUE,Inputs!$B$32,0))),0)</f>
        <v/>
      </c>
      <c r="R163" t="n">
        <v>0</v>
      </c>
      <c r="S163" t="n">
        <v>0</v>
      </c>
      <c r="U163" t="n">
        <v>0</v>
      </c>
    </row>
    <row r="164">
      <c r="A164">
        <f>Skills!A15</f>
        <v/>
      </c>
      <c r="B164">
        <f>Skills!B15</f>
        <v/>
      </c>
      <c r="C164">
        <f>Inputs!$B$3&gt;=75</f>
        <v/>
      </c>
      <c r="D164">
        <f>IF(Skills!C15=1,60+Inputs!$B$25+Inputs!$B$29,IF(Skills!C15=2,90+Inputs!$B$26+Inputs!$B$29,IF(Skills!C15=3,120+Inputs!$B$27+Inputs!$B$29,MAX(0,(Inputs!$B$3-100)*3)+Inputs!$B$28+Inputs!$B$29)))</f>
        <v/>
      </c>
      <c r="E164">
        <f>INDEX(FactorTable!$B$2:$Y$301, MATCH(ROUND(MIN(300,MAX(1,D164)),0), FactorTable!$A$2:$A$301,0), Skills!L15+1)</f>
        <v/>
      </c>
      <c r="F164">
        <f>IF(Skills!M15=TRUE,(Skills!K15/10)*(E164/1000),Skills!K15/10)+Skills!N15</f>
        <v/>
      </c>
      <c r="G164">
        <f>Calc!G15</f>
        <v/>
      </c>
      <c r="H164">
        <f>Calc!H15</f>
        <v/>
      </c>
      <c r="I164">
        <f>IF(Skills!T15&lt;&gt;"",1+(Skills!T15/10)*(Z152/1000)/100,1)</f>
        <v/>
      </c>
      <c r="J164" t="inlineStr"/>
      <c r="K164" t="inlineStr"/>
      <c r="L164" t="inlineStr"/>
      <c r="M164" t="inlineStr"/>
      <c r="N164" t="inlineStr"/>
      <c r="O164">
        <f>(1-Summary!$B$51)*S164+Summary!$B$51*U164</f>
        <v/>
      </c>
      <c r="P164">
        <f>IF(B185=0,0,O164/B185)</f>
        <v/>
      </c>
      <c r="Q164">
        <f>IFERROR(1/IF(Inputs!$B$38="pvp",15,MAX(0.1,Skills!D15-IF(Skills!E15=TRUE,Inputs!$B$32,0))),0)</f>
        <v/>
      </c>
      <c r="R164" t="n">
        <v>0</v>
      </c>
      <c r="S164" t="n">
        <v>0</v>
      </c>
      <c r="U164" t="n">
        <v>0</v>
      </c>
    </row>
    <row r="165">
      <c r="A165">
        <f>Skills!A16</f>
        <v/>
      </c>
      <c r="B165">
        <f>Skills!B16</f>
        <v/>
      </c>
      <c r="C165">
        <f>Inputs!$B$3&gt;=110</f>
        <v/>
      </c>
      <c r="D165">
        <f>IF(Skills!C16=1,60+Inputs!$B$25+Inputs!$B$29,IF(Skills!C16=2,90+Inputs!$B$26+Inputs!$B$29,IF(Skills!C16=3,120+Inputs!$B$27+Inputs!$B$29,MAX(0,(Inputs!$B$3-100)*3)+Inputs!$B$28+Inputs!$B$29)))</f>
        <v/>
      </c>
      <c r="E165">
        <f>INDEX(FactorTable!$B$2:$Y$301, MATCH(ROUND(MIN(300,MAX(1,D165)),0), FactorTable!$A$2:$A$301,0), Skills!L16+1)</f>
        <v/>
      </c>
      <c r="F165">
        <f>(Skills!K16/10)*(E165/1000)*64/45+Skills!N16</f>
        <v/>
      </c>
      <c r="G165">
        <f>Calc!G16</f>
        <v/>
      </c>
      <c r="H165">
        <f>Calc!H16</f>
        <v/>
      </c>
      <c r="I165">
        <f>IF(Skills!T16&lt;&gt;"",1+(Skills!T16/10)*(Z152/1000)/100,1)</f>
        <v/>
      </c>
      <c r="J165" t="inlineStr"/>
      <c r="K165" t="inlineStr"/>
      <c r="L165" t="inlineStr"/>
      <c r="M165" t="inlineStr"/>
      <c r="N165" t="inlineStr"/>
      <c r="O165">
        <f>(1-Summary!$B$51)*S165+Summary!$B$51*U165</f>
        <v/>
      </c>
      <c r="P165">
        <f>IF(B185=0,0,O165/B185)</f>
        <v/>
      </c>
      <c r="Q165">
        <f>IFERROR(1/IF(Inputs!$B$38="pvp",15,MAX(0.1,Skills!D16-IF(Skills!E16=TRUE,Inputs!$B$32,0))),0)</f>
        <v/>
      </c>
      <c r="R165">
        <f>IF(AND(Inputs!$B$38&lt;&gt;"pvp",Inputs!$B$43&gt;0),IF(Inputs!$B$43&lt;=0,0,(INT(Inputs!$B$43/IF(Inputs!$B$38="pvp",15,MAX(0.1,Skills!D16-IF(Skills!E16=TRUE,Inputs!$B$32,0))))+1)),0)</f>
        <v/>
      </c>
      <c r="S165" t="n">
        <v>0</v>
      </c>
      <c r="U165" t="n">
        <v>0</v>
      </c>
    </row>
    <row r="166">
      <c r="A166">
        <f>Skills!A17</f>
        <v/>
      </c>
      <c r="B166">
        <f>Skills!B17</f>
        <v/>
      </c>
      <c r="C166">
        <f>Inputs!$B$3&gt;=33</f>
        <v/>
      </c>
      <c r="D166">
        <f>IF(Skills!C17=1,60+Inputs!$B$25+Inputs!$B$29,IF(Skills!C17=2,90+Inputs!$B$26+Inputs!$B$29,IF(Skills!C17=3,120+Inputs!$B$27+Inputs!$B$29,MAX(0,(Inputs!$B$3-100)*3)+Inputs!$B$28+Inputs!$B$29)))</f>
        <v/>
      </c>
      <c r="E166">
        <f>INDEX(FactorTable!$B$2:$Y$301, MATCH(ROUND(MIN(300,MAX(1,D166)),0), FactorTable!$A$2:$A$301,0), Skills!L17+1)</f>
        <v/>
      </c>
      <c r="F166">
        <f>IF(Skills!M17=TRUE,(Skills!K17/10)*(E166/1000),Skills!K17/10)+Skills!N17</f>
        <v/>
      </c>
      <c r="G166">
        <f>Calc!G17</f>
        <v/>
      </c>
      <c r="H166">
        <f>Calc!H17</f>
        <v/>
      </c>
      <c r="I166">
        <f>IF(Skills!T17&lt;&gt;"",1+(Skills!T17/10)*(Z152/1000)/100,1)</f>
        <v/>
      </c>
      <c r="J166" t="inlineStr"/>
      <c r="K166" t="inlineStr"/>
      <c r="L166" t="inlineStr"/>
      <c r="M166" t="inlineStr"/>
      <c r="N166" t="inlineStr"/>
      <c r="O166">
        <f>(1-Summary!$B$51)*S166+Summary!$B$51*U166</f>
        <v/>
      </c>
      <c r="P166">
        <f>IF(B185=0,0,O166/B185)</f>
        <v/>
      </c>
      <c r="Q166">
        <f>IFERROR(1/IF(Inputs!$B$38="pvp",15,MAX(0.1,Skills!D17-IF(Skills!E17=TRUE,Inputs!$B$32,0))),0)</f>
        <v/>
      </c>
      <c r="R166" t="n">
        <v>0</v>
      </c>
      <c r="S166" t="n">
        <v>0</v>
      </c>
      <c r="U166" t="n">
        <v>0</v>
      </c>
    </row>
    <row r="167">
      <c r="A167">
        <f>Skills!A18</f>
        <v/>
      </c>
      <c r="B167">
        <f>Skills!B18</f>
        <v/>
      </c>
      <c r="C167">
        <f>Inputs!$B$3&gt;=43</f>
        <v/>
      </c>
      <c r="D167">
        <f>IF(Skills!C18=1,60+Inputs!$B$25+Inputs!$B$29,IF(Skills!C18=2,90+Inputs!$B$26+Inputs!$B$29,IF(Skills!C18=3,120+Inputs!$B$27+Inputs!$B$29,MAX(0,(Inputs!$B$3-100)*3)+Inputs!$B$28+Inputs!$B$29)))</f>
        <v/>
      </c>
      <c r="E167">
        <f>INDEX(FactorTable!$B$2:$Y$301, MATCH(ROUND(MIN(300,MAX(1,D167)),0), FactorTable!$A$2:$A$301,0), Skills!L18+1)</f>
        <v/>
      </c>
      <c r="F167">
        <f>IF(Skills!M18=TRUE,(Skills!K18/10)*(E167/1000),Skills!K18/10)+Skills!N18</f>
        <v/>
      </c>
      <c r="G167">
        <f>Calc!G18</f>
        <v/>
      </c>
      <c r="H167">
        <f>Calc!H18</f>
        <v/>
      </c>
      <c r="I167">
        <f>IF(Skills!T18&lt;&gt;"",1+(Skills!T18/10)*(Z152/1000)/100,1)</f>
        <v/>
      </c>
      <c r="J167" t="inlineStr"/>
      <c r="K167" t="inlineStr"/>
      <c r="L167" t="inlineStr"/>
      <c r="M167" t="inlineStr"/>
      <c r="N167" t="inlineStr"/>
      <c r="O167">
        <f>(1-Summary!$B$51)*S167+Summary!$B$51*U167</f>
        <v/>
      </c>
      <c r="P167">
        <f>IF(B185=0,0,O167/B185)</f>
        <v/>
      </c>
      <c r="Q167">
        <f>IFERROR(1/IF(Inputs!$B$38="pvp",15,MAX(0.1,Skills!D18-IF(Skills!E18=TRUE,Inputs!$B$32,0))),0)</f>
        <v/>
      </c>
      <c r="R167" t="n">
        <v>0</v>
      </c>
      <c r="S167" t="n">
        <v>0</v>
      </c>
      <c r="U167" t="n">
        <v>0</v>
      </c>
    </row>
    <row r="168">
      <c r="A168">
        <f>Skills!A19</f>
        <v/>
      </c>
      <c r="B168">
        <f>Skills!B19</f>
        <v/>
      </c>
      <c r="C168">
        <f>Inputs!$B$3&gt;=50</f>
        <v/>
      </c>
      <c r="D168">
        <f>IF(Skills!C19=1,60+Inputs!$B$25+Inputs!$B$29,IF(Skills!C19=2,90+Inputs!$B$26+Inputs!$B$29,IF(Skills!C19=3,120+Inputs!$B$27+Inputs!$B$29,MAX(0,(Inputs!$B$3-100)*3)+Inputs!$B$28+Inputs!$B$29)))</f>
        <v/>
      </c>
      <c r="E168">
        <f>INDEX(FactorTable!$B$2:$Y$301, MATCH(ROUND(MIN(300,MAX(1,D168)),0), FactorTable!$A$2:$A$301,0), Skills!L19+1)</f>
        <v/>
      </c>
      <c r="F168">
        <f>IF(Skills!M19=TRUE,(Skills!K19/10)*(E168/1000),Skills!K19/10)+Skills!N19</f>
        <v/>
      </c>
      <c r="G168">
        <f>Calc!G19</f>
        <v/>
      </c>
      <c r="H168">
        <f>Calc!H19</f>
        <v/>
      </c>
      <c r="I168">
        <f>IF(Skills!T19&lt;&gt;"",1+(Skills!T19/10)*(Z152/1000)/100,1)</f>
        <v/>
      </c>
      <c r="J168" t="inlineStr"/>
      <c r="K168" t="inlineStr"/>
      <c r="L168" t="inlineStr"/>
      <c r="M168" t="inlineStr"/>
      <c r="N168" t="inlineStr"/>
      <c r="O168">
        <f>(1-Summary!$B$51)*S168+Summary!$B$51*U168</f>
        <v/>
      </c>
      <c r="P168">
        <f>IF(B185=0,0,O168/B185)</f>
        <v/>
      </c>
      <c r="Q168">
        <f>IFERROR(1/IF(Inputs!$B$38="pvp",15,MAX(0.1,Skills!D19-IF(Skills!E19=TRUE,Inputs!$B$32,0))),0)</f>
        <v/>
      </c>
      <c r="R168" t="n">
        <v>0</v>
      </c>
      <c r="S168" t="n">
        <v>0</v>
      </c>
      <c r="U168" t="n">
        <v>0</v>
      </c>
    </row>
    <row r="169">
      <c r="A169">
        <f>Skills!A20</f>
        <v/>
      </c>
      <c r="B169">
        <f>Skills!B20</f>
        <v/>
      </c>
      <c r="C169">
        <f>Inputs!$B$3&gt;=74</f>
        <v/>
      </c>
      <c r="D169">
        <f>IF(Skills!C20=1,60+Inputs!$B$25+Inputs!$B$29,IF(Skills!C20=2,90+Inputs!$B$26+Inputs!$B$29,IF(Skills!C20=3,120+Inputs!$B$27+Inputs!$B$29,MAX(0,(Inputs!$B$3-100)*3)+Inputs!$B$28+Inputs!$B$29)))</f>
        <v/>
      </c>
      <c r="E169">
        <f>INDEX(FactorTable!$B$2:$Y$301, MATCH(ROUND(MIN(300,MAX(1,D169)),0), FactorTable!$A$2:$A$301,0), Skills!L20+1)</f>
        <v/>
      </c>
      <c r="F169">
        <f>IF(Skills!M20=TRUE,(Skills!K20/10)*(E169/1000),Skills!K20/10)+Skills!N20</f>
        <v/>
      </c>
      <c r="G169">
        <f>Calc!G20</f>
        <v/>
      </c>
      <c r="H169">
        <f>Calc!H20</f>
        <v/>
      </c>
      <c r="I169">
        <f>IF(Skills!T20&lt;&gt;"",1+(Skills!T20/10)*(Z152/1000)/100,1)</f>
        <v/>
      </c>
      <c r="J169" t="inlineStr"/>
      <c r="K169" t="inlineStr"/>
      <c r="L169" t="inlineStr"/>
      <c r="M169" t="inlineStr"/>
      <c r="N169" t="inlineStr"/>
      <c r="O169">
        <f>(1-Summary!$B$51)*S169+Summary!$B$51*U169</f>
        <v/>
      </c>
      <c r="P169">
        <f>IF(B185=0,0,O169/B185)</f>
        <v/>
      </c>
      <c r="Q169">
        <f>IFERROR(1/IF(Inputs!$B$38="pvp",15,MAX(0.1,Skills!D20-IF(Skills!E20=TRUE,Inputs!$B$32,0))),0)</f>
        <v/>
      </c>
      <c r="R169" t="n">
        <v>0</v>
      </c>
      <c r="S169" t="n">
        <v>0</v>
      </c>
      <c r="U169" t="n">
        <v>0</v>
      </c>
    </row>
    <row r="170">
      <c r="A170">
        <f>Skills!A21</f>
        <v/>
      </c>
      <c r="B170">
        <f>Skills!B21</f>
        <v/>
      </c>
      <c r="C170">
        <f>Inputs!$B$3&gt;=74</f>
        <v/>
      </c>
      <c r="D170">
        <f>IF(Skills!C21=1,60+Inputs!$B$25+Inputs!$B$29,IF(Skills!C21=2,90+Inputs!$B$26+Inputs!$B$29,IF(Skills!C21=3,120+Inputs!$B$27+Inputs!$B$29,MAX(0,(Inputs!$B$3-100)*3)+Inputs!$B$28+Inputs!$B$29)))</f>
        <v/>
      </c>
      <c r="E170">
        <f>INDEX(FactorTable!$B$2:$Y$301, MATCH(ROUND(MIN(300,MAX(1,D170)),0), FactorTable!$A$2:$A$301,0), Skills!L21+1)</f>
        <v/>
      </c>
      <c r="F170">
        <f>IF(Skills!M21=TRUE,(Skills!K21/10)*(E170/1000),Skills!K21/10)+Skills!N21</f>
        <v/>
      </c>
      <c r="G170">
        <f>Calc!G21</f>
        <v/>
      </c>
      <c r="H170">
        <f>Calc!H21</f>
        <v/>
      </c>
      <c r="I170">
        <f>IF(Skills!T21&lt;&gt;"",1+(Skills!T21/10)*(Z152/1000)/100,1)</f>
        <v/>
      </c>
      <c r="J170" t="inlineStr"/>
      <c r="K170" t="inlineStr"/>
      <c r="L170" t="inlineStr"/>
      <c r="M170" t="inlineStr"/>
      <c r="N170" t="inlineStr"/>
      <c r="O170">
        <f>(1-Summary!$B$51)*S170+Summary!$B$51*U170</f>
        <v/>
      </c>
      <c r="P170">
        <f>IF(B185=0,0,O170/B185)</f>
        <v/>
      </c>
      <c r="Q170">
        <f>IFERROR(1/IF(Inputs!$B$38="pvp",15,MAX(0.1,Skills!D21-IF(Skills!E21=TRUE,Inputs!$B$32,0))),0)</f>
        <v/>
      </c>
      <c r="R170" t="n">
        <v>0</v>
      </c>
      <c r="S170" t="n">
        <v>0</v>
      </c>
      <c r="U170" t="n">
        <v>0</v>
      </c>
    </row>
    <row r="171">
      <c r="A171">
        <f>Skills!A22</f>
        <v/>
      </c>
      <c r="B171">
        <f>Skills!B22</f>
        <v/>
      </c>
      <c r="C171">
        <f>Inputs!$B$3&gt;=117</f>
        <v/>
      </c>
      <c r="D171">
        <f>IF(Skills!C22=1,60+Inputs!$B$25+Inputs!$B$29,IF(Skills!C22=2,90+Inputs!$B$26+Inputs!$B$29,IF(Skills!C22=3,120+Inputs!$B$27+Inputs!$B$29,MAX(0,(Inputs!$B$3-100)*3)+Inputs!$B$28+Inputs!$B$29)))</f>
        <v/>
      </c>
      <c r="E171">
        <f>INDEX(FactorTable!$B$2:$Y$301, MATCH(ROUND(MIN(300,MAX(1,D171)),0), FactorTable!$A$2:$A$301,0), Skills!L22+1)</f>
        <v/>
      </c>
      <c r="F171">
        <f>IF(Skills!M22=TRUE,(Skills!K22/10)*(E171/1000),Skills!K22/10)+Skills!N22</f>
        <v/>
      </c>
      <c r="G171">
        <f>Calc!G22</f>
        <v/>
      </c>
      <c r="H171">
        <f>Calc!H22</f>
        <v/>
      </c>
      <c r="I171">
        <f>IF(Skills!T22&lt;&gt;"",1+(Skills!T22/10)*(Z152/1000)/100,1)</f>
        <v/>
      </c>
      <c r="J171" t="inlineStr"/>
      <c r="K171" t="inlineStr"/>
      <c r="L171" t="inlineStr"/>
      <c r="M171" t="inlineStr"/>
      <c r="N171" t="inlineStr"/>
      <c r="O171">
        <f>(1-Summary!$B$51)*S171+Summary!$B$51*U171</f>
        <v/>
      </c>
      <c r="P171">
        <f>IF(B185=0,0,O171/B185)</f>
        <v/>
      </c>
      <c r="Q171">
        <f>IFERROR(1/IF(Inputs!$B$38="pvp",15,MAX(0.1,Skills!D22-IF(Skills!E22=TRUE,Inputs!$B$32,0))),0)</f>
        <v/>
      </c>
      <c r="R171" t="n">
        <v>0</v>
      </c>
      <c r="S171" t="n">
        <v>0</v>
      </c>
      <c r="U171" t="n">
        <v>0</v>
      </c>
    </row>
    <row r="172">
      <c r="A172">
        <f>Skills!A23</f>
        <v/>
      </c>
      <c r="B172">
        <f>Skills!B23</f>
        <v/>
      </c>
      <c r="C172">
        <f>Inputs!$B$3&gt;=120</f>
        <v/>
      </c>
      <c r="D172">
        <f>IF(Skills!C23=1,60+Inputs!$B$25+Inputs!$B$29,IF(Skills!C23=2,90+Inputs!$B$26+Inputs!$B$29,IF(Skills!C23=3,120+Inputs!$B$27+Inputs!$B$29,MAX(0,(Inputs!$B$3-100)*3)+Inputs!$B$28+Inputs!$B$29)))</f>
        <v/>
      </c>
      <c r="E172">
        <f>INDEX(FactorTable!$B$2:$Y$301, MATCH(ROUND(MIN(300,MAX(1,D172)),0), FactorTable!$A$2:$A$301,0), Skills!L23+1)</f>
        <v/>
      </c>
      <c r="F172">
        <f>IF(Skills!M23=TRUE,(Skills!K23/10)*(E172/1000),Skills!K23/10)+Skills!N23</f>
        <v/>
      </c>
      <c r="G172">
        <f>Calc!G23</f>
        <v/>
      </c>
      <c r="H172">
        <f>Calc!H23</f>
        <v/>
      </c>
      <c r="I172">
        <f>IF(Skills!T23&lt;&gt;"",1+(Skills!T23/10)*(Z152/1000)/100,1)</f>
        <v/>
      </c>
      <c r="J172" t="inlineStr"/>
      <c r="K172" t="inlineStr"/>
      <c r="L172" t="inlineStr"/>
      <c r="M172" t="inlineStr"/>
      <c r="N172" t="inlineStr"/>
      <c r="O172">
        <f>(1-Summary!$B$51)*S172+Summary!$B$51*U172</f>
        <v/>
      </c>
      <c r="P172">
        <f>IF(B185=0,0,O172/B185)</f>
        <v/>
      </c>
      <c r="Q172">
        <f>IFERROR(1/IF(Inputs!$B$38="pvp",15,MAX(0.1,Skills!D23-IF(Skills!E23=TRUE,Inputs!$B$32,0))),0)</f>
        <v/>
      </c>
      <c r="R172" t="n">
        <v>0</v>
      </c>
      <c r="S172" t="n">
        <v>0</v>
      </c>
      <c r="U172" t="n">
        <v>0</v>
      </c>
    </row>
    <row r="175">
      <c r="A175" t="inlineStr">
        <is>
          <t>Average Buff Multiplier (Magic Guard + Meditation, summed; then Infinity)</t>
        </is>
      </c>
      <c r="B175">
        <f>(1+(IF(C152=TRUE,F152*IF(AND(Inputs!$B$38&lt;&gt;"pvp",Inputs!$B$43&gt;0),(((R152-1)*(Skills!S3*(1+(Inputs!$B$34+IF(Inputs!$B$3&gt;=117,F171,0))/100))+MIN((Skills!S3*(1+(Inputs!$B$34+IF(Inputs!$B$3&gt;=117,F171,0))/100)),MAX(0,Inputs!$B$43-((R152-1)*Skills!D3))))/Inputs!$B$43),IF(Inputs!$B$38="pvp",MIN((Skills!S3*(1+(Inputs!$B$34+IF(Inputs!$B$3&gt;=117,F171,0))/100)),15)/15,(Skills!S3*(1+(Inputs!$B$34+IF(Inputs!$B$3&gt;=117,F171,0))/100))/Skills!D3)),0)+IF(C153=TRUE,F153*IF(AND(Inputs!$B$38&lt;&gt;"pvp",Inputs!$B$43&gt;0),(((R153-1)*(Skills!S4*(1+(Inputs!$B$34+IF(Inputs!$B$3&gt;=117,F171,0))/100))+MIN((Skills!S4*(1+(Inputs!$B$34+IF(Inputs!$B$3&gt;=117,F171,0))/100)),MAX(0,Inputs!$B$43-((R153-1)*Skills!D4))))/Inputs!$B$43),IF(Inputs!$B$38="pvp",MIN((Skills!S4*(1+(Inputs!$B$34+IF(Inputs!$B$3&gt;=117,F171,0))/100)),15)/15,(Skills!S4*(1+(Inputs!$B$34+IF(Inputs!$B$3&gt;=117,F171,0))/100))/Skills!D4)),0))/100)*IF(C165=TRUE,(1+F165*IF(AND(Inputs!$B$38&lt;&gt;"pvp",Inputs!$B$43&gt;0),(((R165-1)*(Skills!S16*(1+(Inputs!$B$34+IF(Inputs!$B$3&gt;=117,F171,0))/100))+MIN((Skills!S16*(1+(Inputs!$B$34+IF(Inputs!$B$3&gt;=117,F171,0))/100)),MAX(0,Inputs!$B$43-((R165-1)*Skills!D16))))/Inputs!$B$43),IF(Inputs!$B$38="pvp",MIN((Skills!S16*(1+(Inputs!$B$34+IF(Inputs!$B$3&gt;=117,F171,0))/100)),15)/15,(Skills!S16*(1+(Inputs!$B$34+IF(Inputs!$B$3&gt;=117,F171,0))/100))/Skills!D16))/100),1)</f>
        <v/>
      </c>
    </row>
    <row r="176">
      <c r="A176" t="inlineStr">
        <is>
          <t>Monster Damage Taken Bonus % (Freezing Breath - Weaken + Elemental Reset, summed)</t>
        </is>
      </c>
      <c r="B176">
        <f>IF(Inputs!$B$3&gt;=118,15*IF(Inputs!$B$38="pvp",MIN((30*(1+(Inputs!$B$34+IF(Inputs!$B$3&gt;=117,F171,0))/100)),15)/15,(30*(1+(Inputs!$B$34+IF(Inputs!$B$3&gt;=117,F171,0))/100))/Skills!D8),0)+IF(C163=TRUE,F163,0)</f>
        <v/>
      </c>
    </row>
    <row r="177">
      <c r="A177" t="inlineStr">
        <is>
          <t>Damage % Bonus (Frozen Break + Frost Clutch, flat)</t>
        </is>
      </c>
      <c r="B177">
        <f>IF(Inputs!$B$3&gt;=66,15,0)+IF(Inputs!$B$3&gt;=98,10,0)+IF(Inputs!$B$3&gt;=125,20,0)</f>
        <v/>
      </c>
    </row>
    <row r="178">
      <c r="A178" t="inlineStr">
        <is>
          <t>Attack Speed Bonus % (MP Eater - MP Boost, always-on once unlocked)</t>
        </is>
      </c>
      <c r="B178">
        <f>IF(C162=TRUE,F162+(F166-Calc!F17),0)</f>
        <v/>
      </c>
    </row>
    <row r="179">
      <c r="A179" t="inlineStr">
        <is>
          <t>Actions Per Second</t>
        </is>
      </c>
      <c r="B179">
        <f>1+MIN(150,150*(1-(1-Inputs!$B$11/150)*(1-B178/150)))/100</f>
        <v/>
      </c>
    </row>
    <row r="180">
      <c r="A180" t="inlineStr">
        <is>
          <t>Skill + Buff Cast Rate</t>
        </is>
      </c>
      <c r="B180">
        <f>IF(AND(Inputs!$B$38&lt;&gt;"pvp",Inputs!$B$43&gt;0),SUMPRODUCT((Skills!E2:E23=TRUE)*(C151:C172=TRUE)*R151:R172)/Inputs!$B$43,SUMPRODUCT((Skills!E2:E23=TRUE)*(C151:C172=TRUE)*Q151:Q172))</f>
        <v/>
      </c>
    </row>
    <row r="181">
      <c r="A181" t="inlineStr">
        <is>
          <t>Chain Lightning Casts Per Second</t>
        </is>
      </c>
      <c r="B181">
        <f>MAX(0,B179-B180)</f>
        <v/>
      </c>
    </row>
    <row r="182">
      <c r="A182" t="inlineStr">
        <is>
          <t>Buff-Casting Startup Delay (s, fixed-duration only)</t>
        </is>
      </c>
      <c r="B182">
        <f>IF(AND(Inputs!$B$38&lt;&gt;"pvp",Inputs!$B$43&gt;0),SUMPRODUCT((Skills!S2:S23&gt;0)*(Skills!E2:E23=TRUE)*(C151:C172=TRUE))/B179,0)</f>
        <v/>
      </c>
    </row>
    <row r="183">
      <c r="A183" t="inlineStr">
        <is>
          <t>Boss-Only Total DPS (this block's swept value)</t>
        </is>
      </c>
      <c r="B183">
        <f>SUM(S151:S172)</f>
        <v/>
      </c>
    </row>
    <row r="184">
      <c r="A184" t="inlineStr">
        <is>
          <t>Normal-Only Total DPS (this block's swept value)</t>
        </is>
      </c>
      <c r="B184">
        <f>SUM(U151:U172)</f>
        <v/>
      </c>
    </row>
    <row r="185">
      <c r="A185" s="5" t="inlineStr">
        <is>
          <t>TOTAL DPS</t>
        </is>
      </c>
      <c r="B185" s="5">
        <f>SUM(O151:O172)</f>
        <v/>
      </c>
    </row>
    <row r="188">
      <c r="A188" s="5" t="inlineStr">
        <is>
          <t>Stat: BOSS_DAMAGE %</t>
        </is>
      </c>
    </row>
    <row r="189">
      <c r="A189" s="9" t="inlineStr">
        <is>
          <t>Key</t>
        </is>
      </c>
      <c r="B189" s="9" t="inlineStr">
        <is>
          <t>Name</t>
        </is>
      </c>
      <c r="C189" s="9" t="inlineStr">
        <is>
          <t>Unlocked</t>
        </is>
      </c>
      <c r="D189" s="9" t="inlineStr">
        <is>
          <t>InputLevel</t>
        </is>
      </c>
      <c r="E189" s="9" t="inlineStr">
        <is>
          <t>Factor</t>
        </is>
      </c>
      <c r="F189" s="9" t="inlineStr">
        <is>
          <t>CoefficientPercent</t>
        </is>
      </c>
      <c r="G189" s="9" t="inlineStr">
        <is>
          <t>EffectiveHits</t>
        </is>
      </c>
      <c r="H189" s="9" t="inlineStr">
        <is>
          <t>ProcProbability</t>
        </is>
      </c>
      <c r="I189" s="9" t="inlineStr">
        <is>
          <t>MapleHeroMultiplier</t>
        </is>
      </c>
      <c r="J189" s="9" t="inlineStr">
        <is>
          <t>BaseDamage</t>
        </is>
      </c>
      <c r="K189" s="9" t="inlineStr">
        <is>
          <t>BaseHitDamage</t>
        </is>
      </c>
      <c r="L189" s="9" t="inlineStr">
        <is>
          <t>NonCritAvg</t>
        </is>
      </c>
      <c r="M189" s="9" t="inlineStr">
        <is>
          <t>CritAvg</t>
        </is>
      </c>
      <c r="N189" s="9" t="inlineStr">
        <is>
          <t>ExpectedDamage(perHit)</t>
        </is>
      </c>
      <c r="O189" s="9" t="inlineStr">
        <is>
          <t>DPS</t>
        </is>
      </c>
      <c r="P189" s="9" t="inlineStr">
        <is>
          <t>% of Total</t>
        </is>
      </c>
      <c r="R189" t="inlineStr">
        <is>
          <t>helpers</t>
        </is>
      </c>
    </row>
    <row r="190">
      <c r="A190">
        <f>Skills!A2</f>
        <v/>
      </c>
      <c r="B190">
        <f>Skills!B2</f>
        <v/>
      </c>
      <c r="C190">
        <f>Inputs!$B$3&gt;=100</f>
        <v/>
      </c>
      <c r="D190" t="inlineStr"/>
      <c r="E190" t="inlineStr"/>
      <c r="F190">
        <f>T192+Skills!N2</f>
        <v/>
      </c>
      <c r="G190">
        <f>Calc!G2</f>
        <v/>
      </c>
      <c r="H190">
        <f>Calc!H2</f>
        <v/>
      </c>
      <c r="I190">
        <f>IF(Skills!T2&lt;&gt;"",1+(Skills!T2/10)*(Z191/1000)/100,1)</f>
        <v/>
      </c>
      <c r="J190">
        <f>((Inputs!$B$6*(1+Inputs!$B$7/100))+(((Inputs!$B$12*(1+Inputs!$B$13/100))-(Inputs!$B$12*(1+Inputs!$B$13/100)))+0.25*(Inputs!$B$14-Inputs!$B$14))*(1+Inputs!$B$7/100))*(F190/100)</f>
        <v/>
      </c>
      <c r="K190">
        <f>J190*(1+((Inputs!$B$12*(1+Inputs!$B$13/100))*0.01+Inputs!$B$14*0.0025)/100)*(1+(Inputs!$B$15+B216)/100)*(1+Inputs!$B$16/100)*(5000/(6000+Inputs!$B$42*(1-Inputs!$B$19/100)))*(1+Inputs!$B$24/100)*(1+IF(C203=TRUE,F203,0)/100)*(1+IF(C211=TRUE,F211,0)/100)^5*(1+(IF(Skills!A2="CHAIN_LIGHTNING",Inputs!$B$17,Inputs!$B$18))/100)*(B214*I190)</f>
        <v/>
      </c>
      <c r="L190">
        <f>K190*(MIN(Inputs!$B$22+(F206-Calc!F18),Inputs!$B$23)/100+Inputs!$B$23/100)/2</f>
        <v/>
      </c>
      <c r="M190">
        <f>L190*(1+(Inputs!$B$10+(F209-Calc!F21))/100)</f>
        <v/>
      </c>
      <c r="N190">
        <f>L190*(1-MIN(Inputs!$B$9+((F208-Calc!F20)+(F207-Calc!F19)),100)/100)+M190*(MIN(Inputs!$B$9+((F208-Calc!F20)+(F207-Calc!F19)),100)/100)</f>
        <v/>
      </c>
      <c r="O190">
        <f>(1-Summary!$B$51)*S190+Summary!$B$51*U190</f>
        <v/>
      </c>
      <c r="P190">
        <f>IF(B224=0,0,O190/B224)</f>
        <v/>
      </c>
      <c r="Q190">
        <f>IFERROR(1/IF(Inputs!$B$38="pvp",15,MAX(0.1,Skills!D2-IF(Skills!E2=TRUE,Inputs!$B$32,0))),0)</f>
        <v/>
      </c>
      <c r="R190" t="n">
        <v>0</v>
      </c>
      <c r="S190">
        <f>IF(C190,(Skills!F2*N190*B220)*IF(Inputs!$B$38="pvp",1,1+((Inputs!$B$20+1)+Skills!O2+B215)/100),0)</f>
        <v/>
      </c>
      <c r="T190">
        <f>MAX(0,(Inputs!$B$3-100)*3)+Inputs!$B$28+Inputs!$B$29</f>
        <v/>
      </c>
      <c r="U190">
        <f>IF(C190,(Skills!F2*N190*B220)*IF(Inputs!$B$38="pvp",1,(1+(Inputs!$B$21+Skills!P2+B215)/100)*(MIN((6+Inputs!$B$33),Inputs!$B$37))),0)</f>
        <v/>
      </c>
      <c r="Z190">
        <f>MAX(0,(Inputs!$B$3-100)*3)+Inputs!$B$28+Inputs!$B$29</f>
        <v/>
      </c>
    </row>
    <row r="191">
      <c r="A191">
        <f>Skills!A3</f>
        <v/>
      </c>
      <c r="B191">
        <f>Skills!B3</f>
        <v/>
      </c>
      <c r="C191">
        <f>Inputs!$B$3&gt;=15</f>
        <v/>
      </c>
      <c r="D191">
        <f>IF(Skills!C3=1,60+Inputs!$B$25+Inputs!$B$29,IF(Skills!C3=2,90+Inputs!$B$26+Inputs!$B$29,IF(Skills!C3=3,120+Inputs!$B$27+Inputs!$B$29,MAX(0,(Inputs!$B$3-100)*3)+Inputs!$B$28+Inputs!$B$29)))</f>
        <v/>
      </c>
      <c r="E191">
        <f>INDEX(FactorTable!$B$2:$Y$301, MATCH(ROUND(MIN(300,MAX(1,D191)),0), FactorTable!$A$2:$A$301,0), Skills!L3+1)</f>
        <v/>
      </c>
      <c r="F191">
        <f>IF(Skills!M3=TRUE,(Skills!K3/10)*(E191/1000),Skills!K3/10)+Skills!N3</f>
        <v/>
      </c>
      <c r="G191">
        <f>Calc!G3</f>
        <v/>
      </c>
      <c r="H191">
        <f>Calc!H3</f>
        <v/>
      </c>
      <c r="I191">
        <f>IF(Skills!T3&lt;&gt;"",1+(Skills!T3/10)*(Z191/1000)/100,1)</f>
        <v/>
      </c>
      <c r="J191" t="inlineStr"/>
      <c r="K191" t="inlineStr"/>
      <c r="L191" t="inlineStr"/>
      <c r="M191" t="inlineStr"/>
      <c r="N191" t="inlineStr"/>
      <c r="O191">
        <f>(1-Summary!$B$51)*S191+Summary!$B$51*U191</f>
        <v/>
      </c>
      <c r="P191">
        <f>IF(B224=0,0,O191/B224)</f>
        <v/>
      </c>
      <c r="Q191">
        <f>IFERROR(1/IF(Inputs!$B$38="pvp",15,MAX(0.1,Skills!D3-IF(Skills!E3=TRUE,Inputs!$B$32,0))),0)</f>
        <v/>
      </c>
      <c r="R191">
        <f>IF(AND(Inputs!$B$38&lt;&gt;"pvp",Inputs!$B$43&gt;0),IF(Inputs!$B$43&lt;=0,0,(INT(Inputs!$B$43/IF(Inputs!$B$38="pvp",15,MAX(0.1,Skills!D3-IF(Skills!E3=TRUE,Inputs!$B$32,0))))+1)),0)</f>
        <v/>
      </c>
      <c r="S191" t="n">
        <v>0</v>
      </c>
      <c r="T191">
        <f>INDEX(FactorTable!$B$2:$Y$301, MATCH(ROUND(MIN(300,MAX(1,T190)),0), FactorTable!$A$2:$A$301,0), 22)</f>
        <v/>
      </c>
      <c r="U191" t="n">
        <v>0</v>
      </c>
      <c r="Z191">
        <f>INDEX(FactorTable!$B$2:$Y$301, MATCH(ROUND(MIN(300,MAX(1,Z190)),0), FactorTable!$A$2:$A$301,0), 24)</f>
        <v/>
      </c>
    </row>
    <row r="192">
      <c r="A192">
        <f>Skills!A4</f>
        <v/>
      </c>
      <c r="B192">
        <f>Skills!B4</f>
        <v/>
      </c>
      <c r="C192">
        <f>Inputs!$B$3&gt;=40</f>
        <v/>
      </c>
      <c r="D192">
        <f>IF(Skills!C4=1,60+Inputs!$B$25+Inputs!$B$29,IF(Skills!C4=2,90+Inputs!$B$26+Inputs!$B$29,IF(Skills!C4=3,120+Inputs!$B$27+Inputs!$B$29,MAX(0,(Inputs!$B$3-100)*3)+Inputs!$B$28+Inputs!$B$29)))</f>
        <v/>
      </c>
      <c r="E192">
        <f>INDEX(FactorTable!$B$2:$Y$301, MATCH(ROUND(MIN(300,MAX(1,D192)),0), FactorTable!$A$2:$A$301,0), Skills!L4+1)</f>
        <v/>
      </c>
      <c r="F192">
        <f>IF(Skills!M4=TRUE,(Skills!K4/10)*(E192/1000),Skills!K4/10)+Skills!N4</f>
        <v/>
      </c>
      <c r="G192">
        <f>Calc!G4</f>
        <v/>
      </c>
      <c r="H192">
        <f>Calc!H4</f>
        <v/>
      </c>
      <c r="I192">
        <f>IF(Skills!T4&lt;&gt;"",1+(Skills!T4/10)*(Z191/1000)/100,1)</f>
        <v/>
      </c>
      <c r="J192" t="inlineStr"/>
      <c r="K192" t="inlineStr"/>
      <c r="L192" t="inlineStr"/>
      <c r="M192" t="inlineStr"/>
      <c r="N192" t="inlineStr"/>
      <c r="O192">
        <f>(1-Summary!$B$51)*S192+Summary!$B$51*U192</f>
        <v/>
      </c>
      <c r="P192">
        <f>IF(B224=0,0,O192/B224)</f>
        <v/>
      </c>
      <c r="Q192">
        <f>IFERROR(1/IF(Inputs!$B$38="pvp",15,MAX(0.1,Skills!D4-IF(Skills!E4=TRUE,Inputs!$B$32,0))),0)</f>
        <v/>
      </c>
      <c r="R192">
        <f>IF(AND(Inputs!$B$38&lt;&gt;"pvp",Inputs!$B$43&gt;0),IF(Inputs!$B$43&lt;=0,0,(INT(Inputs!$B$43/IF(Inputs!$B$38="pvp",15,MAX(0.1,Skills!D4-IF(Skills!E4=TRUE,Inputs!$B$32,0))))+1)),0)</f>
        <v/>
      </c>
      <c r="S192" t="n">
        <v>0</v>
      </c>
      <c r="T192">
        <f>290*T191/1000</f>
        <v/>
      </c>
      <c r="U192" t="n">
        <v>0</v>
      </c>
    </row>
    <row r="193">
      <c r="A193">
        <f>Skills!A5</f>
        <v/>
      </c>
      <c r="B193">
        <f>Skills!B5</f>
        <v/>
      </c>
      <c r="C193">
        <f>Inputs!$B$3&gt;=38</f>
        <v/>
      </c>
      <c r="D193">
        <f>IF(Skills!C5=1,60+Inputs!$B$25+Inputs!$B$29,IF(Skills!C5=2,90+Inputs!$B$26+Inputs!$B$29,IF(Skills!C5=3,120+Inputs!$B$27+Inputs!$B$29,MAX(0,(Inputs!$B$3-100)*3)+Inputs!$B$28+Inputs!$B$29)))</f>
        <v/>
      </c>
      <c r="E193">
        <f>INDEX(FactorTable!$B$2:$Y$301, MATCH(ROUND(MIN(300,MAX(1,D193)),0), FactorTable!$A$2:$A$301,0), Skills!L5+1)</f>
        <v/>
      </c>
      <c r="F193">
        <f>IF(Skills!M5=TRUE,(Skills!K5/10)*(E193/1000),Skills!K5/10)+Skills!N5</f>
        <v/>
      </c>
      <c r="G193">
        <f>Calc!G5</f>
        <v/>
      </c>
      <c r="H193">
        <f>Calc!H5</f>
        <v/>
      </c>
      <c r="I193">
        <f>IF(Skills!T5&lt;&gt;"",1+(Skills!T5/10)*(Z191/1000)/100,1)</f>
        <v/>
      </c>
      <c r="J193">
        <f>((Inputs!$B$6*(1+Inputs!$B$7/100))+(((Inputs!$B$12*(1+Inputs!$B$13/100))-(Inputs!$B$12*(1+Inputs!$B$13/100)))+0.25*(Inputs!$B$14-Inputs!$B$14))*(1+Inputs!$B$7/100))*(F193/100)</f>
        <v/>
      </c>
      <c r="K193">
        <f>J193*(1+((Inputs!$B$12*(1+Inputs!$B$13/100))*0.01+Inputs!$B$14*0.0025)/100)*(1+(Inputs!$B$15+B216)/100)*(1+Inputs!$B$16/100)*(5000/(6000+Inputs!$B$42*(1-Inputs!$B$19/100)))*(1+Inputs!$B$24/100)*(1+IF(C203=TRUE,F203,0)/100)*(1+IF(C211=TRUE,F211,0)/100)^5*(1+(IF(Skills!A5="CHAIN_LIGHTNING",Inputs!$B$17,Inputs!$B$18))/100)*(B214*I193)</f>
        <v/>
      </c>
      <c r="L193">
        <f>K193*(MIN(Inputs!$B$22+(F206-Calc!F18),Inputs!$B$23)/100+Inputs!$B$23/100)/2</f>
        <v/>
      </c>
      <c r="M193">
        <f>L193*(1+(Inputs!$B$10+(F209-Calc!F21))/100)</f>
        <v/>
      </c>
      <c r="N193">
        <f>L193*(1-MIN(Inputs!$B$9+((F208-Calc!F20)+(F207-Calc!F19)),100)/100)+M193*(MIN(Inputs!$B$9+((F208-Calc!F20)+(F207-Calc!F19)),100)/100)</f>
        <v/>
      </c>
      <c r="O193">
        <f>(1-Summary!$B$51)*S193+Summary!$B$51*U193</f>
        <v/>
      </c>
      <c r="P193">
        <f>IF(B224=0,0,O193/B224)</f>
        <v/>
      </c>
      <c r="Q193">
        <f>IFERROR(1/IF(Inputs!$B$38="pvp",15,MAX(0.1,Skills!D5-IF(Skills!E5=TRUE,Inputs!$B$32,0))),0)</f>
        <v/>
      </c>
      <c r="R193">
        <f>IF(AND(Inputs!$B$38&lt;&gt;"pvp",Inputs!$B$43&gt;0),IF(MAX(0,Inputs!$B$43-B221)&lt;=0,0,(INT(MAX(0,Inputs!$B$43-B221)/IF(Inputs!$B$38="pvp",15,MAX(0.1,Skills!D5-IF(Skills!E5=TRUE,Inputs!$B$32,0))))+1)),0)</f>
        <v/>
      </c>
      <c r="S193">
        <f>IF(C193,(H193*N193*IF(AND(Inputs!$B$38&lt;&gt;"pvp",Inputs!$B$43&gt;0),((Skills!F5*((R193-1)*IF(Skills!G5&gt;0,Skills!H5/Skills!G5,1)+IF(Skills!G5&gt;0,MIN(Skills!H5,MAX(0,MAX(0,Inputs!$B$43-B221)-((R193-1)*IF(Inputs!$B$38="pvp",15,MAX(0.1,Skills!D5-IF(Skills!E5=TRUE,Inputs!$B$32,0))))))/Skills!G5,1)))/Inputs!$B$43),G193*Q193))*IF(Inputs!$B$38="pvp",1,1+((Inputs!$B$20+1)+Skills!O5+B215)/100),0)</f>
        <v/>
      </c>
      <c r="U193">
        <f>IF(C193,(H193*N193*IF(AND(Inputs!$B$38&lt;&gt;"pvp",Inputs!$B$43&gt;0),((Skills!F5*((R193-1)*IF(Skills!G5&gt;0,Skills!H5/Skills!G5,1)+IF(Skills!G5&gt;0,MIN(Skills!H5,MAX(0,MAX(0,Inputs!$B$43-B221)-((R193-1)*IF(Inputs!$B$38="pvp",15,MAX(0.1,Skills!D5-IF(Skills!E5=TRUE,Inputs!$B$32,0))))))/Skills!G5,1)))/Inputs!$B$43),G193*Q193))*IF(Inputs!$B$38="pvp",1,(1+(Inputs!$B$21+Skills!P5+B215)/100)*(MIN(Skills!Q5,Inputs!$B$37))),0)</f>
        <v/>
      </c>
    </row>
    <row r="194">
      <c r="A194">
        <f>Skills!A6</f>
        <v/>
      </c>
      <c r="B194">
        <f>Skills!B6</f>
        <v/>
      </c>
      <c r="C194">
        <f>Inputs!$B$3&gt;=63</f>
        <v/>
      </c>
      <c r="D194">
        <f>IF(Skills!C6=1,60+Inputs!$B$25+Inputs!$B$29,IF(Skills!C6=2,90+Inputs!$B$26+Inputs!$B$29,IF(Skills!C6=3,120+Inputs!$B$27+Inputs!$B$29,MAX(0,(Inputs!$B$3-100)*3)+Inputs!$B$28+Inputs!$B$29)))</f>
        <v/>
      </c>
      <c r="E194">
        <f>INDEX(FactorTable!$B$2:$Y$301, MATCH(ROUND(MIN(300,MAX(1,D194)),0), FactorTable!$A$2:$A$301,0), Skills!L6+1)</f>
        <v/>
      </c>
      <c r="F194">
        <f>IF(Skills!M6=TRUE,(Skills!K6/10)*(E194/1000),Skills!K6/10)+Skills!N6</f>
        <v/>
      </c>
      <c r="G194">
        <f>Calc!G6</f>
        <v/>
      </c>
      <c r="H194">
        <f>Calc!H6</f>
        <v/>
      </c>
      <c r="I194">
        <f>IF(Skills!T6&lt;&gt;"",1+(Skills!T6/10)*(Z191/1000)/100,1)</f>
        <v/>
      </c>
      <c r="J194">
        <f>((Inputs!$B$6*(1+Inputs!$B$7/100))+(((Inputs!$B$12*(1+Inputs!$B$13/100))-(Inputs!$B$12*(1+Inputs!$B$13/100)))+0.25*(Inputs!$B$14-Inputs!$B$14))*(1+Inputs!$B$7/100))*(F194/100)</f>
        <v/>
      </c>
      <c r="K194">
        <f>J194*(1+((Inputs!$B$12*(1+Inputs!$B$13/100))*0.01+Inputs!$B$14*0.0025)/100)*(1+(Inputs!$B$15+B216)/100)*(1+Inputs!$B$16/100)*(5000/(6000+Inputs!$B$42*(1-Inputs!$B$19/100)))*(1+Inputs!$B$24/100)*(1+IF(C203=TRUE,F203,0)/100)*(1+IF(C211=TRUE,F211,0)/100)^5*(1+(IF(Skills!A6="CHAIN_LIGHTNING",Inputs!$B$17,Inputs!$B$18))/100)*(B214*I194)</f>
        <v/>
      </c>
      <c r="L194">
        <f>K194*(MIN(Inputs!$B$22+(F206-Calc!F18),Inputs!$B$23)/100+Inputs!$B$23/100)/2</f>
        <v/>
      </c>
      <c r="M194">
        <f>L194*(1+(Inputs!$B$10+(F209-Calc!F21))/100)</f>
        <v/>
      </c>
      <c r="N194">
        <f>L194*(1-MIN(Inputs!$B$9+((F208-Calc!F20)+(F207-Calc!F19)),100)/100)+M194*(MIN(Inputs!$B$9+((F208-Calc!F20)+(F207-Calc!F19)),100)/100)</f>
        <v/>
      </c>
      <c r="O194">
        <f>(1-Summary!$B$51)*S194+Summary!$B$51*U194</f>
        <v/>
      </c>
      <c r="P194">
        <f>IF(B224=0,0,O194/B224)</f>
        <v/>
      </c>
      <c r="Q194">
        <f>IFERROR(1/IF(Inputs!$B$38="pvp",15,MAX(0.1,Skills!D6-IF(Skills!E6=TRUE,Inputs!$B$32,0))),0)</f>
        <v/>
      </c>
      <c r="R194">
        <f>IF(AND(Inputs!$B$38&lt;&gt;"pvp",Inputs!$B$43&gt;0),IF(MAX(0,Inputs!$B$43-B221)&lt;=0,0,(INT(MAX(0,Inputs!$B$43-B221)/IF(Inputs!$B$38="pvp",15,MAX(0.1,Skills!D6-IF(Skills!E6=TRUE,Inputs!$B$32,0))))+1)),0)</f>
        <v/>
      </c>
      <c r="S194">
        <f>IF(C194,(H194*N194*IF(AND(Inputs!$B$38&lt;&gt;"pvp",Inputs!$B$43&gt;0),((Skills!F6*((R194-1)*IF(Skills!G6&gt;0,Skills!H6/Skills!G6,1)+IF(Skills!G6&gt;0,MIN(Skills!H6,MAX(0,MAX(0,Inputs!$B$43-B221)-((R194-1)*IF(Inputs!$B$38="pvp",15,MAX(0.1,Skills!D6-IF(Skills!E6=TRUE,Inputs!$B$32,0))))))/Skills!G6,1)))/Inputs!$B$43),G194*Q194))*IF(Inputs!$B$38="pvp",1,1+((Inputs!$B$20+1)+Skills!O6+B215)/100),0)</f>
        <v/>
      </c>
      <c r="U194">
        <f>IF(C194,(H194*N194*IF(AND(Inputs!$B$38&lt;&gt;"pvp",Inputs!$B$43&gt;0),((Skills!F6*((R194-1)*IF(Skills!G6&gt;0,Skills!H6/Skills!G6,1)+IF(Skills!G6&gt;0,MIN(Skills!H6,MAX(0,MAX(0,Inputs!$B$43-B221)-((R194-1)*IF(Inputs!$B$38="pvp",15,MAX(0.1,Skills!D6-IF(Skills!E6=TRUE,Inputs!$B$32,0))))))/Skills!G6,1)))/Inputs!$B$43),G194*Q194))*IF(Inputs!$B$38="pvp",1,(1+(Inputs!$B$21+Skills!P6+B215)/100)*(MIN(Skills!Q6,Inputs!$B$37))),0)</f>
        <v/>
      </c>
    </row>
    <row r="195">
      <c r="A195">
        <f>Skills!A7</f>
        <v/>
      </c>
      <c r="B195">
        <f>Skills!B7</f>
        <v/>
      </c>
      <c r="C195">
        <f>Inputs!$B$3&gt;=69</f>
        <v/>
      </c>
      <c r="D195">
        <f>IF(Skills!C7=1,60+Inputs!$B$25+Inputs!$B$29,IF(Skills!C7=2,90+Inputs!$B$26+Inputs!$B$29,IF(Skills!C7=3,120+Inputs!$B$27+Inputs!$B$29,MAX(0,(Inputs!$B$3-100)*3)+Inputs!$B$28+Inputs!$B$29)))</f>
        <v/>
      </c>
      <c r="E195">
        <f>INDEX(FactorTable!$B$2:$Y$301, MATCH(ROUND(MIN(300,MAX(1,D195)),0), FactorTable!$A$2:$A$301,0), Skills!L7+1)</f>
        <v/>
      </c>
      <c r="F195">
        <f>IF(Skills!M7=TRUE,(Skills!K7/10)*(E195/1000),Skills!K7/10)+Skills!N7</f>
        <v/>
      </c>
      <c r="G195">
        <f>Calc!G7</f>
        <v/>
      </c>
      <c r="H195">
        <f>Calc!H7</f>
        <v/>
      </c>
      <c r="I195">
        <f>IF(Skills!T7&lt;&gt;"",1+(Skills!T7/10)*(Z191/1000)/100,1)</f>
        <v/>
      </c>
      <c r="J195">
        <f>((Inputs!$B$6*(1+Inputs!$B$7/100))+(((Inputs!$B$12*(1+Inputs!$B$13/100))-(Inputs!$B$12*(1+Inputs!$B$13/100)))+0.25*(Inputs!$B$14-Inputs!$B$14))*(1+Inputs!$B$7/100))*(F195/100)</f>
        <v/>
      </c>
      <c r="K195">
        <f>J195*(1+((Inputs!$B$12*(1+Inputs!$B$13/100))*0.01+Inputs!$B$14*0.0025)/100)*(1+(Inputs!$B$15+B216)/100)*(1+Inputs!$B$16/100)*(5000/(6000+Inputs!$B$42*(1-Inputs!$B$19/100)))*(1+Inputs!$B$24/100)*(1+IF(C203=TRUE,F203,0)/100)*(1+IF(C211=TRUE,F211,0)/100)^5*(1+(IF(Skills!A7="CHAIN_LIGHTNING",Inputs!$B$17,Inputs!$B$18))/100)*(B214*I195)</f>
        <v/>
      </c>
      <c r="L195">
        <f>K195*(MIN(Inputs!$B$22+(F206-Calc!F18),Inputs!$B$23)/100+Inputs!$B$23/100)/2</f>
        <v/>
      </c>
      <c r="M195">
        <f>L195*(1+(Inputs!$B$10+(F209-Calc!F21))/100)</f>
        <v/>
      </c>
      <c r="N195">
        <f>L195*(1-MIN(Inputs!$B$9+((F208-Calc!F20)+(F207-Calc!F19)),100)/100)+M195*(MIN(Inputs!$B$9+((F208-Calc!F20)+(F207-Calc!F19)),100)/100)</f>
        <v/>
      </c>
      <c r="O195">
        <f>(1-Summary!$B$51)*S195+Summary!$B$51*U195</f>
        <v/>
      </c>
      <c r="P195">
        <f>IF(B224=0,0,O195/B224)</f>
        <v/>
      </c>
      <c r="Q195">
        <f>IFERROR(1/IF(Inputs!$B$38="pvp",15,MAX(0.1,Skills!D7-IF(Skills!E7=TRUE,Inputs!$B$32,0))),0)</f>
        <v/>
      </c>
      <c r="R195">
        <f>IF(AND(Inputs!$B$38&lt;&gt;"pvp",Inputs!$B$43&gt;0),IF(MAX(0,Inputs!$B$43-B221)&lt;=0,0,(INT(MAX(0,Inputs!$B$43-B221)/IF(Inputs!$B$38="pvp",15,MAX(0.1,Skills!D7-IF(Skills!E7=TRUE,Inputs!$B$32,0))))+1)),0)</f>
        <v/>
      </c>
      <c r="S195">
        <f>IF(C195,(H195*N195*IF(AND(Inputs!$B$38&lt;&gt;"pvp",Inputs!$B$43&gt;0),((Skills!F7*((R195-1)*IF(Skills!G7&gt;0,Skills!H7/Skills!G7,1)+IF(Skills!G7&gt;0,MIN(Skills!H7,MAX(0,MAX(0,Inputs!$B$43-B221)-((R195-1)*IF(Inputs!$B$38="pvp",15,MAX(0.1,Skills!D7-IF(Skills!E7=TRUE,Inputs!$B$32,0))))))/Skills!G7,1)))/Inputs!$B$43),G195*Q195))*IF(Inputs!$B$38="pvp",1,1+((Inputs!$B$20+1)+Skills!O7+B215)/100),0)</f>
        <v/>
      </c>
      <c r="U195">
        <f>IF(C195,(H195*N195*IF(AND(Inputs!$B$38&lt;&gt;"pvp",Inputs!$B$43&gt;0),((Skills!F7*((R195-1)*IF(Skills!G7&gt;0,Skills!H7/Skills!G7,1)+IF(Skills!G7&gt;0,MIN(Skills!H7,MAX(0,MAX(0,Inputs!$B$43-B221)-((R195-1)*IF(Inputs!$B$38="pvp",15,MAX(0.1,Skills!D7-IF(Skills!E7=TRUE,Inputs!$B$32,0))))))/Skills!G7,1)))/Inputs!$B$43),G195*Q195))*IF(Inputs!$B$38="pvp",1,(1+(Inputs!$B$21+Skills!P7+B215)/100)*(MIN(Skills!Q7,Inputs!$B$37))),0)</f>
        <v/>
      </c>
    </row>
    <row r="196">
      <c r="A196">
        <f>Skills!A8</f>
        <v/>
      </c>
      <c r="B196">
        <f>Skills!B8</f>
        <v/>
      </c>
      <c r="C196">
        <f>Inputs!$B$3&gt;=103</f>
        <v/>
      </c>
      <c r="D196">
        <f>IF(Skills!C8=1,60+Inputs!$B$25+Inputs!$B$29,IF(Skills!C8=2,90+Inputs!$B$26+Inputs!$B$29,IF(Skills!C8=3,120+Inputs!$B$27+Inputs!$B$29,MAX(0,(Inputs!$B$3-100)*3)+Inputs!$B$28+Inputs!$B$29)))</f>
        <v/>
      </c>
      <c r="E196">
        <f>INDEX(FactorTable!$B$2:$Y$301, MATCH(ROUND(MIN(300,MAX(1,D196)),0), FactorTable!$A$2:$A$301,0), Skills!L8+1)</f>
        <v/>
      </c>
      <c r="F196">
        <f>IF(Skills!M8=TRUE,(Skills!K8/10)*(E196/1000),Skills!K8/10)+Skills!N8</f>
        <v/>
      </c>
      <c r="G196">
        <f>Calc!G8</f>
        <v/>
      </c>
      <c r="H196">
        <f>Calc!H8</f>
        <v/>
      </c>
      <c r="I196">
        <f>IF(Skills!T8&lt;&gt;"",1+(Skills!T8/10)*(Z191/1000)/100,1)</f>
        <v/>
      </c>
      <c r="J196">
        <f>((Inputs!$B$6*(1+Inputs!$B$7/100))+(((Inputs!$B$12*(1+Inputs!$B$13/100))-(Inputs!$B$12*(1+Inputs!$B$13/100)))+0.25*(Inputs!$B$14-Inputs!$B$14))*(1+Inputs!$B$7/100))*(F196/100)</f>
        <v/>
      </c>
      <c r="K196">
        <f>J196*(1+((Inputs!$B$12*(1+Inputs!$B$13/100))*0.01+Inputs!$B$14*0.0025)/100)*(1+(Inputs!$B$15+B216)/100)*(1+Inputs!$B$16/100)*(5000/(6000+Inputs!$B$42*(1-Inputs!$B$19/100)))*(1+Inputs!$B$24/100)*(1+IF(C203=TRUE,F203,0)/100)*(1+IF(C211=TRUE,F211,0)/100)^5*(1+(IF(Skills!A8="CHAIN_LIGHTNING",Inputs!$B$17,Inputs!$B$18))/100)*(B214*I196)</f>
        <v/>
      </c>
      <c r="L196">
        <f>K196*(MIN(Inputs!$B$22+(F206-Calc!F18),Inputs!$B$23)/100+Inputs!$B$23/100)/2</f>
        <v/>
      </c>
      <c r="M196">
        <f>L196*(1+(Inputs!$B$10+(F209-Calc!F21))/100)</f>
        <v/>
      </c>
      <c r="N196">
        <f>L196*(1-MIN(Inputs!$B$9+((F208-Calc!F20)+(F207-Calc!F19)),100)/100)+M196*(MIN(Inputs!$B$9+((F208-Calc!F20)+(F207-Calc!F19)),100)/100)</f>
        <v/>
      </c>
      <c r="O196">
        <f>(1-Summary!$B$51)*S196+Summary!$B$51*U196</f>
        <v/>
      </c>
      <c r="P196">
        <f>IF(B224=0,0,O196/B224)</f>
        <v/>
      </c>
      <c r="Q196">
        <f>IFERROR(1/IF(Inputs!$B$38="pvp",15,MAX(0.1,Skills!D8-IF(Skills!E8=TRUE,Inputs!$B$32,0))),0)</f>
        <v/>
      </c>
      <c r="R196">
        <f>IF(AND(Inputs!$B$38&lt;&gt;"pvp",Inputs!$B$43&gt;0),IF(MAX(0,Inputs!$B$43-B221)&lt;=0,0,(INT(MAX(0,Inputs!$B$43-B221)/IF(Inputs!$B$38="pvp",15,MAX(0.1,Skills!D8-IF(Skills!E8=TRUE,Inputs!$B$32,0))))+1)),0)</f>
        <v/>
      </c>
      <c r="S196">
        <f>IF(C196,(H196*N196*IF(AND(Inputs!$B$38&lt;&gt;"pvp",Inputs!$B$43&gt;0),((Skills!F8*((R196-1)*IF(Skills!G8&gt;0,Skills!H8/Skills!G8,1)+IF(Skills!G8&gt;0,MIN(Skills!H8,MAX(0,MAX(0,Inputs!$B$43-B221)-((R196-1)*IF(Inputs!$B$38="pvp",15,MAX(0.1,Skills!D8-IF(Skills!E8=TRUE,Inputs!$B$32,0))))))/Skills!G8,1)))/Inputs!$B$43),G196*Q196))*IF(Inputs!$B$38="pvp",1,1+((Inputs!$B$20+1)+Skills!O8+B215)/100),0)</f>
        <v/>
      </c>
      <c r="U196">
        <f>IF(C196,(H196*N196*IF(AND(Inputs!$B$38&lt;&gt;"pvp",Inputs!$B$43&gt;0),((Skills!F8*((R196-1)*IF(Skills!G8&gt;0,Skills!H8/Skills!G8,1)+IF(Skills!G8&gt;0,MIN(Skills!H8,MAX(0,MAX(0,Inputs!$B$43-B221)-((R196-1)*IF(Inputs!$B$38="pvp",15,MAX(0.1,Skills!D8-IF(Skills!E8=TRUE,Inputs!$B$32,0))))))/Skills!G8,1)))/Inputs!$B$43),G196*Q196))*IF(Inputs!$B$38="pvp",1,(1+(Inputs!$B$21+Skills!P8+B215)/100)*(MIN(Skills!Q8,Inputs!$B$37))),0)</f>
        <v/>
      </c>
    </row>
    <row r="197">
      <c r="A197">
        <f>Skills!A9</f>
        <v/>
      </c>
      <c r="B197">
        <f>Skills!B9</f>
        <v/>
      </c>
      <c r="C197">
        <f>Inputs!$B$3&gt;=105</f>
        <v/>
      </c>
      <c r="D197">
        <f>IF(Skills!C9=1,60+Inputs!$B$25+Inputs!$B$29,IF(Skills!C9=2,90+Inputs!$B$26+Inputs!$B$29,IF(Skills!C9=3,120+Inputs!$B$27+Inputs!$B$29,MAX(0,(Inputs!$B$3-100)*3)+Inputs!$B$28+Inputs!$B$29)))</f>
        <v/>
      </c>
      <c r="E197">
        <f>INDEX(FactorTable!$B$2:$Y$301, MATCH(ROUND(MIN(300,MAX(1,D197)),0), FactorTable!$A$2:$A$301,0), Skills!L9+1)</f>
        <v/>
      </c>
      <c r="F197">
        <f>IF(Skills!M9=TRUE,(Skills!K9/10)*(E197/1000),Skills!K9/10)+Skills!N9</f>
        <v/>
      </c>
      <c r="G197">
        <f>Calc!G9</f>
        <v/>
      </c>
      <c r="H197">
        <f>Calc!H9</f>
        <v/>
      </c>
      <c r="I197">
        <f>IF(Skills!T9&lt;&gt;"",1+(Skills!T9/10)*(Z191/1000)/100,1)</f>
        <v/>
      </c>
      <c r="J197">
        <f>((Inputs!$B$6*(1+Inputs!$B$7/100))+(((Inputs!$B$12*(1+Inputs!$B$13/100))-(Inputs!$B$12*(1+Inputs!$B$13/100)))+0.25*(Inputs!$B$14-Inputs!$B$14))*(1+Inputs!$B$7/100))*(F197/100)</f>
        <v/>
      </c>
      <c r="K197">
        <f>J197*(1+((Inputs!$B$12*(1+Inputs!$B$13/100))*0.01+Inputs!$B$14*0.0025)/100)*(1+(Inputs!$B$15+B216)/100)*(1+Inputs!$B$16/100)*(5000/(6000+Inputs!$B$42*(1-Inputs!$B$19/100)))*(1+Inputs!$B$24/100)*(1+IF(C203=TRUE,F203,0)/100)*(1+IF(C211=TRUE,F211,0)/100)^5*(1+(IF(Skills!A9="CHAIN_LIGHTNING",Inputs!$B$17,Inputs!$B$18))/100)*(B214*I197)</f>
        <v/>
      </c>
      <c r="L197">
        <f>K197*(MIN(Inputs!$B$22+(F206-Calc!F18),Inputs!$B$23)/100+Inputs!$B$23/100)/2</f>
        <v/>
      </c>
      <c r="M197">
        <f>L197*(1+(Inputs!$B$10+(F209-Calc!F21))/100)</f>
        <v/>
      </c>
      <c r="N197">
        <f>L197*(1-MIN(Inputs!$B$9+((F208-Calc!F20)+(F207-Calc!F19)),100)/100)+M197*(MIN(Inputs!$B$9+((F208-Calc!F20)+(F207-Calc!F19)),100)/100)</f>
        <v/>
      </c>
      <c r="O197">
        <f>(1-Summary!$B$51)*S197+Summary!$B$51*U197</f>
        <v/>
      </c>
      <c r="P197">
        <f>IF(B224=0,0,O197/B224)</f>
        <v/>
      </c>
      <c r="Q197">
        <f>IFERROR(1/IF(Inputs!$B$38="pvp",15,MAX(0.1,Skills!D9-IF(Skills!E9=TRUE,Inputs!$B$32,0))),0)</f>
        <v/>
      </c>
      <c r="R197">
        <f>IF(AND(Inputs!$B$38&lt;&gt;"pvp",Inputs!$B$43&gt;0),IF(MAX(0,Inputs!$B$43-B221)&lt;=0,0,(INT(MAX(0,Inputs!$B$43-B221)/IF(Inputs!$B$38="pvp",15,MAX(0.1,Skills!D9-IF(Skills!E9=TRUE,Inputs!$B$32,0))))+1)),0)</f>
        <v/>
      </c>
      <c r="S197">
        <f>IF(C197,(H197*N197*IF(AND(Inputs!$B$38&lt;&gt;"pvp",Inputs!$B$43&gt;0),((Skills!F9*((R197-1)*IF(Skills!G9&gt;0,Skills!H9/Skills!G9,1)+IF(Skills!G9&gt;0,MIN(Skills!H9,MAX(0,MAX(0,Inputs!$B$43-B221)-((R197-1)*IF(Inputs!$B$38="pvp",15,MAX(0.1,Skills!D9-IF(Skills!E9=TRUE,Inputs!$B$32,0))))))/Skills!G9,1)))/Inputs!$B$43),G197*Q197))*IF(Inputs!$B$38="pvp",1,1+((Inputs!$B$20+1)+Skills!O9+B215)/100),0)</f>
        <v/>
      </c>
      <c r="U197">
        <f>IF(C197,(H197*N197*IF(AND(Inputs!$B$38&lt;&gt;"pvp",Inputs!$B$43&gt;0),((Skills!F9*((R197-1)*IF(Skills!G9&gt;0,Skills!H9/Skills!G9,1)+IF(Skills!G9&gt;0,MIN(Skills!H9,MAX(0,MAX(0,Inputs!$B$43-B221)-((R197-1)*IF(Inputs!$B$38="pvp",15,MAX(0.1,Skills!D9-IF(Skills!E9=TRUE,Inputs!$B$32,0))))))/Skills!G9,1)))/Inputs!$B$43),G197*Q197))*IF(Inputs!$B$38="pvp",1,(1+(Inputs!$B$21+Skills!P9+B215)/100)*(MIN(Skills!Q9,Inputs!$B$37))),0)</f>
        <v/>
      </c>
    </row>
    <row r="198">
      <c r="A198">
        <f>Skills!A10</f>
        <v/>
      </c>
      <c r="B198">
        <f>Skills!B10</f>
        <v/>
      </c>
      <c r="C198">
        <f>Inputs!$B$3&gt;=113</f>
        <v/>
      </c>
      <c r="D198">
        <f>IF(Skills!C10=1,60+Inputs!$B$25+Inputs!$B$29,IF(Skills!C10=2,90+Inputs!$B$26+Inputs!$B$29,IF(Skills!C10=3,120+Inputs!$B$27+Inputs!$B$29,MAX(0,(Inputs!$B$3-100)*3)+Inputs!$B$28+Inputs!$B$29)))</f>
        <v/>
      </c>
      <c r="E198">
        <f>INDEX(FactorTable!$B$2:$Y$301, MATCH(ROUND(MIN(300,MAX(1,D198)),0), FactorTable!$A$2:$A$301,0), Skills!L10+1)</f>
        <v/>
      </c>
      <c r="F198">
        <f>IF(Skills!M10=TRUE,(Skills!K10/10)*(E198/1000),Skills!K10/10)+Skills!N10</f>
        <v/>
      </c>
      <c r="G198">
        <f>Calc!G10</f>
        <v/>
      </c>
      <c r="H198">
        <f>Calc!H10</f>
        <v/>
      </c>
      <c r="I198">
        <f>IF(Skills!T10&lt;&gt;"",1+(Skills!T10/10)*(Z191/1000)/100,1)</f>
        <v/>
      </c>
      <c r="J198">
        <f>((Inputs!$B$6*(1+Inputs!$B$7/100))+(((Inputs!$B$12*(1+Inputs!$B$13/100))-(Inputs!$B$12*(1+Inputs!$B$13/100)))+0.25*(Inputs!$B$14-Inputs!$B$14))*(1+Inputs!$B$7/100))*(F198/100)</f>
        <v/>
      </c>
      <c r="K198">
        <f>J198*(1+((Inputs!$B$12*(1+Inputs!$B$13/100))*0.01+Inputs!$B$14*0.0025)/100)*(1+(Inputs!$B$15+B216)/100)*(1+Inputs!$B$16/100)*(5000/(6000+Inputs!$B$42*(1-Inputs!$B$19/100)))*(1+Inputs!$B$24/100)*(1+IF(C203=TRUE,F203,0)/100)*(1+IF(C211=TRUE,F211,0)/100)^5*(1+(IF(Skills!A10="CHAIN_LIGHTNING",Inputs!$B$17,Inputs!$B$18))/100)*(B214*I198)</f>
        <v/>
      </c>
      <c r="L198">
        <f>K198*(MIN(Inputs!$B$22+(F206-Calc!F18),Inputs!$B$23)/100+Inputs!$B$23/100)/2</f>
        <v/>
      </c>
      <c r="M198">
        <f>L198*(1+(Inputs!$B$10+(F209-Calc!F21))/100)</f>
        <v/>
      </c>
      <c r="N198">
        <f>L198*(1-MIN(Inputs!$B$9+((F208-Calc!F20)+(F207-Calc!F19)),100)/100)+M198*(MIN(Inputs!$B$9+((F208-Calc!F20)+(F207-Calc!F19)),100)/100)</f>
        <v/>
      </c>
      <c r="O198">
        <f>(1-Summary!$B$51)*S198+Summary!$B$51*U198</f>
        <v/>
      </c>
      <c r="P198">
        <f>IF(B224=0,0,O198/B224)</f>
        <v/>
      </c>
      <c r="Q198">
        <f>IFERROR(1/IF(Inputs!$B$38="pvp",15,MAX(0.1,Skills!D10-IF(Skills!E9=TRUE,Inputs!$B$32,0))),0)</f>
        <v/>
      </c>
      <c r="R198">
        <f>IF(AND(Inputs!$B$38&lt;&gt;"pvp",Inputs!$B$43&gt;0),IF(MAX(0,Inputs!$B$43-B221)&lt;=0,0,(INT(MAX(0,Inputs!$B$43-B221)/IF(Inputs!$B$38="pvp",15,MAX(0.1,Skills!D10-IF(Skills!E9=TRUE,Inputs!$B$32,0))))+1)),0)</f>
        <v/>
      </c>
      <c r="S198">
        <f>IF(C198,(H198*N198*IF(AND(Inputs!$B$38&lt;&gt;"pvp",Inputs!$B$43&gt;0),((Skills!F10*((R198-1)*IF(Skills!G10&gt;0,Skills!H10/Skills!G10,1)+IF(Skills!G10&gt;0,MIN(Skills!H10,MAX(0,MAX(0,Inputs!$B$43-B221)-((R198-1)*IF(Inputs!$B$38="pvp",15,MAX(0.1,Skills!D10-IF(Skills!E9=TRUE,Inputs!$B$32,0))))))/Skills!G10,1)))/Inputs!$B$43),G198*Q198))*IF(Inputs!$B$38="pvp",1,1+((Inputs!$B$20+1)+Skills!O10+B215)/100),0)</f>
        <v/>
      </c>
      <c r="U198">
        <f>IF(C198,(H198*N198*IF(AND(Inputs!$B$38&lt;&gt;"pvp",Inputs!$B$43&gt;0),((Skills!F10*((R198-1)*IF(Skills!G10&gt;0,Skills!H10/Skills!G10,1)+IF(Skills!G10&gt;0,MIN(Skills!H10,MAX(0,MAX(0,Inputs!$B$43-B221)-((R198-1)*IF(Inputs!$B$38="pvp",15,MAX(0.1,Skills!D10-IF(Skills!E9=TRUE,Inputs!$B$32,0))))))/Skills!G10,1)))/Inputs!$B$43),G198*Q198))*IF(Inputs!$B$38="pvp",1,(1+(Inputs!$B$21+Skills!P10+B215)/100)*(MIN(Skills!Q10,Inputs!$B$37))),0)</f>
        <v/>
      </c>
    </row>
    <row r="199">
      <c r="A199">
        <f>Skills!A11</f>
        <v/>
      </c>
      <c r="B199">
        <f>Skills!B11</f>
        <v/>
      </c>
      <c r="C199">
        <f>Inputs!$B$3&gt;=107</f>
        <v/>
      </c>
      <c r="D199">
        <f>IF(Skills!C11=1,60+Inputs!$B$25+Inputs!$B$29,IF(Skills!C11=2,90+Inputs!$B$26+Inputs!$B$29,IF(Skills!C11=3,120+Inputs!$B$27+Inputs!$B$29,MAX(0,(Inputs!$B$3-100)*3)+Inputs!$B$28+Inputs!$B$29)))</f>
        <v/>
      </c>
      <c r="E199">
        <f>INDEX(FactorTable!$B$2:$Y$301, MATCH(ROUND(MIN(300,MAX(1,D199)),0), FactorTable!$A$2:$A$301,0), Skills!L11+1)</f>
        <v/>
      </c>
      <c r="F199">
        <f>IF(Skills!M11=TRUE,(Skills!K11/10)*(E199/1000),Skills!K11/10)+Skills!N11</f>
        <v/>
      </c>
      <c r="G199">
        <f>Calc!G11</f>
        <v/>
      </c>
      <c r="H199">
        <f>Calc!H11</f>
        <v/>
      </c>
      <c r="I199">
        <f>IF(Skills!T11&lt;&gt;"",1+(Skills!T11/10)*(Z191/1000)/100,1)</f>
        <v/>
      </c>
      <c r="J199">
        <f>((Inputs!$B$6*(1+Inputs!$B$7/100))+(((Inputs!$B$12*(1+Inputs!$B$13/100))-(Inputs!$B$12*(1+Inputs!$B$13/100)))+0.25*(Inputs!$B$14-Inputs!$B$14))*(1+Inputs!$B$7/100))*(F199/100)</f>
        <v/>
      </c>
      <c r="K199">
        <f>J199*(1+((Inputs!$B$12*(1+Inputs!$B$13/100))*0.01+Inputs!$B$14*0.0025)/100)*(1+(Inputs!$B$15+B216)/100)*(1+Inputs!$B$16/100)*(5000/(6000+Inputs!$B$42*(1-Inputs!$B$19/100)))*(1+Inputs!$B$24/100)*(1+IF(C203=TRUE,F203,0)/100)*(1+IF(C211=TRUE,F211,0)/100)^5*(1+(IF(Skills!A11="CHAIN_LIGHTNING",Inputs!$B$17,Inputs!$B$18))/100)*(B214*I199)</f>
        <v/>
      </c>
      <c r="L199">
        <f>K199*(MIN(Inputs!$B$22+(F206-Calc!F18),Inputs!$B$23)/100+Inputs!$B$23/100)/2</f>
        <v/>
      </c>
      <c r="M199">
        <f>L199*(1+(Inputs!$B$10+(F209-Calc!F21))/100)</f>
        <v/>
      </c>
      <c r="N199">
        <f>L199*(1-MIN(Inputs!$B$9+((F208-Calc!F20)+(F207-Calc!F19)),100)/100)+M199*(MIN(Inputs!$B$9+((F208-Calc!F20)+(F207-Calc!F19)),100)/100)</f>
        <v/>
      </c>
      <c r="O199">
        <f>(1-Summary!$B$51)*S199+Summary!$B$51*U199</f>
        <v/>
      </c>
      <c r="P199">
        <f>IF(B224=0,0,O199/B224)</f>
        <v/>
      </c>
      <c r="Q199">
        <f>IFERROR(1/IF(Inputs!$B$38="pvp",15,MAX(0.1,Skills!D11-IF(Skills!E11=TRUE,Inputs!$B$32,0))),0)</f>
        <v/>
      </c>
      <c r="R199">
        <f>IF(AND(Inputs!$B$38&lt;&gt;"pvp",Inputs!$B$43&gt;0),IF(MAX(0,Inputs!$B$43-B221)&lt;=0,0,(INT(MAX(0,Inputs!$B$43-B221)/IF(Inputs!$B$38="pvp",15,MAX(0.1,Skills!D11-IF(Skills!E11=TRUE,Inputs!$B$32,0))))+1)),0)</f>
        <v/>
      </c>
      <c r="S199">
        <f>IF(C199,H199*N199*IF(AND(Inputs!$B$38&lt;&gt;"pvp",Inputs!$B$43&gt;0),((Skills!F11*((R199-1)*IF(Skills!G11&gt;0,Skills!H11/Skills!G11,1)+IF(Skills!G11&gt;0,MIN(Skills!H11,MAX(0,MAX(0,Inputs!$B$43-B221)-((R199-1)*IF(Inputs!$B$38="pvp",15,MAX(0.1,Skills!D11-IF(Skills!E11=TRUE,Inputs!$B$32,0))))))/Skills!G11,1)))/Inputs!$B$43),G199*Q199)*0.5*IF(Inputs!$B$38="pvp",1,1+((Inputs!$B$20+1)+Skills!O11+B215)/100),0)</f>
        <v/>
      </c>
      <c r="U199">
        <f>IF(C199,H199*N199*IF(AND(Inputs!$B$38&lt;&gt;"pvp",Inputs!$B$43&gt;0),((Skills!F11*((R199-1)*IF(Skills!G11&gt;0,Skills!H11/Skills!G11,1)+IF(Skills!G11&gt;0,MIN(Skills!H11,MAX(0,MAX(0,Inputs!$B$43-B221)-((R199-1)*IF(Inputs!$B$38="pvp",15,MAX(0.1,Skills!D11-IF(Skills!E11=TRUE,Inputs!$B$32,0))))))/Skills!G11,1)))/Inputs!$B$43),G199*Q199)*1*IF(Inputs!$B$38="pvp",1,(1+(Inputs!$B$21+Skills!P11+B215)/100)*(MIN(Skills!Q11,Inputs!$B$37))),0)</f>
        <v/>
      </c>
    </row>
    <row r="200">
      <c r="A200">
        <f>Skills!A12</f>
        <v/>
      </c>
      <c r="B200">
        <f>Skills!B12</f>
        <v/>
      </c>
      <c r="C200">
        <f>Inputs!$B$3&gt;=115</f>
        <v/>
      </c>
      <c r="D200">
        <f>IF(Skills!C12=1,60+Inputs!$B$25+Inputs!$B$29,IF(Skills!C12=2,90+Inputs!$B$26+Inputs!$B$29,IF(Skills!C12=3,120+Inputs!$B$27+Inputs!$B$29,MAX(0,(Inputs!$B$3-100)*3)+Inputs!$B$28+Inputs!$B$29)))</f>
        <v/>
      </c>
      <c r="E200">
        <f>INDEX(FactorTable!$B$2:$Y$301, MATCH(ROUND(MIN(300,MAX(1,D200)),0), FactorTable!$A$2:$A$301,0), Skills!L12+1)</f>
        <v/>
      </c>
      <c r="F200">
        <f>IF(Skills!M12=TRUE,(Skills!K12/10)*(E200/1000),Skills!K12/10)+Skills!N12</f>
        <v/>
      </c>
      <c r="G200">
        <f>Calc!G12</f>
        <v/>
      </c>
      <c r="H200">
        <f>Calc!H12</f>
        <v/>
      </c>
      <c r="I200">
        <f>IF(Skills!T12&lt;&gt;"",1+(Skills!T12/10)*(Z191/1000)/100,1)</f>
        <v/>
      </c>
      <c r="J200">
        <f>((Inputs!$B$6*(1+Inputs!$B$7/100))+(((Inputs!$B$12*(1+Inputs!$B$13/100))-(Inputs!$B$12*(1+Inputs!$B$13/100)))+0.25*(Inputs!$B$14-Inputs!$B$14))*(1+Inputs!$B$7/100))*(F200/100)</f>
        <v/>
      </c>
      <c r="K200">
        <f>J200*(1+((Inputs!$B$12*(1+Inputs!$B$13/100))*0.01+Inputs!$B$14*0.0025)/100)*(1+(Inputs!$B$15+B216)/100)*(1+Inputs!$B$16/100)*(5000/(6000+Inputs!$B$42*(1-Inputs!$B$19/100)))*(1+Inputs!$B$24/100)*(1+IF(C203=TRUE,F203,0)/100)*(1+IF(C211=TRUE,F211,0)/100)^5*(1+(IF(Skills!A12="CHAIN_LIGHTNING",Inputs!$B$17,Inputs!$B$18))/100)*(B214*I200)</f>
        <v/>
      </c>
      <c r="L200">
        <f>K200*(MIN(Inputs!$B$22+(F206-Calc!F18),Inputs!$B$23)/100+Inputs!$B$23/100)/2</f>
        <v/>
      </c>
      <c r="M200">
        <f>L200*(1+(Inputs!$B$10+(F209-Calc!F21))/100)</f>
        <v/>
      </c>
      <c r="N200">
        <f>L200*(1-MIN(Inputs!$B$9+((F208-Calc!F20)+(F207-Calc!F19)),100)/100)+M200*(MIN(Inputs!$B$9+((F208-Calc!F20)+(F207-Calc!F19)),100)/100)</f>
        <v/>
      </c>
      <c r="O200">
        <f>(1-Summary!$B$51)*S200+Summary!$B$51*U200</f>
        <v/>
      </c>
      <c r="P200">
        <f>IF(B224=0,0,O200/B224)</f>
        <v/>
      </c>
      <c r="Q200">
        <f>IFERROR(1/IF(Inputs!$B$38="pvp",15,MAX(0.1,Skills!D12-IF(Skills!E12=TRUE,Inputs!$B$32,0))),0)</f>
        <v/>
      </c>
      <c r="R200">
        <f>IF(AND(Inputs!$B$38&lt;&gt;"pvp",Inputs!$B$43&gt;0),IF(MAX(0,Inputs!$B$43-B221)&lt;=0,0,(INT(MAX(0,Inputs!$B$43-B221)/IF(Inputs!$B$38="pvp",15,MAX(0.1,Skills!D12-IF(Skills!E12=TRUE,Inputs!$B$32,0))))+1)),0)</f>
        <v/>
      </c>
      <c r="S200">
        <f>IF(C200,(H200*N200*IF(AND(Inputs!$B$38&lt;&gt;"pvp",Inputs!$B$43&gt;0),((Skills!F12*((R200-1)*IF(Skills!G12&gt;0,Skills!H12/Skills!G12,1)+IF(Skills!G12&gt;0,MIN(Skills!H12,MAX(0,MAX(0,Inputs!$B$43-B221)-((R200-1)*IF(Inputs!$B$38="pvp",15,MAX(0.1,Skills!D12-IF(Skills!E12=TRUE,Inputs!$B$32,0))))))/Skills!G12,1)))/Inputs!$B$43),G200*Q200))*IF(Inputs!$B$38="pvp",1,1+((Inputs!$B$20+1)+Skills!O12+B215)/100),0)</f>
        <v/>
      </c>
      <c r="U200">
        <f>IF(C200,(H200*N200*IF(AND(Inputs!$B$38&lt;&gt;"pvp",Inputs!$B$43&gt;0),((Skills!F12*((R200-1)*IF(Skills!G12&gt;0,Skills!H12/Skills!G12,1)+IF(Skills!G12&gt;0,MIN(Skills!H12,MAX(0,MAX(0,Inputs!$B$43-B221)-((R200-1)*IF(Inputs!$B$38="pvp",15,MAX(0.1,Skills!D12-IF(Skills!E12=TRUE,Inputs!$B$32,0))))))/Skills!G12,1)))/Inputs!$B$43),G200*Q200))*IF(Inputs!$B$38="pvp",1,(1+(Inputs!$B$21+Skills!P12+B215)/100)*(MIN(Skills!Q12,Inputs!$B$37))),0)</f>
        <v/>
      </c>
    </row>
    <row r="201">
      <c r="A201">
        <f>Skills!A13</f>
        <v/>
      </c>
      <c r="B201">
        <f>Skills!B13</f>
        <v/>
      </c>
      <c r="C201">
        <f>Inputs!$B$3&gt;=49</f>
        <v/>
      </c>
      <c r="D201">
        <f>IF(Skills!C13=1,60+Inputs!$B$25+Inputs!$B$29,IF(Skills!C13=2,90+Inputs!$B$26+Inputs!$B$29,IF(Skills!C13=3,120+Inputs!$B$27+Inputs!$B$29,MAX(0,(Inputs!$B$3-100)*3)+Inputs!$B$28+Inputs!$B$29)))</f>
        <v/>
      </c>
      <c r="E201">
        <f>INDEX(FactorTable!$B$2:$Y$301, MATCH(ROUND(MIN(300,MAX(1,D201)),0), FactorTable!$A$2:$A$301,0), Skills!L13+1)</f>
        <v/>
      </c>
      <c r="F201">
        <f>IF(Skills!M13=TRUE,(Skills!K13/10)*(E201/1000),Skills!K13/10)+Skills!N13</f>
        <v/>
      </c>
      <c r="G201">
        <f>Calc!G13</f>
        <v/>
      </c>
      <c r="H201">
        <f>Calc!H13</f>
        <v/>
      </c>
      <c r="I201">
        <f>IF(Skills!T13&lt;&gt;"",1+(Skills!T13/10)*(Z191/1000)/100,1)</f>
        <v/>
      </c>
      <c r="J201" t="inlineStr"/>
      <c r="K201" t="inlineStr"/>
      <c r="L201" t="inlineStr"/>
      <c r="M201" t="inlineStr"/>
      <c r="N201" t="inlineStr"/>
      <c r="O201">
        <f>(1-Summary!$B$51)*S201+Summary!$B$51*U201</f>
        <v/>
      </c>
      <c r="P201">
        <f>IF(B224=0,0,O201/B224)</f>
        <v/>
      </c>
      <c r="Q201">
        <f>IFERROR(1/IF(Inputs!$B$38="pvp",15,MAX(0.1,Skills!D13-IF(Skills!E13=TRUE,Inputs!$B$32,0))),0)</f>
        <v/>
      </c>
      <c r="R201" t="n">
        <v>0</v>
      </c>
      <c r="S201" t="n">
        <v>0</v>
      </c>
      <c r="U201" t="n">
        <v>0</v>
      </c>
    </row>
    <row r="202">
      <c r="A202">
        <f>Skills!A14</f>
        <v/>
      </c>
      <c r="B202">
        <f>Skills!B14</f>
        <v/>
      </c>
      <c r="C202">
        <f>Inputs!$B$3&gt;=72</f>
        <v/>
      </c>
      <c r="D202">
        <f>IF(Skills!C14=1,60+Inputs!$B$25+Inputs!$B$29,IF(Skills!C14=2,90+Inputs!$B$26+Inputs!$B$29,IF(Skills!C14=3,120+Inputs!$B$27+Inputs!$B$29,MAX(0,(Inputs!$B$3-100)*3)+Inputs!$B$28+Inputs!$B$29)))</f>
        <v/>
      </c>
      <c r="E202">
        <f>INDEX(FactorTable!$B$2:$Y$301, MATCH(ROUND(MIN(300,MAX(1,D202)),0), FactorTable!$A$2:$A$301,0), Skills!L14+1)</f>
        <v/>
      </c>
      <c r="F202">
        <f>IF(Skills!M14=TRUE,(Skills!K14/10)*(E202/1000),Skills!K14/10)+Skills!N14</f>
        <v/>
      </c>
      <c r="G202">
        <f>Calc!G14</f>
        <v/>
      </c>
      <c r="H202">
        <f>Calc!H14</f>
        <v/>
      </c>
      <c r="I202">
        <f>IF(Skills!T14&lt;&gt;"",1+(Skills!T14/10)*(Z191/1000)/100,1)</f>
        <v/>
      </c>
      <c r="J202" t="inlineStr"/>
      <c r="K202" t="inlineStr"/>
      <c r="L202" t="inlineStr"/>
      <c r="M202" t="inlineStr"/>
      <c r="N202" t="inlineStr"/>
      <c r="O202">
        <f>(1-Summary!$B$51)*S202+Summary!$B$51*U202</f>
        <v/>
      </c>
      <c r="P202">
        <f>IF(B224=0,0,O202/B224)</f>
        <v/>
      </c>
      <c r="Q202">
        <f>IFERROR(1/IF(Inputs!$B$38="pvp",15,MAX(0.1,Skills!D14-IF(Skills!E14=TRUE,Inputs!$B$32,0))),0)</f>
        <v/>
      </c>
      <c r="R202" t="n">
        <v>0</v>
      </c>
      <c r="S202" t="n">
        <v>0</v>
      </c>
      <c r="U202" t="n">
        <v>0</v>
      </c>
    </row>
    <row r="203">
      <c r="A203">
        <f>Skills!A15</f>
        <v/>
      </c>
      <c r="B203">
        <f>Skills!B15</f>
        <v/>
      </c>
      <c r="C203">
        <f>Inputs!$B$3&gt;=75</f>
        <v/>
      </c>
      <c r="D203">
        <f>IF(Skills!C15=1,60+Inputs!$B$25+Inputs!$B$29,IF(Skills!C15=2,90+Inputs!$B$26+Inputs!$B$29,IF(Skills!C15=3,120+Inputs!$B$27+Inputs!$B$29,MAX(0,(Inputs!$B$3-100)*3)+Inputs!$B$28+Inputs!$B$29)))</f>
        <v/>
      </c>
      <c r="E203">
        <f>INDEX(FactorTable!$B$2:$Y$301, MATCH(ROUND(MIN(300,MAX(1,D203)),0), FactorTable!$A$2:$A$301,0), Skills!L15+1)</f>
        <v/>
      </c>
      <c r="F203">
        <f>IF(Skills!M15=TRUE,(Skills!K15/10)*(E203/1000),Skills!K15/10)+Skills!N15</f>
        <v/>
      </c>
      <c r="G203">
        <f>Calc!G15</f>
        <v/>
      </c>
      <c r="H203">
        <f>Calc!H15</f>
        <v/>
      </c>
      <c r="I203">
        <f>IF(Skills!T15&lt;&gt;"",1+(Skills!T15/10)*(Z191/1000)/100,1)</f>
        <v/>
      </c>
      <c r="J203" t="inlineStr"/>
      <c r="K203" t="inlineStr"/>
      <c r="L203" t="inlineStr"/>
      <c r="M203" t="inlineStr"/>
      <c r="N203" t="inlineStr"/>
      <c r="O203">
        <f>(1-Summary!$B$51)*S203+Summary!$B$51*U203</f>
        <v/>
      </c>
      <c r="P203">
        <f>IF(B224=0,0,O203/B224)</f>
        <v/>
      </c>
      <c r="Q203">
        <f>IFERROR(1/IF(Inputs!$B$38="pvp",15,MAX(0.1,Skills!D15-IF(Skills!E15=TRUE,Inputs!$B$32,0))),0)</f>
        <v/>
      </c>
      <c r="R203" t="n">
        <v>0</v>
      </c>
      <c r="S203" t="n">
        <v>0</v>
      </c>
      <c r="U203" t="n">
        <v>0</v>
      </c>
    </row>
    <row r="204">
      <c r="A204">
        <f>Skills!A16</f>
        <v/>
      </c>
      <c r="B204">
        <f>Skills!B16</f>
        <v/>
      </c>
      <c r="C204">
        <f>Inputs!$B$3&gt;=110</f>
        <v/>
      </c>
      <c r="D204">
        <f>IF(Skills!C16=1,60+Inputs!$B$25+Inputs!$B$29,IF(Skills!C16=2,90+Inputs!$B$26+Inputs!$B$29,IF(Skills!C16=3,120+Inputs!$B$27+Inputs!$B$29,MAX(0,(Inputs!$B$3-100)*3)+Inputs!$B$28+Inputs!$B$29)))</f>
        <v/>
      </c>
      <c r="E204">
        <f>INDEX(FactorTable!$B$2:$Y$301, MATCH(ROUND(MIN(300,MAX(1,D204)),0), FactorTable!$A$2:$A$301,0), Skills!L16+1)</f>
        <v/>
      </c>
      <c r="F204">
        <f>(Skills!K16/10)*(E204/1000)*64/45+Skills!N16</f>
        <v/>
      </c>
      <c r="G204">
        <f>Calc!G16</f>
        <v/>
      </c>
      <c r="H204">
        <f>Calc!H16</f>
        <v/>
      </c>
      <c r="I204">
        <f>IF(Skills!T16&lt;&gt;"",1+(Skills!T16/10)*(Z191/1000)/100,1)</f>
        <v/>
      </c>
      <c r="J204" t="inlineStr"/>
      <c r="K204" t="inlineStr"/>
      <c r="L204" t="inlineStr"/>
      <c r="M204" t="inlineStr"/>
      <c r="N204" t="inlineStr"/>
      <c r="O204">
        <f>(1-Summary!$B$51)*S204+Summary!$B$51*U204</f>
        <v/>
      </c>
      <c r="P204">
        <f>IF(B224=0,0,O204/B224)</f>
        <v/>
      </c>
      <c r="Q204">
        <f>IFERROR(1/IF(Inputs!$B$38="pvp",15,MAX(0.1,Skills!D16-IF(Skills!E16=TRUE,Inputs!$B$32,0))),0)</f>
        <v/>
      </c>
      <c r="R204">
        <f>IF(AND(Inputs!$B$38&lt;&gt;"pvp",Inputs!$B$43&gt;0),IF(Inputs!$B$43&lt;=0,0,(INT(Inputs!$B$43/IF(Inputs!$B$38="pvp",15,MAX(0.1,Skills!D16-IF(Skills!E16=TRUE,Inputs!$B$32,0))))+1)),0)</f>
        <v/>
      </c>
      <c r="S204" t="n">
        <v>0</v>
      </c>
      <c r="U204" t="n">
        <v>0</v>
      </c>
    </row>
    <row r="205">
      <c r="A205">
        <f>Skills!A17</f>
        <v/>
      </c>
      <c r="B205">
        <f>Skills!B17</f>
        <v/>
      </c>
      <c r="C205">
        <f>Inputs!$B$3&gt;=33</f>
        <v/>
      </c>
      <c r="D205">
        <f>IF(Skills!C17=1,60+Inputs!$B$25+Inputs!$B$29,IF(Skills!C17=2,90+Inputs!$B$26+Inputs!$B$29,IF(Skills!C17=3,120+Inputs!$B$27+Inputs!$B$29,MAX(0,(Inputs!$B$3-100)*3)+Inputs!$B$28+Inputs!$B$29)))</f>
        <v/>
      </c>
      <c r="E205">
        <f>INDEX(FactorTable!$B$2:$Y$301, MATCH(ROUND(MIN(300,MAX(1,D205)),0), FactorTable!$A$2:$A$301,0), Skills!L17+1)</f>
        <v/>
      </c>
      <c r="F205">
        <f>IF(Skills!M17=TRUE,(Skills!K17/10)*(E205/1000),Skills!K17/10)+Skills!N17</f>
        <v/>
      </c>
      <c r="G205">
        <f>Calc!G17</f>
        <v/>
      </c>
      <c r="H205">
        <f>Calc!H17</f>
        <v/>
      </c>
      <c r="I205">
        <f>IF(Skills!T17&lt;&gt;"",1+(Skills!T17/10)*(Z191/1000)/100,1)</f>
        <v/>
      </c>
      <c r="J205" t="inlineStr"/>
      <c r="K205" t="inlineStr"/>
      <c r="L205" t="inlineStr"/>
      <c r="M205" t="inlineStr"/>
      <c r="N205" t="inlineStr"/>
      <c r="O205">
        <f>(1-Summary!$B$51)*S205+Summary!$B$51*U205</f>
        <v/>
      </c>
      <c r="P205">
        <f>IF(B224=0,0,O205/B224)</f>
        <v/>
      </c>
      <c r="Q205">
        <f>IFERROR(1/IF(Inputs!$B$38="pvp",15,MAX(0.1,Skills!D17-IF(Skills!E17=TRUE,Inputs!$B$32,0))),0)</f>
        <v/>
      </c>
      <c r="R205" t="n">
        <v>0</v>
      </c>
      <c r="S205" t="n">
        <v>0</v>
      </c>
      <c r="U205" t="n">
        <v>0</v>
      </c>
    </row>
    <row r="206">
      <c r="A206">
        <f>Skills!A18</f>
        <v/>
      </c>
      <c r="B206">
        <f>Skills!B18</f>
        <v/>
      </c>
      <c r="C206">
        <f>Inputs!$B$3&gt;=43</f>
        <v/>
      </c>
      <c r="D206">
        <f>IF(Skills!C18=1,60+Inputs!$B$25+Inputs!$B$29,IF(Skills!C18=2,90+Inputs!$B$26+Inputs!$B$29,IF(Skills!C18=3,120+Inputs!$B$27+Inputs!$B$29,MAX(0,(Inputs!$B$3-100)*3)+Inputs!$B$28+Inputs!$B$29)))</f>
        <v/>
      </c>
      <c r="E206">
        <f>INDEX(FactorTable!$B$2:$Y$301, MATCH(ROUND(MIN(300,MAX(1,D206)),0), FactorTable!$A$2:$A$301,0), Skills!L18+1)</f>
        <v/>
      </c>
      <c r="F206">
        <f>IF(Skills!M18=TRUE,(Skills!K18/10)*(E206/1000),Skills!K18/10)+Skills!N18</f>
        <v/>
      </c>
      <c r="G206">
        <f>Calc!G18</f>
        <v/>
      </c>
      <c r="H206">
        <f>Calc!H18</f>
        <v/>
      </c>
      <c r="I206">
        <f>IF(Skills!T18&lt;&gt;"",1+(Skills!T18/10)*(Z191/1000)/100,1)</f>
        <v/>
      </c>
      <c r="J206" t="inlineStr"/>
      <c r="K206" t="inlineStr"/>
      <c r="L206" t="inlineStr"/>
      <c r="M206" t="inlineStr"/>
      <c r="N206" t="inlineStr"/>
      <c r="O206">
        <f>(1-Summary!$B$51)*S206+Summary!$B$51*U206</f>
        <v/>
      </c>
      <c r="P206">
        <f>IF(B224=0,0,O206/B224)</f>
        <v/>
      </c>
      <c r="Q206">
        <f>IFERROR(1/IF(Inputs!$B$38="pvp",15,MAX(0.1,Skills!D18-IF(Skills!E18=TRUE,Inputs!$B$32,0))),0)</f>
        <v/>
      </c>
      <c r="R206" t="n">
        <v>0</v>
      </c>
      <c r="S206" t="n">
        <v>0</v>
      </c>
      <c r="U206" t="n">
        <v>0</v>
      </c>
    </row>
    <row r="207">
      <c r="A207">
        <f>Skills!A19</f>
        <v/>
      </c>
      <c r="B207">
        <f>Skills!B19</f>
        <v/>
      </c>
      <c r="C207">
        <f>Inputs!$B$3&gt;=50</f>
        <v/>
      </c>
      <c r="D207">
        <f>IF(Skills!C19=1,60+Inputs!$B$25+Inputs!$B$29,IF(Skills!C19=2,90+Inputs!$B$26+Inputs!$B$29,IF(Skills!C19=3,120+Inputs!$B$27+Inputs!$B$29,MAX(0,(Inputs!$B$3-100)*3)+Inputs!$B$28+Inputs!$B$29)))</f>
        <v/>
      </c>
      <c r="E207">
        <f>INDEX(FactorTable!$B$2:$Y$301, MATCH(ROUND(MIN(300,MAX(1,D207)),0), FactorTable!$A$2:$A$301,0), Skills!L19+1)</f>
        <v/>
      </c>
      <c r="F207">
        <f>IF(Skills!M19=TRUE,(Skills!K19/10)*(E207/1000),Skills!K19/10)+Skills!N19</f>
        <v/>
      </c>
      <c r="G207">
        <f>Calc!G19</f>
        <v/>
      </c>
      <c r="H207">
        <f>Calc!H19</f>
        <v/>
      </c>
      <c r="I207">
        <f>IF(Skills!T19&lt;&gt;"",1+(Skills!T19/10)*(Z191/1000)/100,1)</f>
        <v/>
      </c>
      <c r="J207" t="inlineStr"/>
      <c r="K207" t="inlineStr"/>
      <c r="L207" t="inlineStr"/>
      <c r="M207" t="inlineStr"/>
      <c r="N207" t="inlineStr"/>
      <c r="O207">
        <f>(1-Summary!$B$51)*S207+Summary!$B$51*U207</f>
        <v/>
      </c>
      <c r="P207">
        <f>IF(B224=0,0,O207/B224)</f>
        <v/>
      </c>
      <c r="Q207">
        <f>IFERROR(1/IF(Inputs!$B$38="pvp",15,MAX(0.1,Skills!D19-IF(Skills!E19=TRUE,Inputs!$B$32,0))),0)</f>
        <v/>
      </c>
      <c r="R207" t="n">
        <v>0</v>
      </c>
      <c r="S207" t="n">
        <v>0</v>
      </c>
      <c r="U207" t="n">
        <v>0</v>
      </c>
    </row>
    <row r="208">
      <c r="A208">
        <f>Skills!A20</f>
        <v/>
      </c>
      <c r="B208">
        <f>Skills!B20</f>
        <v/>
      </c>
      <c r="C208">
        <f>Inputs!$B$3&gt;=74</f>
        <v/>
      </c>
      <c r="D208">
        <f>IF(Skills!C20=1,60+Inputs!$B$25+Inputs!$B$29,IF(Skills!C20=2,90+Inputs!$B$26+Inputs!$B$29,IF(Skills!C20=3,120+Inputs!$B$27+Inputs!$B$29,MAX(0,(Inputs!$B$3-100)*3)+Inputs!$B$28+Inputs!$B$29)))</f>
        <v/>
      </c>
      <c r="E208">
        <f>INDEX(FactorTable!$B$2:$Y$301, MATCH(ROUND(MIN(300,MAX(1,D208)),0), FactorTable!$A$2:$A$301,0), Skills!L20+1)</f>
        <v/>
      </c>
      <c r="F208">
        <f>IF(Skills!M20=TRUE,(Skills!K20/10)*(E208/1000),Skills!K20/10)+Skills!N20</f>
        <v/>
      </c>
      <c r="G208">
        <f>Calc!G20</f>
        <v/>
      </c>
      <c r="H208">
        <f>Calc!H20</f>
        <v/>
      </c>
      <c r="I208">
        <f>IF(Skills!T20&lt;&gt;"",1+(Skills!T20/10)*(Z191/1000)/100,1)</f>
        <v/>
      </c>
      <c r="J208" t="inlineStr"/>
      <c r="K208" t="inlineStr"/>
      <c r="L208" t="inlineStr"/>
      <c r="M208" t="inlineStr"/>
      <c r="N208" t="inlineStr"/>
      <c r="O208">
        <f>(1-Summary!$B$51)*S208+Summary!$B$51*U208</f>
        <v/>
      </c>
      <c r="P208">
        <f>IF(B224=0,0,O208/B224)</f>
        <v/>
      </c>
      <c r="Q208">
        <f>IFERROR(1/IF(Inputs!$B$38="pvp",15,MAX(0.1,Skills!D20-IF(Skills!E20=TRUE,Inputs!$B$32,0))),0)</f>
        <v/>
      </c>
      <c r="R208" t="n">
        <v>0</v>
      </c>
      <c r="S208" t="n">
        <v>0</v>
      </c>
      <c r="U208" t="n">
        <v>0</v>
      </c>
    </row>
    <row r="209">
      <c r="A209">
        <f>Skills!A21</f>
        <v/>
      </c>
      <c r="B209">
        <f>Skills!B21</f>
        <v/>
      </c>
      <c r="C209">
        <f>Inputs!$B$3&gt;=74</f>
        <v/>
      </c>
      <c r="D209">
        <f>IF(Skills!C21=1,60+Inputs!$B$25+Inputs!$B$29,IF(Skills!C21=2,90+Inputs!$B$26+Inputs!$B$29,IF(Skills!C21=3,120+Inputs!$B$27+Inputs!$B$29,MAX(0,(Inputs!$B$3-100)*3)+Inputs!$B$28+Inputs!$B$29)))</f>
        <v/>
      </c>
      <c r="E209">
        <f>INDEX(FactorTable!$B$2:$Y$301, MATCH(ROUND(MIN(300,MAX(1,D209)),0), FactorTable!$A$2:$A$301,0), Skills!L21+1)</f>
        <v/>
      </c>
      <c r="F209">
        <f>IF(Skills!M21=TRUE,(Skills!K21/10)*(E209/1000),Skills!K21/10)+Skills!N21</f>
        <v/>
      </c>
      <c r="G209">
        <f>Calc!G21</f>
        <v/>
      </c>
      <c r="H209">
        <f>Calc!H21</f>
        <v/>
      </c>
      <c r="I209">
        <f>IF(Skills!T21&lt;&gt;"",1+(Skills!T21/10)*(Z191/1000)/100,1)</f>
        <v/>
      </c>
      <c r="J209" t="inlineStr"/>
      <c r="K209" t="inlineStr"/>
      <c r="L209" t="inlineStr"/>
      <c r="M209" t="inlineStr"/>
      <c r="N209" t="inlineStr"/>
      <c r="O209">
        <f>(1-Summary!$B$51)*S209+Summary!$B$51*U209</f>
        <v/>
      </c>
      <c r="P209">
        <f>IF(B224=0,0,O209/B224)</f>
        <v/>
      </c>
      <c r="Q209">
        <f>IFERROR(1/IF(Inputs!$B$38="pvp",15,MAX(0.1,Skills!D21-IF(Skills!E21=TRUE,Inputs!$B$32,0))),0)</f>
        <v/>
      </c>
      <c r="R209" t="n">
        <v>0</v>
      </c>
      <c r="S209" t="n">
        <v>0</v>
      </c>
      <c r="U209" t="n">
        <v>0</v>
      </c>
    </row>
    <row r="210">
      <c r="A210">
        <f>Skills!A22</f>
        <v/>
      </c>
      <c r="B210">
        <f>Skills!B22</f>
        <v/>
      </c>
      <c r="C210">
        <f>Inputs!$B$3&gt;=117</f>
        <v/>
      </c>
      <c r="D210">
        <f>IF(Skills!C22=1,60+Inputs!$B$25+Inputs!$B$29,IF(Skills!C22=2,90+Inputs!$B$26+Inputs!$B$29,IF(Skills!C22=3,120+Inputs!$B$27+Inputs!$B$29,MAX(0,(Inputs!$B$3-100)*3)+Inputs!$B$28+Inputs!$B$29)))</f>
        <v/>
      </c>
      <c r="E210">
        <f>INDEX(FactorTable!$B$2:$Y$301, MATCH(ROUND(MIN(300,MAX(1,D210)),0), FactorTable!$A$2:$A$301,0), Skills!L22+1)</f>
        <v/>
      </c>
      <c r="F210">
        <f>IF(Skills!M22=TRUE,(Skills!K22/10)*(E210/1000),Skills!K22/10)+Skills!N22</f>
        <v/>
      </c>
      <c r="G210">
        <f>Calc!G22</f>
        <v/>
      </c>
      <c r="H210">
        <f>Calc!H22</f>
        <v/>
      </c>
      <c r="I210">
        <f>IF(Skills!T22&lt;&gt;"",1+(Skills!T22/10)*(Z191/1000)/100,1)</f>
        <v/>
      </c>
      <c r="J210" t="inlineStr"/>
      <c r="K210" t="inlineStr"/>
      <c r="L210" t="inlineStr"/>
      <c r="M210" t="inlineStr"/>
      <c r="N210" t="inlineStr"/>
      <c r="O210">
        <f>(1-Summary!$B$51)*S210+Summary!$B$51*U210</f>
        <v/>
      </c>
      <c r="P210">
        <f>IF(B224=0,0,O210/B224)</f>
        <v/>
      </c>
      <c r="Q210">
        <f>IFERROR(1/IF(Inputs!$B$38="pvp",15,MAX(0.1,Skills!D22-IF(Skills!E22=TRUE,Inputs!$B$32,0))),0)</f>
        <v/>
      </c>
      <c r="R210" t="n">
        <v>0</v>
      </c>
      <c r="S210" t="n">
        <v>0</v>
      </c>
      <c r="U210" t="n">
        <v>0</v>
      </c>
    </row>
    <row r="211">
      <c r="A211">
        <f>Skills!A23</f>
        <v/>
      </c>
      <c r="B211">
        <f>Skills!B23</f>
        <v/>
      </c>
      <c r="C211">
        <f>Inputs!$B$3&gt;=120</f>
        <v/>
      </c>
      <c r="D211">
        <f>IF(Skills!C23=1,60+Inputs!$B$25+Inputs!$B$29,IF(Skills!C23=2,90+Inputs!$B$26+Inputs!$B$29,IF(Skills!C23=3,120+Inputs!$B$27+Inputs!$B$29,MAX(0,(Inputs!$B$3-100)*3)+Inputs!$B$28+Inputs!$B$29)))</f>
        <v/>
      </c>
      <c r="E211">
        <f>INDEX(FactorTable!$B$2:$Y$301, MATCH(ROUND(MIN(300,MAX(1,D211)),0), FactorTable!$A$2:$A$301,0), Skills!L23+1)</f>
        <v/>
      </c>
      <c r="F211">
        <f>IF(Skills!M23=TRUE,(Skills!K23/10)*(E211/1000),Skills!K23/10)+Skills!N23</f>
        <v/>
      </c>
      <c r="G211">
        <f>Calc!G23</f>
        <v/>
      </c>
      <c r="H211">
        <f>Calc!H23</f>
        <v/>
      </c>
      <c r="I211">
        <f>IF(Skills!T23&lt;&gt;"",1+(Skills!T23/10)*(Z191/1000)/100,1)</f>
        <v/>
      </c>
      <c r="J211" t="inlineStr"/>
      <c r="K211" t="inlineStr"/>
      <c r="L211" t="inlineStr"/>
      <c r="M211" t="inlineStr"/>
      <c r="N211" t="inlineStr"/>
      <c r="O211">
        <f>(1-Summary!$B$51)*S211+Summary!$B$51*U211</f>
        <v/>
      </c>
      <c r="P211">
        <f>IF(B224=0,0,O211/B224)</f>
        <v/>
      </c>
      <c r="Q211">
        <f>IFERROR(1/IF(Inputs!$B$38="pvp",15,MAX(0.1,Skills!D23-IF(Skills!E23=TRUE,Inputs!$B$32,0))),0)</f>
        <v/>
      </c>
      <c r="R211" t="n">
        <v>0</v>
      </c>
      <c r="S211" t="n">
        <v>0</v>
      </c>
      <c r="U211" t="n">
        <v>0</v>
      </c>
    </row>
    <row r="214">
      <c r="A214" t="inlineStr">
        <is>
          <t>Average Buff Multiplier (Magic Guard + Meditation, summed; then Infinity)</t>
        </is>
      </c>
      <c r="B214">
        <f>(1+(IF(C191=TRUE,F191*IF(AND(Inputs!$B$38&lt;&gt;"pvp",Inputs!$B$43&gt;0),(((R191-1)*(Skills!S3*(1+(Inputs!$B$34+IF(Inputs!$B$3&gt;=117,F210,0))/100))+MIN((Skills!S3*(1+(Inputs!$B$34+IF(Inputs!$B$3&gt;=117,F210,0))/100)),MAX(0,Inputs!$B$43-((R191-1)*Skills!D3))))/Inputs!$B$43),IF(Inputs!$B$38="pvp",MIN((Skills!S3*(1+(Inputs!$B$34+IF(Inputs!$B$3&gt;=117,F210,0))/100)),15)/15,(Skills!S3*(1+(Inputs!$B$34+IF(Inputs!$B$3&gt;=117,F210,0))/100))/Skills!D3)),0)+IF(C192=TRUE,F192*IF(AND(Inputs!$B$38&lt;&gt;"pvp",Inputs!$B$43&gt;0),(((R192-1)*(Skills!S4*(1+(Inputs!$B$34+IF(Inputs!$B$3&gt;=117,F210,0))/100))+MIN((Skills!S4*(1+(Inputs!$B$34+IF(Inputs!$B$3&gt;=117,F210,0))/100)),MAX(0,Inputs!$B$43-((R192-1)*Skills!D4))))/Inputs!$B$43),IF(Inputs!$B$38="pvp",MIN((Skills!S4*(1+(Inputs!$B$34+IF(Inputs!$B$3&gt;=117,F210,0))/100)),15)/15,(Skills!S4*(1+(Inputs!$B$34+IF(Inputs!$B$3&gt;=117,F210,0))/100))/Skills!D4)),0))/100)*IF(C204=TRUE,(1+F204*IF(AND(Inputs!$B$38&lt;&gt;"pvp",Inputs!$B$43&gt;0),(((R204-1)*(Skills!S16*(1+(Inputs!$B$34+IF(Inputs!$B$3&gt;=117,F210,0))/100))+MIN((Skills!S16*(1+(Inputs!$B$34+IF(Inputs!$B$3&gt;=117,F210,0))/100)),MAX(0,Inputs!$B$43-((R204-1)*Skills!D16))))/Inputs!$B$43),IF(Inputs!$B$38="pvp",MIN((Skills!S16*(1+(Inputs!$B$34+IF(Inputs!$B$3&gt;=117,F210,0))/100)),15)/15,(Skills!S16*(1+(Inputs!$B$34+IF(Inputs!$B$3&gt;=117,F210,0))/100))/Skills!D16))/100),1)</f>
        <v/>
      </c>
    </row>
    <row r="215">
      <c r="A215" t="inlineStr">
        <is>
          <t>Monster Damage Taken Bonus % (Freezing Breath - Weaken + Elemental Reset, summed)</t>
        </is>
      </c>
      <c r="B215">
        <f>IF(Inputs!$B$3&gt;=118,15*IF(Inputs!$B$38="pvp",MIN((30*(1+(Inputs!$B$34+IF(Inputs!$B$3&gt;=117,F210,0))/100)),15)/15,(30*(1+(Inputs!$B$34+IF(Inputs!$B$3&gt;=117,F210,0))/100))/Skills!D8),0)+IF(C202=TRUE,F202,0)</f>
        <v/>
      </c>
    </row>
    <row r="216">
      <c r="A216" t="inlineStr">
        <is>
          <t>Damage % Bonus (Frozen Break + Frost Clutch, flat)</t>
        </is>
      </c>
      <c r="B216">
        <f>IF(Inputs!$B$3&gt;=66,15,0)+IF(Inputs!$B$3&gt;=98,10,0)+IF(Inputs!$B$3&gt;=125,20,0)</f>
        <v/>
      </c>
    </row>
    <row r="217">
      <c r="A217" t="inlineStr">
        <is>
          <t>Attack Speed Bonus % (MP Eater - MP Boost, always-on once unlocked)</t>
        </is>
      </c>
      <c r="B217">
        <f>IF(C201=TRUE,F201+(F205-Calc!F17),0)</f>
        <v/>
      </c>
    </row>
    <row r="218">
      <c r="A218" t="inlineStr">
        <is>
          <t>Actions Per Second</t>
        </is>
      </c>
      <c r="B218">
        <f>1+MIN(150,150*(1-(1-Inputs!$B$11/150)*(1-B217/150)))/100</f>
        <v/>
      </c>
    </row>
    <row r="219">
      <c r="A219" t="inlineStr">
        <is>
          <t>Skill + Buff Cast Rate</t>
        </is>
      </c>
      <c r="B219">
        <f>IF(AND(Inputs!$B$38&lt;&gt;"pvp",Inputs!$B$43&gt;0),SUMPRODUCT((Skills!E2:E23=TRUE)*(C190:C211=TRUE)*R190:R211)/Inputs!$B$43,SUMPRODUCT((Skills!E2:E23=TRUE)*(C190:C211=TRUE)*Q190:Q211))</f>
        <v/>
      </c>
    </row>
    <row r="220">
      <c r="A220" t="inlineStr">
        <is>
          <t>Chain Lightning Casts Per Second</t>
        </is>
      </c>
      <c r="B220">
        <f>MAX(0,B218-B219)</f>
        <v/>
      </c>
    </row>
    <row r="221">
      <c r="A221" t="inlineStr">
        <is>
          <t>Buff-Casting Startup Delay (s, fixed-duration only)</t>
        </is>
      </c>
      <c r="B221">
        <f>IF(AND(Inputs!$B$38&lt;&gt;"pvp",Inputs!$B$43&gt;0),SUMPRODUCT((Skills!S2:S23&gt;0)*(Skills!E2:E23=TRUE)*(C190:C211=TRUE))/B218,0)</f>
        <v/>
      </c>
    </row>
    <row r="222">
      <c r="A222" t="inlineStr">
        <is>
          <t>Boss-Only Total DPS (this block's swept value)</t>
        </is>
      </c>
      <c r="B222">
        <f>SUM(S190:S211)</f>
        <v/>
      </c>
    </row>
    <row r="223">
      <c r="A223" t="inlineStr">
        <is>
          <t>Normal-Only Total DPS (this block's swept value)</t>
        </is>
      </c>
      <c r="B223">
        <f>SUM(U190:U211)</f>
        <v/>
      </c>
    </row>
    <row r="224">
      <c r="A224" s="5" t="inlineStr">
        <is>
          <t>TOTAL DPS</t>
        </is>
      </c>
      <c r="B224" s="5">
        <f>SUM(O190:O211)</f>
        <v/>
      </c>
    </row>
    <row r="227">
      <c r="A227" s="5" t="inlineStr">
        <is>
          <t>Stat: NORMAL_DAMAGE %</t>
        </is>
      </c>
    </row>
    <row r="228">
      <c r="A228" s="9" t="inlineStr">
        <is>
          <t>Key</t>
        </is>
      </c>
      <c r="B228" s="9" t="inlineStr">
        <is>
          <t>Name</t>
        </is>
      </c>
      <c r="C228" s="9" t="inlineStr">
        <is>
          <t>Unlocked</t>
        </is>
      </c>
      <c r="D228" s="9" t="inlineStr">
        <is>
          <t>InputLevel</t>
        </is>
      </c>
      <c r="E228" s="9" t="inlineStr">
        <is>
          <t>Factor</t>
        </is>
      </c>
      <c r="F228" s="9" t="inlineStr">
        <is>
          <t>CoefficientPercent</t>
        </is>
      </c>
      <c r="G228" s="9" t="inlineStr">
        <is>
          <t>EffectiveHits</t>
        </is>
      </c>
      <c r="H228" s="9" t="inlineStr">
        <is>
          <t>ProcProbability</t>
        </is>
      </c>
      <c r="I228" s="9" t="inlineStr">
        <is>
          <t>MapleHeroMultiplier</t>
        </is>
      </c>
      <c r="J228" s="9" t="inlineStr">
        <is>
          <t>BaseDamage</t>
        </is>
      </c>
      <c r="K228" s="9" t="inlineStr">
        <is>
          <t>BaseHitDamage</t>
        </is>
      </c>
      <c r="L228" s="9" t="inlineStr">
        <is>
          <t>NonCritAvg</t>
        </is>
      </c>
      <c r="M228" s="9" t="inlineStr">
        <is>
          <t>CritAvg</t>
        </is>
      </c>
      <c r="N228" s="9" t="inlineStr">
        <is>
          <t>ExpectedDamage(perHit)</t>
        </is>
      </c>
      <c r="O228" s="9" t="inlineStr">
        <is>
          <t>DPS</t>
        </is>
      </c>
      <c r="P228" s="9" t="inlineStr">
        <is>
          <t>% of Total</t>
        </is>
      </c>
      <c r="R228" t="inlineStr">
        <is>
          <t>helpers</t>
        </is>
      </c>
    </row>
    <row r="229">
      <c r="A229">
        <f>Skills!A2</f>
        <v/>
      </c>
      <c r="B229">
        <f>Skills!B2</f>
        <v/>
      </c>
      <c r="C229">
        <f>Inputs!$B$3&gt;=100</f>
        <v/>
      </c>
      <c r="D229" t="inlineStr"/>
      <c r="E229" t="inlineStr"/>
      <c r="F229">
        <f>T231+Skills!N2</f>
        <v/>
      </c>
      <c r="G229">
        <f>Calc!G2</f>
        <v/>
      </c>
      <c r="H229">
        <f>Calc!H2</f>
        <v/>
      </c>
      <c r="I229">
        <f>IF(Skills!T2&lt;&gt;"",1+(Skills!T2/10)*(Z230/1000)/100,1)</f>
        <v/>
      </c>
      <c r="J229">
        <f>((Inputs!$B$6*(1+Inputs!$B$7/100))+(((Inputs!$B$12*(1+Inputs!$B$13/100))-(Inputs!$B$12*(1+Inputs!$B$13/100)))+0.25*(Inputs!$B$14-Inputs!$B$14))*(1+Inputs!$B$7/100))*(F229/100)</f>
        <v/>
      </c>
      <c r="K229">
        <f>J229*(1+((Inputs!$B$12*(1+Inputs!$B$13/100))*0.01+Inputs!$B$14*0.0025)/100)*(1+(Inputs!$B$15+B255)/100)*(1+Inputs!$B$16/100)*(5000/(6000+Inputs!$B$42*(1-Inputs!$B$19/100)))*(1+Inputs!$B$24/100)*(1+IF(C242=TRUE,F242,0)/100)*(1+IF(C250=TRUE,F250,0)/100)^5*(1+(IF(Skills!A2="CHAIN_LIGHTNING",Inputs!$B$17,Inputs!$B$18))/100)*(B253*I229)</f>
        <v/>
      </c>
      <c r="L229">
        <f>K229*(MIN(Inputs!$B$22+(F245-Calc!F18),Inputs!$B$23)/100+Inputs!$B$23/100)/2</f>
        <v/>
      </c>
      <c r="M229">
        <f>L229*(1+(Inputs!$B$10+(F248-Calc!F21))/100)</f>
        <v/>
      </c>
      <c r="N229">
        <f>L229*(1-MIN(Inputs!$B$9+((F247-Calc!F20)+(F246-Calc!F19)),100)/100)+M229*(MIN(Inputs!$B$9+((F247-Calc!F20)+(F246-Calc!F19)),100)/100)</f>
        <v/>
      </c>
      <c r="O229">
        <f>(1-Summary!$B$51)*S229+Summary!$B$51*U229</f>
        <v/>
      </c>
      <c r="P229">
        <f>IF(B263=0,0,O229/B263)</f>
        <v/>
      </c>
      <c r="Q229">
        <f>IFERROR(1/IF(Inputs!$B$38="pvp",15,MAX(0.1,Skills!D2-IF(Skills!E2=TRUE,Inputs!$B$32,0))),0)</f>
        <v/>
      </c>
      <c r="R229" t="n">
        <v>0</v>
      </c>
      <c r="S229">
        <f>IF(C229,(Skills!F2*N229*B259)*IF(Inputs!$B$38="pvp",1,1+(Inputs!$B$20+Skills!O2+B254)/100),0)</f>
        <v/>
      </c>
      <c r="T229">
        <f>MAX(0,(Inputs!$B$3-100)*3)+Inputs!$B$28+Inputs!$B$29</f>
        <v/>
      </c>
      <c r="U229">
        <f>IF(C229,(Skills!F2*N229*B259)*IF(Inputs!$B$38="pvp",1,(1+((Inputs!$B$21+1)+Skills!P2+B254)/100)*(MIN((6+Inputs!$B$33),Inputs!$B$37))),0)</f>
        <v/>
      </c>
      <c r="Z229">
        <f>MAX(0,(Inputs!$B$3-100)*3)+Inputs!$B$28+Inputs!$B$29</f>
        <v/>
      </c>
    </row>
    <row r="230">
      <c r="A230">
        <f>Skills!A3</f>
        <v/>
      </c>
      <c r="B230">
        <f>Skills!B3</f>
        <v/>
      </c>
      <c r="C230">
        <f>Inputs!$B$3&gt;=15</f>
        <v/>
      </c>
      <c r="D230">
        <f>IF(Skills!C3=1,60+Inputs!$B$25+Inputs!$B$29,IF(Skills!C3=2,90+Inputs!$B$26+Inputs!$B$29,IF(Skills!C3=3,120+Inputs!$B$27+Inputs!$B$29,MAX(0,(Inputs!$B$3-100)*3)+Inputs!$B$28+Inputs!$B$29)))</f>
        <v/>
      </c>
      <c r="E230">
        <f>INDEX(FactorTable!$B$2:$Y$301, MATCH(ROUND(MIN(300,MAX(1,D230)),0), FactorTable!$A$2:$A$301,0), Skills!L3+1)</f>
        <v/>
      </c>
      <c r="F230">
        <f>IF(Skills!M3=TRUE,(Skills!K3/10)*(E230/1000),Skills!K3/10)+Skills!N3</f>
        <v/>
      </c>
      <c r="G230">
        <f>Calc!G3</f>
        <v/>
      </c>
      <c r="H230">
        <f>Calc!H3</f>
        <v/>
      </c>
      <c r="I230">
        <f>IF(Skills!T3&lt;&gt;"",1+(Skills!T3/10)*(Z230/1000)/100,1)</f>
        <v/>
      </c>
      <c r="J230" t="inlineStr"/>
      <c r="K230" t="inlineStr"/>
      <c r="L230" t="inlineStr"/>
      <c r="M230" t="inlineStr"/>
      <c r="N230" t="inlineStr"/>
      <c r="O230">
        <f>(1-Summary!$B$51)*S230+Summary!$B$51*U230</f>
        <v/>
      </c>
      <c r="P230">
        <f>IF(B263=0,0,O230/B263)</f>
        <v/>
      </c>
      <c r="Q230">
        <f>IFERROR(1/IF(Inputs!$B$38="pvp",15,MAX(0.1,Skills!D3-IF(Skills!E3=TRUE,Inputs!$B$32,0))),0)</f>
        <v/>
      </c>
      <c r="R230">
        <f>IF(AND(Inputs!$B$38&lt;&gt;"pvp",Inputs!$B$43&gt;0),IF(Inputs!$B$43&lt;=0,0,(INT(Inputs!$B$43/IF(Inputs!$B$38="pvp",15,MAX(0.1,Skills!D3-IF(Skills!E3=TRUE,Inputs!$B$32,0))))+1)),0)</f>
        <v/>
      </c>
      <c r="S230" t="n">
        <v>0</v>
      </c>
      <c r="T230">
        <f>INDEX(FactorTable!$B$2:$Y$301, MATCH(ROUND(MIN(300,MAX(1,T229)),0), FactorTable!$A$2:$A$301,0), 22)</f>
        <v/>
      </c>
      <c r="U230" t="n">
        <v>0</v>
      </c>
      <c r="Z230">
        <f>INDEX(FactorTable!$B$2:$Y$301, MATCH(ROUND(MIN(300,MAX(1,Z229)),0), FactorTable!$A$2:$A$301,0), 24)</f>
        <v/>
      </c>
    </row>
    <row r="231">
      <c r="A231">
        <f>Skills!A4</f>
        <v/>
      </c>
      <c r="B231">
        <f>Skills!B4</f>
        <v/>
      </c>
      <c r="C231">
        <f>Inputs!$B$3&gt;=40</f>
        <v/>
      </c>
      <c r="D231">
        <f>IF(Skills!C4=1,60+Inputs!$B$25+Inputs!$B$29,IF(Skills!C4=2,90+Inputs!$B$26+Inputs!$B$29,IF(Skills!C4=3,120+Inputs!$B$27+Inputs!$B$29,MAX(0,(Inputs!$B$3-100)*3)+Inputs!$B$28+Inputs!$B$29)))</f>
        <v/>
      </c>
      <c r="E231">
        <f>INDEX(FactorTable!$B$2:$Y$301, MATCH(ROUND(MIN(300,MAX(1,D231)),0), FactorTable!$A$2:$A$301,0), Skills!L4+1)</f>
        <v/>
      </c>
      <c r="F231">
        <f>IF(Skills!M4=TRUE,(Skills!K4/10)*(E231/1000),Skills!K4/10)+Skills!N4</f>
        <v/>
      </c>
      <c r="G231">
        <f>Calc!G4</f>
        <v/>
      </c>
      <c r="H231">
        <f>Calc!H4</f>
        <v/>
      </c>
      <c r="I231">
        <f>IF(Skills!T4&lt;&gt;"",1+(Skills!T4/10)*(Z230/1000)/100,1)</f>
        <v/>
      </c>
      <c r="J231" t="inlineStr"/>
      <c r="K231" t="inlineStr"/>
      <c r="L231" t="inlineStr"/>
      <c r="M231" t="inlineStr"/>
      <c r="N231" t="inlineStr"/>
      <c r="O231">
        <f>(1-Summary!$B$51)*S231+Summary!$B$51*U231</f>
        <v/>
      </c>
      <c r="P231">
        <f>IF(B263=0,0,O231/B263)</f>
        <v/>
      </c>
      <c r="Q231">
        <f>IFERROR(1/IF(Inputs!$B$38="pvp",15,MAX(0.1,Skills!D4-IF(Skills!E4=TRUE,Inputs!$B$32,0))),0)</f>
        <v/>
      </c>
      <c r="R231">
        <f>IF(AND(Inputs!$B$38&lt;&gt;"pvp",Inputs!$B$43&gt;0),IF(Inputs!$B$43&lt;=0,0,(INT(Inputs!$B$43/IF(Inputs!$B$38="pvp",15,MAX(0.1,Skills!D4-IF(Skills!E4=TRUE,Inputs!$B$32,0))))+1)),0)</f>
        <v/>
      </c>
      <c r="S231" t="n">
        <v>0</v>
      </c>
      <c r="T231">
        <f>290*T230/1000</f>
        <v/>
      </c>
      <c r="U231" t="n">
        <v>0</v>
      </c>
    </row>
    <row r="232">
      <c r="A232">
        <f>Skills!A5</f>
        <v/>
      </c>
      <c r="B232">
        <f>Skills!B5</f>
        <v/>
      </c>
      <c r="C232">
        <f>Inputs!$B$3&gt;=38</f>
        <v/>
      </c>
      <c r="D232">
        <f>IF(Skills!C5=1,60+Inputs!$B$25+Inputs!$B$29,IF(Skills!C5=2,90+Inputs!$B$26+Inputs!$B$29,IF(Skills!C5=3,120+Inputs!$B$27+Inputs!$B$29,MAX(0,(Inputs!$B$3-100)*3)+Inputs!$B$28+Inputs!$B$29)))</f>
        <v/>
      </c>
      <c r="E232">
        <f>INDEX(FactorTable!$B$2:$Y$301, MATCH(ROUND(MIN(300,MAX(1,D232)),0), FactorTable!$A$2:$A$301,0), Skills!L5+1)</f>
        <v/>
      </c>
      <c r="F232">
        <f>IF(Skills!M5=TRUE,(Skills!K5/10)*(E232/1000),Skills!K5/10)+Skills!N5</f>
        <v/>
      </c>
      <c r="G232">
        <f>Calc!G5</f>
        <v/>
      </c>
      <c r="H232">
        <f>Calc!H5</f>
        <v/>
      </c>
      <c r="I232">
        <f>IF(Skills!T5&lt;&gt;"",1+(Skills!T5/10)*(Z230/1000)/100,1)</f>
        <v/>
      </c>
      <c r="J232">
        <f>((Inputs!$B$6*(1+Inputs!$B$7/100))+(((Inputs!$B$12*(1+Inputs!$B$13/100))-(Inputs!$B$12*(1+Inputs!$B$13/100)))+0.25*(Inputs!$B$14-Inputs!$B$14))*(1+Inputs!$B$7/100))*(F232/100)</f>
        <v/>
      </c>
      <c r="K232">
        <f>J232*(1+((Inputs!$B$12*(1+Inputs!$B$13/100))*0.01+Inputs!$B$14*0.0025)/100)*(1+(Inputs!$B$15+B255)/100)*(1+Inputs!$B$16/100)*(5000/(6000+Inputs!$B$42*(1-Inputs!$B$19/100)))*(1+Inputs!$B$24/100)*(1+IF(C242=TRUE,F242,0)/100)*(1+IF(C250=TRUE,F250,0)/100)^5*(1+(IF(Skills!A5="CHAIN_LIGHTNING",Inputs!$B$17,Inputs!$B$18))/100)*(B253*I232)</f>
        <v/>
      </c>
      <c r="L232">
        <f>K232*(MIN(Inputs!$B$22+(F245-Calc!F18),Inputs!$B$23)/100+Inputs!$B$23/100)/2</f>
        <v/>
      </c>
      <c r="M232">
        <f>L232*(1+(Inputs!$B$10+(F248-Calc!F21))/100)</f>
        <v/>
      </c>
      <c r="N232">
        <f>L232*(1-MIN(Inputs!$B$9+((F247-Calc!F20)+(F246-Calc!F19)),100)/100)+M232*(MIN(Inputs!$B$9+((F247-Calc!F20)+(F246-Calc!F19)),100)/100)</f>
        <v/>
      </c>
      <c r="O232">
        <f>(1-Summary!$B$51)*S232+Summary!$B$51*U232</f>
        <v/>
      </c>
      <c r="P232">
        <f>IF(B263=0,0,O232/B263)</f>
        <v/>
      </c>
      <c r="Q232">
        <f>IFERROR(1/IF(Inputs!$B$38="pvp",15,MAX(0.1,Skills!D5-IF(Skills!E5=TRUE,Inputs!$B$32,0))),0)</f>
        <v/>
      </c>
      <c r="R232">
        <f>IF(AND(Inputs!$B$38&lt;&gt;"pvp",Inputs!$B$43&gt;0),IF(MAX(0,Inputs!$B$43-B260)&lt;=0,0,(INT(MAX(0,Inputs!$B$43-B260)/IF(Inputs!$B$38="pvp",15,MAX(0.1,Skills!D5-IF(Skills!E5=TRUE,Inputs!$B$32,0))))+1)),0)</f>
        <v/>
      </c>
      <c r="S232">
        <f>IF(C232,(H232*N232*IF(AND(Inputs!$B$38&lt;&gt;"pvp",Inputs!$B$43&gt;0),((Skills!F5*((R232-1)*IF(Skills!G5&gt;0,Skills!H5/Skills!G5,1)+IF(Skills!G5&gt;0,MIN(Skills!H5,MAX(0,MAX(0,Inputs!$B$43-B260)-((R232-1)*IF(Inputs!$B$38="pvp",15,MAX(0.1,Skills!D5-IF(Skills!E5=TRUE,Inputs!$B$32,0))))))/Skills!G5,1)))/Inputs!$B$43),G232*Q232))*IF(Inputs!$B$38="pvp",1,1+(Inputs!$B$20+Skills!O5+B254)/100),0)</f>
        <v/>
      </c>
      <c r="U232">
        <f>IF(C232,(H232*N232*IF(AND(Inputs!$B$38&lt;&gt;"pvp",Inputs!$B$43&gt;0),((Skills!F5*((R232-1)*IF(Skills!G5&gt;0,Skills!H5/Skills!G5,1)+IF(Skills!G5&gt;0,MIN(Skills!H5,MAX(0,MAX(0,Inputs!$B$43-B260)-((R232-1)*IF(Inputs!$B$38="pvp",15,MAX(0.1,Skills!D5-IF(Skills!E5=TRUE,Inputs!$B$32,0))))))/Skills!G5,1)))/Inputs!$B$43),G232*Q232))*IF(Inputs!$B$38="pvp",1,(1+((Inputs!$B$21+1)+Skills!P5+B254)/100)*(MIN(Skills!Q5,Inputs!$B$37))),0)</f>
        <v/>
      </c>
    </row>
    <row r="233">
      <c r="A233">
        <f>Skills!A6</f>
        <v/>
      </c>
      <c r="B233">
        <f>Skills!B6</f>
        <v/>
      </c>
      <c r="C233">
        <f>Inputs!$B$3&gt;=63</f>
        <v/>
      </c>
      <c r="D233">
        <f>IF(Skills!C6=1,60+Inputs!$B$25+Inputs!$B$29,IF(Skills!C6=2,90+Inputs!$B$26+Inputs!$B$29,IF(Skills!C6=3,120+Inputs!$B$27+Inputs!$B$29,MAX(0,(Inputs!$B$3-100)*3)+Inputs!$B$28+Inputs!$B$29)))</f>
        <v/>
      </c>
      <c r="E233">
        <f>INDEX(FactorTable!$B$2:$Y$301, MATCH(ROUND(MIN(300,MAX(1,D233)),0), FactorTable!$A$2:$A$301,0), Skills!L6+1)</f>
        <v/>
      </c>
      <c r="F233">
        <f>IF(Skills!M6=TRUE,(Skills!K6/10)*(E233/1000),Skills!K6/10)+Skills!N6</f>
        <v/>
      </c>
      <c r="G233">
        <f>Calc!G6</f>
        <v/>
      </c>
      <c r="H233">
        <f>Calc!H6</f>
        <v/>
      </c>
      <c r="I233">
        <f>IF(Skills!T6&lt;&gt;"",1+(Skills!T6/10)*(Z230/1000)/100,1)</f>
        <v/>
      </c>
      <c r="J233">
        <f>((Inputs!$B$6*(1+Inputs!$B$7/100))+(((Inputs!$B$12*(1+Inputs!$B$13/100))-(Inputs!$B$12*(1+Inputs!$B$13/100)))+0.25*(Inputs!$B$14-Inputs!$B$14))*(1+Inputs!$B$7/100))*(F233/100)</f>
        <v/>
      </c>
      <c r="K233">
        <f>J233*(1+((Inputs!$B$12*(1+Inputs!$B$13/100))*0.01+Inputs!$B$14*0.0025)/100)*(1+(Inputs!$B$15+B255)/100)*(1+Inputs!$B$16/100)*(5000/(6000+Inputs!$B$42*(1-Inputs!$B$19/100)))*(1+Inputs!$B$24/100)*(1+IF(C242=TRUE,F242,0)/100)*(1+IF(C250=TRUE,F250,0)/100)^5*(1+(IF(Skills!A6="CHAIN_LIGHTNING",Inputs!$B$17,Inputs!$B$18))/100)*(B253*I233)</f>
        <v/>
      </c>
      <c r="L233">
        <f>K233*(MIN(Inputs!$B$22+(F245-Calc!F18),Inputs!$B$23)/100+Inputs!$B$23/100)/2</f>
        <v/>
      </c>
      <c r="M233">
        <f>L233*(1+(Inputs!$B$10+(F248-Calc!F21))/100)</f>
        <v/>
      </c>
      <c r="N233">
        <f>L233*(1-MIN(Inputs!$B$9+((F247-Calc!F20)+(F246-Calc!F19)),100)/100)+M233*(MIN(Inputs!$B$9+((F247-Calc!F20)+(F246-Calc!F19)),100)/100)</f>
        <v/>
      </c>
      <c r="O233">
        <f>(1-Summary!$B$51)*S233+Summary!$B$51*U233</f>
        <v/>
      </c>
      <c r="P233">
        <f>IF(B263=0,0,O233/B263)</f>
        <v/>
      </c>
      <c r="Q233">
        <f>IFERROR(1/IF(Inputs!$B$38="pvp",15,MAX(0.1,Skills!D6-IF(Skills!E6=TRUE,Inputs!$B$32,0))),0)</f>
        <v/>
      </c>
      <c r="R233">
        <f>IF(AND(Inputs!$B$38&lt;&gt;"pvp",Inputs!$B$43&gt;0),IF(MAX(0,Inputs!$B$43-B260)&lt;=0,0,(INT(MAX(0,Inputs!$B$43-B260)/IF(Inputs!$B$38="pvp",15,MAX(0.1,Skills!D6-IF(Skills!E6=TRUE,Inputs!$B$32,0))))+1)),0)</f>
        <v/>
      </c>
      <c r="S233">
        <f>IF(C233,(H233*N233*IF(AND(Inputs!$B$38&lt;&gt;"pvp",Inputs!$B$43&gt;0),((Skills!F6*((R233-1)*IF(Skills!G6&gt;0,Skills!H6/Skills!G6,1)+IF(Skills!G6&gt;0,MIN(Skills!H6,MAX(0,MAX(0,Inputs!$B$43-B260)-((R233-1)*IF(Inputs!$B$38="pvp",15,MAX(0.1,Skills!D6-IF(Skills!E6=TRUE,Inputs!$B$32,0))))))/Skills!G6,1)))/Inputs!$B$43),G233*Q233))*IF(Inputs!$B$38="pvp",1,1+(Inputs!$B$20+Skills!O6+B254)/100),0)</f>
        <v/>
      </c>
      <c r="U233">
        <f>IF(C233,(H233*N233*IF(AND(Inputs!$B$38&lt;&gt;"pvp",Inputs!$B$43&gt;0),((Skills!F6*((R233-1)*IF(Skills!G6&gt;0,Skills!H6/Skills!G6,1)+IF(Skills!G6&gt;0,MIN(Skills!H6,MAX(0,MAX(0,Inputs!$B$43-B260)-((R233-1)*IF(Inputs!$B$38="pvp",15,MAX(0.1,Skills!D6-IF(Skills!E6=TRUE,Inputs!$B$32,0))))))/Skills!G6,1)))/Inputs!$B$43),G233*Q233))*IF(Inputs!$B$38="pvp",1,(1+((Inputs!$B$21+1)+Skills!P6+B254)/100)*(MIN(Skills!Q6,Inputs!$B$37))),0)</f>
        <v/>
      </c>
    </row>
    <row r="234">
      <c r="A234">
        <f>Skills!A7</f>
        <v/>
      </c>
      <c r="B234">
        <f>Skills!B7</f>
        <v/>
      </c>
      <c r="C234">
        <f>Inputs!$B$3&gt;=69</f>
        <v/>
      </c>
      <c r="D234">
        <f>IF(Skills!C7=1,60+Inputs!$B$25+Inputs!$B$29,IF(Skills!C7=2,90+Inputs!$B$26+Inputs!$B$29,IF(Skills!C7=3,120+Inputs!$B$27+Inputs!$B$29,MAX(0,(Inputs!$B$3-100)*3)+Inputs!$B$28+Inputs!$B$29)))</f>
        <v/>
      </c>
      <c r="E234">
        <f>INDEX(FactorTable!$B$2:$Y$301, MATCH(ROUND(MIN(300,MAX(1,D234)),0), FactorTable!$A$2:$A$301,0), Skills!L7+1)</f>
        <v/>
      </c>
      <c r="F234">
        <f>IF(Skills!M7=TRUE,(Skills!K7/10)*(E234/1000),Skills!K7/10)+Skills!N7</f>
        <v/>
      </c>
      <c r="G234">
        <f>Calc!G7</f>
        <v/>
      </c>
      <c r="H234">
        <f>Calc!H7</f>
        <v/>
      </c>
      <c r="I234">
        <f>IF(Skills!T7&lt;&gt;"",1+(Skills!T7/10)*(Z230/1000)/100,1)</f>
        <v/>
      </c>
      <c r="J234">
        <f>((Inputs!$B$6*(1+Inputs!$B$7/100))+(((Inputs!$B$12*(1+Inputs!$B$13/100))-(Inputs!$B$12*(1+Inputs!$B$13/100)))+0.25*(Inputs!$B$14-Inputs!$B$14))*(1+Inputs!$B$7/100))*(F234/100)</f>
        <v/>
      </c>
      <c r="K234">
        <f>J234*(1+((Inputs!$B$12*(1+Inputs!$B$13/100))*0.01+Inputs!$B$14*0.0025)/100)*(1+(Inputs!$B$15+B255)/100)*(1+Inputs!$B$16/100)*(5000/(6000+Inputs!$B$42*(1-Inputs!$B$19/100)))*(1+Inputs!$B$24/100)*(1+IF(C242=TRUE,F242,0)/100)*(1+IF(C250=TRUE,F250,0)/100)^5*(1+(IF(Skills!A7="CHAIN_LIGHTNING",Inputs!$B$17,Inputs!$B$18))/100)*(B253*I234)</f>
        <v/>
      </c>
      <c r="L234">
        <f>K234*(MIN(Inputs!$B$22+(F245-Calc!F18),Inputs!$B$23)/100+Inputs!$B$23/100)/2</f>
        <v/>
      </c>
      <c r="M234">
        <f>L234*(1+(Inputs!$B$10+(F248-Calc!F21))/100)</f>
        <v/>
      </c>
      <c r="N234">
        <f>L234*(1-MIN(Inputs!$B$9+((F247-Calc!F20)+(F246-Calc!F19)),100)/100)+M234*(MIN(Inputs!$B$9+((F247-Calc!F20)+(F246-Calc!F19)),100)/100)</f>
        <v/>
      </c>
      <c r="O234">
        <f>(1-Summary!$B$51)*S234+Summary!$B$51*U234</f>
        <v/>
      </c>
      <c r="P234">
        <f>IF(B263=0,0,O234/B263)</f>
        <v/>
      </c>
      <c r="Q234">
        <f>IFERROR(1/IF(Inputs!$B$38="pvp",15,MAX(0.1,Skills!D7-IF(Skills!E7=TRUE,Inputs!$B$32,0))),0)</f>
        <v/>
      </c>
      <c r="R234">
        <f>IF(AND(Inputs!$B$38&lt;&gt;"pvp",Inputs!$B$43&gt;0),IF(MAX(0,Inputs!$B$43-B260)&lt;=0,0,(INT(MAX(0,Inputs!$B$43-B260)/IF(Inputs!$B$38="pvp",15,MAX(0.1,Skills!D7-IF(Skills!E7=TRUE,Inputs!$B$32,0))))+1)),0)</f>
        <v/>
      </c>
      <c r="S234">
        <f>IF(C234,(H234*N234*IF(AND(Inputs!$B$38&lt;&gt;"pvp",Inputs!$B$43&gt;0),((Skills!F7*((R234-1)*IF(Skills!G7&gt;0,Skills!H7/Skills!G7,1)+IF(Skills!G7&gt;0,MIN(Skills!H7,MAX(0,MAX(0,Inputs!$B$43-B260)-((R234-1)*IF(Inputs!$B$38="pvp",15,MAX(0.1,Skills!D7-IF(Skills!E7=TRUE,Inputs!$B$32,0))))))/Skills!G7,1)))/Inputs!$B$43),G234*Q234))*IF(Inputs!$B$38="pvp",1,1+(Inputs!$B$20+Skills!O7+B254)/100),0)</f>
        <v/>
      </c>
      <c r="U234">
        <f>IF(C234,(H234*N234*IF(AND(Inputs!$B$38&lt;&gt;"pvp",Inputs!$B$43&gt;0),((Skills!F7*((R234-1)*IF(Skills!G7&gt;0,Skills!H7/Skills!G7,1)+IF(Skills!G7&gt;0,MIN(Skills!H7,MAX(0,MAX(0,Inputs!$B$43-B260)-((R234-1)*IF(Inputs!$B$38="pvp",15,MAX(0.1,Skills!D7-IF(Skills!E7=TRUE,Inputs!$B$32,0))))))/Skills!G7,1)))/Inputs!$B$43),G234*Q234))*IF(Inputs!$B$38="pvp",1,(1+((Inputs!$B$21+1)+Skills!P7+B254)/100)*(MIN(Skills!Q7,Inputs!$B$37))),0)</f>
        <v/>
      </c>
    </row>
    <row r="235">
      <c r="A235">
        <f>Skills!A8</f>
        <v/>
      </c>
      <c r="B235">
        <f>Skills!B8</f>
        <v/>
      </c>
      <c r="C235">
        <f>Inputs!$B$3&gt;=103</f>
        <v/>
      </c>
      <c r="D235">
        <f>IF(Skills!C8=1,60+Inputs!$B$25+Inputs!$B$29,IF(Skills!C8=2,90+Inputs!$B$26+Inputs!$B$29,IF(Skills!C8=3,120+Inputs!$B$27+Inputs!$B$29,MAX(0,(Inputs!$B$3-100)*3)+Inputs!$B$28+Inputs!$B$29)))</f>
        <v/>
      </c>
      <c r="E235">
        <f>INDEX(FactorTable!$B$2:$Y$301, MATCH(ROUND(MIN(300,MAX(1,D235)),0), FactorTable!$A$2:$A$301,0), Skills!L8+1)</f>
        <v/>
      </c>
      <c r="F235">
        <f>IF(Skills!M8=TRUE,(Skills!K8/10)*(E235/1000),Skills!K8/10)+Skills!N8</f>
        <v/>
      </c>
      <c r="G235">
        <f>Calc!G8</f>
        <v/>
      </c>
      <c r="H235">
        <f>Calc!H8</f>
        <v/>
      </c>
      <c r="I235">
        <f>IF(Skills!T8&lt;&gt;"",1+(Skills!T8/10)*(Z230/1000)/100,1)</f>
        <v/>
      </c>
      <c r="J235">
        <f>((Inputs!$B$6*(1+Inputs!$B$7/100))+(((Inputs!$B$12*(1+Inputs!$B$13/100))-(Inputs!$B$12*(1+Inputs!$B$13/100)))+0.25*(Inputs!$B$14-Inputs!$B$14))*(1+Inputs!$B$7/100))*(F235/100)</f>
        <v/>
      </c>
      <c r="K235">
        <f>J235*(1+((Inputs!$B$12*(1+Inputs!$B$13/100))*0.01+Inputs!$B$14*0.0025)/100)*(1+(Inputs!$B$15+B255)/100)*(1+Inputs!$B$16/100)*(5000/(6000+Inputs!$B$42*(1-Inputs!$B$19/100)))*(1+Inputs!$B$24/100)*(1+IF(C242=TRUE,F242,0)/100)*(1+IF(C250=TRUE,F250,0)/100)^5*(1+(IF(Skills!A8="CHAIN_LIGHTNING",Inputs!$B$17,Inputs!$B$18))/100)*(B253*I235)</f>
        <v/>
      </c>
      <c r="L235">
        <f>K235*(MIN(Inputs!$B$22+(F245-Calc!F18),Inputs!$B$23)/100+Inputs!$B$23/100)/2</f>
        <v/>
      </c>
      <c r="M235">
        <f>L235*(1+(Inputs!$B$10+(F248-Calc!F21))/100)</f>
        <v/>
      </c>
      <c r="N235">
        <f>L235*(1-MIN(Inputs!$B$9+((F247-Calc!F20)+(F246-Calc!F19)),100)/100)+M235*(MIN(Inputs!$B$9+((F247-Calc!F20)+(F246-Calc!F19)),100)/100)</f>
        <v/>
      </c>
      <c r="O235">
        <f>(1-Summary!$B$51)*S235+Summary!$B$51*U235</f>
        <v/>
      </c>
      <c r="P235">
        <f>IF(B263=0,0,O235/B263)</f>
        <v/>
      </c>
      <c r="Q235">
        <f>IFERROR(1/IF(Inputs!$B$38="pvp",15,MAX(0.1,Skills!D8-IF(Skills!E8=TRUE,Inputs!$B$32,0))),0)</f>
        <v/>
      </c>
      <c r="R235">
        <f>IF(AND(Inputs!$B$38&lt;&gt;"pvp",Inputs!$B$43&gt;0),IF(MAX(0,Inputs!$B$43-B260)&lt;=0,0,(INT(MAX(0,Inputs!$B$43-B260)/IF(Inputs!$B$38="pvp",15,MAX(0.1,Skills!D8-IF(Skills!E8=TRUE,Inputs!$B$32,0))))+1)),0)</f>
        <v/>
      </c>
      <c r="S235">
        <f>IF(C235,(H235*N235*IF(AND(Inputs!$B$38&lt;&gt;"pvp",Inputs!$B$43&gt;0),((Skills!F8*((R235-1)*IF(Skills!G8&gt;0,Skills!H8/Skills!G8,1)+IF(Skills!G8&gt;0,MIN(Skills!H8,MAX(0,MAX(0,Inputs!$B$43-B260)-((R235-1)*IF(Inputs!$B$38="pvp",15,MAX(0.1,Skills!D8-IF(Skills!E8=TRUE,Inputs!$B$32,0))))))/Skills!G8,1)))/Inputs!$B$43),G235*Q235))*IF(Inputs!$B$38="pvp",1,1+(Inputs!$B$20+Skills!O8+B254)/100),0)</f>
        <v/>
      </c>
      <c r="U235">
        <f>IF(C235,(H235*N235*IF(AND(Inputs!$B$38&lt;&gt;"pvp",Inputs!$B$43&gt;0),((Skills!F8*((R235-1)*IF(Skills!G8&gt;0,Skills!H8/Skills!G8,1)+IF(Skills!G8&gt;0,MIN(Skills!H8,MAX(0,MAX(0,Inputs!$B$43-B260)-((R235-1)*IF(Inputs!$B$38="pvp",15,MAX(0.1,Skills!D8-IF(Skills!E8=TRUE,Inputs!$B$32,0))))))/Skills!G8,1)))/Inputs!$B$43),G235*Q235))*IF(Inputs!$B$38="pvp",1,(1+((Inputs!$B$21+1)+Skills!P8+B254)/100)*(MIN(Skills!Q8,Inputs!$B$37))),0)</f>
        <v/>
      </c>
    </row>
    <row r="236">
      <c r="A236">
        <f>Skills!A9</f>
        <v/>
      </c>
      <c r="B236">
        <f>Skills!B9</f>
        <v/>
      </c>
      <c r="C236">
        <f>Inputs!$B$3&gt;=105</f>
        <v/>
      </c>
      <c r="D236">
        <f>IF(Skills!C9=1,60+Inputs!$B$25+Inputs!$B$29,IF(Skills!C9=2,90+Inputs!$B$26+Inputs!$B$29,IF(Skills!C9=3,120+Inputs!$B$27+Inputs!$B$29,MAX(0,(Inputs!$B$3-100)*3)+Inputs!$B$28+Inputs!$B$29)))</f>
        <v/>
      </c>
      <c r="E236">
        <f>INDEX(FactorTable!$B$2:$Y$301, MATCH(ROUND(MIN(300,MAX(1,D236)),0), FactorTable!$A$2:$A$301,0), Skills!L9+1)</f>
        <v/>
      </c>
      <c r="F236">
        <f>IF(Skills!M9=TRUE,(Skills!K9/10)*(E236/1000),Skills!K9/10)+Skills!N9</f>
        <v/>
      </c>
      <c r="G236">
        <f>Calc!G9</f>
        <v/>
      </c>
      <c r="H236">
        <f>Calc!H9</f>
        <v/>
      </c>
      <c r="I236">
        <f>IF(Skills!T9&lt;&gt;"",1+(Skills!T9/10)*(Z230/1000)/100,1)</f>
        <v/>
      </c>
      <c r="J236">
        <f>((Inputs!$B$6*(1+Inputs!$B$7/100))+(((Inputs!$B$12*(1+Inputs!$B$13/100))-(Inputs!$B$12*(1+Inputs!$B$13/100)))+0.25*(Inputs!$B$14-Inputs!$B$14))*(1+Inputs!$B$7/100))*(F236/100)</f>
        <v/>
      </c>
      <c r="K236">
        <f>J236*(1+((Inputs!$B$12*(1+Inputs!$B$13/100))*0.01+Inputs!$B$14*0.0025)/100)*(1+(Inputs!$B$15+B255)/100)*(1+Inputs!$B$16/100)*(5000/(6000+Inputs!$B$42*(1-Inputs!$B$19/100)))*(1+Inputs!$B$24/100)*(1+IF(C242=TRUE,F242,0)/100)*(1+IF(C250=TRUE,F250,0)/100)^5*(1+(IF(Skills!A9="CHAIN_LIGHTNING",Inputs!$B$17,Inputs!$B$18))/100)*(B253*I236)</f>
        <v/>
      </c>
      <c r="L236">
        <f>K236*(MIN(Inputs!$B$22+(F245-Calc!F18),Inputs!$B$23)/100+Inputs!$B$23/100)/2</f>
        <v/>
      </c>
      <c r="M236">
        <f>L236*(1+(Inputs!$B$10+(F248-Calc!F21))/100)</f>
        <v/>
      </c>
      <c r="N236">
        <f>L236*(1-MIN(Inputs!$B$9+((F247-Calc!F20)+(F246-Calc!F19)),100)/100)+M236*(MIN(Inputs!$B$9+((F247-Calc!F20)+(F246-Calc!F19)),100)/100)</f>
        <v/>
      </c>
      <c r="O236">
        <f>(1-Summary!$B$51)*S236+Summary!$B$51*U236</f>
        <v/>
      </c>
      <c r="P236">
        <f>IF(B263=0,0,O236/B263)</f>
        <v/>
      </c>
      <c r="Q236">
        <f>IFERROR(1/IF(Inputs!$B$38="pvp",15,MAX(0.1,Skills!D9-IF(Skills!E9=TRUE,Inputs!$B$32,0))),0)</f>
        <v/>
      </c>
      <c r="R236">
        <f>IF(AND(Inputs!$B$38&lt;&gt;"pvp",Inputs!$B$43&gt;0),IF(MAX(0,Inputs!$B$43-B260)&lt;=0,0,(INT(MAX(0,Inputs!$B$43-B260)/IF(Inputs!$B$38="pvp",15,MAX(0.1,Skills!D9-IF(Skills!E9=TRUE,Inputs!$B$32,0))))+1)),0)</f>
        <v/>
      </c>
      <c r="S236">
        <f>IF(C236,(H236*N236*IF(AND(Inputs!$B$38&lt;&gt;"pvp",Inputs!$B$43&gt;0),((Skills!F9*((R236-1)*IF(Skills!G9&gt;0,Skills!H9/Skills!G9,1)+IF(Skills!G9&gt;0,MIN(Skills!H9,MAX(0,MAX(0,Inputs!$B$43-B260)-((R236-1)*IF(Inputs!$B$38="pvp",15,MAX(0.1,Skills!D9-IF(Skills!E9=TRUE,Inputs!$B$32,0))))))/Skills!G9,1)))/Inputs!$B$43),G236*Q236))*IF(Inputs!$B$38="pvp",1,1+(Inputs!$B$20+Skills!O9+B254)/100),0)</f>
        <v/>
      </c>
      <c r="U236">
        <f>IF(C236,(H236*N236*IF(AND(Inputs!$B$38&lt;&gt;"pvp",Inputs!$B$43&gt;0),((Skills!F9*((R236-1)*IF(Skills!G9&gt;0,Skills!H9/Skills!G9,1)+IF(Skills!G9&gt;0,MIN(Skills!H9,MAX(0,MAX(0,Inputs!$B$43-B260)-((R236-1)*IF(Inputs!$B$38="pvp",15,MAX(0.1,Skills!D9-IF(Skills!E9=TRUE,Inputs!$B$32,0))))))/Skills!G9,1)))/Inputs!$B$43),G236*Q236))*IF(Inputs!$B$38="pvp",1,(1+((Inputs!$B$21+1)+Skills!P9+B254)/100)*(MIN(Skills!Q9,Inputs!$B$37))),0)</f>
        <v/>
      </c>
    </row>
    <row r="237">
      <c r="A237">
        <f>Skills!A10</f>
        <v/>
      </c>
      <c r="B237">
        <f>Skills!B10</f>
        <v/>
      </c>
      <c r="C237">
        <f>Inputs!$B$3&gt;=113</f>
        <v/>
      </c>
      <c r="D237">
        <f>IF(Skills!C10=1,60+Inputs!$B$25+Inputs!$B$29,IF(Skills!C10=2,90+Inputs!$B$26+Inputs!$B$29,IF(Skills!C10=3,120+Inputs!$B$27+Inputs!$B$29,MAX(0,(Inputs!$B$3-100)*3)+Inputs!$B$28+Inputs!$B$29)))</f>
        <v/>
      </c>
      <c r="E237">
        <f>INDEX(FactorTable!$B$2:$Y$301, MATCH(ROUND(MIN(300,MAX(1,D237)),0), FactorTable!$A$2:$A$301,0), Skills!L10+1)</f>
        <v/>
      </c>
      <c r="F237">
        <f>IF(Skills!M10=TRUE,(Skills!K10/10)*(E237/1000),Skills!K10/10)+Skills!N10</f>
        <v/>
      </c>
      <c r="G237">
        <f>Calc!G10</f>
        <v/>
      </c>
      <c r="H237">
        <f>Calc!H10</f>
        <v/>
      </c>
      <c r="I237">
        <f>IF(Skills!T10&lt;&gt;"",1+(Skills!T10/10)*(Z230/1000)/100,1)</f>
        <v/>
      </c>
      <c r="J237">
        <f>((Inputs!$B$6*(1+Inputs!$B$7/100))+(((Inputs!$B$12*(1+Inputs!$B$13/100))-(Inputs!$B$12*(1+Inputs!$B$13/100)))+0.25*(Inputs!$B$14-Inputs!$B$14))*(1+Inputs!$B$7/100))*(F237/100)</f>
        <v/>
      </c>
      <c r="K237">
        <f>J237*(1+((Inputs!$B$12*(1+Inputs!$B$13/100))*0.01+Inputs!$B$14*0.0025)/100)*(1+(Inputs!$B$15+B255)/100)*(1+Inputs!$B$16/100)*(5000/(6000+Inputs!$B$42*(1-Inputs!$B$19/100)))*(1+Inputs!$B$24/100)*(1+IF(C242=TRUE,F242,0)/100)*(1+IF(C250=TRUE,F250,0)/100)^5*(1+(IF(Skills!A10="CHAIN_LIGHTNING",Inputs!$B$17,Inputs!$B$18))/100)*(B253*I237)</f>
        <v/>
      </c>
      <c r="L237">
        <f>K237*(MIN(Inputs!$B$22+(F245-Calc!F18),Inputs!$B$23)/100+Inputs!$B$23/100)/2</f>
        <v/>
      </c>
      <c r="M237">
        <f>L237*(1+(Inputs!$B$10+(F248-Calc!F21))/100)</f>
        <v/>
      </c>
      <c r="N237">
        <f>L237*(1-MIN(Inputs!$B$9+((F247-Calc!F20)+(F246-Calc!F19)),100)/100)+M237*(MIN(Inputs!$B$9+((F247-Calc!F20)+(F246-Calc!F19)),100)/100)</f>
        <v/>
      </c>
      <c r="O237">
        <f>(1-Summary!$B$51)*S237+Summary!$B$51*U237</f>
        <v/>
      </c>
      <c r="P237">
        <f>IF(B263=0,0,O237/B263)</f>
        <v/>
      </c>
      <c r="Q237">
        <f>IFERROR(1/IF(Inputs!$B$38="pvp",15,MAX(0.1,Skills!D10-IF(Skills!E9=TRUE,Inputs!$B$32,0))),0)</f>
        <v/>
      </c>
      <c r="R237">
        <f>IF(AND(Inputs!$B$38&lt;&gt;"pvp",Inputs!$B$43&gt;0),IF(MAX(0,Inputs!$B$43-B260)&lt;=0,0,(INT(MAX(0,Inputs!$B$43-B260)/IF(Inputs!$B$38="pvp",15,MAX(0.1,Skills!D10-IF(Skills!E9=TRUE,Inputs!$B$32,0))))+1)),0)</f>
        <v/>
      </c>
      <c r="S237">
        <f>IF(C237,(H237*N237*IF(AND(Inputs!$B$38&lt;&gt;"pvp",Inputs!$B$43&gt;0),((Skills!F10*((R237-1)*IF(Skills!G10&gt;0,Skills!H10/Skills!G10,1)+IF(Skills!G10&gt;0,MIN(Skills!H10,MAX(0,MAX(0,Inputs!$B$43-B260)-((R237-1)*IF(Inputs!$B$38="pvp",15,MAX(0.1,Skills!D10-IF(Skills!E9=TRUE,Inputs!$B$32,0))))))/Skills!G10,1)))/Inputs!$B$43),G237*Q237))*IF(Inputs!$B$38="pvp",1,1+(Inputs!$B$20+Skills!O10+B254)/100),0)</f>
        <v/>
      </c>
      <c r="U237">
        <f>IF(C237,(H237*N237*IF(AND(Inputs!$B$38&lt;&gt;"pvp",Inputs!$B$43&gt;0),((Skills!F10*((R237-1)*IF(Skills!G10&gt;0,Skills!H10/Skills!G10,1)+IF(Skills!G10&gt;0,MIN(Skills!H10,MAX(0,MAX(0,Inputs!$B$43-B260)-((R237-1)*IF(Inputs!$B$38="pvp",15,MAX(0.1,Skills!D10-IF(Skills!E9=TRUE,Inputs!$B$32,0))))))/Skills!G10,1)))/Inputs!$B$43),G237*Q237))*IF(Inputs!$B$38="pvp",1,(1+((Inputs!$B$21+1)+Skills!P10+B254)/100)*(MIN(Skills!Q10,Inputs!$B$37))),0)</f>
        <v/>
      </c>
    </row>
    <row r="238">
      <c r="A238">
        <f>Skills!A11</f>
        <v/>
      </c>
      <c r="B238">
        <f>Skills!B11</f>
        <v/>
      </c>
      <c r="C238">
        <f>Inputs!$B$3&gt;=107</f>
        <v/>
      </c>
      <c r="D238">
        <f>IF(Skills!C11=1,60+Inputs!$B$25+Inputs!$B$29,IF(Skills!C11=2,90+Inputs!$B$26+Inputs!$B$29,IF(Skills!C11=3,120+Inputs!$B$27+Inputs!$B$29,MAX(0,(Inputs!$B$3-100)*3)+Inputs!$B$28+Inputs!$B$29)))</f>
        <v/>
      </c>
      <c r="E238">
        <f>INDEX(FactorTable!$B$2:$Y$301, MATCH(ROUND(MIN(300,MAX(1,D238)),0), FactorTable!$A$2:$A$301,0), Skills!L11+1)</f>
        <v/>
      </c>
      <c r="F238">
        <f>IF(Skills!M11=TRUE,(Skills!K11/10)*(E238/1000),Skills!K11/10)+Skills!N11</f>
        <v/>
      </c>
      <c r="G238">
        <f>Calc!G11</f>
        <v/>
      </c>
      <c r="H238">
        <f>Calc!H11</f>
        <v/>
      </c>
      <c r="I238">
        <f>IF(Skills!T11&lt;&gt;"",1+(Skills!T11/10)*(Z230/1000)/100,1)</f>
        <v/>
      </c>
      <c r="J238">
        <f>((Inputs!$B$6*(1+Inputs!$B$7/100))+(((Inputs!$B$12*(1+Inputs!$B$13/100))-(Inputs!$B$12*(1+Inputs!$B$13/100)))+0.25*(Inputs!$B$14-Inputs!$B$14))*(1+Inputs!$B$7/100))*(F238/100)</f>
        <v/>
      </c>
      <c r="K238">
        <f>J238*(1+((Inputs!$B$12*(1+Inputs!$B$13/100))*0.01+Inputs!$B$14*0.0025)/100)*(1+(Inputs!$B$15+B255)/100)*(1+Inputs!$B$16/100)*(5000/(6000+Inputs!$B$42*(1-Inputs!$B$19/100)))*(1+Inputs!$B$24/100)*(1+IF(C242=TRUE,F242,0)/100)*(1+IF(C250=TRUE,F250,0)/100)^5*(1+(IF(Skills!A11="CHAIN_LIGHTNING",Inputs!$B$17,Inputs!$B$18))/100)*(B253*I238)</f>
        <v/>
      </c>
      <c r="L238">
        <f>K238*(MIN(Inputs!$B$22+(F245-Calc!F18),Inputs!$B$23)/100+Inputs!$B$23/100)/2</f>
        <v/>
      </c>
      <c r="M238">
        <f>L238*(1+(Inputs!$B$10+(F248-Calc!F21))/100)</f>
        <v/>
      </c>
      <c r="N238">
        <f>L238*(1-MIN(Inputs!$B$9+((F247-Calc!F20)+(F246-Calc!F19)),100)/100)+M238*(MIN(Inputs!$B$9+((F247-Calc!F20)+(F246-Calc!F19)),100)/100)</f>
        <v/>
      </c>
      <c r="O238">
        <f>(1-Summary!$B$51)*S238+Summary!$B$51*U238</f>
        <v/>
      </c>
      <c r="P238">
        <f>IF(B263=0,0,O238/B263)</f>
        <v/>
      </c>
      <c r="Q238">
        <f>IFERROR(1/IF(Inputs!$B$38="pvp",15,MAX(0.1,Skills!D11-IF(Skills!E11=TRUE,Inputs!$B$32,0))),0)</f>
        <v/>
      </c>
      <c r="R238">
        <f>IF(AND(Inputs!$B$38&lt;&gt;"pvp",Inputs!$B$43&gt;0),IF(MAX(0,Inputs!$B$43-B260)&lt;=0,0,(INT(MAX(0,Inputs!$B$43-B260)/IF(Inputs!$B$38="pvp",15,MAX(0.1,Skills!D11-IF(Skills!E11=TRUE,Inputs!$B$32,0))))+1)),0)</f>
        <v/>
      </c>
      <c r="S238">
        <f>IF(C238,H238*N238*IF(AND(Inputs!$B$38&lt;&gt;"pvp",Inputs!$B$43&gt;0),((Skills!F11*((R238-1)*IF(Skills!G11&gt;0,Skills!H11/Skills!G11,1)+IF(Skills!G11&gt;0,MIN(Skills!H11,MAX(0,MAX(0,Inputs!$B$43-B260)-((R238-1)*IF(Inputs!$B$38="pvp",15,MAX(0.1,Skills!D11-IF(Skills!E11=TRUE,Inputs!$B$32,0))))))/Skills!G11,1)))/Inputs!$B$43),G238*Q238)*0.5*IF(Inputs!$B$38="pvp",1,1+(Inputs!$B$20+Skills!O11+B254)/100),0)</f>
        <v/>
      </c>
      <c r="U238">
        <f>IF(C238,H238*N238*IF(AND(Inputs!$B$38&lt;&gt;"pvp",Inputs!$B$43&gt;0),((Skills!F11*((R238-1)*IF(Skills!G11&gt;0,Skills!H11/Skills!G11,1)+IF(Skills!G11&gt;0,MIN(Skills!H11,MAX(0,MAX(0,Inputs!$B$43-B260)-((R238-1)*IF(Inputs!$B$38="pvp",15,MAX(0.1,Skills!D11-IF(Skills!E11=TRUE,Inputs!$B$32,0))))))/Skills!G11,1)))/Inputs!$B$43),G238*Q238)*1*IF(Inputs!$B$38="pvp",1,(1+((Inputs!$B$21+1)+Skills!P11+B254)/100)*(MIN(Skills!Q11,Inputs!$B$37))),0)</f>
        <v/>
      </c>
    </row>
    <row r="239">
      <c r="A239">
        <f>Skills!A12</f>
        <v/>
      </c>
      <c r="B239">
        <f>Skills!B12</f>
        <v/>
      </c>
      <c r="C239">
        <f>Inputs!$B$3&gt;=115</f>
        <v/>
      </c>
      <c r="D239">
        <f>IF(Skills!C12=1,60+Inputs!$B$25+Inputs!$B$29,IF(Skills!C12=2,90+Inputs!$B$26+Inputs!$B$29,IF(Skills!C12=3,120+Inputs!$B$27+Inputs!$B$29,MAX(0,(Inputs!$B$3-100)*3)+Inputs!$B$28+Inputs!$B$29)))</f>
        <v/>
      </c>
      <c r="E239">
        <f>INDEX(FactorTable!$B$2:$Y$301, MATCH(ROUND(MIN(300,MAX(1,D239)),0), FactorTable!$A$2:$A$301,0), Skills!L12+1)</f>
        <v/>
      </c>
      <c r="F239">
        <f>IF(Skills!M12=TRUE,(Skills!K12/10)*(E239/1000),Skills!K12/10)+Skills!N12</f>
        <v/>
      </c>
      <c r="G239">
        <f>Calc!G12</f>
        <v/>
      </c>
      <c r="H239">
        <f>Calc!H12</f>
        <v/>
      </c>
      <c r="I239">
        <f>IF(Skills!T12&lt;&gt;"",1+(Skills!T12/10)*(Z230/1000)/100,1)</f>
        <v/>
      </c>
      <c r="J239">
        <f>((Inputs!$B$6*(1+Inputs!$B$7/100))+(((Inputs!$B$12*(1+Inputs!$B$13/100))-(Inputs!$B$12*(1+Inputs!$B$13/100)))+0.25*(Inputs!$B$14-Inputs!$B$14))*(1+Inputs!$B$7/100))*(F239/100)</f>
        <v/>
      </c>
      <c r="K239">
        <f>J239*(1+((Inputs!$B$12*(1+Inputs!$B$13/100))*0.01+Inputs!$B$14*0.0025)/100)*(1+(Inputs!$B$15+B255)/100)*(1+Inputs!$B$16/100)*(5000/(6000+Inputs!$B$42*(1-Inputs!$B$19/100)))*(1+Inputs!$B$24/100)*(1+IF(C242=TRUE,F242,0)/100)*(1+IF(C250=TRUE,F250,0)/100)^5*(1+(IF(Skills!A12="CHAIN_LIGHTNING",Inputs!$B$17,Inputs!$B$18))/100)*(B253*I239)</f>
        <v/>
      </c>
      <c r="L239">
        <f>K239*(MIN(Inputs!$B$22+(F245-Calc!F18),Inputs!$B$23)/100+Inputs!$B$23/100)/2</f>
        <v/>
      </c>
      <c r="M239">
        <f>L239*(1+(Inputs!$B$10+(F248-Calc!F21))/100)</f>
        <v/>
      </c>
      <c r="N239">
        <f>L239*(1-MIN(Inputs!$B$9+((F247-Calc!F20)+(F246-Calc!F19)),100)/100)+M239*(MIN(Inputs!$B$9+((F247-Calc!F20)+(F246-Calc!F19)),100)/100)</f>
        <v/>
      </c>
      <c r="O239">
        <f>(1-Summary!$B$51)*S239+Summary!$B$51*U239</f>
        <v/>
      </c>
      <c r="P239">
        <f>IF(B263=0,0,O239/B263)</f>
        <v/>
      </c>
      <c r="Q239">
        <f>IFERROR(1/IF(Inputs!$B$38="pvp",15,MAX(0.1,Skills!D12-IF(Skills!E12=TRUE,Inputs!$B$32,0))),0)</f>
        <v/>
      </c>
      <c r="R239">
        <f>IF(AND(Inputs!$B$38&lt;&gt;"pvp",Inputs!$B$43&gt;0),IF(MAX(0,Inputs!$B$43-B260)&lt;=0,0,(INT(MAX(0,Inputs!$B$43-B260)/IF(Inputs!$B$38="pvp",15,MAX(0.1,Skills!D12-IF(Skills!E12=TRUE,Inputs!$B$32,0))))+1)),0)</f>
        <v/>
      </c>
      <c r="S239">
        <f>IF(C239,(H239*N239*IF(AND(Inputs!$B$38&lt;&gt;"pvp",Inputs!$B$43&gt;0),((Skills!F12*((R239-1)*IF(Skills!G12&gt;0,Skills!H12/Skills!G12,1)+IF(Skills!G12&gt;0,MIN(Skills!H12,MAX(0,MAX(0,Inputs!$B$43-B260)-((R239-1)*IF(Inputs!$B$38="pvp",15,MAX(0.1,Skills!D12-IF(Skills!E12=TRUE,Inputs!$B$32,0))))))/Skills!G12,1)))/Inputs!$B$43),G239*Q239))*IF(Inputs!$B$38="pvp",1,1+(Inputs!$B$20+Skills!O12+B254)/100),0)</f>
        <v/>
      </c>
      <c r="U239">
        <f>IF(C239,(H239*N239*IF(AND(Inputs!$B$38&lt;&gt;"pvp",Inputs!$B$43&gt;0),((Skills!F12*((R239-1)*IF(Skills!G12&gt;0,Skills!H12/Skills!G12,1)+IF(Skills!G12&gt;0,MIN(Skills!H12,MAX(0,MAX(0,Inputs!$B$43-B260)-((R239-1)*IF(Inputs!$B$38="pvp",15,MAX(0.1,Skills!D12-IF(Skills!E12=TRUE,Inputs!$B$32,0))))))/Skills!G12,1)))/Inputs!$B$43),G239*Q239))*IF(Inputs!$B$38="pvp",1,(1+((Inputs!$B$21+1)+Skills!P12+B254)/100)*(MIN(Skills!Q12,Inputs!$B$37))),0)</f>
        <v/>
      </c>
    </row>
    <row r="240">
      <c r="A240">
        <f>Skills!A13</f>
        <v/>
      </c>
      <c r="B240">
        <f>Skills!B13</f>
        <v/>
      </c>
      <c r="C240">
        <f>Inputs!$B$3&gt;=49</f>
        <v/>
      </c>
      <c r="D240">
        <f>IF(Skills!C13=1,60+Inputs!$B$25+Inputs!$B$29,IF(Skills!C13=2,90+Inputs!$B$26+Inputs!$B$29,IF(Skills!C13=3,120+Inputs!$B$27+Inputs!$B$29,MAX(0,(Inputs!$B$3-100)*3)+Inputs!$B$28+Inputs!$B$29)))</f>
        <v/>
      </c>
      <c r="E240">
        <f>INDEX(FactorTable!$B$2:$Y$301, MATCH(ROUND(MIN(300,MAX(1,D240)),0), FactorTable!$A$2:$A$301,0), Skills!L13+1)</f>
        <v/>
      </c>
      <c r="F240">
        <f>IF(Skills!M13=TRUE,(Skills!K13/10)*(E240/1000),Skills!K13/10)+Skills!N13</f>
        <v/>
      </c>
      <c r="G240">
        <f>Calc!G13</f>
        <v/>
      </c>
      <c r="H240">
        <f>Calc!H13</f>
        <v/>
      </c>
      <c r="I240">
        <f>IF(Skills!T13&lt;&gt;"",1+(Skills!T13/10)*(Z230/1000)/100,1)</f>
        <v/>
      </c>
      <c r="J240" t="inlineStr"/>
      <c r="K240" t="inlineStr"/>
      <c r="L240" t="inlineStr"/>
      <c r="M240" t="inlineStr"/>
      <c r="N240" t="inlineStr"/>
      <c r="O240">
        <f>(1-Summary!$B$51)*S240+Summary!$B$51*U240</f>
        <v/>
      </c>
      <c r="P240">
        <f>IF(B263=0,0,O240/B263)</f>
        <v/>
      </c>
      <c r="Q240">
        <f>IFERROR(1/IF(Inputs!$B$38="pvp",15,MAX(0.1,Skills!D13-IF(Skills!E13=TRUE,Inputs!$B$32,0))),0)</f>
        <v/>
      </c>
      <c r="R240" t="n">
        <v>0</v>
      </c>
      <c r="S240" t="n">
        <v>0</v>
      </c>
      <c r="U240" t="n">
        <v>0</v>
      </c>
    </row>
    <row r="241">
      <c r="A241">
        <f>Skills!A14</f>
        <v/>
      </c>
      <c r="B241">
        <f>Skills!B14</f>
        <v/>
      </c>
      <c r="C241">
        <f>Inputs!$B$3&gt;=72</f>
        <v/>
      </c>
      <c r="D241">
        <f>IF(Skills!C14=1,60+Inputs!$B$25+Inputs!$B$29,IF(Skills!C14=2,90+Inputs!$B$26+Inputs!$B$29,IF(Skills!C14=3,120+Inputs!$B$27+Inputs!$B$29,MAX(0,(Inputs!$B$3-100)*3)+Inputs!$B$28+Inputs!$B$29)))</f>
        <v/>
      </c>
      <c r="E241">
        <f>INDEX(FactorTable!$B$2:$Y$301, MATCH(ROUND(MIN(300,MAX(1,D241)),0), FactorTable!$A$2:$A$301,0), Skills!L14+1)</f>
        <v/>
      </c>
      <c r="F241">
        <f>IF(Skills!M14=TRUE,(Skills!K14/10)*(E241/1000),Skills!K14/10)+Skills!N14</f>
        <v/>
      </c>
      <c r="G241">
        <f>Calc!G14</f>
        <v/>
      </c>
      <c r="H241">
        <f>Calc!H14</f>
        <v/>
      </c>
      <c r="I241">
        <f>IF(Skills!T14&lt;&gt;"",1+(Skills!T14/10)*(Z230/1000)/100,1)</f>
        <v/>
      </c>
      <c r="J241" t="inlineStr"/>
      <c r="K241" t="inlineStr"/>
      <c r="L241" t="inlineStr"/>
      <c r="M241" t="inlineStr"/>
      <c r="N241" t="inlineStr"/>
      <c r="O241">
        <f>(1-Summary!$B$51)*S241+Summary!$B$51*U241</f>
        <v/>
      </c>
      <c r="P241">
        <f>IF(B263=0,0,O241/B263)</f>
        <v/>
      </c>
      <c r="Q241">
        <f>IFERROR(1/IF(Inputs!$B$38="pvp",15,MAX(0.1,Skills!D14-IF(Skills!E14=TRUE,Inputs!$B$32,0))),0)</f>
        <v/>
      </c>
      <c r="R241" t="n">
        <v>0</v>
      </c>
      <c r="S241" t="n">
        <v>0</v>
      </c>
      <c r="U241" t="n">
        <v>0</v>
      </c>
    </row>
    <row r="242">
      <c r="A242">
        <f>Skills!A15</f>
        <v/>
      </c>
      <c r="B242">
        <f>Skills!B15</f>
        <v/>
      </c>
      <c r="C242">
        <f>Inputs!$B$3&gt;=75</f>
        <v/>
      </c>
      <c r="D242">
        <f>IF(Skills!C15=1,60+Inputs!$B$25+Inputs!$B$29,IF(Skills!C15=2,90+Inputs!$B$26+Inputs!$B$29,IF(Skills!C15=3,120+Inputs!$B$27+Inputs!$B$29,MAX(0,(Inputs!$B$3-100)*3)+Inputs!$B$28+Inputs!$B$29)))</f>
        <v/>
      </c>
      <c r="E242">
        <f>INDEX(FactorTable!$B$2:$Y$301, MATCH(ROUND(MIN(300,MAX(1,D242)),0), FactorTable!$A$2:$A$301,0), Skills!L15+1)</f>
        <v/>
      </c>
      <c r="F242">
        <f>IF(Skills!M15=TRUE,(Skills!K15/10)*(E242/1000),Skills!K15/10)+Skills!N15</f>
        <v/>
      </c>
      <c r="G242">
        <f>Calc!G15</f>
        <v/>
      </c>
      <c r="H242">
        <f>Calc!H15</f>
        <v/>
      </c>
      <c r="I242">
        <f>IF(Skills!T15&lt;&gt;"",1+(Skills!T15/10)*(Z230/1000)/100,1)</f>
        <v/>
      </c>
      <c r="J242" t="inlineStr"/>
      <c r="K242" t="inlineStr"/>
      <c r="L242" t="inlineStr"/>
      <c r="M242" t="inlineStr"/>
      <c r="N242" t="inlineStr"/>
      <c r="O242">
        <f>(1-Summary!$B$51)*S242+Summary!$B$51*U242</f>
        <v/>
      </c>
      <c r="P242">
        <f>IF(B263=0,0,O242/B263)</f>
        <v/>
      </c>
      <c r="Q242">
        <f>IFERROR(1/IF(Inputs!$B$38="pvp",15,MAX(0.1,Skills!D15-IF(Skills!E15=TRUE,Inputs!$B$32,0))),0)</f>
        <v/>
      </c>
      <c r="R242" t="n">
        <v>0</v>
      </c>
      <c r="S242" t="n">
        <v>0</v>
      </c>
      <c r="U242" t="n">
        <v>0</v>
      </c>
    </row>
    <row r="243">
      <c r="A243">
        <f>Skills!A16</f>
        <v/>
      </c>
      <c r="B243">
        <f>Skills!B16</f>
        <v/>
      </c>
      <c r="C243">
        <f>Inputs!$B$3&gt;=110</f>
        <v/>
      </c>
      <c r="D243">
        <f>IF(Skills!C16=1,60+Inputs!$B$25+Inputs!$B$29,IF(Skills!C16=2,90+Inputs!$B$26+Inputs!$B$29,IF(Skills!C16=3,120+Inputs!$B$27+Inputs!$B$29,MAX(0,(Inputs!$B$3-100)*3)+Inputs!$B$28+Inputs!$B$29)))</f>
        <v/>
      </c>
      <c r="E243">
        <f>INDEX(FactorTable!$B$2:$Y$301, MATCH(ROUND(MIN(300,MAX(1,D243)),0), FactorTable!$A$2:$A$301,0), Skills!L16+1)</f>
        <v/>
      </c>
      <c r="F243">
        <f>(Skills!K16/10)*(E243/1000)*64/45+Skills!N16</f>
        <v/>
      </c>
      <c r="G243">
        <f>Calc!G16</f>
        <v/>
      </c>
      <c r="H243">
        <f>Calc!H16</f>
        <v/>
      </c>
      <c r="I243">
        <f>IF(Skills!T16&lt;&gt;"",1+(Skills!T16/10)*(Z230/1000)/100,1)</f>
        <v/>
      </c>
      <c r="J243" t="inlineStr"/>
      <c r="K243" t="inlineStr"/>
      <c r="L243" t="inlineStr"/>
      <c r="M243" t="inlineStr"/>
      <c r="N243" t="inlineStr"/>
      <c r="O243">
        <f>(1-Summary!$B$51)*S243+Summary!$B$51*U243</f>
        <v/>
      </c>
      <c r="P243">
        <f>IF(B263=0,0,O243/B263)</f>
        <v/>
      </c>
      <c r="Q243">
        <f>IFERROR(1/IF(Inputs!$B$38="pvp",15,MAX(0.1,Skills!D16-IF(Skills!E16=TRUE,Inputs!$B$32,0))),0)</f>
        <v/>
      </c>
      <c r="R243">
        <f>IF(AND(Inputs!$B$38&lt;&gt;"pvp",Inputs!$B$43&gt;0),IF(Inputs!$B$43&lt;=0,0,(INT(Inputs!$B$43/IF(Inputs!$B$38="pvp",15,MAX(0.1,Skills!D16-IF(Skills!E16=TRUE,Inputs!$B$32,0))))+1)),0)</f>
        <v/>
      </c>
      <c r="S243" t="n">
        <v>0</v>
      </c>
      <c r="U243" t="n">
        <v>0</v>
      </c>
    </row>
    <row r="244">
      <c r="A244">
        <f>Skills!A17</f>
        <v/>
      </c>
      <c r="B244">
        <f>Skills!B17</f>
        <v/>
      </c>
      <c r="C244">
        <f>Inputs!$B$3&gt;=33</f>
        <v/>
      </c>
      <c r="D244">
        <f>IF(Skills!C17=1,60+Inputs!$B$25+Inputs!$B$29,IF(Skills!C17=2,90+Inputs!$B$26+Inputs!$B$29,IF(Skills!C17=3,120+Inputs!$B$27+Inputs!$B$29,MAX(0,(Inputs!$B$3-100)*3)+Inputs!$B$28+Inputs!$B$29)))</f>
        <v/>
      </c>
      <c r="E244">
        <f>INDEX(FactorTable!$B$2:$Y$301, MATCH(ROUND(MIN(300,MAX(1,D244)),0), FactorTable!$A$2:$A$301,0), Skills!L17+1)</f>
        <v/>
      </c>
      <c r="F244">
        <f>IF(Skills!M17=TRUE,(Skills!K17/10)*(E244/1000),Skills!K17/10)+Skills!N17</f>
        <v/>
      </c>
      <c r="G244">
        <f>Calc!G17</f>
        <v/>
      </c>
      <c r="H244">
        <f>Calc!H17</f>
        <v/>
      </c>
      <c r="I244">
        <f>IF(Skills!T17&lt;&gt;"",1+(Skills!T17/10)*(Z230/1000)/100,1)</f>
        <v/>
      </c>
      <c r="J244" t="inlineStr"/>
      <c r="K244" t="inlineStr"/>
      <c r="L244" t="inlineStr"/>
      <c r="M244" t="inlineStr"/>
      <c r="N244" t="inlineStr"/>
      <c r="O244">
        <f>(1-Summary!$B$51)*S244+Summary!$B$51*U244</f>
        <v/>
      </c>
      <c r="P244">
        <f>IF(B263=0,0,O244/B263)</f>
        <v/>
      </c>
      <c r="Q244">
        <f>IFERROR(1/IF(Inputs!$B$38="pvp",15,MAX(0.1,Skills!D17-IF(Skills!E17=TRUE,Inputs!$B$32,0))),0)</f>
        <v/>
      </c>
      <c r="R244" t="n">
        <v>0</v>
      </c>
      <c r="S244" t="n">
        <v>0</v>
      </c>
      <c r="U244" t="n">
        <v>0</v>
      </c>
    </row>
    <row r="245">
      <c r="A245">
        <f>Skills!A18</f>
        <v/>
      </c>
      <c r="B245">
        <f>Skills!B18</f>
        <v/>
      </c>
      <c r="C245">
        <f>Inputs!$B$3&gt;=43</f>
        <v/>
      </c>
      <c r="D245">
        <f>IF(Skills!C18=1,60+Inputs!$B$25+Inputs!$B$29,IF(Skills!C18=2,90+Inputs!$B$26+Inputs!$B$29,IF(Skills!C18=3,120+Inputs!$B$27+Inputs!$B$29,MAX(0,(Inputs!$B$3-100)*3)+Inputs!$B$28+Inputs!$B$29)))</f>
        <v/>
      </c>
      <c r="E245">
        <f>INDEX(FactorTable!$B$2:$Y$301, MATCH(ROUND(MIN(300,MAX(1,D245)),0), FactorTable!$A$2:$A$301,0), Skills!L18+1)</f>
        <v/>
      </c>
      <c r="F245">
        <f>IF(Skills!M18=TRUE,(Skills!K18/10)*(E245/1000),Skills!K18/10)+Skills!N18</f>
        <v/>
      </c>
      <c r="G245">
        <f>Calc!G18</f>
        <v/>
      </c>
      <c r="H245">
        <f>Calc!H18</f>
        <v/>
      </c>
      <c r="I245">
        <f>IF(Skills!T18&lt;&gt;"",1+(Skills!T18/10)*(Z230/1000)/100,1)</f>
        <v/>
      </c>
      <c r="J245" t="inlineStr"/>
      <c r="K245" t="inlineStr"/>
      <c r="L245" t="inlineStr"/>
      <c r="M245" t="inlineStr"/>
      <c r="N245" t="inlineStr"/>
      <c r="O245">
        <f>(1-Summary!$B$51)*S245+Summary!$B$51*U245</f>
        <v/>
      </c>
      <c r="P245">
        <f>IF(B263=0,0,O245/B263)</f>
        <v/>
      </c>
      <c r="Q245">
        <f>IFERROR(1/IF(Inputs!$B$38="pvp",15,MAX(0.1,Skills!D18-IF(Skills!E18=TRUE,Inputs!$B$32,0))),0)</f>
        <v/>
      </c>
      <c r="R245" t="n">
        <v>0</v>
      </c>
      <c r="S245" t="n">
        <v>0</v>
      </c>
      <c r="U245" t="n">
        <v>0</v>
      </c>
    </row>
    <row r="246">
      <c r="A246">
        <f>Skills!A19</f>
        <v/>
      </c>
      <c r="B246">
        <f>Skills!B19</f>
        <v/>
      </c>
      <c r="C246">
        <f>Inputs!$B$3&gt;=50</f>
        <v/>
      </c>
      <c r="D246">
        <f>IF(Skills!C19=1,60+Inputs!$B$25+Inputs!$B$29,IF(Skills!C19=2,90+Inputs!$B$26+Inputs!$B$29,IF(Skills!C19=3,120+Inputs!$B$27+Inputs!$B$29,MAX(0,(Inputs!$B$3-100)*3)+Inputs!$B$28+Inputs!$B$29)))</f>
        <v/>
      </c>
      <c r="E246">
        <f>INDEX(FactorTable!$B$2:$Y$301, MATCH(ROUND(MIN(300,MAX(1,D246)),0), FactorTable!$A$2:$A$301,0), Skills!L19+1)</f>
        <v/>
      </c>
      <c r="F246">
        <f>IF(Skills!M19=TRUE,(Skills!K19/10)*(E246/1000),Skills!K19/10)+Skills!N19</f>
        <v/>
      </c>
      <c r="G246">
        <f>Calc!G19</f>
        <v/>
      </c>
      <c r="H246">
        <f>Calc!H19</f>
        <v/>
      </c>
      <c r="I246">
        <f>IF(Skills!T19&lt;&gt;"",1+(Skills!T19/10)*(Z230/1000)/100,1)</f>
        <v/>
      </c>
      <c r="J246" t="inlineStr"/>
      <c r="K246" t="inlineStr"/>
      <c r="L246" t="inlineStr"/>
      <c r="M246" t="inlineStr"/>
      <c r="N246" t="inlineStr"/>
      <c r="O246">
        <f>(1-Summary!$B$51)*S246+Summary!$B$51*U246</f>
        <v/>
      </c>
      <c r="P246">
        <f>IF(B263=0,0,O246/B263)</f>
        <v/>
      </c>
      <c r="Q246">
        <f>IFERROR(1/IF(Inputs!$B$38="pvp",15,MAX(0.1,Skills!D19-IF(Skills!E19=TRUE,Inputs!$B$32,0))),0)</f>
        <v/>
      </c>
      <c r="R246" t="n">
        <v>0</v>
      </c>
      <c r="S246" t="n">
        <v>0</v>
      </c>
      <c r="U246" t="n">
        <v>0</v>
      </c>
    </row>
    <row r="247">
      <c r="A247">
        <f>Skills!A20</f>
        <v/>
      </c>
      <c r="B247">
        <f>Skills!B20</f>
        <v/>
      </c>
      <c r="C247">
        <f>Inputs!$B$3&gt;=74</f>
        <v/>
      </c>
      <c r="D247">
        <f>IF(Skills!C20=1,60+Inputs!$B$25+Inputs!$B$29,IF(Skills!C20=2,90+Inputs!$B$26+Inputs!$B$29,IF(Skills!C20=3,120+Inputs!$B$27+Inputs!$B$29,MAX(0,(Inputs!$B$3-100)*3)+Inputs!$B$28+Inputs!$B$29)))</f>
        <v/>
      </c>
      <c r="E247">
        <f>INDEX(FactorTable!$B$2:$Y$301, MATCH(ROUND(MIN(300,MAX(1,D247)),0), FactorTable!$A$2:$A$301,0), Skills!L20+1)</f>
        <v/>
      </c>
      <c r="F247">
        <f>IF(Skills!M20=TRUE,(Skills!K20/10)*(E247/1000),Skills!K20/10)+Skills!N20</f>
        <v/>
      </c>
      <c r="G247">
        <f>Calc!G20</f>
        <v/>
      </c>
      <c r="H247">
        <f>Calc!H20</f>
        <v/>
      </c>
      <c r="I247">
        <f>IF(Skills!T20&lt;&gt;"",1+(Skills!T20/10)*(Z230/1000)/100,1)</f>
        <v/>
      </c>
      <c r="J247" t="inlineStr"/>
      <c r="K247" t="inlineStr"/>
      <c r="L247" t="inlineStr"/>
      <c r="M247" t="inlineStr"/>
      <c r="N247" t="inlineStr"/>
      <c r="O247">
        <f>(1-Summary!$B$51)*S247+Summary!$B$51*U247</f>
        <v/>
      </c>
      <c r="P247">
        <f>IF(B263=0,0,O247/B263)</f>
        <v/>
      </c>
      <c r="Q247">
        <f>IFERROR(1/IF(Inputs!$B$38="pvp",15,MAX(0.1,Skills!D20-IF(Skills!E20=TRUE,Inputs!$B$32,0))),0)</f>
        <v/>
      </c>
      <c r="R247" t="n">
        <v>0</v>
      </c>
      <c r="S247" t="n">
        <v>0</v>
      </c>
      <c r="U247" t="n">
        <v>0</v>
      </c>
    </row>
    <row r="248">
      <c r="A248">
        <f>Skills!A21</f>
        <v/>
      </c>
      <c r="B248">
        <f>Skills!B21</f>
        <v/>
      </c>
      <c r="C248">
        <f>Inputs!$B$3&gt;=74</f>
        <v/>
      </c>
      <c r="D248">
        <f>IF(Skills!C21=1,60+Inputs!$B$25+Inputs!$B$29,IF(Skills!C21=2,90+Inputs!$B$26+Inputs!$B$29,IF(Skills!C21=3,120+Inputs!$B$27+Inputs!$B$29,MAX(0,(Inputs!$B$3-100)*3)+Inputs!$B$28+Inputs!$B$29)))</f>
        <v/>
      </c>
      <c r="E248">
        <f>INDEX(FactorTable!$B$2:$Y$301, MATCH(ROUND(MIN(300,MAX(1,D248)),0), FactorTable!$A$2:$A$301,0), Skills!L21+1)</f>
        <v/>
      </c>
      <c r="F248">
        <f>IF(Skills!M21=TRUE,(Skills!K21/10)*(E248/1000),Skills!K21/10)+Skills!N21</f>
        <v/>
      </c>
      <c r="G248">
        <f>Calc!G21</f>
        <v/>
      </c>
      <c r="H248">
        <f>Calc!H21</f>
        <v/>
      </c>
      <c r="I248">
        <f>IF(Skills!T21&lt;&gt;"",1+(Skills!T21/10)*(Z230/1000)/100,1)</f>
        <v/>
      </c>
      <c r="J248" t="inlineStr"/>
      <c r="K248" t="inlineStr"/>
      <c r="L248" t="inlineStr"/>
      <c r="M248" t="inlineStr"/>
      <c r="N248" t="inlineStr"/>
      <c r="O248">
        <f>(1-Summary!$B$51)*S248+Summary!$B$51*U248</f>
        <v/>
      </c>
      <c r="P248">
        <f>IF(B263=0,0,O248/B263)</f>
        <v/>
      </c>
      <c r="Q248">
        <f>IFERROR(1/IF(Inputs!$B$38="pvp",15,MAX(0.1,Skills!D21-IF(Skills!E21=TRUE,Inputs!$B$32,0))),0)</f>
        <v/>
      </c>
      <c r="R248" t="n">
        <v>0</v>
      </c>
      <c r="S248" t="n">
        <v>0</v>
      </c>
      <c r="U248" t="n">
        <v>0</v>
      </c>
    </row>
    <row r="249">
      <c r="A249">
        <f>Skills!A22</f>
        <v/>
      </c>
      <c r="B249">
        <f>Skills!B22</f>
        <v/>
      </c>
      <c r="C249">
        <f>Inputs!$B$3&gt;=117</f>
        <v/>
      </c>
      <c r="D249">
        <f>IF(Skills!C22=1,60+Inputs!$B$25+Inputs!$B$29,IF(Skills!C22=2,90+Inputs!$B$26+Inputs!$B$29,IF(Skills!C22=3,120+Inputs!$B$27+Inputs!$B$29,MAX(0,(Inputs!$B$3-100)*3)+Inputs!$B$28+Inputs!$B$29)))</f>
        <v/>
      </c>
      <c r="E249">
        <f>INDEX(FactorTable!$B$2:$Y$301, MATCH(ROUND(MIN(300,MAX(1,D249)),0), FactorTable!$A$2:$A$301,0), Skills!L22+1)</f>
        <v/>
      </c>
      <c r="F249">
        <f>IF(Skills!M22=TRUE,(Skills!K22/10)*(E249/1000),Skills!K22/10)+Skills!N22</f>
        <v/>
      </c>
      <c r="G249">
        <f>Calc!G22</f>
        <v/>
      </c>
      <c r="H249">
        <f>Calc!H22</f>
        <v/>
      </c>
      <c r="I249">
        <f>IF(Skills!T22&lt;&gt;"",1+(Skills!T22/10)*(Z230/1000)/100,1)</f>
        <v/>
      </c>
      <c r="J249" t="inlineStr"/>
      <c r="K249" t="inlineStr"/>
      <c r="L249" t="inlineStr"/>
      <c r="M249" t="inlineStr"/>
      <c r="N249" t="inlineStr"/>
      <c r="O249">
        <f>(1-Summary!$B$51)*S249+Summary!$B$51*U249</f>
        <v/>
      </c>
      <c r="P249">
        <f>IF(B263=0,0,O249/B263)</f>
        <v/>
      </c>
      <c r="Q249">
        <f>IFERROR(1/IF(Inputs!$B$38="pvp",15,MAX(0.1,Skills!D22-IF(Skills!E22=TRUE,Inputs!$B$32,0))),0)</f>
        <v/>
      </c>
      <c r="R249" t="n">
        <v>0</v>
      </c>
      <c r="S249" t="n">
        <v>0</v>
      </c>
      <c r="U249" t="n">
        <v>0</v>
      </c>
    </row>
    <row r="250">
      <c r="A250">
        <f>Skills!A23</f>
        <v/>
      </c>
      <c r="B250">
        <f>Skills!B23</f>
        <v/>
      </c>
      <c r="C250">
        <f>Inputs!$B$3&gt;=120</f>
        <v/>
      </c>
      <c r="D250">
        <f>IF(Skills!C23=1,60+Inputs!$B$25+Inputs!$B$29,IF(Skills!C23=2,90+Inputs!$B$26+Inputs!$B$29,IF(Skills!C23=3,120+Inputs!$B$27+Inputs!$B$29,MAX(0,(Inputs!$B$3-100)*3)+Inputs!$B$28+Inputs!$B$29)))</f>
        <v/>
      </c>
      <c r="E250">
        <f>INDEX(FactorTable!$B$2:$Y$301, MATCH(ROUND(MIN(300,MAX(1,D250)),0), FactorTable!$A$2:$A$301,0), Skills!L23+1)</f>
        <v/>
      </c>
      <c r="F250">
        <f>IF(Skills!M23=TRUE,(Skills!K23/10)*(E250/1000),Skills!K23/10)+Skills!N23</f>
        <v/>
      </c>
      <c r="G250">
        <f>Calc!G23</f>
        <v/>
      </c>
      <c r="H250">
        <f>Calc!H23</f>
        <v/>
      </c>
      <c r="I250">
        <f>IF(Skills!T23&lt;&gt;"",1+(Skills!T23/10)*(Z230/1000)/100,1)</f>
        <v/>
      </c>
      <c r="J250" t="inlineStr"/>
      <c r="K250" t="inlineStr"/>
      <c r="L250" t="inlineStr"/>
      <c r="M250" t="inlineStr"/>
      <c r="N250" t="inlineStr"/>
      <c r="O250">
        <f>(1-Summary!$B$51)*S250+Summary!$B$51*U250</f>
        <v/>
      </c>
      <c r="P250">
        <f>IF(B263=0,0,O250/B263)</f>
        <v/>
      </c>
      <c r="Q250">
        <f>IFERROR(1/IF(Inputs!$B$38="pvp",15,MAX(0.1,Skills!D23-IF(Skills!E23=TRUE,Inputs!$B$32,0))),0)</f>
        <v/>
      </c>
      <c r="R250" t="n">
        <v>0</v>
      </c>
      <c r="S250" t="n">
        <v>0</v>
      </c>
      <c r="U250" t="n">
        <v>0</v>
      </c>
    </row>
    <row r="253">
      <c r="A253" t="inlineStr">
        <is>
          <t>Average Buff Multiplier (Magic Guard + Meditation, summed; then Infinity)</t>
        </is>
      </c>
      <c r="B253">
        <f>(1+(IF(C230=TRUE,F230*IF(AND(Inputs!$B$38&lt;&gt;"pvp",Inputs!$B$43&gt;0),(((R230-1)*(Skills!S3*(1+(Inputs!$B$34+IF(Inputs!$B$3&gt;=117,F249,0))/100))+MIN((Skills!S3*(1+(Inputs!$B$34+IF(Inputs!$B$3&gt;=117,F249,0))/100)),MAX(0,Inputs!$B$43-((R230-1)*Skills!D3))))/Inputs!$B$43),IF(Inputs!$B$38="pvp",MIN((Skills!S3*(1+(Inputs!$B$34+IF(Inputs!$B$3&gt;=117,F249,0))/100)),15)/15,(Skills!S3*(1+(Inputs!$B$34+IF(Inputs!$B$3&gt;=117,F249,0))/100))/Skills!D3)),0)+IF(C231=TRUE,F231*IF(AND(Inputs!$B$38&lt;&gt;"pvp",Inputs!$B$43&gt;0),(((R231-1)*(Skills!S4*(1+(Inputs!$B$34+IF(Inputs!$B$3&gt;=117,F249,0))/100))+MIN((Skills!S4*(1+(Inputs!$B$34+IF(Inputs!$B$3&gt;=117,F249,0))/100)),MAX(0,Inputs!$B$43-((R231-1)*Skills!D4))))/Inputs!$B$43),IF(Inputs!$B$38="pvp",MIN((Skills!S4*(1+(Inputs!$B$34+IF(Inputs!$B$3&gt;=117,F249,0))/100)),15)/15,(Skills!S4*(1+(Inputs!$B$34+IF(Inputs!$B$3&gt;=117,F249,0))/100))/Skills!D4)),0))/100)*IF(C243=TRUE,(1+F243*IF(AND(Inputs!$B$38&lt;&gt;"pvp",Inputs!$B$43&gt;0),(((R243-1)*(Skills!S16*(1+(Inputs!$B$34+IF(Inputs!$B$3&gt;=117,F249,0))/100))+MIN((Skills!S16*(1+(Inputs!$B$34+IF(Inputs!$B$3&gt;=117,F249,0))/100)),MAX(0,Inputs!$B$43-((R243-1)*Skills!D16))))/Inputs!$B$43),IF(Inputs!$B$38="pvp",MIN((Skills!S16*(1+(Inputs!$B$34+IF(Inputs!$B$3&gt;=117,F249,0))/100)),15)/15,(Skills!S16*(1+(Inputs!$B$34+IF(Inputs!$B$3&gt;=117,F249,0))/100))/Skills!D16))/100),1)</f>
        <v/>
      </c>
    </row>
    <row r="254">
      <c r="A254" t="inlineStr">
        <is>
          <t>Monster Damage Taken Bonus % (Freezing Breath - Weaken + Elemental Reset, summed)</t>
        </is>
      </c>
      <c r="B254">
        <f>IF(Inputs!$B$3&gt;=118,15*IF(Inputs!$B$38="pvp",MIN((30*(1+(Inputs!$B$34+IF(Inputs!$B$3&gt;=117,F249,0))/100)),15)/15,(30*(1+(Inputs!$B$34+IF(Inputs!$B$3&gt;=117,F249,0))/100))/Skills!D8),0)+IF(C241=TRUE,F241,0)</f>
        <v/>
      </c>
    </row>
    <row r="255">
      <c r="A255" t="inlineStr">
        <is>
          <t>Damage % Bonus (Frozen Break + Frost Clutch, flat)</t>
        </is>
      </c>
      <c r="B255">
        <f>IF(Inputs!$B$3&gt;=66,15,0)+IF(Inputs!$B$3&gt;=98,10,0)+IF(Inputs!$B$3&gt;=125,20,0)</f>
        <v/>
      </c>
    </row>
    <row r="256">
      <c r="A256" t="inlineStr">
        <is>
          <t>Attack Speed Bonus % (MP Eater - MP Boost, always-on once unlocked)</t>
        </is>
      </c>
      <c r="B256">
        <f>IF(C240=TRUE,F240+(F244-Calc!F17),0)</f>
        <v/>
      </c>
    </row>
    <row r="257">
      <c r="A257" t="inlineStr">
        <is>
          <t>Actions Per Second</t>
        </is>
      </c>
      <c r="B257">
        <f>1+MIN(150,150*(1-(1-Inputs!$B$11/150)*(1-B256/150)))/100</f>
        <v/>
      </c>
    </row>
    <row r="258">
      <c r="A258" t="inlineStr">
        <is>
          <t>Skill + Buff Cast Rate</t>
        </is>
      </c>
      <c r="B258">
        <f>IF(AND(Inputs!$B$38&lt;&gt;"pvp",Inputs!$B$43&gt;0),SUMPRODUCT((Skills!E2:E23=TRUE)*(C229:C250=TRUE)*R229:R250)/Inputs!$B$43,SUMPRODUCT((Skills!E2:E23=TRUE)*(C229:C250=TRUE)*Q229:Q250))</f>
        <v/>
      </c>
    </row>
    <row r="259">
      <c r="A259" t="inlineStr">
        <is>
          <t>Chain Lightning Casts Per Second</t>
        </is>
      </c>
      <c r="B259">
        <f>MAX(0,B257-B258)</f>
        <v/>
      </c>
    </row>
    <row r="260">
      <c r="A260" t="inlineStr">
        <is>
          <t>Buff-Casting Startup Delay (s, fixed-duration only)</t>
        </is>
      </c>
      <c r="B260">
        <f>IF(AND(Inputs!$B$38&lt;&gt;"pvp",Inputs!$B$43&gt;0),SUMPRODUCT((Skills!S2:S23&gt;0)*(Skills!E2:E23=TRUE)*(C229:C250=TRUE))/B257,0)</f>
        <v/>
      </c>
    </row>
    <row r="261">
      <c r="A261" t="inlineStr">
        <is>
          <t>Boss-Only Total DPS (this block's swept value)</t>
        </is>
      </c>
      <c r="B261">
        <f>SUM(S229:S250)</f>
        <v/>
      </c>
    </row>
    <row r="262">
      <c r="A262" t="inlineStr">
        <is>
          <t>Normal-Only Total DPS (this block's swept value)</t>
        </is>
      </c>
      <c r="B262">
        <f>SUM(U229:U250)</f>
        <v/>
      </c>
    </row>
    <row r="263">
      <c r="A263" s="5" t="inlineStr">
        <is>
          <t>TOTAL DPS</t>
        </is>
      </c>
      <c r="B263" s="5">
        <f>SUM(O229:O250)</f>
        <v/>
      </c>
    </row>
    <row r="266">
      <c r="A266" s="5" t="inlineStr">
        <is>
          <t>Stat: FINAL_DAMAGE % (multiplicative source)</t>
        </is>
      </c>
    </row>
    <row r="267">
      <c r="A267" s="9" t="inlineStr">
        <is>
          <t>Key</t>
        </is>
      </c>
      <c r="B267" s="9" t="inlineStr">
        <is>
          <t>Name</t>
        </is>
      </c>
      <c r="C267" s="9" t="inlineStr">
        <is>
          <t>Unlocked</t>
        </is>
      </c>
      <c r="D267" s="9" t="inlineStr">
        <is>
          <t>InputLevel</t>
        </is>
      </c>
      <c r="E267" s="9" t="inlineStr">
        <is>
          <t>Factor</t>
        </is>
      </c>
      <c r="F267" s="9" t="inlineStr">
        <is>
          <t>CoefficientPercent</t>
        </is>
      </c>
      <c r="G267" s="9" t="inlineStr">
        <is>
          <t>EffectiveHits</t>
        </is>
      </c>
      <c r="H267" s="9" t="inlineStr">
        <is>
          <t>ProcProbability</t>
        </is>
      </c>
      <c r="I267" s="9" t="inlineStr">
        <is>
          <t>MapleHeroMultiplier</t>
        </is>
      </c>
      <c r="J267" s="9" t="inlineStr">
        <is>
          <t>BaseDamage</t>
        </is>
      </c>
      <c r="K267" s="9" t="inlineStr">
        <is>
          <t>BaseHitDamage</t>
        </is>
      </c>
      <c r="L267" s="9" t="inlineStr">
        <is>
          <t>NonCritAvg</t>
        </is>
      </c>
      <c r="M267" s="9" t="inlineStr">
        <is>
          <t>CritAvg</t>
        </is>
      </c>
      <c r="N267" s="9" t="inlineStr">
        <is>
          <t>ExpectedDamage(perHit)</t>
        </is>
      </c>
      <c r="O267" s="9" t="inlineStr">
        <is>
          <t>DPS</t>
        </is>
      </c>
      <c r="P267" s="9" t="inlineStr">
        <is>
          <t>% of Total</t>
        </is>
      </c>
      <c r="R267" t="inlineStr">
        <is>
          <t>helpers</t>
        </is>
      </c>
    </row>
    <row r="268">
      <c r="A268">
        <f>Skills!A2</f>
        <v/>
      </c>
      <c r="B268">
        <f>Skills!B2</f>
        <v/>
      </c>
      <c r="C268">
        <f>Inputs!$B$3&gt;=100</f>
        <v/>
      </c>
      <c r="D268" t="inlineStr"/>
      <c r="E268" t="inlineStr"/>
      <c r="F268">
        <f>T270+Skills!N2</f>
        <v/>
      </c>
      <c r="G268">
        <f>Calc!G2</f>
        <v/>
      </c>
      <c r="H268">
        <f>Calc!H2</f>
        <v/>
      </c>
      <c r="I268">
        <f>IF(Skills!T2&lt;&gt;"",1+(Skills!T2/10)*(Z269/1000)/100,1)</f>
        <v/>
      </c>
      <c r="J268">
        <f>((Inputs!$B$6*(1+Inputs!$B$7/100))+(((Inputs!$B$12*(1+Inputs!$B$13/100))-(Inputs!$B$12*(1+Inputs!$B$13/100)))+0.25*(Inputs!$B$14-Inputs!$B$14))*(1+Inputs!$B$7/100))*(F268/100)</f>
        <v/>
      </c>
      <c r="K268">
        <f>J268*(1+((Inputs!$B$12*(1+Inputs!$B$13/100))*0.01+Inputs!$B$14*0.0025)/100)*(1+(Inputs!$B$15+B294)/100)*(1+Inputs!$B$16/100)*(5000/(6000+Inputs!$B$42*(1-Inputs!$B$19/100)))*(1+((((1+Inputs!$B$24/100)*(1.01))-1)*100)/100)*(1+IF(C281=TRUE,F281,0)/100)*(1+IF(C289=TRUE,F289,0)/100)^5*(1+(IF(Skills!A2="CHAIN_LIGHTNING",Inputs!$B$17,Inputs!$B$18))/100)*(B292*I268)</f>
        <v/>
      </c>
      <c r="L268">
        <f>K268*(MIN(Inputs!$B$22+(F284-Calc!F18),Inputs!$B$23)/100+Inputs!$B$23/100)/2</f>
        <v/>
      </c>
      <c r="M268">
        <f>L268*(1+(Inputs!$B$10+(F287-Calc!F21))/100)</f>
        <v/>
      </c>
      <c r="N268">
        <f>L268*(1-MIN(Inputs!$B$9+((F286-Calc!F20)+(F285-Calc!F19)),100)/100)+M268*(MIN(Inputs!$B$9+((F286-Calc!F20)+(F285-Calc!F19)),100)/100)</f>
        <v/>
      </c>
      <c r="O268">
        <f>(1-Summary!$B$51)*S268+Summary!$B$51*U268</f>
        <v/>
      </c>
      <c r="P268">
        <f>IF(B302=0,0,O268/B302)</f>
        <v/>
      </c>
      <c r="Q268">
        <f>IFERROR(1/IF(Inputs!$B$38="pvp",15,MAX(0.1,Skills!D2-IF(Skills!E2=TRUE,Inputs!$B$32,0))),0)</f>
        <v/>
      </c>
      <c r="R268" t="n">
        <v>0</v>
      </c>
      <c r="S268">
        <f>IF(C268,(Skills!F2*N268*B298)*IF(Inputs!$B$38="pvp",1,1+(Inputs!$B$20+Skills!O2+B293)/100),0)</f>
        <v/>
      </c>
      <c r="T268">
        <f>MAX(0,(Inputs!$B$3-100)*3)+Inputs!$B$28+Inputs!$B$29</f>
        <v/>
      </c>
      <c r="U268">
        <f>IF(C268,(Skills!F2*N268*B298)*IF(Inputs!$B$38="pvp",1,(1+(Inputs!$B$21+Skills!P2+B293)/100)*(MIN((6+Inputs!$B$33),Inputs!$B$37))),0)</f>
        <v/>
      </c>
      <c r="Z268">
        <f>MAX(0,(Inputs!$B$3-100)*3)+Inputs!$B$28+Inputs!$B$29</f>
        <v/>
      </c>
    </row>
    <row r="269">
      <c r="A269">
        <f>Skills!A3</f>
        <v/>
      </c>
      <c r="B269">
        <f>Skills!B3</f>
        <v/>
      </c>
      <c r="C269">
        <f>Inputs!$B$3&gt;=15</f>
        <v/>
      </c>
      <c r="D269">
        <f>IF(Skills!C3=1,60+Inputs!$B$25+Inputs!$B$29,IF(Skills!C3=2,90+Inputs!$B$26+Inputs!$B$29,IF(Skills!C3=3,120+Inputs!$B$27+Inputs!$B$29,MAX(0,(Inputs!$B$3-100)*3)+Inputs!$B$28+Inputs!$B$29)))</f>
        <v/>
      </c>
      <c r="E269">
        <f>INDEX(FactorTable!$B$2:$Y$301, MATCH(ROUND(MIN(300,MAX(1,D269)),0), FactorTable!$A$2:$A$301,0), Skills!L3+1)</f>
        <v/>
      </c>
      <c r="F269">
        <f>IF(Skills!M3=TRUE,(Skills!K3/10)*(E269/1000),Skills!K3/10)+Skills!N3</f>
        <v/>
      </c>
      <c r="G269">
        <f>Calc!G3</f>
        <v/>
      </c>
      <c r="H269">
        <f>Calc!H3</f>
        <v/>
      </c>
      <c r="I269">
        <f>IF(Skills!T3&lt;&gt;"",1+(Skills!T3/10)*(Z269/1000)/100,1)</f>
        <v/>
      </c>
      <c r="J269" t="inlineStr"/>
      <c r="K269" t="inlineStr"/>
      <c r="L269" t="inlineStr"/>
      <c r="M269" t="inlineStr"/>
      <c r="N269" t="inlineStr"/>
      <c r="O269">
        <f>(1-Summary!$B$51)*S269+Summary!$B$51*U269</f>
        <v/>
      </c>
      <c r="P269">
        <f>IF(B302=0,0,O269/B302)</f>
        <v/>
      </c>
      <c r="Q269">
        <f>IFERROR(1/IF(Inputs!$B$38="pvp",15,MAX(0.1,Skills!D3-IF(Skills!E3=TRUE,Inputs!$B$32,0))),0)</f>
        <v/>
      </c>
      <c r="R269">
        <f>IF(AND(Inputs!$B$38&lt;&gt;"pvp",Inputs!$B$43&gt;0),IF(Inputs!$B$43&lt;=0,0,(INT(Inputs!$B$43/IF(Inputs!$B$38="pvp",15,MAX(0.1,Skills!D3-IF(Skills!E3=TRUE,Inputs!$B$32,0))))+1)),0)</f>
        <v/>
      </c>
      <c r="S269" t="n">
        <v>0</v>
      </c>
      <c r="T269">
        <f>INDEX(FactorTable!$B$2:$Y$301, MATCH(ROUND(MIN(300,MAX(1,T268)),0), FactorTable!$A$2:$A$301,0), 22)</f>
        <v/>
      </c>
      <c r="U269" t="n">
        <v>0</v>
      </c>
      <c r="Z269">
        <f>INDEX(FactorTable!$B$2:$Y$301, MATCH(ROUND(MIN(300,MAX(1,Z268)),0), FactorTable!$A$2:$A$301,0), 24)</f>
        <v/>
      </c>
    </row>
    <row r="270">
      <c r="A270">
        <f>Skills!A4</f>
        <v/>
      </c>
      <c r="B270">
        <f>Skills!B4</f>
        <v/>
      </c>
      <c r="C270">
        <f>Inputs!$B$3&gt;=40</f>
        <v/>
      </c>
      <c r="D270">
        <f>IF(Skills!C4=1,60+Inputs!$B$25+Inputs!$B$29,IF(Skills!C4=2,90+Inputs!$B$26+Inputs!$B$29,IF(Skills!C4=3,120+Inputs!$B$27+Inputs!$B$29,MAX(0,(Inputs!$B$3-100)*3)+Inputs!$B$28+Inputs!$B$29)))</f>
        <v/>
      </c>
      <c r="E270">
        <f>INDEX(FactorTable!$B$2:$Y$301, MATCH(ROUND(MIN(300,MAX(1,D270)),0), FactorTable!$A$2:$A$301,0), Skills!L4+1)</f>
        <v/>
      </c>
      <c r="F270">
        <f>IF(Skills!M4=TRUE,(Skills!K4/10)*(E270/1000),Skills!K4/10)+Skills!N4</f>
        <v/>
      </c>
      <c r="G270">
        <f>Calc!G4</f>
        <v/>
      </c>
      <c r="H270">
        <f>Calc!H4</f>
        <v/>
      </c>
      <c r="I270">
        <f>IF(Skills!T4&lt;&gt;"",1+(Skills!T4/10)*(Z269/1000)/100,1)</f>
        <v/>
      </c>
      <c r="J270" t="inlineStr"/>
      <c r="K270" t="inlineStr"/>
      <c r="L270" t="inlineStr"/>
      <c r="M270" t="inlineStr"/>
      <c r="N270" t="inlineStr"/>
      <c r="O270">
        <f>(1-Summary!$B$51)*S270+Summary!$B$51*U270</f>
        <v/>
      </c>
      <c r="P270">
        <f>IF(B302=0,0,O270/B302)</f>
        <v/>
      </c>
      <c r="Q270">
        <f>IFERROR(1/IF(Inputs!$B$38="pvp",15,MAX(0.1,Skills!D4-IF(Skills!E4=TRUE,Inputs!$B$32,0))),0)</f>
        <v/>
      </c>
      <c r="R270">
        <f>IF(AND(Inputs!$B$38&lt;&gt;"pvp",Inputs!$B$43&gt;0),IF(Inputs!$B$43&lt;=0,0,(INT(Inputs!$B$43/IF(Inputs!$B$38="pvp",15,MAX(0.1,Skills!D4-IF(Skills!E4=TRUE,Inputs!$B$32,0))))+1)),0)</f>
        <v/>
      </c>
      <c r="S270" t="n">
        <v>0</v>
      </c>
      <c r="T270">
        <f>290*T269/1000</f>
        <v/>
      </c>
      <c r="U270" t="n">
        <v>0</v>
      </c>
    </row>
    <row r="271">
      <c r="A271">
        <f>Skills!A5</f>
        <v/>
      </c>
      <c r="B271">
        <f>Skills!B5</f>
        <v/>
      </c>
      <c r="C271">
        <f>Inputs!$B$3&gt;=38</f>
        <v/>
      </c>
      <c r="D271">
        <f>IF(Skills!C5=1,60+Inputs!$B$25+Inputs!$B$29,IF(Skills!C5=2,90+Inputs!$B$26+Inputs!$B$29,IF(Skills!C5=3,120+Inputs!$B$27+Inputs!$B$29,MAX(0,(Inputs!$B$3-100)*3)+Inputs!$B$28+Inputs!$B$29)))</f>
        <v/>
      </c>
      <c r="E271">
        <f>INDEX(FactorTable!$B$2:$Y$301, MATCH(ROUND(MIN(300,MAX(1,D271)),0), FactorTable!$A$2:$A$301,0), Skills!L5+1)</f>
        <v/>
      </c>
      <c r="F271">
        <f>IF(Skills!M5=TRUE,(Skills!K5/10)*(E271/1000),Skills!K5/10)+Skills!N5</f>
        <v/>
      </c>
      <c r="G271">
        <f>Calc!G5</f>
        <v/>
      </c>
      <c r="H271">
        <f>Calc!H5</f>
        <v/>
      </c>
      <c r="I271">
        <f>IF(Skills!T5&lt;&gt;"",1+(Skills!T5/10)*(Z269/1000)/100,1)</f>
        <v/>
      </c>
      <c r="J271">
        <f>((Inputs!$B$6*(1+Inputs!$B$7/100))+(((Inputs!$B$12*(1+Inputs!$B$13/100))-(Inputs!$B$12*(1+Inputs!$B$13/100)))+0.25*(Inputs!$B$14-Inputs!$B$14))*(1+Inputs!$B$7/100))*(F271/100)</f>
        <v/>
      </c>
      <c r="K271">
        <f>J271*(1+((Inputs!$B$12*(1+Inputs!$B$13/100))*0.01+Inputs!$B$14*0.0025)/100)*(1+(Inputs!$B$15+B294)/100)*(1+Inputs!$B$16/100)*(5000/(6000+Inputs!$B$42*(1-Inputs!$B$19/100)))*(1+((((1+Inputs!$B$24/100)*(1.01))-1)*100)/100)*(1+IF(C281=TRUE,F281,0)/100)*(1+IF(C289=TRUE,F289,0)/100)^5*(1+(IF(Skills!A5="CHAIN_LIGHTNING",Inputs!$B$17,Inputs!$B$18))/100)*(B292*I271)</f>
        <v/>
      </c>
      <c r="L271">
        <f>K271*(MIN(Inputs!$B$22+(F284-Calc!F18),Inputs!$B$23)/100+Inputs!$B$23/100)/2</f>
        <v/>
      </c>
      <c r="M271">
        <f>L271*(1+(Inputs!$B$10+(F287-Calc!F21))/100)</f>
        <v/>
      </c>
      <c r="N271">
        <f>L271*(1-MIN(Inputs!$B$9+((F286-Calc!F20)+(F285-Calc!F19)),100)/100)+M271*(MIN(Inputs!$B$9+((F286-Calc!F20)+(F285-Calc!F19)),100)/100)</f>
        <v/>
      </c>
      <c r="O271">
        <f>(1-Summary!$B$51)*S271+Summary!$B$51*U271</f>
        <v/>
      </c>
      <c r="P271">
        <f>IF(B302=0,0,O271/B302)</f>
        <v/>
      </c>
      <c r="Q271">
        <f>IFERROR(1/IF(Inputs!$B$38="pvp",15,MAX(0.1,Skills!D5-IF(Skills!E5=TRUE,Inputs!$B$32,0))),0)</f>
        <v/>
      </c>
      <c r="R271">
        <f>IF(AND(Inputs!$B$38&lt;&gt;"pvp",Inputs!$B$43&gt;0),IF(MAX(0,Inputs!$B$43-B299)&lt;=0,0,(INT(MAX(0,Inputs!$B$43-B299)/IF(Inputs!$B$38="pvp",15,MAX(0.1,Skills!D5-IF(Skills!E5=TRUE,Inputs!$B$32,0))))+1)),0)</f>
        <v/>
      </c>
      <c r="S271">
        <f>IF(C271,(H271*N271*IF(AND(Inputs!$B$38&lt;&gt;"pvp",Inputs!$B$43&gt;0),((Skills!F5*((R271-1)*IF(Skills!G5&gt;0,Skills!H5/Skills!G5,1)+IF(Skills!G5&gt;0,MIN(Skills!H5,MAX(0,MAX(0,Inputs!$B$43-B299)-((R271-1)*IF(Inputs!$B$38="pvp",15,MAX(0.1,Skills!D5-IF(Skills!E5=TRUE,Inputs!$B$32,0))))))/Skills!G5,1)))/Inputs!$B$43),G271*Q271))*IF(Inputs!$B$38="pvp",1,1+(Inputs!$B$20+Skills!O5+B293)/100),0)</f>
        <v/>
      </c>
      <c r="U271">
        <f>IF(C271,(H271*N271*IF(AND(Inputs!$B$38&lt;&gt;"pvp",Inputs!$B$43&gt;0),((Skills!F5*((R271-1)*IF(Skills!G5&gt;0,Skills!H5/Skills!G5,1)+IF(Skills!G5&gt;0,MIN(Skills!H5,MAX(0,MAX(0,Inputs!$B$43-B299)-((R271-1)*IF(Inputs!$B$38="pvp",15,MAX(0.1,Skills!D5-IF(Skills!E5=TRUE,Inputs!$B$32,0))))))/Skills!G5,1)))/Inputs!$B$43),G271*Q271))*IF(Inputs!$B$38="pvp",1,(1+(Inputs!$B$21+Skills!P5+B293)/100)*(MIN(Skills!Q5,Inputs!$B$37))),0)</f>
        <v/>
      </c>
    </row>
    <row r="272">
      <c r="A272">
        <f>Skills!A6</f>
        <v/>
      </c>
      <c r="B272">
        <f>Skills!B6</f>
        <v/>
      </c>
      <c r="C272">
        <f>Inputs!$B$3&gt;=63</f>
        <v/>
      </c>
      <c r="D272">
        <f>IF(Skills!C6=1,60+Inputs!$B$25+Inputs!$B$29,IF(Skills!C6=2,90+Inputs!$B$26+Inputs!$B$29,IF(Skills!C6=3,120+Inputs!$B$27+Inputs!$B$29,MAX(0,(Inputs!$B$3-100)*3)+Inputs!$B$28+Inputs!$B$29)))</f>
        <v/>
      </c>
      <c r="E272">
        <f>INDEX(FactorTable!$B$2:$Y$301, MATCH(ROUND(MIN(300,MAX(1,D272)),0), FactorTable!$A$2:$A$301,0), Skills!L6+1)</f>
        <v/>
      </c>
      <c r="F272">
        <f>IF(Skills!M6=TRUE,(Skills!K6/10)*(E272/1000),Skills!K6/10)+Skills!N6</f>
        <v/>
      </c>
      <c r="G272">
        <f>Calc!G6</f>
        <v/>
      </c>
      <c r="H272">
        <f>Calc!H6</f>
        <v/>
      </c>
      <c r="I272">
        <f>IF(Skills!T6&lt;&gt;"",1+(Skills!T6/10)*(Z269/1000)/100,1)</f>
        <v/>
      </c>
      <c r="J272">
        <f>((Inputs!$B$6*(1+Inputs!$B$7/100))+(((Inputs!$B$12*(1+Inputs!$B$13/100))-(Inputs!$B$12*(1+Inputs!$B$13/100)))+0.25*(Inputs!$B$14-Inputs!$B$14))*(1+Inputs!$B$7/100))*(F272/100)</f>
        <v/>
      </c>
      <c r="K272">
        <f>J272*(1+((Inputs!$B$12*(1+Inputs!$B$13/100))*0.01+Inputs!$B$14*0.0025)/100)*(1+(Inputs!$B$15+B294)/100)*(1+Inputs!$B$16/100)*(5000/(6000+Inputs!$B$42*(1-Inputs!$B$19/100)))*(1+((((1+Inputs!$B$24/100)*(1.01))-1)*100)/100)*(1+IF(C281=TRUE,F281,0)/100)*(1+IF(C289=TRUE,F289,0)/100)^5*(1+(IF(Skills!A6="CHAIN_LIGHTNING",Inputs!$B$17,Inputs!$B$18))/100)*(B292*I272)</f>
        <v/>
      </c>
      <c r="L272">
        <f>K272*(MIN(Inputs!$B$22+(F284-Calc!F18),Inputs!$B$23)/100+Inputs!$B$23/100)/2</f>
        <v/>
      </c>
      <c r="M272">
        <f>L272*(1+(Inputs!$B$10+(F287-Calc!F21))/100)</f>
        <v/>
      </c>
      <c r="N272">
        <f>L272*(1-MIN(Inputs!$B$9+((F286-Calc!F20)+(F285-Calc!F19)),100)/100)+M272*(MIN(Inputs!$B$9+((F286-Calc!F20)+(F285-Calc!F19)),100)/100)</f>
        <v/>
      </c>
      <c r="O272">
        <f>(1-Summary!$B$51)*S272+Summary!$B$51*U272</f>
        <v/>
      </c>
      <c r="P272">
        <f>IF(B302=0,0,O272/B302)</f>
        <v/>
      </c>
      <c r="Q272">
        <f>IFERROR(1/IF(Inputs!$B$38="pvp",15,MAX(0.1,Skills!D6-IF(Skills!E6=TRUE,Inputs!$B$32,0))),0)</f>
        <v/>
      </c>
      <c r="R272">
        <f>IF(AND(Inputs!$B$38&lt;&gt;"pvp",Inputs!$B$43&gt;0),IF(MAX(0,Inputs!$B$43-B299)&lt;=0,0,(INT(MAX(0,Inputs!$B$43-B299)/IF(Inputs!$B$38="pvp",15,MAX(0.1,Skills!D6-IF(Skills!E6=TRUE,Inputs!$B$32,0))))+1)),0)</f>
        <v/>
      </c>
      <c r="S272">
        <f>IF(C272,(H272*N272*IF(AND(Inputs!$B$38&lt;&gt;"pvp",Inputs!$B$43&gt;0),((Skills!F6*((R272-1)*IF(Skills!G6&gt;0,Skills!H6/Skills!G6,1)+IF(Skills!G6&gt;0,MIN(Skills!H6,MAX(0,MAX(0,Inputs!$B$43-B299)-((R272-1)*IF(Inputs!$B$38="pvp",15,MAX(0.1,Skills!D6-IF(Skills!E6=TRUE,Inputs!$B$32,0))))))/Skills!G6,1)))/Inputs!$B$43),G272*Q272))*IF(Inputs!$B$38="pvp",1,1+(Inputs!$B$20+Skills!O6+B293)/100),0)</f>
        <v/>
      </c>
      <c r="U272">
        <f>IF(C272,(H272*N272*IF(AND(Inputs!$B$38&lt;&gt;"pvp",Inputs!$B$43&gt;0),((Skills!F6*((R272-1)*IF(Skills!G6&gt;0,Skills!H6/Skills!G6,1)+IF(Skills!G6&gt;0,MIN(Skills!H6,MAX(0,MAX(0,Inputs!$B$43-B299)-((R272-1)*IF(Inputs!$B$38="pvp",15,MAX(0.1,Skills!D6-IF(Skills!E6=TRUE,Inputs!$B$32,0))))))/Skills!G6,1)))/Inputs!$B$43),G272*Q272))*IF(Inputs!$B$38="pvp",1,(1+(Inputs!$B$21+Skills!P6+B293)/100)*(MIN(Skills!Q6,Inputs!$B$37))),0)</f>
        <v/>
      </c>
    </row>
    <row r="273">
      <c r="A273">
        <f>Skills!A7</f>
        <v/>
      </c>
      <c r="B273">
        <f>Skills!B7</f>
        <v/>
      </c>
      <c r="C273">
        <f>Inputs!$B$3&gt;=69</f>
        <v/>
      </c>
      <c r="D273">
        <f>IF(Skills!C7=1,60+Inputs!$B$25+Inputs!$B$29,IF(Skills!C7=2,90+Inputs!$B$26+Inputs!$B$29,IF(Skills!C7=3,120+Inputs!$B$27+Inputs!$B$29,MAX(0,(Inputs!$B$3-100)*3)+Inputs!$B$28+Inputs!$B$29)))</f>
        <v/>
      </c>
      <c r="E273">
        <f>INDEX(FactorTable!$B$2:$Y$301, MATCH(ROUND(MIN(300,MAX(1,D273)),0), FactorTable!$A$2:$A$301,0), Skills!L7+1)</f>
        <v/>
      </c>
      <c r="F273">
        <f>IF(Skills!M7=TRUE,(Skills!K7/10)*(E273/1000),Skills!K7/10)+Skills!N7</f>
        <v/>
      </c>
      <c r="G273">
        <f>Calc!G7</f>
        <v/>
      </c>
      <c r="H273">
        <f>Calc!H7</f>
        <v/>
      </c>
      <c r="I273">
        <f>IF(Skills!T7&lt;&gt;"",1+(Skills!T7/10)*(Z269/1000)/100,1)</f>
        <v/>
      </c>
      <c r="J273">
        <f>((Inputs!$B$6*(1+Inputs!$B$7/100))+(((Inputs!$B$12*(1+Inputs!$B$13/100))-(Inputs!$B$12*(1+Inputs!$B$13/100)))+0.25*(Inputs!$B$14-Inputs!$B$14))*(1+Inputs!$B$7/100))*(F273/100)</f>
        <v/>
      </c>
      <c r="K273">
        <f>J273*(1+((Inputs!$B$12*(1+Inputs!$B$13/100))*0.01+Inputs!$B$14*0.0025)/100)*(1+(Inputs!$B$15+B294)/100)*(1+Inputs!$B$16/100)*(5000/(6000+Inputs!$B$42*(1-Inputs!$B$19/100)))*(1+((((1+Inputs!$B$24/100)*(1.01))-1)*100)/100)*(1+IF(C281=TRUE,F281,0)/100)*(1+IF(C289=TRUE,F289,0)/100)^5*(1+(IF(Skills!A7="CHAIN_LIGHTNING",Inputs!$B$17,Inputs!$B$18))/100)*(B292*I273)</f>
        <v/>
      </c>
      <c r="L273">
        <f>K273*(MIN(Inputs!$B$22+(F284-Calc!F18),Inputs!$B$23)/100+Inputs!$B$23/100)/2</f>
        <v/>
      </c>
      <c r="M273">
        <f>L273*(1+(Inputs!$B$10+(F287-Calc!F21))/100)</f>
        <v/>
      </c>
      <c r="N273">
        <f>L273*(1-MIN(Inputs!$B$9+((F286-Calc!F20)+(F285-Calc!F19)),100)/100)+M273*(MIN(Inputs!$B$9+((F286-Calc!F20)+(F285-Calc!F19)),100)/100)</f>
        <v/>
      </c>
      <c r="O273">
        <f>(1-Summary!$B$51)*S273+Summary!$B$51*U273</f>
        <v/>
      </c>
      <c r="P273">
        <f>IF(B302=0,0,O273/B302)</f>
        <v/>
      </c>
      <c r="Q273">
        <f>IFERROR(1/IF(Inputs!$B$38="pvp",15,MAX(0.1,Skills!D7-IF(Skills!E7=TRUE,Inputs!$B$32,0))),0)</f>
        <v/>
      </c>
      <c r="R273">
        <f>IF(AND(Inputs!$B$38&lt;&gt;"pvp",Inputs!$B$43&gt;0),IF(MAX(0,Inputs!$B$43-B299)&lt;=0,0,(INT(MAX(0,Inputs!$B$43-B299)/IF(Inputs!$B$38="pvp",15,MAX(0.1,Skills!D7-IF(Skills!E7=TRUE,Inputs!$B$32,0))))+1)),0)</f>
        <v/>
      </c>
      <c r="S273">
        <f>IF(C273,(H273*N273*IF(AND(Inputs!$B$38&lt;&gt;"pvp",Inputs!$B$43&gt;0),((Skills!F7*((R273-1)*IF(Skills!G7&gt;0,Skills!H7/Skills!G7,1)+IF(Skills!G7&gt;0,MIN(Skills!H7,MAX(0,MAX(0,Inputs!$B$43-B299)-((R273-1)*IF(Inputs!$B$38="pvp",15,MAX(0.1,Skills!D7-IF(Skills!E7=TRUE,Inputs!$B$32,0))))))/Skills!G7,1)))/Inputs!$B$43),G273*Q273))*IF(Inputs!$B$38="pvp",1,1+(Inputs!$B$20+Skills!O7+B293)/100),0)</f>
        <v/>
      </c>
      <c r="U273">
        <f>IF(C273,(H273*N273*IF(AND(Inputs!$B$38&lt;&gt;"pvp",Inputs!$B$43&gt;0),((Skills!F7*((R273-1)*IF(Skills!G7&gt;0,Skills!H7/Skills!G7,1)+IF(Skills!G7&gt;0,MIN(Skills!H7,MAX(0,MAX(0,Inputs!$B$43-B299)-((R273-1)*IF(Inputs!$B$38="pvp",15,MAX(0.1,Skills!D7-IF(Skills!E7=TRUE,Inputs!$B$32,0))))))/Skills!G7,1)))/Inputs!$B$43),G273*Q273))*IF(Inputs!$B$38="pvp",1,(1+(Inputs!$B$21+Skills!P7+B293)/100)*(MIN(Skills!Q7,Inputs!$B$37))),0)</f>
        <v/>
      </c>
    </row>
    <row r="274">
      <c r="A274">
        <f>Skills!A8</f>
        <v/>
      </c>
      <c r="B274">
        <f>Skills!B8</f>
        <v/>
      </c>
      <c r="C274">
        <f>Inputs!$B$3&gt;=103</f>
        <v/>
      </c>
      <c r="D274">
        <f>IF(Skills!C8=1,60+Inputs!$B$25+Inputs!$B$29,IF(Skills!C8=2,90+Inputs!$B$26+Inputs!$B$29,IF(Skills!C8=3,120+Inputs!$B$27+Inputs!$B$29,MAX(0,(Inputs!$B$3-100)*3)+Inputs!$B$28+Inputs!$B$29)))</f>
        <v/>
      </c>
      <c r="E274">
        <f>INDEX(FactorTable!$B$2:$Y$301, MATCH(ROUND(MIN(300,MAX(1,D274)),0), FactorTable!$A$2:$A$301,0), Skills!L8+1)</f>
        <v/>
      </c>
      <c r="F274">
        <f>IF(Skills!M8=TRUE,(Skills!K8/10)*(E274/1000),Skills!K8/10)+Skills!N8</f>
        <v/>
      </c>
      <c r="G274">
        <f>Calc!G8</f>
        <v/>
      </c>
      <c r="H274">
        <f>Calc!H8</f>
        <v/>
      </c>
      <c r="I274">
        <f>IF(Skills!T8&lt;&gt;"",1+(Skills!T8/10)*(Z269/1000)/100,1)</f>
        <v/>
      </c>
      <c r="J274">
        <f>((Inputs!$B$6*(1+Inputs!$B$7/100))+(((Inputs!$B$12*(1+Inputs!$B$13/100))-(Inputs!$B$12*(1+Inputs!$B$13/100)))+0.25*(Inputs!$B$14-Inputs!$B$14))*(1+Inputs!$B$7/100))*(F274/100)</f>
        <v/>
      </c>
      <c r="K274">
        <f>J274*(1+((Inputs!$B$12*(1+Inputs!$B$13/100))*0.01+Inputs!$B$14*0.0025)/100)*(1+(Inputs!$B$15+B294)/100)*(1+Inputs!$B$16/100)*(5000/(6000+Inputs!$B$42*(1-Inputs!$B$19/100)))*(1+((((1+Inputs!$B$24/100)*(1.01))-1)*100)/100)*(1+IF(C281=TRUE,F281,0)/100)*(1+IF(C289=TRUE,F289,0)/100)^5*(1+(IF(Skills!A8="CHAIN_LIGHTNING",Inputs!$B$17,Inputs!$B$18))/100)*(B292*I274)</f>
        <v/>
      </c>
      <c r="L274">
        <f>K274*(MIN(Inputs!$B$22+(F284-Calc!F18),Inputs!$B$23)/100+Inputs!$B$23/100)/2</f>
        <v/>
      </c>
      <c r="M274">
        <f>L274*(1+(Inputs!$B$10+(F287-Calc!F21))/100)</f>
        <v/>
      </c>
      <c r="N274">
        <f>L274*(1-MIN(Inputs!$B$9+((F286-Calc!F20)+(F285-Calc!F19)),100)/100)+M274*(MIN(Inputs!$B$9+((F286-Calc!F20)+(F285-Calc!F19)),100)/100)</f>
        <v/>
      </c>
      <c r="O274">
        <f>(1-Summary!$B$51)*S274+Summary!$B$51*U274</f>
        <v/>
      </c>
      <c r="P274">
        <f>IF(B302=0,0,O274/B302)</f>
        <v/>
      </c>
      <c r="Q274">
        <f>IFERROR(1/IF(Inputs!$B$38="pvp",15,MAX(0.1,Skills!D8-IF(Skills!E8=TRUE,Inputs!$B$32,0))),0)</f>
        <v/>
      </c>
      <c r="R274">
        <f>IF(AND(Inputs!$B$38&lt;&gt;"pvp",Inputs!$B$43&gt;0),IF(MAX(0,Inputs!$B$43-B299)&lt;=0,0,(INT(MAX(0,Inputs!$B$43-B299)/IF(Inputs!$B$38="pvp",15,MAX(0.1,Skills!D8-IF(Skills!E8=TRUE,Inputs!$B$32,0))))+1)),0)</f>
        <v/>
      </c>
      <c r="S274">
        <f>IF(C274,(H274*N274*IF(AND(Inputs!$B$38&lt;&gt;"pvp",Inputs!$B$43&gt;0),((Skills!F8*((R274-1)*IF(Skills!G8&gt;0,Skills!H8/Skills!G8,1)+IF(Skills!G8&gt;0,MIN(Skills!H8,MAX(0,MAX(0,Inputs!$B$43-B299)-((R274-1)*IF(Inputs!$B$38="pvp",15,MAX(0.1,Skills!D8-IF(Skills!E8=TRUE,Inputs!$B$32,0))))))/Skills!G8,1)))/Inputs!$B$43),G274*Q274))*IF(Inputs!$B$38="pvp",1,1+(Inputs!$B$20+Skills!O8+B293)/100),0)</f>
        <v/>
      </c>
      <c r="U274">
        <f>IF(C274,(H274*N274*IF(AND(Inputs!$B$38&lt;&gt;"pvp",Inputs!$B$43&gt;0),((Skills!F8*((R274-1)*IF(Skills!G8&gt;0,Skills!H8/Skills!G8,1)+IF(Skills!G8&gt;0,MIN(Skills!H8,MAX(0,MAX(0,Inputs!$B$43-B299)-((R274-1)*IF(Inputs!$B$38="pvp",15,MAX(0.1,Skills!D8-IF(Skills!E8=TRUE,Inputs!$B$32,0))))))/Skills!G8,1)))/Inputs!$B$43),G274*Q274))*IF(Inputs!$B$38="pvp",1,(1+(Inputs!$B$21+Skills!P8+B293)/100)*(MIN(Skills!Q8,Inputs!$B$37))),0)</f>
        <v/>
      </c>
    </row>
    <row r="275">
      <c r="A275">
        <f>Skills!A9</f>
        <v/>
      </c>
      <c r="B275">
        <f>Skills!B9</f>
        <v/>
      </c>
      <c r="C275">
        <f>Inputs!$B$3&gt;=105</f>
        <v/>
      </c>
      <c r="D275">
        <f>IF(Skills!C9=1,60+Inputs!$B$25+Inputs!$B$29,IF(Skills!C9=2,90+Inputs!$B$26+Inputs!$B$29,IF(Skills!C9=3,120+Inputs!$B$27+Inputs!$B$29,MAX(0,(Inputs!$B$3-100)*3)+Inputs!$B$28+Inputs!$B$29)))</f>
        <v/>
      </c>
      <c r="E275">
        <f>INDEX(FactorTable!$B$2:$Y$301, MATCH(ROUND(MIN(300,MAX(1,D275)),0), FactorTable!$A$2:$A$301,0), Skills!L9+1)</f>
        <v/>
      </c>
      <c r="F275">
        <f>IF(Skills!M9=TRUE,(Skills!K9/10)*(E275/1000),Skills!K9/10)+Skills!N9</f>
        <v/>
      </c>
      <c r="G275">
        <f>Calc!G9</f>
        <v/>
      </c>
      <c r="H275">
        <f>Calc!H9</f>
        <v/>
      </c>
      <c r="I275">
        <f>IF(Skills!T9&lt;&gt;"",1+(Skills!T9/10)*(Z269/1000)/100,1)</f>
        <v/>
      </c>
      <c r="J275">
        <f>((Inputs!$B$6*(1+Inputs!$B$7/100))+(((Inputs!$B$12*(1+Inputs!$B$13/100))-(Inputs!$B$12*(1+Inputs!$B$13/100)))+0.25*(Inputs!$B$14-Inputs!$B$14))*(1+Inputs!$B$7/100))*(F275/100)</f>
        <v/>
      </c>
      <c r="K275">
        <f>J275*(1+((Inputs!$B$12*(1+Inputs!$B$13/100))*0.01+Inputs!$B$14*0.0025)/100)*(1+(Inputs!$B$15+B294)/100)*(1+Inputs!$B$16/100)*(5000/(6000+Inputs!$B$42*(1-Inputs!$B$19/100)))*(1+((((1+Inputs!$B$24/100)*(1.01))-1)*100)/100)*(1+IF(C281=TRUE,F281,0)/100)*(1+IF(C289=TRUE,F289,0)/100)^5*(1+(IF(Skills!A9="CHAIN_LIGHTNING",Inputs!$B$17,Inputs!$B$18))/100)*(B292*I275)</f>
        <v/>
      </c>
      <c r="L275">
        <f>K275*(MIN(Inputs!$B$22+(F284-Calc!F18),Inputs!$B$23)/100+Inputs!$B$23/100)/2</f>
        <v/>
      </c>
      <c r="M275">
        <f>L275*(1+(Inputs!$B$10+(F287-Calc!F21))/100)</f>
        <v/>
      </c>
      <c r="N275">
        <f>L275*(1-MIN(Inputs!$B$9+((F286-Calc!F20)+(F285-Calc!F19)),100)/100)+M275*(MIN(Inputs!$B$9+((F286-Calc!F20)+(F285-Calc!F19)),100)/100)</f>
        <v/>
      </c>
      <c r="O275">
        <f>(1-Summary!$B$51)*S275+Summary!$B$51*U275</f>
        <v/>
      </c>
      <c r="P275">
        <f>IF(B302=0,0,O275/B302)</f>
        <v/>
      </c>
      <c r="Q275">
        <f>IFERROR(1/IF(Inputs!$B$38="pvp",15,MAX(0.1,Skills!D9-IF(Skills!E9=TRUE,Inputs!$B$32,0))),0)</f>
        <v/>
      </c>
      <c r="R275">
        <f>IF(AND(Inputs!$B$38&lt;&gt;"pvp",Inputs!$B$43&gt;0),IF(MAX(0,Inputs!$B$43-B299)&lt;=0,0,(INT(MAX(0,Inputs!$B$43-B299)/IF(Inputs!$B$38="pvp",15,MAX(0.1,Skills!D9-IF(Skills!E9=TRUE,Inputs!$B$32,0))))+1)),0)</f>
        <v/>
      </c>
      <c r="S275">
        <f>IF(C275,(H275*N275*IF(AND(Inputs!$B$38&lt;&gt;"pvp",Inputs!$B$43&gt;0),((Skills!F9*((R275-1)*IF(Skills!G9&gt;0,Skills!H9/Skills!G9,1)+IF(Skills!G9&gt;0,MIN(Skills!H9,MAX(0,MAX(0,Inputs!$B$43-B299)-((R275-1)*IF(Inputs!$B$38="pvp",15,MAX(0.1,Skills!D9-IF(Skills!E9=TRUE,Inputs!$B$32,0))))))/Skills!G9,1)))/Inputs!$B$43),G275*Q275))*IF(Inputs!$B$38="pvp",1,1+(Inputs!$B$20+Skills!O9+B293)/100),0)</f>
        <v/>
      </c>
      <c r="U275">
        <f>IF(C275,(H275*N275*IF(AND(Inputs!$B$38&lt;&gt;"pvp",Inputs!$B$43&gt;0),((Skills!F9*((R275-1)*IF(Skills!G9&gt;0,Skills!H9/Skills!G9,1)+IF(Skills!G9&gt;0,MIN(Skills!H9,MAX(0,MAX(0,Inputs!$B$43-B299)-((R275-1)*IF(Inputs!$B$38="pvp",15,MAX(0.1,Skills!D9-IF(Skills!E9=TRUE,Inputs!$B$32,0))))))/Skills!G9,1)))/Inputs!$B$43),G275*Q275))*IF(Inputs!$B$38="pvp",1,(1+(Inputs!$B$21+Skills!P9+B293)/100)*(MIN(Skills!Q9,Inputs!$B$37))),0)</f>
        <v/>
      </c>
    </row>
    <row r="276">
      <c r="A276">
        <f>Skills!A10</f>
        <v/>
      </c>
      <c r="B276">
        <f>Skills!B10</f>
        <v/>
      </c>
      <c r="C276">
        <f>Inputs!$B$3&gt;=113</f>
        <v/>
      </c>
      <c r="D276">
        <f>IF(Skills!C10=1,60+Inputs!$B$25+Inputs!$B$29,IF(Skills!C10=2,90+Inputs!$B$26+Inputs!$B$29,IF(Skills!C10=3,120+Inputs!$B$27+Inputs!$B$29,MAX(0,(Inputs!$B$3-100)*3)+Inputs!$B$28+Inputs!$B$29)))</f>
        <v/>
      </c>
      <c r="E276">
        <f>INDEX(FactorTable!$B$2:$Y$301, MATCH(ROUND(MIN(300,MAX(1,D276)),0), FactorTable!$A$2:$A$301,0), Skills!L10+1)</f>
        <v/>
      </c>
      <c r="F276">
        <f>IF(Skills!M10=TRUE,(Skills!K10/10)*(E276/1000),Skills!K10/10)+Skills!N10</f>
        <v/>
      </c>
      <c r="G276">
        <f>Calc!G10</f>
        <v/>
      </c>
      <c r="H276">
        <f>Calc!H10</f>
        <v/>
      </c>
      <c r="I276">
        <f>IF(Skills!T10&lt;&gt;"",1+(Skills!T10/10)*(Z269/1000)/100,1)</f>
        <v/>
      </c>
      <c r="J276">
        <f>((Inputs!$B$6*(1+Inputs!$B$7/100))+(((Inputs!$B$12*(1+Inputs!$B$13/100))-(Inputs!$B$12*(1+Inputs!$B$13/100)))+0.25*(Inputs!$B$14-Inputs!$B$14))*(1+Inputs!$B$7/100))*(F276/100)</f>
        <v/>
      </c>
      <c r="K276">
        <f>J276*(1+((Inputs!$B$12*(1+Inputs!$B$13/100))*0.01+Inputs!$B$14*0.0025)/100)*(1+(Inputs!$B$15+B294)/100)*(1+Inputs!$B$16/100)*(5000/(6000+Inputs!$B$42*(1-Inputs!$B$19/100)))*(1+((((1+Inputs!$B$24/100)*(1.01))-1)*100)/100)*(1+IF(C281=TRUE,F281,0)/100)*(1+IF(C289=TRUE,F289,0)/100)^5*(1+(IF(Skills!A10="CHAIN_LIGHTNING",Inputs!$B$17,Inputs!$B$18))/100)*(B292*I276)</f>
        <v/>
      </c>
      <c r="L276">
        <f>K276*(MIN(Inputs!$B$22+(F284-Calc!F18),Inputs!$B$23)/100+Inputs!$B$23/100)/2</f>
        <v/>
      </c>
      <c r="M276">
        <f>L276*(1+(Inputs!$B$10+(F287-Calc!F21))/100)</f>
        <v/>
      </c>
      <c r="N276">
        <f>L276*(1-MIN(Inputs!$B$9+((F286-Calc!F20)+(F285-Calc!F19)),100)/100)+M276*(MIN(Inputs!$B$9+((F286-Calc!F20)+(F285-Calc!F19)),100)/100)</f>
        <v/>
      </c>
      <c r="O276">
        <f>(1-Summary!$B$51)*S276+Summary!$B$51*U276</f>
        <v/>
      </c>
      <c r="P276">
        <f>IF(B302=0,0,O276/B302)</f>
        <v/>
      </c>
      <c r="Q276">
        <f>IFERROR(1/IF(Inputs!$B$38="pvp",15,MAX(0.1,Skills!D10-IF(Skills!E9=TRUE,Inputs!$B$32,0))),0)</f>
        <v/>
      </c>
      <c r="R276">
        <f>IF(AND(Inputs!$B$38&lt;&gt;"pvp",Inputs!$B$43&gt;0),IF(MAX(0,Inputs!$B$43-B299)&lt;=0,0,(INT(MAX(0,Inputs!$B$43-B299)/IF(Inputs!$B$38="pvp",15,MAX(0.1,Skills!D10-IF(Skills!E9=TRUE,Inputs!$B$32,0))))+1)),0)</f>
        <v/>
      </c>
      <c r="S276">
        <f>IF(C276,(H276*N276*IF(AND(Inputs!$B$38&lt;&gt;"pvp",Inputs!$B$43&gt;0),((Skills!F10*((R276-1)*IF(Skills!G10&gt;0,Skills!H10/Skills!G10,1)+IF(Skills!G10&gt;0,MIN(Skills!H10,MAX(0,MAX(0,Inputs!$B$43-B299)-((R276-1)*IF(Inputs!$B$38="pvp",15,MAX(0.1,Skills!D10-IF(Skills!E9=TRUE,Inputs!$B$32,0))))))/Skills!G10,1)))/Inputs!$B$43),G276*Q276))*IF(Inputs!$B$38="pvp",1,1+(Inputs!$B$20+Skills!O10+B293)/100),0)</f>
        <v/>
      </c>
      <c r="U276">
        <f>IF(C276,(H276*N276*IF(AND(Inputs!$B$38&lt;&gt;"pvp",Inputs!$B$43&gt;0),((Skills!F10*((R276-1)*IF(Skills!G10&gt;0,Skills!H10/Skills!G10,1)+IF(Skills!G10&gt;0,MIN(Skills!H10,MAX(0,MAX(0,Inputs!$B$43-B299)-((R276-1)*IF(Inputs!$B$38="pvp",15,MAX(0.1,Skills!D10-IF(Skills!E9=TRUE,Inputs!$B$32,0))))))/Skills!G10,1)))/Inputs!$B$43),G276*Q276))*IF(Inputs!$B$38="pvp",1,(1+(Inputs!$B$21+Skills!P10+B293)/100)*(MIN(Skills!Q10,Inputs!$B$37))),0)</f>
        <v/>
      </c>
    </row>
    <row r="277">
      <c r="A277">
        <f>Skills!A11</f>
        <v/>
      </c>
      <c r="B277">
        <f>Skills!B11</f>
        <v/>
      </c>
      <c r="C277">
        <f>Inputs!$B$3&gt;=107</f>
        <v/>
      </c>
      <c r="D277">
        <f>IF(Skills!C11=1,60+Inputs!$B$25+Inputs!$B$29,IF(Skills!C11=2,90+Inputs!$B$26+Inputs!$B$29,IF(Skills!C11=3,120+Inputs!$B$27+Inputs!$B$29,MAX(0,(Inputs!$B$3-100)*3)+Inputs!$B$28+Inputs!$B$29)))</f>
        <v/>
      </c>
      <c r="E277">
        <f>INDEX(FactorTable!$B$2:$Y$301, MATCH(ROUND(MIN(300,MAX(1,D277)),0), FactorTable!$A$2:$A$301,0), Skills!L11+1)</f>
        <v/>
      </c>
      <c r="F277">
        <f>IF(Skills!M11=TRUE,(Skills!K11/10)*(E277/1000),Skills!K11/10)+Skills!N11</f>
        <v/>
      </c>
      <c r="G277">
        <f>Calc!G11</f>
        <v/>
      </c>
      <c r="H277">
        <f>Calc!H11</f>
        <v/>
      </c>
      <c r="I277">
        <f>IF(Skills!T11&lt;&gt;"",1+(Skills!T11/10)*(Z269/1000)/100,1)</f>
        <v/>
      </c>
      <c r="J277">
        <f>((Inputs!$B$6*(1+Inputs!$B$7/100))+(((Inputs!$B$12*(1+Inputs!$B$13/100))-(Inputs!$B$12*(1+Inputs!$B$13/100)))+0.25*(Inputs!$B$14-Inputs!$B$14))*(1+Inputs!$B$7/100))*(F277/100)</f>
        <v/>
      </c>
      <c r="K277">
        <f>J277*(1+((Inputs!$B$12*(1+Inputs!$B$13/100))*0.01+Inputs!$B$14*0.0025)/100)*(1+(Inputs!$B$15+B294)/100)*(1+Inputs!$B$16/100)*(5000/(6000+Inputs!$B$42*(1-Inputs!$B$19/100)))*(1+((((1+Inputs!$B$24/100)*(1.01))-1)*100)/100)*(1+IF(C281=TRUE,F281,0)/100)*(1+IF(C289=TRUE,F289,0)/100)^5*(1+(IF(Skills!A11="CHAIN_LIGHTNING",Inputs!$B$17,Inputs!$B$18))/100)*(B292*I277)</f>
        <v/>
      </c>
      <c r="L277">
        <f>K277*(MIN(Inputs!$B$22+(F284-Calc!F18),Inputs!$B$23)/100+Inputs!$B$23/100)/2</f>
        <v/>
      </c>
      <c r="M277">
        <f>L277*(1+(Inputs!$B$10+(F287-Calc!F21))/100)</f>
        <v/>
      </c>
      <c r="N277">
        <f>L277*(1-MIN(Inputs!$B$9+((F286-Calc!F20)+(F285-Calc!F19)),100)/100)+M277*(MIN(Inputs!$B$9+((F286-Calc!F20)+(F285-Calc!F19)),100)/100)</f>
        <v/>
      </c>
      <c r="O277">
        <f>(1-Summary!$B$51)*S277+Summary!$B$51*U277</f>
        <v/>
      </c>
      <c r="P277">
        <f>IF(B302=0,0,O277/B302)</f>
        <v/>
      </c>
      <c r="Q277">
        <f>IFERROR(1/IF(Inputs!$B$38="pvp",15,MAX(0.1,Skills!D11-IF(Skills!E11=TRUE,Inputs!$B$32,0))),0)</f>
        <v/>
      </c>
      <c r="R277">
        <f>IF(AND(Inputs!$B$38&lt;&gt;"pvp",Inputs!$B$43&gt;0),IF(MAX(0,Inputs!$B$43-B299)&lt;=0,0,(INT(MAX(0,Inputs!$B$43-B299)/IF(Inputs!$B$38="pvp",15,MAX(0.1,Skills!D11-IF(Skills!E11=TRUE,Inputs!$B$32,0))))+1)),0)</f>
        <v/>
      </c>
      <c r="S277">
        <f>IF(C277,H277*N277*IF(AND(Inputs!$B$38&lt;&gt;"pvp",Inputs!$B$43&gt;0),((Skills!F11*((R277-1)*IF(Skills!G11&gt;0,Skills!H11/Skills!G11,1)+IF(Skills!G11&gt;0,MIN(Skills!H11,MAX(0,MAX(0,Inputs!$B$43-B299)-((R277-1)*IF(Inputs!$B$38="pvp",15,MAX(0.1,Skills!D11-IF(Skills!E11=TRUE,Inputs!$B$32,0))))))/Skills!G11,1)))/Inputs!$B$43),G277*Q277)*0.5*IF(Inputs!$B$38="pvp",1,1+(Inputs!$B$20+Skills!O11+B293)/100),0)</f>
        <v/>
      </c>
      <c r="U277">
        <f>IF(C277,H277*N277*IF(AND(Inputs!$B$38&lt;&gt;"pvp",Inputs!$B$43&gt;0),((Skills!F11*((R277-1)*IF(Skills!G11&gt;0,Skills!H11/Skills!G11,1)+IF(Skills!G11&gt;0,MIN(Skills!H11,MAX(0,MAX(0,Inputs!$B$43-B299)-((R277-1)*IF(Inputs!$B$38="pvp",15,MAX(0.1,Skills!D11-IF(Skills!E11=TRUE,Inputs!$B$32,0))))))/Skills!G11,1)))/Inputs!$B$43),G277*Q277)*1*IF(Inputs!$B$38="pvp",1,(1+(Inputs!$B$21+Skills!P11+B293)/100)*(MIN(Skills!Q11,Inputs!$B$37))),0)</f>
        <v/>
      </c>
    </row>
    <row r="278">
      <c r="A278">
        <f>Skills!A12</f>
        <v/>
      </c>
      <c r="B278">
        <f>Skills!B12</f>
        <v/>
      </c>
      <c r="C278">
        <f>Inputs!$B$3&gt;=115</f>
        <v/>
      </c>
      <c r="D278">
        <f>IF(Skills!C12=1,60+Inputs!$B$25+Inputs!$B$29,IF(Skills!C12=2,90+Inputs!$B$26+Inputs!$B$29,IF(Skills!C12=3,120+Inputs!$B$27+Inputs!$B$29,MAX(0,(Inputs!$B$3-100)*3)+Inputs!$B$28+Inputs!$B$29)))</f>
        <v/>
      </c>
      <c r="E278">
        <f>INDEX(FactorTable!$B$2:$Y$301, MATCH(ROUND(MIN(300,MAX(1,D278)),0), FactorTable!$A$2:$A$301,0), Skills!L12+1)</f>
        <v/>
      </c>
      <c r="F278">
        <f>IF(Skills!M12=TRUE,(Skills!K12/10)*(E278/1000),Skills!K12/10)+Skills!N12</f>
        <v/>
      </c>
      <c r="G278">
        <f>Calc!G12</f>
        <v/>
      </c>
      <c r="H278">
        <f>Calc!H12</f>
        <v/>
      </c>
      <c r="I278">
        <f>IF(Skills!T12&lt;&gt;"",1+(Skills!T12/10)*(Z269/1000)/100,1)</f>
        <v/>
      </c>
      <c r="J278">
        <f>((Inputs!$B$6*(1+Inputs!$B$7/100))+(((Inputs!$B$12*(1+Inputs!$B$13/100))-(Inputs!$B$12*(1+Inputs!$B$13/100)))+0.25*(Inputs!$B$14-Inputs!$B$14))*(1+Inputs!$B$7/100))*(F278/100)</f>
        <v/>
      </c>
      <c r="K278">
        <f>J278*(1+((Inputs!$B$12*(1+Inputs!$B$13/100))*0.01+Inputs!$B$14*0.0025)/100)*(1+(Inputs!$B$15+B294)/100)*(1+Inputs!$B$16/100)*(5000/(6000+Inputs!$B$42*(1-Inputs!$B$19/100)))*(1+((((1+Inputs!$B$24/100)*(1.01))-1)*100)/100)*(1+IF(C281=TRUE,F281,0)/100)*(1+IF(C289=TRUE,F289,0)/100)^5*(1+(IF(Skills!A12="CHAIN_LIGHTNING",Inputs!$B$17,Inputs!$B$18))/100)*(B292*I278)</f>
        <v/>
      </c>
      <c r="L278">
        <f>K278*(MIN(Inputs!$B$22+(F284-Calc!F18),Inputs!$B$23)/100+Inputs!$B$23/100)/2</f>
        <v/>
      </c>
      <c r="M278">
        <f>L278*(1+(Inputs!$B$10+(F287-Calc!F21))/100)</f>
        <v/>
      </c>
      <c r="N278">
        <f>L278*(1-MIN(Inputs!$B$9+((F286-Calc!F20)+(F285-Calc!F19)),100)/100)+M278*(MIN(Inputs!$B$9+((F286-Calc!F20)+(F285-Calc!F19)),100)/100)</f>
        <v/>
      </c>
      <c r="O278">
        <f>(1-Summary!$B$51)*S278+Summary!$B$51*U278</f>
        <v/>
      </c>
      <c r="P278">
        <f>IF(B302=0,0,O278/B302)</f>
        <v/>
      </c>
      <c r="Q278">
        <f>IFERROR(1/IF(Inputs!$B$38="pvp",15,MAX(0.1,Skills!D12-IF(Skills!E12=TRUE,Inputs!$B$32,0))),0)</f>
        <v/>
      </c>
      <c r="R278">
        <f>IF(AND(Inputs!$B$38&lt;&gt;"pvp",Inputs!$B$43&gt;0),IF(MAX(0,Inputs!$B$43-B299)&lt;=0,0,(INT(MAX(0,Inputs!$B$43-B299)/IF(Inputs!$B$38="pvp",15,MAX(0.1,Skills!D12-IF(Skills!E12=TRUE,Inputs!$B$32,0))))+1)),0)</f>
        <v/>
      </c>
      <c r="S278">
        <f>IF(C278,(H278*N278*IF(AND(Inputs!$B$38&lt;&gt;"pvp",Inputs!$B$43&gt;0),((Skills!F12*((R278-1)*IF(Skills!G12&gt;0,Skills!H12/Skills!G12,1)+IF(Skills!G12&gt;0,MIN(Skills!H12,MAX(0,MAX(0,Inputs!$B$43-B299)-((R278-1)*IF(Inputs!$B$38="pvp",15,MAX(0.1,Skills!D12-IF(Skills!E12=TRUE,Inputs!$B$32,0))))))/Skills!G12,1)))/Inputs!$B$43),G278*Q278))*IF(Inputs!$B$38="pvp",1,1+(Inputs!$B$20+Skills!O12+B293)/100),0)</f>
        <v/>
      </c>
      <c r="U278">
        <f>IF(C278,(H278*N278*IF(AND(Inputs!$B$38&lt;&gt;"pvp",Inputs!$B$43&gt;0),((Skills!F12*((R278-1)*IF(Skills!G12&gt;0,Skills!H12/Skills!G12,1)+IF(Skills!G12&gt;0,MIN(Skills!H12,MAX(0,MAX(0,Inputs!$B$43-B299)-((R278-1)*IF(Inputs!$B$38="pvp",15,MAX(0.1,Skills!D12-IF(Skills!E12=TRUE,Inputs!$B$32,0))))))/Skills!G12,1)))/Inputs!$B$43),G278*Q278))*IF(Inputs!$B$38="pvp",1,(1+(Inputs!$B$21+Skills!P12+B293)/100)*(MIN(Skills!Q12,Inputs!$B$37))),0)</f>
        <v/>
      </c>
    </row>
    <row r="279">
      <c r="A279">
        <f>Skills!A13</f>
        <v/>
      </c>
      <c r="B279">
        <f>Skills!B13</f>
        <v/>
      </c>
      <c r="C279">
        <f>Inputs!$B$3&gt;=49</f>
        <v/>
      </c>
      <c r="D279">
        <f>IF(Skills!C13=1,60+Inputs!$B$25+Inputs!$B$29,IF(Skills!C13=2,90+Inputs!$B$26+Inputs!$B$29,IF(Skills!C13=3,120+Inputs!$B$27+Inputs!$B$29,MAX(0,(Inputs!$B$3-100)*3)+Inputs!$B$28+Inputs!$B$29)))</f>
        <v/>
      </c>
      <c r="E279">
        <f>INDEX(FactorTable!$B$2:$Y$301, MATCH(ROUND(MIN(300,MAX(1,D279)),0), FactorTable!$A$2:$A$301,0), Skills!L13+1)</f>
        <v/>
      </c>
      <c r="F279">
        <f>IF(Skills!M13=TRUE,(Skills!K13/10)*(E279/1000),Skills!K13/10)+Skills!N13</f>
        <v/>
      </c>
      <c r="G279">
        <f>Calc!G13</f>
        <v/>
      </c>
      <c r="H279">
        <f>Calc!H13</f>
        <v/>
      </c>
      <c r="I279">
        <f>IF(Skills!T13&lt;&gt;"",1+(Skills!T13/10)*(Z269/1000)/100,1)</f>
        <v/>
      </c>
      <c r="J279" t="inlineStr"/>
      <c r="K279" t="inlineStr"/>
      <c r="L279" t="inlineStr"/>
      <c r="M279" t="inlineStr"/>
      <c r="N279" t="inlineStr"/>
      <c r="O279">
        <f>(1-Summary!$B$51)*S279+Summary!$B$51*U279</f>
        <v/>
      </c>
      <c r="P279">
        <f>IF(B302=0,0,O279/B302)</f>
        <v/>
      </c>
      <c r="Q279">
        <f>IFERROR(1/IF(Inputs!$B$38="pvp",15,MAX(0.1,Skills!D13-IF(Skills!E13=TRUE,Inputs!$B$32,0))),0)</f>
        <v/>
      </c>
      <c r="R279" t="n">
        <v>0</v>
      </c>
      <c r="S279" t="n">
        <v>0</v>
      </c>
      <c r="U279" t="n">
        <v>0</v>
      </c>
    </row>
    <row r="280">
      <c r="A280">
        <f>Skills!A14</f>
        <v/>
      </c>
      <c r="B280">
        <f>Skills!B14</f>
        <v/>
      </c>
      <c r="C280">
        <f>Inputs!$B$3&gt;=72</f>
        <v/>
      </c>
      <c r="D280">
        <f>IF(Skills!C14=1,60+Inputs!$B$25+Inputs!$B$29,IF(Skills!C14=2,90+Inputs!$B$26+Inputs!$B$29,IF(Skills!C14=3,120+Inputs!$B$27+Inputs!$B$29,MAX(0,(Inputs!$B$3-100)*3)+Inputs!$B$28+Inputs!$B$29)))</f>
        <v/>
      </c>
      <c r="E280">
        <f>INDEX(FactorTable!$B$2:$Y$301, MATCH(ROUND(MIN(300,MAX(1,D280)),0), FactorTable!$A$2:$A$301,0), Skills!L14+1)</f>
        <v/>
      </c>
      <c r="F280">
        <f>IF(Skills!M14=TRUE,(Skills!K14/10)*(E280/1000),Skills!K14/10)+Skills!N14</f>
        <v/>
      </c>
      <c r="G280">
        <f>Calc!G14</f>
        <v/>
      </c>
      <c r="H280">
        <f>Calc!H14</f>
        <v/>
      </c>
      <c r="I280">
        <f>IF(Skills!T14&lt;&gt;"",1+(Skills!T14/10)*(Z269/1000)/100,1)</f>
        <v/>
      </c>
      <c r="J280" t="inlineStr"/>
      <c r="K280" t="inlineStr"/>
      <c r="L280" t="inlineStr"/>
      <c r="M280" t="inlineStr"/>
      <c r="N280" t="inlineStr"/>
      <c r="O280">
        <f>(1-Summary!$B$51)*S280+Summary!$B$51*U280</f>
        <v/>
      </c>
      <c r="P280">
        <f>IF(B302=0,0,O280/B302)</f>
        <v/>
      </c>
      <c r="Q280">
        <f>IFERROR(1/IF(Inputs!$B$38="pvp",15,MAX(0.1,Skills!D14-IF(Skills!E14=TRUE,Inputs!$B$32,0))),0)</f>
        <v/>
      </c>
      <c r="R280" t="n">
        <v>0</v>
      </c>
      <c r="S280" t="n">
        <v>0</v>
      </c>
      <c r="U280" t="n">
        <v>0</v>
      </c>
    </row>
    <row r="281">
      <c r="A281">
        <f>Skills!A15</f>
        <v/>
      </c>
      <c r="B281">
        <f>Skills!B15</f>
        <v/>
      </c>
      <c r="C281">
        <f>Inputs!$B$3&gt;=75</f>
        <v/>
      </c>
      <c r="D281">
        <f>IF(Skills!C15=1,60+Inputs!$B$25+Inputs!$B$29,IF(Skills!C15=2,90+Inputs!$B$26+Inputs!$B$29,IF(Skills!C15=3,120+Inputs!$B$27+Inputs!$B$29,MAX(0,(Inputs!$B$3-100)*3)+Inputs!$B$28+Inputs!$B$29)))</f>
        <v/>
      </c>
      <c r="E281">
        <f>INDEX(FactorTable!$B$2:$Y$301, MATCH(ROUND(MIN(300,MAX(1,D281)),0), FactorTable!$A$2:$A$301,0), Skills!L15+1)</f>
        <v/>
      </c>
      <c r="F281">
        <f>IF(Skills!M15=TRUE,(Skills!K15/10)*(E281/1000),Skills!K15/10)+Skills!N15</f>
        <v/>
      </c>
      <c r="G281">
        <f>Calc!G15</f>
        <v/>
      </c>
      <c r="H281">
        <f>Calc!H15</f>
        <v/>
      </c>
      <c r="I281">
        <f>IF(Skills!T15&lt;&gt;"",1+(Skills!T15/10)*(Z269/1000)/100,1)</f>
        <v/>
      </c>
      <c r="J281" t="inlineStr"/>
      <c r="K281" t="inlineStr"/>
      <c r="L281" t="inlineStr"/>
      <c r="M281" t="inlineStr"/>
      <c r="N281" t="inlineStr"/>
      <c r="O281">
        <f>(1-Summary!$B$51)*S281+Summary!$B$51*U281</f>
        <v/>
      </c>
      <c r="P281">
        <f>IF(B302=0,0,O281/B302)</f>
        <v/>
      </c>
      <c r="Q281">
        <f>IFERROR(1/IF(Inputs!$B$38="pvp",15,MAX(0.1,Skills!D15-IF(Skills!E15=TRUE,Inputs!$B$32,0))),0)</f>
        <v/>
      </c>
      <c r="R281" t="n">
        <v>0</v>
      </c>
      <c r="S281" t="n">
        <v>0</v>
      </c>
      <c r="U281" t="n">
        <v>0</v>
      </c>
    </row>
    <row r="282">
      <c r="A282">
        <f>Skills!A16</f>
        <v/>
      </c>
      <c r="B282">
        <f>Skills!B16</f>
        <v/>
      </c>
      <c r="C282">
        <f>Inputs!$B$3&gt;=110</f>
        <v/>
      </c>
      <c r="D282">
        <f>IF(Skills!C16=1,60+Inputs!$B$25+Inputs!$B$29,IF(Skills!C16=2,90+Inputs!$B$26+Inputs!$B$29,IF(Skills!C16=3,120+Inputs!$B$27+Inputs!$B$29,MAX(0,(Inputs!$B$3-100)*3)+Inputs!$B$28+Inputs!$B$29)))</f>
        <v/>
      </c>
      <c r="E282">
        <f>INDEX(FactorTable!$B$2:$Y$301, MATCH(ROUND(MIN(300,MAX(1,D282)),0), FactorTable!$A$2:$A$301,0), Skills!L16+1)</f>
        <v/>
      </c>
      <c r="F282">
        <f>(Skills!K16/10)*(E282/1000)*64/45+Skills!N16</f>
        <v/>
      </c>
      <c r="G282">
        <f>Calc!G16</f>
        <v/>
      </c>
      <c r="H282">
        <f>Calc!H16</f>
        <v/>
      </c>
      <c r="I282">
        <f>IF(Skills!T16&lt;&gt;"",1+(Skills!T16/10)*(Z269/1000)/100,1)</f>
        <v/>
      </c>
      <c r="J282" t="inlineStr"/>
      <c r="K282" t="inlineStr"/>
      <c r="L282" t="inlineStr"/>
      <c r="M282" t="inlineStr"/>
      <c r="N282" t="inlineStr"/>
      <c r="O282">
        <f>(1-Summary!$B$51)*S282+Summary!$B$51*U282</f>
        <v/>
      </c>
      <c r="P282">
        <f>IF(B302=0,0,O282/B302)</f>
        <v/>
      </c>
      <c r="Q282">
        <f>IFERROR(1/IF(Inputs!$B$38="pvp",15,MAX(0.1,Skills!D16-IF(Skills!E16=TRUE,Inputs!$B$32,0))),0)</f>
        <v/>
      </c>
      <c r="R282">
        <f>IF(AND(Inputs!$B$38&lt;&gt;"pvp",Inputs!$B$43&gt;0),IF(Inputs!$B$43&lt;=0,0,(INT(Inputs!$B$43/IF(Inputs!$B$38="pvp",15,MAX(0.1,Skills!D16-IF(Skills!E16=TRUE,Inputs!$B$32,0))))+1)),0)</f>
        <v/>
      </c>
      <c r="S282" t="n">
        <v>0</v>
      </c>
      <c r="U282" t="n">
        <v>0</v>
      </c>
    </row>
    <row r="283">
      <c r="A283">
        <f>Skills!A17</f>
        <v/>
      </c>
      <c r="B283">
        <f>Skills!B17</f>
        <v/>
      </c>
      <c r="C283">
        <f>Inputs!$B$3&gt;=33</f>
        <v/>
      </c>
      <c r="D283">
        <f>IF(Skills!C17=1,60+Inputs!$B$25+Inputs!$B$29,IF(Skills!C17=2,90+Inputs!$B$26+Inputs!$B$29,IF(Skills!C17=3,120+Inputs!$B$27+Inputs!$B$29,MAX(0,(Inputs!$B$3-100)*3)+Inputs!$B$28+Inputs!$B$29)))</f>
        <v/>
      </c>
      <c r="E283">
        <f>INDEX(FactorTable!$B$2:$Y$301, MATCH(ROUND(MIN(300,MAX(1,D283)),0), FactorTable!$A$2:$A$301,0), Skills!L17+1)</f>
        <v/>
      </c>
      <c r="F283">
        <f>IF(Skills!M17=TRUE,(Skills!K17/10)*(E283/1000),Skills!K17/10)+Skills!N17</f>
        <v/>
      </c>
      <c r="G283">
        <f>Calc!G17</f>
        <v/>
      </c>
      <c r="H283">
        <f>Calc!H17</f>
        <v/>
      </c>
      <c r="I283">
        <f>IF(Skills!T17&lt;&gt;"",1+(Skills!T17/10)*(Z269/1000)/100,1)</f>
        <v/>
      </c>
      <c r="J283" t="inlineStr"/>
      <c r="K283" t="inlineStr"/>
      <c r="L283" t="inlineStr"/>
      <c r="M283" t="inlineStr"/>
      <c r="N283" t="inlineStr"/>
      <c r="O283">
        <f>(1-Summary!$B$51)*S283+Summary!$B$51*U283</f>
        <v/>
      </c>
      <c r="P283">
        <f>IF(B302=0,0,O283/B302)</f>
        <v/>
      </c>
      <c r="Q283">
        <f>IFERROR(1/IF(Inputs!$B$38="pvp",15,MAX(0.1,Skills!D17-IF(Skills!E17=TRUE,Inputs!$B$32,0))),0)</f>
        <v/>
      </c>
      <c r="R283" t="n">
        <v>0</v>
      </c>
      <c r="S283" t="n">
        <v>0</v>
      </c>
      <c r="U283" t="n">
        <v>0</v>
      </c>
    </row>
    <row r="284">
      <c r="A284">
        <f>Skills!A18</f>
        <v/>
      </c>
      <c r="B284">
        <f>Skills!B18</f>
        <v/>
      </c>
      <c r="C284">
        <f>Inputs!$B$3&gt;=43</f>
        <v/>
      </c>
      <c r="D284">
        <f>IF(Skills!C18=1,60+Inputs!$B$25+Inputs!$B$29,IF(Skills!C18=2,90+Inputs!$B$26+Inputs!$B$29,IF(Skills!C18=3,120+Inputs!$B$27+Inputs!$B$29,MAX(0,(Inputs!$B$3-100)*3)+Inputs!$B$28+Inputs!$B$29)))</f>
        <v/>
      </c>
      <c r="E284">
        <f>INDEX(FactorTable!$B$2:$Y$301, MATCH(ROUND(MIN(300,MAX(1,D284)),0), FactorTable!$A$2:$A$301,0), Skills!L18+1)</f>
        <v/>
      </c>
      <c r="F284">
        <f>IF(Skills!M18=TRUE,(Skills!K18/10)*(E284/1000),Skills!K18/10)+Skills!N18</f>
        <v/>
      </c>
      <c r="G284">
        <f>Calc!G18</f>
        <v/>
      </c>
      <c r="H284">
        <f>Calc!H18</f>
        <v/>
      </c>
      <c r="I284">
        <f>IF(Skills!T18&lt;&gt;"",1+(Skills!T18/10)*(Z269/1000)/100,1)</f>
        <v/>
      </c>
      <c r="J284" t="inlineStr"/>
      <c r="K284" t="inlineStr"/>
      <c r="L284" t="inlineStr"/>
      <c r="M284" t="inlineStr"/>
      <c r="N284" t="inlineStr"/>
      <c r="O284">
        <f>(1-Summary!$B$51)*S284+Summary!$B$51*U284</f>
        <v/>
      </c>
      <c r="P284">
        <f>IF(B302=0,0,O284/B302)</f>
        <v/>
      </c>
      <c r="Q284">
        <f>IFERROR(1/IF(Inputs!$B$38="pvp",15,MAX(0.1,Skills!D18-IF(Skills!E18=TRUE,Inputs!$B$32,0))),0)</f>
        <v/>
      </c>
      <c r="R284" t="n">
        <v>0</v>
      </c>
      <c r="S284" t="n">
        <v>0</v>
      </c>
      <c r="U284" t="n">
        <v>0</v>
      </c>
    </row>
    <row r="285">
      <c r="A285">
        <f>Skills!A19</f>
        <v/>
      </c>
      <c r="B285">
        <f>Skills!B19</f>
        <v/>
      </c>
      <c r="C285">
        <f>Inputs!$B$3&gt;=50</f>
        <v/>
      </c>
      <c r="D285">
        <f>IF(Skills!C19=1,60+Inputs!$B$25+Inputs!$B$29,IF(Skills!C19=2,90+Inputs!$B$26+Inputs!$B$29,IF(Skills!C19=3,120+Inputs!$B$27+Inputs!$B$29,MAX(0,(Inputs!$B$3-100)*3)+Inputs!$B$28+Inputs!$B$29)))</f>
        <v/>
      </c>
      <c r="E285">
        <f>INDEX(FactorTable!$B$2:$Y$301, MATCH(ROUND(MIN(300,MAX(1,D285)),0), FactorTable!$A$2:$A$301,0), Skills!L19+1)</f>
        <v/>
      </c>
      <c r="F285">
        <f>IF(Skills!M19=TRUE,(Skills!K19/10)*(E285/1000),Skills!K19/10)+Skills!N19</f>
        <v/>
      </c>
      <c r="G285">
        <f>Calc!G19</f>
        <v/>
      </c>
      <c r="H285">
        <f>Calc!H19</f>
        <v/>
      </c>
      <c r="I285">
        <f>IF(Skills!T19&lt;&gt;"",1+(Skills!T19/10)*(Z269/1000)/100,1)</f>
        <v/>
      </c>
      <c r="J285" t="inlineStr"/>
      <c r="K285" t="inlineStr"/>
      <c r="L285" t="inlineStr"/>
      <c r="M285" t="inlineStr"/>
      <c r="N285" t="inlineStr"/>
      <c r="O285">
        <f>(1-Summary!$B$51)*S285+Summary!$B$51*U285</f>
        <v/>
      </c>
      <c r="P285">
        <f>IF(B302=0,0,O285/B302)</f>
        <v/>
      </c>
      <c r="Q285">
        <f>IFERROR(1/IF(Inputs!$B$38="pvp",15,MAX(0.1,Skills!D19-IF(Skills!E19=TRUE,Inputs!$B$32,0))),0)</f>
        <v/>
      </c>
      <c r="R285" t="n">
        <v>0</v>
      </c>
      <c r="S285" t="n">
        <v>0</v>
      </c>
      <c r="U285" t="n">
        <v>0</v>
      </c>
    </row>
    <row r="286">
      <c r="A286">
        <f>Skills!A20</f>
        <v/>
      </c>
      <c r="B286">
        <f>Skills!B20</f>
        <v/>
      </c>
      <c r="C286">
        <f>Inputs!$B$3&gt;=74</f>
        <v/>
      </c>
      <c r="D286">
        <f>IF(Skills!C20=1,60+Inputs!$B$25+Inputs!$B$29,IF(Skills!C20=2,90+Inputs!$B$26+Inputs!$B$29,IF(Skills!C20=3,120+Inputs!$B$27+Inputs!$B$29,MAX(0,(Inputs!$B$3-100)*3)+Inputs!$B$28+Inputs!$B$29)))</f>
        <v/>
      </c>
      <c r="E286">
        <f>INDEX(FactorTable!$B$2:$Y$301, MATCH(ROUND(MIN(300,MAX(1,D286)),0), FactorTable!$A$2:$A$301,0), Skills!L20+1)</f>
        <v/>
      </c>
      <c r="F286">
        <f>IF(Skills!M20=TRUE,(Skills!K20/10)*(E286/1000),Skills!K20/10)+Skills!N20</f>
        <v/>
      </c>
      <c r="G286">
        <f>Calc!G20</f>
        <v/>
      </c>
      <c r="H286">
        <f>Calc!H20</f>
        <v/>
      </c>
      <c r="I286">
        <f>IF(Skills!T20&lt;&gt;"",1+(Skills!T20/10)*(Z269/1000)/100,1)</f>
        <v/>
      </c>
      <c r="J286" t="inlineStr"/>
      <c r="K286" t="inlineStr"/>
      <c r="L286" t="inlineStr"/>
      <c r="M286" t="inlineStr"/>
      <c r="N286" t="inlineStr"/>
      <c r="O286">
        <f>(1-Summary!$B$51)*S286+Summary!$B$51*U286</f>
        <v/>
      </c>
      <c r="P286">
        <f>IF(B302=0,0,O286/B302)</f>
        <v/>
      </c>
      <c r="Q286">
        <f>IFERROR(1/IF(Inputs!$B$38="pvp",15,MAX(0.1,Skills!D20-IF(Skills!E20=TRUE,Inputs!$B$32,0))),0)</f>
        <v/>
      </c>
      <c r="R286" t="n">
        <v>0</v>
      </c>
      <c r="S286" t="n">
        <v>0</v>
      </c>
      <c r="U286" t="n">
        <v>0</v>
      </c>
    </row>
    <row r="287">
      <c r="A287">
        <f>Skills!A21</f>
        <v/>
      </c>
      <c r="B287">
        <f>Skills!B21</f>
        <v/>
      </c>
      <c r="C287">
        <f>Inputs!$B$3&gt;=74</f>
        <v/>
      </c>
      <c r="D287">
        <f>IF(Skills!C21=1,60+Inputs!$B$25+Inputs!$B$29,IF(Skills!C21=2,90+Inputs!$B$26+Inputs!$B$29,IF(Skills!C21=3,120+Inputs!$B$27+Inputs!$B$29,MAX(0,(Inputs!$B$3-100)*3)+Inputs!$B$28+Inputs!$B$29)))</f>
        <v/>
      </c>
      <c r="E287">
        <f>INDEX(FactorTable!$B$2:$Y$301, MATCH(ROUND(MIN(300,MAX(1,D287)),0), FactorTable!$A$2:$A$301,0), Skills!L21+1)</f>
        <v/>
      </c>
      <c r="F287">
        <f>IF(Skills!M21=TRUE,(Skills!K21/10)*(E287/1000),Skills!K21/10)+Skills!N21</f>
        <v/>
      </c>
      <c r="G287">
        <f>Calc!G21</f>
        <v/>
      </c>
      <c r="H287">
        <f>Calc!H21</f>
        <v/>
      </c>
      <c r="I287">
        <f>IF(Skills!T21&lt;&gt;"",1+(Skills!T21/10)*(Z269/1000)/100,1)</f>
        <v/>
      </c>
      <c r="J287" t="inlineStr"/>
      <c r="K287" t="inlineStr"/>
      <c r="L287" t="inlineStr"/>
      <c r="M287" t="inlineStr"/>
      <c r="N287" t="inlineStr"/>
      <c r="O287">
        <f>(1-Summary!$B$51)*S287+Summary!$B$51*U287</f>
        <v/>
      </c>
      <c r="P287">
        <f>IF(B302=0,0,O287/B302)</f>
        <v/>
      </c>
      <c r="Q287">
        <f>IFERROR(1/IF(Inputs!$B$38="pvp",15,MAX(0.1,Skills!D21-IF(Skills!E21=TRUE,Inputs!$B$32,0))),0)</f>
        <v/>
      </c>
      <c r="R287" t="n">
        <v>0</v>
      </c>
      <c r="S287" t="n">
        <v>0</v>
      </c>
      <c r="U287" t="n">
        <v>0</v>
      </c>
    </row>
    <row r="288">
      <c r="A288">
        <f>Skills!A22</f>
        <v/>
      </c>
      <c r="B288">
        <f>Skills!B22</f>
        <v/>
      </c>
      <c r="C288">
        <f>Inputs!$B$3&gt;=117</f>
        <v/>
      </c>
      <c r="D288">
        <f>IF(Skills!C22=1,60+Inputs!$B$25+Inputs!$B$29,IF(Skills!C22=2,90+Inputs!$B$26+Inputs!$B$29,IF(Skills!C22=3,120+Inputs!$B$27+Inputs!$B$29,MAX(0,(Inputs!$B$3-100)*3)+Inputs!$B$28+Inputs!$B$29)))</f>
        <v/>
      </c>
      <c r="E288">
        <f>INDEX(FactorTable!$B$2:$Y$301, MATCH(ROUND(MIN(300,MAX(1,D288)),0), FactorTable!$A$2:$A$301,0), Skills!L22+1)</f>
        <v/>
      </c>
      <c r="F288">
        <f>IF(Skills!M22=TRUE,(Skills!K22/10)*(E288/1000),Skills!K22/10)+Skills!N22</f>
        <v/>
      </c>
      <c r="G288">
        <f>Calc!G22</f>
        <v/>
      </c>
      <c r="H288">
        <f>Calc!H22</f>
        <v/>
      </c>
      <c r="I288">
        <f>IF(Skills!T22&lt;&gt;"",1+(Skills!T22/10)*(Z269/1000)/100,1)</f>
        <v/>
      </c>
      <c r="J288" t="inlineStr"/>
      <c r="K288" t="inlineStr"/>
      <c r="L288" t="inlineStr"/>
      <c r="M288" t="inlineStr"/>
      <c r="N288" t="inlineStr"/>
      <c r="O288">
        <f>(1-Summary!$B$51)*S288+Summary!$B$51*U288</f>
        <v/>
      </c>
      <c r="P288">
        <f>IF(B302=0,0,O288/B302)</f>
        <v/>
      </c>
      <c r="Q288">
        <f>IFERROR(1/IF(Inputs!$B$38="pvp",15,MAX(0.1,Skills!D22-IF(Skills!E22=TRUE,Inputs!$B$32,0))),0)</f>
        <v/>
      </c>
      <c r="R288" t="n">
        <v>0</v>
      </c>
      <c r="S288" t="n">
        <v>0</v>
      </c>
      <c r="U288" t="n">
        <v>0</v>
      </c>
    </row>
    <row r="289">
      <c r="A289">
        <f>Skills!A23</f>
        <v/>
      </c>
      <c r="B289">
        <f>Skills!B23</f>
        <v/>
      </c>
      <c r="C289">
        <f>Inputs!$B$3&gt;=120</f>
        <v/>
      </c>
      <c r="D289">
        <f>IF(Skills!C23=1,60+Inputs!$B$25+Inputs!$B$29,IF(Skills!C23=2,90+Inputs!$B$26+Inputs!$B$29,IF(Skills!C23=3,120+Inputs!$B$27+Inputs!$B$29,MAX(0,(Inputs!$B$3-100)*3)+Inputs!$B$28+Inputs!$B$29)))</f>
        <v/>
      </c>
      <c r="E289">
        <f>INDEX(FactorTable!$B$2:$Y$301, MATCH(ROUND(MIN(300,MAX(1,D289)),0), FactorTable!$A$2:$A$301,0), Skills!L23+1)</f>
        <v/>
      </c>
      <c r="F289">
        <f>IF(Skills!M23=TRUE,(Skills!K23/10)*(E289/1000),Skills!K23/10)+Skills!N23</f>
        <v/>
      </c>
      <c r="G289">
        <f>Calc!G23</f>
        <v/>
      </c>
      <c r="H289">
        <f>Calc!H23</f>
        <v/>
      </c>
      <c r="I289">
        <f>IF(Skills!T23&lt;&gt;"",1+(Skills!T23/10)*(Z269/1000)/100,1)</f>
        <v/>
      </c>
      <c r="J289" t="inlineStr"/>
      <c r="K289" t="inlineStr"/>
      <c r="L289" t="inlineStr"/>
      <c r="M289" t="inlineStr"/>
      <c r="N289" t="inlineStr"/>
      <c r="O289">
        <f>(1-Summary!$B$51)*S289+Summary!$B$51*U289</f>
        <v/>
      </c>
      <c r="P289">
        <f>IF(B302=0,0,O289/B302)</f>
        <v/>
      </c>
      <c r="Q289">
        <f>IFERROR(1/IF(Inputs!$B$38="pvp",15,MAX(0.1,Skills!D23-IF(Skills!E23=TRUE,Inputs!$B$32,0))),0)</f>
        <v/>
      </c>
      <c r="R289" t="n">
        <v>0</v>
      </c>
      <c r="S289" t="n">
        <v>0</v>
      </c>
      <c r="U289" t="n">
        <v>0</v>
      </c>
    </row>
    <row r="292">
      <c r="A292" t="inlineStr">
        <is>
          <t>Average Buff Multiplier (Magic Guard + Meditation, summed; then Infinity)</t>
        </is>
      </c>
      <c r="B292">
        <f>(1+(IF(C269=TRUE,F269*IF(AND(Inputs!$B$38&lt;&gt;"pvp",Inputs!$B$43&gt;0),(((R269-1)*(Skills!S3*(1+(Inputs!$B$34+IF(Inputs!$B$3&gt;=117,F288,0))/100))+MIN((Skills!S3*(1+(Inputs!$B$34+IF(Inputs!$B$3&gt;=117,F288,0))/100)),MAX(0,Inputs!$B$43-((R269-1)*Skills!D3))))/Inputs!$B$43),IF(Inputs!$B$38="pvp",MIN((Skills!S3*(1+(Inputs!$B$34+IF(Inputs!$B$3&gt;=117,F288,0))/100)),15)/15,(Skills!S3*(1+(Inputs!$B$34+IF(Inputs!$B$3&gt;=117,F288,0))/100))/Skills!D3)),0)+IF(C270=TRUE,F270*IF(AND(Inputs!$B$38&lt;&gt;"pvp",Inputs!$B$43&gt;0),(((R270-1)*(Skills!S4*(1+(Inputs!$B$34+IF(Inputs!$B$3&gt;=117,F288,0))/100))+MIN((Skills!S4*(1+(Inputs!$B$34+IF(Inputs!$B$3&gt;=117,F288,0))/100)),MAX(0,Inputs!$B$43-((R270-1)*Skills!D4))))/Inputs!$B$43),IF(Inputs!$B$38="pvp",MIN((Skills!S4*(1+(Inputs!$B$34+IF(Inputs!$B$3&gt;=117,F288,0))/100)),15)/15,(Skills!S4*(1+(Inputs!$B$34+IF(Inputs!$B$3&gt;=117,F288,0))/100))/Skills!D4)),0))/100)*IF(C282=TRUE,(1+F282*IF(AND(Inputs!$B$38&lt;&gt;"pvp",Inputs!$B$43&gt;0),(((R282-1)*(Skills!S16*(1+(Inputs!$B$34+IF(Inputs!$B$3&gt;=117,F288,0))/100))+MIN((Skills!S16*(1+(Inputs!$B$34+IF(Inputs!$B$3&gt;=117,F288,0))/100)),MAX(0,Inputs!$B$43-((R282-1)*Skills!D16))))/Inputs!$B$43),IF(Inputs!$B$38="pvp",MIN((Skills!S16*(1+(Inputs!$B$34+IF(Inputs!$B$3&gt;=117,F288,0))/100)),15)/15,(Skills!S16*(1+(Inputs!$B$34+IF(Inputs!$B$3&gt;=117,F288,0))/100))/Skills!D16))/100),1)</f>
        <v/>
      </c>
    </row>
    <row r="293">
      <c r="A293" t="inlineStr">
        <is>
          <t>Monster Damage Taken Bonus % (Freezing Breath - Weaken + Elemental Reset, summed)</t>
        </is>
      </c>
      <c r="B293">
        <f>IF(Inputs!$B$3&gt;=118,15*IF(Inputs!$B$38="pvp",MIN((30*(1+(Inputs!$B$34+IF(Inputs!$B$3&gt;=117,F288,0))/100)),15)/15,(30*(1+(Inputs!$B$34+IF(Inputs!$B$3&gt;=117,F288,0))/100))/Skills!D8),0)+IF(C280=TRUE,F280,0)</f>
        <v/>
      </c>
    </row>
    <row r="294">
      <c r="A294" t="inlineStr">
        <is>
          <t>Damage % Bonus (Frozen Break + Frost Clutch, flat)</t>
        </is>
      </c>
      <c r="B294">
        <f>IF(Inputs!$B$3&gt;=66,15,0)+IF(Inputs!$B$3&gt;=98,10,0)+IF(Inputs!$B$3&gt;=125,20,0)</f>
        <v/>
      </c>
    </row>
    <row r="295">
      <c r="A295" t="inlineStr">
        <is>
          <t>Attack Speed Bonus % (MP Eater - MP Boost, always-on once unlocked)</t>
        </is>
      </c>
      <c r="B295">
        <f>IF(C279=TRUE,F279+(F283-Calc!F17),0)</f>
        <v/>
      </c>
    </row>
    <row r="296">
      <c r="A296" t="inlineStr">
        <is>
          <t>Actions Per Second</t>
        </is>
      </c>
      <c r="B296">
        <f>1+MIN(150,150*(1-(1-Inputs!$B$11/150)*(1-B295/150)))/100</f>
        <v/>
      </c>
    </row>
    <row r="297">
      <c r="A297" t="inlineStr">
        <is>
          <t>Skill + Buff Cast Rate</t>
        </is>
      </c>
      <c r="B297">
        <f>IF(AND(Inputs!$B$38&lt;&gt;"pvp",Inputs!$B$43&gt;0),SUMPRODUCT((Skills!E2:E23=TRUE)*(C268:C289=TRUE)*R268:R289)/Inputs!$B$43,SUMPRODUCT((Skills!E2:E23=TRUE)*(C268:C289=TRUE)*Q268:Q289))</f>
        <v/>
      </c>
    </row>
    <row r="298">
      <c r="A298" t="inlineStr">
        <is>
          <t>Chain Lightning Casts Per Second</t>
        </is>
      </c>
      <c r="B298">
        <f>MAX(0,B296-B297)</f>
        <v/>
      </c>
    </row>
    <row r="299">
      <c r="A299" t="inlineStr">
        <is>
          <t>Buff-Casting Startup Delay (s, fixed-duration only)</t>
        </is>
      </c>
      <c r="B299">
        <f>IF(AND(Inputs!$B$38&lt;&gt;"pvp",Inputs!$B$43&gt;0),SUMPRODUCT((Skills!S2:S23&gt;0)*(Skills!E2:E23=TRUE)*(C268:C289=TRUE))/B296,0)</f>
        <v/>
      </c>
    </row>
    <row r="300">
      <c r="A300" t="inlineStr">
        <is>
          <t>Boss-Only Total DPS (this block's swept value)</t>
        </is>
      </c>
      <c r="B300">
        <f>SUM(S268:S289)</f>
        <v/>
      </c>
    </row>
    <row r="301">
      <c r="A301" t="inlineStr">
        <is>
          <t>Normal-Only Total DPS (this block's swept value)</t>
        </is>
      </c>
      <c r="B301">
        <f>SUM(U268:U289)</f>
        <v/>
      </c>
    </row>
    <row r="302">
      <c r="A302" s="5" t="inlineStr">
        <is>
          <t>TOTAL DPS</t>
        </is>
      </c>
      <c r="B302" s="5">
        <f>SUM(O268:O289)</f>
        <v/>
      </c>
    </row>
    <row r="305">
      <c r="A305" s="5" t="inlineStr">
        <is>
          <t>Stat: MIN_DAMAGE %</t>
        </is>
      </c>
    </row>
    <row r="306">
      <c r="A306" s="9" t="inlineStr">
        <is>
          <t>Key</t>
        </is>
      </c>
      <c r="B306" s="9" t="inlineStr">
        <is>
          <t>Name</t>
        </is>
      </c>
      <c r="C306" s="9" t="inlineStr">
        <is>
          <t>Unlocked</t>
        </is>
      </c>
      <c r="D306" s="9" t="inlineStr">
        <is>
          <t>InputLevel</t>
        </is>
      </c>
      <c r="E306" s="9" t="inlineStr">
        <is>
          <t>Factor</t>
        </is>
      </c>
      <c r="F306" s="9" t="inlineStr">
        <is>
          <t>CoefficientPercent</t>
        </is>
      </c>
      <c r="G306" s="9" t="inlineStr">
        <is>
          <t>EffectiveHits</t>
        </is>
      </c>
      <c r="H306" s="9" t="inlineStr">
        <is>
          <t>ProcProbability</t>
        </is>
      </c>
      <c r="I306" s="9" t="inlineStr">
        <is>
          <t>MapleHeroMultiplier</t>
        </is>
      </c>
      <c r="J306" s="9" t="inlineStr">
        <is>
          <t>BaseDamage</t>
        </is>
      </c>
      <c r="K306" s="9" t="inlineStr">
        <is>
          <t>BaseHitDamage</t>
        </is>
      </c>
      <c r="L306" s="9" t="inlineStr">
        <is>
          <t>NonCritAvg</t>
        </is>
      </c>
      <c r="M306" s="9" t="inlineStr">
        <is>
          <t>CritAvg</t>
        </is>
      </c>
      <c r="N306" s="9" t="inlineStr">
        <is>
          <t>ExpectedDamage(perHit)</t>
        </is>
      </c>
      <c r="O306" s="9" t="inlineStr">
        <is>
          <t>DPS</t>
        </is>
      </c>
      <c r="P306" s="9" t="inlineStr">
        <is>
          <t>% of Total</t>
        </is>
      </c>
      <c r="R306" t="inlineStr">
        <is>
          <t>helpers</t>
        </is>
      </c>
    </row>
    <row r="307">
      <c r="A307">
        <f>Skills!A2</f>
        <v/>
      </c>
      <c r="B307">
        <f>Skills!B2</f>
        <v/>
      </c>
      <c r="C307">
        <f>Inputs!$B$3&gt;=100</f>
        <v/>
      </c>
      <c r="D307" t="inlineStr"/>
      <c r="E307" t="inlineStr"/>
      <c r="F307">
        <f>T309+Skills!N2</f>
        <v/>
      </c>
      <c r="G307">
        <f>Calc!G2</f>
        <v/>
      </c>
      <c r="H307">
        <f>Calc!H2</f>
        <v/>
      </c>
      <c r="I307">
        <f>IF(Skills!T2&lt;&gt;"",1+(Skills!T2/10)*(Z308/1000)/100,1)</f>
        <v/>
      </c>
      <c r="J307">
        <f>((Inputs!$B$6*(1+Inputs!$B$7/100))+(((Inputs!$B$12*(1+Inputs!$B$13/100))-(Inputs!$B$12*(1+Inputs!$B$13/100)))+0.25*(Inputs!$B$14-Inputs!$B$14))*(1+Inputs!$B$7/100))*(F307/100)</f>
        <v/>
      </c>
      <c r="K307">
        <f>J307*(1+((Inputs!$B$12*(1+Inputs!$B$13/100))*0.01+Inputs!$B$14*0.0025)/100)*(1+(Inputs!$B$15+B333)/100)*(1+Inputs!$B$16/100)*(5000/(6000+Inputs!$B$42*(1-Inputs!$B$19/100)))*(1+Inputs!$B$24/100)*(1+IF(C320=TRUE,F320,0)/100)*(1+IF(C328=TRUE,F328,0)/100)^5*(1+(IF(Skills!A2="CHAIN_LIGHTNING",Inputs!$B$17,Inputs!$B$18))/100)*(B331*I307)</f>
        <v/>
      </c>
      <c r="L307">
        <f>K307*(MIN((Inputs!$B$22+1)+(F323-Calc!F18),Inputs!$B$23)/100+Inputs!$B$23/100)/2</f>
        <v/>
      </c>
      <c r="M307">
        <f>L307*(1+(Inputs!$B$10+(F326-Calc!F21))/100)</f>
        <v/>
      </c>
      <c r="N307">
        <f>L307*(1-MIN(Inputs!$B$9+((F325-Calc!F20)+(F324-Calc!F19)),100)/100)+M307*(MIN(Inputs!$B$9+((F325-Calc!F20)+(F324-Calc!F19)),100)/100)</f>
        <v/>
      </c>
      <c r="O307">
        <f>(1-Summary!$B$51)*S307+Summary!$B$51*U307</f>
        <v/>
      </c>
      <c r="P307">
        <f>IF(B341=0,0,O307/B341)</f>
        <v/>
      </c>
      <c r="Q307">
        <f>IFERROR(1/IF(Inputs!$B$38="pvp",15,MAX(0.1,Skills!D2-IF(Skills!E2=TRUE,Inputs!$B$32,0))),0)</f>
        <v/>
      </c>
      <c r="R307" t="n">
        <v>0</v>
      </c>
      <c r="S307">
        <f>IF(C307,(Skills!F2*N307*B337)*IF(Inputs!$B$38="pvp",1,1+(Inputs!$B$20+Skills!O2+B332)/100),0)</f>
        <v/>
      </c>
      <c r="T307">
        <f>MAX(0,(Inputs!$B$3-100)*3)+Inputs!$B$28+Inputs!$B$29</f>
        <v/>
      </c>
      <c r="U307">
        <f>IF(C307,(Skills!F2*N307*B337)*IF(Inputs!$B$38="pvp",1,(1+(Inputs!$B$21+Skills!P2+B332)/100)*(MIN((6+Inputs!$B$33),Inputs!$B$37))),0)</f>
        <v/>
      </c>
      <c r="Z307">
        <f>MAX(0,(Inputs!$B$3-100)*3)+Inputs!$B$28+Inputs!$B$29</f>
        <v/>
      </c>
    </row>
    <row r="308">
      <c r="A308">
        <f>Skills!A3</f>
        <v/>
      </c>
      <c r="B308">
        <f>Skills!B3</f>
        <v/>
      </c>
      <c r="C308">
        <f>Inputs!$B$3&gt;=15</f>
        <v/>
      </c>
      <c r="D308">
        <f>IF(Skills!C3=1,60+Inputs!$B$25+Inputs!$B$29,IF(Skills!C3=2,90+Inputs!$B$26+Inputs!$B$29,IF(Skills!C3=3,120+Inputs!$B$27+Inputs!$B$29,MAX(0,(Inputs!$B$3-100)*3)+Inputs!$B$28+Inputs!$B$29)))</f>
        <v/>
      </c>
      <c r="E308">
        <f>INDEX(FactorTable!$B$2:$Y$301, MATCH(ROUND(MIN(300,MAX(1,D308)),0), FactorTable!$A$2:$A$301,0), Skills!L3+1)</f>
        <v/>
      </c>
      <c r="F308">
        <f>IF(Skills!M3=TRUE,(Skills!K3/10)*(E308/1000),Skills!K3/10)+Skills!N3</f>
        <v/>
      </c>
      <c r="G308">
        <f>Calc!G3</f>
        <v/>
      </c>
      <c r="H308">
        <f>Calc!H3</f>
        <v/>
      </c>
      <c r="I308">
        <f>IF(Skills!T3&lt;&gt;"",1+(Skills!T3/10)*(Z308/1000)/100,1)</f>
        <v/>
      </c>
      <c r="J308" t="inlineStr"/>
      <c r="K308" t="inlineStr"/>
      <c r="L308" t="inlineStr"/>
      <c r="M308" t="inlineStr"/>
      <c r="N308" t="inlineStr"/>
      <c r="O308">
        <f>(1-Summary!$B$51)*S308+Summary!$B$51*U308</f>
        <v/>
      </c>
      <c r="P308">
        <f>IF(B341=0,0,O308/B341)</f>
        <v/>
      </c>
      <c r="Q308">
        <f>IFERROR(1/IF(Inputs!$B$38="pvp",15,MAX(0.1,Skills!D3-IF(Skills!E3=TRUE,Inputs!$B$32,0))),0)</f>
        <v/>
      </c>
      <c r="R308">
        <f>IF(AND(Inputs!$B$38&lt;&gt;"pvp",Inputs!$B$43&gt;0),IF(Inputs!$B$43&lt;=0,0,(INT(Inputs!$B$43/IF(Inputs!$B$38="pvp",15,MAX(0.1,Skills!D3-IF(Skills!E3=TRUE,Inputs!$B$32,0))))+1)),0)</f>
        <v/>
      </c>
      <c r="S308" t="n">
        <v>0</v>
      </c>
      <c r="T308">
        <f>INDEX(FactorTable!$B$2:$Y$301, MATCH(ROUND(MIN(300,MAX(1,T307)),0), FactorTable!$A$2:$A$301,0), 22)</f>
        <v/>
      </c>
      <c r="U308" t="n">
        <v>0</v>
      </c>
      <c r="Z308">
        <f>INDEX(FactorTable!$B$2:$Y$301, MATCH(ROUND(MIN(300,MAX(1,Z307)),0), FactorTable!$A$2:$A$301,0), 24)</f>
        <v/>
      </c>
    </row>
    <row r="309">
      <c r="A309">
        <f>Skills!A4</f>
        <v/>
      </c>
      <c r="B309">
        <f>Skills!B4</f>
        <v/>
      </c>
      <c r="C309">
        <f>Inputs!$B$3&gt;=40</f>
        <v/>
      </c>
      <c r="D309">
        <f>IF(Skills!C4=1,60+Inputs!$B$25+Inputs!$B$29,IF(Skills!C4=2,90+Inputs!$B$26+Inputs!$B$29,IF(Skills!C4=3,120+Inputs!$B$27+Inputs!$B$29,MAX(0,(Inputs!$B$3-100)*3)+Inputs!$B$28+Inputs!$B$29)))</f>
        <v/>
      </c>
      <c r="E309">
        <f>INDEX(FactorTable!$B$2:$Y$301, MATCH(ROUND(MIN(300,MAX(1,D309)),0), FactorTable!$A$2:$A$301,0), Skills!L4+1)</f>
        <v/>
      </c>
      <c r="F309">
        <f>IF(Skills!M4=TRUE,(Skills!K4/10)*(E309/1000),Skills!K4/10)+Skills!N4</f>
        <v/>
      </c>
      <c r="G309">
        <f>Calc!G4</f>
        <v/>
      </c>
      <c r="H309">
        <f>Calc!H4</f>
        <v/>
      </c>
      <c r="I309">
        <f>IF(Skills!T4&lt;&gt;"",1+(Skills!T4/10)*(Z308/1000)/100,1)</f>
        <v/>
      </c>
      <c r="J309" t="inlineStr"/>
      <c r="K309" t="inlineStr"/>
      <c r="L309" t="inlineStr"/>
      <c r="M309" t="inlineStr"/>
      <c r="N309" t="inlineStr"/>
      <c r="O309">
        <f>(1-Summary!$B$51)*S309+Summary!$B$51*U309</f>
        <v/>
      </c>
      <c r="P309">
        <f>IF(B341=0,0,O309/B341)</f>
        <v/>
      </c>
      <c r="Q309">
        <f>IFERROR(1/IF(Inputs!$B$38="pvp",15,MAX(0.1,Skills!D4-IF(Skills!E4=TRUE,Inputs!$B$32,0))),0)</f>
        <v/>
      </c>
      <c r="R309">
        <f>IF(AND(Inputs!$B$38&lt;&gt;"pvp",Inputs!$B$43&gt;0),IF(Inputs!$B$43&lt;=0,0,(INT(Inputs!$B$43/IF(Inputs!$B$38="pvp",15,MAX(0.1,Skills!D4-IF(Skills!E4=TRUE,Inputs!$B$32,0))))+1)),0)</f>
        <v/>
      </c>
      <c r="S309" t="n">
        <v>0</v>
      </c>
      <c r="T309">
        <f>290*T308/1000</f>
        <v/>
      </c>
      <c r="U309" t="n">
        <v>0</v>
      </c>
    </row>
    <row r="310">
      <c r="A310">
        <f>Skills!A5</f>
        <v/>
      </c>
      <c r="B310">
        <f>Skills!B5</f>
        <v/>
      </c>
      <c r="C310">
        <f>Inputs!$B$3&gt;=38</f>
        <v/>
      </c>
      <c r="D310">
        <f>IF(Skills!C5=1,60+Inputs!$B$25+Inputs!$B$29,IF(Skills!C5=2,90+Inputs!$B$26+Inputs!$B$29,IF(Skills!C5=3,120+Inputs!$B$27+Inputs!$B$29,MAX(0,(Inputs!$B$3-100)*3)+Inputs!$B$28+Inputs!$B$29)))</f>
        <v/>
      </c>
      <c r="E310">
        <f>INDEX(FactorTable!$B$2:$Y$301, MATCH(ROUND(MIN(300,MAX(1,D310)),0), FactorTable!$A$2:$A$301,0), Skills!L5+1)</f>
        <v/>
      </c>
      <c r="F310">
        <f>IF(Skills!M5=TRUE,(Skills!K5/10)*(E310/1000),Skills!K5/10)+Skills!N5</f>
        <v/>
      </c>
      <c r="G310">
        <f>Calc!G5</f>
        <v/>
      </c>
      <c r="H310">
        <f>Calc!H5</f>
        <v/>
      </c>
      <c r="I310">
        <f>IF(Skills!T5&lt;&gt;"",1+(Skills!T5/10)*(Z308/1000)/100,1)</f>
        <v/>
      </c>
      <c r="J310">
        <f>((Inputs!$B$6*(1+Inputs!$B$7/100))+(((Inputs!$B$12*(1+Inputs!$B$13/100))-(Inputs!$B$12*(1+Inputs!$B$13/100)))+0.25*(Inputs!$B$14-Inputs!$B$14))*(1+Inputs!$B$7/100))*(F310/100)</f>
        <v/>
      </c>
      <c r="K310">
        <f>J310*(1+((Inputs!$B$12*(1+Inputs!$B$13/100))*0.01+Inputs!$B$14*0.0025)/100)*(1+(Inputs!$B$15+B333)/100)*(1+Inputs!$B$16/100)*(5000/(6000+Inputs!$B$42*(1-Inputs!$B$19/100)))*(1+Inputs!$B$24/100)*(1+IF(C320=TRUE,F320,0)/100)*(1+IF(C328=TRUE,F328,0)/100)^5*(1+(IF(Skills!A5="CHAIN_LIGHTNING",Inputs!$B$17,Inputs!$B$18))/100)*(B331*I310)</f>
        <v/>
      </c>
      <c r="L310">
        <f>K310*(MIN((Inputs!$B$22+1)+(F323-Calc!F18),Inputs!$B$23)/100+Inputs!$B$23/100)/2</f>
        <v/>
      </c>
      <c r="M310">
        <f>L310*(1+(Inputs!$B$10+(F326-Calc!F21))/100)</f>
        <v/>
      </c>
      <c r="N310">
        <f>L310*(1-MIN(Inputs!$B$9+((F325-Calc!F20)+(F324-Calc!F19)),100)/100)+M310*(MIN(Inputs!$B$9+((F325-Calc!F20)+(F324-Calc!F19)),100)/100)</f>
        <v/>
      </c>
      <c r="O310">
        <f>(1-Summary!$B$51)*S310+Summary!$B$51*U310</f>
        <v/>
      </c>
      <c r="P310">
        <f>IF(B341=0,0,O310/B341)</f>
        <v/>
      </c>
      <c r="Q310">
        <f>IFERROR(1/IF(Inputs!$B$38="pvp",15,MAX(0.1,Skills!D5-IF(Skills!E5=TRUE,Inputs!$B$32,0))),0)</f>
        <v/>
      </c>
      <c r="R310">
        <f>IF(AND(Inputs!$B$38&lt;&gt;"pvp",Inputs!$B$43&gt;0),IF(MAX(0,Inputs!$B$43-B338)&lt;=0,0,(INT(MAX(0,Inputs!$B$43-B338)/IF(Inputs!$B$38="pvp",15,MAX(0.1,Skills!D5-IF(Skills!E5=TRUE,Inputs!$B$32,0))))+1)),0)</f>
        <v/>
      </c>
      <c r="S310">
        <f>IF(C310,(H310*N310*IF(AND(Inputs!$B$38&lt;&gt;"pvp",Inputs!$B$43&gt;0),((Skills!F5*((R310-1)*IF(Skills!G5&gt;0,Skills!H5/Skills!G5,1)+IF(Skills!G5&gt;0,MIN(Skills!H5,MAX(0,MAX(0,Inputs!$B$43-B338)-((R310-1)*IF(Inputs!$B$38="pvp",15,MAX(0.1,Skills!D5-IF(Skills!E5=TRUE,Inputs!$B$32,0))))))/Skills!G5,1)))/Inputs!$B$43),G310*Q310))*IF(Inputs!$B$38="pvp",1,1+(Inputs!$B$20+Skills!O5+B332)/100),0)</f>
        <v/>
      </c>
      <c r="U310">
        <f>IF(C310,(H310*N310*IF(AND(Inputs!$B$38&lt;&gt;"pvp",Inputs!$B$43&gt;0),((Skills!F5*((R310-1)*IF(Skills!G5&gt;0,Skills!H5/Skills!G5,1)+IF(Skills!G5&gt;0,MIN(Skills!H5,MAX(0,MAX(0,Inputs!$B$43-B338)-((R310-1)*IF(Inputs!$B$38="pvp",15,MAX(0.1,Skills!D5-IF(Skills!E5=TRUE,Inputs!$B$32,0))))))/Skills!G5,1)))/Inputs!$B$43),G310*Q310))*IF(Inputs!$B$38="pvp",1,(1+(Inputs!$B$21+Skills!P5+B332)/100)*(MIN(Skills!Q5,Inputs!$B$37))),0)</f>
        <v/>
      </c>
    </row>
    <row r="311">
      <c r="A311">
        <f>Skills!A6</f>
        <v/>
      </c>
      <c r="B311">
        <f>Skills!B6</f>
        <v/>
      </c>
      <c r="C311">
        <f>Inputs!$B$3&gt;=63</f>
        <v/>
      </c>
      <c r="D311">
        <f>IF(Skills!C6=1,60+Inputs!$B$25+Inputs!$B$29,IF(Skills!C6=2,90+Inputs!$B$26+Inputs!$B$29,IF(Skills!C6=3,120+Inputs!$B$27+Inputs!$B$29,MAX(0,(Inputs!$B$3-100)*3)+Inputs!$B$28+Inputs!$B$29)))</f>
        <v/>
      </c>
      <c r="E311">
        <f>INDEX(FactorTable!$B$2:$Y$301, MATCH(ROUND(MIN(300,MAX(1,D311)),0), FactorTable!$A$2:$A$301,0), Skills!L6+1)</f>
        <v/>
      </c>
      <c r="F311">
        <f>IF(Skills!M6=TRUE,(Skills!K6/10)*(E311/1000),Skills!K6/10)+Skills!N6</f>
        <v/>
      </c>
      <c r="G311">
        <f>Calc!G6</f>
        <v/>
      </c>
      <c r="H311">
        <f>Calc!H6</f>
        <v/>
      </c>
      <c r="I311">
        <f>IF(Skills!T6&lt;&gt;"",1+(Skills!T6/10)*(Z308/1000)/100,1)</f>
        <v/>
      </c>
      <c r="J311">
        <f>((Inputs!$B$6*(1+Inputs!$B$7/100))+(((Inputs!$B$12*(1+Inputs!$B$13/100))-(Inputs!$B$12*(1+Inputs!$B$13/100)))+0.25*(Inputs!$B$14-Inputs!$B$14))*(1+Inputs!$B$7/100))*(F311/100)</f>
        <v/>
      </c>
      <c r="K311">
        <f>J311*(1+((Inputs!$B$12*(1+Inputs!$B$13/100))*0.01+Inputs!$B$14*0.0025)/100)*(1+(Inputs!$B$15+B333)/100)*(1+Inputs!$B$16/100)*(5000/(6000+Inputs!$B$42*(1-Inputs!$B$19/100)))*(1+Inputs!$B$24/100)*(1+IF(C320=TRUE,F320,0)/100)*(1+IF(C328=TRUE,F328,0)/100)^5*(1+(IF(Skills!A6="CHAIN_LIGHTNING",Inputs!$B$17,Inputs!$B$18))/100)*(B331*I311)</f>
        <v/>
      </c>
      <c r="L311">
        <f>K311*(MIN((Inputs!$B$22+1)+(F323-Calc!F18),Inputs!$B$23)/100+Inputs!$B$23/100)/2</f>
        <v/>
      </c>
      <c r="M311">
        <f>L311*(1+(Inputs!$B$10+(F326-Calc!F21))/100)</f>
        <v/>
      </c>
      <c r="N311">
        <f>L311*(1-MIN(Inputs!$B$9+((F325-Calc!F20)+(F324-Calc!F19)),100)/100)+M311*(MIN(Inputs!$B$9+((F325-Calc!F20)+(F324-Calc!F19)),100)/100)</f>
        <v/>
      </c>
      <c r="O311">
        <f>(1-Summary!$B$51)*S311+Summary!$B$51*U311</f>
        <v/>
      </c>
      <c r="P311">
        <f>IF(B341=0,0,O311/B341)</f>
        <v/>
      </c>
      <c r="Q311">
        <f>IFERROR(1/IF(Inputs!$B$38="pvp",15,MAX(0.1,Skills!D6-IF(Skills!E6=TRUE,Inputs!$B$32,0))),0)</f>
        <v/>
      </c>
      <c r="R311">
        <f>IF(AND(Inputs!$B$38&lt;&gt;"pvp",Inputs!$B$43&gt;0),IF(MAX(0,Inputs!$B$43-B338)&lt;=0,0,(INT(MAX(0,Inputs!$B$43-B338)/IF(Inputs!$B$38="pvp",15,MAX(0.1,Skills!D6-IF(Skills!E6=TRUE,Inputs!$B$32,0))))+1)),0)</f>
        <v/>
      </c>
      <c r="S311">
        <f>IF(C311,(H311*N311*IF(AND(Inputs!$B$38&lt;&gt;"pvp",Inputs!$B$43&gt;0),((Skills!F6*((R311-1)*IF(Skills!G6&gt;0,Skills!H6/Skills!G6,1)+IF(Skills!G6&gt;0,MIN(Skills!H6,MAX(0,MAX(0,Inputs!$B$43-B338)-((R311-1)*IF(Inputs!$B$38="pvp",15,MAX(0.1,Skills!D6-IF(Skills!E6=TRUE,Inputs!$B$32,0))))))/Skills!G6,1)))/Inputs!$B$43),G311*Q311))*IF(Inputs!$B$38="pvp",1,1+(Inputs!$B$20+Skills!O6+B332)/100),0)</f>
        <v/>
      </c>
      <c r="U311">
        <f>IF(C311,(H311*N311*IF(AND(Inputs!$B$38&lt;&gt;"pvp",Inputs!$B$43&gt;0),((Skills!F6*((R311-1)*IF(Skills!G6&gt;0,Skills!H6/Skills!G6,1)+IF(Skills!G6&gt;0,MIN(Skills!H6,MAX(0,MAX(0,Inputs!$B$43-B338)-((R311-1)*IF(Inputs!$B$38="pvp",15,MAX(0.1,Skills!D6-IF(Skills!E6=TRUE,Inputs!$B$32,0))))))/Skills!G6,1)))/Inputs!$B$43),G311*Q311))*IF(Inputs!$B$38="pvp",1,(1+(Inputs!$B$21+Skills!P6+B332)/100)*(MIN(Skills!Q6,Inputs!$B$37))),0)</f>
        <v/>
      </c>
    </row>
    <row r="312">
      <c r="A312">
        <f>Skills!A7</f>
        <v/>
      </c>
      <c r="B312">
        <f>Skills!B7</f>
        <v/>
      </c>
      <c r="C312">
        <f>Inputs!$B$3&gt;=69</f>
        <v/>
      </c>
      <c r="D312">
        <f>IF(Skills!C7=1,60+Inputs!$B$25+Inputs!$B$29,IF(Skills!C7=2,90+Inputs!$B$26+Inputs!$B$29,IF(Skills!C7=3,120+Inputs!$B$27+Inputs!$B$29,MAX(0,(Inputs!$B$3-100)*3)+Inputs!$B$28+Inputs!$B$29)))</f>
        <v/>
      </c>
      <c r="E312">
        <f>INDEX(FactorTable!$B$2:$Y$301, MATCH(ROUND(MIN(300,MAX(1,D312)),0), FactorTable!$A$2:$A$301,0), Skills!L7+1)</f>
        <v/>
      </c>
      <c r="F312">
        <f>IF(Skills!M7=TRUE,(Skills!K7/10)*(E312/1000),Skills!K7/10)+Skills!N7</f>
        <v/>
      </c>
      <c r="G312">
        <f>Calc!G7</f>
        <v/>
      </c>
      <c r="H312">
        <f>Calc!H7</f>
        <v/>
      </c>
      <c r="I312">
        <f>IF(Skills!T7&lt;&gt;"",1+(Skills!T7/10)*(Z308/1000)/100,1)</f>
        <v/>
      </c>
      <c r="J312">
        <f>((Inputs!$B$6*(1+Inputs!$B$7/100))+(((Inputs!$B$12*(1+Inputs!$B$13/100))-(Inputs!$B$12*(1+Inputs!$B$13/100)))+0.25*(Inputs!$B$14-Inputs!$B$14))*(1+Inputs!$B$7/100))*(F312/100)</f>
        <v/>
      </c>
      <c r="K312">
        <f>J312*(1+((Inputs!$B$12*(1+Inputs!$B$13/100))*0.01+Inputs!$B$14*0.0025)/100)*(1+(Inputs!$B$15+B333)/100)*(1+Inputs!$B$16/100)*(5000/(6000+Inputs!$B$42*(1-Inputs!$B$19/100)))*(1+Inputs!$B$24/100)*(1+IF(C320=TRUE,F320,0)/100)*(1+IF(C328=TRUE,F328,0)/100)^5*(1+(IF(Skills!A7="CHAIN_LIGHTNING",Inputs!$B$17,Inputs!$B$18))/100)*(B331*I312)</f>
        <v/>
      </c>
      <c r="L312">
        <f>K312*(MIN((Inputs!$B$22+1)+(F323-Calc!F18),Inputs!$B$23)/100+Inputs!$B$23/100)/2</f>
        <v/>
      </c>
      <c r="M312">
        <f>L312*(1+(Inputs!$B$10+(F326-Calc!F21))/100)</f>
        <v/>
      </c>
      <c r="N312">
        <f>L312*(1-MIN(Inputs!$B$9+((F325-Calc!F20)+(F324-Calc!F19)),100)/100)+M312*(MIN(Inputs!$B$9+((F325-Calc!F20)+(F324-Calc!F19)),100)/100)</f>
        <v/>
      </c>
      <c r="O312">
        <f>(1-Summary!$B$51)*S312+Summary!$B$51*U312</f>
        <v/>
      </c>
      <c r="P312">
        <f>IF(B341=0,0,O312/B341)</f>
        <v/>
      </c>
      <c r="Q312">
        <f>IFERROR(1/IF(Inputs!$B$38="pvp",15,MAX(0.1,Skills!D7-IF(Skills!E7=TRUE,Inputs!$B$32,0))),0)</f>
        <v/>
      </c>
      <c r="R312">
        <f>IF(AND(Inputs!$B$38&lt;&gt;"pvp",Inputs!$B$43&gt;0),IF(MAX(0,Inputs!$B$43-B338)&lt;=0,0,(INT(MAX(0,Inputs!$B$43-B338)/IF(Inputs!$B$38="pvp",15,MAX(0.1,Skills!D7-IF(Skills!E7=TRUE,Inputs!$B$32,0))))+1)),0)</f>
        <v/>
      </c>
      <c r="S312">
        <f>IF(C312,(H312*N312*IF(AND(Inputs!$B$38&lt;&gt;"pvp",Inputs!$B$43&gt;0),((Skills!F7*((R312-1)*IF(Skills!G7&gt;0,Skills!H7/Skills!G7,1)+IF(Skills!G7&gt;0,MIN(Skills!H7,MAX(0,MAX(0,Inputs!$B$43-B338)-((R312-1)*IF(Inputs!$B$38="pvp",15,MAX(0.1,Skills!D7-IF(Skills!E7=TRUE,Inputs!$B$32,0))))))/Skills!G7,1)))/Inputs!$B$43),G312*Q312))*IF(Inputs!$B$38="pvp",1,1+(Inputs!$B$20+Skills!O7+B332)/100),0)</f>
        <v/>
      </c>
      <c r="U312">
        <f>IF(C312,(H312*N312*IF(AND(Inputs!$B$38&lt;&gt;"pvp",Inputs!$B$43&gt;0),((Skills!F7*((R312-1)*IF(Skills!G7&gt;0,Skills!H7/Skills!G7,1)+IF(Skills!G7&gt;0,MIN(Skills!H7,MAX(0,MAX(0,Inputs!$B$43-B338)-((R312-1)*IF(Inputs!$B$38="pvp",15,MAX(0.1,Skills!D7-IF(Skills!E7=TRUE,Inputs!$B$32,0))))))/Skills!G7,1)))/Inputs!$B$43),G312*Q312))*IF(Inputs!$B$38="pvp",1,(1+(Inputs!$B$21+Skills!P7+B332)/100)*(MIN(Skills!Q7,Inputs!$B$37))),0)</f>
        <v/>
      </c>
    </row>
    <row r="313">
      <c r="A313">
        <f>Skills!A8</f>
        <v/>
      </c>
      <c r="B313">
        <f>Skills!B8</f>
        <v/>
      </c>
      <c r="C313">
        <f>Inputs!$B$3&gt;=103</f>
        <v/>
      </c>
      <c r="D313">
        <f>IF(Skills!C8=1,60+Inputs!$B$25+Inputs!$B$29,IF(Skills!C8=2,90+Inputs!$B$26+Inputs!$B$29,IF(Skills!C8=3,120+Inputs!$B$27+Inputs!$B$29,MAX(0,(Inputs!$B$3-100)*3)+Inputs!$B$28+Inputs!$B$29)))</f>
        <v/>
      </c>
      <c r="E313">
        <f>INDEX(FactorTable!$B$2:$Y$301, MATCH(ROUND(MIN(300,MAX(1,D313)),0), FactorTable!$A$2:$A$301,0), Skills!L8+1)</f>
        <v/>
      </c>
      <c r="F313">
        <f>IF(Skills!M8=TRUE,(Skills!K8/10)*(E313/1000),Skills!K8/10)+Skills!N8</f>
        <v/>
      </c>
      <c r="G313">
        <f>Calc!G8</f>
        <v/>
      </c>
      <c r="H313">
        <f>Calc!H8</f>
        <v/>
      </c>
      <c r="I313">
        <f>IF(Skills!T8&lt;&gt;"",1+(Skills!T8/10)*(Z308/1000)/100,1)</f>
        <v/>
      </c>
      <c r="J313">
        <f>((Inputs!$B$6*(1+Inputs!$B$7/100))+(((Inputs!$B$12*(1+Inputs!$B$13/100))-(Inputs!$B$12*(1+Inputs!$B$13/100)))+0.25*(Inputs!$B$14-Inputs!$B$14))*(1+Inputs!$B$7/100))*(F313/100)</f>
        <v/>
      </c>
      <c r="K313">
        <f>J313*(1+((Inputs!$B$12*(1+Inputs!$B$13/100))*0.01+Inputs!$B$14*0.0025)/100)*(1+(Inputs!$B$15+B333)/100)*(1+Inputs!$B$16/100)*(5000/(6000+Inputs!$B$42*(1-Inputs!$B$19/100)))*(1+Inputs!$B$24/100)*(1+IF(C320=TRUE,F320,0)/100)*(1+IF(C328=TRUE,F328,0)/100)^5*(1+(IF(Skills!A8="CHAIN_LIGHTNING",Inputs!$B$17,Inputs!$B$18))/100)*(B331*I313)</f>
        <v/>
      </c>
      <c r="L313">
        <f>K313*(MIN((Inputs!$B$22+1)+(F323-Calc!F18),Inputs!$B$23)/100+Inputs!$B$23/100)/2</f>
        <v/>
      </c>
      <c r="M313">
        <f>L313*(1+(Inputs!$B$10+(F326-Calc!F21))/100)</f>
        <v/>
      </c>
      <c r="N313">
        <f>L313*(1-MIN(Inputs!$B$9+((F325-Calc!F20)+(F324-Calc!F19)),100)/100)+M313*(MIN(Inputs!$B$9+((F325-Calc!F20)+(F324-Calc!F19)),100)/100)</f>
        <v/>
      </c>
      <c r="O313">
        <f>(1-Summary!$B$51)*S313+Summary!$B$51*U313</f>
        <v/>
      </c>
      <c r="P313">
        <f>IF(B341=0,0,O313/B341)</f>
        <v/>
      </c>
      <c r="Q313">
        <f>IFERROR(1/IF(Inputs!$B$38="pvp",15,MAX(0.1,Skills!D8-IF(Skills!E8=TRUE,Inputs!$B$32,0))),0)</f>
        <v/>
      </c>
      <c r="R313">
        <f>IF(AND(Inputs!$B$38&lt;&gt;"pvp",Inputs!$B$43&gt;0),IF(MAX(0,Inputs!$B$43-B338)&lt;=0,0,(INT(MAX(0,Inputs!$B$43-B338)/IF(Inputs!$B$38="pvp",15,MAX(0.1,Skills!D8-IF(Skills!E8=TRUE,Inputs!$B$32,0))))+1)),0)</f>
        <v/>
      </c>
      <c r="S313">
        <f>IF(C313,(H313*N313*IF(AND(Inputs!$B$38&lt;&gt;"pvp",Inputs!$B$43&gt;0),((Skills!F8*((R313-1)*IF(Skills!G8&gt;0,Skills!H8/Skills!G8,1)+IF(Skills!G8&gt;0,MIN(Skills!H8,MAX(0,MAX(0,Inputs!$B$43-B338)-((R313-1)*IF(Inputs!$B$38="pvp",15,MAX(0.1,Skills!D8-IF(Skills!E8=TRUE,Inputs!$B$32,0))))))/Skills!G8,1)))/Inputs!$B$43),G313*Q313))*IF(Inputs!$B$38="pvp",1,1+(Inputs!$B$20+Skills!O8+B332)/100),0)</f>
        <v/>
      </c>
      <c r="U313">
        <f>IF(C313,(H313*N313*IF(AND(Inputs!$B$38&lt;&gt;"pvp",Inputs!$B$43&gt;0),((Skills!F8*((R313-1)*IF(Skills!G8&gt;0,Skills!H8/Skills!G8,1)+IF(Skills!G8&gt;0,MIN(Skills!H8,MAX(0,MAX(0,Inputs!$B$43-B338)-((R313-1)*IF(Inputs!$B$38="pvp",15,MAX(0.1,Skills!D8-IF(Skills!E8=TRUE,Inputs!$B$32,0))))))/Skills!G8,1)))/Inputs!$B$43),G313*Q313))*IF(Inputs!$B$38="pvp",1,(1+(Inputs!$B$21+Skills!P8+B332)/100)*(MIN(Skills!Q8,Inputs!$B$37))),0)</f>
        <v/>
      </c>
    </row>
    <row r="314">
      <c r="A314">
        <f>Skills!A9</f>
        <v/>
      </c>
      <c r="B314">
        <f>Skills!B9</f>
        <v/>
      </c>
      <c r="C314">
        <f>Inputs!$B$3&gt;=105</f>
        <v/>
      </c>
      <c r="D314">
        <f>IF(Skills!C9=1,60+Inputs!$B$25+Inputs!$B$29,IF(Skills!C9=2,90+Inputs!$B$26+Inputs!$B$29,IF(Skills!C9=3,120+Inputs!$B$27+Inputs!$B$29,MAX(0,(Inputs!$B$3-100)*3)+Inputs!$B$28+Inputs!$B$29)))</f>
        <v/>
      </c>
      <c r="E314">
        <f>INDEX(FactorTable!$B$2:$Y$301, MATCH(ROUND(MIN(300,MAX(1,D314)),0), FactorTable!$A$2:$A$301,0), Skills!L9+1)</f>
        <v/>
      </c>
      <c r="F314">
        <f>IF(Skills!M9=TRUE,(Skills!K9/10)*(E314/1000),Skills!K9/10)+Skills!N9</f>
        <v/>
      </c>
      <c r="G314">
        <f>Calc!G9</f>
        <v/>
      </c>
      <c r="H314">
        <f>Calc!H9</f>
        <v/>
      </c>
      <c r="I314">
        <f>IF(Skills!T9&lt;&gt;"",1+(Skills!T9/10)*(Z308/1000)/100,1)</f>
        <v/>
      </c>
      <c r="J314">
        <f>((Inputs!$B$6*(1+Inputs!$B$7/100))+(((Inputs!$B$12*(1+Inputs!$B$13/100))-(Inputs!$B$12*(1+Inputs!$B$13/100)))+0.25*(Inputs!$B$14-Inputs!$B$14))*(1+Inputs!$B$7/100))*(F314/100)</f>
        <v/>
      </c>
      <c r="K314">
        <f>J314*(1+((Inputs!$B$12*(1+Inputs!$B$13/100))*0.01+Inputs!$B$14*0.0025)/100)*(1+(Inputs!$B$15+B333)/100)*(1+Inputs!$B$16/100)*(5000/(6000+Inputs!$B$42*(1-Inputs!$B$19/100)))*(1+Inputs!$B$24/100)*(1+IF(C320=TRUE,F320,0)/100)*(1+IF(C328=TRUE,F328,0)/100)^5*(1+(IF(Skills!A9="CHAIN_LIGHTNING",Inputs!$B$17,Inputs!$B$18))/100)*(B331*I314)</f>
        <v/>
      </c>
      <c r="L314">
        <f>K314*(MIN((Inputs!$B$22+1)+(F323-Calc!F18),Inputs!$B$23)/100+Inputs!$B$23/100)/2</f>
        <v/>
      </c>
      <c r="M314">
        <f>L314*(1+(Inputs!$B$10+(F326-Calc!F21))/100)</f>
        <v/>
      </c>
      <c r="N314">
        <f>L314*(1-MIN(Inputs!$B$9+((F325-Calc!F20)+(F324-Calc!F19)),100)/100)+M314*(MIN(Inputs!$B$9+((F325-Calc!F20)+(F324-Calc!F19)),100)/100)</f>
        <v/>
      </c>
      <c r="O314">
        <f>(1-Summary!$B$51)*S314+Summary!$B$51*U314</f>
        <v/>
      </c>
      <c r="P314">
        <f>IF(B341=0,0,O314/B341)</f>
        <v/>
      </c>
      <c r="Q314">
        <f>IFERROR(1/IF(Inputs!$B$38="pvp",15,MAX(0.1,Skills!D9-IF(Skills!E9=TRUE,Inputs!$B$32,0))),0)</f>
        <v/>
      </c>
      <c r="R314">
        <f>IF(AND(Inputs!$B$38&lt;&gt;"pvp",Inputs!$B$43&gt;0),IF(MAX(0,Inputs!$B$43-B338)&lt;=0,0,(INT(MAX(0,Inputs!$B$43-B338)/IF(Inputs!$B$38="pvp",15,MAX(0.1,Skills!D9-IF(Skills!E9=TRUE,Inputs!$B$32,0))))+1)),0)</f>
        <v/>
      </c>
      <c r="S314">
        <f>IF(C314,(H314*N314*IF(AND(Inputs!$B$38&lt;&gt;"pvp",Inputs!$B$43&gt;0),((Skills!F9*((R314-1)*IF(Skills!G9&gt;0,Skills!H9/Skills!G9,1)+IF(Skills!G9&gt;0,MIN(Skills!H9,MAX(0,MAX(0,Inputs!$B$43-B338)-((R314-1)*IF(Inputs!$B$38="pvp",15,MAX(0.1,Skills!D9-IF(Skills!E9=TRUE,Inputs!$B$32,0))))))/Skills!G9,1)))/Inputs!$B$43),G314*Q314))*IF(Inputs!$B$38="pvp",1,1+(Inputs!$B$20+Skills!O9+B332)/100),0)</f>
        <v/>
      </c>
      <c r="U314">
        <f>IF(C314,(H314*N314*IF(AND(Inputs!$B$38&lt;&gt;"pvp",Inputs!$B$43&gt;0),((Skills!F9*((R314-1)*IF(Skills!G9&gt;0,Skills!H9/Skills!G9,1)+IF(Skills!G9&gt;0,MIN(Skills!H9,MAX(0,MAX(0,Inputs!$B$43-B338)-((R314-1)*IF(Inputs!$B$38="pvp",15,MAX(0.1,Skills!D9-IF(Skills!E9=TRUE,Inputs!$B$32,0))))))/Skills!G9,1)))/Inputs!$B$43),G314*Q314))*IF(Inputs!$B$38="pvp",1,(1+(Inputs!$B$21+Skills!P9+B332)/100)*(MIN(Skills!Q9,Inputs!$B$37))),0)</f>
        <v/>
      </c>
    </row>
    <row r="315">
      <c r="A315">
        <f>Skills!A10</f>
        <v/>
      </c>
      <c r="B315">
        <f>Skills!B10</f>
        <v/>
      </c>
      <c r="C315">
        <f>Inputs!$B$3&gt;=113</f>
        <v/>
      </c>
      <c r="D315">
        <f>IF(Skills!C10=1,60+Inputs!$B$25+Inputs!$B$29,IF(Skills!C10=2,90+Inputs!$B$26+Inputs!$B$29,IF(Skills!C10=3,120+Inputs!$B$27+Inputs!$B$29,MAX(0,(Inputs!$B$3-100)*3)+Inputs!$B$28+Inputs!$B$29)))</f>
        <v/>
      </c>
      <c r="E315">
        <f>INDEX(FactorTable!$B$2:$Y$301, MATCH(ROUND(MIN(300,MAX(1,D315)),0), FactorTable!$A$2:$A$301,0), Skills!L10+1)</f>
        <v/>
      </c>
      <c r="F315">
        <f>IF(Skills!M10=TRUE,(Skills!K10/10)*(E315/1000),Skills!K10/10)+Skills!N10</f>
        <v/>
      </c>
      <c r="G315">
        <f>Calc!G10</f>
        <v/>
      </c>
      <c r="H315">
        <f>Calc!H10</f>
        <v/>
      </c>
      <c r="I315">
        <f>IF(Skills!T10&lt;&gt;"",1+(Skills!T10/10)*(Z308/1000)/100,1)</f>
        <v/>
      </c>
      <c r="J315">
        <f>((Inputs!$B$6*(1+Inputs!$B$7/100))+(((Inputs!$B$12*(1+Inputs!$B$13/100))-(Inputs!$B$12*(1+Inputs!$B$13/100)))+0.25*(Inputs!$B$14-Inputs!$B$14))*(1+Inputs!$B$7/100))*(F315/100)</f>
        <v/>
      </c>
      <c r="K315">
        <f>J315*(1+((Inputs!$B$12*(1+Inputs!$B$13/100))*0.01+Inputs!$B$14*0.0025)/100)*(1+(Inputs!$B$15+B333)/100)*(1+Inputs!$B$16/100)*(5000/(6000+Inputs!$B$42*(1-Inputs!$B$19/100)))*(1+Inputs!$B$24/100)*(1+IF(C320=TRUE,F320,0)/100)*(1+IF(C328=TRUE,F328,0)/100)^5*(1+(IF(Skills!A10="CHAIN_LIGHTNING",Inputs!$B$17,Inputs!$B$18))/100)*(B331*I315)</f>
        <v/>
      </c>
      <c r="L315">
        <f>K315*(MIN((Inputs!$B$22+1)+(F323-Calc!F18),Inputs!$B$23)/100+Inputs!$B$23/100)/2</f>
        <v/>
      </c>
      <c r="M315">
        <f>L315*(1+(Inputs!$B$10+(F326-Calc!F21))/100)</f>
        <v/>
      </c>
      <c r="N315">
        <f>L315*(1-MIN(Inputs!$B$9+((F325-Calc!F20)+(F324-Calc!F19)),100)/100)+M315*(MIN(Inputs!$B$9+((F325-Calc!F20)+(F324-Calc!F19)),100)/100)</f>
        <v/>
      </c>
      <c r="O315">
        <f>(1-Summary!$B$51)*S315+Summary!$B$51*U315</f>
        <v/>
      </c>
      <c r="P315">
        <f>IF(B341=0,0,O315/B341)</f>
        <v/>
      </c>
      <c r="Q315">
        <f>IFERROR(1/IF(Inputs!$B$38="pvp",15,MAX(0.1,Skills!D10-IF(Skills!E9=TRUE,Inputs!$B$32,0))),0)</f>
        <v/>
      </c>
      <c r="R315">
        <f>IF(AND(Inputs!$B$38&lt;&gt;"pvp",Inputs!$B$43&gt;0),IF(MAX(0,Inputs!$B$43-B338)&lt;=0,0,(INT(MAX(0,Inputs!$B$43-B338)/IF(Inputs!$B$38="pvp",15,MAX(0.1,Skills!D10-IF(Skills!E9=TRUE,Inputs!$B$32,0))))+1)),0)</f>
        <v/>
      </c>
      <c r="S315">
        <f>IF(C315,(H315*N315*IF(AND(Inputs!$B$38&lt;&gt;"pvp",Inputs!$B$43&gt;0),((Skills!F10*((R315-1)*IF(Skills!G10&gt;0,Skills!H10/Skills!G10,1)+IF(Skills!G10&gt;0,MIN(Skills!H10,MAX(0,MAX(0,Inputs!$B$43-B338)-((R315-1)*IF(Inputs!$B$38="pvp",15,MAX(0.1,Skills!D10-IF(Skills!E9=TRUE,Inputs!$B$32,0))))))/Skills!G10,1)))/Inputs!$B$43),G315*Q315))*IF(Inputs!$B$38="pvp",1,1+(Inputs!$B$20+Skills!O10+B332)/100),0)</f>
        <v/>
      </c>
      <c r="U315">
        <f>IF(C315,(H315*N315*IF(AND(Inputs!$B$38&lt;&gt;"pvp",Inputs!$B$43&gt;0),((Skills!F10*((R315-1)*IF(Skills!G10&gt;0,Skills!H10/Skills!G10,1)+IF(Skills!G10&gt;0,MIN(Skills!H10,MAX(0,MAX(0,Inputs!$B$43-B338)-((R315-1)*IF(Inputs!$B$38="pvp",15,MAX(0.1,Skills!D10-IF(Skills!E9=TRUE,Inputs!$B$32,0))))))/Skills!G10,1)))/Inputs!$B$43),G315*Q315))*IF(Inputs!$B$38="pvp",1,(1+(Inputs!$B$21+Skills!P10+B332)/100)*(MIN(Skills!Q10,Inputs!$B$37))),0)</f>
        <v/>
      </c>
    </row>
    <row r="316">
      <c r="A316">
        <f>Skills!A11</f>
        <v/>
      </c>
      <c r="B316">
        <f>Skills!B11</f>
        <v/>
      </c>
      <c r="C316">
        <f>Inputs!$B$3&gt;=107</f>
        <v/>
      </c>
      <c r="D316">
        <f>IF(Skills!C11=1,60+Inputs!$B$25+Inputs!$B$29,IF(Skills!C11=2,90+Inputs!$B$26+Inputs!$B$29,IF(Skills!C11=3,120+Inputs!$B$27+Inputs!$B$29,MAX(0,(Inputs!$B$3-100)*3)+Inputs!$B$28+Inputs!$B$29)))</f>
        <v/>
      </c>
      <c r="E316">
        <f>INDEX(FactorTable!$B$2:$Y$301, MATCH(ROUND(MIN(300,MAX(1,D316)),0), FactorTable!$A$2:$A$301,0), Skills!L11+1)</f>
        <v/>
      </c>
      <c r="F316">
        <f>IF(Skills!M11=TRUE,(Skills!K11/10)*(E316/1000),Skills!K11/10)+Skills!N11</f>
        <v/>
      </c>
      <c r="G316">
        <f>Calc!G11</f>
        <v/>
      </c>
      <c r="H316">
        <f>Calc!H11</f>
        <v/>
      </c>
      <c r="I316">
        <f>IF(Skills!T11&lt;&gt;"",1+(Skills!T11/10)*(Z308/1000)/100,1)</f>
        <v/>
      </c>
      <c r="J316">
        <f>((Inputs!$B$6*(1+Inputs!$B$7/100))+(((Inputs!$B$12*(1+Inputs!$B$13/100))-(Inputs!$B$12*(1+Inputs!$B$13/100)))+0.25*(Inputs!$B$14-Inputs!$B$14))*(1+Inputs!$B$7/100))*(F316/100)</f>
        <v/>
      </c>
      <c r="K316">
        <f>J316*(1+((Inputs!$B$12*(1+Inputs!$B$13/100))*0.01+Inputs!$B$14*0.0025)/100)*(1+(Inputs!$B$15+B333)/100)*(1+Inputs!$B$16/100)*(5000/(6000+Inputs!$B$42*(1-Inputs!$B$19/100)))*(1+Inputs!$B$24/100)*(1+IF(C320=TRUE,F320,0)/100)*(1+IF(C328=TRUE,F328,0)/100)^5*(1+(IF(Skills!A11="CHAIN_LIGHTNING",Inputs!$B$17,Inputs!$B$18))/100)*(B331*I316)</f>
        <v/>
      </c>
      <c r="L316">
        <f>K316*(MIN((Inputs!$B$22+1)+(F323-Calc!F18),Inputs!$B$23)/100+Inputs!$B$23/100)/2</f>
        <v/>
      </c>
      <c r="M316">
        <f>L316*(1+(Inputs!$B$10+(F326-Calc!F21))/100)</f>
        <v/>
      </c>
      <c r="N316">
        <f>L316*(1-MIN(Inputs!$B$9+((F325-Calc!F20)+(F324-Calc!F19)),100)/100)+M316*(MIN(Inputs!$B$9+((F325-Calc!F20)+(F324-Calc!F19)),100)/100)</f>
        <v/>
      </c>
      <c r="O316">
        <f>(1-Summary!$B$51)*S316+Summary!$B$51*U316</f>
        <v/>
      </c>
      <c r="P316">
        <f>IF(B341=0,0,O316/B341)</f>
        <v/>
      </c>
      <c r="Q316">
        <f>IFERROR(1/IF(Inputs!$B$38="pvp",15,MAX(0.1,Skills!D11-IF(Skills!E11=TRUE,Inputs!$B$32,0))),0)</f>
        <v/>
      </c>
      <c r="R316">
        <f>IF(AND(Inputs!$B$38&lt;&gt;"pvp",Inputs!$B$43&gt;0),IF(MAX(0,Inputs!$B$43-B338)&lt;=0,0,(INT(MAX(0,Inputs!$B$43-B338)/IF(Inputs!$B$38="pvp",15,MAX(0.1,Skills!D11-IF(Skills!E11=TRUE,Inputs!$B$32,0))))+1)),0)</f>
        <v/>
      </c>
      <c r="S316">
        <f>IF(C316,H316*N316*IF(AND(Inputs!$B$38&lt;&gt;"pvp",Inputs!$B$43&gt;0),((Skills!F11*((R316-1)*IF(Skills!G11&gt;0,Skills!H11/Skills!G11,1)+IF(Skills!G11&gt;0,MIN(Skills!H11,MAX(0,MAX(0,Inputs!$B$43-B338)-((R316-1)*IF(Inputs!$B$38="pvp",15,MAX(0.1,Skills!D11-IF(Skills!E11=TRUE,Inputs!$B$32,0))))))/Skills!G11,1)))/Inputs!$B$43),G316*Q316)*0.5*IF(Inputs!$B$38="pvp",1,1+(Inputs!$B$20+Skills!O11+B332)/100),0)</f>
        <v/>
      </c>
      <c r="U316">
        <f>IF(C316,H316*N316*IF(AND(Inputs!$B$38&lt;&gt;"pvp",Inputs!$B$43&gt;0),((Skills!F11*((R316-1)*IF(Skills!G11&gt;0,Skills!H11/Skills!G11,1)+IF(Skills!G11&gt;0,MIN(Skills!H11,MAX(0,MAX(0,Inputs!$B$43-B338)-((R316-1)*IF(Inputs!$B$38="pvp",15,MAX(0.1,Skills!D11-IF(Skills!E11=TRUE,Inputs!$B$32,0))))))/Skills!G11,1)))/Inputs!$B$43),G316*Q316)*1*IF(Inputs!$B$38="pvp",1,(1+(Inputs!$B$21+Skills!P11+B332)/100)*(MIN(Skills!Q11,Inputs!$B$37))),0)</f>
        <v/>
      </c>
    </row>
    <row r="317">
      <c r="A317">
        <f>Skills!A12</f>
        <v/>
      </c>
      <c r="B317">
        <f>Skills!B12</f>
        <v/>
      </c>
      <c r="C317">
        <f>Inputs!$B$3&gt;=115</f>
        <v/>
      </c>
      <c r="D317">
        <f>IF(Skills!C12=1,60+Inputs!$B$25+Inputs!$B$29,IF(Skills!C12=2,90+Inputs!$B$26+Inputs!$B$29,IF(Skills!C12=3,120+Inputs!$B$27+Inputs!$B$29,MAX(0,(Inputs!$B$3-100)*3)+Inputs!$B$28+Inputs!$B$29)))</f>
        <v/>
      </c>
      <c r="E317">
        <f>INDEX(FactorTable!$B$2:$Y$301, MATCH(ROUND(MIN(300,MAX(1,D317)),0), FactorTable!$A$2:$A$301,0), Skills!L12+1)</f>
        <v/>
      </c>
      <c r="F317">
        <f>IF(Skills!M12=TRUE,(Skills!K12/10)*(E317/1000),Skills!K12/10)+Skills!N12</f>
        <v/>
      </c>
      <c r="G317">
        <f>Calc!G12</f>
        <v/>
      </c>
      <c r="H317">
        <f>Calc!H12</f>
        <v/>
      </c>
      <c r="I317">
        <f>IF(Skills!T12&lt;&gt;"",1+(Skills!T12/10)*(Z308/1000)/100,1)</f>
        <v/>
      </c>
      <c r="J317">
        <f>((Inputs!$B$6*(1+Inputs!$B$7/100))+(((Inputs!$B$12*(1+Inputs!$B$13/100))-(Inputs!$B$12*(1+Inputs!$B$13/100)))+0.25*(Inputs!$B$14-Inputs!$B$14))*(1+Inputs!$B$7/100))*(F317/100)</f>
        <v/>
      </c>
      <c r="K317">
        <f>J317*(1+((Inputs!$B$12*(1+Inputs!$B$13/100))*0.01+Inputs!$B$14*0.0025)/100)*(1+(Inputs!$B$15+B333)/100)*(1+Inputs!$B$16/100)*(5000/(6000+Inputs!$B$42*(1-Inputs!$B$19/100)))*(1+Inputs!$B$24/100)*(1+IF(C320=TRUE,F320,0)/100)*(1+IF(C328=TRUE,F328,0)/100)^5*(1+(IF(Skills!A12="CHAIN_LIGHTNING",Inputs!$B$17,Inputs!$B$18))/100)*(B331*I317)</f>
        <v/>
      </c>
      <c r="L317">
        <f>K317*(MIN((Inputs!$B$22+1)+(F323-Calc!F18),Inputs!$B$23)/100+Inputs!$B$23/100)/2</f>
        <v/>
      </c>
      <c r="M317">
        <f>L317*(1+(Inputs!$B$10+(F326-Calc!F21))/100)</f>
        <v/>
      </c>
      <c r="N317">
        <f>L317*(1-MIN(Inputs!$B$9+((F325-Calc!F20)+(F324-Calc!F19)),100)/100)+M317*(MIN(Inputs!$B$9+((F325-Calc!F20)+(F324-Calc!F19)),100)/100)</f>
        <v/>
      </c>
      <c r="O317">
        <f>(1-Summary!$B$51)*S317+Summary!$B$51*U317</f>
        <v/>
      </c>
      <c r="P317">
        <f>IF(B341=0,0,O317/B341)</f>
        <v/>
      </c>
      <c r="Q317">
        <f>IFERROR(1/IF(Inputs!$B$38="pvp",15,MAX(0.1,Skills!D12-IF(Skills!E12=TRUE,Inputs!$B$32,0))),0)</f>
        <v/>
      </c>
      <c r="R317">
        <f>IF(AND(Inputs!$B$38&lt;&gt;"pvp",Inputs!$B$43&gt;0),IF(MAX(0,Inputs!$B$43-B338)&lt;=0,0,(INT(MAX(0,Inputs!$B$43-B338)/IF(Inputs!$B$38="pvp",15,MAX(0.1,Skills!D12-IF(Skills!E12=TRUE,Inputs!$B$32,0))))+1)),0)</f>
        <v/>
      </c>
      <c r="S317">
        <f>IF(C317,(H317*N317*IF(AND(Inputs!$B$38&lt;&gt;"pvp",Inputs!$B$43&gt;0),((Skills!F12*((R317-1)*IF(Skills!G12&gt;0,Skills!H12/Skills!G12,1)+IF(Skills!G12&gt;0,MIN(Skills!H12,MAX(0,MAX(0,Inputs!$B$43-B338)-((R317-1)*IF(Inputs!$B$38="pvp",15,MAX(0.1,Skills!D12-IF(Skills!E12=TRUE,Inputs!$B$32,0))))))/Skills!G12,1)))/Inputs!$B$43),G317*Q317))*IF(Inputs!$B$38="pvp",1,1+(Inputs!$B$20+Skills!O12+B332)/100),0)</f>
        <v/>
      </c>
      <c r="U317">
        <f>IF(C317,(H317*N317*IF(AND(Inputs!$B$38&lt;&gt;"pvp",Inputs!$B$43&gt;0),((Skills!F12*((R317-1)*IF(Skills!G12&gt;0,Skills!H12/Skills!G12,1)+IF(Skills!G12&gt;0,MIN(Skills!H12,MAX(0,MAX(0,Inputs!$B$43-B338)-((R317-1)*IF(Inputs!$B$38="pvp",15,MAX(0.1,Skills!D12-IF(Skills!E12=TRUE,Inputs!$B$32,0))))))/Skills!G12,1)))/Inputs!$B$43),G317*Q317))*IF(Inputs!$B$38="pvp",1,(1+(Inputs!$B$21+Skills!P12+B332)/100)*(MIN(Skills!Q12,Inputs!$B$37))),0)</f>
        <v/>
      </c>
    </row>
    <row r="318">
      <c r="A318">
        <f>Skills!A13</f>
        <v/>
      </c>
      <c r="B318">
        <f>Skills!B13</f>
        <v/>
      </c>
      <c r="C318">
        <f>Inputs!$B$3&gt;=49</f>
        <v/>
      </c>
      <c r="D318">
        <f>IF(Skills!C13=1,60+Inputs!$B$25+Inputs!$B$29,IF(Skills!C13=2,90+Inputs!$B$26+Inputs!$B$29,IF(Skills!C13=3,120+Inputs!$B$27+Inputs!$B$29,MAX(0,(Inputs!$B$3-100)*3)+Inputs!$B$28+Inputs!$B$29)))</f>
        <v/>
      </c>
      <c r="E318">
        <f>INDEX(FactorTable!$B$2:$Y$301, MATCH(ROUND(MIN(300,MAX(1,D318)),0), FactorTable!$A$2:$A$301,0), Skills!L13+1)</f>
        <v/>
      </c>
      <c r="F318">
        <f>IF(Skills!M13=TRUE,(Skills!K13/10)*(E318/1000),Skills!K13/10)+Skills!N13</f>
        <v/>
      </c>
      <c r="G318">
        <f>Calc!G13</f>
        <v/>
      </c>
      <c r="H318">
        <f>Calc!H13</f>
        <v/>
      </c>
      <c r="I318">
        <f>IF(Skills!T13&lt;&gt;"",1+(Skills!T13/10)*(Z308/1000)/100,1)</f>
        <v/>
      </c>
      <c r="J318" t="inlineStr"/>
      <c r="K318" t="inlineStr"/>
      <c r="L318" t="inlineStr"/>
      <c r="M318" t="inlineStr"/>
      <c r="N318" t="inlineStr"/>
      <c r="O318">
        <f>(1-Summary!$B$51)*S318+Summary!$B$51*U318</f>
        <v/>
      </c>
      <c r="P318">
        <f>IF(B341=0,0,O318/B341)</f>
        <v/>
      </c>
      <c r="Q318">
        <f>IFERROR(1/IF(Inputs!$B$38="pvp",15,MAX(0.1,Skills!D13-IF(Skills!E13=TRUE,Inputs!$B$32,0))),0)</f>
        <v/>
      </c>
      <c r="R318" t="n">
        <v>0</v>
      </c>
      <c r="S318" t="n">
        <v>0</v>
      </c>
      <c r="U318" t="n">
        <v>0</v>
      </c>
    </row>
    <row r="319">
      <c r="A319">
        <f>Skills!A14</f>
        <v/>
      </c>
      <c r="B319">
        <f>Skills!B14</f>
        <v/>
      </c>
      <c r="C319">
        <f>Inputs!$B$3&gt;=72</f>
        <v/>
      </c>
      <c r="D319">
        <f>IF(Skills!C14=1,60+Inputs!$B$25+Inputs!$B$29,IF(Skills!C14=2,90+Inputs!$B$26+Inputs!$B$29,IF(Skills!C14=3,120+Inputs!$B$27+Inputs!$B$29,MAX(0,(Inputs!$B$3-100)*3)+Inputs!$B$28+Inputs!$B$29)))</f>
        <v/>
      </c>
      <c r="E319">
        <f>INDEX(FactorTable!$B$2:$Y$301, MATCH(ROUND(MIN(300,MAX(1,D319)),0), FactorTable!$A$2:$A$301,0), Skills!L14+1)</f>
        <v/>
      </c>
      <c r="F319">
        <f>IF(Skills!M14=TRUE,(Skills!K14/10)*(E319/1000),Skills!K14/10)+Skills!N14</f>
        <v/>
      </c>
      <c r="G319">
        <f>Calc!G14</f>
        <v/>
      </c>
      <c r="H319">
        <f>Calc!H14</f>
        <v/>
      </c>
      <c r="I319">
        <f>IF(Skills!T14&lt;&gt;"",1+(Skills!T14/10)*(Z308/1000)/100,1)</f>
        <v/>
      </c>
      <c r="J319" t="inlineStr"/>
      <c r="K319" t="inlineStr"/>
      <c r="L319" t="inlineStr"/>
      <c r="M319" t="inlineStr"/>
      <c r="N319" t="inlineStr"/>
      <c r="O319">
        <f>(1-Summary!$B$51)*S319+Summary!$B$51*U319</f>
        <v/>
      </c>
      <c r="P319">
        <f>IF(B341=0,0,O319/B341)</f>
        <v/>
      </c>
      <c r="Q319">
        <f>IFERROR(1/IF(Inputs!$B$38="pvp",15,MAX(0.1,Skills!D14-IF(Skills!E14=TRUE,Inputs!$B$32,0))),0)</f>
        <v/>
      </c>
      <c r="R319" t="n">
        <v>0</v>
      </c>
      <c r="S319" t="n">
        <v>0</v>
      </c>
      <c r="U319" t="n">
        <v>0</v>
      </c>
    </row>
    <row r="320">
      <c r="A320">
        <f>Skills!A15</f>
        <v/>
      </c>
      <c r="B320">
        <f>Skills!B15</f>
        <v/>
      </c>
      <c r="C320">
        <f>Inputs!$B$3&gt;=75</f>
        <v/>
      </c>
      <c r="D320">
        <f>IF(Skills!C15=1,60+Inputs!$B$25+Inputs!$B$29,IF(Skills!C15=2,90+Inputs!$B$26+Inputs!$B$29,IF(Skills!C15=3,120+Inputs!$B$27+Inputs!$B$29,MAX(0,(Inputs!$B$3-100)*3)+Inputs!$B$28+Inputs!$B$29)))</f>
        <v/>
      </c>
      <c r="E320">
        <f>INDEX(FactorTable!$B$2:$Y$301, MATCH(ROUND(MIN(300,MAX(1,D320)),0), FactorTable!$A$2:$A$301,0), Skills!L15+1)</f>
        <v/>
      </c>
      <c r="F320">
        <f>IF(Skills!M15=TRUE,(Skills!K15/10)*(E320/1000),Skills!K15/10)+Skills!N15</f>
        <v/>
      </c>
      <c r="G320">
        <f>Calc!G15</f>
        <v/>
      </c>
      <c r="H320">
        <f>Calc!H15</f>
        <v/>
      </c>
      <c r="I320">
        <f>IF(Skills!T15&lt;&gt;"",1+(Skills!T15/10)*(Z308/1000)/100,1)</f>
        <v/>
      </c>
      <c r="J320" t="inlineStr"/>
      <c r="K320" t="inlineStr"/>
      <c r="L320" t="inlineStr"/>
      <c r="M320" t="inlineStr"/>
      <c r="N320" t="inlineStr"/>
      <c r="O320">
        <f>(1-Summary!$B$51)*S320+Summary!$B$51*U320</f>
        <v/>
      </c>
      <c r="P320">
        <f>IF(B341=0,0,O320/B341)</f>
        <v/>
      </c>
      <c r="Q320">
        <f>IFERROR(1/IF(Inputs!$B$38="pvp",15,MAX(0.1,Skills!D15-IF(Skills!E15=TRUE,Inputs!$B$32,0))),0)</f>
        <v/>
      </c>
      <c r="R320" t="n">
        <v>0</v>
      </c>
      <c r="S320" t="n">
        <v>0</v>
      </c>
      <c r="U320" t="n">
        <v>0</v>
      </c>
    </row>
    <row r="321">
      <c r="A321">
        <f>Skills!A16</f>
        <v/>
      </c>
      <c r="B321">
        <f>Skills!B16</f>
        <v/>
      </c>
      <c r="C321">
        <f>Inputs!$B$3&gt;=110</f>
        <v/>
      </c>
      <c r="D321">
        <f>IF(Skills!C16=1,60+Inputs!$B$25+Inputs!$B$29,IF(Skills!C16=2,90+Inputs!$B$26+Inputs!$B$29,IF(Skills!C16=3,120+Inputs!$B$27+Inputs!$B$29,MAX(0,(Inputs!$B$3-100)*3)+Inputs!$B$28+Inputs!$B$29)))</f>
        <v/>
      </c>
      <c r="E321">
        <f>INDEX(FactorTable!$B$2:$Y$301, MATCH(ROUND(MIN(300,MAX(1,D321)),0), FactorTable!$A$2:$A$301,0), Skills!L16+1)</f>
        <v/>
      </c>
      <c r="F321">
        <f>(Skills!K16/10)*(E321/1000)*64/45+Skills!N16</f>
        <v/>
      </c>
      <c r="G321">
        <f>Calc!G16</f>
        <v/>
      </c>
      <c r="H321">
        <f>Calc!H16</f>
        <v/>
      </c>
      <c r="I321">
        <f>IF(Skills!T16&lt;&gt;"",1+(Skills!T16/10)*(Z308/1000)/100,1)</f>
        <v/>
      </c>
      <c r="J321" t="inlineStr"/>
      <c r="K321" t="inlineStr"/>
      <c r="L321" t="inlineStr"/>
      <c r="M321" t="inlineStr"/>
      <c r="N321" t="inlineStr"/>
      <c r="O321">
        <f>(1-Summary!$B$51)*S321+Summary!$B$51*U321</f>
        <v/>
      </c>
      <c r="P321">
        <f>IF(B341=0,0,O321/B341)</f>
        <v/>
      </c>
      <c r="Q321">
        <f>IFERROR(1/IF(Inputs!$B$38="pvp",15,MAX(0.1,Skills!D16-IF(Skills!E16=TRUE,Inputs!$B$32,0))),0)</f>
        <v/>
      </c>
      <c r="R321">
        <f>IF(AND(Inputs!$B$38&lt;&gt;"pvp",Inputs!$B$43&gt;0),IF(Inputs!$B$43&lt;=0,0,(INT(Inputs!$B$43/IF(Inputs!$B$38="pvp",15,MAX(0.1,Skills!D16-IF(Skills!E16=TRUE,Inputs!$B$32,0))))+1)),0)</f>
        <v/>
      </c>
      <c r="S321" t="n">
        <v>0</v>
      </c>
      <c r="U321" t="n">
        <v>0</v>
      </c>
    </row>
    <row r="322">
      <c r="A322">
        <f>Skills!A17</f>
        <v/>
      </c>
      <c r="B322">
        <f>Skills!B17</f>
        <v/>
      </c>
      <c r="C322">
        <f>Inputs!$B$3&gt;=33</f>
        <v/>
      </c>
      <c r="D322">
        <f>IF(Skills!C17=1,60+Inputs!$B$25+Inputs!$B$29,IF(Skills!C17=2,90+Inputs!$B$26+Inputs!$B$29,IF(Skills!C17=3,120+Inputs!$B$27+Inputs!$B$29,MAX(0,(Inputs!$B$3-100)*3)+Inputs!$B$28+Inputs!$B$29)))</f>
        <v/>
      </c>
      <c r="E322">
        <f>INDEX(FactorTable!$B$2:$Y$301, MATCH(ROUND(MIN(300,MAX(1,D322)),0), FactorTable!$A$2:$A$301,0), Skills!L17+1)</f>
        <v/>
      </c>
      <c r="F322">
        <f>IF(Skills!M17=TRUE,(Skills!K17/10)*(E322/1000),Skills!K17/10)+Skills!N17</f>
        <v/>
      </c>
      <c r="G322">
        <f>Calc!G17</f>
        <v/>
      </c>
      <c r="H322">
        <f>Calc!H17</f>
        <v/>
      </c>
      <c r="I322">
        <f>IF(Skills!T17&lt;&gt;"",1+(Skills!T17/10)*(Z308/1000)/100,1)</f>
        <v/>
      </c>
      <c r="J322" t="inlineStr"/>
      <c r="K322" t="inlineStr"/>
      <c r="L322" t="inlineStr"/>
      <c r="M322" t="inlineStr"/>
      <c r="N322" t="inlineStr"/>
      <c r="O322">
        <f>(1-Summary!$B$51)*S322+Summary!$B$51*U322</f>
        <v/>
      </c>
      <c r="P322">
        <f>IF(B341=0,0,O322/B341)</f>
        <v/>
      </c>
      <c r="Q322">
        <f>IFERROR(1/IF(Inputs!$B$38="pvp",15,MAX(0.1,Skills!D17-IF(Skills!E17=TRUE,Inputs!$B$32,0))),0)</f>
        <v/>
      </c>
      <c r="R322" t="n">
        <v>0</v>
      </c>
      <c r="S322" t="n">
        <v>0</v>
      </c>
      <c r="U322" t="n">
        <v>0</v>
      </c>
    </row>
    <row r="323">
      <c r="A323">
        <f>Skills!A18</f>
        <v/>
      </c>
      <c r="B323">
        <f>Skills!B18</f>
        <v/>
      </c>
      <c r="C323">
        <f>Inputs!$B$3&gt;=43</f>
        <v/>
      </c>
      <c r="D323">
        <f>IF(Skills!C18=1,60+Inputs!$B$25+Inputs!$B$29,IF(Skills!C18=2,90+Inputs!$B$26+Inputs!$B$29,IF(Skills!C18=3,120+Inputs!$B$27+Inputs!$B$29,MAX(0,(Inputs!$B$3-100)*3)+Inputs!$B$28+Inputs!$B$29)))</f>
        <v/>
      </c>
      <c r="E323">
        <f>INDEX(FactorTable!$B$2:$Y$301, MATCH(ROUND(MIN(300,MAX(1,D323)),0), FactorTable!$A$2:$A$301,0), Skills!L18+1)</f>
        <v/>
      </c>
      <c r="F323">
        <f>IF(Skills!M18=TRUE,(Skills!K18/10)*(E323/1000),Skills!K18/10)+Skills!N18</f>
        <v/>
      </c>
      <c r="G323">
        <f>Calc!G18</f>
        <v/>
      </c>
      <c r="H323">
        <f>Calc!H18</f>
        <v/>
      </c>
      <c r="I323">
        <f>IF(Skills!T18&lt;&gt;"",1+(Skills!T18/10)*(Z308/1000)/100,1)</f>
        <v/>
      </c>
      <c r="J323" t="inlineStr"/>
      <c r="K323" t="inlineStr"/>
      <c r="L323" t="inlineStr"/>
      <c r="M323" t="inlineStr"/>
      <c r="N323" t="inlineStr"/>
      <c r="O323">
        <f>(1-Summary!$B$51)*S323+Summary!$B$51*U323</f>
        <v/>
      </c>
      <c r="P323">
        <f>IF(B341=0,0,O323/B341)</f>
        <v/>
      </c>
      <c r="Q323">
        <f>IFERROR(1/IF(Inputs!$B$38="pvp",15,MAX(0.1,Skills!D18-IF(Skills!E18=TRUE,Inputs!$B$32,0))),0)</f>
        <v/>
      </c>
      <c r="R323" t="n">
        <v>0</v>
      </c>
      <c r="S323" t="n">
        <v>0</v>
      </c>
      <c r="U323" t="n">
        <v>0</v>
      </c>
    </row>
    <row r="324">
      <c r="A324">
        <f>Skills!A19</f>
        <v/>
      </c>
      <c r="B324">
        <f>Skills!B19</f>
        <v/>
      </c>
      <c r="C324">
        <f>Inputs!$B$3&gt;=50</f>
        <v/>
      </c>
      <c r="D324">
        <f>IF(Skills!C19=1,60+Inputs!$B$25+Inputs!$B$29,IF(Skills!C19=2,90+Inputs!$B$26+Inputs!$B$29,IF(Skills!C19=3,120+Inputs!$B$27+Inputs!$B$29,MAX(0,(Inputs!$B$3-100)*3)+Inputs!$B$28+Inputs!$B$29)))</f>
        <v/>
      </c>
      <c r="E324">
        <f>INDEX(FactorTable!$B$2:$Y$301, MATCH(ROUND(MIN(300,MAX(1,D324)),0), FactorTable!$A$2:$A$301,0), Skills!L19+1)</f>
        <v/>
      </c>
      <c r="F324">
        <f>IF(Skills!M19=TRUE,(Skills!K19/10)*(E324/1000),Skills!K19/10)+Skills!N19</f>
        <v/>
      </c>
      <c r="G324">
        <f>Calc!G19</f>
        <v/>
      </c>
      <c r="H324">
        <f>Calc!H19</f>
        <v/>
      </c>
      <c r="I324">
        <f>IF(Skills!T19&lt;&gt;"",1+(Skills!T19/10)*(Z308/1000)/100,1)</f>
        <v/>
      </c>
      <c r="J324" t="inlineStr"/>
      <c r="K324" t="inlineStr"/>
      <c r="L324" t="inlineStr"/>
      <c r="M324" t="inlineStr"/>
      <c r="N324" t="inlineStr"/>
      <c r="O324">
        <f>(1-Summary!$B$51)*S324+Summary!$B$51*U324</f>
        <v/>
      </c>
      <c r="P324">
        <f>IF(B341=0,0,O324/B341)</f>
        <v/>
      </c>
      <c r="Q324">
        <f>IFERROR(1/IF(Inputs!$B$38="pvp",15,MAX(0.1,Skills!D19-IF(Skills!E19=TRUE,Inputs!$B$32,0))),0)</f>
        <v/>
      </c>
      <c r="R324" t="n">
        <v>0</v>
      </c>
      <c r="S324" t="n">
        <v>0</v>
      </c>
      <c r="U324" t="n">
        <v>0</v>
      </c>
    </row>
    <row r="325">
      <c r="A325">
        <f>Skills!A20</f>
        <v/>
      </c>
      <c r="B325">
        <f>Skills!B20</f>
        <v/>
      </c>
      <c r="C325">
        <f>Inputs!$B$3&gt;=74</f>
        <v/>
      </c>
      <c r="D325">
        <f>IF(Skills!C20=1,60+Inputs!$B$25+Inputs!$B$29,IF(Skills!C20=2,90+Inputs!$B$26+Inputs!$B$29,IF(Skills!C20=3,120+Inputs!$B$27+Inputs!$B$29,MAX(0,(Inputs!$B$3-100)*3)+Inputs!$B$28+Inputs!$B$29)))</f>
        <v/>
      </c>
      <c r="E325">
        <f>INDEX(FactorTable!$B$2:$Y$301, MATCH(ROUND(MIN(300,MAX(1,D325)),0), FactorTable!$A$2:$A$301,0), Skills!L20+1)</f>
        <v/>
      </c>
      <c r="F325">
        <f>IF(Skills!M20=TRUE,(Skills!K20/10)*(E325/1000),Skills!K20/10)+Skills!N20</f>
        <v/>
      </c>
      <c r="G325">
        <f>Calc!G20</f>
        <v/>
      </c>
      <c r="H325">
        <f>Calc!H20</f>
        <v/>
      </c>
      <c r="I325">
        <f>IF(Skills!T20&lt;&gt;"",1+(Skills!T20/10)*(Z308/1000)/100,1)</f>
        <v/>
      </c>
      <c r="J325" t="inlineStr"/>
      <c r="K325" t="inlineStr"/>
      <c r="L325" t="inlineStr"/>
      <c r="M325" t="inlineStr"/>
      <c r="N325" t="inlineStr"/>
      <c r="O325">
        <f>(1-Summary!$B$51)*S325+Summary!$B$51*U325</f>
        <v/>
      </c>
      <c r="P325">
        <f>IF(B341=0,0,O325/B341)</f>
        <v/>
      </c>
      <c r="Q325">
        <f>IFERROR(1/IF(Inputs!$B$38="pvp",15,MAX(0.1,Skills!D20-IF(Skills!E20=TRUE,Inputs!$B$32,0))),0)</f>
        <v/>
      </c>
      <c r="R325" t="n">
        <v>0</v>
      </c>
      <c r="S325" t="n">
        <v>0</v>
      </c>
      <c r="U325" t="n">
        <v>0</v>
      </c>
    </row>
    <row r="326">
      <c r="A326">
        <f>Skills!A21</f>
        <v/>
      </c>
      <c r="B326">
        <f>Skills!B21</f>
        <v/>
      </c>
      <c r="C326">
        <f>Inputs!$B$3&gt;=74</f>
        <v/>
      </c>
      <c r="D326">
        <f>IF(Skills!C21=1,60+Inputs!$B$25+Inputs!$B$29,IF(Skills!C21=2,90+Inputs!$B$26+Inputs!$B$29,IF(Skills!C21=3,120+Inputs!$B$27+Inputs!$B$29,MAX(0,(Inputs!$B$3-100)*3)+Inputs!$B$28+Inputs!$B$29)))</f>
        <v/>
      </c>
      <c r="E326">
        <f>INDEX(FactorTable!$B$2:$Y$301, MATCH(ROUND(MIN(300,MAX(1,D326)),0), FactorTable!$A$2:$A$301,0), Skills!L21+1)</f>
        <v/>
      </c>
      <c r="F326">
        <f>IF(Skills!M21=TRUE,(Skills!K21/10)*(E326/1000),Skills!K21/10)+Skills!N21</f>
        <v/>
      </c>
      <c r="G326">
        <f>Calc!G21</f>
        <v/>
      </c>
      <c r="H326">
        <f>Calc!H21</f>
        <v/>
      </c>
      <c r="I326">
        <f>IF(Skills!T21&lt;&gt;"",1+(Skills!T21/10)*(Z308/1000)/100,1)</f>
        <v/>
      </c>
      <c r="J326" t="inlineStr"/>
      <c r="K326" t="inlineStr"/>
      <c r="L326" t="inlineStr"/>
      <c r="M326" t="inlineStr"/>
      <c r="N326" t="inlineStr"/>
      <c r="O326">
        <f>(1-Summary!$B$51)*S326+Summary!$B$51*U326</f>
        <v/>
      </c>
      <c r="P326">
        <f>IF(B341=0,0,O326/B341)</f>
        <v/>
      </c>
      <c r="Q326">
        <f>IFERROR(1/IF(Inputs!$B$38="pvp",15,MAX(0.1,Skills!D21-IF(Skills!E21=TRUE,Inputs!$B$32,0))),0)</f>
        <v/>
      </c>
      <c r="R326" t="n">
        <v>0</v>
      </c>
      <c r="S326" t="n">
        <v>0</v>
      </c>
      <c r="U326" t="n">
        <v>0</v>
      </c>
    </row>
    <row r="327">
      <c r="A327">
        <f>Skills!A22</f>
        <v/>
      </c>
      <c r="B327">
        <f>Skills!B22</f>
        <v/>
      </c>
      <c r="C327">
        <f>Inputs!$B$3&gt;=117</f>
        <v/>
      </c>
      <c r="D327">
        <f>IF(Skills!C22=1,60+Inputs!$B$25+Inputs!$B$29,IF(Skills!C22=2,90+Inputs!$B$26+Inputs!$B$29,IF(Skills!C22=3,120+Inputs!$B$27+Inputs!$B$29,MAX(0,(Inputs!$B$3-100)*3)+Inputs!$B$28+Inputs!$B$29)))</f>
        <v/>
      </c>
      <c r="E327">
        <f>INDEX(FactorTable!$B$2:$Y$301, MATCH(ROUND(MIN(300,MAX(1,D327)),0), FactorTable!$A$2:$A$301,0), Skills!L22+1)</f>
        <v/>
      </c>
      <c r="F327">
        <f>IF(Skills!M22=TRUE,(Skills!K22/10)*(E327/1000),Skills!K22/10)+Skills!N22</f>
        <v/>
      </c>
      <c r="G327">
        <f>Calc!G22</f>
        <v/>
      </c>
      <c r="H327">
        <f>Calc!H22</f>
        <v/>
      </c>
      <c r="I327">
        <f>IF(Skills!T22&lt;&gt;"",1+(Skills!T22/10)*(Z308/1000)/100,1)</f>
        <v/>
      </c>
      <c r="J327" t="inlineStr"/>
      <c r="K327" t="inlineStr"/>
      <c r="L327" t="inlineStr"/>
      <c r="M327" t="inlineStr"/>
      <c r="N327" t="inlineStr"/>
      <c r="O327">
        <f>(1-Summary!$B$51)*S327+Summary!$B$51*U327</f>
        <v/>
      </c>
      <c r="P327">
        <f>IF(B341=0,0,O327/B341)</f>
        <v/>
      </c>
      <c r="Q327">
        <f>IFERROR(1/IF(Inputs!$B$38="pvp",15,MAX(0.1,Skills!D22-IF(Skills!E22=TRUE,Inputs!$B$32,0))),0)</f>
        <v/>
      </c>
      <c r="R327" t="n">
        <v>0</v>
      </c>
      <c r="S327" t="n">
        <v>0</v>
      </c>
      <c r="U327" t="n">
        <v>0</v>
      </c>
    </row>
    <row r="328">
      <c r="A328">
        <f>Skills!A23</f>
        <v/>
      </c>
      <c r="B328">
        <f>Skills!B23</f>
        <v/>
      </c>
      <c r="C328">
        <f>Inputs!$B$3&gt;=120</f>
        <v/>
      </c>
      <c r="D328">
        <f>IF(Skills!C23=1,60+Inputs!$B$25+Inputs!$B$29,IF(Skills!C23=2,90+Inputs!$B$26+Inputs!$B$29,IF(Skills!C23=3,120+Inputs!$B$27+Inputs!$B$29,MAX(0,(Inputs!$B$3-100)*3)+Inputs!$B$28+Inputs!$B$29)))</f>
        <v/>
      </c>
      <c r="E328">
        <f>INDEX(FactorTable!$B$2:$Y$301, MATCH(ROUND(MIN(300,MAX(1,D328)),0), FactorTable!$A$2:$A$301,0), Skills!L23+1)</f>
        <v/>
      </c>
      <c r="F328">
        <f>IF(Skills!M23=TRUE,(Skills!K23/10)*(E328/1000),Skills!K23/10)+Skills!N23</f>
        <v/>
      </c>
      <c r="G328">
        <f>Calc!G23</f>
        <v/>
      </c>
      <c r="H328">
        <f>Calc!H23</f>
        <v/>
      </c>
      <c r="I328">
        <f>IF(Skills!T23&lt;&gt;"",1+(Skills!T23/10)*(Z308/1000)/100,1)</f>
        <v/>
      </c>
      <c r="J328" t="inlineStr"/>
      <c r="K328" t="inlineStr"/>
      <c r="L328" t="inlineStr"/>
      <c r="M328" t="inlineStr"/>
      <c r="N328" t="inlineStr"/>
      <c r="O328">
        <f>(1-Summary!$B$51)*S328+Summary!$B$51*U328</f>
        <v/>
      </c>
      <c r="P328">
        <f>IF(B341=0,0,O328/B341)</f>
        <v/>
      </c>
      <c r="Q328">
        <f>IFERROR(1/IF(Inputs!$B$38="pvp",15,MAX(0.1,Skills!D23-IF(Skills!E23=TRUE,Inputs!$B$32,0))),0)</f>
        <v/>
      </c>
      <c r="R328" t="n">
        <v>0</v>
      </c>
      <c r="S328" t="n">
        <v>0</v>
      </c>
      <c r="U328" t="n">
        <v>0</v>
      </c>
    </row>
    <row r="331">
      <c r="A331" t="inlineStr">
        <is>
          <t>Average Buff Multiplier (Magic Guard + Meditation, summed; then Infinity)</t>
        </is>
      </c>
      <c r="B331">
        <f>(1+(IF(C308=TRUE,F308*IF(AND(Inputs!$B$38&lt;&gt;"pvp",Inputs!$B$43&gt;0),(((R308-1)*(Skills!S3*(1+(Inputs!$B$34+IF(Inputs!$B$3&gt;=117,F327,0))/100))+MIN((Skills!S3*(1+(Inputs!$B$34+IF(Inputs!$B$3&gt;=117,F327,0))/100)),MAX(0,Inputs!$B$43-((R308-1)*Skills!D3))))/Inputs!$B$43),IF(Inputs!$B$38="pvp",MIN((Skills!S3*(1+(Inputs!$B$34+IF(Inputs!$B$3&gt;=117,F327,0))/100)),15)/15,(Skills!S3*(1+(Inputs!$B$34+IF(Inputs!$B$3&gt;=117,F327,0))/100))/Skills!D3)),0)+IF(C309=TRUE,F309*IF(AND(Inputs!$B$38&lt;&gt;"pvp",Inputs!$B$43&gt;0),(((R309-1)*(Skills!S4*(1+(Inputs!$B$34+IF(Inputs!$B$3&gt;=117,F327,0))/100))+MIN((Skills!S4*(1+(Inputs!$B$34+IF(Inputs!$B$3&gt;=117,F327,0))/100)),MAX(0,Inputs!$B$43-((R309-1)*Skills!D4))))/Inputs!$B$43),IF(Inputs!$B$38="pvp",MIN((Skills!S4*(1+(Inputs!$B$34+IF(Inputs!$B$3&gt;=117,F327,0))/100)),15)/15,(Skills!S4*(1+(Inputs!$B$34+IF(Inputs!$B$3&gt;=117,F327,0))/100))/Skills!D4)),0))/100)*IF(C321=TRUE,(1+F321*IF(AND(Inputs!$B$38&lt;&gt;"pvp",Inputs!$B$43&gt;0),(((R321-1)*(Skills!S16*(1+(Inputs!$B$34+IF(Inputs!$B$3&gt;=117,F327,0))/100))+MIN((Skills!S16*(1+(Inputs!$B$34+IF(Inputs!$B$3&gt;=117,F327,0))/100)),MAX(0,Inputs!$B$43-((R321-1)*Skills!D16))))/Inputs!$B$43),IF(Inputs!$B$38="pvp",MIN((Skills!S16*(1+(Inputs!$B$34+IF(Inputs!$B$3&gt;=117,F327,0))/100)),15)/15,(Skills!S16*(1+(Inputs!$B$34+IF(Inputs!$B$3&gt;=117,F327,0))/100))/Skills!D16))/100),1)</f>
        <v/>
      </c>
    </row>
    <row r="332">
      <c r="A332" t="inlineStr">
        <is>
          <t>Monster Damage Taken Bonus % (Freezing Breath - Weaken + Elemental Reset, summed)</t>
        </is>
      </c>
      <c r="B332">
        <f>IF(Inputs!$B$3&gt;=118,15*IF(Inputs!$B$38="pvp",MIN((30*(1+(Inputs!$B$34+IF(Inputs!$B$3&gt;=117,F327,0))/100)),15)/15,(30*(1+(Inputs!$B$34+IF(Inputs!$B$3&gt;=117,F327,0))/100))/Skills!D8),0)+IF(C319=TRUE,F319,0)</f>
        <v/>
      </c>
    </row>
    <row r="333">
      <c r="A333" t="inlineStr">
        <is>
          <t>Damage % Bonus (Frozen Break + Frost Clutch, flat)</t>
        </is>
      </c>
      <c r="B333">
        <f>IF(Inputs!$B$3&gt;=66,15,0)+IF(Inputs!$B$3&gt;=98,10,0)+IF(Inputs!$B$3&gt;=125,20,0)</f>
        <v/>
      </c>
    </row>
    <row r="334">
      <c r="A334" t="inlineStr">
        <is>
          <t>Attack Speed Bonus % (MP Eater - MP Boost, always-on once unlocked)</t>
        </is>
      </c>
      <c r="B334">
        <f>IF(C318=TRUE,F318+(F322-Calc!F17),0)</f>
        <v/>
      </c>
    </row>
    <row r="335">
      <c r="A335" t="inlineStr">
        <is>
          <t>Actions Per Second</t>
        </is>
      </c>
      <c r="B335">
        <f>1+MIN(150,150*(1-(1-Inputs!$B$11/150)*(1-B334/150)))/100</f>
        <v/>
      </c>
    </row>
    <row r="336">
      <c r="A336" t="inlineStr">
        <is>
          <t>Skill + Buff Cast Rate</t>
        </is>
      </c>
      <c r="B336">
        <f>IF(AND(Inputs!$B$38&lt;&gt;"pvp",Inputs!$B$43&gt;0),SUMPRODUCT((Skills!E2:E23=TRUE)*(C307:C328=TRUE)*R307:R328)/Inputs!$B$43,SUMPRODUCT((Skills!E2:E23=TRUE)*(C307:C328=TRUE)*Q307:Q328))</f>
        <v/>
      </c>
    </row>
    <row r="337">
      <c r="A337" t="inlineStr">
        <is>
          <t>Chain Lightning Casts Per Second</t>
        </is>
      </c>
      <c r="B337">
        <f>MAX(0,B335-B336)</f>
        <v/>
      </c>
    </row>
    <row r="338">
      <c r="A338" t="inlineStr">
        <is>
          <t>Buff-Casting Startup Delay (s, fixed-duration only)</t>
        </is>
      </c>
      <c r="B338">
        <f>IF(AND(Inputs!$B$38&lt;&gt;"pvp",Inputs!$B$43&gt;0),SUMPRODUCT((Skills!S2:S23&gt;0)*(Skills!E2:E23=TRUE)*(C307:C328=TRUE))/B335,0)</f>
        <v/>
      </c>
    </row>
    <row r="339">
      <c r="A339" t="inlineStr">
        <is>
          <t>Boss-Only Total DPS (this block's swept value)</t>
        </is>
      </c>
      <c r="B339">
        <f>SUM(S307:S328)</f>
        <v/>
      </c>
    </row>
    <row r="340">
      <c r="A340" t="inlineStr">
        <is>
          <t>Normal-Only Total DPS (this block's swept value)</t>
        </is>
      </c>
      <c r="B340">
        <f>SUM(U307:U328)</f>
        <v/>
      </c>
    </row>
    <row r="341">
      <c r="A341" s="5" t="inlineStr">
        <is>
          <t>TOTAL DPS</t>
        </is>
      </c>
      <c r="B341" s="5">
        <f>SUM(O307:O328)</f>
        <v/>
      </c>
    </row>
    <row r="344">
      <c r="A344" s="5" t="inlineStr">
        <is>
          <t>Stat: MAX_DAMAGE %</t>
        </is>
      </c>
    </row>
    <row r="345">
      <c r="A345" s="9" t="inlineStr">
        <is>
          <t>Key</t>
        </is>
      </c>
      <c r="B345" s="9" t="inlineStr">
        <is>
          <t>Name</t>
        </is>
      </c>
      <c r="C345" s="9" t="inlineStr">
        <is>
          <t>Unlocked</t>
        </is>
      </c>
      <c r="D345" s="9" t="inlineStr">
        <is>
          <t>InputLevel</t>
        </is>
      </c>
      <c r="E345" s="9" t="inlineStr">
        <is>
          <t>Factor</t>
        </is>
      </c>
      <c r="F345" s="9" t="inlineStr">
        <is>
          <t>CoefficientPercent</t>
        </is>
      </c>
      <c r="G345" s="9" t="inlineStr">
        <is>
          <t>EffectiveHits</t>
        </is>
      </c>
      <c r="H345" s="9" t="inlineStr">
        <is>
          <t>ProcProbability</t>
        </is>
      </c>
      <c r="I345" s="9" t="inlineStr">
        <is>
          <t>MapleHeroMultiplier</t>
        </is>
      </c>
      <c r="J345" s="9" t="inlineStr">
        <is>
          <t>BaseDamage</t>
        </is>
      </c>
      <c r="K345" s="9" t="inlineStr">
        <is>
          <t>BaseHitDamage</t>
        </is>
      </c>
      <c r="L345" s="9" t="inlineStr">
        <is>
          <t>NonCritAvg</t>
        </is>
      </c>
      <c r="M345" s="9" t="inlineStr">
        <is>
          <t>CritAvg</t>
        </is>
      </c>
      <c r="N345" s="9" t="inlineStr">
        <is>
          <t>ExpectedDamage(perHit)</t>
        </is>
      </c>
      <c r="O345" s="9" t="inlineStr">
        <is>
          <t>DPS</t>
        </is>
      </c>
      <c r="P345" s="9" t="inlineStr">
        <is>
          <t>% of Total</t>
        </is>
      </c>
      <c r="R345" t="inlineStr">
        <is>
          <t>helpers</t>
        </is>
      </c>
    </row>
    <row r="346">
      <c r="A346">
        <f>Skills!A2</f>
        <v/>
      </c>
      <c r="B346">
        <f>Skills!B2</f>
        <v/>
      </c>
      <c r="C346">
        <f>Inputs!$B$3&gt;=100</f>
        <v/>
      </c>
      <c r="D346" t="inlineStr"/>
      <c r="E346" t="inlineStr"/>
      <c r="F346">
        <f>T348+Skills!N2</f>
        <v/>
      </c>
      <c r="G346">
        <f>Calc!G2</f>
        <v/>
      </c>
      <c r="H346">
        <f>Calc!H2</f>
        <v/>
      </c>
      <c r="I346">
        <f>IF(Skills!T2&lt;&gt;"",1+(Skills!T2/10)*(Z347/1000)/100,1)</f>
        <v/>
      </c>
      <c r="J346">
        <f>((Inputs!$B$6*(1+Inputs!$B$7/100))+(((Inputs!$B$12*(1+Inputs!$B$13/100))-(Inputs!$B$12*(1+Inputs!$B$13/100)))+0.25*(Inputs!$B$14-Inputs!$B$14))*(1+Inputs!$B$7/100))*(F346/100)</f>
        <v/>
      </c>
      <c r="K346">
        <f>J346*(1+((Inputs!$B$12*(1+Inputs!$B$13/100))*0.01+Inputs!$B$14*0.0025)/100)*(1+(Inputs!$B$15+B372)/100)*(1+Inputs!$B$16/100)*(5000/(6000+Inputs!$B$42*(1-Inputs!$B$19/100)))*(1+Inputs!$B$24/100)*(1+IF(C359=TRUE,F359,0)/100)*(1+IF(C367=TRUE,F367,0)/100)^5*(1+(IF(Skills!A2="CHAIN_LIGHTNING",Inputs!$B$17,Inputs!$B$18))/100)*(B370*I346)</f>
        <v/>
      </c>
      <c r="L346">
        <f>K346*(MIN(Inputs!$B$22+(F362-Calc!F18),(Inputs!$B$23+1))/100+(Inputs!$B$23+1)/100)/2</f>
        <v/>
      </c>
      <c r="M346">
        <f>L346*(1+(Inputs!$B$10+(F365-Calc!F21))/100)</f>
        <v/>
      </c>
      <c r="N346">
        <f>L346*(1-MIN(Inputs!$B$9+((F364-Calc!F20)+(F363-Calc!F19)),100)/100)+M346*(MIN(Inputs!$B$9+((F364-Calc!F20)+(F363-Calc!F19)),100)/100)</f>
        <v/>
      </c>
      <c r="O346">
        <f>(1-Summary!$B$51)*S346+Summary!$B$51*U346</f>
        <v/>
      </c>
      <c r="P346">
        <f>IF(B380=0,0,O346/B380)</f>
        <v/>
      </c>
      <c r="Q346">
        <f>IFERROR(1/IF(Inputs!$B$38="pvp",15,MAX(0.1,Skills!D2-IF(Skills!E2=TRUE,Inputs!$B$32,0))),0)</f>
        <v/>
      </c>
      <c r="R346" t="n">
        <v>0</v>
      </c>
      <c r="S346">
        <f>IF(C346,(Skills!F2*N346*B376)*IF(Inputs!$B$38="pvp",1,1+(Inputs!$B$20+Skills!O2+B371)/100),0)</f>
        <v/>
      </c>
      <c r="T346">
        <f>MAX(0,(Inputs!$B$3-100)*3)+Inputs!$B$28+Inputs!$B$29</f>
        <v/>
      </c>
      <c r="U346">
        <f>IF(C346,(Skills!F2*N346*B376)*IF(Inputs!$B$38="pvp",1,(1+(Inputs!$B$21+Skills!P2+B371)/100)*(MIN((6+Inputs!$B$33),Inputs!$B$37))),0)</f>
        <v/>
      </c>
      <c r="Z346">
        <f>MAX(0,(Inputs!$B$3-100)*3)+Inputs!$B$28+Inputs!$B$29</f>
        <v/>
      </c>
    </row>
    <row r="347">
      <c r="A347">
        <f>Skills!A3</f>
        <v/>
      </c>
      <c r="B347">
        <f>Skills!B3</f>
        <v/>
      </c>
      <c r="C347">
        <f>Inputs!$B$3&gt;=15</f>
        <v/>
      </c>
      <c r="D347">
        <f>IF(Skills!C3=1,60+Inputs!$B$25+Inputs!$B$29,IF(Skills!C3=2,90+Inputs!$B$26+Inputs!$B$29,IF(Skills!C3=3,120+Inputs!$B$27+Inputs!$B$29,MAX(0,(Inputs!$B$3-100)*3)+Inputs!$B$28+Inputs!$B$29)))</f>
        <v/>
      </c>
      <c r="E347">
        <f>INDEX(FactorTable!$B$2:$Y$301, MATCH(ROUND(MIN(300,MAX(1,D347)),0), FactorTable!$A$2:$A$301,0), Skills!L3+1)</f>
        <v/>
      </c>
      <c r="F347">
        <f>IF(Skills!M3=TRUE,(Skills!K3/10)*(E347/1000),Skills!K3/10)+Skills!N3</f>
        <v/>
      </c>
      <c r="G347">
        <f>Calc!G3</f>
        <v/>
      </c>
      <c r="H347">
        <f>Calc!H3</f>
        <v/>
      </c>
      <c r="I347">
        <f>IF(Skills!T3&lt;&gt;"",1+(Skills!T3/10)*(Z347/1000)/100,1)</f>
        <v/>
      </c>
      <c r="J347" t="inlineStr"/>
      <c r="K347" t="inlineStr"/>
      <c r="L347" t="inlineStr"/>
      <c r="M347" t="inlineStr"/>
      <c r="N347" t="inlineStr"/>
      <c r="O347">
        <f>(1-Summary!$B$51)*S347+Summary!$B$51*U347</f>
        <v/>
      </c>
      <c r="P347">
        <f>IF(B380=0,0,O347/B380)</f>
        <v/>
      </c>
      <c r="Q347">
        <f>IFERROR(1/IF(Inputs!$B$38="pvp",15,MAX(0.1,Skills!D3-IF(Skills!E3=TRUE,Inputs!$B$32,0))),0)</f>
        <v/>
      </c>
      <c r="R347">
        <f>IF(AND(Inputs!$B$38&lt;&gt;"pvp",Inputs!$B$43&gt;0),IF(Inputs!$B$43&lt;=0,0,(INT(Inputs!$B$43/IF(Inputs!$B$38="pvp",15,MAX(0.1,Skills!D3-IF(Skills!E3=TRUE,Inputs!$B$32,0))))+1)),0)</f>
        <v/>
      </c>
      <c r="S347" t="n">
        <v>0</v>
      </c>
      <c r="T347">
        <f>INDEX(FactorTable!$B$2:$Y$301, MATCH(ROUND(MIN(300,MAX(1,T346)),0), FactorTable!$A$2:$A$301,0), 22)</f>
        <v/>
      </c>
      <c r="U347" t="n">
        <v>0</v>
      </c>
      <c r="Z347">
        <f>INDEX(FactorTable!$B$2:$Y$301, MATCH(ROUND(MIN(300,MAX(1,Z346)),0), FactorTable!$A$2:$A$301,0), 24)</f>
        <v/>
      </c>
    </row>
    <row r="348">
      <c r="A348">
        <f>Skills!A4</f>
        <v/>
      </c>
      <c r="B348">
        <f>Skills!B4</f>
        <v/>
      </c>
      <c r="C348">
        <f>Inputs!$B$3&gt;=40</f>
        <v/>
      </c>
      <c r="D348">
        <f>IF(Skills!C4=1,60+Inputs!$B$25+Inputs!$B$29,IF(Skills!C4=2,90+Inputs!$B$26+Inputs!$B$29,IF(Skills!C4=3,120+Inputs!$B$27+Inputs!$B$29,MAX(0,(Inputs!$B$3-100)*3)+Inputs!$B$28+Inputs!$B$29)))</f>
        <v/>
      </c>
      <c r="E348">
        <f>INDEX(FactorTable!$B$2:$Y$301, MATCH(ROUND(MIN(300,MAX(1,D348)),0), FactorTable!$A$2:$A$301,0), Skills!L4+1)</f>
        <v/>
      </c>
      <c r="F348">
        <f>IF(Skills!M4=TRUE,(Skills!K4/10)*(E348/1000),Skills!K4/10)+Skills!N4</f>
        <v/>
      </c>
      <c r="G348">
        <f>Calc!G4</f>
        <v/>
      </c>
      <c r="H348">
        <f>Calc!H4</f>
        <v/>
      </c>
      <c r="I348">
        <f>IF(Skills!T4&lt;&gt;"",1+(Skills!T4/10)*(Z347/1000)/100,1)</f>
        <v/>
      </c>
      <c r="J348" t="inlineStr"/>
      <c r="K348" t="inlineStr"/>
      <c r="L348" t="inlineStr"/>
      <c r="M348" t="inlineStr"/>
      <c r="N348" t="inlineStr"/>
      <c r="O348">
        <f>(1-Summary!$B$51)*S348+Summary!$B$51*U348</f>
        <v/>
      </c>
      <c r="P348">
        <f>IF(B380=0,0,O348/B380)</f>
        <v/>
      </c>
      <c r="Q348">
        <f>IFERROR(1/IF(Inputs!$B$38="pvp",15,MAX(0.1,Skills!D4-IF(Skills!E4=TRUE,Inputs!$B$32,0))),0)</f>
        <v/>
      </c>
      <c r="R348">
        <f>IF(AND(Inputs!$B$38&lt;&gt;"pvp",Inputs!$B$43&gt;0),IF(Inputs!$B$43&lt;=0,0,(INT(Inputs!$B$43/IF(Inputs!$B$38="pvp",15,MAX(0.1,Skills!D4-IF(Skills!E4=TRUE,Inputs!$B$32,0))))+1)),0)</f>
        <v/>
      </c>
      <c r="S348" t="n">
        <v>0</v>
      </c>
      <c r="T348">
        <f>290*T347/1000</f>
        <v/>
      </c>
      <c r="U348" t="n">
        <v>0</v>
      </c>
    </row>
    <row r="349">
      <c r="A349">
        <f>Skills!A5</f>
        <v/>
      </c>
      <c r="B349">
        <f>Skills!B5</f>
        <v/>
      </c>
      <c r="C349">
        <f>Inputs!$B$3&gt;=38</f>
        <v/>
      </c>
      <c r="D349">
        <f>IF(Skills!C5=1,60+Inputs!$B$25+Inputs!$B$29,IF(Skills!C5=2,90+Inputs!$B$26+Inputs!$B$29,IF(Skills!C5=3,120+Inputs!$B$27+Inputs!$B$29,MAX(0,(Inputs!$B$3-100)*3)+Inputs!$B$28+Inputs!$B$29)))</f>
        <v/>
      </c>
      <c r="E349">
        <f>INDEX(FactorTable!$B$2:$Y$301, MATCH(ROUND(MIN(300,MAX(1,D349)),0), FactorTable!$A$2:$A$301,0), Skills!L5+1)</f>
        <v/>
      </c>
      <c r="F349">
        <f>IF(Skills!M5=TRUE,(Skills!K5/10)*(E349/1000),Skills!K5/10)+Skills!N5</f>
        <v/>
      </c>
      <c r="G349">
        <f>Calc!G5</f>
        <v/>
      </c>
      <c r="H349">
        <f>Calc!H5</f>
        <v/>
      </c>
      <c r="I349">
        <f>IF(Skills!T5&lt;&gt;"",1+(Skills!T5/10)*(Z347/1000)/100,1)</f>
        <v/>
      </c>
      <c r="J349">
        <f>((Inputs!$B$6*(1+Inputs!$B$7/100))+(((Inputs!$B$12*(1+Inputs!$B$13/100))-(Inputs!$B$12*(1+Inputs!$B$13/100)))+0.25*(Inputs!$B$14-Inputs!$B$14))*(1+Inputs!$B$7/100))*(F349/100)</f>
        <v/>
      </c>
      <c r="K349">
        <f>J349*(1+((Inputs!$B$12*(1+Inputs!$B$13/100))*0.01+Inputs!$B$14*0.0025)/100)*(1+(Inputs!$B$15+B372)/100)*(1+Inputs!$B$16/100)*(5000/(6000+Inputs!$B$42*(1-Inputs!$B$19/100)))*(1+Inputs!$B$24/100)*(1+IF(C359=TRUE,F359,0)/100)*(1+IF(C367=TRUE,F367,0)/100)^5*(1+(IF(Skills!A5="CHAIN_LIGHTNING",Inputs!$B$17,Inputs!$B$18))/100)*(B370*I349)</f>
        <v/>
      </c>
      <c r="L349">
        <f>K349*(MIN(Inputs!$B$22+(F362-Calc!F18),(Inputs!$B$23+1))/100+(Inputs!$B$23+1)/100)/2</f>
        <v/>
      </c>
      <c r="M349">
        <f>L349*(1+(Inputs!$B$10+(F365-Calc!F21))/100)</f>
        <v/>
      </c>
      <c r="N349">
        <f>L349*(1-MIN(Inputs!$B$9+((F364-Calc!F20)+(F363-Calc!F19)),100)/100)+M349*(MIN(Inputs!$B$9+((F364-Calc!F20)+(F363-Calc!F19)),100)/100)</f>
        <v/>
      </c>
      <c r="O349">
        <f>(1-Summary!$B$51)*S349+Summary!$B$51*U349</f>
        <v/>
      </c>
      <c r="P349">
        <f>IF(B380=0,0,O349/B380)</f>
        <v/>
      </c>
      <c r="Q349">
        <f>IFERROR(1/IF(Inputs!$B$38="pvp",15,MAX(0.1,Skills!D5-IF(Skills!E5=TRUE,Inputs!$B$32,0))),0)</f>
        <v/>
      </c>
      <c r="R349">
        <f>IF(AND(Inputs!$B$38&lt;&gt;"pvp",Inputs!$B$43&gt;0),IF(MAX(0,Inputs!$B$43-B377)&lt;=0,0,(INT(MAX(0,Inputs!$B$43-B377)/IF(Inputs!$B$38="pvp",15,MAX(0.1,Skills!D5-IF(Skills!E5=TRUE,Inputs!$B$32,0))))+1)),0)</f>
        <v/>
      </c>
      <c r="S349">
        <f>IF(C349,(H349*N349*IF(AND(Inputs!$B$38&lt;&gt;"pvp",Inputs!$B$43&gt;0),((Skills!F5*((R349-1)*IF(Skills!G5&gt;0,Skills!H5/Skills!G5,1)+IF(Skills!G5&gt;0,MIN(Skills!H5,MAX(0,MAX(0,Inputs!$B$43-B377)-((R349-1)*IF(Inputs!$B$38="pvp",15,MAX(0.1,Skills!D5-IF(Skills!E5=TRUE,Inputs!$B$32,0))))))/Skills!G5,1)))/Inputs!$B$43),G349*Q349))*IF(Inputs!$B$38="pvp",1,1+(Inputs!$B$20+Skills!O5+B371)/100),0)</f>
        <v/>
      </c>
      <c r="U349">
        <f>IF(C349,(H349*N349*IF(AND(Inputs!$B$38&lt;&gt;"pvp",Inputs!$B$43&gt;0),((Skills!F5*((R349-1)*IF(Skills!G5&gt;0,Skills!H5/Skills!G5,1)+IF(Skills!G5&gt;0,MIN(Skills!H5,MAX(0,MAX(0,Inputs!$B$43-B377)-((R349-1)*IF(Inputs!$B$38="pvp",15,MAX(0.1,Skills!D5-IF(Skills!E5=TRUE,Inputs!$B$32,0))))))/Skills!G5,1)))/Inputs!$B$43),G349*Q349))*IF(Inputs!$B$38="pvp",1,(1+(Inputs!$B$21+Skills!P5+B371)/100)*(MIN(Skills!Q5,Inputs!$B$37))),0)</f>
        <v/>
      </c>
    </row>
    <row r="350">
      <c r="A350">
        <f>Skills!A6</f>
        <v/>
      </c>
      <c r="B350">
        <f>Skills!B6</f>
        <v/>
      </c>
      <c r="C350">
        <f>Inputs!$B$3&gt;=63</f>
        <v/>
      </c>
      <c r="D350">
        <f>IF(Skills!C6=1,60+Inputs!$B$25+Inputs!$B$29,IF(Skills!C6=2,90+Inputs!$B$26+Inputs!$B$29,IF(Skills!C6=3,120+Inputs!$B$27+Inputs!$B$29,MAX(0,(Inputs!$B$3-100)*3)+Inputs!$B$28+Inputs!$B$29)))</f>
        <v/>
      </c>
      <c r="E350">
        <f>INDEX(FactorTable!$B$2:$Y$301, MATCH(ROUND(MIN(300,MAX(1,D350)),0), FactorTable!$A$2:$A$301,0), Skills!L6+1)</f>
        <v/>
      </c>
      <c r="F350">
        <f>IF(Skills!M6=TRUE,(Skills!K6/10)*(E350/1000),Skills!K6/10)+Skills!N6</f>
        <v/>
      </c>
      <c r="G350">
        <f>Calc!G6</f>
        <v/>
      </c>
      <c r="H350">
        <f>Calc!H6</f>
        <v/>
      </c>
      <c r="I350">
        <f>IF(Skills!T6&lt;&gt;"",1+(Skills!T6/10)*(Z347/1000)/100,1)</f>
        <v/>
      </c>
      <c r="J350">
        <f>((Inputs!$B$6*(1+Inputs!$B$7/100))+(((Inputs!$B$12*(1+Inputs!$B$13/100))-(Inputs!$B$12*(1+Inputs!$B$13/100)))+0.25*(Inputs!$B$14-Inputs!$B$14))*(1+Inputs!$B$7/100))*(F350/100)</f>
        <v/>
      </c>
      <c r="K350">
        <f>J350*(1+((Inputs!$B$12*(1+Inputs!$B$13/100))*0.01+Inputs!$B$14*0.0025)/100)*(1+(Inputs!$B$15+B372)/100)*(1+Inputs!$B$16/100)*(5000/(6000+Inputs!$B$42*(1-Inputs!$B$19/100)))*(1+Inputs!$B$24/100)*(1+IF(C359=TRUE,F359,0)/100)*(1+IF(C367=TRUE,F367,0)/100)^5*(1+(IF(Skills!A6="CHAIN_LIGHTNING",Inputs!$B$17,Inputs!$B$18))/100)*(B370*I350)</f>
        <v/>
      </c>
      <c r="L350">
        <f>K350*(MIN(Inputs!$B$22+(F362-Calc!F18),(Inputs!$B$23+1))/100+(Inputs!$B$23+1)/100)/2</f>
        <v/>
      </c>
      <c r="M350">
        <f>L350*(1+(Inputs!$B$10+(F365-Calc!F21))/100)</f>
        <v/>
      </c>
      <c r="N350">
        <f>L350*(1-MIN(Inputs!$B$9+((F364-Calc!F20)+(F363-Calc!F19)),100)/100)+M350*(MIN(Inputs!$B$9+((F364-Calc!F20)+(F363-Calc!F19)),100)/100)</f>
        <v/>
      </c>
      <c r="O350">
        <f>(1-Summary!$B$51)*S350+Summary!$B$51*U350</f>
        <v/>
      </c>
      <c r="P350">
        <f>IF(B380=0,0,O350/B380)</f>
        <v/>
      </c>
      <c r="Q350">
        <f>IFERROR(1/IF(Inputs!$B$38="pvp",15,MAX(0.1,Skills!D6-IF(Skills!E6=TRUE,Inputs!$B$32,0))),0)</f>
        <v/>
      </c>
      <c r="R350">
        <f>IF(AND(Inputs!$B$38&lt;&gt;"pvp",Inputs!$B$43&gt;0),IF(MAX(0,Inputs!$B$43-B377)&lt;=0,0,(INT(MAX(0,Inputs!$B$43-B377)/IF(Inputs!$B$38="pvp",15,MAX(0.1,Skills!D6-IF(Skills!E6=TRUE,Inputs!$B$32,0))))+1)),0)</f>
        <v/>
      </c>
      <c r="S350">
        <f>IF(C350,(H350*N350*IF(AND(Inputs!$B$38&lt;&gt;"pvp",Inputs!$B$43&gt;0),((Skills!F6*((R350-1)*IF(Skills!G6&gt;0,Skills!H6/Skills!G6,1)+IF(Skills!G6&gt;0,MIN(Skills!H6,MAX(0,MAX(0,Inputs!$B$43-B377)-((R350-1)*IF(Inputs!$B$38="pvp",15,MAX(0.1,Skills!D6-IF(Skills!E6=TRUE,Inputs!$B$32,0))))))/Skills!G6,1)))/Inputs!$B$43),G350*Q350))*IF(Inputs!$B$38="pvp",1,1+(Inputs!$B$20+Skills!O6+B371)/100),0)</f>
        <v/>
      </c>
      <c r="U350">
        <f>IF(C350,(H350*N350*IF(AND(Inputs!$B$38&lt;&gt;"pvp",Inputs!$B$43&gt;0),((Skills!F6*((R350-1)*IF(Skills!G6&gt;0,Skills!H6/Skills!G6,1)+IF(Skills!G6&gt;0,MIN(Skills!H6,MAX(0,MAX(0,Inputs!$B$43-B377)-((R350-1)*IF(Inputs!$B$38="pvp",15,MAX(0.1,Skills!D6-IF(Skills!E6=TRUE,Inputs!$B$32,0))))))/Skills!G6,1)))/Inputs!$B$43),G350*Q350))*IF(Inputs!$B$38="pvp",1,(1+(Inputs!$B$21+Skills!P6+B371)/100)*(MIN(Skills!Q6,Inputs!$B$37))),0)</f>
        <v/>
      </c>
    </row>
    <row r="351">
      <c r="A351">
        <f>Skills!A7</f>
        <v/>
      </c>
      <c r="B351">
        <f>Skills!B7</f>
        <v/>
      </c>
      <c r="C351">
        <f>Inputs!$B$3&gt;=69</f>
        <v/>
      </c>
      <c r="D351">
        <f>IF(Skills!C7=1,60+Inputs!$B$25+Inputs!$B$29,IF(Skills!C7=2,90+Inputs!$B$26+Inputs!$B$29,IF(Skills!C7=3,120+Inputs!$B$27+Inputs!$B$29,MAX(0,(Inputs!$B$3-100)*3)+Inputs!$B$28+Inputs!$B$29)))</f>
        <v/>
      </c>
      <c r="E351">
        <f>INDEX(FactorTable!$B$2:$Y$301, MATCH(ROUND(MIN(300,MAX(1,D351)),0), FactorTable!$A$2:$A$301,0), Skills!L7+1)</f>
        <v/>
      </c>
      <c r="F351">
        <f>IF(Skills!M7=TRUE,(Skills!K7/10)*(E351/1000),Skills!K7/10)+Skills!N7</f>
        <v/>
      </c>
      <c r="G351">
        <f>Calc!G7</f>
        <v/>
      </c>
      <c r="H351">
        <f>Calc!H7</f>
        <v/>
      </c>
      <c r="I351">
        <f>IF(Skills!T7&lt;&gt;"",1+(Skills!T7/10)*(Z347/1000)/100,1)</f>
        <v/>
      </c>
      <c r="J351">
        <f>((Inputs!$B$6*(1+Inputs!$B$7/100))+(((Inputs!$B$12*(1+Inputs!$B$13/100))-(Inputs!$B$12*(1+Inputs!$B$13/100)))+0.25*(Inputs!$B$14-Inputs!$B$14))*(1+Inputs!$B$7/100))*(F351/100)</f>
        <v/>
      </c>
      <c r="K351">
        <f>J351*(1+((Inputs!$B$12*(1+Inputs!$B$13/100))*0.01+Inputs!$B$14*0.0025)/100)*(1+(Inputs!$B$15+B372)/100)*(1+Inputs!$B$16/100)*(5000/(6000+Inputs!$B$42*(1-Inputs!$B$19/100)))*(1+Inputs!$B$24/100)*(1+IF(C359=TRUE,F359,0)/100)*(1+IF(C367=TRUE,F367,0)/100)^5*(1+(IF(Skills!A7="CHAIN_LIGHTNING",Inputs!$B$17,Inputs!$B$18))/100)*(B370*I351)</f>
        <v/>
      </c>
      <c r="L351">
        <f>K351*(MIN(Inputs!$B$22+(F362-Calc!F18),(Inputs!$B$23+1))/100+(Inputs!$B$23+1)/100)/2</f>
        <v/>
      </c>
      <c r="M351">
        <f>L351*(1+(Inputs!$B$10+(F365-Calc!F21))/100)</f>
        <v/>
      </c>
      <c r="N351">
        <f>L351*(1-MIN(Inputs!$B$9+((F364-Calc!F20)+(F363-Calc!F19)),100)/100)+M351*(MIN(Inputs!$B$9+((F364-Calc!F20)+(F363-Calc!F19)),100)/100)</f>
        <v/>
      </c>
      <c r="O351">
        <f>(1-Summary!$B$51)*S351+Summary!$B$51*U351</f>
        <v/>
      </c>
      <c r="P351">
        <f>IF(B380=0,0,O351/B380)</f>
        <v/>
      </c>
      <c r="Q351">
        <f>IFERROR(1/IF(Inputs!$B$38="pvp",15,MAX(0.1,Skills!D7-IF(Skills!E7=TRUE,Inputs!$B$32,0))),0)</f>
        <v/>
      </c>
      <c r="R351">
        <f>IF(AND(Inputs!$B$38&lt;&gt;"pvp",Inputs!$B$43&gt;0),IF(MAX(0,Inputs!$B$43-B377)&lt;=0,0,(INT(MAX(0,Inputs!$B$43-B377)/IF(Inputs!$B$38="pvp",15,MAX(0.1,Skills!D7-IF(Skills!E7=TRUE,Inputs!$B$32,0))))+1)),0)</f>
        <v/>
      </c>
      <c r="S351">
        <f>IF(C351,(H351*N351*IF(AND(Inputs!$B$38&lt;&gt;"pvp",Inputs!$B$43&gt;0),((Skills!F7*((R351-1)*IF(Skills!G7&gt;0,Skills!H7/Skills!G7,1)+IF(Skills!G7&gt;0,MIN(Skills!H7,MAX(0,MAX(0,Inputs!$B$43-B377)-((R351-1)*IF(Inputs!$B$38="pvp",15,MAX(0.1,Skills!D7-IF(Skills!E7=TRUE,Inputs!$B$32,0))))))/Skills!G7,1)))/Inputs!$B$43),G351*Q351))*IF(Inputs!$B$38="pvp",1,1+(Inputs!$B$20+Skills!O7+B371)/100),0)</f>
        <v/>
      </c>
      <c r="U351">
        <f>IF(C351,(H351*N351*IF(AND(Inputs!$B$38&lt;&gt;"pvp",Inputs!$B$43&gt;0),((Skills!F7*((R351-1)*IF(Skills!G7&gt;0,Skills!H7/Skills!G7,1)+IF(Skills!G7&gt;0,MIN(Skills!H7,MAX(0,MAX(0,Inputs!$B$43-B377)-((R351-1)*IF(Inputs!$B$38="pvp",15,MAX(0.1,Skills!D7-IF(Skills!E7=TRUE,Inputs!$B$32,0))))))/Skills!G7,1)))/Inputs!$B$43),G351*Q351))*IF(Inputs!$B$38="pvp",1,(1+(Inputs!$B$21+Skills!P7+B371)/100)*(MIN(Skills!Q7,Inputs!$B$37))),0)</f>
        <v/>
      </c>
    </row>
    <row r="352">
      <c r="A352">
        <f>Skills!A8</f>
        <v/>
      </c>
      <c r="B352">
        <f>Skills!B8</f>
        <v/>
      </c>
      <c r="C352">
        <f>Inputs!$B$3&gt;=103</f>
        <v/>
      </c>
      <c r="D352">
        <f>IF(Skills!C8=1,60+Inputs!$B$25+Inputs!$B$29,IF(Skills!C8=2,90+Inputs!$B$26+Inputs!$B$29,IF(Skills!C8=3,120+Inputs!$B$27+Inputs!$B$29,MAX(0,(Inputs!$B$3-100)*3)+Inputs!$B$28+Inputs!$B$29)))</f>
        <v/>
      </c>
      <c r="E352">
        <f>INDEX(FactorTable!$B$2:$Y$301, MATCH(ROUND(MIN(300,MAX(1,D352)),0), FactorTable!$A$2:$A$301,0), Skills!L8+1)</f>
        <v/>
      </c>
      <c r="F352">
        <f>IF(Skills!M8=TRUE,(Skills!K8/10)*(E352/1000),Skills!K8/10)+Skills!N8</f>
        <v/>
      </c>
      <c r="G352">
        <f>Calc!G8</f>
        <v/>
      </c>
      <c r="H352">
        <f>Calc!H8</f>
        <v/>
      </c>
      <c r="I352">
        <f>IF(Skills!T8&lt;&gt;"",1+(Skills!T8/10)*(Z347/1000)/100,1)</f>
        <v/>
      </c>
      <c r="J352">
        <f>((Inputs!$B$6*(1+Inputs!$B$7/100))+(((Inputs!$B$12*(1+Inputs!$B$13/100))-(Inputs!$B$12*(1+Inputs!$B$13/100)))+0.25*(Inputs!$B$14-Inputs!$B$14))*(1+Inputs!$B$7/100))*(F352/100)</f>
        <v/>
      </c>
      <c r="K352">
        <f>J352*(1+((Inputs!$B$12*(1+Inputs!$B$13/100))*0.01+Inputs!$B$14*0.0025)/100)*(1+(Inputs!$B$15+B372)/100)*(1+Inputs!$B$16/100)*(5000/(6000+Inputs!$B$42*(1-Inputs!$B$19/100)))*(1+Inputs!$B$24/100)*(1+IF(C359=TRUE,F359,0)/100)*(1+IF(C367=TRUE,F367,0)/100)^5*(1+(IF(Skills!A8="CHAIN_LIGHTNING",Inputs!$B$17,Inputs!$B$18))/100)*(B370*I352)</f>
        <v/>
      </c>
      <c r="L352">
        <f>K352*(MIN(Inputs!$B$22+(F362-Calc!F18),(Inputs!$B$23+1))/100+(Inputs!$B$23+1)/100)/2</f>
        <v/>
      </c>
      <c r="M352">
        <f>L352*(1+(Inputs!$B$10+(F365-Calc!F21))/100)</f>
        <v/>
      </c>
      <c r="N352">
        <f>L352*(1-MIN(Inputs!$B$9+((F364-Calc!F20)+(F363-Calc!F19)),100)/100)+M352*(MIN(Inputs!$B$9+((F364-Calc!F20)+(F363-Calc!F19)),100)/100)</f>
        <v/>
      </c>
      <c r="O352">
        <f>(1-Summary!$B$51)*S352+Summary!$B$51*U352</f>
        <v/>
      </c>
      <c r="P352">
        <f>IF(B380=0,0,O352/B380)</f>
        <v/>
      </c>
      <c r="Q352">
        <f>IFERROR(1/IF(Inputs!$B$38="pvp",15,MAX(0.1,Skills!D8-IF(Skills!E8=TRUE,Inputs!$B$32,0))),0)</f>
        <v/>
      </c>
      <c r="R352">
        <f>IF(AND(Inputs!$B$38&lt;&gt;"pvp",Inputs!$B$43&gt;0),IF(MAX(0,Inputs!$B$43-B377)&lt;=0,0,(INT(MAX(0,Inputs!$B$43-B377)/IF(Inputs!$B$38="pvp",15,MAX(0.1,Skills!D8-IF(Skills!E8=TRUE,Inputs!$B$32,0))))+1)),0)</f>
        <v/>
      </c>
      <c r="S352">
        <f>IF(C352,(H352*N352*IF(AND(Inputs!$B$38&lt;&gt;"pvp",Inputs!$B$43&gt;0),((Skills!F8*((R352-1)*IF(Skills!G8&gt;0,Skills!H8/Skills!G8,1)+IF(Skills!G8&gt;0,MIN(Skills!H8,MAX(0,MAX(0,Inputs!$B$43-B377)-((R352-1)*IF(Inputs!$B$38="pvp",15,MAX(0.1,Skills!D8-IF(Skills!E8=TRUE,Inputs!$B$32,0))))))/Skills!G8,1)))/Inputs!$B$43),G352*Q352))*IF(Inputs!$B$38="pvp",1,1+(Inputs!$B$20+Skills!O8+B371)/100),0)</f>
        <v/>
      </c>
      <c r="U352">
        <f>IF(C352,(H352*N352*IF(AND(Inputs!$B$38&lt;&gt;"pvp",Inputs!$B$43&gt;0),((Skills!F8*((R352-1)*IF(Skills!G8&gt;0,Skills!H8/Skills!G8,1)+IF(Skills!G8&gt;0,MIN(Skills!H8,MAX(0,MAX(0,Inputs!$B$43-B377)-((R352-1)*IF(Inputs!$B$38="pvp",15,MAX(0.1,Skills!D8-IF(Skills!E8=TRUE,Inputs!$B$32,0))))))/Skills!G8,1)))/Inputs!$B$43),G352*Q352))*IF(Inputs!$B$38="pvp",1,(1+(Inputs!$B$21+Skills!P8+B371)/100)*(MIN(Skills!Q8,Inputs!$B$37))),0)</f>
        <v/>
      </c>
    </row>
    <row r="353">
      <c r="A353">
        <f>Skills!A9</f>
        <v/>
      </c>
      <c r="B353">
        <f>Skills!B9</f>
        <v/>
      </c>
      <c r="C353">
        <f>Inputs!$B$3&gt;=105</f>
        <v/>
      </c>
      <c r="D353">
        <f>IF(Skills!C9=1,60+Inputs!$B$25+Inputs!$B$29,IF(Skills!C9=2,90+Inputs!$B$26+Inputs!$B$29,IF(Skills!C9=3,120+Inputs!$B$27+Inputs!$B$29,MAX(0,(Inputs!$B$3-100)*3)+Inputs!$B$28+Inputs!$B$29)))</f>
        <v/>
      </c>
      <c r="E353">
        <f>INDEX(FactorTable!$B$2:$Y$301, MATCH(ROUND(MIN(300,MAX(1,D353)),0), FactorTable!$A$2:$A$301,0), Skills!L9+1)</f>
        <v/>
      </c>
      <c r="F353">
        <f>IF(Skills!M9=TRUE,(Skills!K9/10)*(E353/1000),Skills!K9/10)+Skills!N9</f>
        <v/>
      </c>
      <c r="G353">
        <f>Calc!G9</f>
        <v/>
      </c>
      <c r="H353">
        <f>Calc!H9</f>
        <v/>
      </c>
      <c r="I353">
        <f>IF(Skills!T9&lt;&gt;"",1+(Skills!T9/10)*(Z347/1000)/100,1)</f>
        <v/>
      </c>
      <c r="J353">
        <f>((Inputs!$B$6*(1+Inputs!$B$7/100))+(((Inputs!$B$12*(1+Inputs!$B$13/100))-(Inputs!$B$12*(1+Inputs!$B$13/100)))+0.25*(Inputs!$B$14-Inputs!$B$14))*(1+Inputs!$B$7/100))*(F353/100)</f>
        <v/>
      </c>
      <c r="K353">
        <f>J353*(1+((Inputs!$B$12*(1+Inputs!$B$13/100))*0.01+Inputs!$B$14*0.0025)/100)*(1+(Inputs!$B$15+B372)/100)*(1+Inputs!$B$16/100)*(5000/(6000+Inputs!$B$42*(1-Inputs!$B$19/100)))*(1+Inputs!$B$24/100)*(1+IF(C359=TRUE,F359,0)/100)*(1+IF(C367=TRUE,F367,0)/100)^5*(1+(IF(Skills!A9="CHAIN_LIGHTNING",Inputs!$B$17,Inputs!$B$18))/100)*(B370*I353)</f>
        <v/>
      </c>
      <c r="L353">
        <f>K353*(MIN(Inputs!$B$22+(F362-Calc!F18),(Inputs!$B$23+1))/100+(Inputs!$B$23+1)/100)/2</f>
        <v/>
      </c>
      <c r="M353">
        <f>L353*(1+(Inputs!$B$10+(F365-Calc!F21))/100)</f>
        <v/>
      </c>
      <c r="N353">
        <f>L353*(1-MIN(Inputs!$B$9+((F364-Calc!F20)+(F363-Calc!F19)),100)/100)+M353*(MIN(Inputs!$B$9+((F364-Calc!F20)+(F363-Calc!F19)),100)/100)</f>
        <v/>
      </c>
      <c r="O353">
        <f>(1-Summary!$B$51)*S353+Summary!$B$51*U353</f>
        <v/>
      </c>
      <c r="P353">
        <f>IF(B380=0,0,O353/B380)</f>
        <v/>
      </c>
      <c r="Q353">
        <f>IFERROR(1/IF(Inputs!$B$38="pvp",15,MAX(0.1,Skills!D9-IF(Skills!E9=TRUE,Inputs!$B$32,0))),0)</f>
        <v/>
      </c>
      <c r="R353">
        <f>IF(AND(Inputs!$B$38&lt;&gt;"pvp",Inputs!$B$43&gt;0),IF(MAX(0,Inputs!$B$43-B377)&lt;=0,0,(INT(MAX(0,Inputs!$B$43-B377)/IF(Inputs!$B$38="pvp",15,MAX(0.1,Skills!D9-IF(Skills!E9=TRUE,Inputs!$B$32,0))))+1)),0)</f>
        <v/>
      </c>
      <c r="S353">
        <f>IF(C353,(H353*N353*IF(AND(Inputs!$B$38&lt;&gt;"pvp",Inputs!$B$43&gt;0),((Skills!F9*((R353-1)*IF(Skills!G9&gt;0,Skills!H9/Skills!G9,1)+IF(Skills!G9&gt;0,MIN(Skills!H9,MAX(0,MAX(0,Inputs!$B$43-B377)-((R353-1)*IF(Inputs!$B$38="pvp",15,MAX(0.1,Skills!D9-IF(Skills!E9=TRUE,Inputs!$B$32,0))))))/Skills!G9,1)))/Inputs!$B$43),G353*Q353))*IF(Inputs!$B$38="pvp",1,1+(Inputs!$B$20+Skills!O9+B371)/100),0)</f>
        <v/>
      </c>
      <c r="U353">
        <f>IF(C353,(H353*N353*IF(AND(Inputs!$B$38&lt;&gt;"pvp",Inputs!$B$43&gt;0),((Skills!F9*((R353-1)*IF(Skills!G9&gt;0,Skills!H9/Skills!G9,1)+IF(Skills!G9&gt;0,MIN(Skills!H9,MAX(0,MAX(0,Inputs!$B$43-B377)-((R353-1)*IF(Inputs!$B$38="pvp",15,MAX(0.1,Skills!D9-IF(Skills!E9=TRUE,Inputs!$B$32,0))))))/Skills!G9,1)))/Inputs!$B$43),G353*Q353))*IF(Inputs!$B$38="pvp",1,(1+(Inputs!$B$21+Skills!P9+B371)/100)*(MIN(Skills!Q9,Inputs!$B$37))),0)</f>
        <v/>
      </c>
    </row>
    <row r="354">
      <c r="A354">
        <f>Skills!A10</f>
        <v/>
      </c>
      <c r="B354">
        <f>Skills!B10</f>
        <v/>
      </c>
      <c r="C354">
        <f>Inputs!$B$3&gt;=113</f>
        <v/>
      </c>
      <c r="D354">
        <f>IF(Skills!C10=1,60+Inputs!$B$25+Inputs!$B$29,IF(Skills!C10=2,90+Inputs!$B$26+Inputs!$B$29,IF(Skills!C10=3,120+Inputs!$B$27+Inputs!$B$29,MAX(0,(Inputs!$B$3-100)*3)+Inputs!$B$28+Inputs!$B$29)))</f>
        <v/>
      </c>
      <c r="E354">
        <f>INDEX(FactorTable!$B$2:$Y$301, MATCH(ROUND(MIN(300,MAX(1,D354)),0), FactorTable!$A$2:$A$301,0), Skills!L10+1)</f>
        <v/>
      </c>
      <c r="F354">
        <f>IF(Skills!M10=TRUE,(Skills!K10/10)*(E354/1000),Skills!K10/10)+Skills!N10</f>
        <v/>
      </c>
      <c r="G354">
        <f>Calc!G10</f>
        <v/>
      </c>
      <c r="H354">
        <f>Calc!H10</f>
        <v/>
      </c>
      <c r="I354">
        <f>IF(Skills!T10&lt;&gt;"",1+(Skills!T10/10)*(Z347/1000)/100,1)</f>
        <v/>
      </c>
      <c r="J354">
        <f>((Inputs!$B$6*(1+Inputs!$B$7/100))+(((Inputs!$B$12*(1+Inputs!$B$13/100))-(Inputs!$B$12*(1+Inputs!$B$13/100)))+0.25*(Inputs!$B$14-Inputs!$B$14))*(1+Inputs!$B$7/100))*(F354/100)</f>
        <v/>
      </c>
      <c r="K354">
        <f>J354*(1+((Inputs!$B$12*(1+Inputs!$B$13/100))*0.01+Inputs!$B$14*0.0025)/100)*(1+(Inputs!$B$15+B372)/100)*(1+Inputs!$B$16/100)*(5000/(6000+Inputs!$B$42*(1-Inputs!$B$19/100)))*(1+Inputs!$B$24/100)*(1+IF(C359=TRUE,F359,0)/100)*(1+IF(C367=TRUE,F367,0)/100)^5*(1+(IF(Skills!A10="CHAIN_LIGHTNING",Inputs!$B$17,Inputs!$B$18))/100)*(B370*I354)</f>
        <v/>
      </c>
      <c r="L354">
        <f>K354*(MIN(Inputs!$B$22+(F362-Calc!F18),(Inputs!$B$23+1))/100+(Inputs!$B$23+1)/100)/2</f>
        <v/>
      </c>
      <c r="M354">
        <f>L354*(1+(Inputs!$B$10+(F365-Calc!F21))/100)</f>
        <v/>
      </c>
      <c r="N354">
        <f>L354*(1-MIN(Inputs!$B$9+((F364-Calc!F20)+(F363-Calc!F19)),100)/100)+M354*(MIN(Inputs!$B$9+((F364-Calc!F20)+(F363-Calc!F19)),100)/100)</f>
        <v/>
      </c>
      <c r="O354">
        <f>(1-Summary!$B$51)*S354+Summary!$B$51*U354</f>
        <v/>
      </c>
      <c r="P354">
        <f>IF(B380=0,0,O354/B380)</f>
        <v/>
      </c>
      <c r="Q354">
        <f>IFERROR(1/IF(Inputs!$B$38="pvp",15,MAX(0.1,Skills!D10-IF(Skills!E9=TRUE,Inputs!$B$32,0))),0)</f>
        <v/>
      </c>
      <c r="R354">
        <f>IF(AND(Inputs!$B$38&lt;&gt;"pvp",Inputs!$B$43&gt;0),IF(MAX(0,Inputs!$B$43-B377)&lt;=0,0,(INT(MAX(0,Inputs!$B$43-B377)/IF(Inputs!$B$38="pvp",15,MAX(0.1,Skills!D10-IF(Skills!E9=TRUE,Inputs!$B$32,0))))+1)),0)</f>
        <v/>
      </c>
      <c r="S354">
        <f>IF(C354,(H354*N354*IF(AND(Inputs!$B$38&lt;&gt;"pvp",Inputs!$B$43&gt;0),((Skills!F10*((R354-1)*IF(Skills!G10&gt;0,Skills!H10/Skills!G10,1)+IF(Skills!G10&gt;0,MIN(Skills!H10,MAX(0,MAX(0,Inputs!$B$43-B377)-((R354-1)*IF(Inputs!$B$38="pvp",15,MAX(0.1,Skills!D10-IF(Skills!E9=TRUE,Inputs!$B$32,0))))))/Skills!G10,1)))/Inputs!$B$43),G354*Q354))*IF(Inputs!$B$38="pvp",1,1+(Inputs!$B$20+Skills!O10+B371)/100),0)</f>
        <v/>
      </c>
      <c r="U354">
        <f>IF(C354,(H354*N354*IF(AND(Inputs!$B$38&lt;&gt;"pvp",Inputs!$B$43&gt;0),((Skills!F10*((R354-1)*IF(Skills!G10&gt;0,Skills!H10/Skills!G10,1)+IF(Skills!G10&gt;0,MIN(Skills!H10,MAX(0,MAX(0,Inputs!$B$43-B377)-((R354-1)*IF(Inputs!$B$38="pvp",15,MAX(0.1,Skills!D10-IF(Skills!E9=TRUE,Inputs!$B$32,0))))))/Skills!G10,1)))/Inputs!$B$43),G354*Q354))*IF(Inputs!$B$38="pvp",1,(1+(Inputs!$B$21+Skills!P10+B371)/100)*(MIN(Skills!Q10,Inputs!$B$37))),0)</f>
        <v/>
      </c>
    </row>
    <row r="355">
      <c r="A355">
        <f>Skills!A11</f>
        <v/>
      </c>
      <c r="B355">
        <f>Skills!B11</f>
        <v/>
      </c>
      <c r="C355">
        <f>Inputs!$B$3&gt;=107</f>
        <v/>
      </c>
      <c r="D355">
        <f>IF(Skills!C11=1,60+Inputs!$B$25+Inputs!$B$29,IF(Skills!C11=2,90+Inputs!$B$26+Inputs!$B$29,IF(Skills!C11=3,120+Inputs!$B$27+Inputs!$B$29,MAX(0,(Inputs!$B$3-100)*3)+Inputs!$B$28+Inputs!$B$29)))</f>
        <v/>
      </c>
      <c r="E355">
        <f>INDEX(FactorTable!$B$2:$Y$301, MATCH(ROUND(MIN(300,MAX(1,D355)),0), FactorTable!$A$2:$A$301,0), Skills!L11+1)</f>
        <v/>
      </c>
      <c r="F355">
        <f>IF(Skills!M11=TRUE,(Skills!K11/10)*(E355/1000),Skills!K11/10)+Skills!N11</f>
        <v/>
      </c>
      <c r="G355">
        <f>Calc!G11</f>
        <v/>
      </c>
      <c r="H355">
        <f>Calc!H11</f>
        <v/>
      </c>
      <c r="I355">
        <f>IF(Skills!T11&lt;&gt;"",1+(Skills!T11/10)*(Z347/1000)/100,1)</f>
        <v/>
      </c>
      <c r="J355">
        <f>((Inputs!$B$6*(1+Inputs!$B$7/100))+(((Inputs!$B$12*(1+Inputs!$B$13/100))-(Inputs!$B$12*(1+Inputs!$B$13/100)))+0.25*(Inputs!$B$14-Inputs!$B$14))*(1+Inputs!$B$7/100))*(F355/100)</f>
        <v/>
      </c>
      <c r="K355">
        <f>J355*(1+((Inputs!$B$12*(1+Inputs!$B$13/100))*0.01+Inputs!$B$14*0.0025)/100)*(1+(Inputs!$B$15+B372)/100)*(1+Inputs!$B$16/100)*(5000/(6000+Inputs!$B$42*(1-Inputs!$B$19/100)))*(1+Inputs!$B$24/100)*(1+IF(C359=TRUE,F359,0)/100)*(1+IF(C367=TRUE,F367,0)/100)^5*(1+(IF(Skills!A11="CHAIN_LIGHTNING",Inputs!$B$17,Inputs!$B$18))/100)*(B370*I355)</f>
        <v/>
      </c>
      <c r="L355">
        <f>K355*(MIN(Inputs!$B$22+(F362-Calc!F18),(Inputs!$B$23+1))/100+(Inputs!$B$23+1)/100)/2</f>
        <v/>
      </c>
      <c r="M355">
        <f>L355*(1+(Inputs!$B$10+(F365-Calc!F21))/100)</f>
        <v/>
      </c>
      <c r="N355">
        <f>L355*(1-MIN(Inputs!$B$9+((F364-Calc!F20)+(F363-Calc!F19)),100)/100)+M355*(MIN(Inputs!$B$9+((F364-Calc!F20)+(F363-Calc!F19)),100)/100)</f>
        <v/>
      </c>
      <c r="O355">
        <f>(1-Summary!$B$51)*S355+Summary!$B$51*U355</f>
        <v/>
      </c>
      <c r="P355">
        <f>IF(B380=0,0,O355/B380)</f>
        <v/>
      </c>
      <c r="Q355">
        <f>IFERROR(1/IF(Inputs!$B$38="pvp",15,MAX(0.1,Skills!D11-IF(Skills!E11=TRUE,Inputs!$B$32,0))),0)</f>
        <v/>
      </c>
      <c r="R355">
        <f>IF(AND(Inputs!$B$38&lt;&gt;"pvp",Inputs!$B$43&gt;0),IF(MAX(0,Inputs!$B$43-B377)&lt;=0,0,(INT(MAX(0,Inputs!$B$43-B377)/IF(Inputs!$B$38="pvp",15,MAX(0.1,Skills!D11-IF(Skills!E11=TRUE,Inputs!$B$32,0))))+1)),0)</f>
        <v/>
      </c>
      <c r="S355">
        <f>IF(C355,H355*N355*IF(AND(Inputs!$B$38&lt;&gt;"pvp",Inputs!$B$43&gt;0),((Skills!F11*((R355-1)*IF(Skills!G11&gt;0,Skills!H11/Skills!G11,1)+IF(Skills!G11&gt;0,MIN(Skills!H11,MAX(0,MAX(0,Inputs!$B$43-B377)-((R355-1)*IF(Inputs!$B$38="pvp",15,MAX(0.1,Skills!D11-IF(Skills!E11=TRUE,Inputs!$B$32,0))))))/Skills!G11,1)))/Inputs!$B$43),G355*Q355)*0.5*IF(Inputs!$B$38="pvp",1,1+(Inputs!$B$20+Skills!O11+B371)/100),0)</f>
        <v/>
      </c>
      <c r="U355">
        <f>IF(C355,H355*N355*IF(AND(Inputs!$B$38&lt;&gt;"pvp",Inputs!$B$43&gt;0),((Skills!F11*((R355-1)*IF(Skills!G11&gt;0,Skills!H11/Skills!G11,1)+IF(Skills!G11&gt;0,MIN(Skills!H11,MAX(0,MAX(0,Inputs!$B$43-B377)-((R355-1)*IF(Inputs!$B$38="pvp",15,MAX(0.1,Skills!D11-IF(Skills!E11=TRUE,Inputs!$B$32,0))))))/Skills!G11,1)))/Inputs!$B$43),G355*Q355)*1*IF(Inputs!$B$38="pvp",1,(1+(Inputs!$B$21+Skills!P11+B371)/100)*(MIN(Skills!Q11,Inputs!$B$37))),0)</f>
        <v/>
      </c>
    </row>
    <row r="356">
      <c r="A356">
        <f>Skills!A12</f>
        <v/>
      </c>
      <c r="B356">
        <f>Skills!B12</f>
        <v/>
      </c>
      <c r="C356">
        <f>Inputs!$B$3&gt;=115</f>
        <v/>
      </c>
      <c r="D356">
        <f>IF(Skills!C12=1,60+Inputs!$B$25+Inputs!$B$29,IF(Skills!C12=2,90+Inputs!$B$26+Inputs!$B$29,IF(Skills!C12=3,120+Inputs!$B$27+Inputs!$B$29,MAX(0,(Inputs!$B$3-100)*3)+Inputs!$B$28+Inputs!$B$29)))</f>
        <v/>
      </c>
      <c r="E356">
        <f>INDEX(FactorTable!$B$2:$Y$301, MATCH(ROUND(MIN(300,MAX(1,D356)),0), FactorTable!$A$2:$A$301,0), Skills!L12+1)</f>
        <v/>
      </c>
      <c r="F356">
        <f>IF(Skills!M12=TRUE,(Skills!K12/10)*(E356/1000),Skills!K12/10)+Skills!N12</f>
        <v/>
      </c>
      <c r="G356">
        <f>Calc!G12</f>
        <v/>
      </c>
      <c r="H356">
        <f>Calc!H12</f>
        <v/>
      </c>
      <c r="I356">
        <f>IF(Skills!T12&lt;&gt;"",1+(Skills!T12/10)*(Z347/1000)/100,1)</f>
        <v/>
      </c>
      <c r="J356">
        <f>((Inputs!$B$6*(1+Inputs!$B$7/100))+(((Inputs!$B$12*(1+Inputs!$B$13/100))-(Inputs!$B$12*(1+Inputs!$B$13/100)))+0.25*(Inputs!$B$14-Inputs!$B$14))*(1+Inputs!$B$7/100))*(F356/100)</f>
        <v/>
      </c>
      <c r="K356">
        <f>J356*(1+((Inputs!$B$12*(1+Inputs!$B$13/100))*0.01+Inputs!$B$14*0.0025)/100)*(1+(Inputs!$B$15+B372)/100)*(1+Inputs!$B$16/100)*(5000/(6000+Inputs!$B$42*(1-Inputs!$B$19/100)))*(1+Inputs!$B$24/100)*(1+IF(C359=TRUE,F359,0)/100)*(1+IF(C367=TRUE,F367,0)/100)^5*(1+(IF(Skills!A12="CHAIN_LIGHTNING",Inputs!$B$17,Inputs!$B$18))/100)*(B370*I356)</f>
        <v/>
      </c>
      <c r="L356">
        <f>K356*(MIN(Inputs!$B$22+(F362-Calc!F18),(Inputs!$B$23+1))/100+(Inputs!$B$23+1)/100)/2</f>
        <v/>
      </c>
      <c r="M356">
        <f>L356*(1+(Inputs!$B$10+(F365-Calc!F21))/100)</f>
        <v/>
      </c>
      <c r="N356">
        <f>L356*(1-MIN(Inputs!$B$9+((F364-Calc!F20)+(F363-Calc!F19)),100)/100)+M356*(MIN(Inputs!$B$9+((F364-Calc!F20)+(F363-Calc!F19)),100)/100)</f>
        <v/>
      </c>
      <c r="O356">
        <f>(1-Summary!$B$51)*S356+Summary!$B$51*U356</f>
        <v/>
      </c>
      <c r="P356">
        <f>IF(B380=0,0,O356/B380)</f>
        <v/>
      </c>
      <c r="Q356">
        <f>IFERROR(1/IF(Inputs!$B$38="pvp",15,MAX(0.1,Skills!D12-IF(Skills!E12=TRUE,Inputs!$B$32,0))),0)</f>
        <v/>
      </c>
      <c r="R356">
        <f>IF(AND(Inputs!$B$38&lt;&gt;"pvp",Inputs!$B$43&gt;0),IF(MAX(0,Inputs!$B$43-B377)&lt;=0,0,(INT(MAX(0,Inputs!$B$43-B377)/IF(Inputs!$B$38="pvp",15,MAX(0.1,Skills!D12-IF(Skills!E12=TRUE,Inputs!$B$32,0))))+1)),0)</f>
        <v/>
      </c>
      <c r="S356">
        <f>IF(C356,(H356*N356*IF(AND(Inputs!$B$38&lt;&gt;"pvp",Inputs!$B$43&gt;0),((Skills!F12*((R356-1)*IF(Skills!G12&gt;0,Skills!H12/Skills!G12,1)+IF(Skills!G12&gt;0,MIN(Skills!H12,MAX(0,MAX(0,Inputs!$B$43-B377)-((R356-1)*IF(Inputs!$B$38="pvp",15,MAX(0.1,Skills!D12-IF(Skills!E12=TRUE,Inputs!$B$32,0))))))/Skills!G12,1)))/Inputs!$B$43),G356*Q356))*IF(Inputs!$B$38="pvp",1,1+(Inputs!$B$20+Skills!O12+B371)/100),0)</f>
        <v/>
      </c>
      <c r="U356">
        <f>IF(C356,(H356*N356*IF(AND(Inputs!$B$38&lt;&gt;"pvp",Inputs!$B$43&gt;0),((Skills!F12*((R356-1)*IF(Skills!G12&gt;0,Skills!H12/Skills!G12,1)+IF(Skills!G12&gt;0,MIN(Skills!H12,MAX(0,MAX(0,Inputs!$B$43-B377)-((R356-1)*IF(Inputs!$B$38="pvp",15,MAX(0.1,Skills!D12-IF(Skills!E12=TRUE,Inputs!$B$32,0))))))/Skills!G12,1)))/Inputs!$B$43),G356*Q356))*IF(Inputs!$B$38="pvp",1,(1+(Inputs!$B$21+Skills!P12+B371)/100)*(MIN(Skills!Q12,Inputs!$B$37))),0)</f>
        <v/>
      </c>
    </row>
    <row r="357">
      <c r="A357">
        <f>Skills!A13</f>
        <v/>
      </c>
      <c r="B357">
        <f>Skills!B13</f>
        <v/>
      </c>
      <c r="C357">
        <f>Inputs!$B$3&gt;=49</f>
        <v/>
      </c>
      <c r="D357">
        <f>IF(Skills!C13=1,60+Inputs!$B$25+Inputs!$B$29,IF(Skills!C13=2,90+Inputs!$B$26+Inputs!$B$29,IF(Skills!C13=3,120+Inputs!$B$27+Inputs!$B$29,MAX(0,(Inputs!$B$3-100)*3)+Inputs!$B$28+Inputs!$B$29)))</f>
        <v/>
      </c>
      <c r="E357">
        <f>INDEX(FactorTable!$B$2:$Y$301, MATCH(ROUND(MIN(300,MAX(1,D357)),0), FactorTable!$A$2:$A$301,0), Skills!L13+1)</f>
        <v/>
      </c>
      <c r="F357">
        <f>IF(Skills!M13=TRUE,(Skills!K13/10)*(E357/1000),Skills!K13/10)+Skills!N13</f>
        <v/>
      </c>
      <c r="G357">
        <f>Calc!G13</f>
        <v/>
      </c>
      <c r="H357">
        <f>Calc!H13</f>
        <v/>
      </c>
      <c r="I357">
        <f>IF(Skills!T13&lt;&gt;"",1+(Skills!T13/10)*(Z347/1000)/100,1)</f>
        <v/>
      </c>
      <c r="J357" t="inlineStr"/>
      <c r="K357" t="inlineStr"/>
      <c r="L357" t="inlineStr"/>
      <c r="M357" t="inlineStr"/>
      <c r="N357" t="inlineStr"/>
      <c r="O357">
        <f>(1-Summary!$B$51)*S357+Summary!$B$51*U357</f>
        <v/>
      </c>
      <c r="P357">
        <f>IF(B380=0,0,O357/B380)</f>
        <v/>
      </c>
      <c r="Q357">
        <f>IFERROR(1/IF(Inputs!$B$38="pvp",15,MAX(0.1,Skills!D13-IF(Skills!E13=TRUE,Inputs!$B$32,0))),0)</f>
        <v/>
      </c>
      <c r="R357" t="n">
        <v>0</v>
      </c>
      <c r="S357" t="n">
        <v>0</v>
      </c>
      <c r="U357" t="n">
        <v>0</v>
      </c>
    </row>
    <row r="358">
      <c r="A358">
        <f>Skills!A14</f>
        <v/>
      </c>
      <c r="B358">
        <f>Skills!B14</f>
        <v/>
      </c>
      <c r="C358">
        <f>Inputs!$B$3&gt;=72</f>
        <v/>
      </c>
      <c r="D358">
        <f>IF(Skills!C14=1,60+Inputs!$B$25+Inputs!$B$29,IF(Skills!C14=2,90+Inputs!$B$26+Inputs!$B$29,IF(Skills!C14=3,120+Inputs!$B$27+Inputs!$B$29,MAX(0,(Inputs!$B$3-100)*3)+Inputs!$B$28+Inputs!$B$29)))</f>
        <v/>
      </c>
      <c r="E358">
        <f>INDEX(FactorTable!$B$2:$Y$301, MATCH(ROUND(MIN(300,MAX(1,D358)),0), FactorTable!$A$2:$A$301,0), Skills!L14+1)</f>
        <v/>
      </c>
      <c r="F358">
        <f>IF(Skills!M14=TRUE,(Skills!K14/10)*(E358/1000),Skills!K14/10)+Skills!N14</f>
        <v/>
      </c>
      <c r="G358">
        <f>Calc!G14</f>
        <v/>
      </c>
      <c r="H358">
        <f>Calc!H14</f>
        <v/>
      </c>
      <c r="I358">
        <f>IF(Skills!T14&lt;&gt;"",1+(Skills!T14/10)*(Z347/1000)/100,1)</f>
        <v/>
      </c>
      <c r="J358" t="inlineStr"/>
      <c r="K358" t="inlineStr"/>
      <c r="L358" t="inlineStr"/>
      <c r="M358" t="inlineStr"/>
      <c r="N358" t="inlineStr"/>
      <c r="O358">
        <f>(1-Summary!$B$51)*S358+Summary!$B$51*U358</f>
        <v/>
      </c>
      <c r="P358">
        <f>IF(B380=0,0,O358/B380)</f>
        <v/>
      </c>
      <c r="Q358">
        <f>IFERROR(1/IF(Inputs!$B$38="pvp",15,MAX(0.1,Skills!D14-IF(Skills!E14=TRUE,Inputs!$B$32,0))),0)</f>
        <v/>
      </c>
      <c r="R358" t="n">
        <v>0</v>
      </c>
      <c r="S358" t="n">
        <v>0</v>
      </c>
      <c r="U358" t="n">
        <v>0</v>
      </c>
    </row>
    <row r="359">
      <c r="A359">
        <f>Skills!A15</f>
        <v/>
      </c>
      <c r="B359">
        <f>Skills!B15</f>
        <v/>
      </c>
      <c r="C359">
        <f>Inputs!$B$3&gt;=75</f>
        <v/>
      </c>
      <c r="D359">
        <f>IF(Skills!C15=1,60+Inputs!$B$25+Inputs!$B$29,IF(Skills!C15=2,90+Inputs!$B$26+Inputs!$B$29,IF(Skills!C15=3,120+Inputs!$B$27+Inputs!$B$29,MAX(0,(Inputs!$B$3-100)*3)+Inputs!$B$28+Inputs!$B$29)))</f>
        <v/>
      </c>
      <c r="E359">
        <f>INDEX(FactorTable!$B$2:$Y$301, MATCH(ROUND(MIN(300,MAX(1,D359)),0), FactorTable!$A$2:$A$301,0), Skills!L15+1)</f>
        <v/>
      </c>
      <c r="F359">
        <f>IF(Skills!M15=TRUE,(Skills!K15/10)*(E359/1000),Skills!K15/10)+Skills!N15</f>
        <v/>
      </c>
      <c r="G359">
        <f>Calc!G15</f>
        <v/>
      </c>
      <c r="H359">
        <f>Calc!H15</f>
        <v/>
      </c>
      <c r="I359">
        <f>IF(Skills!T15&lt;&gt;"",1+(Skills!T15/10)*(Z347/1000)/100,1)</f>
        <v/>
      </c>
      <c r="J359" t="inlineStr"/>
      <c r="K359" t="inlineStr"/>
      <c r="L359" t="inlineStr"/>
      <c r="M359" t="inlineStr"/>
      <c r="N359" t="inlineStr"/>
      <c r="O359">
        <f>(1-Summary!$B$51)*S359+Summary!$B$51*U359</f>
        <v/>
      </c>
      <c r="P359">
        <f>IF(B380=0,0,O359/B380)</f>
        <v/>
      </c>
      <c r="Q359">
        <f>IFERROR(1/IF(Inputs!$B$38="pvp",15,MAX(0.1,Skills!D15-IF(Skills!E15=TRUE,Inputs!$B$32,0))),0)</f>
        <v/>
      </c>
      <c r="R359" t="n">
        <v>0</v>
      </c>
      <c r="S359" t="n">
        <v>0</v>
      </c>
      <c r="U359" t="n">
        <v>0</v>
      </c>
    </row>
    <row r="360">
      <c r="A360">
        <f>Skills!A16</f>
        <v/>
      </c>
      <c r="B360">
        <f>Skills!B16</f>
        <v/>
      </c>
      <c r="C360">
        <f>Inputs!$B$3&gt;=110</f>
        <v/>
      </c>
      <c r="D360">
        <f>IF(Skills!C16=1,60+Inputs!$B$25+Inputs!$B$29,IF(Skills!C16=2,90+Inputs!$B$26+Inputs!$B$29,IF(Skills!C16=3,120+Inputs!$B$27+Inputs!$B$29,MAX(0,(Inputs!$B$3-100)*3)+Inputs!$B$28+Inputs!$B$29)))</f>
        <v/>
      </c>
      <c r="E360">
        <f>INDEX(FactorTable!$B$2:$Y$301, MATCH(ROUND(MIN(300,MAX(1,D360)),0), FactorTable!$A$2:$A$301,0), Skills!L16+1)</f>
        <v/>
      </c>
      <c r="F360">
        <f>(Skills!K16/10)*(E360/1000)*64/45+Skills!N16</f>
        <v/>
      </c>
      <c r="G360">
        <f>Calc!G16</f>
        <v/>
      </c>
      <c r="H360">
        <f>Calc!H16</f>
        <v/>
      </c>
      <c r="I360">
        <f>IF(Skills!T16&lt;&gt;"",1+(Skills!T16/10)*(Z347/1000)/100,1)</f>
        <v/>
      </c>
      <c r="J360" t="inlineStr"/>
      <c r="K360" t="inlineStr"/>
      <c r="L360" t="inlineStr"/>
      <c r="M360" t="inlineStr"/>
      <c r="N360" t="inlineStr"/>
      <c r="O360">
        <f>(1-Summary!$B$51)*S360+Summary!$B$51*U360</f>
        <v/>
      </c>
      <c r="P360">
        <f>IF(B380=0,0,O360/B380)</f>
        <v/>
      </c>
      <c r="Q360">
        <f>IFERROR(1/IF(Inputs!$B$38="pvp",15,MAX(0.1,Skills!D16-IF(Skills!E16=TRUE,Inputs!$B$32,0))),0)</f>
        <v/>
      </c>
      <c r="R360">
        <f>IF(AND(Inputs!$B$38&lt;&gt;"pvp",Inputs!$B$43&gt;0),IF(Inputs!$B$43&lt;=0,0,(INT(Inputs!$B$43/IF(Inputs!$B$38="pvp",15,MAX(0.1,Skills!D16-IF(Skills!E16=TRUE,Inputs!$B$32,0))))+1)),0)</f>
        <v/>
      </c>
      <c r="S360" t="n">
        <v>0</v>
      </c>
      <c r="U360" t="n">
        <v>0</v>
      </c>
    </row>
    <row r="361">
      <c r="A361">
        <f>Skills!A17</f>
        <v/>
      </c>
      <c r="B361">
        <f>Skills!B17</f>
        <v/>
      </c>
      <c r="C361">
        <f>Inputs!$B$3&gt;=33</f>
        <v/>
      </c>
      <c r="D361">
        <f>IF(Skills!C17=1,60+Inputs!$B$25+Inputs!$B$29,IF(Skills!C17=2,90+Inputs!$B$26+Inputs!$B$29,IF(Skills!C17=3,120+Inputs!$B$27+Inputs!$B$29,MAX(0,(Inputs!$B$3-100)*3)+Inputs!$B$28+Inputs!$B$29)))</f>
        <v/>
      </c>
      <c r="E361">
        <f>INDEX(FactorTable!$B$2:$Y$301, MATCH(ROUND(MIN(300,MAX(1,D361)),0), FactorTable!$A$2:$A$301,0), Skills!L17+1)</f>
        <v/>
      </c>
      <c r="F361">
        <f>IF(Skills!M17=TRUE,(Skills!K17/10)*(E361/1000),Skills!K17/10)+Skills!N17</f>
        <v/>
      </c>
      <c r="G361">
        <f>Calc!G17</f>
        <v/>
      </c>
      <c r="H361">
        <f>Calc!H17</f>
        <v/>
      </c>
      <c r="I361">
        <f>IF(Skills!T17&lt;&gt;"",1+(Skills!T17/10)*(Z347/1000)/100,1)</f>
        <v/>
      </c>
      <c r="J361" t="inlineStr"/>
      <c r="K361" t="inlineStr"/>
      <c r="L361" t="inlineStr"/>
      <c r="M361" t="inlineStr"/>
      <c r="N361" t="inlineStr"/>
      <c r="O361">
        <f>(1-Summary!$B$51)*S361+Summary!$B$51*U361</f>
        <v/>
      </c>
      <c r="P361">
        <f>IF(B380=0,0,O361/B380)</f>
        <v/>
      </c>
      <c r="Q361">
        <f>IFERROR(1/IF(Inputs!$B$38="pvp",15,MAX(0.1,Skills!D17-IF(Skills!E17=TRUE,Inputs!$B$32,0))),0)</f>
        <v/>
      </c>
      <c r="R361" t="n">
        <v>0</v>
      </c>
      <c r="S361" t="n">
        <v>0</v>
      </c>
      <c r="U361" t="n">
        <v>0</v>
      </c>
    </row>
    <row r="362">
      <c r="A362">
        <f>Skills!A18</f>
        <v/>
      </c>
      <c r="B362">
        <f>Skills!B18</f>
        <v/>
      </c>
      <c r="C362">
        <f>Inputs!$B$3&gt;=43</f>
        <v/>
      </c>
      <c r="D362">
        <f>IF(Skills!C18=1,60+Inputs!$B$25+Inputs!$B$29,IF(Skills!C18=2,90+Inputs!$B$26+Inputs!$B$29,IF(Skills!C18=3,120+Inputs!$B$27+Inputs!$B$29,MAX(0,(Inputs!$B$3-100)*3)+Inputs!$B$28+Inputs!$B$29)))</f>
        <v/>
      </c>
      <c r="E362">
        <f>INDEX(FactorTable!$B$2:$Y$301, MATCH(ROUND(MIN(300,MAX(1,D362)),0), FactorTable!$A$2:$A$301,0), Skills!L18+1)</f>
        <v/>
      </c>
      <c r="F362">
        <f>IF(Skills!M18=TRUE,(Skills!K18/10)*(E362/1000),Skills!K18/10)+Skills!N18</f>
        <v/>
      </c>
      <c r="G362">
        <f>Calc!G18</f>
        <v/>
      </c>
      <c r="H362">
        <f>Calc!H18</f>
        <v/>
      </c>
      <c r="I362">
        <f>IF(Skills!T18&lt;&gt;"",1+(Skills!T18/10)*(Z347/1000)/100,1)</f>
        <v/>
      </c>
      <c r="J362" t="inlineStr"/>
      <c r="K362" t="inlineStr"/>
      <c r="L362" t="inlineStr"/>
      <c r="M362" t="inlineStr"/>
      <c r="N362" t="inlineStr"/>
      <c r="O362">
        <f>(1-Summary!$B$51)*S362+Summary!$B$51*U362</f>
        <v/>
      </c>
      <c r="P362">
        <f>IF(B380=0,0,O362/B380)</f>
        <v/>
      </c>
      <c r="Q362">
        <f>IFERROR(1/IF(Inputs!$B$38="pvp",15,MAX(0.1,Skills!D18-IF(Skills!E18=TRUE,Inputs!$B$32,0))),0)</f>
        <v/>
      </c>
      <c r="R362" t="n">
        <v>0</v>
      </c>
      <c r="S362" t="n">
        <v>0</v>
      </c>
      <c r="U362" t="n">
        <v>0</v>
      </c>
    </row>
    <row r="363">
      <c r="A363">
        <f>Skills!A19</f>
        <v/>
      </c>
      <c r="B363">
        <f>Skills!B19</f>
        <v/>
      </c>
      <c r="C363">
        <f>Inputs!$B$3&gt;=50</f>
        <v/>
      </c>
      <c r="D363">
        <f>IF(Skills!C19=1,60+Inputs!$B$25+Inputs!$B$29,IF(Skills!C19=2,90+Inputs!$B$26+Inputs!$B$29,IF(Skills!C19=3,120+Inputs!$B$27+Inputs!$B$29,MAX(0,(Inputs!$B$3-100)*3)+Inputs!$B$28+Inputs!$B$29)))</f>
        <v/>
      </c>
      <c r="E363">
        <f>INDEX(FactorTable!$B$2:$Y$301, MATCH(ROUND(MIN(300,MAX(1,D363)),0), FactorTable!$A$2:$A$301,0), Skills!L19+1)</f>
        <v/>
      </c>
      <c r="F363">
        <f>IF(Skills!M19=TRUE,(Skills!K19/10)*(E363/1000),Skills!K19/10)+Skills!N19</f>
        <v/>
      </c>
      <c r="G363">
        <f>Calc!G19</f>
        <v/>
      </c>
      <c r="H363">
        <f>Calc!H19</f>
        <v/>
      </c>
      <c r="I363">
        <f>IF(Skills!T19&lt;&gt;"",1+(Skills!T19/10)*(Z347/1000)/100,1)</f>
        <v/>
      </c>
      <c r="J363" t="inlineStr"/>
      <c r="K363" t="inlineStr"/>
      <c r="L363" t="inlineStr"/>
      <c r="M363" t="inlineStr"/>
      <c r="N363" t="inlineStr"/>
      <c r="O363">
        <f>(1-Summary!$B$51)*S363+Summary!$B$51*U363</f>
        <v/>
      </c>
      <c r="P363">
        <f>IF(B380=0,0,O363/B380)</f>
        <v/>
      </c>
      <c r="Q363">
        <f>IFERROR(1/IF(Inputs!$B$38="pvp",15,MAX(0.1,Skills!D19-IF(Skills!E19=TRUE,Inputs!$B$32,0))),0)</f>
        <v/>
      </c>
      <c r="R363" t="n">
        <v>0</v>
      </c>
      <c r="S363" t="n">
        <v>0</v>
      </c>
      <c r="U363" t="n">
        <v>0</v>
      </c>
    </row>
    <row r="364">
      <c r="A364">
        <f>Skills!A20</f>
        <v/>
      </c>
      <c r="B364">
        <f>Skills!B20</f>
        <v/>
      </c>
      <c r="C364">
        <f>Inputs!$B$3&gt;=74</f>
        <v/>
      </c>
      <c r="D364">
        <f>IF(Skills!C20=1,60+Inputs!$B$25+Inputs!$B$29,IF(Skills!C20=2,90+Inputs!$B$26+Inputs!$B$29,IF(Skills!C20=3,120+Inputs!$B$27+Inputs!$B$29,MAX(0,(Inputs!$B$3-100)*3)+Inputs!$B$28+Inputs!$B$29)))</f>
        <v/>
      </c>
      <c r="E364">
        <f>INDEX(FactorTable!$B$2:$Y$301, MATCH(ROUND(MIN(300,MAX(1,D364)),0), FactorTable!$A$2:$A$301,0), Skills!L20+1)</f>
        <v/>
      </c>
      <c r="F364">
        <f>IF(Skills!M20=TRUE,(Skills!K20/10)*(E364/1000),Skills!K20/10)+Skills!N20</f>
        <v/>
      </c>
      <c r="G364">
        <f>Calc!G20</f>
        <v/>
      </c>
      <c r="H364">
        <f>Calc!H20</f>
        <v/>
      </c>
      <c r="I364">
        <f>IF(Skills!T20&lt;&gt;"",1+(Skills!T20/10)*(Z347/1000)/100,1)</f>
        <v/>
      </c>
      <c r="J364" t="inlineStr"/>
      <c r="K364" t="inlineStr"/>
      <c r="L364" t="inlineStr"/>
      <c r="M364" t="inlineStr"/>
      <c r="N364" t="inlineStr"/>
      <c r="O364">
        <f>(1-Summary!$B$51)*S364+Summary!$B$51*U364</f>
        <v/>
      </c>
      <c r="P364">
        <f>IF(B380=0,0,O364/B380)</f>
        <v/>
      </c>
      <c r="Q364">
        <f>IFERROR(1/IF(Inputs!$B$38="pvp",15,MAX(0.1,Skills!D20-IF(Skills!E20=TRUE,Inputs!$B$32,0))),0)</f>
        <v/>
      </c>
      <c r="R364" t="n">
        <v>0</v>
      </c>
      <c r="S364" t="n">
        <v>0</v>
      </c>
      <c r="U364" t="n">
        <v>0</v>
      </c>
    </row>
    <row r="365">
      <c r="A365">
        <f>Skills!A21</f>
        <v/>
      </c>
      <c r="B365">
        <f>Skills!B21</f>
        <v/>
      </c>
      <c r="C365">
        <f>Inputs!$B$3&gt;=74</f>
        <v/>
      </c>
      <c r="D365">
        <f>IF(Skills!C21=1,60+Inputs!$B$25+Inputs!$B$29,IF(Skills!C21=2,90+Inputs!$B$26+Inputs!$B$29,IF(Skills!C21=3,120+Inputs!$B$27+Inputs!$B$29,MAX(0,(Inputs!$B$3-100)*3)+Inputs!$B$28+Inputs!$B$29)))</f>
        <v/>
      </c>
      <c r="E365">
        <f>INDEX(FactorTable!$B$2:$Y$301, MATCH(ROUND(MIN(300,MAX(1,D365)),0), FactorTable!$A$2:$A$301,0), Skills!L21+1)</f>
        <v/>
      </c>
      <c r="F365">
        <f>IF(Skills!M21=TRUE,(Skills!K21/10)*(E365/1000),Skills!K21/10)+Skills!N21</f>
        <v/>
      </c>
      <c r="G365">
        <f>Calc!G21</f>
        <v/>
      </c>
      <c r="H365">
        <f>Calc!H21</f>
        <v/>
      </c>
      <c r="I365">
        <f>IF(Skills!T21&lt;&gt;"",1+(Skills!T21/10)*(Z347/1000)/100,1)</f>
        <v/>
      </c>
      <c r="J365" t="inlineStr"/>
      <c r="K365" t="inlineStr"/>
      <c r="L365" t="inlineStr"/>
      <c r="M365" t="inlineStr"/>
      <c r="N365" t="inlineStr"/>
      <c r="O365">
        <f>(1-Summary!$B$51)*S365+Summary!$B$51*U365</f>
        <v/>
      </c>
      <c r="P365">
        <f>IF(B380=0,0,O365/B380)</f>
        <v/>
      </c>
      <c r="Q365">
        <f>IFERROR(1/IF(Inputs!$B$38="pvp",15,MAX(0.1,Skills!D21-IF(Skills!E21=TRUE,Inputs!$B$32,0))),0)</f>
        <v/>
      </c>
      <c r="R365" t="n">
        <v>0</v>
      </c>
      <c r="S365" t="n">
        <v>0</v>
      </c>
      <c r="U365" t="n">
        <v>0</v>
      </c>
    </row>
    <row r="366">
      <c r="A366">
        <f>Skills!A22</f>
        <v/>
      </c>
      <c r="B366">
        <f>Skills!B22</f>
        <v/>
      </c>
      <c r="C366">
        <f>Inputs!$B$3&gt;=117</f>
        <v/>
      </c>
      <c r="D366">
        <f>IF(Skills!C22=1,60+Inputs!$B$25+Inputs!$B$29,IF(Skills!C22=2,90+Inputs!$B$26+Inputs!$B$29,IF(Skills!C22=3,120+Inputs!$B$27+Inputs!$B$29,MAX(0,(Inputs!$B$3-100)*3)+Inputs!$B$28+Inputs!$B$29)))</f>
        <v/>
      </c>
      <c r="E366">
        <f>INDEX(FactorTable!$B$2:$Y$301, MATCH(ROUND(MIN(300,MAX(1,D366)),0), FactorTable!$A$2:$A$301,0), Skills!L22+1)</f>
        <v/>
      </c>
      <c r="F366">
        <f>IF(Skills!M22=TRUE,(Skills!K22/10)*(E366/1000),Skills!K22/10)+Skills!N22</f>
        <v/>
      </c>
      <c r="G366">
        <f>Calc!G22</f>
        <v/>
      </c>
      <c r="H366">
        <f>Calc!H22</f>
        <v/>
      </c>
      <c r="I366">
        <f>IF(Skills!T22&lt;&gt;"",1+(Skills!T22/10)*(Z347/1000)/100,1)</f>
        <v/>
      </c>
      <c r="J366" t="inlineStr"/>
      <c r="K366" t="inlineStr"/>
      <c r="L366" t="inlineStr"/>
      <c r="M366" t="inlineStr"/>
      <c r="N366" t="inlineStr"/>
      <c r="O366">
        <f>(1-Summary!$B$51)*S366+Summary!$B$51*U366</f>
        <v/>
      </c>
      <c r="P366">
        <f>IF(B380=0,0,O366/B380)</f>
        <v/>
      </c>
      <c r="Q366">
        <f>IFERROR(1/IF(Inputs!$B$38="pvp",15,MAX(0.1,Skills!D22-IF(Skills!E22=TRUE,Inputs!$B$32,0))),0)</f>
        <v/>
      </c>
      <c r="R366" t="n">
        <v>0</v>
      </c>
      <c r="S366" t="n">
        <v>0</v>
      </c>
      <c r="U366" t="n">
        <v>0</v>
      </c>
    </row>
    <row r="367">
      <c r="A367">
        <f>Skills!A23</f>
        <v/>
      </c>
      <c r="B367">
        <f>Skills!B23</f>
        <v/>
      </c>
      <c r="C367">
        <f>Inputs!$B$3&gt;=120</f>
        <v/>
      </c>
      <c r="D367">
        <f>IF(Skills!C23=1,60+Inputs!$B$25+Inputs!$B$29,IF(Skills!C23=2,90+Inputs!$B$26+Inputs!$B$29,IF(Skills!C23=3,120+Inputs!$B$27+Inputs!$B$29,MAX(0,(Inputs!$B$3-100)*3)+Inputs!$B$28+Inputs!$B$29)))</f>
        <v/>
      </c>
      <c r="E367">
        <f>INDEX(FactorTable!$B$2:$Y$301, MATCH(ROUND(MIN(300,MAX(1,D367)),0), FactorTable!$A$2:$A$301,0), Skills!L23+1)</f>
        <v/>
      </c>
      <c r="F367">
        <f>IF(Skills!M23=TRUE,(Skills!K23/10)*(E367/1000),Skills!K23/10)+Skills!N23</f>
        <v/>
      </c>
      <c r="G367">
        <f>Calc!G23</f>
        <v/>
      </c>
      <c r="H367">
        <f>Calc!H23</f>
        <v/>
      </c>
      <c r="I367">
        <f>IF(Skills!T23&lt;&gt;"",1+(Skills!T23/10)*(Z347/1000)/100,1)</f>
        <v/>
      </c>
      <c r="J367" t="inlineStr"/>
      <c r="K367" t="inlineStr"/>
      <c r="L367" t="inlineStr"/>
      <c r="M367" t="inlineStr"/>
      <c r="N367" t="inlineStr"/>
      <c r="O367">
        <f>(1-Summary!$B$51)*S367+Summary!$B$51*U367</f>
        <v/>
      </c>
      <c r="P367">
        <f>IF(B380=0,0,O367/B380)</f>
        <v/>
      </c>
      <c r="Q367">
        <f>IFERROR(1/IF(Inputs!$B$38="pvp",15,MAX(0.1,Skills!D23-IF(Skills!E23=TRUE,Inputs!$B$32,0))),0)</f>
        <v/>
      </c>
      <c r="R367" t="n">
        <v>0</v>
      </c>
      <c r="S367" t="n">
        <v>0</v>
      </c>
      <c r="U367" t="n">
        <v>0</v>
      </c>
    </row>
    <row r="370">
      <c r="A370" t="inlineStr">
        <is>
          <t>Average Buff Multiplier (Magic Guard + Meditation, summed; then Infinity)</t>
        </is>
      </c>
      <c r="B370">
        <f>(1+(IF(C347=TRUE,F347*IF(AND(Inputs!$B$38&lt;&gt;"pvp",Inputs!$B$43&gt;0),(((R347-1)*(Skills!S3*(1+(Inputs!$B$34+IF(Inputs!$B$3&gt;=117,F366,0))/100))+MIN((Skills!S3*(1+(Inputs!$B$34+IF(Inputs!$B$3&gt;=117,F366,0))/100)),MAX(0,Inputs!$B$43-((R347-1)*Skills!D3))))/Inputs!$B$43),IF(Inputs!$B$38="pvp",MIN((Skills!S3*(1+(Inputs!$B$34+IF(Inputs!$B$3&gt;=117,F366,0))/100)),15)/15,(Skills!S3*(1+(Inputs!$B$34+IF(Inputs!$B$3&gt;=117,F366,0))/100))/Skills!D3)),0)+IF(C348=TRUE,F348*IF(AND(Inputs!$B$38&lt;&gt;"pvp",Inputs!$B$43&gt;0),(((R348-1)*(Skills!S4*(1+(Inputs!$B$34+IF(Inputs!$B$3&gt;=117,F366,0))/100))+MIN((Skills!S4*(1+(Inputs!$B$34+IF(Inputs!$B$3&gt;=117,F366,0))/100)),MAX(0,Inputs!$B$43-((R348-1)*Skills!D4))))/Inputs!$B$43),IF(Inputs!$B$38="pvp",MIN((Skills!S4*(1+(Inputs!$B$34+IF(Inputs!$B$3&gt;=117,F366,0))/100)),15)/15,(Skills!S4*(1+(Inputs!$B$34+IF(Inputs!$B$3&gt;=117,F366,0))/100))/Skills!D4)),0))/100)*IF(C360=TRUE,(1+F360*IF(AND(Inputs!$B$38&lt;&gt;"pvp",Inputs!$B$43&gt;0),(((R360-1)*(Skills!S16*(1+(Inputs!$B$34+IF(Inputs!$B$3&gt;=117,F366,0))/100))+MIN((Skills!S16*(1+(Inputs!$B$34+IF(Inputs!$B$3&gt;=117,F366,0))/100)),MAX(0,Inputs!$B$43-((R360-1)*Skills!D16))))/Inputs!$B$43),IF(Inputs!$B$38="pvp",MIN((Skills!S16*(1+(Inputs!$B$34+IF(Inputs!$B$3&gt;=117,F366,0))/100)),15)/15,(Skills!S16*(1+(Inputs!$B$34+IF(Inputs!$B$3&gt;=117,F366,0))/100))/Skills!D16))/100),1)</f>
        <v/>
      </c>
    </row>
    <row r="371">
      <c r="A371" t="inlineStr">
        <is>
          <t>Monster Damage Taken Bonus % (Freezing Breath - Weaken + Elemental Reset, summed)</t>
        </is>
      </c>
      <c r="B371">
        <f>IF(Inputs!$B$3&gt;=118,15*IF(Inputs!$B$38="pvp",MIN((30*(1+(Inputs!$B$34+IF(Inputs!$B$3&gt;=117,F366,0))/100)),15)/15,(30*(1+(Inputs!$B$34+IF(Inputs!$B$3&gt;=117,F366,0))/100))/Skills!D8),0)+IF(C358=TRUE,F358,0)</f>
        <v/>
      </c>
    </row>
    <row r="372">
      <c r="A372" t="inlineStr">
        <is>
          <t>Damage % Bonus (Frozen Break + Frost Clutch, flat)</t>
        </is>
      </c>
      <c r="B372">
        <f>IF(Inputs!$B$3&gt;=66,15,0)+IF(Inputs!$B$3&gt;=98,10,0)+IF(Inputs!$B$3&gt;=125,20,0)</f>
        <v/>
      </c>
    </row>
    <row r="373">
      <c r="A373" t="inlineStr">
        <is>
          <t>Attack Speed Bonus % (MP Eater - MP Boost, always-on once unlocked)</t>
        </is>
      </c>
      <c r="B373">
        <f>IF(C357=TRUE,F357+(F361-Calc!F17),0)</f>
        <v/>
      </c>
    </row>
    <row r="374">
      <c r="A374" t="inlineStr">
        <is>
          <t>Actions Per Second</t>
        </is>
      </c>
      <c r="B374">
        <f>1+MIN(150,150*(1-(1-Inputs!$B$11/150)*(1-B373/150)))/100</f>
        <v/>
      </c>
    </row>
    <row r="375">
      <c r="A375" t="inlineStr">
        <is>
          <t>Skill + Buff Cast Rate</t>
        </is>
      </c>
      <c r="B375">
        <f>IF(AND(Inputs!$B$38&lt;&gt;"pvp",Inputs!$B$43&gt;0),SUMPRODUCT((Skills!E2:E23=TRUE)*(C346:C367=TRUE)*R346:R367)/Inputs!$B$43,SUMPRODUCT((Skills!E2:E23=TRUE)*(C346:C367=TRUE)*Q346:Q367))</f>
        <v/>
      </c>
    </row>
    <row r="376">
      <c r="A376" t="inlineStr">
        <is>
          <t>Chain Lightning Casts Per Second</t>
        </is>
      </c>
      <c r="B376">
        <f>MAX(0,B374-B375)</f>
        <v/>
      </c>
    </row>
    <row r="377">
      <c r="A377" t="inlineStr">
        <is>
          <t>Buff-Casting Startup Delay (s, fixed-duration only)</t>
        </is>
      </c>
      <c r="B377">
        <f>IF(AND(Inputs!$B$38&lt;&gt;"pvp",Inputs!$B$43&gt;0),SUMPRODUCT((Skills!S2:S23&gt;0)*(Skills!E2:E23=TRUE)*(C346:C367=TRUE))/B374,0)</f>
        <v/>
      </c>
    </row>
    <row r="378">
      <c r="A378" t="inlineStr">
        <is>
          <t>Boss-Only Total DPS (this block's swept value)</t>
        </is>
      </c>
      <c r="B378">
        <f>SUM(S346:S367)</f>
        <v/>
      </c>
    </row>
    <row r="379">
      <c r="A379" t="inlineStr">
        <is>
          <t>Normal-Only Total DPS (this block's swept value)</t>
        </is>
      </c>
      <c r="B379">
        <f>SUM(U346:U367)</f>
        <v/>
      </c>
    </row>
    <row r="380">
      <c r="A380" s="5" t="inlineStr">
        <is>
          <t>TOTAL DPS</t>
        </is>
      </c>
      <c r="B380" s="5">
        <f>SUM(O346:O367)</f>
        <v/>
      </c>
    </row>
    <row r="383">
      <c r="A383" s="5" t="inlineStr">
        <is>
          <t>Stat: CRIT_RATE %</t>
        </is>
      </c>
    </row>
    <row r="384">
      <c r="A384" s="9" t="inlineStr">
        <is>
          <t>Key</t>
        </is>
      </c>
      <c r="B384" s="9" t="inlineStr">
        <is>
          <t>Name</t>
        </is>
      </c>
      <c r="C384" s="9" t="inlineStr">
        <is>
          <t>Unlocked</t>
        </is>
      </c>
      <c r="D384" s="9" t="inlineStr">
        <is>
          <t>InputLevel</t>
        </is>
      </c>
      <c r="E384" s="9" t="inlineStr">
        <is>
          <t>Factor</t>
        </is>
      </c>
      <c r="F384" s="9" t="inlineStr">
        <is>
          <t>CoefficientPercent</t>
        </is>
      </c>
      <c r="G384" s="9" t="inlineStr">
        <is>
          <t>EffectiveHits</t>
        </is>
      </c>
      <c r="H384" s="9" t="inlineStr">
        <is>
          <t>ProcProbability</t>
        </is>
      </c>
      <c r="I384" s="9" t="inlineStr">
        <is>
          <t>MapleHeroMultiplier</t>
        </is>
      </c>
      <c r="J384" s="9" t="inlineStr">
        <is>
          <t>BaseDamage</t>
        </is>
      </c>
      <c r="K384" s="9" t="inlineStr">
        <is>
          <t>BaseHitDamage</t>
        </is>
      </c>
      <c r="L384" s="9" t="inlineStr">
        <is>
          <t>NonCritAvg</t>
        </is>
      </c>
      <c r="M384" s="9" t="inlineStr">
        <is>
          <t>CritAvg</t>
        </is>
      </c>
      <c r="N384" s="9" t="inlineStr">
        <is>
          <t>ExpectedDamage(perHit)</t>
        </is>
      </c>
      <c r="O384" s="9" t="inlineStr">
        <is>
          <t>DPS</t>
        </is>
      </c>
      <c r="P384" s="9" t="inlineStr">
        <is>
          <t>% of Total</t>
        </is>
      </c>
      <c r="R384" t="inlineStr">
        <is>
          <t>helpers</t>
        </is>
      </c>
    </row>
    <row r="385">
      <c r="A385">
        <f>Skills!A2</f>
        <v/>
      </c>
      <c r="B385">
        <f>Skills!B2</f>
        <v/>
      </c>
      <c r="C385">
        <f>Inputs!$B$3&gt;=100</f>
        <v/>
      </c>
      <c r="D385" t="inlineStr"/>
      <c r="E385" t="inlineStr"/>
      <c r="F385">
        <f>T387+Skills!N2</f>
        <v/>
      </c>
      <c r="G385">
        <f>Calc!G2</f>
        <v/>
      </c>
      <c r="H385">
        <f>Calc!H2</f>
        <v/>
      </c>
      <c r="I385">
        <f>IF(Skills!T2&lt;&gt;"",1+(Skills!T2/10)*(Z386/1000)/100,1)</f>
        <v/>
      </c>
      <c r="J385">
        <f>((Inputs!$B$6*(1+Inputs!$B$7/100))+(((Inputs!$B$12*(1+Inputs!$B$13/100))-(Inputs!$B$12*(1+Inputs!$B$13/100)))+0.25*(Inputs!$B$14-Inputs!$B$14))*(1+Inputs!$B$7/100))*(F385/100)</f>
        <v/>
      </c>
      <c r="K385">
        <f>J385*(1+((Inputs!$B$12*(1+Inputs!$B$13/100))*0.01+Inputs!$B$14*0.0025)/100)*(1+(Inputs!$B$15+B411)/100)*(1+Inputs!$B$16/100)*(5000/(6000+Inputs!$B$42*(1-Inputs!$B$19/100)))*(1+Inputs!$B$24/100)*(1+IF(C398=TRUE,F398,0)/100)*(1+IF(C406=TRUE,F406,0)/100)^5*(1+(IF(Skills!A2="CHAIN_LIGHTNING",Inputs!$B$17,Inputs!$B$18))/100)*(B409*I385)</f>
        <v/>
      </c>
      <c r="L385">
        <f>K385*(MIN(Inputs!$B$22+(F401-Calc!F18),Inputs!$B$23)/100+Inputs!$B$23/100)/2</f>
        <v/>
      </c>
      <c r="M385">
        <f>L385*(1+(Inputs!$B$10+(F404-Calc!F21))/100)</f>
        <v/>
      </c>
      <c r="N385">
        <f>L385*(1-MIN((Inputs!$B$9+1)+((F403-Calc!F20)+(F402-Calc!F19)),100)/100)+M385*(MIN((Inputs!$B$9+1)+((F403-Calc!F20)+(F402-Calc!F19)),100)/100)</f>
        <v/>
      </c>
      <c r="O385">
        <f>(1-Summary!$B$51)*S385+Summary!$B$51*U385</f>
        <v/>
      </c>
      <c r="P385">
        <f>IF(B419=0,0,O385/B419)</f>
        <v/>
      </c>
      <c r="Q385">
        <f>IFERROR(1/IF(Inputs!$B$38="pvp",15,MAX(0.1,Skills!D2-IF(Skills!E2=TRUE,Inputs!$B$32,0))),0)</f>
        <v/>
      </c>
      <c r="R385" t="n">
        <v>0</v>
      </c>
      <c r="S385">
        <f>IF(C385,(Skills!F2*N385*B415)*IF(Inputs!$B$38="pvp",1,1+(Inputs!$B$20+Skills!O2+B410)/100),0)</f>
        <v/>
      </c>
      <c r="T385">
        <f>MAX(0,(Inputs!$B$3-100)*3)+Inputs!$B$28+Inputs!$B$29</f>
        <v/>
      </c>
      <c r="U385">
        <f>IF(C385,(Skills!F2*N385*B415)*IF(Inputs!$B$38="pvp",1,(1+(Inputs!$B$21+Skills!P2+B410)/100)*(MIN((6+Inputs!$B$33),Inputs!$B$37))),0)</f>
        <v/>
      </c>
      <c r="Z385">
        <f>MAX(0,(Inputs!$B$3-100)*3)+Inputs!$B$28+Inputs!$B$29</f>
        <v/>
      </c>
    </row>
    <row r="386">
      <c r="A386">
        <f>Skills!A3</f>
        <v/>
      </c>
      <c r="B386">
        <f>Skills!B3</f>
        <v/>
      </c>
      <c r="C386">
        <f>Inputs!$B$3&gt;=15</f>
        <v/>
      </c>
      <c r="D386">
        <f>IF(Skills!C3=1,60+Inputs!$B$25+Inputs!$B$29,IF(Skills!C3=2,90+Inputs!$B$26+Inputs!$B$29,IF(Skills!C3=3,120+Inputs!$B$27+Inputs!$B$29,MAX(0,(Inputs!$B$3-100)*3)+Inputs!$B$28+Inputs!$B$29)))</f>
        <v/>
      </c>
      <c r="E386">
        <f>INDEX(FactorTable!$B$2:$Y$301, MATCH(ROUND(MIN(300,MAX(1,D386)),0), FactorTable!$A$2:$A$301,0), Skills!L3+1)</f>
        <v/>
      </c>
      <c r="F386">
        <f>IF(Skills!M3=TRUE,(Skills!K3/10)*(E386/1000),Skills!K3/10)+Skills!N3</f>
        <v/>
      </c>
      <c r="G386">
        <f>Calc!G3</f>
        <v/>
      </c>
      <c r="H386">
        <f>Calc!H3</f>
        <v/>
      </c>
      <c r="I386">
        <f>IF(Skills!T3&lt;&gt;"",1+(Skills!T3/10)*(Z386/1000)/100,1)</f>
        <v/>
      </c>
      <c r="J386" t="inlineStr"/>
      <c r="K386" t="inlineStr"/>
      <c r="L386" t="inlineStr"/>
      <c r="M386" t="inlineStr"/>
      <c r="N386" t="inlineStr"/>
      <c r="O386">
        <f>(1-Summary!$B$51)*S386+Summary!$B$51*U386</f>
        <v/>
      </c>
      <c r="P386">
        <f>IF(B419=0,0,O386/B419)</f>
        <v/>
      </c>
      <c r="Q386">
        <f>IFERROR(1/IF(Inputs!$B$38="pvp",15,MAX(0.1,Skills!D3-IF(Skills!E3=TRUE,Inputs!$B$32,0))),0)</f>
        <v/>
      </c>
      <c r="R386">
        <f>IF(AND(Inputs!$B$38&lt;&gt;"pvp",Inputs!$B$43&gt;0),IF(Inputs!$B$43&lt;=0,0,(INT(Inputs!$B$43/IF(Inputs!$B$38="pvp",15,MAX(0.1,Skills!D3-IF(Skills!E3=TRUE,Inputs!$B$32,0))))+1)),0)</f>
        <v/>
      </c>
      <c r="S386" t="n">
        <v>0</v>
      </c>
      <c r="T386">
        <f>INDEX(FactorTable!$B$2:$Y$301, MATCH(ROUND(MIN(300,MAX(1,T385)),0), FactorTable!$A$2:$A$301,0), 22)</f>
        <v/>
      </c>
      <c r="U386" t="n">
        <v>0</v>
      </c>
      <c r="Z386">
        <f>INDEX(FactorTable!$B$2:$Y$301, MATCH(ROUND(MIN(300,MAX(1,Z385)),0), FactorTable!$A$2:$A$301,0), 24)</f>
        <v/>
      </c>
    </row>
    <row r="387">
      <c r="A387">
        <f>Skills!A4</f>
        <v/>
      </c>
      <c r="B387">
        <f>Skills!B4</f>
        <v/>
      </c>
      <c r="C387">
        <f>Inputs!$B$3&gt;=40</f>
        <v/>
      </c>
      <c r="D387">
        <f>IF(Skills!C4=1,60+Inputs!$B$25+Inputs!$B$29,IF(Skills!C4=2,90+Inputs!$B$26+Inputs!$B$29,IF(Skills!C4=3,120+Inputs!$B$27+Inputs!$B$29,MAX(0,(Inputs!$B$3-100)*3)+Inputs!$B$28+Inputs!$B$29)))</f>
        <v/>
      </c>
      <c r="E387">
        <f>INDEX(FactorTable!$B$2:$Y$301, MATCH(ROUND(MIN(300,MAX(1,D387)),0), FactorTable!$A$2:$A$301,0), Skills!L4+1)</f>
        <v/>
      </c>
      <c r="F387">
        <f>IF(Skills!M4=TRUE,(Skills!K4/10)*(E387/1000),Skills!K4/10)+Skills!N4</f>
        <v/>
      </c>
      <c r="G387">
        <f>Calc!G4</f>
        <v/>
      </c>
      <c r="H387">
        <f>Calc!H4</f>
        <v/>
      </c>
      <c r="I387">
        <f>IF(Skills!T4&lt;&gt;"",1+(Skills!T4/10)*(Z386/1000)/100,1)</f>
        <v/>
      </c>
      <c r="J387" t="inlineStr"/>
      <c r="K387" t="inlineStr"/>
      <c r="L387" t="inlineStr"/>
      <c r="M387" t="inlineStr"/>
      <c r="N387" t="inlineStr"/>
      <c r="O387">
        <f>(1-Summary!$B$51)*S387+Summary!$B$51*U387</f>
        <v/>
      </c>
      <c r="P387">
        <f>IF(B419=0,0,O387/B419)</f>
        <v/>
      </c>
      <c r="Q387">
        <f>IFERROR(1/IF(Inputs!$B$38="pvp",15,MAX(0.1,Skills!D4-IF(Skills!E4=TRUE,Inputs!$B$32,0))),0)</f>
        <v/>
      </c>
      <c r="R387">
        <f>IF(AND(Inputs!$B$38&lt;&gt;"pvp",Inputs!$B$43&gt;0),IF(Inputs!$B$43&lt;=0,0,(INT(Inputs!$B$43/IF(Inputs!$B$38="pvp",15,MAX(0.1,Skills!D4-IF(Skills!E4=TRUE,Inputs!$B$32,0))))+1)),0)</f>
        <v/>
      </c>
      <c r="S387" t="n">
        <v>0</v>
      </c>
      <c r="T387">
        <f>290*T386/1000</f>
        <v/>
      </c>
      <c r="U387" t="n">
        <v>0</v>
      </c>
    </row>
    <row r="388">
      <c r="A388">
        <f>Skills!A5</f>
        <v/>
      </c>
      <c r="B388">
        <f>Skills!B5</f>
        <v/>
      </c>
      <c r="C388">
        <f>Inputs!$B$3&gt;=38</f>
        <v/>
      </c>
      <c r="D388">
        <f>IF(Skills!C5=1,60+Inputs!$B$25+Inputs!$B$29,IF(Skills!C5=2,90+Inputs!$B$26+Inputs!$B$29,IF(Skills!C5=3,120+Inputs!$B$27+Inputs!$B$29,MAX(0,(Inputs!$B$3-100)*3)+Inputs!$B$28+Inputs!$B$29)))</f>
        <v/>
      </c>
      <c r="E388">
        <f>INDEX(FactorTable!$B$2:$Y$301, MATCH(ROUND(MIN(300,MAX(1,D388)),0), FactorTable!$A$2:$A$301,0), Skills!L5+1)</f>
        <v/>
      </c>
      <c r="F388">
        <f>IF(Skills!M5=TRUE,(Skills!K5/10)*(E388/1000),Skills!K5/10)+Skills!N5</f>
        <v/>
      </c>
      <c r="G388">
        <f>Calc!G5</f>
        <v/>
      </c>
      <c r="H388">
        <f>Calc!H5</f>
        <v/>
      </c>
      <c r="I388">
        <f>IF(Skills!T5&lt;&gt;"",1+(Skills!T5/10)*(Z386/1000)/100,1)</f>
        <v/>
      </c>
      <c r="J388">
        <f>((Inputs!$B$6*(1+Inputs!$B$7/100))+(((Inputs!$B$12*(1+Inputs!$B$13/100))-(Inputs!$B$12*(1+Inputs!$B$13/100)))+0.25*(Inputs!$B$14-Inputs!$B$14))*(1+Inputs!$B$7/100))*(F388/100)</f>
        <v/>
      </c>
      <c r="K388">
        <f>J388*(1+((Inputs!$B$12*(1+Inputs!$B$13/100))*0.01+Inputs!$B$14*0.0025)/100)*(1+(Inputs!$B$15+B411)/100)*(1+Inputs!$B$16/100)*(5000/(6000+Inputs!$B$42*(1-Inputs!$B$19/100)))*(1+Inputs!$B$24/100)*(1+IF(C398=TRUE,F398,0)/100)*(1+IF(C406=TRUE,F406,0)/100)^5*(1+(IF(Skills!A5="CHAIN_LIGHTNING",Inputs!$B$17,Inputs!$B$18))/100)*(B409*I388)</f>
        <v/>
      </c>
      <c r="L388">
        <f>K388*(MIN(Inputs!$B$22+(F401-Calc!F18),Inputs!$B$23)/100+Inputs!$B$23/100)/2</f>
        <v/>
      </c>
      <c r="M388">
        <f>L388*(1+(Inputs!$B$10+(F404-Calc!F21))/100)</f>
        <v/>
      </c>
      <c r="N388">
        <f>L388*(1-MIN((Inputs!$B$9+1)+((F403-Calc!F20)+(F402-Calc!F19)),100)/100)+M388*(MIN((Inputs!$B$9+1)+((F403-Calc!F20)+(F402-Calc!F19)),100)/100)</f>
        <v/>
      </c>
      <c r="O388">
        <f>(1-Summary!$B$51)*S388+Summary!$B$51*U388</f>
        <v/>
      </c>
      <c r="P388">
        <f>IF(B419=0,0,O388/B419)</f>
        <v/>
      </c>
      <c r="Q388">
        <f>IFERROR(1/IF(Inputs!$B$38="pvp",15,MAX(0.1,Skills!D5-IF(Skills!E5=TRUE,Inputs!$B$32,0))),0)</f>
        <v/>
      </c>
      <c r="R388">
        <f>IF(AND(Inputs!$B$38&lt;&gt;"pvp",Inputs!$B$43&gt;0),IF(MAX(0,Inputs!$B$43-B416)&lt;=0,0,(INT(MAX(0,Inputs!$B$43-B416)/IF(Inputs!$B$38="pvp",15,MAX(0.1,Skills!D5-IF(Skills!E5=TRUE,Inputs!$B$32,0))))+1)),0)</f>
        <v/>
      </c>
      <c r="S388">
        <f>IF(C388,(H388*N388*IF(AND(Inputs!$B$38&lt;&gt;"pvp",Inputs!$B$43&gt;0),((Skills!F5*((R388-1)*IF(Skills!G5&gt;0,Skills!H5/Skills!G5,1)+IF(Skills!G5&gt;0,MIN(Skills!H5,MAX(0,MAX(0,Inputs!$B$43-B416)-((R388-1)*IF(Inputs!$B$38="pvp",15,MAX(0.1,Skills!D5-IF(Skills!E5=TRUE,Inputs!$B$32,0))))))/Skills!G5,1)))/Inputs!$B$43),G388*Q388))*IF(Inputs!$B$38="pvp",1,1+(Inputs!$B$20+Skills!O5+B410)/100),0)</f>
        <v/>
      </c>
      <c r="U388">
        <f>IF(C388,(H388*N388*IF(AND(Inputs!$B$38&lt;&gt;"pvp",Inputs!$B$43&gt;0),((Skills!F5*((R388-1)*IF(Skills!G5&gt;0,Skills!H5/Skills!G5,1)+IF(Skills!G5&gt;0,MIN(Skills!H5,MAX(0,MAX(0,Inputs!$B$43-B416)-((R388-1)*IF(Inputs!$B$38="pvp",15,MAX(0.1,Skills!D5-IF(Skills!E5=TRUE,Inputs!$B$32,0))))))/Skills!G5,1)))/Inputs!$B$43),G388*Q388))*IF(Inputs!$B$38="pvp",1,(1+(Inputs!$B$21+Skills!P5+B410)/100)*(MIN(Skills!Q5,Inputs!$B$37))),0)</f>
        <v/>
      </c>
    </row>
    <row r="389">
      <c r="A389">
        <f>Skills!A6</f>
        <v/>
      </c>
      <c r="B389">
        <f>Skills!B6</f>
        <v/>
      </c>
      <c r="C389">
        <f>Inputs!$B$3&gt;=63</f>
        <v/>
      </c>
      <c r="D389">
        <f>IF(Skills!C6=1,60+Inputs!$B$25+Inputs!$B$29,IF(Skills!C6=2,90+Inputs!$B$26+Inputs!$B$29,IF(Skills!C6=3,120+Inputs!$B$27+Inputs!$B$29,MAX(0,(Inputs!$B$3-100)*3)+Inputs!$B$28+Inputs!$B$29)))</f>
        <v/>
      </c>
      <c r="E389">
        <f>INDEX(FactorTable!$B$2:$Y$301, MATCH(ROUND(MIN(300,MAX(1,D389)),0), FactorTable!$A$2:$A$301,0), Skills!L6+1)</f>
        <v/>
      </c>
      <c r="F389">
        <f>IF(Skills!M6=TRUE,(Skills!K6/10)*(E389/1000),Skills!K6/10)+Skills!N6</f>
        <v/>
      </c>
      <c r="G389">
        <f>Calc!G6</f>
        <v/>
      </c>
      <c r="H389">
        <f>Calc!H6</f>
        <v/>
      </c>
      <c r="I389">
        <f>IF(Skills!T6&lt;&gt;"",1+(Skills!T6/10)*(Z386/1000)/100,1)</f>
        <v/>
      </c>
      <c r="J389">
        <f>((Inputs!$B$6*(1+Inputs!$B$7/100))+(((Inputs!$B$12*(1+Inputs!$B$13/100))-(Inputs!$B$12*(1+Inputs!$B$13/100)))+0.25*(Inputs!$B$14-Inputs!$B$14))*(1+Inputs!$B$7/100))*(F389/100)</f>
        <v/>
      </c>
      <c r="K389">
        <f>J389*(1+((Inputs!$B$12*(1+Inputs!$B$13/100))*0.01+Inputs!$B$14*0.0025)/100)*(1+(Inputs!$B$15+B411)/100)*(1+Inputs!$B$16/100)*(5000/(6000+Inputs!$B$42*(1-Inputs!$B$19/100)))*(1+Inputs!$B$24/100)*(1+IF(C398=TRUE,F398,0)/100)*(1+IF(C406=TRUE,F406,0)/100)^5*(1+(IF(Skills!A6="CHAIN_LIGHTNING",Inputs!$B$17,Inputs!$B$18))/100)*(B409*I389)</f>
        <v/>
      </c>
      <c r="L389">
        <f>K389*(MIN(Inputs!$B$22+(F401-Calc!F18),Inputs!$B$23)/100+Inputs!$B$23/100)/2</f>
        <v/>
      </c>
      <c r="M389">
        <f>L389*(1+(Inputs!$B$10+(F404-Calc!F21))/100)</f>
        <v/>
      </c>
      <c r="N389">
        <f>L389*(1-MIN((Inputs!$B$9+1)+((F403-Calc!F20)+(F402-Calc!F19)),100)/100)+M389*(MIN((Inputs!$B$9+1)+((F403-Calc!F20)+(F402-Calc!F19)),100)/100)</f>
        <v/>
      </c>
      <c r="O389">
        <f>(1-Summary!$B$51)*S389+Summary!$B$51*U389</f>
        <v/>
      </c>
      <c r="P389">
        <f>IF(B419=0,0,O389/B419)</f>
        <v/>
      </c>
      <c r="Q389">
        <f>IFERROR(1/IF(Inputs!$B$38="pvp",15,MAX(0.1,Skills!D6-IF(Skills!E6=TRUE,Inputs!$B$32,0))),0)</f>
        <v/>
      </c>
      <c r="R389">
        <f>IF(AND(Inputs!$B$38&lt;&gt;"pvp",Inputs!$B$43&gt;0),IF(MAX(0,Inputs!$B$43-B416)&lt;=0,0,(INT(MAX(0,Inputs!$B$43-B416)/IF(Inputs!$B$38="pvp",15,MAX(0.1,Skills!D6-IF(Skills!E6=TRUE,Inputs!$B$32,0))))+1)),0)</f>
        <v/>
      </c>
      <c r="S389">
        <f>IF(C389,(H389*N389*IF(AND(Inputs!$B$38&lt;&gt;"pvp",Inputs!$B$43&gt;0),((Skills!F6*((R389-1)*IF(Skills!G6&gt;0,Skills!H6/Skills!G6,1)+IF(Skills!G6&gt;0,MIN(Skills!H6,MAX(0,MAX(0,Inputs!$B$43-B416)-((R389-1)*IF(Inputs!$B$38="pvp",15,MAX(0.1,Skills!D6-IF(Skills!E6=TRUE,Inputs!$B$32,0))))))/Skills!G6,1)))/Inputs!$B$43),G389*Q389))*IF(Inputs!$B$38="pvp",1,1+(Inputs!$B$20+Skills!O6+B410)/100),0)</f>
        <v/>
      </c>
      <c r="U389">
        <f>IF(C389,(H389*N389*IF(AND(Inputs!$B$38&lt;&gt;"pvp",Inputs!$B$43&gt;0),((Skills!F6*((R389-1)*IF(Skills!G6&gt;0,Skills!H6/Skills!G6,1)+IF(Skills!G6&gt;0,MIN(Skills!H6,MAX(0,MAX(0,Inputs!$B$43-B416)-((R389-1)*IF(Inputs!$B$38="pvp",15,MAX(0.1,Skills!D6-IF(Skills!E6=TRUE,Inputs!$B$32,0))))))/Skills!G6,1)))/Inputs!$B$43),G389*Q389))*IF(Inputs!$B$38="pvp",1,(1+(Inputs!$B$21+Skills!P6+B410)/100)*(MIN(Skills!Q6,Inputs!$B$37))),0)</f>
        <v/>
      </c>
    </row>
    <row r="390">
      <c r="A390">
        <f>Skills!A7</f>
        <v/>
      </c>
      <c r="B390">
        <f>Skills!B7</f>
        <v/>
      </c>
      <c r="C390">
        <f>Inputs!$B$3&gt;=69</f>
        <v/>
      </c>
      <c r="D390">
        <f>IF(Skills!C7=1,60+Inputs!$B$25+Inputs!$B$29,IF(Skills!C7=2,90+Inputs!$B$26+Inputs!$B$29,IF(Skills!C7=3,120+Inputs!$B$27+Inputs!$B$29,MAX(0,(Inputs!$B$3-100)*3)+Inputs!$B$28+Inputs!$B$29)))</f>
        <v/>
      </c>
      <c r="E390">
        <f>INDEX(FactorTable!$B$2:$Y$301, MATCH(ROUND(MIN(300,MAX(1,D390)),0), FactorTable!$A$2:$A$301,0), Skills!L7+1)</f>
        <v/>
      </c>
      <c r="F390">
        <f>IF(Skills!M7=TRUE,(Skills!K7/10)*(E390/1000),Skills!K7/10)+Skills!N7</f>
        <v/>
      </c>
      <c r="G390">
        <f>Calc!G7</f>
        <v/>
      </c>
      <c r="H390">
        <f>Calc!H7</f>
        <v/>
      </c>
      <c r="I390">
        <f>IF(Skills!T7&lt;&gt;"",1+(Skills!T7/10)*(Z386/1000)/100,1)</f>
        <v/>
      </c>
      <c r="J390">
        <f>((Inputs!$B$6*(1+Inputs!$B$7/100))+(((Inputs!$B$12*(1+Inputs!$B$13/100))-(Inputs!$B$12*(1+Inputs!$B$13/100)))+0.25*(Inputs!$B$14-Inputs!$B$14))*(1+Inputs!$B$7/100))*(F390/100)</f>
        <v/>
      </c>
      <c r="K390">
        <f>J390*(1+((Inputs!$B$12*(1+Inputs!$B$13/100))*0.01+Inputs!$B$14*0.0025)/100)*(1+(Inputs!$B$15+B411)/100)*(1+Inputs!$B$16/100)*(5000/(6000+Inputs!$B$42*(1-Inputs!$B$19/100)))*(1+Inputs!$B$24/100)*(1+IF(C398=TRUE,F398,0)/100)*(1+IF(C406=TRUE,F406,0)/100)^5*(1+(IF(Skills!A7="CHAIN_LIGHTNING",Inputs!$B$17,Inputs!$B$18))/100)*(B409*I390)</f>
        <v/>
      </c>
      <c r="L390">
        <f>K390*(MIN(Inputs!$B$22+(F401-Calc!F18),Inputs!$B$23)/100+Inputs!$B$23/100)/2</f>
        <v/>
      </c>
      <c r="M390">
        <f>L390*(1+(Inputs!$B$10+(F404-Calc!F21))/100)</f>
        <v/>
      </c>
      <c r="N390">
        <f>L390*(1-MIN((Inputs!$B$9+1)+((F403-Calc!F20)+(F402-Calc!F19)),100)/100)+M390*(MIN((Inputs!$B$9+1)+((F403-Calc!F20)+(F402-Calc!F19)),100)/100)</f>
        <v/>
      </c>
      <c r="O390">
        <f>(1-Summary!$B$51)*S390+Summary!$B$51*U390</f>
        <v/>
      </c>
      <c r="P390">
        <f>IF(B419=0,0,O390/B419)</f>
        <v/>
      </c>
      <c r="Q390">
        <f>IFERROR(1/IF(Inputs!$B$38="pvp",15,MAX(0.1,Skills!D7-IF(Skills!E7=TRUE,Inputs!$B$32,0))),0)</f>
        <v/>
      </c>
      <c r="R390">
        <f>IF(AND(Inputs!$B$38&lt;&gt;"pvp",Inputs!$B$43&gt;0),IF(MAX(0,Inputs!$B$43-B416)&lt;=0,0,(INT(MAX(0,Inputs!$B$43-B416)/IF(Inputs!$B$38="pvp",15,MAX(0.1,Skills!D7-IF(Skills!E7=TRUE,Inputs!$B$32,0))))+1)),0)</f>
        <v/>
      </c>
      <c r="S390">
        <f>IF(C390,(H390*N390*IF(AND(Inputs!$B$38&lt;&gt;"pvp",Inputs!$B$43&gt;0),((Skills!F7*((R390-1)*IF(Skills!G7&gt;0,Skills!H7/Skills!G7,1)+IF(Skills!G7&gt;0,MIN(Skills!H7,MAX(0,MAX(0,Inputs!$B$43-B416)-((R390-1)*IF(Inputs!$B$38="pvp",15,MAX(0.1,Skills!D7-IF(Skills!E7=TRUE,Inputs!$B$32,0))))))/Skills!G7,1)))/Inputs!$B$43),G390*Q390))*IF(Inputs!$B$38="pvp",1,1+(Inputs!$B$20+Skills!O7+B410)/100),0)</f>
        <v/>
      </c>
      <c r="U390">
        <f>IF(C390,(H390*N390*IF(AND(Inputs!$B$38&lt;&gt;"pvp",Inputs!$B$43&gt;0),((Skills!F7*((R390-1)*IF(Skills!G7&gt;0,Skills!H7/Skills!G7,1)+IF(Skills!G7&gt;0,MIN(Skills!H7,MAX(0,MAX(0,Inputs!$B$43-B416)-((R390-1)*IF(Inputs!$B$38="pvp",15,MAX(0.1,Skills!D7-IF(Skills!E7=TRUE,Inputs!$B$32,0))))))/Skills!G7,1)))/Inputs!$B$43),G390*Q390))*IF(Inputs!$B$38="pvp",1,(1+(Inputs!$B$21+Skills!P7+B410)/100)*(MIN(Skills!Q7,Inputs!$B$37))),0)</f>
        <v/>
      </c>
    </row>
    <row r="391">
      <c r="A391">
        <f>Skills!A8</f>
        <v/>
      </c>
      <c r="B391">
        <f>Skills!B8</f>
        <v/>
      </c>
      <c r="C391">
        <f>Inputs!$B$3&gt;=103</f>
        <v/>
      </c>
      <c r="D391">
        <f>IF(Skills!C8=1,60+Inputs!$B$25+Inputs!$B$29,IF(Skills!C8=2,90+Inputs!$B$26+Inputs!$B$29,IF(Skills!C8=3,120+Inputs!$B$27+Inputs!$B$29,MAX(0,(Inputs!$B$3-100)*3)+Inputs!$B$28+Inputs!$B$29)))</f>
        <v/>
      </c>
      <c r="E391">
        <f>INDEX(FactorTable!$B$2:$Y$301, MATCH(ROUND(MIN(300,MAX(1,D391)),0), FactorTable!$A$2:$A$301,0), Skills!L8+1)</f>
        <v/>
      </c>
      <c r="F391">
        <f>IF(Skills!M8=TRUE,(Skills!K8/10)*(E391/1000),Skills!K8/10)+Skills!N8</f>
        <v/>
      </c>
      <c r="G391">
        <f>Calc!G8</f>
        <v/>
      </c>
      <c r="H391">
        <f>Calc!H8</f>
        <v/>
      </c>
      <c r="I391">
        <f>IF(Skills!T8&lt;&gt;"",1+(Skills!T8/10)*(Z386/1000)/100,1)</f>
        <v/>
      </c>
      <c r="J391">
        <f>((Inputs!$B$6*(1+Inputs!$B$7/100))+(((Inputs!$B$12*(1+Inputs!$B$13/100))-(Inputs!$B$12*(1+Inputs!$B$13/100)))+0.25*(Inputs!$B$14-Inputs!$B$14))*(1+Inputs!$B$7/100))*(F391/100)</f>
        <v/>
      </c>
      <c r="K391">
        <f>J391*(1+((Inputs!$B$12*(1+Inputs!$B$13/100))*0.01+Inputs!$B$14*0.0025)/100)*(1+(Inputs!$B$15+B411)/100)*(1+Inputs!$B$16/100)*(5000/(6000+Inputs!$B$42*(1-Inputs!$B$19/100)))*(1+Inputs!$B$24/100)*(1+IF(C398=TRUE,F398,0)/100)*(1+IF(C406=TRUE,F406,0)/100)^5*(1+(IF(Skills!A8="CHAIN_LIGHTNING",Inputs!$B$17,Inputs!$B$18))/100)*(B409*I391)</f>
        <v/>
      </c>
      <c r="L391">
        <f>K391*(MIN(Inputs!$B$22+(F401-Calc!F18),Inputs!$B$23)/100+Inputs!$B$23/100)/2</f>
        <v/>
      </c>
      <c r="M391">
        <f>L391*(1+(Inputs!$B$10+(F404-Calc!F21))/100)</f>
        <v/>
      </c>
      <c r="N391">
        <f>L391*(1-MIN((Inputs!$B$9+1)+((F403-Calc!F20)+(F402-Calc!F19)),100)/100)+M391*(MIN((Inputs!$B$9+1)+((F403-Calc!F20)+(F402-Calc!F19)),100)/100)</f>
        <v/>
      </c>
      <c r="O391">
        <f>(1-Summary!$B$51)*S391+Summary!$B$51*U391</f>
        <v/>
      </c>
      <c r="P391">
        <f>IF(B419=0,0,O391/B419)</f>
        <v/>
      </c>
      <c r="Q391">
        <f>IFERROR(1/IF(Inputs!$B$38="pvp",15,MAX(0.1,Skills!D8-IF(Skills!E8=TRUE,Inputs!$B$32,0))),0)</f>
        <v/>
      </c>
      <c r="R391">
        <f>IF(AND(Inputs!$B$38&lt;&gt;"pvp",Inputs!$B$43&gt;0),IF(MAX(0,Inputs!$B$43-B416)&lt;=0,0,(INT(MAX(0,Inputs!$B$43-B416)/IF(Inputs!$B$38="pvp",15,MAX(0.1,Skills!D8-IF(Skills!E8=TRUE,Inputs!$B$32,0))))+1)),0)</f>
        <v/>
      </c>
      <c r="S391">
        <f>IF(C391,(H391*N391*IF(AND(Inputs!$B$38&lt;&gt;"pvp",Inputs!$B$43&gt;0),((Skills!F8*((R391-1)*IF(Skills!G8&gt;0,Skills!H8/Skills!G8,1)+IF(Skills!G8&gt;0,MIN(Skills!H8,MAX(0,MAX(0,Inputs!$B$43-B416)-((R391-1)*IF(Inputs!$B$38="pvp",15,MAX(0.1,Skills!D8-IF(Skills!E8=TRUE,Inputs!$B$32,0))))))/Skills!G8,1)))/Inputs!$B$43),G391*Q391))*IF(Inputs!$B$38="pvp",1,1+(Inputs!$B$20+Skills!O8+B410)/100),0)</f>
        <v/>
      </c>
      <c r="U391">
        <f>IF(C391,(H391*N391*IF(AND(Inputs!$B$38&lt;&gt;"pvp",Inputs!$B$43&gt;0),((Skills!F8*((R391-1)*IF(Skills!G8&gt;0,Skills!H8/Skills!G8,1)+IF(Skills!G8&gt;0,MIN(Skills!H8,MAX(0,MAX(0,Inputs!$B$43-B416)-((R391-1)*IF(Inputs!$B$38="pvp",15,MAX(0.1,Skills!D8-IF(Skills!E8=TRUE,Inputs!$B$32,0))))))/Skills!G8,1)))/Inputs!$B$43),G391*Q391))*IF(Inputs!$B$38="pvp",1,(1+(Inputs!$B$21+Skills!P8+B410)/100)*(MIN(Skills!Q8,Inputs!$B$37))),0)</f>
        <v/>
      </c>
    </row>
    <row r="392">
      <c r="A392">
        <f>Skills!A9</f>
        <v/>
      </c>
      <c r="B392">
        <f>Skills!B9</f>
        <v/>
      </c>
      <c r="C392">
        <f>Inputs!$B$3&gt;=105</f>
        <v/>
      </c>
      <c r="D392">
        <f>IF(Skills!C9=1,60+Inputs!$B$25+Inputs!$B$29,IF(Skills!C9=2,90+Inputs!$B$26+Inputs!$B$29,IF(Skills!C9=3,120+Inputs!$B$27+Inputs!$B$29,MAX(0,(Inputs!$B$3-100)*3)+Inputs!$B$28+Inputs!$B$29)))</f>
        <v/>
      </c>
      <c r="E392">
        <f>INDEX(FactorTable!$B$2:$Y$301, MATCH(ROUND(MIN(300,MAX(1,D392)),0), FactorTable!$A$2:$A$301,0), Skills!L9+1)</f>
        <v/>
      </c>
      <c r="F392">
        <f>IF(Skills!M9=TRUE,(Skills!K9/10)*(E392/1000),Skills!K9/10)+Skills!N9</f>
        <v/>
      </c>
      <c r="G392">
        <f>Calc!G9</f>
        <v/>
      </c>
      <c r="H392">
        <f>Calc!H9</f>
        <v/>
      </c>
      <c r="I392">
        <f>IF(Skills!T9&lt;&gt;"",1+(Skills!T9/10)*(Z386/1000)/100,1)</f>
        <v/>
      </c>
      <c r="J392">
        <f>((Inputs!$B$6*(1+Inputs!$B$7/100))+(((Inputs!$B$12*(1+Inputs!$B$13/100))-(Inputs!$B$12*(1+Inputs!$B$13/100)))+0.25*(Inputs!$B$14-Inputs!$B$14))*(1+Inputs!$B$7/100))*(F392/100)</f>
        <v/>
      </c>
      <c r="K392">
        <f>J392*(1+((Inputs!$B$12*(1+Inputs!$B$13/100))*0.01+Inputs!$B$14*0.0025)/100)*(1+(Inputs!$B$15+B411)/100)*(1+Inputs!$B$16/100)*(5000/(6000+Inputs!$B$42*(1-Inputs!$B$19/100)))*(1+Inputs!$B$24/100)*(1+IF(C398=TRUE,F398,0)/100)*(1+IF(C406=TRUE,F406,0)/100)^5*(1+(IF(Skills!A9="CHAIN_LIGHTNING",Inputs!$B$17,Inputs!$B$18))/100)*(B409*I392)</f>
        <v/>
      </c>
      <c r="L392">
        <f>K392*(MIN(Inputs!$B$22+(F401-Calc!F18),Inputs!$B$23)/100+Inputs!$B$23/100)/2</f>
        <v/>
      </c>
      <c r="M392">
        <f>L392*(1+(Inputs!$B$10+(F404-Calc!F21))/100)</f>
        <v/>
      </c>
      <c r="N392">
        <f>L392*(1-MIN((Inputs!$B$9+1)+((F403-Calc!F20)+(F402-Calc!F19)),100)/100)+M392*(MIN((Inputs!$B$9+1)+((F403-Calc!F20)+(F402-Calc!F19)),100)/100)</f>
        <v/>
      </c>
      <c r="O392">
        <f>(1-Summary!$B$51)*S392+Summary!$B$51*U392</f>
        <v/>
      </c>
      <c r="P392">
        <f>IF(B419=0,0,O392/B419)</f>
        <v/>
      </c>
      <c r="Q392">
        <f>IFERROR(1/IF(Inputs!$B$38="pvp",15,MAX(0.1,Skills!D9-IF(Skills!E9=TRUE,Inputs!$B$32,0))),0)</f>
        <v/>
      </c>
      <c r="R392">
        <f>IF(AND(Inputs!$B$38&lt;&gt;"pvp",Inputs!$B$43&gt;0),IF(MAX(0,Inputs!$B$43-B416)&lt;=0,0,(INT(MAX(0,Inputs!$B$43-B416)/IF(Inputs!$B$38="pvp",15,MAX(0.1,Skills!D9-IF(Skills!E9=TRUE,Inputs!$B$32,0))))+1)),0)</f>
        <v/>
      </c>
      <c r="S392">
        <f>IF(C392,(H392*N392*IF(AND(Inputs!$B$38&lt;&gt;"pvp",Inputs!$B$43&gt;0),((Skills!F9*((R392-1)*IF(Skills!G9&gt;0,Skills!H9/Skills!G9,1)+IF(Skills!G9&gt;0,MIN(Skills!H9,MAX(0,MAX(0,Inputs!$B$43-B416)-((R392-1)*IF(Inputs!$B$38="pvp",15,MAX(0.1,Skills!D9-IF(Skills!E9=TRUE,Inputs!$B$32,0))))))/Skills!G9,1)))/Inputs!$B$43),G392*Q392))*IF(Inputs!$B$38="pvp",1,1+(Inputs!$B$20+Skills!O9+B410)/100),0)</f>
        <v/>
      </c>
      <c r="U392">
        <f>IF(C392,(H392*N392*IF(AND(Inputs!$B$38&lt;&gt;"pvp",Inputs!$B$43&gt;0),((Skills!F9*((R392-1)*IF(Skills!G9&gt;0,Skills!H9/Skills!G9,1)+IF(Skills!G9&gt;0,MIN(Skills!H9,MAX(0,MAX(0,Inputs!$B$43-B416)-((R392-1)*IF(Inputs!$B$38="pvp",15,MAX(0.1,Skills!D9-IF(Skills!E9=TRUE,Inputs!$B$32,0))))))/Skills!G9,1)))/Inputs!$B$43),G392*Q392))*IF(Inputs!$B$38="pvp",1,(1+(Inputs!$B$21+Skills!P9+B410)/100)*(MIN(Skills!Q9,Inputs!$B$37))),0)</f>
        <v/>
      </c>
    </row>
    <row r="393">
      <c r="A393">
        <f>Skills!A10</f>
        <v/>
      </c>
      <c r="B393">
        <f>Skills!B10</f>
        <v/>
      </c>
      <c r="C393">
        <f>Inputs!$B$3&gt;=113</f>
        <v/>
      </c>
      <c r="D393">
        <f>IF(Skills!C10=1,60+Inputs!$B$25+Inputs!$B$29,IF(Skills!C10=2,90+Inputs!$B$26+Inputs!$B$29,IF(Skills!C10=3,120+Inputs!$B$27+Inputs!$B$29,MAX(0,(Inputs!$B$3-100)*3)+Inputs!$B$28+Inputs!$B$29)))</f>
        <v/>
      </c>
      <c r="E393">
        <f>INDEX(FactorTable!$B$2:$Y$301, MATCH(ROUND(MIN(300,MAX(1,D393)),0), FactorTable!$A$2:$A$301,0), Skills!L10+1)</f>
        <v/>
      </c>
      <c r="F393">
        <f>IF(Skills!M10=TRUE,(Skills!K10/10)*(E393/1000),Skills!K10/10)+Skills!N10</f>
        <v/>
      </c>
      <c r="G393">
        <f>Calc!G10</f>
        <v/>
      </c>
      <c r="H393">
        <f>Calc!H10</f>
        <v/>
      </c>
      <c r="I393">
        <f>IF(Skills!T10&lt;&gt;"",1+(Skills!T10/10)*(Z386/1000)/100,1)</f>
        <v/>
      </c>
      <c r="J393">
        <f>((Inputs!$B$6*(1+Inputs!$B$7/100))+(((Inputs!$B$12*(1+Inputs!$B$13/100))-(Inputs!$B$12*(1+Inputs!$B$13/100)))+0.25*(Inputs!$B$14-Inputs!$B$14))*(1+Inputs!$B$7/100))*(F393/100)</f>
        <v/>
      </c>
      <c r="K393">
        <f>J393*(1+((Inputs!$B$12*(1+Inputs!$B$13/100))*0.01+Inputs!$B$14*0.0025)/100)*(1+(Inputs!$B$15+B411)/100)*(1+Inputs!$B$16/100)*(5000/(6000+Inputs!$B$42*(1-Inputs!$B$19/100)))*(1+Inputs!$B$24/100)*(1+IF(C398=TRUE,F398,0)/100)*(1+IF(C406=TRUE,F406,0)/100)^5*(1+(IF(Skills!A10="CHAIN_LIGHTNING",Inputs!$B$17,Inputs!$B$18))/100)*(B409*I393)</f>
        <v/>
      </c>
      <c r="L393">
        <f>K393*(MIN(Inputs!$B$22+(F401-Calc!F18),Inputs!$B$23)/100+Inputs!$B$23/100)/2</f>
        <v/>
      </c>
      <c r="M393">
        <f>L393*(1+(Inputs!$B$10+(F404-Calc!F21))/100)</f>
        <v/>
      </c>
      <c r="N393">
        <f>L393*(1-MIN((Inputs!$B$9+1)+((F403-Calc!F20)+(F402-Calc!F19)),100)/100)+M393*(MIN((Inputs!$B$9+1)+((F403-Calc!F20)+(F402-Calc!F19)),100)/100)</f>
        <v/>
      </c>
      <c r="O393">
        <f>(1-Summary!$B$51)*S393+Summary!$B$51*U393</f>
        <v/>
      </c>
      <c r="P393">
        <f>IF(B419=0,0,O393/B419)</f>
        <v/>
      </c>
      <c r="Q393">
        <f>IFERROR(1/IF(Inputs!$B$38="pvp",15,MAX(0.1,Skills!D10-IF(Skills!E9=TRUE,Inputs!$B$32,0))),0)</f>
        <v/>
      </c>
      <c r="R393">
        <f>IF(AND(Inputs!$B$38&lt;&gt;"pvp",Inputs!$B$43&gt;0),IF(MAX(0,Inputs!$B$43-B416)&lt;=0,0,(INT(MAX(0,Inputs!$B$43-B416)/IF(Inputs!$B$38="pvp",15,MAX(0.1,Skills!D10-IF(Skills!E9=TRUE,Inputs!$B$32,0))))+1)),0)</f>
        <v/>
      </c>
      <c r="S393">
        <f>IF(C393,(H393*N393*IF(AND(Inputs!$B$38&lt;&gt;"pvp",Inputs!$B$43&gt;0),((Skills!F10*((R393-1)*IF(Skills!G10&gt;0,Skills!H10/Skills!G10,1)+IF(Skills!G10&gt;0,MIN(Skills!H10,MAX(0,MAX(0,Inputs!$B$43-B416)-((R393-1)*IF(Inputs!$B$38="pvp",15,MAX(0.1,Skills!D10-IF(Skills!E9=TRUE,Inputs!$B$32,0))))))/Skills!G10,1)))/Inputs!$B$43),G393*Q393))*IF(Inputs!$B$38="pvp",1,1+(Inputs!$B$20+Skills!O10+B410)/100),0)</f>
        <v/>
      </c>
      <c r="U393">
        <f>IF(C393,(H393*N393*IF(AND(Inputs!$B$38&lt;&gt;"pvp",Inputs!$B$43&gt;0),((Skills!F10*((R393-1)*IF(Skills!G10&gt;0,Skills!H10/Skills!G10,1)+IF(Skills!G10&gt;0,MIN(Skills!H10,MAX(0,MAX(0,Inputs!$B$43-B416)-((R393-1)*IF(Inputs!$B$38="pvp",15,MAX(0.1,Skills!D10-IF(Skills!E9=TRUE,Inputs!$B$32,0))))))/Skills!G10,1)))/Inputs!$B$43),G393*Q393))*IF(Inputs!$B$38="pvp",1,(1+(Inputs!$B$21+Skills!P10+B410)/100)*(MIN(Skills!Q10,Inputs!$B$37))),0)</f>
        <v/>
      </c>
    </row>
    <row r="394">
      <c r="A394">
        <f>Skills!A11</f>
        <v/>
      </c>
      <c r="B394">
        <f>Skills!B11</f>
        <v/>
      </c>
      <c r="C394">
        <f>Inputs!$B$3&gt;=107</f>
        <v/>
      </c>
      <c r="D394">
        <f>IF(Skills!C11=1,60+Inputs!$B$25+Inputs!$B$29,IF(Skills!C11=2,90+Inputs!$B$26+Inputs!$B$29,IF(Skills!C11=3,120+Inputs!$B$27+Inputs!$B$29,MAX(0,(Inputs!$B$3-100)*3)+Inputs!$B$28+Inputs!$B$29)))</f>
        <v/>
      </c>
      <c r="E394">
        <f>INDEX(FactorTable!$B$2:$Y$301, MATCH(ROUND(MIN(300,MAX(1,D394)),0), FactorTable!$A$2:$A$301,0), Skills!L11+1)</f>
        <v/>
      </c>
      <c r="F394">
        <f>IF(Skills!M11=TRUE,(Skills!K11/10)*(E394/1000),Skills!K11/10)+Skills!N11</f>
        <v/>
      </c>
      <c r="G394">
        <f>Calc!G11</f>
        <v/>
      </c>
      <c r="H394">
        <f>Calc!H11</f>
        <v/>
      </c>
      <c r="I394">
        <f>IF(Skills!T11&lt;&gt;"",1+(Skills!T11/10)*(Z386/1000)/100,1)</f>
        <v/>
      </c>
      <c r="J394">
        <f>((Inputs!$B$6*(1+Inputs!$B$7/100))+(((Inputs!$B$12*(1+Inputs!$B$13/100))-(Inputs!$B$12*(1+Inputs!$B$13/100)))+0.25*(Inputs!$B$14-Inputs!$B$14))*(1+Inputs!$B$7/100))*(F394/100)</f>
        <v/>
      </c>
      <c r="K394">
        <f>J394*(1+((Inputs!$B$12*(1+Inputs!$B$13/100))*0.01+Inputs!$B$14*0.0025)/100)*(1+(Inputs!$B$15+B411)/100)*(1+Inputs!$B$16/100)*(5000/(6000+Inputs!$B$42*(1-Inputs!$B$19/100)))*(1+Inputs!$B$24/100)*(1+IF(C398=TRUE,F398,0)/100)*(1+IF(C406=TRUE,F406,0)/100)^5*(1+(IF(Skills!A11="CHAIN_LIGHTNING",Inputs!$B$17,Inputs!$B$18))/100)*(B409*I394)</f>
        <v/>
      </c>
      <c r="L394">
        <f>K394*(MIN(Inputs!$B$22+(F401-Calc!F18),Inputs!$B$23)/100+Inputs!$B$23/100)/2</f>
        <v/>
      </c>
      <c r="M394">
        <f>L394*(1+(Inputs!$B$10+(F404-Calc!F21))/100)</f>
        <v/>
      </c>
      <c r="N394">
        <f>L394*(1-MIN((Inputs!$B$9+1)+((F403-Calc!F20)+(F402-Calc!F19)),100)/100)+M394*(MIN((Inputs!$B$9+1)+((F403-Calc!F20)+(F402-Calc!F19)),100)/100)</f>
        <v/>
      </c>
      <c r="O394">
        <f>(1-Summary!$B$51)*S394+Summary!$B$51*U394</f>
        <v/>
      </c>
      <c r="P394">
        <f>IF(B419=0,0,O394/B419)</f>
        <v/>
      </c>
      <c r="Q394">
        <f>IFERROR(1/IF(Inputs!$B$38="pvp",15,MAX(0.1,Skills!D11-IF(Skills!E11=TRUE,Inputs!$B$32,0))),0)</f>
        <v/>
      </c>
      <c r="R394">
        <f>IF(AND(Inputs!$B$38&lt;&gt;"pvp",Inputs!$B$43&gt;0),IF(MAX(0,Inputs!$B$43-B416)&lt;=0,0,(INT(MAX(0,Inputs!$B$43-B416)/IF(Inputs!$B$38="pvp",15,MAX(0.1,Skills!D11-IF(Skills!E11=TRUE,Inputs!$B$32,0))))+1)),0)</f>
        <v/>
      </c>
      <c r="S394">
        <f>IF(C394,H394*N394*IF(AND(Inputs!$B$38&lt;&gt;"pvp",Inputs!$B$43&gt;0),((Skills!F11*((R394-1)*IF(Skills!G11&gt;0,Skills!H11/Skills!G11,1)+IF(Skills!G11&gt;0,MIN(Skills!H11,MAX(0,MAX(0,Inputs!$B$43-B416)-((R394-1)*IF(Inputs!$B$38="pvp",15,MAX(0.1,Skills!D11-IF(Skills!E11=TRUE,Inputs!$B$32,0))))))/Skills!G11,1)))/Inputs!$B$43),G394*Q394)*0.5*IF(Inputs!$B$38="pvp",1,1+(Inputs!$B$20+Skills!O11+B410)/100),0)</f>
        <v/>
      </c>
      <c r="U394">
        <f>IF(C394,H394*N394*IF(AND(Inputs!$B$38&lt;&gt;"pvp",Inputs!$B$43&gt;0),((Skills!F11*((R394-1)*IF(Skills!G11&gt;0,Skills!H11/Skills!G11,1)+IF(Skills!G11&gt;0,MIN(Skills!H11,MAX(0,MAX(0,Inputs!$B$43-B416)-((R394-1)*IF(Inputs!$B$38="pvp",15,MAX(0.1,Skills!D11-IF(Skills!E11=TRUE,Inputs!$B$32,0))))))/Skills!G11,1)))/Inputs!$B$43),G394*Q394)*1*IF(Inputs!$B$38="pvp",1,(1+(Inputs!$B$21+Skills!P11+B410)/100)*(MIN(Skills!Q11,Inputs!$B$37))),0)</f>
        <v/>
      </c>
    </row>
    <row r="395">
      <c r="A395">
        <f>Skills!A12</f>
        <v/>
      </c>
      <c r="B395">
        <f>Skills!B12</f>
        <v/>
      </c>
      <c r="C395">
        <f>Inputs!$B$3&gt;=115</f>
        <v/>
      </c>
      <c r="D395">
        <f>IF(Skills!C12=1,60+Inputs!$B$25+Inputs!$B$29,IF(Skills!C12=2,90+Inputs!$B$26+Inputs!$B$29,IF(Skills!C12=3,120+Inputs!$B$27+Inputs!$B$29,MAX(0,(Inputs!$B$3-100)*3)+Inputs!$B$28+Inputs!$B$29)))</f>
        <v/>
      </c>
      <c r="E395">
        <f>INDEX(FactorTable!$B$2:$Y$301, MATCH(ROUND(MIN(300,MAX(1,D395)),0), FactorTable!$A$2:$A$301,0), Skills!L12+1)</f>
        <v/>
      </c>
      <c r="F395">
        <f>IF(Skills!M12=TRUE,(Skills!K12/10)*(E395/1000),Skills!K12/10)+Skills!N12</f>
        <v/>
      </c>
      <c r="G395">
        <f>Calc!G12</f>
        <v/>
      </c>
      <c r="H395">
        <f>Calc!H12</f>
        <v/>
      </c>
      <c r="I395">
        <f>IF(Skills!T12&lt;&gt;"",1+(Skills!T12/10)*(Z386/1000)/100,1)</f>
        <v/>
      </c>
      <c r="J395">
        <f>((Inputs!$B$6*(1+Inputs!$B$7/100))+(((Inputs!$B$12*(1+Inputs!$B$13/100))-(Inputs!$B$12*(1+Inputs!$B$13/100)))+0.25*(Inputs!$B$14-Inputs!$B$14))*(1+Inputs!$B$7/100))*(F395/100)</f>
        <v/>
      </c>
      <c r="K395">
        <f>J395*(1+((Inputs!$B$12*(1+Inputs!$B$13/100))*0.01+Inputs!$B$14*0.0025)/100)*(1+(Inputs!$B$15+B411)/100)*(1+Inputs!$B$16/100)*(5000/(6000+Inputs!$B$42*(1-Inputs!$B$19/100)))*(1+Inputs!$B$24/100)*(1+IF(C398=TRUE,F398,0)/100)*(1+IF(C406=TRUE,F406,0)/100)^5*(1+(IF(Skills!A12="CHAIN_LIGHTNING",Inputs!$B$17,Inputs!$B$18))/100)*(B409*I395)</f>
        <v/>
      </c>
      <c r="L395">
        <f>K395*(MIN(Inputs!$B$22+(F401-Calc!F18),Inputs!$B$23)/100+Inputs!$B$23/100)/2</f>
        <v/>
      </c>
      <c r="M395">
        <f>L395*(1+(Inputs!$B$10+(F404-Calc!F21))/100)</f>
        <v/>
      </c>
      <c r="N395">
        <f>L395*(1-MIN((Inputs!$B$9+1)+((F403-Calc!F20)+(F402-Calc!F19)),100)/100)+M395*(MIN((Inputs!$B$9+1)+((F403-Calc!F20)+(F402-Calc!F19)),100)/100)</f>
        <v/>
      </c>
      <c r="O395">
        <f>(1-Summary!$B$51)*S395+Summary!$B$51*U395</f>
        <v/>
      </c>
      <c r="P395">
        <f>IF(B419=0,0,O395/B419)</f>
        <v/>
      </c>
      <c r="Q395">
        <f>IFERROR(1/IF(Inputs!$B$38="pvp",15,MAX(0.1,Skills!D12-IF(Skills!E12=TRUE,Inputs!$B$32,0))),0)</f>
        <v/>
      </c>
      <c r="R395">
        <f>IF(AND(Inputs!$B$38&lt;&gt;"pvp",Inputs!$B$43&gt;0),IF(MAX(0,Inputs!$B$43-B416)&lt;=0,0,(INT(MAX(0,Inputs!$B$43-B416)/IF(Inputs!$B$38="pvp",15,MAX(0.1,Skills!D12-IF(Skills!E12=TRUE,Inputs!$B$32,0))))+1)),0)</f>
        <v/>
      </c>
      <c r="S395">
        <f>IF(C395,(H395*N395*IF(AND(Inputs!$B$38&lt;&gt;"pvp",Inputs!$B$43&gt;0),((Skills!F12*((R395-1)*IF(Skills!G12&gt;0,Skills!H12/Skills!G12,1)+IF(Skills!G12&gt;0,MIN(Skills!H12,MAX(0,MAX(0,Inputs!$B$43-B416)-((R395-1)*IF(Inputs!$B$38="pvp",15,MAX(0.1,Skills!D12-IF(Skills!E12=TRUE,Inputs!$B$32,0))))))/Skills!G12,1)))/Inputs!$B$43),G395*Q395))*IF(Inputs!$B$38="pvp",1,1+(Inputs!$B$20+Skills!O12+B410)/100),0)</f>
        <v/>
      </c>
      <c r="U395">
        <f>IF(C395,(H395*N395*IF(AND(Inputs!$B$38&lt;&gt;"pvp",Inputs!$B$43&gt;0),((Skills!F12*((R395-1)*IF(Skills!G12&gt;0,Skills!H12/Skills!G12,1)+IF(Skills!G12&gt;0,MIN(Skills!H12,MAX(0,MAX(0,Inputs!$B$43-B416)-((R395-1)*IF(Inputs!$B$38="pvp",15,MAX(0.1,Skills!D12-IF(Skills!E12=TRUE,Inputs!$B$32,0))))))/Skills!G12,1)))/Inputs!$B$43),G395*Q395))*IF(Inputs!$B$38="pvp",1,(1+(Inputs!$B$21+Skills!P12+B410)/100)*(MIN(Skills!Q12,Inputs!$B$37))),0)</f>
        <v/>
      </c>
    </row>
    <row r="396">
      <c r="A396">
        <f>Skills!A13</f>
        <v/>
      </c>
      <c r="B396">
        <f>Skills!B13</f>
        <v/>
      </c>
      <c r="C396">
        <f>Inputs!$B$3&gt;=49</f>
        <v/>
      </c>
      <c r="D396">
        <f>IF(Skills!C13=1,60+Inputs!$B$25+Inputs!$B$29,IF(Skills!C13=2,90+Inputs!$B$26+Inputs!$B$29,IF(Skills!C13=3,120+Inputs!$B$27+Inputs!$B$29,MAX(0,(Inputs!$B$3-100)*3)+Inputs!$B$28+Inputs!$B$29)))</f>
        <v/>
      </c>
      <c r="E396">
        <f>INDEX(FactorTable!$B$2:$Y$301, MATCH(ROUND(MIN(300,MAX(1,D396)),0), FactorTable!$A$2:$A$301,0), Skills!L13+1)</f>
        <v/>
      </c>
      <c r="F396">
        <f>IF(Skills!M13=TRUE,(Skills!K13/10)*(E396/1000),Skills!K13/10)+Skills!N13</f>
        <v/>
      </c>
      <c r="G396">
        <f>Calc!G13</f>
        <v/>
      </c>
      <c r="H396">
        <f>Calc!H13</f>
        <v/>
      </c>
      <c r="I396">
        <f>IF(Skills!T13&lt;&gt;"",1+(Skills!T13/10)*(Z386/1000)/100,1)</f>
        <v/>
      </c>
      <c r="J396" t="inlineStr"/>
      <c r="K396" t="inlineStr"/>
      <c r="L396" t="inlineStr"/>
      <c r="M396" t="inlineStr"/>
      <c r="N396" t="inlineStr"/>
      <c r="O396">
        <f>(1-Summary!$B$51)*S396+Summary!$B$51*U396</f>
        <v/>
      </c>
      <c r="P396">
        <f>IF(B419=0,0,O396/B419)</f>
        <v/>
      </c>
      <c r="Q396">
        <f>IFERROR(1/IF(Inputs!$B$38="pvp",15,MAX(0.1,Skills!D13-IF(Skills!E13=TRUE,Inputs!$B$32,0))),0)</f>
        <v/>
      </c>
      <c r="R396" t="n">
        <v>0</v>
      </c>
      <c r="S396" t="n">
        <v>0</v>
      </c>
      <c r="U396" t="n">
        <v>0</v>
      </c>
    </row>
    <row r="397">
      <c r="A397">
        <f>Skills!A14</f>
        <v/>
      </c>
      <c r="B397">
        <f>Skills!B14</f>
        <v/>
      </c>
      <c r="C397">
        <f>Inputs!$B$3&gt;=72</f>
        <v/>
      </c>
      <c r="D397">
        <f>IF(Skills!C14=1,60+Inputs!$B$25+Inputs!$B$29,IF(Skills!C14=2,90+Inputs!$B$26+Inputs!$B$29,IF(Skills!C14=3,120+Inputs!$B$27+Inputs!$B$29,MAX(0,(Inputs!$B$3-100)*3)+Inputs!$B$28+Inputs!$B$29)))</f>
        <v/>
      </c>
      <c r="E397">
        <f>INDEX(FactorTable!$B$2:$Y$301, MATCH(ROUND(MIN(300,MAX(1,D397)),0), FactorTable!$A$2:$A$301,0), Skills!L14+1)</f>
        <v/>
      </c>
      <c r="F397">
        <f>IF(Skills!M14=TRUE,(Skills!K14/10)*(E397/1000),Skills!K14/10)+Skills!N14</f>
        <v/>
      </c>
      <c r="G397">
        <f>Calc!G14</f>
        <v/>
      </c>
      <c r="H397">
        <f>Calc!H14</f>
        <v/>
      </c>
      <c r="I397">
        <f>IF(Skills!T14&lt;&gt;"",1+(Skills!T14/10)*(Z386/1000)/100,1)</f>
        <v/>
      </c>
      <c r="J397" t="inlineStr"/>
      <c r="K397" t="inlineStr"/>
      <c r="L397" t="inlineStr"/>
      <c r="M397" t="inlineStr"/>
      <c r="N397" t="inlineStr"/>
      <c r="O397">
        <f>(1-Summary!$B$51)*S397+Summary!$B$51*U397</f>
        <v/>
      </c>
      <c r="P397">
        <f>IF(B419=0,0,O397/B419)</f>
        <v/>
      </c>
      <c r="Q397">
        <f>IFERROR(1/IF(Inputs!$B$38="pvp",15,MAX(0.1,Skills!D14-IF(Skills!E14=TRUE,Inputs!$B$32,0))),0)</f>
        <v/>
      </c>
      <c r="R397" t="n">
        <v>0</v>
      </c>
      <c r="S397" t="n">
        <v>0</v>
      </c>
      <c r="U397" t="n">
        <v>0</v>
      </c>
    </row>
    <row r="398">
      <c r="A398">
        <f>Skills!A15</f>
        <v/>
      </c>
      <c r="B398">
        <f>Skills!B15</f>
        <v/>
      </c>
      <c r="C398">
        <f>Inputs!$B$3&gt;=75</f>
        <v/>
      </c>
      <c r="D398">
        <f>IF(Skills!C15=1,60+Inputs!$B$25+Inputs!$B$29,IF(Skills!C15=2,90+Inputs!$B$26+Inputs!$B$29,IF(Skills!C15=3,120+Inputs!$B$27+Inputs!$B$29,MAX(0,(Inputs!$B$3-100)*3)+Inputs!$B$28+Inputs!$B$29)))</f>
        <v/>
      </c>
      <c r="E398">
        <f>INDEX(FactorTable!$B$2:$Y$301, MATCH(ROUND(MIN(300,MAX(1,D398)),0), FactorTable!$A$2:$A$301,0), Skills!L15+1)</f>
        <v/>
      </c>
      <c r="F398">
        <f>IF(Skills!M15=TRUE,(Skills!K15/10)*(E398/1000),Skills!K15/10)+Skills!N15</f>
        <v/>
      </c>
      <c r="G398">
        <f>Calc!G15</f>
        <v/>
      </c>
      <c r="H398">
        <f>Calc!H15</f>
        <v/>
      </c>
      <c r="I398">
        <f>IF(Skills!T15&lt;&gt;"",1+(Skills!T15/10)*(Z386/1000)/100,1)</f>
        <v/>
      </c>
      <c r="J398" t="inlineStr"/>
      <c r="K398" t="inlineStr"/>
      <c r="L398" t="inlineStr"/>
      <c r="M398" t="inlineStr"/>
      <c r="N398" t="inlineStr"/>
      <c r="O398">
        <f>(1-Summary!$B$51)*S398+Summary!$B$51*U398</f>
        <v/>
      </c>
      <c r="P398">
        <f>IF(B419=0,0,O398/B419)</f>
        <v/>
      </c>
      <c r="Q398">
        <f>IFERROR(1/IF(Inputs!$B$38="pvp",15,MAX(0.1,Skills!D15-IF(Skills!E15=TRUE,Inputs!$B$32,0))),0)</f>
        <v/>
      </c>
      <c r="R398" t="n">
        <v>0</v>
      </c>
      <c r="S398" t="n">
        <v>0</v>
      </c>
      <c r="U398" t="n">
        <v>0</v>
      </c>
    </row>
    <row r="399">
      <c r="A399">
        <f>Skills!A16</f>
        <v/>
      </c>
      <c r="B399">
        <f>Skills!B16</f>
        <v/>
      </c>
      <c r="C399">
        <f>Inputs!$B$3&gt;=110</f>
        <v/>
      </c>
      <c r="D399">
        <f>IF(Skills!C16=1,60+Inputs!$B$25+Inputs!$B$29,IF(Skills!C16=2,90+Inputs!$B$26+Inputs!$B$29,IF(Skills!C16=3,120+Inputs!$B$27+Inputs!$B$29,MAX(0,(Inputs!$B$3-100)*3)+Inputs!$B$28+Inputs!$B$29)))</f>
        <v/>
      </c>
      <c r="E399">
        <f>INDEX(FactorTable!$B$2:$Y$301, MATCH(ROUND(MIN(300,MAX(1,D399)),0), FactorTable!$A$2:$A$301,0), Skills!L16+1)</f>
        <v/>
      </c>
      <c r="F399">
        <f>(Skills!K16/10)*(E399/1000)*64/45+Skills!N16</f>
        <v/>
      </c>
      <c r="G399">
        <f>Calc!G16</f>
        <v/>
      </c>
      <c r="H399">
        <f>Calc!H16</f>
        <v/>
      </c>
      <c r="I399">
        <f>IF(Skills!T16&lt;&gt;"",1+(Skills!T16/10)*(Z386/1000)/100,1)</f>
        <v/>
      </c>
      <c r="J399" t="inlineStr"/>
      <c r="K399" t="inlineStr"/>
      <c r="L399" t="inlineStr"/>
      <c r="M399" t="inlineStr"/>
      <c r="N399" t="inlineStr"/>
      <c r="O399">
        <f>(1-Summary!$B$51)*S399+Summary!$B$51*U399</f>
        <v/>
      </c>
      <c r="P399">
        <f>IF(B419=0,0,O399/B419)</f>
        <v/>
      </c>
      <c r="Q399">
        <f>IFERROR(1/IF(Inputs!$B$38="pvp",15,MAX(0.1,Skills!D16-IF(Skills!E16=TRUE,Inputs!$B$32,0))),0)</f>
        <v/>
      </c>
      <c r="R399">
        <f>IF(AND(Inputs!$B$38&lt;&gt;"pvp",Inputs!$B$43&gt;0),IF(Inputs!$B$43&lt;=0,0,(INT(Inputs!$B$43/IF(Inputs!$B$38="pvp",15,MAX(0.1,Skills!D16-IF(Skills!E16=TRUE,Inputs!$B$32,0))))+1)),0)</f>
        <v/>
      </c>
      <c r="S399" t="n">
        <v>0</v>
      </c>
      <c r="U399" t="n">
        <v>0</v>
      </c>
    </row>
    <row r="400">
      <c r="A400">
        <f>Skills!A17</f>
        <v/>
      </c>
      <c r="B400">
        <f>Skills!B17</f>
        <v/>
      </c>
      <c r="C400">
        <f>Inputs!$B$3&gt;=33</f>
        <v/>
      </c>
      <c r="D400">
        <f>IF(Skills!C17=1,60+Inputs!$B$25+Inputs!$B$29,IF(Skills!C17=2,90+Inputs!$B$26+Inputs!$B$29,IF(Skills!C17=3,120+Inputs!$B$27+Inputs!$B$29,MAX(0,(Inputs!$B$3-100)*3)+Inputs!$B$28+Inputs!$B$29)))</f>
        <v/>
      </c>
      <c r="E400">
        <f>INDEX(FactorTable!$B$2:$Y$301, MATCH(ROUND(MIN(300,MAX(1,D400)),0), FactorTable!$A$2:$A$301,0), Skills!L17+1)</f>
        <v/>
      </c>
      <c r="F400">
        <f>IF(Skills!M17=TRUE,(Skills!K17/10)*(E400/1000),Skills!K17/10)+Skills!N17</f>
        <v/>
      </c>
      <c r="G400">
        <f>Calc!G17</f>
        <v/>
      </c>
      <c r="H400">
        <f>Calc!H17</f>
        <v/>
      </c>
      <c r="I400">
        <f>IF(Skills!T17&lt;&gt;"",1+(Skills!T17/10)*(Z386/1000)/100,1)</f>
        <v/>
      </c>
      <c r="J400" t="inlineStr"/>
      <c r="K400" t="inlineStr"/>
      <c r="L400" t="inlineStr"/>
      <c r="M400" t="inlineStr"/>
      <c r="N400" t="inlineStr"/>
      <c r="O400">
        <f>(1-Summary!$B$51)*S400+Summary!$B$51*U400</f>
        <v/>
      </c>
      <c r="P400">
        <f>IF(B419=0,0,O400/B419)</f>
        <v/>
      </c>
      <c r="Q400">
        <f>IFERROR(1/IF(Inputs!$B$38="pvp",15,MAX(0.1,Skills!D17-IF(Skills!E17=TRUE,Inputs!$B$32,0))),0)</f>
        <v/>
      </c>
      <c r="R400" t="n">
        <v>0</v>
      </c>
      <c r="S400" t="n">
        <v>0</v>
      </c>
      <c r="U400" t="n">
        <v>0</v>
      </c>
    </row>
    <row r="401">
      <c r="A401">
        <f>Skills!A18</f>
        <v/>
      </c>
      <c r="B401">
        <f>Skills!B18</f>
        <v/>
      </c>
      <c r="C401">
        <f>Inputs!$B$3&gt;=43</f>
        <v/>
      </c>
      <c r="D401">
        <f>IF(Skills!C18=1,60+Inputs!$B$25+Inputs!$B$29,IF(Skills!C18=2,90+Inputs!$B$26+Inputs!$B$29,IF(Skills!C18=3,120+Inputs!$B$27+Inputs!$B$29,MAX(0,(Inputs!$B$3-100)*3)+Inputs!$B$28+Inputs!$B$29)))</f>
        <v/>
      </c>
      <c r="E401">
        <f>INDEX(FactorTable!$B$2:$Y$301, MATCH(ROUND(MIN(300,MAX(1,D401)),0), FactorTable!$A$2:$A$301,0), Skills!L18+1)</f>
        <v/>
      </c>
      <c r="F401">
        <f>IF(Skills!M18=TRUE,(Skills!K18/10)*(E401/1000),Skills!K18/10)+Skills!N18</f>
        <v/>
      </c>
      <c r="G401">
        <f>Calc!G18</f>
        <v/>
      </c>
      <c r="H401">
        <f>Calc!H18</f>
        <v/>
      </c>
      <c r="I401">
        <f>IF(Skills!T18&lt;&gt;"",1+(Skills!T18/10)*(Z386/1000)/100,1)</f>
        <v/>
      </c>
      <c r="J401" t="inlineStr"/>
      <c r="K401" t="inlineStr"/>
      <c r="L401" t="inlineStr"/>
      <c r="M401" t="inlineStr"/>
      <c r="N401" t="inlineStr"/>
      <c r="O401">
        <f>(1-Summary!$B$51)*S401+Summary!$B$51*U401</f>
        <v/>
      </c>
      <c r="P401">
        <f>IF(B419=0,0,O401/B419)</f>
        <v/>
      </c>
      <c r="Q401">
        <f>IFERROR(1/IF(Inputs!$B$38="pvp",15,MAX(0.1,Skills!D18-IF(Skills!E18=TRUE,Inputs!$B$32,0))),0)</f>
        <v/>
      </c>
      <c r="R401" t="n">
        <v>0</v>
      </c>
      <c r="S401" t="n">
        <v>0</v>
      </c>
      <c r="U401" t="n">
        <v>0</v>
      </c>
    </row>
    <row r="402">
      <c r="A402">
        <f>Skills!A19</f>
        <v/>
      </c>
      <c r="B402">
        <f>Skills!B19</f>
        <v/>
      </c>
      <c r="C402">
        <f>Inputs!$B$3&gt;=50</f>
        <v/>
      </c>
      <c r="D402">
        <f>IF(Skills!C19=1,60+Inputs!$B$25+Inputs!$B$29,IF(Skills!C19=2,90+Inputs!$B$26+Inputs!$B$29,IF(Skills!C19=3,120+Inputs!$B$27+Inputs!$B$29,MAX(0,(Inputs!$B$3-100)*3)+Inputs!$B$28+Inputs!$B$29)))</f>
        <v/>
      </c>
      <c r="E402">
        <f>INDEX(FactorTable!$B$2:$Y$301, MATCH(ROUND(MIN(300,MAX(1,D402)),0), FactorTable!$A$2:$A$301,0), Skills!L19+1)</f>
        <v/>
      </c>
      <c r="F402">
        <f>IF(Skills!M19=TRUE,(Skills!K19/10)*(E402/1000),Skills!K19/10)+Skills!N19</f>
        <v/>
      </c>
      <c r="G402">
        <f>Calc!G19</f>
        <v/>
      </c>
      <c r="H402">
        <f>Calc!H19</f>
        <v/>
      </c>
      <c r="I402">
        <f>IF(Skills!T19&lt;&gt;"",1+(Skills!T19/10)*(Z386/1000)/100,1)</f>
        <v/>
      </c>
      <c r="J402" t="inlineStr"/>
      <c r="K402" t="inlineStr"/>
      <c r="L402" t="inlineStr"/>
      <c r="M402" t="inlineStr"/>
      <c r="N402" t="inlineStr"/>
      <c r="O402">
        <f>(1-Summary!$B$51)*S402+Summary!$B$51*U402</f>
        <v/>
      </c>
      <c r="P402">
        <f>IF(B419=0,0,O402/B419)</f>
        <v/>
      </c>
      <c r="Q402">
        <f>IFERROR(1/IF(Inputs!$B$38="pvp",15,MAX(0.1,Skills!D19-IF(Skills!E19=TRUE,Inputs!$B$32,0))),0)</f>
        <v/>
      </c>
      <c r="R402" t="n">
        <v>0</v>
      </c>
      <c r="S402" t="n">
        <v>0</v>
      </c>
      <c r="U402" t="n">
        <v>0</v>
      </c>
    </row>
    <row r="403">
      <c r="A403">
        <f>Skills!A20</f>
        <v/>
      </c>
      <c r="B403">
        <f>Skills!B20</f>
        <v/>
      </c>
      <c r="C403">
        <f>Inputs!$B$3&gt;=74</f>
        <v/>
      </c>
      <c r="D403">
        <f>IF(Skills!C20=1,60+Inputs!$B$25+Inputs!$B$29,IF(Skills!C20=2,90+Inputs!$B$26+Inputs!$B$29,IF(Skills!C20=3,120+Inputs!$B$27+Inputs!$B$29,MAX(0,(Inputs!$B$3-100)*3)+Inputs!$B$28+Inputs!$B$29)))</f>
        <v/>
      </c>
      <c r="E403">
        <f>INDEX(FactorTable!$B$2:$Y$301, MATCH(ROUND(MIN(300,MAX(1,D403)),0), FactorTable!$A$2:$A$301,0), Skills!L20+1)</f>
        <v/>
      </c>
      <c r="F403">
        <f>IF(Skills!M20=TRUE,(Skills!K20/10)*(E403/1000),Skills!K20/10)+Skills!N20</f>
        <v/>
      </c>
      <c r="G403">
        <f>Calc!G20</f>
        <v/>
      </c>
      <c r="H403">
        <f>Calc!H20</f>
        <v/>
      </c>
      <c r="I403">
        <f>IF(Skills!T20&lt;&gt;"",1+(Skills!T20/10)*(Z386/1000)/100,1)</f>
        <v/>
      </c>
      <c r="J403" t="inlineStr"/>
      <c r="K403" t="inlineStr"/>
      <c r="L403" t="inlineStr"/>
      <c r="M403" t="inlineStr"/>
      <c r="N403" t="inlineStr"/>
      <c r="O403">
        <f>(1-Summary!$B$51)*S403+Summary!$B$51*U403</f>
        <v/>
      </c>
      <c r="P403">
        <f>IF(B419=0,0,O403/B419)</f>
        <v/>
      </c>
      <c r="Q403">
        <f>IFERROR(1/IF(Inputs!$B$38="pvp",15,MAX(0.1,Skills!D20-IF(Skills!E20=TRUE,Inputs!$B$32,0))),0)</f>
        <v/>
      </c>
      <c r="R403" t="n">
        <v>0</v>
      </c>
      <c r="S403" t="n">
        <v>0</v>
      </c>
      <c r="U403" t="n">
        <v>0</v>
      </c>
    </row>
    <row r="404">
      <c r="A404">
        <f>Skills!A21</f>
        <v/>
      </c>
      <c r="B404">
        <f>Skills!B21</f>
        <v/>
      </c>
      <c r="C404">
        <f>Inputs!$B$3&gt;=74</f>
        <v/>
      </c>
      <c r="D404">
        <f>IF(Skills!C21=1,60+Inputs!$B$25+Inputs!$B$29,IF(Skills!C21=2,90+Inputs!$B$26+Inputs!$B$29,IF(Skills!C21=3,120+Inputs!$B$27+Inputs!$B$29,MAX(0,(Inputs!$B$3-100)*3)+Inputs!$B$28+Inputs!$B$29)))</f>
        <v/>
      </c>
      <c r="E404">
        <f>INDEX(FactorTable!$B$2:$Y$301, MATCH(ROUND(MIN(300,MAX(1,D404)),0), FactorTable!$A$2:$A$301,0), Skills!L21+1)</f>
        <v/>
      </c>
      <c r="F404">
        <f>IF(Skills!M21=TRUE,(Skills!K21/10)*(E404/1000),Skills!K21/10)+Skills!N21</f>
        <v/>
      </c>
      <c r="G404">
        <f>Calc!G21</f>
        <v/>
      </c>
      <c r="H404">
        <f>Calc!H21</f>
        <v/>
      </c>
      <c r="I404">
        <f>IF(Skills!T21&lt;&gt;"",1+(Skills!T21/10)*(Z386/1000)/100,1)</f>
        <v/>
      </c>
      <c r="J404" t="inlineStr"/>
      <c r="K404" t="inlineStr"/>
      <c r="L404" t="inlineStr"/>
      <c r="M404" t="inlineStr"/>
      <c r="N404" t="inlineStr"/>
      <c r="O404">
        <f>(1-Summary!$B$51)*S404+Summary!$B$51*U404</f>
        <v/>
      </c>
      <c r="P404">
        <f>IF(B419=0,0,O404/B419)</f>
        <v/>
      </c>
      <c r="Q404">
        <f>IFERROR(1/IF(Inputs!$B$38="pvp",15,MAX(0.1,Skills!D21-IF(Skills!E21=TRUE,Inputs!$B$32,0))),0)</f>
        <v/>
      </c>
      <c r="R404" t="n">
        <v>0</v>
      </c>
      <c r="S404" t="n">
        <v>0</v>
      </c>
      <c r="U404" t="n">
        <v>0</v>
      </c>
    </row>
    <row r="405">
      <c r="A405">
        <f>Skills!A22</f>
        <v/>
      </c>
      <c r="B405">
        <f>Skills!B22</f>
        <v/>
      </c>
      <c r="C405">
        <f>Inputs!$B$3&gt;=117</f>
        <v/>
      </c>
      <c r="D405">
        <f>IF(Skills!C22=1,60+Inputs!$B$25+Inputs!$B$29,IF(Skills!C22=2,90+Inputs!$B$26+Inputs!$B$29,IF(Skills!C22=3,120+Inputs!$B$27+Inputs!$B$29,MAX(0,(Inputs!$B$3-100)*3)+Inputs!$B$28+Inputs!$B$29)))</f>
        <v/>
      </c>
      <c r="E405">
        <f>INDEX(FactorTable!$B$2:$Y$301, MATCH(ROUND(MIN(300,MAX(1,D405)),0), FactorTable!$A$2:$A$301,0), Skills!L22+1)</f>
        <v/>
      </c>
      <c r="F405">
        <f>IF(Skills!M22=TRUE,(Skills!K22/10)*(E405/1000),Skills!K22/10)+Skills!N22</f>
        <v/>
      </c>
      <c r="G405">
        <f>Calc!G22</f>
        <v/>
      </c>
      <c r="H405">
        <f>Calc!H22</f>
        <v/>
      </c>
      <c r="I405">
        <f>IF(Skills!T22&lt;&gt;"",1+(Skills!T22/10)*(Z386/1000)/100,1)</f>
        <v/>
      </c>
      <c r="J405" t="inlineStr"/>
      <c r="K405" t="inlineStr"/>
      <c r="L405" t="inlineStr"/>
      <c r="M405" t="inlineStr"/>
      <c r="N405" t="inlineStr"/>
      <c r="O405">
        <f>(1-Summary!$B$51)*S405+Summary!$B$51*U405</f>
        <v/>
      </c>
      <c r="P405">
        <f>IF(B419=0,0,O405/B419)</f>
        <v/>
      </c>
      <c r="Q405">
        <f>IFERROR(1/IF(Inputs!$B$38="pvp",15,MAX(0.1,Skills!D22-IF(Skills!E22=TRUE,Inputs!$B$32,0))),0)</f>
        <v/>
      </c>
      <c r="R405" t="n">
        <v>0</v>
      </c>
      <c r="S405" t="n">
        <v>0</v>
      </c>
      <c r="U405" t="n">
        <v>0</v>
      </c>
    </row>
    <row r="406">
      <c r="A406">
        <f>Skills!A23</f>
        <v/>
      </c>
      <c r="B406">
        <f>Skills!B23</f>
        <v/>
      </c>
      <c r="C406">
        <f>Inputs!$B$3&gt;=120</f>
        <v/>
      </c>
      <c r="D406">
        <f>IF(Skills!C23=1,60+Inputs!$B$25+Inputs!$B$29,IF(Skills!C23=2,90+Inputs!$B$26+Inputs!$B$29,IF(Skills!C23=3,120+Inputs!$B$27+Inputs!$B$29,MAX(0,(Inputs!$B$3-100)*3)+Inputs!$B$28+Inputs!$B$29)))</f>
        <v/>
      </c>
      <c r="E406">
        <f>INDEX(FactorTable!$B$2:$Y$301, MATCH(ROUND(MIN(300,MAX(1,D406)),0), FactorTable!$A$2:$A$301,0), Skills!L23+1)</f>
        <v/>
      </c>
      <c r="F406">
        <f>IF(Skills!M23=TRUE,(Skills!K23/10)*(E406/1000),Skills!K23/10)+Skills!N23</f>
        <v/>
      </c>
      <c r="G406">
        <f>Calc!G23</f>
        <v/>
      </c>
      <c r="H406">
        <f>Calc!H23</f>
        <v/>
      </c>
      <c r="I406">
        <f>IF(Skills!T23&lt;&gt;"",1+(Skills!T23/10)*(Z386/1000)/100,1)</f>
        <v/>
      </c>
      <c r="J406" t="inlineStr"/>
      <c r="K406" t="inlineStr"/>
      <c r="L406" t="inlineStr"/>
      <c r="M406" t="inlineStr"/>
      <c r="N406" t="inlineStr"/>
      <c r="O406">
        <f>(1-Summary!$B$51)*S406+Summary!$B$51*U406</f>
        <v/>
      </c>
      <c r="P406">
        <f>IF(B419=0,0,O406/B419)</f>
        <v/>
      </c>
      <c r="Q406">
        <f>IFERROR(1/IF(Inputs!$B$38="pvp",15,MAX(0.1,Skills!D23-IF(Skills!E23=TRUE,Inputs!$B$32,0))),0)</f>
        <v/>
      </c>
      <c r="R406" t="n">
        <v>0</v>
      </c>
      <c r="S406" t="n">
        <v>0</v>
      </c>
      <c r="U406" t="n">
        <v>0</v>
      </c>
    </row>
    <row r="409">
      <c r="A409" t="inlineStr">
        <is>
          <t>Average Buff Multiplier (Magic Guard + Meditation, summed; then Infinity)</t>
        </is>
      </c>
      <c r="B409">
        <f>(1+(IF(C386=TRUE,F386*IF(AND(Inputs!$B$38&lt;&gt;"pvp",Inputs!$B$43&gt;0),(((R386-1)*(Skills!S3*(1+(Inputs!$B$34+IF(Inputs!$B$3&gt;=117,F405,0))/100))+MIN((Skills!S3*(1+(Inputs!$B$34+IF(Inputs!$B$3&gt;=117,F405,0))/100)),MAX(0,Inputs!$B$43-((R386-1)*Skills!D3))))/Inputs!$B$43),IF(Inputs!$B$38="pvp",MIN((Skills!S3*(1+(Inputs!$B$34+IF(Inputs!$B$3&gt;=117,F405,0))/100)),15)/15,(Skills!S3*(1+(Inputs!$B$34+IF(Inputs!$B$3&gt;=117,F405,0))/100))/Skills!D3)),0)+IF(C387=TRUE,F387*IF(AND(Inputs!$B$38&lt;&gt;"pvp",Inputs!$B$43&gt;0),(((R387-1)*(Skills!S4*(1+(Inputs!$B$34+IF(Inputs!$B$3&gt;=117,F405,0))/100))+MIN((Skills!S4*(1+(Inputs!$B$34+IF(Inputs!$B$3&gt;=117,F405,0))/100)),MAX(0,Inputs!$B$43-((R387-1)*Skills!D4))))/Inputs!$B$43),IF(Inputs!$B$38="pvp",MIN((Skills!S4*(1+(Inputs!$B$34+IF(Inputs!$B$3&gt;=117,F405,0))/100)),15)/15,(Skills!S4*(1+(Inputs!$B$34+IF(Inputs!$B$3&gt;=117,F405,0))/100))/Skills!D4)),0))/100)*IF(C399=TRUE,(1+F399*IF(AND(Inputs!$B$38&lt;&gt;"pvp",Inputs!$B$43&gt;0),(((R399-1)*(Skills!S16*(1+(Inputs!$B$34+IF(Inputs!$B$3&gt;=117,F405,0))/100))+MIN((Skills!S16*(1+(Inputs!$B$34+IF(Inputs!$B$3&gt;=117,F405,0))/100)),MAX(0,Inputs!$B$43-((R399-1)*Skills!D16))))/Inputs!$B$43),IF(Inputs!$B$38="pvp",MIN((Skills!S16*(1+(Inputs!$B$34+IF(Inputs!$B$3&gt;=117,F405,0))/100)),15)/15,(Skills!S16*(1+(Inputs!$B$34+IF(Inputs!$B$3&gt;=117,F405,0))/100))/Skills!D16))/100),1)</f>
        <v/>
      </c>
    </row>
    <row r="410">
      <c r="A410" t="inlineStr">
        <is>
          <t>Monster Damage Taken Bonus % (Freezing Breath - Weaken + Elemental Reset, summed)</t>
        </is>
      </c>
      <c r="B410">
        <f>IF(Inputs!$B$3&gt;=118,15*IF(Inputs!$B$38="pvp",MIN((30*(1+(Inputs!$B$34+IF(Inputs!$B$3&gt;=117,F405,0))/100)),15)/15,(30*(1+(Inputs!$B$34+IF(Inputs!$B$3&gt;=117,F405,0))/100))/Skills!D8),0)+IF(C397=TRUE,F397,0)</f>
        <v/>
      </c>
    </row>
    <row r="411">
      <c r="A411" t="inlineStr">
        <is>
          <t>Damage % Bonus (Frozen Break + Frost Clutch, flat)</t>
        </is>
      </c>
      <c r="B411">
        <f>IF(Inputs!$B$3&gt;=66,15,0)+IF(Inputs!$B$3&gt;=98,10,0)+IF(Inputs!$B$3&gt;=125,20,0)</f>
        <v/>
      </c>
    </row>
    <row r="412">
      <c r="A412" t="inlineStr">
        <is>
          <t>Attack Speed Bonus % (MP Eater - MP Boost, always-on once unlocked)</t>
        </is>
      </c>
      <c r="B412">
        <f>IF(C396=TRUE,F396+(F400-Calc!F17),0)</f>
        <v/>
      </c>
    </row>
    <row r="413">
      <c r="A413" t="inlineStr">
        <is>
          <t>Actions Per Second</t>
        </is>
      </c>
      <c r="B413">
        <f>1+MIN(150,150*(1-(1-Inputs!$B$11/150)*(1-B412/150)))/100</f>
        <v/>
      </c>
    </row>
    <row r="414">
      <c r="A414" t="inlineStr">
        <is>
          <t>Skill + Buff Cast Rate</t>
        </is>
      </c>
      <c r="B414">
        <f>IF(AND(Inputs!$B$38&lt;&gt;"pvp",Inputs!$B$43&gt;0),SUMPRODUCT((Skills!E2:E23=TRUE)*(C385:C406=TRUE)*R385:R406)/Inputs!$B$43,SUMPRODUCT((Skills!E2:E23=TRUE)*(C385:C406=TRUE)*Q385:Q406))</f>
        <v/>
      </c>
    </row>
    <row r="415">
      <c r="A415" t="inlineStr">
        <is>
          <t>Chain Lightning Casts Per Second</t>
        </is>
      </c>
      <c r="B415">
        <f>MAX(0,B413-B414)</f>
        <v/>
      </c>
    </row>
    <row r="416">
      <c r="A416" t="inlineStr">
        <is>
          <t>Buff-Casting Startup Delay (s, fixed-duration only)</t>
        </is>
      </c>
      <c r="B416">
        <f>IF(AND(Inputs!$B$38&lt;&gt;"pvp",Inputs!$B$43&gt;0),SUMPRODUCT((Skills!S2:S23&gt;0)*(Skills!E2:E23=TRUE)*(C385:C406=TRUE))/B413,0)</f>
        <v/>
      </c>
    </row>
    <row r="417">
      <c r="A417" t="inlineStr">
        <is>
          <t>Boss-Only Total DPS (this block's swept value)</t>
        </is>
      </c>
      <c r="B417">
        <f>SUM(S385:S406)</f>
        <v/>
      </c>
    </row>
    <row r="418">
      <c r="A418" t="inlineStr">
        <is>
          <t>Normal-Only Total DPS (this block's swept value)</t>
        </is>
      </c>
      <c r="B418">
        <f>SUM(U385:U406)</f>
        <v/>
      </c>
    </row>
    <row r="419">
      <c r="A419" s="5" t="inlineStr">
        <is>
          <t>TOTAL DPS</t>
        </is>
      </c>
      <c r="B419" s="5">
        <f>SUM(O385:O406)</f>
        <v/>
      </c>
    </row>
    <row r="422">
      <c r="A422" s="5" t="inlineStr">
        <is>
          <t>Stat: CRIT_DAMAGE %</t>
        </is>
      </c>
    </row>
    <row r="423">
      <c r="A423" s="9" t="inlineStr">
        <is>
          <t>Key</t>
        </is>
      </c>
      <c r="B423" s="9" t="inlineStr">
        <is>
          <t>Name</t>
        </is>
      </c>
      <c r="C423" s="9" t="inlineStr">
        <is>
          <t>Unlocked</t>
        </is>
      </c>
      <c r="D423" s="9" t="inlineStr">
        <is>
          <t>InputLevel</t>
        </is>
      </c>
      <c r="E423" s="9" t="inlineStr">
        <is>
          <t>Factor</t>
        </is>
      </c>
      <c r="F423" s="9" t="inlineStr">
        <is>
          <t>CoefficientPercent</t>
        </is>
      </c>
      <c r="G423" s="9" t="inlineStr">
        <is>
          <t>EffectiveHits</t>
        </is>
      </c>
      <c r="H423" s="9" t="inlineStr">
        <is>
          <t>ProcProbability</t>
        </is>
      </c>
      <c r="I423" s="9" t="inlineStr">
        <is>
          <t>MapleHeroMultiplier</t>
        </is>
      </c>
      <c r="J423" s="9" t="inlineStr">
        <is>
          <t>BaseDamage</t>
        </is>
      </c>
      <c r="K423" s="9" t="inlineStr">
        <is>
          <t>BaseHitDamage</t>
        </is>
      </c>
      <c r="L423" s="9" t="inlineStr">
        <is>
          <t>NonCritAvg</t>
        </is>
      </c>
      <c r="M423" s="9" t="inlineStr">
        <is>
          <t>CritAvg</t>
        </is>
      </c>
      <c r="N423" s="9" t="inlineStr">
        <is>
          <t>ExpectedDamage(perHit)</t>
        </is>
      </c>
      <c r="O423" s="9" t="inlineStr">
        <is>
          <t>DPS</t>
        </is>
      </c>
      <c r="P423" s="9" t="inlineStr">
        <is>
          <t>% of Total</t>
        </is>
      </c>
      <c r="R423" t="inlineStr">
        <is>
          <t>helpers</t>
        </is>
      </c>
    </row>
    <row r="424">
      <c r="A424">
        <f>Skills!A2</f>
        <v/>
      </c>
      <c r="B424">
        <f>Skills!B2</f>
        <v/>
      </c>
      <c r="C424">
        <f>Inputs!$B$3&gt;=100</f>
        <v/>
      </c>
      <c r="D424" t="inlineStr"/>
      <c r="E424" t="inlineStr"/>
      <c r="F424">
        <f>T426+Skills!N2</f>
        <v/>
      </c>
      <c r="G424">
        <f>Calc!G2</f>
        <v/>
      </c>
      <c r="H424">
        <f>Calc!H2</f>
        <v/>
      </c>
      <c r="I424">
        <f>IF(Skills!T2&lt;&gt;"",1+(Skills!T2/10)*(Z425/1000)/100,1)</f>
        <v/>
      </c>
      <c r="J424">
        <f>((Inputs!$B$6*(1+Inputs!$B$7/100))+(((Inputs!$B$12*(1+Inputs!$B$13/100))-(Inputs!$B$12*(1+Inputs!$B$13/100)))+0.25*(Inputs!$B$14-Inputs!$B$14))*(1+Inputs!$B$7/100))*(F424/100)</f>
        <v/>
      </c>
      <c r="K424">
        <f>J424*(1+((Inputs!$B$12*(1+Inputs!$B$13/100))*0.01+Inputs!$B$14*0.0025)/100)*(1+(Inputs!$B$15+B450)/100)*(1+Inputs!$B$16/100)*(5000/(6000+Inputs!$B$42*(1-Inputs!$B$19/100)))*(1+Inputs!$B$24/100)*(1+IF(C437=TRUE,F437,0)/100)*(1+IF(C445=TRUE,F445,0)/100)^5*(1+(IF(Skills!A2="CHAIN_LIGHTNING",Inputs!$B$17,Inputs!$B$18))/100)*(B448*I424)</f>
        <v/>
      </c>
      <c r="L424">
        <f>K424*(MIN(Inputs!$B$22+(F440-Calc!F18),Inputs!$B$23)/100+Inputs!$B$23/100)/2</f>
        <v/>
      </c>
      <c r="M424">
        <f>L424*(1+((Inputs!$B$10+1)+(F443-Calc!F21))/100)</f>
        <v/>
      </c>
      <c r="N424">
        <f>L424*(1-MIN(Inputs!$B$9+((F442-Calc!F20)+(F441-Calc!F19)),100)/100)+M424*(MIN(Inputs!$B$9+((F442-Calc!F20)+(F441-Calc!F19)),100)/100)</f>
        <v/>
      </c>
      <c r="O424">
        <f>(1-Summary!$B$51)*S424+Summary!$B$51*U424</f>
        <v/>
      </c>
      <c r="P424">
        <f>IF(B458=0,0,O424/B458)</f>
        <v/>
      </c>
      <c r="Q424">
        <f>IFERROR(1/IF(Inputs!$B$38="pvp",15,MAX(0.1,Skills!D2-IF(Skills!E2=TRUE,Inputs!$B$32,0))),0)</f>
        <v/>
      </c>
      <c r="R424" t="n">
        <v>0</v>
      </c>
      <c r="S424">
        <f>IF(C424,(Skills!F2*N424*B454)*IF(Inputs!$B$38="pvp",1,1+(Inputs!$B$20+Skills!O2+B449)/100),0)</f>
        <v/>
      </c>
      <c r="T424">
        <f>MAX(0,(Inputs!$B$3-100)*3)+Inputs!$B$28+Inputs!$B$29</f>
        <v/>
      </c>
      <c r="U424">
        <f>IF(C424,(Skills!F2*N424*B454)*IF(Inputs!$B$38="pvp",1,(1+(Inputs!$B$21+Skills!P2+B449)/100)*(MIN((6+Inputs!$B$33),Inputs!$B$37))),0)</f>
        <v/>
      </c>
      <c r="Z424">
        <f>MAX(0,(Inputs!$B$3-100)*3)+Inputs!$B$28+Inputs!$B$29</f>
        <v/>
      </c>
    </row>
    <row r="425">
      <c r="A425">
        <f>Skills!A3</f>
        <v/>
      </c>
      <c r="B425">
        <f>Skills!B3</f>
        <v/>
      </c>
      <c r="C425">
        <f>Inputs!$B$3&gt;=15</f>
        <v/>
      </c>
      <c r="D425">
        <f>IF(Skills!C3=1,60+Inputs!$B$25+Inputs!$B$29,IF(Skills!C3=2,90+Inputs!$B$26+Inputs!$B$29,IF(Skills!C3=3,120+Inputs!$B$27+Inputs!$B$29,MAX(0,(Inputs!$B$3-100)*3)+Inputs!$B$28+Inputs!$B$29)))</f>
        <v/>
      </c>
      <c r="E425">
        <f>INDEX(FactorTable!$B$2:$Y$301, MATCH(ROUND(MIN(300,MAX(1,D425)),0), FactorTable!$A$2:$A$301,0), Skills!L3+1)</f>
        <v/>
      </c>
      <c r="F425">
        <f>IF(Skills!M3=TRUE,(Skills!K3/10)*(E425/1000),Skills!K3/10)+Skills!N3</f>
        <v/>
      </c>
      <c r="G425">
        <f>Calc!G3</f>
        <v/>
      </c>
      <c r="H425">
        <f>Calc!H3</f>
        <v/>
      </c>
      <c r="I425">
        <f>IF(Skills!T3&lt;&gt;"",1+(Skills!T3/10)*(Z425/1000)/100,1)</f>
        <v/>
      </c>
      <c r="J425" t="inlineStr"/>
      <c r="K425" t="inlineStr"/>
      <c r="L425" t="inlineStr"/>
      <c r="M425" t="inlineStr"/>
      <c r="N425" t="inlineStr"/>
      <c r="O425">
        <f>(1-Summary!$B$51)*S425+Summary!$B$51*U425</f>
        <v/>
      </c>
      <c r="P425">
        <f>IF(B458=0,0,O425/B458)</f>
        <v/>
      </c>
      <c r="Q425">
        <f>IFERROR(1/IF(Inputs!$B$38="pvp",15,MAX(0.1,Skills!D3-IF(Skills!E3=TRUE,Inputs!$B$32,0))),0)</f>
        <v/>
      </c>
      <c r="R425">
        <f>IF(AND(Inputs!$B$38&lt;&gt;"pvp",Inputs!$B$43&gt;0),IF(Inputs!$B$43&lt;=0,0,(INT(Inputs!$B$43/IF(Inputs!$B$38="pvp",15,MAX(0.1,Skills!D3-IF(Skills!E3=TRUE,Inputs!$B$32,0))))+1)),0)</f>
        <v/>
      </c>
      <c r="S425" t="n">
        <v>0</v>
      </c>
      <c r="T425">
        <f>INDEX(FactorTable!$B$2:$Y$301, MATCH(ROUND(MIN(300,MAX(1,T424)),0), FactorTable!$A$2:$A$301,0), 22)</f>
        <v/>
      </c>
      <c r="U425" t="n">
        <v>0</v>
      </c>
      <c r="Z425">
        <f>INDEX(FactorTable!$B$2:$Y$301, MATCH(ROUND(MIN(300,MAX(1,Z424)),0), FactorTable!$A$2:$A$301,0), 24)</f>
        <v/>
      </c>
    </row>
    <row r="426">
      <c r="A426">
        <f>Skills!A4</f>
        <v/>
      </c>
      <c r="B426">
        <f>Skills!B4</f>
        <v/>
      </c>
      <c r="C426">
        <f>Inputs!$B$3&gt;=40</f>
        <v/>
      </c>
      <c r="D426">
        <f>IF(Skills!C4=1,60+Inputs!$B$25+Inputs!$B$29,IF(Skills!C4=2,90+Inputs!$B$26+Inputs!$B$29,IF(Skills!C4=3,120+Inputs!$B$27+Inputs!$B$29,MAX(0,(Inputs!$B$3-100)*3)+Inputs!$B$28+Inputs!$B$29)))</f>
        <v/>
      </c>
      <c r="E426">
        <f>INDEX(FactorTable!$B$2:$Y$301, MATCH(ROUND(MIN(300,MAX(1,D426)),0), FactorTable!$A$2:$A$301,0), Skills!L4+1)</f>
        <v/>
      </c>
      <c r="F426">
        <f>IF(Skills!M4=TRUE,(Skills!K4/10)*(E426/1000),Skills!K4/10)+Skills!N4</f>
        <v/>
      </c>
      <c r="G426">
        <f>Calc!G4</f>
        <v/>
      </c>
      <c r="H426">
        <f>Calc!H4</f>
        <v/>
      </c>
      <c r="I426">
        <f>IF(Skills!T4&lt;&gt;"",1+(Skills!T4/10)*(Z425/1000)/100,1)</f>
        <v/>
      </c>
      <c r="J426" t="inlineStr"/>
      <c r="K426" t="inlineStr"/>
      <c r="L426" t="inlineStr"/>
      <c r="M426" t="inlineStr"/>
      <c r="N426" t="inlineStr"/>
      <c r="O426">
        <f>(1-Summary!$B$51)*S426+Summary!$B$51*U426</f>
        <v/>
      </c>
      <c r="P426">
        <f>IF(B458=0,0,O426/B458)</f>
        <v/>
      </c>
      <c r="Q426">
        <f>IFERROR(1/IF(Inputs!$B$38="pvp",15,MAX(0.1,Skills!D4-IF(Skills!E4=TRUE,Inputs!$B$32,0))),0)</f>
        <v/>
      </c>
      <c r="R426">
        <f>IF(AND(Inputs!$B$38&lt;&gt;"pvp",Inputs!$B$43&gt;0),IF(Inputs!$B$43&lt;=0,0,(INT(Inputs!$B$43/IF(Inputs!$B$38="pvp",15,MAX(0.1,Skills!D4-IF(Skills!E4=TRUE,Inputs!$B$32,0))))+1)),0)</f>
        <v/>
      </c>
      <c r="S426" t="n">
        <v>0</v>
      </c>
      <c r="T426">
        <f>290*T425/1000</f>
        <v/>
      </c>
      <c r="U426" t="n">
        <v>0</v>
      </c>
    </row>
    <row r="427">
      <c r="A427">
        <f>Skills!A5</f>
        <v/>
      </c>
      <c r="B427">
        <f>Skills!B5</f>
        <v/>
      </c>
      <c r="C427">
        <f>Inputs!$B$3&gt;=38</f>
        <v/>
      </c>
      <c r="D427">
        <f>IF(Skills!C5=1,60+Inputs!$B$25+Inputs!$B$29,IF(Skills!C5=2,90+Inputs!$B$26+Inputs!$B$29,IF(Skills!C5=3,120+Inputs!$B$27+Inputs!$B$29,MAX(0,(Inputs!$B$3-100)*3)+Inputs!$B$28+Inputs!$B$29)))</f>
        <v/>
      </c>
      <c r="E427">
        <f>INDEX(FactorTable!$B$2:$Y$301, MATCH(ROUND(MIN(300,MAX(1,D427)),0), FactorTable!$A$2:$A$301,0), Skills!L5+1)</f>
        <v/>
      </c>
      <c r="F427">
        <f>IF(Skills!M5=TRUE,(Skills!K5/10)*(E427/1000),Skills!K5/10)+Skills!N5</f>
        <v/>
      </c>
      <c r="G427">
        <f>Calc!G5</f>
        <v/>
      </c>
      <c r="H427">
        <f>Calc!H5</f>
        <v/>
      </c>
      <c r="I427">
        <f>IF(Skills!T5&lt;&gt;"",1+(Skills!T5/10)*(Z425/1000)/100,1)</f>
        <v/>
      </c>
      <c r="J427">
        <f>((Inputs!$B$6*(1+Inputs!$B$7/100))+(((Inputs!$B$12*(1+Inputs!$B$13/100))-(Inputs!$B$12*(1+Inputs!$B$13/100)))+0.25*(Inputs!$B$14-Inputs!$B$14))*(1+Inputs!$B$7/100))*(F427/100)</f>
        <v/>
      </c>
      <c r="K427">
        <f>J427*(1+((Inputs!$B$12*(1+Inputs!$B$13/100))*0.01+Inputs!$B$14*0.0025)/100)*(1+(Inputs!$B$15+B450)/100)*(1+Inputs!$B$16/100)*(5000/(6000+Inputs!$B$42*(1-Inputs!$B$19/100)))*(1+Inputs!$B$24/100)*(1+IF(C437=TRUE,F437,0)/100)*(1+IF(C445=TRUE,F445,0)/100)^5*(1+(IF(Skills!A5="CHAIN_LIGHTNING",Inputs!$B$17,Inputs!$B$18))/100)*(B448*I427)</f>
        <v/>
      </c>
      <c r="L427">
        <f>K427*(MIN(Inputs!$B$22+(F440-Calc!F18),Inputs!$B$23)/100+Inputs!$B$23/100)/2</f>
        <v/>
      </c>
      <c r="M427">
        <f>L427*(1+((Inputs!$B$10+1)+(F443-Calc!F21))/100)</f>
        <v/>
      </c>
      <c r="N427">
        <f>L427*(1-MIN(Inputs!$B$9+((F442-Calc!F20)+(F441-Calc!F19)),100)/100)+M427*(MIN(Inputs!$B$9+((F442-Calc!F20)+(F441-Calc!F19)),100)/100)</f>
        <v/>
      </c>
      <c r="O427">
        <f>(1-Summary!$B$51)*S427+Summary!$B$51*U427</f>
        <v/>
      </c>
      <c r="P427">
        <f>IF(B458=0,0,O427/B458)</f>
        <v/>
      </c>
      <c r="Q427">
        <f>IFERROR(1/IF(Inputs!$B$38="pvp",15,MAX(0.1,Skills!D5-IF(Skills!E5=TRUE,Inputs!$B$32,0))),0)</f>
        <v/>
      </c>
      <c r="R427">
        <f>IF(AND(Inputs!$B$38&lt;&gt;"pvp",Inputs!$B$43&gt;0),IF(MAX(0,Inputs!$B$43-B455)&lt;=0,0,(INT(MAX(0,Inputs!$B$43-B455)/IF(Inputs!$B$38="pvp",15,MAX(0.1,Skills!D5-IF(Skills!E5=TRUE,Inputs!$B$32,0))))+1)),0)</f>
        <v/>
      </c>
      <c r="S427">
        <f>IF(C427,(H427*N427*IF(AND(Inputs!$B$38&lt;&gt;"pvp",Inputs!$B$43&gt;0),((Skills!F5*((R427-1)*IF(Skills!G5&gt;0,Skills!H5/Skills!G5,1)+IF(Skills!G5&gt;0,MIN(Skills!H5,MAX(0,MAX(0,Inputs!$B$43-B455)-((R427-1)*IF(Inputs!$B$38="pvp",15,MAX(0.1,Skills!D5-IF(Skills!E5=TRUE,Inputs!$B$32,0))))))/Skills!G5,1)))/Inputs!$B$43),G427*Q427))*IF(Inputs!$B$38="pvp",1,1+(Inputs!$B$20+Skills!O5+B449)/100),0)</f>
        <v/>
      </c>
      <c r="U427">
        <f>IF(C427,(H427*N427*IF(AND(Inputs!$B$38&lt;&gt;"pvp",Inputs!$B$43&gt;0),((Skills!F5*((R427-1)*IF(Skills!G5&gt;0,Skills!H5/Skills!G5,1)+IF(Skills!G5&gt;0,MIN(Skills!H5,MAX(0,MAX(0,Inputs!$B$43-B455)-((R427-1)*IF(Inputs!$B$38="pvp",15,MAX(0.1,Skills!D5-IF(Skills!E5=TRUE,Inputs!$B$32,0))))))/Skills!G5,1)))/Inputs!$B$43),G427*Q427))*IF(Inputs!$B$38="pvp",1,(1+(Inputs!$B$21+Skills!P5+B449)/100)*(MIN(Skills!Q5,Inputs!$B$37))),0)</f>
        <v/>
      </c>
    </row>
    <row r="428">
      <c r="A428">
        <f>Skills!A6</f>
        <v/>
      </c>
      <c r="B428">
        <f>Skills!B6</f>
        <v/>
      </c>
      <c r="C428">
        <f>Inputs!$B$3&gt;=63</f>
        <v/>
      </c>
      <c r="D428">
        <f>IF(Skills!C6=1,60+Inputs!$B$25+Inputs!$B$29,IF(Skills!C6=2,90+Inputs!$B$26+Inputs!$B$29,IF(Skills!C6=3,120+Inputs!$B$27+Inputs!$B$29,MAX(0,(Inputs!$B$3-100)*3)+Inputs!$B$28+Inputs!$B$29)))</f>
        <v/>
      </c>
      <c r="E428">
        <f>INDEX(FactorTable!$B$2:$Y$301, MATCH(ROUND(MIN(300,MAX(1,D428)),0), FactorTable!$A$2:$A$301,0), Skills!L6+1)</f>
        <v/>
      </c>
      <c r="F428">
        <f>IF(Skills!M6=TRUE,(Skills!K6/10)*(E428/1000),Skills!K6/10)+Skills!N6</f>
        <v/>
      </c>
      <c r="G428">
        <f>Calc!G6</f>
        <v/>
      </c>
      <c r="H428">
        <f>Calc!H6</f>
        <v/>
      </c>
      <c r="I428">
        <f>IF(Skills!T6&lt;&gt;"",1+(Skills!T6/10)*(Z425/1000)/100,1)</f>
        <v/>
      </c>
      <c r="J428">
        <f>((Inputs!$B$6*(1+Inputs!$B$7/100))+(((Inputs!$B$12*(1+Inputs!$B$13/100))-(Inputs!$B$12*(1+Inputs!$B$13/100)))+0.25*(Inputs!$B$14-Inputs!$B$14))*(1+Inputs!$B$7/100))*(F428/100)</f>
        <v/>
      </c>
      <c r="K428">
        <f>J428*(1+((Inputs!$B$12*(1+Inputs!$B$13/100))*0.01+Inputs!$B$14*0.0025)/100)*(1+(Inputs!$B$15+B450)/100)*(1+Inputs!$B$16/100)*(5000/(6000+Inputs!$B$42*(1-Inputs!$B$19/100)))*(1+Inputs!$B$24/100)*(1+IF(C437=TRUE,F437,0)/100)*(1+IF(C445=TRUE,F445,0)/100)^5*(1+(IF(Skills!A6="CHAIN_LIGHTNING",Inputs!$B$17,Inputs!$B$18))/100)*(B448*I428)</f>
        <v/>
      </c>
      <c r="L428">
        <f>K428*(MIN(Inputs!$B$22+(F440-Calc!F18),Inputs!$B$23)/100+Inputs!$B$23/100)/2</f>
        <v/>
      </c>
      <c r="M428">
        <f>L428*(1+((Inputs!$B$10+1)+(F443-Calc!F21))/100)</f>
        <v/>
      </c>
      <c r="N428">
        <f>L428*(1-MIN(Inputs!$B$9+((F442-Calc!F20)+(F441-Calc!F19)),100)/100)+M428*(MIN(Inputs!$B$9+((F442-Calc!F20)+(F441-Calc!F19)),100)/100)</f>
        <v/>
      </c>
      <c r="O428">
        <f>(1-Summary!$B$51)*S428+Summary!$B$51*U428</f>
        <v/>
      </c>
      <c r="P428">
        <f>IF(B458=0,0,O428/B458)</f>
        <v/>
      </c>
      <c r="Q428">
        <f>IFERROR(1/IF(Inputs!$B$38="pvp",15,MAX(0.1,Skills!D6-IF(Skills!E6=TRUE,Inputs!$B$32,0))),0)</f>
        <v/>
      </c>
      <c r="R428">
        <f>IF(AND(Inputs!$B$38&lt;&gt;"pvp",Inputs!$B$43&gt;0),IF(MAX(0,Inputs!$B$43-B455)&lt;=0,0,(INT(MAX(0,Inputs!$B$43-B455)/IF(Inputs!$B$38="pvp",15,MAX(0.1,Skills!D6-IF(Skills!E6=TRUE,Inputs!$B$32,0))))+1)),0)</f>
        <v/>
      </c>
      <c r="S428">
        <f>IF(C428,(H428*N428*IF(AND(Inputs!$B$38&lt;&gt;"pvp",Inputs!$B$43&gt;0),((Skills!F6*((R428-1)*IF(Skills!G6&gt;0,Skills!H6/Skills!G6,1)+IF(Skills!G6&gt;0,MIN(Skills!H6,MAX(0,MAX(0,Inputs!$B$43-B455)-((R428-1)*IF(Inputs!$B$38="pvp",15,MAX(0.1,Skills!D6-IF(Skills!E6=TRUE,Inputs!$B$32,0))))))/Skills!G6,1)))/Inputs!$B$43),G428*Q428))*IF(Inputs!$B$38="pvp",1,1+(Inputs!$B$20+Skills!O6+B449)/100),0)</f>
        <v/>
      </c>
      <c r="U428">
        <f>IF(C428,(H428*N428*IF(AND(Inputs!$B$38&lt;&gt;"pvp",Inputs!$B$43&gt;0),((Skills!F6*((R428-1)*IF(Skills!G6&gt;0,Skills!H6/Skills!G6,1)+IF(Skills!G6&gt;0,MIN(Skills!H6,MAX(0,MAX(0,Inputs!$B$43-B455)-((R428-1)*IF(Inputs!$B$38="pvp",15,MAX(0.1,Skills!D6-IF(Skills!E6=TRUE,Inputs!$B$32,0))))))/Skills!G6,1)))/Inputs!$B$43),G428*Q428))*IF(Inputs!$B$38="pvp",1,(1+(Inputs!$B$21+Skills!P6+B449)/100)*(MIN(Skills!Q6,Inputs!$B$37))),0)</f>
        <v/>
      </c>
    </row>
    <row r="429">
      <c r="A429">
        <f>Skills!A7</f>
        <v/>
      </c>
      <c r="B429">
        <f>Skills!B7</f>
        <v/>
      </c>
      <c r="C429">
        <f>Inputs!$B$3&gt;=69</f>
        <v/>
      </c>
      <c r="D429">
        <f>IF(Skills!C7=1,60+Inputs!$B$25+Inputs!$B$29,IF(Skills!C7=2,90+Inputs!$B$26+Inputs!$B$29,IF(Skills!C7=3,120+Inputs!$B$27+Inputs!$B$29,MAX(0,(Inputs!$B$3-100)*3)+Inputs!$B$28+Inputs!$B$29)))</f>
        <v/>
      </c>
      <c r="E429">
        <f>INDEX(FactorTable!$B$2:$Y$301, MATCH(ROUND(MIN(300,MAX(1,D429)),0), FactorTable!$A$2:$A$301,0), Skills!L7+1)</f>
        <v/>
      </c>
      <c r="F429">
        <f>IF(Skills!M7=TRUE,(Skills!K7/10)*(E429/1000),Skills!K7/10)+Skills!N7</f>
        <v/>
      </c>
      <c r="G429">
        <f>Calc!G7</f>
        <v/>
      </c>
      <c r="H429">
        <f>Calc!H7</f>
        <v/>
      </c>
      <c r="I429">
        <f>IF(Skills!T7&lt;&gt;"",1+(Skills!T7/10)*(Z425/1000)/100,1)</f>
        <v/>
      </c>
      <c r="J429">
        <f>((Inputs!$B$6*(1+Inputs!$B$7/100))+(((Inputs!$B$12*(1+Inputs!$B$13/100))-(Inputs!$B$12*(1+Inputs!$B$13/100)))+0.25*(Inputs!$B$14-Inputs!$B$14))*(1+Inputs!$B$7/100))*(F429/100)</f>
        <v/>
      </c>
      <c r="K429">
        <f>J429*(1+((Inputs!$B$12*(1+Inputs!$B$13/100))*0.01+Inputs!$B$14*0.0025)/100)*(1+(Inputs!$B$15+B450)/100)*(1+Inputs!$B$16/100)*(5000/(6000+Inputs!$B$42*(1-Inputs!$B$19/100)))*(1+Inputs!$B$24/100)*(1+IF(C437=TRUE,F437,0)/100)*(1+IF(C445=TRUE,F445,0)/100)^5*(1+(IF(Skills!A7="CHAIN_LIGHTNING",Inputs!$B$17,Inputs!$B$18))/100)*(B448*I429)</f>
        <v/>
      </c>
      <c r="L429">
        <f>K429*(MIN(Inputs!$B$22+(F440-Calc!F18),Inputs!$B$23)/100+Inputs!$B$23/100)/2</f>
        <v/>
      </c>
      <c r="M429">
        <f>L429*(1+((Inputs!$B$10+1)+(F443-Calc!F21))/100)</f>
        <v/>
      </c>
      <c r="N429">
        <f>L429*(1-MIN(Inputs!$B$9+((F442-Calc!F20)+(F441-Calc!F19)),100)/100)+M429*(MIN(Inputs!$B$9+((F442-Calc!F20)+(F441-Calc!F19)),100)/100)</f>
        <v/>
      </c>
      <c r="O429">
        <f>(1-Summary!$B$51)*S429+Summary!$B$51*U429</f>
        <v/>
      </c>
      <c r="P429">
        <f>IF(B458=0,0,O429/B458)</f>
        <v/>
      </c>
      <c r="Q429">
        <f>IFERROR(1/IF(Inputs!$B$38="pvp",15,MAX(0.1,Skills!D7-IF(Skills!E7=TRUE,Inputs!$B$32,0))),0)</f>
        <v/>
      </c>
      <c r="R429">
        <f>IF(AND(Inputs!$B$38&lt;&gt;"pvp",Inputs!$B$43&gt;0),IF(MAX(0,Inputs!$B$43-B455)&lt;=0,0,(INT(MAX(0,Inputs!$B$43-B455)/IF(Inputs!$B$38="pvp",15,MAX(0.1,Skills!D7-IF(Skills!E7=TRUE,Inputs!$B$32,0))))+1)),0)</f>
        <v/>
      </c>
      <c r="S429">
        <f>IF(C429,(H429*N429*IF(AND(Inputs!$B$38&lt;&gt;"pvp",Inputs!$B$43&gt;0),((Skills!F7*((R429-1)*IF(Skills!G7&gt;0,Skills!H7/Skills!G7,1)+IF(Skills!G7&gt;0,MIN(Skills!H7,MAX(0,MAX(0,Inputs!$B$43-B455)-((R429-1)*IF(Inputs!$B$38="pvp",15,MAX(0.1,Skills!D7-IF(Skills!E7=TRUE,Inputs!$B$32,0))))))/Skills!G7,1)))/Inputs!$B$43),G429*Q429))*IF(Inputs!$B$38="pvp",1,1+(Inputs!$B$20+Skills!O7+B449)/100),0)</f>
        <v/>
      </c>
      <c r="U429">
        <f>IF(C429,(H429*N429*IF(AND(Inputs!$B$38&lt;&gt;"pvp",Inputs!$B$43&gt;0),((Skills!F7*((R429-1)*IF(Skills!G7&gt;0,Skills!H7/Skills!G7,1)+IF(Skills!G7&gt;0,MIN(Skills!H7,MAX(0,MAX(0,Inputs!$B$43-B455)-((R429-1)*IF(Inputs!$B$38="pvp",15,MAX(0.1,Skills!D7-IF(Skills!E7=TRUE,Inputs!$B$32,0))))))/Skills!G7,1)))/Inputs!$B$43),G429*Q429))*IF(Inputs!$B$38="pvp",1,(1+(Inputs!$B$21+Skills!P7+B449)/100)*(MIN(Skills!Q7,Inputs!$B$37))),0)</f>
        <v/>
      </c>
    </row>
    <row r="430">
      <c r="A430">
        <f>Skills!A8</f>
        <v/>
      </c>
      <c r="B430">
        <f>Skills!B8</f>
        <v/>
      </c>
      <c r="C430">
        <f>Inputs!$B$3&gt;=103</f>
        <v/>
      </c>
      <c r="D430">
        <f>IF(Skills!C8=1,60+Inputs!$B$25+Inputs!$B$29,IF(Skills!C8=2,90+Inputs!$B$26+Inputs!$B$29,IF(Skills!C8=3,120+Inputs!$B$27+Inputs!$B$29,MAX(0,(Inputs!$B$3-100)*3)+Inputs!$B$28+Inputs!$B$29)))</f>
        <v/>
      </c>
      <c r="E430">
        <f>INDEX(FactorTable!$B$2:$Y$301, MATCH(ROUND(MIN(300,MAX(1,D430)),0), FactorTable!$A$2:$A$301,0), Skills!L8+1)</f>
        <v/>
      </c>
      <c r="F430">
        <f>IF(Skills!M8=TRUE,(Skills!K8/10)*(E430/1000),Skills!K8/10)+Skills!N8</f>
        <v/>
      </c>
      <c r="G430">
        <f>Calc!G8</f>
        <v/>
      </c>
      <c r="H430">
        <f>Calc!H8</f>
        <v/>
      </c>
      <c r="I430">
        <f>IF(Skills!T8&lt;&gt;"",1+(Skills!T8/10)*(Z425/1000)/100,1)</f>
        <v/>
      </c>
      <c r="J430">
        <f>((Inputs!$B$6*(1+Inputs!$B$7/100))+(((Inputs!$B$12*(1+Inputs!$B$13/100))-(Inputs!$B$12*(1+Inputs!$B$13/100)))+0.25*(Inputs!$B$14-Inputs!$B$14))*(1+Inputs!$B$7/100))*(F430/100)</f>
        <v/>
      </c>
      <c r="K430">
        <f>J430*(1+((Inputs!$B$12*(1+Inputs!$B$13/100))*0.01+Inputs!$B$14*0.0025)/100)*(1+(Inputs!$B$15+B450)/100)*(1+Inputs!$B$16/100)*(5000/(6000+Inputs!$B$42*(1-Inputs!$B$19/100)))*(1+Inputs!$B$24/100)*(1+IF(C437=TRUE,F437,0)/100)*(1+IF(C445=TRUE,F445,0)/100)^5*(1+(IF(Skills!A8="CHAIN_LIGHTNING",Inputs!$B$17,Inputs!$B$18))/100)*(B448*I430)</f>
        <v/>
      </c>
      <c r="L430">
        <f>K430*(MIN(Inputs!$B$22+(F440-Calc!F18),Inputs!$B$23)/100+Inputs!$B$23/100)/2</f>
        <v/>
      </c>
      <c r="M430">
        <f>L430*(1+((Inputs!$B$10+1)+(F443-Calc!F21))/100)</f>
        <v/>
      </c>
      <c r="N430">
        <f>L430*(1-MIN(Inputs!$B$9+((F442-Calc!F20)+(F441-Calc!F19)),100)/100)+M430*(MIN(Inputs!$B$9+((F442-Calc!F20)+(F441-Calc!F19)),100)/100)</f>
        <v/>
      </c>
      <c r="O430">
        <f>(1-Summary!$B$51)*S430+Summary!$B$51*U430</f>
        <v/>
      </c>
      <c r="P430">
        <f>IF(B458=0,0,O430/B458)</f>
        <v/>
      </c>
      <c r="Q430">
        <f>IFERROR(1/IF(Inputs!$B$38="pvp",15,MAX(0.1,Skills!D8-IF(Skills!E8=TRUE,Inputs!$B$32,0))),0)</f>
        <v/>
      </c>
      <c r="R430">
        <f>IF(AND(Inputs!$B$38&lt;&gt;"pvp",Inputs!$B$43&gt;0),IF(MAX(0,Inputs!$B$43-B455)&lt;=0,0,(INT(MAX(0,Inputs!$B$43-B455)/IF(Inputs!$B$38="pvp",15,MAX(0.1,Skills!D8-IF(Skills!E8=TRUE,Inputs!$B$32,0))))+1)),0)</f>
        <v/>
      </c>
      <c r="S430">
        <f>IF(C430,(H430*N430*IF(AND(Inputs!$B$38&lt;&gt;"pvp",Inputs!$B$43&gt;0),((Skills!F8*((R430-1)*IF(Skills!G8&gt;0,Skills!H8/Skills!G8,1)+IF(Skills!G8&gt;0,MIN(Skills!H8,MAX(0,MAX(0,Inputs!$B$43-B455)-((R430-1)*IF(Inputs!$B$38="pvp",15,MAX(0.1,Skills!D8-IF(Skills!E8=TRUE,Inputs!$B$32,0))))))/Skills!G8,1)))/Inputs!$B$43),G430*Q430))*IF(Inputs!$B$38="pvp",1,1+(Inputs!$B$20+Skills!O8+B449)/100),0)</f>
        <v/>
      </c>
      <c r="U430">
        <f>IF(C430,(H430*N430*IF(AND(Inputs!$B$38&lt;&gt;"pvp",Inputs!$B$43&gt;0),((Skills!F8*((R430-1)*IF(Skills!G8&gt;0,Skills!H8/Skills!G8,1)+IF(Skills!G8&gt;0,MIN(Skills!H8,MAX(0,MAX(0,Inputs!$B$43-B455)-((R430-1)*IF(Inputs!$B$38="pvp",15,MAX(0.1,Skills!D8-IF(Skills!E8=TRUE,Inputs!$B$32,0))))))/Skills!G8,1)))/Inputs!$B$43),G430*Q430))*IF(Inputs!$B$38="pvp",1,(1+(Inputs!$B$21+Skills!P8+B449)/100)*(MIN(Skills!Q8,Inputs!$B$37))),0)</f>
        <v/>
      </c>
    </row>
    <row r="431">
      <c r="A431">
        <f>Skills!A9</f>
        <v/>
      </c>
      <c r="B431">
        <f>Skills!B9</f>
        <v/>
      </c>
      <c r="C431">
        <f>Inputs!$B$3&gt;=105</f>
        <v/>
      </c>
      <c r="D431">
        <f>IF(Skills!C9=1,60+Inputs!$B$25+Inputs!$B$29,IF(Skills!C9=2,90+Inputs!$B$26+Inputs!$B$29,IF(Skills!C9=3,120+Inputs!$B$27+Inputs!$B$29,MAX(0,(Inputs!$B$3-100)*3)+Inputs!$B$28+Inputs!$B$29)))</f>
        <v/>
      </c>
      <c r="E431">
        <f>INDEX(FactorTable!$B$2:$Y$301, MATCH(ROUND(MIN(300,MAX(1,D431)),0), FactorTable!$A$2:$A$301,0), Skills!L9+1)</f>
        <v/>
      </c>
      <c r="F431">
        <f>IF(Skills!M9=TRUE,(Skills!K9/10)*(E431/1000),Skills!K9/10)+Skills!N9</f>
        <v/>
      </c>
      <c r="G431">
        <f>Calc!G9</f>
        <v/>
      </c>
      <c r="H431">
        <f>Calc!H9</f>
        <v/>
      </c>
      <c r="I431">
        <f>IF(Skills!T9&lt;&gt;"",1+(Skills!T9/10)*(Z425/1000)/100,1)</f>
        <v/>
      </c>
      <c r="J431">
        <f>((Inputs!$B$6*(1+Inputs!$B$7/100))+(((Inputs!$B$12*(1+Inputs!$B$13/100))-(Inputs!$B$12*(1+Inputs!$B$13/100)))+0.25*(Inputs!$B$14-Inputs!$B$14))*(1+Inputs!$B$7/100))*(F431/100)</f>
        <v/>
      </c>
      <c r="K431">
        <f>J431*(1+((Inputs!$B$12*(1+Inputs!$B$13/100))*0.01+Inputs!$B$14*0.0025)/100)*(1+(Inputs!$B$15+B450)/100)*(1+Inputs!$B$16/100)*(5000/(6000+Inputs!$B$42*(1-Inputs!$B$19/100)))*(1+Inputs!$B$24/100)*(1+IF(C437=TRUE,F437,0)/100)*(1+IF(C445=TRUE,F445,0)/100)^5*(1+(IF(Skills!A9="CHAIN_LIGHTNING",Inputs!$B$17,Inputs!$B$18))/100)*(B448*I431)</f>
        <v/>
      </c>
      <c r="L431">
        <f>K431*(MIN(Inputs!$B$22+(F440-Calc!F18),Inputs!$B$23)/100+Inputs!$B$23/100)/2</f>
        <v/>
      </c>
      <c r="M431">
        <f>L431*(1+((Inputs!$B$10+1)+(F443-Calc!F21))/100)</f>
        <v/>
      </c>
      <c r="N431">
        <f>L431*(1-MIN(Inputs!$B$9+((F442-Calc!F20)+(F441-Calc!F19)),100)/100)+M431*(MIN(Inputs!$B$9+((F442-Calc!F20)+(F441-Calc!F19)),100)/100)</f>
        <v/>
      </c>
      <c r="O431">
        <f>(1-Summary!$B$51)*S431+Summary!$B$51*U431</f>
        <v/>
      </c>
      <c r="P431">
        <f>IF(B458=0,0,O431/B458)</f>
        <v/>
      </c>
      <c r="Q431">
        <f>IFERROR(1/IF(Inputs!$B$38="pvp",15,MAX(0.1,Skills!D9-IF(Skills!E9=TRUE,Inputs!$B$32,0))),0)</f>
        <v/>
      </c>
      <c r="R431">
        <f>IF(AND(Inputs!$B$38&lt;&gt;"pvp",Inputs!$B$43&gt;0),IF(MAX(0,Inputs!$B$43-B455)&lt;=0,0,(INT(MAX(0,Inputs!$B$43-B455)/IF(Inputs!$B$38="pvp",15,MAX(0.1,Skills!D9-IF(Skills!E9=TRUE,Inputs!$B$32,0))))+1)),0)</f>
        <v/>
      </c>
      <c r="S431">
        <f>IF(C431,(H431*N431*IF(AND(Inputs!$B$38&lt;&gt;"pvp",Inputs!$B$43&gt;0),((Skills!F9*((R431-1)*IF(Skills!G9&gt;0,Skills!H9/Skills!G9,1)+IF(Skills!G9&gt;0,MIN(Skills!H9,MAX(0,MAX(0,Inputs!$B$43-B455)-((R431-1)*IF(Inputs!$B$38="pvp",15,MAX(0.1,Skills!D9-IF(Skills!E9=TRUE,Inputs!$B$32,0))))))/Skills!G9,1)))/Inputs!$B$43),G431*Q431))*IF(Inputs!$B$38="pvp",1,1+(Inputs!$B$20+Skills!O9+B449)/100),0)</f>
        <v/>
      </c>
      <c r="U431">
        <f>IF(C431,(H431*N431*IF(AND(Inputs!$B$38&lt;&gt;"pvp",Inputs!$B$43&gt;0),((Skills!F9*((R431-1)*IF(Skills!G9&gt;0,Skills!H9/Skills!G9,1)+IF(Skills!G9&gt;0,MIN(Skills!H9,MAX(0,MAX(0,Inputs!$B$43-B455)-((R431-1)*IF(Inputs!$B$38="pvp",15,MAX(0.1,Skills!D9-IF(Skills!E9=TRUE,Inputs!$B$32,0))))))/Skills!G9,1)))/Inputs!$B$43),G431*Q431))*IF(Inputs!$B$38="pvp",1,(1+(Inputs!$B$21+Skills!P9+B449)/100)*(MIN(Skills!Q9,Inputs!$B$37))),0)</f>
        <v/>
      </c>
    </row>
    <row r="432">
      <c r="A432">
        <f>Skills!A10</f>
        <v/>
      </c>
      <c r="B432">
        <f>Skills!B10</f>
        <v/>
      </c>
      <c r="C432">
        <f>Inputs!$B$3&gt;=113</f>
        <v/>
      </c>
      <c r="D432">
        <f>IF(Skills!C10=1,60+Inputs!$B$25+Inputs!$B$29,IF(Skills!C10=2,90+Inputs!$B$26+Inputs!$B$29,IF(Skills!C10=3,120+Inputs!$B$27+Inputs!$B$29,MAX(0,(Inputs!$B$3-100)*3)+Inputs!$B$28+Inputs!$B$29)))</f>
        <v/>
      </c>
      <c r="E432">
        <f>INDEX(FactorTable!$B$2:$Y$301, MATCH(ROUND(MIN(300,MAX(1,D432)),0), FactorTable!$A$2:$A$301,0), Skills!L10+1)</f>
        <v/>
      </c>
      <c r="F432">
        <f>IF(Skills!M10=TRUE,(Skills!K10/10)*(E432/1000),Skills!K10/10)+Skills!N10</f>
        <v/>
      </c>
      <c r="G432">
        <f>Calc!G10</f>
        <v/>
      </c>
      <c r="H432">
        <f>Calc!H10</f>
        <v/>
      </c>
      <c r="I432">
        <f>IF(Skills!T10&lt;&gt;"",1+(Skills!T10/10)*(Z425/1000)/100,1)</f>
        <v/>
      </c>
      <c r="J432">
        <f>((Inputs!$B$6*(1+Inputs!$B$7/100))+(((Inputs!$B$12*(1+Inputs!$B$13/100))-(Inputs!$B$12*(1+Inputs!$B$13/100)))+0.25*(Inputs!$B$14-Inputs!$B$14))*(1+Inputs!$B$7/100))*(F432/100)</f>
        <v/>
      </c>
      <c r="K432">
        <f>J432*(1+((Inputs!$B$12*(1+Inputs!$B$13/100))*0.01+Inputs!$B$14*0.0025)/100)*(1+(Inputs!$B$15+B450)/100)*(1+Inputs!$B$16/100)*(5000/(6000+Inputs!$B$42*(1-Inputs!$B$19/100)))*(1+Inputs!$B$24/100)*(1+IF(C437=TRUE,F437,0)/100)*(1+IF(C445=TRUE,F445,0)/100)^5*(1+(IF(Skills!A10="CHAIN_LIGHTNING",Inputs!$B$17,Inputs!$B$18))/100)*(B448*I432)</f>
        <v/>
      </c>
      <c r="L432">
        <f>K432*(MIN(Inputs!$B$22+(F440-Calc!F18),Inputs!$B$23)/100+Inputs!$B$23/100)/2</f>
        <v/>
      </c>
      <c r="M432">
        <f>L432*(1+((Inputs!$B$10+1)+(F443-Calc!F21))/100)</f>
        <v/>
      </c>
      <c r="N432">
        <f>L432*(1-MIN(Inputs!$B$9+((F442-Calc!F20)+(F441-Calc!F19)),100)/100)+M432*(MIN(Inputs!$B$9+((F442-Calc!F20)+(F441-Calc!F19)),100)/100)</f>
        <v/>
      </c>
      <c r="O432">
        <f>(1-Summary!$B$51)*S432+Summary!$B$51*U432</f>
        <v/>
      </c>
      <c r="P432">
        <f>IF(B458=0,0,O432/B458)</f>
        <v/>
      </c>
      <c r="Q432">
        <f>IFERROR(1/IF(Inputs!$B$38="pvp",15,MAX(0.1,Skills!D10-IF(Skills!E9=TRUE,Inputs!$B$32,0))),0)</f>
        <v/>
      </c>
      <c r="R432">
        <f>IF(AND(Inputs!$B$38&lt;&gt;"pvp",Inputs!$B$43&gt;0),IF(MAX(0,Inputs!$B$43-B455)&lt;=0,0,(INT(MAX(0,Inputs!$B$43-B455)/IF(Inputs!$B$38="pvp",15,MAX(0.1,Skills!D10-IF(Skills!E9=TRUE,Inputs!$B$32,0))))+1)),0)</f>
        <v/>
      </c>
      <c r="S432">
        <f>IF(C432,(H432*N432*IF(AND(Inputs!$B$38&lt;&gt;"pvp",Inputs!$B$43&gt;0),((Skills!F10*((R432-1)*IF(Skills!G10&gt;0,Skills!H10/Skills!G10,1)+IF(Skills!G10&gt;0,MIN(Skills!H10,MAX(0,MAX(0,Inputs!$B$43-B455)-((R432-1)*IF(Inputs!$B$38="pvp",15,MAX(0.1,Skills!D10-IF(Skills!E9=TRUE,Inputs!$B$32,0))))))/Skills!G10,1)))/Inputs!$B$43),G432*Q432))*IF(Inputs!$B$38="pvp",1,1+(Inputs!$B$20+Skills!O10+B449)/100),0)</f>
        <v/>
      </c>
      <c r="U432">
        <f>IF(C432,(H432*N432*IF(AND(Inputs!$B$38&lt;&gt;"pvp",Inputs!$B$43&gt;0),((Skills!F10*((R432-1)*IF(Skills!G10&gt;0,Skills!H10/Skills!G10,1)+IF(Skills!G10&gt;0,MIN(Skills!H10,MAX(0,MAX(0,Inputs!$B$43-B455)-((R432-1)*IF(Inputs!$B$38="pvp",15,MAX(0.1,Skills!D10-IF(Skills!E9=TRUE,Inputs!$B$32,0))))))/Skills!G10,1)))/Inputs!$B$43),G432*Q432))*IF(Inputs!$B$38="pvp",1,(1+(Inputs!$B$21+Skills!P10+B449)/100)*(MIN(Skills!Q10,Inputs!$B$37))),0)</f>
        <v/>
      </c>
    </row>
    <row r="433">
      <c r="A433">
        <f>Skills!A11</f>
        <v/>
      </c>
      <c r="B433">
        <f>Skills!B11</f>
        <v/>
      </c>
      <c r="C433">
        <f>Inputs!$B$3&gt;=107</f>
        <v/>
      </c>
      <c r="D433">
        <f>IF(Skills!C11=1,60+Inputs!$B$25+Inputs!$B$29,IF(Skills!C11=2,90+Inputs!$B$26+Inputs!$B$29,IF(Skills!C11=3,120+Inputs!$B$27+Inputs!$B$29,MAX(0,(Inputs!$B$3-100)*3)+Inputs!$B$28+Inputs!$B$29)))</f>
        <v/>
      </c>
      <c r="E433">
        <f>INDEX(FactorTable!$B$2:$Y$301, MATCH(ROUND(MIN(300,MAX(1,D433)),0), FactorTable!$A$2:$A$301,0), Skills!L11+1)</f>
        <v/>
      </c>
      <c r="F433">
        <f>IF(Skills!M11=TRUE,(Skills!K11/10)*(E433/1000),Skills!K11/10)+Skills!N11</f>
        <v/>
      </c>
      <c r="G433">
        <f>Calc!G11</f>
        <v/>
      </c>
      <c r="H433">
        <f>Calc!H11</f>
        <v/>
      </c>
      <c r="I433">
        <f>IF(Skills!T11&lt;&gt;"",1+(Skills!T11/10)*(Z425/1000)/100,1)</f>
        <v/>
      </c>
      <c r="J433">
        <f>((Inputs!$B$6*(1+Inputs!$B$7/100))+(((Inputs!$B$12*(1+Inputs!$B$13/100))-(Inputs!$B$12*(1+Inputs!$B$13/100)))+0.25*(Inputs!$B$14-Inputs!$B$14))*(1+Inputs!$B$7/100))*(F433/100)</f>
        <v/>
      </c>
      <c r="K433">
        <f>J433*(1+((Inputs!$B$12*(1+Inputs!$B$13/100))*0.01+Inputs!$B$14*0.0025)/100)*(1+(Inputs!$B$15+B450)/100)*(1+Inputs!$B$16/100)*(5000/(6000+Inputs!$B$42*(1-Inputs!$B$19/100)))*(1+Inputs!$B$24/100)*(1+IF(C437=TRUE,F437,0)/100)*(1+IF(C445=TRUE,F445,0)/100)^5*(1+(IF(Skills!A11="CHAIN_LIGHTNING",Inputs!$B$17,Inputs!$B$18))/100)*(B448*I433)</f>
        <v/>
      </c>
      <c r="L433">
        <f>K433*(MIN(Inputs!$B$22+(F440-Calc!F18),Inputs!$B$23)/100+Inputs!$B$23/100)/2</f>
        <v/>
      </c>
      <c r="M433">
        <f>L433*(1+((Inputs!$B$10+1)+(F443-Calc!F21))/100)</f>
        <v/>
      </c>
      <c r="N433">
        <f>L433*(1-MIN(Inputs!$B$9+((F442-Calc!F20)+(F441-Calc!F19)),100)/100)+M433*(MIN(Inputs!$B$9+((F442-Calc!F20)+(F441-Calc!F19)),100)/100)</f>
        <v/>
      </c>
      <c r="O433">
        <f>(1-Summary!$B$51)*S433+Summary!$B$51*U433</f>
        <v/>
      </c>
      <c r="P433">
        <f>IF(B458=0,0,O433/B458)</f>
        <v/>
      </c>
      <c r="Q433">
        <f>IFERROR(1/IF(Inputs!$B$38="pvp",15,MAX(0.1,Skills!D11-IF(Skills!E11=TRUE,Inputs!$B$32,0))),0)</f>
        <v/>
      </c>
      <c r="R433">
        <f>IF(AND(Inputs!$B$38&lt;&gt;"pvp",Inputs!$B$43&gt;0),IF(MAX(0,Inputs!$B$43-B455)&lt;=0,0,(INT(MAX(0,Inputs!$B$43-B455)/IF(Inputs!$B$38="pvp",15,MAX(0.1,Skills!D11-IF(Skills!E11=TRUE,Inputs!$B$32,0))))+1)),0)</f>
        <v/>
      </c>
      <c r="S433">
        <f>IF(C433,H433*N433*IF(AND(Inputs!$B$38&lt;&gt;"pvp",Inputs!$B$43&gt;0),((Skills!F11*((R433-1)*IF(Skills!G11&gt;0,Skills!H11/Skills!G11,1)+IF(Skills!G11&gt;0,MIN(Skills!H11,MAX(0,MAX(0,Inputs!$B$43-B455)-((R433-1)*IF(Inputs!$B$38="pvp",15,MAX(0.1,Skills!D11-IF(Skills!E11=TRUE,Inputs!$B$32,0))))))/Skills!G11,1)))/Inputs!$B$43),G433*Q433)*0.5*IF(Inputs!$B$38="pvp",1,1+(Inputs!$B$20+Skills!O11+B449)/100),0)</f>
        <v/>
      </c>
      <c r="U433">
        <f>IF(C433,H433*N433*IF(AND(Inputs!$B$38&lt;&gt;"pvp",Inputs!$B$43&gt;0),((Skills!F11*((R433-1)*IF(Skills!G11&gt;0,Skills!H11/Skills!G11,1)+IF(Skills!G11&gt;0,MIN(Skills!H11,MAX(0,MAX(0,Inputs!$B$43-B455)-((R433-1)*IF(Inputs!$B$38="pvp",15,MAX(0.1,Skills!D11-IF(Skills!E11=TRUE,Inputs!$B$32,0))))))/Skills!G11,1)))/Inputs!$B$43),G433*Q433)*1*IF(Inputs!$B$38="pvp",1,(1+(Inputs!$B$21+Skills!P11+B449)/100)*(MIN(Skills!Q11,Inputs!$B$37))),0)</f>
        <v/>
      </c>
    </row>
    <row r="434">
      <c r="A434">
        <f>Skills!A12</f>
        <v/>
      </c>
      <c r="B434">
        <f>Skills!B12</f>
        <v/>
      </c>
      <c r="C434">
        <f>Inputs!$B$3&gt;=115</f>
        <v/>
      </c>
      <c r="D434">
        <f>IF(Skills!C12=1,60+Inputs!$B$25+Inputs!$B$29,IF(Skills!C12=2,90+Inputs!$B$26+Inputs!$B$29,IF(Skills!C12=3,120+Inputs!$B$27+Inputs!$B$29,MAX(0,(Inputs!$B$3-100)*3)+Inputs!$B$28+Inputs!$B$29)))</f>
        <v/>
      </c>
      <c r="E434">
        <f>INDEX(FactorTable!$B$2:$Y$301, MATCH(ROUND(MIN(300,MAX(1,D434)),0), FactorTable!$A$2:$A$301,0), Skills!L12+1)</f>
        <v/>
      </c>
      <c r="F434">
        <f>IF(Skills!M12=TRUE,(Skills!K12/10)*(E434/1000),Skills!K12/10)+Skills!N12</f>
        <v/>
      </c>
      <c r="G434">
        <f>Calc!G12</f>
        <v/>
      </c>
      <c r="H434">
        <f>Calc!H12</f>
        <v/>
      </c>
      <c r="I434">
        <f>IF(Skills!T12&lt;&gt;"",1+(Skills!T12/10)*(Z425/1000)/100,1)</f>
        <v/>
      </c>
      <c r="J434">
        <f>((Inputs!$B$6*(1+Inputs!$B$7/100))+(((Inputs!$B$12*(1+Inputs!$B$13/100))-(Inputs!$B$12*(1+Inputs!$B$13/100)))+0.25*(Inputs!$B$14-Inputs!$B$14))*(1+Inputs!$B$7/100))*(F434/100)</f>
        <v/>
      </c>
      <c r="K434">
        <f>J434*(1+((Inputs!$B$12*(1+Inputs!$B$13/100))*0.01+Inputs!$B$14*0.0025)/100)*(1+(Inputs!$B$15+B450)/100)*(1+Inputs!$B$16/100)*(5000/(6000+Inputs!$B$42*(1-Inputs!$B$19/100)))*(1+Inputs!$B$24/100)*(1+IF(C437=TRUE,F437,0)/100)*(1+IF(C445=TRUE,F445,0)/100)^5*(1+(IF(Skills!A12="CHAIN_LIGHTNING",Inputs!$B$17,Inputs!$B$18))/100)*(B448*I434)</f>
        <v/>
      </c>
      <c r="L434">
        <f>K434*(MIN(Inputs!$B$22+(F440-Calc!F18),Inputs!$B$23)/100+Inputs!$B$23/100)/2</f>
        <v/>
      </c>
      <c r="M434">
        <f>L434*(1+((Inputs!$B$10+1)+(F443-Calc!F21))/100)</f>
        <v/>
      </c>
      <c r="N434">
        <f>L434*(1-MIN(Inputs!$B$9+((F442-Calc!F20)+(F441-Calc!F19)),100)/100)+M434*(MIN(Inputs!$B$9+((F442-Calc!F20)+(F441-Calc!F19)),100)/100)</f>
        <v/>
      </c>
      <c r="O434">
        <f>(1-Summary!$B$51)*S434+Summary!$B$51*U434</f>
        <v/>
      </c>
      <c r="P434">
        <f>IF(B458=0,0,O434/B458)</f>
        <v/>
      </c>
      <c r="Q434">
        <f>IFERROR(1/IF(Inputs!$B$38="pvp",15,MAX(0.1,Skills!D12-IF(Skills!E12=TRUE,Inputs!$B$32,0))),0)</f>
        <v/>
      </c>
      <c r="R434">
        <f>IF(AND(Inputs!$B$38&lt;&gt;"pvp",Inputs!$B$43&gt;0),IF(MAX(0,Inputs!$B$43-B455)&lt;=0,0,(INT(MAX(0,Inputs!$B$43-B455)/IF(Inputs!$B$38="pvp",15,MAX(0.1,Skills!D12-IF(Skills!E12=TRUE,Inputs!$B$32,0))))+1)),0)</f>
        <v/>
      </c>
      <c r="S434">
        <f>IF(C434,(H434*N434*IF(AND(Inputs!$B$38&lt;&gt;"pvp",Inputs!$B$43&gt;0),((Skills!F12*((R434-1)*IF(Skills!G12&gt;0,Skills!H12/Skills!G12,1)+IF(Skills!G12&gt;0,MIN(Skills!H12,MAX(0,MAX(0,Inputs!$B$43-B455)-((R434-1)*IF(Inputs!$B$38="pvp",15,MAX(0.1,Skills!D12-IF(Skills!E12=TRUE,Inputs!$B$32,0))))))/Skills!G12,1)))/Inputs!$B$43),G434*Q434))*IF(Inputs!$B$38="pvp",1,1+(Inputs!$B$20+Skills!O12+B449)/100),0)</f>
        <v/>
      </c>
      <c r="U434">
        <f>IF(C434,(H434*N434*IF(AND(Inputs!$B$38&lt;&gt;"pvp",Inputs!$B$43&gt;0),((Skills!F12*((R434-1)*IF(Skills!G12&gt;0,Skills!H12/Skills!G12,1)+IF(Skills!G12&gt;0,MIN(Skills!H12,MAX(0,MAX(0,Inputs!$B$43-B455)-((R434-1)*IF(Inputs!$B$38="pvp",15,MAX(0.1,Skills!D12-IF(Skills!E12=TRUE,Inputs!$B$32,0))))))/Skills!G12,1)))/Inputs!$B$43),G434*Q434))*IF(Inputs!$B$38="pvp",1,(1+(Inputs!$B$21+Skills!P12+B449)/100)*(MIN(Skills!Q12,Inputs!$B$37))),0)</f>
        <v/>
      </c>
    </row>
    <row r="435">
      <c r="A435">
        <f>Skills!A13</f>
        <v/>
      </c>
      <c r="B435">
        <f>Skills!B13</f>
        <v/>
      </c>
      <c r="C435">
        <f>Inputs!$B$3&gt;=49</f>
        <v/>
      </c>
      <c r="D435">
        <f>IF(Skills!C13=1,60+Inputs!$B$25+Inputs!$B$29,IF(Skills!C13=2,90+Inputs!$B$26+Inputs!$B$29,IF(Skills!C13=3,120+Inputs!$B$27+Inputs!$B$29,MAX(0,(Inputs!$B$3-100)*3)+Inputs!$B$28+Inputs!$B$29)))</f>
        <v/>
      </c>
      <c r="E435">
        <f>INDEX(FactorTable!$B$2:$Y$301, MATCH(ROUND(MIN(300,MAX(1,D435)),0), FactorTable!$A$2:$A$301,0), Skills!L13+1)</f>
        <v/>
      </c>
      <c r="F435">
        <f>IF(Skills!M13=TRUE,(Skills!K13/10)*(E435/1000),Skills!K13/10)+Skills!N13</f>
        <v/>
      </c>
      <c r="G435">
        <f>Calc!G13</f>
        <v/>
      </c>
      <c r="H435">
        <f>Calc!H13</f>
        <v/>
      </c>
      <c r="I435">
        <f>IF(Skills!T13&lt;&gt;"",1+(Skills!T13/10)*(Z425/1000)/100,1)</f>
        <v/>
      </c>
      <c r="J435" t="inlineStr"/>
      <c r="K435" t="inlineStr"/>
      <c r="L435" t="inlineStr"/>
      <c r="M435" t="inlineStr"/>
      <c r="N435" t="inlineStr"/>
      <c r="O435">
        <f>(1-Summary!$B$51)*S435+Summary!$B$51*U435</f>
        <v/>
      </c>
      <c r="P435">
        <f>IF(B458=0,0,O435/B458)</f>
        <v/>
      </c>
      <c r="Q435">
        <f>IFERROR(1/IF(Inputs!$B$38="pvp",15,MAX(0.1,Skills!D13-IF(Skills!E13=TRUE,Inputs!$B$32,0))),0)</f>
        <v/>
      </c>
      <c r="R435" t="n">
        <v>0</v>
      </c>
      <c r="S435" t="n">
        <v>0</v>
      </c>
      <c r="U435" t="n">
        <v>0</v>
      </c>
    </row>
    <row r="436">
      <c r="A436">
        <f>Skills!A14</f>
        <v/>
      </c>
      <c r="B436">
        <f>Skills!B14</f>
        <v/>
      </c>
      <c r="C436">
        <f>Inputs!$B$3&gt;=72</f>
        <v/>
      </c>
      <c r="D436">
        <f>IF(Skills!C14=1,60+Inputs!$B$25+Inputs!$B$29,IF(Skills!C14=2,90+Inputs!$B$26+Inputs!$B$29,IF(Skills!C14=3,120+Inputs!$B$27+Inputs!$B$29,MAX(0,(Inputs!$B$3-100)*3)+Inputs!$B$28+Inputs!$B$29)))</f>
        <v/>
      </c>
      <c r="E436">
        <f>INDEX(FactorTable!$B$2:$Y$301, MATCH(ROUND(MIN(300,MAX(1,D436)),0), FactorTable!$A$2:$A$301,0), Skills!L14+1)</f>
        <v/>
      </c>
      <c r="F436">
        <f>IF(Skills!M14=TRUE,(Skills!K14/10)*(E436/1000),Skills!K14/10)+Skills!N14</f>
        <v/>
      </c>
      <c r="G436">
        <f>Calc!G14</f>
        <v/>
      </c>
      <c r="H436">
        <f>Calc!H14</f>
        <v/>
      </c>
      <c r="I436">
        <f>IF(Skills!T14&lt;&gt;"",1+(Skills!T14/10)*(Z425/1000)/100,1)</f>
        <v/>
      </c>
      <c r="J436" t="inlineStr"/>
      <c r="K436" t="inlineStr"/>
      <c r="L436" t="inlineStr"/>
      <c r="M436" t="inlineStr"/>
      <c r="N436" t="inlineStr"/>
      <c r="O436">
        <f>(1-Summary!$B$51)*S436+Summary!$B$51*U436</f>
        <v/>
      </c>
      <c r="P436">
        <f>IF(B458=0,0,O436/B458)</f>
        <v/>
      </c>
      <c r="Q436">
        <f>IFERROR(1/IF(Inputs!$B$38="pvp",15,MAX(0.1,Skills!D14-IF(Skills!E14=TRUE,Inputs!$B$32,0))),0)</f>
        <v/>
      </c>
      <c r="R436" t="n">
        <v>0</v>
      </c>
      <c r="S436" t="n">
        <v>0</v>
      </c>
      <c r="U436" t="n">
        <v>0</v>
      </c>
    </row>
    <row r="437">
      <c r="A437">
        <f>Skills!A15</f>
        <v/>
      </c>
      <c r="B437">
        <f>Skills!B15</f>
        <v/>
      </c>
      <c r="C437">
        <f>Inputs!$B$3&gt;=75</f>
        <v/>
      </c>
      <c r="D437">
        <f>IF(Skills!C15=1,60+Inputs!$B$25+Inputs!$B$29,IF(Skills!C15=2,90+Inputs!$B$26+Inputs!$B$29,IF(Skills!C15=3,120+Inputs!$B$27+Inputs!$B$29,MAX(0,(Inputs!$B$3-100)*3)+Inputs!$B$28+Inputs!$B$29)))</f>
        <v/>
      </c>
      <c r="E437">
        <f>INDEX(FactorTable!$B$2:$Y$301, MATCH(ROUND(MIN(300,MAX(1,D437)),0), FactorTable!$A$2:$A$301,0), Skills!L15+1)</f>
        <v/>
      </c>
      <c r="F437">
        <f>IF(Skills!M15=TRUE,(Skills!K15/10)*(E437/1000),Skills!K15/10)+Skills!N15</f>
        <v/>
      </c>
      <c r="G437">
        <f>Calc!G15</f>
        <v/>
      </c>
      <c r="H437">
        <f>Calc!H15</f>
        <v/>
      </c>
      <c r="I437">
        <f>IF(Skills!T15&lt;&gt;"",1+(Skills!T15/10)*(Z425/1000)/100,1)</f>
        <v/>
      </c>
      <c r="J437" t="inlineStr"/>
      <c r="K437" t="inlineStr"/>
      <c r="L437" t="inlineStr"/>
      <c r="M437" t="inlineStr"/>
      <c r="N437" t="inlineStr"/>
      <c r="O437">
        <f>(1-Summary!$B$51)*S437+Summary!$B$51*U437</f>
        <v/>
      </c>
      <c r="P437">
        <f>IF(B458=0,0,O437/B458)</f>
        <v/>
      </c>
      <c r="Q437">
        <f>IFERROR(1/IF(Inputs!$B$38="pvp",15,MAX(0.1,Skills!D15-IF(Skills!E15=TRUE,Inputs!$B$32,0))),0)</f>
        <v/>
      </c>
      <c r="R437" t="n">
        <v>0</v>
      </c>
      <c r="S437" t="n">
        <v>0</v>
      </c>
      <c r="U437" t="n">
        <v>0</v>
      </c>
    </row>
    <row r="438">
      <c r="A438">
        <f>Skills!A16</f>
        <v/>
      </c>
      <c r="B438">
        <f>Skills!B16</f>
        <v/>
      </c>
      <c r="C438">
        <f>Inputs!$B$3&gt;=110</f>
        <v/>
      </c>
      <c r="D438">
        <f>IF(Skills!C16=1,60+Inputs!$B$25+Inputs!$B$29,IF(Skills!C16=2,90+Inputs!$B$26+Inputs!$B$29,IF(Skills!C16=3,120+Inputs!$B$27+Inputs!$B$29,MAX(0,(Inputs!$B$3-100)*3)+Inputs!$B$28+Inputs!$B$29)))</f>
        <v/>
      </c>
      <c r="E438">
        <f>INDEX(FactorTable!$B$2:$Y$301, MATCH(ROUND(MIN(300,MAX(1,D438)),0), FactorTable!$A$2:$A$301,0), Skills!L16+1)</f>
        <v/>
      </c>
      <c r="F438">
        <f>(Skills!K16/10)*(E438/1000)*64/45+Skills!N16</f>
        <v/>
      </c>
      <c r="G438">
        <f>Calc!G16</f>
        <v/>
      </c>
      <c r="H438">
        <f>Calc!H16</f>
        <v/>
      </c>
      <c r="I438">
        <f>IF(Skills!T16&lt;&gt;"",1+(Skills!T16/10)*(Z425/1000)/100,1)</f>
        <v/>
      </c>
      <c r="J438" t="inlineStr"/>
      <c r="K438" t="inlineStr"/>
      <c r="L438" t="inlineStr"/>
      <c r="M438" t="inlineStr"/>
      <c r="N438" t="inlineStr"/>
      <c r="O438">
        <f>(1-Summary!$B$51)*S438+Summary!$B$51*U438</f>
        <v/>
      </c>
      <c r="P438">
        <f>IF(B458=0,0,O438/B458)</f>
        <v/>
      </c>
      <c r="Q438">
        <f>IFERROR(1/IF(Inputs!$B$38="pvp",15,MAX(0.1,Skills!D16-IF(Skills!E16=TRUE,Inputs!$B$32,0))),0)</f>
        <v/>
      </c>
      <c r="R438">
        <f>IF(AND(Inputs!$B$38&lt;&gt;"pvp",Inputs!$B$43&gt;0),IF(Inputs!$B$43&lt;=0,0,(INT(Inputs!$B$43/IF(Inputs!$B$38="pvp",15,MAX(0.1,Skills!D16-IF(Skills!E16=TRUE,Inputs!$B$32,0))))+1)),0)</f>
        <v/>
      </c>
      <c r="S438" t="n">
        <v>0</v>
      </c>
      <c r="U438" t="n">
        <v>0</v>
      </c>
    </row>
    <row r="439">
      <c r="A439">
        <f>Skills!A17</f>
        <v/>
      </c>
      <c r="B439">
        <f>Skills!B17</f>
        <v/>
      </c>
      <c r="C439">
        <f>Inputs!$B$3&gt;=33</f>
        <v/>
      </c>
      <c r="D439">
        <f>IF(Skills!C17=1,60+Inputs!$B$25+Inputs!$B$29,IF(Skills!C17=2,90+Inputs!$B$26+Inputs!$B$29,IF(Skills!C17=3,120+Inputs!$B$27+Inputs!$B$29,MAX(0,(Inputs!$B$3-100)*3)+Inputs!$B$28+Inputs!$B$29)))</f>
        <v/>
      </c>
      <c r="E439">
        <f>INDEX(FactorTable!$B$2:$Y$301, MATCH(ROUND(MIN(300,MAX(1,D439)),0), FactorTable!$A$2:$A$301,0), Skills!L17+1)</f>
        <v/>
      </c>
      <c r="F439">
        <f>IF(Skills!M17=TRUE,(Skills!K17/10)*(E439/1000),Skills!K17/10)+Skills!N17</f>
        <v/>
      </c>
      <c r="G439">
        <f>Calc!G17</f>
        <v/>
      </c>
      <c r="H439">
        <f>Calc!H17</f>
        <v/>
      </c>
      <c r="I439">
        <f>IF(Skills!T17&lt;&gt;"",1+(Skills!T17/10)*(Z425/1000)/100,1)</f>
        <v/>
      </c>
      <c r="J439" t="inlineStr"/>
      <c r="K439" t="inlineStr"/>
      <c r="L439" t="inlineStr"/>
      <c r="M439" t="inlineStr"/>
      <c r="N439" t="inlineStr"/>
      <c r="O439">
        <f>(1-Summary!$B$51)*S439+Summary!$B$51*U439</f>
        <v/>
      </c>
      <c r="P439">
        <f>IF(B458=0,0,O439/B458)</f>
        <v/>
      </c>
      <c r="Q439">
        <f>IFERROR(1/IF(Inputs!$B$38="pvp",15,MAX(0.1,Skills!D17-IF(Skills!E17=TRUE,Inputs!$B$32,0))),0)</f>
        <v/>
      </c>
      <c r="R439" t="n">
        <v>0</v>
      </c>
      <c r="S439" t="n">
        <v>0</v>
      </c>
      <c r="U439" t="n">
        <v>0</v>
      </c>
    </row>
    <row r="440">
      <c r="A440">
        <f>Skills!A18</f>
        <v/>
      </c>
      <c r="B440">
        <f>Skills!B18</f>
        <v/>
      </c>
      <c r="C440">
        <f>Inputs!$B$3&gt;=43</f>
        <v/>
      </c>
      <c r="D440">
        <f>IF(Skills!C18=1,60+Inputs!$B$25+Inputs!$B$29,IF(Skills!C18=2,90+Inputs!$B$26+Inputs!$B$29,IF(Skills!C18=3,120+Inputs!$B$27+Inputs!$B$29,MAX(0,(Inputs!$B$3-100)*3)+Inputs!$B$28+Inputs!$B$29)))</f>
        <v/>
      </c>
      <c r="E440">
        <f>INDEX(FactorTable!$B$2:$Y$301, MATCH(ROUND(MIN(300,MAX(1,D440)),0), FactorTable!$A$2:$A$301,0), Skills!L18+1)</f>
        <v/>
      </c>
      <c r="F440">
        <f>IF(Skills!M18=TRUE,(Skills!K18/10)*(E440/1000),Skills!K18/10)+Skills!N18</f>
        <v/>
      </c>
      <c r="G440">
        <f>Calc!G18</f>
        <v/>
      </c>
      <c r="H440">
        <f>Calc!H18</f>
        <v/>
      </c>
      <c r="I440">
        <f>IF(Skills!T18&lt;&gt;"",1+(Skills!T18/10)*(Z425/1000)/100,1)</f>
        <v/>
      </c>
      <c r="J440" t="inlineStr"/>
      <c r="K440" t="inlineStr"/>
      <c r="L440" t="inlineStr"/>
      <c r="M440" t="inlineStr"/>
      <c r="N440" t="inlineStr"/>
      <c r="O440">
        <f>(1-Summary!$B$51)*S440+Summary!$B$51*U440</f>
        <v/>
      </c>
      <c r="P440">
        <f>IF(B458=0,0,O440/B458)</f>
        <v/>
      </c>
      <c r="Q440">
        <f>IFERROR(1/IF(Inputs!$B$38="pvp",15,MAX(0.1,Skills!D18-IF(Skills!E18=TRUE,Inputs!$B$32,0))),0)</f>
        <v/>
      </c>
      <c r="R440" t="n">
        <v>0</v>
      </c>
      <c r="S440" t="n">
        <v>0</v>
      </c>
      <c r="U440" t="n">
        <v>0</v>
      </c>
    </row>
    <row r="441">
      <c r="A441">
        <f>Skills!A19</f>
        <v/>
      </c>
      <c r="B441">
        <f>Skills!B19</f>
        <v/>
      </c>
      <c r="C441">
        <f>Inputs!$B$3&gt;=50</f>
        <v/>
      </c>
      <c r="D441">
        <f>IF(Skills!C19=1,60+Inputs!$B$25+Inputs!$B$29,IF(Skills!C19=2,90+Inputs!$B$26+Inputs!$B$29,IF(Skills!C19=3,120+Inputs!$B$27+Inputs!$B$29,MAX(0,(Inputs!$B$3-100)*3)+Inputs!$B$28+Inputs!$B$29)))</f>
        <v/>
      </c>
      <c r="E441">
        <f>INDEX(FactorTable!$B$2:$Y$301, MATCH(ROUND(MIN(300,MAX(1,D441)),0), FactorTable!$A$2:$A$301,0), Skills!L19+1)</f>
        <v/>
      </c>
      <c r="F441">
        <f>IF(Skills!M19=TRUE,(Skills!K19/10)*(E441/1000),Skills!K19/10)+Skills!N19</f>
        <v/>
      </c>
      <c r="G441">
        <f>Calc!G19</f>
        <v/>
      </c>
      <c r="H441">
        <f>Calc!H19</f>
        <v/>
      </c>
      <c r="I441">
        <f>IF(Skills!T19&lt;&gt;"",1+(Skills!T19/10)*(Z425/1000)/100,1)</f>
        <v/>
      </c>
      <c r="J441" t="inlineStr"/>
      <c r="K441" t="inlineStr"/>
      <c r="L441" t="inlineStr"/>
      <c r="M441" t="inlineStr"/>
      <c r="N441" t="inlineStr"/>
      <c r="O441">
        <f>(1-Summary!$B$51)*S441+Summary!$B$51*U441</f>
        <v/>
      </c>
      <c r="P441">
        <f>IF(B458=0,0,O441/B458)</f>
        <v/>
      </c>
      <c r="Q441">
        <f>IFERROR(1/IF(Inputs!$B$38="pvp",15,MAX(0.1,Skills!D19-IF(Skills!E19=TRUE,Inputs!$B$32,0))),0)</f>
        <v/>
      </c>
      <c r="R441" t="n">
        <v>0</v>
      </c>
      <c r="S441" t="n">
        <v>0</v>
      </c>
      <c r="U441" t="n">
        <v>0</v>
      </c>
    </row>
    <row r="442">
      <c r="A442">
        <f>Skills!A20</f>
        <v/>
      </c>
      <c r="B442">
        <f>Skills!B20</f>
        <v/>
      </c>
      <c r="C442">
        <f>Inputs!$B$3&gt;=74</f>
        <v/>
      </c>
      <c r="D442">
        <f>IF(Skills!C20=1,60+Inputs!$B$25+Inputs!$B$29,IF(Skills!C20=2,90+Inputs!$B$26+Inputs!$B$29,IF(Skills!C20=3,120+Inputs!$B$27+Inputs!$B$29,MAX(0,(Inputs!$B$3-100)*3)+Inputs!$B$28+Inputs!$B$29)))</f>
        <v/>
      </c>
      <c r="E442">
        <f>INDEX(FactorTable!$B$2:$Y$301, MATCH(ROUND(MIN(300,MAX(1,D442)),0), FactorTable!$A$2:$A$301,0), Skills!L20+1)</f>
        <v/>
      </c>
      <c r="F442">
        <f>IF(Skills!M20=TRUE,(Skills!K20/10)*(E442/1000),Skills!K20/10)+Skills!N20</f>
        <v/>
      </c>
      <c r="G442">
        <f>Calc!G20</f>
        <v/>
      </c>
      <c r="H442">
        <f>Calc!H20</f>
        <v/>
      </c>
      <c r="I442">
        <f>IF(Skills!T20&lt;&gt;"",1+(Skills!T20/10)*(Z425/1000)/100,1)</f>
        <v/>
      </c>
      <c r="J442" t="inlineStr"/>
      <c r="K442" t="inlineStr"/>
      <c r="L442" t="inlineStr"/>
      <c r="M442" t="inlineStr"/>
      <c r="N442" t="inlineStr"/>
      <c r="O442">
        <f>(1-Summary!$B$51)*S442+Summary!$B$51*U442</f>
        <v/>
      </c>
      <c r="P442">
        <f>IF(B458=0,0,O442/B458)</f>
        <v/>
      </c>
      <c r="Q442">
        <f>IFERROR(1/IF(Inputs!$B$38="pvp",15,MAX(0.1,Skills!D20-IF(Skills!E20=TRUE,Inputs!$B$32,0))),0)</f>
        <v/>
      </c>
      <c r="R442" t="n">
        <v>0</v>
      </c>
      <c r="S442" t="n">
        <v>0</v>
      </c>
      <c r="U442" t="n">
        <v>0</v>
      </c>
    </row>
    <row r="443">
      <c r="A443">
        <f>Skills!A21</f>
        <v/>
      </c>
      <c r="B443">
        <f>Skills!B21</f>
        <v/>
      </c>
      <c r="C443">
        <f>Inputs!$B$3&gt;=74</f>
        <v/>
      </c>
      <c r="D443">
        <f>IF(Skills!C21=1,60+Inputs!$B$25+Inputs!$B$29,IF(Skills!C21=2,90+Inputs!$B$26+Inputs!$B$29,IF(Skills!C21=3,120+Inputs!$B$27+Inputs!$B$29,MAX(0,(Inputs!$B$3-100)*3)+Inputs!$B$28+Inputs!$B$29)))</f>
        <v/>
      </c>
      <c r="E443">
        <f>INDEX(FactorTable!$B$2:$Y$301, MATCH(ROUND(MIN(300,MAX(1,D443)),0), FactorTable!$A$2:$A$301,0), Skills!L21+1)</f>
        <v/>
      </c>
      <c r="F443">
        <f>IF(Skills!M21=TRUE,(Skills!K21/10)*(E443/1000),Skills!K21/10)+Skills!N21</f>
        <v/>
      </c>
      <c r="G443">
        <f>Calc!G21</f>
        <v/>
      </c>
      <c r="H443">
        <f>Calc!H21</f>
        <v/>
      </c>
      <c r="I443">
        <f>IF(Skills!T21&lt;&gt;"",1+(Skills!T21/10)*(Z425/1000)/100,1)</f>
        <v/>
      </c>
      <c r="J443" t="inlineStr"/>
      <c r="K443" t="inlineStr"/>
      <c r="L443" t="inlineStr"/>
      <c r="M443" t="inlineStr"/>
      <c r="N443" t="inlineStr"/>
      <c r="O443">
        <f>(1-Summary!$B$51)*S443+Summary!$B$51*U443</f>
        <v/>
      </c>
      <c r="P443">
        <f>IF(B458=0,0,O443/B458)</f>
        <v/>
      </c>
      <c r="Q443">
        <f>IFERROR(1/IF(Inputs!$B$38="pvp",15,MAX(0.1,Skills!D21-IF(Skills!E21=TRUE,Inputs!$B$32,0))),0)</f>
        <v/>
      </c>
      <c r="R443" t="n">
        <v>0</v>
      </c>
      <c r="S443" t="n">
        <v>0</v>
      </c>
      <c r="U443" t="n">
        <v>0</v>
      </c>
    </row>
    <row r="444">
      <c r="A444">
        <f>Skills!A22</f>
        <v/>
      </c>
      <c r="B444">
        <f>Skills!B22</f>
        <v/>
      </c>
      <c r="C444">
        <f>Inputs!$B$3&gt;=117</f>
        <v/>
      </c>
      <c r="D444">
        <f>IF(Skills!C22=1,60+Inputs!$B$25+Inputs!$B$29,IF(Skills!C22=2,90+Inputs!$B$26+Inputs!$B$29,IF(Skills!C22=3,120+Inputs!$B$27+Inputs!$B$29,MAX(0,(Inputs!$B$3-100)*3)+Inputs!$B$28+Inputs!$B$29)))</f>
        <v/>
      </c>
      <c r="E444">
        <f>INDEX(FactorTable!$B$2:$Y$301, MATCH(ROUND(MIN(300,MAX(1,D444)),0), FactorTable!$A$2:$A$301,0), Skills!L22+1)</f>
        <v/>
      </c>
      <c r="F444">
        <f>IF(Skills!M22=TRUE,(Skills!K22/10)*(E444/1000),Skills!K22/10)+Skills!N22</f>
        <v/>
      </c>
      <c r="G444">
        <f>Calc!G22</f>
        <v/>
      </c>
      <c r="H444">
        <f>Calc!H22</f>
        <v/>
      </c>
      <c r="I444">
        <f>IF(Skills!T22&lt;&gt;"",1+(Skills!T22/10)*(Z425/1000)/100,1)</f>
        <v/>
      </c>
      <c r="J444" t="inlineStr"/>
      <c r="K444" t="inlineStr"/>
      <c r="L444" t="inlineStr"/>
      <c r="M444" t="inlineStr"/>
      <c r="N444" t="inlineStr"/>
      <c r="O444">
        <f>(1-Summary!$B$51)*S444+Summary!$B$51*U444</f>
        <v/>
      </c>
      <c r="P444">
        <f>IF(B458=0,0,O444/B458)</f>
        <v/>
      </c>
      <c r="Q444">
        <f>IFERROR(1/IF(Inputs!$B$38="pvp",15,MAX(0.1,Skills!D22-IF(Skills!E22=TRUE,Inputs!$B$32,0))),0)</f>
        <v/>
      </c>
      <c r="R444" t="n">
        <v>0</v>
      </c>
      <c r="S444" t="n">
        <v>0</v>
      </c>
      <c r="U444" t="n">
        <v>0</v>
      </c>
    </row>
    <row r="445">
      <c r="A445">
        <f>Skills!A23</f>
        <v/>
      </c>
      <c r="B445">
        <f>Skills!B23</f>
        <v/>
      </c>
      <c r="C445">
        <f>Inputs!$B$3&gt;=120</f>
        <v/>
      </c>
      <c r="D445">
        <f>IF(Skills!C23=1,60+Inputs!$B$25+Inputs!$B$29,IF(Skills!C23=2,90+Inputs!$B$26+Inputs!$B$29,IF(Skills!C23=3,120+Inputs!$B$27+Inputs!$B$29,MAX(0,(Inputs!$B$3-100)*3)+Inputs!$B$28+Inputs!$B$29)))</f>
        <v/>
      </c>
      <c r="E445">
        <f>INDEX(FactorTable!$B$2:$Y$301, MATCH(ROUND(MIN(300,MAX(1,D445)),0), FactorTable!$A$2:$A$301,0), Skills!L23+1)</f>
        <v/>
      </c>
      <c r="F445">
        <f>IF(Skills!M23=TRUE,(Skills!K23/10)*(E445/1000),Skills!K23/10)+Skills!N23</f>
        <v/>
      </c>
      <c r="G445">
        <f>Calc!G23</f>
        <v/>
      </c>
      <c r="H445">
        <f>Calc!H23</f>
        <v/>
      </c>
      <c r="I445">
        <f>IF(Skills!T23&lt;&gt;"",1+(Skills!T23/10)*(Z425/1000)/100,1)</f>
        <v/>
      </c>
      <c r="J445" t="inlineStr"/>
      <c r="K445" t="inlineStr"/>
      <c r="L445" t="inlineStr"/>
      <c r="M445" t="inlineStr"/>
      <c r="N445" t="inlineStr"/>
      <c r="O445">
        <f>(1-Summary!$B$51)*S445+Summary!$B$51*U445</f>
        <v/>
      </c>
      <c r="P445">
        <f>IF(B458=0,0,O445/B458)</f>
        <v/>
      </c>
      <c r="Q445">
        <f>IFERROR(1/IF(Inputs!$B$38="pvp",15,MAX(0.1,Skills!D23-IF(Skills!E23=TRUE,Inputs!$B$32,0))),0)</f>
        <v/>
      </c>
      <c r="R445" t="n">
        <v>0</v>
      </c>
      <c r="S445" t="n">
        <v>0</v>
      </c>
      <c r="U445" t="n">
        <v>0</v>
      </c>
    </row>
    <row r="448">
      <c r="A448" t="inlineStr">
        <is>
          <t>Average Buff Multiplier (Magic Guard + Meditation, summed; then Infinity)</t>
        </is>
      </c>
      <c r="B448">
        <f>(1+(IF(C425=TRUE,F425*IF(AND(Inputs!$B$38&lt;&gt;"pvp",Inputs!$B$43&gt;0),(((R425-1)*(Skills!S3*(1+(Inputs!$B$34+IF(Inputs!$B$3&gt;=117,F444,0))/100))+MIN((Skills!S3*(1+(Inputs!$B$34+IF(Inputs!$B$3&gt;=117,F444,0))/100)),MAX(0,Inputs!$B$43-((R425-1)*Skills!D3))))/Inputs!$B$43),IF(Inputs!$B$38="pvp",MIN((Skills!S3*(1+(Inputs!$B$34+IF(Inputs!$B$3&gt;=117,F444,0))/100)),15)/15,(Skills!S3*(1+(Inputs!$B$34+IF(Inputs!$B$3&gt;=117,F444,0))/100))/Skills!D3)),0)+IF(C426=TRUE,F426*IF(AND(Inputs!$B$38&lt;&gt;"pvp",Inputs!$B$43&gt;0),(((R426-1)*(Skills!S4*(1+(Inputs!$B$34+IF(Inputs!$B$3&gt;=117,F444,0))/100))+MIN((Skills!S4*(1+(Inputs!$B$34+IF(Inputs!$B$3&gt;=117,F444,0))/100)),MAX(0,Inputs!$B$43-((R426-1)*Skills!D4))))/Inputs!$B$43),IF(Inputs!$B$38="pvp",MIN((Skills!S4*(1+(Inputs!$B$34+IF(Inputs!$B$3&gt;=117,F444,0))/100)),15)/15,(Skills!S4*(1+(Inputs!$B$34+IF(Inputs!$B$3&gt;=117,F444,0))/100))/Skills!D4)),0))/100)*IF(C438=TRUE,(1+F438*IF(AND(Inputs!$B$38&lt;&gt;"pvp",Inputs!$B$43&gt;0),(((R438-1)*(Skills!S16*(1+(Inputs!$B$34+IF(Inputs!$B$3&gt;=117,F444,0))/100))+MIN((Skills!S16*(1+(Inputs!$B$34+IF(Inputs!$B$3&gt;=117,F444,0))/100)),MAX(0,Inputs!$B$43-((R438-1)*Skills!D16))))/Inputs!$B$43),IF(Inputs!$B$38="pvp",MIN((Skills!S16*(1+(Inputs!$B$34+IF(Inputs!$B$3&gt;=117,F444,0))/100)),15)/15,(Skills!S16*(1+(Inputs!$B$34+IF(Inputs!$B$3&gt;=117,F444,0))/100))/Skills!D16))/100),1)</f>
        <v/>
      </c>
    </row>
    <row r="449">
      <c r="A449" t="inlineStr">
        <is>
          <t>Monster Damage Taken Bonus % (Freezing Breath - Weaken + Elemental Reset, summed)</t>
        </is>
      </c>
      <c r="B449">
        <f>IF(Inputs!$B$3&gt;=118,15*IF(Inputs!$B$38="pvp",MIN((30*(1+(Inputs!$B$34+IF(Inputs!$B$3&gt;=117,F444,0))/100)),15)/15,(30*(1+(Inputs!$B$34+IF(Inputs!$B$3&gt;=117,F444,0))/100))/Skills!D8),0)+IF(C436=TRUE,F436,0)</f>
        <v/>
      </c>
    </row>
    <row r="450">
      <c r="A450" t="inlineStr">
        <is>
          <t>Damage % Bonus (Frozen Break + Frost Clutch, flat)</t>
        </is>
      </c>
      <c r="B450">
        <f>IF(Inputs!$B$3&gt;=66,15,0)+IF(Inputs!$B$3&gt;=98,10,0)+IF(Inputs!$B$3&gt;=125,20,0)</f>
        <v/>
      </c>
    </row>
    <row r="451">
      <c r="A451" t="inlineStr">
        <is>
          <t>Attack Speed Bonus % (MP Eater - MP Boost, always-on once unlocked)</t>
        </is>
      </c>
      <c r="B451">
        <f>IF(C435=TRUE,F435+(F439-Calc!F17),0)</f>
        <v/>
      </c>
    </row>
    <row r="452">
      <c r="A452" t="inlineStr">
        <is>
          <t>Actions Per Second</t>
        </is>
      </c>
      <c r="B452">
        <f>1+MIN(150,150*(1-(1-Inputs!$B$11/150)*(1-B451/150)))/100</f>
        <v/>
      </c>
    </row>
    <row r="453">
      <c r="A453" t="inlineStr">
        <is>
          <t>Skill + Buff Cast Rate</t>
        </is>
      </c>
      <c r="B453">
        <f>IF(AND(Inputs!$B$38&lt;&gt;"pvp",Inputs!$B$43&gt;0),SUMPRODUCT((Skills!E2:E23=TRUE)*(C424:C445=TRUE)*R424:R445)/Inputs!$B$43,SUMPRODUCT((Skills!E2:E23=TRUE)*(C424:C445=TRUE)*Q424:Q445))</f>
        <v/>
      </c>
    </row>
    <row r="454">
      <c r="A454" t="inlineStr">
        <is>
          <t>Chain Lightning Casts Per Second</t>
        </is>
      </c>
      <c r="B454">
        <f>MAX(0,B452-B453)</f>
        <v/>
      </c>
    </row>
    <row r="455">
      <c r="A455" t="inlineStr">
        <is>
          <t>Buff-Casting Startup Delay (s, fixed-duration only)</t>
        </is>
      </c>
      <c r="B455">
        <f>IF(AND(Inputs!$B$38&lt;&gt;"pvp",Inputs!$B$43&gt;0),SUMPRODUCT((Skills!S2:S23&gt;0)*(Skills!E2:E23=TRUE)*(C424:C445=TRUE))/B452,0)</f>
        <v/>
      </c>
    </row>
    <row r="456">
      <c r="A456" t="inlineStr">
        <is>
          <t>Boss-Only Total DPS (this block's swept value)</t>
        </is>
      </c>
      <c r="B456">
        <f>SUM(S424:S445)</f>
        <v/>
      </c>
    </row>
    <row r="457">
      <c r="A457" t="inlineStr">
        <is>
          <t>Normal-Only Total DPS (this block's swept value)</t>
        </is>
      </c>
      <c r="B457">
        <f>SUM(U424:U445)</f>
        <v/>
      </c>
    </row>
    <row r="458">
      <c r="A458" s="5" t="inlineStr">
        <is>
          <t>TOTAL DPS</t>
        </is>
      </c>
      <c r="B458" s="5">
        <f>SUM(O424:O445)</f>
        <v/>
      </c>
    </row>
    <row r="461">
      <c r="A461" s="5" t="inlineStr">
        <is>
          <t>Stat: ATTACK_SPEED % (diminishing returns, factor 150)</t>
        </is>
      </c>
    </row>
    <row r="462">
      <c r="A462" s="9" t="inlineStr">
        <is>
          <t>Key</t>
        </is>
      </c>
      <c r="B462" s="9" t="inlineStr">
        <is>
          <t>Name</t>
        </is>
      </c>
      <c r="C462" s="9" t="inlineStr">
        <is>
          <t>Unlocked</t>
        </is>
      </c>
      <c r="D462" s="9" t="inlineStr">
        <is>
          <t>InputLevel</t>
        </is>
      </c>
      <c r="E462" s="9" t="inlineStr">
        <is>
          <t>Factor</t>
        </is>
      </c>
      <c r="F462" s="9" t="inlineStr">
        <is>
          <t>CoefficientPercent</t>
        </is>
      </c>
      <c r="G462" s="9" t="inlineStr">
        <is>
          <t>EffectiveHits</t>
        </is>
      </c>
      <c r="H462" s="9" t="inlineStr">
        <is>
          <t>ProcProbability</t>
        </is>
      </c>
      <c r="I462" s="9" t="inlineStr">
        <is>
          <t>MapleHeroMultiplier</t>
        </is>
      </c>
      <c r="J462" s="9" t="inlineStr">
        <is>
          <t>BaseDamage</t>
        </is>
      </c>
      <c r="K462" s="9" t="inlineStr">
        <is>
          <t>BaseHitDamage</t>
        </is>
      </c>
      <c r="L462" s="9" t="inlineStr">
        <is>
          <t>NonCritAvg</t>
        </is>
      </c>
      <c r="M462" s="9" t="inlineStr">
        <is>
          <t>CritAvg</t>
        </is>
      </c>
      <c r="N462" s="9" t="inlineStr">
        <is>
          <t>ExpectedDamage(perHit)</t>
        </is>
      </c>
      <c r="O462" s="9" t="inlineStr">
        <is>
          <t>DPS</t>
        </is>
      </c>
      <c r="P462" s="9" t="inlineStr">
        <is>
          <t>% of Total</t>
        </is>
      </c>
      <c r="R462" t="inlineStr">
        <is>
          <t>helpers</t>
        </is>
      </c>
    </row>
    <row r="463">
      <c r="A463">
        <f>Skills!A2</f>
        <v/>
      </c>
      <c r="B463">
        <f>Skills!B2</f>
        <v/>
      </c>
      <c r="C463">
        <f>Inputs!$B$3&gt;=100</f>
        <v/>
      </c>
      <c r="D463" t="inlineStr"/>
      <c r="E463" t="inlineStr"/>
      <c r="F463">
        <f>T465+Skills!N2</f>
        <v/>
      </c>
      <c r="G463">
        <f>Calc!G2</f>
        <v/>
      </c>
      <c r="H463">
        <f>Calc!H2</f>
        <v/>
      </c>
      <c r="I463">
        <f>IF(Skills!T2&lt;&gt;"",1+(Skills!T2/10)*(Z464/1000)/100,1)</f>
        <v/>
      </c>
      <c r="J463">
        <f>((Inputs!$B$6*(1+Inputs!$B$7/100))+(((Inputs!$B$12*(1+Inputs!$B$13/100))-(Inputs!$B$12*(1+Inputs!$B$13/100)))+0.25*(Inputs!$B$14-Inputs!$B$14))*(1+Inputs!$B$7/100))*(F463/100)</f>
        <v/>
      </c>
      <c r="K463">
        <f>J463*(1+((Inputs!$B$12*(1+Inputs!$B$13/100))*0.01+Inputs!$B$14*0.0025)/100)*(1+(Inputs!$B$15+B489)/100)*(1+Inputs!$B$16/100)*(5000/(6000+Inputs!$B$42*(1-Inputs!$B$19/100)))*(1+Inputs!$B$24/100)*(1+IF(C476=TRUE,F476,0)/100)*(1+IF(C484=TRUE,F484,0)/100)^5*(1+(IF(Skills!A2="CHAIN_LIGHTNING",Inputs!$B$17,Inputs!$B$18))/100)*(B487*I463)</f>
        <v/>
      </c>
      <c r="L463">
        <f>K463*(MIN(Inputs!$B$22+(F479-Calc!F18),Inputs!$B$23)/100+Inputs!$B$23/100)/2</f>
        <v/>
      </c>
      <c r="M463">
        <f>L463*(1+(Inputs!$B$10+(F482-Calc!F21))/100)</f>
        <v/>
      </c>
      <c r="N463">
        <f>L463*(1-MIN(Inputs!$B$9+((F481-Calc!F20)+(F480-Calc!F19)),100)/100)+M463*(MIN(Inputs!$B$9+((F481-Calc!F20)+(F480-Calc!F19)),100)/100)</f>
        <v/>
      </c>
      <c r="O463">
        <f>(1-Summary!$B$51)*S463+Summary!$B$51*U463</f>
        <v/>
      </c>
      <c r="P463">
        <f>IF(B497=0,0,O463/B497)</f>
        <v/>
      </c>
      <c r="Q463">
        <f>IFERROR(1/IF(Inputs!$B$38="pvp",15,MAX(0.1,Skills!D2-IF(Skills!E2=TRUE,Inputs!$B$32,0))),0)</f>
        <v/>
      </c>
      <c r="R463" t="n">
        <v>0</v>
      </c>
      <c r="S463">
        <f>IF(C463,(Skills!F2*N463*B493)*IF(Inputs!$B$38="pvp",1,1+(Inputs!$B$20+Skills!O2+B488)/100),0)</f>
        <v/>
      </c>
      <c r="T463">
        <f>MAX(0,(Inputs!$B$3-100)*3)+Inputs!$B$28+Inputs!$B$29</f>
        <v/>
      </c>
      <c r="U463">
        <f>IF(C463,(Skills!F2*N463*B493)*IF(Inputs!$B$38="pvp",1,(1+(Inputs!$B$21+Skills!P2+B488)/100)*(MIN((6+Inputs!$B$33),Inputs!$B$37))),0)</f>
        <v/>
      </c>
      <c r="Z463">
        <f>MAX(0,(Inputs!$B$3-100)*3)+Inputs!$B$28+Inputs!$B$29</f>
        <v/>
      </c>
    </row>
    <row r="464">
      <c r="A464">
        <f>Skills!A3</f>
        <v/>
      </c>
      <c r="B464">
        <f>Skills!B3</f>
        <v/>
      </c>
      <c r="C464">
        <f>Inputs!$B$3&gt;=15</f>
        <v/>
      </c>
      <c r="D464">
        <f>IF(Skills!C3=1,60+Inputs!$B$25+Inputs!$B$29,IF(Skills!C3=2,90+Inputs!$B$26+Inputs!$B$29,IF(Skills!C3=3,120+Inputs!$B$27+Inputs!$B$29,MAX(0,(Inputs!$B$3-100)*3)+Inputs!$B$28+Inputs!$B$29)))</f>
        <v/>
      </c>
      <c r="E464">
        <f>INDEX(FactorTable!$B$2:$Y$301, MATCH(ROUND(MIN(300,MAX(1,D464)),0), FactorTable!$A$2:$A$301,0), Skills!L3+1)</f>
        <v/>
      </c>
      <c r="F464">
        <f>IF(Skills!M3=TRUE,(Skills!K3/10)*(E464/1000),Skills!K3/10)+Skills!N3</f>
        <v/>
      </c>
      <c r="G464">
        <f>Calc!G3</f>
        <v/>
      </c>
      <c r="H464">
        <f>Calc!H3</f>
        <v/>
      </c>
      <c r="I464">
        <f>IF(Skills!T3&lt;&gt;"",1+(Skills!T3/10)*(Z464/1000)/100,1)</f>
        <v/>
      </c>
      <c r="J464" t="inlineStr"/>
      <c r="K464" t="inlineStr"/>
      <c r="L464" t="inlineStr"/>
      <c r="M464" t="inlineStr"/>
      <c r="N464" t="inlineStr"/>
      <c r="O464">
        <f>(1-Summary!$B$51)*S464+Summary!$B$51*U464</f>
        <v/>
      </c>
      <c r="P464">
        <f>IF(B497=0,0,O464/B497)</f>
        <v/>
      </c>
      <c r="Q464">
        <f>IFERROR(1/IF(Inputs!$B$38="pvp",15,MAX(0.1,Skills!D3-IF(Skills!E3=TRUE,Inputs!$B$32,0))),0)</f>
        <v/>
      </c>
      <c r="R464">
        <f>IF(AND(Inputs!$B$38&lt;&gt;"pvp",Inputs!$B$43&gt;0),IF(Inputs!$B$43&lt;=0,0,(INT(Inputs!$B$43/IF(Inputs!$B$38="pvp",15,MAX(0.1,Skills!D3-IF(Skills!E3=TRUE,Inputs!$B$32,0))))+1)),0)</f>
        <v/>
      </c>
      <c r="S464" t="n">
        <v>0</v>
      </c>
      <c r="T464">
        <f>INDEX(FactorTable!$B$2:$Y$301, MATCH(ROUND(MIN(300,MAX(1,T463)),0), FactorTable!$A$2:$A$301,0), 22)</f>
        <v/>
      </c>
      <c r="U464" t="n">
        <v>0</v>
      </c>
      <c r="Z464">
        <f>INDEX(FactorTable!$B$2:$Y$301, MATCH(ROUND(MIN(300,MAX(1,Z463)),0), FactorTable!$A$2:$A$301,0), 24)</f>
        <v/>
      </c>
    </row>
    <row r="465">
      <c r="A465">
        <f>Skills!A4</f>
        <v/>
      </c>
      <c r="B465">
        <f>Skills!B4</f>
        <v/>
      </c>
      <c r="C465">
        <f>Inputs!$B$3&gt;=40</f>
        <v/>
      </c>
      <c r="D465">
        <f>IF(Skills!C4=1,60+Inputs!$B$25+Inputs!$B$29,IF(Skills!C4=2,90+Inputs!$B$26+Inputs!$B$29,IF(Skills!C4=3,120+Inputs!$B$27+Inputs!$B$29,MAX(0,(Inputs!$B$3-100)*3)+Inputs!$B$28+Inputs!$B$29)))</f>
        <v/>
      </c>
      <c r="E465">
        <f>INDEX(FactorTable!$B$2:$Y$301, MATCH(ROUND(MIN(300,MAX(1,D465)),0), FactorTable!$A$2:$A$301,0), Skills!L4+1)</f>
        <v/>
      </c>
      <c r="F465">
        <f>IF(Skills!M4=TRUE,(Skills!K4/10)*(E465/1000),Skills!K4/10)+Skills!N4</f>
        <v/>
      </c>
      <c r="G465">
        <f>Calc!G4</f>
        <v/>
      </c>
      <c r="H465">
        <f>Calc!H4</f>
        <v/>
      </c>
      <c r="I465">
        <f>IF(Skills!T4&lt;&gt;"",1+(Skills!T4/10)*(Z464/1000)/100,1)</f>
        <v/>
      </c>
      <c r="J465" t="inlineStr"/>
      <c r="K465" t="inlineStr"/>
      <c r="L465" t="inlineStr"/>
      <c r="M465" t="inlineStr"/>
      <c r="N465" t="inlineStr"/>
      <c r="O465">
        <f>(1-Summary!$B$51)*S465+Summary!$B$51*U465</f>
        <v/>
      </c>
      <c r="P465">
        <f>IF(B497=0,0,O465/B497)</f>
        <v/>
      </c>
      <c r="Q465">
        <f>IFERROR(1/IF(Inputs!$B$38="pvp",15,MAX(0.1,Skills!D4-IF(Skills!E4=TRUE,Inputs!$B$32,0))),0)</f>
        <v/>
      </c>
      <c r="R465">
        <f>IF(AND(Inputs!$B$38&lt;&gt;"pvp",Inputs!$B$43&gt;0),IF(Inputs!$B$43&lt;=0,0,(INT(Inputs!$B$43/IF(Inputs!$B$38="pvp",15,MAX(0.1,Skills!D4-IF(Skills!E4=TRUE,Inputs!$B$32,0))))+1)),0)</f>
        <v/>
      </c>
      <c r="S465" t="n">
        <v>0</v>
      </c>
      <c r="T465">
        <f>290*T464/1000</f>
        <v/>
      </c>
      <c r="U465" t="n">
        <v>0</v>
      </c>
    </row>
    <row r="466">
      <c r="A466">
        <f>Skills!A5</f>
        <v/>
      </c>
      <c r="B466">
        <f>Skills!B5</f>
        <v/>
      </c>
      <c r="C466">
        <f>Inputs!$B$3&gt;=38</f>
        <v/>
      </c>
      <c r="D466">
        <f>IF(Skills!C5=1,60+Inputs!$B$25+Inputs!$B$29,IF(Skills!C5=2,90+Inputs!$B$26+Inputs!$B$29,IF(Skills!C5=3,120+Inputs!$B$27+Inputs!$B$29,MAX(0,(Inputs!$B$3-100)*3)+Inputs!$B$28+Inputs!$B$29)))</f>
        <v/>
      </c>
      <c r="E466">
        <f>INDEX(FactorTable!$B$2:$Y$301, MATCH(ROUND(MIN(300,MAX(1,D466)),0), FactorTable!$A$2:$A$301,0), Skills!L5+1)</f>
        <v/>
      </c>
      <c r="F466">
        <f>IF(Skills!M5=TRUE,(Skills!K5/10)*(E466/1000),Skills!K5/10)+Skills!N5</f>
        <v/>
      </c>
      <c r="G466">
        <f>Calc!G5</f>
        <v/>
      </c>
      <c r="H466">
        <f>Calc!H5</f>
        <v/>
      </c>
      <c r="I466">
        <f>IF(Skills!T5&lt;&gt;"",1+(Skills!T5/10)*(Z464/1000)/100,1)</f>
        <v/>
      </c>
      <c r="J466">
        <f>((Inputs!$B$6*(1+Inputs!$B$7/100))+(((Inputs!$B$12*(1+Inputs!$B$13/100))-(Inputs!$B$12*(1+Inputs!$B$13/100)))+0.25*(Inputs!$B$14-Inputs!$B$14))*(1+Inputs!$B$7/100))*(F466/100)</f>
        <v/>
      </c>
      <c r="K466">
        <f>J466*(1+((Inputs!$B$12*(1+Inputs!$B$13/100))*0.01+Inputs!$B$14*0.0025)/100)*(1+(Inputs!$B$15+B489)/100)*(1+Inputs!$B$16/100)*(5000/(6000+Inputs!$B$42*(1-Inputs!$B$19/100)))*(1+Inputs!$B$24/100)*(1+IF(C476=TRUE,F476,0)/100)*(1+IF(C484=TRUE,F484,0)/100)^5*(1+(IF(Skills!A5="CHAIN_LIGHTNING",Inputs!$B$17,Inputs!$B$18))/100)*(B487*I466)</f>
        <v/>
      </c>
      <c r="L466">
        <f>K466*(MIN(Inputs!$B$22+(F479-Calc!F18),Inputs!$B$23)/100+Inputs!$B$23/100)/2</f>
        <v/>
      </c>
      <c r="M466">
        <f>L466*(1+(Inputs!$B$10+(F482-Calc!F21))/100)</f>
        <v/>
      </c>
      <c r="N466">
        <f>L466*(1-MIN(Inputs!$B$9+((F481-Calc!F20)+(F480-Calc!F19)),100)/100)+M466*(MIN(Inputs!$B$9+((F481-Calc!F20)+(F480-Calc!F19)),100)/100)</f>
        <v/>
      </c>
      <c r="O466">
        <f>(1-Summary!$B$51)*S466+Summary!$B$51*U466</f>
        <v/>
      </c>
      <c r="P466">
        <f>IF(B497=0,0,O466/B497)</f>
        <v/>
      </c>
      <c r="Q466">
        <f>IFERROR(1/IF(Inputs!$B$38="pvp",15,MAX(0.1,Skills!D5-IF(Skills!E5=TRUE,Inputs!$B$32,0))),0)</f>
        <v/>
      </c>
      <c r="R466">
        <f>IF(AND(Inputs!$B$38&lt;&gt;"pvp",Inputs!$B$43&gt;0),IF(MAX(0,Inputs!$B$43-B494)&lt;=0,0,(INT(MAX(0,Inputs!$B$43-B494)/IF(Inputs!$B$38="pvp",15,MAX(0.1,Skills!D5-IF(Skills!E5=TRUE,Inputs!$B$32,0))))+1)),0)</f>
        <v/>
      </c>
      <c r="S466">
        <f>IF(C466,(H466*N466*IF(AND(Inputs!$B$38&lt;&gt;"pvp",Inputs!$B$43&gt;0),((Skills!F5*((R466-1)*IF(Skills!G5&gt;0,Skills!H5/Skills!G5,1)+IF(Skills!G5&gt;0,MIN(Skills!H5,MAX(0,MAX(0,Inputs!$B$43-B494)-((R466-1)*IF(Inputs!$B$38="pvp",15,MAX(0.1,Skills!D5-IF(Skills!E5=TRUE,Inputs!$B$32,0))))))/Skills!G5,1)))/Inputs!$B$43),G466*Q466))*IF(Inputs!$B$38="pvp",1,1+(Inputs!$B$20+Skills!O5+B488)/100),0)</f>
        <v/>
      </c>
      <c r="U466">
        <f>IF(C466,(H466*N466*IF(AND(Inputs!$B$38&lt;&gt;"pvp",Inputs!$B$43&gt;0),((Skills!F5*((R466-1)*IF(Skills!G5&gt;0,Skills!H5/Skills!G5,1)+IF(Skills!G5&gt;0,MIN(Skills!H5,MAX(0,MAX(0,Inputs!$B$43-B494)-((R466-1)*IF(Inputs!$B$38="pvp",15,MAX(0.1,Skills!D5-IF(Skills!E5=TRUE,Inputs!$B$32,0))))))/Skills!G5,1)))/Inputs!$B$43),G466*Q466))*IF(Inputs!$B$38="pvp",1,(1+(Inputs!$B$21+Skills!P5+B488)/100)*(MIN(Skills!Q5,Inputs!$B$37))),0)</f>
        <v/>
      </c>
    </row>
    <row r="467">
      <c r="A467">
        <f>Skills!A6</f>
        <v/>
      </c>
      <c r="B467">
        <f>Skills!B6</f>
        <v/>
      </c>
      <c r="C467">
        <f>Inputs!$B$3&gt;=63</f>
        <v/>
      </c>
      <c r="D467">
        <f>IF(Skills!C6=1,60+Inputs!$B$25+Inputs!$B$29,IF(Skills!C6=2,90+Inputs!$B$26+Inputs!$B$29,IF(Skills!C6=3,120+Inputs!$B$27+Inputs!$B$29,MAX(0,(Inputs!$B$3-100)*3)+Inputs!$B$28+Inputs!$B$29)))</f>
        <v/>
      </c>
      <c r="E467">
        <f>INDEX(FactorTable!$B$2:$Y$301, MATCH(ROUND(MIN(300,MAX(1,D467)),0), FactorTable!$A$2:$A$301,0), Skills!L6+1)</f>
        <v/>
      </c>
      <c r="F467">
        <f>IF(Skills!M6=TRUE,(Skills!K6/10)*(E467/1000),Skills!K6/10)+Skills!N6</f>
        <v/>
      </c>
      <c r="G467">
        <f>Calc!G6</f>
        <v/>
      </c>
      <c r="H467">
        <f>Calc!H6</f>
        <v/>
      </c>
      <c r="I467">
        <f>IF(Skills!T6&lt;&gt;"",1+(Skills!T6/10)*(Z464/1000)/100,1)</f>
        <v/>
      </c>
      <c r="J467">
        <f>((Inputs!$B$6*(1+Inputs!$B$7/100))+(((Inputs!$B$12*(1+Inputs!$B$13/100))-(Inputs!$B$12*(1+Inputs!$B$13/100)))+0.25*(Inputs!$B$14-Inputs!$B$14))*(1+Inputs!$B$7/100))*(F467/100)</f>
        <v/>
      </c>
      <c r="K467">
        <f>J467*(1+((Inputs!$B$12*(1+Inputs!$B$13/100))*0.01+Inputs!$B$14*0.0025)/100)*(1+(Inputs!$B$15+B489)/100)*(1+Inputs!$B$16/100)*(5000/(6000+Inputs!$B$42*(1-Inputs!$B$19/100)))*(1+Inputs!$B$24/100)*(1+IF(C476=TRUE,F476,0)/100)*(1+IF(C484=TRUE,F484,0)/100)^5*(1+(IF(Skills!A6="CHAIN_LIGHTNING",Inputs!$B$17,Inputs!$B$18))/100)*(B487*I467)</f>
        <v/>
      </c>
      <c r="L467">
        <f>K467*(MIN(Inputs!$B$22+(F479-Calc!F18),Inputs!$B$23)/100+Inputs!$B$23/100)/2</f>
        <v/>
      </c>
      <c r="M467">
        <f>L467*(1+(Inputs!$B$10+(F482-Calc!F21))/100)</f>
        <v/>
      </c>
      <c r="N467">
        <f>L467*(1-MIN(Inputs!$B$9+((F481-Calc!F20)+(F480-Calc!F19)),100)/100)+M467*(MIN(Inputs!$B$9+((F481-Calc!F20)+(F480-Calc!F19)),100)/100)</f>
        <v/>
      </c>
      <c r="O467">
        <f>(1-Summary!$B$51)*S467+Summary!$B$51*U467</f>
        <v/>
      </c>
      <c r="P467">
        <f>IF(B497=0,0,O467/B497)</f>
        <v/>
      </c>
      <c r="Q467">
        <f>IFERROR(1/IF(Inputs!$B$38="pvp",15,MAX(0.1,Skills!D6-IF(Skills!E6=TRUE,Inputs!$B$32,0))),0)</f>
        <v/>
      </c>
      <c r="R467">
        <f>IF(AND(Inputs!$B$38&lt;&gt;"pvp",Inputs!$B$43&gt;0),IF(MAX(0,Inputs!$B$43-B494)&lt;=0,0,(INT(MAX(0,Inputs!$B$43-B494)/IF(Inputs!$B$38="pvp",15,MAX(0.1,Skills!D6-IF(Skills!E6=TRUE,Inputs!$B$32,0))))+1)),0)</f>
        <v/>
      </c>
      <c r="S467">
        <f>IF(C467,(H467*N467*IF(AND(Inputs!$B$38&lt;&gt;"pvp",Inputs!$B$43&gt;0),((Skills!F6*((R467-1)*IF(Skills!G6&gt;0,Skills!H6/Skills!G6,1)+IF(Skills!G6&gt;0,MIN(Skills!H6,MAX(0,MAX(0,Inputs!$B$43-B494)-((R467-1)*IF(Inputs!$B$38="pvp",15,MAX(0.1,Skills!D6-IF(Skills!E6=TRUE,Inputs!$B$32,0))))))/Skills!G6,1)))/Inputs!$B$43),G467*Q467))*IF(Inputs!$B$38="pvp",1,1+(Inputs!$B$20+Skills!O6+B488)/100),0)</f>
        <v/>
      </c>
      <c r="U467">
        <f>IF(C467,(H467*N467*IF(AND(Inputs!$B$38&lt;&gt;"pvp",Inputs!$B$43&gt;0),((Skills!F6*((R467-1)*IF(Skills!G6&gt;0,Skills!H6/Skills!G6,1)+IF(Skills!G6&gt;0,MIN(Skills!H6,MAX(0,MAX(0,Inputs!$B$43-B494)-((R467-1)*IF(Inputs!$B$38="pvp",15,MAX(0.1,Skills!D6-IF(Skills!E6=TRUE,Inputs!$B$32,0))))))/Skills!G6,1)))/Inputs!$B$43),G467*Q467))*IF(Inputs!$B$38="pvp",1,(1+(Inputs!$B$21+Skills!P6+B488)/100)*(MIN(Skills!Q6,Inputs!$B$37))),0)</f>
        <v/>
      </c>
    </row>
    <row r="468">
      <c r="A468">
        <f>Skills!A7</f>
        <v/>
      </c>
      <c r="B468">
        <f>Skills!B7</f>
        <v/>
      </c>
      <c r="C468">
        <f>Inputs!$B$3&gt;=69</f>
        <v/>
      </c>
      <c r="D468">
        <f>IF(Skills!C7=1,60+Inputs!$B$25+Inputs!$B$29,IF(Skills!C7=2,90+Inputs!$B$26+Inputs!$B$29,IF(Skills!C7=3,120+Inputs!$B$27+Inputs!$B$29,MAX(0,(Inputs!$B$3-100)*3)+Inputs!$B$28+Inputs!$B$29)))</f>
        <v/>
      </c>
      <c r="E468">
        <f>INDEX(FactorTable!$B$2:$Y$301, MATCH(ROUND(MIN(300,MAX(1,D468)),0), FactorTable!$A$2:$A$301,0), Skills!L7+1)</f>
        <v/>
      </c>
      <c r="F468">
        <f>IF(Skills!M7=TRUE,(Skills!K7/10)*(E468/1000),Skills!K7/10)+Skills!N7</f>
        <v/>
      </c>
      <c r="G468">
        <f>Calc!G7</f>
        <v/>
      </c>
      <c r="H468">
        <f>Calc!H7</f>
        <v/>
      </c>
      <c r="I468">
        <f>IF(Skills!T7&lt;&gt;"",1+(Skills!T7/10)*(Z464/1000)/100,1)</f>
        <v/>
      </c>
      <c r="J468">
        <f>((Inputs!$B$6*(1+Inputs!$B$7/100))+(((Inputs!$B$12*(1+Inputs!$B$13/100))-(Inputs!$B$12*(1+Inputs!$B$13/100)))+0.25*(Inputs!$B$14-Inputs!$B$14))*(1+Inputs!$B$7/100))*(F468/100)</f>
        <v/>
      </c>
      <c r="K468">
        <f>J468*(1+((Inputs!$B$12*(1+Inputs!$B$13/100))*0.01+Inputs!$B$14*0.0025)/100)*(1+(Inputs!$B$15+B489)/100)*(1+Inputs!$B$16/100)*(5000/(6000+Inputs!$B$42*(1-Inputs!$B$19/100)))*(1+Inputs!$B$24/100)*(1+IF(C476=TRUE,F476,0)/100)*(1+IF(C484=TRUE,F484,0)/100)^5*(1+(IF(Skills!A7="CHAIN_LIGHTNING",Inputs!$B$17,Inputs!$B$18))/100)*(B487*I468)</f>
        <v/>
      </c>
      <c r="L468">
        <f>K468*(MIN(Inputs!$B$22+(F479-Calc!F18),Inputs!$B$23)/100+Inputs!$B$23/100)/2</f>
        <v/>
      </c>
      <c r="M468">
        <f>L468*(1+(Inputs!$B$10+(F482-Calc!F21))/100)</f>
        <v/>
      </c>
      <c r="N468">
        <f>L468*(1-MIN(Inputs!$B$9+((F481-Calc!F20)+(F480-Calc!F19)),100)/100)+M468*(MIN(Inputs!$B$9+((F481-Calc!F20)+(F480-Calc!F19)),100)/100)</f>
        <v/>
      </c>
      <c r="O468">
        <f>(1-Summary!$B$51)*S468+Summary!$B$51*U468</f>
        <v/>
      </c>
      <c r="P468">
        <f>IF(B497=0,0,O468/B497)</f>
        <v/>
      </c>
      <c r="Q468">
        <f>IFERROR(1/IF(Inputs!$B$38="pvp",15,MAX(0.1,Skills!D7-IF(Skills!E7=TRUE,Inputs!$B$32,0))),0)</f>
        <v/>
      </c>
      <c r="R468">
        <f>IF(AND(Inputs!$B$38&lt;&gt;"pvp",Inputs!$B$43&gt;0),IF(MAX(0,Inputs!$B$43-B494)&lt;=0,0,(INT(MAX(0,Inputs!$B$43-B494)/IF(Inputs!$B$38="pvp",15,MAX(0.1,Skills!D7-IF(Skills!E7=TRUE,Inputs!$B$32,0))))+1)),0)</f>
        <v/>
      </c>
      <c r="S468">
        <f>IF(C468,(H468*N468*IF(AND(Inputs!$B$38&lt;&gt;"pvp",Inputs!$B$43&gt;0),((Skills!F7*((R468-1)*IF(Skills!G7&gt;0,Skills!H7/Skills!G7,1)+IF(Skills!G7&gt;0,MIN(Skills!H7,MAX(0,MAX(0,Inputs!$B$43-B494)-((R468-1)*IF(Inputs!$B$38="pvp",15,MAX(0.1,Skills!D7-IF(Skills!E7=TRUE,Inputs!$B$32,0))))))/Skills!G7,1)))/Inputs!$B$43),G468*Q468))*IF(Inputs!$B$38="pvp",1,1+(Inputs!$B$20+Skills!O7+B488)/100),0)</f>
        <v/>
      </c>
      <c r="U468">
        <f>IF(C468,(H468*N468*IF(AND(Inputs!$B$38&lt;&gt;"pvp",Inputs!$B$43&gt;0),((Skills!F7*((R468-1)*IF(Skills!G7&gt;0,Skills!H7/Skills!G7,1)+IF(Skills!G7&gt;0,MIN(Skills!H7,MAX(0,MAX(0,Inputs!$B$43-B494)-((R468-1)*IF(Inputs!$B$38="pvp",15,MAX(0.1,Skills!D7-IF(Skills!E7=TRUE,Inputs!$B$32,0))))))/Skills!G7,1)))/Inputs!$B$43),G468*Q468))*IF(Inputs!$B$38="pvp",1,(1+(Inputs!$B$21+Skills!P7+B488)/100)*(MIN(Skills!Q7,Inputs!$B$37))),0)</f>
        <v/>
      </c>
    </row>
    <row r="469">
      <c r="A469">
        <f>Skills!A8</f>
        <v/>
      </c>
      <c r="B469">
        <f>Skills!B8</f>
        <v/>
      </c>
      <c r="C469">
        <f>Inputs!$B$3&gt;=103</f>
        <v/>
      </c>
      <c r="D469">
        <f>IF(Skills!C8=1,60+Inputs!$B$25+Inputs!$B$29,IF(Skills!C8=2,90+Inputs!$B$26+Inputs!$B$29,IF(Skills!C8=3,120+Inputs!$B$27+Inputs!$B$29,MAX(0,(Inputs!$B$3-100)*3)+Inputs!$B$28+Inputs!$B$29)))</f>
        <v/>
      </c>
      <c r="E469">
        <f>INDEX(FactorTable!$B$2:$Y$301, MATCH(ROUND(MIN(300,MAX(1,D469)),0), FactorTable!$A$2:$A$301,0), Skills!L8+1)</f>
        <v/>
      </c>
      <c r="F469">
        <f>IF(Skills!M8=TRUE,(Skills!K8/10)*(E469/1000),Skills!K8/10)+Skills!N8</f>
        <v/>
      </c>
      <c r="G469">
        <f>Calc!G8</f>
        <v/>
      </c>
      <c r="H469">
        <f>Calc!H8</f>
        <v/>
      </c>
      <c r="I469">
        <f>IF(Skills!T8&lt;&gt;"",1+(Skills!T8/10)*(Z464/1000)/100,1)</f>
        <v/>
      </c>
      <c r="J469">
        <f>((Inputs!$B$6*(1+Inputs!$B$7/100))+(((Inputs!$B$12*(1+Inputs!$B$13/100))-(Inputs!$B$12*(1+Inputs!$B$13/100)))+0.25*(Inputs!$B$14-Inputs!$B$14))*(1+Inputs!$B$7/100))*(F469/100)</f>
        <v/>
      </c>
      <c r="K469">
        <f>J469*(1+((Inputs!$B$12*(1+Inputs!$B$13/100))*0.01+Inputs!$B$14*0.0025)/100)*(1+(Inputs!$B$15+B489)/100)*(1+Inputs!$B$16/100)*(5000/(6000+Inputs!$B$42*(1-Inputs!$B$19/100)))*(1+Inputs!$B$24/100)*(1+IF(C476=TRUE,F476,0)/100)*(1+IF(C484=TRUE,F484,0)/100)^5*(1+(IF(Skills!A8="CHAIN_LIGHTNING",Inputs!$B$17,Inputs!$B$18))/100)*(B487*I469)</f>
        <v/>
      </c>
      <c r="L469">
        <f>K469*(MIN(Inputs!$B$22+(F479-Calc!F18),Inputs!$B$23)/100+Inputs!$B$23/100)/2</f>
        <v/>
      </c>
      <c r="M469">
        <f>L469*(1+(Inputs!$B$10+(F482-Calc!F21))/100)</f>
        <v/>
      </c>
      <c r="N469">
        <f>L469*(1-MIN(Inputs!$B$9+((F481-Calc!F20)+(F480-Calc!F19)),100)/100)+M469*(MIN(Inputs!$B$9+((F481-Calc!F20)+(F480-Calc!F19)),100)/100)</f>
        <v/>
      </c>
      <c r="O469">
        <f>(1-Summary!$B$51)*S469+Summary!$B$51*U469</f>
        <v/>
      </c>
      <c r="P469">
        <f>IF(B497=0,0,O469/B497)</f>
        <v/>
      </c>
      <c r="Q469">
        <f>IFERROR(1/IF(Inputs!$B$38="pvp",15,MAX(0.1,Skills!D8-IF(Skills!E8=TRUE,Inputs!$B$32,0))),0)</f>
        <v/>
      </c>
      <c r="R469">
        <f>IF(AND(Inputs!$B$38&lt;&gt;"pvp",Inputs!$B$43&gt;0),IF(MAX(0,Inputs!$B$43-B494)&lt;=0,0,(INT(MAX(0,Inputs!$B$43-B494)/IF(Inputs!$B$38="pvp",15,MAX(0.1,Skills!D8-IF(Skills!E8=TRUE,Inputs!$B$32,0))))+1)),0)</f>
        <v/>
      </c>
      <c r="S469">
        <f>IF(C469,(H469*N469*IF(AND(Inputs!$B$38&lt;&gt;"pvp",Inputs!$B$43&gt;0),((Skills!F8*((R469-1)*IF(Skills!G8&gt;0,Skills!H8/Skills!G8,1)+IF(Skills!G8&gt;0,MIN(Skills!H8,MAX(0,MAX(0,Inputs!$B$43-B494)-((R469-1)*IF(Inputs!$B$38="pvp",15,MAX(0.1,Skills!D8-IF(Skills!E8=TRUE,Inputs!$B$32,0))))))/Skills!G8,1)))/Inputs!$B$43),G469*Q469))*IF(Inputs!$B$38="pvp",1,1+(Inputs!$B$20+Skills!O8+B488)/100),0)</f>
        <v/>
      </c>
      <c r="U469">
        <f>IF(C469,(H469*N469*IF(AND(Inputs!$B$38&lt;&gt;"pvp",Inputs!$B$43&gt;0),((Skills!F8*((R469-1)*IF(Skills!G8&gt;0,Skills!H8/Skills!G8,1)+IF(Skills!G8&gt;0,MIN(Skills!H8,MAX(0,MAX(0,Inputs!$B$43-B494)-((R469-1)*IF(Inputs!$B$38="pvp",15,MAX(0.1,Skills!D8-IF(Skills!E8=TRUE,Inputs!$B$32,0))))))/Skills!G8,1)))/Inputs!$B$43),G469*Q469))*IF(Inputs!$B$38="pvp",1,(1+(Inputs!$B$21+Skills!P8+B488)/100)*(MIN(Skills!Q8,Inputs!$B$37))),0)</f>
        <v/>
      </c>
    </row>
    <row r="470">
      <c r="A470">
        <f>Skills!A9</f>
        <v/>
      </c>
      <c r="B470">
        <f>Skills!B9</f>
        <v/>
      </c>
      <c r="C470">
        <f>Inputs!$B$3&gt;=105</f>
        <v/>
      </c>
      <c r="D470">
        <f>IF(Skills!C9=1,60+Inputs!$B$25+Inputs!$B$29,IF(Skills!C9=2,90+Inputs!$B$26+Inputs!$B$29,IF(Skills!C9=3,120+Inputs!$B$27+Inputs!$B$29,MAX(0,(Inputs!$B$3-100)*3)+Inputs!$B$28+Inputs!$B$29)))</f>
        <v/>
      </c>
      <c r="E470">
        <f>INDEX(FactorTable!$B$2:$Y$301, MATCH(ROUND(MIN(300,MAX(1,D470)),0), FactorTable!$A$2:$A$301,0), Skills!L9+1)</f>
        <v/>
      </c>
      <c r="F470">
        <f>IF(Skills!M9=TRUE,(Skills!K9/10)*(E470/1000),Skills!K9/10)+Skills!N9</f>
        <v/>
      </c>
      <c r="G470">
        <f>Calc!G9</f>
        <v/>
      </c>
      <c r="H470">
        <f>Calc!H9</f>
        <v/>
      </c>
      <c r="I470">
        <f>IF(Skills!T9&lt;&gt;"",1+(Skills!T9/10)*(Z464/1000)/100,1)</f>
        <v/>
      </c>
      <c r="J470">
        <f>((Inputs!$B$6*(1+Inputs!$B$7/100))+(((Inputs!$B$12*(1+Inputs!$B$13/100))-(Inputs!$B$12*(1+Inputs!$B$13/100)))+0.25*(Inputs!$B$14-Inputs!$B$14))*(1+Inputs!$B$7/100))*(F470/100)</f>
        <v/>
      </c>
      <c r="K470">
        <f>J470*(1+((Inputs!$B$12*(1+Inputs!$B$13/100))*0.01+Inputs!$B$14*0.0025)/100)*(1+(Inputs!$B$15+B489)/100)*(1+Inputs!$B$16/100)*(5000/(6000+Inputs!$B$42*(1-Inputs!$B$19/100)))*(1+Inputs!$B$24/100)*(1+IF(C476=TRUE,F476,0)/100)*(1+IF(C484=TRUE,F484,0)/100)^5*(1+(IF(Skills!A9="CHAIN_LIGHTNING",Inputs!$B$17,Inputs!$B$18))/100)*(B487*I470)</f>
        <v/>
      </c>
      <c r="L470">
        <f>K470*(MIN(Inputs!$B$22+(F479-Calc!F18),Inputs!$B$23)/100+Inputs!$B$23/100)/2</f>
        <v/>
      </c>
      <c r="M470">
        <f>L470*(1+(Inputs!$B$10+(F482-Calc!F21))/100)</f>
        <v/>
      </c>
      <c r="N470">
        <f>L470*(1-MIN(Inputs!$B$9+((F481-Calc!F20)+(F480-Calc!F19)),100)/100)+M470*(MIN(Inputs!$B$9+((F481-Calc!F20)+(F480-Calc!F19)),100)/100)</f>
        <v/>
      </c>
      <c r="O470">
        <f>(1-Summary!$B$51)*S470+Summary!$B$51*U470</f>
        <v/>
      </c>
      <c r="P470">
        <f>IF(B497=0,0,O470/B497)</f>
        <v/>
      </c>
      <c r="Q470">
        <f>IFERROR(1/IF(Inputs!$B$38="pvp",15,MAX(0.1,Skills!D9-IF(Skills!E9=TRUE,Inputs!$B$32,0))),0)</f>
        <v/>
      </c>
      <c r="R470">
        <f>IF(AND(Inputs!$B$38&lt;&gt;"pvp",Inputs!$B$43&gt;0),IF(MAX(0,Inputs!$B$43-B494)&lt;=0,0,(INT(MAX(0,Inputs!$B$43-B494)/IF(Inputs!$B$38="pvp",15,MAX(0.1,Skills!D9-IF(Skills!E9=TRUE,Inputs!$B$32,0))))+1)),0)</f>
        <v/>
      </c>
      <c r="S470">
        <f>IF(C470,(H470*N470*IF(AND(Inputs!$B$38&lt;&gt;"pvp",Inputs!$B$43&gt;0),((Skills!F9*((R470-1)*IF(Skills!G9&gt;0,Skills!H9/Skills!G9,1)+IF(Skills!G9&gt;0,MIN(Skills!H9,MAX(0,MAX(0,Inputs!$B$43-B494)-((R470-1)*IF(Inputs!$B$38="pvp",15,MAX(0.1,Skills!D9-IF(Skills!E9=TRUE,Inputs!$B$32,0))))))/Skills!G9,1)))/Inputs!$B$43),G470*Q470))*IF(Inputs!$B$38="pvp",1,1+(Inputs!$B$20+Skills!O9+B488)/100),0)</f>
        <v/>
      </c>
      <c r="U470">
        <f>IF(C470,(H470*N470*IF(AND(Inputs!$B$38&lt;&gt;"pvp",Inputs!$B$43&gt;0),((Skills!F9*((R470-1)*IF(Skills!G9&gt;0,Skills!H9/Skills!G9,1)+IF(Skills!G9&gt;0,MIN(Skills!H9,MAX(0,MAX(0,Inputs!$B$43-B494)-((R470-1)*IF(Inputs!$B$38="pvp",15,MAX(0.1,Skills!D9-IF(Skills!E9=TRUE,Inputs!$B$32,0))))))/Skills!G9,1)))/Inputs!$B$43),G470*Q470))*IF(Inputs!$B$38="pvp",1,(1+(Inputs!$B$21+Skills!P9+B488)/100)*(MIN(Skills!Q9,Inputs!$B$37))),0)</f>
        <v/>
      </c>
    </row>
    <row r="471">
      <c r="A471">
        <f>Skills!A10</f>
        <v/>
      </c>
      <c r="B471">
        <f>Skills!B10</f>
        <v/>
      </c>
      <c r="C471">
        <f>Inputs!$B$3&gt;=113</f>
        <v/>
      </c>
      <c r="D471">
        <f>IF(Skills!C10=1,60+Inputs!$B$25+Inputs!$B$29,IF(Skills!C10=2,90+Inputs!$B$26+Inputs!$B$29,IF(Skills!C10=3,120+Inputs!$B$27+Inputs!$B$29,MAX(0,(Inputs!$B$3-100)*3)+Inputs!$B$28+Inputs!$B$29)))</f>
        <v/>
      </c>
      <c r="E471">
        <f>INDEX(FactorTable!$B$2:$Y$301, MATCH(ROUND(MIN(300,MAX(1,D471)),0), FactorTable!$A$2:$A$301,0), Skills!L10+1)</f>
        <v/>
      </c>
      <c r="F471">
        <f>IF(Skills!M10=TRUE,(Skills!K10/10)*(E471/1000),Skills!K10/10)+Skills!N10</f>
        <v/>
      </c>
      <c r="G471">
        <f>Calc!G10</f>
        <v/>
      </c>
      <c r="H471">
        <f>Calc!H10</f>
        <v/>
      </c>
      <c r="I471">
        <f>IF(Skills!T10&lt;&gt;"",1+(Skills!T10/10)*(Z464/1000)/100,1)</f>
        <v/>
      </c>
      <c r="J471">
        <f>((Inputs!$B$6*(1+Inputs!$B$7/100))+(((Inputs!$B$12*(1+Inputs!$B$13/100))-(Inputs!$B$12*(1+Inputs!$B$13/100)))+0.25*(Inputs!$B$14-Inputs!$B$14))*(1+Inputs!$B$7/100))*(F471/100)</f>
        <v/>
      </c>
      <c r="K471">
        <f>J471*(1+((Inputs!$B$12*(1+Inputs!$B$13/100))*0.01+Inputs!$B$14*0.0025)/100)*(1+(Inputs!$B$15+B489)/100)*(1+Inputs!$B$16/100)*(5000/(6000+Inputs!$B$42*(1-Inputs!$B$19/100)))*(1+Inputs!$B$24/100)*(1+IF(C476=TRUE,F476,0)/100)*(1+IF(C484=TRUE,F484,0)/100)^5*(1+(IF(Skills!A10="CHAIN_LIGHTNING",Inputs!$B$17,Inputs!$B$18))/100)*(B487*I471)</f>
        <v/>
      </c>
      <c r="L471">
        <f>K471*(MIN(Inputs!$B$22+(F479-Calc!F18),Inputs!$B$23)/100+Inputs!$B$23/100)/2</f>
        <v/>
      </c>
      <c r="M471">
        <f>L471*(1+(Inputs!$B$10+(F482-Calc!F21))/100)</f>
        <v/>
      </c>
      <c r="N471">
        <f>L471*(1-MIN(Inputs!$B$9+((F481-Calc!F20)+(F480-Calc!F19)),100)/100)+M471*(MIN(Inputs!$B$9+((F481-Calc!F20)+(F480-Calc!F19)),100)/100)</f>
        <v/>
      </c>
      <c r="O471">
        <f>(1-Summary!$B$51)*S471+Summary!$B$51*U471</f>
        <v/>
      </c>
      <c r="P471">
        <f>IF(B497=0,0,O471/B497)</f>
        <v/>
      </c>
      <c r="Q471">
        <f>IFERROR(1/IF(Inputs!$B$38="pvp",15,MAX(0.1,Skills!D10-IF(Skills!E9=TRUE,Inputs!$B$32,0))),0)</f>
        <v/>
      </c>
      <c r="R471">
        <f>IF(AND(Inputs!$B$38&lt;&gt;"pvp",Inputs!$B$43&gt;0),IF(MAX(0,Inputs!$B$43-B494)&lt;=0,0,(INT(MAX(0,Inputs!$B$43-B494)/IF(Inputs!$B$38="pvp",15,MAX(0.1,Skills!D10-IF(Skills!E9=TRUE,Inputs!$B$32,0))))+1)),0)</f>
        <v/>
      </c>
      <c r="S471">
        <f>IF(C471,(H471*N471*IF(AND(Inputs!$B$38&lt;&gt;"pvp",Inputs!$B$43&gt;0),((Skills!F10*((R471-1)*IF(Skills!G10&gt;0,Skills!H10/Skills!G10,1)+IF(Skills!G10&gt;0,MIN(Skills!H10,MAX(0,MAX(0,Inputs!$B$43-B494)-((R471-1)*IF(Inputs!$B$38="pvp",15,MAX(0.1,Skills!D10-IF(Skills!E9=TRUE,Inputs!$B$32,0))))))/Skills!G10,1)))/Inputs!$B$43),G471*Q471))*IF(Inputs!$B$38="pvp",1,1+(Inputs!$B$20+Skills!O10+B488)/100),0)</f>
        <v/>
      </c>
      <c r="U471">
        <f>IF(C471,(H471*N471*IF(AND(Inputs!$B$38&lt;&gt;"pvp",Inputs!$B$43&gt;0),((Skills!F10*((R471-1)*IF(Skills!G10&gt;0,Skills!H10/Skills!G10,1)+IF(Skills!G10&gt;0,MIN(Skills!H10,MAX(0,MAX(0,Inputs!$B$43-B494)-((R471-1)*IF(Inputs!$B$38="pvp",15,MAX(0.1,Skills!D10-IF(Skills!E9=TRUE,Inputs!$B$32,0))))))/Skills!G10,1)))/Inputs!$B$43),G471*Q471))*IF(Inputs!$B$38="pvp",1,(1+(Inputs!$B$21+Skills!P10+B488)/100)*(MIN(Skills!Q10,Inputs!$B$37))),0)</f>
        <v/>
      </c>
    </row>
    <row r="472">
      <c r="A472">
        <f>Skills!A11</f>
        <v/>
      </c>
      <c r="B472">
        <f>Skills!B11</f>
        <v/>
      </c>
      <c r="C472">
        <f>Inputs!$B$3&gt;=107</f>
        <v/>
      </c>
      <c r="D472">
        <f>IF(Skills!C11=1,60+Inputs!$B$25+Inputs!$B$29,IF(Skills!C11=2,90+Inputs!$B$26+Inputs!$B$29,IF(Skills!C11=3,120+Inputs!$B$27+Inputs!$B$29,MAX(0,(Inputs!$B$3-100)*3)+Inputs!$B$28+Inputs!$B$29)))</f>
        <v/>
      </c>
      <c r="E472">
        <f>INDEX(FactorTable!$B$2:$Y$301, MATCH(ROUND(MIN(300,MAX(1,D472)),0), FactorTable!$A$2:$A$301,0), Skills!L11+1)</f>
        <v/>
      </c>
      <c r="F472">
        <f>IF(Skills!M11=TRUE,(Skills!K11/10)*(E472/1000),Skills!K11/10)+Skills!N11</f>
        <v/>
      </c>
      <c r="G472">
        <f>Calc!G11</f>
        <v/>
      </c>
      <c r="H472">
        <f>Calc!H11</f>
        <v/>
      </c>
      <c r="I472">
        <f>IF(Skills!T11&lt;&gt;"",1+(Skills!T11/10)*(Z464/1000)/100,1)</f>
        <v/>
      </c>
      <c r="J472">
        <f>((Inputs!$B$6*(1+Inputs!$B$7/100))+(((Inputs!$B$12*(1+Inputs!$B$13/100))-(Inputs!$B$12*(1+Inputs!$B$13/100)))+0.25*(Inputs!$B$14-Inputs!$B$14))*(1+Inputs!$B$7/100))*(F472/100)</f>
        <v/>
      </c>
      <c r="K472">
        <f>J472*(1+((Inputs!$B$12*(1+Inputs!$B$13/100))*0.01+Inputs!$B$14*0.0025)/100)*(1+(Inputs!$B$15+B489)/100)*(1+Inputs!$B$16/100)*(5000/(6000+Inputs!$B$42*(1-Inputs!$B$19/100)))*(1+Inputs!$B$24/100)*(1+IF(C476=TRUE,F476,0)/100)*(1+IF(C484=TRUE,F484,0)/100)^5*(1+(IF(Skills!A11="CHAIN_LIGHTNING",Inputs!$B$17,Inputs!$B$18))/100)*(B487*I472)</f>
        <v/>
      </c>
      <c r="L472">
        <f>K472*(MIN(Inputs!$B$22+(F479-Calc!F18),Inputs!$B$23)/100+Inputs!$B$23/100)/2</f>
        <v/>
      </c>
      <c r="M472">
        <f>L472*(1+(Inputs!$B$10+(F482-Calc!F21))/100)</f>
        <v/>
      </c>
      <c r="N472">
        <f>L472*(1-MIN(Inputs!$B$9+((F481-Calc!F20)+(F480-Calc!F19)),100)/100)+M472*(MIN(Inputs!$B$9+((F481-Calc!F20)+(F480-Calc!F19)),100)/100)</f>
        <v/>
      </c>
      <c r="O472">
        <f>(1-Summary!$B$51)*S472+Summary!$B$51*U472</f>
        <v/>
      </c>
      <c r="P472">
        <f>IF(B497=0,0,O472/B497)</f>
        <v/>
      </c>
      <c r="Q472">
        <f>IFERROR(1/IF(Inputs!$B$38="pvp",15,MAX(0.1,Skills!D11-IF(Skills!E11=TRUE,Inputs!$B$32,0))),0)</f>
        <v/>
      </c>
      <c r="R472">
        <f>IF(AND(Inputs!$B$38&lt;&gt;"pvp",Inputs!$B$43&gt;0),IF(MAX(0,Inputs!$B$43-B494)&lt;=0,0,(INT(MAX(0,Inputs!$B$43-B494)/IF(Inputs!$B$38="pvp",15,MAX(0.1,Skills!D11-IF(Skills!E11=TRUE,Inputs!$B$32,0))))+1)),0)</f>
        <v/>
      </c>
      <c r="S472">
        <f>IF(C472,H472*N472*IF(AND(Inputs!$B$38&lt;&gt;"pvp",Inputs!$B$43&gt;0),((Skills!F11*((R472-1)*IF(Skills!G11&gt;0,Skills!H11/Skills!G11,1)+IF(Skills!G11&gt;0,MIN(Skills!H11,MAX(0,MAX(0,Inputs!$B$43-B494)-((R472-1)*IF(Inputs!$B$38="pvp",15,MAX(0.1,Skills!D11-IF(Skills!E11=TRUE,Inputs!$B$32,0))))))/Skills!G11,1)))/Inputs!$B$43),G472*Q472)*0.5*IF(Inputs!$B$38="pvp",1,1+(Inputs!$B$20+Skills!O11+B488)/100),0)</f>
        <v/>
      </c>
      <c r="U472">
        <f>IF(C472,H472*N472*IF(AND(Inputs!$B$38&lt;&gt;"pvp",Inputs!$B$43&gt;0),((Skills!F11*((R472-1)*IF(Skills!G11&gt;0,Skills!H11/Skills!G11,1)+IF(Skills!G11&gt;0,MIN(Skills!H11,MAX(0,MAX(0,Inputs!$B$43-B494)-((R472-1)*IF(Inputs!$B$38="pvp",15,MAX(0.1,Skills!D11-IF(Skills!E11=TRUE,Inputs!$B$32,0))))))/Skills!G11,1)))/Inputs!$B$43),G472*Q472)*1*IF(Inputs!$B$38="pvp",1,(1+(Inputs!$B$21+Skills!P11+B488)/100)*(MIN(Skills!Q11,Inputs!$B$37))),0)</f>
        <v/>
      </c>
    </row>
    <row r="473">
      <c r="A473">
        <f>Skills!A12</f>
        <v/>
      </c>
      <c r="B473">
        <f>Skills!B12</f>
        <v/>
      </c>
      <c r="C473">
        <f>Inputs!$B$3&gt;=115</f>
        <v/>
      </c>
      <c r="D473">
        <f>IF(Skills!C12=1,60+Inputs!$B$25+Inputs!$B$29,IF(Skills!C12=2,90+Inputs!$B$26+Inputs!$B$29,IF(Skills!C12=3,120+Inputs!$B$27+Inputs!$B$29,MAX(0,(Inputs!$B$3-100)*3)+Inputs!$B$28+Inputs!$B$29)))</f>
        <v/>
      </c>
      <c r="E473">
        <f>INDEX(FactorTable!$B$2:$Y$301, MATCH(ROUND(MIN(300,MAX(1,D473)),0), FactorTable!$A$2:$A$301,0), Skills!L12+1)</f>
        <v/>
      </c>
      <c r="F473">
        <f>IF(Skills!M12=TRUE,(Skills!K12/10)*(E473/1000),Skills!K12/10)+Skills!N12</f>
        <v/>
      </c>
      <c r="G473">
        <f>Calc!G12</f>
        <v/>
      </c>
      <c r="H473">
        <f>Calc!H12</f>
        <v/>
      </c>
      <c r="I473">
        <f>IF(Skills!T12&lt;&gt;"",1+(Skills!T12/10)*(Z464/1000)/100,1)</f>
        <v/>
      </c>
      <c r="J473">
        <f>((Inputs!$B$6*(1+Inputs!$B$7/100))+(((Inputs!$B$12*(1+Inputs!$B$13/100))-(Inputs!$B$12*(1+Inputs!$B$13/100)))+0.25*(Inputs!$B$14-Inputs!$B$14))*(1+Inputs!$B$7/100))*(F473/100)</f>
        <v/>
      </c>
      <c r="K473">
        <f>J473*(1+((Inputs!$B$12*(1+Inputs!$B$13/100))*0.01+Inputs!$B$14*0.0025)/100)*(1+(Inputs!$B$15+B489)/100)*(1+Inputs!$B$16/100)*(5000/(6000+Inputs!$B$42*(1-Inputs!$B$19/100)))*(1+Inputs!$B$24/100)*(1+IF(C476=TRUE,F476,0)/100)*(1+IF(C484=TRUE,F484,0)/100)^5*(1+(IF(Skills!A12="CHAIN_LIGHTNING",Inputs!$B$17,Inputs!$B$18))/100)*(B487*I473)</f>
        <v/>
      </c>
      <c r="L473">
        <f>K473*(MIN(Inputs!$B$22+(F479-Calc!F18),Inputs!$B$23)/100+Inputs!$B$23/100)/2</f>
        <v/>
      </c>
      <c r="M473">
        <f>L473*(1+(Inputs!$B$10+(F482-Calc!F21))/100)</f>
        <v/>
      </c>
      <c r="N473">
        <f>L473*(1-MIN(Inputs!$B$9+((F481-Calc!F20)+(F480-Calc!F19)),100)/100)+M473*(MIN(Inputs!$B$9+((F481-Calc!F20)+(F480-Calc!F19)),100)/100)</f>
        <v/>
      </c>
      <c r="O473">
        <f>(1-Summary!$B$51)*S473+Summary!$B$51*U473</f>
        <v/>
      </c>
      <c r="P473">
        <f>IF(B497=0,0,O473/B497)</f>
        <v/>
      </c>
      <c r="Q473">
        <f>IFERROR(1/IF(Inputs!$B$38="pvp",15,MAX(0.1,Skills!D12-IF(Skills!E12=TRUE,Inputs!$B$32,0))),0)</f>
        <v/>
      </c>
      <c r="R473">
        <f>IF(AND(Inputs!$B$38&lt;&gt;"pvp",Inputs!$B$43&gt;0),IF(MAX(0,Inputs!$B$43-B494)&lt;=0,0,(INT(MAX(0,Inputs!$B$43-B494)/IF(Inputs!$B$38="pvp",15,MAX(0.1,Skills!D12-IF(Skills!E12=TRUE,Inputs!$B$32,0))))+1)),0)</f>
        <v/>
      </c>
      <c r="S473">
        <f>IF(C473,(H473*N473*IF(AND(Inputs!$B$38&lt;&gt;"pvp",Inputs!$B$43&gt;0),((Skills!F12*((R473-1)*IF(Skills!G12&gt;0,Skills!H12/Skills!G12,1)+IF(Skills!G12&gt;0,MIN(Skills!H12,MAX(0,MAX(0,Inputs!$B$43-B494)-((R473-1)*IF(Inputs!$B$38="pvp",15,MAX(0.1,Skills!D12-IF(Skills!E12=TRUE,Inputs!$B$32,0))))))/Skills!G12,1)))/Inputs!$B$43),G473*Q473))*IF(Inputs!$B$38="pvp",1,1+(Inputs!$B$20+Skills!O12+B488)/100),0)</f>
        <v/>
      </c>
      <c r="U473">
        <f>IF(C473,(H473*N473*IF(AND(Inputs!$B$38&lt;&gt;"pvp",Inputs!$B$43&gt;0),((Skills!F12*((R473-1)*IF(Skills!G12&gt;0,Skills!H12/Skills!G12,1)+IF(Skills!G12&gt;0,MIN(Skills!H12,MAX(0,MAX(0,Inputs!$B$43-B494)-((R473-1)*IF(Inputs!$B$38="pvp",15,MAX(0.1,Skills!D12-IF(Skills!E12=TRUE,Inputs!$B$32,0))))))/Skills!G12,1)))/Inputs!$B$43),G473*Q473))*IF(Inputs!$B$38="pvp",1,(1+(Inputs!$B$21+Skills!P12+B488)/100)*(MIN(Skills!Q12,Inputs!$B$37))),0)</f>
        <v/>
      </c>
    </row>
    <row r="474">
      <c r="A474">
        <f>Skills!A13</f>
        <v/>
      </c>
      <c r="B474">
        <f>Skills!B13</f>
        <v/>
      </c>
      <c r="C474">
        <f>Inputs!$B$3&gt;=49</f>
        <v/>
      </c>
      <c r="D474">
        <f>IF(Skills!C13=1,60+Inputs!$B$25+Inputs!$B$29,IF(Skills!C13=2,90+Inputs!$B$26+Inputs!$B$29,IF(Skills!C13=3,120+Inputs!$B$27+Inputs!$B$29,MAX(0,(Inputs!$B$3-100)*3)+Inputs!$B$28+Inputs!$B$29)))</f>
        <v/>
      </c>
      <c r="E474">
        <f>INDEX(FactorTable!$B$2:$Y$301, MATCH(ROUND(MIN(300,MAX(1,D474)),0), FactorTable!$A$2:$A$301,0), Skills!L13+1)</f>
        <v/>
      </c>
      <c r="F474">
        <f>IF(Skills!M13=TRUE,(Skills!K13/10)*(E474/1000),Skills!K13/10)+Skills!N13</f>
        <v/>
      </c>
      <c r="G474">
        <f>Calc!G13</f>
        <v/>
      </c>
      <c r="H474">
        <f>Calc!H13</f>
        <v/>
      </c>
      <c r="I474">
        <f>IF(Skills!T13&lt;&gt;"",1+(Skills!T13/10)*(Z464/1000)/100,1)</f>
        <v/>
      </c>
      <c r="J474" t="inlineStr"/>
      <c r="K474" t="inlineStr"/>
      <c r="L474" t="inlineStr"/>
      <c r="M474" t="inlineStr"/>
      <c r="N474" t="inlineStr"/>
      <c r="O474">
        <f>(1-Summary!$B$51)*S474+Summary!$B$51*U474</f>
        <v/>
      </c>
      <c r="P474">
        <f>IF(B497=0,0,O474/B497)</f>
        <v/>
      </c>
      <c r="Q474">
        <f>IFERROR(1/IF(Inputs!$B$38="pvp",15,MAX(0.1,Skills!D13-IF(Skills!E13=TRUE,Inputs!$B$32,0))),0)</f>
        <v/>
      </c>
      <c r="R474" t="n">
        <v>0</v>
      </c>
      <c r="S474" t="n">
        <v>0</v>
      </c>
      <c r="U474" t="n">
        <v>0</v>
      </c>
    </row>
    <row r="475">
      <c r="A475">
        <f>Skills!A14</f>
        <v/>
      </c>
      <c r="B475">
        <f>Skills!B14</f>
        <v/>
      </c>
      <c r="C475">
        <f>Inputs!$B$3&gt;=72</f>
        <v/>
      </c>
      <c r="D475">
        <f>IF(Skills!C14=1,60+Inputs!$B$25+Inputs!$B$29,IF(Skills!C14=2,90+Inputs!$B$26+Inputs!$B$29,IF(Skills!C14=3,120+Inputs!$B$27+Inputs!$B$29,MAX(0,(Inputs!$B$3-100)*3)+Inputs!$B$28+Inputs!$B$29)))</f>
        <v/>
      </c>
      <c r="E475">
        <f>INDEX(FactorTable!$B$2:$Y$301, MATCH(ROUND(MIN(300,MAX(1,D475)),0), FactorTable!$A$2:$A$301,0), Skills!L14+1)</f>
        <v/>
      </c>
      <c r="F475">
        <f>IF(Skills!M14=TRUE,(Skills!K14/10)*(E475/1000),Skills!K14/10)+Skills!N14</f>
        <v/>
      </c>
      <c r="G475">
        <f>Calc!G14</f>
        <v/>
      </c>
      <c r="H475">
        <f>Calc!H14</f>
        <v/>
      </c>
      <c r="I475">
        <f>IF(Skills!T14&lt;&gt;"",1+(Skills!T14/10)*(Z464/1000)/100,1)</f>
        <v/>
      </c>
      <c r="J475" t="inlineStr"/>
      <c r="K475" t="inlineStr"/>
      <c r="L475" t="inlineStr"/>
      <c r="M475" t="inlineStr"/>
      <c r="N475" t="inlineStr"/>
      <c r="O475">
        <f>(1-Summary!$B$51)*S475+Summary!$B$51*U475</f>
        <v/>
      </c>
      <c r="P475">
        <f>IF(B497=0,0,O475/B497)</f>
        <v/>
      </c>
      <c r="Q475">
        <f>IFERROR(1/IF(Inputs!$B$38="pvp",15,MAX(0.1,Skills!D14-IF(Skills!E14=TRUE,Inputs!$B$32,0))),0)</f>
        <v/>
      </c>
      <c r="R475" t="n">
        <v>0</v>
      </c>
      <c r="S475" t="n">
        <v>0</v>
      </c>
      <c r="U475" t="n">
        <v>0</v>
      </c>
    </row>
    <row r="476">
      <c r="A476">
        <f>Skills!A15</f>
        <v/>
      </c>
      <c r="B476">
        <f>Skills!B15</f>
        <v/>
      </c>
      <c r="C476">
        <f>Inputs!$B$3&gt;=75</f>
        <v/>
      </c>
      <c r="D476">
        <f>IF(Skills!C15=1,60+Inputs!$B$25+Inputs!$B$29,IF(Skills!C15=2,90+Inputs!$B$26+Inputs!$B$29,IF(Skills!C15=3,120+Inputs!$B$27+Inputs!$B$29,MAX(0,(Inputs!$B$3-100)*3)+Inputs!$B$28+Inputs!$B$29)))</f>
        <v/>
      </c>
      <c r="E476">
        <f>INDEX(FactorTable!$B$2:$Y$301, MATCH(ROUND(MIN(300,MAX(1,D476)),0), FactorTable!$A$2:$A$301,0), Skills!L15+1)</f>
        <v/>
      </c>
      <c r="F476">
        <f>IF(Skills!M15=TRUE,(Skills!K15/10)*(E476/1000),Skills!K15/10)+Skills!N15</f>
        <v/>
      </c>
      <c r="G476">
        <f>Calc!G15</f>
        <v/>
      </c>
      <c r="H476">
        <f>Calc!H15</f>
        <v/>
      </c>
      <c r="I476">
        <f>IF(Skills!T15&lt;&gt;"",1+(Skills!T15/10)*(Z464/1000)/100,1)</f>
        <v/>
      </c>
      <c r="J476" t="inlineStr"/>
      <c r="K476" t="inlineStr"/>
      <c r="L476" t="inlineStr"/>
      <c r="M476" t="inlineStr"/>
      <c r="N476" t="inlineStr"/>
      <c r="O476">
        <f>(1-Summary!$B$51)*S476+Summary!$B$51*U476</f>
        <v/>
      </c>
      <c r="P476">
        <f>IF(B497=0,0,O476/B497)</f>
        <v/>
      </c>
      <c r="Q476">
        <f>IFERROR(1/IF(Inputs!$B$38="pvp",15,MAX(0.1,Skills!D15-IF(Skills!E15=TRUE,Inputs!$B$32,0))),0)</f>
        <v/>
      </c>
      <c r="R476" t="n">
        <v>0</v>
      </c>
      <c r="S476" t="n">
        <v>0</v>
      </c>
      <c r="U476" t="n">
        <v>0</v>
      </c>
    </row>
    <row r="477">
      <c r="A477">
        <f>Skills!A16</f>
        <v/>
      </c>
      <c r="B477">
        <f>Skills!B16</f>
        <v/>
      </c>
      <c r="C477">
        <f>Inputs!$B$3&gt;=110</f>
        <v/>
      </c>
      <c r="D477">
        <f>IF(Skills!C16=1,60+Inputs!$B$25+Inputs!$B$29,IF(Skills!C16=2,90+Inputs!$B$26+Inputs!$B$29,IF(Skills!C16=3,120+Inputs!$B$27+Inputs!$B$29,MAX(0,(Inputs!$B$3-100)*3)+Inputs!$B$28+Inputs!$B$29)))</f>
        <v/>
      </c>
      <c r="E477">
        <f>INDEX(FactorTable!$B$2:$Y$301, MATCH(ROUND(MIN(300,MAX(1,D477)),0), FactorTable!$A$2:$A$301,0), Skills!L16+1)</f>
        <v/>
      </c>
      <c r="F477">
        <f>(Skills!K16/10)*(E477/1000)*64/45+Skills!N16</f>
        <v/>
      </c>
      <c r="G477">
        <f>Calc!G16</f>
        <v/>
      </c>
      <c r="H477">
        <f>Calc!H16</f>
        <v/>
      </c>
      <c r="I477">
        <f>IF(Skills!T16&lt;&gt;"",1+(Skills!T16/10)*(Z464/1000)/100,1)</f>
        <v/>
      </c>
      <c r="J477" t="inlineStr"/>
      <c r="K477" t="inlineStr"/>
      <c r="L477" t="inlineStr"/>
      <c r="M477" t="inlineStr"/>
      <c r="N477" t="inlineStr"/>
      <c r="O477">
        <f>(1-Summary!$B$51)*S477+Summary!$B$51*U477</f>
        <v/>
      </c>
      <c r="P477">
        <f>IF(B497=0,0,O477/B497)</f>
        <v/>
      </c>
      <c r="Q477">
        <f>IFERROR(1/IF(Inputs!$B$38="pvp",15,MAX(0.1,Skills!D16-IF(Skills!E16=TRUE,Inputs!$B$32,0))),0)</f>
        <v/>
      </c>
      <c r="R477">
        <f>IF(AND(Inputs!$B$38&lt;&gt;"pvp",Inputs!$B$43&gt;0),IF(Inputs!$B$43&lt;=0,0,(INT(Inputs!$B$43/IF(Inputs!$B$38="pvp",15,MAX(0.1,Skills!D16-IF(Skills!E16=TRUE,Inputs!$B$32,0))))+1)),0)</f>
        <v/>
      </c>
      <c r="S477" t="n">
        <v>0</v>
      </c>
      <c r="U477" t="n">
        <v>0</v>
      </c>
    </row>
    <row r="478">
      <c r="A478">
        <f>Skills!A17</f>
        <v/>
      </c>
      <c r="B478">
        <f>Skills!B17</f>
        <v/>
      </c>
      <c r="C478">
        <f>Inputs!$B$3&gt;=33</f>
        <v/>
      </c>
      <c r="D478">
        <f>IF(Skills!C17=1,60+Inputs!$B$25+Inputs!$B$29,IF(Skills!C17=2,90+Inputs!$B$26+Inputs!$B$29,IF(Skills!C17=3,120+Inputs!$B$27+Inputs!$B$29,MAX(0,(Inputs!$B$3-100)*3)+Inputs!$B$28+Inputs!$B$29)))</f>
        <v/>
      </c>
      <c r="E478">
        <f>INDEX(FactorTable!$B$2:$Y$301, MATCH(ROUND(MIN(300,MAX(1,D478)),0), FactorTable!$A$2:$A$301,0), Skills!L17+1)</f>
        <v/>
      </c>
      <c r="F478">
        <f>IF(Skills!M17=TRUE,(Skills!K17/10)*(E478/1000),Skills!K17/10)+Skills!N17</f>
        <v/>
      </c>
      <c r="G478">
        <f>Calc!G17</f>
        <v/>
      </c>
      <c r="H478">
        <f>Calc!H17</f>
        <v/>
      </c>
      <c r="I478">
        <f>IF(Skills!T17&lt;&gt;"",1+(Skills!T17/10)*(Z464/1000)/100,1)</f>
        <v/>
      </c>
      <c r="J478" t="inlineStr"/>
      <c r="K478" t="inlineStr"/>
      <c r="L478" t="inlineStr"/>
      <c r="M478" t="inlineStr"/>
      <c r="N478" t="inlineStr"/>
      <c r="O478">
        <f>(1-Summary!$B$51)*S478+Summary!$B$51*U478</f>
        <v/>
      </c>
      <c r="P478">
        <f>IF(B497=0,0,O478/B497)</f>
        <v/>
      </c>
      <c r="Q478">
        <f>IFERROR(1/IF(Inputs!$B$38="pvp",15,MAX(0.1,Skills!D17-IF(Skills!E17=TRUE,Inputs!$B$32,0))),0)</f>
        <v/>
      </c>
      <c r="R478" t="n">
        <v>0</v>
      </c>
      <c r="S478" t="n">
        <v>0</v>
      </c>
      <c r="U478" t="n">
        <v>0</v>
      </c>
    </row>
    <row r="479">
      <c r="A479">
        <f>Skills!A18</f>
        <v/>
      </c>
      <c r="B479">
        <f>Skills!B18</f>
        <v/>
      </c>
      <c r="C479">
        <f>Inputs!$B$3&gt;=43</f>
        <v/>
      </c>
      <c r="D479">
        <f>IF(Skills!C18=1,60+Inputs!$B$25+Inputs!$B$29,IF(Skills!C18=2,90+Inputs!$B$26+Inputs!$B$29,IF(Skills!C18=3,120+Inputs!$B$27+Inputs!$B$29,MAX(0,(Inputs!$B$3-100)*3)+Inputs!$B$28+Inputs!$B$29)))</f>
        <v/>
      </c>
      <c r="E479">
        <f>INDEX(FactorTable!$B$2:$Y$301, MATCH(ROUND(MIN(300,MAX(1,D479)),0), FactorTable!$A$2:$A$301,0), Skills!L18+1)</f>
        <v/>
      </c>
      <c r="F479">
        <f>IF(Skills!M18=TRUE,(Skills!K18/10)*(E479/1000),Skills!K18/10)+Skills!N18</f>
        <v/>
      </c>
      <c r="G479">
        <f>Calc!G18</f>
        <v/>
      </c>
      <c r="H479">
        <f>Calc!H18</f>
        <v/>
      </c>
      <c r="I479">
        <f>IF(Skills!T18&lt;&gt;"",1+(Skills!T18/10)*(Z464/1000)/100,1)</f>
        <v/>
      </c>
      <c r="J479" t="inlineStr"/>
      <c r="K479" t="inlineStr"/>
      <c r="L479" t="inlineStr"/>
      <c r="M479" t="inlineStr"/>
      <c r="N479" t="inlineStr"/>
      <c r="O479">
        <f>(1-Summary!$B$51)*S479+Summary!$B$51*U479</f>
        <v/>
      </c>
      <c r="P479">
        <f>IF(B497=0,0,O479/B497)</f>
        <v/>
      </c>
      <c r="Q479">
        <f>IFERROR(1/IF(Inputs!$B$38="pvp",15,MAX(0.1,Skills!D18-IF(Skills!E18=TRUE,Inputs!$B$32,0))),0)</f>
        <v/>
      </c>
      <c r="R479" t="n">
        <v>0</v>
      </c>
      <c r="S479" t="n">
        <v>0</v>
      </c>
      <c r="U479" t="n">
        <v>0</v>
      </c>
    </row>
    <row r="480">
      <c r="A480">
        <f>Skills!A19</f>
        <v/>
      </c>
      <c r="B480">
        <f>Skills!B19</f>
        <v/>
      </c>
      <c r="C480">
        <f>Inputs!$B$3&gt;=50</f>
        <v/>
      </c>
      <c r="D480">
        <f>IF(Skills!C19=1,60+Inputs!$B$25+Inputs!$B$29,IF(Skills!C19=2,90+Inputs!$B$26+Inputs!$B$29,IF(Skills!C19=3,120+Inputs!$B$27+Inputs!$B$29,MAX(0,(Inputs!$B$3-100)*3)+Inputs!$B$28+Inputs!$B$29)))</f>
        <v/>
      </c>
      <c r="E480">
        <f>INDEX(FactorTable!$B$2:$Y$301, MATCH(ROUND(MIN(300,MAX(1,D480)),0), FactorTable!$A$2:$A$301,0), Skills!L19+1)</f>
        <v/>
      </c>
      <c r="F480">
        <f>IF(Skills!M19=TRUE,(Skills!K19/10)*(E480/1000),Skills!K19/10)+Skills!N19</f>
        <v/>
      </c>
      <c r="G480">
        <f>Calc!G19</f>
        <v/>
      </c>
      <c r="H480">
        <f>Calc!H19</f>
        <v/>
      </c>
      <c r="I480">
        <f>IF(Skills!T19&lt;&gt;"",1+(Skills!T19/10)*(Z464/1000)/100,1)</f>
        <v/>
      </c>
      <c r="J480" t="inlineStr"/>
      <c r="K480" t="inlineStr"/>
      <c r="L480" t="inlineStr"/>
      <c r="M480" t="inlineStr"/>
      <c r="N480" t="inlineStr"/>
      <c r="O480">
        <f>(1-Summary!$B$51)*S480+Summary!$B$51*U480</f>
        <v/>
      </c>
      <c r="P480">
        <f>IF(B497=0,0,O480/B497)</f>
        <v/>
      </c>
      <c r="Q480">
        <f>IFERROR(1/IF(Inputs!$B$38="pvp",15,MAX(0.1,Skills!D19-IF(Skills!E19=TRUE,Inputs!$B$32,0))),0)</f>
        <v/>
      </c>
      <c r="R480" t="n">
        <v>0</v>
      </c>
      <c r="S480" t="n">
        <v>0</v>
      </c>
      <c r="U480" t="n">
        <v>0</v>
      </c>
    </row>
    <row r="481">
      <c r="A481">
        <f>Skills!A20</f>
        <v/>
      </c>
      <c r="B481">
        <f>Skills!B20</f>
        <v/>
      </c>
      <c r="C481">
        <f>Inputs!$B$3&gt;=74</f>
        <v/>
      </c>
      <c r="D481">
        <f>IF(Skills!C20=1,60+Inputs!$B$25+Inputs!$B$29,IF(Skills!C20=2,90+Inputs!$B$26+Inputs!$B$29,IF(Skills!C20=3,120+Inputs!$B$27+Inputs!$B$29,MAX(0,(Inputs!$B$3-100)*3)+Inputs!$B$28+Inputs!$B$29)))</f>
        <v/>
      </c>
      <c r="E481">
        <f>INDEX(FactorTable!$B$2:$Y$301, MATCH(ROUND(MIN(300,MAX(1,D481)),0), FactorTable!$A$2:$A$301,0), Skills!L20+1)</f>
        <v/>
      </c>
      <c r="F481">
        <f>IF(Skills!M20=TRUE,(Skills!K20/10)*(E481/1000),Skills!K20/10)+Skills!N20</f>
        <v/>
      </c>
      <c r="G481">
        <f>Calc!G20</f>
        <v/>
      </c>
      <c r="H481">
        <f>Calc!H20</f>
        <v/>
      </c>
      <c r="I481">
        <f>IF(Skills!T20&lt;&gt;"",1+(Skills!T20/10)*(Z464/1000)/100,1)</f>
        <v/>
      </c>
      <c r="J481" t="inlineStr"/>
      <c r="K481" t="inlineStr"/>
      <c r="L481" t="inlineStr"/>
      <c r="M481" t="inlineStr"/>
      <c r="N481" t="inlineStr"/>
      <c r="O481">
        <f>(1-Summary!$B$51)*S481+Summary!$B$51*U481</f>
        <v/>
      </c>
      <c r="P481">
        <f>IF(B497=0,0,O481/B497)</f>
        <v/>
      </c>
      <c r="Q481">
        <f>IFERROR(1/IF(Inputs!$B$38="pvp",15,MAX(0.1,Skills!D20-IF(Skills!E20=TRUE,Inputs!$B$32,0))),0)</f>
        <v/>
      </c>
      <c r="R481" t="n">
        <v>0</v>
      </c>
      <c r="S481" t="n">
        <v>0</v>
      </c>
      <c r="U481" t="n">
        <v>0</v>
      </c>
    </row>
    <row r="482">
      <c r="A482">
        <f>Skills!A21</f>
        <v/>
      </c>
      <c r="B482">
        <f>Skills!B21</f>
        <v/>
      </c>
      <c r="C482">
        <f>Inputs!$B$3&gt;=74</f>
        <v/>
      </c>
      <c r="D482">
        <f>IF(Skills!C21=1,60+Inputs!$B$25+Inputs!$B$29,IF(Skills!C21=2,90+Inputs!$B$26+Inputs!$B$29,IF(Skills!C21=3,120+Inputs!$B$27+Inputs!$B$29,MAX(0,(Inputs!$B$3-100)*3)+Inputs!$B$28+Inputs!$B$29)))</f>
        <v/>
      </c>
      <c r="E482">
        <f>INDEX(FactorTable!$B$2:$Y$301, MATCH(ROUND(MIN(300,MAX(1,D482)),0), FactorTable!$A$2:$A$301,0), Skills!L21+1)</f>
        <v/>
      </c>
      <c r="F482">
        <f>IF(Skills!M21=TRUE,(Skills!K21/10)*(E482/1000),Skills!K21/10)+Skills!N21</f>
        <v/>
      </c>
      <c r="G482">
        <f>Calc!G21</f>
        <v/>
      </c>
      <c r="H482">
        <f>Calc!H21</f>
        <v/>
      </c>
      <c r="I482">
        <f>IF(Skills!T21&lt;&gt;"",1+(Skills!T21/10)*(Z464/1000)/100,1)</f>
        <v/>
      </c>
      <c r="J482" t="inlineStr"/>
      <c r="K482" t="inlineStr"/>
      <c r="L482" t="inlineStr"/>
      <c r="M482" t="inlineStr"/>
      <c r="N482" t="inlineStr"/>
      <c r="O482">
        <f>(1-Summary!$B$51)*S482+Summary!$B$51*U482</f>
        <v/>
      </c>
      <c r="P482">
        <f>IF(B497=0,0,O482/B497)</f>
        <v/>
      </c>
      <c r="Q482">
        <f>IFERROR(1/IF(Inputs!$B$38="pvp",15,MAX(0.1,Skills!D21-IF(Skills!E21=TRUE,Inputs!$B$32,0))),0)</f>
        <v/>
      </c>
      <c r="R482" t="n">
        <v>0</v>
      </c>
      <c r="S482" t="n">
        <v>0</v>
      </c>
      <c r="U482" t="n">
        <v>0</v>
      </c>
    </row>
    <row r="483">
      <c r="A483">
        <f>Skills!A22</f>
        <v/>
      </c>
      <c r="B483">
        <f>Skills!B22</f>
        <v/>
      </c>
      <c r="C483">
        <f>Inputs!$B$3&gt;=117</f>
        <v/>
      </c>
      <c r="D483">
        <f>IF(Skills!C22=1,60+Inputs!$B$25+Inputs!$B$29,IF(Skills!C22=2,90+Inputs!$B$26+Inputs!$B$29,IF(Skills!C22=3,120+Inputs!$B$27+Inputs!$B$29,MAX(0,(Inputs!$B$3-100)*3)+Inputs!$B$28+Inputs!$B$29)))</f>
        <v/>
      </c>
      <c r="E483">
        <f>INDEX(FactorTable!$B$2:$Y$301, MATCH(ROUND(MIN(300,MAX(1,D483)),0), FactorTable!$A$2:$A$301,0), Skills!L22+1)</f>
        <v/>
      </c>
      <c r="F483">
        <f>IF(Skills!M22=TRUE,(Skills!K22/10)*(E483/1000),Skills!K22/10)+Skills!N22</f>
        <v/>
      </c>
      <c r="G483">
        <f>Calc!G22</f>
        <v/>
      </c>
      <c r="H483">
        <f>Calc!H22</f>
        <v/>
      </c>
      <c r="I483">
        <f>IF(Skills!T22&lt;&gt;"",1+(Skills!T22/10)*(Z464/1000)/100,1)</f>
        <v/>
      </c>
      <c r="J483" t="inlineStr"/>
      <c r="K483" t="inlineStr"/>
      <c r="L483" t="inlineStr"/>
      <c r="M483" t="inlineStr"/>
      <c r="N483" t="inlineStr"/>
      <c r="O483">
        <f>(1-Summary!$B$51)*S483+Summary!$B$51*U483</f>
        <v/>
      </c>
      <c r="P483">
        <f>IF(B497=0,0,O483/B497)</f>
        <v/>
      </c>
      <c r="Q483">
        <f>IFERROR(1/IF(Inputs!$B$38="pvp",15,MAX(0.1,Skills!D22-IF(Skills!E22=TRUE,Inputs!$B$32,0))),0)</f>
        <v/>
      </c>
      <c r="R483" t="n">
        <v>0</v>
      </c>
      <c r="S483" t="n">
        <v>0</v>
      </c>
      <c r="U483" t="n">
        <v>0</v>
      </c>
    </row>
    <row r="484">
      <c r="A484">
        <f>Skills!A23</f>
        <v/>
      </c>
      <c r="B484">
        <f>Skills!B23</f>
        <v/>
      </c>
      <c r="C484">
        <f>Inputs!$B$3&gt;=120</f>
        <v/>
      </c>
      <c r="D484">
        <f>IF(Skills!C23=1,60+Inputs!$B$25+Inputs!$B$29,IF(Skills!C23=2,90+Inputs!$B$26+Inputs!$B$29,IF(Skills!C23=3,120+Inputs!$B$27+Inputs!$B$29,MAX(0,(Inputs!$B$3-100)*3)+Inputs!$B$28+Inputs!$B$29)))</f>
        <v/>
      </c>
      <c r="E484">
        <f>INDEX(FactorTable!$B$2:$Y$301, MATCH(ROUND(MIN(300,MAX(1,D484)),0), FactorTable!$A$2:$A$301,0), Skills!L23+1)</f>
        <v/>
      </c>
      <c r="F484">
        <f>IF(Skills!M23=TRUE,(Skills!K23/10)*(E484/1000),Skills!K23/10)+Skills!N23</f>
        <v/>
      </c>
      <c r="G484">
        <f>Calc!G23</f>
        <v/>
      </c>
      <c r="H484">
        <f>Calc!H23</f>
        <v/>
      </c>
      <c r="I484">
        <f>IF(Skills!T23&lt;&gt;"",1+(Skills!T23/10)*(Z464/1000)/100,1)</f>
        <v/>
      </c>
      <c r="J484" t="inlineStr"/>
      <c r="K484" t="inlineStr"/>
      <c r="L484" t="inlineStr"/>
      <c r="M484" t="inlineStr"/>
      <c r="N484" t="inlineStr"/>
      <c r="O484">
        <f>(1-Summary!$B$51)*S484+Summary!$B$51*U484</f>
        <v/>
      </c>
      <c r="P484">
        <f>IF(B497=0,0,O484/B497)</f>
        <v/>
      </c>
      <c r="Q484">
        <f>IFERROR(1/IF(Inputs!$B$38="pvp",15,MAX(0.1,Skills!D23-IF(Skills!E23=TRUE,Inputs!$B$32,0))),0)</f>
        <v/>
      </c>
      <c r="R484" t="n">
        <v>0</v>
      </c>
      <c r="S484" t="n">
        <v>0</v>
      </c>
      <c r="U484" t="n">
        <v>0</v>
      </c>
    </row>
    <row r="487">
      <c r="A487" t="inlineStr">
        <is>
          <t>Average Buff Multiplier (Magic Guard + Meditation, summed; then Infinity)</t>
        </is>
      </c>
      <c r="B487">
        <f>(1+(IF(C464=TRUE,F464*IF(AND(Inputs!$B$38&lt;&gt;"pvp",Inputs!$B$43&gt;0),(((R464-1)*(Skills!S3*(1+(Inputs!$B$34+IF(Inputs!$B$3&gt;=117,F483,0))/100))+MIN((Skills!S3*(1+(Inputs!$B$34+IF(Inputs!$B$3&gt;=117,F483,0))/100)),MAX(0,Inputs!$B$43-((R464-1)*Skills!D3))))/Inputs!$B$43),IF(Inputs!$B$38="pvp",MIN((Skills!S3*(1+(Inputs!$B$34+IF(Inputs!$B$3&gt;=117,F483,0))/100)),15)/15,(Skills!S3*(1+(Inputs!$B$34+IF(Inputs!$B$3&gt;=117,F483,0))/100))/Skills!D3)),0)+IF(C465=TRUE,F465*IF(AND(Inputs!$B$38&lt;&gt;"pvp",Inputs!$B$43&gt;0),(((R465-1)*(Skills!S4*(1+(Inputs!$B$34+IF(Inputs!$B$3&gt;=117,F483,0))/100))+MIN((Skills!S4*(1+(Inputs!$B$34+IF(Inputs!$B$3&gt;=117,F483,0))/100)),MAX(0,Inputs!$B$43-((R465-1)*Skills!D4))))/Inputs!$B$43),IF(Inputs!$B$38="pvp",MIN((Skills!S4*(1+(Inputs!$B$34+IF(Inputs!$B$3&gt;=117,F483,0))/100)),15)/15,(Skills!S4*(1+(Inputs!$B$34+IF(Inputs!$B$3&gt;=117,F483,0))/100))/Skills!D4)),0))/100)*IF(C477=TRUE,(1+F477*IF(AND(Inputs!$B$38&lt;&gt;"pvp",Inputs!$B$43&gt;0),(((R477-1)*(Skills!S16*(1+(Inputs!$B$34+IF(Inputs!$B$3&gt;=117,F483,0))/100))+MIN((Skills!S16*(1+(Inputs!$B$34+IF(Inputs!$B$3&gt;=117,F483,0))/100)),MAX(0,Inputs!$B$43-((R477-1)*Skills!D16))))/Inputs!$B$43),IF(Inputs!$B$38="pvp",MIN((Skills!S16*(1+(Inputs!$B$34+IF(Inputs!$B$3&gt;=117,F483,0))/100)),15)/15,(Skills!S16*(1+(Inputs!$B$34+IF(Inputs!$B$3&gt;=117,F483,0))/100))/Skills!D16))/100),1)</f>
        <v/>
      </c>
    </row>
    <row r="488">
      <c r="A488" t="inlineStr">
        <is>
          <t>Monster Damage Taken Bonus % (Freezing Breath - Weaken + Elemental Reset, summed)</t>
        </is>
      </c>
      <c r="B488">
        <f>IF(Inputs!$B$3&gt;=118,15*IF(Inputs!$B$38="pvp",MIN((30*(1+(Inputs!$B$34+IF(Inputs!$B$3&gt;=117,F483,0))/100)),15)/15,(30*(1+(Inputs!$B$34+IF(Inputs!$B$3&gt;=117,F483,0))/100))/Skills!D8),0)+IF(C475=TRUE,F475,0)</f>
        <v/>
      </c>
    </row>
    <row r="489">
      <c r="A489" t="inlineStr">
        <is>
          <t>Damage % Bonus (Frozen Break + Frost Clutch, flat)</t>
        </is>
      </c>
      <c r="B489">
        <f>IF(Inputs!$B$3&gt;=66,15,0)+IF(Inputs!$B$3&gt;=98,10,0)+IF(Inputs!$B$3&gt;=125,20,0)</f>
        <v/>
      </c>
    </row>
    <row r="490">
      <c r="A490" t="inlineStr">
        <is>
          <t>Attack Speed Bonus % (MP Eater - MP Boost, always-on once unlocked)</t>
        </is>
      </c>
      <c r="B490">
        <f>IF(C474=TRUE,F474+(F478-Calc!F17),0)</f>
        <v/>
      </c>
    </row>
    <row r="491">
      <c r="A491" t="inlineStr">
        <is>
          <t>Actions Per Second</t>
        </is>
      </c>
      <c r="B491">
        <f>1+MIN(150,150*(1-(1-((1-(1-Inputs!$B$11/150)*(1-1/150))*150)/150)*(1-B490/150)))/100</f>
        <v/>
      </c>
    </row>
    <row r="492">
      <c r="A492" t="inlineStr">
        <is>
          <t>Skill + Buff Cast Rate</t>
        </is>
      </c>
      <c r="B492">
        <f>IF(AND(Inputs!$B$38&lt;&gt;"pvp",Inputs!$B$43&gt;0),SUMPRODUCT((Skills!E2:E23=TRUE)*(C463:C484=TRUE)*R463:R484)/Inputs!$B$43,SUMPRODUCT((Skills!E2:E23=TRUE)*(C463:C484=TRUE)*Q463:Q484))</f>
        <v/>
      </c>
    </row>
    <row r="493">
      <c r="A493" t="inlineStr">
        <is>
          <t>Chain Lightning Casts Per Second</t>
        </is>
      </c>
      <c r="B493">
        <f>MAX(0,B491-B492)</f>
        <v/>
      </c>
    </row>
    <row r="494">
      <c r="A494" t="inlineStr">
        <is>
          <t>Buff-Casting Startup Delay (s, fixed-duration only)</t>
        </is>
      </c>
      <c r="B494">
        <f>IF(AND(Inputs!$B$38&lt;&gt;"pvp",Inputs!$B$43&gt;0),SUMPRODUCT((Skills!S2:S23&gt;0)*(Skills!E2:E23=TRUE)*(C463:C484=TRUE))/B491,0)</f>
        <v/>
      </c>
    </row>
    <row r="495">
      <c r="A495" t="inlineStr">
        <is>
          <t>Boss-Only Total DPS (this block's swept value)</t>
        </is>
      </c>
      <c r="B495">
        <f>SUM(S463:S484)</f>
        <v/>
      </c>
    </row>
    <row r="496">
      <c r="A496" t="inlineStr">
        <is>
          <t>Normal-Only Total DPS (this block's swept value)</t>
        </is>
      </c>
      <c r="B496">
        <f>SUM(U463:U484)</f>
        <v/>
      </c>
    </row>
    <row r="497">
      <c r="A497" s="5" t="inlineStr">
        <is>
          <t>TOTAL DPS</t>
        </is>
      </c>
      <c r="B497" s="5">
        <f>SUM(O463:O484)</f>
        <v/>
      </c>
    </row>
    <row r="500">
      <c r="A500" s="5" t="inlineStr">
        <is>
          <t>Stat: DEF_PEN % (diminishing returns, factor 100)</t>
        </is>
      </c>
    </row>
    <row r="501">
      <c r="A501" s="9" t="inlineStr">
        <is>
          <t>Key</t>
        </is>
      </c>
      <c r="B501" s="9" t="inlineStr">
        <is>
          <t>Name</t>
        </is>
      </c>
      <c r="C501" s="9" t="inlineStr">
        <is>
          <t>Unlocked</t>
        </is>
      </c>
      <c r="D501" s="9" t="inlineStr">
        <is>
          <t>InputLevel</t>
        </is>
      </c>
      <c r="E501" s="9" t="inlineStr">
        <is>
          <t>Factor</t>
        </is>
      </c>
      <c r="F501" s="9" t="inlineStr">
        <is>
          <t>CoefficientPercent</t>
        </is>
      </c>
      <c r="G501" s="9" t="inlineStr">
        <is>
          <t>EffectiveHits</t>
        </is>
      </c>
      <c r="H501" s="9" t="inlineStr">
        <is>
          <t>ProcProbability</t>
        </is>
      </c>
      <c r="I501" s="9" t="inlineStr">
        <is>
          <t>MapleHeroMultiplier</t>
        </is>
      </c>
      <c r="J501" s="9" t="inlineStr">
        <is>
          <t>BaseDamage</t>
        </is>
      </c>
      <c r="K501" s="9" t="inlineStr">
        <is>
          <t>BaseHitDamage</t>
        </is>
      </c>
      <c r="L501" s="9" t="inlineStr">
        <is>
          <t>NonCritAvg</t>
        </is>
      </c>
      <c r="M501" s="9" t="inlineStr">
        <is>
          <t>CritAvg</t>
        </is>
      </c>
      <c r="N501" s="9" t="inlineStr">
        <is>
          <t>ExpectedDamage(perHit)</t>
        </is>
      </c>
      <c r="O501" s="9" t="inlineStr">
        <is>
          <t>DPS</t>
        </is>
      </c>
      <c r="P501" s="9" t="inlineStr">
        <is>
          <t>% of Total</t>
        </is>
      </c>
      <c r="R501" t="inlineStr">
        <is>
          <t>helpers</t>
        </is>
      </c>
    </row>
    <row r="502">
      <c r="A502">
        <f>Skills!A2</f>
        <v/>
      </c>
      <c r="B502">
        <f>Skills!B2</f>
        <v/>
      </c>
      <c r="C502">
        <f>Inputs!$B$3&gt;=100</f>
        <v/>
      </c>
      <c r="D502" t="inlineStr"/>
      <c r="E502" t="inlineStr"/>
      <c r="F502">
        <f>T504+Skills!N2</f>
        <v/>
      </c>
      <c r="G502">
        <f>Calc!G2</f>
        <v/>
      </c>
      <c r="H502">
        <f>Calc!H2</f>
        <v/>
      </c>
      <c r="I502">
        <f>IF(Skills!T2&lt;&gt;"",1+(Skills!T2/10)*(Z503/1000)/100,1)</f>
        <v/>
      </c>
      <c r="J502">
        <f>((Inputs!$B$6*(1+Inputs!$B$7/100))+(((Inputs!$B$12*(1+Inputs!$B$13/100))-(Inputs!$B$12*(1+Inputs!$B$13/100)))+0.25*(Inputs!$B$14-Inputs!$B$14))*(1+Inputs!$B$7/100))*(F502/100)</f>
        <v/>
      </c>
      <c r="K502">
        <f>J502*(1+((Inputs!$B$12*(1+Inputs!$B$13/100))*0.01+Inputs!$B$14*0.0025)/100)*(1+(Inputs!$B$15+B528)/100)*(1+Inputs!$B$16/100)*(5000/(6000+Inputs!$B$42*(1-((1-(1-Inputs!$B$19/100)*(1-1/100))*100)/100)))*(1+Inputs!$B$24/100)*(1+IF(C515=TRUE,F515,0)/100)*(1+IF(C523=TRUE,F523,0)/100)^5*(1+(IF(Skills!A2="CHAIN_LIGHTNING",Inputs!$B$17,Inputs!$B$18))/100)*(B526*I502)</f>
        <v/>
      </c>
      <c r="L502">
        <f>K502*(MIN(Inputs!$B$22+(F518-Calc!F18),Inputs!$B$23)/100+Inputs!$B$23/100)/2</f>
        <v/>
      </c>
      <c r="M502">
        <f>L502*(1+(Inputs!$B$10+(F521-Calc!F21))/100)</f>
        <v/>
      </c>
      <c r="N502">
        <f>L502*(1-MIN(Inputs!$B$9+((F520-Calc!F20)+(F519-Calc!F19)),100)/100)+M502*(MIN(Inputs!$B$9+((F520-Calc!F20)+(F519-Calc!F19)),100)/100)</f>
        <v/>
      </c>
      <c r="O502">
        <f>(1-Summary!$B$51)*S502+Summary!$B$51*U502</f>
        <v/>
      </c>
      <c r="P502">
        <f>IF(B536=0,0,O502/B536)</f>
        <v/>
      </c>
      <c r="Q502">
        <f>IFERROR(1/IF(Inputs!$B$38="pvp",15,MAX(0.1,Skills!D2-IF(Skills!E2=TRUE,Inputs!$B$32,0))),0)</f>
        <v/>
      </c>
      <c r="R502" t="n">
        <v>0</v>
      </c>
      <c r="S502">
        <f>IF(C502,(Skills!F2*N502*B532)*IF(Inputs!$B$38="pvp",1,1+(Inputs!$B$20+Skills!O2+B527)/100),0)</f>
        <v/>
      </c>
      <c r="T502">
        <f>MAX(0,(Inputs!$B$3-100)*3)+Inputs!$B$28+Inputs!$B$29</f>
        <v/>
      </c>
      <c r="U502">
        <f>IF(C502,(Skills!F2*N502*B532)*IF(Inputs!$B$38="pvp",1,(1+(Inputs!$B$21+Skills!P2+B527)/100)*(MIN((6+Inputs!$B$33),Inputs!$B$37))),0)</f>
        <v/>
      </c>
      <c r="Z502">
        <f>MAX(0,(Inputs!$B$3-100)*3)+Inputs!$B$28+Inputs!$B$29</f>
        <v/>
      </c>
    </row>
    <row r="503">
      <c r="A503">
        <f>Skills!A3</f>
        <v/>
      </c>
      <c r="B503">
        <f>Skills!B3</f>
        <v/>
      </c>
      <c r="C503">
        <f>Inputs!$B$3&gt;=15</f>
        <v/>
      </c>
      <c r="D503">
        <f>IF(Skills!C3=1,60+Inputs!$B$25+Inputs!$B$29,IF(Skills!C3=2,90+Inputs!$B$26+Inputs!$B$29,IF(Skills!C3=3,120+Inputs!$B$27+Inputs!$B$29,MAX(0,(Inputs!$B$3-100)*3)+Inputs!$B$28+Inputs!$B$29)))</f>
        <v/>
      </c>
      <c r="E503">
        <f>INDEX(FactorTable!$B$2:$Y$301, MATCH(ROUND(MIN(300,MAX(1,D503)),0), FactorTable!$A$2:$A$301,0), Skills!L3+1)</f>
        <v/>
      </c>
      <c r="F503">
        <f>IF(Skills!M3=TRUE,(Skills!K3/10)*(E503/1000),Skills!K3/10)+Skills!N3</f>
        <v/>
      </c>
      <c r="G503">
        <f>Calc!G3</f>
        <v/>
      </c>
      <c r="H503">
        <f>Calc!H3</f>
        <v/>
      </c>
      <c r="I503">
        <f>IF(Skills!T3&lt;&gt;"",1+(Skills!T3/10)*(Z503/1000)/100,1)</f>
        <v/>
      </c>
      <c r="J503" t="inlineStr"/>
      <c r="K503" t="inlineStr"/>
      <c r="L503" t="inlineStr"/>
      <c r="M503" t="inlineStr"/>
      <c r="N503" t="inlineStr"/>
      <c r="O503">
        <f>(1-Summary!$B$51)*S503+Summary!$B$51*U503</f>
        <v/>
      </c>
      <c r="P503">
        <f>IF(B536=0,0,O503/B536)</f>
        <v/>
      </c>
      <c r="Q503">
        <f>IFERROR(1/IF(Inputs!$B$38="pvp",15,MAX(0.1,Skills!D3-IF(Skills!E3=TRUE,Inputs!$B$32,0))),0)</f>
        <v/>
      </c>
      <c r="R503">
        <f>IF(AND(Inputs!$B$38&lt;&gt;"pvp",Inputs!$B$43&gt;0),IF(Inputs!$B$43&lt;=0,0,(INT(Inputs!$B$43/IF(Inputs!$B$38="pvp",15,MAX(0.1,Skills!D3-IF(Skills!E3=TRUE,Inputs!$B$32,0))))+1)),0)</f>
        <v/>
      </c>
      <c r="S503" t="n">
        <v>0</v>
      </c>
      <c r="T503">
        <f>INDEX(FactorTable!$B$2:$Y$301, MATCH(ROUND(MIN(300,MAX(1,T502)),0), FactorTable!$A$2:$A$301,0), 22)</f>
        <v/>
      </c>
      <c r="U503" t="n">
        <v>0</v>
      </c>
      <c r="Z503">
        <f>INDEX(FactorTable!$B$2:$Y$301, MATCH(ROUND(MIN(300,MAX(1,Z502)),0), FactorTable!$A$2:$A$301,0), 24)</f>
        <v/>
      </c>
    </row>
    <row r="504">
      <c r="A504">
        <f>Skills!A4</f>
        <v/>
      </c>
      <c r="B504">
        <f>Skills!B4</f>
        <v/>
      </c>
      <c r="C504">
        <f>Inputs!$B$3&gt;=40</f>
        <v/>
      </c>
      <c r="D504">
        <f>IF(Skills!C4=1,60+Inputs!$B$25+Inputs!$B$29,IF(Skills!C4=2,90+Inputs!$B$26+Inputs!$B$29,IF(Skills!C4=3,120+Inputs!$B$27+Inputs!$B$29,MAX(0,(Inputs!$B$3-100)*3)+Inputs!$B$28+Inputs!$B$29)))</f>
        <v/>
      </c>
      <c r="E504">
        <f>INDEX(FactorTable!$B$2:$Y$301, MATCH(ROUND(MIN(300,MAX(1,D504)),0), FactorTable!$A$2:$A$301,0), Skills!L4+1)</f>
        <v/>
      </c>
      <c r="F504">
        <f>IF(Skills!M4=TRUE,(Skills!K4/10)*(E504/1000),Skills!K4/10)+Skills!N4</f>
        <v/>
      </c>
      <c r="G504">
        <f>Calc!G4</f>
        <v/>
      </c>
      <c r="H504">
        <f>Calc!H4</f>
        <v/>
      </c>
      <c r="I504">
        <f>IF(Skills!T4&lt;&gt;"",1+(Skills!T4/10)*(Z503/1000)/100,1)</f>
        <v/>
      </c>
      <c r="J504" t="inlineStr"/>
      <c r="K504" t="inlineStr"/>
      <c r="L504" t="inlineStr"/>
      <c r="M504" t="inlineStr"/>
      <c r="N504" t="inlineStr"/>
      <c r="O504">
        <f>(1-Summary!$B$51)*S504+Summary!$B$51*U504</f>
        <v/>
      </c>
      <c r="P504">
        <f>IF(B536=0,0,O504/B536)</f>
        <v/>
      </c>
      <c r="Q504">
        <f>IFERROR(1/IF(Inputs!$B$38="pvp",15,MAX(0.1,Skills!D4-IF(Skills!E4=TRUE,Inputs!$B$32,0))),0)</f>
        <v/>
      </c>
      <c r="R504">
        <f>IF(AND(Inputs!$B$38&lt;&gt;"pvp",Inputs!$B$43&gt;0),IF(Inputs!$B$43&lt;=0,0,(INT(Inputs!$B$43/IF(Inputs!$B$38="pvp",15,MAX(0.1,Skills!D4-IF(Skills!E4=TRUE,Inputs!$B$32,0))))+1)),0)</f>
        <v/>
      </c>
      <c r="S504" t="n">
        <v>0</v>
      </c>
      <c r="T504">
        <f>290*T503/1000</f>
        <v/>
      </c>
      <c r="U504" t="n">
        <v>0</v>
      </c>
    </row>
    <row r="505">
      <c r="A505">
        <f>Skills!A5</f>
        <v/>
      </c>
      <c r="B505">
        <f>Skills!B5</f>
        <v/>
      </c>
      <c r="C505">
        <f>Inputs!$B$3&gt;=38</f>
        <v/>
      </c>
      <c r="D505">
        <f>IF(Skills!C5=1,60+Inputs!$B$25+Inputs!$B$29,IF(Skills!C5=2,90+Inputs!$B$26+Inputs!$B$29,IF(Skills!C5=3,120+Inputs!$B$27+Inputs!$B$29,MAX(0,(Inputs!$B$3-100)*3)+Inputs!$B$28+Inputs!$B$29)))</f>
        <v/>
      </c>
      <c r="E505">
        <f>INDEX(FactorTable!$B$2:$Y$301, MATCH(ROUND(MIN(300,MAX(1,D505)),0), FactorTable!$A$2:$A$301,0), Skills!L5+1)</f>
        <v/>
      </c>
      <c r="F505">
        <f>IF(Skills!M5=TRUE,(Skills!K5/10)*(E505/1000),Skills!K5/10)+Skills!N5</f>
        <v/>
      </c>
      <c r="G505">
        <f>Calc!G5</f>
        <v/>
      </c>
      <c r="H505">
        <f>Calc!H5</f>
        <v/>
      </c>
      <c r="I505">
        <f>IF(Skills!T5&lt;&gt;"",1+(Skills!T5/10)*(Z503/1000)/100,1)</f>
        <v/>
      </c>
      <c r="J505">
        <f>((Inputs!$B$6*(1+Inputs!$B$7/100))+(((Inputs!$B$12*(1+Inputs!$B$13/100))-(Inputs!$B$12*(1+Inputs!$B$13/100)))+0.25*(Inputs!$B$14-Inputs!$B$14))*(1+Inputs!$B$7/100))*(F505/100)</f>
        <v/>
      </c>
      <c r="K505">
        <f>J505*(1+((Inputs!$B$12*(1+Inputs!$B$13/100))*0.01+Inputs!$B$14*0.0025)/100)*(1+(Inputs!$B$15+B528)/100)*(1+Inputs!$B$16/100)*(5000/(6000+Inputs!$B$42*(1-((1-(1-Inputs!$B$19/100)*(1-1/100))*100)/100)))*(1+Inputs!$B$24/100)*(1+IF(C515=TRUE,F515,0)/100)*(1+IF(C523=TRUE,F523,0)/100)^5*(1+(IF(Skills!A5="CHAIN_LIGHTNING",Inputs!$B$17,Inputs!$B$18))/100)*(B526*I505)</f>
        <v/>
      </c>
      <c r="L505">
        <f>K505*(MIN(Inputs!$B$22+(F518-Calc!F18),Inputs!$B$23)/100+Inputs!$B$23/100)/2</f>
        <v/>
      </c>
      <c r="M505">
        <f>L505*(1+(Inputs!$B$10+(F521-Calc!F21))/100)</f>
        <v/>
      </c>
      <c r="N505">
        <f>L505*(1-MIN(Inputs!$B$9+((F520-Calc!F20)+(F519-Calc!F19)),100)/100)+M505*(MIN(Inputs!$B$9+((F520-Calc!F20)+(F519-Calc!F19)),100)/100)</f>
        <v/>
      </c>
      <c r="O505">
        <f>(1-Summary!$B$51)*S505+Summary!$B$51*U505</f>
        <v/>
      </c>
      <c r="P505">
        <f>IF(B536=0,0,O505/B536)</f>
        <v/>
      </c>
      <c r="Q505">
        <f>IFERROR(1/IF(Inputs!$B$38="pvp",15,MAX(0.1,Skills!D5-IF(Skills!E5=TRUE,Inputs!$B$32,0))),0)</f>
        <v/>
      </c>
      <c r="R505">
        <f>IF(AND(Inputs!$B$38&lt;&gt;"pvp",Inputs!$B$43&gt;0),IF(MAX(0,Inputs!$B$43-B533)&lt;=0,0,(INT(MAX(0,Inputs!$B$43-B533)/IF(Inputs!$B$38="pvp",15,MAX(0.1,Skills!D5-IF(Skills!E5=TRUE,Inputs!$B$32,0))))+1)),0)</f>
        <v/>
      </c>
      <c r="S505">
        <f>IF(C505,(H505*N505*IF(AND(Inputs!$B$38&lt;&gt;"pvp",Inputs!$B$43&gt;0),((Skills!F5*((R505-1)*IF(Skills!G5&gt;0,Skills!H5/Skills!G5,1)+IF(Skills!G5&gt;0,MIN(Skills!H5,MAX(0,MAX(0,Inputs!$B$43-B533)-((R505-1)*IF(Inputs!$B$38="pvp",15,MAX(0.1,Skills!D5-IF(Skills!E5=TRUE,Inputs!$B$32,0))))))/Skills!G5,1)))/Inputs!$B$43),G505*Q505))*IF(Inputs!$B$38="pvp",1,1+(Inputs!$B$20+Skills!O5+B527)/100),0)</f>
        <v/>
      </c>
      <c r="U505">
        <f>IF(C505,(H505*N505*IF(AND(Inputs!$B$38&lt;&gt;"pvp",Inputs!$B$43&gt;0),((Skills!F5*((R505-1)*IF(Skills!G5&gt;0,Skills!H5/Skills!G5,1)+IF(Skills!G5&gt;0,MIN(Skills!H5,MAX(0,MAX(0,Inputs!$B$43-B533)-((R505-1)*IF(Inputs!$B$38="pvp",15,MAX(0.1,Skills!D5-IF(Skills!E5=TRUE,Inputs!$B$32,0))))))/Skills!G5,1)))/Inputs!$B$43),G505*Q505))*IF(Inputs!$B$38="pvp",1,(1+(Inputs!$B$21+Skills!P5+B527)/100)*(MIN(Skills!Q5,Inputs!$B$37))),0)</f>
        <v/>
      </c>
    </row>
    <row r="506">
      <c r="A506">
        <f>Skills!A6</f>
        <v/>
      </c>
      <c r="B506">
        <f>Skills!B6</f>
        <v/>
      </c>
      <c r="C506">
        <f>Inputs!$B$3&gt;=63</f>
        <v/>
      </c>
      <c r="D506">
        <f>IF(Skills!C6=1,60+Inputs!$B$25+Inputs!$B$29,IF(Skills!C6=2,90+Inputs!$B$26+Inputs!$B$29,IF(Skills!C6=3,120+Inputs!$B$27+Inputs!$B$29,MAX(0,(Inputs!$B$3-100)*3)+Inputs!$B$28+Inputs!$B$29)))</f>
        <v/>
      </c>
      <c r="E506">
        <f>INDEX(FactorTable!$B$2:$Y$301, MATCH(ROUND(MIN(300,MAX(1,D506)),0), FactorTable!$A$2:$A$301,0), Skills!L6+1)</f>
        <v/>
      </c>
      <c r="F506">
        <f>IF(Skills!M6=TRUE,(Skills!K6/10)*(E506/1000),Skills!K6/10)+Skills!N6</f>
        <v/>
      </c>
      <c r="G506">
        <f>Calc!G6</f>
        <v/>
      </c>
      <c r="H506">
        <f>Calc!H6</f>
        <v/>
      </c>
      <c r="I506">
        <f>IF(Skills!T6&lt;&gt;"",1+(Skills!T6/10)*(Z503/1000)/100,1)</f>
        <v/>
      </c>
      <c r="J506">
        <f>((Inputs!$B$6*(1+Inputs!$B$7/100))+(((Inputs!$B$12*(1+Inputs!$B$13/100))-(Inputs!$B$12*(1+Inputs!$B$13/100)))+0.25*(Inputs!$B$14-Inputs!$B$14))*(1+Inputs!$B$7/100))*(F506/100)</f>
        <v/>
      </c>
      <c r="K506">
        <f>J506*(1+((Inputs!$B$12*(1+Inputs!$B$13/100))*0.01+Inputs!$B$14*0.0025)/100)*(1+(Inputs!$B$15+B528)/100)*(1+Inputs!$B$16/100)*(5000/(6000+Inputs!$B$42*(1-((1-(1-Inputs!$B$19/100)*(1-1/100))*100)/100)))*(1+Inputs!$B$24/100)*(1+IF(C515=TRUE,F515,0)/100)*(1+IF(C523=TRUE,F523,0)/100)^5*(1+(IF(Skills!A6="CHAIN_LIGHTNING",Inputs!$B$17,Inputs!$B$18))/100)*(B526*I506)</f>
        <v/>
      </c>
      <c r="L506">
        <f>K506*(MIN(Inputs!$B$22+(F518-Calc!F18),Inputs!$B$23)/100+Inputs!$B$23/100)/2</f>
        <v/>
      </c>
      <c r="M506">
        <f>L506*(1+(Inputs!$B$10+(F521-Calc!F21))/100)</f>
        <v/>
      </c>
      <c r="N506">
        <f>L506*(1-MIN(Inputs!$B$9+((F520-Calc!F20)+(F519-Calc!F19)),100)/100)+M506*(MIN(Inputs!$B$9+((F520-Calc!F20)+(F519-Calc!F19)),100)/100)</f>
        <v/>
      </c>
      <c r="O506">
        <f>(1-Summary!$B$51)*S506+Summary!$B$51*U506</f>
        <v/>
      </c>
      <c r="P506">
        <f>IF(B536=0,0,O506/B536)</f>
        <v/>
      </c>
      <c r="Q506">
        <f>IFERROR(1/IF(Inputs!$B$38="pvp",15,MAX(0.1,Skills!D6-IF(Skills!E6=TRUE,Inputs!$B$32,0))),0)</f>
        <v/>
      </c>
      <c r="R506">
        <f>IF(AND(Inputs!$B$38&lt;&gt;"pvp",Inputs!$B$43&gt;0),IF(MAX(0,Inputs!$B$43-B533)&lt;=0,0,(INT(MAX(0,Inputs!$B$43-B533)/IF(Inputs!$B$38="pvp",15,MAX(0.1,Skills!D6-IF(Skills!E6=TRUE,Inputs!$B$32,0))))+1)),0)</f>
        <v/>
      </c>
      <c r="S506">
        <f>IF(C506,(H506*N506*IF(AND(Inputs!$B$38&lt;&gt;"pvp",Inputs!$B$43&gt;0),((Skills!F6*((R506-1)*IF(Skills!G6&gt;0,Skills!H6/Skills!G6,1)+IF(Skills!G6&gt;0,MIN(Skills!H6,MAX(0,MAX(0,Inputs!$B$43-B533)-((R506-1)*IF(Inputs!$B$38="pvp",15,MAX(0.1,Skills!D6-IF(Skills!E6=TRUE,Inputs!$B$32,0))))))/Skills!G6,1)))/Inputs!$B$43),G506*Q506))*IF(Inputs!$B$38="pvp",1,1+(Inputs!$B$20+Skills!O6+B527)/100),0)</f>
        <v/>
      </c>
      <c r="U506">
        <f>IF(C506,(H506*N506*IF(AND(Inputs!$B$38&lt;&gt;"pvp",Inputs!$B$43&gt;0),((Skills!F6*((R506-1)*IF(Skills!G6&gt;0,Skills!H6/Skills!G6,1)+IF(Skills!G6&gt;0,MIN(Skills!H6,MAX(0,MAX(0,Inputs!$B$43-B533)-((R506-1)*IF(Inputs!$B$38="pvp",15,MAX(0.1,Skills!D6-IF(Skills!E6=TRUE,Inputs!$B$32,0))))))/Skills!G6,1)))/Inputs!$B$43),G506*Q506))*IF(Inputs!$B$38="pvp",1,(1+(Inputs!$B$21+Skills!P6+B527)/100)*(MIN(Skills!Q6,Inputs!$B$37))),0)</f>
        <v/>
      </c>
    </row>
    <row r="507">
      <c r="A507">
        <f>Skills!A7</f>
        <v/>
      </c>
      <c r="B507">
        <f>Skills!B7</f>
        <v/>
      </c>
      <c r="C507">
        <f>Inputs!$B$3&gt;=69</f>
        <v/>
      </c>
      <c r="D507">
        <f>IF(Skills!C7=1,60+Inputs!$B$25+Inputs!$B$29,IF(Skills!C7=2,90+Inputs!$B$26+Inputs!$B$29,IF(Skills!C7=3,120+Inputs!$B$27+Inputs!$B$29,MAX(0,(Inputs!$B$3-100)*3)+Inputs!$B$28+Inputs!$B$29)))</f>
        <v/>
      </c>
      <c r="E507">
        <f>INDEX(FactorTable!$B$2:$Y$301, MATCH(ROUND(MIN(300,MAX(1,D507)),0), FactorTable!$A$2:$A$301,0), Skills!L7+1)</f>
        <v/>
      </c>
      <c r="F507">
        <f>IF(Skills!M7=TRUE,(Skills!K7/10)*(E507/1000),Skills!K7/10)+Skills!N7</f>
        <v/>
      </c>
      <c r="G507">
        <f>Calc!G7</f>
        <v/>
      </c>
      <c r="H507">
        <f>Calc!H7</f>
        <v/>
      </c>
      <c r="I507">
        <f>IF(Skills!T7&lt;&gt;"",1+(Skills!T7/10)*(Z503/1000)/100,1)</f>
        <v/>
      </c>
      <c r="J507">
        <f>((Inputs!$B$6*(1+Inputs!$B$7/100))+(((Inputs!$B$12*(1+Inputs!$B$13/100))-(Inputs!$B$12*(1+Inputs!$B$13/100)))+0.25*(Inputs!$B$14-Inputs!$B$14))*(1+Inputs!$B$7/100))*(F507/100)</f>
        <v/>
      </c>
      <c r="K507">
        <f>J507*(1+((Inputs!$B$12*(1+Inputs!$B$13/100))*0.01+Inputs!$B$14*0.0025)/100)*(1+(Inputs!$B$15+B528)/100)*(1+Inputs!$B$16/100)*(5000/(6000+Inputs!$B$42*(1-((1-(1-Inputs!$B$19/100)*(1-1/100))*100)/100)))*(1+Inputs!$B$24/100)*(1+IF(C515=TRUE,F515,0)/100)*(1+IF(C523=TRUE,F523,0)/100)^5*(1+(IF(Skills!A7="CHAIN_LIGHTNING",Inputs!$B$17,Inputs!$B$18))/100)*(B526*I507)</f>
        <v/>
      </c>
      <c r="L507">
        <f>K507*(MIN(Inputs!$B$22+(F518-Calc!F18),Inputs!$B$23)/100+Inputs!$B$23/100)/2</f>
        <v/>
      </c>
      <c r="M507">
        <f>L507*(1+(Inputs!$B$10+(F521-Calc!F21))/100)</f>
        <v/>
      </c>
      <c r="N507">
        <f>L507*(1-MIN(Inputs!$B$9+((F520-Calc!F20)+(F519-Calc!F19)),100)/100)+M507*(MIN(Inputs!$B$9+((F520-Calc!F20)+(F519-Calc!F19)),100)/100)</f>
        <v/>
      </c>
      <c r="O507">
        <f>(1-Summary!$B$51)*S507+Summary!$B$51*U507</f>
        <v/>
      </c>
      <c r="P507">
        <f>IF(B536=0,0,O507/B536)</f>
        <v/>
      </c>
      <c r="Q507">
        <f>IFERROR(1/IF(Inputs!$B$38="pvp",15,MAX(0.1,Skills!D7-IF(Skills!E7=TRUE,Inputs!$B$32,0))),0)</f>
        <v/>
      </c>
      <c r="R507">
        <f>IF(AND(Inputs!$B$38&lt;&gt;"pvp",Inputs!$B$43&gt;0),IF(MAX(0,Inputs!$B$43-B533)&lt;=0,0,(INT(MAX(0,Inputs!$B$43-B533)/IF(Inputs!$B$38="pvp",15,MAX(0.1,Skills!D7-IF(Skills!E7=TRUE,Inputs!$B$32,0))))+1)),0)</f>
        <v/>
      </c>
      <c r="S507">
        <f>IF(C507,(H507*N507*IF(AND(Inputs!$B$38&lt;&gt;"pvp",Inputs!$B$43&gt;0),((Skills!F7*((R507-1)*IF(Skills!G7&gt;0,Skills!H7/Skills!G7,1)+IF(Skills!G7&gt;0,MIN(Skills!H7,MAX(0,MAX(0,Inputs!$B$43-B533)-((R507-1)*IF(Inputs!$B$38="pvp",15,MAX(0.1,Skills!D7-IF(Skills!E7=TRUE,Inputs!$B$32,0))))))/Skills!G7,1)))/Inputs!$B$43),G507*Q507))*IF(Inputs!$B$38="pvp",1,1+(Inputs!$B$20+Skills!O7+B527)/100),0)</f>
        <v/>
      </c>
      <c r="U507">
        <f>IF(C507,(H507*N507*IF(AND(Inputs!$B$38&lt;&gt;"pvp",Inputs!$B$43&gt;0),((Skills!F7*((R507-1)*IF(Skills!G7&gt;0,Skills!H7/Skills!G7,1)+IF(Skills!G7&gt;0,MIN(Skills!H7,MAX(0,MAX(0,Inputs!$B$43-B533)-((R507-1)*IF(Inputs!$B$38="pvp",15,MAX(0.1,Skills!D7-IF(Skills!E7=TRUE,Inputs!$B$32,0))))))/Skills!G7,1)))/Inputs!$B$43),G507*Q507))*IF(Inputs!$B$38="pvp",1,(1+(Inputs!$B$21+Skills!P7+B527)/100)*(MIN(Skills!Q7,Inputs!$B$37))),0)</f>
        <v/>
      </c>
    </row>
    <row r="508">
      <c r="A508">
        <f>Skills!A8</f>
        <v/>
      </c>
      <c r="B508">
        <f>Skills!B8</f>
        <v/>
      </c>
      <c r="C508">
        <f>Inputs!$B$3&gt;=103</f>
        <v/>
      </c>
      <c r="D508">
        <f>IF(Skills!C8=1,60+Inputs!$B$25+Inputs!$B$29,IF(Skills!C8=2,90+Inputs!$B$26+Inputs!$B$29,IF(Skills!C8=3,120+Inputs!$B$27+Inputs!$B$29,MAX(0,(Inputs!$B$3-100)*3)+Inputs!$B$28+Inputs!$B$29)))</f>
        <v/>
      </c>
      <c r="E508">
        <f>INDEX(FactorTable!$B$2:$Y$301, MATCH(ROUND(MIN(300,MAX(1,D508)),0), FactorTable!$A$2:$A$301,0), Skills!L8+1)</f>
        <v/>
      </c>
      <c r="F508">
        <f>IF(Skills!M8=TRUE,(Skills!K8/10)*(E508/1000),Skills!K8/10)+Skills!N8</f>
        <v/>
      </c>
      <c r="G508">
        <f>Calc!G8</f>
        <v/>
      </c>
      <c r="H508">
        <f>Calc!H8</f>
        <v/>
      </c>
      <c r="I508">
        <f>IF(Skills!T8&lt;&gt;"",1+(Skills!T8/10)*(Z503/1000)/100,1)</f>
        <v/>
      </c>
      <c r="J508">
        <f>((Inputs!$B$6*(1+Inputs!$B$7/100))+(((Inputs!$B$12*(1+Inputs!$B$13/100))-(Inputs!$B$12*(1+Inputs!$B$13/100)))+0.25*(Inputs!$B$14-Inputs!$B$14))*(1+Inputs!$B$7/100))*(F508/100)</f>
        <v/>
      </c>
      <c r="K508">
        <f>J508*(1+((Inputs!$B$12*(1+Inputs!$B$13/100))*0.01+Inputs!$B$14*0.0025)/100)*(1+(Inputs!$B$15+B528)/100)*(1+Inputs!$B$16/100)*(5000/(6000+Inputs!$B$42*(1-((1-(1-Inputs!$B$19/100)*(1-1/100))*100)/100)))*(1+Inputs!$B$24/100)*(1+IF(C515=TRUE,F515,0)/100)*(1+IF(C523=TRUE,F523,0)/100)^5*(1+(IF(Skills!A8="CHAIN_LIGHTNING",Inputs!$B$17,Inputs!$B$18))/100)*(B526*I508)</f>
        <v/>
      </c>
      <c r="L508">
        <f>K508*(MIN(Inputs!$B$22+(F518-Calc!F18),Inputs!$B$23)/100+Inputs!$B$23/100)/2</f>
        <v/>
      </c>
      <c r="M508">
        <f>L508*(1+(Inputs!$B$10+(F521-Calc!F21))/100)</f>
        <v/>
      </c>
      <c r="N508">
        <f>L508*(1-MIN(Inputs!$B$9+((F520-Calc!F20)+(F519-Calc!F19)),100)/100)+M508*(MIN(Inputs!$B$9+((F520-Calc!F20)+(F519-Calc!F19)),100)/100)</f>
        <v/>
      </c>
      <c r="O508">
        <f>(1-Summary!$B$51)*S508+Summary!$B$51*U508</f>
        <v/>
      </c>
      <c r="P508">
        <f>IF(B536=0,0,O508/B536)</f>
        <v/>
      </c>
      <c r="Q508">
        <f>IFERROR(1/IF(Inputs!$B$38="pvp",15,MAX(0.1,Skills!D8-IF(Skills!E8=TRUE,Inputs!$B$32,0))),0)</f>
        <v/>
      </c>
      <c r="R508">
        <f>IF(AND(Inputs!$B$38&lt;&gt;"pvp",Inputs!$B$43&gt;0),IF(MAX(0,Inputs!$B$43-B533)&lt;=0,0,(INT(MAX(0,Inputs!$B$43-B533)/IF(Inputs!$B$38="pvp",15,MAX(0.1,Skills!D8-IF(Skills!E8=TRUE,Inputs!$B$32,0))))+1)),0)</f>
        <v/>
      </c>
      <c r="S508">
        <f>IF(C508,(H508*N508*IF(AND(Inputs!$B$38&lt;&gt;"pvp",Inputs!$B$43&gt;0),((Skills!F8*((R508-1)*IF(Skills!G8&gt;0,Skills!H8/Skills!G8,1)+IF(Skills!G8&gt;0,MIN(Skills!H8,MAX(0,MAX(0,Inputs!$B$43-B533)-((R508-1)*IF(Inputs!$B$38="pvp",15,MAX(0.1,Skills!D8-IF(Skills!E8=TRUE,Inputs!$B$32,0))))))/Skills!G8,1)))/Inputs!$B$43),G508*Q508))*IF(Inputs!$B$38="pvp",1,1+(Inputs!$B$20+Skills!O8+B527)/100),0)</f>
        <v/>
      </c>
      <c r="U508">
        <f>IF(C508,(H508*N508*IF(AND(Inputs!$B$38&lt;&gt;"pvp",Inputs!$B$43&gt;0),((Skills!F8*((R508-1)*IF(Skills!G8&gt;0,Skills!H8/Skills!G8,1)+IF(Skills!G8&gt;0,MIN(Skills!H8,MAX(0,MAX(0,Inputs!$B$43-B533)-((R508-1)*IF(Inputs!$B$38="pvp",15,MAX(0.1,Skills!D8-IF(Skills!E8=TRUE,Inputs!$B$32,0))))))/Skills!G8,1)))/Inputs!$B$43),G508*Q508))*IF(Inputs!$B$38="pvp",1,(1+(Inputs!$B$21+Skills!P8+B527)/100)*(MIN(Skills!Q8,Inputs!$B$37))),0)</f>
        <v/>
      </c>
    </row>
    <row r="509">
      <c r="A509">
        <f>Skills!A9</f>
        <v/>
      </c>
      <c r="B509">
        <f>Skills!B9</f>
        <v/>
      </c>
      <c r="C509">
        <f>Inputs!$B$3&gt;=105</f>
        <v/>
      </c>
      <c r="D509">
        <f>IF(Skills!C9=1,60+Inputs!$B$25+Inputs!$B$29,IF(Skills!C9=2,90+Inputs!$B$26+Inputs!$B$29,IF(Skills!C9=3,120+Inputs!$B$27+Inputs!$B$29,MAX(0,(Inputs!$B$3-100)*3)+Inputs!$B$28+Inputs!$B$29)))</f>
        <v/>
      </c>
      <c r="E509">
        <f>INDEX(FactorTable!$B$2:$Y$301, MATCH(ROUND(MIN(300,MAX(1,D509)),0), FactorTable!$A$2:$A$301,0), Skills!L9+1)</f>
        <v/>
      </c>
      <c r="F509">
        <f>IF(Skills!M9=TRUE,(Skills!K9/10)*(E509/1000),Skills!K9/10)+Skills!N9</f>
        <v/>
      </c>
      <c r="G509">
        <f>Calc!G9</f>
        <v/>
      </c>
      <c r="H509">
        <f>Calc!H9</f>
        <v/>
      </c>
      <c r="I509">
        <f>IF(Skills!T9&lt;&gt;"",1+(Skills!T9/10)*(Z503/1000)/100,1)</f>
        <v/>
      </c>
      <c r="J509">
        <f>((Inputs!$B$6*(1+Inputs!$B$7/100))+(((Inputs!$B$12*(1+Inputs!$B$13/100))-(Inputs!$B$12*(1+Inputs!$B$13/100)))+0.25*(Inputs!$B$14-Inputs!$B$14))*(1+Inputs!$B$7/100))*(F509/100)</f>
        <v/>
      </c>
      <c r="K509">
        <f>J509*(1+((Inputs!$B$12*(1+Inputs!$B$13/100))*0.01+Inputs!$B$14*0.0025)/100)*(1+(Inputs!$B$15+B528)/100)*(1+Inputs!$B$16/100)*(5000/(6000+Inputs!$B$42*(1-((1-(1-Inputs!$B$19/100)*(1-1/100))*100)/100)))*(1+Inputs!$B$24/100)*(1+IF(C515=TRUE,F515,0)/100)*(1+IF(C523=TRUE,F523,0)/100)^5*(1+(IF(Skills!A9="CHAIN_LIGHTNING",Inputs!$B$17,Inputs!$B$18))/100)*(B526*I509)</f>
        <v/>
      </c>
      <c r="L509">
        <f>K509*(MIN(Inputs!$B$22+(F518-Calc!F18),Inputs!$B$23)/100+Inputs!$B$23/100)/2</f>
        <v/>
      </c>
      <c r="M509">
        <f>L509*(1+(Inputs!$B$10+(F521-Calc!F21))/100)</f>
        <v/>
      </c>
      <c r="N509">
        <f>L509*(1-MIN(Inputs!$B$9+((F520-Calc!F20)+(F519-Calc!F19)),100)/100)+M509*(MIN(Inputs!$B$9+((F520-Calc!F20)+(F519-Calc!F19)),100)/100)</f>
        <v/>
      </c>
      <c r="O509">
        <f>(1-Summary!$B$51)*S509+Summary!$B$51*U509</f>
        <v/>
      </c>
      <c r="P509">
        <f>IF(B536=0,0,O509/B536)</f>
        <v/>
      </c>
      <c r="Q509">
        <f>IFERROR(1/IF(Inputs!$B$38="pvp",15,MAX(0.1,Skills!D9-IF(Skills!E9=TRUE,Inputs!$B$32,0))),0)</f>
        <v/>
      </c>
      <c r="R509">
        <f>IF(AND(Inputs!$B$38&lt;&gt;"pvp",Inputs!$B$43&gt;0),IF(MAX(0,Inputs!$B$43-B533)&lt;=0,0,(INT(MAX(0,Inputs!$B$43-B533)/IF(Inputs!$B$38="pvp",15,MAX(0.1,Skills!D9-IF(Skills!E9=TRUE,Inputs!$B$32,0))))+1)),0)</f>
        <v/>
      </c>
      <c r="S509">
        <f>IF(C509,(H509*N509*IF(AND(Inputs!$B$38&lt;&gt;"pvp",Inputs!$B$43&gt;0),((Skills!F9*((R509-1)*IF(Skills!G9&gt;0,Skills!H9/Skills!G9,1)+IF(Skills!G9&gt;0,MIN(Skills!H9,MAX(0,MAX(0,Inputs!$B$43-B533)-((R509-1)*IF(Inputs!$B$38="pvp",15,MAX(0.1,Skills!D9-IF(Skills!E9=TRUE,Inputs!$B$32,0))))))/Skills!G9,1)))/Inputs!$B$43),G509*Q509))*IF(Inputs!$B$38="pvp",1,1+(Inputs!$B$20+Skills!O9+B527)/100),0)</f>
        <v/>
      </c>
      <c r="U509">
        <f>IF(C509,(H509*N509*IF(AND(Inputs!$B$38&lt;&gt;"pvp",Inputs!$B$43&gt;0),((Skills!F9*((R509-1)*IF(Skills!G9&gt;0,Skills!H9/Skills!G9,1)+IF(Skills!G9&gt;0,MIN(Skills!H9,MAX(0,MAX(0,Inputs!$B$43-B533)-((R509-1)*IF(Inputs!$B$38="pvp",15,MAX(0.1,Skills!D9-IF(Skills!E9=TRUE,Inputs!$B$32,0))))))/Skills!G9,1)))/Inputs!$B$43),G509*Q509))*IF(Inputs!$B$38="pvp",1,(1+(Inputs!$B$21+Skills!P9+B527)/100)*(MIN(Skills!Q9,Inputs!$B$37))),0)</f>
        <v/>
      </c>
    </row>
    <row r="510">
      <c r="A510">
        <f>Skills!A10</f>
        <v/>
      </c>
      <c r="B510">
        <f>Skills!B10</f>
        <v/>
      </c>
      <c r="C510">
        <f>Inputs!$B$3&gt;=113</f>
        <v/>
      </c>
      <c r="D510">
        <f>IF(Skills!C10=1,60+Inputs!$B$25+Inputs!$B$29,IF(Skills!C10=2,90+Inputs!$B$26+Inputs!$B$29,IF(Skills!C10=3,120+Inputs!$B$27+Inputs!$B$29,MAX(0,(Inputs!$B$3-100)*3)+Inputs!$B$28+Inputs!$B$29)))</f>
        <v/>
      </c>
      <c r="E510">
        <f>INDEX(FactorTable!$B$2:$Y$301, MATCH(ROUND(MIN(300,MAX(1,D510)),0), FactorTable!$A$2:$A$301,0), Skills!L10+1)</f>
        <v/>
      </c>
      <c r="F510">
        <f>IF(Skills!M10=TRUE,(Skills!K10/10)*(E510/1000),Skills!K10/10)+Skills!N10</f>
        <v/>
      </c>
      <c r="G510">
        <f>Calc!G10</f>
        <v/>
      </c>
      <c r="H510">
        <f>Calc!H10</f>
        <v/>
      </c>
      <c r="I510">
        <f>IF(Skills!T10&lt;&gt;"",1+(Skills!T10/10)*(Z503/1000)/100,1)</f>
        <v/>
      </c>
      <c r="J510">
        <f>((Inputs!$B$6*(1+Inputs!$B$7/100))+(((Inputs!$B$12*(1+Inputs!$B$13/100))-(Inputs!$B$12*(1+Inputs!$B$13/100)))+0.25*(Inputs!$B$14-Inputs!$B$14))*(1+Inputs!$B$7/100))*(F510/100)</f>
        <v/>
      </c>
      <c r="K510">
        <f>J510*(1+((Inputs!$B$12*(1+Inputs!$B$13/100))*0.01+Inputs!$B$14*0.0025)/100)*(1+(Inputs!$B$15+B528)/100)*(1+Inputs!$B$16/100)*(5000/(6000+Inputs!$B$42*(1-((1-(1-Inputs!$B$19/100)*(1-1/100))*100)/100)))*(1+Inputs!$B$24/100)*(1+IF(C515=TRUE,F515,0)/100)*(1+IF(C523=TRUE,F523,0)/100)^5*(1+(IF(Skills!A10="CHAIN_LIGHTNING",Inputs!$B$17,Inputs!$B$18))/100)*(B526*I510)</f>
        <v/>
      </c>
      <c r="L510">
        <f>K510*(MIN(Inputs!$B$22+(F518-Calc!F18),Inputs!$B$23)/100+Inputs!$B$23/100)/2</f>
        <v/>
      </c>
      <c r="M510">
        <f>L510*(1+(Inputs!$B$10+(F521-Calc!F21))/100)</f>
        <v/>
      </c>
      <c r="N510">
        <f>L510*(1-MIN(Inputs!$B$9+((F520-Calc!F20)+(F519-Calc!F19)),100)/100)+M510*(MIN(Inputs!$B$9+((F520-Calc!F20)+(F519-Calc!F19)),100)/100)</f>
        <v/>
      </c>
      <c r="O510">
        <f>(1-Summary!$B$51)*S510+Summary!$B$51*U510</f>
        <v/>
      </c>
      <c r="P510">
        <f>IF(B536=0,0,O510/B536)</f>
        <v/>
      </c>
      <c r="Q510">
        <f>IFERROR(1/IF(Inputs!$B$38="pvp",15,MAX(0.1,Skills!D10-IF(Skills!E9=TRUE,Inputs!$B$32,0))),0)</f>
        <v/>
      </c>
      <c r="R510">
        <f>IF(AND(Inputs!$B$38&lt;&gt;"pvp",Inputs!$B$43&gt;0),IF(MAX(0,Inputs!$B$43-B533)&lt;=0,0,(INT(MAX(0,Inputs!$B$43-B533)/IF(Inputs!$B$38="pvp",15,MAX(0.1,Skills!D10-IF(Skills!E9=TRUE,Inputs!$B$32,0))))+1)),0)</f>
        <v/>
      </c>
      <c r="S510">
        <f>IF(C510,(H510*N510*IF(AND(Inputs!$B$38&lt;&gt;"pvp",Inputs!$B$43&gt;0),((Skills!F10*((R510-1)*IF(Skills!G10&gt;0,Skills!H10/Skills!G10,1)+IF(Skills!G10&gt;0,MIN(Skills!H10,MAX(0,MAX(0,Inputs!$B$43-B533)-((R510-1)*IF(Inputs!$B$38="pvp",15,MAX(0.1,Skills!D10-IF(Skills!E9=TRUE,Inputs!$B$32,0))))))/Skills!G10,1)))/Inputs!$B$43),G510*Q510))*IF(Inputs!$B$38="pvp",1,1+(Inputs!$B$20+Skills!O10+B527)/100),0)</f>
        <v/>
      </c>
      <c r="U510">
        <f>IF(C510,(H510*N510*IF(AND(Inputs!$B$38&lt;&gt;"pvp",Inputs!$B$43&gt;0),((Skills!F10*((R510-1)*IF(Skills!G10&gt;0,Skills!H10/Skills!G10,1)+IF(Skills!G10&gt;0,MIN(Skills!H10,MAX(0,MAX(0,Inputs!$B$43-B533)-((R510-1)*IF(Inputs!$B$38="pvp",15,MAX(0.1,Skills!D10-IF(Skills!E9=TRUE,Inputs!$B$32,0))))))/Skills!G10,1)))/Inputs!$B$43),G510*Q510))*IF(Inputs!$B$38="pvp",1,(1+(Inputs!$B$21+Skills!P10+B527)/100)*(MIN(Skills!Q10,Inputs!$B$37))),0)</f>
        <v/>
      </c>
    </row>
    <row r="511">
      <c r="A511">
        <f>Skills!A11</f>
        <v/>
      </c>
      <c r="B511">
        <f>Skills!B11</f>
        <v/>
      </c>
      <c r="C511">
        <f>Inputs!$B$3&gt;=107</f>
        <v/>
      </c>
      <c r="D511">
        <f>IF(Skills!C11=1,60+Inputs!$B$25+Inputs!$B$29,IF(Skills!C11=2,90+Inputs!$B$26+Inputs!$B$29,IF(Skills!C11=3,120+Inputs!$B$27+Inputs!$B$29,MAX(0,(Inputs!$B$3-100)*3)+Inputs!$B$28+Inputs!$B$29)))</f>
        <v/>
      </c>
      <c r="E511">
        <f>INDEX(FactorTable!$B$2:$Y$301, MATCH(ROUND(MIN(300,MAX(1,D511)),0), FactorTable!$A$2:$A$301,0), Skills!L11+1)</f>
        <v/>
      </c>
      <c r="F511">
        <f>IF(Skills!M11=TRUE,(Skills!K11/10)*(E511/1000),Skills!K11/10)+Skills!N11</f>
        <v/>
      </c>
      <c r="G511">
        <f>Calc!G11</f>
        <v/>
      </c>
      <c r="H511">
        <f>Calc!H11</f>
        <v/>
      </c>
      <c r="I511">
        <f>IF(Skills!T11&lt;&gt;"",1+(Skills!T11/10)*(Z503/1000)/100,1)</f>
        <v/>
      </c>
      <c r="J511">
        <f>((Inputs!$B$6*(1+Inputs!$B$7/100))+(((Inputs!$B$12*(1+Inputs!$B$13/100))-(Inputs!$B$12*(1+Inputs!$B$13/100)))+0.25*(Inputs!$B$14-Inputs!$B$14))*(1+Inputs!$B$7/100))*(F511/100)</f>
        <v/>
      </c>
      <c r="K511">
        <f>J511*(1+((Inputs!$B$12*(1+Inputs!$B$13/100))*0.01+Inputs!$B$14*0.0025)/100)*(1+(Inputs!$B$15+B528)/100)*(1+Inputs!$B$16/100)*(5000/(6000+Inputs!$B$42*(1-((1-(1-Inputs!$B$19/100)*(1-1/100))*100)/100)))*(1+Inputs!$B$24/100)*(1+IF(C515=TRUE,F515,0)/100)*(1+IF(C523=TRUE,F523,0)/100)^5*(1+(IF(Skills!A11="CHAIN_LIGHTNING",Inputs!$B$17,Inputs!$B$18))/100)*(B526*I511)</f>
        <v/>
      </c>
      <c r="L511">
        <f>K511*(MIN(Inputs!$B$22+(F518-Calc!F18),Inputs!$B$23)/100+Inputs!$B$23/100)/2</f>
        <v/>
      </c>
      <c r="M511">
        <f>L511*(1+(Inputs!$B$10+(F521-Calc!F21))/100)</f>
        <v/>
      </c>
      <c r="N511">
        <f>L511*(1-MIN(Inputs!$B$9+((F520-Calc!F20)+(F519-Calc!F19)),100)/100)+M511*(MIN(Inputs!$B$9+((F520-Calc!F20)+(F519-Calc!F19)),100)/100)</f>
        <v/>
      </c>
      <c r="O511">
        <f>(1-Summary!$B$51)*S511+Summary!$B$51*U511</f>
        <v/>
      </c>
      <c r="P511">
        <f>IF(B536=0,0,O511/B536)</f>
        <v/>
      </c>
      <c r="Q511">
        <f>IFERROR(1/IF(Inputs!$B$38="pvp",15,MAX(0.1,Skills!D11-IF(Skills!E11=TRUE,Inputs!$B$32,0))),0)</f>
        <v/>
      </c>
      <c r="R511">
        <f>IF(AND(Inputs!$B$38&lt;&gt;"pvp",Inputs!$B$43&gt;0),IF(MAX(0,Inputs!$B$43-B533)&lt;=0,0,(INT(MAX(0,Inputs!$B$43-B533)/IF(Inputs!$B$38="pvp",15,MAX(0.1,Skills!D11-IF(Skills!E11=TRUE,Inputs!$B$32,0))))+1)),0)</f>
        <v/>
      </c>
      <c r="S511">
        <f>IF(C511,H511*N511*IF(AND(Inputs!$B$38&lt;&gt;"pvp",Inputs!$B$43&gt;0),((Skills!F11*((R511-1)*IF(Skills!G11&gt;0,Skills!H11/Skills!G11,1)+IF(Skills!G11&gt;0,MIN(Skills!H11,MAX(0,MAX(0,Inputs!$B$43-B533)-((R511-1)*IF(Inputs!$B$38="pvp",15,MAX(0.1,Skills!D11-IF(Skills!E11=TRUE,Inputs!$B$32,0))))))/Skills!G11,1)))/Inputs!$B$43),G511*Q511)*0.5*IF(Inputs!$B$38="pvp",1,1+(Inputs!$B$20+Skills!O11+B527)/100),0)</f>
        <v/>
      </c>
      <c r="U511">
        <f>IF(C511,H511*N511*IF(AND(Inputs!$B$38&lt;&gt;"pvp",Inputs!$B$43&gt;0),((Skills!F11*((R511-1)*IF(Skills!G11&gt;0,Skills!H11/Skills!G11,1)+IF(Skills!G11&gt;0,MIN(Skills!H11,MAX(0,MAX(0,Inputs!$B$43-B533)-((R511-1)*IF(Inputs!$B$38="pvp",15,MAX(0.1,Skills!D11-IF(Skills!E11=TRUE,Inputs!$B$32,0))))))/Skills!G11,1)))/Inputs!$B$43),G511*Q511)*1*IF(Inputs!$B$38="pvp",1,(1+(Inputs!$B$21+Skills!P11+B527)/100)*(MIN(Skills!Q11,Inputs!$B$37))),0)</f>
        <v/>
      </c>
    </row>
    <row r="512">
      <c r="A512">
        <f>Skills!A12</f>
        <v/>
      </c>
      <c r="B512">
        <f>Skills!B12</f>
        <v/>
      </c>
      <c r="C512">
        <f>Inputs!$B$3&gt;=115</f>
        <v/>
      </c>
      <c r="D512">
        <f>IF(Skills!C12=1,60+Inputs!$B$25+Inputs!$B$29,IF(Skills!C12=2,90+Inputs!$B$26+Inputs!$B$29,IF(Skills!C12=3,120+Inputs!$B$27+Inputs!$B$29,MAX(0,(Inputs!$B$3-100)*3)+Inputs!$B$28+Inputs!$B$29)))</f>
        <v/>
      </c>
      <c r="E512">
        <f>INDEX(FactorTable!$B$2:$Y$301, MATCH(ROUND(MIN(300,MAX(1,D512)),0), FactorTable!$A$2:$A$301,0), Skills!L12+1)</f>
        <v/>
      </c>
      <c r="F512">
        <f>IF(Skills!M12=TRUE,(Skills!K12/10)*(E512/1000),Skills!K12/10)+Skills!N12</f>
        <v/>
      </c>
      <c r="G512">
        <f>Calc!G12</f>
        <v/>
      </c>
      <c r="H512">
        <f>Calc!H12</f>
        <v/>
      </c>
      <c r="I512">
        <f>IF(Skills!T12&lt;&gt;"",1+(Skills!T12/10)*(Z503/1000)/100,1)</f>
        <v/>
      </c>
      <c r="J512">
        <f>((Inputs!$B$6*(1+Inputs!$B$7/100))+(((Inputs!$B$12*(1+Inputs!$B$13/100))-(Inputs!$B$12*(1+Inputs!$B$13/100)))+0.25*(Inputs!$B$14-Inputs!$B$14))*(1+Inputs!$B$7/100))*(F512/100)</f>
        <v/>
      </c>
      <c r="K512">
        <f>J512*(1+((Inputs!$B$12*(1+Inputs!$B$13/100))*0.01+Inputs!$B$14*0.0025)/100)*(1+(Inputs!$B$15+B528)/100)*(1+Inputs!$B$16/100)*(5000/(6000+Inputs!$B$42*(1-((1-(1-Inputs!$B$19/100)*(1-1/100))*100)/100)))*(1+Inputs!$B$24/100)*(1+IF(C515=TRUE,F515,0)/100)*(1+IF(C523=TRUE,F523,0)/100)^5*(1+(IF(Skills!A12="CHAIN_LIGHTNING",Inputs!$B$17,Inputs!$B$18))/100)*(B526*I512)</f>
        <v/>
      </c>
      <c r="L512">
        <f>K512*(MIN(Inputs!$B$22+(F518-Calc!F18),Inputs!$B$23)/100+Inputs!$B$23/100)/2</f>
        <v/>
      </c>
      <c r="M512">
        <f>L512*(1+(Inputs!$B$10+(F521-Calc!F21))/100)</f>
        <v/>
      </c>
      <c r="N512">
        <f>L512*(1-MIN(Inputs!$B$9+((F520-Calc!F20)+(F519-Calc!F19)),100)/100)+M512*(MIN(Inputs!$B$9+((F520-Calc!F20)+(F519-Calc!F19)),100)/100)</f>
        <v/>
      </c>
      <c r="O512">
        <f>(1-Summary!$B$51)*S512+Summary!$B$51*U512</f>
        <v/>
      </c>
      <c r="P512">
        <f>IF(B536=0,0,O512/B536)</f>
        <v/>
      </c>
      <c r="Q512">
        <f>IFERROR(1/IF(Inputs!$B$38="pvp",15,MAX(0.1,Skills!D12-IF(Skills!E12=TRUE,Inputs!$B$32,0))),0)</f>
        <v/>
      </c>
      <c r="R512">
        <f>IF(AND(Inputs!$B$38&lt;&gt;"pvp",Inputs!$B$43&gt;0),IF(MAX(0,Inputs!$B$43-B533)&lt;=0,0,(INT(MAX(0,Inputs!$B$43-B533)/IF(Inputs!$B$38="pvp",15,MAX(0.1,Skills!D12-IF(Skills!E12=TRUE,Inputs!$B$32,0))))+1)),0)</f>
        <v/>
      </c>
      <c r="S512">
        <f>IF(C512,(H512*N512*IF(AND(Inputs!$B$38&lt;&gt;"pvp",Inputs!$B$43&gt;0),((Skills!F12*((R512-1)*IF(Skills!G12&gt;0,Skills!H12/Skills!G12,1)+IF(Skills!G12&gt;0,MIN(Skills!H12,MAX(0,MAX(0,Inputs!$B$43-B533)-((R512-1)*IF(Inputs!$B$38="pvp",15,MAX(0.1,Skills!D12-IF(Skills!E12=TRUE,Inputs!$B$32,0))))))/Skills!G12,1)))/Inputs!$B$43),G512*Q512))*IF(Inputs!$B$38="pvp",1,1+(Inputs!$B$20+Skills!O12+B527)/100),0)</f>
        <v/>
      </c>
      <c r="U512">
        <f>IF(C512,(H512*N512*IF(AND(Inputs!$B$38&lt;&gt;"pvp",Inputs!$B$43&gt;0),((Skills!F12*((R512-1)*IF(Skills!G12&gt;0,Skills!H12/Skills!G12,1)+IF(Skills!G12&gt;0,MIN(Skills!H12,MAX(0,MAX(0,Inputs!$B$43-B533)-((R512-1)*IF(Inputs!$B$38="pvp",15,MAX(0.1,Skills!D12-IF(Skills!E12=TRUE,Inputs!$B$32,0))))))/Skills!G12,1)))/Inputs!$B$43),G512*Q512))*IF(Inputs!$B$38="pvp",1,(1+(Inputs!$B$21+Skills!P12+B527)/100)*(MIN(Skills!Q12,Inputs!$B$37))),0)</f>
        <v/>
      </c>
    </row>
    <row r="513">
      <c r="A513">
        <f>Skills!A13</f>
        <v/>
      </c>
      <c r="B513">
        <f>Skills!B13</f>
        <v/>
      </c>
      <c r="C513">
        <f>Inputs!$B$3&gt;=49</f>
        <v/>
      </c>
      <c r="D513">
        <f>IF(Skills!C13=1,60+Inputs!$B$25+Inputs!$B$29,IF(Skills!C13=2,90+Inputs!$B$26+Inputs!$B$29,IF(Skills!C13=3,120+Inputs!$B$27+Inputs!$B$29,MAX(0,(Inputs!$B$3-100)*3)+Inputs!$B$28+Inputs!$B$29)))</f>
        <v/>
      </c>
      <c r="E513">
        <f>INDEX(FactorTable!$B$2:$Y$301, MATCH(ROUND(MIN(300,MAX(1,D513)),0), FactorTable!$A$2:$A$301,0), Skills!L13+1)</f>
        <v/>
      </c>
      <c r="F513">
        <f>IF(Skills!M13=TRUE,(Skills!K13/10)*(E513/1000),Skills!K13/10)+Skills!N13</f>
        <v/>
      </c>
      <c r="G513">
        <f>Calc!G13</f>
        <v/>
      </c>
      <c r="H513">
        <f>Calc!H13</f>
        <v/>
      </c>
      <c r="I513">
        <f>IF(Skills!T13&lt;&gt;"",1+(Skills!T13/10)*(Z503/1000)/100,1)</f>
        <v/>
      </c>
      <c r="J513" t="inlineStr"/>
      <c r="K513" t="inlineStr"/>
      <c r="L513" t="inlineStr"/>
      <c r="M513" t="inlineStr"/>
      <c r="N513" t="inlineStr"/>
      <c r="O513">
        <f>(1-Summary!$B$51)*S513+Summary!$B$51*U513</f>
        <v/>
      </c>
      <c r="P513">
        <f>IF(B536=0,0,O513/B536)</f>
        <v/>
      </c>
      <c r="Q513">
        <f>IFERROR(1/IF(Inputs!$B$38="pvp",15,MAX(0.1,Skills!D13-IF(Skills!E13=TRUE,Inputs!$B$32,0))),0)</f>
        <v/>
      </c>
      <c r="R513" t="n">
        <v>0</v>
      </c>
      <c r="S513" t="n">
        <v>0</v>
      </c>
      <c r="U513" t="n">
        <v>0</v>
      </c>
    </row>
    <row r="514">
      <c r="A514">
        <f>Skills!A14</f>
        <v/>
      </c>
      <c r="B514">
        <f>Skills!B14</f>
        <v/>
      </c>
      <c r="C514">
        <f>Inputs!$B$3&gt;=72</f>
        <v/>
      </c>
      <c r="D514">
        <f>IF(Skills!C14=1,60+Inputs!$B$25+Inputs!$B$29,IF(Skills!C14=2,90+Inputs!$B$26+Inputs!$B$29,IF(Skills!C14=3,120+Inputs!$B$27+Inputs!$B$29,MAX(0,(Inputs!$B$3-100)*3)+Inputs!$B$28+Inputs!$B$29)))</f>
        <v/>
      </c>
      <c r="E514">
        <f>INDEX(FactorTable!$B$2:$Y$301, MATCH(ROUND(MIN(300,MAX(1,D514)),0), FactorTable!$A$2:$A$301,0), Skills!L14+1)</f>
        <v/>
      </c>
      <c r="F514">
        <f>IF(Skills!M14=TRUE,(Skills!K14/10)*(E514/1000),Skills!K14/10)+Skills!N14</f>
        <v/>
      </c>
      <c r="G514">
        <f>Calc!G14</f>
        <v/>
      </c>
      <c r="H514">
        <f>Calc!H14</f>
        <v/>
      </c>
      <c r="I514">
        <f>IF(Skills!T14&lt;&gt;"",1+(Skills!T14/10)*(Z503/1000)/100,1)</f>
        <v/>
      </c>
      <c r="J514" t="inlineStr"/>
      <c r="K514" t="inlineStr"/>
      <c r="L514" t="inlineStr"/>
      <c r="M514" t="inlineStr"/>
      <c r="N514" t="inlineStr"/>
      <c r="O514">
        <f>(1-Summary!$B$51)*S514+Summary!$B$51*U514</f>
        <v/>
      </c>
      <c r="P514">
        <f>IF(B536=0,0,O514/B536)</f>
        <v/>
      </c>
      <c r="Q514">
        <f>IFERROR(1/IF(Inputs!$B$38="pvp",15,MAX(0.1,Skills!D14-IF(Skills!E14=TRUE,Inputs!$B$32,0))),0)</f>
        <v/>
      </c>
      <c r="R514" t="n">
        <v>0</v>
      </c>
      <c r="S514" t="n">
        <v>0</v>
      </c>
      <c r="U514" t="n">
        <v>0</v>
      </c>
    </row>
    <row r="515">
      <c r="A515">
        <f>Skills!A15</f>
        <v/>
      </c>
      <c r="B515">
        <f>Skills!B15</f>
        <v/>
      </c>
      <c r="C515">
        <f>Inputs!$B$3&gt;=75</f>
        <v/>
      </c>
      <c r="D515">
        <f>IF(Skills!C15=1,60+Inputs!$B$25+Inputs!$B$29,IF(Skills!C15=2,90+Inputs!$B$26+Inputs!$B$29,IF(Skills!C15=3,120+Inputs!$B$27+Inputs!$B$29,MAX(0,(Inputs!$B$3-100)*3)+Inputs!$B$28+Inputs!$B$29)))</f>
        <v/>
      </c>
      <c r="E515">
        <f>INDEX(FactorTable!$B$2:$Y$301, MATCH(ROUND(MIN(300,MAX(1,D515)),0), FactorTable!$A$2:$A$301,0), Skills!L15+1)</f>
        <v/>
      </c>
      <c r="F515">
        <f>IF(Skills!M15=TRUE,(Skills!K15/10)*(E515/1000),Skills!K15/10)+Skills!N15</f>
        <v/>
      </c>
      <c r="G515">
        <f>Calc!G15</f>
        <v/>
      </c>
      <c r="H515">
        <f>Calc!H15</f>
        <v/>
      </c>
      <c r="I515">
        <f>IF(Skills!T15&lt;&gt;"",1+(Skills!T15/10)*(Z503/1000)/100,1)</f>
        <v/>
      </c>
      <c r="J515" t="inlineStr"/>
      <c r="K515" t="inlineStr"/>
      <c r="L515" t="inlineStr"/>
      <c r="M515" t="inlineStr"/>
      <c r="N515" t="inlineStr"/>
      <c r="O515">
        <f>(1-Summary!$B$51)*S515+Summary!$B$51*U515</f>
        <v/>
      </c>
      <c r="P515">
        <f>IF(B536=0,0,O515/B536)</f>
        <v/>
      </c>
      <c r="Q515">
        <f>IFERROR(1/IF(Inputs!$B$38="pvp",15,MAX(0.1,Skills!D15-IF(Skills!E15=TRUE,Inputs!$B$32,0))),0)</f>
        <v/>
      </c>
      <c r="R515" t="n">
        <v>0</v>
      </c>
      <c r="S515" t="n">
        <v>0</v>
      </c>
      <c r="U515" t="n">
        <v>0</v>
      </c>
    </row>
    <row r="516">
      <c r="A516">
        <f>Skills!A16</f>
        <v/>
      </c>
      <c r="B516">
        <f>Skills!B16</f>
        <v/>
      </c>
      <c r="C516">
        <f>Inputs!$B$3&gt;=110</f>
        <v/>
      </c>
      <c r="D516">
        <f>IF(Skills!C16=1,60+Inputs!$B$25+Inputs!$B$29,IF(Skills!C16=2,90+Inputs!$B$26+Inputs!$B$29,IF(Skills!C16=3,120+Inputs!$B$27+Inputs!$B$29,MAX(0,(Inputs!$B$3-100)*3)+Inputs!$B$28+Inputs!$B$29)))</f>
        <v/>
      </c>
      <c r="E516">
        <f>INDEX(FactorTable!$B$2:$Y$301, MATCH(ROUND(MIN(300,MAX(1,D516)),0), FactorTable!$A$2:$A$301,0), Skills!L16+1)</f>
        <v/>
      </c>
      <c r="F516">
        <f>(Skills!K16/10)*(E516/1000)*64/45+Skills!N16</f>
        <v/>
      </c>
      <c r="G516">
        <f>Calc!G16</f>
        <v/>
      </c>
      <c r="H516">
        <f>Calc!H16</f>
        <v/>
      </c>
      <c r="I516">
        <f>IF(Skills!T16&lt;&gt;"",1+(Skills!T16/10)*(Z503/1000)/100,1)</f>
        <v/>
      </c>
      <c r="J516" t="inlineStr"/>
      <c r="K516" t="inlineStr"/>
      <c r="L516" t="inlineStr"/>
      <c r="M516" t="inlineStr"/>
      <c r="N516" t="inlineStr"/>
      <c r="O516">
        <f>(1-Summary!$B$51)*S516+Summary!$B$51*U516</f>
        <v/>
      </c>
      <c r="P516">
        <f>IF(B536=0,0,O516/B536)</f>
        <v/>
      </c>
      <c r="Q516">
        <f>IFERROR(1/IF(Inputs!$B$38="pvp",15,MAX(0.1,Skills!D16-IF(Skills!E16=TRUE,Inputs!$B$32,0))),0)</f>
        <v/>
      </c>
      <c r="R516">
        <f>IF(AND(Inputs!$B$38&lt;&gt;"pvp",Inputs!$B$43&gt;0),IF(Inputs!$B$43&lt;=0,0,(INT(Inputs!$B$43/IF(Inputs!$B$38="pvp",15,MAX(0.1,Skills!D16-IF(Skills!E16=TRUE,Inputs!$B$32,0))))+1)),0)</f>
        <v/>
      </c>
      <c r="S516" t="n">
        <v>0</v>
      </c>
      <c r="U516" t="n">
        <v>0</v>
      </c>
    </row>
    <row r="517">
      <c r="A517">
        <f>Skills!A17</f>
        <v/>
      </c>
      <c r="B517">
        <f>Skills!B17</f>
        <v/>
      </c>
      <c r="C517">
        <f>Inputs!$B$3&gt;=33</f>
        <v/>
      </c>
      <c r="D517">
        <f>IF(Skills!C17=1,60+Inputs!$B$25+Inputs!$B$29,IF(Skills!C17=2,90+Inputs!$B$26+Inputs!$B$29,IF(Skills!C17=3,120+Inputs!$B$27+Inputs!$B$29,MAX(0,(Inputs!$B$3-100)*3)+Inputs!$B$28+Inputs!$B$29)))</f>
        <v/>
      </c>
      <c r="E517">
        <f>INDEX(FactorTable!$B$2:$Y$301, MATCH(ROUND(MIN(300,MAX(1,D517)),0), FactorTable!$A$2:$A$301,0), Skills!L17+1)</f>
        <v/>
      </c>
      <c r="F517">
        <f>IF(Skills!M17=TRUE,(Skills!K17/10)*(E517/1000),Skills!K17/10)+Skills!N17</f>
        <v/>
      </c>
      <c r="G517">
        <f>Calc!G17</f>
        <v/>
      </c>
      <c r="H517">
        <f>Calc!H17</f>
        <v/>
      </c>
      <c r="I517">
        <f>IF(Skills!T17&lt;&gt;"",1+(Skills!T17/10)*(Z503/1000)/100,1)</f>
        <v/>
      </c>
      <c r="J517" t="inlineStr"/>
      <c r="K517" t="inlineStr"/>
      <c r="L517" t="inlineStr"/>
      <c r="M517" t="inlineStr"/>
      <c r="N517" t="inlineStr"/>
      <c r="O517">
        <f>(1-Summary!$B$51)*S517+Summary!$B$51*U517</f>
        <v/>
      </c>
      <c r="P517">
        <f>IF(B536=0,0,O517/B536)</f>
        <v/>
      </c>
      <c r="Q517">
        <f>IFERROR(1/IF(Inputs!$B$38="pvp",15,MAX(0.1,Skills!D17-IF(Skills!E17=TRUE,Inputs!$B$32,0))),0)</f>
        <v/>
      </c>
      <c r="R517" t="n">
        <v>0</v>
      </c>
      <c r="S517" t="n">
        <v>0</v>
      </c>
      <c r="U517" t="n">
        <v>0</v>
      </c>
    </row>
    <row r="518">
      <c r="A518">
        <f>Skills!A18</f>
        <v/>
      </c>
      <c r="B518">
        <f>Skills!B18</f>
        <v/>
      </c>
      <c r="C518">
        <f>Inputs!$B$3&gt;=43</f>
        <v/>
      </c>
      <c r="D518">
        <f>IF(Skills!C18=1,60+Inputs!$B$25+Inputs!$B$29,IF(Skills!C18=2,90+Inputs!$B$26+Inputs!$B$29,IF(Skills!C18=3,120+Inputs!$B$27+Inputs!$B$29,MAX(0,(Inputs!$B$3-100)*3)+Inputs!$B$28+Inputs!$B$29)))</f>
        <v/>
      </c>
      <c r="E518">
        <f>INDEX(FactorTable!$B$2:$Y$301, MATCH(ROUND(MIN(300,MAX(1,D518)),0), FactorTable!$A$2:$A$301,0), Skills!L18+1)</f>
        <v/>
      </c>
      <c r="F518">
        <f>IF(Skills!M18=TRUE,(Skills!K18/10)*(E518/1000),Skills!K18/10)+Skills!N18</f>
        <v/>
      </c>
      <c r="G518">
        <f>Calc!G18</f>
        <v/>
      </c>
      <c r="H518">
        <f>Calc!H18</f>
        <v/>
      </c>
      <c r="I518">
        <f>IF(Skills!T18&lt;&gt;"",1+(Skills!T18/10)*(Z503/1000)/100,1)</f>
        <v/>
      </c>
      <c r="J518" t="inlineStr"/>
      <c r="K518" t="inlineStr"/>
      <c r="L518" t="inlineStr"/>
      <c r="M518" t="inlineStr"/>
      <c r="N518" t="inlineStr"/>
      <c r="O518">
        <f>(1-Summary!$B$51)*S518+Summary!$B$51*U518</f>
        <v/>
      </c>
      <c r="P518">
        <f>IF(B536=0,0,O518/B536)</f>
        <v/>
      </c>
      <c r="Q518">
        <f>IFERROR(1/IF(Inputs!$B$38="pvp",15,MAX(0.1,Skills!D18-IF(Skills!E18=TRUE,Inputs!$B$32,0))),0)</f>
        <v/>
      </c>
      <c r="R518" t="n">
        <v>0</v>
      </c>
      <c r="S518" t="n">
        <v>0</v>
      </c>
      <c r="U518" t="n">
        <v>0</v>
      </c>
    </row>
    <row r="519">
      <c r="A519">
        <f>Skills!A19</f>
        <v/>
      </c>
      <c r="B519">
        <f>Skills!B19</f>
        <v/>
      </c>
      <c r="C519">
        <f>Inputs!$B$3&gt;=50</f>
        <v/>
      </c>
      <c r="D519">
        <f>IF(Skills!C19=1,60+Inputs!$B$25+Inputs!$B$29,IF(Skills!C19=2,90+Inputs!$B$26+Inputs!$B$29,IF(Skills!C19=3,120+Inputs!$B$27+Inputs!$B$29,MAX(0,(Inputs!$B$3-100)*3)+Inputs!$B$28+Inputs!$B$29)))</f>
        <v/>
      </c>
      <c r="E519">
        <f>INDEX(FactorTable!$B$2:$Y$301, MATCH(ROUND(MIN(300,MAX(1,D519)),0), FactorTable!$A$2:$A$301,0), Skills!L19+1)</f>
        <v/>
      </c>
      <c r="F519">
        <f>IF(Skills!M19=TRUE,(Skills!K19/10)*(E519/1000),Skills!K19/10)+Skills!N19</f>
        <v/>
      </c>
      <c r="G519">
        <f>Calc!G19</f>
        <v/>
      </c>
      <c r="H519">
        <f>Calc!H19</f>
        <v/>
      </c>
      <c r="I519">
        <f>IF(Skills!T19&lt;&gt;"",1+(Skills!T19/10)*(Z503/1000)/100,1)</f>
        <v/>
      </c>
      <c r="J519" t="inlineStr"/>
      <c r="K519" t="inlineStr"/>
      <c r="L519" t="inlineStr"/>
      <c r="M519" t="inlineStr"/>
      <c r="N519" t="inlineStr"/>
      <c r="O519">
        <f>(1-Summary!$B$51)*S519+Summary!$B$51*U519</f>
        <v/>
      </c>
      <c r="P519">
        <f>IF(B536=0,0,O519/B536)</f>
        <v/>
      </c>
      <c r="Q519">
        <f>IFERROR(1/IF(Inputs!$B$38="pvp",15,MAX(0.1,Skills!D19-IF(Skills!E19=TRUE,Inputs!$B$32,0))),0)</f>
        <v/>
      </c>
      <c r="R519" t="n">
        <v>0</v>
      </c>
      <c r="S519" t="n">
        <v>0</v>
      </c>
      <c r="U519" t="n">
        <v>0</v>
      </c>
    </row>
    <row r="520">
      <c r="A520">
        <f>Skills!A20</f>
        <v/>
      </c>
      <c r="B520">
        <f>Skills!B20</f>
        <v/>
      </c>
      <c r="C520">
        <f>Inputs!$B$3&gt;=74</f>
        <v/>
      </c>
      <c r="D520">
        <f>IF(Skills!C20=1,60+Inputs!$B$25+Inputs!$B$29,IF(Skills!C20=2,90+Inputs!$B$26+Inputs!$B$29,IF(Skills!C20=3,120+Inputs!$B$27+Inputs!$B$29,MAX(0,(Inputs!$B$3-100)*3)+Inputs!$B$28+Inputs!$B$29)))</f>
        <v/>
      </c>
      <c r="E520">
        <f>INDEX(FactorTable!$B$2:$Y$301, MATCH(ROUND(MIN(300,MAX(1,D520)),0), FactorTable!$A$2:$A$301,0), Skills!L20+1)</f>
        <v/>
      </c>
      <c r="F520">
        <f>IF(Skills!M20=TRUE,(Skills!K20/10)*(E520/1000),Skills!K20/10)+Skills!N20</f>
        <v/>
      </c>
      <c r="G520">
        <f>Calc!G20</f>
        <v/>
      </c>
      <c r="H520">
        <f>Calc!H20</f>
        <v/>
      </c>
      <c r="I520">
        <f>IF(Skills!T20&lt;&gt;"",1+(Skills!T20/10)*(Z503/1000)/100,1)</f>
        <v/>
      </c>
      <c r="J520" t="inlineStr"/>
      <c r="K520" t="inlineStr"/>
      <c r="L520" t="inlineStr"/>
      <c r="M520" t="inlineStr"/>
      <c r="N520" t="inlineStr"/>
      <c r="O520">
        <f>(1-Summary!$B$51)*S520+Summary!$B$51*U520</f>
        <v/>
      </c>
      <c r="P520">
        <f>IF(B536=0,0,O520/B536)</f>
        <v/>
      </c>
      <c r="Q520">
        <f>IFERROR(1/IF(Inputs!$B$38="pvp",15,MAX(0.1,Skills!D20-IF(Skills!E20=TRUE,Inputs!$B$32,0))),0)</f>
        <v/>
      </c>
      <c r="R520" t="n">
        <v>0</v>
      </c>
      <c r="S520" t="n">
        <v>0</v>
      </c>
      <c r="U520" t="n">
        <v>0</v>
      </c>
    </row>
    <row r="521">
      <c r="A521">
        <f>Skills!A21</f>
        <v/>
      </c>
      <c r="B521">
        <f>Skills!B21</f>
        <v/>
      </c>
      <c r="C521">
        <f>Inputs!$B$3&gt;=74</f>
        <v/>
      </c>
      <c r="D521">
        <f>IF(Skills!C21=1,60+Inputs!$B$25+Inputs!$B$29,IF(Skills!C21=2,90+Inputs!$B$26+Inputs!$B$29,IF(Skills!C21=3,120+Inputs!$B$27+Inputs!$B$29,MAX(0,(Inputs!$B$3-100)*3)+Inputs!$B$28+Inputs!$B$29)))</f>
        <v/>
      </c>
      <c r="E521">
        <f>INDEX(FactorTable!$B$2:$Y$301, MATCH(ROUND(MIN(300,MAX(1,D521)),0), FactorTable!$A$2:$A$301,0), Skills!L21+1)</f>
        <v/>
      </c>
      <c r="F521">
        <f>IF(Skills!M21=TRUE,(Skills!K21/10)*(E521/1000),Skills!K21/10)+Skills!N21</f>
        <v/>
      </c>
      <c r="G521">
        <f>Calc!G21</f>
        <v/>
      </c>
      <c r="H521">
        <f>Calc!H21</f>
        <v/>
      </c>
      <c r="I521">
        <f>IF(Skills!T21&lt;&gt;"",1+(Skills!T21/10)*(Z503/1000)/100,1)</f>
        <v/>
      </c>
      <c r="J521" t="inlineStr"/>
      <c r="K521" t="inlineStr"/>
      <c r="L521" t="inlineStr"/>
      <c r="M521" t="inlineStr"/>
      <c r="N521" t="inlineStr"/>
      <c r="O521">
        <f>(1-Summary!$B$51)*S521+Summary!$B$51*U521</f>
        <v/>
      </c>
      <c r="P521">
        <f>IF(B536=0,0,O521/B536)</f>
        <v/>
      </c>
      <c r="Q521">
        <f>IFERROR(1/IF(Inputs!$B$38="pvp",15,MAX(0.1,Skills!D21-IF(Skills!E21=TRUE,Inputs!$B$32,0))),0)</f>
        <v/>
      </c>
      <c r="R521" t="n">
        <v>0</v>
      </c>
      <c r="S521" t="n">
        <v>0</v>
      </c>
      <c r="U521" t="n">
        <v>0</v>
      </c>
    </row>
    <row r="522">
      <c r="A522">
        <f>Skills!A22</f>
        <v/>
      </c>
      <c r="B522">
        <f>Skills!B22</f>
        <v/>
      </c>
      <c r="C522">
        <f>Inputs!$B$3&gt;=117</f>
        <v/>
      </c>
      <c r="D522">
        <f>IF(Skills!C22=1,60+Inputs!$B$25+Inputs!$B$29,IF(Skills!C22=2,90+Inputs!$B$26+Inputs!$B$29,IF(Skills!C22=3,120+Inputs!$B$27+Inputs!$B$29,MAX(0,(Inputs!$B$3-100)*3)+Inputs!$B$28+Inputs!$B$29)))</f>
        <v/>
      </c>
      <c r="E522">
        <f>INDEX(FactorTable!$B$2:$Y$301, MATCH(ROUND(MIN(300,MAX(1,D522)),0), FactorTable!$A$2:$A$301,0), Skills!L22+1)</f>
        <v/>
      </c>
      <c r="F522">
        <f>IF(Skills!M22=TRUE,(Skills!K22/10)*(E522/1000),Skills!K22/10)+Skills!N22</f>
        <v/>
      </c>
      <c r="G522">
        <f>Calc!G22</f>
        <v/>
      </c>
      <c r="H522">
        <f>Calc!H22</f>
        <v/>
      </c>
      <c r="I522">
        <f>IF(Skills!T22&lt;&gt;"",1+(Skills!T22/10)*(Z503/1000)/100,1)</f>
        <v/>
      </c>
      <c r="J522" t="inlineStr"/>
      <c r="K522" t="inlineStr"/>
      <c r="L522" t="inlineStr"/>
      <c r="M522" t="inlineStr"/>
      <c r="N522" t="inlineStr"/>
      <c r="O522">
        <f>(1-Summary!$B$51)*S522+Summary!$B$51*U522</f>
        <v/>
      </c>
      <c r="P522">
        <f>IF(B536=0,0,O522/B536)</f>
        <v/>
      </c>
      <c r="Q522">
        <f>IFERROR(1/IF(Inputs!$B$38="pvp",15,MAX(0.1,Skills!D22-IF(Skills!E22=TRUE,Inputs!$B$32,0))),0)</f>
        <v/>
      </c>
      <c r="R522" t="n">
        <v>0</v>
      </c>
      <c r="S522" t="n">
        <v>0</v>
      </c>
      <c r="U522" t="n">
        <v>0</v>
      </c>
    </row>
    <row r="523">
      <c r="A523">
        <f>Skills!A23</f>
        <v/>
      </c>
      <c r="B523">
        <f>Skills!B23</f>
        <v/>
      </c>
      <c r="C523">
        <f>Inputs!$B$3&gt;=120</f>
        <v/>
      </c>
      <c r="D523">
        <f>IF(Skills!C23=1,60+Inputs!$B$25+Inputs!$B$29,IF(Skills!C23=2,90+Inputs!$B$26+Inputs!$B$29,IF(Skills!C23=3,120+Inputs!$B$27+Inputs!$B$29,MAX(0,(Inputs!$B$3-100)*3)+Inputs!$B$28+Inputs!$B$29)))</f>
        <v/>
      </c>
      <c r="E523">
        <f>INDEX(FactorTable!$B$2:$Y$301, MATCH(ROUND(MIN(300,MAX(1,D523)),0), FactorTable!$A$2:$A$301,0), Skills!L23+1)</f>
        <v/>
      </c>
      <c r="F523">
        <f>IF(Skills!M23=TRUE,(Skills!K23/10)*(E523/1000),Skills!K23/10)+Skills!N23</f>
        <v/>
      </c>
      <c r="G523">
        <f>Calc!G23</f>
        <v/>
      </c>
      <c r="H523">
        <f>Calc!H23</f>
        <v/>
      </c>
      <c r="I523">
        <f>IF(Skills!T23&lt;&gt;"",1+(Skills!T23/10)*(Z503/1000)/100,1)</f>
        <v/>
      </c>
      <c r="J523" t="inlineStr"/>
      <c r="K523" t="inlineStr"/>
      <c r="L523" t="inlineStr"/>
      <c r="M523" t="inlineStr"/>
      <c r="N523" t="inlineStr"/>
      <c r="O523">
        <f>(1-Summary!$B$51)*S523+Summary!$B$51*U523</f>
        <v/>
      </c>
      <c r="P523">
        <f>IF(B536=0,0,O523/B536)</f>
        <v/>
      </c>
      <c r="Q523">
        <f>IFERROR(1/IF(Inputs!$B$38="pvp",15,MAX(0.1,Skills!D23-IF(Skills!E23=TRUE,Inputs!$B$32,0))),0)</f>
        <v/>
      </c>
      <c r="R523" t="n">
        <v>0</v>
      </c>
      <c r="S523" t="n">
        <v>0</v>
      </c>
      <c r="U523" t="n">
        <v>0</v>
      </c>
    </row>
    <row r="526">
      <c r="A526" t="inlineStr">
        <is>
          <t>Average Buff Multiplier (Magic Guard + Meditation, summed; then Infinity)</t>
        </is>
      </c>
      <c r="B526">
        <f>(1+(IF(C503=TRUE,F503*IF(AND(Inputs!$B$38&lt;&gt;"pvp",Inputs!$B$43&gt;0),(((R503-1)*(Skills!S3*(1+(Inputs!$B$34+IF(Inputs!$B$3&gt;=117,F522,0))/100))+MIN((Skills!S3*(1+(Inputs!$B$34+IF(Inputs!$B$3&gt;=117,F522,0))/100)),MAX(0,Inputs!$B$43-((R503-1)*Skills!D3))))/Inputs!$B$43),IF(Inputs!$B$38="pvp",MIN((Skills!S3*(1+(Inputs!$B$34+IF(Inputs!$B$3&gt;=117,F522,0))/100)),15)/15,(Skills!S3*(1+(Inputs!$B$34+IF(Inputs!$B$3&gt;=117,F522,0))/100))/Skills!D3)),0)+IF(C504=TRUE,F504*IF(AND(Inputs!$B$38&lt;&gt;"pvp",Inputs!$B$43&gt;0),(((R504-1)*(Skills!S4*(1+(Inputs!$B$34+IF(Inputs!$B$3&gt;=117,F522,0))/100))+MIN((Skills!S4*(1+(Inputs!$B$34+IF(Inputs!$B$3&gt;=117,F522,0))/100)),MAX(0,Inputs!$B$43-((R504-1)*Skills!D4))))/Inputs!$B$43),IF(Inputs!$B$38="pvp",MIN((Skills!S4*(1+(Inputs!$B$34+IF(Inputs!$B$3&gt;=117,F522,0))/100)),15)/15,(Skills!S4*(1+(Inputs!$B$34+IF(Inputs!$B$3&gt;=117,F522,0))/100))/Skills!D4)),0))/100)*IF(C516=TRUE,(1+F516*IF(AND(Inputs!$B$38&lt;&gt;"pvp",Inputs!$B$43&gt;0),(((R516-1)*(Skills!S16*(1+(Inputs!$B$34+IF(Inputs!$B$3&gt;=117,F522,0))/100))+MIN((Skills!S16*(1+(Inputs!$B$34+IF(Inputs!$B$3&gt;=117,F522,0))/100)),MAX(0,Inputs!$B$43-((R516-1)*Skills!D16))))/Inputs!$B$43),IF(Inputs!$B$38="pvp",MIN((Skills!S16*(1+(Inputs!$B$34+IF(Inputs!$B$3&gt;=117,F522,0))/100)),15)/15,(Skills!S16*(1+(Inputs!$B$34+IF(Inputs!$B$3&gt;=117,F522,0))/100))/Skills!D16))/100),1)</f>
        <v/>
      </c>
    </row>
    <row r="527">
      <c r="A527" t="inlineStr">
        <is>
          <t>Monster Damage Taken Bonus % (Freezing Breath - Weaken + Elemental Reset, summed)</t>
        </is>
      </c>
      <c r="B527">
        <f>IF(Inputs!$B$3&gt;=118,15*IF(Inputs!$B$38="pvp",MIN((30*(1+(Inputs!$B$34+IF(Inputs!$B$3&gt;=117,F522,0))/100)),15)/15,(30*(1+(Inputs!$B$34+IF(Inputs!$B$3&gt;=117,F522,0))/100))/Skills!D8),0)+IF(C514=TRUE,F514,0)</f>
        <v/>
      </c>
    </row>
    <row r="528">
      <c r="A528" t="inlineStr">
        <is>
          <t>Damage % Bonus (Frozen Break + Frost Clutch, flat)</t>
        </is>
      </c>
      <c r="B528">
        <f>IF(Inputs!$B$3&gt;=66,15,0)+IF(Inputs!$B$3&gt;=98,10,0)+IF(Inputs!$B$3&gt;=125,20,0)</f>
        <v/>
      </c>
    </row>
    <row r="529">
      <c r="A529" t="inlineStr">
        <is>
          <t>Attack Speed Bonus % (MP Eater - MP Boost, always-on once unlocked)</t>
        </is>
      </c>
      <c r="B529">
        <f>IF(C513=TRUE,F513+(F517-Calc!F17),0)</f>
        <v/>
      </c>
    </row>
    <row r="530">
      <c r="A530" t="inlineStr">
        <is>
          <t>Actions Per Second</t>
        </is>
      </c>
      <c r="B530">
        <f>1+MIN(150,150*(1-(1-Inputs!$B$11/150)*(1-B529/150)))/100</f>
        <v/>
      </c>
    </row>
    <row r="531">
      <c r="A531" t="inlineStr">
        <is>
          <t>Skill + Buff Cast Rate</t>
        </is>
      </c>
      <c r="B531">
        <f>IF(AND(Inputs!$B$38&lt;&gt;"pvp",Inputs!$B$43&gt;0),SUMPRODUCT((Skills!E2:E23=TRUE)*(C502:C523=TRUE)*R502:R523)/Inputs!$B$43,SUMPRODUCT((Skills!E2:E23=TRUE)*(C502:C523=TRUE)*Q502:Q523))</f>
        <v/>
      </c>
    </row>
    <row r="532">
      <c r="A532" t="inlineStr">
        <is>
          <t>Chain Lightning Casts Per Second</t>
        </is>
      </c>
      <c r="B532">
        <f>MAX(0,B530-B531)</f>
        <v/>
      </c>
    </row>
    <row r="533">
      <c r="A533" t="inlineStr">
        <is>
          <t>Buff-Casting Startup Delay (s, fixed-duration only)</t>
        </is>
      </c>
      <c r="B533">
        <f>IF(AND(Inputs!$B$38&lt;&gt;"pvp",Inputs!$B$43&gt;0),SUMPRODUCT((Skills!S2:S23&gt;0)*(Skills!E2:E23=TRUE)*(C502:C523=TRUE))/B530,0)</f>
        <v/>
      </c>
    </row>
    <row r="534">
      <c r="A534" t="inlineStr">
        <is>
          <t>Boss-Only Total DPS (this block's swept value)</t>
        </is>
      </c>
      <c r="B534">
        <f>SUM(S502:S523)</f>
        <v/>
      </c>
    </row>
    <row r="535">
      <c r="A535" t="inlineStr">
        <is>
          <t>Normal-Only Total DPS (this block's swept value)</t>
        </is>
      </c>
      <c r="B535">
        <f>SUM(U502:U523)</f>
        <v/>
      </c>
    </row>
    <row r="536">
      <c r="A536" s="5" t="inlineStr">
        <is>
          <t>TOTAL DPS</t>
        </is>
      </c>
      <c r="B536" s="5">
        <f>SUM(O502:O523)</f>
        <v/>
      </c>
    </row>
    <row r="539">
      <c r="A539" s="5" t="inlineStr">
        <is>
          <t>Stat: BASIC_ATTACK_DAMAGE %</t>
        </is>
      </c>
    </row>
    <row r="540">
      <c r="A540" s="9" t="inlineStr">
        <is>
          <t>Key</t>
        </is>
      </c>
      <c r="B540" s="9" t="inlineStr">
        <is>
          <t>Name</t>
        </is>
      </c>
      <c r="C540" s="9" t="inlineStr">
        <is>
          <t>Unlocked</t>
        </is>
      </c>
      <c r="D540" s="9" t="inlineStr">
        <is>
          <t>InputLevel</t>
        </is>
      </c>
      <c r="E540" s="9" t="inlineStr">
        <is>
          <t>Factor</t>
        </is>
      </c>
      <c r="F540" s="9" t="inlineStr">
        <is>
          <t>CoefficientPercent</t>
        </is>
      </c>
      <c r="G540" s="9" t="inlineStr">
        <is>
          <t>EffectiveHits</t>
        </is>
      </c>
      <c r="H540" s="9" t="inlineStr">
        <is>
          <t>ProcProbability</t>
        </is>
      </c>
      <c r="I540" s="9" t="inlineStr">
        <is>
          <t>MapleHeroMultiplier</t>
        </is>
      </c>
      <c r="J540" s="9" t="inlineStr">
        <is>
          <t>BaseDamage</t>
        </is>
      </c>
      <c r="K540" s="9" t="inlineStr">
        <is>
          <t>BaseHitDamage</t>
        </is>
      </c>
      <c r="L540" s="9" t="inlineStr">
        <is>
          <t>NonCritAvg</t>
        </is>
      </c>
      <c r="M540" s="9" t="inlineStr">
        <is>
          <t>CritAvg</t>
        </is>
      </c>
      <c r="N540" s="9" t="inlineStr">
        <is>
          <t>ExpectedDamage(perHit)</t>
        </is>
      </c>
      <c r="O540" s="9" t="inlineStr">
        <is>
          <t>DPS</t>
        </is>
      </c>
      <c r="P540" s="9" t="inlineStr">
        <is>
          <t>% of Total</t>
        </is>
      </c>
      <c r="R540" t="inlineStr">
        <is>
          <t>helpers</t>
        </is>
      </c>
    </row>
    <row r="541">
      <c r="A541">
        <f>Skills!A2</f>
        <v/>
      </c>
      <c r="B541">
        <f>Skills!B2</f>
        <v/>
      </c>
      <c r="C541">
        <f>Inputs!$B$3&gt;=100</f>
        <v/>
      </c>
      <c r="D541" t="inlineStr"/>
      <c r="E541" t="inlineStr"/>
      <c r="F541">
        <f>T543+Skills!N2</f>
        <v/>
      </c>
      <c r="G541">
        <f>Calc!G2</f>
        <v/>
      </c>
      <c r="H541">
        <f>Calc!H2</f>
        <v/>
      </c>
      <c r="I541">
        <f>IF(Skills!T2&lt;&gt;"",1+(Skills!T2/10)*(Z542/1000)/100,1)</f>
        <v/>
      </c>
      <c r="J541">
        <f>((Inputs!$B$6*(1+Inputs!$B$7/100))+(((Inputs!$B$12*(1+Inputs!$B$13/100))-(Inputs!$B$12*(1+Inputs!$B$13/100)))+0.25*(Inputs!$B$14-Inputs!$B$14))*(1+Inputs!$B$7/100))*(F541/100)</f>
        <v/>
      </c>
      <c r="K541">
        <f>J541*(1+((Inputs!$B$12*(1+Inputs!$B$13/100))*0.01+Inputs!$B$14*0.0025)/100)*(1+(Inputs!$B$15+B567)/100)*(1+Inputs!$B$16/100)*(5000/(6000+Inputs!$B$42*(1-Inputs!$B$19/100)))*(1+Inputs!$B$24/100)*(1+IF(C554=TRUE,F554,0)/100)*(1+IF(C562=TRUE,F562,0)/100)^5*(1+(IF(Skills!A2="CHAIN_LIGHTNING",(Inputs!$B$17+1),Inputs!$B$18))/100)*(B565*I541)</f>
        <v/>
      </c>
      <c r="L541">
        <f>K541*(MIN(Inputs!$B$22+(F557-Calc!F18),Inputs!$B$23)/100+Inputs!$B$23/100)/2</f>
        <v/>
      </c>
      <c r="M541">
        <f>L541*(1+(Inputs!$B$10+(F560-Calc!F21))/100)</f>
        <v/>
      </c>
      <c r="N541">
        <f>L541*(1-MIN(Inputs!$B$9+((F559-Calc!F20)+(F558-Calc!F19)),100)/100)+M541*(MIN(Inputs!$B$9+((F559-Calc!F20)+(F558-Calc!F19)),100)/100)</f>
        <v/>
      </c>
      <c r="O541">
        <f>(1-Summary!$B$51)*S541+Summary!$B$51*U541</f>
        <v/>
      </c>
      <c r="P541">
        <f>IF(B575=0,0,O541/B575)</f>
        <v/>
      </c>
      <c r="Q541">
        <f>IFERROR(1/IF(Inputs!$B$38="pvp",15,MAX(0.1,Skills!D2-IF(Skills!E2=TRUE,Inputs!$B$32,0))),0)</f>
        <v/>
      </c>
      <c r="R541" t="n">
        <v>0</v>
      </c>
      <c r="S541">
        <f>IF(C541,(Skills!F2*N541*B571)*IF(Inputs!$B$38="pvp",1,1+(Inputs!$B$20+Skills!O2+B566)/100),0)</f>
        <v/>
      </c>
      <c r="T541">
        <f>MAX(0,(Inputs!$B$3-100)*3)+Inputs!$B$28+Inputs!$B$29</f>
        <v/>
      </c>
      <c r="U541">
        <f>IF(C541,(Skills!F2*N541*B571)*IF(Inputs!$B$38="pvp",1,(1+(Inputs!$B$21+Skills!P2+B566)/100)*(MIN((6+Inputs!$B$33),Inputs!$B$37))),0)</f>
        <v/>
      </c>
      <c r="Z541">
        <f>MAX(0,(Inputs!$B$3-100)*3)+Inputs!$B$28+Inputs!$B$29</f>
        <v/>
      </c>
    </row>
    <row r="542">
      <c r="A542">
        <f>Skills!A3</f>
        <v/>
      </c>
      <c r="B542">
        <f>Skills!B3</f>
        <v/>
      </c>
      <c r="C542">
        <f>Inputs!$B$3&gt;=15</f>
        <v/>
      </c>
      <c r="D542">
        <f>IF(Skills!C3=1,60+Inputs!$B$25+Inputs!$B$29,IF(Skills!C3=2,90+Inputs!$B$26+Inputs!$B$29,IF(Skills!C3=3,120+Inputs!$B$27+Inputs!$B$29,MAX(0,(Inputs!$B$3-100)*3)+Inputs!$B$28+Inputs!$B$29)))</f>
        <v/>
      </c>
      <c r="E542">
        <f>INDEX(FactorTable!$B$2:$Y$301, MATCH(ROUND(MIN(300,MAX(1,D542)),0), FactorTable!$A$2:$A$301,0), Skills!L3+1)</f>
        <v/>
      </c>
      <c r="F542">
        <f>IF(Skills!M3=TRUE,(Skills!K3/10)*(E542/1000),Skills!K3/10)+Skills!N3</f>
        <v/>
      </c>
      <c r="G542">
        <f>Calc!G3</f>
        <v/>
      </c>
      <c r="H542">
        <f>Calc!H3</f>
        <v/>
      </c>
      <c r="I542">
        <f>IF(Skills!T3&lt;&gt;"",1+(Skills!T3/10)*(Z542/1000)/100,1)</f>
        <v/>
      </c>
      <c r="J542" t="inlineStr"/>
      <c r="K542" t="inlineStr"/>
      <c r="L542" t="inlineStr"/>
      <c r="M542" t="inlineStr"/>
      <c r="N542" t="inlineStr"/>
      <c r="O542">
        <f>(1-Summary!$B$51)*S542+Summary!$B$51*U542</f>
        <v/>
      </c>
      <c r="P542">
        <f>IF(B575=0,0,O542/B575)</f>
        <v/>
      </c>
      <c r="Q542">
        <f>IFERROR(1/IF(Inputs!$B$38="pvp",15,MAX(0.1,Skills!D3-IF(Skills!E3=TRUE,Inputs!$B$32,0))),0)</f>
        <v/>
      </c>
      <c r="R542">
        <f>IF(AND(Inputs!$B$38&lt;&gt;"pvp",Inputs!$B$43&gt;0),IF(Inputs!$B$43&lt;=0,0,(INT(Inputs!$B$43/IF(Inputs!$B$38="pvp",15,MAX(0.1,Skills!D3-IF(Skills!E3=TRUE,Inputs!$B$32,0))))+1)),0)</f>
        <v/>
      </c>
      <c r="S542" t="n">
        <v>0</v>
      </c>
      <c r="T542">
        <f>INDEX(FactorTable!$B$2:$Y$301, MATCH(ROUND(MIN(300,MAX(1,T541)),0), FactorTable!$A$2:$A$301,0), 22)</f>
        <v/>
      </c>
      <c r="U542" t="n">
        <v>0</v>
      </c>
      <c r="Z542">
        <f>INDEX(FactorTable!$B$2:$Y$301, MATCH(ROUND(MIN(300,MAX(1,Z541)),0), FactorTable!$A$2:$A$301,0), 24)</f>
        <v/>
      </c>
    </row>
    <row r="543">
      <c r="A543">
        <f>Skills!A4</f>
        <v/>
      </c>
      <c r="B543">
        <f>Skills!B4</f>
        <v/>
      </c>
      <c r="C543">
        <f>Inputs!$B$3&gt;=40</f>
        <v/>
      </c>
      <c r="D543">
        <f>IF(Skills!C4=1,60+Inputs!$B$25+Inputs!$B$29,IF(Skills!C4=2,90+Inputs!$B$26+Inputs!$B$29,IF(Skills!C4=3,120+Inputs!$B$27+Inputs!$B$29,MAX(0,(Inputs!$B$3-100)*3)+Inputs!$B$28+Inputs!$B$29)))</f>
        <v/>
      </c>
      <c r="E543">
        <f>INDEX(FactorTable!$B$2:$Y$301, MATCH(ROUND(MIN(300,MAX(1,D543)),0), FactorTable!$A$2:$A$301,0), Skills!L4+1)</f>
        <v/>
      </c>
      <c r="F543">
        <f>IF(Skills!M4=TRUE,(Skills!K4/10)*(E543/1000),Skills!K4/10)+Skills!N4</f>
        <v/>
      </c>
      <c r="G543">
        <f>Calc!G4</f>
        <v/>
      </c>
      <c r="H543">
        <f>Calc!H4</f>
        <v/>
      </c>
      <c r="I543">
        <f>IF(Skills!T4&lt;&gt;"",1+(Skills!T4/10)*(Z542/1000)/100,1)</f>
        <v/>
      </c>
      <c r="J543" t="inlineStr"/>
      <c r="K543" t="inlineStr"/>
      <c r="L543" t="inlineStr"/>
      <c r="M543" t="inlineStr"/>
      <c r="N543" t="inlineStr"/>
      <c r="O543">
        <f>(1-Summary!$B$51)*S543+Summary!$B$51*U543</f>
        <v/>
      </c>
      <c r="P543">
        <f>IF(B575=0,0,O543/B575)</f>
        <v/>
      </c>
      <c r="Q543">
        <f>IFERROR(1/IF(Inputs!$B$38="pvp",15,MAX(0.1,Skills!D4-IF(Skills!E4=TRUE,Inputs!$B$32,0))),0)</f>
        <v/>
      </c>
      <c r="R543">
        <f>IF(AND(Inputs!$B$38&lt;&gt;"pvp",Inputs!$B$43&gt;0),IF(Inputs!$B$43&lt;=0,0,(INT(Inputs!$B$43/IF(Inputs!$B$38="pvp",15,MAX(0.1,Skills!D4-IF(Skills!E4=TRUE,Inputs!$B$32,0))))+1)),0)</f>
        <v/>
      </c>
      <c r="S543" t="n">
        <v>0</v>
      </c>
      <c r="T543">
        <f>290*T542/1000</f>
        <v/>
      </c>
      <c r="U543" t="n">
        <v>0</v>
      </c>
    </row>
    <row r="544">
      <c r="A544">
        <f>Skills!A5</f>
        <v/>
      </c>
      <c r="B544">
        <f>Skills!B5</f>
        <v/>
      </c>
      <c r="C544">
        <f>Inputs!$B$3&gt;=38</f>
        <v/>
      </c>
      <c r="D544">
        <f>IF(Skills!C5=1,60+Inputs!$B$25+Inputs!$B$29,IF(Skills!C5=2,90+Inputs!$B$26+Inputs!$B$29,IF(Skills!C5=3,120+Inputs!$B$27+Inputs!$B$29,MAX(0,(Inputs!$B$3-100)*3)+Inputs!$B$28+Inputs!$B$29)))</f>
        <v/>
      </c>
      <c r="E544">
        <f>INDEX(FactorTable!$B$2:$Y$301, MATCH(ROUND(MIN(300,MAX(1,D544)),0), FactorTable!$A$2:$A$301,0), Skills!L5+1)</f>
        <v/>
      </c>
      <c r="F544">
        <f>IF(Skills!M5=TRUE,(Skills!K5/10)*(E544/1000),Skills!K5/10)+Skills!N5</f>
        <v/>
      </c>
      <c r="G544">
        <f>Calc!G5</f>
        <v/>
      </c>
      <c r="H544">
        <f>Calc!H5</f>
        <v/>
      </c>
      <c r="I544">
        <f>IF(Skills!T5&lt;&gt;"",1+(Skills!T5/10)*(Z542/1000)/100,1)</f>
        <v/>
      </c>
      <c r="J544">
        <f>((Inputs!$B$6*(1+Inputs!$B$7/100))+(((Inputs!$B$12*(1+Inputs!$B$13/100))-(Inputs!$B$12*(1+Inputs!$B$13/100)))+0.25*(Inputs!$B$14-Inputs!$B$14))*(1+Inputs!$B$7/100))*(F544/100)</f>
        <v/>
      </c>
      <c r="K544">
        <f>J544*(1+((Inputs!$B$12*(1+Inputs!$B$13/100))*0.01+Inputs!$B$14*0.0025)/100)*(1+(Inputs!$B$15+B567)/100)*(1+Inputs!$B$16/100)*(5000/(6000+Inputs!$B$42*(1-Inputs!$B$19/100)))*(1+Inputs!$B$24/100)*(1+IF(C554=TRUE,F554,0)/100)*(1+IF(C562=TRUE,F562,0)/100)^5*(1+(IF(Skills!A5="CHAIN_LIGHTNING",(Inputs!$B$17+1),Inputs!$B$18))/100)*(B565*I544)</f>
        <v/>
      </c>
      <c r="L544">
        <f>K544*(MIN(Inputs!$B$22+(F557-Calc!F18),Inputs!$B$23)/100+Inputs!$B$23/100)/2</f>
        <v/>
      </c>
      <c r="M544">
        <f>L544*(1+(Inputs!$B$10+(F560-Calc!F21))/100)</f>
        <v/>
      </c>
      <c r="N544">
        <f>L544*(1-MIN(Inputs!$B$9+((F559-Calc!F20)+(F558-Calc!F19)),100)/100)+M544*(MIN(Inputs!$B$9+((F559-Calc!F20)+(F558-Calc!F19)),100)/100)</f>
        <v/>
      </c>
      <c r="O544">
        <f>(1-Summary!$B$51)*S544+Summary!$B$51*U544</f>
        <v/>
      </c>
      <c r="P544">
        <f>IF(B575=0,0,O544/B575)</f>
        <v/>
      </c>
      <c r="Q544">
        <f>IFERROR(1/IF(Inputs!$B$38="pvp",15,MAX(0.1,Skills!D5-IF(Skills!E5=TRUE,Inputs!$B$32,0))),0)</f>
        <v/>
      </c>
      <c r="R544">
        <f>IF(AND(Inputs!$B$38&lt;&gt;"pvp",Inputs!$B$43&gt;0),IF(MAX(0,Inputs!$B$43-B572)&lt;=0,0,(INT(MAX(0,Inputs!$B$43-B572)/IF(Inputs!$B$38="pvp",15,MAX(0.1,Skills!D5-IF(Skills!E5=TRUE,Inputs!$B$32,0))))+1)),0)</f>
        <v/>
      </c>
      <c r="S544">
        <f>IF(C544,(H544*N544*IF(AND(Inputs!$B$38&lt;&gt;"pvp",Inputs!$B$43&gt;0),((Skills!F5*((R544-1)*IF(Skills!G5&gt;0,Skills!H5/Skills!G5,1)+IF(Skills!G5&gt;0,MIN(Skills!H5,MAX(0,MAX(0,Inputs!$B$43-B572)-((R544-1)*IF(Inputs!$B$38="pvp",15,MAX(0.1,Skills!D5-IF(Skills!E5=TRUE,Inputs!$B$32,0))))))/Skills!G5,1)))/Inputs!$B$43),G544*Q544))*IF(Inputs!$B$38="pvp",1,1+(Inputs!$B$20+Skills!O5+B566)/100),0)</f>
        <v/>
      </c>
      <c r="U544">
        <f>IF(C544,(H544*N544*IF(AND(Inputs!$B$38&lt;&gt;"pvp",Inputs!$B$43&gt;0),((Skills!F5*((R544-1)*IF(Skills!G5&gt;0,Skills!H5/Skills!G5,1)+IF(Skills!G5&gt;0,MIN(Skills!H5,MAX(0,MAX(0,Inputs!$B$43-B572)-((R544-1)*IF(Inputs!$B$38="pvp",15,MAX(0.1,Skills!D5-IF(Skills!E5=TRUE,Inputs!$B$32,0))))))/Skills!G5,1)))/Inputs!$B$43),G544*Q544))*IF(Inputs!$B$38="pvp",1,(1+(Inputs!$B$21+Skills!P5+B566)/100)*(MIN(Skills!Q5,Inputs!$B$37))),0)</f>
        <v/>
      </c>
    </row>
    <row r="545">
      <c r="A545">
        <f>Skills!A6</f>
        <v/>
      </c>
      <c r="B545">
        <f>Skills!B6</f>
        <v/>
      </c>
      <c r="C545">
        <f>Inputs!$B$3&gt;=63</f>
        <v/>
      </c>
      <c r="D545">
        <f>IF(Skills!C6=1,60+Inputs!$B$25+Inputs!$B$29,IF(Skills!C6=2,90+Inputs!$B$26+Inputs!$B$29,IF(Skills!C6=3,120+Inputs!$B$27+Inputs!$B$29,MAX(0,(Inputs!$B$3-100)*3)+Inputs!$B$28+Inputs!$B$29)))</f>
        <v/>
      </c>
      <c r="E545">
        <f>INDEX(FactorTable!$B$2:$Y$301, MATCH(ROUND(MIN(300,MAX(1,D545)),0), FactorTable!$A$2:$A$301,0), Skills!L6+1)</f>
        <v/>
      </c>
      <c r="F545">
        <f>IF(Skills!M6=TRUE,(Skills!K6/10)*(E545/1000),Skills!K6/10)+Skills!N6</f>
        <v/>
      </c>
      <c r="G545">
        <f>Calc!G6</f>
        <v/>
      </c>
      <c r="H545">
        <f>Calc!H6</f>
        <v/>
      </c>
      <c r="I545">
        <f>IF(Skills!T6&lt;&gt;"",1+(Skills!T6/10)*(Z542/1000)/100,1)</f>
        <v/>
      </c>
      <c r="J545">
        <f>((Inputs!$B$6*(1+Inputs!$B$7/100))+(((Inputs!$B$12*(1+Inputs!$B$13/100))-(Inputs!$B$12*(1+Inputs!$B$13/100)))+0.25*(Inputs!$B$14-Inputs!$B$14))*(1+Inputs!$B$7/100))*(F545/100)</f>
        <v/>
      </c>
      <c r="K545">
        <f>J545*(1+((Inputs!$B$12*(1+Inputs!$B$13/100))*0.01+Inputs!$B$14*0.0025)/100)*(1+(Inputs!$B$15+B567)/100)*(1+Inputs!$B$16/100)*(5000/(6000+Inputs!$B$42*(1-Inputs!$B$19/100)))*(1+Inputs!$B$24/100)*(1+IF(C554=TRUE,F554,0)/100)*(1+IF(C562=TRUE,F562,0)/100)^5*(1+(IF(Skills!A6="CHAIN_LIGHTNING",(Inputs!$B$17+1),Inputs!$B$18))/100)*(B565*I545)</f>
        <v/>
      </c>
      <c r="L545">
        <f>K545*(MIN(Inputs!$B$22+(F557-Calc!F18),Inputs!$B$23)/100+Inputs!$B$23/100)/2</f>
        <v/>
      </c>
      <c r="M545">
        <f>L545*(1+(Inputs!$B$10+(F560-Calc!F21))/100)</f>
        <v/>
      </c>
      <c r="N545">
        <f>L545*(1-MIN(Inputs!$B$9+((F559-Calc!F20)+(F558-Calc!F19)),100)/100)+M545*(MIN(Inputs!$B$9+((F559-Calc!F20)+(F558-Calc!F19)),100)/100)</f>
        <v/>
      </c>
      <c r="O545">
        <f>(1-Summary!$B$51)*S545+Summary!$B$51*U545</f>
        <v/>
      </c>
      <c r="P545">
        <f>IF(B575=0,0,O545/B575)</f>
        <v/>
      </c>
      <c r="Q545">
        <f>IFERROR(1/IF(Inputs!$B$38="pvp",15,MAX(0.1,Skills!D6-IF(Skills!E6=TRUE,Inputs!$B$32,0))),0)</f>
        <v/>
      </c>
      <c r="R545">
        <f>IF(AND(Inputs!$B$38&lt;&gt;"pvp",Inputs!$B$43&gt;0),IF(MAX(0,Inputs!$B$43-B572)&lt;=0,0,(INT(MAX(0,Inputs!$B$43-B572)/IF(Inputs!$B$38="pvp",15,MAX(0.1,Skills!D6-IF(Skills!E6=TRUE,Inputs!$B$32,0))))+1)),0)</f>
        <v/>
      </c>
      <c r="S545">
        <f>IF(C545,(H545*N545*IF(AND(Inputs!$B$38&lt;&gt;"pvp",Inputs!$B$43&gt;0),((Skills!F6*((R545-1)*IF(Skills!G6&gt;0,Skills!H6/Skills!G6,1)+IF(Skills!G6&gt;0,MIN(Skills!H6,MAX(0,MAX(0,Inputs!$B$43-B572)-((R545-1)*IF(Inputs!$B$38="pvp",15,MAX(0.1,Skills!D6-IF(Skills!E6=TRUE,Inputs!$B$32,0))))))/Skills!G6,1)))/Inputs!$B$43),G545*Q545))*IF(Inputs!$B$38="pvp",1,1+(Inputs!$B$20+Skills!O6+B566)/100),0)</f>
        <v/>
      </c>
      <c r="U545">
        <f>IF(C545,(H545*N545*IF(AND(Inputs!$B$38&lt;&gt;"pvp",Inputs!$B$43&gt;0),((Skills!F6*((R545-1)*IF(Skills!G6&gt;0,Skills!H6/Skills!G6,1)+IF(Skills!G6&gt;0,MIN(Skills!H6,MAX(0,MAX(0,Inputs!$B$43-B572)-((R545-1)*IF(Inputs!$B$38="pvp",15,MAX(0.1,Skills!D6-IF(Skills!E6=TRUE,Inputs!$B$32,0))))))/Skills!G6,1)))/Inputs!$B$43),G545*Q545))*IF(Inputs!$B$38="pvp",1,(1+(Inputs!$B$21+Skills!P6+B566)/100)*(MIN(Skills!Q6,Inputs!$B$37))),0)</f>
        <v/>
      </c>
    </row>
    <row r="546">
      <c r="A546">
        <f>Skills!A7</f>
        <v/>
      </c>
      <c r="B546">
        <f>Skills!B7</f>
        <v/>
      </c>
      <c r="C546">
        <f>Inputs!$B$3&gt;=69</f>
        <v/>
      </c>
      <c r="D546">
        <f>IF(Skills!C7=1,60+Inputs!$B$25+Inputs!$B$29,IF(Skills!C7=2,90+Inputs!$B$26+Inputs!$B$29,IF(Skills!C7=3,120+Inputs!$B$27+Inputs!$B$29,MAX(0,(Inputs!$B$3-100)*3)+Inputs!$B$28+Inputs!$B$29)))</f>
        <v/>
      </c>
      <c r="E546">
        <f>INDEX(FactorTable!$B$2:$Y$301, MATCH(ROUND(MIN(300,MAX(1,D546)),0), FactorTable!$A$2:$A$301,0), Skills!L7+1)</f>
        <v/>
      </c>
      <c r="F546">
        <f>IF(Skills!M7=TRUE,(Skills!K7/10)*(E546/1000),Skills!K7/10)+Skills!N7</f>
        <v/>
      </c>
      <c r="G546">
        <f>Calc!G7</f>
        <v/>
      </c>
      <c r="H546">
        <f>Calc!H7</f>
        <v/>
      </c>
      <c r="I546">
        <f>IF(Skills!T7&lt;&gt;"",1+(Skills!T7/10)*(Z542/1000)/100,1)</f>
        <v/>
      </c>
      <c r="J546">
        <f>((Inputs!$B$6*(1+Inputs!$B$7/100))+(((Inputs!$B$12*(1+Inputs!$B$13/100))-(Inputs!$B$12*(1+Inputs!$B$13/100)))+0.25*(Inputs!$B$14-Inputs!$B$14))*(1+Inputs!$B$7/100))*(F546/100)</f>
        <v/>
      </c>
      <c r="K546">
        <f>J546*(1+((Inputs!$B$12*(1+Inputs!$B$13/100))*0.01+Inputs!$B$14*0.0025)/100)*(1+(Inputs!$B$15+B567)/100)*(1+Inputs!$B$16/100)*(5000/(6000+Inputs!$B$42*(1-Inputs!$B$19/100)))*(1+Inputs!$B$24/100)*(1+IF(C554=TRUE,F554,0)/100)*(1+IF(C562=TRUE,F562,0)/100)^5*(1+(IF(Skills!A7="CHAIN_LIGHTNING",(Inputs!$B$17+1),Inputs!$B$18))/100)*(B565*I546)</f>
        <v/>
      </c>
      <c r="L546">
        <f>K546*(MIN(Inputs!$B$22+(F557-Calc!F18),Inputs!$B$23)/100+Inputs!$B$23/100)/2</f>
        <v/>
      </c>
      <c r="M546">
        <f>L546*(1+(Inputs!$B$10+(F560-Calc!F21))/100)</f>
        <v/>
      </c>
      <c r="N546">
        <f>L546*(1-MIN(Inputs!$B$9+((F559-Calc!F20)+(F558-Calc!F19)),100)/100)+M546*(MIN(Inputs!$B$9+((F559-Calc!F20)+(F558-Calc!F19)),100)/100)</f>
        <v/>
      </c>
      <c r="O546">
        <f>(1-Summary!$B$51)*S546+Summary!$B$51*U546</f>
        <v/>
      </c>
      <c r="P546">
        <f>IF(B575=0,0,O546/B575)</f>
        <v/>
      </c>
      <c r="Q546">
        <f>IFERROR(1/IF(Inputs!$B$38="pvp",15,MAX(0.1,Skills!D7-IF(Skills!E7=TRUE,Inputs!$B$32,0))),0)</f>
        <v/>
      </c>
      <c r="R546">
        <f>IF(AND(Inputs!$B$38&lt;&gt;"pvp",Inputs!$B$43&gt;0),IF(MAX(0,Inputs!$B$43-B572)&lt;=0,0,(INT(MAX(0,Inputs!$B$43-B572)/IF(Inputs!$B$38="pvp",15,MAX(0.1,Skills!D7-IF(Skills!E7=TRUE,Inputs!$B$32,0))))+1)),0)</f>
        <v/>
      </c>
      <c r="S546">
        <f>IF(C546,(H546*N546*IF(AND(Inputs!$B$38&lt;&gt;"pvp",Inputs!$B$43&gt;0),((Skills!F7*((R546-1)*IF(Skills!G7&gt;0,Skills!H7/Skills!G7,1)+IF(Skills!G7&gt;0,MIN(Skills!H7,MAX(0,MAX(0,Inputs!$B$43-B572)-((R546-1)*IF(Inputs!$B$38="pvp",15,MAX(0.1,Skills!D7-IF(Skills!E7=TRUE,Inputs!$B$32,0))))))/Skills!G7,1)))/Inputs!$B$43),G546*Q546))*IF(Inputs!$B$38="pvp",1,1+(Inputs!$B$20+Skills!O7+B566)/100),0)</f>
        <v/>
      </c>
      <c r="U546">
        <f>IF(C546,(H546*N546*IF(AND(Inputs!$B$38&lt;&gt;"pvp",Inputs!$B$43&gt;0),((Skills!F7*((R546-1)*IF(Skills!G7&gt;0,Skills!H7/Skills!G7,1)+IF(Skills!G7&gt;0,MIN(Skills!H7,MAX(0,MAX(0,Inputs!$B$43-B572)-((R546-1)*IF(Inputs!$B$38="pvp",15,MAX(0.1,Skills!D7-IF(Skills!E7=TRUE,Inputs!$B$32,0))))))/Skills!G7,1)))/Inputs!$B$43),G546*Q546))*IF(Inputs!$B$38="pvp",1,(1+(Inputs!$B$21+Skills!P7+B566)/100)*(MIN(Skills!Q7,Inputs!$B$37))),0)</f>
        <v/>
      </c>
    </row>
    <row r="547">
      <c r="A547">
        <f>Skills!A8</f>
        <v/>
      </c>
      <c r="B547">
        <f>Skills!B8</f>
        <v/>
      </c>
      <c r="C547">
        <f>Inputs!$B$3&gt;=103</f>
        <v/>
      </c>
      <c r="D547">
        <f>IF(Skills!C8=1,60+Inputs!$B$25+Inputs!$B$29,IF(Skills!C8=2,90+Inputs!$B$26+Inputs!$B$29,IF(Skills!C8=3,120+Inputs!$B$27+Inputs!$B$29,MAX(0,(Inputs!$B$3-100)*3)+Inputs!$B$28+Inputs!$B$29)))</f>
        <v/>
      </c>
      <c r="E547">
        <f>INDEX(FactorTable!$B$2:$Y$301, MATCH(ROUND(MIN(300,MAX(1,D547)),0), FactorTable!$A$2:$A$301,0), Skills!L8+1)</f>
        <v/>
      </c>
      <c r="F547">
        <f>IF(Skills!M8=TRUE,(Skills!K8/10)*(E547/1000),Skills!K8/10)+Skills!N8</f>
        <v/>
      </c>
      <c r="G547">
        <f>Calc!G8</f>
        <v/>
      </c>
      <c r="H547">
        <f>Calc!H8</f>
        <v/>
      </c>
      <c r="I547">
        <f>IF(Skills!T8&lt;&gt;"",1+(Skills!T8/10)*(Z542/1000)/100,1)</f>
        <v/>
      </c>
      <c r="J547">
        <f>((Inputs!$B$6*(1+Inputs!$B$7/100))+(((Inputs!$B$12*(1+Inputs!$B$13/100))-(Inputs!$B$12*(1+Inputs!$B$13/100)))+0.25*(Inputs!$B$14-Inputs!$B$14))*(1+Inputs!$B$7/100))*(F547/100)</f>
        <v/>
      </c>
      <c r="K547">
        <f>J547*(1+((Inputs!$B$12*(1+Inputs!$B$13/100))*0.01+Inputs!$B$14*0.0025)/100)*(1+(Inputs!$B$15+B567)/100)*(1+Inputs!$B$16/100)*(5000/(6000+Inputs!$B$42*(1-Inputs!$B$19/100)))*(1+Inputs!$B$24/100)*(1+IF(C554=TRUE,F554,0)/100)*(1+IF(C562=TRUE,F562,0)/100)^5*(1+(IF(Skills!A8="CHAIN_LIGHTNING",(Inputs!$B$17+1),Inputs!$B$18))/100)*(B565*I547)</f>
        <v/>
      </c>
      <c r="L547">
        <f>K547*(MIN(Inputs!$B$22+(F557-Calc!F18),Inputs!$B$23)/100+Inputs!$B$23/100)/2</f>
        <v/>
      </c>
      <c r="M547">
        <f>L547*(1+(Inputs!$B$10+(F560-Calc!F21))/100)</f>
        <v/>
      </c>
      <c r="N547">
        <f>L547*(1-MIN(Inputs!$B$9+((F559-Calc!F20)+(F558-Calc!F19)),100)/100)+M547*(MIN(Inputs!$B$9+((F559-Calc!F20)+(F558-Calc!F19)),100)/100)</f>
        <v/>
      </c>
      <c r="O547">
        <f>(1-Summary!$B$51)*S547+Summary!$B$51*U547</f>
        <v/>
      </c>
      <c r="P547">
        <f>IF(B575=0,0,O547/B575)</f>
        <v/>
      </c>
      <c r="Q547">
        <f>IFERROR(1/IF(Inputs!$B$38="pvp",15,MAX(0.1,Skills!D8-IF(Skills!E8=TRUE,Inputs!$B$32,0))),0)</f>
        <v/>
      </c>
      <c r="R547">
        <f>IF(AND(Inputs!$B$38&lt;&gt;"pvp",Inputs!$B$43&gt;0),IF(MAX(0,Inputs!$B$43-B572)&lt;=0,0,(INT(MAX(0,Inputs!$B$43-B572)/IF(Inputs!$B$38="pvp",15,MAX(0.1,Skills!D8-IF(Skills!E8=TRUE,Inputs!$B$32,0))))+1)),0)</f>
        <v/>
      </c>
      <c r="S547">
        <f>IF(C547,(H547*N547*IF(AND(Inputs!$B$38&lt;&gt;"pvp",Inputs!$B$43&gt;0),((Skills!F8*((R547-1)*IF(Skills!G8&gt;0,Skills!H8/Skills!G8,1)+IF(Skills!G8&gt;0,MIN(Skills!H8,MAX(0,MAX(0,Inputs!$B$43-B572)-((R547-1)*IF(Inputs!$B$38="pvp",15,MAX(0.1,Skills!D8-IF(Skills!E8=TRUE,Inputs!$B$32,0))))))/Skills!G8,1)))/Inputs!$B$43),G547*Q547))*IF(Inputs!$B$38="pvp",1,1+(Inputs!$B$20+Skills!O8+B566)/100),0)</f>
        <v/>
      </c>
      <c r="U547">
        <f>IF(C547,(H547*N547*IF(AND(Inputs!$B$38&lt;&gt;"pvp",Inputs!$B$43&gt;0),((Skills!F8*((R547-1)*IF(Skills!G8&gt;0,Skills!H8/Skills!G8,1)+IF(Skills!G8&gt;0,MIN(Skills!H8,MAX(0,MAX(0,Inputs!$B$43-B572)-((R547-1)*IF(Inputs!$B$38="pvp",15,MAX(0.1,Skills!D8-IF(Skills!E8=TRUE,Inputs!$B$32,0))))))/Skills!G8,1)))/Inputs!$B$43),G547*Q547))*IF(Inputs!$B$38="pvp",1,(1+(Inputs!$B$21+Skills!P8+B566)/100)*(MIN(Skills!Q8,Inputs!$B$37))),0)</f>
        <v/>
      </c>
    </row>
    <row r="548">
      <c r="A548">
        <f>Skills!A9</f>
        <v/>
      </c>
      <c r="B548">
        <f>Skills!B9</f>
        <v/>
      </c>
      <c r="C548">
        <f>Inputs!$B$3&gt;=105</f>
        <v/>
      </c>
      <c r="D548">
        <f>IF(Skills!C9=1,60+Inputs!$B$25+Inputs!$B$29,IF(Skills!C9=2,90+Inputs!$B$26+Inputs!$B$29,IF(Skills!C9=3,120+Inputs!$B$27+Inputs!$B$29,MAX(0,(Inputs!$B$3-100)*3)+Inputs!$B$28+Inputs!$B$29)))</f>
        <v/>
      </c>
      <c r="E548">
        <f>INDEX(FactorTable!$B$2:$Y$301, MATCH(ROUND(MIN(300,MAX(1,D548)),0), FactorTable!$A$2:$A$301,0), Skills!L9+1)</f>
        <v/>
      </c>
      <c r="F548">
        <f>IF(Skills!M9=TRUE,(Skills!K9/10)*(E548/1000),Skills!K9/10)+Skills!N9</f>
        <v/>
      </c>
      <c r="G548">
        <f>Calc!G9</f>
        <v/>
      </c>
      <c r="H548">
        <f>Calc!H9</f>
        <v/>
      </c>
      <c r="I548">
        <f>IF(Skills!T9&lt;&gt;"",1+(Skills!T9/10)*(Z542/1000)/100,1)</f>
        <v/>
      </c>
      <c r="J548">
        <f>((Inputs!$B$6*(1+Inputs!$B$7/100))+(((Inputs!$B$12*(1+Inputs!$B$13/100))-(Inputs!$B$12*(1+Inputs!$B$13/100)))+0.25*(Inputs!$B$14-Inputs!$B$14))*(1+Inputs!$B$7/100))*(F548/100)</f>
        <v/>
      </c>
      <c r="K548">
        <f>J548*(1+((Inputs!$B$12*(1+Inputs!$B$13/100))*0.01+Inputs!$B$14*0.0025)/100)*(1+(Inputs!$B$15+B567)/100)*(1+Inputs!$B$16/100)*(5000/(6000+Inputs!$B$42*(1-Inputs!$B$19/100)))*(1+Inputs!$B$24/100)*(1+IF(C554=TRUE,F554,0)/100)*(1+IF(C562=TRUE,F562,0)/100)^5*(1+(IF(Skills!A9="CHAIN_LIGHTNING",(Inputs!$B$17+1),Inputs!$B$18))/100)*(B565*I548)</f>
        <v/>
      </c>
      <c r="L548">
        <f>K548*(MIN(Inputs!$B$22+(F557-Calc!F18),Inputs!$B$23)/100+Inputs!$B$23/100)/2</f>
        <v/>
      </c>
      <c r="M548">
        <f>L548*(1+(Inputs!$B$10+(F560-Calc!F21))/100)</f>
        <v/>
      </c>
      <c r="N548">
        <f>L548*(1-MIN(Inputs!$B$9+((F559-Calc!F20)+(F558-Calc!F19)),100)/100)+M548*(MIN(Inputs!$B$9+((F559-Calc!F20)+(F558-Calc!F19)),100)/100)</f>
        <v/>
      </c>
      <c r="O548">
        <f>(1-Summary!$B$51)*S548+Summary!$B$51*U548</f>
        <v/>
      </c>
      <c r="P548">
        <f>IF(B575=0,0,O548/B575)</f>
        <v/>
      </c>
      <c r="Q548">
        <f>IFERROR(1/IF(Inputs!$B$38="pvp",15,MAX(0.1,Skills!D9-IF(Skills!E9=TRUE,Inputs!$B$32,0))),0)</f>
        <v/>
      </c>
      <c r="R548">
        <f>IF(AND(Inputs!$B$38&lt;&gt;"pvp",Inputs!$B$43&gt;0),IF(MAX(0,Inputs!$B$43-B572)&lt;=0,0,(INT(MAX(0,Inputs!$B$43-B572)/IF(Inputs!$B$38="pvp",15,MAX(0.1,Skills!D9-IF(Skills!E9=TRUE,Inputs!$B$32,0))))+1)),0)</f>
        <v/>
      </c>
      <c r="S548">
        <f>IF(C548,(H548*N548*IF(AND(Inputs!$B$38&lt;&gt;"pvp",Inputs!$B$43&gt;0),((Skills!F9*((R548-1)*IF(Skills!G9&gt;0,Skills!H9/Skills!G9,1)+IF(Skills!G9&gt;0,MIN(Skills!H9,MAX(0,MAX(0,Inputs!$B$43-B572)-((R548-1)*IF(Inputs!$B$38="pvp",15,MAX(0.1,Skills!D9-IF(Skills!E9=TRUE,Inputs!$B$32,0))))))/Skills!G9,1)))/Inputs!$B$43),G548*Q548))*IF(Inputs!$B$38="pvp",1,1+(Inputs!$B$20+Skills!O9+B566)/100),0)</f>
        <v/>
      </c>
      <c r="U548">
        <f>IF(C548,(H548*N548*IF(AND(Inputs!$B$38&lt;&gt;"pvp",Inputs!$B$43&gt;0),((Skills!F9*((R548-1)*IF(Skills!G9&gt;0,Skills!H9/Skills!G9,1)+IF(Skills!G9&gt;0,MIN(Skills!H9,MAX(0,MAX(0,Inputs!$B$43-B572)-((R548-1)*IF(Inputs!$B$38="pvp",15,MAX(0.1,Skills!D9-IF(Skills!E9=TRUE,Inputs!$B$32,0))))))/Skills!G9,1)))/Inputs!$B$43),G548*Q548))*IF(Inputs!$B$38="pvp",1,(1+(Inputs!$B$21+Skills!P9+B566)/100)*(MIN(Skills!Q9,Inputs!$B$37))),0)</f>
        <v/>
      </c>
    </row>
    <row r="549">
      <c r="A549">
        <f>Skills!A10</f>
        <v/>
      </c>
      <c r="B549">
        <f>Skills!B10</f>
        <v/>
      </c>
      <c r="C549">
        <f>Inputs!$B$3&gt;=113</f>
        <v/>
      </c>
      <c r="D549">
        <f>IF(Skills!C10=1,60+Inputs!$B$25+Inputs!$B$29,IF(Skills!C10=2,90+Inputs!$B$26+Inputs!$B$29,IF(Skills!C10=3,120+Inputs!$B$27+Inputs!$B$29,MAX(0,(Inputs!$B$3-100)*3)+Inputs!$B$28+Inputs!$B$29)))</f>
        <v/>
      </c>
      <c r="E549">
        <f>INDEX(FactorTable!$B$2:$Y$301, MATCH(ROUND(MIN(300,MAX(1,D549)),0), FactorTable!$A$2:$A$301,0), Skills!L10+1)</f>
        <v/>
      </c>
      <c r="F549">
        <f>IF(Skills!M10=TRUE,(Skills!K10/10)*(E549/1000),Skills!K10/10)+Skills!N10</f>
        <v/>
      </c>
      <c r="G549">
        <f>Calc!G10</f>
        <v/>
      </c>
      <c r="H549">
        <f>Calc!H10</f>
        <v/>
      </c>
      <c r="I549">
        <f>IF(Skills!T10&lt;&gt;"",1+(Skills!T10/10)*(Z542/1000)/100,1)</f>
        <v/>
      </c>
      <c r="J549">
        <f>((Inputs!$B$6*(1+Inputs!$B$7/100))+(((Inputs!$B$12*(1+Inputs!$B$13/100))-(Inputs!$B$12*(1+Inputs!$B$13/100)))+0.25*(Inputs!$B$14-Inputs!$B$14))*(1+Inputs!$B$7/100))*(F549/100)</f>
        <v/>
      </c>
      <c r="K549">
        <f>J549*(1+((Inputs!$B$12*(1+Inputs!$B$13/100))*0.01+Inputs!$B$14*0.0025)/100)*(1+(Inputs!$B$15+B567)/100)*(1+Inputs!$B$16/100)*(5000/(6000+Inputs!$B$42*(1-Inputs!$B$19/100)))*(1+Inputs!$B$24/100)*(1+IF(C554=TRUE,F554,0)/100)*(1+IF(C562=TRUE,F562,0)/100)^5*(1+(IF(Skills!A10="CHAIN_LIGHTNING",(Inputs!$B$17+1),Inputs!$B$18))/100)*(B565*I549)</f>
        <v/>
      </c>
      <c r="L549">
        <f>K549*(MIN(Inputs!$B$22+(F557-Calc!F18),Inputs!$B$23)/100+Inputs!$B$23/100)/2</f>
        <v/>
      </c>
      <c r="M549">
        <f>L549*(1+(Inputs!$B$10+(F560-Calc!F21))/100)</f>
        <v/>
      </c>
      <c r="N549">
        <f>L549*(1-MIN(Inputs!$B$9+((F559-Calc!F20)+(F558-Calc!F19)),100)/100)+M549*(MIN(Inputs!$B$9+((F559-Calc!F20)+(F558-Calc!F19)),100)/100)</f>
        <v/>
      </c>
      <c r="O549">
        <f>(1-Summary!$B$51)*S549+Summary!$B$51*U549</f>
        <v/>
      </c>
      <c r="P549">
        <f>IF(B575=0,0,O549/B575)</f>
        <v/>
      </c>
      <c r="Q549">
        <f>IFERROR(1/IF(Inputs!$B$38="pvp",15,MAX(0.1,Skills!D10-IF(Skills!E9=TRUE,Inputs!$B$32,0))),0)</f>
        <v/>
      </c>
      <c r="R549">
        <f>IF(AND(Inputs!$B$38&lt;&gt;"pvp",Inputs!$B$43&gt;0),IF(MAX(0,Inputs!$B$43-B572)&lt;=0,0,(INT(MAX(0,Inputs!$B$43-B572)/IF(Inputs!$B$38="pvp",15,MAX(0.1,Skills!D10-IF(Skills!E9=TRUE,Inputs!$B$32,0))))+1)),0)</f>
        <v/>
      </c>
      <c r="S549">
        <f>IF(C549,(H549*N549*IF(AND(Inputs!$B$38&lt;&gt;"pvp",Inputs!$B$43&gt;0),((Skills!F10*((R549-1)*IF(Skills!G10&gt;0,Skills!H10/Skills!G10,1)+IF(Skills!G10&gt;0,MIN(Skills!H10,MAX(0,MAX(0,Inputs!$B$43-B572)-((R549-1)*IF(Inputs!$B$38="pvp",15,MAX(0.1,Skills!D10-IF(Skills!E9=TRUE,Inputs!$B$32,0))))))/Skills!G10,1)))/Inputs!$B$43),G549*Q549))*IF(Inputs!$B$38="pvp",1,1+(Inputs!$B$20+Skills!O10+B566)/100),0)</f>
        <v/>
      </c>
      <c r="U549">
        <f>IF(C549,(H549*N549*IF(AND(Inputs!$B$38&lt;&gt;"pvp",Inputs!$B$43&gt;0),((Skills!F10*((R549-1)*IF(Skills!G10&gt;0,Skills!H10/Skills!G10,1)+IF(Skills!G10&gt;0,MIN(Skills!H10,MAX(0,MAX(0,Inputs!$B$43-B572)-((R549-1)*IF(Inputs!$B$38="pvp",15,MAX(0.1,Skills!D10-IF(Skills!E9=TRUE,Inputs!$B$32,0))))))/Skills!G10,1)))/Inputs!$B$43),G549*Q549))*IF(Inputs!$B$38="pvp",1,(1+(Inputs!$B$21+Skills!P10+B566)/100)*(MIN(Skills!Q10,Inputs!$B$37))),0)</f>
        <v/>
      </c>
    </row>
    <row r="550">
      <c r="A550">
        <f>Skills!A11</f>
        <v/>
      </c>
      <c r="B550">
        <f>Skills!B11</f>
        <v/>
      </c>
      <c r="C550">
        <f>Inputs!$B$3&gt;=107</f>
        <v/>
      </c>
      <c r="D550">
        <f>IF(Skills!C11=1,60+Inputs!$B$25+Inputs!$B$29,IF(Skills!C11=2,90+Inputs!$B$26+Inputs!$B$29,IF(Skills!C11=3,120+Inputs!$B$27+Inputs!$B$29,MAX(0,(Inputs!$B$3-100)*3)+Inputs!$B$28+Inputs!$B$29)))</f>
        <v/>
      </c>
      <c r="E550">
        <f>INDEX(FactorTable!$B$2:$Y$301, MATCH(ROUND(MIN(300,MAX(1,D550)),0), FactorTable!$A$2:$A$301,0), Skills!L11+1)</f>
        <v/>
      </c>
      <c r="F550">
        <f>IF(Skills!M11=TRUE,(Skills!K11/10)*(E550/1000),Skills!K11/10)+Skills!N11</f>
        <v/>
      </c>
      <c r="G550">
        <f>Calc!G11</f>
        <v/>
      </c>
      <c r="H550">
        <f>Calc!H11</f>
        <v/>
      </c>
      <c r="I550">
        <f>IF(Skills!T11&lt;&gt;"",1+(Skills!T11/10)*(Z542/1000)/100,1)</f>
        <v/>
      </c>
      <c r="J550">
        <f>((Inputs!$B$6*(1+Inputs!$B$7/100))+(((Inputs!$B$12*(1+Inputs!$B$13/100))-(Inputs!$B$12*(1+Inputs!$B$13/100)))+0.25*(Inputs!$B$14-Inputs!$B$14))*(1+Inputs!$B$7/100))*(F550/100)</f>
        <v/>
      </c>
      <c r="K550">
        <f>J550*(1+((Inputs!$B$12*(1+Inputs!$B$13/100))*0.01+Inputs!$B$14*0.0025)/100)*(1+(Inputs!$B$15+B567)/100)*(1+Inputs!$B$16/100)*(5000/(6000+Inputs!$B$42*(1-Inputs!$B$19/100)))*(1+Inputs!$B$24/100)*(1+IF(C554=TRUE,F554,0)/100)*(1+IF(C562=TRUE,F562,0)/100)^5*(1+(IF(Skills!A11="CHAIN_LIGHTNING",(Inputs!$B$17+1),Inputs!$B$18))/100)*(B565*I550)</f>
        <v/>
      </c>
      <c r="L550">
        <f>K550*(MIN(Inputs!$B$22+(F557-Calc!F18),Inputs!$B$23)/100+Inputs!$B$23/100)/2</f>
        <v/>
      </c>
      <c r="M550">
        <f>L550*(1+(Inputs!$B$10+(F560-Calc!F21))/100)</f>
        <v/>
      </c>
      <c r="N550">
        <f>L550*(1-MIN(Inputs!$B$9+((F559-Calc!F20)+(F558-Calc!F19)),100)/100)+M550*(MIN(Inputs!$B$9+((F559-Calc!F20)+(F558-Calc!F19)),100)/100)</f>
        <v/>
      </c>
      <c r="O550">
        <f>(1-Summary!$B$51)*S550+Summary!$B$51*U550</f>
        <v/>
      </c>
      <c r="P550">
        <f>IF(B575=0,0,O550/B575)</f>
        <v/>
      </c>
      <c r="Q550">
        <f>IFERROR(1/IF(Inputs!$B$38="pvp",15,MAX(0.1,Skills!D11-IF(Skills!E11=TRUE,Inputs!$B$32,0))),0)</f>
        <v/>
      </c>
      <c r="R550">
        <f>IF(AND(Inputs!$B$38&lt;&gt;"pvp",Inputs!$B$43&gt;0),IF(MAX(0,Inputs!$B$43-B572)&lt;=0,0,(INT(MAX(0,Inputs!$B$43-B572)/IF(Inputs!$B$38="pvp",15,MAX(0.1,Skills!D11-IF(Skills!E11=TRUE,Inputs!$B$32,0))))+1)),0)</f>
        <v/>
      </c>
      <c r="S550">
        <f>IF(C550,H550*N550*IF(AND(Inputs!$B$38&lt;&gt;"pvp",Inputs!$B$43&gt;0),((Skills!F11*((R550-1)*IF(Skills!G11&gt;0,Skills!H11/Skills!G11,1)+IF(Skills!G11&gt;0,MIN(Skills!H11,MAX(0,MAX(0,Inputs!$B$43-B572)-((R550-1)*IF(Inputs!$B$38="pvp",15,MAX(0.1,Skills!D11-IF(Skills!E11=TRUE,Inputs!$B$32,0))))))/Skills!G11,1)))/Inputs!$B$43),G550*Q550)*0.5*IF(Inputs!$B$38="pvp",1,1+(Inputs!$B$20+Skills!O11+B566)/100),0)</f>
        <v/>
      </c>
      <c r="U550">
        <f>IF(C550,H550*N550*IF(AND(Inputs!$B$38&lt;&gt;"pvp",Inputs!$B$43&gt;0),((Skills!F11*((R550-1)*IF(Skills!G11&gt;0,Skills!H11/Skills!G11,1)+IF(Skills!G11&gt;0,MIN(Skills!H11,MAX(0,MAX(0,Inputs!$B$43-B572)-((R550-1)*IF(Inputs!$B$38="pvp",15,MAX(0.1,Skills!D11-IF(Skills!E11=TRUE,Inputs!$B$32,0))))))/Skills!G11,1)))/Inputs!$B$43),G550*Q550)*1*IF(Inputs!$B$38="pvp",1,(1+(Inputs!$B$21+Skills!P11+B566)/100)*(MIN(Skills!Q11,Inputs!$B$37))),0)</f>
        <v/>
      </c>
    </row>
    <row r="551">
      <c r="A551">
        <f>Skills!A12</f>
        <v/>
      </c>
      <c r="B551">
        <f>Skills!B12</f>
        <v/>
      </c>
      <c r="C551">
        <f>Inputs!$B$3&gt;=115</f>
        <v/>
      </c>
      <c r="D551">
        <f>IF(Skills!C12=1,60+Inputs!$B$25+Inputs!$B$29,IF(Skills!C12=2,90+Inputs!$B$26+Inputs!$B$29,IF(Skills!C12=3,120+Inputs!$B$27+Inputs!$B$29,MAX(0,(Inputs!$B$3-100)*3)+Inputs!$B$28+Inputs!$B$29)))</f>
        <v/>
      </c>
      <c r="E551">
        <f>INDEX(FactorTable!$B$2:$Y$301, MATCH(ROUND(MIN(300,MAX(1,D551)),0), FactorTable!$A$2:$A$301,0), Skills!L12+1)</f>
        <v/>
      </c>
      <c r="F551">
        <f>IF(Skills!M12=TRUE,(Skills!K12/10)*(E551/1000),Skills!K12/10)+Skills!N12</f>
        <v/>
      </c>
      <c r="G551">
        <f>Calc!G12</f>
        <v/>
      </c>
      <c r="H551">
        <f>Calc!H12</f>
        <v/>
      </c>
      <c r="I551">
        <f>IF(Skills!T12&lt;&gt;"",1+(Skills!T12/10)*(Z542/1000)/100,1)</f>
        <v/>
      </c>
      <c r="J551">
        <f>((Inputs!$B$6*(1+Inputs!$B$7/100))+(((Inputs!$B$12*(1+Inputs!$B$13/100))-(Inputs!$B$12*(1+Inputs!$B$13/100)))+0.25*(Inputs!$B$14-Inputs!$B$14))*(1+Inputs!$B$7/100))*(F551/100)</f>
        <v/>
      </c>
      <c r="K551">
        <f>J551*(1+((Inputs!$B$12*(1+Inputs!$B$13/100))*0.01+Inputs!$B$14*0.0025)/100)*(1+(Inputs!$B$15+B567)/100)*(1+Inputs!$B$16/100)*(5000/(6000+Inputs!$B$42*(1-Inputs!$B$19/100)))*(1+Inputs!$B$24/100)*(1+IF(C554=TRUE,F554,0)/100)*(1+IF(C562=TRUE,F562,0)/100)^5*(1+(IF(Skills!A12="CHAIN_LIGHTNING",(Inputs!$B$17+1),Inputs!$B$18))/100)*(B565*I551)</f>
        <v/>
      </c>
      <c r="L551">
        <f>K551*(MIN(Inputs!$B$22+(F557-Calc!F18),Inputs!$B$23)/100+Inputs!$B$23/100)/2</f>
        <v/>
      </c>
      <c r="M551">
        <f>L551*(1+(Inputs!$B$10+(F560-Calc!F21))/100)</f>
        <v/>
      </c>
      <c r="N551">
        <f>L551*(1-MIN(Inputs!$B$9+((F559-Calc!F20)+(F558-Calc!F19)),100)/100)+M551*(MIN(Inputs!$B$9+((F559-Calc!F20)+(F558-Calc!F19)),100)/100)</f>
        <v/>
      </c>
      <c r="O551">
        <f>(1-Summary!$B$51)*S551+Summary!$B$51*U551</f>
        <v/>
      </c>
      <c r="P551">
        <f>IF(B575=0,0,O551/B575)</f>
        <v/>
      </c>
      <c r="Q551">
        <f>IFERROR(1/IF(Inputs!$B$38="pvp",15,MAX(0.1,Skills!D12-IF(Skills!E12=TRUE,Inputs!$B$32,0))),0)</f>
        <v/>
      </c>
      <c r="R551">
        <f>IF(AND(Inputs!$B$38&lt;&gt;"pvp",Inputs!$B$43&gt;0),IF(MAX(0,Inputs!$B$43-B572)&lt;=0,0,(INT(MAX(0,Inputs!$B$43-B572)/IF(Inputs!$B$38="pvp",15,MAX(0.1,Skills!D12-IF(Skills!E12=TRUE,Inputs!$B$32,0))))+1)),0)</f>
        <v/>
      </c>
      <c r="S551">
        <f>IF(C551,(H551*N551*IF(AND(Inputs!$B$38&lt;&gt;"pvp",Inputs!$B$43&gt;0),((Skills!F12*((R551-1)*IF(Skills!G12&gt;0,Skills!H12/Skills!G12,1)+IF(Skills!G12&gt;0,MIN(Skills!H12,MAX(0,MAX(0,Inputs!$B$43-B572)-((R551-1)*IF(Inputs!$B$38="pvp",15,MAX(0.1,Skills!D12-IF(Skills!E12=TRUE,Inputs!$B$32,0))))))/Skills!G12,1)))/Inputs!$B$43),G551*Q551))*IF(Inputs!$B$38="pvp",1,1+(Inputs!$B$20+Skills!O12+B566)/100),0)</f>
        <v/>
      </c>
      <c r="U551">
        <f>IF(C551,(H551*N551*IF(AND(Inputs!$B$38&lt;&gt;"pvp",Inputs!$B$43&gt;0),((Skills!F12*((R551-1)*IF(Skills!G12&gt;0,Skills!H12/Skills!G12,1)+IF(Skills!G12&gt;0,MIN(Skills!H12,MAX(0,MAX(0,Inputs!$B$43-B572)-((R551-1)*IF(Inputs!$B$38="pvp",15,MAX(0.1,Skills!D12-IF(Skills!E12=TRUE,Inputs!$B$32,0))))))/Skills!G12,1)))/Inputs!$B$43),G551*Q551))*IF(Inputs!$B$38="pvp",1,(1+(Inputs!$B$21+Skills!P12+B566)/100)*(MIN(Skills!Q12,Inputs!$B$37))),0)</f>
        <v/>
      </c>
    </row>
    <row r="552">
      <c r="A552">
        <f>Skills!A13</f>
        <v/>
      </c>
      <c r="B552">
        <f>Skills!B13</f>
        <v/>
      </c>
      <c r="C552">
        <f>Inputs!$B$3&gt;=49</f>
        <v/>
      </c>
      <c r="D552">
        <f>IF(Skills!C13=1,60+Inputs!$B$25+Inputs!$B$29,IF(Skills!C13=2,90+Inputs!$B$26+Inputs!$B$29,IF(Skills!C13=3,120+Inputs!$B$27+Inputs!$B$29,MAX(0,(Inputs!$B$3-100)*3)+Inputs!$B$28+Inputs!$B$29)))</f>
        <v/>
      </c>
      <c r="E552">
        <f>INDEX(FactorTable!$B$2:$Y$301, MATCH(ROUND(MIN(300,MAX(1,D552)),0), FactorTable!$A$2:$A$301,0), Skills!L13+1)</f>
        <v/>
      </c>
      <c r="F552">
        <f>IF(Skills!M13=TRUE,(Skills!K13/10)*(E552/1000),Skills!K13/10)+Skills!N13</f>
        <v/>
      </c>
      <c r="G552">
        <f>Calc!G13</f>
        <v/>
      </c>
      <c r="H552">
        <f>Calc!H13</f>
        <v/>
      </c>
      <c r="I552">
        <f>IF(Skills!T13&lt;&gt;"",1+(Skills!T13/10)*(Z542/1000)/100,1)</f>
        <v/>
      </c>
      <c r="J552" t="inlineStr"/>
      <c r="K552" t="inlineStr"/>
      <c r="L552" t="inlineStr"/>
      <c r="M552" t="inlineStr"/>
      <c r="N552" t="inlineStr"/>
      <c r="O552">
        <f>(1-Summary!$B$51)*S552+Summary!$B$51*U552</f>
        <v/>
      </c>
      <c r="P552">
        <f>IF(B575=0,0,O552/B575)</f>
        <v/>
      </c>
      <c r="Q552">
        <f>IFERROR(1/IF(Inputs!$B$38="pvp",15,MAX(0.1,Skills!D13-IF(Skills!E13=TRUE,Inputs!$B$32,0))),0)</f>
        <v/>
      </c>
      <c r="R552" t="n">
        <v>0</v>
      </c>
      <c r="S552" t="n">
        <v>0</v>
      </c>
      <c r="U552" t="n">
        <v>0</v>
      </c>
    </row>
    <row r="553">
      <c r="A553">
        <f>Skills!A14</f>
        <v/>
      </c>
      <c r="B553">
        <f>Skills!B14</f>
        <v/>
      </c>
      <c r="C553">
        <f>Inputs!$B$3&gt;=72</f>
        <v/>
      </c>
      <c r="D553">
        <f>IF(Skills!C14=1,60+Inputs!$B$25+Inputs!$B$29,IF(Skills!C14=2,90+Inputs!$B$26+Inputs!$B$29,IF(Skills!C14=3,120+Inputs!$B$27+Inputs!$B$29,MAX(0,(Inputs!$B$3-100)*3)+Inputs!$B$28+Inputs!$B$29)))</f>
        <v/>
      </c>
      <c r="E553">
        <f>INDEX(FactorTable!$B$2:$Y$301, MATCH(ROUND(MIN(300,MAX(1,D553)),0), FactorTable!$A$2:$A$301,0), Skills!L14+1)</f>
        <v/>
      </c>
      <c r="F553">
        <f>IF(Skills!M14=TRUE,(Skills!K14/10)*(E553/1000),Skills!K14/10)+Skills!N14</f>
        <v/>
      </c>
      <c r="G553">
        <f>Calc!G14</f>
        <v/>
      </c>
      <c r="H553">
        <f>Calc!H14</f>
        <v/>
      </c>
      <c r="I553">
        <f>IF(Skills!T14&lt;&gt;"",1+(Skills!T14/10)*(Z542/1000)/100,1)</f>
        <v/>
      </c>
      <c r="J553" t="inlineStr"/>
      <c r="K553" t="inlineStr"/>
      <c r="L553" t="inlineStr"/>
      <c r="M553" t="inlineStr"/>
      <c r="N553" t="inlineStr"/>
      <c r="O553">
        <f>(1-Summary!$B$51)*S553+Summary!$B$51*U553</f>
        <v/>
      </c>
      <c r="P553">
        <f>IF(B575=0,0,O553/B575)</f>
        <v/>
      </c>
      <c r="Q553">
        <f>IFERROR(1/IF(Inputs!$B$38="pvp",15,MAX(0.1,Skills!D14-IF(Skills!E14=TRUE,Inputs!$B$32,0))),0)</f>
        <v/>
      </c>
      <c r="R553" t="n">
        <v>0</v>
      </c>
      <c r="S553" t="n">
        <v>0</v>
      </c>
      <c r="U553" t="n">
        <v>0</v>
      </c>
    </row>
    <row r="554">
      <c r="A554">
        <f>Skills!A15</f>
        <v/>
      </c>
      <c r="B554">
        <f>Skills!B15</f>
        <v/>
      </c>
      <c r="C554">
        <f>Inputs!$B$3&gt;=75</f>
        <v/>
      </c>
      <c r="D554">
        <f>IF(Skills!C15=1,60+Inputs!$B$25+Inputs!$B$29,IF(Skills!C15=2,90+Inputs!$B$26+Inputs!$B$29,IF(Skills!C15=3,120+Inputs!$B$27+Inputs!$B$29,MAX(0,(Inputs!$B$3-100)*3)+Inputs!$B$28+Inputs!$B$29)))</f>
        <v/>
      </c>
      <c r="E554">
        <f>INDEX(FactorTable!$B$2:$Y$301, MATCH(ROUND(MIN(300,MAX(1,D554)),0), FactorTable!$A$2:$A$301,0), Skills!L15+1)</f>
        <v/>
      </c>
      <c r="F554">
        <f>IF(Skills!M15=TRUE,(Skills!K15/10)*(E554/1000),Skills!K15/10)+Skills!N15</f>
        <v/>
      </c>
      <c r="G554">
        <f>Calc!G15</f>
        <v/>
      </c>
      <c r="H554">
        <f>Calc!H15</f>
        <v/>
      </c>
      <c r="I554">
        <f>IF(Skills!T15&lt;&gt;"",1+(Skills!T15/10)*(Z542/1000)/100,1)</f>
        <v/>
      </c>
      <c r="J554" t="inlineStr"/>
      <c r="K554" t="inlineStr"/>
      <c r="L554" t="inlineStr"/>
      <c r="M554" t="inlineStr"/>
      <c r="N554" t="inlineStr"/>
      <c r="O554">
        <f>(1-Summary!$B$51)*S554+Summary!$B$51*U554</f>
        <v/>
      </c>
      <c r="P554">
        <f>IF(B575=0,0,O554/B575)</f>
        <v/>
      </c>
      <c r="Q554">
        <f>IFERROR(1/IF(Inputs!$B$38="pvp",15,MAX(0.1,Skills!D15-IF(Skills!E15=TRUE,Inputs!$B$32,0))),0)</f>
        <v/>
      </c>
      <c r="R554" t="n">
        <v>0</v>
      </c>
      <c r="S554" t="n">
        <v>0</v>
      </c>
      <c r="U554" t="n">
        <v>0</v>
      </c>
    </row>
    <row r="555">
      <c r="A555">
        <f>Skills!A16</f>
        <v/>
      </c>
      <c r="B555">
        <f>Skills!B16</f>
        <v/>
      </c>
      <c r="C555">
        <f>Inputs!$B$3&gt;=110</f>
        <v/>
      </c>
      <c r="D555">
        <f>IF(Skills!C16=1,60+Inputs!$B$25+Inputs!$B$29,IF(Skills!C16=2,90+Inputs!$B$26+Inputs!$B$29,IF(Skills!C16=3,120+Inputs!$B$27+Inputs!$B$29,MAX(0,(Inputs!$B$3-100)*3)+Inputs!$B$28+Inputs!$B$29)))</f>
        <v/>
      </c>
      <c r="E555">
        <f>INDEX(FactorTable!$B$2:$Y$301, MATCH(ROUND(MIN(300,MAX(1,D555)),0), FactorTable!$A$2:$A$301,0), Skills!L16+1)</f>
        <v/>
      </c>
      <c r="F555">
        <f>(Skills!K16/10)*(E555/1000)*64/45+Skills!N16</f>
        <v/>
      </c>
      <c r="G555">
        <f>Calc!G16</f>
        <v/>
      </c>
      <c r="H555">
        <f>Calc!H16</f>
        <v/>
      </c>
      <c r="I555">
        <f>IF(Skills!T16&lt;&gt;"",1+(Skills!T16/10)*(Z542/1000)/100,1)</f>
        <v/>
      </c>
      <c r="J555" t="inlineStr"/>
      <c r="K555" t="inlineStr"/>
      <c r="L555" t="inlineStr"/>
      <c r="M555" t="inlineStr"/>
      <c r="N555" t="inlineStr"/>
      <c r="O555">
        <f>(1-Summary!$B$51)*S555+Summary!$B$51*U555</f>
        <v/>
      </c>
      <c r="P555">
        <f>IF(B575=0,0,O555/B575)</f>
        <v/>
      </c>
      <c r="Q555">
        <f>IFERROR(1/IF(Inputs!$B$38="pvp",15,MAX(0.1,Skills!D16-IF(Skills!E16=TRUE,Inputs!$B$32,0))),0)</f>
        <v/>
      </c>
      <c r="R555">
        <f>IF(AND(Inputs!$B$38&lt;&gt;"pvp",Inputs!$B$43&gt;0),IF(Inputs!$B$43&lt;=0,0,(INT(Inputs!$B$43/IF(Inputs!$B$38="pvp",15,MAX(0.1,Skills!D16-IF(Skills!E16=TRUE,Inputs!$B$32,0))))+1)),0)</f>
        <v/>
      </c>
      <c r="S555" t="n">
        <v>0</v>
      </c>
      <c r="U555" t="n">
        <v>0</v>
      </c>
    </row>
    <row r="556">
      <c r="A556">
        <f>Skills!A17</f>
        <v/>
      </c>
      <c r="B556">
        <f>Skills!B17</f>
        <v/>
      </c>
      <c r="C556">
        <f>Inputs!$B$3&gt;=33</f>
        <v/>
      </c>
      <c r="D556">
        <f>IF(Skills!C17=1,60+Inputs!$B$25+Inputs!$B$29,IF(Skills!C17=2,90+Inputs!$B$26+Inputs!$B$29,IF(Skills!C17=3,120+Inputs!$B$27+Inputs!$B$29,MAX(0,(Inputs!$B$3-100)*3)+Inputs!$B$28+Inputs!$B$29)))</f>
        <v/>
      </c>
      <c r="E556">
        <f>INDEX(FactorTable!$B$2:$Y$301, MATCH(ROUND(MIN(300,MAX(1,D556)),0), FactorTable!$A$2:$A$301,0), Skills!L17+1)</f>
        <v/>
      </c>
      <c r="F556">
        <f>IF(Skills!M17=TRUE,(Skills!K17/10)*(E556/1000),Skills!K17/10)+Skills!N17</f>
        <v/>
      </c>
      <c r="G556">
        <f>Calc!G17</f>
        <v/>
      </c>
      <c r="H556">
        <f>Calc!H17</f>
        <v/>
      </c>
      <c r="I556">
        <f>IF(Skills!T17&lt;&gt;"",1+(Skills!T17/10)*(Z542/1000)/100,1)</f>
        <v/>
      </c>
      <c r="J556" t="inlineStr"/>
      <c r="K556" t="inlineStr"/>
      <c r="L556" t="inlineStr"/>
      <c r="M556" t="inlineStr"/>
      <c r="N556" t="inlineStr"/>
      <c r="O556">
        <f>(1-Summary!$B$51)*S556+Summary!$B$51*U556</f>
        <v/>
      </c>
      <c r="P556">
        <f>IF(B575=0,0,O556/B575)</f>
        <v/>
      </c>
      <c r="Q556">
        <f>IFERROR(1/IF(Inputs!$B$38="pvp",15,MAX(0.1,Skills!D17-IF(Skills!E17=TRUE,Inputs!$B$32,0))),0)</f>
        <v/>
      </c>
      <c r="R556" t="n">
        <v>0</v>
      </c>
      <c r="S556" t="n">
        <v>0</v>
      </c>
      <c r="U556" t="n">
        <v>0</v>
      </c>
    </row>
    <row r="557">
      <c r="A557">
        <f>Skills!A18</f>
        <v/>
      </c>
      <c r="B557">
        <f>Skills!B18</f>
        <v/>
      </c>
      <c r="C557">
        <f>Inputs!$B$3&gt;=43</f>
        <v/>
      </c>
      <c r="D557">
        <f>IF(Skills!C18=1,60+Inputs!$B$25+Inputs!$B$29,IF(Skills!C18=2,90+Inputs!$B$26+Inputs!$B$29,IF(Skills!C18=3,120+Inputs!$B$27+Inputs!$B$29,MAX(0,(Inputs!$B$3-100)*3)+Inputs!$B$28+Inputs!$B$29)))</f>
        <v/>
      </c>
      <c r="E557">
        <f>INDEX(FactorTable!$B$2:$Y$301, MATCH(ROUND(MIN(300,MAX(1,D557)),0), FactorTable!$A$2:$A$301,0), Skills!L18+1)</f>
        <v/>
      </c>
      <c r="F557">
        <f>IF(Skills!M18=TRUE,(Skills!K18/10)*(E557/1000),Skills!K18/10)+Skills!N18</f>
        <v/>
      </c>
      <c r="G557">
        <f>Calc!G18</f>
        <v/>
      </c>
      <c r="H557">
        <f>Calc!H18</f>
        <v/>
      </c>
      <c r="I557">
        <f>IF(Skills!T18&lt;&gt;"",1+(Skills!T18/10)*(Z542/1000)/100,1)</f>
        <v/>
      </c>
      <c r="J557" t="inlineStr"/>
      <c r="K557" t="inlineStr"/>
      <c r="L557" t="inlineStr"/>
      <c r="M557" t="inlineStr"/>
      <c r="N557" t="inlineStr"/>
      <c r="O557">
        <f>(1-Summary!$B$51)*S557+Summary!$B$51*U557</f>
        <v/>
      </c>
      <c r="P557">
        <f>IF(B575=0,0,O557/B575)</f>
        <v/>
      </c>
      <c r="Q557">
        <f>IFERROR(1/IF(Inputs!$B$38="pvp",15,MAX(0.1,Skills!D18-IF(Skills!E18=TRUE,Inputs!$B$32,0))),0)</f>
        <v/>
      </c>
      <c r="R557" t="n">
        <v>0</v>
      </c>
      <c r="S557" t="n">
        <v>0</v>
      </c>
      <c r="U557" t="n">
        <v>0</v>
      </c>
    </row>
    <row r="558">
      <c r="A558">
        <f>Skills!A19</f>
        <v/>
      </c>
      <c r="B558">
        <f>Skills!B19</f>
        <v/>
      </c>
      <c r="C558">
        <f>Inputs!$B$3&gt;=50</f>
        <v/>
      </c>
      <c r="D558">
        <f>IF(Skills!C19=1,60+Inputs!$B$25+Inputs!$B$29,IF(Skills!C19=2,90+Inputs!$B$26+Inputs!$B$29,IF(Skills!C19=3,120+Inputs!$B$27+Inputs!$B$29,MAX(0,(Inputs!$B$3-100)*3)+Inputs!$B$28+Inputs!$B$29)))</f>
        <v/>
      </c>
      <c r="E558">
        <f>INDEX(FactorTable!$B$2:$Y$301, MATCH(ROUND(MIN(300,MAX(1,D558)),0), FactorTable!$A$2:$A$301,0), Skills!L19+1)</f>
        <v/>
      </c>
      <c r="F558">
        <f>IF(Skills!M19=TRUE,(Skills!K19/10)*(E558/1000),Skills!K19/10)+Skills!N19</f>
        <v/>
      </c>
      <c r="G558">
        <f>Calc!G19</f>
        <v/>
      </c>
      <c r="H558">
        <f>Calc!H19</f>
        <v/>
      </c>
      <c r="I558">
        <f>IF(Skills!T19&lt;&gt;"",1+(Skills!T19/10)*(Z542/1000)/100,1)</f>
        <v/>
      </c>
      <c r="J558" t="inlineStr"/>
      <c r="K558" t="inlineStr"/>
      <c r="L558" t="inlineStr"/>
      <c r="M558" t="inlineStr"/>
      <c r="N558" t="inlineStr"/>
      <c r="O558">
        <f>(1-Summary!$B$51)*S558+Summary!$B$51*U558</f>
        <v/>
      </c>
      <c r="P558">
        <f>IF(B575=0,0,O558/B575)</f>
        <v/>
      </c>
      <c r="Q558">
        <f>IFERROR(1/IF(Inputs!$B$38="pvp",15,MAX(0.1,Skills!D19-IF(Skills!E19=TRUE,Inputs!$B$32,0))),0)</f>
        <v/>
      </c>
      <c r="R558" t="n">
        <v>0</v>
      </c>
      <c r="S558" t="n">
        <v>0</v>
      </c>
      <c r="U558" t="n">
        <v>0</v>
      </c>
    </row>
    <row r="559">
      <c r="A559">
        <f>Skills!A20</f>
        <v/>
      </c>
      <c r="B559">
        <f>Skills!B20</f>
        <v/>
      </c>
      <c r="C559">
        <f>Inputs!$B$3&gt;=74</f>
        <v/>
      </c>
      <c r="D559">
        <f>IF(Skills!C20=1,60+Inputs!$B$25+Inputs!$B$29,IF(Skills!C20=2,90+Inputs!$B$26+Inputs!$B$29,IF(Skills!C20=3,120+Inputs!$B$27+Inputs!$B$29,MAX(0,(Inputs!$B$3-100)*3)+Inputs!$B$28+Inputs!$B$29)))</f>
        <v/>
      </c>
      <c r="E559">
        <f>INDEX(FactorTable!$B$2:$Y$301, MATCH(ROUND(MIN(300,MAX(1,D559)),0), FactorTable!$A$2:$A$301,0), Skills!L20+1)</f>
        <v/>
      </c>
      <c r="F559">
        <f>IF(Skills!M20=TRUE,(Skills!K20/10)*(E559/1000),Skills!K20/10)+Skills!N20</f>
        <v/>
      </c>
      <c r="G559">
        <f>Calc!G20</f>
        <v/>
      </c>
      <c r="H559">
        <f>Calc!H20</f>
        <v/>
      </c>
      <c r="I559">
        <f>IF(Skills!T20&lt;&gt;"",1+(Skills!T20/10)*(Z542/1000)/100,1)</f>
        <v/>
      </c>
      <c r="J559" t="inlineStr"/>
      <c r="K559" t="inlineStr"/>
      <c r="L559" t="inlineStr"/>
      <c r="M559" t="inlineStr"/>
      <c r="N559" t="inlineStr"/>
      <c r="O559">
        <f>(1-Summary!$B$51)*S559+Summary!$B$51*U559</f>
        <v/>
      </c>
      <c r="P559">
        <f>IF(B575=0,0,O559/B575)</f>
        <v/>
      </c>
      <c r="Q559">
        <f>IFERROR(1/IF(Inputs!$B$38="pvp",15,MAX(0.1,Skills!D20-IF(Skills!E20=TRUE,Inputs!$B$32,0))),0)</f>
        <v/>
      </c>
      <c r="R559" t="n">
        <v>0</v>
      </c>
      <c r="S559" t="n">
        <v>0</v>
      </c>
      <c r="U559" t="n">
        <v>0</v>
      </c>
    </row>
    <row r="560">
      <c r="A560">
        <f>Skills!A21</f>
        <v/>
      </c>
      <c r="B560">
        <f>Skills!B21</f>
        <v/>
      </c>
      <c r="C560">
        <f>Inputs!$B$3&gt;=74</f>
        <v/>
      </c>
      <c r="D560">
        <f>IF(Skills!C21=1,60+Inputs!$B$25+Inputs!$B$29,IF(Skills!C21=2,90+Inputs!$B$26+Inputs!$B$29,IF(Skills!C21=3,120+Inputs!$B$27+Inputs!$B$29,MAX(0,(Inputs!$B$3-100)*3)+Inputs!$B$28+Inputs!$B$29)))</f>
        <v/>
      </c>
      <c r="E560">
        <f>INDEX(FactorTable!$B$2:$Y$301, MATCH(ROUND(MIN(300,MAX(1,D560)),0), FactorTable!$A$2:$A$301,0), Skills!L21+1)</f>
        <v/>
      </c>
      <c r="F560">
        <f>IF(Skills!M21=TRUE,(Skills!K21/10)*(E560/1000),Skills!K21/10)+Skills!N21</f>
        <v/>
      </c>
      <c r="G560">
        <f>Calc!G21</f>
        <v/>
      </c>
      <c r="H560">
        <f>Calc!H21</f>
        <v/>
      </c>
      <c r="I560">
        <f>IF(Skills!T21&lt;&gt;"",1+(Skills!T21/10)*(Z542/1000)/100,1)</f>
        <v/>
      </c>
      <c r="J560" t="inlineStr"/>
      <c r="K560" t="inlineStr"/>
      <c r="L560" t="inlineStr"/>
      <c r="M560" t="inlineStr"/>
      <c r="N560" t="inlineStr"/>
      <c r="O560">
        <f>(1-Summary!$B$51)*S560+Summary!$B$51*U560</f>
        <v/>
      </c>
      <c r="P560">
        <f>IF(B575=0,0,O560/B575)</f>
        <v/>
      </c>
      <c r="Q560">
        <f>IFERROR(1/IF(Inputs!$B$38="pvp",15,MAX(0.1,Skills!D21-IF(Skills!E21=TRUE,Inputs!$B$32,0))),0)</f>
        <v/>
      </c>
      <c r="R560" t="n">
        <v>0</v>
      </c>
      <c r="S560" t="n">
        <v>0</v>
      </c>
      <c r="U560" t="n">
        <v>0</v>
      </c>
    </row>
    <row r="561">
      <c r="A561">
        <f>Skills!A22</f>
        <v/>
      </c>
      <c r="B561">
        <f>Skills!B22</f>
        <v/>
      </c>
      <c r="C561">
        <f>Inputs!$B$3&gt;=117</f>
        <v/>
      </c>
      <c r="D561">
        <f>IF(Skills!C22=1,60+Inputs!$B$25+Inputs!$B$29,IF(Skills!C22=2,90+Inputs!$B$26+Inputs!$B$29,IF(Skills!C22=3,120+Inputs!$B$27+Inputs!$B$29,MAX(0,(Inputs!$B$3-100)*3)+Inputs!$B$28+Inputs!$B$29)))</f>
        <v/>
      </c>
      <c r="E561">
        <f>INDEX(FactorTable!$B$2:$Y$301, MATCH(ROUND(MIN(300,MAX(1,D561)),0), FactorTable!$A$2:$A$301,0), Skills!L22+1)</f>
        <v/>
      </c>
      <c r="F561">
        <f>IF(Skills!M22=TRUE,(Skills!K22/10)*(E561/1000),Skills!K22/10)+Skills!N22</f>
        <v/>
      </c>
      <c r="G561">
        <f>Calc!G22</f>
        <v/>
      </c>
      <c r="H561">
        <f>Calc!H22</f>
        <v/>
      </c>
      <c r="I561">
        <f>IF(Skills!T22&lt;&gt;"",1+(Skills!T22/10)*(Z542/1000)/100,1)</f>
        <v/>
      </c>
      <c r="J561" t="inlineStr"/>
      <c r="K561" t="inlineStr"/>
      <c r="L561" t="inlineStr"/>
      <c r="M561" t="inlineStr"/>
      <c r="N561" t="inlineStr"/>
      <c r="O561">
        <f>(1-Summary!$B$51)*S561+Summary!$B$51*U561</f>
        <v/>
      </c>
      <c r="P561">
        <f>IF(B575=0,0,O561/B575)</f>
        <v/>
      </c>
      <c r="Q561">
        <f>IFERROR(1/IF(Inputs!$B$38="pvp",15,MAX(0.1,Skills!D22-IF(Skills!E22=TRUE,Inputs!$B$32,0))),0)</f>
        <v/>
      </c>
      <c r="R561" t="n">
        <v>0</v>
      </c>
      <c r="S561" t="n">
        <v>0</v>
      </c>
      <c r="U561" t="n">
        <v>0</v>
      </c>
    </row>
    <row r="562">
      <c r="A562">
        <f>Skills!A23</f>
        <v/>
      </c>
      <c r="B562">
        <f>Skills!B23</f>
        <v/>
      </c>
      <c r="C562">
        <f>Inputs!$B$3&gt;=120</f>
        <v/>
      </c>
      <c r="D562">
        <f>IF(Skills!C23=1,60+Inputs!$B$25+Inputs!$B$29,IF(Skills!C23=2,90+Inputs!$B$26+Inputs!$B$29,IF(Skills!C23=3,120+Inputs!$B$27+Inputs!$B$29,MAX(0,(Inputs!$B$3-100)*3)+Inputs!$B$28+Inputs!$B$29)))</f>
        <v/>
      </c>
      <c r="E562">
        <f>INDEX(FactorTable!$B$2:$Y$301, MATCH(ROUND(MIN(300,MAX(1,D562)),0), FactorTable!$A$2:$A$301,0), Skills!L23+1)</f>
        <v/>
      </c>
      <c r="F562">
        <f>IF(Skills!M23=TRUE,(Skills!K23/10)*(E562/1000),Skills!K23/10)+Skills!N23</f>
        <v/>
      </c>
      <c r="G562">
        <f>Calc!G23</f>
        <v/>
      </c>
      <c r="H562">
        <f>Calc!H23</f>
        <v/>
      </c>
      <c r="I562">
        <f>IF(Skills!T23&lt;&gt;"",1+(Skills!T23/10)*(Z542/1000)/100,1)</f>
        <v/>
      </c>
      <c r="J562" t="inlineStr"/>
      <c r="K562" t="inlineStr"/>
      <c r="L562" t="inlineStr"/>
      <c r="M562" t="inlineStr"/>
      <c r="N562" t="inlineStr"/>
      <c r="O562">
        <f>(1-Summary!$B$51)*S562+Summary!$B$51*U562</f>
        <v/>
      </c>
      <c r="P562">
        <f>IF(B575=0,0,O562/B575)</f>
        <v/>
      </c>
      <c r="Q562">
        <f>IFERROR(1/IF(Inputs!$B$38="pvp",15,MAX(0.1,Skills!D23-IF(Skills!E23=TRUE,Inputs!$B$32,0))),0)</f>
        <v/>
      </c>
      <c r="R562" t="n">
        <v>0</v>
      </c>
      <c r="S562" t="n">
        <v>0</v>
      </c>
      <c r="U562" t="n">
        <v>0</v>
      </c>
    </row>
    <row r="565">
      <c r="A565" t="inlineStr">
        <is>
          <t>Average Buff Multiplier (Magic Guard + Meditation, summed; then Infinity)</t>
        </is>
      </c>
      <c r="B565">
        <f>(1+(IF(C542=TRUE,F542*IF(AND(Inputs!$B$38&lt;&gt;"pvp",Inputs!$B$43&gt;0),(((R542-1)*(Skills!S3*(1+(Inputs!$B$34+IF(Inputs!$B$3&gt;=117,F561,0))/100))+MIN((Skills!S3*(1+(Inputs!$B$34+IF(Inputs!$B$3&gt;=117,F561,0))/100)),MAX(0,Inputs!$B$43-((R542-1)*Skills!D3))))/Inputs!$B$43),IF(Inputs!$B$38="pvp",MIN((Skills!S3*(1+(Inputs!$B$34+IF(Inputs!$B$3&gt;=117,F561,0))/100)),15)/15,(Skills!S3*(1+(Inputs!$B$34+IF(Inputs!$B$3&gt;=117,F561,0))/100))/Skills!D3)),0)+IF(C543=TRUE,F543*IF(AND(Inputs!$B$38&lt;&gt;"pvp",Inputs!$B$43&gt;0),(((R543-1)*(Skills!S4*(1+(Inputs!$B$34+IF(Inputs!$B$3&gt;=117,F561,0))/100))+MIN((Skills!S4*(1+(Inputs!$B$34+IF(Inputs!$B$3&gt;=117,F561,0))/100)),MAX(0,Inputs!$B$43-((R543-1)*Skills!D4))))/Inputs!$B$43),IF(Inputs!$B$38="pvp",MIN((Skills!S4*(1+(Inputs!$B$34+IF(Inputs!$B$3&gt;=117,F561,0))/100)),15)/15,(Skills!S4*(1+(Inputs!$B$34+IF(Inputs!$B$3&gt;=117,F561,0))/100))/Skills!D4)),0))/100)*IF(C555=TRUE,(1+F555*IF(AND(Inputs!$B$38&lt;&gt;"pvp",Inputs!$B$43&gt;0),(((R555-1)*(Skills!S16*(1+(Inputs!$B$34+IF(Inputs!$B$3&gt;=117,F561,0))/100))+MIN((Skills!S16*(1+(Inputs!$B$34+IF(Inputs!$B$3&gt;=117,F561,0))/100)),MAX(0,Inputs!$B$43-((R555-1)*Skills!D16))))/Inputs!$B$43),IF(Inputs!$B$38="pvp",MIN((Skills!S16*(1+(Inputs!$B$34+IF(Inputs!$B$3&gt;=117,F561,0))/100)),15)/15,(Skills!S16*(1+(Inputs!$B$34+IF(Inputs!$B$3&gt;=117,F561,0))/100))/Skills!D16))/100),1)</f>
        <v/>
      </c>
    </row>
    <row r="566">
      <c r="A566" t="inlineStr">
        <is>
          <t>Monster Damage Taken Bonus % (Freezing Breath - Weaken + Elemental Reset, summed)</t>
        </is>
      </c>
      <c r="B566">
        <f>IF(Inputs!$B$3&gt;=118,15*IF(Inputs!$B$38="pvp",MIN((30*(1+(Inputs!$B$34+IF(Inputs!$B$3&gt;=117,F561,0))/100)),15)/15,(30*(1+(Inputs!$B$34+IF(Inputs!$B$3&gt;=117,F561,0))/100))/Skills!D8),0)+IF(C553=TRUE,F553,0)</f>
        <v/>
      </c>
    </row>
    <row r="567">
      <c r="A567" t="inlineStr">
        <is>
          <t>Damage % Bonus (Frozen Break + Frost Clutch, flat)</t>
        </is>
      </c>
      <c r="B567">
        <f>IF(Inputs!$B$3&gt;=66,15,0)+IF(Inputs!$B$3&gt;=98,10,0)+IF(Inputs!$B$3&gt;=125,20,0)</f>
        <v/>
      </c>
    </row>
    <row r="568">
      <c r="A568" t="inlineStr">
        <is>
          <t>Attack Speed Bonus % (MP Eater - MP Boost, always-on once unlocked)</t>
        </is>
      </c>
      <c r="B568">
        <f>IF(C552=TRUE,F552+(F556-Calc!F17),0)</f>
        <v/>
      </c>
    </row>
    <row r="569">
      <c r="A569" t="inlineStr">
        <is>
          <t>Actions Per Second</t>
        </is>
      </c>
      <c r="B569">
        <f>1+MIN(150,150*(1-(1-Inputs!$B$11/150)*(1-B568/150)))/100</f>
        <v/>
      </c>
    </row>
    <row r="570">
      <c r="A570" t="inlineStr">
        <is>
          <t>Skill + Buff Cast Rate</t>
        </is>
      </c>
      <c r="B570">
        <f>IF(AND(Inputs!$B$38&lt;&gt;"pvp",Inputs!$B$43&gt;0),SUMPRODUCT((Skills!E2:E23=TRUE)*(C541:C562=TRUE)*R541:R562)/Inputs!$B$43,SUMPRODUCT((Skills!E2:E23=TRUE)*(C541:C562=TRUE)*Q541:Q562))</f>
        <v/>
      </c>
    </row>
    <row r="571">
      <c r="A571" t="inlineStr">
        <is>
          <t>Chain Lightning Casts Per Second</t>
        </is>
      </c>
      <c r="B571">
        <f>MAX(0,B569-B570)</f>
        <v/>
      </c>
    </row>
    <row r="572">
      <c r="A572" t="inlineStr">
        <is>
          <t>Buff-Casting Startup Delay (s, fixed-duration only)</t>
        </is>
      </c>
      <c r="B572">
        <f>IF(AND(Inputs!$B$38&lt;&gt;"pvp",Inputs!$B$43&gt;0),SUMPRODUCT((Skills!S2:S23&gt;0)*(Skills!E2:E23=TRUE)*(C541:C562=TRUE))/B569,0)</f>
        <v/>
      </c>
    </row>
    <row r="573">
      <c r="A573" t="inlineStr">
        <is>
          <t>Boss-Only Total DPS (this block's swept value)</t>
        </is>
      </c>
      <c r="B573">
        <f>SUM(S541:S562)</f>
        <v/>
      </c>
    </row>
    <row r="574">
      <c r="A574" t="inlineStr">
        <is>
          <t>Normal-Only Total DPS (this block's swept value)</t>
        </is>
      </c>
      <c r="B574">
        <f>SUM(U541:U562)</f>
        <v/>
      </c>
    </row>
    <row r="575">
      <c r="A575" s="5" t="inlineStr">
        <is>
          <t>TOTAL DPS</t>
        </is>
      </c>
      <c r="B575" s="5">
        <f>SUM(O541:O562)</f>
        <v/>
      </c>
    </row>
    <row r="578">
      <c r="A578" s="5" t="inlineStr">
        <is>
          <t>Stat: SKILL_DAMAGE %</t>
        </is>
      </c>
    </row>
    <row r="579">
      <c r="A579" s="9" t="inlineStr">
        <is>
          <t>Key</t>
        </is>
      </c>
      <c r="B579" s="9" t="inlineStr">
        <is>
          <t>Name</t>
        </is>
      </c>
      <c r="C579" s="9" t="inlineStr">
        <is>
          <t>Unlocked</t>
        </is>
      </c>
      <c r="D579" s="9" t="inlineStr">
        <is>
          <t>InputLevel</t>
        </is>
      </c>
      <c r="E579" s="9" t="inlineStr">
        <is>
          <t>Factor</t>
        </is>
      </c>
      <c r="F579" s="9" t="inlineStr">
        <is>
          <t>CoefficientPercent</t>
        </is>
      </c>
      <c r="G579" s="9" t="inlineStr">
        <is>
          <t>EffectiveHits</t>
        </is>
      </c>
      <c r="H579" s="9" t="inlineStr">
        <is>
          <t>ProcProbability</t>
        </is>
      </c>
      <c r="I579" s="9" t="inlineStr">
        <is>
          <t>MapleHeroMultiplier</t>
        </is>
      </c>
      <c r="J579" s="9" t="inlineStr">
        <is>
          <t>BaseDamage</t>
        </is>
      </c>
      <c r="K579" s="9" t="inlineStr">
        <is>
          <t>BaseHitDamage</t>
        </is>
      </c>
      <c r="L579" s="9" t="inlineStr">
        <is>
          <t>NonCritAvg</t>
        </is>
      </c>
      <c r="M579" s="9" t="inlineStr">
        <is>
          <t>CritAvg</t>
        </is>
      </c>
      <c r="N579" s="9" t="inlineStr">
        <is>
          <t>ExpectedDamage(perHit)</t>
        </is>
      </c>
      <c r="O579" s="9" t="inlineStr">
        <is>
          <t>DPS</t>
        </is>
      </c>
      <c r="P579" s="9" t="inlineStr">
        <is>
          <t>% of Total</t>
        </is>
      </c>
      <c r="R579" t="inlineStr">
        <is>
          <t>helpers</t>
        </is>
      </c>
    </row>
    <row r="580">
      <c r="A580">
        <f>Skills!A2</f>
        <v/>
      </c>
      <c r="B580">
        <f>Skills!B2</f>
        <v/>
      </c>
      <c r="C580">
        <f>Inputs!$B$3&gt;=100</f>
        <v/>
      </c>
      <c r="D580" t="inlineStr"/>
      <c r="E580" t="inlineStr"/>
      <c r="F580">
        <f>T582+Skills!N2</f>
        <v/>
      </c>
      <c r="G580">
        <f>Calc!G2</f>
        <v/>
      </c>
      <c r="H580">
        <f>Calc!H2</f>
        <v/>
      </c>
      <c r="I580">
        <f>IF(Skills!T2&lt;&gt;"",1+(Skills!T2/10)*(Z581/1000)/100,1)</f>
        <v/>
      </c>
      <c r="J580">
        <f>((Inputs!$B$6*(1+Inputs!$B$7/100))+(((Inputs!$B$12*(1+Inputs!$B$13/100))-(Inputs!$B$12*(1+Inputs!$B$13/100)))+0.25*(Inputs!$B$14-Inputs!$B$14))*(1+Inputs!$B$7/100))*(F580/100)</f>
        <v/>
      </c>
      <c r="K580">
        <f>J580*(1+((Inputs!$B$12*(1+Inputs!$B$13/100))*0.01+Inputs!$B$14*0.0025)/100)*(1+(Inputs!$B$15+B606)/100)*(1+Inputs!$B$16/100)*(5000/(6000+Inputs!$B$42*(1-Inputs!$B$19/100)))*(1+Inputs!$B$24/100)*(1+IF(C593=TRUE,F593,0)/100)*(1+IF(C601=TRUE,F601,0)/100)^5*(1+(IF(Skills!A2="CHAIN_LIGHTNING",Inputs!$B$17,(Inputs!$B$18+1)))/100)*(B604*I580)</f>
        <v/>
      </c>
      <c r="L580">
        <f>K580*(MIN(Inputs!$B$22+(F596-Calc!F18),Inputs!$B$23)/100+Inputs!$B$23/100)/2</f>
        <v/>
      </c>
      <c r="M580">
        <f>L580*(1+(Inputs!$B$10+(F599-Calc!F21))/100)</f>
        <v/>
      </c>
      <c r="N580">
        <f>L580*(1-MIN(Inputs!$B$9+((F598-Calc!F20)+(F597-Calc!F19)),100)/100)+M580*(MIN(Inputs!$B$9+((F598-Calc!F20)+(F597-Calc!F19)),100)/100)</f>
        <v/>
      </c>
      <c r="O580">
        <f>(1-Summary!$B$51)*S580+Summary!$B$51*U580</f>
        <v/>
      </c>
      <c r="P580">
        <f>IF(B614=0,0,O580/B614)</f>
        <v/>
      </c>
      <c r="Q580">
        <f>IFERROR(1/IF(Inputs!$B$38="pvp",15,MAX(0.1,Skills!D2-IF(Skills!E2=TRUE,Inputs!$B$32,0))),0)</f>
        <v/>
      </c>
      <c r="R580" t="n">
        <v>0</v>
      </c>
      <c r="S580">
        <f>IF(C580,(Skills!F2*N580*B610)*IF(Inputs!$B$38="pvp",1,1+(Inputs!$B$20+Skills!O2+B605)/100),0)</f>
        <v/>
      </c>
      <c r="T580">
        <f>MAX(0,(Inputs!$B$3-100)*3)+Inputs!$B$28+Inputs!$B$29</f>
        <v/>
      </c>
      <c r="U580">
        <f>IF(C580,(Skills!F2*N580*B610)*IF(Inputs!$B$38="pvp",1,(1+(Inputs!$B$21+Skills!P2+B605)/100)*(MIN((6+Inputs!$B$33),Inputs!$B$37))),0)</f>
        <v/>
      </c>
      <c r="Z580">
        <f>MAX(0,(Inputs!$B$3-100)*3)+Inputs!$B$28+Inputs!$B$29</f>
        <v/>
      </c>
    </row>
    <row r="581">
      <c r="A581">
        <f>Skills!A3</f>
        <v/>
      </c>
      <c r="B581">
        <f>Skills!B3</f>
        <v/>
      </c>
      <c r="C581">
        <f>Inputs!$B$3&gt;=15</f>
        <v/>
      </c>
      <c r="D581">
        <f>IF(Skills!C3=1,60+Inputs!$B$25+Inputs!$B$29,IF(Skills!C3=2,90+Inputs!$B$26+Inputs!$B$29,IF(Skills!C3=3,120+Inputs!$B$27+Inputs!$B$29,MAX(0,(Inputs!$B$3-100)*3)+Inputs!$B$28+Inputs!$B$29)))</f>
        <v/>
      </c>
      <c r="E581">
        <f>INDEX(FactorTable!$B$2:$Y$301, MATCH(ROUND(MIN(300,MAX(1,D581)),0), FactorTable!$A$2:$A$301,0), Skills!L3+1)</f>
        <v/>
      </c>
      <c r="F581">
        <f>IF(Skills!M3=TRUE,(Skills!K3/10)*(E581/1000),Skills!K3/10)+Skills!N3</f>
        <v/>
      </c>
      <c r="G581">
        <f>Calc!G3</f>
        <v/>
      </c>
      <c r="H581">
        <f>Calc!H3</f>
        <v/>
      </c>
      <c r="I581">
        <f>IF(Skills!T3&lt;&gt;"",1+(Skills!T3/10)*(Z581/1000)/100,1)</f>
        <v/>
      </c>
      <c r="J581" t="inlineStr"/>
      <c r="K581" t="inlineStr"/>
      <c r="L581" t="inlineStr"/>
      <c r="M581" t="inlineStr"/>
      <c r="N581" t="inlineStr"/>
      <c r="O581">
        <f>(1-Summary!$B$51)*S581+Summary!$B$51*U581</f>
        <v/>
      </c>
      <c r="P581">
        <f>IF(B614=0,0,O581/B614)</f>
        <v/>
      </c>
      <c r="Q581">
        <f>IFERROR(1/IF(Inputs!$B$38="pvp",15,MAX(0.1,Skills!D3-IF(Skills!E3=TRUE,Inputs!$B$32,0))),0)</f>
        <v/>
      </c>
      <c r="R581">
        <f>IF(AND(Inputs!$B$38&lt;&gt;"pvp",Inputs!$B$43&gt;0),IF(Inputs!$B$43&lt;=0,0,(INT(Inputs!$B$43/IF(Inputs!$B$38="pvp",15,MAX(0.1,Skills!D3-IF(Skills!E3=TRUE,Inputs!$B$32,0))))+1)),0)</f>
        <v/>
      </c>
      <c r="S581" t="n">
        <v>0</v>
      </c>
      <c r="T581">
        <f>INDEX(FactorTable!$B$2:$Y$301, MATCH(ROUND(MIN(300,MAX(1,T580)),0), FactorTable!$A$2:$A$301,0), 22)</f>
        <v/>
      </c>
      <c r="U581" t="n">
        <v>0</v>
      </c>
      <c r="Z581">
        <f>INDEX(FactorTable!$B$2:$Y$301, MATCH(ROUND(MIN(300,MAX(1,Z580)),0), FactorTable!$A$2:$A$301,0), 24)</f>
        <v/>
      </c>
    </row>
    <row r="582">
      <c r="A582">
        <f>Skills!A4</f>
        <v/>
      </c>
      <c r="B582">
        <f>Skills!B4</f>
        <v/>
      </c>
      <c r="C582">
        <f>Inputs!$B$3&gt;=40</f>
        <v/>
      </c>
      <c r="D582">
        <f>IF(Skills!C4=1,60+Inputs!$B$25+Inputs!$B$29,IF(Skills!C4=2,90+Inputs!$B$26+Inputs!$B$29,IF(Skills!C4=3,120+Inputs!$B$27+Inputs!$B$29,MAX(0,(Inputs!$B$3-100)*3)+Inputs!$B$28+Inputs!$B$29)))</f>
        <v/>
      </c>
      <c r="E582">
        <f>INDEX(FactorTable!$B$2:$Y$301, MATCH(ROUND(MIN(300,MAX(1,D582)),0), FactorTable!$A$2:$A$301,0), Skills!L4+1)</f>
        <v/>
      </c>
      <c r="F582">
        <f>IF(Skills!M4=TRUE,(Skills!K4/10)*(E582/1000),Skills!K4/10)+Skills!N4</f>
        <v/>
      </c>
      <c r="G582">
        <f>Calc!G4</f>
        <v/>
      </c>
      <c r="H582">
        <f>Calc!H4</f>
        <v/>
      </c>
      <c r="I582">
        <f>IF(Skills!T4&lt;&gt;"",1+(Skills!T4/10)*(Z581/1000)/100,1)</f>
        <v/>
      </c>
      <c r="J582" t="inlineStr"/>
      <c r="K582" t="inlineStr"/>
      <c r="L582" t="inlineStr"/>
      <c r="M582" t="inlineStr"/>
      <c r="N582" t="inlineStr"/>
      <c r="O582">
        <f>(1-Summary!$B$51)*S582+Summary!$B$51*U582</f>
        <v/>
      </c>
      <c r="P582">
        <f>IF(B614=0,0,O582/B614)</f>
        <v/>
      </c>
      <c r="Q582">
        <f>IFERROR(1/IF(Inputs!$B$38="pvp",15,MAX(0.1,Skills!D4-IF(Skills!E4=TRUE,Inputs!$B$32,0))),0)</f>
        <v/>
      </c>
      <c r="R582">
        <f>IF(AND(Inputs!$B$38&lt;&gt;"pvp",Inputs!$B$43&gt;0),IF(Inputs!$B$43&lt;=0,0,(INT(Inputs!$B$43/IF(Inputs!$B$38="pvp",15,MAX(0.1,Skills!D4-IF(Skills!E4=TRUE,Inputs!$B$32,0))))+1)),0)</f>
        <v/>
      </c>
      <c r="S582" t="n">
        <v>0</v>
      </c>
      <c r="T582">
        <f>290*T581/1000</f>
        <v/>
      </c>
      <c r="U582" t="n">
        <v>0</v>
      </c>
    </row>
    <row r="583">
      <c r="A583">
        <f>Skills!A5</f>
        <v/>
      </c>
      <c r="B583">
        <f>Skills!B5</f>
        <v/>
      </c>
      <c r="C583">
        <f>Inputs!$B$3&gt;=38</f>
        <v/>
      </c>
      <c r="D583">
        <f>IF(Skills!C5=1,60+Inputs!$B$25+Inputs!$B$29,IF(Skills!C5=2,90+Inputs!$B$26+Inputs!$B$29,IF(Skills!C5=3,120+Inputs!$B$27+Inputs!$B$29,MAX(0,(Inputs!$B$3-100)*3)+Inputs!$B$28+Inputs!$B$29)))</f>
        <v/>
      </c>
      <c r="E583">
        <f>INDEX(FactorTable!$B$2:$Y$301, MATCH(ROUND(MIN(300,MAX(1,D583)),0), FactorTable!$A$2:$A$301,0), Skills!L5+1)</f>
        <v/>
      </c>
      <c r="F583">
        <f>IF(Skills!M5=TRUE,(Skills!K5/10)*(E583/1000),Skills!K5/10)+Skills!N5</f>
        <v/>
      </c>
      <c r="G583">
        <f>Calc!G5</f>
        <v/>
      </c>
      <c r="H583">
        <f>Calc!H5</f>
        <v/>
      </c>
      <c r="I583">
        <f>IF(Skills!T5&lt;&gt;"",1+(Skills!T5/10)*(Z581/1000)/100,1)</f>
        <v/>
      </c>
      <c r="J583">
        <f>((Inputs!$B$6*(1+Inputs!$B$7/100))+(((Inputs!$B$12*(1+Inputs!$B$13/100))-(Inputs!$B$12*(1+Inputs!$B$13/100)))+0.25*(Inputs!$B$14-Inputs!$B$14))*(1+Inputs!$B$7/100))*(F583/100)</f>
        <v/>
      </c>
      <c r="K583">
        <f>J583*(1+((Inputs!$B$12*(1+Inputs!$B$13/100))*0.01+Inputs!$B$14*0.0025)/100)*(1+(Inputs!$B$15+B606)/100)*(1+Inputs!$B$16/100)*(5000/(6000+Inputs!$B$42*(1-Inputs!$B$19/100)))*(1+Inputs!$B$24/100)*(1+IF(C593=TRUE,F593,0)/100)*(1+IF(C601=TRUE,F601,0)/100)^5*(1+(IF(Skills!A5="CHAIN_LIGHTNING",Inputs!$B$17,(Inputs!$B$18+1)))/100)*(B604*I583)</f>
        <v/>
      </c>
      <c r="L583">
        <f>K583*(MIN(Inputs!$B$22+(F596-Calc!F18),Inputs!$B$23)/100+Inputs!$B$23/100)/2</f>
        <v/>
      </c>
      <c r="M583">
        <f>L583*(1+(Inputs!$B$10+(F599-Calc!F21))/100)</f>
        <v/>
      </c>
      <c r="N583">
        <f>L583*(1-MIN(Inputs!$B$9+((F598-Calc!F20)+(F597-Calc!F19)),100)/100)+M583*(MIN(Inputs!$B$9+((F598-Calc!F20)+(F597-Calc!F19)),100)/100)</f>
        <v/>
      </c>
      <c r="O583">
        <f>(1-Summary!$B$51)*S583+Summary!$B$51*U583</f>
        <v/>
      </c>
      <c r="P583">
        <f>IF(B614=0,0,O583/B614)</f>
        <v/>
      </c>
      <c r="Q583">
        <f>IFERROR(1/IF(Inputs!$B$38="pvp",15,MAX(0.1,Skills!D5-IF(Skills!E5=TRUE,Inputs!$B$32,0))),0)</f>
        <v/>
      </c>
      <c r="R583">
        <f>IF(AND(Inputs!$B$38&lt;&gt;"pvp",Inputs!$B$43&gt;0),IF(MAX(0,Inputs!$B$43-B611)&lt;=0,0,(INT(MAX(0,Inputs!$B$43-B611)/IF(Inputs!$B$38="pvp",15,MAX(0.1,Skills!D5-IF(Skills!E5=TRUE,Inputs!$B$32,0))))+1)),0)</f>
        <v/>
      </c>
      <c r="S583">
        <f>IF(C583,(H583*N583*IF(AND(Inputs!$B$38&lt;&gt;"pvp",Inputs!$B$43&gt;0),((Skills!F5*((R583-1)*IF(Skills!G5&gt;0,Skills!H5/Skills!G5,1)+IF(Skills!G5&gt;0,MIN(Skills!H5,MAX(0,MAX(0,Inputs!$B$43-B611)-((R583-1)*IF(Inputs!$B$38="pvp",15,MAX(0.1,Skills!D5-IF(Skills!E5=TRUE,Inputs!$B$32,0))))))/Skills!G5,1)))/Inputs!$B$43),G583*Q583))*IF(Inputs!$B$38="pvp",1,1+(Inputs!$B$20+Skills!O5+B605)/100),0)</f>
        <v/>
      </c>
      <c r="U583">
        <f>IF(C583,(H583*N583*IF(AND(Inputs!$B$38&lt;&gt;"pvp",Inputs!$B$43&gt;0),((Skills!F5*((R583-1)*IF(Skills!G5&gt;0,Skills!H5/Skills!G5,1)+IF(Skills!G5&gt;0,MIN(Skills!H5,MAX(0,MAX(0,Inputs!$B$43-B611)-((R583-1)*IF(Inputs!$B$38="pvp",15,MAX(0.1,Skills!D5-IF(Skills!E5=TRUE,Inputs!$B$32,0))))))/Skills!G5,1)))/Inputs!$B$43),G583*Q583))*IF(Inputs!$B$38="pvp",1,(1+(Inputs!$B$21+Skills!P5+B605)/100)*(MIN(Skills!Q5,Inputs!$B$37))),0)</f>
        <v/>
      </c>
    </row>
    <row r="584">
      <c r="A584">
        <f>Skills!A6</f>
        <v/>
      </c>
      <c r="B584">
        <f>Skills!B6</f>
        <v/>
      </c>
      <c r="C584">
        <f>Inputs!$B$3&gt;=63</f>
        <v/>
      </c>
      <c r="D584">
        <f>IF(Skills!C6=1,60+Inputs!$B$25+Inputs!$B$29,IF(Skills!C6=2,90+Inputs!$B$26+Inputs!$B$29,IF(Skills!C6=3,120+Inputs!$B$27+Inputs!$B$29,MAX(0,(Inputs!$B$3-100)*3)+Inputs!$B$28+Inputs!$B$29)))</f>
        <v/>
      </c>
      <c r="E584">
        <f>INDEX(FactorTable!$B$2:$Y$301, MATCH(ROUND(MIN(300,MAX(1,D584)),0), FactorTable!$A$2:$A$301,0), Skills!L6+1)</f>
        <v/>
      </c>
      <c r="F584">
        <f>IF(Skills!M6=TRUE,(Skills!K6/10)*(E584/1000),Skills!K6/10)+Skills!N6</f>
        <v/>
      </c>
      <c r="G584">
        <f>Calc!G6</f>
        <v/>
      </c>
      <c r="H584">
        <f>Calc!H6</f>
        <v/>
      </c>
      <c r="I584">
        <f>IF(Skills!T6&lt;&gt;"",1+(Skills!T6/10)*(Z581/1000)/100,1)</f>
        <v/>
      </c>
      <c r="J584">
        <f>((Inputs!$B$6*(1+Inputs!$B$7/100))+(((Inputs!$B$12*(1+Inputs!$B$13/100))-(Inputs!$B$12*(1+Inputs!$B$13/100)))+0.25*(Inputs!$B$14-Inputs!$B$14))*(1+Inputs!$B$7/100))*(F584/100)</f>
        <v/>
      </c>
      <c r="K584">
        <f>J584*(1+((Inputs!$B$12*(1+Inputs!$B$13/100))*0.01+Inputs!$B$14*0.0025)/100)*(1+(Inputs!$B$15+B606)/100)*(1+Inputs!$B$16/100)*(5000/(6000+Inputs!$B$42*(1-Inputs!$B$19/100)))*(1+Inputs!$B$24/100)*(1+IF(C593=TRUE,F593,0)/100)*(1+IF(C601=TRUE,F601,0)/100)^5*(1+(IF(Skills!A6="CHAIN_LIGHTNING",Inputs!$B$17,(Inputs!$B$18+1)))/100)*(B604*I584)</f>
        <v/>
      </c>
      <c r="L584">
        <f>K584*(MIN(Inputs!$B$22+(F596-Calc!F18),Inputs!$B$23)/100+Inputs!$B$23/100)/2</f>
        <v/>
      </c>
      <c r="M584">
        <f>L584*(1+(Inputs!$B$10+(F599-Calc!F21))/100)</f>
        <v/>
      </c>
      <c r="N584">
        <f>L584*(1-MIN(Inputs!$B$9+((F598-Calc!F20)+(F597-Calc!F19)),100)/100)+M584*(MIN(Inputs!$B$9+((F598-Calc!F20)+(F597-Calc!F19)),100)/100)</f>
        <v/>
      </c>
      <c r="O584">
        <f>(1-Summary!$B$51)*S584+Summary!$B$51*U584</f>
        <v/>
      </c>
      <c r="P584">
        <f>IF(B614=0,0,O584/B614)</f>
        <v/>
      </c>
      <c r="Q584">
        <f>IFERROR(1/IF(Inputs!$B$38="pvp",15,MAX(0.1,Skills!D6-IF(Skills!E6=TRUE,Inputs!$B$32,0))),0)</f>
        <v/>
      </c>
      <c r="R584">
        <f>IF(AND(Inputs!$B$38&lt;&gt;"pvp",Inputs!$B$43&gt;0),IF(MAX(0,Inputs!$B$43-B611)&lt;=0,0,(INT(MAX(0,Inputs!$B$43-B611)/IF(Inputs!$B$38="pvp",15,MAX(0.1,Skills!D6-IF(Skills!E6=TRUE,Inputs!$B$32,0))))+1)),0)</f>
        <v/>
      </c>
      <c r="S584">
        <f>IF(C584,(H584*N584*IF(AND(Inputs!$B$38&lt;&gt;"pvp",Inputs!$B$43&gt;0),((Skills!F6*((R584-1)*IF(Skills!G6&gt;0,Skills!H6/Skills!G6,1)+IF(Skills!G6&gt;0,MIN(Skills!H6,MAX(0,MAX(0,Inputs!$B$43-B611)-((R584-1)*IF(Inputs!$B$38="pvp",15,MAX(0.1,Skills!D6-IF(Skills!E6=TRUE,Inputs!$B$32,0))))))/Skills!G6,1)))/Inputs!$B$43),G584*Q584))*IF(Inputs!$B$38="pvp",1,1+(Inputs!$B$20+Skills!O6+B605)/100),0)</f>
        <v/>
      </c>
      <c r="U584">
        <f>IF(C584,(H584*N584*IF(AND(Inputs!$B$38&lt;&gt;"pvp",Inputs!$B$43&gt;0),((Skills!F6*((R584-1)*IF(Skills!G6&gt;0,Skills!H6/Skills!G6,1)+IF(Skills!G6&gt;0,MIN(Skills!H6,MAX(0,MAX(0,Inputs!$B$43-B611)-((R584-1)*IF(Inputs!$B$38="pvp",15,MAX(0.1,Skills!D6-IF(Skills!E6=TRUE,Inputs!$B$32,0))))))/Skills!G6,1)))/Inputs!$B$43),G584*Q584))*IF(Inputs!$B$38="pvp",1,(1+(Inputs!$B$21+Skills!P6+B605)/100)*(MIN(Skills!Q6,Inputs!$B$37))),0)</f>
        <v/>
      </c>
    </row>
    <row r="585">
      <c r="A585">
        <f>Skills!A7</f>
        <v/>
      </c>
      <c r="B585">
        <f>Skills!B7</f>
        <v/>
      </c>
      <c r="C585">
        <f>Inputs!$B$3&gt;=69</f>
        <v/>
      </c>
      <c r="D585">
        <f>IF(Skills!C7=1,60+Inputs!$B$25+Inputs!$B$29,IF(Skills!C7=2,90+Inputs!$B$26+Inputs!$B$29,IF(Skills!C7=3,120+Inputs!$B$27+Inputs!$B$29,MAX(0,(Inputs!$B$3-100)*3)+Inputs!$B$28+Inputs!$B$29)))</f>
        <v/>
      </c>
      <c r="E585">
        <f>INDEX(FactorTable!$B$2:$Y$301, MATCH(ROUND(MIN(300,MAX(1,D585)),0), FactorTable!$A$2:$A$301,0), Skills!L7+1)</f>
        <v/>
      </c>
      <c r="F585">
        <f>IF(Skills!M7=TRUE,(Skills!K7/10)*(E585/1000),Skills!K7/10)+Skills!N7</f>
        <v/>
      </c>
      <c r="G585">
        <f>Calc!G7</f>
        <v/>
      </c>
      <c r="H585">
        <f>Calc!H7</f>
        <v/>
      </c>
      <c r="I585">
        <f>IF(Skills!T7&lt;&gt;"",1+(Skills!T7/10)*(Z581/1000)/100,1)</f>
        <v/>
      </c>
      <c r="J585">
        <f>((Inputs!$B$6*(1+Inputs!$B$7/100))+(((Inputs!$B$12*(1+Inputs!$B$13/100))-(Inputs!$B$12*(1+Inputs!$B$13/100)))+0.25*(Inputs!$B$14-Inputs!$B$14))*(1+Inputs!$B$7/100))*(F585/100)</f>
        <v/>
      </c>
      <c r="K585">
        <f>J585*(1+((Inputs!$B$12*(1+Inputs!$B$13/100))*0.01+Inputs!$B$14*0.0025)/100)*(1+(Inputs!$B$15+B606)/100)*(1+Inputs!$B$16/100)*(5000/(6000+Inputs!$B$42*(1-Inputs!$B$19/100)))*(1+Inputs!$B$24/100)*(1+IF(C593=TRUE,F593,0)/100)*(1+IF(C601=TRUE,F601,0)/100)^5*(1+(IF(Skills!A7="CHAIN_LIGHTNING",Inputs!$B$17,(Inputs!$B$18+1)))/100)*(B604*I585)</f>
        <v/>
      </c>
      <c r="L585">
        <f>K585*(MIN(Inputs!$B$22+(F596-Calc!F18),Inputs!$B$23)/100+Inputs!$B$23/100)/2</f>
        <v/>
      </c>
      <c r="M585">
        <f>L585*(1+(Inputs!$B$10+(F599-Calc!F21))/100)</f>
        <v/>
      </c>
      <c r="N585">
        <f>L585*(1-MIN(Inputs!$B$9+((F598-Calc!F20)+(F597-Calc!F19)),100)/100)+M585*(MIN(Inputs!$B$9+((F598-Calc!F20)+(F597-Calc!F19)),100)/100)</f>
        <v/>
      </c>
      <c r="O585">
        <f>(1-Summary!$B$51)*S585+Summary!$B$51*U585</f>
        <v/>
      </c>
      <c r="P585">
        <f>IF(B614=0,0,O585/B614)</f>
        <v/>
      </c>
      <c r="Q585">
        <f>IFERROR(1/IF(Inputs!$B$38="pvp",15,MAX(0.1,Skills!D7-IF(Skills!E7=TRUE,Inputs!$B$32,0))),0)</f>
        <v/>
      </c>
      <c r="R585">
        <f>IF(AND(Inputs!$B$38&lt;&gt;"pvp",Inputs!$B$43&gt;0),IF(MAX(0,Inputs!$B$43-B611)&lt;=0,0,(INT(MAX(0,Inputs!$B$43-B611)/IF(Inputs!$B$38="pvp",15,MAX(0.1,Skills!D7-IF(Skills!E7=TRUE,Inputs!$B$32,0))))+1)),0)</f>
        <v/>
      </c>
      <c r="S585">
        <f>IF(C585,(H585*N585*IF(AND(Inputs!$B$38&lt;&gt;"pvp",Inputs!$B$43&gt;0),((Skills!F7*((R585-1)*IF(Skills!G7&gt;0,Skills!H7/Skills!G7,1)+IF(Skills!G7&gt;0,MIN(Skills!H7,MAX(0,MAX(0,Inputs!$B$43-B611)-((R585-1)*IF(Inputs!$B$38="pvp",15,MAX(0.1,Skills!D7-IF(Skills!E7=TRUE,Inputs!$B$32,0))))))/Skills!G7,1)))/Inputs!$B$43),G585*Q585))*IF(Inputs!$B$38="pvp",1,1+(Inputs!$B$20+Skills!O7+B605)/100),0)</f>
        <v/>
      </c>
      <c r="U585">
        <f>IF(C585,(H585*N585*IF(AND(Inputs!$B$38&lt;&gt;"pvp",Inputs!$B$43&gt;0),((Skills!F7*((R585-1)*IF(Skills!G7&gt;0,Skills!H7/Skills!G7,1)+IF(Skills!G7&gt;0,MIN(Skills!H7,MAX(0,MAX(0,Inputs!$B$43-B611)-((R585-1)*IF(Inputs!$B$38="pvp",15,MAX(0.1,Skills!D7-IF(Skills!E7=TRUE,Inputs!$B$32,0))))))/Skills!G7,1)))/Inputs!$B$43),G585*Q585))*IF(Inputs!$B$38="pvp",1,(1+(Inputs!$B$21+Skills!P7+B605)/100)*(MIN(Skills!Q7,Inputs!$B$37))),0)</f>
        <v/>
      </c>
    </row>
    <row r="586">
      <c r="A586">
        <f>Skills!A8</f>
        <v/>
      </c>
      <c r="B586">
        <f>Skills!B8</f>
        <v/>
      </c>
      <c r="C586">
        <f>Inputs!$B$3&gt;=103</f>
        <v/>
      </c>
      <c r="D586">
        <f>IF(Skills!C8=1,60+Inputs!$B$25+Inputs!$B$29,IF(Skills!C8=2,90+Inputs!$B$26+Inputs!$B$29,IF(Skills!C8=3,120+Inputs!$B$27+Inputs!$B$29,MAX(0,(Inputs!$B$3-100)*3)+Inputs!$B$28+Inputs!$B$29)))</f>
        <v/>
      </c>
      <c r="E586">
        <f>INDEX(FactorTable!$B$2:$Y$301, MATCH(ROUND(MIN(300,MAX(1,D586)),0), FactorTable!$A$2:$A$301,0), Skills!L8+1)</f>
        <v/>
      </c>
      <c r="F586">
        <f>IF(Skills!M8=TRUE,(Skills!K8/10)*(E586/1000),Skills!K8/10)+Skills!N8</f>
        <v/>
      </c>
      <c r="G586">
        <f>Calc!G8</f>
        <v/>
      </c>
      <c r="H586">
        <f>Calc!H8</f>
        <v/>
      </c>
      <c r="I586">
        <f>IF(Skills!T8&lt;&gt;"",1+(Skills!T8/10)*(Z581/1000)/100,1)</f>
        <v/>
      </c>
      <c r="J586">
        <f>((Inputs!$B$6*(1+Inputs!$B$7/100))+(((Inputs!$B$12*(1+Inputs!$B$13/100))-(Inputs!$B$12*(1+Inputs!$B$13/100)))+0.25*(Inputs!$B$14-Inputs!$B$14))*(1+Inputs!$B$7/100))*(F586/100)</f>
        <v/>
      </c>
      <c r="K586">
        <f>J586*(1+((Inputs!$B$12*(1+Inputs!$B$13/100))*0.01+Inputs!$B$14*0.0025)/100)*(1+(Inputs!$B$15+B606)/100)*(1+Inputs!$B$16/100)*(5000/(6000+Inputs!$B$42*(1-Inputs!$B$19/100)))*(1+Inputs!$B$24/100)*(1+IF(C593=TRUE,F593,0)/100)*(1+IF(C601=TRUE,F601,0)/100)^5*(1+(IF(Skills!A8="CHAIN_LIGHTNING",Inputs!$B$17,(Inputs!$B$18+1)))/100)*(B604*I586)</f>
        <v/>
      </c>
      <c r="L586">
        <f>K586*(MIN(Inputs!$B$22+(F596-Calc!F18),Inputs!$B$23)/100+Inputs!$B$23/100)/2</f>
        <v/>
      </c>
      <c r="M586">
        <f>L586*(1+(Inputs!$B$10+(F599-Calc!F21))/100)</f>
        <v/>
      </c>
      <c r="N586">
        <f>L586*(1-MIN(Inputs!$B$9+((F598-Calc!F20)+(F597-Calc!F19)),100)/100)+M586*(MIN(Inputs!$B$9+((F598-Calc!F20)+(F597-Calc!F19)),100)/100)</f>
        <v/>
      </c>
      <c r="O586">
        <f>(1-Summary!$B$51)*S586+Summary!$B$51*U586</f>
        <v/>
      </c>
      <c r="P586">
        <f>IF(B614=0,0,O586/B614)</f>
        <v/>
      </c>
      <c r="Q586">
        <f>IFERROR(1/IF(Inputs!$B$38="pvp",15,MAX(0.1,Skills!D8-IF(Skills!E8=TRUE,Inputs!$B$32,0))),0)</f>
        <v/>
      </c>
      <c r="R586">
        <f>IF(AND(Inputs!$B$38&lt;&gt;"pvp",Inputs!$B$43&gt;0),IF(MAX(0,Inputs!$B$43-B611)&lt;=0,0,(INT(MAX(0,Inputs!$B$43-B611)/IF(Inputs!$B$38="pvp",15,MAX(0.1,Skills!D8-IF(Skills!E8=TRUE,Inputs!$B$32,0))))+1)),0)</f>
        <v/>
      </c>
      <c r="S586">
        <f>IF(C586,(H586*N586*IF(AND(Inputs!$B$38&lt;&gt;"pvp",Inputs!$B$43&gt;0),((Skills!F8*((R586-1)*IF(Skills!G8&gt;0,Skills!H8/Skills!G8,1)+IF(Skills!G8&gt;0,MIN(Skills!H8,MAX(0,MAX(0,Inputs!$B$43-B611)-((R586-1)*IF(Inputs!$B$38="pvp",15,MAX(0.1,Skills!D8-IF(Skills!E8=TRUE,Inputs!$B$32,0))))))/Skills!G8,1)))/Inputs!$B$43),G586*Q586))*IF(Inputs!$B$38="pvp",1,1+(Inputs!$B$20+Skills!O8+B605)/100),0)</f>
        <v/>
      </c>
      <c r="U586">
        <f>IF(C586,(H586*N586*IF(AND(Inputs!$B$38&lt;&gt;"pvp",Inputs!$B$43&gt;0),((Skills!F8*((R586-1)*IF(Skills!G8&gt;0,Skills!H8/Skills!G8,1)+IF(Skills!G8&gt;0,MIN(Skills!H8,MAX(0,MAX(0,Inputs!$B$43-B611)-((R586-1)*IF(Inputs!$B$38="pvp",15,MAX(0.1,Skills!D8-IF(Skills!E8=TRUE,Inputs!$B$32,0))))))/Skills!G8,1)))/Inputs!$B$43),G586*Q586))*IF(Inputs!$B$38="pvp",1,(1+(Inputs!$B$21+Skills!P8+B605)/100)*(MIN(Skills!Q8,Inputs!$B$37))),0)</f>
        <v/>
      </c>
    </row>
    <row r="587">
      <c r="A587">
        <f>Skills!A9</f>
        <v/>
      </c>
      <c r="B587">
        <f>Skills!B9</f>
        <v/>
      </c>
      <c r="C587">
        <f>Inputs!$B$3&gt;=105</f>
        <v/>
      </c>
      <c r="D587">
        <f>IF(Skills!C9=1,60+Inputs!$B$25+Inputs!$B$29,IF(Skills!C9=2,90+Inputs!$B$26+Inputs!$B$29,IF(Skills!C9=3,120+Inputs!$B$27+Inputs!$B$29,MAX(0,(Inputs!$B$3-100)*3)+Inputs!$B$28+Inputs!$B$29)))</f>
        <v/>
      </c>
      <c r="E587">
        <f>INDEX(FactorTable!$B$2:$Y$301, MATCH(ROUND(MIN(300,MAX(1,D587)),0), FactorTable!$A$2:$A$301,0), Skills!L9+1)</f>
        <v/>
      </c>
      <c r="F587">
        <f>IF(Skills!M9=TRUE,(Skills!K9/10)*(E587/1000),Skills!K9/10)+Skills!N9</f>
        <v/>
      </c>
      <c r="G587">
        <f>Calc!G9</f>
        <v/>
      </c>
      <c r="H587">
        <f>Calc!H9</f>
        <v/>
      </c>
      <c r="I587">
        <f>IF(Skills!T9&lt;&gt;"",1+(Skills!T9/10)*(Z581/1000)/100,1)</f>
        <v/>
      </c>
      <c r="J587">
        <f>((Inputs!$B$6*(1+Inputs!$B$7/100))+(((Inputs!$B$12*(1+Inputs!$B$13/100))-(Inputs!$B$12*(1+Inputs!$B$13/100)))+0.25*(Inputs!$B$14-Inputs!$B$14))*(1+Inputs!$B$7/100))*(F587/100)</f>
        <v/>
      </c>
      <c r="K587">
        <f>J587*(1+((Inputs!$B$12*(1+Inputs!$B$13/100))*0.01+Inputs!$B$14*0.0025)/100)*(1+(Inputs!$B$15+B606)/100)*(1+Inputs!$B$16/100)*(5000/(6000+Inputs!$B$42*(1-Inputs!$B$19/100)))*(1+Inputs!$B$24/100)*(1+IF(C593=TRUE,F593,0)/100)*(1+IF(C601=TRUE,F601,0)/100)^5*(1+(IF(Skills!A9="CHAIN_LIGHTNING",Inputs!$B$17,(Inputs!$B$18+1)))/100)*(B604*I587)</f>
        <v/>
      </c>
      <c r="L587">
        <f>K587*(MIN(Inputs!$B$22+(F596-Calc!F18),Inputs!$B$23)/100+Inputs!$B$23/100)/2</f>
        <v/>
      </c>
      <c r="M587">
        <f>L587*(1+(Inputs!$B$10+(F599-Calc!F21))/100)</f>
        <v/>
      </c>
      <c r="N587">
        <f>L587*(1-MIN(Inputs!$B$9+((F598-Calc!F20)+(F597-Calc!F19)),100)/100)+M587*(MIN(Inputs!$B$9+((F598-Calc!F20)+(F597-Calc!F19)),100)/100)</f>
        <v/>
      </c>
      <c r="O587">
        <f>(1-Summary!$B$51)*S587+Summary!$B$51*U587</f>
        <v/>
      </c>
      <c r="P587">
        <f>IF(B614=0,0,O587/B614)</f>
        <v/>
      </c>
      <c r="Q587">
        <f>IFERROR(1/IF(Inputs!$B$38="pvp",15,MAX(0.1,Skills!D9-IF(Skills!E9=TRUE,Inputs!$B$32,0))),0)</f>
        <v/>
      </c>
      <c r="R587">
        <f>IF(AND(Inputs!$B$38&lt;&gt;"pvp",Inputs!$B$43&gt;0),IF(MAX(0,Inputs!$B$43-B611)&lt;=0,0,(INT(MAX(0,Inputs!$B$43-B611)/IF(Inputs!$B$38="pvp",15,MAX(0.1,Skills!D9-IF(Skills!E9=TRUE,Inputs!$B$32,0))))+1)),0)</f>
        <v/>
      </c>
      <c r="S587">
        <f>IF(C587,(H587*N587*IF(AND(Inputs!$B$38&lt;&gt;"pvp",Inputs!$B$43&gt;0),((Skills!F9*((R587-1)*IF(Skills!G9&gt;0,Skills!H9/Skills!G9,1)+IF(Skills!G9&gt;0,MIN(Skills!H9,MAX(0,MAX(0,Inputs!$B$43-B611)-((R587-1)*IF(Inputs!$B$38="pvp",15,MAX(0.1,Skills!D9-IF(Skills!E9=TRUE,Inputs!$B$32,0))))))/Skills!G9,1)))/Inputs!$B$43),G587*Q587))*IF(Inputs!$B$38="pvp",1,1+(Inputs!$B$20+Skills!O9+B605)/100),0)</f>
        <v/>
      </c>
      <c r="U587">
        <f>IF(C587,(H587*N587*IF(AND(Inputs!$B$38&lt;&gt;"pvp",Inputs!$B$43&gt;0),((Skills!F9*((R587-1)*IF(Skills!G9&gt;0,Skills!H9/Skills!G9,1)+IF(Skills!G9&gt;0,MIN(Skills!H9,MAX(0,MAX(0,Inputs!$B$43-B611)-((R587-1)*IF(Inputs!$B$38="pvp",15,MAX(0.1,Skills!D9-IF(Skills!E9=TRUE,Inputs!$B$32,0))))))/Skills!G9,1)))/Inputs!$B$43),G587*Q587))*IF(Inputs!$B$38="pvp",1,(1+(Inputs!$B$21+Skills!P9+B605)/100)*(MIN(Skills!Q9,Inputs!$B$37))),0)</f>
        <v/>
      </c>
    </row>
    <row r="588">
      <c r="A588">
        <f>Skills!A10</f>
        <v/>
      </c>
      <c r="B588">
        <f>Skills!B10</f>
        <v/>
      </c>
      <c r="C588">
        <f>Inputs!$B$3&gt;=113</f>
        <v/>
      </c>
      <c r="D588">
        <f>IF(Skills!C10=1,60+Inputs!$B$25+Inputs!$B$29,IF(Skills!C10=2,90+Inputs!$B$26+Inputs!$B$29,IF(Skills!C10=3,120+Inputs!$B$27+Inputs!$B$29,MAX(0,(Inputs!$B$3-100)*3)+Inputs!$B$28+Inputs!$B$29)))</f>
        <v/>
      </c>
      <c r="E588">
        <f>INDEX(FactorTable!$B$2:$Y$301, MATCH(ROUND(MIN(300,MAX(1,D588)),0), FactorTable!$A$2:$A$301,0), Skills!L10+1)</f>
        <v/>
      </c>
      <c r="F588">
        <f>IF(Skills!M10=TRUE,(Skills!K10/10)*(E588/1000),Skills!K10/10)+Skills!N10</f>
        <v/>
      </c>
      <c r="G588">
        <f>Calc!G10</f>
        <v/>
      </c>
      <c r="H588">
        <f>Calc!H10</f>
        <v/>
      </c>
      <c r="I588">
        <f>IF(Skills!T10&lt;&gt;"",1+(Skills!T10/10)*(Z581/1000)/100,1)</f>
        <v/>
      </c>
      <c r="J588">
        <f>((Inputs!$B$6*(1+Inputs!$B$7/100))+(((Inputs!$B$12*(1+Inputs!$B$13/100))-(Inputs!$B$12*(1+Inputs!$B$13/100)))+0.25*(Inputs!$B$14-Inputs!$B$14))*(1+Inputs!$B$7/100))*(F588/100)</f>
        <v/>
      </c>
      <c r="K588">
        <f>J588*(1+((Inputs!$B$12*(1+Inputs!$B$13/100))*0.01+Inputs!$B$14*0.0025)/100)*(1+(Inputs!$B$15+B606)/100)*(1+Inputs!$B$16/100)*(5000/(6000+Inputs!$B$42*(1-Inputs!$B$19/100)))*(1+Inputs!$B$24/100)*(1+IF(C593=TRUE,F593,0)/100)*(1+IF(C601=TRUE,F601,0)/100)^5*(1+(IF(Skills!A10="CHAIN_LIGHTNING",Inputs!$B$17,(Inputs!$B$18+1)))/100)*(B604*I588)</f>
        <v/>
      </c>
      <c r="L588">
        <f>K588*(MIN(Inputs!$B$22+(F596-Calc!F18),Inputs!$B$23)/100+Inputs!$B$23/100)/2</f>
        <v/>
      </c>
      <c r="M588">
        <f>L588*(1+(Inputs!$B$10+(F599-Calc!F21))/100)</f>
        <v/>
      </c>
      <c r="N588">
        <f>L588*(1-MIN(Inputs!$B$9+((F598-Calc!F20)+(F597-Calc!F19)),100)/100)+M588*(MIN(Inputs!$B$9+((F598-Calc!F20)+(F597-Calc!F19)),100)/100)</f>
        <v/>
      </c>
      <c r="O588">
        <f>(1-Summary!$B$51)*S588+Summary!$B$51*U588</f>
        <v/>
      </c>
      <c r="P588">
        <f>IF(B614=0,0,O588/B614)</f>
        <v/>
      </c>
      <c r="Q588">
        <f>IFERROR(1/IF(Inputs!$B$38="pvp",15,MAX(0.1,Skills!D10-IF(Skills!E9=TRUE,Inputs!$B$32,0))),0)</f>
        <v/>
      </c>
      <c r="R588">
        <f>IF(AND(Inputs!$B$38&lt;&gt;"pvp",Inputs!$B$43&gt;0),IF(MAX(0,Inputs!$B$43-B611)&lt;=0,0,(INT(MAX(0,Inputs!$B$43-B611)/IF(Inputs!$B$38="pvp",15,MAX(0.1,Skills!D10-IF(Skills!E9=TRUE,Inputs!$B$32,0))))+1)),0)</f>
        <v/>
      </c>
      <c r="S588">
        <f>IF(C588,(H588*N588*IF(AND(Inputs!$B$38&lt;&gt;"pvp",Inputs!$B$43&gt;0),((Skills!F10*((R588-1)*IF(Skills!G10&gt;0,Skills!H10/Skills!G10,1)+IF(Skills!G10&gt;0,MIN(Skills!H10,MAX(0,MAX(0,Inputs!$B$43-B611)-((R588-1)*IF(Inputs!$B$38="pvp",15,MAX(0.1,Skills!D10-IF(Skills!E9=TRUE,Inputs!$B$32,0))))))/Skills!G10,1)))/Inputs!$B$43),G588*Q588))*IF(Inputs!$B$38="pvp",1,1+(Inputs!$B$20+Skills!O10+B605)/100),0)</f>
        <v/>
      </c>
      <c r="U588">
        <f>IF(C588,(H588*N588*IF(AND(Inputs!$B$38&lt;&gt;"pvp",Inputs!$B$43&gt;0),((Skills!F10*((R588-1)*IF(Skills!G10&gt;0,Skills!H10/Skills!G10,1)+IF(Skills!G10&gt;0,MIN(Skills!H10,MAX(0,MAX(0,Inputs!$B$43-B611)-((R588-1)*IF(Inputs!$B$38="pvp",15,MAX(0.1,Skills!D10-IF(Skills!E9=TRUE,Inputs!$B$32,0))))))/Skills!G10,1)))/Inputs!$B$43),G588*Q588))*IF(Inputs!$B$38="pvp",1,(1+(Inputs!$B$21+Skills!P10+B605)/100)*(MIN(Skills!Q10,Inputs!$B$37))),0)</f>
        <v/>
      </c>
    </row>
    <row r="589">
      <c r="A589">
        <f>Skills!A11</f>
        <v/>
      </c>
      <c r="B589">
        <f>Skills!B11</f>
        <v/>
      </c>
      <c r="C589">
        <f>Inputs!$B$3&gt;=107</f>
        <v/>
      </c>
      <c r="D589">
        <f>IF(Skills!C11=1,60+Inputs!$B$25+Inputs!$B$29,IF(Skills!C11=2,90+Inputs!$B$26+Inputs!$B$29,IF(Skills!C11=3,120+Inputs!$B$27+Inputs!$B$29,MAX(0,(Inputs!$B$3-100)*3)+Inputs!$B$28+Inputs!$B$29)))</f>
        <v/>
      </c>
      <c r="E589">
        <f>INDEX(FactorTable!$B$2:$Y$301, MATCH(ROUND(MIN(300,MAX(1,D589)),0), FactorTable!$A$2:$A$301,0), Skills!L11+1)</f>
        <v/>
      </c>
      <c r="F589">
        <f>IF(Skills!M11=TRUE,(Skills!K11/10)*(E589/1000),Skills!K11/10)+Skills!N11</f>
        <v/>
      </c>
      <c r="G589">
        <f>Calc!G11</f>
        <v/>
      </c>
      <c r="H589">
        <f>Calc!H11</f>
        <v/>
      </c>
      <c r="I589">
        <f>IF(Skills!T11&lt;&gt;"",1+(Skills!T11/10)*(Z581/1000)/100,1)</f>
        <v/>
      </c>
      <c r="J589">
        <f>((Inputs!$B$6*(1+Inputs!$B$7/100))+(((Inputs!$B$12*(1+Inputs!$B$13/100))-(Inputs!$B$12*(1+Inputs!$B$13/100)))+0.25*(Inputs!$B$14-Inputs!$B$14))*(1+Inputs!$B$7/100))*(F589/100)</f>
        <v/>
      </c>
      <c r="K589">
        <f>J589*(1+((Inputs!$B$12*(1+Inputs!$B$13/100))*0.01+Inputs!$B$14*0.0025)/100)*(1+(Inputs!$B$15+B606)/100)*(1+Inputs!$B$16/100)*(5000/(6000+Inputs!$B$42*(1-Inputs!$B$19/100)))*(1+Inputs!$B$24/100)*(1+IF(C593=TRUE,F593,0)/100)*(1+IF(C601=TRUE,F601,0)/100)^5*(1+(IF(Skills!A11="CHAIN_LIGHTNING",Inputs!$B$17,(Inputs!$B$18+1)))/100)*(B604*I589)</f>
        <v/>
      </c>
      <c r="L589">
        <f>K589*(MIN(Inputs!$B$22+(F596-Calc!F18),Inputs!$B$23)/100+Inputs!$B$23/100)/2</f>
        <v/>
      </c>
      <c r="M589">
        <f>L589*(1+(Inputs!$B$10+(F599-Calc!F21))/100)</f>
        <v/>
      </c>
      <c r="N589">
        <f>L589*(1-MIN(Inputs!$B$9+((F598-Calc!F20)+(F597-Calc!F19)),100)/100)+M589*(MIN(Inputs!$B$9+((F598-Calc!F20)+(F597-Calc!F19)),100)/100)</f>
        <v/>
      </c>
      <c r="O589">
        <f>(1-Summary!$B$51)*S589+Summary!$B$51*U589</f>
        <v/>
      </c>
      <c r="P589">
        <f>IF(B614=0,0,O589/B614)</f>
        <v/>
      </c>
      <c r="Q589">
        <f>IFERROR(1/IF(Inputs!$B$38="pvp",15,MAX(0.1,Skills!D11-IF(Skills!E11=TRUE,Inputs!$B$32,0))),0)</f>
        <v/>
      </c>
      <c r="R589">
        <f>IF(AND(Inputs!$B$38&lt;&gt;"pvp",Inputs!$B$43&gt;0),IF(MAX(0,Inputs!$B$43-B611)&lt;=0,0,(INT(MAX(0,Inputs!$B$43-B611)/IF(Inputs!$B$38="pvp",15,MAX(0.1,Skills!D11-IF(Skills!E11=TRUE,Inputs!$B$32,0))))+1)),0)</f>
        <v/>
      </c>
      <c r="S589">
        <f>IF(C589,H589*N589*IF(AND(Inputs!$B$38&lt;&gt;"pvp",Inputs!$B$43&gt;0),((Skills!F11*((R589-1)*IF(Skills!G11&gt;0,Skills!H11/Skills!G11,1)+IF(Skills!G11&gt;0,MIN(Skills!H11,MAX(0,MAX(0,Inputs!$B$43-B611)-((R589-1)*IF(Inputs!$B$38="pvp",15,MAX(0.1,Skills!D11-IF(Skills!E11=TRUE,Inputs!$B$32,0))))))/Skills!G11,1)))/Inputs!$B$43),G589*Q589)*0.5*IF(Inputs!$B$38="pvp",1,1+(Inputs!$B$20+Skills!O11+B605)/100),0)</f>
        <v/>
      </c>
      <c r="U589">
        <f>IF(C589,H589*N589*IF(AND(Inputs!$B$38&lt;&gt;"pvp",Inputs!$B$43&gt;0),((Skills!F11*((R589-1)*IF(Skills!G11&gt;0,Skills!H11/Skills!G11,1)+IF(Skills!G11&gt;0,MIN(Skills!H11,MAX(0,MAX(0,Inputs!$B$43-B611)-((R589-1)*IF(Inputs!$B$38="pvp",15,MAX(0.1,Skills!D11-IF(Skills!E11=TRUE,Inputs!$B$32,0))))))/Skills!G11,1)))/Inputs!$B$43),G589*Q589)*1*IF(Inputs!$B$38="pvp",1,(1+(Inputs!$B$21+Skills!P11+B605)/100)*(MIN(Skills!Q11,Inputs!$B$37))),0)</f>
        <v/>
      </c>
    </row>
    <row r="590">
      <c r="A590">
        <f>Skills!A12</f>
        <v/>
      </c>
      <c r="B590">
        <f>Skills!B12</f>
        <v/>
      </c>
      <c r="C590">
        <f>Inputs!$B$3&gt;=115</f>
        <v/>
      </c>
      <c r="D590">
        <f>IF(Skills!C12=1,60+Inputs!$B$25+Inputs!$B$29,IF(Skills!C12=2,90+Inputs!$B$26+Inputs!$B$29,IF(Skills!C12=3,120+Inputs!$B$27+Inputs!$B$29,MAX(0,(Inputs!$B$3-100)*3)+Inputs!$B$28+Inputs!$B$29)))</f>
        <v/>
      </c>
      <c r="E590">
        <f>INDEX(FactorTable!$B$2:$Y$301, MATCH(ROUND(MIN(300,MAX(1,D590)),0), FactorTable!$A$2:$A$301,0), Skills!L12+1)</f>
        <v/>
      </c>
      <c r="F590">
        <f>IF(Skills!M12=TRUE,(Skills!K12/10)*(E590/1000),Skills!K12/10)+Skills!N12</f>
        <v/>
      </c>
      <c r="G590">
        <f>Calc!G12</f>
        <v/>
      </c>
      <c r="H590">
        <f>Calc!H12</f>
        <v/>
      </c>
      <c r="I590">
        <f>IF(Skills!T12&lt;&gt;"",1+(Skills!T12/10)*(Z581/1000)/100,1)</f>
        <v/>
      </c>
      <c r="J590">
        <f>((Inputs!$B$6*(1+Inputs!$B$7/100))+(((Inputs!$B$12*(1+Inputs!$B$13/100))-(Inputs!$B$12*(1+Inputs!$B$13/100)))+0.25*(Inputs!$B$14-Inputs!$B$14))*(1+Inputs!$B$7/100))*(F590/100)</f>
        <v/>
      </c>
      <c r="K590">
        <f>J590*(1+((Inputs!$B$12*(1+Inputs!$B$13/100))*0.01+Inputs!$B$14*0.0025)/100)*(1+(Inputs!$B$15+B606)/100)*(1+Inputs!$B$16/100)*(5000/(6000+Inputs!$B$42*(1-Inputs!$B$19/100)))*(1+Inputs!$B$24/100)*(1+IF(C593=TRUE,F593,0)/100)*(1+IF(C601=TRUE,F601,0)/100)^5*(1+(IF(Skills!A12="CHAIN_LIGHTNING",Inputs!$B$17,(Inputs!$B$18+1)))/100)*(B604*I590)</f>
        <v/>
      </c>
      <c r="L590">
        <f>K590*(MIN(Inputs!$B$22+(F596-Calc!F18),Inputs!$B$23)/100+Inputs!$B$23/100)/2</f>
        <v/>
      </c>
      <c r="M590">
        <f>L590*(1+(Inputs!$B$10+(F599-Calc!F21))/100)</f>
        <v/>
      </c>
      <c r="N590">
        <f>L590*(1-MIN(Inputs!$B$9+((F598-Calc!F20)+(F597-Calc!F19)),100)/100)+M590*(MIN(Inputs!$B$9+((F598-Calc!F20)+(F597-Calc!F19)),100)/100)</f>
        <v/>
      </c>
      <c r="O590">
        <f>(1-Summary!$B$51)*S590+Summary!$B$51*U590</f>
        <v/>
      </c>
      <c r="P590">
        <f>IF(B614=0,0,O590/B614)</f>
        <v/>
      </c>
      <c r="Q590">
        <f>IFERROR(1/IF(Inputs!$B$38="pvp",15,MAX(0.1,Skills!D12-IF(Skills!E12=TRUE,Inputs!$B$32,0))),0)</f>
        <v/>
      </c>
      <c r="R590">
        <f>IF(AND(Inputs!$B$38&lt;&gt;"pvp",Inputs!$B$43&gt;0),IF(MAX(0,Inputs!$B$43-B611)&lt;=0,0,(INT(MAX(0,Inputs!$B$43-B611)/IF(Inputs!$B$38="pvp",15,MAX(0.1,Skills!D12-IF(Skills!E12=TRUE,Inputs!$B$32,0))))+1)),0)</f>
        <v/>
      </c>
      <c r="S590">
        <f>IF(C590,(H590*N590*IF(AND(Inputs!$B$38&lt;&gt;"pvp",Inputs!$B$43&gt;0),((Skills!F12*((R590-1)*IF(Skills!G12&gt;0,Skills!H12/Skills!G12,1)+IF(Skills!G12&gt;0,MIN(Skills!H12,MAX(0,MAX(0,Inputs!$B$43-B611)-((R590-1)*IF(Inputs!$B$38="pvp",15,MAX(0.1,Skills!D12-IF(Skills!E12=TRUE,Inputs!$B$32,0))))))/Skills!G12,1)))/Inputs!$B$43),G590*Q590))*IF(Inputs!$B$38="pvp",1,1+(Inputs!$B$20+Skills!O12+B605)/100),0)</f>
        <v/>
      </c>
      <c r="U590">
        <f>IF(C590,(H590*N590*IF(AND(Inputs!$B$38&lt;&gt;"pvp",Inputs!$B$43&gt;0),((Skills!F12*((R590-1)*IF(Skills!G12&gt;0,Skills!H12/Skills!G12,1)+IF(Skills!G12&gt;0,MIN(Skills!H12,MAX(0,MAX(0,Inputs!$B$43-B611)-((R590-1)*IF(Inputs!$B$38="pvp",15,MAX(0.1,Skills!D12-IF(Skills!E12=TRUE,Inputs!$B$32,0))))))/Skills!G12,1)))/Inputs!$B$43),G590*Q590))*IF(Inputs!$B$38="pvp",1,(1+(Inputs!$B$21+Skills!P12+B605)/100)*(MIN(Skills!Q12,Inputs!$B$37))),0)</f>
        <v/>
      </c>
    </row>
    <row r="591">
      <c r="A591">
        <f>Skills!A13</f>
        <v/>
      </c>
      <c r="B591">
        <f>Skills!B13</f>
        <v/>
      </c>
      <c r="C591">
        <f>Inputs!$B$3&gt;=49</f>
        <v/>
      </c>
      <c r="D591">
        <f>IF(Skills!C13=1,60+Inputs!$B$25+Inputs!$B$29,IF(Skills!C13=2,90+Inputs!$B$26+Inputs!$B$29,IF(Skills!C13=3,120+Inputs!$B$27+Inputs!$B$29,MAX(0,(Inputs!$B$3-100)*3)+Inputs!$B$28+Inputs!$B$29)))</f>
        <v/>
      </c>
      <c r="E591">
        <f>INDEX(FactorTable!$B$2:$Y$301, MATCH(ROUND(MIN(300,MAX(1,D591)),0), FactorTable!$A$2:$A$301,0), Skills!L13+1)</f>
        <v/>
      </c>
      <c r="F591">
        <f>IF(Skills!M13=TRUE,(Skills!K13/10)*(E591/1000),Skills!K13/10)+Skills!N13</f>
        <v/>
      </c>
      <c r="G591">
        <f>Calc!G13</f>
        <v/>
      </c>
      <c r="H591">
        <f>Calc!H13</f>
        <v/>
      </c>
      <c r="I591">
        <f>IF(Skills!T13&lt;&gt;"",1+(Skills!T13/10)*(Z581/1000)/100,1)</f>
        <v/>
      </c>
      <c r="J591" t="inlineStr"/>
      <c r="K591" t="inlineStr"/>
      <c r="L591" t="inlineStr"/>
      <c r="M591" t="inlineStr"/>
      <c r="N591" t="inlineStr"/>
      <c r="O591">
        <f>(1-Summary!$B$51)*S591+Summary!$B$51*U591</f>
        <v/>
      </c>
      <c r="P591">
        <f>IF(B614=0,0,O591/B614)</f>
        <v/>
      </c>
      <c r="Q591">
        <f>IFERROR(1/IF(Inputs!$B$38="pvp",15,MAX(0.1,Skills!D13-IF(Skills!E13=TRUE,Inputs!$B$32,0))),0)</f>
        <v/>
      </c>
      <c r="R591" t="n">
        <v>0</v>
      </c>
      <c r="S591" t="n">
        <v>0</v>
      </c>
      <c r="U591" t="n">
        <v>0</v>
      </c>
    </row>
    <row r="592">
      <c r="A592">
        <f>Skills!A14</f>
        <v/>
      </c>
      <c r="B592">
        <f>Skills!B14</f>
        <v/>
      </c>
      <c r="C592">
        <f>Inputs!$B$3&gt;=72</f>
        <v/>
      </c>
      <c r="D592">
        <f>IF(Skills!C14=1,60+Inputs!$B$25+Inputs!$B$29,IF(Skills!C14=2,90+Inputs!$B$26+Inputs!$B$29,IF(Skills!C14=3,120+Inputs!$B$27+Inputs!$B$29,MAX(0,(Inputs!$B$3-100)*3)+Inputs!$B$28+Inputs!$B$29)))</f>
        <v/>
      </c>
      <c r="E592">
        <f>INDEX(FactorTable!$B$2:$Y$301, MATCH(ROUND(MIN(300,MAX(1,D592)),0), FactorTable!$A$2:$A$301,0), Skills!L14+1)</f>
        <v/>
      </c>
      <c r="F592">
        <f>IF(Skills!M14=TRUE,(Skills!K14/10)*(E592/1000),Skills!K14/10)+Skills!N14</f>
        <v/>
      </c>
      <c r="G592">
        <f>Calc!G14</f>
        <v/>
      </c>
      <c r="H592">
        <f>Calc!H14</f>
        <v/>
      </c>
      <c r="I592">
        <f>IF(Skills!T14&lt;&gt;"",1+(Skills!T14/10)*(Z581/1000)/100,1)</f>
        <v/>
      </c>
      <c r="J592" t="inlineStr"/>
      <c r="K592" t="inlineStr"/>
      <c r="L592" t="inlineStr"/>
      <c r="M592" t="inlineStr"/>
      <c r="N592" t="inlineStr"/>
      <c r="O592">
        <f>(1-Summary!$B$51)*S592+Summary!$B$51*U592</f>
        <v/>
      </c>
      <c r="P592">
        <f>IF(B614=0,0,O592/B614)</f>
        <v/>
      </c>
      <c r="Q592">
        <f>IFERROR(1/IF(Inputs!$B$38="pvp",15,MAX(0.1,Skills!D14-IF(Skills!E14=TRUE,Inputs!$B$32,0))),0)</f>
        <v/>
      </c>
      <c r="R592" t="n">
        <v>0</v>
      </c>
      <c r="S592" t="n">
        <v>0</v>
      </c>
      <c r="U592" t="n">
        <v>0</v>
      </c>
    </row>
    <row r="593">
      <c r="A593">
        <f>Skills!A15</f>
        <v/>
      </c>
      <c r="B593">
        <f>Skills!B15</f>
        <v/>
      </c>
      <c r="C593">
        <f>Inputs!$B$3&gt;=75</f>
        <v/>
      </c>
      <c r="D593">
        <f>IF(Skills!C15=1,60+Inputs!$B$25+Inputs!$B$29,IF(Skills!C15=2,90+Inputs!$B$26+Inputs!$B$29,IF(Skills!C15=3,120+Inputs!$B$27+Inputs!$B$29,MAX(0,(Inputs!$B$3-100)*3)+Inputs!$B$28+Inputs!$B$29)))</f>
        <v/>
      </c>
      <c r="E593">
        <f>INDEX(FactorTable!$B$2:$Y$301, MATCH(ROUND(MIN(300,MAX(1,D593)),0), FactorTable!$A$2:$A$301,0), Skills!L15+1)</f>
        <v/>
      </c>
      <c r="F593">
        <f>IF(Skills!M15=TRUE,(Skills!K15/10)*(E593/1000),Skills!K15/10)+Skills!N15</f>
        <v/>
      </c>
      <c r="G593">
        <f>Calc!G15</f>
        <v/>
      </c>
      <c r="H593">
        <f>Calc!H15</f>
        <v/>
      </c>
      <c r="I593">
        <f>IF(Skills!T15&lt;&gt;"",1+(Skills!T15/10)*(Z581/1000)/100,1)</f>
        <v/>
      </c>
      <c r="J593" t="inlineStr"/>
      <c r="K593" t="inlineStr"/>
      <c r="L593" t="inlineStr"/>
      <c r="M593" t="inlineStr"/>
      <c r="N593" t="inlineStr"/>
      <c r="O593">
        <f>(1-Summary!$B$51)*S593+Summary!$B$51*U593</f>
        <v/>
      </c>
      <c r="P593">
        <f>IF(B614=0,0,O593/B614)</f>
        <v/>
      </c>
      <c r="Q593">
        <f>IFERROR(1/IF(Inputs!$B$38="pvp",15,MAX(0.1,Skills!D15-IF(Skills!E15=TRUE,Inputs!$B$32,0))),0)</f>
        <v/>
      </c>
      <c r="R593" t="n">
        <v>0</v>
      </c>
      <c r="S593" t="n">
        <v>0</v>
      </c>
      <c r="U593" t="n">
        <v>0</v>
      </c>
    </row>
    <row r="594">
      <c r="A594">
        <f>Skills!A16</f>
        <v/>
      </c>
      <c r="B594">
        <f>Skills!B16</f>
        <v/>
      </c>
      <c r="C594">
        <f>Inputs!$B$3&gt;=110</f>
        <v/>
      </c>
      <c r="D594">
        <f>IF(Skills!C16=1,60+Inputs!$B$25+Inputs!$B$29,IF(Skills!C16=2,90+Inputs!$B$26+Inputs!$B$29,IF(Skills!C16=3,120+Inputs!$B$27+Inputs!$B$29,MAX(0,(Inputs!$B$3-100)*3)+Inputs!$B$28+Inputs!$B$29)))</f>
        <v/>
      </c>
      <c r="E594">
        <f>INDEX(FactorTable!$B$2:$Y$301, MATCH(ROUND(MIN(300,MAX(1,D594)),0), FactorTable!$A$2:$A$301,0), Skills!L16+1)</f>
        <v/>
      </c>
      <c r="F594">
        <f>(Skills!K16/10)*(E594/1000)*64/45+Skills!N16</f>
        <v/>
      </c>
      <c r="G594">
        <f>Calc!G16</f>
        <v/>
      </c>
      <c r="H594">
        <f>Calc!H16</f>
        <v/>
      </c>
      <c r="I594">
        <f>IF(Skills!T16&lt;&gt;"",1+(Skills!T16/10)*(Z581/1000)/100,1)</f>
        <v/>
      </c>
      <c r="J594" t="inlineStr"/>
      <c r="K594" t="inlineStr"/>
      <c r="L594" t="inlineStr"/>
      <c r="M594" t="inlineStr"/>
      <c r="N594" t="inlineStr"/>
      <c r="O594">
        <f>(1-Summary!$B$51)*S594+Summary!$B$51*U594</f>
        <v/>
      </c>
      <c r="P594">
        <f>IF(B614=0,0,O594/B614)</f>
        <v/>
      </c>
      <c r="Q594">
        <f>IFERROR(1/IF(Inputs!$B$38="pvp",15,MAX(0.1,Skills!D16-IF(Skills!E16=TRUE,Inputs!$B$32,0))),0)</f>
        <v/>
      </c>
      <c r="R594">
        <f>IF(AND(Inputs!$B$38&lt;&gt;"pvp",Inputs!$B$43&gt;0),IF(Inputs!$B$43&lt;=0,0,(INT(Inputs!$B$43/IF(Inputs!$B$38="pvp",15,MAX(0.1,Skills!D16-IF(Skills!E16=TRUE,Inputs!$B$32,0))))+1)),0)</f>
        <v/>
      </c>
      <c r="S594" t="n">
        <v>0</v>
      </c>
      <c r="U594" t="n">
        <v>0</v>
      </c>
    </row>
    <row r="595">
      <c r="A595">
        <f>Skills!A17</f>
        <v/>
      </c>
      <c r="B595">
        <f>Skills!B17</f>
        <v/>
      </c>
      <c r="C595">
        <f>Inputs!$B$3&gt;=33</f>
        <v/>
      </c>
      <c r="D595">
        <f>IF(Skills!C17=1,60+Inputs!$B$25+Inputs!$B$29,IF(Skills!C17=2,90+Inputs!$B$26+Inputs!$B$29,IF(Skills!C17=3,120+Inputs!$B$27+Inputs!$B$29,MAX(0,(Inputs!$B$3-100)*3)+Inputs!$B$28+Inputs!$B$29)))</f>
        <v/>
      </c>
      <c r="E595">
        <f>INDEX(FactorTable!$B$2:$Y$301, MATCH(ROUND(MIN(300,MAX(1,D595)),0), FactorTable!$A$2:$A$301,0), Skills!L17+1)</f>
        <v/>
      </c>
      <c r="F595">
        <f>IF(Skills!M17=TRUE,(Skills!K17/10)*(E595/1000),Skills!K17/10)+Skills!N17</f>
        <v/>
      </c>
      <c r="G595">
        <f>Calc!G17</f>
        <v/>
      </c>
      <c r="H595">
        <f>Calc!H17</f>
        <v/>
      </c>
      <c r="I595">
        <f>IF(Skills!T17&lt;&gt;"",1+(Skills!T17/10)*(Z581/1000)/100,1)</f>
        <v/>
      </c>
      <c r="J595" t="inlineStr"/>
      <c r="K595" t="inlineStr"/>
      <c r="L595" t="inlineStr"/>
      <c r="M595" t="inlineStr"/>
      <c r="N595" t="inlineStr"/>
      <c r="O595">
        <f>(1-Summary!$B$51)*S595+Summary!$B$51*U595</f>
        <v/>
      </c>
      <c r="P595">
        <f>IF(B614=0,0,O595/B614)</f>
        <v/>
      </c>
      <c r="Q595">
        <f>IFERROR(1/IF(Inputs!$B$38="pvp",15,MAX(0.1,Skills!D17-IF(Skills!E17=TRUE,Inputs!$B$32,0))),0)</f>
        <v/>
      </c>
      <c r="R595" t="n">
        <v>0</v>
      </c>
      <c r="S595" t="n">
        <v>0</v>
      </c>
      <c r="U595" t="n">
        <v>0</v>
      </c>
    </row>
    <row r="596">
      <c r="A596">
        <f>Skills!A18</f>
        <v/>
      </c>
      <c r="B596">
        <f>Skills!B18</f>
        <v/>
      </c>
      <c r="C596">
        <f>Inputs!$B$3&gt;=43</f>
        <v/>
      </c>
      <c r="D596">
        <f>IF(Skills!C18=1,60+Inputs!$B$25+Inputs!$B$29,IF(Skills!C18=2,90+Inputs!$B$26+Inputs!$B$29,IF(Skills!C18=3,120+Inputs!$B$27+Inputs!$B$29,MAX(0,(Inputs!$B$3-100)*3)+Inputs!$B$28+Inputs!$B$29)))</f>
        <v/>
      </c>
      <c r="E596">
        <f>INDEX(FactorTable!$B$2:$Y$301, MATCH(ROUND(MIN(300,MAX(1,D596)),0), FactorTable!$A$2:$A$301,0), Skills!L18+1)</f>
        <v/>
      </c>
      <c r="F596">
        <f>IF(Skills!M18=TRUE,(Skills!K18/10)*(E596/1000),Skills!K18/10)+Skills!N18</f>
        <v/>
      </c>
      <c r="G596">
        <f>Calc!G18</f>
        <v/>
      </c>
      <c r="H596">
        <f>Calc!H18</f>
        <v/>
      </c>
      <c r="I596">
        <f>IF(Skills!T18&lt;&gt;"",1+(Skills!T18/10)*(Z581/1000)/100,1)</f>
        <v/>
      </c>
      <c r="J596" t="inlineStr"/>
      <c r="K596" t="inlineStr"/>
      <c r="L596" t="inlineStr"/>
      <c r="M596" t="inlineStr"/>
      <c r="N596" t="inlineStr"/>
      <c r="O596">
        <f>(1-Summary!$B$51)*S596+Summary!$B$51*U596</f>
        <v/>
      </c>
      <c r="P596">
        <f>IF(B614=0,0,O596/B614)</f>
        <v/>
      </c>
      <c r="Q596">
        <f>IFERROR(1/IF(Inputs!$B$38="pvp",15,MAX(0.1,Skills!D18-IF(Skills!E18=TRUE,Inputs!$B$32,0))),0)</f>
        <v/>
      </c>
      <c r="R596" t="n">
        <v>0</v>
      </c>
      <c r="S596" t="n">
        <v>0</v>
      </c>
      <c r="U596" t="n">
        <v>0</v>
      </c>
    </row>
    <row r="597">
      <c r="A597">
        <f>Skills!A19</f>
        <v/>
      </c>
      <c r="B597">
        <f>Skills!B19</f>
        <v/>
      </c>
      <c r="C597">
        <f>Inputs!$B$3&gt;=50</f>
        <v/>
      </c>
      <c r="D597">
        <f>IF(Skills!C19=1,60+Inputs!$B$25+Inputs!$B$29,IF(Skills!C19=2,90+Inputs!$B$26+Inputs!$B$29,IF(Skills!C19=3,120+Inputs!$B$27+Inputs!$B$29,MAX(0,(Inputs!$B$3-100)*3)+Inputs!$B$28+Inputs!$B$29)))</f>
        <v/>
      </c>
      <c r="E597">
        <f>INDEX(FactorTable!$B$2:$Y$301, MATCH(ROUND(MIN(300,MAX(1,D597)),0), FactorTable!$A$2:$A$301,0), Skills!L19+1)</f>
        <v/>
      </c>
      <c r="F597">
        <f>IF(Skills!M19=TRUE,(Skills!K19/10)*(E597/1000),Skills!K19/10)+Skills!N19</f>
        <v/>
      </c>
      <c r="G597">
        <f>Calc!G19</f>
        <v/>
      </c>
      <c r="H597">
        <f>Calc!H19</f>
        <v/>
      </c>
      <c r="I597">
        <f>IF(Skills!T19&lt;&gt;"",1+(Skills!T19/10)*(Z581/1000)/100,1)</f>
        <v/>
      </c>
      <c r="J597" t="inlineStr"/>
      <c r="K597" t="inlineStr"/>
      <c r="L597" t="inlineStr"/>
      <c r="M597" t="inlineStr"/>
      <c r="N597" t="inlineStr"/>
      <c r="O597">
        <f>(1-Summary!$B$51)*S597+Summary!$B$51*U597</f>
        <v/>
      </c>
      <c r="P597">
        <f>IF(B614=0,0,O597/B614)</f>
        <v/>
      </c>
      <c r="Q597">
        <f>IFERROR(1/IF(Inputs!$B$38="pvp",15,MAX(0.1,Skills!D19-IF(Skills!E19=TRUE,Inputs!$B$32,0))),0)</f>
        <v/>
      </c>
      <c r="R597" t="n">
        <v>0</v>
      </c>
      <c r="S597" t="n">
        <v>0</v>
      </c>
      <c r="U597" t="n">
        <v>0</v>
      </c>
    </row>
    <row r="598">
      <c r="A598">
        <f>Skills!A20</f>
        <v/>
      </c>
      <c r="B598">
        <f>Skills!B20</f>
        <v/>
      </c>
      <c r="C598">
        <f>Inputs!$B$3&gt;=74</f>
        <v/>
      </c>
      <c r="D598">
        <f>IF(Skills!C20=1,60+Inputs!$B$25+Inputs!$B$29,IF(Skills!C20=2,90+Inputs!$B$26+Inputs!$B$29,IF(Skills!C20=3,120+Inputs!$B$27+Inputs!$B$29,MAX(0,(Inputs!$B$3-100)*3)+Inputs!$B$28+Inputs!$B$29)))</f>
        <v/>
      </c>
      <c r="E598">
        <f>INDEX(FactorTable!$B$2:$Y$301, MATCH(ROUND(MIN(300,MAX(1,D598)),0), FactorTable!$A$2:$A$301,0), Skills!L20+1)</f>
        <v/>
      </c>
      <c r="F598">
        <f>IF(Skills!M20=TRUE,(Skills!K20/10)*(E598/1000),Skills!K20/10)+Skills!N20</f>
        <v/>
      </c>
      <c r="G598">
        <f>Calc!G20</f>
        <v/>
      </c>
      <c r="H598">
        <f>Calc!H20</f>
        <v/>
      </c>
      <c r="I598">
        <f>IF(Skills!T20&lt;&gt;"",1+(Skills!T20/10)*(Z581/1000)/100,1)</f>
        <v/>
      </c>
      <c r="J598" t="inlineStr"/>
      <c r="K598" t="inlineStr"/>
      <c r="L598" t="inlineStr"/>
      <c r="M598" t="inlineStr"/>
      <c r="N598" t="inlineStr"/>
      <c r="O598">
        <f>(1-Summary!$B$51)*S598+Summary!$B$51*U598</f>
        <v/>
      </c>
      <c r="P598">
        <f>IF(B614=0,0,O598/B614)</f>
        <v/>
      </c>
      <c r="Q598">
        <f>IFERROR(1/IF(Inputs!$B$38="pvp",15,MAX(0.1,Skills!D20-IF(Skills!E20=TRUE,Inputs!$B$32,0))),0)</f>
        <v/>
      </c>
      <c r="R598" t="n">
        <v>0</v>
      </c>
      <c r="S598" t="n">
        <v>0</v>
      </c>
      <c r="U598" t="n">
        <v>0</v>
      </c>
    </row>
    <row r="599">
      <c r="A599">
        <f>Skills!A21</f>
        <v/>
      </c>
      <c r="B599">
        <f>Skills!B21</f>
        <v/>
      </c>
      <c r="C599">
        <f>Inputs!$B$3&gt;=74</f>
        <v/>
      </c>
      <c r="D599">
        <f>IF(Skills!C21=1,60+Inputs!$B$25+Inputs!$B$29,IF(Skills!C21=2,90+Inputs!$B$26+Inputs!$B$29,IF(Skills!C21=3,120+Inputs!$B$27+Inputs!$B$29,MAX(0,(Inputs!$B$3-100)*3)+Inputs!$B$28+Inputs!$B$29)))</f>
        <v/>
      </c>
      <c r="E599">
        <f>INDEX(FactorTable!$B$2:$Y$301, MATCH(ROUND(MIN(300,MAX(1,D599)),0), FactorTable!$A$2:$A$301,0), Skills!L21+1)</f>
        <v/>
      </c>
      <c r="F599">
        <f>IF(Skills!M21=TRUE,(Skills!K21/10)*(E599/1000),Skills!K21/10)+Skills!N21</f>
        <v/>
      </c>
      <c r="G599">
        <f>Calc!G21</f>
        <v/>
      </c>
      <c r="H599">
        <f>Calc!H21</f>
        <v/>
      </c>
      <c r="I599">
        <f>IF(Skills!T21&lt;&gt;"",1+(Skills!T21/10)*(Z581/1000)/100,1)</f>
        <v/>
      </c>
      <c r="J599" t="inlineStr"/>
      <c r="K599" t="inlineStr"/>
      <c r="L599" t="inlineStr"/>
      <c r="M599" t="inlineStr"/>
      <c r="N599" t="inlineStr"/>
      <c r="O599">
        <f>(1-Summary!$B$51)*S599+Summary!$B$51*U599</f>
        <v/>
      </c>
      <c r="P599">
        <f>IF(B614=0,0,O599/B614)</f>
        <v/>
      </c>
      <c r="Q599">
        <f>IFERROR(1/IF(Inputs!$B$38="pvp",15,MAX(0.1,Skills!D21-IF(Skills!E21=TRUE,Inputs!$B$32,0))),0)</f>
        <v/>
      </c>
      <c r="R599" t="n">
        <v>0</v>
      </c>
      <c r="S599" t="n">
        <v>0</v>
      </c>
      <c r="U599" t="n">
        <v>0</v>
      </c>
    </row>
    <row r="600">
      <c r="A600">
        <f>Skills!A22</f>
        <v/>
      </c>
      <c r="B600">
        <f>Skills!B22</f>
        <v/>
      </c>
      <c r="C600">
        <f>Inputs!$B$3&gt;=117</f>
        <v/>
      </c>
      <c r="D600">
        <f>IF(Skills!C22=1,60+Inputs!$B$25+Inputs!$B$29,IF(Skills!C22=2,90+Inputs!$B$26+Inputs!$B$29,IF(Skills!C22=3,120+Inputs!$B$27+Inputs!$B$29,MAX(0,(Inputs!$B$3-100)*3)+Inputs!$B$28+Inputs!$B$29)))</f>
        <v/>
      </c>
      <c r="E600">
        <f>INDEX(FactorTable!$B$2:$Y$301, MATCH(ROUND(MIN(300,MAX(1,D600)),0), FactorTable!$A$2:$A$301,0), Skills!L22+1)</f>
        <v/>
      </c>
      <c r="F600">
        <f>IF(Skills!M22=TRUE,(Skills!K22/10)*(E600/1000),Skills!K22/10)+Skills!N22</f>
        <v/>
      </c>
      <c r="G600">
        <f>Calc!G22</f>
        <v/>
      </c>
      <c r="H600">
        <f>Calc!H22</f>
        <v/>
      </c>
      <c r="I600">
        <f>IF(Skills!T22&lt;&gt;"",1+(Skills!T22/10)*(Z581/1000)/100,1)</f>
        <v/>
      </c>
      <c r="J600" t="inlineStr"/>
      <c r="K600" t="inlineStr"/>
      <c r="L600" t="inlineStr"/>
      <c r="M600" t="inlineStr"/>
      <c r="N600" t="inlineStr"/>
      <c r="O600">
        <f>(1-Summary!$B$51)*S600+Summary!$B$51*U600</f>
        <v/>
      </c>
      <c r="P600">
        <f>IF(B614=0,0,O600/B614)</f>
        <v/>
      </c>
      <c r="Q600">
        <f>IFERROR(1/IF(Inputs!$B$38="pvp",15,MAX(0.1,Skills!D22-IF(Skills!E22=TRUE,Inputs!$B$32,0))),0)</f>
        <v/>
      </c>
      <c r="R600" t="n">
        <v>0</v>
      </c>
      <c r="S600" t="n">
        <v>0</v>
      </c>
      <c r="U600" t="n">
        <v>0</v>
      </c>
    </row>
    <row r="601">
      <c r="A601">
        <f>Skills!A23</f>
        <v/>
      </c>
      <c r="B601">
        <f>Skills!B23</f>
        <v/>
      </c>
      <c r="C601">
        <f>Inputs!$B$3&gt;=120</f>
        <v/>
      </c>
      <c r="D601">
        <f>IF(Skills!C23=1,60+Inputs!$B$25+Inputs!$B$29,IF(Skills!C23=2,90+Inputs!$B$26+Inputs!$B$29,IF(Skills!C23=3,120+Inputs!$B$27+Inputs!$B$29,MAX(0,(Inputs!$B$3-100)*3)+Inputs!$B$28+Inputs!$B$29)))</f>
        <v/>
      </c>
      <c r="E601">
        <f>INDEX(FactorTable!$B$2:$Y$301, MATCH(ROUND(MIN(300,MAX(1,D601)),0), FactorTable!$A$2:$A$301,0), Skills!L23+1)</f>
        <v/>
      </c>
      <c r="F601">
        <f>IF(Skills!M23=TRUE,(Skills!K23/10)*(E601/1000),Skills!K23/10)+Skills!N23</f>
        <v/>
      </c>
      <c r="G601">
        <f>Calc!G23</f>
        <v/>
      </c>
      <c r="H601">
        <f>Calc!H23</f>
        <v/>
      </c>
      <c r="I601">
        <f>IF(Skills!T23&lt;&gt;"",1+(Skills!T23/10)*(Z581/1000)/100,1)</f>
        <v/>
      </c>
      <c r="J601" t="inlineStr"/>
      <c r="K601" t="inlineStr"/>
      <c r="L601" t="inlineStr"/>
      <c r="M601" t="inlineStr"/>
      <c r="N601" t="inlineStr"/>
      <c r="O601">
        <f>(1-Summary!$B$51)*S601+Summary!$B$51*U601</f>
        <v/>
      </c>
      <c r="P601">
        <f>IF(B614=0,0,O601/B614)</f>
        <v/>
      </c>
      <c r="Q601">
        <f>IFERROR(1/IF(Inputs!$B$38="pvp",15,MAX(0.1,Skills!D23-IF(Skills!E23=TRUE,Inputs!$B$32,0))),0)</f>
        <v/>
      </c>
      <c r="R601" t="n">
        <v>0</v>
      </c>
      <c r="S601" t="n">
        <v>0</v>
      </c>
      <c r="U601" t="n">
        <v>0</v>
      </c>
    </row>
    <row r="604">
      <c r="A604" t="inlineStr">
        <is>
          <t>Average Buff Multiplier (Magic Guard + Meditation, summed; then Infinity)</t>
        </is>
      </c>
      <c r="B604">
        <f>(1+(IF(C581=TRUE,F581*IF(AND(Inputs!$B$38&lt;&gt;"pvp",Inputs!$B$43&gt;0),(((R581-1)*(Skills!S3*(1+(Inputs!$B$34+IF(Inputs!$B$3&gt;=117,F600,0))/100))+MIN((Skills!S3*(1+(Inputs!$B$34+IF(Inputs!$B$3&gt;=117,F600,0))/100)),MAX(0,Inputs!$B$43-((R581-1)*Skills!D3))))/Inputs!$B$43),IF(Inputs!$B$38="pvp",MIN((Skills!S3*(1+(Inputs!$B$34+IF(Inputs!$B$3&gt;=117,F600,0))/100)),15)/15,(Skills!S3*(1+(Inputs!$B$34+IF(Inputs!$B$3&gt;=117,F600,0))/100))/Skills!D3)),0)+IF(C582=TRUE,F582*IF(AND(Inputs!$B$38&lt;&gt;"pvp",Inputs!$B$43&gt;0),(((R582-1)*(Skills!S4*(1+(Inputs!$B$34+IF(Inputs!$B$3&gt;=117,F600,0))/100))+MIN((Skills!S4*(1+(Inputs!$B$34+IF(Inputs!$B$3&gt;=117,F600,0))/100)),MAX(0,Inputs!$B$43-((R582-1)*Skills!D4))))/Inputs!$B$43),IF(Inputs!$B$38="pvp",MIN((Skills!S4*(1+(Inputs!$B$34+IF(Inputs!$B$3&gt;=117,F600,0))/100)),15)/15,(Skills!S4*(1+(Inputs!$B$34+IF(Inputs!$B$3&gt;=117,F600,0))/100))/Skills!D4)),0))/100)*IF(C594=TRUE,(1+F594*IF(AND(Inputs!$B$38&lt;&gt;"pvp",Inputs!$B$43&gt;0),(((R594-1)*(Skills!S16*(1+(Inputs!$B$34+IF(Inputs!$B$3&gt;=117,F600,0))/100))+MIN((Skills!S16*(1+(Inputs!$B$34+IF(Inputs!$B$3&gt;=117,F600,0))/100)),MAX(0,Inputs!$B$43-((R594-1)*Skills!D16))))/Inputs!$B$43),IF(Inputs!$B$38="pvp",MIN((Skills!S16*(1+(Inputs!$B$34+IF(Inputs!$B$3&gt;=117,F600,0))/100)),15)/15,(Skills!S16*(1+(Inputs!$B$34+IF(Inputs!$B$3&gt;=117,F600,0))/100))/Skills!D16))/100),1)</f>
        <v/>
      </c>
    </row>
    <row r="605">
      <c r="A605" t="inlineStr">
        <is>
          <t>Monster Damage Taken Bonus % (Freezing Breath - Weaken + Elemental Reset, summed)</t>
        </is>
      </c>
      <c r="B605">
        <f>IF(Inputs!$B$3&gt;=118,15*IF(Inputs!$B$38="pvp",MIN((30*(1+(Inputs!$B$34+IF(Inputs!$B$3&gt;=117,F600,0))/100)),15)/15,(30*(1+(Inputs!$B$34+IF(Inputs!$B$3&gt;=117,F600,0))/100))/Skills!D8),0)+IF(C592=TRUE,F592,0)</f>
        <v/>
      </c>
    </row>
    <row r="606">
      <c r="A606" t="inlineStr">
        <is>
          <t>Damage % Bonus (Frozen Break + Frost Clutch, flat)</t>
        </is>
      </c>
      <c r="B606">
        <f>IF(Inputs!$B$3&gt;=66,15,0)+IF(Inputs!$B$3&gt;=98,10,0)+IF(Inputs!$B$3&gt;=125,20,0)</f>
        <v/>
      </c>
    </row>
    <row r="607">
      <c r="A607" t="inlineStr">
        <is>
          <t>Attack Speed Bonus % (MP Eater - MP Boost, always-on once unlocked)</t>
        </is>
      </c>
      <c r="B607">
        <f>IF(C591=TRUE,F591+(F595-Calc!F17),0)</f>
        <v/>
      </c>
    </row>
    <row r="608">
      <c r="A608" t="inlineStr">
        <is>
          <t>Actions Per Second</t>
        </is>
      </c>
      <c r="B608">
        <f>1+MIN(150,150*(1-(1-Inputs!$B$11/150)*(1-B607/150)))/100</f>
        <v/>
      </c>
    </row>
    <row r="609">
      <c r="A609" t="inlineStr">
        <is>
          <t>Skill + Buff Cast Rate</t>
        </is>
      </c>
      <c r="B609">
        <f>IF(AND(Inputs!$B$38&lt;&gt;"pvp",Inputs!$B$43&gt;0),SUMPRODUCT((Skills!E2:E23=TRUE)*(C580:C601=TRUE)*R580:R601)/Inputs!$B$43,SUMPRODUCT((Skills!E2:E23=TRUE)*(C580:C601=TRUE)*Q580:Q601))</f>
        <v/>
      </c>
    </row>
    <row r="610">
      <c r="A610" t="inlineStr">
        <is>
          <t>Chain Lightning Casts Per Second</t>
        </is>
      </c>
      <c r="B610">
        <f>MAX(0,B608-B609)</f>
        <v/>
      </c>
    </row>
    <row r="611">
      <c r="A611" t="inlineStr">
        <is>
          <t>Buff-Casting Startup Delay (s, fixed-duration only)</t>
        </is>
      </c>
      <c r="B611">
        <f>IF(AND(Inputs!$B$38&lt;&gt;"pvp",Inputs!$B$43&gt;0),SUMPRODUCT((Skills!S2:S23&gt;0)*(Skills!E2:E23=TRUE)*(C580:C601=TRUE))/B608,0)</f>
        <v/>
      </c>
    </row>
    <row r="612">
      <c r="A612" t="inlineStr">
        <is>
          <t>Boss-Only Total DPS (this block's swept value)</t>
        </is>
      </c>
      <c r="B612">
        <f>SUM(S580:S601)</f>
        <v/>
      </c>
    </row>
    <row r="613">
      <c r="A613" t="inlineStr">
        <is>
          <t>Normal-Only Total DPS (this block's swept value)</t>
        </is>
      </c>
      <c r="B613">
        <f>SUM(U580:U601)</f>
        <v/>
      </c>
    </row>
    <row r="614">
      <c r="A614" s="5" t="inlineStr">
        <is>
          <t>TOTAL DPS</t>
        </is>
      </c>
      <c r="B614" s="5">
        <f>SUM(O580:O601)</f>
        <v/>
      </c>
    </row>
    <row r="617">
      <c r="A617" s="5" t="inlineStr">
        <is>
          <t>Stat: Skill Level Bonus — 1st Job</t>
        </is>
      </c>
    </row>
    <row r="618">
      <c r="A618" s="9" t="inlineStr">
        <is>
          <t>Key</t>
        </is>
      </c>
      <c r="B618" s="9" t="inlineStr">
        <is>
          <t>Name</t>
        </is>
      </c>
      <c r="C618" s="9" t="inlineStr">
        <is>
          <t>Unlocked</t>
        </is>
      </c>
      <c r="D618" s="9" t="inlineStr">
        <is>
          <t>InputLevel</t>
        </is>
      </c>
      <c r="E618" s="9" t="inlineStr">
        <is>
          <t>Factor</t>
        </is>
      </c>
      <c r="F618" s="9" t="inlineStr">
        <is>
          <t>CoefficientPercent</t>
        </is>
      </c>
      <c r="G618" s="9" t="inlineStr">
        <is>
          <t>EffectiveHits</t>
        </is>
      </c>
      <c r="H618" s="9" t="inlineStr">
        <is>
          <t>ProcProbability</t>
        </is>
      </c>
      <c r="I618" s="9" t="inlineStr">
        <is>
          <t>MapleHeroMultiplier</t>
        </is>
      </c>
      <c r="J618" s="9" t="inlineStr">
        <is>
          <t>BaseDamage</t>
        </is>
      </c>
      <c r="K618" s="9" t="inlineStr">
        <is>
          <t>BaseHitDamage</t>
        </is>
      </c>
      <c r="L618" s="9" t="inlineStr">
        <is>
          <t>NonCritAvg</t>
        </is>
      </c>
      <c r="M618" s="9" t="inlineStr">
        <is>
          <t>CritAvg</t>
        </is>
      </c>
      <c r="N618" s="9" t="inlineStr">
        <is>
          <t>ExpectedDamage(perHit)</t>
        </is>
      </c>
      <c r="O618" s="9" t="inlineStr">
        <is>
          <t>DPS</t>
        </is>
      </c>
      <c r="P618" s="9" t="inlineStr">
        <is>
          <t>% of Total</t>
        </is>
      </c>
      <c r="R618" t="inlineStr">
        <is>
          <t>helpers</t>
        </is>
      </c>
    </row>
    <row r="619">
      <c r="A619">
        <f>Skills!A2</f>
        <v/>
      </c>
      <c r="B619">
        <f>Skills!B2</f>
        <v/>
      </c>
      <c r="C619">
        <f>Inputs!$B$3&gt;=100</f>
        <v/>
      </c>
      <c r="D619" t="inlineStr"/>
      <c r="E619" t="inlineStr"/>
      <c r="F619">
        <f>T621+Skills!N2</f>
        <v/>
      </c>
      <c r="G619">
        <f>Calc!G2</f>
        <v/>
      </c>
      <c r="H619">
        <f>Calc!H2</f>
        <v/>
      </c>
      <c r="I619">
        <f>IF(Skills!T2&lt;&gt;"",1+(Skills!T2/10)*(Z620/1000)/100,1)</f>
        <v/>
      </c>
      <c r="J619">
        <f>((Inputs!$B$6*(1+Inputs!$B$7/100))+(((Inputs!$B$12*(1+Inputs!$B$13/100))-(Inputs!$B$12*(1+Inputs!$B$13/100)))+0.25*(Inputs!$B$14-Inputs!$B$14))*(1+Inputs!$B$7/100))*(F619/100)</f>
        <v/>
      </c>
      <c r="K619">
        <f>J619*(1+((Inputs!$B$12*(1+Inputs!$B$13/100))*0.01+Inputs!$B$14*0.0025)/100)*(1+(Inputs!$B$15+B645)/100)*(1+Inputs!$B$16/100)*(5000/(6000+Inputs!$B$42*(1-Inputs!$B$19/100)))*(1+Inputs!$B$24/100)*(1+IF(C632=TRUE,F632,0)/100)*(1+IF(C640=TRUE,F640,0)/100)^5*(1+(IF(Skills!A2="CHAIN_LIGHTNING",Inputs!$B$17,Inputs!$B$18))/100)*(B643*I619)</f>
        <v/>
      </c>
      <c r="L619">
        <f>K619*(MIN(Inputs!$B$22+(F635-Calc!F18),Inputs!$B$23)/100+Inputs!$B$23/100)/2</f>
        <v/>
      </c>
      <c r="M619">
        <f>L619*(1+(Inputs!$B$10+(F638-Calc!F21))/100)</f>
        <v/>
      </c>
      <c r="N619">
        <f>L619*(1-MIN(Inputs!$B$9+((F637-Calc!F20)+(F636-Calc!F19)),100)/100)+M619*(MIN(Inputs!$B$9+((F637-Calc!F20)+(F636-Calc!F19)),100)/100)</f>
        <v/>
      </c>
      <c r="O619">
        <f>(1-Summary!$B$51)*S619+Summary!$B$51*U619</f>
        <v/>
      </c>
      <c r="P619">
        <f>IF(B653=0,0,O619/B653)</f>
        <v/>
      </c>
      <c r="Q619">
        <f>IFERROR(1/IF(Inputs!$B$38="pvp",15,MAX(0.1,Skills!D2-IF(Skills!E2=TRUE,Inputs!$B$32,0))),0)</f>
        <v/>
      </c>
      <c r="R619" t="n">
        <v>0</v>
      </c>
      <c r="S619">
        <f>IF(C619,(Skills!F2*N619*B649)*IF(Inputs!$B$38="pvp",1,1+(Inputs!$B$20+Skills!O2+B644)/100),0)</f>
        <v/>
      </c>
      <c r="T619">
        <f>MAX(0,(Inputs!$B$3-100)*3)+Inputs!$B$28+Inputs!$B$29</f>
        <v/>
      </c>
      <c r="U619">
        <f>IF(C619,(Skills!F2*N619*B649)*IF(Inputs!$B$38="pvp",1,(1+(Inputs!$B$21+Skills!P2+B644)/100)*(MIN((6+Inputs!$B$33),Inputs!$B$37))),0)</f>
        <v/>
      </c>
      <c r="Z619">
        <f>MAX(0,(Inputs!$B$3-100)*3)+Inputs!$B$28+Inputs!$B$29</f>
        <v/>
      </c>
    </row>
    <row r="620">
      <c r="A620">
        <f>Skills!A3</f>
        <v/>
      </c>
      <c r="B620">
        <f>Skills!B3</f>
        <v/>
      </c>
      <c r="C620">
        <f>Inputs!$B$3&gt;=15</f>
        <v/>
      </c>
      <c r="D620">
        <f>IF(Skills!C3=1,60+(Inputs!$B$25+1)+Inputs!$B$29,IF(Skills!C3=2,90+Inputs!$B$26+Inputs!$B$29,IF(Skills!C3=3,120+Inputs!$B$27+Inputs!$B$29,MAX(0,(Inputs!$B$3-100)*3)+Inputs!$B$28+Inputs!$B$29)))</f>
        <v/>
      </c>
      <c r="E620">
        <f>INDEX(FactorTable!$B$2:$Y$301, MATCH(ROUND(MIN(300,MAX(1,D620)),0), FactorTable!$A$2:$A$301,0), Skills!L3+1)</f>
        <v/>
      </c>
      <c r="F620">
        <f>IF(Skills!M3=TRUE,(Skills!K3/10)*(E620/1000),Skills!K3/10)+Skills!N3</f>
        <v/>
      </c>
      <c r="G620">
        <f>Calc!G3</f>
        <v/>
      </c>
      <c r="H620">
        <f>Calc!H3</f>
        <v/>
      </c>
      <c r="I620">
        <f>IF(Skills!T3&lt;&gt;"",1+(Skills!T3/10)*(Z620/1000)/100,1)</f>
        <v/>
      </c>
      <c r="J620" t="inlineStr"/>
      <c r="K620" t="inlineStr"/>
      <c r="L620" t="inlineStr"/>
      <c r="M620" t="inlineStr"/>
      <c r="N620" t="inlineStr"/>
      <c r="O620">
        <f>(1-Summary!$B$51)*S620+Summary!$B$51*U620</f>
        <v/>
      </c>
      <c r="P620">
        <f>IF(B653=0,0,O620/B653)</f>
        <v/>
      </c>
      <c r="Q620">
        <f>IFERROR(1/IF(Inputs!$B$38="pvp",15,MAX(0.1,Skills!D3-IF(Skills!E3=TRUE,Inputs!$B$32,0))),0)</f>
        <v/>
      </c>
      <c r="R620">
        <f>IF(AND(Inputs!$B$38&lt;&gt;"pvp",Inputs!$B$43&gt;0),IF(Inputs!$B$43&lt;=0,0,(INT(Inputs!$B$43/IF(Inputs!$B$38="pvp",15,MAX(0.1,Skills!D3-IF(Skills!E3=TRUE,Inputs!$B$32,0))))+1)),0)</f>
        <v/>
      </c>
      <c r="S620" t="n">
        <v>0</v>
      </c>
      <c r="T620">
        <f>INDEX(FactorTable!$B$2:$Y$301, MATCH(ROUND(MIN(300,MAX(1,T619)),0), FactorTable!$A$2:$A$301,0), 22)</f>
        <v/>
      </c>
      <c r="U620" t="n">
        <v>0</v>
      </c>
      <c r="Z620">
        <f>INDEX(FactorTable!$B$2:$Y$301, MATCH(ROUND(MIN(300,MAX(1,Z619)),0), FactorTable!$A$2:$A$301,0), 24)</f>
        <v/>
      </c>
    </row>
    <row r="621">
      <c r="A621">
        <f>Skills!A4</f>
        <v/>
      </c>
      <c r="B621">
        <f>Skills!B4</f>
        <v/>
      </c>
      <c r="C621">
        <f>Inputs!$B$3&gt;=40</f>
        <v/>
      </c>
      <c r="D621">
        <f>IF(Skills!C4=1,60+(Inputs!$B$25+1)+Inputs!$B$29,IF(Skills!C4=2,90+Inputs!$B$26+Inputs!$B$29,IF(Skills!C4=3,120+Inputs!$B$27+Inputs!$B$29,MAX(0,(Inputs!$B$3-100)*3)+Inputs!$B$28+Inputs!$B$29)))</f>
        <v/>
      </c>
      <c r="E621">
        <f>INDEX(FactorTable!$B$2:$Y$301, MATCH(ROUND(MIN(300,MAX(1,D621)),0), FactorTable!$A$2:$A$301,0), Skills!L4+1)</f>
        <v/>
      </c>
      <c r="F621">
        <f>IF(Skills!M4=TRUE,(Skills!K4/10)*(E621/1000),Skills!K4/10)+Skills!N4</f>
        <v/>
      </c>
      <c r="G621">
        <f>Calc!G4</f>
        <v/>
      </c>
      <c r="H621">
        <f>Calc!H4</f>
        <v/>
      </c>
      <c r="I621">
        <f>IF(Skills!T4&lt;&gt;"",1+(Skills!T4/10)*(Z620/1000)/100,1)</f>
        <v/>
      </c>
      <c r="J621" t="inlineStr"/>
      <c r="K621" t="inlineStr"/>
      <c r="L621" t="inlineStr"/>
      <c r="M621" t="inlineStr"/>
      <c r="N621" t="inlineStr"/>
      <c r="O621">
        <f>(1-Summary!$B$51)*S621+Summary!$B$51*U621</f>
        <v/>
      </c>
      <c r="P621">
        <f>IF(B653=0,0,O621/B653)</f>
        <v/>
      </c>
      <c r="Q621">
        <f>IFERROR(1/IF(Inputs!$B$38="pvp",15,MAX(0.1,Skills!D4-IF(Skills!E4=TRUE,Inputs!$B$32,0))),0)</f>
        <v/>
      </c>
      <c r="R621">
        <f>IF(AND(Inputs!$B$38&lt;&gt;"pvp",Inputs!$B$43&gt;0),IF(Inputs!$B$43&lt;=0,0,(INT(Inputs!$B$43/IF(Inputs!$B$38="pvp",15,MAX(0.1,Skills!D4-IF(Skills!E4=TRUE,Inputs!$B$32,0))))+1)),0)</f>
        <v/>
      </c>
      <c r="S621" t="n">
        <v>0</v>
      </c>
      <c r="T621">
        <f>290*T620/1000</f>
        <v/>
      </c>
      <c r="U621" t="n">
        <v>0</v>
      </c>
    </row>
    <row r="622">
      <c r="A622">
        <f>Skills!A5</f>
        <v/>
      </c>
      <c r="B622">
        <f>Skills!B5</f>
        <v/>
      </c>
      <c r="C622">
        <f>Inputs!$B$3&gt;=38</f>
        <v/>
      </c>
      <c r="D622">
        <f>IF(Skills!C5=1,60+(Inputs!$B$25+1)+Inputs!$B$29,IF(Skills!C5=2,90+Inputs!$B$26+Inputs!$B$29,IF(Skills!C5=3,120+Inputs!$B$27+Inputs!$B$29,MAX(0,(Inputs!$B$3-100)*3)+Inputs!$B$28+Inputs!$B$29)))</f>
        <v/>
      </c>
      <c r="E622">
        <f>INDEX(FactorTable!$B$2:$Y$301, MATCH(ROUND(MIN(300,MAX(1,D622)),0), FactorTable!$A$2:$A$301,0), Skills!L5+1)</f>
        <v/>
      </c>
      <c r="F622">
        <f>IF(Skills!M5=TRUE,(Skills!K5/10)*(E622/1000),Skills!K5/10)+Skills!N5</f>
        <v/>
      </c>
      <c r="G622">
        <f>Calc!G5</f>
        <v/>
      </c>
      <c r="H622">
        <f>Calc!H5</f>
        <v/>
      </c>
      <c r="I622">
        <f>IF(Skills!T5&lt;&gt;"",1+(Skills!T5/10)*(Z620/1000)/100,1)</f>
        <v/>
      </c>
      <c r="J622">
        <f>((Inputs!$B$6*(1+Inputs!$B$7/100))+(((Inputs!$B$12*(1+Inputs!$B$13/100))-(Inputs!$B$12*(1+Inputs!$B$13/100)))+0.25*(Inputs!$B$14-Inputs!$B$14))*(1+Inputs!$B$7/100))*(F622/100)</f>
        <v/>
      </c>
      <c r="K622">
        <f>J622*(1+((Inputs!$B$12*(1+Inputs!$B$13/100))*0.01+Inputs!$B$14*0.0025)/100)*(1+(Inputs!$B$15+B645)/100)*(1+Inputs!$B$16/100)*(5000/(6000+Inputs!$B$42*(1-Inputs!$B$19/100)))*(1+Inputs!$B$24/100)*(1+IF(C632=TRUE,F632,0)/100)*(1+IF(C640=TRUE,F640,0)/100)^5*(1+(IF(Skills!A5="CHAIN_LIGHTNING",Inputs!$B$17,Inputs!$B$18))/100)*(B643*I622)</f>
        <v/>
      </c>
      <c r="L622">
        <f>K622*(MIN(Inputs!$B$22+(F635-Calc!F18),Inputs!$B$23)/100+Inputs!$B$23/100)/2</f>
        <v/>
      </c>
      <c r="M622">
        <f>L622*(1+(Inputs!$B$10+(F638-Calc!F21))/100)</f>
        <v/>
      </c>
      <c r="N622">
        <f>L622*(1-MIN(Inputs!$B$9+((F637-Calc!F20)+(F636-Calc!F19)),100)/100)+M622*(MIN(Inputs!$B$9+((F637-Calc!F20)+(F636-Calc!F19)),100)/100)</f>
        <v/>
      </c>
      <c r="O622">
        <f>(1-Summary!$B$51)*S622+Summary!$B$51*U622</f>
        <v/>
      </c>
      <c r="P622">
        <f>IF(B653=0,0,O622/B653)</f>
        <v/>
      </c>
      <c r="Q622">
        <f>IFERROR(1/IF(Inputs!$B$38="pvp",15,MAX(0.1,Skills!D5-IF(Skills!E5=TRUE,Inputs!$B$32,0))),0)</f>
        <v/>
      </c>
      <c r="R622">
        <f>IF(AND(Inputs!$B$38&lt;&gt;"pvp",Inputs!$B$43&gt;0),IF(MAX(0,Inputs!$B$43-B650)&lt;=0,0,(INT(MAX(0,Inputs!$B$43-B650)/IF(Inputs!$B$38="pvp",15,MAX(0.1,Skills!D5-IF(Skills!E5=TRUE,Inputs!$B$32,0))))+1)),0)</f>
        <v/>
      </c>
      <c r="S622">
        <f>IF(C622,(H622*N622*IF(AND(Inputs!$B$38&lt;&gt;"pvp",Inputs!$B$43&gt;0),((Skills!F5*((R622-1)*IF(Skills!G5&gt;0,Skills!H5/Skills!G5,1)+IF(Skills!G5&gt;0,MIN(Skills!H5,MAX(0,MAX(0,Inputs!$B$43-B650)-((R622-1)*IF(Inputs!$B$38="pvp",15,MAX(0.1,Skills!D5-IF(Skills!E5=TRUE,Inputs!$B$32,0))))))/Skills!G5,1)))/Inputs!$B$43),G622*Q622))*IF(Inputs!$B$38="pvp",1,1+(Inputs!$B$20+Skills!O5+B644)/100),0)</f>
        <v/>
      </c>
      <c r="U622">
        <f>IF(C622,(H622*N622*IF(AND(Inputs!$B$38&lt;&gt;"pvp",Inputs!$B$43&gt;0),((Skills!F5*((R622-1)*IF(Skills!G5&gt;0,Skills!H5/Skills!G5,1)+IF(Skills!G5&gt;0,MIN(Skills!H5,MAX(0,MAX(0,Inputs!$B$43-B650)-((R622-1)*IF(Inputs!$B$38="pvp",15,MAX(0.1,Skills!D5-IF(Skills!E5=TRUE,Inputs!$B$32,0))))))/Skills!G5,1)))/Inputs!$B$43),G622*Q622))*IF(Inputs!$B$38="pvp",1,(1+(Inputs!$B$21+Skills!P5+B644)/100)*(MIN(Skills!Q5,Inputs!$B$37))),0)</f>
        <v/>
      </c>
    </row>
    <row r="623">
      <c r="A623">
        <f>Skills!A6</f>
        <v/>
      </c>
      <c r="B623">
        <f>Skills!B6</f>
        <v/>
      </c>
      <c r="C623">
        <f>Inputs!$B$3&gt;=63</f>
        <v/>
      </c>
      <c r="D623">
        <f>IF(Skills!C6=1,60+(Inputs!$B$25+1)+Inputs!$B$29,IF(Skills!C6=2,90+Inputs!$B$26+Inputs!$B$29,IF(Skills!C6=3,120+Inputs!$B$27+Inputs!$B$29,MAX(0,(Inputs!$B$3-100)*3)+Inputs!$B$28+Inputs!$B$29)))</f>
        <v/>
      </c>
      <c r="E623">
        <f>INDEX(FactorTable!$B$2:$Y$301, MATCH(ROUND(MIN(300,MAX(1,D623)),0), FactorTable!$A$2:$A$301,0), Skills!L6+1)</f>
        <v/>
      </c>
      <c r="F623">
        <f>IF(Skills!M6=TRUE,(Skills!K6/10)*(E623/1000),Skills!K6/10)+Skills!N6</f>
        <v/>
      </c>
      <c r="G623">
        <f>Calc!G6</f>
        <v/>
      </c>
      <c r="H623">
        <f>Calc!H6</f>
        <v/>
      </c>
      <c r="I623">
        <f>IF(Skills!T6&lt;&gt;"",1+(Skills!T6/10)*(Z620/1000)/100,1)</f>
        <v/>
      </c>
      <c r="J623">
        <f>((Inputs!$B$6*(1+Inputs!$B$7/100))+(((Inputs!$B$12*(1+Inputs!$B$13/100))-(Inputs!$B$12*(1+Inputs!$B$13/100)))+0.25*(Inputs!$B$14-Inputs!$B$14))*(1+Inputs!$B$7/100))*(F623/100)</f>
        <v/>
      </c>
      <c r="K623">
        <f>J623*(1+((Inputs!$B$12*(1+Inputs!$B$13/100))*0.01+Inputs!$B$14*0.0025)/100)*(1+(Inputs!$B$15+B645)/100)*(1+Inputs!$B$16/100)*(5000/(6000+Inputs!$B$42*(1-Inputs!$B$19/100)))*(1+Inputs!$B$24/100)*(1+IF(C632=TRUE,F632,0)/100)*(1+IF(C640=TRUE,F640,0)/100)^5*(1+(IF(Skills!A6="CHAIN_LIGHTNING",Inputs!$B$17,Inputs!$B$18))/100)*(B643*I623)</f>
        <v/>
      </c>
      <c r="L623">
        <f>K623*(MIN(Inputs!$B$22+(F635-Calc!F18),Inputs!$B$23)/100+Inputs!$B$23/100)/2</f>
        <v/>
      </c>
      <c r="M623">
        <f>L623*(1+(Inputs!$B$10+(F638-Calc!F21))/100)</f>
        <v/>
      </c>
      <c r="N623">
        <f>L623*(1-MIN(Inputs!$B$9+((F637-Calc!F20)+(F636-Calc!F19)),100)/100)+M623*(MIN(Inputs!$B$9+((F637-Calc!F20)+(F636-Calc!F19)),100)/100)</f>
        <v/>
      </c>
      <c r="O623">
        <f>(1-Summary!$B$51)*S623+Summary!$B$51*U623</f>
        <v/>
      </c>
      <c r="P623">
        <f>IF(B653=0,0,O623/B653)</f>
        <v/>
      </c>
      <c r="Q623">
        <f>IFERROR(1/IF(Inputs!$B$38="pvp",15,MAX(0.1,Skills!D6-IF(Skills!E6=TRUE,Inputs!$B$32,0))),0)</f>
        <v/>
      </c>
      <c r="R623">
        <f>IF(AND(Inputs!$B$38&lt;&gt;"pvp",Inputs!$B$43&gt;0),IF(MAX(0,Inputs!$B$43-B650)&lt;=0,0,(INT(MAX(0,Inputs!$B$43-B650)/IF(Inputs!$B$38="pvp",15,MAX(0.1,Skills!D6-IF(Skills!E6=TRUE,Inputs!$B$32,0))))+1)),0)</f>
        <v/>
      </c>
      <c r="S623">
        <f>IF(C623,(H623*N623*IF(AND(Inputs!$B$38&lt;&gt;"pvp",Inputs!$B$43&gt;0),((Skills!F6*((R623-1)*IF(Skills!G6&gt;0,Skills!H6/Skills!G6,1)+IF(Skills!G6&gt;0,MIN(Skills!H6,MAX(0,MAX(0,Inputs!$B$43-B650)-((R623-1)*IF(Inputs!$B$38="pvp",15,MAX(0.1,Skills!D6-IF(Skills!E6=TRUE,Inputs!$B$32,0))))))/Skills!G6,1)))/Inputs!$B$43),G623*Q623))*IF(Inputs!$B$38="pvp",1,1+(Inputs!$B$20+Skills!O6+B644)/100),0)</f>
        <v/>
      </c>
      <c r="U623">
        <f>IF(C623,(H623*N623*IF(AND(Inputs!$B$38&lt;&gt;"pvp",Inputs!$B$43&gt;0),((Skills!F6*((R623-1)*IF(Skills!G6&gt;0,Skills!H6/Skills!G6,1)+IF(Skills!G6&gt;0,MIN(Skills!H6,MAX(0,MAX(0,Inputs!$B$43-B650)-((R623-1)*IF(Inputs!$B$38="pvp",15,MAX(0.1,Skills!D6-IF(Skills!E6=TRUE,Inputs!$B$32,0))))))/Skills!G6,1)))/Inputs!$B$43),G623*Q623))*IF(Inputs!$B$38="pvp",1,(1+(Inputs!$B$21+Skills!P6+B644)/100)*(MIN(Skills!Q6,Inputs!$B$37))),0)</f>
        <v/>
      </c>
    </row>
    <row r="624">
      <c r="A624">
        <f>Skills!A7</f>
        <v/>
      </c>
      <c r="B624">
        <f>Skills!B7</f>
        <v/>
      </c>
      <c r="C624">
        <f>Inputs!$B$3&gt;=69</f>
        <v/>
      </c>
      <c r="D624">
        <f>IF(Skills!C7=1,60+(Inputs!$B$25+1)+Inputs!$B$29,IF(Skills!C7=2,90+Inputs!$B$26+Inputs!$B$29,IF(Skills!C7=3,120+Inputs!$B$27+Inputs!$B$29,MAX(0,(Inputs!$B$3-100)*3)+Inputs!$B$28+Inputs!$B$29)))</f>
        <v/>
      </c>
      <c r="E624">
        <f>INDEX(FactorTable!$B$2:$Y$301, MATCH(ROUND(MIN(300,MAX(1,D624)),0), FactorTable!$A$2:$A$301,0), Skills!L7+1)</f>
        <v/>
      </c>
      <c r="F624">
        <f>IF(Skills!M7=TRUE,(Skills!K7/10)*(E624/1000),Skills!K7/10)+Skills!N7</f>
        <v/>
      </c>
      <c r="G624">
        <f>Calc!G7</f>
        <v/>
      </c>
      <c r="H624">
        <f>Calc!H7</f>
        <v/>
      </c>
      <c r="I624">
        <f>IF(Skills!T7&lt;&gt;"",1+(Skills!T7/10)*(Z620/1000)/100,1)</f>
        <v/>
      </c>
      <c r="J624">
        <f>((Inputs!$B$6*(1+Inputs!$B$7/100))+(((Inputs!$B$12*(1+Inputs!$B$13/100))-(Inputs!$B$12*(1+Inputs!$B$13/100)))+0.25*(Inputs!$B$14-Inputs!$B$14))*(1+Inputs!$B$7/100))*(F624/100)</f>
        <v/>
      </c>
      <c r="K624">
        <f>J624*(1+((Inputs!$B$12*(1+Inputs!$B$13/100))*0.01+Inputs!$B$14*0.0025)/100)*(1+(Inputs!$B$15+B645)/100)*(1+Inputs!$B$16/100)*(5000/(6000+Inputs!$B$42*(1-Inputs!$B$19/100)))*(1+Inputs!$B$24/100)*(1+IF(C632=TRUE,F632,0)/100)*(1+IF(C640=TRUE,F640,0)/100)^5*(1+(IF(Skills!A7="CHAIN_LIGHTNING",Inputs!$B$17,Inputs!$B$18))/100)*(B643*I624)</f>
        <v/>
      </c>
      <c r="L624">
        <f>K624*(MIN(Inputs!$B$22+(F635-Calc!F18),Inputs!$B$23)/100+Inputs!$B$23/100)/2</f>
        <v/>
      </c>
      <c r="M624">
        <f>L624*(1+(Inputs!$B$10+(F638-Calc!F21))/100)</f>
        <v/>
      </c>
      <c r="N624">
        <f>L624*(1-MIN(Inputs!$B$9+((F637-Calc!F20)+(F636-Calc!F19)),100)/100)+M624*(MIN(Inputs!$B$9+((F637-Calc!F20)+(F636-Calc!F19)),100)/100)</f>
        <v/>
      </c>
      <c r="O624">
        <f>(1-Summary!$B$51)*S624+Summary!$B$51*U624</f>
        <v/>
      </c>
      <c r="P624">
        <f>IF(B653=0,0,O624/B653)</f>
        <v/>
      </c>
      <c r="Q624">
        <f>IFERROR(1/IF(Inputs!$B$38="pvp",15,MAX(0.1,Skills!D7-IF(Skills!E7=TRUE,Inputs!$B$32,0))),0)</f>
        <v/>
      </c>
      <c r="R624">
        <f>IF(AND(Inputs!$B$38&lt;&gt;"pvp",Inputs!$B$43&gt;0),IF(MAX(0,Inputs!$B$43-B650)&lt;=0,0,(INT(MAX(0,Inputs!$B$43-B650)/IF(Inputs!$B$38="pvp",15,MAX(0.1,Skills!D7-IF(Skills!E7=TRUE,Inputs!$B$32,0))))+1)),0)</f>
        <v/>
      </c>
      <c r="S624">
        <f>IF(C624,(H624*N624*IF(AND(Inputs!$B$38&lt;&gt;"pvp",Inputs!$B$43&gt;0),((Skills!F7*((R624-1)*IF(Skills!G7&gt;0,Skills!H7/Skills!G7,1)+IF(Skills!G7&gt;0,MIN(Skills!H7,MAX(0,MAX(0,Inputs!$B$43-B650)-((R624-1)*IF(Inputs!$B$38="pvp",15,MAX(0.1,Skills!D7-IF(Skills!E7=TRUE,Inputs!$B$32,0))))))/Skills!G7,1)))/Inputs!$B$43),G624*Q624))*IF(Inputs!$B$38="pvp",1,1+(Inputs!$B$20+Skills!O7+B644)/100),0)</f>
        <v/>
      </c>
      <c r="U624">
        <f>IF(C624,(H624*N624*IF(AND(Inputs!$B$38&lt;&gt;"pvp",Inputs!$B$43&gt;0),((Skills!F7*((R624-1)*IF(Skills!G7&gt;0,Skills!H7/Skills!G7,1)+IF(Skills!G7&gt;0,MIN(Skills!H7,MAX(0,MAX(0,Inputs!$B$43-B650)-((R624-1)*IF(Inputs!$B$38="pvp",15,MAX(0.1,Skills!D7-IF(Skills!E7=TRUE,Inputs!$B$32,0))))))/Skills!G7,1)))/Inputs!$B$43),G624*Q624))*IF(Inputs!$B$38="pvp",1,(1+(Inputs!$B$21+Skills!P7+B644)/100)*(MIN(Skills!Q7,Inputs!$B$37))),0)</f>
        <v/>
      </c>
    </row>
    <row r="625">
      <c r="A625">
        <f>Skills!A8</f>
        <v/>
      </c>
      <c r="B625">
        <f>Skills!B8</f>
        <v/>
      </c>
      <c r="C625">
        <f>Inputs!$B$3&gt;=103</f>
        <v/>
      </c>
      <c r="D625">
        <f>IF(Skills!C8=1,60+(Inputs!$B$25+1)+Inputs!$B$29,IF(Skills!C8=2,90+Inputs!$B$26+Inputs!$B$29,IF(Skills!C8=3,120+Inputs!$B$27+Inputs!$B$29,MAX(0,(Inputs!$B$3-100)*3)+Inputs!$B$28+Inputs!$B$29)))</f>
        <v/>
      </c>
      <c r="E625">
        <f>INDEX(FactorTable!$B$2:$Y$301, MATCH(ROUND(MIN(300,MAX(1,D625)),0), FactorTable!$A$2:$A$301,0), Skills!L8+1)</f>
        <v/>
      </c>
      <c r="F625">
        <f>IF(Skills!M8=TRUE,(Skills!K8/10)*(E625/1000),Skills!K8/10)+Skills!N8</f>
        <v/>
      </c>
      <c r="G625">
        <f>Calc!G8</f>
        <v/>
      </c>
      <c r="H625">
        <f>Calc!H8</f>
        <v/>
      </c>
      <c r="I625">
        <f>IF(Skills!T8&lt;&gt;"",1+(Skills!T8/10)*(Z620/1000)/100,1)</f>
        <v/>
      </c>
      <c r="J625">
        <f>((Inputs!$B$6*(1+Inputs!$B$7/100))+(((Inputs!$B$12*(1+Inputs!$B$13/100))-(Inputs!$B$12*(1+Inputs!$B$13/100)))+0.25*(Inputs!$B$14-Inputs!$B$14))*(1+Inputs!$B$7/100))*(F625/100)</f>
        <v/>
      </c>
      <c r="K625">
        <f>J625*(1+((Inputs!$B$12*(1+Inputs!$B$13/100))*0.01+Inputs!$B$14*0.0025)/100)*(1+(Inputs!$B$15+B645)/100)*(1+Inputs!$B$16/100)*(5000/(6000+Inputs!$B$42*(1-Inputs!$B$19/100)))*(1+Inputs!$B$24/100)*(1+IF(C632=TRUE,F632,0)/100)*(1+IF(C640=TRUE,F640,0)/100)^5*(1+(IF(Skills!A8="CHAIN_LIGHTNING",Inputs!$B$17,Inputs!$B$18))/100)*(B643*I625)</f>
        <v/>
      </c>
      <c r="L625">
        <f>K625*(MIN(Inputs!$B$22+(F635-Calc!F18),Inputs!$B$23)/100+Inputs!$B$23/100)/2</f>
        <v/>
      </c>
      <c r="M625">
        <f>L625*(1+(Inputs!$B$10+(F638-Calc!F21))/100)</f>
        <v/>
      </c>
      <c r="N625">
        <f>L625*(1-MIN(Inputs!$B$9+((F637-Calc!F20)+(F636-Calc!F19)),100)/100)+M625*(MIN(Inputs!$B$9+((F637-Calc!F20)+(F636-Calc!F19)),100)/100)</f>
        <v/>
      </c>
      <c r="O625">
        <f>(1-Summary!$B$51)*S625+Summary!$B$51*U625</f>
        <v/>
      </c>
      <c r="P625">
        <f>IF(B653=0,0,O625/B653)</f>
        <v/>
      </c>
      <c r="Q625">
        <f>IFERROR(1/IF(Inputs!$B$38="pvp",15,MAX(0.1,Skills!D8-IF(Skills!E8=TRUE,Inputs!$B$32,0))),0)</f>
        <v/>
      </c>
      <c r="R625">
        <f>IF(AND(Inputs!$B$38&lt;&gt;"pvp",Inputs!$B$43&gt;0),IF(MAX(0,Inputs!$B$43-B650)&lt;=0,0,(INT(MAX(0,Inputs!$B$43-B650)/IF(Inputs!$B$38="pvp",15,MAX(0.1,Skills!D8-IF(Skills!E8=TRUE,Inputs!$B$32,0))))+1)),0)</f>
        <v/>
      </c>
      <c r="S625">
        <f>IF(C625,(H625*N625*IF(AND(Inputs!$B$38&lt;&gt;"pvp",Inputs!$B$43&gt;0),((Skills!F8*((R625-1)*IF(Skills!G8&gt;0,Skills!H8/Skills!G8,1)+IF(Skills!G8&gt;0,MIN(Skills!H8,MAX(0,MAX(0,Inputs!$B$43-B650)-((R625-1)*IF(Inputs!$B$38="pvp",15,MAX(0.1,Skills!D8-IF(Skills!E8=TRUE,Inputs!$B$32,0))))))/Skills!G8,1)))/Inputs!$B$43),G625*Q625))*IF(Inputs!$B$38="pvp",1,1+(Inputs!$B$20+Skills!O8+B644)/100),0)</f>
        <v/>
      </c>
      <c r="U625">
        <f>IF(C625,(H625*N625*IF(AND(Inputs!$B$38&lt;&gt;"pvp",Inputs!$B$43&gt;0),((Skills!F8*((R625-1)*IF(Skills!G8&gt;0,Skills!H8/Skills!G8,1)+IF(Skills!G8&gt;0,MIN(Skills!H8,MAX(0,MAX(0,Inputs!$B$43-B650)-((R625-1)*IF(Inputs!$B$38="pvp",15,MAX(0.1,Skills!D8-IF(Skills!E8=TRUE,Inputs!$B$32,0))))))/Skills!G8,1)))/Inputs!$B$43),G625*Q625))*IF(Inputs!$B$38="pvp",1,(1+(Inputs!$B$21+Skills!P8+B644)/100)*(MIN(Skills!Q8,Inputs!$B$37))),0)</f>
        <v/>
      </c>
    </row>
    <row r="626">
      <c r="A626">
        <f>Skills!A9</f>
        <v/>
      </c>
      <c r="B626">
        <f>Skills!B9</f>
        <v/>
      </c>
      <c r="C626">
        <f>Inputs!$B$3&gt;=105</f>
        <v/>
      </c>
      <c r="D626">
        <f>IF(Skills!C9=1,60+(Inputs!$B$25+1)+Inputs!$B$29,IF(Skills!C9=2,90+Inputs!$B$26+Inputs!$B$29,IF(Skills!C9=3,120+Inputs!$B$27+Inputs!$B$29,MAX(0,(Inputs!$B$3-100)*3)+Inputs!$B$28+Inputs!$B$29)))</f>
        <v/>
      </c>
      <c r="E626">
        <f>INDEX(FactorTable!$B$2:$Y$301, MATCH(ROUND(MIN(300,MAX(1,D626)),0), FactorTable!$A$2:$A$301,0), Skills!L9+1)</f>
        <v/>
      </c>
      <c r="F626">
        <f>IF(Skills!M9=TRUE,(Skills!K9/10)*(E626/1000),Skills!K9/10)+Skills!N9</f>
        <v/>
      </c>
      <c r="G626">
        <f>Calc!G9</f>
        <v/>
      </c>
      <c r="H626">
        <f>Calc!H9</f>
        <v/>
      </c>
      <c r="I626">
        <f>IF(Skills!T9&lt;&gt;"",1+(Skills!T9/10)*(Z620/1000)/100,1)</f>
        <v/>
      </c>
      <c r="J626">
        <f>((Inputs!$B$6*(1+Inputs!$B$7/100))+(((Inputs!$B$12*(1+Inputs!$B$13/100))-(Inputs!$B$12*(1+Inputs!$B$13/100)))+0.25*(Inputs!$B$14-Inputs!$B$14))*(1+Inputs!$B$7/100))*(F626/100)</f>
        <v/>
      </c>
      <c r="K626">
        <f>J626*(1+((Inputs!$B$12*(1+Inputs!$B$13/100))*0.01+Inputs!$B$14*0.0025)/100)*(1+(Inputs!$B$15+B645)/100)*(1+Inputs!$B$16/100)*(5000/(6000+Inputs!$B$42*(1-Inputs!$B$19/100)))*(1+Inputs!$B$24/100)*(1+IF(C632=TRUE,F632,0)/100)*(1+IF(C640=TRUE,F640,0)/100)^5*(1+(IF(Skills!A9="CHAIN_LIGHTNING",Inputs!$B$17,Inputs!$B$18))/100)*(B643*I626)</f>
        <v/>
      </c>
      <c r="L626">
        <f>K626*(MIN(Inputs!$B$22+(F635-Calc!F18),Inputs!$B$23)/100+Inputs!$B$23/100)/2</f>
        <v/>
      </c>
      <c r="M626">
        <f>L626*(1+(Inputs!$B$10+(F638-Calc!F21))/100)</f>
        <v/>
      </c>
      <c r="N626">
        <f>L626*(1-MIN(Inputs!$B$9+((F637-Calc!F20)+(F636-Calc!F19)),100)/100)+M626*(MIN(Inputs!$B$9+((F637-Calc!F20)+(F636-Calc!F19)),100)/100)</f>
        <v/>
      </c>
      <c r="O626">
        <f>(1-Summary!$B$51)*S626+Summary!$B$51*U626</f>
        <v/>
      </c>
      <c r="P626">
        <f>IF(B653=0,0,O626/B653)</f>
        <v/>
      </c>
      <c r="Q626">
        <f>IFERROR(1/IF(Inputs!$B$38="pvp",15,MAX(0.1,Skills!D9-IF(Skills!E9=TRUE,Inputs!$B$32,0))),0)</f>
        <v/>
      </c>
      <c r="R626">
        <f>IF(AND(Inputs!$B$38&lt;&gt;"pvp",Inputs!$B$43&gt;0),IF(MAX(0,Inputs!$B$43-B650)&lt;=0,0,(INT(MAX(0,Inputs!$B$43-B650)/IF(Inputs!$B$38="pvp",15,MAX(0.1,Skills!D9-IF(Skills!E9=TRUE,Inputs!$B$32,0))))+1)),0)</f>
        <v/>
      </c>
      <c r="S626">
        <f>IF(C626,(H626*N626*IF(AND(Inputs!$B$38&lt;&gt;"pvp",Inputs!$B$43&gt;0),((Skills!F9*((R626-1)*IF(Skills!G9&gt;0,Skills!H9/Skills!G9,1)+IF(Skills!G9&gt;0,MIN(Skills!H9,MAX(0,MAX(0,Inputs!$B$43-B650)-((R626-1)*IF(Inputs!$B$38="pvp",15,MAX(0.1,Skills!D9-IF(Skills!E9=TRUE,Inputs!$B$32,0))))))/Skills!G9,1)))/Inputs!$B$43),G626*Q626))*IF(Inputs!$B$38="pvp",1,1+(Inputs!$B$20+Skills!O9+B644)/100),0)</f>
        <v/>
      </c>
      <c r="U626">
        <f>IF(C626,(H626*N626*IF(AND(Inputs!$B$38&lt;&gt;"pvp",Inputs!$B$43&gt;0),((Skills!F9*((R626-1)*IF(Skills!G9&gt;0,Skills!H9/Skills!G9,1)+IF(Skills!G9&gt;0,MIN(Skills!H9,MAX(0,MAX(0,Inputs!$B$43-B650)-((R626-1)*IF(Inputs!$B$38="pvp",15,MAX(0.1,Skills!D9-IF(Skills!E9=TRUE,Inputs!$B$32,0))))))/Skills!G9,1)))/Inputs!$B$43),G626*Q626))*IF(Inputs!$B$38="pvp",1,(1+(Inputs!$B$21+Skills!P9+B644)/100)*(MIN(Skills!Q9,Inputs!$B$37))),0)</f>
        <v/>
      </c>
    </row>
    <row r="627">
      <c r="A627">
        <f>Skills!A10</f>
        <v/>
      </c>
      <c r="B627">
        <f>Skills!B10</f>
        <v/>
      </c>
      <c r="C627">
        <f>Inputs!$B$3&gt;=113</f>
        <v/>
      </c>
      <c r="D627">
        <f>IF(Skills!C10=1,60+(Inputs!$B$25+1)+Inputs!$B$29,IF(Skills!C10=2,90+Inputs!$B$26+Inputs!$B$29,IF(Skills!C10=3,120+Inputs!$B$27+Inputs!$B$29,MAX(0,(Inputs!$B$3-100)*3)+Inputs!$B$28+Inputs!$B$29)))</f>
        <v/>
      </c>
      <c r="E627">
        <f>INDEX(FactorTable!$B$2:$Y$301, MATCH(ROUND(MIN(300,MAX(1,D627)),0), FactorTable!$A$2:$A$301,0), Skills!L10+1)</f>
        <v/>
      </c>
      <c r="F627">
        <f>IF(Skills!M10=TRUE,(Skills!K10/10)*(E627/1000),Skills!K10/10)+Skills!N10</f>
        <v/>
      </c>
      <c r="G627">
        <f>Calc!G10</f>
        <v/>
      </c>
      <c r="H627">
        <f>Calc!H10</f>
        <v/>
      </c>
      <c r="I627">
        <f>IF(Skills!T10&lt;&gt;"",1+(Skills!T10/10)*(Z620/1000)/100,1)</f>
        <v/>
      </c>
      <c r="J627">
        <f>((Inputs!$B$6*(1+Inputs!$B$7/100))+(((Inputs!$B$12*(1+Inputs!$B$13/100))-(Inputs!$B$12*(1+Inputs!$B$13/100)))+0.25*(Inputs!$B$14-Inputs!$B$14))*(1+Inputs!$B$7/100))*(F627/100)</f>
        <v/>
      </c>
      <c r="K627">
        <f>J627*(1+((Inputs!$B$12*(1+Inputs!$B$13/100))*0.01+Inputs!$B$14*0.0025)/100)*(1+(Inputs!$B$15+B645)/100)*(1+Inputs!$B$16/100)*(5000/(6000+Inputs!$B$42*(1-Inputs!$B$19/100)))*(1+Inputs!$B$24/100)*(1+IF(C632=TRUE,F632,0)/100)*(1+IF(C640=TRUE,F640,0)/100)^5*(1+(IF(Skills!A10="CHAIN_LIGHTNING",Inputs!$B$17,Inputs!$B$18))/100)*(B643*I627)</f>
        <v/>
      </c>
      <c r="L627">
        <f>K627*(MIN(Inputs!$B$22+(F635-Calc!F18),Inputs!$B$23)/100+Inputs!$B$23/100)/2</f>
        <v/>
      </c>
      <c r="M627">
        <f>L627*(1+(Inputs!$B$10+(F638-Calc!F21))/100)</f>
        <v/>
      </c>
      <c r="N627">
        <f>L627*(1-MIN(Inputs!$B$9+((F637-Calc!F20)+(F636-Calc!F19)),100)/100)+M627*(MIN(Inputs!$B$9+((F637-Calc!F20)+(F636-Calc!F19)),100)/100)</f>
        <v/>
      </c>
      <c r="O627">
        <f>(1-Summary!$B$51)*S627+Summary!$B$51*U627</f>
        <v/>
      </c>
      <c r="P627">
        <f>IF(B653=0,0,O627/B653)</f>
        <v/>
      </c>
      <c r="Q627">
        <f>IFERROR(1/IF(Inputs!$B$38="pvp",15,MAX(0.1,Skills!D10-IF(Skills!E9=TRUE,Inputs!$B$32,0))),0)</f>
        <v/>
      </c>
      <c r="R627">
        <f>IF(AND(Inputs!$B$38&lt;&gt;"pvp",Inputs!$B$43&gt;0),IF(MAX(0,Inputs!$B$43-B650)&lt;=0,0,(INT(MAX(0,Inputs!$B$43-B650)/IF(Inputs!$B$38="pvp",15,MAX(0.1,Skills!D10-IF(Skills!E9=TRUE,Inputs!$B$32,0))))+1)),0)</f>
        <v/>
      </c>
      <c r="S627">
        <f>IF(C627,(H627*N627*IF(AND(Inputs!$B$38&lt;&gt;"pvp",Inputs!$B$43&gt;0),((Skills!F10*((R627-1)*IF(Skills!G10&gt;0,Skills!H10/Skills!G10,1)+IF(Skills!G10&gt;0,MIN(Skills!H10,MAX(0,MAX(0,Inputs!$B$43-B650)-((R627-1)*IF(Inputs!$B$38="pvp",15,MAX(0.1,Skills!D10-IF(Skills!E9=TRUE,Inputs!$B$32,0))))))/Skills!G10,1)))/Inputs!$B$43),G627*Q627))*IF(Inputs!$B$38="pvp",1,1+(Inputs!$B$20+Skills!O10+B644)/100),0)</f>
        <v/>
      </c>
      <c r="U627">
        <f>IF(C627,(H627*N627*IF(AND(Inputs!$B$38&lt;&gt;"pvp",Inputs!$B$43&gt;0),((Skills!F10*((R627-1)*IF(Skills!G10&gt;0,Skills!H10/Skills!G10,1)+IF(Skills!G10&gt;0,MIN(Skills!H10,MAX(0,MAX(0,Inputs!$B$43-B650)-((R627-1)*IF(Inputs!$B$38="pvp",15,MAX(0.1,Skills!D10-IF(Skills!E9=TRUE,Inputs!$B$32,0))))))/Skills!G10,1)))/Inputs!$B$43),G627*Q627))*IF(Inputs!$B$38="pvp",1,(1+(Inputs!$B$21+Skills!P10+B644)/100)*(MIN(Skills!Q10,Inputs!$B$37))),0)</f>
        <v/>
      </c>
    </row>
    <row r="628">
      <c r="A628">
        <f>Skills!A11</f>
        <v/>
      </c>
      <c r="B628">
        <f>Skills!B11</f>
        <v/>
      </c>
      <c r="C628">
        <f>Inputs!$B$3&gt;=107</f>
        <v/>
      </c>
      <c r="D628">
        <f>IF(Skills!C11=1,60+(Inputs!$B$25+1)+Inputs!$B$29,IF(Skills!C11=2,90+Inputs!$B$26+Inputs!$B$29,IF(Skills!C11=3,120+Inputs!$B$27+Inputs!$B$29,MAX(0,(Inputs!$B$3-100)*3)+Inputs!$B$28+Inputs!$B$29)))</f>
        <v/>
      </c>
      <c r="E628">
        <f>INDEX(FactorTable!$B$2:$Y$301, MATCH(ROUND(MIN(300,MAX(1,D628)),0), FactorTable!$A$2:$A$301,0), Skills!L11+1)</f>
        <v/>
      </c>
      <c r="F628">
        <f>IF(Skills!M11=TRUE,(Skills!K11/10)*(E628/1000),Skills!K11/10)+Skills!N11</f>
        <v/>
      </c>
      <c r="G628">
        <f>Calc!G11</f>
        <v/>
      </c>
      <c r="H628">
        <f>Calc!H11</f>
        <v/>
      </c>
      <c r="I628">
        <f>IF(Skills!T11&lt;&gt;"",1+(Skills!T11/10)*(Z620/1000)/100,1)</f>
        <v/>
      </c>
      <c r="J628">
        <f>((Inputs!$B$6*(1+Inputs!$B$7/100))+(((Inputs!$B$12*(1+Inputs!$B$13/100))-(Inputs!$B$12*(1+Inputs!$B$13/100)))+0.25*(Inputs!$B$14-Inputs!$B$14))*(1+Inputs!$B$7/100))*(F628/100)</f>
        <v/>
      </c>
      <c r="K628">
        <f>J628*(1+((Inputs!$B$12*(1+Inputs!$B$13/100))*0.01+Inputs!$B$14*0.0025)/100)*(1+(Inputs!$B$15+B645)/100)*(1+Inputs!$B$16/100)*(5000/(6000+Inputs!$B$42*(1-Inputs!$B$19/100)))*(1+Inputs!$B$24/100)*(1+IF(C632=TRUE,F632,0)/100)*(1+IF(C640=TRUE,F640,0)/100)^5*(1+(IF(Skills!A11="CHAIN_LIGHTNING",Inputs!$B$17,Inputs!$B$18))/100)*(B643*I628)</f>
        <v/>
      </c>
      <c r="L628">
        <f>K628*(MIN(Inputs!$B$22+(F635-Calc!F18),Inputs!$B$23)/100+Inputs!$B$23/100)/2</f>
        <v/>
      </c>
      <c r="M628">
        <f>L628*(1+(Inputs!$B$10+(F638-Calc!F21))/100)</f>
        <v/>
      </c>
      <c r="N628">
        <f>L628*(1-MIN(Inputs!$B$9+((F637-Calc!F20)+(F636-Calc!F19)),100)/100)+M628*(MIN(Inputs!$B$9+((F637-Calc!F20)+(F636-Calc!F19)),100)/100)</f>
        <v/>
      </c>
      <c r="O628">
        <f>(1-Summary!$B$51)*S628+Summary!$B$51*U628</f>
        <v/>
      </c>
      <c r="P628">
        <f>IF(B653=0,0,O628/B653)</f>
        <v/>
      </c>
      <c r="Q628">
        <f>IFERROR(1/IF(Inputs!$B$38="pvp",15,MAX(0.1,Skills!D11-IF(Skills!E11=TRUE,Inputs!$B$32,0))),0)</f>
        <v/>
      </c>
      <c r="R628">
        <f>IF(AND(Inputs!$B$38&lt;&gt;"pvp",Inputs!$B$43&gt;0),IF(MAX(0,Inputs!$B$43-B650)&lt;=0,0,(INT(MAX(0,Inputs!$B$43-B650)/IF(Inputs!$B$38="pvp",15,MAX(0.1,Skills!D11-IF(Skills!E11=TRUE,Inputs!$B$32,0))))+1)),0)</f>
        <v/>
      </c>
      <c r="S628">
        <f>IF(C628,H628*N628*IF(AND(Inputs!$B$38&lt;&gt;"pvp",Inputs!$B$43&gt;0),((Skills!F11*((R628-1)*IF(Skills!G11&gt;0,Skills!H11/Skills!G11,1)+IF(Skills!G11&gt;0,MIN(Skills!H11,MAX(0,MAX(0,Inputs!$B$43-B650)-((R628-1)*IF(Inputs!$B$38="pvp",15,MAX(0.1,Skills!D11-IF(Skills!E11=TRUE,Inputs!$B$32,0))))))/Skills!G11,1)))/Inputs!$B$43),G628*Q628)*0.5*IF(Inputs!$B$38="pvp",1,1+(Inputs!$B$20+Skills!O11+B644)/100),0)</f>
        <v/>
      </c>
      <c r="U628">
        <f>IF(C628,H628*N628*IF(AND(Inputs!$B$38&lt;&gt;"pvp",Inputs!$B$43&gt;0),((Skills!F11*((R628-1)*IF(Skills!G11&gt;0,Skills!H11/Skills!G11,1)+IF(Skills!G11&gt;0,MIN(Skills!H11,MAX(0,MAX(0,Inputs!$B$43-B650)-((R628-1)*IF(Inputs!$B$38="pvp",15,MAX(0.1,Skills!D11-IF(Skills!E11=TRUE,Inputs!$B$32,0))))))/Skills!G11,1)))/Inputs!$B$43),G628*Q628)*1*IF(Inputs!$B$38="pvp",1,(1+(Inputs!$B$21+Skills!P11+B644)/100)*(MIN(Skills!Q11,Inputs!$B$37))),0)</f>
        <v/>
      </c>
    </row>
    <row r="629">
      <c r="A629">
        <f>Skills!A12</f>
        <v/>
      </c>
      <c r="B629">
        <f>Skills!B12</f>
        <v/>
      </c>
      <c r="C629">
        <f>Inputs!$B$3&gt;=115</f>
        <v/>
      </c>
      <c r="D629">
        <f>IF(Skills!C12=1,60+(Inputs!$B$25+1)+Inputs!$B$29,IF(Skills!C12=2,90+Inputs!$B$26+Inputs!$B$29,IF(Skills!C12=3,120+Inputs!$B$27+Inputs!$B$29,MAX(0,(Inputs!$B$3-100)*3)+Inputs!$B$28+Inputs!$B$29)))</f>
        <v/>
      </c>
      <c r="E629">
        <f>INDEX(FactorTable!$B$2:$Y$301, MATCH(ROUND(MIN(300,MAX(1,D629)),0), FactorTable!$A$2:$A$301,0), Skills!L12+1)</f>
        <v/>
      </c>
      <c r="F629">
        <f>IF(Skills!M12=TRUE,(Skills!K12/10)*(E629/1000),Skills!K12/10)+Skills!N12</f>
        <v/>
      </c>
      <c r="G629">
        <f>Calc!G12</f>
        <v/>
      </c>
      <c r="H629">
        <f>Calc!H12</f>
        <v/>
      </c>
      <c r="I629">
        <f>IF(Skills!T12&lt;&gt;"",1+(Skills!T12/10)*(Z620/1000)/100,1)</f>
        <v/>
      </c>
      <c r="J629">
        <f>((Inputs!$B$6*(1+Inputs!$B$7/100))+(((Inputs!$B$12*(1+Inputs!$B$13/100))-(Inputs!$B$12*(1+Inputs!$B$13/100)))+0.25*(Inputs!$B$14-Inputs!$B$14))*(1+Inputs!$B$7/100))*(F629/100)</f>
        <v/>
      </c>
      <c r="K629">
        <f>J629*(1+((Inputs!$B$12*(1+Inputs!$B$13/100))*0.01+Inputs!$B$14*0.0025)/100)*(1+(Inputs!$B$15+B645)/100)*(1+Inputs!$B$16/100)*(5000/(6000+Inputs!$B$42*(1-Inputs!$B$19/100)))*(1+Inputs!$B$24/100)*(1+IF(C632=TRUE,F632,0)/100)*(1+IF(C640=TRUE,F640,0)/100)^5*(1+(IF(Skills!A12="CHAIN_LIGHTNING",Inputs!$B$17,Inputs!$B$18))/100)*(B643*I629)</f>
        <v/>
      </c>
      <c r="L629">
        <f>K629*(MIN(Inputs!$B$22+(F635-Calc!F18),Inputs!$B$23)/100+Inputs!$B$23/100)/2</f>
        <v/>
      </c>
      <c r="M629">
        <f>L629*(1+(Inputs!$B$10+(F638-Calc!F21))/100)</f>
        <v/>
      </c>
      <c r="N629">
        <f>L629*(1-MIN(Inputs!$B$9+((F637-Calc!F20)+(F636-Calc!F19)),100)/100)+M629*(MIN(Inputs!$B$9+((F637-Calc!F20)+(F636-Calc!F19)),100)/100)</f>
        <v/>
      </c>
      <c r="O629">
        <f>(1-Summary!$B$51)*S629+Summary!$B$51*U629</f>
        <v/>
      </c>
      <c r="P629">
        <f>IF(B653=0,0,O629/B653)</f>
        <v/>
      </c>
      <c r="Q629">
        <f>IFERROR(1/IF(Inputs!$B$38="pvp",15,MAX(0.1,Skills!D12-IF(Skills!E12=TRUE,Inputs!$B$32,0))),0)</f>
        <v/>
      </c>
      <c r="R629">
        <f>IF(AND(Inputs!$B$38&lt;&gt;"pvp",Inputs!$B$43&gt;0),IF(MAX(0,Inputs!$B$43-B650)&lt;=0,0,(INT(MAX(0,Inputs!$B$43-B650)/IF(Inputs!$B$38="pvp",15,MAX(0.1,Skills!D12-IF(Skills!E12=TRUE,Inputs!$B$32,0))))+1)),0)</f>
        <v/>
      </c>
      <c r="S629">
        <f>IF(C629,(H629*N629*IF(AND(Inputs!$B$38&lt;&gt;"pvp",Inputs!$B$43&gt;0),((Skills!F12*((R629-1)*IF(Skills!G12&gt;0,Skills!H12/Skills!G12,1)+IF(Skills!G12&gt;0,MIN(Skills!H12,MAX(0,MAX(0,Inputs!$B$43-B650)-((R629-1)*IF(Inputs!$B$38="pvp",15,MAX(0.1,Skills!D12-IF(Skills!E12=TRUE,Inputs!$B$32,0))))))/Skills!G12,1)))/Inputs!$B$43),G629*Q629))*IF(Inputs!$B$38="pvp",1,1+(Inputs!$B$20+Skills!O12+B644)/100),0)</f>
        <v/>
      </c>
      <c r="U629">
        <f>IF(C629,(H629*N629*IF(AND(Inputs!$B$38&lt;&gt;"pvp",Inputs!$B$43&gt;0),((Skills!F12*((R629-1)*IF(Skills!G12&gt;0,Skills!H12/Skills!G12,1)+IF(Skills!G12&gt;0,MIN(Skills!H12,MAX(0,MAX(0,Inputs!$B$43-B650)-((R629-1)*IF(Inputs!$B$38="pvp",15,MAX(0.1,Skills!D12-IF(Skills!E12=TRUE,Inputs!$B$32,0))))))/Skills!G12,1)))/Inputs!$B$43),G629*Q629))*IF(Inputs!$B$38="pvp",1,(1+(Inputs!$B$21+Skills!P12+B644)/100)*(MIN(Skills!Q12,Inputs!$B$37))),0)</f>
        <v/>
      </c>
    </row>
    <row r="630">
      <c r="A630">
        <f>Skills!A13</f>
        <v/>
      </c>
      <c r="B630">
        <f>Skills!B13</f>
        <v/>
      </c>
      <c r="C630">
        <f>Inputs!$B$3&gt;=49</f>
        <v/>
      </c>
      <c r="D630">
        <f>IF(Skills!C13=1,60+(Inputs!$B$25+1)+Inputs!$B$29,IF(Skills!C13=2,90+Inputs!$B$26+Inputs!$B$29,IF(Skills!C13=3,120+Inputs!$B$27+Inputs!$B$29,MAX(0,(Inputs!$B$3-100)*3)+Inputs!$B$28+Inputs!$B$29)))</f>
        <v/>
      </c>
      <c r="E630">
        <f>INDEX(FactorTable!$B$2:$Y$301, MATCH(ROUND(MIN(300,MAX(1,D630)),0), FactorTable!$A$2:$A$301,0), Skills!L13+1)</f>
        <v/>
      </c>
      <c r="F630">
        <f>IF(Skills!M13=TRUE,(Skills!K13/10)*(E630/1000),Skills!K13/10)+Skills!N13</f>
        <v/>
      </c>
      <c r="G630">
        <f>Calc!G13</f>
        <v/>
      </c>
      <c r="H630">
        <f>Calc!H13</f>
        <v/>
      </c>
      <c r="I630">
        <f>IF(Skills!T13&lt;&gt;"",1+(Skills!T13/10)*(Z620/1000)/100,1)</f>
        <v/>
      </c>
      <c r="J630" t="inlineStr"/>
      <c r="K630" t="inlineStr"/>
      <c r="L630" t="inlineStr"/>
      <c r="M630" t="inlineStr"/>
      <c r="N630" t="inlineStr"/>
      <c r="O630">
        <f>(1-Summary!$B$51)*S630+Summary!$B$51*U630</f>
        <v/>
      </c>
      <c r="P630">
        <f>IF(B653=0,0,O630/B653)</f>
        <v/>
      </c>
      <c r="Q630">
        <f>IFERROR(1/IF(Inputs!$B$38="pvp",15,MAX(0.1,Skills!D13-IF(Skills!E13=TRUE,Inputs!$B$32,0))),0)</f>
        <v/>
      </c>
      <c r="R630" t="n">
        <v>0</v>
      </c>
      <c r="S630" t="n">
        <v>0</v>
      </c>
      <c r="U630" t="n">
        <v>0</v>
      </c>
    </row>
    <row r="631">
      <c r="A631">
        <f>Skills!A14</f>
        <v/>
      </c>
      <c r="B631">
        <f>Skills!B14</f>
        <v/>
      </c>
      <c r="C631">
        <f>Inputs!$B$3&gt;=72</f>
        <v/>
      </c>
      <c r="D631">
        <f>IF(Skills!C14=1,60+(Inputs!$B$25+1)+Inputs!$B$29,IF(Skills!C14=2,90+Inputs!$B$26+Inputs!$B$29,IF(Skills!C14=3,120+Inputs!$B$27+Inputs!$B$29,MAX(0,(Inputs!$B$3-100)*3)+Inputs!$B$28+Inputs!$B$29)))</f>
        <v/>
      </c>
      <c r="E631">
        <f>INDEX(FactorTable!$B$2:$Y$301, MATCH(ROUND(MIN(300,MAX(1,D631)),0), FactorTable!$A$2:$A$301,0), Skills!L14+1)</f>
        <v/>
      </c>
      <c r="F631">
        <f>IF(Skills!M14=TRUE,(Skills!K14/10)*(E631/1000),Skills!K14/10)+Skills!N14</f>
        <v/>
      </c>
      <c r="G631">
        <f>Calc!G14</f>
        <v/>
      </c>
      <c r="H631">
        <f>Calc!H14</f>
        <v/>
      </c>
      <c r="I631">
        <f>IF(Skills!T14&lt;&gt;"",1+(Skills!T14/10)*(Z620/1000)/100,1)</f>
        <v/>
      </c>
      <c r="J631" t="inlineStr"/>
      <c r="K631" t="inlineStr"/>
      <c r="L631" t="inlineStr"/>
      <c r="M631" t="inlineStr"/>
      <c r="N631" t="inlineStr"/>
      <c r="O631">
        <f>(1-Summary!$B$51)*S631+Summary!$B$51*U631</f>
        <v/>
      </c>
      <c r="P631">
        <f>IF(B653=0,0,O631/B653)</f>
        <v/>
      </c>
      <c r="Q631">
        <f>IFERROR(1/IF(Inputs!$B$38="pvp",15,MAX(0.1,Skills!D14-IF(Skills!E14=TRUE,Inputs!$B$32,0))),0)</f>
        <v/>
      </c>
      <c r="R631" t="n">
        <v>0</v>
      </c>
      <c r="S631" t="n">
        <v>0</v>
      </c>
      <c r="U631" t="n">
        <v>0</v>
      </c>
    </row>
    <row r="632">
      <c r="A632">
        <f>Skills!A15</f>
        <v/>
      </c>
      <c r="B632">
        <f>Skills!B15</f>
        <v/>
      </c>
      <c r="C632">
        <f>Inputs!$B$3&gt;=75</f>
        <v/>
      </c>
      <c r="D632">
        <f>IF(Skills!C15=1,60+(Inputs!$B$25+1)+Inputs!$B$29,IF(Skills!C15=2,90+Inputs!$B$26+Inputs!$B$29,IF(Skills!C15=3,120+Inputs!$B$27+Inputs!$B$29,MAX(0,(Inputs!$B$3-100)*3)+Inputs!$B$28+Inputs!$B$29)))</f>
        <v/>
      </c>
      <c r="E632">
        <f>INDEX(FactorTable!$B$2:$Y$301, MATCH(ROUND(MIN(300,MAX(1,D632)),0), FactorTable!$A$2:$A$301,0), Skills!L15+1)</f>
        <v/>
      </c>
      <c r="F632">
        <f>IF(Skills!M15=TRUE,(Skills!K15/10)*(E632/1000),Skills!K15/10)+Skills!N15</f>
        <v/>
      </c>
      <c r="G632">
        <f>Calc!G15</f>
        <v/>
      </c>
      <c r="H632">
        <f>Calc!H15</f>
        <v/>
      </c>
      <c r="I632">
        <f>IF(Skills!T15&lt;&gt;"",1+(Skills!T15/10)*(Z620/1000)/100,1)</f>
        <v/>
      </c>
      <c r="J632" t="inlineStr"/>
      <c r="K632" t="inlineStr"/>
      <c r="L632" t="inlineStr"/>
      <c r="M632" t="inlineStr"/>
      <c r="N632" t="inlineStr"/>
      <c r="O632">
        <f>(1-Summary!$B$51)*S632+Summary!$B$51*U632</f>
        <v/>
      </c>
      <c r="P632">
        <f>IF(B653=0,0,O632/B653)</f>
        <v/>
      </c>
      <c r="Q632">
        <f>IFERROR(1/IF(Inputs!$B$38="pvp",15,MAX(0.1,Skills!D15-IF(Skills!E15=TRUE,Inputs!$B$32,0))),0)</f>
        <v/>
      </c>
      <c r="R632" t="n">
        <v>0</v>
      </c>
      <c r="S632" t="n">
        <v>0</v>
      </c>
      <c r="U632" t="n">
        <v>0</v>
      </c>
    </row>
    <row r="633">
      <c r="A633">
        <f>Skills!A16</f>
        <v/>
      </c>
      <c r="B633">
        <f>Skills!B16</f>
        <v/>
      </c>
      <c r="C633">
        <f>Inputs!$B$3&gt;=110</f>
        <v/>
      </c>
      <c r="D633">
        <f>IF(Skills!C16=1,60+(Inputs!$B$25+1)+Inputs!$B$29,IF(Skills!C16=2,90+Inputs!$B$26+Inputs!$B$29,IF(Skills!C16=3,120+Inputs!$B$27+Inputs!$B$29,MAX(0,(Inputs!$B$3-100)*3)+Inputs!$B$28+Inputs!$B$29)))</f>
        <v/>
      </c>
      <c r="E633">
        <f>INDEX(FactorTable!$B$2:$Y$301, MATCH(ROUND(MIN(300,MAX(1,D633)),0), FactorTable!$A$2:$A$301,0), Skills!L16+1)</f>
        <v/>
      </c>
      <c r="F633">
        <f>(Skills!K16/10)*(E633/1000)*64/45+Skills!N16</f>
        <v/>
      </c>
      <c r="G633">
        <f>Calc!G16</f>
        <v/>
      </c>
      <c r="H633">
        <f>Calc!H16</f>
        <v/>
      </c>
      <c r="I633">
        <f>IF(Skills!T16&lt;&gt;"",1+(Skills!T16/10)*(Z620/1000)/100,1)</f>
        <v/>
      </c>
      <c r="J633" t="inlineStr"/>
      <c r="K633" t="inlineStr"/>
      <c r="L633" t="inlineStr"/>
      <c r="M633" t="inlineStr"/>
      <c r="N633" t="inlineStr"/>
      <c r="O633">
        <f>(1-Summary!$B$51)*S633+Summary!$B$51*U633</f>
        <v/>
      </c>
      <c r="P633">
        <f>IF(B653=0,0,O633/B653)</f>
        <v/>
      </c>
      <c r="Q633">
        <f>IFERROR(1/IF(Inputs!$B$38="pvp",15,MAX(0.1,Skills!D16-IF(Skills!E16=TRUE,Inputs!$B$32,0))),0)</f>
        <v/>
      </c>
      <c r="R633">
        <f>IF(AND(Inputs!$B$38&lt;&gt;"pvp",Inputs!$B$43&gt;0),IF(Inputs!$B$43&lt;=0,0,(INT(Inputs!$B$43/IF(Inputs!$B$38="pvp",15,MAX(0.1,Skills!D16-IF(Skills!E16=TRUE,Inputs!$B$32,0))))+1)),0)</f>
        <v/>
      </c>
      <c r="S633" t="n">
        <v>0</v>
      </c>
      <c r="U633" t="n">
        <v>0</v>
      </c>
    </row>
    <row r="634">
      <c r="A634">
        <f>Skills!A17</f>
        <v/>
      </c>
      <c r="B634">
        <f>Skills!B17</f>
        <v/>
      </c>
      <c r="C634">
        <f>Inputs!$B$3&gt;=33</f>
        <v/>
      </c>
      <c r="D634">
        <f>IF(Skills!C17=1,60+(Inputs!$B$25+1)+Inputs!$B$29,IF(Skills!C17=2,90+Inputs!$B$26+Inputs!$B$29,IF(Skills!C17=3,120+Inputs!$B$27+Inputs!$B$29,MAX(0,(Inputs!$B$3-100)*3)+Inputs!$B$28+Inputs!$B$29)))</f>
        <v/>
      </c>
      <c r="E634">
        <f>INDEX(FactorTable!$B$2:$Y$301, MATCH(ROUND(MIN(300,MAX(1,D634)),0), FactorTable!$A$2:$A$301,0), Skills!L17+1)</f>
        <v/>
      </c>
      <c r="F634">
        <f>IF(Skills!M17=TRUE,(Skills!K17/10)*(E634/1000),Skills!K17/10)+Skills!N17</f>
        <v/>
      </c>
      <c r="G634">
        <f>Calc!G17</f>
        <v/>
      </c>
      <c r="H634">
        <f>Calc!H17</f>
        <v/>
      </c>
      <c r="I634">
        <f>IF(Skills!T17&lt;&gt;"",1+(Skills!T17/10)*(Z620/1000)/100,1)</f>
        <v/>
      </c>
      <c r="J634" t="inlineStr"/>
      <c r="K634" t="inlineStr"/>
      <c r="L634" t="inlineStr"/>
      <c r="M634" t="inlineStr"/>
      <c r="N634" t="inlineStr"/>
      <c r="O634">
        <f>(1-Summary!$B$51)*S634+Summary!$B$51*U634</f>
        <v/>
      </c>
      <c r="P634">
        <f>IF(B653=0,0,O634/B653)</f>
        <v/>
      </c>
      <c r="Q634">
        <f>IFERROR(1/IF(Inputs!$B$38="pvp",15,MAX(0.1,Skills!D17-IF(Skills!E17=TRUE,Inputs!$B$32,0))),0)</f>
        <v/>
      </c>
      <c r="R634" t="n">
        <v>0</v>
      </c>
      <c r="S634" t="n">
        <v>0</v>
      </c>
      <c r="U634" t="n">
        <v>0</v>
      </c>
    </row>
    <row r="635">
      <c r="A635">
        <f>Skills!A18</f>
        <v/>
      </c>
      <c r="B635">
        <f>Skills!B18</f>
        <v/>
      </c>
      <c r="C635">
        <f>Inputs!$B$3&gt;=43</f>
        <v/>
      </c>
      <c r="D635">
        <f>IF(Skills!C18=1,60+(Inputs!$B$25+1)+Inputs!$B$29,IF(Skills!C18=2,90+Inputs!$B$26+Inputs!$B$29,IF(Skills!C18=3,120+Inputs!$B$27+Inputs!$B$29,MAX(0,(Inputs!$B$3-100)*3)+Inputs!$B$28+Inputs!$B$29)))</f>
        <v/>
      </c>
      <c r="E635">
        <f>INDEX(FactorTable!$B$2:$Y$301, MATCH(ROUND(MIN(300,MAX(1,D635)),0), FactorTable!$A$2:$A$301,0), Skills!L18+1)</f>
        <v/>
      </c>
      <c r="F635">
        <f>IF(Skills!M18=TRUE,(Skills!K18/10)*(E635/1000),Skills!K18/10)+Skills!N18</f>
        <v/>
      </c>
      <c r="G635">
        <f>Calc!G18</f>
        <v/>
      </c>
      <c r="H635">
        <f>Calc!H18</f>
        <v/>
      </c>
      <c r="I635">
        <f>IF(Skills!T18&lt;&gt;"",1+(Skills!T18/10)*(Z620/1000)/100,1)</f>
        <v/>
      </c>
      <c r="J635" t="inlineStr"/>
      <c r="K635" t="inlineStr"/>
      <c r="L635" t="inlineStr"/>
      <c r="M635" t="inlineStr"/>
      <c r="N635" t="inlineStr"/>
      <c r="O635">
        <f>(1-Summary!$B$51)*S635+Summary!$B$51*U635</f>
        <v/>
      </c>
      <c r="P635">
        <f>IF(B653=0,0,O635/B653)</f>
        <v/>
      </c>
      <c r="Q635">
        <f>IFERROR(1/IF(Inputs!$B$38="pvp",15,MAX(0.1,Skills!D18-IF(Skills!E18=TRUE,Inputs!$B$32,0))),0)</f>
        <v/>
      </c>
      <c r="R635" t="n">
        <v>0</v>
      </c>
      <c r="S635" t="n">
        <v>0</v>
      </c>
      <c r="U635" t="n">
        <v>0</v>
      </c>
    </row>
    <row r="636">
      <c r="A636">
        <f>Skills!A19</f>
        <v/>
      </c>
      <c r="B636">
        <f>Skills!B19</f>
        <v/>
      </c>
      <c r="C636">
        <f>Inputs!$B$3&gt;=50</f>
        <v/>
      </c>
      <c r="D636">
        <f>IF(Skills!C19=1,60+(Inputs!$B$25+1)+Inputs!$B$29,IF(Skills!C19=2,90+Inputs!$B$26+Inputs!$B$29,IF(Skills!C19=3,120+Inputs!$B$27+Inputs!$B$29,MAX(0,(Inputs!$B$3-100)*3)+Inputs!$B$28+Inputs!$B$29)))</f>
        <v/>
      </c>
      <c r="E636">
        <f>INDEX(FactorTable!$B$2:$Y$301, MATCH(ROUND(MIN(300,MAX(1,D636)),0), FactorTable!$A$2:$A$301,0), Skills!L19+1)</f>
        <v/>
      </c>
      <c r="F636">
        <f>IF(Skills!M19=TRUE,(Skills!K19/10)*(E636/1000),Skills!K19/10)+Skills!N19</f>
        <v/>
      </c>
      <c r="G636">
        <f>Calc!G19</f>
        <v/>
      </c>
      <c r="H636">
        <f>Calc!H19</f>
        <v/>
      </c>
      <c r="I636">
        <f>IF(Skills!T19&lt;&gt;"",1+(Skills!T19/10)*(Z620/1000)/100,1)</f>
        <v/>
      </c>
      <c r="J636" t="inlineStr"/>
      <c r="K636" t="inlineStr"/>
      <c r="L636" t="inlineStr"/>
      <c r="M636" t="inlineStr"/>
      <c r="N636" t="inlineStr"/>
      <c r="O636">
        <f>(1-Summary!$B$51)*S636+Summary!$B$51*U636</f>
        <v/>
      </c>
      <c r="P636">
        <f>IF(B653=0,0,O636/B653)</f>
        <v/>
      </c>
      <c r="Q636">
        <f>IFERROR(1/IF(Inputs!$B$38="pvp",15,MAX(0.1,Skills!D19-IF(Skills!E19=TRUE,Inputs!$B$32,0))),0)</f>
        <v/>
      </c>
      <c r="R636" t="n">
        <v>0</v>
      </c>
      <c r="S636" t="n">
        <v>0</v>
      </c>
      <c r="U636" t="n">
        <v>0</v>
      </c>
    </row>
    <row r="637">
      <c r="A637">
        <f>Skills!A20</f>
        <v/>
      </c>
      <c r="B637">
        <f>Skills!B20</f>
        <v/>
      </c>
      <c r="C637">
        <f>Inputs!$B$3&gt;=74</f>
        <v/>
      </c>
      <c r="D637">
        <f>IF(Skills!C20=1,60+(Inputs!$B$25+1)+Inputs!$B$29,IF(Skills!C20=2,90+Inputs!$B$26+Inputs!$B$29,IF(Skills!C20=3,120+Inputs!$B$27+Inputs!$B$29,MAX(0,(Inputs!$B$3-100)*3)+Inputs!$B$28+Inputs!$B$29)))</f>
        <v/>
      </c>
      <c r="E637">
        <f>INDEX(FactorTable!$B$2:$Y$301, MATCH(ROUND(MIN(300,MAX(1,D637)),0), FactorTable!$A$2:$A$301,0), Skills!L20+1)</f>
        <v/>
      </c>
      <c r="F637">
        <f>IF(Skills!M20=TRUE,(Skills!K20/10)*(E637/1000),Skills!K20/10)+Skills!N20</f>
        <v/>
      </c>
      <c r="G637">
        <f>Calc!G20</f>
        <v/>
      </c>
      <c r="H637">
        <f>Calc!H20</f>
        <v/>
      </c>
      <c r="I637">
        <f>IF(Skills!T20&lt;&gt;"",1+(Skills!T20/10)*(Z620/1000)/100,1)</f>
        <v/>
      </c>
      <c r="J637" t="inlineStr"/>
      <c r="K637" t="inlineStr"/>
      <c r="L637" t="inlineStr"/>
      <c r="M637" t="inlineStr"/>
      <c r="N637" t="inlineStr"/>
      <c r="O637">
        <f>(1-Summary!$B$51)*S637+Summary!$B$51*U637</f>
        <v/>
      </c>
      <c r="P637">
        <f>IF(B653=0,0,O637/B653)</f>
        <v/>
      </c>
      <c r="Q637">
        <f>IFERROR(1/IF(Inputs!$B$38="pvp",15,MAX(0.1,Skills!D20-IF(Skills!E20=TRUE,Inputs!$B$32,0))),0)</f>
        <v/>
      </c>
      <c r="R637" t="n">
        <v>0</v>
      </c>
      <c r="S637" t="n">
        <v>0</v>
      </c>
      <c r="U637" t="n">
        <v>0</v>
      </c>
    </row>
    <row r="638">
      <c r="A638">
        <f>Skills!A21</f>
        <v/>
      </c>
      <c r="B638">
        <f>Skills!B21</f>
        <v/>
      </c>
      <c r="C638">
        <f>Inputs!$B$3&gt;=74</f>
        <v/>
      </c>
      <c r="D638">
        <f>IF(Skills!C21=1,60+(Inputs!$B$25+1)+Inputs!$B$29,IF(Skills!C21=2,90+Inputs!$B$26+Inputs!$B$29,IF(Skills!C21=3,120+Inputs!$B$27+Inputs!$B$29,MAX(0,(Inputs!$B$3-100)*3)+Inputs!$B$28+Inputs!$B$29)))</f>
        <v/>
      </c>
      <c r="E638">
        <f>INDEX(FactorTable!$B$2:$Y$301, MATCH(ROUND(MIN(300,MAX(1,D638)),0), FactorTable!$A$2:$A$301,0), Skills!L21+1)</f>
        <v/>
      </c>
      <c r="F638">
        <f>IF(Skills!M21=TRUE,(Skills!K21/10)*(E638/1000),Skills!K21/10)+Skills!N21</f>
        <v/>
      </c>
      <c r="G638">
        <f>Calc!G21</f>
        <v/>
      </c>
      <c r="H638">
        <f>Calc!H21</f>
        <v/>
      </c>
      <c r="I638">
        <f>IF(Skills!T21&lt;&gt;"",1+(Skills!T21/10)*(Z620/1000)/100,1)</f>
        <v/>
      </c>
      <c r="J638" t="inlineStr"/>
      <c r="K638" t="inlineStr"/>
      <c r="L638" t="inlineStr"/>
      <c r="M638" t="inlineStr"/>
      <c r="N638" t="inlineStr"/>
      <c r="O638">
        <f>(1-Summary!$B$51)*S638+Summary!$B$51*U638</f>
        <v/>
      </c>
      <c r="P638">
        <f>IF(B653=0,0,O638/B653)</f>
        <v/>
      </c>
      <c r="Q638">
        <f>IFERROR(1/IF(Inputs!$B$38="pvp",15,MAX(0.1,Skills!D21-IF(Skills!E21=TRUE,Inputs!$B$32,0))),0)</f>
        <v/>
      </c>
      <c r="R638" t="n">
        <v>0</v>
      </c>
      <c r="S638" t="n">
        <v>0</v>
      </c>
      <c r="U638" t="n">
        <v>0</v>
      </c>
    </row>
    <row r="639">
      <c r="A639">
        <f>Skills!A22</f>
        <v/>
      </c>
      <c r="B639">
        <f>Skills!B22</f>
        <v/>
      </c>
      <c r="C639">
        <f>Inputs!$B$3&gt;=117</f>
        <v/>
      </c>
      <c r="D639">
        <f>IF(Skills!C22=1,60+(Inputs!$B$25+1)+Inputs!$B$29,IF(Skills!C22=2,90+Inputs!$B$26+Inputs!$B$29,IF(Skills!C22=3,120+Inputs!$B$27+Inputs!$B$29,MAX(0,(Inputs!$B$3-100)*3)+Inputs!$B$28+Inputs!$B$29)))</f>
        <v/>
      </c>
      <c r="E639">
        <f>INDEX(FactorTable!$B$2:$Y$301, MATCH(ROUND(MIN(300,MAX(1,D639)),0), FactorTable!$A$2:$A$301,0), Skills!L22+1)</f>
        <v/>
      </c>
      <c r="F639">
        <f>IF(Skills!M22=TRUE,(Skills!K22/10)*(E639/1000),Skills!K22/10)+Skills!N22</f>
        <v/>
      </c>
      <c r="G639">
        <f>Calc!G22</f>
        <v/>
      </c>
      <c r="H639">
        <f>Calc!H22</f>
        <v/>
      </c>
      <c r="I639">
        <f>IF(Skills!T22&lt;&gt;"",1+(Skills!T22/10)*(Z620/1000)/100,1)</f>
        <v/>
      </c>
      <c r="J639" t="inlineStr"/>
      <c r="K639" t="inlineStr"/>
      <c r="L639" t="inlineStr"/>
      <c r="M639" t="inlineStr"/>
      <c r="N639" t="inlineStr"/>
      <c r="O639">
        <f>(1-Summary!$B$51)*S639+Summary!$B$51*U639</f>
        <v/>
      </c>
      <c r="P639">
        <f>IF(B653=0,0,O639/B653)</f>
        <v/>
      </c>
      <c r="Q639">
        <f>IFERROR(1/IF(Inputs!$B$38="pvp",15,MAX(0.1,Skills!D22-IF(Skills!E22=TRUE,Inputs!$B$32,0))),0)</f>
        <v/>
      </c>
      <c r="R639" t="n">
        <v>0</v>
      </c>
      <c r="S639" t="n">
        <v>0</v>
      </c>
      <c r="U639" t="n">
        <v>0</v>
      </c>
    </row>
    <row r="640">
      <c r="A640">
        <f>Skills!A23</f>
        <v/>
      </c>
      <c r="B640">
        <f>Skills!B23</f>
        <v/>
      </c>
      <c r="C640">
        <f>Inputs!$B$3&gt;=120</f>
        <v/>
      </c>
      <c r="D640">
        <f>IF(Skills!C23=1,60+(Inputs!$B$25+1)+Inputs!$B$29,IF(Skills!C23=2,90+Inputs!$B$26+Inputs!$B$29,IF(Skills!C23=3,120+Inputs!$B$27+Inputs!$B$29,MAX(0,(Inputs!$B$3-100)*3)+Inputs!$B$28+Inputs!$B$29)))</f>
        <v/>
      </c>
      <c r="E640">
        <f>INDEX(FactorTable!$B$2:$Y$301, MATCH(ROUND(MIN(300,MAX(1,D640)),0), FactorTable!$A$2:$A$301,0), Skills!L23+1)</f>
        <v/>
      </c>
      <c r="F640">
        <f>IF(Skills!M23=TRUE,(Skills!K23/10)*(E640/1000),Skills!K23/10)+Skills!N23</f>
        <v/>
      </c>
      <c r="G640">
        <f>Calc!G23</f>
        <v/>
      </c>
      <c r="H640">
        <f>Calc!H23</f>
        <v/>
      </c>
      <c r="I640">
        <f>IF(Skills!T23&lt;&gt;"",1+(Skills!T23/10)*(Z620/1000)/100,1)</f>
        <v/>
      </c>
      <c r="J640" t="inlineStr"/>
      <c r="K640" t="inlineStr"/>
      <c r="L640" t="inlineStr"/>
      <c r="M640" t="inlineStr"/>
      <c r="N640" t="inlineStr"/>
      <c r="O640">
        <f>(1-Summary!$B$51)*S640+Summary!$B$51*U640</f>
        <v/>
      </c>
      <c r="P640">
        <f>IF(B653=0,0,O640/B653)</f>
        <v/>
      </c>
      <c r="Q640">
        <f>IFERROR(1/IF(Inputs!$B$38="pvp",15,MAX(0.1,Skills!D23-IF(Skills!E23=TRUE,Inputs!$B$32,0))),0)</f>
        <v/>
      </c>
      <c r="R640" t="n">
        <v>0</v>
      </c>
      <c r="S640" t="n">
        <v>0</v>
      </c>
      <c r="U640" t="n">
        <v>0</v>
      </c>
    </row>
    <row r="643">
      <c r="A643" t="inlineStr">
        <is>
          <t>Average Buff Multiplier (Magic Guard + Meditation, summed; then Infinity)</t>
        </is>
      </c>
      <c r="B643">
        <f>(1+(IF(C620=TRUE,F620*IF(AND(Inputs!$B$38&lt;&gt;"pvp",Inputs!$B$43&gt;0),(((R620-1)*(Skills!S3*(1+(Inputs!$B$34+IF(Inputs!$B$3&gt;=117,F639,0))/100))+MIN((Skills!S3*(1+(Inputs!$B$34+IF(Inputs!$B$3&gt;=117,F639,0))/100)),MAX(0,Inputs!$B$43-((R620-1)*Skills!D3))))/Inputs!$B$43),IF(Inputs!$B$38="pvp",MIN((Skills!S3*(1+(Inputs!$B$34+IF(Inputs!$B$3&gt;=117,F639,0))/100)),15)/15,(Skills!S3*(1+(Inputs!$B$34+IF(Inputs!$B$3&gt;=117,F639,0))/100))/Skills!D3)),0)+IF(C621=TRUE,F621*IF(AND(Inputs!$B$38&lt;&gt;"pvp",Inputs!$B$43&gt;0),(((R621-1)*(Skills!S4*(1+(Inputs!$B$34+IF(Inputs!$B$3&gt;=117,F639,0))/100))+MIN((Skills!S4*(1+(Inputs!$B$34+IF(Inputs!$B$3&gt;=117,F639,0))/100)),MAX(0,Inputs!$B$43-((R621-1)*Skills!D4))))/Inputs!$B$43),IF(Inputs!$B$38="pvp",MIN((Skills!S4*(1+(Inputs!$B$34+IF(Inputs!$B$3&gt;=117,F639,0))/100)),15)/15,(Skills!S4*(1+(Inputs!$B$34+IF(Inputs!$B$3&gt;=117,F639,0))/100))/Skills!D4)),0))/100)*IF(C633=TRUE,(1+F633*IF(AND(Inputs!$B$38&lt;&gt;"pvp",Inputs!$B$43&gt;0),(((R633-1)*(Skills!S16*(1+(Inputs!$B$34+IF(Inputs!$B$3&gt;=117,F639,0))/100))+MIN((Skills!S16*(1+(Inputs!$B$34+IF(Inputs!$B$3&gt;=117,F639,0))/100)),MAX(0,Inputs!$B$43-((R633-1)*Skills!D16))))/Inputs!$B$43),IF(Inputs!$B$38="pvp",MIN((Skills!S16*(1+(Inputs!$B$34+IF(Inputs!$B$3&gt;=117,F639,0))/100)),15)/15,(Skills!S16*(1+(Inputs!$B$34+IF(Inputs!$B$3&gt;=117,F639,0))/100))/Skills!D16))/100),1)</f>
        <v/>
      </c>
    </row>
    <row r="644">
      <c r="A644" t="inlineStr">
        <is>
          <t>Monster Damage Taken Bonus % (Freezing Breath - Weaken + Elemental Reset, summed)</t>
        </is>
      </c>
      <c r="B644">
        <f>IF(Inputs!$B$3&gt;=118,15*IF(Inputs!$B$38="pvp",MIN((30*(1+(Inputs!$B$34+IF(Inputs!$B$3&gt;=117,F639,0))/100)),15)/15,(30*(1+(Inputs!$B$34+IF(Inputs!$B$3&gt;=117,F639,0))/100))/Skills!D8),0)+IF(C631=TRUE,F631,0)</f>
        <v/>
      </c>
    </row>
    <row r="645">
      <c r="A645" t="inlineStr">
        <is>
          <t>Damage % Bonus (Frozen Break + Frost Clutch, flat)</t>
        </is>
      </c>
      <c r="B645">
        <f>IF(Inputs!$B$3&gt;=66,15,0)+IF(Inputs!$B$3&gt;=98,10,0)+IF(Inputs!$B$3&gt;=125,20,0)</f>
        <v/>
      </c>
    </row>
    <row r="646">
      <c r="A646" t="inlineStr">
        <is>
          <t>Attack Speed Bonus % (MP Eater - MP Boost, always-on once unlocked)</t>
        </is>
      </c>
      <c r="B646">
        <f>IF(C630=TRUE,F630+(F634-Calc!F17),0)</f>
        <v/>
      </c>
    </row>
    <row r="647">
      <c r="A647" t="inlineStr">
        <is>
          <t>Actions Per Second</t>
        </is>
      </c>
      <c r="B647">
        <f>1+MIN(150,150*(1-(1-Inputs!$B$11/150)*(1-B646/150)))/100</f>
        <v/>
      </c>
    </row>
    <row r="648">
      <c r="A648" t="inlineStr">
        <is>
          <t>Skill + Buff Cast Rate</t>
        </is>
      </c>
      <c r="B648">
        <f>IF(AND(Inputs!$B$38&lt;&gt;"pvp",Inputs!$B$43&gt;0),SUMPRODUCT((Skills!E2:E23=TRUE)*(C619:C640=TRUE)*R619:R640)/Inputs!$B$43,SUMPRODUCT((Skills!E2:E23=TRUE)*(C619:C640=TRUE)*Q619:Q640))</f>
        <v/>
      </c>
    </row>
    <row r="649">
      <c r="A649" t="inlineStr">
        <is>
          <t>Chain Lightning Casts Per Second</t>
        </is>
      </c>
      <c r="B649">
        <f>MAX(0,B647-B648)</f>
        <v/>
      </c>
    </row>
    <row r="650">
      <c r="A650" t="inlineStr">
        <is>
          <t>Buff-Casting Startup Delay (s, fixed-duration only)</t>
        </is>
      </c>
      <c r="B650">
        <f>IF(AND(Inputs!$B$38&lt;&gt;"pvp",Inputs!$B$43&gt;0),SUMPRODUCT((Skills!S2:S23&gt;0)*(Skills!E2:E23=TRUE)*(C619:C640=TRUE))/B647,0)</f>
        <v/>
      </c>
    </row>
    <row r="651">
      <c r="A651" t="inlineStr">
        <is>
          <t>Boss-Only Total DPS (this block's swept value)</t>
        </is>
      </c>
      <c r="B651">
        <f>SUM(S619:S640)</f>
        <v/>
      </c>
    </row>
    <row r="652">
      <c r="A652" t="inlineStr">
        <is>
          <t>Normal-Only Total DPS (this block's swept value)</t>
        </is>
      </c>
      <c r="B652">
        <f>SUM(U619:U640)</f>
        <v/>
      </c>
    </row>
    <row r="653">
      <c r="A653" s="5" t="inlineStr">
        <is>
          <t>TOTAL DPS</t>
        </is>
      </c>
      <c r="B653" s="5">
        <f>SUM(O619:O640)</f>
        <v/>
      </c>
    </row>
    <row r="656">
      <c r="A656" s="5" t="inlineStr">
        <is>
          <t>Stat: Skill Level Bonus — 2nd Job</t>
        </is>
      </c>
    </row>
    <row r="657">
      <c r="A657" s="9" t="inlineStr">
        <is>
          <t>Key</t>
        </is>
      </c>
      <c r="B657" s="9" t="inlineStr">
        <is>
          <t>Name</t>
        </is>
      </c>
      <c r="C657" s="9" t="inlineStr">
        <is>
          <t>Unlocked</t>
        </is>
      </c>
      <c r="D657" s="9" t="inlineStr">
        <is>
          <t>InputLevel</t>
        </is>
      </c>
      <c r="E657" s="9" t="inlineStr">
        <is>
          <t>Factor</t>
        </is>
      </c>
      <c r="F657" s="9" t="inlineStr">
        <is>
          <t>CoefficientPercent</t>
        </is>
      </c>
      <c r="G657" s="9" t="inlineStr">
        <is>
          <t>EffectiveHits</t>
        </is>
      </c>
      <c r="H657" s="9" t="inlineStr">
        <is>
          <t>ProcProbability</t>
        </is>
      </c>
      <c r="I657" s="9" t="inlineStr">
        <is>
          <t>MapleHeroMultiplier</t>
        </is>
      </c>
      <c r="J657" s="9" t="inlineStr">
        <is>
          <t>BaseDamage</t>
        </is>
      </c>
      <c r="K657" s="9" t="inlineStr">
        <is>
          <t>BaseHitDamage</t>
        </is>
      </c>
      <c r="L657" s="9" t="inlineStr">
        <is>
          <t>NonCritAvg</t>
        </is>
      </c>
      <c r="M657" s="9" t="inlineStr">
        <is>
          <t>CritAvg</t>
        </is>
      </c>
      <c r="N657" s="9" t="inlineStr">
        <is>
          <t>ExpectedDamage(perHit)</t>
        </is>
      </c>
      <c r="O657" s="9" t="inlineStr">
        <is>
          <t>DPS</t>
        </is>
      </c>
      <c r="P657" s="9" t="inlineStr">
        <is>
          <t>% of Total</t>
        </is>
      </c>
      <c r="R657" t="inlineStr">
        <is>
          <t>helpers</t>
        </is>
      </c>
    </row>
    <row r="658">
      <c r="A658">
        <f>Skills!A2</f>
        <v/>
      </c>
      <c r="B658">
        <f>Skills!B2</f>
        <v/>
      </c>
      <c r="C658">
        <f>Inputs!$B$3&gt;=100</f>
        <v/>
      </c>
      <c r="D658" t="inlineStr"/>
      <c r="E658" t="inlineStr"/>
      <c r="F658">
        <f>T660+Skills!N2</f>
        <v/>
      </c>
      <c r="G658">
        <f>Calc!G2</f>
        <v/>
      </c>
      <c r="H658">
        <f>Calc!H2</f>
        <v/>
      </c>
      <c r="I658">
        <f>IF(Skills!T2&lt;&gt;"",1+(Skills!T2/10)*(Z659/1000)/100,1)</f>
        <v/>
      </c>
      <c r="J658">
        <f>((Inputs!$B$6*(1+Inputs!$B$7/100))+(((Inputs!$B$12*(1+Inputs!$B$13/100))-(Inputs!$B$12*(1+Inputs!$B$13/100)))+0.25*(Inputs!$B$14-Inputs!$B$14))*(1+Inputs!$B$7/100))*(F658/100)</f>
        <v/>
      </c>
      <c r="K658">
        <f>J658*(1+((Inputs!$B$12*(1+Inputs!$B$13/100))*0.01+Inputs!$B$14*0.0025)/100)*(1+(Inputs!$B$15+B684)/100)*(1+Inputs!$B$16/100)*(5000/(6000+Inputs!$B$42*(1-Inputs!$B$19/100)))*(1+Inputs!$B$24/100)*(1+IF(C671=TRUE,F671,0)/100)*(1+IF(C679=TRUE,F679,0)/100)^5*(1+(IF(Skills!A2="CHAIN_LIGHTNING",Inputs!$B$17,Inputs!$B$18))/100)*(B682*I658)</f>
        <v/>
      </c>
      <c r="L658">
        <f>K658*(MIN(Inputs!$B$22+(F674-Calc!F18),Inputs!$B$23)/100+Inputs!$B$23/100)/2</f>
        <v/>
      </c>
      <c r="M658">
        <f>L658*(1+(Inputs!$B$10+(F677-Calc!F21))/100)</f>
        <v/>
      </c>
      <c r="N658">
        <f>L658*(1-MIN(Inputs!$B$9+((F676-Calc!F20)+(F675-Calc!F19)),100)/100)+M658*(MIN(Inputs!$B$9+((F676-Calc!F20)+(F675-Calc!F19)),100)/100)</f>
        <v/>
      </c>
      <c r="O658">
        <f>(1-Summary!$B$51)*S658+Summary!$B$51*U658</f>
        <v/>
      </c>
      <c r="P658">
        <f>IF(B692=0,0,O658/B692)</f>
        <v/>
      </c>
      <c r="Q658">
        <f>IFERROR(1/IF(Inputs!$B$38="pvp",15,MAX(0.1,Skills!D2-IF(Skills!E2=TRUE,Inputs!$B$32,0))),0)</f>
        <v/>
      </c>
      <c r="R658" t="n">
        <v>0</v>
      </c>
      <c r="S658">
        <f>IF(C658,(Skills!F2*N658*B688)*IF(Inputs!$B$38="pvp",1,1+(Inputs!$B$20+Skills!O2+B683)/100),0)</f>
        <v/>
      </c>
      <c r="T658">
        <f>MAX(0,(Inputs!$B$3-100)*3)+Inputs!$B$28+Inputs!$B$29</f>
        <v/>
      </c>
      <c r="U658">
        <f>IF(C658,(Skills!F2*N658*B688)*IF(Inputs!$B$38="pvp",1,(1+(Inputs!$B$21+Skills!P2+B683)/100)*(MIN((6+Inputs!$B$33),Inputs!$B$37))),0)</f>
        <v/>
      </c>
      <c r="Z658">
        <f>MAX(0,(Inputs!$B$3-100)*3)+Inputs!$B$28+Inputs!$B$29</f>
        <v/>
      </c>
    </row>
    <row r="659">
      <c r="A659">
        <f>Skills!A3</f>
        <v/>
      </c>
      <c r="B659">
        <f>Skills!B3</f>
        <v/>
      </c>
      <c r="C659">
        <f>Inputs!$B$3&gt;=15</f>
        <v/>
      </c>
      <c r="D659">
        <f>IF(Skills!C3=1,60+Inputs!$B$25+Inputs!$B$29,IF(Skills!C3=2,90+(Inputs!$B$26+1)+Inputs!$B$29,IF(Skills!C3=3,120+Inputs!$B$27+Inputs!$B$29,MAX(0,(Inputs!$B$3-100)*3)+Inputs!$B$28+Inputs!$B$29)))</f>
        <v/>
      </c>
      <c r="E659">
        <f>INDEX(FactorTable!$B$2:$Y$301, MATCH(ROUND(MIN(300,MAX(1,D659)),0), FactorTable!$A$2:$A$301,0), Skills!L3+1)</f>
        <v/>
      </c>
      <c r="F659">
        <f>IF(Skills!M3=TRUE,(Skills!K3/10)*(E659/1000),Skills!K3/10)+Skills!N3</f>
        <v/>
      </c>
      <c r="G659">
        <f>Calc!G3</f>
        <v/>
      </c>
      <c r="H659">
        <f>Calc!H3</f>
        <v/>
      </c>
      <c r="I659">
        <f>IF(Skills!T3&lt;&gt;"",1+(Skills!T3/10)*(Z659/1000)/100,1)</f>
        <v/>
      </c>
      <c r="J659" t="inlineStr"/>
      <c r="K659" t="inlineStr"/>
      <c r="L659" t="inlineStr"/>
      <c r="M659" t="inlineStr"/>
      <c r="N659" t="inlineStr"/>
      <c r="O659">
        <f>(1-Summary!$B$51)*S659+Summary!$B$51*U659</f>
        <v/>
      </c>
      <c r="P659">
        <f>IF(B692=0,0,O659/B692)</f>
        <v/>
      </c>
      <c r="Q659">
        <f>IFERROR(1/IF(Inputs!$B$38="pvp",15,MAX(0.1,Skills!D3-IF(Skills!E3=TRUE,Inputs!$B$32,0))),0)</f>
        <v/>
      </c>
      <c r="R659">
        <f>IF(AND(Inputs!$B$38&lt;&gt;"pvp",Inputs!$B$43&gt;0),IF(Inputs!$B$43&lt;=0,0,(INT(Inputs!$B$43/IF(Inputs!$B$38="pvp",15,MAX(0.1,Skills!D3-IF(Skills!E3=TRUE,Inputs!$B$32,0))))+1)),0)</f>
        <v/>
      </c>
      <c r="S659" t="n">
        <v>0</v>
      </c>
      <c r="T659">
        <f>INDEX(FactorTable!$B$2:$Y$301, MATCH(ROUND(MIN(300,MAX(1,T658)),0), FactorTable!$A$2:$A$301,0), 22)</f>
        <v/>
      </c>
      <c r="U659" t="n">
        <v>0</v>
      </c>
      <c r="Z659">
        <f>INDEX(FactorTable!$B$2:$Y$301, MATCH(ROUND(MIN(300,MAX(1,Z658)),0), FactorTable!$A$2:$A$301,0), 24)</f>
        <v/>
      </c>
    </row>
    <row r="660">
      <c r="A660">
        <f>Skills!A4</f>
        <v/>
      </c>
      <c r="B660">
        <f>Skills!B4</f>
        <v/>
      </c>
      <c r="C660">
        <f>Inputs!$B$3&gt;=40</f>
        <v/>
      </c>
      <c r="D660">
        <f>IF(Skills!C4=1,60+Inputs!$B$25+Inputs!$B$29,IF(Skills!C4=2,90+(Inputs!$B$26+1)+Inputs!$B$29,IF(Skills!C4=3,120+Inputs!$B$27+Inputs!$B$29,MAX(0,(Inputs!$B$3-100)*3)+Inputs!$B$28+Inputs!$B$29)))</f>
        <v/>
      </c>
      <c r="E660">
        <f>INDEX(FactorTable!$B$2:$Y$301, MATCH(ROUND(MIN(300,MAX(1,D660)),0), FactorTable!$A$2:$A$301,0), Skills!L4+1)</f>
        <v/>
      </c>
      <c r="F660">
        <f>IF(Skills!M4=TRUE,(Skills!K4/10)*(E660/1000),Skills!K4/10)+Skills!N4</f>
        <v/>
      </c>
      <c r="G660">
        <f>Calc!G4</f>
        <v/>
      </c>
      <c r="H660">
        <f>Calc!H4</f>
        <v/>
      </c>
      <c r="I660">
        <f>IF(Skills!T4&lt;&gt;"",1+(Skills!T4/10)*(Z659/1000)/100,1)</f>
        <v/>
      </c>
      <c r="J660" t="inlineStr"/>
      <c r="K660" t="inlineStr"/>
      <c r="L660" t="inlineStr"/>
      <c r="M660" t="inlineStr"/>
      <c r="N660" t="inlineStr"/>
      <c r="O660">
        <f>(1-Summary!$B$51)*S660+Summary!$B$51*U660</f>
        <v/>
      </c>
      <c r="P660">
        <f>IF(B692=0,0,O660/B692)</f>
        <v/>
      </c>
      <c r="Q660">
        <f>IFERROR(1/IF(Inputs!$B$38="pvp",15,MAX(0.1,Skills!D4-IF(Skills!E4=TRUE,Inputs!$B$32,0))),0)</f>
        <v/>
      </c>
      <c r="R660">
        <f>IF(AND(Inputs!$B$38&lt;&gt;"pvp",Inputs!$B$43&gt;0),IF(Inputs!$B$43&lt;=0,0,(INT(Inputs!$B$43/IF(Inputs!$B$38="pvp",15,MAX(0.1,Skills!D4-IF(Skills!E4=TRUE,Inputs!$B$32,0))))+1)),0)</f>
        <v/>
      </c>
      <c r="S660" t="n">
        <v>0</v>
      </c>
      <c r="T660">
        <f>290*T659/1000</f>
        <v/>
      </c>
      <c r="U660" t="n">
        <v>0</v>
      </c>
    </row>
    <row r="661">
      <c r="A661">
        <f>Skills!A5</f>
        <v/>
      </c>
      <c r="B661">
        <f>Skills!B5</f>
        <v/>
      </c>
      <c r="C661">
        <f>Inputs!$B$3&gt;=38</f>
        <v/>
      </c>
      <c r="D661">
        <f>IF(Skills!C5=1,60+Inputs!$B$25+Inputs!$B$29,IF(Skills!C5=2,90+(Inputs!$B$26+1)+Inputs!$B$29,IF(Skills!C5=3,120+Inputs!$B$27+Inputs!$B$29,MAX(0,(Inputs!$B$3-100)*3)+Inputs!$B$28+Inputs!$B$29)))</f>
        <v/>
      </c>
      <c r="E661">
        <f>INDEX(FactorTable!$B$2:$Y$301, MATCH(ROUND(MIN(300,MAX(1,D661)),0), FactorTable!$A$2:$A$301,0), Skills!L5+1)</f>
        <v/>
      </c>
      <c r="F661">
        <f>IF(Skills!M5=TRUE,(Skills!K5/10)*(E661/1000),Skills!K5/10)+Skills!N5</f>
        <v/>
      </c>
      <c r="G661">
        <f>Calc!G5</f>
        <v/>
      </c>
      <c r="H661">
        <f>Calc!H5</f>
        <v/>
      </c>
      <c r="I661">
        <f>IF(Skills!T5&lt;&gt;"",1+(Skills!T5/10)*(Z659/1000)/100,1)</f>
        <v/>
      </c>
      <c r="J661">
        <f>((Inputs!$B$6*(1+Inputs!$B$7/100))+(((Inputs!$B$12*(1+Inputs!$B$13/100))-(Inputs!$B$12*(1+Inputs!$B$13/100)))+0.25*(Inputs!$B$14-Inputs!$B$14))*(1+Inputs!$B$7/100))*(F661/100)</f>
        <v/>
      </c>
      <c r="K661">
        <f>J661*(1+((Inputs!$B$12*(1+Inputs!$B$13/100))*0.01+Inputs!$B$14*0.0025)/100)*(1+(Inputs!$B$15+B684)/100)*(1+Inputs!$B$16/100)*(5000/(6000+Inputs!$B$42*(1-Inputs!$B$19/100)))*(1+Inputs!$B$24/100)*(1+IF(C671=TRUE,F671,0)/100)*(1+IF(C679=TRUE,F679,0)/100)^5*(1+(IF(Skills!A5="CHAIN_LIGHTNING",Inputs!$B$17,Inputs!$B$18))/100)*(B682*I661)</f>
        <v/>
      </c>
      <c r="L661">
        <f>K661*(MIN(Inputs!$B$22+(F674-Calc!F18),Inputs!$B$23)/100+Inputs!$B$23/100)/2</f>
        <v/>
      </c>
      <c r="M661">
        <f>L661*(1+(Inputs!$B$10+(F677-Calc!F21))/100)</f>
        <v/>
      </c>
      <c r="N661">
        <f>L661*(1-MIN(Inputs!$B$9+((F676-Calc!F20)+(F675-Calc!F19)),100)/100)+M661*(MIN(Inputs!$B$9+((F676-Calc!F20)+(F675-Calc!F19)),100)/100)</f>
        <v/>
      </c>
      <c r="O661">
        <f>(1-Summary!$B$51)*S661+Summary!$B$51*U661</f>
        <v/>
      </c>
      <c r="P661">
        <f>IF(B692=0,0,O661/B692)</f>
        <v/>
      </c>
      <c r="Q661">
        <f>IFERROR(1/IF(Inputs!$B$38="pvp",15,MAX(0.1,Skills!D5-IF(Skills!E5=TRUE,Inputs!$B$32,0))),0)</f>
        <v/>
      </c>
      <c r="R661">
        <f>IF(AND(Inputs!$B$38&lt;&gt;"pvp",Inputs!$B$43&gt;0),IF(MAX(0,Inputs!$B$43-B689)&lt;=0,0,(INT(MAX(0,Inputs!$B$43-B689)/IF(Inputs!$B$38="pvp",15,MAX(0.1,Skills!D5-IF(Skills!E5=TRUE,Inputs!$B$32,0))))+1)),0)</f>
        <v/>
      </c>
      <c r="S661">
        <f>IF(C661,(H661*N661*IF(AND(Inputs!$B$38&lt;&gt;"pvp",Inputs!$B$43&gt;0),((Skills!F5*((R661-1)*IF(Skills!G5&gt;0,Skills!H5/Skills!G5,1)+IF(Skills!G5&gt;0,MIN(Skills!H5,MAX(0,MAX(0,Inputs!$B$43-B689)-((R661-1)*IF(Inputs!$B$38="pvp",15,MAX(0.1,Skills!D5-IF(Skills!E5=TRUE,Inputs!$B$32,0))))))/Skills!G5,1)))/Inputs!$B$43),G661*Q661))*IF(Inputs!$B$38="pvp",1,1+(Inputs!$B$20+Skills!O5+B683)/100),0)</f>
        <v/>
      </c>
      <c r="U661">
        <f>IF(C661,(H661*N661*IF(AND(Inputs!$B$38&lt;&gt;"pvp",Inputs!$B$43&gt;0),((Skills!F5*((R661-1)*IF(Skills!G5&gt;0,Skills!H5/Skills!G5,1)+IF(Skills!G5&gt;0,MIN(Skills!H5,MAX(0,MAX(0,Inputs!$B$43-B689)-((R661-1)*IF(Inputs!$B$38="pvp",15,MAX(0.1,Skills!D5-IF(Skills!E5=TRUE,Inputs!$B$32,0))))))/Skills!G5,1)))/Inputs!$B$43),G661*Q661))*IF(Inputs!$B$38="pvp",1,(1+(Inputs!$B$21+Skills!P5+B683)/100)*(MIN(Skills!Q5,Inputs!$B$37))),0)</f>
        <v/>
      </c>
    </row>
    <row r="662">
      <c r="A662">
        <f>Skills!A6</f>
        <v/>
      </c>
      <c r="B662">
        <f>Skills!B6</f>
        <v/>
      </c>
      <c r="C662">
        <f>Inputs!$B$3&gt;=63</f>
        <v/>
      </c>
      <c r="D662">
        <f>IF(Skills!C6=1,60+Inputs!$B$25+Inputs!$B$29,IF(Skills!C6=2,90+(Inputs!$B$26+1)+Inputs!$B$29,IF(Skills!C6=3,120+Inputs!$B$27+Inputs!$B$29,MAX(0,(Inputs!$B$3-100)*3)+Inputs!$B$28+Inputs!$B$29)))</f>
        <v/>
      </c>
      <c r="E662">
        <f>INDEX(FactorTable!$B$2:$Y$301, MATCH(ROUND(MIN(300,MAX(1,D662)),0), FactorTable!$A$2:$A$301,0), Skills!L6+1)</f>
        <v/>
      </c>
      <c r="F662">
        <f>IF(Skills!M6=TRUE,(Skills!K6/10)*(E662/1000),Skills!K6/10)+Skills!N6</f>
        <v/>
      </c>
      <c r="G662">
        <f>Calc!G6</f>
        <v/>
      </c>
      <c r="H662">
        <f>Calc!H6</f>
        <v/>
      </c>
      <c r="I662">
        <f>IF(Skills!T6&lt;&gt;"",1+(Skills!T6/10)*(Z659/1000)/100,1)</f>
        <v/>
      </c>
      <c r="J662">
        <f>((Inputs!$B$6*(1+Inputs!$B$7/100))+(((Inputs!$B$12*(1+Inputs!$B$13/100))-(Inputs!$B$12*(1+Inputs!$B$13/100)))+0.25*(Inputs!$B$14-Inputs!$B$14))*(1+Inputs!$B$7/100))*(F662/100)</f>
        <v/>
      </c>
      <c r="K662">
        <f>J662*(1+((Inputs!$B$12*(1+Inputs!$B$13/100))*0.01+Inputs!$B$14*0.0025)/100)*(1+(Inputs!$B$15+B684)/100)*(1+Inputs!$B$16/100)*(5000/(6000+Inputs!$B$42*(1-Inputs!$B$19/100)))*(1+Inputs!$B$24/100)*(1+IF(C671=TRUE,F671,0)/100)*(1+IF(C679=TRUE,F679,0)/100)^5*(1+(IF(Skills!A6="CHAIN_LIGHTNING",Inputs!$B$17,Inputs!$B$18))/100)*(B682*I662)</f>
        <v/>
      </c>
      <c r="L662">
        <f>K662*(MIN(Inputs!$B$22+(F674-Calc!F18),Inputs!$B$23)/100+Inputs!$B$23/100)/2</f>
        <v/>
      </c>
      <c r="M662">
        <f>L662*(1+(Inputs!$B$10+(F677-Calc!F21))/100)</f>
        <v/>
      </c>
      <c r="N662">
        <f>L662*(1-MIN(Inputs!$B$9+((F676-Calc!F20)+(F675-Calc!F19)),100)/100)+M662*(MIN(Inputs!$B$9+((F676-Calc!F20)+(F675-Calc!F19)),100)/100)</f>
        <v/>
      </c>
      <c r="O662">
        <f>(1-Summary!$B$51)*S662+Summary!$B$51*U662</f>
        <v/>
      </c>
      <c r="P662">
        <f>IF(B692=0,0,O662/B692)</f>
        <v/>
      </c>
      <c r="Q662">
        <f>IFERROR(1/IF(Inputs!$B$38="pvp",15,MAX(0.1,Skills!D6-IF(Skills!E6=TRUE,Inputs!$B$32,0))),0)</f>
        <v/>
      </c>
      <c r="R662">
        <f>IF(AND(Inputs!$B$38&lt;&gt;"pvp",Inputs!$B$43&gt;0),IF(MAX(0,Inputs!$B$43-B689)&lt;=0,0,(INT(MAX(0,Inputs!$B$43-B689)/IF(Inputs!$B$38="pvp",15,MAX(0.1,Skills!D6-IF(Skills!E6=TRUE,Inputs!$B$32,0))))+1)),0)</f>
        <v/>
      </c>
      <c r="S662">
        <f>IF(C662,(H662*N662*IF(AND(Inputs!$B$38&lt;&gt;"pvp",Inputs!$B$43&gt;0),((Skills!F6*((R662-1)*IF(Skills!G6&gt;0,Skills!H6/Skills!G6,1)+IF(Skills!G6&gt;0,MIN(Skills!H6,MAX(0,MAX(0,Inputs!$B$43-B689)-((R662-1)*IF(Inputs!$B$38="pvp",15,MAX(0.1,Skills!D6-IF(Skills!E6=TRUE,Inputs!$B$32,0))))))/Skills!G6,1)))/Inputs!$B$43),G662*Q662))*IF(Inputs!$B$38="pvp",1,1+(Inputs!$B$20+Skills!O6+B683)/100),0)</f>
        <v/>
      </c>
      <c r="U662">
        <f>IF(C662,(H662*N662*IF(AND(Inputs!$B$38&lt;&gt;"pvp",Inputs!$B$43&gt;0),((Skills!F6*((R662-1)*IF(Skills!G6&gt;0,Skills!H6/Skills!G6,1)+IF(Skills!G6&gt;0,MIN(Skills!H6,MAX(0,MAX(0,Inputs!$B$43-B689)-((R662-1)*IF(Inputs!$B$38="pvp",15,MAX(0.1,Skills!D6-IF(Skills!E6=TRUE,Inputs!$B$32,0))))))/Skills!G6,1)))/Inputs!$B$43),G662*Q662))*IF(Inputs!$B$38="pvp",1,(1+(Inputs!$B$21+Skills!P6+B683)/100)*(MIN(Skills!Q6,Inputs!$B$37))),0)</f>
        <v/>
      </c>
    </row>
    <row r="663">
      <c r="A663">
        <f>Skills!A7</f>
        <v/>
      </c>
      <c r="B663">
        <f>Skills!B7</f>
        <v/>
      </c>
      <c r="C663">
        <f>Inputs!$B$3&gt;=69</f>
        <v/>
      </c>
      <c r="D663">
        <f>IF(Skills!C7=1,60+Inputs!$B$25+Inputs!$B$29,IF(Skills!C7=2,90+(Inputs!$B$26+1)+Inputs!$B$29,IF(Skills!C7=3,120+Inputs!$B$27+Inputs!$B$29,MAX(0,(Inputs!$B$3-100)*3)+Inputs!$B$28+Inputs!$B$29)))</f>
        <v/>
      </c>
      <c r="E663">
        <f>INDEX(FactorTable!$B$2:$Y$301, MATCH(ROUND(MIN(300,MAX(1,D663)),0), FactorTable!$A$2:$A$301,0), Skills!L7+1)</f>
        <v/>
      </c>
      <c r="F663">
        <f>IF(Skills!M7=TRUE,(Skills!K7/10)*(E663/1000),Skills!K7/10)+Skills!N7</f>
        <v/>
      </c>
      <c r="G663">
        <f>Calc!G7</f>
        <v/>
      </c>
      <c r="H663">
        <f>Calc!H7</f>
        <v/>
      </c>
      <c r="I663">
        <f>IF(Skills!T7&lt;&gt;"",1+(Skills!T7/10)*(Z659/1000)/100,1)</f>
        <v/>
      </c>
      <c r="J663">
        <f>((Inputs!$B$6*(1+Inputs!$B$7/100))+(((Inputs!$B$12*(1+Inputs!$B$13/100))-(Inputs!$B$12*(1+Inputs!$B$13/100)))+0.25*(Inputs!$B$14-Inputs!$B$14))*(1+Inputs!$B$7/100))*(F663/100)</f>
        <v/>
      </c>
      <c r="K663">
        <f>J663*(1+((Inputs!$B$12*(1+Inputs!$B$13/100))*0.01+Inputs!$B$14*0.0025)/100)*(1+(Inputs!$B$15+B684)/100)*(1+Inputs!$B$16/100)*(5000/(6000+Inputs!$B$42*(1-Inputs!$B$19/100)))*(1+Inputs!$B$24/100)*(1+IF(C671=TRUE,F671,0)/100)*(1+IF(C679=TRUE,F679,0)/100)^5*(1+(IF(Skills!A7="CHAIN_LIGHTNING",Inputs!$B$17,Inputs!$B$18))/100)*(B682*I663)</f>
        <v/>
      </c>
      <c r="L663">
        <f>K663*(MIN(Inputs!$B$22+(F674-Calc!F18),Inputs!$B$23)/100+Inputs!$B$23/100)/2</f>
        <v/>
      </c>
      <c r="M663">
        <f>L663*(1+(Inputs!$B$10+(F677-Calc!F21))/100)</f>
        <v/>
      </c>
      <c r="N663">
        <f>L663*(1-MIN(Inputs!$B$9+((F676-Calc!F20)+(F675-Calc!F19)),100)/100)+M663*(MIN(Inputs!$B$9+((F676-Calc!F20)+(F675-Calc!F19)),100)/100)</f>
        <v/>
      </c>
      <c r="O663">
        <f>(1-Summary!$B$51)*S663+Summary!$B$51*U663</f>
        <v/>
      </c>
      <c r="P663">
        <f>IF(B692=0,0,O663/B692)</f>
        <v/>
      </c>
      <c r="Q663">
        <f>IFERROR(1/IF(Inputs!$B$38="pvp",15,MAX(0.1,Skills!D7-IF(Skills!E7=TRUE,Inputs!$B$32,0))),0)</f>
        <v/>
      </c>
      <c r="R663">
        <f>IF(AND(Inputs!$B$38&lt;&gt;"pvp",Inputs!$B$43&gt;0),IF(MAX(0,Inputs!$B$43-B689)&lt;=0,0,(INT(MAX(0,Inputs!$B$43-B689)/IF(Inputs!$B$38="pvp",15,MAX(0.1,Skills!D7-IF(Skills!E7=TRUE,Inputs!$B$32,0))))+1)),0)</f>
        <v/>
      </c>
      <c r="S663">
        <f>IF(C663,(H663*N663*IF(AND(Inputs!$B$38&lt;&gt;"pvp",Inputs!$B$43&gt;0),((Skills!F7*((R663-1)*IF(Skills!G7&gt;0,Skills!H7/Skills!G7,1)+IF(Skills!G7&gt;0,MIN(Skills!H7,MAX(0,MAX(0,Inputs!$B$43-B689)-((R663-1)*IF(Inputs!$B$38="pvp",15,MAX(0.1,Skills!D7-IF(Skills!E7=TRUE,Inputs!$B$32,0))))))/Skills!G7,1)))/Inputs!$B$43),G663*Q663))*IF(Inputs!$B$38="pvp",1,1+(Inputs!$B$20+Skills!O7+B683)/100),0)</f>
        <v/>
      </c>
      <c r="U663">
        <f>IF(C663,(H663*N663*IF(AND(Inputs!$B$38&lt;&gt;"pvp",Inputs!$B$43&gt;0),((Skills!F7*((R663-1)*IF(Skills!G7&gt;0,Skills!H7/Skills!G7,1)+IF(Skills!G7&gt;0,MIN(Skills!H7,MAX(0,MAX(0,Inputs!$B$43-B689)-((R663-1)*IF(Inputs!$B$38="pvp",15,MAX(0.1,Skills!D7-IF(Skills!E7=TRUE,Inputs!$B$32,0))))))/Skills!G7,1)))/Inputs!$B$43),G663*Q663))*IF(Inputs!$B$38="pvp",1,(1+(Inputs!$B$21+Skills!P7+B683)/100)*(MIN(Skills!Q7,Inputs!$B$37))),0)</f>
        <v/>
      </c>
    </row>
    <row r="664">
      <c r="A664">
        <f>Skills!A8</f>
        <v/>
      </c>
      <c r="B664">
        <f>Skills!B8</f>
        <v/>
      </c>
      <c r="C664">
        <f>Inputs!$B$3&gt;=103</f>
        <v/>
      </c>
      <c r="D664">
        <f>IF(Skills!C8=1,60+Inputs!$B$25+Inputs!$B$29,IF(Skills!C8=2,90+(Inputs!$B$26+1)+Inputs!$B$29,IF(Skills!C8=3,120+Inputs!$B$27+Inputs!$B$29,MAX(0,(Inputs!$B$3-100)*3)+Inputs!$B$28+Inputs!$B$29)))</f>
        <v/>
      </c>
      <c r="E664">
        <f>INDEX(FactorTable!$B$2:$Y$301, MATCH(ROUND(MIN(300,MAX(1,D664)),0), FactorTable!$A$2:$A$301,0), Skills!L8+1)</f>
        <v/>
      </c>
      <c r="F664">
        <f>IF(Skills!M8=TRUE,(Skills!K8/10)*(E664/1000),Skills!K8/10)+Skills!N8</f>
        <v/>
      </c>
      <c r="G664">
        <f>Calc!G8</f>
        <v/>
      </c>
      <c r="H664">
        <f>Calc!H8</f>
        <v/>
      </c>
      <c r="I664">
        <f>IF(Skills!T8&lt;&gt;"",1+(Skills!T8/10)*(Z659/1000)/100,1)</f>
        <v/>
      </c>
      <c r="J664">
        <f>((Inputs!$B$6*(1+Inputs!$B$7/100))+(((Inputs!$B$12*(1+Inputs!$B$13/100))-(Inputs!$B$12*(1+Inputs!$B$13/100)))+0.25*(Inputs!$B$14-Inputs!$B$14))*(1+Inputs!$B$7/100))*(F664/100)</f>
        <v/>
      </c>
      <c r="K664">
        <f>J664*(1+((Inputs!$B$12*(1+Inputs!$B$13/100))*0.01+Inputs!$B$14*0.0025)/100)*(1+(Inputs!$B$15+B684)/100)*(1+Inputs!$B$16/100)*(5000/(6000+Inputs!$B$42*(1-Inputs!$B$19/100)))*(1+Inputs!$B$24/100)*(1+IF(C671=TRUE,F671,0)/100)*(1+IF(C679=TRUE,F679,0)/100)^5*(1+(IF(Skills!A8="CHAIN_LIGHTNING",Inputs!$B$17,Inputs!$B$18))/100)*(B682*I664)</f>
        <v/>
      </c>
      <c r="L664">
        <f>K664*(MIN(Inputs!$B$22+(F674-Calc!F18),Inputs!$B$23)/100+Inputs!$B$23/100)/2</f>
        <v/>
      </c>
      <c r="M664">
        <f>L664*(1+(Inputs!$B$10+(F677-Calc!F21))/100)</f>
        <v/>
      </c>
      <c r="N664">
        <f>L664*(1-MIN(Inputs!$B$9+((F676-Calc!F20)+(F675-Calc!F19)),100)/100)+M664*(MIN(Inputs!$B$9+((F676-Calc!F20)+(F675-Calc!F19)),100)/100)</f>
        <v/>
      </c>
      <c r="O664">
        <f>(1-Summary!$B$51)*S664+Summary!$B$51*U664</f>
        <v/>
      </c>
      <c r="P664">
        <f>IF(B692=0,0,O664/B692)</f>
        <v/>
      </c>
      <c r="Q664">
        <f>IFERROR(1/IF(Inputs!$B$38="pvp",15,MAX(0.1,Skills!D8-IF(Skills!E8=TRUE,Inputs!$B$32,0))),0)</f>
        <v/>
      </c>
      <c r="R664">
        <f>IF(AND(Inputs!$B$38&lt;&gt;"pvp",Inputs!$B$43&gt;0),IF(MAX(0,Inputs!$B$43-B689)&lt;=0,0,(INT(MAX(0,Inputs!$B$43-B689)/IF(Inputs!$B$38="pvp",15,MAX(0.1,Skills!D8-IF(Skills!E8=TRUE,Inputs!$B$32,0))))+1)),0)</f>
        <v/>
      </c>
      <c r="S664">
        <f>IF(C664,(H664*N664*IF(AND(Inputs!$B$38&lt;&gt;"pvp",Inputs!$B$43&gt;0),((Skills!F8*((R664-1)*IF(Skills!G8&gt;0,Skills!H8/Skills!G8,1)+IF(Skills!G8&gt;0,MIN(Skills!H8,MAX(0,MAX(0,Inputs!$B$43-B689)-((R664-1)*IF(Inputs!$B$38="pvp",15,MAX(0.1,Skills!D8-IF(Skills!E8=TRUE,Inputs!$B$32,0))))))/Skills!G8,1)))/Inputs!$B$43),G664*Q664))*IF(Inputs!$B$38="pvp",1,1+(Inputs!$B$20+Skills!O8+B683)/100),0)</f>
        <v/>
      </c>
      <c r="U664">
        <f>IF(C664,(H664*N664*IF(AND(Inputs!$B$38&lt;&gt;"pvp",Inputs!$B$43&gt;0),((Skills!F8*((R664-1)*IF(Skills!G8&gt;0,Skills!H8/Skills!G8,1)+IF(Skills!G8&gt;0,MIN(Skills!H8,MAX(0,MAX(0,Inputs!$B$43-B689)-((R664-1)*IF(Inputs!$B$38="pvp",15,MAX(0.1,Skills!D8-IF(Skills!E8=TRUE,Inputs!$B$32,0))))))/Skills!G8,1)))/Inputs!$B$43),G664*Q664))*IF(Inputs!$B$38="pvp",1,(1+(Inputs!$B$21+Skills!P8+B683)/100)*(MIN(Skills!Q8,Inputs!$B$37))),0)</f>
        <v/>
      </c>
    </row>
    <row r="665">
      <c r="A665">
        <f>Skills!A9</f>
        <v/>
      </c>
      <c r="B665">
        <f>Skills!B9</f>
        <v/>
      </c>
      <c r="C665">
        <f>Inputs!$B$3&gt;=105</f>
        <v/>
      </c>
      <c r="D665">
        <f>IF(Skills!C9=1,60+Inputs!$B$25+Inputs!$B$29,IF(Skills!C9=2,90+(Inputs!$B$26+1)+Inputs!$B$29,IF(Skills!C9=3,120+Inputs!$B$27+Inputs!$B$29,MAX(0,(Inputs!$B$3-100)*3)+Inputs!$B$28+Inputs!$B$29)))</f>
        <v/>
      </c>
      <c r="E665">
        <f>INDEX(FactorTable!$B$2:$Y$301, MATCH(ROUND(MIN(300,MAX(1,D665)),0), FactorTable!$A$2:$A$301,0), Skills!L9+1)</f>
        <v/>
      </c>
      <c r="F665">
        <f>IF(Skills!M9=TRUE,(Skills!K9/10)*(E665/1000),Skills!K9/10)+Skills!N9</f>
        <v/>
      </c>
      <c r="G665">
        <f>Calc!G9</f>
        <v/>
      </c>
      <c r="H665">
        <f>Calc!H9</f>
        <v/>
      </c>
      <c r="I665">
        <f>IF(Skills!T9&lt;&gt;"",1+(Skills!T9/10)*(Z659/1000)/100,1)</f>
        <v/>
      </c>
      <c r="J665">
        <f>((Inputs!$B$6*(1+Inputs!$B$7/100))+(((Inputs!$B$12*(1+Inputs!$B$13/100))-(Inputs!$B$12*(1+Inputs!$B$13/100)))+0.25*(Inputs!$B$14-Inputs!$B$14))*(1+Inputs!$B$7/100))*(F665/100)</f>
        <v/>
      </c>
      <c r="K665">
        <f>J665*(1+((Inputs!$B$12*(1+Inputs!$B$13/100))*0.01+Inputs!$B$14*0.0025)/100)*(1+(Inputs!$B$15+B684)/100)*(1+Inputs!$B$16/100)*(5000/(6000+Inputs!$B$42*(1-Inputs!$B$19/100)))*(1+Inputs!$B$24/100)*(1+IF(C671=TRUE,F671,0)/100)*(1+IF(C679=TRUE,F679,0)/100)^5*(1+(IF(Skills!A9="CHAIN_LIGHTNING",Inputs!$B$17,Inputs!$B$18))/100)*(B682*I665)</f>
        <v/>
      </c>
      <c r="L665">
        <f>K665*(MIN(Inputs!$B$22+(F674-Calc!F18),Inputs!$B$23)/100+Inputs!$B$23/100)/2</f>
        <v/>
      </c>
      <c r="M665">
        <f>L665*(1+(Inputs!$B$10+(F677-Calc!F21))/100)</f>
        <v/>
      </c>
      <c r="N665">
        <f>L665*(1-MIN(Inputs!$B$9+((F676-Calc!F20)+(F675-Calc!F19)),100)/100)+M665*(MIN(Inputs!$B$9+((F676-Calc!F20)+(F675-Calc!F19)),100)/100)</f>
        <v/>
      </c>
      <c r="O665">
        <f>(1-Summary!$B$51)*S665+Summary!$B$51*U665</f>
        <v/>
      </c>
      <c r="P665">
        <f>IF(B692=0,0,O665/B692)</f>
        <v/>
      </c>
      <c r="Q665">
        <f>IFERROR(1/IF(Inputs!$B$38="pvp",15,MAX(0.1,Skills!D9-IF(Skills!E9=TRUE,Inputs!$B$32,0))),0)</f>
        <v/>
      </c>
      <c r="R665">
        <f>IF(AND(Inputs!$B$38&lt;&gt;"pvp",Inputs!$B$43&gt;0),IF(MAX(0,Inputs!$B$43-B689)&lt;=0,0,(INT(MAX(0,Inputs!$B$43-B689)/IF(Inputs!$B$38="pvp",15,MAX(0.1,Skills!D9-IF(Skills!E9=TRUE,Inputs!$B$32,0))))+1)),0)</f>
        <v/>
      </c>
      <c r="S665">
        <f>IF(C665,(H665*N665*IF(AND(Inputs!$B$38&lt;&gt;"pvp",Inputs!$B$43&gt;0),((Skills!F9*((R665-1)*IF(Skills!G9&gt;0,Skills!H9/Skills!G9,1)+IF(Skills!G9&gt;0,MIN(Skills!H9,MAX(0,MAX(0,Inputs!$B$43-B689)-((R665-1)*IF(Inputs!$B$38="pvp",15,MAX(0.1,Skills!D9-IF(Skills!E9=TRUE,Inputs!$B$32,0))))))/Skills!G9,1)))/Inputs!$B$43),G665*Q665))*IF(Inputs!$B$38="pvp",1,1+(Inputs!$B$20+Skills!O9+B683)/100),0)</f>
        <v/>
      </c>
      <c r="U665">
        <f>IF(C665,(H665*N665*IF(AND(Inputs!$B$38&lt;&gt;"pvp",Inputs!$B$43&gt;0),((Skills!F9*((R665-1)*IF(Skills!G9&gt;0,Skills!H9/Skills!G9,1)+IF(Skills!G9&gt;0,MIN(Skills!H9,MAX(0,MAX(0,Inputs!$B$43-B689)-((R665-1)*IF(Inputs!$B$38="pvp",15,MAX(0.1,Skills!D9-IF(Skills!E9=TRUE,Inputs!$B$32,0))))))/Skills!G9,1)))/Inputs!$B$43),G665*Q665))*IF(Inputs!$B$38="pvp",1,(1+(Inputs!$B$21+Skills!P9+B683)/100)*(MIN(Skills!Q9,Inputs!$B$37))),0)</f>
        <v/>
      </c>
    </row>
    <row r="666">
      <c r="A666">
        <f>Skills!A10</f>
        <v/>
      </c>
      <c r="B666">
        <f>Skills!B10</f>
        <v/>
      </c>
      <c r="C666">
        <f>Inputs!$B$3&gt;=113</f>
        <v/>
      </c>
      <c r="D666">
        <f>IF(Skills!C10=1,60+Inputs!$B$25+Inputs!$B$29,IF(Skills!C10=2,90+(Inputs!$B$26+1)+Inputs!$B$29,IF(Skills!C10=3,120+Inputs!$B$27+Inputs!$B$29,MAX(0,(Inputs!$B$3-100)*3)+Inputs!$B$28+Inputs!$B$29)))</f>
        <v/>
      </c>
      <c r="E666">
        <f>INDEX(FactorTable!$B$2:$Y$301, MATCH(ROUND(MIN(300,MAX(1,D666)),0), FactorTable!$A$2:$A$301,0), Skills!L10+1)</f>
        <v/>
      </c>
      <c r="F666">
        <f>IF(Skills!M10=TRUE,(Skills!K10/10)*(E666/1000),Skills!K10/10)+Skills!N10</f>
        <v/>
      </c>
      <c r="G666">
        <f>Calc!G10</f>
        <v/>
      </c>
      <c r="H666">
        <f>Calc!H10</f>
        <v/>
      </c>
      <c r="I666">
        <f>IF(Skills!T10&lt;&gt;"",1+(Skills!T10/10)*(Z659/1000)/100,1)</f>
        <v/>
      </c>
      <c r="J666">
        <f>((Inputs!$B$6*(1+Inputs!$B$7/100))+(((Inputs!$B$12*(1+Inputs!$B$13/100))-(Inputs!$B$12*(1+Inputs!$B$13/100)))+0.25*(Inputs!$B$14-Inputs!$B$14))*(1+Inputs!$B$7/100))*(F666/100)</f>
        <v/>
      </c>
      <c r="K666">
        <f>J666*(1+((Inputs!$B$12*(1+Inputs!$B$13/100))*0.01+Inputs!$B$14*0.0025)/100)*(1+(Inputs!$B$15+B684)/100)*(1+Inputs!$B$16/100)*(5000/(6000+Inputs!$B$42*(1-Inputs!$B$19/100)))*(1+Inputs!$B$24/100)*(1+IF(C671=TRUE,F671,0)/100)*(1+IF(C679=TRUE,F679,0)/100)^5*(1+(IF(Skills!A10="CHAIN_LIGHTNING",Inputs!$B$17,Inputs!$B$18))/100)*(B682*I666)</f>
        <v/>
      </c>
      <c r="L666">
        <f>K666*(MIN(Inputs!$B$22+(F674-Calc!F18),Inputs!$B$23)/100+Inputs!$B$23/100)/2</f>
        <v/>
      </c>
      <c r="M666">
        <f>L666*(1+(Inputs!$B$10+(F677-Calc!F21))/100)</f>
        <v/>
      </c>
      <c r="N666">
        <f>L666*(1-MIN(Inputs!$B$9+((F676-Calc!F20)+(F675-Calc!F19)),100)/100)+M666*(MIN(Inputs!$B$9+((F676-Calc!F20)+(F675-Calc!F19)),100)/100)</f>
        <v/>
      </c>
      <c r="O666">
        <f>(1-Summary!$B$51)*S666+Summary!$B$51*U666</f>
        <v/>
      </c>
      <c r="P666">
        <f>IF(B692=0,0,O666/B692)</f>
        <v/>
      </c>
      <c r="Q666">
        <f>IFERROR(1/IF(Inputs!$B$38="pvp",15,MAX(0.1,Skills!D10-IF(Skills!E9=TRUE,Inputs!$B$32,0))),0)</f>
        <v/>
      </c>
      <c r="R666">
        <f>IF(AND(Inputs!$B$38&lt;&gt;"pvp",Inputs!$B$43&gt;0),IF(MAX(0,Inputs!$B$43-B689)&lt;=0,0,(INT(MAX(0,Inputs!$B$43-B689)/IF(Inputs!$B$38="pvp",15,MAX(0.1,Skills!D10-IF(Skills!E9=TRUE,Inputs!$B$32,0))))+1)),0)</f>
        <v/>
      </c>
      <c r="S666">
        <f>IF(C666,(H666*N666*IF(AND(Inputs!$B$38&lt;&gt;"pvp",Inputs!$B$43&gt;0),((Skills!F10*((R666-1)*IF(Skills!G10&gt;0,Skills!H10/Skills!G10,1)+IF(Skills!G10&gt;0,MIN(Skills!H10,MAX(0,MAX(0,Inputs!$B$43-B689)-((R666-1)*IF(Inputs!$B$38="pvp",15,MAX(0.1,Skills!D10-IF(Skills!E9=TRUE,Inputs!$B$32,0))))))/Skills!G10,1)))/Inputs!$B$43),G666*Q666))*IF(Inputs!$B$38="pvp",1,1+(Inputs!$B$20+Skills!O10+B683)/100),0)</f>
        <v/>
      </c>
      <c r="U666">
        <f>IF(C666,(H666*N666*IF(AND(Inputs!$B$38&lt;&gt;"pvp",Inputs!$B$43&gt;0),((Skills!F10*((R666-1)*IF(Skills!G10&gt;0,Skills!H10/Skills!G10,1)+IF(Skills!G10&gt;0,MIN(Skills!H10,MAX(0,MAX(0,Inputs!$B$43-B689)-((R666-1)*IF(Inputs!$B$38="pvp",15,MAX(0.1,Skills!D10-IF(Skills!E9=TRUE,Inputs!$B$32,0))))))/Skills!G10,1)))/Inputs!$B$43),G666*Q666))*IF(Inputs!$B$38="pvp",1,(1+(Inputs!$B$21+Skills!P10+B683)/100)*(MIN(Skills!Q10,Inputs!$B$37))),0)</f>
        <v/>
      </c>
    </row>
    <row r="667">
      <c r="A667">
        <f>Skills!A11</f>
        <v/>
      </c>
      <c r="B667">
        <f>Skills!B11</f>
        <v/>
      </c>
      <c r="C667">
        <f>Inputs!$B$3&gt;=107</f>
        <v/>
      </c>
      <c r="D667">
        <f>IF(Skills!C11=1,60+Inputs!$B$25+Inputs!$B$29,IF(Skills!C11=2,90+(Inputs!$B$26+1)+Inputs!$B$29,IF(Skills!C11=3,120+Inputs!$B$27+Inputs!$B$29,MAX(0,(Inputs!$B$3-100)*3)+Inputs!$B$28+Inputs!$B$29)))</f>
        <v/>
      </c>
      <c r="E667">
        <f>INDEX(FactorTable!$B$2:$Y$301, MATCH(ROUND(MIN(300,MAX(1,D667)),0), FactorTable!$A$2:$A$301,0), Skills!L11+1)</f>
        <v/>
      </c>
      <c r="F667">
        <f>IF(Skills!M11=TRUE,(Skills!K11/10)*(E667/1000),Skills!K11/10)+Skills!N11</f>
        <v/>
      </c>
      <c r="G667">
        <f>Calc!G11</f>
        <v/>
      </c>
      <c r="H667">
        <f>Calc!H11</f>
        <v/>
      </c>
      <c r="I667">
        <f>IF(Skills!T11&lt;&gt;"",1+(Skills!T11/10)*(Z659/1000)/100,1)</f>
        <v/>
      </c>
      <c r="J667">
        <f>((Inputs!$B$6*(1+Inputs!$B$7/100))+(((Inputs!$B$12*(1+Inputs!$B$13/100))-(Inputs!$B$12*(1+Inputs!$B$13/100)))+0.25*(Inputs!$B$14-Inputs!$B$14))*(1+Inputs!$B$7/100))*(F667/100)</f>
        <v/>
      </c>
      <c r="K667">
        <f>J667*(1+((Inputs!$B$12*(1+Inputs!$B$13/100))*0.01+Inputs!$B$14*0.0025)/100)*(1+(Inputs!$B$15+B684)/100)*(1+Inputs!$B$16/100)*(5000/(6000+Inputs!$B$42*(1-Inputs!$B$19/100)))*(1+Inputs!$B$24/100)*(1+IF(C671=TRUE,F671,0)/100)*(1+IF(C679=TRUE,F679,0)/100)^5*(1+(IF(Skills!A11="CHAIN_LIGHTNING",Inputs!$B$17,Inputs!$B$18))/100)*(B682*I667)</f>
        <v/>
      </c>
      <c r="L667">
        <f>K667*(MIN(Inputs!$B$22+(F674-Calc!F18),Inputs!$B$23)/100+Inputs!$B$23/100)/2</f>
        <v/>
      </c>
      <c r="M667">
        <f>L667*(1+(Inputs!$B$10+(F677-Calc!F21))/100)</f>
        <v/>
      </c>
      <c r="N667">
        <f>L667*(1-MIN(Inputs!$B$9+((F676-Calc!F20)+(F675-Calc!F19)),100)/100)+M667*(MIN(Inputs!$B$9+((F676-Calc!F20)+(F675-Calc!F19)),100)/100)</f>
        <v/>
      </c>
      <c r="O667">
        <f>(1-Summary!$B$51)*S667+Summary!$B$51*U667</f>
        <v/>
      </c>
      <c r="P667">
        <f>IF(B692=0,0,O667/B692)</f>
        <v/>
      </c>
      <c r="Q667">
        <f>IFERROR(1/IF(Inputs!$B$38="pvp",15,MAX(0.1,Skills!D11-IF(Skills!E11=TRUE,Inputs!$B$32,0))),0)</f>
        <v/>
      </c>
      <c r="R667">
        <f>IF(AND(Inputs!$B$38&lt;&gt;"pvp",Inputs!$B$43&gt;0),IF(MAX(0,Inputs!$B$43-B689)&lt;=0,0,(INT(MAX(0,Inputs!$B$43-B689)/IF(Inputs!$B$38="pvp",15,MAX(0.1,Skills!D11-IF(Skills!E11=TRUE,Inputs!$B$32,0))))+1)),0)</f>
        <v/>
      </c>
      <c r="S667">
        <f>IF(C667,H667*N667*IF(AND(Inputs!$B$38&lt;&gt;"pvp",Inputs!$B$43&gt;0),((Skills!F11*((R667-1)*IF(Skills!G11&gt;0,Skills!H11/Skills!G11,1)+IF(Skills!G11&gt;0,MIN(Skills!H11,MAX(0,MAX(0,Inputs!$B$43-B689)-((R667-1)*IF(Inputs!$B$38="pvp",15,MAX(0.1,Skills!D11-IF(Skills!E11=TRUE,Inputs!$B$32,0))))))/Skills!G11,1)))/Inputs!$B$43),G667*Q667)*0.5*IF(Inputs!$B$38="pvp",1,1+(Inputs!$B$20+Skills!O11+B683)/100),0)</f>
        <v/>
      </c>
      <c r="U667">
        <f>IF(C667,H667*N667*IF(AND(Inputs!$B$38&lt;&gt;"pvp",Inputs!$B$43&gt;0),((Skills!F11*((R667-1)*IF(Skills!G11&gt;0,Skills!H11/Skills!G11,1)+IF(Skills!G11&gt;0,MIN(Skills!H11,MAX(0,MAX(0,Inputs!$B$43-B689)-((R667-1)*IF(Inputs!$B$38="pvp",15,MAX(0.1,Skills!D11-IF(Skills!E11=TRUE,Inputs!$B$32,0))))))/Skills!G11,1)))/Inputs!$B$43),G667*Q667)*1*IF(Inputs!$B$38="pvp",1,(1+(Inputs!$B$21+Skills!P11+B683)/100)*(MIN(Skills!Q11,Inputs!$B$37))),0)</f>
        <v/>
      </c>
    </row>
    <row r="668">
      <c r="A668">
        <f>Skills!A12</f>
        <v/>
      </c>
      <c r="B668">
        <f>Skills!B12</f>
        <v/>
      </c>
      <c r="C668">
        <f>Inputs!$B$3&gt;=115</f>
        <v/>
      </c>
      <c r="D668">
        <f>IF(Skills!C12=1,60+Inputs!$B$25+Inputs!$B$29,IF(Skills!C12=2,90+(Inputs!$B$26+1)+Inputs!$B$29,IF(Skills!C12=3,120+Inputs!$B$27+Inputs!$B$29,MAX(0,(Inputs!$B$3-100)*3)+Inputs!$B$28+Inputs!$B$29)))</f>
        <v/>
      </c>
      <c r="E668">
        <f>INDEX(FactorTable!$B$2:$Y$301, MATCH(ROUND(MIN(300,MAX(1,D668)),0), FactorTable!$A$2:$A$301,0), Skills!L12+1)</f>
        <v/>
      </c>
      <c r="F668">
        <f>IF(Skills!M12=TRUE,(Skills!K12/10)*(E668/1000),Skills!K12/10)+Skills!N12</f>
        <v/>
      </c>
      <c r="G668">
        <f>Calc!G12</f>
        <v/>
      </c>
      <c r="H668">
        <f>Calc!H12</f>
        <v/>
      </c>
      <c r="I668">
        <f>IF(Skills!T12&lt;&gt;"",1+(Skills!T12/10)*(Z659/1000)/100,1)</f>
        <v/>
      </c>
      <c r="J668">
        <f>((Inputs!$B$6*(1+Inputs!$B$7/100))+(((Inputs!$B$12*(1+Inputs!$B$13/100))-(Inputs!$B$12*(1+Inputs!$B$13/100)))+0.25*(Inputs!$B$14-Inputs!$B$14))*(1+Inputs!$B$7/100))*(F668/100)</f>
        <v/>
      </c>
      <c r="K668">
        <f>J668*(1+((Inputs!$B$12*(1+Inputs!$B$13/100))*0.01+Inputs!$B$14*0.0025)/100)*(1+(Inputs!$B$15+B684)/100)*(1+Inputs!$B$16/100)*(5000/(6000+Inputs!$B$42*(1-Inputs!$B$19/100)))*(1+Inputs!$B$24/100)*(1+IF(C671=TRUE,F671,0)/100)*(1+IF(C679=TRUE,F679,0)/100)^5*(1+(IF(Skills!A12="CHAIN_LIGHTNING",Inputs!$B$17,Inputs!$B$18))/100)*(B682*I668)</f>
        <v/>
      </c>
      <c r="L668">
        <f>K668*(MIN(Inputs!$B$22+(F674-Calc!F18),Inputs!$B$23)/100+Inputs!$B$23/100)/2</f>
        <v/>
      </c>
      <c r="M668">
        <f>L668*(1+(Inputs!$B$10+(F677-Calc!F21))/100)</f>
        <v/>
      </c>
      <c r="N668">
        <f>L668*(1-MIN(Inputs!$B$9+((F676-Calc!F20)+(F675-Calc!F19)),100)/100)+M668*(MIN(Inputs!$B$9+((F676-Calc!F20)+(F675-Calc!F19)),100)/100)</f>
        <v/>
      </c>
      <c r="O668">
        <f>(1-Summary!$B$51)*S668+Summary!$B$51*U668</f>
        <v/>
      </c>
      <c r="P668">
        <f>IF(B692=0,0,O668/B692)</f>
        <v/>
      </c>
      <c r="Q668">
        <f>IFERROR(1/IF(Inputs!$B$38="pvp",15,MAX(0.1,Skills!D12-IF(Skills!E12=TRUE,Inputs!$B$32,0))),0)</f>
        <v/>
      </c>
      <c r="R668">
        <f>IF(AND(Inputs!$B$38&lt;&gt;"pvp",Inputs!$B$43&gt;0),IF(MAX(0,Inputs!$B$43-B689)&lt;=0,0,(INT(MAX(0,Inputs!$B$43-B689)/IF(Inputs!$B$38="pvp",15,MAX(0.1,Skills!D12-IF(Skills!E12=TRUE,Inputs!$B$32,0))))+1)),0)</f>
        <v/>
      </c>
      <c r="S668">
        <f>IF(C668,(H668*N668*IF(AND(Inputs!$B$38&lt;&gt;"pvp",Inputs!$B$43&gt;0),((Skills!F12*((R668-1)*IF(Skills!G12&gt;0,Skills!H12/Skills!G12,1)+IF(Skills!G12&gt;0,MIN(Skills!H12,MAX(0,MAX(0,Inputs!$B$43-B689)-((R668-1)*IF(Inputs!$B$38="pvp",15,MAX(0.1,Skills!D12-IF(Skills!E12=TRUE,Inputs!$B$32,0))))))/Skills!G12,1)))/Inputs!$B$43),G668*Q668))*IF(Inputs!$B$38="pvp",1,1+(Inputs!$B$20+Skills!O12+B683)/100),0)</f>
        <v/>
      </c>
      <c r="U668">
        <f>IF(C668,(H668*N668*IF(AND(Inputs!$B$38&lt;&gt;"pvp",Inputs!$B$43&gt;0),((Skills!F12*((R668-1)*IF(Skills!G12&gt;0,Skills!H12/Skills!G12,1)+IF(Skills!G12&gt;0,MIN(Skills!H12,MAX(0,MAX(0,Inputs!$B$43-B689)-((R668-1)*IF(Inputs!$B$38="pvp",15,MAX(0.1,Skills!D12-IF(Skills!E12=TRUE,Inputs!$B$32,0))))))/Skills!G12,1)))/Inputs!$B$43),G668*Q668))*IF(Inputs!$B$38="pvp",1,(1+(Inputs!$B$21+Skills!P12+B683)/100)*(MIN(Skills!Q12,Inputs!$B$37))),0)</f>
        <v/>
      </c>
    </row>
    <row r="669">
      <c r="A669">
        <f>Skills!A13</f>
        <v/>
      </c>
      <c r="B669">
        <f>Skills!B13</f>
        <v/>
      </c>
      <c r="C669">
        <f>Inputs!$B$3&gt;=49</f>
        <v/>
      </c>
      <c r="D669">
        <f>IF(Skills!C13=1,60+Inputs!$B$25+Inputs!$B$29,IF(Skills!C13=2,90+(Inputs!$B$26+1)+Inputs!$B$29,IF(Skills!C13=3,120+Inputs!$B$27+Inputs!$B$29,MAX(0,(Inputs!$B$3-100)*3)+Inputs!$B$28+Inputs!$B$29)))</f>
        <v/>
      </c>
      <c r="E669">
        <f>INDEX(FactorTable!$B$2:$Y$301, MATCH(ROUND(MIN(300,MAX(1,D669)),0), FactorTable!$A$2:$A$301,0), Skills!L13+1)</f>
        <v/>
      </c>
      <c r="F669">
        <f>IF(Skills!M13=TRUE,(Skills!K13/10)*(E669/1000),Skills!K13/10)+Skills!N13</f>
        <v/>
      </c>
      <c r="G669">
        <f>Calc!G13</f>
        <v/>
      </c>
      <c r="H669">
        <f>Calc!H13</f>
        <v/>
      </c>
      <c r="I669">
        <f>IF(Skills!T13&lt;&gt;"",1+(Skills!T13/10)*(Z659/1000)/100,1)</f>
        <v/>
      </c>
      <c r="J669" t="inlineStr"/>
      <c r="K669" t="inlineStr"/>
      <c r="L669" t="inlineStr"/>
      <c r="M669" t="inlineStr"/>
      <c r="N669" t="inlineStr"/>
      <c r="O669">
        <f>(1-Summary!$B$51)*S669+Summary!$B$51*U669</f>
        <v/>
      </c>
      <c r="P669">
        <f>IF(B692=0,0,O669/B692)</f>
        <v/>
      </c>
      <c r="Q669">
        <f>IFERROR(1/IF(Inputs!$B$38="pvp",15,MAX(0.1,Skills!D13-IF(Skills!E13=TRUE,Inputs!$B$32,0))),0)</f>
        <v/>
      </c>
      <c r="R669" t="n">
        <v>0</v>
      </c>
      <c r="S669" t="n">
        <v>0</v>
      </c>
      <c r="U669" t="n">
        <v>0</v>
      </c>
    </row>
    <row r="670">
      <c r="A670">
        <f>Skills!A14</f>
        <v/>
      </c>
      <c r="B670">
        <f>Skills!B14</f>
        <v/>
      </c>
      <c r="C670">
        <f>Inputs!$B$3&gt;=72</f>
        <v/>
      </c>
      <c r="D670">
        <f>IF(Skills!C14=1,60+Inputs!$B$25+Inputs!$B$29,IF(Skills!C14=2,90+(Inputs!$B$26+1)+Inputs!$B$29,IF(Skills!C14=3,120+Inputs!$B$27+Inputs!$B$29,MAX(0,(Inputs!$B$3-100)*3)+Inputs!$B$28+Inputs!$B$29)))</f>
        <v/>
      </c>
      <c r="E670">
        <f>INDEX(FactorTable!$B$2:$Y$301, MATCH(ROUND(MIN(300,MAX(1,D670)),0), FactorTable!$A$2:$A$301,0), Skills!L14+1)</f>
        <v/>
      </c>
      <c r="F670">
        <f>IF(Skills!M14=TRUE,(Skills!K14/10)*(E670/1000),Skills!K14/10)+Skills!N14</f>
        <v/>
      </c>
      <c r="G670">
        <f>Calc!G14</f>
        <v/>
      </c>
      <c r="H670">
        <f>Calc!H14</f>
        <v/>
      </c>
      <c r="I670">
        <f>IF(Skills!T14&lt;&gt;"",1+(Skills!T14/10)*(Z659/1000)/100,1)</f>
        <v/>
      </c>
      <c r="J670" t="inlineStr"/>
      <c r="K670" t="inlineStr"/>
      <c r="L670" t="inlineStr"/>
      <c r="M670" t="inlineStr"/>
      <c r="N670" t="inlineStr"/>
      <c r="O670">
        <f>(1-Summary!$B$51)*S670+Summary!$B$51*U670</f>
        <v/>
      </c>
      <c r="P670">
        <f>IF(B692=0,0,O670/B692)</f>
        <v/>
      </c>
      <c r="Q670">
        <f>IFERROR(1/IF(Inputs!$B$38="pvp",15,MAX(0.1,Skills!D14-IF(Skills!E14=TRUE,Inputs!$B$32,0))),0)</f>
        <v/>
      </c>
      <c r="R670" t="n">
        <v>0</v>
      </c>
      <c r="S670" t="n">
        <v>0</v>
      </c>
      <c r="U670" t="n">
        <v>0</v>
      </c>
    </row>
    <row r="671">
      <c r="A671">
        <f>Skills!A15</f>
        <v/>
      </c>
      <c r="B671">
        <f>Skills!B15</f>
        <v/>
      </c>
      <c r="C671">
        <f>Inputs!$B$3&gt;=75</f>
        <v/>
      </c>
      <c r="D671">
        <f>IF(Skills!C15=1,60+Inputs!$B$25+Inputs!$B$29,IF(Skills!C15=2,90+(Inputs!$B$26+1)+Inputs!$B$29,IF(Skills!C15=3,120+Inputs!$B$27+Inputs!$B$29,MAX(0,(Inputs!$B$3-100)*3)+Inputs!$B$28+Inputs!$B$29)))</f>
        <v/>
      </c>
      <c r="E671">
        <f>INDEX(FactorTable!$B$2:$Y$301, MATCH(ROUND(MIN(300,MAX(1,D671)),0), FactorTable!$A$2:$A$301,0), Skills!L15+1)</f>
        <v/>
      </c>
      <c r="F671">
        <f>IF(Skills!M15=TRUE,(Skills!K15/10)*(E671/1000),Skills!K15/10)+Skills!N15</f>
        <v/>
      </c>
      <c r="G671">
        <f>Calc!G15</f>
        <v/>
      </c>
      <c r="H671">
        <f>Calc!H15</f>
        <v/>
      </c>
      <c r="I671">
        <f>IF(Skills!T15&lt;&gt;"",1+(Skills!T15/10)*(Z659/1000)/100,1)</f>
        <v/>
      </c>
      <c r="J671" t="inlineStr"/>
      <c r="K671" t="inlineStr"/>
      <c r="L671" t="inlineStr"/>
      <c r="M671" t="inlineStr"/>
      <c r="N671" t="inlineStr"/>
      <c r="O671">
        <f>(1-Summary!$B$51)*S671+Summary!$B$51*U671</f>
        <v/>
      </c>
      <c r="P671">
        <f>IF(B692=0,0,O671/B692)</f>
        <v/>
      </c>
      <c r="Q671">
        <f>IFERROR(1/IF(Inputs!$B$38="pvp",15,MAX(0.1,Skills!D15-IF(Skills!E15=TRUE,Inputs!$B$32,0))),0)</f>
        <v/>
      </c>
      <c r="R671" t="n">
        <v>0</v>
      </c>
      <c r="S671" t="n">
        <v>0</v>
      </c>
      <c r="U671" t="n">
        <v>0</v>
      </c>
    </row>
    <row r="672">
      <c r="A672">
        <f>Skills!A16</f>
        <v/>
      </c>
      <c r="B672">
        <f>Skills!B16</f>
        <v/>
      </c>
      <c r="C672">
        <f>Inputs!$B$3&gt;=110</f>
        <v/>
      </c>
      <c r="D672">
        <f>IF(Skills!C16=1,60+Inputs!$B$25+Inputs!$B$29,IF(Skills!C16=2,90+(Inputs!$B$26+1)+Inputs!$B$29,IF(Skills!C16=3,120+Inputs!$B$27+Inputs!$B$29,MAX(0,(Inputs!$B$3-100)*3)+Inputs!$B$28+Inputs!$B$29)))</f>
        <v/>
      </c>
      <c r="E672">
        <f>INDEX(FactorTable!$B$2:$Y$301, MATCH(ROUND(MIN(300,MAX(1,D672)),0), FactorTable!$A$2:$A$301,0), Skills!L16+1)</f>
        <v/>
      </c>
      <c r="F672">
        <f>(Skills!K16/10)*(E672/1000)*64/45+Skills!N16</f>
        <v/>
      </c>
      <c r="G672">
        <f>Calc!G16</f>
        <v/>
      </c>
      <c r="H672">
        <f>Calc!H16</f>
        <v/>
      </c>
      <c r="I672">
        <f>IF(Skills!T16&lt;&gt;"",1+(Skills!T16/10)*(Z659/1000)/100,1)</f>
        <v/>
      </c>
      <c r="J672" t="inlineStr"/>
      <c r="K672" t="inlineStr"/>
      <c r="L672" t="inlineStr"/>
      <c r="M672" t="inlineStr"/>
      <c r="N672" t="inlineStr"/>
      <c r="O672">
        <f>(1-Summary!$B$51)*S672+Summary!$B$51*U672</f>
        <v/>
      </c>
      <c r="P672">
        <f>IF(B692=0,0,O672/B692)</f>
        <v/>
      </c>
      <c r="Q672">
        <f>IFERROR(1/IF(Inputs!$B$38="pvp",15,MAX(0.1,Skills!D16-IF(Skills!E16=TRUE,Inputs!$B$32,0))),0)</f>
        <v/>
      </c>
      <c r="R672">
        <f>IF(AND(Inputs!$B$38&lt;&gt;"pvp",Inputs!$B$43&gt;0),IF(Inputs!$B$43&lt;=0,0,(INT(Inputs!$B$43/IF(Inputs!$B$38="pvp",15,MAX(0.1,Skills!D16-IF(Skills!E16=TRUE,Inputs!$B$32,0))))+1)),0)</f>
        <v/>
      </c>
      <c r="S672" t="n">
        <v>0</v>
      </c>
      <c r="U672" t="n">
        <v>0</v>
      </c>
    </row>
    <row r="673">
      <c r="A673">
        <f>Skills!A17</f>
        <v/>
      </c>
      <c r="B673">
        <f>Skills!B17</f>
        <v/>
      </c>
      <c r="C673">
        <f>Inputs!$B$3&gt;=33</f>
        <v/>
      </c>
      <c r="D673">
        <f>IF(Skills!C17=1,60+Inputs!$B$25+Inputs!$B$29,IF(Skills!C17=2,90+(Inputs!$B$26+1)+Inputs!$B$29,IF(Skills!C17=3,120+Inputs!$B$27+Inputs!$B$29,MAX(0,(Inputs!$B$3-100)*3)+Inputs!$B$28+Inputs!$B$29)))</f>
        <v/>
      </c>
      <c r="E673">
        <f>INDEX(FactorTable!$B$2:$Y$301, MATCH(ROUND(MIN(300,MAX(1,D673)),0), FactorTable!$A$2:$A$301,0), Skills!L17+1)</f>
        <v/>
      </c>
      <c r="F673">
        <f>IF(Skills!M17=TRUE,(Skills!K17/10)*(E673/1000),Skills!K17/10)+Skills!N17</f>
        <v/>
      </c>
      <c r="G673">
        <f>Calc!G17</f>
        <v/>
      </c>
      <c r="H673">
        <f>Calc!H17</f>
        <v/>
      </c>
      <c r="I673">
        <f>IF(Skills!T17&lt;&gt;"",1+(Skills!T17/10)*(Z659/1000)/100,1)</f>
        <v/>
      </c>
      <c r="J673" t="inlineStr"/>
      <c r="K673" t="inlineStr"/>
      <c r="L673" t="inlineStr"/>
      <c r="M673" t="inlineStr"/>
      <c r="N673" t="inlineStr"/>
      <c r="O673">
        <f>(1-Summary!$B$51)*S673+Summary!$B$51*U673</f>
        <v/>
      </c>
      <c r="P673">
        <f>IF(B692=0,0,O673/B692)</f>
        <v/>
      </c>
      <c r="Q673">
        <f>IFERROR(1/IF(Inputs!$B$38="pvp",15,MAX(0.1,Skills!D17-IF(Skills!E17=TRUE,Inputs!$B$32,0))),0)</f>
        <v/>
      </c>
      <c r="R673" t="n">
        <v>0</v>
      </c>
      <c r="S673" t="n">
        <v>0</v>
      </c>
      <c r="U673" t="n">
        <v>0</v>
      </c>
    </row>
    <row r="674">
      <c r="A674">
        <f>Skills!A18</f>
        <v/>
      </c>
      <c r="B674">
        <f>Skills!B18</f>
        <v/>
      </c>
      <c r="C674">
        <f>Inputs!$B$3&gt;=43</f>
        <v/>
      </c>
      <c r="D674">
        <f>IF(Skills!C18=1,60+Inputs!$B$25+Inputs!$B$29,IF(Skills!C18=2,90+(Inputs!$B$26+1)+Inputs!$B$29,IF(Skills!C18=3,120+Inputs!$B$27+Inputs!$B$29,MAX(0,(Inputs!$B$3-100)*3)+Inputs!$B$28+Inputs!$B$29)))</f>
        <v/>
      </c>
      <c r="E674">
        <f>INDEX(FactorTable!$B$2:$Y$301, MATCH(ROUND(MIN(300,MAX(1,D674)),0), FactorTable!$A$2:$A$301,0), Skills!L18+1)</f>
        <v/>
      </c>
      <c r="F674">
        <f>IF(Skills!M18=TRUE,(Skills!K18/10)*(E674/1000),Skills!K18/10)+Skills!N18</f>
        <v/>
      </c>
      <c r="G674">
        <f>Calc!G18</f>
        <v/>
      </c>
      <c r="H674">
        <f>Calc!H18</f>
        <v/>
      </c>
      <c r="I674">
        <f>IF(Skills!T18&lt;&gt;"",1+(Skills!T18/10)*(Z659/1000)/100,1)</f>
        <v/>
      </c>
      <c r="J674" t="inlineStr"/>
      <c r="K674" t="inlineStr"/>
      <c r="L674" t="inlineStr"/>
      <c r="M674" t="inlineStr"/>
      <c r="N674" t="inlineStr"/>
      <c r="O674">
        <f>(1-Summary!$B$51)*S674+Summary!$B$51*U674</f>
        <v/>
      </c>
      <c r="P674">
        <f>IF(B692=0,0,O674/B692)</f>
        <v/>
      </c>
      <c r="Q674">
        <f>IFERROR(1/IF(Inputs!$B$38="pvp",15,MAX(0.1,Skills!D18-IF(Skills!E18=TRUE,Inputs!$B$32,0))),0)</f>
        <v/>
      </c>
      <c r="R674" t="n">
        <v>0</v>
      </c>
      <c r="S674" t="n">
        <v>0</v>
      </c>
      <c r="U674" t="n">
        <v>0</v>
      </c>
    </row>
    <row r="675">
      <c r="A675">
        <f>Skills!A19</f>
        <v/>
      </c>
      <c r="B675">
        <f>Skills!B19</f>
        <v/>
      </c>
      <c r="C675">
        <f>Inputs!$B$3&gt;=50</f>
        <v/>
      </c>
      <c r="D675">
        <f>IF(Skills!C19=1,60+Inputs!$B$25+Inputs!$B$29,IF(Skills!C19=2,90+(Inputs!$B$26+1)+Inputs!$B$29,IF(Skills!C19=3,120+Inputs!$B$27+Inputs!$B$29,MAX(0,(Inputs!$B$3-100)*3)+Inputs!$B$28+Inputs!$B$29)))</f>
        <v/>
      </c>
      <c r="E675">
        <f>INDEX(FactorTable!$B$2:$Y$301, MATCH(ROUND(MIN(300,MAX(1,D675)),0), FactorTable!$A$2:$A$301,0), Skills!L19+1)</f>
        <v/>
      </c>
      <c r="F675">
        <f>IF(Skills!M19=TRUE,(Skills!K19/10)*(E675/1000),Skills!K19/10)+Skills!N19</f>
        <v/>
      </c>
      <c r="G675">
        <f>Calc!G19</f>
        <v/>
      </c>
      <c r="H675">
        <f>Calc!H19</f>
        <v/>
      </c>
      <c r="I675">
        <f>IF(Skills!T19&lt;&gt;"",1+(Skills!T19/10)*(Z659/1000)/100,1)</f>
        <v/>
      </c>
      <c r="J675" t="inlineStr"/>
      <c r="K675" t="inlineStr"/>
      <c r="L675" t="inlineStr"/>
      <c r="M675" t="inlineStr"/>
      <c r="N675" t="inlineStr"/>
      <c r="O675">
        <f>(1-Summary!$B$51)*S675+Summary!$B$51*U675</f>
        <v/>
      </c>
      <c r="P675">
        <f>IF(B692=0,0,O675/B692)</f>
        <v/>
      </c>
      <c r="Q675">
        <f>IFERROR(1/IF(Inputs!$B$38="pvp",15,MAX(0.1,Skills!D19-IF(Skills!E19=TRUE,Inputs!$B$32,0))),0)</f>
        <v/>
      </c>
      <c r="R675" t="n">
        <v>0</v>
      </c>
      <c r="S675" t="n">
        <v>0</v>
      </c>
      <c r="U675" t="n">
        <v>0</v>
      </c>
    </row>
    <row r="676">
      <c r="A676">
        <f>Skills!A20</f>
        <v/>
      </c>
      <c r="B676">
        <f>Skills!B20</f>
        <v/>
      </c>
      <c r="C676">
        <f>Inputs!$B$3&gt;=74</f>
        <v/>
      </c>
      <c r="D676">
        <f>IF(Skills!C20=1,60+Inputs!$B$25+Inputs!$B$29,IF(Skills!C20=2,90+(Inputs!$B$26+1)+Inputs!$B$29,IF(Skills!C20=3,120+Inputs!$B$27+Inputs!$B$29,MAX(0,(Inputs!$B$3-100)*3)+Inputs!$B$28+Inputs!$B$29)))</f>
        <v/>
      </c>
      <c r="E676">
        <f>INDEX(FactorTable!$B$2:$Y$301, MATCH(ROUND(MIN(300,MAX(1,D676)),0), FactorTable!$A$2:$A$301,0), Skills!L20+1)</f>
        <v/>
      </c>
      <c r="F676">
        <f>IF(Skills!M20=TRUE,(Skills!K20/10)*(E676/1000),Skills!K20/10)+Skills!N20</f>
        <v/>
      </c>
      <c r="G676">
        <f>Calc!G20</f>
        <v/>
      </c>
      <c r="H676">
        <f>Calc!H20</f>
        <v/>
      </c>
      <c r="I676">
        <f>IF(Skills!T20&lt;&gt;"",1+(Skills!T20/10)*(Z659/1000)/100,1)</f>
        <v/>
      </c>
      <c r="J676" t="inlineStr"/>
      <c r="K676" t="inlineStr"/>
      <c r="L676" t="inlineStr"/>
      <c r="M676" t="inlineStr"/>
      <c r="N676" t="inlineStr"/>
      <c r="O676">
        <f>(1-Summary!$B$51)*S676+Summary!$B$51*U676</f>
        <v/>
      </c>
      <c r="P676">
        <f>IF(B692=0,0,O676/B692)</f>
        <v/>
      </c>
      <c r="Q676">
        <f>IFERROR(1/IF(Inputs!$B$38="pvp",15,MAX(0.1,Skills!D20-IF(Skills!E20=TRUE,Inputs!$B$32,0))),0)</f>
        <v/>
      </c>
      <c r="R676" t="n">
        <v>0</v>
      </c>
      <c r="S676" t="n">
        <v>0</v>
      </c>
      <c r="U676" t="n">
        <v>0</v>
      </c>
    </row>
    <row r="677">
      <c r="A677">
        <f>Skills!A21</f>
        <v/>
      </c>
      <c r="B677">
        <f>Skills!B21</f>
        <v/>
      </c>
      <c r="C677">
        <f>Inputs!$B$3&gt;=74</f>
        <v/>
      </c>
      <c r="D677">
        <f>IF(Skills!C21=1,60+Inputs!$B$25+Inputs!$B$29,IF(Skills!C21=2,90+(Inputs!$B$26+1)+Inputs!$B$29,IF(Skills!C21=3,120+Inputs!$B$27+Inputs!$B$29,MAX(0,(Inputs!$B$3-100)*3)+Inputs!$B$28+Inputs!$B$29)))</f>
        <v/>
      </c>
      <c r="E677">
        <f>INDEX(FactorTable!$B$2:$Y$301, MATCH(ROUND(MIN(300,MAX(1,D677)),0), FactorTable!$A$2:$A$301,0), Skills!L21+1)</f>
        <v/>
      </c>
      <c r="F677">
        <f>IF(Skills!M21=TRUE,(Skills!K21/10)*(E677/1000),Skills!K21/10)+Skills!N21</f>
        <v/>
      </c>
      <c r="G677">
        <f>Calc!G21</f>
        <v/>
      </c>
      <c r="H677">
        <f>Calc!H21</f>
        <v/>
      </c>
      <c r="I677">
        <f>IF(Skills!T21&lt;&gt;"",1+(Skills!T21/10)*(Z659/1000)/100,1)</f>
        <v/>
      </c>
      <c r="J677" t="inlineStr"/>
      <c r="K677" t="inlineStr"/>
      <c r="L677" t="inlineStr"/>
      <c r="M677" t="inlineStr"/>
      <c r="N677" t="inlineStr"/>
      <c r="O677">
        <f>(1-Summary!$B$51)*S677+Summary!$B$51*U677</f>
        <v/>
      </c>
      <c r="P677">
        <f>IF(B692=0,0,O677/B692)</f>
        <v/>
      </c>
      <c r="Q677">
        <f>IFERROR(1/IF(Inputs!$B$38="pvp",15,MAX(0.1,Skills!D21-IF(Skills!E21=TRUE,Inputs!$B$32,0))),0)</f>
        <v/>
      </c>
      <c r="R677" t="n">
        <v>0</v>
      </c>
      <c r="S677" t="n">
        <v>0</v>
      </c>
      <c r="U677" t="n">
        <v>0</v>
      </c>
    </row>
    <row r="678">
      <c r="A678">
        <f>Skills!A22</f>
        <v/>
      </c>
      <c r="B678">
        <f>Skills!B22</f>
        <v/>
      </c>
      <c r="C678">
        <f>Inputs!$B$3&gt;=117</f>
        <v/>
      </c>
      <c r="D678">
        <f>IF(Skills!C22=1,60+Inputs!$B$25+Inputs!$B$29,IF(Skills!C22=2,90+(Inputs!$B$26+1)+Inputs!$B$29,IF(Skills!C22=3,120+Inputs!$B$27+Inputs!$B$29,MAX(0,(Inputs!$B$3-100)*3)+Inputs!$B$28+Inputs!$B$29)))</f>
        <v/>
      </c>
      <c r="E678">
        <f>INDEX(FactorTable!$B$2:$Y$301, MATCH(ROUND(MIN(300,MAX(1,D678)),0), FactorTable!$A$2:$A$301,0), Skills!L22+1)</f>
        <v/>
      </c>
      <c r="F678">
        <f>IF(Skills!M22=TRUE,(Skills!K22/10)*(E678/1000),Skills!K22/10)+Skills!N22</f>
        <v/>
      </c>
      <c r="G678">
        <f>Calc!G22</f>
        <v/>
      </c>
      <c r="H678">
        <f>Calc!H22</f>
        <v/>
      </c>
      <c r="I678">
        <f>IF(Skills!T22&lt;&gt;"",1+(Skills!T22/10)*(Z659/1000)/100,1)</f>
        <v/>
      </c>
      <c r="J678" t="inlineStr"/>
      <c r="K678" t="inlineStr"/>
      <c r="L678" t="inlineStr"/>
      <c r="M678" t="inlineStr"/>
      <c r="N678" t="inlineStr"/>
      <c r="O678">
        <f>(1-Summary!$B$51)*S678+Summary!$B$51*U678</f>
        <v/>
      </c>
      <c r="P678">
        <f>IF(B692=0,0,O678/B692)</f>
        <v/>
      </c>
      <c r="Q678">
        <f>IFERROR(1/IF(Inputs!$B$38="pvp",15,MAX(0.1,Skills!D22-IF(Skills!E22=TRUE,Inputs!$B$32,0))),0)</f>
        <v/>
      </c>
      <c r="R678" t="n">
        <v>0</v>
      </c>
      <c r="S678" t="n">
        <v>0</v>
      </c>
      <c r="U678" t="n">
        <v>0</v>
      </c>
    </row>
    <row r="679">
      <c r="A679">
        <f>Skills!A23</f>
        <v/>
      </c>
      <c r="B679">
        <f>Skills!B23</f>
        <v/>
      </c>
      <c r="C679">
        <f>Inputs!$B$3&gt;=120</f>
        <v/>
      </c>
      <c r="D679">
        <f>IF(Skills!C23=1,60+Inputs!$B$25+Inputs!$B$29,IF(Skills!C23=2,90+(Inputs!$B$26+1)+Inputs!$B$29,IF(Skills!C23=3,120+Inputs!$B$27+Inputs!$B$29,MAX(0,(Inputs!$B$3-100)*3)+Inputs!$B$28+Inputs!$B$29)))</f>
        <v/>
      </c>
      <c r="E679">
        <f>INDEX(FactorTable!$B$2:$Y$301, MATCH(ROUND(MIN(300,MAX(1,D679)),0), FactorTable!$A$2:$A$301,0), Skills!L23+1)</f>
        <v/>
      </c>
      <c r="F679">
        <f>IF(Skills!M23=TRUE,(Skills!K23/10)*(E679/1000),Skills!K23/10)+Skills!N23</f>
        <v/>
      </c>
      <c r="G679">
        <f>Calc!G23</f>
        <v/>
      </c>
      <c r="H679">
        <f>Calc!H23</f>
        <v/>
      </c>
      <c r="I679">
        <f>IF(Skills!T23&lt;&gt;"",1+(Skills!T23/10)*(Z659/1000)/100,1)</f>
        <v/>
      </c>
      <c r="J679" t="inlineStr"/>
      <c r="K679" t="inlineStr"/>
      <c r="L679" t="inlineStr"/>
      <c r="M679" t="inlineStr"/>
      <c r="N679" t="inlineStr"/>
      <c r="O679">
        <f>(1-Summary!$B$51)*S679+Summary!$B$51*U679</f>
        <v/>
      </c>
      <c r="P679">
        <f>IF(B692=0,0,O679/B692)</f>
        <v/>
      </c>
      <c r="Q679">
        <f>IFERROR(1/IF(Inputs!$B$38="pvp",15,MAX(0.1,Skills!D23-IF(Skills!E23=TRUE,Inputs!$B$32,0))),0)</f>
        <v/>
      </c>
      <c r="R679" t="n">
        <v>0</v>
      </c>
      <c r="S679" t="n">
        <v>0</v>
      </c>
      <c r="U679" t="n">
        <v>0</v>
      </c>
    </row>
    <row r="682">
      <c r="A682" t="inlineStr">
        <is>
          <t>Average Buff Multiplier (Magic Guard + Meditation, summed; then Infinity)</t>
        </is>
      </c>
      <c r="B682">
        <f>(1+(IF(C659=TRUE,F659*IF(AND(Inputs!$B$38&lt;&gt;"pvp",Inputs!$B$43&gt;0),(((R659-1)*(Skills!S3*(1+(Inputs!$B$34+IF(Inputs!$B$3&gt;=117,F678,0))/100))+MIN((Skills!S3*(1+(Inputs!$B$34+IF(Inputs!$B$3&gt;=117,F678,0))/100)),MAX(0,Inputs!$B$43-((R659-1)*Skills!D3))))/Inputs!$B$43),IF(Inputs!$B$38="pvp",MIN((Skills!S3*(1+(Inputs!$B$34+IF(Inputs!$B$3&gt;=117,F678,0))/100)),15)/15,(Skills!S3*(1+(Inputs!$B$34+IF(Inputs!$B$3&gt;=117,F678,0))/100))/Skills!D3)),0)+IF(C660=TRUE,F660*IF(AND(Inputs!$B$38&lt;&gt;"pvp",Inputs!$B$43&gt;0),(((R660-1)*(Skills!S4*(1+(Inputs!$B$34+IF(Inputs!$B$3&gt;=117,F678,0))/100))+MIN((Skills!S4*(1+(Inputs!$B$34+IF(Inputs!$B$3&gt;=117,F678,0))/100)),MAX(0,Inputs!$B$43-((R660-1)*Skills!D4))))/Inputs!$B$43),IF(Inputs!$B$38="pvp",MIN((Skills!S4*(1+(Inputs!$B$34+IF(Inputs!$B$3&gt;=117,F678,0))/100)),15)/15,(Skills!S4*(1+(Inputs!$B$34+IF(Inputs!$B$3&gt;=117,F678,0))/100))/Skills!D4)),0))/100)*IF(C672=TRUE,(1+F672*IF(AND(Inputs!$B$38&lt;&gt;"pvp",Inputs!$B$43&gt;0),(((R672-1)*(Skills!S16*(1+(Inputs!$B$34+IF(Inputs!$B$3&gt;=117,F678,0))/100))+MIN((Skills!S16*(1+(Inputs!$B$34+IF(Inputs!$B$3&gt;=117,F678,0))/100)),MAX(0,Inputs!$B$43-((R672-1)*Skills!D16))))/Inputs!$B$43),IF(Inputs!$B$38="pvp",MIN((Skills!S16*(1+(Inputs!$B$34+IF(Inputs!$B$3&gt;=117,F678,0))/100)),15)/15,(Skills!S16*(1+(Inputs!$B$34+IF(Inputs!$B$3&gt;=117,F678,0))/100))/Skills!D16))/100),1)</f>
        <v/>
      </c>
    </row>
    <row r="683">
      <c r="A683" t="inlineStr">
        <is>
          <t>Monster Damage Taken Bonus % (Freezing Breath - Weaken + Elemental Reset, summed)</t>
        </is>
      </c>
      <c r="B683">
        <f>IF(Inputs!$B$3&gt;=118,15*IF(Inputs!$B$38="pvp",MIN((30*(1+(Inputs!$B$34+IF(Inputs!$B$3&gt;=117,F678,0))/100)),15)/15,(30*(1+(Inputs!$B$34+IF(Inputs!$B$3&gt;=117,F678,0))/100))/Skills!D8),0)+IF(C670=TRUE,F670,0)</f>
        <v/>
      </c>
    </row>
    <row r="684">
      <c r="A684" t="inlineStr">
        <is>
          <t>Damage % Bonus (Frozen Break + Frost Clutch, flat)</t>
        </is>
      </c>
      <c r="B684">
        <f>IF(Inputs!$B$3&gt;=66,15,0)+IF(Inputs!$B$3&gt;=98,10,0)+IF(Inputs!$B$3&gt;=125,20,0)</f>
        <v/>
      </c>
    </row>
    <row r="685">
      <c r="A685" t="inlineStr">
        <is>
          <t>Attack Speed Bonus % (MP Eater - MP Boost, always-on once unlocked)</t>
        </is>
      </c>
      <c r="B685">
        <f>IF(C669=TRUE,F669+(F673-Calc!F17),0)</f>
        <v/>
      </c>
    </row>
    <row r="686">
      <c r="A686" t="inlineStr">
        <is>
          <t>Actions Per Second</t>
        </is>
      </c>
      <c r="B686">
        <f>1+MIN(150,150*(1-(1-Inputs!$B$11/150)*(1-B685/150)))/100</f>
        <v/>
      </c>
    </row>
    <row r="687">
      <c r="A687" t="inlineStr">
        <is>
          <t>Skill + Buff Cast Rate</t>
        </is>
      </c>
      <c r="B687">
        <f>IF(AND(Inputs!$B$38&lt;&gt;"pvp",Inputs!$B$43&gt;0),SUMPRODUCT((Skills!E2:E23=TRUE)*(C658:C679=TRUE)*R658:R679)/Inputs!$B$43,SUMPRODUCT((Skills!E2:E23=TRUE)*(C658:C679=TRUE)*Q658:Q679))</f>
        <v/>
      </c>
    </row>
    <row r="688">
      <c r="A688" t="inlineStr">
        <is>
          <t>Chain Lightning Casts Per Second</t>
        </is>
      </c>
      <c r="B688">
        <f>MAX(0,B686-B687)</f>
        <v/>
      </c>
    </row>
    <row r="689">
      <c r="A689" t="inlineStr">
        <is>
          <t>Buff-Casting Startup Delay (s, fixed-duration only)</t>
        </is>
      </c>
      <c r="B689">
        <f>IF(AND(Inputs!$B$38&lt;&gt;"pvp",Inputs!$B$43&gt;0),SUMPRODUCT((Skills!S2:S23&gt;0)*(Skills!E2:E23=TRUE)*(C658:C679=TRUE))/B686,0)</f>
        <v/>
      </c>
    </row>
    <row r="690">
      <c r="A690" t="inlineStr">
        <is>
          <t>Boss-Only Total DPS (this block's swept value)</t>
        </is>
      </c>
      <c r="B690">
        <f>SUM(S658:S679)</f>
        <v/>
      </c>
    </row>
    <row r="691">
      <c r="A691" t="inlineStr">
        <is>
          <t>Normal-Only Total DPS (this block's swept value)</t>
        </is>
      </c>
      <c r="B691">
        <f>SUM(U658:U679)</f>
        <v/>
      </c>
    </row>
    <row r="692">
      <c r="A692" s="5" t="inlineStr">
        <is>
          <t>TOTAL DPS</t>
        </is>
      </c>
      <c r="B692" s="5">
        <f>SUM(O658:O679)</f>
        <v/>
      </c>
    </row>
    <row r="695">
      <c r="A695" s="5" t="inlineStr">
        <is>
          <t>Stat: Skill Level Bonus — 3rd Job</t>
        </is>
      </c>
    </row>
    <row r="696">
      <c r="A696" s="9" t="inlineStr">
        <is>
          <t>Key</t>
        </is>
      </c>
      <c r="B696" s="9" t="inlineStr">
        <is>
          <t>Name</t>
        </is>
      </c>
      <c r="C696" s="9" t="inlineStr">
        <is>
          <t>Unlocked</t>
        </is>
      </c>
      <c r="D696" s="9" t="inlineStr">
        <is>
          <t>InputLevel</t>
        </is>
      </c>
      <c r="E696" s="9" t="inlineStr">
        <is>
          <t>Factor</t>
        </is>
      </c>
      <c r="F696" s="9" t="inlineStr">
        <is>
          <t>CoefficientPercent</t>
        </is>
      </c>
      <c r="G696" s="9" t="inlineStr">
        <is>
          <t>EffectiveHits</t>
        </is>
      </c>
      <c r="H696" s="9" t="inlineStr">
        <is>
          <t>ProcProbability</t>
        </is>
      </c>
      <c r="I696" s="9" t="inlineStr">
        <is>
          <t>MapleHeroMultiplier</t>
        </is>
      </c>
      <c r="J696" s="9" t="inlineStr">
        <is>
          <t>BaseDamage</t>
        </is>
      </c>
      <c r="K696" s="9" t="inlineStr">
        <is>
          <t>BaseHitDamage</t>
        </is>
      </c>
      <c r="L696" s="9" t="inlineStr">
        <is>
          <t>NonCritAvg</t>
        </is>
      </c>
      <c r="M696" s="9" t="inlineStr">
        <is>
          <t>CritAvg</t>
        </is>
      </c>
      <c r="N696" s="9" t="inlineStr">
        <is>
          <t>ExpectedDamage(perHit)</t>
        </is>
      </c>
      <c r="O696" s="9" t="inlineStr">
        <is>
          <t>DPS</t>
        </is>
      </c>
      <c r="P696" s="9" t="inlineStr">
        <is>
          <t>% of Total</t>
        </is>
      </c>
      <c r="R696" t="inlineStr">
        <is>
          <t>helpers</t>
        </is>
      </c>
    </row>
    <row r="697">
      <c r="A697">
        <f>Skills!A2</f>
        <v/>
      </c>
      <c r="B697">
        <f>Skills!B2</f>
        <v/>
      </c>
      <c r="C697">
        <f>Inputs!$B$3&gt;=100</f>
        <v/>
      </c>
      <c r="D697" t="inlineStr"/>
      <c r="E697" t="inlineStr"/>
      <c r="F697">
        <f>T699+Skills!N2</f>
        <v/>
      </c>
      <c r="G697">
        <f>Calc!G2</f>
        <v/>
      </c>
      <c r="H697">
        <f>Calc!H2</f>
        <v/>
      </c>
      <c r="I697">
        <f>IF(Skills!T2&lt;&gt;"",1+(Skills!T2/10)*(Z698/1000)/100,1)</f>
        <v/>
      </c>
      <c r="J697">
        <f>((Inputs!$B$6*(1+Inputs!$B$7/100))+(((Inputs!$B$12*(1+Inputs!$B$13/100))-(Inputs!$B$12*(1+Inputs!$B$13/100)))+0.25*(Inputs!$B$14-Inputs!$B$14))*(1+Inputs!$B$7/100))*(F697/100)</f>
        <v/>
      </c>
      <c r="K697">
        <f>J697*(1+((Inputs!$B$12*(1+Inputs!$B$13/100))*0.01+Inputs!$B$14*0.0025)/100)*(1+(Inputs!$B$15+B723)/100)*(1+Inputs!$B$16/100)*(5000/(6000+Inputs!$B$42*(1-Inputs!$B$19/100)))*(1+Inputs!$B$24/100)*(1+IF(C710=TRUE,F710,0)/100)*(1+IF(C718=TRUE,F718,0)/100)^5*(1+(IF(Skills!A2="CHAIN_LIGHTNING",Inputs!$B$17,Inputs!$B$18))/100)*(B721*I697)</f>
        <v/>
      </c>
      <c r="L697">
        <f>K697*(MIN(Inputs!$B$22+(F713-Calc!F18),Inputs!$B$23)/100+Inputs!$B$23/100)/2</f>
        <v/>
      </c>
      <c r="M697">
        <f>L697*(1+(Inputs!$B$10+(F716-Calc!F21))/100)</f>
        <v/>
      </c>
      <c r="N697">
        <f>L697*(1-MIN(Inputs!$B$9+((F715-Calc!F20)+(F714-Calc!F19)),100)/100)+M697*(MIN(Inputs!$B$9+((F715-Calc!F20)+(F714-Calc!F19)),100)/100)</f>
        <v/>
      </c>
      <c r="O697">
        <f>(1-Summary!$B$51)*S697+Summary!$B$51*U697</f>
        <v/>
      </c>
      <c r="P697">
        <f>IF(B731=0,0,O697/B731)</f>
        <v/>
      </c>
      <c r="Q697">
        <f>IFERROR(1/IF(Inputs!$B$38="pvp",15,MAX(0.1,Skills!D2-IF(Skills!E2=TRUE,Inputs!$B$32,0))),0)</f>
        <v/>
      </c>
      <c r="R697" t="n">
        <v>0</v>
      </c>
      <c r="S697">
        <f>IF(C697,(Skills!F2*N697*B727)*IF(Inputs!$B$38="pvp",1,1+(Inputs!$B$20+Skills!O2+B722)/100),0)</f>
        <v/>
      </c>
      <c r="T697">
        <f>MAX(0,(Inputs!$B$3-100)*3)+Inputs!$B$28+Inputs!$B$29</f>
        <v/>
      </c>
      <c r="U697">
        <f>IF(C697,(Skills!F2*N697*B727)*IF(Inputs!$B$38="pvp",1,(1+(Inputs!$B$21+Skills!P2+B722)/100)*(MIN((6+Inputs!$B$33),Inputs!$B$37))),0)</f>
        <v/>
      </c>
      <c r="Z697">
        <f>MAX(0,(Inputs!$B$3-100)*3)+Inputs!$B$28+Inputs!$B$29</f>
        <v/>
      </c>
    </row>
    <row r="698">
      <c r="A698">
        <f>Skills!A3</f>
        <v/>
      </c>
      <c r="B698">
        <f>Skills!B3</f>
        <v/>
      </c>
      <c r="C698">
        <f>Inputs!$B$3&gt;=15</f>
        <v/>
      </c>
      <c r="D698">
        <f>IF(Skills!C3=1,60+Inputs!$B$25+Inputs!$B$29,IF(Skills!C3=2,90+Inputs!$B$26+Inputs!$B$29,IF(Skills!C3=3,120+(Inputs!$B$27+1)+Inputs!$B$29,MAX(0,(Inputs!$B$3-100)*3)+Inputs!$B$28+Inputs!$B$29)))</f>
        <v/>
      </c>
      <c r="E698">
        <f>INDEX(FactorTable!$B$2:$Y$301, MATCH(ROUND(MIN(300,MAX(1,D698)),0), FactorTable!$A$2:$A$301,0), Skills!L3+1)</f>
        <v/>
      </c>
      <c r="F698">
        <f>IF(Skills!M3=TRUE,(Skills!K3/10)*(E698/1000),Skills!K3/10)+Skills!N3</f>
        <v/>
      </c>
      <c r="G698">
        <f>Calc!G3</f>
        <v/>
      </c>
      <c r="H698">
        <f>Calc!H3</f>
        <v/>
      </c>
      <c r="I698">
        <f>IF(Skills!T3&lt;&gt;"",1+(Skills!T3/10)*(Z698/1000)/100,1)</f>
        <v/>
      </c>
      <c r="J698" t="inlineStr"/>
      <c r="K698" t="inlineStr"/>
      <c r="L698" t="inlineStr"/>
      <c r="M698" t="inlineStr"/>
      <c r="N698" t="inlineStr"/>
      <c r="O698">
        <f>(1-Summary!$B$51)*S698+Summary!$B$51*U698</f>
        <v/>
      </c>
      <c r="P698">
        <f>IF(B731=0,0,O698/B731)</f>
        <v/>
      </c>
      <c r="Q698">
        <f>IFERROR(1/IF(Inputs!$B$38="pvp",15,MAX(0.1,Skills!D3-IF(Skills!E3=TRUE,Inputs!$B$32,0))),0)</f>
        <v/>
      </c>
      <c r="R698">
        <f>IF(AND(Inputs!$B$38&lt;&gt;"pvp",Inputs!$B$43&gt;0),IF(Inputs!$B$43&lt;=0,0,(INT(Inputs!$B$43/IF(Inputs!$B$38="pvp",15,MAX(0.1,Skills!D3-IF(Skills!E3=TRUE,Inputs!$B$32,0))))+1)),0)</f>
        <v/>
      </c>
      <c r="S698" t="n">
        <v>0</v>
      </c>
      <c r="T698">
        <f>INDEX(FactorTable!$B$2:$Y$301, MATCH(ROUND(MIN(300,MAX(1,T697)),0), FactorTable!$A$2:$A$301,0), 22)</f>
        <v/>
      </c>
      <c r="U698" t="n">
        <v>0</v>
      </c>
      <c r="Z698">
        <f>INDEX(FactorTable!$B$2:$Y$301, MATCH(ROUND(MIN(300,MAX(1,Z697)),0), FactorTable!$A$2:$A$301,0), 24)</f>
        <v/>
      </c>
    </row>
    <row r="699">
      <c r="A699">
        <f>Skills!A4</f>
        <v/>
      </c>
      <c r="B699">
        <f>Skills!B4</f>
        <v/>
      </c>
      <c r="C699">
        <f>Inputs!$B$3&gt;=40</f>
        <v/>
      </c>
      <c r="D699">
        <f>IF(Skills!C4=1,60+Inputs!$B$25+Inputs!$B$29,IF(Skills!C4=2,90+Inputs!$B$26+Inputs!$B$29,IF(Skills!C4=3,120+(Inputs!$B$27+1)+Inputs!$B$29,MAX(0,(Inputs!$B$3-100)*3)+Inputs!$B$28+Inputs!$B$29)))</f>
        <v/>
      </c>
      <c r="E699">
        <f>INDEX(FactorTable!$B$2:$Y$301, MATCH(ROUND(MIN(300,MAX(1,D699)),0), FactorTable!$A$2:$A$301,0), Skills!L4+1)</f>
        <v/>
      </c>
      <c r="F699">
        <f>IF(Skills!M4=TRUE,(Skills!K4/10)*(E699/1000),Skills!K4/10)+Skills!N4</f>
        <v/>
      </c>
      <c r="G699">
        <f>Calc!G4</f>
        <v/>
      </c>
      <c r="H699">
        <f>Calc!H4</f>
        <v/>
      </c>
      <c r="I699">
        <f>IF(Skills!T4&lt;&gt;"",1+(Skills!T4/10)*(Z698/1000)/100,1)</f>
        <v/>
      </c>
      <c r="J699" t="inlineStr"/>
      <c r="K699" t="inlineStr"/>
      <c r="L699" t="inlineStr"/>
      <c r="M699" t="inlineStr"/>
      <c r="N699" t="inlineStr"/>
      <c r="O699">
        <f>(1-Summary!$B$51)*S699+Summary!$B$51*U699</f>
        <v/>
      </c>
      <c r="P699">
        <f>IF(B731=0,0,O699/B731)</f>
        <v/>
      </c>
      <c r="Q699">
        <f>IFERROR(1/IF(Inputs!$B$38="pvp",15,MAX(0.1,Skills!D4-IF(Skills!E4=TRUE,Inputs!$B$32,0))),0)</f>
        <v/>
      </c>
      <c r="R699">
        <f>IF(AND(Inputs!$B$38&lt;&gt;"pvp",Inputs!$B$43&gt;0),IF(Inputs!$B$43&lt;=0,0,(INT(Inputs!$B$43/IF(Inputs!$B$38="pvp",15,MAX(0.1,Skills!D4-IF(Skills!E4=TRUE,Inputs!$B$32,0))))+1)),0)</f>
        <v/>
      </c>
      <c r="S699" t="n">
        <v>0</v>
      </c>
      <c r="T699">
        <f>290*T698/1000</f>
        <v/>
      </c>
      <c r="U699" t="n">
        <v>0</v>
      </c>
    </row>
    <row r="700">
      <c r="A700">
        <f>Skills!A5</f>
        <v/>
      </c>
      <c r="B700">
        <f>Skills!B5</f>
        <v/>
      </c>
      <c r="C700">
        <f>Inputs!$B$3&gt;=38</f>
        <v/>
      </c>
      <c r="D700">
        <f>IF(Skills!C5=1,60+Inputs!$B$25+Inputs!$B$29,IF(Skills!C5=2,90+Inputs!$B$26+Inputs!$B$29,IF(Skills!C5=3,120+(Inputs!$B$27+1)+Inputs!$B$29,MAX(0,(Inputs!$B$3-100)*3)+Inputs!$B$28+Inputs!$B$29)))</f>
        <v/>
      </c>
      <c r="E700">
        <f>INDEX(FactorTable!$B$2:$Y$301, MATCH(ROUND(MIN(300,MAX(1,D700)),0), FactorTable!$A$2:$A$301,0), Skills!L5+1)</f>
        <v/>
      </c>
      <c r="F700">
        <f>IF(Skills!M5=TRUE,(Skills!K5/10)*(E700/1000),Skills!K5/10)+Skills!N5</f>
        <v/>
      </c>
      <c r="G700">
        <f>Calc!G5</f>
        <v/>
      </c>
      <c r="H700">
        <f>Calc!H5</f>
        <v/>
      </c>
      <c r="I700">
        <f>IF(Skills!T5&lt;&gt;"",1+(Skills!T5/10)*(Z698/1000)/100,1)</f>
        <v/>
      </c>
      <c r="J700">
        <f>((Inputs!$B$6*(1+Inputs!$B$7/100))+(((Inputs!$B$12*(1+Inputs!$B$13/100))-(Inputs!$B$12*(1+Inputs!$B$13/100)))+0.25*(Inputs!$B$14-Inputs!$B$14))*(1+Inputs!$B$7/100))*(F700/100)</f>
        <v/>
      </c>
      <c r="K700">
        <f>J700*(1+((Inputs!$B$12*(1+Inputs!$B$13/100))*0.01+Inputs!$B$14*0.0025)/100)*(1+(Inputs!$B$15+B723)/100)*(1+Inputs!$B$16/100)*(5000/(6000+Inputs!$B$42*(1-Inputs!$B$19/100)))*(1+Inputs!$B$24/100)*(1+IF(C710=TRUE,F710,0)/100)*(1+IF(C718=TRUE,F718,0)/100)^5*(1+(IF(Skills!A5="CHAIN_LIGHTNING",Inputs!$B$17,Inputs!$B$18))/100)*(B721*I700)</f>
        <v/>
      </c>
      <c r="L700">
        <f>K700*(MIN(Inputs!$B$22+(F713-Calc!F18),Inputs!$B$23)/100+Inputs!$B$23/100)/2</f>
        <v/>
      </c>
      <c r="M700">
        <f>L700*(1+(Inputs!$B$10+(F716-Calc!F21))/100)</f>
        <v/>
      </c>
      <c r="N700">
        <f>L700*(1-MIN(Inputs!$B$9+((F715-Calc!F20)+(F714-Calc!F19)),100)/100)+M700*(MIN(Inputs!$B$9+((F715-Calc!F20)+(F714-Calc!F19)),100)/100)</f>
        <v/>
      </c>
      <c r="O700">
        <f>(1-Summary!$B$51)*S700+Summary!$B$51*U700</f>
        <v/>
      </c>
      <c r="P700">
        <f>IF(B731=0,0,O700/B731)</f>
        <v/>
      </c>
      <c r="Q700">
        <f>IFERROR(1/IF(Inputs!$B$38="pvp",15,MAX(0.1,Skills!D5-IF(Skills!E5=TRUE,Inputs!$B$32,0))),0)</f>
        <v/>
      </c>
      <c r="R700">
        <f>IF(AND(Inputs!$B$38&lt;&gt;"pvp",Inputs!$B$43&gt;0),IF(MAX(0,Inputs!$B$43-B728)&lt;=0,0,(INT(MAX(0,Inputs!$B$43-B728)/IF(Inputs!$B$38="pvp",15,MAX(0.1,Skills!D5-IF(Skills!E5=TRUE,Inputs!$B$32,0))))+1)),0)</f>
        <v/>
      </c>
      <c r="S700">
        <f>IF(C700,(H700*N700*IF(AND(Inputs!$B$38&lt;&gt;"pvp",Inputs!$B$43&gt;0),((Skills!F5*((R700-1)*IF(Skills!G5&gt;0,Skills!H5/Skills!G5,1)+IF(Skills!G5&gt;0,MIN(Skills!H5,MAX(0,MAX(0,Inputs!$B$43-B728)-((R700-1)*IF(Inputs!$B$38="pvp",15,MAX(0.1,Skills!D5-IF(Skills!E5=TRUE,Inputs!$B$32,0))))))/Skills!G5,1)))/Inputs!$B$43),G700*Q700))*IF(Inputs!$B$38="pvp",1,1+(Inputs!$B$20+Skills!O5+B722)/100),0)</f>
        <v/>
      </c>
      <c r="U700">
        <f>IF(C700,(H700*N700*IF(AND(Inputs!$B$38&lt;&gt;"pvp",Inputs!$B$43&gt;0),((Skills!F5*((R700-1)*IF(Skills!G5&gt;0,Skills!H5/Skills!G5,1)+IF(Skills!G5&gt;0,MIN(Skills!H5,MAX(0,MAX(0,Inputs!$B$43-B728)-((R700-1)*IF(Inputs!$B$38="pvp",15,MAX(0.1,Skills!D5-IF(Skills!E5=TRUE,Inputs!$B$32,0))))))/Skills!G5,1)))/Inputs!$B$43),G700*Q700))*IF(Inputs!$B$38="pvp",1,(1+(Inputs!$B$21+Skills!P5+B722)/100)*(MIN(Skills!Q5,Inputs!$B$37))),0)</f>
        <v/>
      </c>
    </row>
    <row r="701">
      <c r="A701">
        <f>Skills!A6</f>
        <v/>
      </c>
      <c r="B701">
        <f>Skills!B6</f>
        <v/>
      </c>
      <c r="C701">
        <f>Inputs!$B$3&gt;=63</f>
        <v/>
      </c>
      <c r="D701">
        <f>IF(Skills!C6=1,60+Inputs!$B$25+Inputs!$B$29,IF(Skills!C6=2,90+Inputs!$B$26+Inputs!$B$29,IF(Skills!C6=3,120+(Inputs!$B$27+1)+Inputs!$B$29,MAX(0,(Inputs!$B$3-100)*3)+Inputs!$B$28+Inputs!$B$29)))</f>
        <v/>
      </c>
      <c r="E701">
        <f>INDEX(FactorTable!$B$2:$Y$301, MATCH(ROUND(MIN(300,MAX(1,D701)),0), FactorTable!$A$2:$A$301,0), Skills!L6+1)</f>
        <v/>
      </c>
      <c r="F701">
        <f>IF(Skills!M6=TRUE,(Skills!K6/10)*(E701/1000),Skills!K6/10)+Skills!N6</f>
        <v/>
      </c>
      <c r="G701">
        <f>Calc!G6</f>
        <v/>
      </c>
      <c r="H701">
        <f>Calc!H6</f>
        <v/>
      </c>
      <c r="I701">
        <f>IF(Skills!T6&lt;&gt;"",1+(Skills!T6/10)*(Z698/1000)/100,1)</f>
        <v/>
      </c>
      <c r="J701">
        <f>((Inputs!$B$6*(1+Inputs!$B$7/100))+(((Inputs!$B$12*(1+Inputs!$B$13/100))-(Inputs!$B$12*(1+Inputs!$B$13/100)))+0.25*(Inputs!$B$14-Inputs!$B$14))*(1+Inputs!$B$7/100))*(F701/100)</f>
        <v/>
      </c>
      <c r="K701">
        <f>J701*(1+((Inputs!$B$12*(1+Inputs!$B$13/100))*0.01+Inputs!$B$14*0.0025)/100)*(1+(Inputs!$B$15+B723)/100)*(1+Inputs!$B$16/100)*(5000/(6000+Inputs!$B$42*(1-Inputs!$B$19/100)))*(1+Inputs!$B$24/100)*(1+IF(C710=TRUE,F710,0)/100)*(1+IF(C718=TRUE,F718,0)/100)^5*(1+(IF(Skills!A6="CHAIN_LIGHTNING",Inputs!$B$17,Inputs!$B$18))/100)*(B721*I701)</f>
        <v/>
      </c>
      <c r="L701">
        <f>K701*(MIN(Inputs!$B$22+(F713-Calc!F18),Inputs!$B$23)/100+Inputs!$B$23/100)/2</f>
        <v/>
      </c>
      <c r="M701">
        <f>L701*(1+(Inputs!$B$10+(F716-Calc!F21))/100)</f>
        <v/>
      </c>
      <c r="N701">
        <f>L701*(1-MIN(Inputs!$B$9+((F715-Calc!F20)+(F714-Calc!F19)),100)/100)+M701*(MIN(Inputs!$B$9+((F715-Calc!F20)+(F714-Calc!F19)),100)/100)</f>
        <v/>
      </c>
      <c r="O701">
        <f>(1-Summary!$B$51)*S701+Summary!$B$51*U701</f>
        <v/>
      </c>
      <c r="P701">
        <f>IF(B731=0,0,O701/B731)</f>
        <v/>
      </c>
      <c r="Q701">
        <f>IFERROR(1/IF(Inputs!$B$38="pvp",15,MAX(0.1,Skills!D6-IF(Skills!E6=TRUE,Inputs!$B$32,0))),0)</f>
        <v/>
      </c>
      <c r="R701">
        <f>IF(AND(Inputs!$B$38&lt;&gt;"pvp",Inputs!$B$43&gt;0),IF(MAX(0,Inputs!$B$43-B728)&lt;=0,0,(INT(MAX(0,Inputs!$B$43-B728)/IF(Inputs!$B$38="pvp",15,MAX(0.1,Skills!D6-IF(Skills!E6=TRUE,Inputs!$B$32,0))))+1)),0)</f>
        <v/>
      </c>
      <c r="S701">
        <f>IF(C701,(H701*N701*IF(AND(Inputs!$B$38&lt;&gt;"pvp",Inputs!$B$43&gt;0),((Skills!F6*((R701-1)*IF(Skills!G6&gt;0,Skills!H6/Skills!G6,1)+IF(Skills!G6&gt;0,MIN(Skills!H6,MAX(0,MAX(0,Inputs!$B$43-B728)-((R701-1)*IF(Inputs!$B$38="pvp",15,MAX(0.1,Skills!D6-IF(Skills!E6=TRUE,Inputs!$B$32,0))))))/Skills!G6,1)))/Inputs!$B$43),G701*Q701))*IF(Inputs!$B$38="pvp",1,1+(Inputs!$B$20+Skills!O6+B722)/100),0)</f>
        <v/>
      </c>
      <c r="U701">
        <f>IF(C701,(H701*N701*IF(AND(Inputs!$B$38&lt;&gt;"pvp",Inputs!$B$43&gt;0),((Skills!F6*((R701-1)*IF(Skills!G6&gt;0,Skills!H6/Skills!G6,1)+IF(Skills!G6&gt;0,MIN(Skills!H6,MAX(0,MAX(0,Inputs!$B$43-B728)-((R701-1)*IF(Inputs!$B$38="pvp",15,MAX(0.1,Skills!D6-IF(Skills!E6=TRUE,Inputs!$B$32,0))))))/Skills!G6,1)))/Inputs!$B$43),G701*Q701))*IF(Inputs!$B$38="pvp",1,(1+(Inputs!$B$21+Skills!P6+B722)/100)*(MIN(Skills!Q6,Inputs!$B$37))),0)</f>
        <v/>
      </c>
    </row>
    <row r="702">
      <c r="A702">
        <f>Skills!A7</f>
        <v/>
      </c>
      <c r="B702">
        <f>Skills!B7</f>
        <v/>
      </c>
      <c r="C702">
        <f>Inputs!$B$3&gt;=69</f>
        <v/>
      </c>
      <c r="D702">
        <f>IF(Skills!C7=1,60+Inputs!$B$25+Inputs!$B$29,IF(Skills!C7=2,90+Inputs!$B$26+Inputs!$B$29,IF(Skills!C7=3,120+(Inputs!$B$27+1)+Inputs!$B$29,MAX(0,(Inputs!$B$3-100)*3)+Inputs!$B$28+Inputs!$B$29)))</f>
        <v/>
      </c>
      <c r="E702">
        <f>INDEX(FactorTable!$B$2:$Y$301, MATCH(ROUND(MIN(300,MAX(1,D702)),0), FactorTable!$A$2:$A$301,0), Skills!L7+1)</f>
        <v/>
      </c>
      <c r="F702">
        <f>IF(Skills!M7=TRUE,(Skills!K7/10)*(E702/1000),Skills!K7/10)+Skills!N7</f>
        <v/>
      </c>
      <c r="G702">
        <f>Calc!G7</f>
        <v/>
      </c>
      <c r="H702">
        <f>Calc!H7</f>
        <v/>
      </c>
      <c r="I702">
        <f>IF(Skills!T7&lt;&gt;"",1+(Skills!T7/10)*(Z698/1000)/100,1)</f>
        <v/>
      </c>
      <c r="J702">
        <f>((Inputs!$B$6*(1+Inputs!$B$7/100))+(((Inputs!$B$12*(1+Inputs!$B$13/100))-(Inputs!$B$12*(1+Inputs!$B$13/100)))+0.25*(Inputs!$B$14-Inputs!$B$14))*(1+Inputs!$B$7/100))*(F702/100)</f>
        <v/>
      </c>
      <c r="K702">
        <f>J702*(1+((Inputs!$B$12*(1+Inputs!$B$13/100))*0.01+Inputs!$B$14*0.0025)/100)*(1+(Inputs!$B$15+B723)/100)*(1+Inputs!$B$16/100)*(5000/(6000+Inputs!$B$42*(1-Inputs!$B$19/100)))*(1+Inputs!$B$24/100)*(1+IF(C710=TRUE,F710,0)/100)*(1+IF(C718=TRUE,F718,0)/100)^5*(1+(IF(Skills!A7="CHAIN_LIGHTNING",Inputs!$B$17,Inputs!$B$18))/100)*(B721*I702)</f>
        <v/>
      </c>
      <c r="L702">
        <f>K702*(MIN(Inputs!$B$22+(F713-Calc!F18),Inputs!$B$23)/100+Inputs!$B$23/100)/2</f>
        <v/>
      </c>
      <c r="M702">
        <f>L702*(1+(Inputs!$B$10+(F716-Calc!F21))/100)</f>
        <v/>
      </c>
      <c r="N702">
        <f>L702*(1-MIN(Inputs!$B$9+((F715-Calc!F20)+(F714-Calc!F19)),100)/100)+M702*(MIN(Inputs!$B$9+((F715-Calc!F20)+(F714-Calc!F19)),100)/100)</f>
        <v/>
      </c>
      <c r="O702">
        <f>(1-Summary!$B$51)*S702+Summary!$B$51*U702</f>
        <v/>
      </c>
      <c r="P702">
        <f>IF(B731=0,0,O702/B731)</f>
        <v/>
      </c>
      <c r="Q702">
        <f>IFERROR(1/IF(Inputs!$B$38="pvp",15,MAX(0.1,Skills!D7-IF(Skills!E7=TRUE,Inputs!$B$32,0))),0)</f>
        <v/>
      </c>
      <c r="R702">
        <f>IF(AND(Inputs!$B$38&lt;&gt;"pvp",Inputs!$B$43&gt;0),IF(MAX(0,Inputs!$B$43-B728)&lt;=0,0,(INT(MAX(0,Inputs!$B$43-B728)/IF(Inputs!$B$38="pvp",15,MAX(0.1,Skills!D7-IF(Skills!E7=TRUE,Inputs!$B$32,0))))+1)),0)</f>
        <v/>
      </c>
      <c r="S702">
        <f>IF(C702,(H702*N702*IF(AND(Inputs!$B$38&lt;&gt;"pvp",Inputs!$B$43&gt;0),((Skills!F7*((R702-1)*IF(Skills!G7&gt;0,Skills!H7/Skills!G7,1)+IF(Skills!G7&gt;0,MIN(Skills!H7,MAX(0,MAX(0,Inputs!$B$43-B728)-((R702-1)*IF(Inputs!$B$38="pvp",15,MAX(0.1,Skills!D7-IF(Skills!E7=TRUE,Inputs!$B$32,0))))))/Skills!G7,1)))/Inputs!$B$43),G702*Q702))*IF(Inputs!$B$38="pvp",1,1+(Inputs!$B$20+Skills!O7+B722)/100),0)</f>
        <v/>
      </c>
      <c r="U702">
        <f>IF(C702,(H702*N702*IF(AND(Inputs!$B$38&lt;&gt;"pvp",Inputs!$B$43&gt;0),((Skills!F7*((R702-1)*IF(Skills!G7&gt;0,Skills!H7/Skills!G7,1)+IF(Skills!G7&gt;0,MIN(Skills!H7,MAX(0,MAX(0,Inputs!$B$43-B728)-((R702-1)*IF(Inputs!$B$38="pvp",15,MAX(0.1,Skills!D7-IF(Skills!E7=TRUE,Inputs!$B$32,0))))))/Skills!G7,1)))/Inputs!$B$43),G702*Q702))*IF(Inputs!$B$38="pvp",1,(1+(Inputs!$B$21+Skills!P7+B722)/100)*(MIN(Skills!Q7,Inputs!$B$37))),0)</f>
        <v/>
      </c>
    </row>
    <row r="703">
      <c r="A703">
        <f>Skills!A8</f>
        <v/>
      </c>
      <c r="B703">
        <f>Skills!B8</f>
        <v/>
      </c>
      <c r="C703">
        <f>Inputs!$B$3&gt;=103</f>
        <v/>
      </c>
      <c r="D703">
        <f>IF(Skills!C8=1,60+Inputs!$B$25+Inputs!$B$29,IF(Skills!C8=2,90+Inputs!$B$26+Inputs!$B$29,IF(Skills!C8=3,120+(Inputs!$B$27+1)+Inputs!$B$29,MAX(0,(Inputs!$B$3-100)*3)+Inputs!$B$28+Inputs!$B$29)))</f>
        <v/>
      </c>
      <c r="E703">
        <f>INDEX(FactorTable!$B$2:$Y$301, MATCH(ROUND(MIN(300,MAX(1,D703)),0), FactorTable!$A$2:$A$301,0), Skills!L8+1)</f>
        <v/>
      </c>
      <c r="F703">
        <f>IF(Skills!M8=TRUE,(Skills!K8/10)*(E703/1000),Skills!K8/10)+Skills!N8</f>
        <v/>
      </c>
      <c r="G703">
        <f>Calc!G8</f>
        <v/>
      </c>
      <c r="H703">
        <f>Calc!H8</f>
        <v/>
      </c>
      <c r="I703">
        <f>IF(Skills!T8&lt;&gt;"",1+(Skills!T8/10)*(Z698/1000)/100,1)</f>
        <v/>
      </c>
      <c r="J703">
        <f>((Inputs!$B$6*(1+Inputs!$B$7/100))+(((Inputs!$B$12*(1+Inputs!$B$13/100))-(Inputs!$B$12*(1+Inputs!$B$13/100)))+0.25*(Inputs!$B$14-Inputs!$B$14))*(1+Inputs!$B$7/100))*(F703/100)</f>
        <v/>
      </c>
      <c r="K703">
        <f>J703*(1+((Inputs!$B$12*(1+Inputs!$B$13/100))*0.01+Inputs!$B$14*0.0025)/100)*(1+(Inputs!$B$15+B723)/100)*(1+Inputs!$B$16/100)*(5000/(6000+Inputs!$B$42*(1-Inputs!$B$19/100)))*(1+Inputs!$B$24/100)*(1+IF(C710=TRUE,F710,0)/100)*(1+IF(C718=TRUE,F718,0)/100)^5*(1+(IF(Skills!A8="CHAIN_LIGHTNING",Inputs!$B$17,Inputs!$B$18))/100)*(B721*I703)</f>
        <v/>
      </c>
      <c r="L703">
        <f>K703*(MIN(Inputs!$B$22+(F713-Calc!F18),Inputs!$B$23)/100+Inputs!$B$23/100)/2</f>
        <v/>
      </c>
      <c r="M703">
        <f>L703*(1+(Inputs!$B$10+(F716-Calc!F21))/100)</f>
        <v/>
      </c>
      <c r="N703">
        <f>L703*(1-MIN(Inputs!$B$9+((F715-Calc!F20)+(F714-Calc!F19)),100)/100)+M703*(MIN(Inputs!$B$9+((F715-Calc!F20)+(F714-Calc!F19)),100)/100)</f>
        <v/>
      </c>
      <c r="O703">
        <f>(1-Summary!$B$51)*S703+Summary!$B$51*U703</f>
        <v/>
      </c>
      <c r="P703">
        <f>IF(B731=0,0,O703/B731)</f>
        <v/>
      </c>
      <c r="Q703">
        <f>IFERROR(1/IF(Inputs!$B$38="pvp",15,MAX(0.1,Skills!D8-IF(Skills!E8=TRUE,Inputs!$B$32,0))),0)</f>
        <v/>
      </c>
      <c r="R703">
        <f>IF(AND(Inputs!$B$38&lt;&gt;"pvp",Inputs!$B$43&gt;0),IF(MAX(0,Inputs!$B$43-B728)&lt;=0,0,(INT(MAX(0,Inputs!$B$43-B728)/IF(Inputs!$B$38="pvp",15,MAX(0.1,Skills!D8-IF(Skills!E8=TRUE,Inputs!$B$32,0))))+1)),0)</f>
        <v/>
      </c>
      <c r="S703">
        <f>IF(C703,(H703*N703*IF(AND(Inputs!$B$38&lt;&gt;"pvp",Inputs!$B$43&gt;0),((Skills!F8*((R703-1)*IF(Skills!G8&gt;0,Skills!H8/Skills!G8,1)+IF(Skills!G8&gt;0,MIN(Skills!H8,MAX(0,MAX(0,Inputs!$B$43-B728)-((R703-1)*IF(Inputs!$B$38="pvp",15,MAX(0.1,Skills!D8-IF(Skills!E8=TRUE,Inputs!$B$32,0))))))/Skills!G8,1)))/Inputs!$B$43),G703*Q703))*IF(Inputs!$B$38="pvp",1,1+(Inputs!$B$20+Skills!O8+B722)/100),0)</f>
        <v/>
      </c>
      <c r="U703">
        <f>IF(C703,(H703*N703*IF(AND(Inputs!$B$38&lt;&gt;"pvp",Inputs!$B$43&gt;0),((Skills!F8*((R703-1)*IF(Skills!G8&gt;0,Skills!H8/Skills!G8,1)+IF(Skills!G8&gt;0,MIN(Skills!H8,MAX(0,MAX(0,Inputs!$B$43-B728)-((R703-1)*IF(Inputs!$B$38="pvp",15,MAX(0.1,Skills!D8-IF(Skills!E8=TRUE,Inputs!$B$32,0))))))/Skills!G8,1)))/Inputs!$B$43),G703*Q703))*IF(Inputs!$B$38="pvp",1,(1+(Inputs!$B$21+Skills!P8+B722)/100)*(MIN(Skills!Q8,Inputs!$B$37))),0)</f>
        <v/>
      </c>
    </row>
    <row r="704">
      <c r="A704">
        <f>Skills!A9</f>
        <v/>
      </c>
      <c r="B704">
        <f>Skills!B9</f>
        <v/>
      </c>
      <c r="C704">
        <f>Inputs!$B$3&gt;=105</f>
        <v/>
      </c>
      <c r="D704">
        <f>IF(Skills!C9=1,60+Inputs!$B$25+Inputs!$B$29,IF(Skills!C9=2,90+Inputs!$B$26+Inputs!$B$29,IF(Skills!C9=3,120+(Inputs!$B$27+1)+Inputs!$B$29,MAX(0,(Inputs!$B$3-100)*3)+Inputs!$B$28+Inputs!$B$29)))</f>
        <v/>
      </c>
      <c r="E704">
        <f>INDEX(FactorTable!$B$2:$Y$301, MATCH(ROUND(MIN(300,MAX(1,D704)),0), FactorTable!$A$2:$A$301,0), Skills!L9+1)</f>
        <v/>
      </c>
      <c r="F704">
        <f>IF(Skills!M9=TRUE,(Skills!K9/10)*(E704/1000),Skills!K9/10)+Skills!N9</f>
        <v/>
      </c>
      <c r="G704">
        <f>Calc!G9</f>
        <v/>
      </c>
      <c r="H704">
        <f>Calc!H9</f>
        <v/>
      </c>
      <c r="I704">
        <f>IF(Skills!T9&lt;&gt;"",1+(Skills!T9/10)*(Z698/1000)/100,1)</f>
        <v/>
      </c>
      <c r="J704">
        <f>((Inputs!$B$6*(1+Inputs!$B$7/100))+(((Inputs!$B$12*(1+Inputs!$B$13/100))-(Inputs!$B$12*(1+Inputs!$B$13/100)))+0.25*(Inputs!$B$14-Inputs!$B$14))*(1+Inputs!$B$7/100))*(F704/100)</f>
        <v/>
      </c>
      <c r="K704">
        <f>J704*(1+((Inputs!$B$12*(1+Inputs!$B$13/100))*0.01+Inputs!$B$14*0.0025)/100)*(1+(Inputs!$B$15+B723)/100)*(1+Inputs!$B$16/100)*(5000/(6000+Inputs!$B$42*(1-Inputs!$B$19/100)))*(1+Inputs!$B$24/100)*(1+IF(C710=TRUE,F710,0)/100)*(1+IF(C718=TRUE,F718,0)/100)^5*(1+(IF(Skills!A9="CHAIN_LIGHTNING",Inputs!$B$17,Inputs!$B$18))/100)*(B721*I704)</f>
        <v/>
      </c>
      <c r="L704">
        <f>K704*(MIN(Inputs!$B$22+(F713-Calc!F18),Inputs!$B$23)/100+Inputs!$B$23/100)/2</f>
        <v/>
      </c>
      <c r="M704">
        <f>L704*(1+(Inputs!$B$10+(F716-Calc!F21))/100)</f>
        <v/>
      </c>
      <c r="N704">
        <f>L704*(1-MIN(Inputs!$B$9+((F715-Calc!F20)+(F714-Calc!F19)),100)/100)+M704*(MIN(Inputs!$B$9+((F715-Calc!F20)+(F714-Calc!F19)),100)/100)</f>
        <v/>
      </c>
      <c r="O704">
        <f>(1-Summary!$B$51)*S704+Summary!$B$51*U704</f>
        <v/>
      </c>
      <c r="P704">
        <f>IF(B731=0,0,O704/B731)</f>
        <v/>
      </c>
      <c r="Q704">
        <f>IFERROR(1/IF(Inputs!$B$38="pvp",15,MAX(0.1,Skills!D9-IF(Skills!E9=TRUE,Inputs!$B$32,0))),0)</f>
        <v/>
      </c>
      <c r="R704">
        <f>IF(AND(Inputs!$B$38&lt;&gt;"pvp",Inputs!$B$43&gt;0),IF(MAX(0,Inputs!$B$43-B728)&lt;=0,0,(INT(MAX(0,Inputs!$B$43-B728)/IF(Inputs!$B$38="pvp",15,MAX(0.1,Skills!D9-IF(Skills!E9=TRUE,Inputs!$B$32,0))))+1)),0)</f>
        <v/>
      </c>
      <c r="S704">
        <f>IF(C704,(H704*N704*IF(AND(Inputs!$B$38&lt;&gt;"pvp",Inputs!$B$43&gt;0),((Skills!F9*((R704-1)*IF(Skills!G9&gt;0,Skills!H9/Skills!G9,1)+IF(Skills!G9&gt;0,MIN(Skills!H9,MAX(0,MAX(0,Inputs!$B$43-B728)-((R704-1)*IF(Inputs!$B$38="pvp",15,MAX(0.1,Skills!D9-IF(Skills!E9=TRUE,Inputs!$B$32,0))))))/Skills!G9,1)))/Inputs!$B$43),G704*Q704))*IF(Inputs!$B$38="pvp",1,1+(Inputs!$B$20+Skills!O9+B722)/100),0)</f>
        <v/>
      </c>
      <c r="U704">
        <f>IF(C704,(H704*N704*IF(AND(Inputs!$B$38&lt;&gt;"pvp",Inputs!$B$43&gt;0),((Skills!F9*((R704-1)*IF(Skills!G9&gt;0,Skills!H9/Skills!G9,1)+IF(Skills!G9&gt;0,MIN(Skills!H9,MAX(0,MAX(0,Inputs!$B$43-B728)-((R704-1)*IF(Inputs!$B$38="pvp",15,MAX(0.1,Skills!D9-IF(Skills!E9=TRUE,Inputs!$B$32,0))))))/Skills!G9,1)))/Inputs!$B$43),G704*Q704))*IF(Inputs!$B$38="pvp",1,(1+(Inputs!$B$21+Skills!P9+B722)/100)*(MIN(Skills!Q9,Inputs!$B$37))),0)</f>
        <v/>
      </c>
    </row>
    <row r="705">
      <c r="A705">
        <f>Skills!A10</f>
        <v/>
      </c>
      <c r="B705">
        <f>Skills!B10</f>
        <v/>
      </c>
      <c r="C705">
        <f>Inputs!$B$3&gt;=113</f>
        <v/>
      </c>
      <c r="D705">
        <f>IF(Skills!C10=1,60+Inputs!$B$25+Inputs!$B$29,IF(Skills!C10=2,90+Inputs!$B$26+Inputs!$B$29,IF(Skills!C10=3,120+(Inputs!$B$27+1)+Inputs!$B$29,MAX(0,(Inputs!$B$3-100)*3)+Inputs!$B$28+Inputs!$B$29)))</f>
        <v/>
      </c>
      <c r="E705">
        <f>INDEX(FactorTable!$B$2:$Y$301, MATCH(ROUND(MIN(300,MAX(1,D705)),0), FactorTable!$A$2:$A$301,0), Skills!L10+1)</f>
        <v/>
      </c>
      <c r="F705">
        <f>IF(Skills!M10=TRUE,(Skills!K10/10)*(E705/1000),Skills!K10/10)+Skills!N10</f>
        <v/>
      </c>
      <c r="G705">
        <f>Calc!G10</f>
        <v/>
      </c>
      <c r="H705">
        <f>Calc!H10</f>
        <v/>
      </c>
      <c r="I705">
        <f>IF(Skills!T10&lt;&gt;"",1+(Skills!T10/10)*(Z698/1000)/100,1)</f>
        <v/>
      </c>
      <c r="J705">
        <f>((Inputs!$B$6*(1+Inputs!$B$7/100))+(((Inputs!$B$12*(1+Inputs!$B$13/100))-(Inputs!$B$12*(1+Inputs!$B$13/100)))+0.25*(Inputs!$B$14-Inputs!$B$14))*(1+Inputs!$B$7/100))*(F705/100)</f>
        <v/>
      </c>
      <c r="K705">
        <f>J705*(1+((Inputs!$B$12*(1+Inputs!$B$13/100))*0.01+Inputs!$B$14*0.0025)/100)*(1+(Inputs!$B$15+B723)/100)*(1+Inputs!$B$16/100)*(5000/(6000+Inputs!$B$42*(1-Inputs!$B$19/100)))*(1+Inputs!$B$24/100)*(1+IF(C710=TRUE,F710,0)/100)*(1+IF(C718=TRUE,F718,0)/100)^5*(1+(IF(Skills!A10="CHAIN_LIGHTNING",Inputs!$B$17,Inputs!$B$18))/100)*(B721*I705)</f>
        <v/>
      </c>
      <c r="L705">
        <f>K705*(MIN(Inputs!$B$22+(F713-Calc!F18),Inputs!$B$23)/100+Inputs!$B$23/100)/2</f>
        <v/>
      </c>
      <c r="M705">
        <f>L705*(1+(Inputs!$B$10+(F716-Calc!F21))/100)</f>
        <v/>
      </c>
      <c r="N705">
        <f>L705*(1-MIN(Inputs!$B$9+((F715-Calc!F20)+(F714-Calc!F19)),100)/100)+M705*(MIN(Inputs!$B$9+((F715-Calc!F20)+(F714-Calc!F19)),100)/100)</f>
        <v/>
      </c>
      <c r="O705">
        <f>(1-Summary!$B$51)*S705+Summary!$B$51*U705</f>
        <v/>
      </c>
      <c r="P705">
        <f>IF(B731=0,0,O705/B731)</f>
        <v/>
      </c>
      <c r="Q705">
        <f>IFERROR(1/IF(Inputs!$B$38="pvp",15,MAX(0.1,Skills!D10-IF(Skills!E9=TRUE,Inputs!$B$32,0))),0)</f>
        <v/>
      </c>
      <c r="R705">
        <f>IF(AND(Inputs!$B$38&lt;&gt;"pvp",Inputs!$B$43&gt;0),IF(MAX(0,Inputs!$B$43-B728)&lt;=0,0,(INT(MAX(0,Inputs!$B$43-B728)/IF(Inputs!$B$38="pvp",15,MAX(0.1,Skills!D10-IF(Skills!E9=TRUE,Inputs!$B$32,0))))+1)),0)</f>
        <v/>
      </c>
      <c r="S705">
        <f>IF(C705,(H705*N705*IF(AND(Inputs!$B$38&lt;&gt;"pvp",Inputs!$B$43&gt;0),((Skills!F10*((R705-1)*IF(Skills!G10&gt;0,Skills!H10/Skills!G10,1)+IF(Skills!G10&gt;0,MIN(Skills!H10,MAX(0,MAX(0,Inputs!$B$43-B728)-((R705-1)*IF(Inputs!$B$38="pvp",15,MAX(0.1,Skills!D10-IF(Skills!E9=TRUE,Inputs!$B$32,0))))))/Skills!G10,1)))/Inputs!$B$43),G705*Q705))*IF(Inputs!$B$38="pvp",1,1+(Inputs!$B$20+Skills!O10+B722)/100),0)</f>
        <v/>
      </c>
      <c r="U705">
        <f>IF(C705,(H705*N705*IF(AND(Inputs!$B$38&lt;&gt;"pvp",Inputs!$B$43&gt;0),((Skills!F10*((R705-1)*IF(Skills!G10&gt;0,Skills!H10/Skills!G10,1)+IF(Skills!G10&gt;0,MIN(Skills!H10,MAX(0,MAX(0,Inputs!$B$43-B728)-((R705-1)*IF(Inputs!$B$38="pvp",15,MAX(0.1,Skills!D10-IF(Skills!E9=TRUE,Inputs!$B$32,0))))))/Skills!G10,1)))/Inputs!$B$43),G705*Q705))*IF(Inputs!$B$38="pvp",1,(1+(Inputs!$B$21+Skills!P10+B722)/100)*(MIN(Skills!Q10,Inputs!$B$37))),0)</f>
        <v/>
      </c>
    </row>
    <row r="706">
      <c r="A706">
        <f>Skills!A11</f>
        <v/>
      </c>
      <c r="B706">
        <f>Skills!B11</f>
        <v/>
      </c>
      <c r="C706">
        <f>Inputs!$B$3&gt;=107</f>
        <v/>
      </c>
      <c r="D706">
        <f>IF(Skills!C11=1,60+Inputs!$B$25+Inputs!$B$29,IF(Skills!C11=2,90+Inputs!$B$26+Inputs!$B$29,IF(Skills!C11=3,120+(Inputs!$B$27+1)+Inputs!$B$29,MAX(0,(Inputs!$B$3-100)*3)+Inputs!$B$28+Inputs!$B$29)))</f>
        <v/>
      </c>
      <c r="E706">
        <f>INDEX(FactorTable!$B$2:$Y$301, MATCH(ROUND(MIN(300,MAX(1,D706)),0), FactorTable!$A$2:$A$301,0), Skills!L11+1)</f>
        <v/>
      </c>
      <c r="F706">
        <f>IF(Skills!M11=TRUE,(Skills!K11/10)*(E706/1000),Skills!K11/10)+Skills!N11</f>
        <v/>
      </c>
      <c r="G706">
        <f>Calc!G11</f>
        <v/>
      </c>
      <c r="H706">
        <f>Calc!H11</f>
        <v/>
      </c>
      <c r="I706">
        <f>IF(Skills!T11&lt;&gt;"",1+(Skills!T11/10)*(Z698/1000)/100,1)</f>
        <v/>
      </c>
      <c r="J706">
        <f>((Inputs!$B$6*(1+Inputs!$B$7/100))+(((Inputs!$B$12*(1+Inputs!$B$13/100))-(Inputs!$B$12*(1+Inputs!$B$13/100)))+0.25*(Inputs!$B$14-Inputs!$B$14))*(1+Inputs!$B$7/100))*(F706/100)</f>
        <v/>
      </c>
      <c r="K706">
        <f>J706*(1+((Inputs!$B$12*(1+Inputs!$B$13/100))*0.01+Inputs!$B$14*0.0025)/100)*(1+(Inputs!$B$15+B723)/100)*(1+Inputs!$B$16/100)*(5000/(6000+Inputs!$B$42*(1-Inputs!$B$19/100)))*(1+Inputs!$B$24/100)*(1+IF(C710=TRUE,F710,0)/100)*(1+IF(C718=TRUE,F718,0)/100)^5*(1+(IF(Skills!A11="CHAIN_LIGHTNING",Inputs!$B$17,Inputs!$B$18))/100)*(B721*I706)</f>
        <v/>
      </c>
      <c r="L706">
        <f>K706*(MIN(Inputs!$B$22+(F713-Calc!F18),Inputs!$B$23)/100+Inputs!$B$23/100)/2</f>
        <v/>
      </c>
      <c r="M706">
        <f>L706*(1+(Inputs!$B$10+(F716-Calc!F21))/100)</f>
        <v/>
      </c>
      <c r="N706">
        <f>L706*(1-MIN(Inputs!$B$9+((F715-Calc!F20)+(F714-Calc!F19)),100)/100)+M706*(MIN(Inputs!$B$9+((F715-Calc!F20)+(F714-Calc!F19)),100)/100)</f>
        <v/>
      </c>
      <c r="O706">
        <f>(1-Summary!$B$51)*S706+Summary!$B$51*U706</f>
        <v/>
      </c>
      <c r="P706">
        <f>IF(B731=0,0,O706/B731)</f>
        <v/>
      </c>
      <c r="Q706">
        <f>IFERROR(1/IF(Inputs!$B$38="pvp",15,MAX(0.1,Skills!D11-IF(Skills!E11=TRUE,Inputs!$B$32,0))),0)</f>
        <v/>
      </c>
      <c r="R706">
        <f>IF(AND(Inputs!$B$38&lt;&gt;"pvp",Inputs!$B$43&gt;0),IF(MAX(0,Inputs!$B$43-B728)&lt;=0,0,(INT(MAX(0,Inputs!$B$43-B728)/IF(Inputs!$B$38="pvp",15,MAX(0.1,Skills!D11-IF(Skills!E11=TRUE,Inputs!$B$32,0))))+1)),0)</f>
        <v/>
      </c>
      <c r="S706">
        <f>IF(C706,H706*N706*IF(AND(Inputs!$B$38&lt;&gt;"pvp",Inputs!$B$43&gt;0),((Skills!F11*((R706-1)*IF(Skills!G11&gt;0,Skills!H11/Skills!G11,1)+IF(Skills!G11&gt;0,MIN(Skills!H11,MAX(0,MAX(0,Inputs!$B$43-B728)-((R706-1)*IF(Inputs!$B$38="pvp",15,MAX(0.1,Skills!D11-IF(Skills!E11=TRUE,Inputs!$B$32,0))))))/Skills!G11,1)))/Inputs!$B$43),G706*Q706)*0.5*IF(Inputs!$B$38="pvp",1,1+(Inputs!$B$20+Skills!O11+B722)/100),0)</f>
        <v/>
      </c>
      <c r="U706">
        <f>IF(C706,H706*N706*IF(AND(Inputs!$B$38&lt;&gt;"pvp",Inputs!$B$43&gt;0),((Skills!F11*((R706-1)*IF(Skills!G11&gt;0,Skills!H11/Skills!G11,1)+IF(Skills!G11&gt;0,MIN(Skills!H11,MAX(0,MAX(0,Inputs!$B$43-B728)-((R706-1)*IF(Inputs!$B$38="pvp",15,MAX(0.1,Skills!D11-IF(Skills!E11=TRUE,Inputs!$B$32,0))))))/Skills!G11,1)))/Inputs!$B$43),G706*Q706)*1*IF(Inputs!$B$38="pvp",1,(1+(Inputs!$B$21+Skills!P11+B722)/100)*(MIN(Skills!Q11,Inputs!$B$37))),0)</f>
        <v/>
      </c>
    </row>
    <row r="707">
      <c r="A707">
        <f>Skills!A12</f>
        <v/>
      </c>
      <c r="B707">
        <f>Skills!B12</f>
        <v/>
      </c>
      <c r="C707">
        <f>Inputs!$B$3&gt;=115</f>
        <v/>
      </c>
      <c r="D707">
        <f>IF(Skills!C12=1,60+Inputs!$B$25+Inputs!$B$29,IF(Skills!C12=2,90+Inputs!$B$26+Inputs!$B$29,IF(Skills!C12=3,120+(Inputs!$B$27+1)+Inputs!$B$29,MAX(0,(Inputs!$B$3-100)*3)+Inputs!$B$28+Inputs!$B$29)))</f>
        <v/>
      </c>
      <c r="E707">
        <f>INDEX(FactorTable!$B$2:$Y$301, MATCH(ROUND(MIN(300,MAX(1,D707)),0), FactorTable!$A$2:$A$301,0), Skills!L12+1)</f>
        <v/>
      </c>
      <c r="F707">
        <f>IF(Skills!M12=TRUE,(Skills!K12/10)*(E707/1000),Skills!K12/10)+Skills!N12</f>
        <v/>
      </c>
      <c r="G707">
        <f>Calc!G12</f>
        <v/>
      </c>
      <c r="H707">
        <f>Calc!H12</f>
        <v/>
      </c>
      <c r="I707">
        <f>IF(Skills!T12&lt;&gt;"",1+(Skills!T12/10)*(Z698/1000)/100,1)</f>
        <v/>
      </c>
      <c r="J707">
        <f>((Inputs!$B$6*(1+Inputs!$B$7/100))+(((Inputs!$B$12*(1+Inputs!$B$13/100))-(Inputs!$B$12*(1+Inputs!$B$13/100)))+0.25*(Inputs!$B$14-Inputs!$B$14))*(1+Inputs!$B$7/100))*(F707/100)</f>
        <v/>
      </c>
      <c r="K707">
        <f>J707*(1+((Inputs!$B$12*(1+Inputs!$B$13/100))*0.01+Inputs!$B$14*0.0025)/100)*(1+(Inputs!$B$15+B723)/100)*(1+Inputs!$B$16/100)*(5000/(6000+Inputs!$B$42*(1-Inputs!$B$19/100)))*(1+Inputs!$B$24/100)*(1+IF(C710=TRUE,F710,0)/100)*(1+IF(C718=TRUE,F718,0)/100)^5*(1+(IF(Skills!A12="CHAIN_LIGHTNING",Inputs!$B$17,Inputs!$B$18))/100)*(B721*I707)</f>
        <v/>
      </c>
      <c r="L707">
        <f>K707*(MIN(Inputs!$B$22+(F713-Calc!F18),Inputs!$B$23)/100+Inputs!$B$23/100)/2</f>
        <v/>
      </c>
      <c r="M707">
        <f>L707*(1+(Inputs!$B$10+(F716-Calc!F21))/100)</f>
        <v/>
      </c>
      <c r="N707">
        <f>L707*(1-MIN(Inputs!$B$9+((F715-Calc!F20)+(F714-Calc!F19)),100)/100)+M707*(MIN(Inputs!$B$9+((F715-Calc!F20)+(F714-Calc!F19)),100)/100)</f>
        <v/>
      </c>
      <c r="O707">
        <f>(1-Summary!$B$51)*S707+Summary!$B$51*U707</f>
        <v/>
      </c>
      <c r="P707">
        <f>IF(B731=0,0,O707/B731)</f>
        <v/>
      </c>
      <c r="Q707">
        <f>IFERROR(1/IF(Inputs!$B$38="pvp",15,MAX(0.1,Skills!D12-IF(Skills!E12=TRUE,Inputs!$B$32,0))),0)</f>
        <v/>
      </c>
      <c r="R707">
        <f>IF(AND(Inputs!$B$38&lt;&gt;"pvp",Inputs!$B$43&gt;0),IF(MAX(0,Inputs!$B$43-B728)&lt;=0,0,(INT(MAX(0,Inputs!$B$43-B728)/IF(Inputs!$B$38="pvp",15,MAX(0.1,Skills!D12-IF(Skills!E12=TRUE,Inputs!$B$32,0))))+1)),0)</f>
        <v/>
      </c>
      <c r="S707">
        <f>IF(C707,(H707*N707*IF(AND(Inputs!$B$38&lt;&gt;"pvp",Inputs!$B$43&gt;0),((Skills!F12*((R707-1)*IF(Skills!G12&gt;0,Skills!H12/Skills!G12,1)+IF(Skills!G12&gt;0,MIN(Skills!H12,MAX(0,MAX(0,Inputs!$B$43-B728)-((R707-1)*IF(Inputs!$B$38="pvp",15,MAX(0.1,Skills!D12-IF(Skills!E12=TRUE,Inputs!$B$32,0))))))/Skills!G12,1)))/Inputs!$B$43),G707*Q707))*IF(Inputs!$B$38="pvp",1,1+(Inputs!$B$20+Skills!O12+B722)/100),0)</f>
        <v/>
      </c>
      <c r="U707">
        <f>IF(C707,(H707*N707*IF(AND(Inputs!$B$38&lt;&gt;"pvp",Inputs!$B$43&gt;0),((Skills!F12*((R707-1)*IF(Skills!G12&gt;0,Skills!H12/Skills!G12,1)+IF(Skills!G12&gt;0,MIN(Skills!H12,MAX(0,MAX(0,Inputs!$B$43-B728)-((R707-1)*IF(Inputs!$B$38="pvp",15,MAX(0.1,Skills!D12-IF(Skills!E12=TRUE,Inputs!$B$32,0))))))/Skills!G12,1)))/Inputs!$B$43),G707*Q707))*IF(Inputs!$B$38="pvp",1,(1+(Inputs!$B$21+Skills!P12+B722)/100)*(MIN(Skills!Q12,Inputs!$B$37))),0)</f>
        <v/>
      </c>
    </row>
    <row r="708">
      <c r="A708">
        <f>Skills!A13</f>
        <v/>
      </c>
      <c r="B708">
        <f>Skills!B13</f>
        <v/>
      </c>
      <c r="C708">
        <f>Inputs!$B$3&gt;=49</f>
        <v/>
      </c>
      <c r="D708">
        <f>IF(Skills!C13=1,60+Inputs!$B$25+Inputs!$B$29,IF(Skills!C13=2,90+Inputs!$B$26+Inputs!$B$29,IF(Skills!C13=3,120+(Inputs!$B$27+1)+Inputs!$B$29,MAX(0,(Inputs!$B$3-100)*3)+Inputs!$B$28+Inputs!$B$29)))</f>
        <v/>
      </c>
      <c r="E708">
        <f>INDEX(FactorTable!$B$2:$Y$301, MATCH(ROUND(MIN(300,MAX(1,D708)),0), FactorTable!$A$2:$A$301,0), Skills!L13+1)</f>
        <v/>
      </c>
      <c r="F708">
        <f>IF(Skills!M13=TRUE,(Skills!K13/10)*(E708/1000),Skills!K13/10)+Skills!N13</f>
        <v/>
      </c>
      <c r="G708">
        <f>Calc!G13</f>
        <v/>
      </c>
      <c r="H708">
        <f>Calc!H13</f>
        <v/>
      </c>
      <c r="I708">
        <f>IF(Skills!T13&lt;&gt;"",1+(Skills!T13/10)*(Z698/1000)/100,1)</f>
        <v/>
      </c>
      <c r="J708" t="inlineStr"/>
      <c r="K708" t="inlineStr"/>
      <c r="L708" t="inlineStr"/>
      <c r="M708" t="inlineStr"/>
      <c r="N708" t="inlineStr"/>
      <c r="O708">
        <f>(1-Summary!$B$51)*S708+Summary!$B$51*U708</f>
        <v/>
      </c>
      <c r="P708">
        <f>IF(B731=0,0,O708/B731)</f>
        <v/>
      </c>
      <c r="Q708">
        <f>IFERROR(1/IF(Inputs!$B$38="pvp",15,MAX(0.1,Skills!D13-IF(Skills!E13=TRUE,Inputs!$B$32,0))),0)</f>
        <v/>
      </c>
      <c r="R708" t="n">
        <v>0</v>
      </c>
      <c r="S708" t="n">
        <v>0</v>
      </c>
      <c r="U708" t="n">
        <v>0</v>
      </c>
    </row>
    <row r="709">
      <c r="A709">
        <f>Skills!A14</f>
        <v/>
      </c>
      <c r="B709">
        <f>Skills!B14</f>
        <v/>
      </c>
      <c r="C709">
        <f>Inputs!$B$3&gt;=72</f>
        <v/>
      </c>
      <c r="D709">
        <f>IF(Skills!C14=1,60+Inputs!$B$25+Inputs!$B$29,IF(Skills!C14=2,90+Inputs!$B$26+Inputs!$B$29,IF(Skills!C14=3,120+(Inputs!$B$27+1)+Inputs!$B$29,MAX(0,(Inputs!$B$3-100)*3)+Inputs!$B$28+Inputs!$B$29)))</f>
        <v/>
      </c>
      <c r="E709">
        <f>INDEX(FactorTable!$B$2:$Y$301, MATCH(ROUND(MIN(300,MAX(1,D709)),0), FactorTable!$A$2:$A$301,0), Skills!L14+1)</f>
        <v/>
      </c>
      <c r="F709">
        <f>IF(Skills!M14=TRUE,(Skills!K14/10)*(E709/1000),Skills!K14/10)+Skills!N14</f>
        <v/>
      </c>
      <c r="G709">
        <f>Calc!G14</f>
        <v/>
      </c>
      <c r="H709">
        <f>Calc!H14</f>
        <v/>
      </c>
      <c r="I709">
        <f>IF(Skills!T14&lt;&gt;"",1+(Skills!T14/10)*(Z698/1000)/100,1)</f>
        <v/>
      </c>
      <c r="J709" t="inlineStr"/>
      <c r="K709" t="inlineStr"/>
      <c r="L709" t="inlineStr"/>
      <c r="M709" t="inlineStr"/>
      <c r="N709" t="inlineStr"/>
      <c r="O709">
        <f>(1-Summary!$B$51)*S709+Summary!$B$51*U709</f>
        <v/>
      </c>
      <c r="P709">
        <f>IF(B731=0,0,O709/B731)</f>
        <v/>
      </c>
      <c r="Q709">
        <f>IFERROR(1/IF(Inputs!$B$38="pvp",15,MAX(0.1,Skills!D14-IF(Skills!E14=TRUE,Inputs!$B$32,0))),0)</f>
        <v/>
      </c>
      <c r="R709" t="n">
        <v>0</v>
      </c>
      <c r="S709" t="n">
        <v>0</v>
      </c>
      <c r="U709" t="n">
        <v>0</v>
      </c>
    </row>
    <row r="710">
      <c r="A710">
        <f>Skills!A15</f>
        <v/>
      </c>
      <c r="B710">
        <f>Skills!B15</f>
        <v/>
      </c>
      <c r="C710">
        <f>Inputs!$B$3&gt;=75</f>
        <v/>
      </c>
      <c r="D710">
        <f>IF(Skills!C15=1,60+Inputs!$B$25+Inputs!$B$29,IF(Skills!C15=2,90+Inputs!$B$26+Inputs!$B$29,IF(Skills!C15=3,120+(Inputs!$B$27+1)+Inputs!$B$29,MAX(0,(Inputs!$B$3-100)*3)+Inputs!$B$28+Inputs!$B$29)))</f>
        <v/>
      </c>
      <c r="E710">
        <f>INDEX(FactorTable!$B$2:$Y$301, MATCH(ROUND(MIN(300,MAX(1,D710)),0), FactorTable!$A$2:$A$301,0), Skills!L15+1)</f>
        <v/>
      </c>
      <c r="F710">
        <f>IF(Skills!M15=TRUE,(Skills!K15/10)*(E710/1000),Skills!K15/10)+Skills!N15</f>
        <v/>
      </c>
      <c r="G710">
        <f>Calc!G15</f>
        <v/>
      </c>
      <c r="H710">
        <f>Calc!H15</f>
        <v/>
      </c>
      <c r="I710">
        <f>IF(Skills!T15&lt;&gt;"",1+(Skills!T15/10)*(Z698/1000)/100,1)</f>
        <v/>
      </c>
      <c r="J710" t="inlineStr"/>
      <c r="K710" t="inlineStr"/>
      <c r="L710" t="inlineStr"/>
      <c r="M710" t="inlineStr"/>
      <c r="N710" t="inlineStr"/>
      <c r="O710">
        <f>(1-Summary!$B$51)*S710+Summary!$B$51*U710</f>
        <v/>
      </c>
      <c r="P710">
        <f>IF(B731=0,0,O710/B731)</f>
        <v/>
      </c>
      <c r="Q710">
        <f>IFERROR(1/IF(Inputs!$B$38="pvp",15,MAX(0.1,Skills!D15-IF(Skills!E15=TRUE,Inputs!$B$32,0))),0)</f>
        <v/>
      </c>
      <c r="R710" t="n">
        <v>0</v>
      </c>
      <c r="S710" t="n">
        <v>0</v>
      </c>
      <c r="U710" t="n">
        <v>0</v>
      </c>
    </row>
    <row r="711">
      <c r="A711">
        <f>Skills!A16</f>
        <v/>
      </c>
      <c r="B711">
        <f>Skills!B16</f>
        <v/>
      </c>
      <c r="C711">
        <f>Inputs!$B$3&gt;=110</f>
        <v/>
      </c>
      <c r="D711">
        <f>IF(Skills!C16=1,60+Inputs!$B$25+Inputs!$B$29,IF(Skills!C16=2,90+Inputs!$B$26+Inputs!$B$29,IF(Skills!C16=3,120+(Inputs!$B$27+1)+Inputs!$B$29,MAX(0,(Inputs!$B$3-100)*3)+Inputs!$B$28+Inputs!$B$29)))</f>
        <v/>
      </c>
      <c r="E711">
        <f>INDEX(FactorTable!$B$2:$Y$301, MATCH(ROUND(MIN(300,MAX(1,D711)),0), FactorTable!$A$2:$A$301,0), Skills!L16+1)</f>
        <v/>
      </c>
      <c r="F711">
        <f>(Skills!K16/10)*(E711/1000)*64/45+Skills!N16</f>
        <v/>
      </c>
      <c r="G711">
        <f>Calc!G16</f>
        <v/>
      </c>
      <c r="H711">
        <f>Calc!H16</f>
        <v/>
      </c>
      <c r="I711">
        <f>IF(Skills!T16&lt;&gt;"",1+(Skills!T16/10)*(Z698/1000)/100,1)</f>
        <v/>
      </c>
      <c r="J711" t="inlineStr"/>
      <c r="K711" t="inlineStr"/>
      <c r="L711" t="inlineStr"/>
      <c r="M711" t="inlineStr"/>
      <c r="N711" t="inlineStr"/>
      <c r="O711">
        <f>(1-Summary!$B$51)*S711+Summary!$B$51*U711</f>
        <v/>
      </c>
      <c r="P711">
        <f>IF(B731=0,0,O711/B731)</f>
        <v/>
      </c>
      <c r="Q711">
        <f>IFERROR(1/IF(Inputs!$B$38="pvp",15,MAX(0.1,Skills!D16-IF(Skills!E16=TRUE,Inputs!$B$32,0))),0)</f>
        <v/>
      </c>
      <c r="R711">
        <f>IF(AND(Inputs!$B$38&lt;&gt;"pvp",Inputs!$B$43&gt;0),IF(Inputs!$B$43&lt;=0,0,(INT(Inputs!$B$43/IF(Inputs!$B$38="pvp",15,MAX(0.1,Skills!D16-IF(Skills!E16=TRUE,Inputs!$B$32,0))))+1)),0)</f>
        <v/>
      </c>
      <c r="S711" t="n">
        <v>0</v>
      </c>
      <c r="U711" t="n">
        <v>0</v>
      </c>
    </row>
    <row r="712">
      <c r="A712">
        <f>Skills!A17</f>
        <v/>
      </c>
      <c r="B712">
        <f>Skills!B17</f>
        <v/>
      </c>
      <c r="C712">
        <f>Inputs!$B$3&gt;=33</f>
        <v/>
      </c>
      <c r="D712">
        <f>IF(Skills!C17=1,60+Inputs!$B$25+Inputs!$B$29,IF(Skills!C17=2,90+Inputs!$B$26+Inputs!$B$29,IF(Skills!C17=3,120+(Inputs!$B$27+1)+Inputs!$B$29,MAX(0,(Inputs!$B$3-100)*3)+Inputs!$B$28+Inputs!$B$29)))</f>
        <v/>
      </c>
      <c r="E712">
        <f>INDEX(FactorTable!$B$2:$Y$301, MATCH(ROUND(MIN(300,MAX(1,D712)),0), FactorTable!$A$2:$A$301,0), Skills!L17+1)</f>
        <v/>
      </c>
      <c r="F712">
        <f>IF(Skills!M17=TRUE,(Skills!K17/10)*(E712/1000),Skills!K17/10)+Skills!N17</f>
        <v/>
      </c>
      <c r="G712">
        <f>Calc!G17</f>
        <v/>
      </c>
      <c r="H712">
        <f>Calc!H17</f>
        <v/>
      </c>
      <c r="I712">
        <f>IF(Skills!T17&lt;&gt;"",1+(Skills!T17/10)*(Z698/1000)/100,1)</f>
        <v/>
      </c>
      <c r="J712" t="inlineStr"/>
      <c r="K712" t="inlineStr"/>
      <c r="L712" t="inlineStr"/>
      <c r="M712" t="inlineStr"/>
      <c r="N712" t="inlineStr"/>
      <c r="O712">
        <f>(1-Summary!$B$51)*S712+Summary!$B$51*U712</f>
        <v/>
      </c>
      <c r="P712">
        <f>IF(B731=0,0,O712/B731)</f>
        <v/>
      </c>
      <c r="Q712">
        <f>IFERROR(1/IF(Inputs!$B$38="pvp",15,MAX(0.1,Skills!D17-IF(Skills!E17=TRUE,Inputs!$B$32,0))),0)</f>
        <v/>
      </c>
      <c r="R712" t="n">
        <v>0</v>
      </c>
      <c r="S712" t="n">
        <v>0</v>
      </c>
      <c r="U712" t="n">
        <v>0</v>
      </c>
    </row>
    <row r="713">
      <c r="A713">
        <f>Skills!A18</f>
        <v/>
      </c>
      <c r="B713">
        <f>Skills!B18</f>
        <v/>
      </c>
      <c r="C713">
        <f>Inputs!$B$3&gt;=43</f>
        <v/>
      </c>
      <c r="D713">
        <f>IF(Skills!C18=1,60+Inputs!$B$25+Inputs!$B$29,IF(Skills!C18=2,90+Inputs!$B$26+Inputs!$B$29,IF(Skills!C18=3,120+(Inputs!$B$27+1)+Inputs!$B$29,MAX(0,(Inputs!$B$3-100)*3)+Inputs!$B$28+Inputs!$B$29)))</f>
        <v/>
      </c>
      <c r="E713">
        <f>INDEX(FactorTable!$B$2:$Y$301, MATCH(ROUND(MIN(300,MAX(1,D713)),0), FactorTable!$A$2:$A$301,0), Skills!L18+1)</f>
        <v/>
      </c>
      <c r="F713">
        <f>IF(Skills!M18=TRUE,(Skills!K18/10)*(E713/1000),Skills!K18/10)+Skills!N18</f>
        <v/>
      </c>
      <c r="G713">
        <f>Calc!G18</f>
        <v/>
      </c>
      <c r="H713">
        <f>Calc!H18</f>
        <v/>
      </c>
      <c r="I713">
        <f>IF(Skills!T18&lt;&gt;"",1+(Skills!T18/10)*(Z698/1000)/100,1)</f>
        <v/>
      </c>
      <c r="J713" t="inlineStr"/>
      <c r="K713" t="inlineStr"/>
      <c r="L713" t="inlineStr"/>
      <c r="M713" t="inlineStr"/>
      <c r="N713" t="inlineStr"/>
      <c r="O713">
        <f>(1-Summary!$B$51)*S713+Summary!$B$51*U713</f>
        <v/>
      </c>
      <c r="P713">
        <f>IF(B731=0,0,O713/B731)</f>
        <v/>
      </c>
      <c r="Q713">
        <f>IFERROR(1/IF(Inputs!$B$38="pvp",15,MAX(0.1,Skills!D18-IF(Skills!E18=TRUE,Inputs!$B$32,0))),0)</f>
        <v/>
      </c>
      <c r="R713" t="n">
        <v>0</v>
      </c>
      <c r="S713" t="n">
        <v>0</v>
      </c>
      <c r="U713" t="n">
        <v>0</v>
      </c>
    </row>
    <row r="714">
      <c r="A714">
        <f>Skills!A19</f>
        <v/>
      </c>
      <c r="B714">
        <f>Skills!B19</f>
        <v/>
      </c>
      <c r="C714">
        <f>Inputs!$B$3&gt;=50</f>
        <v/>
      </c>
      <c r="D714">
        <f>IF(Skills!C19=1,60+Inputs!$B$25+Inputs!$B$29,IF(Skills!C19=2,90+Inputs!$B$26+Inputs!$B$29,IF(Skills!C19=3,120+(Inputs!$B$27+1)+Inputs!$B$29,MAX(0,(Inputs!$B$3-100)*3)+Inputs!$B$28+Inputs!$B$29)))</f>
        <v/>
      </c>
      <c r="E714">
        <f>INDEX(FactorTable!$B$2:$Y$301, MATCH(ROUND(MIN(300,MAX(1,D714)),0), FactorTable!$A$2:$A$301,0), Skills!L19+1)</f>
        <v/>
      </c>
      <c r="F714">
        <f>IF(Skills!M19=TRUE,(Skills!K19/10)*(E714/1000),Skills!K19/10)+Skills!N19</f>
        <v/>
      </c>
      <c r="G714">
        <f>Calc!G19</f>
        <v/>
      </c>
      <c r="H714">
        <f>Calc!H19</f>
        <v/>
      </c>
      <c r="I714">
        <f>IF(Skills!T19&lt;&gt;"",1+(Skills!T19/10)*(Z698/1000)/100,1)</f>
        <v/>
      </c>
      <c r="J714" t="inlineStr"/>
      <c r="K714" t="inlineStr"/>
      <c r="L714" t="inlineStr"/>
      <c r="M714" t="inlineStr"/>
      <c r="N714" t="inlineStr"/>
      <c r="O714">
        <f>(1-Summary!$B$51)*S714+Summary!$B$51*U714</f>
        <v/>
      </c>
      <c r="P714">
        <f>IF(B731=0,0,O714/B731)</f>
        <v/>
      </c>
      <c r="Q714">
        <f>IFERROR(1/IF(Inputs!$B$38="pvp",15,MAX(0.1,Skills!D19-IF(Skills!E19=TRUE,Inputs!$B$32,0))),0)</f>
        <v/>
      </c>
      <c r="R714" t="n">
        <v>0</v>
      </c>
      <c r="S714" t="n">
        <v>0</v>
      </c>
      <c r="U714" t="n">
        <v>0</v>
      </c>
    </row>
    <row r="715">
      <c r="A715">
        <f>Skills!A20</f>
        <v/>
      </c>
      <c r="B715">
        <f>Skills!B20</f>
        <v/>
      </c>
      <c r="C715">
        <f>Inputs!$B$3&gt;=74</f>
        <v/>
      </c>
      <c r="D715">
        <f>IF(Skills!C20=1,60+Inputs!$B$25+Inputs!$B$29,IF(Skills!C20=2,90+Inputs!$B$26+Inputs!$B$29,IF(Skills!C20=3,120+(Inputs!$B$27+1)+Inputs!$B$29,MAX(0,(Inputs!$B$3-100)*3)+Inputs!$B$28+Inputs!$B$29)))</f>
        <v/>
      </c>
      <c r="E715">
        <f>INDEX(FactorTable!$B$2:$Y$301, MATCH(ROUND(MIN(300,MAX(1,D715)),0), FactorTable!$A$2:$A$301,0), Skills!L20+1)</f>
        <v/>
      </c>
      <c r="F715">
        <f>IF(Skills!M20=TRUE,(Skills!K20/10)*(E715/1000),Skills!K20/10)+Skills!N20</f>
        <v/>
      </c>
      <c r="G715">
        <f>Calc!G20</f>
        <v/>
      </c>
      <c r="H715">
        <f>Calc!H20</f>
        <v/>
      </c>
      <c r="I715">
        <f>IF(Skills!T20&lt;&gt;"",1+(Skills!T20/10)*(Z698/1000)/100,1)</f>
        <v/>
      </c>
      <c r="J715" t="inlineStr"/>
      <c r="K715" t="inlineStr"/>
      <c r="L715" t="inlineStr"/>
      <c r="M715" t="inlineStr"/>
      <c r="N715" t="inlineStr"/>
      <c r="O715">
        <f>(1-Summary!$B$51)*S715+Summary!$B$51*U715</f>
        <v/>
      </c>
      <c r="P715">
        <f>IF(B731=0,0,O715/B731)</f>
        <v/>
      </c>
      <c r="Q715">
        <f>IFERROR(1/IF(Inputs!$B$38="pvp",15,MAX(0.1,Skills!D20-IF(Skills!E20=TRUE,Inputs!$B$32,0))),0)</f>
        <v/>
      </c>
      <c r="R715" t="n">
        <v>0</v>
      </c>
      <c r="S715" t="n">
        <v>0</v>
      </c>
      <c r="U715" t="n">
        <v>0</v>
      </c>
    </row>
    <row r="716">
      <c r="A716">
        <f>Skills!A21</f>
        <v/>
      </c>
      <c r="B716">
        <f>Skills!B21</f>
        <v/>
      </c>
      <c r="C716">
        <f>Inputs!$B$3&gt;=74</f>
        <v/>
      </c>
      <c r="D716">
        <f>IF(Skills!C21=1,60+Inputs!$B$25+Inputs!$B$29,IF(Skills!C21=2,90+Inputs!$B$26+Inputs!$B$29,IF(Skills!C21=3,120+(Inputs!$B$27+1)+Inputs!$B$29,MAX(0,(Inputs!$B$3-100)*3)+Inputs!$B$28+Inputs!$B$29)))</f>
        <v/>
      </c>
      <c r="E716">
        <f>INDEX(FactorTable!$B$2:$Y$301, MATCH(ROUND(MIN(300,MAX(1,D716)),0), FactorTable!$A$2:$A$301,0), Skills!L21+1)</f>
        <v/>
      </c>
      <c r="F716">
        <f>IF(Skills!M21=TRUE,(Skills!K21/10)*(E716/1000),Skills!K21/10)+Skills!N21</f>
        <v/>
      </c>
      <c r="G716">
        <f>Calc!G21</f>
        <v/>
      </c>
      <c r="H716">
        <f>Calc!H21</f>
        <v/>
      </c>
      <c r="I716">
        <f>IF(Skills!T21&lt;&gt;"",1+(Skills!T21/10)*(Z698/1000)/100,1)</f>
        <v/>
      </c>
      <c r="J716" t="inlineStr"/>
      <c r="K716" t="inlineStr"/>
      <c r="L716" t="inlineStr"/>
      <c r="M716" t="inlineStr"/>
      <c r="N716" t="inlineStr"/>
      <c r="O716">
        <f>(1-Summary!$B$51)*S716+Summary!$B$51*U716</f>
        <v/>
      </c>
      <c r="P716">
        <f>IF(B731=0,0,O716/B731)</f>
        <v/>
      </c>
      <c r="Q716">
        <f>IFERROR(1/IF(Inputs!$B$38="pvp",15,MAX(0.1,Skills!D21-IF(Skills!E21=TRUE,Inputs!$B$32,0))),0)</f>
        <v/>
      </c>
      <c r="R716" t="n">
        <v>0</v>
      </c>
      <c r="S716" t="n">
        <v>0</v>
      </c>
      <c r="U716" t="n">
        <v>0</v>
      </c>
    </row>
    <row r="717">
      <c r="A717">
        <f>Skills!A22</f>
        <v/>
      </c>
      <c r="B717">
        <f>Skills!B22</f>
        <v/>
      </c>
      <c r="C717">
        <f>Inputs!$B$3&gt;=117</f>
        <v/>
      </c>
      <c r="D717">
        <f>IF(Skills!C22=1,60+Inputs!$B$25+Inputs!$B$29,IF(Skills!C22=2,90+Inputs!$B$26+Inputs!$B$29,IF(Skills!C22=3,120+(Inputs!$B$27+1)+Inputs!$B$29,MAX(0,(Inputs!$B$3-100)*3)+Inputs!$B$28+Inputs!$B$29)))</f>
        <v/>
      </c>
      <c r="E717">
        <f>INDEX(FactorTable!$B$2:$Y$301, MATCH(ROUND(MIN(300,MAX(1,D717)),0), FactorTable!$A$2:$A$301,0), Skills!L22+1)</f>
        <v/>
      </c>
      <c r="F717">
        <f>IF(Skills!M22=TRUE,(Skills!K22/10)*(E717/1000),Skills!K22/10)+Skills!N22</f>
        <v/>
      </c>
      <c r="G717">
        <f>Calc!G22</f>
        <v/>
      </c>
      <c r="H717">
        <f>Calc!H22</f>
        <v/>
      </c>
      <c r="I717">
        <f>IF(Skills!T22&lt;&gt;"",1+(Skills!T22/10)*(Z698/1000)/100,1)</f>
        <v/>
      </c>
      <c r="J717" t="inlineStr"/>
      <c r="K717" t="inlineStr"/>
      <c r="L717" t="inlineStr"/>
      <c r="M717" t="inlineStr"/>
      <c r="N717" t="inlineStr"/>
      <c r="O717">
        <f>(1-Summary!$B$51)*S717+Summary!$B$51*U717</f>
        <v/>
      </c>
      <c r="P717">
        <f>IF(B731=0,0,O717/B731)</f>
        <v/>
      </c>
      <c r="Q717">
        <f>IFERROR(1/IF(Inputs!$B$38="pvp",15,MAX(0.1,Skills!D22-IF(Skills!E22=TRUE,Inputs!$B$32,0))),0)</f>
        <v/>
      </c>
      <c r="R717" t="n">
        <v>0</v>
      </c>
      <c r="S717" t="n">
        <v>0</v>
      </c>
      <c r="U717" t="n">
        <v>0</v>
      </c>
    </row>
    <row r="718">
      <c r="A718">
        <f>Skills!A23</f>
        <v/>
      </c>
      <c r="B718">
        <f>Skills!B23</f>
        <v/>
      </c>
      <c r="C718">
        <f>Inputs!$B$3&gt;=120</f>
        <v/>
      </c>
      <c r="D718">
        <f>IF(Skills!C23=1,60+Inputs!$B$25+Inputs!$B$29,IF(Skills!C23=2,90+Inputs!$B$26+Inputs!$B$29,IF(Skills!C23=3,120+(Inputs!$B$27+1)+Inputs!$B$29,MAX(0,(Inputs!$B$3-100)*3)+Inputs!$B$28+Inputs!$B$29)))</f>
        <v/>
      </c>
      <c r="E718">
        <f>INDEX(FactorTable!$B$2:$Y$301, MATCH(ROUND(MIN(300,MAX(1,D718)),0), FactorTable!$A$2:$A$301,0), Skills!L23+1)</f>
        <v/>
      </c>
      <c r="F718">
        <f>IF(Skills!M23=TRUE,(Skills!K23/10)*(E718/1000),Skills!K23/10)+Skills!N23</f>
        <v/>
      </c>
      <c r="G718">
        <f>Calc!G23</f>
        <v/>
      </c>
      <c r="H718">
        <f>Calc!H23</f>
        <v/>
      </c>
      <c r="I718">
        <f>IF(Skills!T23&lt;&gt;"",1+(Skills!T23/10)*(Z698/1000)/100,1)</f>
        <v/>
      </c>
      <c r="J718" t="inlineStr"/>
      <c r="K718" t="inlineStr"/>
      <c r="L718" t="inlineStr"/>
      <c r="M718" t="inlineStr"/>
      <c r="N718" t="inlineStr"/>
      <c r="O718">
        <f>(1-Summary!$B$51)*S718+Summary!$B$51*U718</f>
        <v/>
      </c>
      <c r="P718">
        <f>IF(B731=0,0,O718/B731)</f>
        <v/>
      </c>
      <c r="Q718">
        <f>IFERROR(1/IF(Inputs!$B$38="pvp",15,MAX(0.1,Skills!D23-IF(Skills!E23=TRUE,Inputs!$B$32,0))),0)</f>
        <v/>
      </c>
      <c r="R718" t="n">
        <v>0</v>
      </c>
      <c r="S718" t="n">
        <v>0</v>
      </c>
      <c r="U718" t="n">
        <v>0</v>
      </c>
    </row>
    <row r="721">
      <c r="A721" t="inlineStr">
        <is>
          <t>Average Buff Multiplier (Magic Guard + Meditation, summed; then Infinity)</t>
        </is>
      </c>
      <c r="B721">
        <f>(1+(IF(C698=TRUE,F698*IF(AND(Inputs!$B$38&lt;&gt;"pvp",Inputs!$B$43&gt;0),(((R698-1)*(Skills!S3*(1+(Inputs!$B$34+IF(Inputs!$B$3&gt;=117,F717,0))/100))+MIN((Skills!S3*(1+(Inputs!$B$34+IF(Inputs!$B$3&gt;=117,F717,0))/100)),MAX(0,Inputs!$B$43-((R698-1)*Skills!D3))))/Inputs!$B$43),IF(Inputs!$B$38="pvp",MIN((Skills!S3*(1+(Inputs!$B$34+IF(Inputs!$B$3&gt;=117,F717,0))/100)),15)/15,(Skills!S3*(1+(Inputs!$B$34+IF(Inputs!$B$3&gt;=117,F717,0))/100))/Skills!D3)),0)+IF(C699=TRUE,F699*IF(AND(Inputs!$B$38&lt;&gt;"pvp",Inputs!$B$43&gt;0),(((R699-1)*(Skills!S4*(1+(Inputs!$B$34+IF(Inputs!$B$3&gt;=117,F717,0))/100))+MIN((Skills!S4*(1+(Inputs!$B$34+IF(Inputs!$B$3&gt;=117,F717,0))/100)),MAX(0,Inputs!$B$43-((R699-1)*Skills!D4))))/Inputs!$B$43),IF(Inputs!$B$38="pvp",MIN((Skills!S4*(1+(Inputs!$B$34+IF(Inputs!$B$3&gt;=117,F717,0))/100)),15)/15,(Skills!S4*(1+(Inputs!$B$34+IF(Inputs!$B$3&gt;=117,F717,0))/100))/Skills!D4)),0))/100)*IF(C711=TRUE,(1+F711*IF(AND(Inputs!$B$38&lt;&gt;"pvp",Inputs!$B$43&gt;0),(((R711-1)*(Skills!S16*(1+(Inputs!$B$34+IF(Inputs!$B$3&gt;=117,F717,0))/100))+MIN((Skills!S16*(1+(Inputs!$B$34+IF(Inputs!$B$3&gt;=117,F717,0))/100)),MAX(0,Inputs!$B$43-((R711-1)*Skills!D16))))/Inputs!$B$43),IF(Inputs!$B$38="pvp",MIN((Skills!S16*(1+(Inputs!$B$34+IF(Inputs!$B$3&gt;=117,F717,0))/100)),15)/15,(Skills!S16*(1+(Inputs!$B$34+IF(Inputs!$B$3&gt;=117,F717,0))/100))/Skills!D16))/100),1)</f>
        <v/>
      </c>
    </row>
    <row r="722">
      <c r="A722" t="inlineStr">
        <is>
          <t>Monster Damage Taken Bonus % (Freezing Breath - Weaken + Elemental Reset, summed)</t>
        </is>
      </c>
      <c r="B722">
        <f>IF(Inputs!$B$3&gt;=118,15*IF(Inputs!$B$38="pvp",MIN((30*(1+(Inputs!$B$34+IF(Inputs!$B$3&gt;=117,F717,0))/100)),15)/15,(30*(1+(Inputs!$B$34+IF(Inputs!$B$3&gt;=117,F717,0))/100))/Skills!D8),0)+IF(C709=TRUE,F709,0)</f>
        <v/>
      </c>
    </row>
    <row r="723">
      <c r="A723" t="inlineStr">
        <is>
          <t>Damage % Bonus (Frozen Break + Frost Clutch, flat)</t>
        </is>
      </c>
      <c r="B723">
        <f>IF(Inputs!$B$3&gt;=66,15,0)+IF(Inputs!$B$3&gt;=98,10,0)+IF(Inputs!$B$3&gt;=125,20,0)</f>
        <v/>
      </c>
    </row>
    <row r="724">
      <c r="A724" t="inlineStr">
        <is>
          <t>Attack Speed Bonus % (MP Eater - MP Boost, always-on once unlocked)</t>
        </is>
      </c>
      <c r="B724">
        <f>IF(C708=TRUE,F708+(F712-Calc!F17),0)</f>
        <v/>
      </c>
    </row>
    <row r="725">
      <c r="A725" t="inlineStr">
        <is>
          <t>Actions Per Second</t>
        </is>
      </c>
      <c r="B725">
        <f>1+MIN(150,150*(1-(1-Inputs!$B$11/150)*(1-B724/150)))/100</f>
        <v/>
      </c>
    </row>
    <row r="726">
      <c r="A726" t="inlineStr">
        <is>
          <t>Skill + Buff Cast Rate</t>
        </is>
      </c>
      <c r="B726">
        <f>IF(AND(Inputs!$B$38&lt;&gt;"pvp",Inputs!$B$43&gt;0),SUMPRODUCT((Skills!E2:E23=TRUE)*(C697:C718=TRUE)*R697:R718)/Inputs!$B$43,SUMPRODUCT((Skills!E2:E23=TRUE)*(C697:C718=TRUE)*Q697:Q718))</f>
        <v/>
      </c>
    </row>
    <row r="727">
      <c r="A727" t="inlineStr">
        <is>
          <t>Chain Lightning Casts Per Second</t>
        </is>
      </c>
      <c r="B727">
        <f>MAX(0,B725-B726)</f>
        <v/>
      </c>
    </row>
    <row r="728">
      <c r="A728" t="inlineStr">
        <is>
          <t>Buff-Casting Startup Delay (s, fixed-duration only)</t>
        </is>
      </c>
      <c r="B728">
        <f>IF(AND(Inputs!$B$38&lt;&gt;"pvp",Inputs!$B$43&gt;0),SUMPRODUCT((Skills!S2:S23&gt;0)*(Skills!E2:E23=TRUE)*(C697:C718=TRUE))/B725,0)</f>
        <v/>
      </c>
    </row>
    <row r="729">
      <c r="A729" t="inlineStr">
        <is>
          <t>Boss-Only Total DPS (this block's swept value)</t>
        </is>
      </c>
      <c r="B729">
        <f>SUM(S697:S718)</f>
        <v/>
      </c>
    </row>
    <row r="730">
      <c r="A730" t="inlineStr">
        <is>
          <t>Normal-Only Total DPS (this block's swept value)</t>
        </is>
      </c>
      <c r="B730">
        <f>SUM(U697:U718)</f>
        <v/>
      </c>
    </row>
    <row r="731">
      <c r="A731" s="5" t="inlineStr">
        <is>
          <t>TOTAL DPS</t>
        </is>
      </c>
      <c r="B731" s="5">
        <f>SUM(O697:O718)</f>
        <v/>
      </c>
    </row>
    <row r="734">
      <c r="A734" s="5" t="inlineStr">
        <is>
          <t>Stat: Skill Level Bonus — 4th Job</t>
        </is>
      </c>
    </row>
    <row r="735">
      <c r="A735" s="9" t="inlineStr">
        <is>
          <t>Key</t>
        </is>
      </c>
      <c r="B735" s="9" t="inlineStr">
        <is>
          <t>Name</t>
        </is>
      </c>
      <c r="C735" s="9" t="inlineStr">
        <is>
          <t>Unlocked</t>
        </is>
      </c>
      <c r="D735" s="9" t="inlineStr">
        <is>
          <t>InputLevel</t>
        </is>
      </c>
      <c r="E735" s="9" t="inlineStr">
        <is>
          <t>Factor</t>
        </is>
      </c>
      <c r="F735" s="9" t="inlineStr">
        <is>
          <t>CoefficientPercent</t>
        </is>
      </c>
      <c r="G735" s="9" t="inlineStr">
        <is>
          <t>EffectiveHits</t>
        </is>
      </c>
      <c r="H735" s="9" t="inlineStr">
        <is>
          <t>ProcProbability</t>
        </is>
      </c>
      <c r="I735" s="9" t="inlineStr">
        <is>
          <t>MapleHeroMultiplier</t>
        </is>
      </c>
      <c r="J735" s="9" t="inlineStr">
        <is>
          <t>BaseDamage</t>
        </is>
      </c>
      <c r="K735" s="9" t="inlineStr">
        <is>
          <t>BaseHitDamage</t>
        </is>
      </c>
      <c r="L735" s="9" t="inlineStr">
        <is>
          <t>NonCritAvg</t>
        </is>
      </c>
      <c r="M735" s="9" t="inlineStr">
        <is>
          <t>CritAvg</t>
        </is>
      </c>
      <c r="N735" s="9" t="inlineStr">
        <is>
          <t>ExpectedDamage(perHit)</t>
        </is>
      </c>
      <c r="O735" s="9" t="inlineStr">
        <is>
          <t>DPS</t>
        </is>
      </c>
      <c r="P735" s="9" t="inlineStr">
        <is>
          <t>% of Total</t>
        </is>
      </c>
      <c r="R735" t="inlineStr">
        <is>
          <t>helpers</t>
        </is>
      </c>
    </row>
    <row r="736">
      <c r="A736">
        <f>Skills!A2</f>
        <v/>
      </c>
      <c r="B736">
        <f>Skills!B2</f>
        <v/>
      </c>
      <c r="C736">
        <f>Inputs!$B$3&gt;=100</f>
        <v/>
      </c>
      <c r="D736" t="inlineStr"/>
      <c r="E736" t="inlineStr"/>
      <c r="F736">
        <f>T738+Skills!N2</f>
        <v/>
      </c>
      <c r="G736">
        <f>Calc!G2</f>
        <v/>
      </c>
      <c r="H736">
        <f>Calc!H2</f>
        <v/>
      </c>
      <c r="I736">
        <f>IF(Skills!T2&lt;&gt;"",1+(Skills!T2/10)*(Z737/1000)/100,1)</f>
        <v/>
      </c>
      <c r="J736">
        <f>((Inputs!$B$6*(1+Inputs!$B$7/100))+(((Inputs!$B$12*(1+Inputs!$B$13/100))-(Inputs!$B$12*(1+Inputs!$B$13/100)))+0.25*(Inputs!$B$14-Inputs!$B$14))*(1+Inputs!$B$7/100))*(F736/100)</f>
        <v/>
      </c>
      <c r="K736">
        <f>J736*(1+((Inputs!$B$12*(1+Inputs!$B$13/100))*0.01+Inputs!$B$14*0.0025)/100)*(1+(Inputs!$B$15+B762)/100)*(1+Inputs!$B$16/100)*(5000/(6000+Inputs!$B$42*(1-Inputs!$B$19/100)))*(1+Inputs!$B$24/100)*(1+IF(C749=TRUE,F749,0)/100)*(1+IF(C757=TRUE,F757,0)/100)^5*(1+(IF(Skills!A2="CHAIN_LIGHTNING",Inputs!$B$17,Inputs!$B$18))/100)*(B760*I736)</f>
        <v/>
      </c>
      <c r="L736">
        <f>K736*(MIN(Inputs!$B$22+(F752-Calc!F18),Inputs!$B$23)/100+Inputs!$B$23/100)/2</f>
        <v/>
      </c>
      <c r="M736">
        <f>L736*(1+(Inputs!$B$10+(F755-Calc!F21))/100)</f>
        <v/>
      </c>
      <c r="N736">
        <f>L736*(1-MIN(Inputs!$B$9+((F754-Calc!F20)+(F753-Calc!F19)),100)/100)+M736*(MIN(Inputs!$B$9+((F754-Calc!F20)+(F753-Calc!F19)),100)/100)</f>
        <v/>
      </c>
      <c r="O736">
        <f>(1-Summary!$B$51)*S736+Summary!$B$51*U736</f>
        <v/>
      </c>
      <c r="P736">
        <f>IF(B770=0,0,O736/B770)</f>
        <v/>
      </c>
      <c r="Q736">
        <f>IFERROR(1/IF(Inputs!$B$38="pvp",15,MAX(0.1,Skills!D2-IF(Skills!E2=TRUE,Inputs!$B$32,0))),0)</f>
        <v/>
      </c>
      <c r="R736" t="n">
        <v>0</v>
      </c>
      <c r="S736">
        <f>IF(C736,(Skills!F2*N736*B766)*IF(Inputs!$B$38="pvp",1,1+(Inputs!$B$20+Skills!O2+B761)/100),0)</f>
        <v/>
      </c>
      <c r="T736">
        <f>MAX(0,(Inputs!$B$3-100)*3)+(Inputs!$B$28+1)+Inputs!$B$29</f>
        <v/>
      </c>
      <c r="U736">
        <f>IF(C736,(Skills!F2*N736*B766)*IF(Inputs!$B$38="pvp",1,(1+(Inputs!$B$21+Skills!P2+B761)/100)*(MIN((6+Inputs!$B$33),Inputs!$B$37))),0)</f>
        <v/>
      </c>
      <c r="Z736">
        <f>MAX(0,(Inputs!$B$3-100)*3)+(Inputs!$B$28+1)+Inputs!$B$29</f>
        <v/>
      </c>
    </row>
    <row r="737">
      <c r="A737">
        <f>Skills!A3</f>
        <v/>
      </c>
      <c r="B737">
        <f>Skills!B3</f>
        <v/>
      </c>
      <c r="C737">
        <f>Inputs!$B$3&gt;=15</f>
        <v/>
      </c>
      <c r="D737">
        <f>IF(Skills!C3=1,60+Inputs!$B$25+Inputs!$B$29,IF(Skills!C3=2,90+Inputs!$B$26+Inputs!$B$29,IF(Skills!C3=3,120+Inputs!$B$27+Inputs!$B$29,MAX(0,(Inputs!$B$3-100)*3)+(Inputs!$B$28+1)+Inputs!$B$29)))</f>
        <v/>
      </c>
      <c r="E737">
        <f>INDEX(FactorTable!$B$2:$Y$301, MATCH(ROUND(MIN(300,MAX(1,D737)),0), FactorTable!$A$2:$A$301,0), Skills!L3+1)</f>
        <v/>
      </c>
      <c r="F737">
        <f>IF(Skills!M3=TRUE,(Skills!K3/10)*(E737/1000),Skills!K3/10)+Skills!N3</f>
        <v/>
      </c>
      <c r="G737">
        <f>Calc!G3</f>
        <v/>
      </c>
      <c r="H737">
        <f>Calc!H3</f>
        <v/>
      </c>
      <c r="I737">
        <f>IF(Skills!T3&lt;&gt;"",1+(Skills!T3/10)*(Z737/1000)/100,1)</f>
        <v/>
      </c>
      <c r="J737" t="inlineStr"/>
      <c r="K737" t="inlineStr"/>
      <c r="L737" t="inlineStr"/>
      <c r="M737" t="inlineStr"/>
      <c r="N737" t="inlineStr"/>
      <c r="O737">
        <f>(1-Summary!$B$51)*S737+Summary!$B$51*U737</f>
        <v/>
      </c>
      <c r="P737">
        <f>IF(B770=0,0,O737/B770)</f>
        <v/>
      </c>
      <c r="Q737">
        <f>IFERROR(1/IF(Inputs!$B$38="pvp",15,MAX(0.1,Skills!D3-IF(Skills!E3=TRUE,Inputs!$B$32,0))),0)</f>
        <v/>
      </c>
      <c r="R737">
        <f>IF(AND(Inputs!$B$38&lt;&gt;"pvp",Inputs!$B$43&gt;0),IF(Inputs!$B$43&lt;=0,0,(INT(Inputs!$B$43/IF(Inputs!$B$38="pvp",15,MAX(0.1,Skills!D3-IF(Skills!E3=TRUE,Inputs!$B$32,0))))+1)),0)</f>
        <v/>
      </c>
      <c r="S737" t="n">
        <v>0</v>
      </c>
      <c r="T737">
        <f>INDEX(FactorTable!$B$2:$Y$301, MATCH(ROUND(MIN(300,MAX(1,T736)),0), FactorTable!$A$2:$A$301,0), 22)</f>
        <v/>
      </c>
      <c r="U737" t="n">
        <v>0</v>
      </c>
      <c r="Z737">
        <f>INDEX(FactorTable!$B$2:$Y$301, MATCH(ROUND(MIN(300,MAX(1,Z736)),0), FactorTable!$A$2:$A$301,0), 24)</f>
        <v/>
      </c>
    </row>
    <row r="738">
      <c r="A738">
        <f>Skills!A4</f>
        <v/>
      </c>
      <c r="B738">
        <f>Skills!B4</f>
        <v/>
      </c>
      <c r="C738">
        <f>Inputs!$B$3&gt;=40</f>
        <v/>
      </c>
      <c r="D738">
        <f>IF(Skills!C4=1,60+Inputs!$B$25+Inputs!$B$29,IF(Skills!C4=2,90+Inputs!$B$26+Inputs!$B$29,IF(Skills!C4=3,120+Inputs!$B$27+Inputs!$B$29,MAX(0,(Inputs!$B$3-100)*3)+(Inputs!$B$28+1)+Inputs!$B$29)))</f>
        <v/>
      </c>
      <c r="E738">
        <f>INDEX(FactorTable!$B$2:$Y$301, MATCH(ROUND(MIN(300,MAX(1,D738)),0), FactorTable!$A$2:$A$301,0), Skills!L4+1)</f>
        <v/>
      </c>
      <c r="F738">
        <f>IF(Skills!M4=TRUE,(Skills!K4/10)*(E738/1000),Skills!K4/10)+Skills!N4</f>
        <v/>
      </c>
      <c r="G738">
        <f>Calc!G4</f>
        <v/>
      </c>
      <c r="H738">
        <f>Calc!H4</f>
        <v/>
      </c>
      <c r="I738">
        <f>IF(Skills!T4&lt;&gt;"",1+(Skills!T4/10)*(Z737/1000)/100,1)</f>
        <v/>
      </c>
      <c r="J738" t="inlineStr"/>
      <c r="K738" t="inlineStr"/>
      <c r="L738" t="inlineStr"/>
      <c r="M738" t="inlineStr"/>
      <c r="N738" t="inlineStr"/>
      <c r="O738">
        <f>(1-Summary!$B$51)*S738+Summary!$B$51*U738</f>
        <v/>
      </c>
      <c r="P738">
        <f>IF(B770=0,0,O738/B770)</f>
        <v/>
      </c>
      <c r="Q738">
        <f>IFERROR(1/IF(Inputs!$B$38="pvp",15,MAX(0.1,Skills!D4-IF(Skills!E4=TRUE,Inputs!$B$32,0))),0)</f>
        <v/>
      </c>
      <c r="R738">
        <f>IF(AND(Inputs!$B$38&lt;&gt;"pvp",Inputs!$B$43&gt;0),IF(Inputs!$B$43&lt;=0,0,(INT(Inputs!$B$43/IF(Inputs!$B$38="pvp",15,MAX(0.1,Skills!D4-IF(Skills!E4=TRUE,Inputs!$B$32,0))))+1)),0)</f>
        <v/>
      </c>
      <c r="S738" t="n">
        <v>0</v>
      </c>
      <c r="T738">
        <f>290*T737/1000</f>
        <v/>
      </c>
      <c r="U738" t="n">
        <v>0</v>
      </c>
    </row>
    <row r="739">
      <c r="A739">
        <f>Skills!A5</f>
        <v/>
      </c>
      <c r="B739">
        <f>Skills!B5</f>
        <v/>
      </c>
      <c r="C739">
        <f>Inputs!$B$3&gt;=38</f>
        <v/>
      </c>
      <c r="D739">
        <f>IF(Skills!C5=1,60+Inputs!$B$25+Inputs!$B$29,IF(Skills!C5=2,90+Inputs!$B$26+Inputs!$B$29,IF(Skills!C5=3,120+Inputs!$B$27+Inputs!$B$29,MAX(0,(Inputs!$B$3-100)*3)+(Inputs!$B$28+1)+Inputs!$B$29)))</f>
        <v/>
      </c>
      <c r="E739">
        <f>INDEX(FactorTable!$B$2:$Y$301, MATCH(ROUND(MIN(300,MAX(1,D739)),0), FactorTable!$A$2:$A$301,0), Skills!L5+1)</f>
        <v/>
      </c>
      <c r="F739">
        <f>IF(Skills!M5=TRUE,(Skills!K5/10)*(E739/1000),Skills!K5/10)+Skills!N5</f>
        <v/>
      </c>
      <c r="G739">
        <f>Calc!G5</f>
        <v/>
      </c>
      <c r="H739">
        <f>Calc!H5</f>
        <v/>
      </c>
      <c r="I739">
        <f>IF(Skills!T5&lt;&gt;"",1+(Skills!T5/10)*(Z737/1000)/100,1)</f>
        <v/>
      </c>
      <c r="J739">
        <f>((Inputs!$B$6*(1+Inputs!$B$7/100))+(((Inputs!$B$12*(1+Inputs!$B$13/100))-(Inputs!$B$12*(1+Inputs!$B$13/100)))+0.25*(Inputs!$B$14-Inputs!$B$14))*(1+Inputs!$B$7/100))*(F739/100)</f>
        <v/>
      </c>
      <c r="K739">
        <f>J739*(1+((Inputs!$B$12*(1+Inputs!$B$13/100))*0.01+Inputs!$B$14*0.0025)/100)*(1+(Inputs!$B$15+B762)/100)*(1+Inputs!$B$16/100)*(5000/(6000+Inputs!$B$42*(1-Inputs!$B$19/100)))*(1+Inputs!$B$24/100)*(1+IF(C749=TRUE,F749,0)/100)*(1+IF(C757=TRUE,F757,0)/100)^5*(1+(IF(Skills!A5="CHAIN_LIGHTNING",Inputs!$B$17,Inputs!$B$18))/100)*(B760*I739)</f>
        <v/>
      </c>
      <c r="L739">
        <f>K739*(MIN(Inputs!$B$22+(F752-Calc!F18),Inputs!$B$23)/100+Inputs!$B$23/100)/2</f>
        <v/>
      </c>
      <c r="M739">
        <f>L739*(1+(Inputs!$B$10+(F755-Calc!F21))/100)</f>
        <v/>
      </c>
      <c r="N739">
        <f>L739*(1-MIN(Inputs!$B$9+((F754-Calc!F20)+(F753-Calc!F19)),100)/100)+M739*(MIN(Inputs!$B$9+((F754-Calc!F20)+(F753-Calc!F19)),100)/100)</f>
        <v/>
      </c>
      <c r="O739">
        <f>(1-Summary!$B$51)*S739+Summary!$B$51*U739</f>
        <v/>
      </c>
      <c r="P739">
        <f>IF(B770=0,0,O739/B770)</f>
        <v/>
      </c>
      <c r="Q739">
        <f>IFERROR(1/IF(Inputs!$B$38="pvp",15,MAX(0.1,Skills!D5-IF(Skills!E5=TRUE,Inputs!$B$32,0))),0)</f>
        <v/>
      </c>
      <c r="R739">
        <f>IF(AND(Inputs!$B$38&lt;&gt;"pvp",Inputs!$B$43&gt;0),IF(MAX(0,Inputs!$B$43-B767)&lt;=0,0,(INT(MAX(0,Inputs!$B$43-B767)/IF(Inputs!$B$38="pvp",15,MAX(0.1,Skills!D5-IF(Skills!E5=TRUE,Inputs!$B$32,0))))+1)),0)</f>
        <v/>
      </c>
      <c r="S739">
        <f>IF(C739,(H739*N739*IF(AND(Inputs!$B$38&lt;&gt;"pvp",Inputs!$B$43&gt;0),((Skills!F5*((R739-1)*IF(Skills!G5&gt;0,Skills!H5/Skills!G5,1)+IF(Skills!G5&gt;0,MIN(Skills!H5,MAX(0,MAX(0,Inputs!$B$43-B767)-((R739-1)*IF(Inputs!$B$38="pvp",15,MAX(0.1,Skills!D5-IF(Skills!E5=TRUE,Inputs!$B$32,0))))))/Skills!G5,1)))/Inputs!$B$43),G739*Q739))*IF(Inputs!$B$38="pvp",1,1+(Inputs!$B$20+Skills!O5+B761)/100),0)</f>
        <v/>
      </c>
      <c r="U739">
        <f>IF(C739,(H739*N739*IF(AND(Inputs!$B$38&lt;&gt;"pvp",Inputs!$B$43&gt;0),((Skills!F5*((R739-1)*IF(Skills!G5&gt;0,Skills!H5/Skills!G5,1)+IF(Skills!G5&gt;0,MIN(Skills!H5,MAX(0,MAX(0,Inputs!$B$43-B767)-((R739-1)*IF(Inputs!$B$38="pvp",15,MAX(0.1,Skills!D5-IF(Skills!E5=TRUE,Inputs!$B$32,0))))))/Skills!G5,1)))/Inputs!$B$43),G739*Q739))*IF(Inputs!$B$38="pvp",1,(1+(Inputs!$B$21+Skills!P5+B761)/100)*(MIN(Skills!Q5,Inputs!$B$37))),0)</f>
        <v/>
      </c>
    </row>
    <row r="740">
      <c r="A740">
        <f>Skills!A6</f>
        <v/>
      </c>
      <c r="B740">
        <f>Skills!B6</f>
        <v/>
      </c>
      <c r="C740">
        <f>Inputs!$B$3&gt;=63</f>
        <v/>
      </c>
      <c r="D740">
        <f>IF(Skills!C6=1,60+Inputs!$B$25+Inputs!$B$29,IF(Skills!C6=2,90+Inputs!$B$26+Inputs!$B$29,IF(Skills!C6=3,120+Inputs!$B$27+Inputs!$B$29,MAX(0,(Inputs!$B$3-100)*3)+(Inputs!$B$28+1)+Inputs!$B$29)))</f>
        <v/>
      </c>
      <c r="E740">
        <f>INDEX(FactorTable!$B$2:$Y$301, MATCH(ROUND(MIN(300,MAX(1,D740)),0), FactorTable!$A$2:$A$301,0), Skills!L6+1)</f>
        <v/>
      </c>
      <c r="F740">
        <f>IF(Skills!M6=TRUE,(Skills!K6/10)*(E740/1000),Skills!K6/10)+Skills!N6</f>
        <v/>
      </c>
      <c r="G740">
        <f>Calc!G6</f>
        <v/>
      </c>
      <c r="H740">
        <f>Calc!H6</f>
        <v/>
      </c>
      <c r="I740">
        <f>IF(Skills!T6&lt;&gt;"",1+(Skills!T6/10)*(Z737/1000)/100,1)</f>
        <v/>
      </c>
      <c r="J740">
        <f>((Inputs!$B$6*(1+Inputs!$B$7/100))+(((Inputs!$B$12*(1+Inputs!$B$13/100))-(Inputs!$B$12*(1+Inputs!$B$13/100)))+0.25*(Inputs!$B$14-Inputs!$B$14))*(1+Inputs!$B$7/100))*(F740/100)</f>
        <v/>
      </c>
      <c r="K740">
        <f>J740*(1+((Inputs!$B$12*(1+Inputs!$B$13/100))*0.01+Inputs!$B$14*0.0025)/100)*(1+(Inputs!$B$15+B762)/100)*(1+Inputs!$B$16/100)*(5000/(6000+Inputs!$B$42*(1-Inputs!$B$19/100)))*(1+Inputs!$B$24/100)*(1+IF(C749=TRUE,F749,0)/100)*(1+IF(C757=TRUE,F757,0)/100)^5*(1+(IF(Skills!A6="CHAIN_LIGHTNING",Inputs!$B$17,Inputs!$B$18))/100)*(B760*I740)</f>
        <v/>
      </c>
      <c r="L740">
        <f>K740*(MIN(Inputs!$B$22+(F752-Calc!F18),Inputs!$B$23)/100+Inputs!$B$23/100)/2</f>
        <v/>
      </c>
      <c r="M740">
        <f>L740*(1+(Inputs!$B$10+(F755-Calc!F21))/100)</f>
        <v/>
      </c>
      <c r="N740">
        <f>L740*(1-MIN(Inputs!$B$9+((F754-Calc!F20)+(F753-Calc!F19)),100)/100)+M740*(MIN(Inputs!$B$9+((F754-Calc!F20)+(F753-Calc!F19)),100)/100)</f>
        <v/>
      </c>
      <c r="O740">
        <f>(1-Summary!$B$51)*S740+Summary!$B$51*U740</f>
        <v/>
      </c>
      <c r="P740">
        <f>IF(B770=0,0,O740/B770)</f>
        <v/>
      </c>
      <c r="Q740">
        <f>IFERROR(1/IF(Inputs!$B$38="pvp",15,MAX(0.1,Skills!D6-IF(Skills!E6=TRUE,Inputs!$B$32,0))),0)</f>
        <v/>
      </c>
      <c r="R740">
        <f>IF(AND(Inputs!$B$38&lt;&gt;"pvp",Inputs!$B$43&gt;0),IF(MAX(0,Inputs!$B$43-B767)&lt;=0,0,(INT(MAX(0,Inputs!$B$43-B767)/IF(Inputs!$B$38="pvp",15,MAX(0.1,Skills!D6-IF(Skills!E6=TRUE,Inputs!$B$32,0))))+1)),0)</f>
        <v/>
      </c>
      <c r="S740">
        <f>IF(C740,(H740*N740*IF(AND(Inputs!$B$38&lt;&gt;"pvp",Inputs!$B$43&gt;0),((Skills!F6*((R740-1)*IF(Skills!G6&gt;0,Skills!H6/Skills!G6,1)+IF(Skills!G6&gt;0,MIN(Skills!H6,MAX(0,MAX(0,Inputs!$B$43-B767)-((R740-1)*IF(Inputs!$B$38="pvp",15,MAX(0.1,Skills!D6-IF(Skills!E6=TRUE,Inputs!$B$32,0))))))/Skills!G6,1)))/Inputs!$B$43),G740*Q740))*IF(Inputs!$B$38="pvp",1,1+(Inputs!$B$20+Skills!O6+B761)/100),0)</f>
        <v/>
      </c>
      <c r="U740">
        <f>IF(C740,(H740*N740*IF(AND(Inputs!$B$38&lt;&gt;"pvp",Inputs!$B$43&gt;0),((Skills!F6*((R740-1)*IF(Skills!G6&gt;0,Skills!H6/Skills!G6,1)+IF(Skills!G6&gt;0,MIN(Skills!H6,MAX(0,MAX(0,Inputs!$B$43-B767)-((R740-1)*IF(Inputs!$B$38="pvp",15,MAX(0.1,Skills!D6-IF(Skills!E6=TRUE,Inputs!$B$32,0))))))/Skills!G6,1)))/Inputs!$B$43),G740*Q740))*IF(Inputs!$B$38="pvp",1,(1+(Inputs!$B$21+Skills!P6+B761)/100)*(MIN(Skills!Q6,Inputs!$B$37))),0)</f>
        <v/>
      </c>
    </row>
    <row r="741">
      <c r="A741">
        <f>Skills!A7</f>
        <v/>
      </c>
      <c r="B741">
        <f>Skills!B7</f>
        <v/>
      </c>
      <c r="C741">
        <f>Inputs!$B$3&gt;=69</f>
        <v/>
      </c>
      <c r="D741">
        <f>IF(Skills!C7=1,60+Inputs!$B$25+Inputs!$B$29,IF(Skills!C7=2,90+Inputs!$B$26+Inputs!$B$29,IF(Skills!C7=3,120+Inputs!$B$27+Inputs!$B$29,MAX(0,(Inputs!$B$3-100)*3)+(Inputs!$B$28+1)+Inputs!$B$29)))</f>
        <v/>
      </c>
      <c r="E741">
        <f>INDEX(FactorTable!$B$2:$Y$301, MATCH(ROUND(MIN(300,MAX(1,D741)),0), FactorTable!$A$2:$A$301,0), Skills!L7+1)</f>
        <v/>
      </c>
      <c r="F741">
        <f>IF(Skills!M7=TRUE,(Skills!K7/10)*(E741/1000),Skills!K7/10)+Skills!N7</f>
        <v/>
      </c>
      <c r="G741">
        <f>Calc!G7</f>
        <v/>
      </c>
      <c r="H741">
        <f>Calc!H7</f>
        <v/>
      </c>
      <c r="I741">
        <f>IF(Skills!T7&lt;&gt;"",1+(Skills!T7/10)*(Z737/1000)/100,1)</f>
        <v/>
      </c>
      <c r="J741">
        <f>((Inputs!$B$6*(1+Inputs!$B$7/100))+(((Inputs!$B$12*(1+Inputs!$B$13/100))-(Inputs!$B$12*(1+Inputs!$B$13/100)))+0.25*(Inputs!$B$14-Inputs!$B$14))*(1+Inputs!$B$7/100))*(F741/100)</f>
        <v/>
      </c>
      <c r="K741">
        <f>J741*(1+((Inputs!$B$12*(1+Inputs!$B$13/100))*0.01+Inputs!$B$14*0.0025)/100)*(1+(Inputs!$B$15+B762)/100)*(1+Inputs!$B$16/100)*(5000/(6000+Inputs!$B$42*(1-Inputs!$B$19/100)))*(1+Inputs!$B$24/100)*(1+IF(C749=TRUE,F749,0)/100)*(1+IF(C757=TRUE,F757,0)/100)^5*(1+(IF(Skills!A7="CHAIN_LIGHTNING",Inputs!$B$17,Inputs!$B$18))/100)*(B760*I741)</f>
        <v/>
      </c>
      <c r="L741">
        <f>K741*(MIN(Inputs!$B$22+(F752-Calc!F18),Inputs!$B$23)/100+Inputs!$B$23/100)/2</f>
        <v/>
      </c>
      <c r="M741">
        <f>L741*(1+(Inputs!$B$10+(F755-Calc!F21))/100)</f>
        <v/>
      </c>
      <c r="N741">
        <f>L741*(1-MIN(Inputs!$B$9+((F754-Calc!F20)+(F753-Calc!F19)),100)/100)+M741*(MIN(Inputs!$B$9+((F754-Calc!F20)+(F753-Calc!F19)),100)/100)</f>
        <v/>
      </c>
      <c r="O741">
        <f>(1-Summary!$B$51)*S741+Summary!$B$51*U741</f>
        <v/>
      </c>
      <c r="P741">
        <f>IF(B770=0,0,O741/B770)</f>
        <v/>
      </c>
      <c r="Q741">
        <f>IFERROR(1/IF(Inputs!$B$38="pvp",15,MAX(0.1,Skills!D7-IF(Skills!E7=TRUE,Inputs!$B$32,0))),0)</f>
        <v/>
      </c>
      <c r="R741">
        <f>IF(AND(Inputs!$B$38&lt;&gt;"pvp",Inputs!$B$43&gt;0),IF(MAX(0,Inputs!$B$43-B767)&lt;=0,0,(INT(MAX(0,Inputs!$B$43-B767)/IF(Inputs!$B$38="pvp",15,MAX(0.1,Skills!D7-IF(Skills!E7=TRUE,Inputs!$B$32,0))))+1)),0)</f>
        <v/>
      </c>
      <c r="S741">
        <f>IF(C741,(H741*N741*IF(AND(Inputs!$B$38&lt;&gt;"pvp",Inputs!$B$43&gt;0),((Skills!F7*((R741-1)*IF(Skills!G7&gt;0,Skills!H7/Skills!G7,1)+IF(Skills!G7&gt;0,MIN(Skills!H7,MAX(0,MAX(0,Inputs!$B$43-B767)-((R741-1)*IF(Inputs!$B$38="pvp",15,MAX(0.1,Skills!D7-IF(Skills!E7=TRUE,Inputs!$B$32,0))))))/Skills!G7,1)))/Inputs!$B$43),G741*Q741))*IF(Inputs!$B$38="pvp",1,1+(Inputs!$B$20+Skills!O7+B761)/100),0)</f>
        <v/>
      </c>
      <c r="U741">
        <f>IF(C741,(H741*N741*IF(AND(Inputs!$B$38&lt;&gt;"pvp",Inputs!$B$43&gt;0),((Skills!F7*((R741-1)*IF(Skills!G7&gt;0,Skills!H7/Skills!G7,1)+IF(Skills!G7&gt;0,MIN(Skills!H7,MAX(0,MAX(0,Inputs!$B$43-B767)-((R741-1)*IF(Inputs!$B$38="pvp",15,MAX(0.1,Skills!D7-IF(Skills!E7=TRUE,Inputs!$B$32,0))))))/Skills!G7,1)))/Inputs!$B$43),G741*Q741))*IF(Inputs!$B$38="pvp",1,(1+(Inputs!$B$21+Skills!P7+B761)/100)*(MIN(Skills!Q7,Inputs!$B$37))),0)</f>
        <v/>
      </c>
    </row>
    <row r="742">
      <c r="A742">
        <f>Skills!A8</f>
        <v/>
      </c>
      <c r="B742">
        <f>Skills!B8</f>
        <v/>
      </c>
      <c r="C742">
        <f>Inputs!$B$3&gt;=103</f>
        <v/>
      </c>
      <c r="D742">
        <f>IF(Skills!C8=1,60+Inputs!$B$25+Inputs!$B$29,IF(Skills!C8=2,90+Inputs!$B$26+Inputs!$B$29,IF(Skills!C8=3,120+Inputs!$B$27+Inputs!$B$29,MAX(0,(Inputs!$B$3-100)*3)+(Inputs!$B$28+1)+Inputs!$B$29)))</f>
        <v/>
      </c>
      <c r="E742">
        <f>INDEX(FactorTable!$B$2:$Y$301, MATCH(ROUND(MIN(300,MAX(1,D742)),0), FactorTable!$A$2:$A$301,0), Skills!L8+1)</f>
        <v/>
      </c>
      <c r="F742">
        <f>IF(Skills!M8=TRUE,(Skills!K8/10)*(E742/1000),Skills!K8/10)+Skills!N8</f>
        <v/>
      </c>
      <c r="G742">
        <f>Calc!G8</f>
        <v/>
      </c>
      <c r="H742">
        <f>Calc!H8</f>
        <v/>
      </c>
      <c r="I742">
        <f>IF(Skills!T8&lt;&gt;"",1+(Skills!T8/10)*(Z737/1000)/100,1)</f>
        <v/>
      </c>
      <c r="J742">
        <f>((Inputs!$B$6*(1+Inputs!$B$7/100))+(((Inputs!$B$12*(1+Inputs!$B$13/100))-(Inputs!$B$12*(1+Inputs!$B$13/100)))+0.25*(Inputs!$B$14-Inputs!$B$14))*(1+Inputs!$B$7/100))*(F742/100)</f>
        <v/>
      </c>
      <c r="K742">
        <f>J742*(1+((Inputs!$B$12*(1+Inputs!$B$13/100))*0.01+Inputs!$B$14*0.0025)/100)*(1+(Inputs!$B$15+B762)/100)*(1+Inputs!$B$16/100)*(5000/(6000+Inputs!$B$42*(1-Inputs!$B$19/100)))*(1+Inputs!$B$24/100)*(1+IF(C749=TRUE,F749,0)/100)*(1+IF(C757=TRUE,F757,0)/100)^5*(1+(IF(Skills!A8="CHAIN_LIGHTNING",Inputs!$B$17,Inputs!$B$18))/100)*(B760*I742)</f>
        <v/>
      </c>
      <c r="L742">
        <f>K742*(MIN(Inputs!$B$22+(F752-Calc!F18),Inputs!$B$23)/100+Inputs!$B$23/100)/2</f>
        <v/>
      </c>
      <c r="M742">
        <f>L742*(1+(Inputs!$B$10+(F755-Calc!F21))/100)</f>
        <v/>
      </c>
      <c r="N742">
        <f>L742*(1-MIN(Inputs!$B$9+((F754-Calc!F20)+(F753-Calc!F19)),100)/100)+M742*(MIN(Inputs!$B$9+((F754-Calc!F20)+(F753-Calc!F19)),100)/100)</f>
        <v/>
      </c>
      <c r="O742">
        <f>(1-Summary!$B$51)*S742+Summary!$B$51*U742</f>
        <v/>
      </c>
      <c r="P742">
        <f>IF(B770=0,0,O742/B770)</f>
        <v/>
      </c>
      <c r="Q742">
        <f>IFERROR(1/IF(Inputs!$B$38="pvp",15,MAX(0.1,Skills!D8-IF(Skills!E8=TRUE,Inputs!$B$32,0))),0)</f>
        <v/>
      </c>
      <c r="R742">
        <f>IF(AND(Inputs!$B$38&lt;&gt;"pvp",Inputs!$B$43&gt;0),IF(MAX(0,Inputs!$B$43-B767)&lt;=0,0,(INT(MAX(0,Inputs!$B$43-B767)/IF(Inputs!$B$38="pvp",15,MAX(0.1,Skills!D8-IF(Skills!E8=TRUE,Inputs!$B$32,0))))+1)),0)</f>
        <v/>
      </c>
      <c r="S742">
        <f>IF(C742,(H742*N742*IF(AND(Inputs!$B$38&lt;&gt;"pvp",Inputs!$B$43&gt;0),((Skills!F8*((R742-1)*IF(Skills!G8&gt;0,Skills!H8/Skills!G8,1)+IF(Skills!G8&gt;0,MIN(Skills!H8,MAX(0,MAX(0,Inputs!$B$43-B767)-((R742-1)*IF(Inputs!$B$38="pvp",15,MAX(0.1,Skills!D8-IF(Skills!E8=TRUE,Inputs!$B$32,0))))))/Skills!G8,1)))/Inputs!$B$43),G742*Q742))*IF(Inputs!$B$38="pvp",1,1+(Inputs!$B$20+Skills!O8+B761)/100),0)</f>
        <v/>
      </c>
      <c r="U742">
        <f>IF(C742,(H742*N742*IF(AND(Inputs!$B$38&lt;&gt;"pvp",Inputs!$B$43&gt;0),((Skills!F8*((R742-1)*IF(Skills!G8&gt;0,Skills!H8/Skills!G8,1)+IF(Skills!G8&gt;0,MIN(Skills!H8,MAX(0,MAX(0,Inputs!$B$43-B767)-((R742-1)*IF(Inputs!$B$38="pvp",15,MAX(0.1,Skills!D8-IF(Skills!E8=TRUE,Inputs!$B$32,0))))))/Skills!G8,1)))/Inputs!$B$43),G742*Q742))*IF(Inputs!$B$38="pvp",1,(1+(Inputs!$B$21+Skills!P8+B761)/100)*(MIN(Skills!Q8,Inputs!$B$37))),0)</f>
        <v/>
      </c>
    </row>
    <row r="743">
      <c r="A743">
        <f>Skills!A9</f>
        <v/>
      </c>
      <c r="B743">
        <f>Skills!B9</f>
        <v/>
      </c>
      <c r="C743">
        <f>Inputs!$B$3&gt;=105</f>
        <v/>
      </c>
      <c r="D743">
        <f>IF(Skills!C9=1,60+Inputs!$B$25+Inputs!$B$29,IF(Skills!C9=2,90+Inputs!$B$26+Inputs!$B$29,IF(Skills!C9=3,120+Inputs!$B$27+Inputs!$B$29,MAX(0,(Inputs!$B$3-100)*3)+(Inputs!$B$28+1)+Inputs!$B$29)))</f>
        <v/>
      </c>
      <c r="E743">
        <f>INDEX(FactorTable!$B$2:$Y$301, MATCH(ROUND(MIN(300,MAX(1,D743)),0), FactorTable!$A$2:$A$301,0), Skills!L9+1)</f>
        <v/>
      </c>
      <c r="F743">
        <f>IF(Skills!M9=TRUE,(Skills!K9/10)*(E743/1000),Skills!K9/10)+Skills!N9</f>
        <v/>
      </c>
      <c r="G743">
        <f>Calc!G9</f>
        <v/>
      </c>
      <c r="H743">
        <f>Calc!H9</f>
        <v/>
      </c>
      <c r="I743">
        <f>IF(Skills!T9&lt;&gt;"",1+(Skills!T9/10)*(Z737/1000)/100,1)</f>
        <v/>
      </c>
      <c r="J743">
        <f>((Inputs!$B$6*(1+Inputs!$B$7/100))+(((Inputs!$B$12*(1+Inputs!$B$13/100))-(Inputs!$B$12*(1+Inputs!$B$13/100)))+0.25*(Inputs!$B$14-Inputs!$B$14))*(1+Inputs!$B$7/100))*(F743/100)</f>
        <v/>
      </c>
      <c r="K743">
        <f>J743*(1+((Inputs!$B$12*(1+Inputs!$B$13/100))*0.01+Inputs!$B$14*0.0025)/100)*(1+(Inputs!$B$15+B762)/100)*(1+Inputs!$B$16/100)*(5000/(6000+Inputs!$B$42*(1-Inputs!$B$19/100)))*(1+Inputs!$B$24/100)*(1+IF(C749=TRUE,F749,0)/100)*(1+IF(C757=TRUE,F757,0)/100)^5*(1+(IF(Skills!A9="CHAIN_LIGHTNING",Inputs!$B$17,Inputs!$B$18))/100)*(B760*I743)</f>
        <v/>
      </c>
      <c r="L743">
        <f>K743*(MIN(Inputs!$B$22+(F752-Calc!F18),Inputs!$B$23)/100+Inputs!$B$23/100)/2</f>
        <v/>
      </c>
      <c r="M743">
        <f>L743*(1+(Inputs!$B$10+(F755-Calc!F21))/100)</f>
        <v/>
      </c>
      <c r="N743">
        <f>L743*(1-MIN(Inputs!$B$9+((F754-Calc!F20)+(F753-Calc!F19)),100)/100)+M743*(MIN(Inputs!$B$9+((F754-Calc!F20)+(F753-Calc!F19)),100)/100)</f>
        <v/>
      </c>
      <c r="O743">
        <f>(1-Summary!$B$51)*S743+Summary!$B$51*U743</f>
        <v/>
      </c>
      <c r="P743">
        <f>IF(B770=0,0,O743/B770)</f>
        <v/>
      </c>
      <c r="Q743">
        <f>IFERROR(1/IF(Inputs!$B$38="pvp",15,MAX(0.1,Skills!D9-IF(Skills!E9=TRUE,Inputs!$B$32,0))),0)</f>
        <v/>
      </c>
      <c r="R743">
        <f>IF(AND(Inputs!$B$38&lt;&gt;"pvp",Inputs!$B$43&gt;0),IF(MAX(0,Inputs!$B$43-B767)&lt;=0,0,(INT(MAX(0,Inputs!$B$43-B767)/IF(Inputs!$B$38="pvp",15,MAX(0.1,Skills!D9-IF(Skills!E9=TRUE,Inputs!$B$32,0))))+1)),0)</f>
        <v/>
      </c>
      <c r="S743">
        <f>IF(C743,(H743*N743*IF(AND(Inputs!$B$38&lt;&gt;"pvp",Inputs!$B$43&gt;0),((Skills!F9*((R743-1)*IF(Skills!G9&gt;0,Skills!H9/Skills!G9,1)+IF(Skills!G9&gt;0,MIN(Skills!H9,MAX(0,MAX(0,Inputs!$B$43-B767)-((R743-1)*IF(Inputs!$B$38="pvp",15,MAX(0.1,Skills!D9-IF(Skills!E9=TRUE,Inputs!$B$32,0))))))/Skills!G9,1)))/Inputs!$B$43),G743*Q743))*IF(Inputs!$B$38="pvp",1,1+(Inputs!$B$20+Skills!O9+B761)/100),0)</f>
        <v/>
      </c>
      <c r="U743">
        <f>IF(C743,(H743*N743*IF(AND(Inputs!$B$38&lt;&gt;"pvp",Inputs!$B$43&gt;0),((Skills!F9*((R743-1)*IF(Skills!G9&gt;0,Skills!H9/Skills!G9,1)+IF(Skills!G9&gt;0,MIN(Skills!H9,MAX(0,MAX(0,Inputs!$B$43-B767)-((R743-1)*IF(Inputs!$B$38="pvp",15,MAX(0.1,Skills!D9-IF(Skills!E9=TRUE,Inputs!$B$32,0))))))/Skills!G9,1)))/Inputs!$B$43),G743*Q743))*IF(Inputs!$B$38="pvp",1,(1+(Inputs!$B$21+Skills!P9+B761)/100)*(MIN(Skills!Q9,Inputs!$B$37))),0)</f>
        <v/>
      </c>
    </row>
    <row r="744">
      <c r="A744">
        <f>Skills!A10</f>
        <v/>
      </c>
      <c r="B744">
        <f>Skills!B10</f>
        <v/>
      </c>
      <c r="C744">
        <f>Inputs!$B$3&gt;=113</f>
        <v/>
      </c>
      <c r="D744">
        <f>IF(Skills!C10=1,60+Inputs!$B$25+Inputs!$B$29,IF(Skills!C10=2,90+Inputs!$B$26+Inputs!$B$29,IF(Skills!C10=3,120+Inputs!$B$27+Inputs!$B$29,MAX(0,(Inputs!$B$3-100)*3)+(Inputs!$B$28+1)+Inputs!$B$29)))</f>
        <v/>
      </c>
      <c r="E744">
        <f>INDEX(FactorTable!$B$2:$Y$301, MATCH(ROUND(MIN(300,MAX(1,D744)),0), FactorTable!$A$2:$A$301,0), Skills!L10+1)</f>
        <v/>
      </c>
      <c r="F744">
        <f>IF(Skills!M10=TRUE,(Skills!K10/10)*(E744/1000),Skills!K10/10)+Skills!N10</f>
        <v/>
      </c>
      <c r="G744">
        <f>Calc!G10</f>
        <v/>
      </c>
      <c r="H744">
        <f>Calc!H10</f>
        <v/>
      </c>
      <c r="I744">
        <f>IF(Skills!T10&lt;&gt;"",1+(Skills!T10/10)*(Z737/1000)/100,1)</f>
        <v/>
      </c>
      <c r="J744">
        <f>((Inputs!$B$6*(1+Inputs!$B$7/100))+(((Inputs!$B$12*(1+Inputs!$B$13/100))-(Inputs!$B$12*(1+Inputs!$B$13/100)))+0.25*(Inputs!$B$14-Inputs!$B$14))*(1+Inputs!$B$7/100))*(F744/100)</f>
        <v/>
      </c>
      <c r="K744">
        <f>J744*(1+((Inputs!$B$12*(1+Inputs!$B$13/100))*0.01+Inputs!$B$14*0.0025)/100)*(1+(Inputs!$B$15+B762)/100)*(1+Inputs!$B$16/100)*(5000/(6000+Inputs!$B$42*(1-Inputs!$B$19/100)))*(1+Inputs!$B$24/100)*(1+IF(C749=TRUE,F749,0)/100)*(1+IF(C757=TRUE,F757,0)/100)^5*(1+(IF(Skills!A10="CHAIN_LIGHTNING",Inputs!$B$17,Inputs!$B$18))/100)*(B760*I744)</f>
        <v/>
      </c>
      <c r="L744">
        <f>K744*(MIN(Inputs!$B$22+(F752-Calc!F18),Inputs!$B$23)/100+Inputs!$B$23/100)/2</f>
        <v/>
      </c>
      <c r="M744">
        <f>L744*(1+(Inputs!$B$10+(F755-Calc!F21))/100)</f>
        <v/>
      </c>
      <c r="N744">
        <f>L744*(1-MIN(Inputs!$B$9+((F754-Calc!F20)+(F753-Calc!F19)),100)/100)+M744*(MIN(Inputs!$B$9+((F754-Calc!F20)+(F753-Calc!F19)),100)/100)</f>
        <v/>
      </c>
      <c r="O744">
        <f>(1-Summary!$B$51)*S744+Summary!$B$51*U744</f>
        <v/>
      </c>
      <c r="P744">
        <f>IF(B770=0,0,O744/B770)</f>
        <v/>
      </c>
      <c r="Q744">
        <f>IFERROR(1/IF(Inputs!$B$38="pvp",15,MAX(0.1,Skills!D10-IF(Skills!E9=TRUE,Inputs!$B$32,0))),0)</f>
        <v/>
      </c>
      <c r="R744">
        <f>IF(AND(Inputs!$B$38&lt;&gt;"pvp",Inputs!$B$43&gt;0),IF(MAX(0,Inputs!$B$43-B767)&lt;=0,0,(INT(MAX(0,Inputs!$B$43-B767)/IF(Inputs!$B$38="pvp",15,MAX(0.1,Skills!D10-IF(Skills!E9=TRUE,Inputs!$B$32,0))))+1)),0)</f>
        <v/>
      </c>
      <c r="S744">
        <f>IF(C744,(H744*N744*IF(AND(Inputs!$B$38&lt;&gt;"pvp",Inputs!$B$43&gt;0),((Skills!F10*((R744-1)*IF(Skills!G10&gt;0,Skills!H10/Skills!G10,1)+IF(Skills!G10&gt;0,MIN(Skills!H10,MAX(0,MAX(0,Inputs!$B$43-B767)-((R744-1)*IF(Inputs!$B$38="pvp",15,MAX(0.1,Skills!D10-IF(Skills!E9=TRUE,Inputs!$B$32,0))))))/Skills!G10,1)))/Inputs!$B$43),G744*Q744))*IF(Inputs!$B$38="pvp",1,1+(Inputs!$B$20+Skills!O10+B761)/100),0)</f>
        <v/>
      </c>
      <c r="U744">
        <f>IF(C744,(H744*N744*IF(AND(Inputs!$B$38&lt;&gt;"pvp",Inputs!$B$43&gt;0),((Skills!F10*((R744-1)*IF(Skills!G10&gt;0,Skills!H10/Skills!G10,1)+IF(Skills!G10&gt;0,MIN(Skills!H10,MAX(0,MAX(0,Inputs!$B$43-B767)-((R744-1)*IF(Inputs!$B$38="pvp",15,MAX(0.1,Skills!D10-IF(Skills!E9=TRUE,Inputs!$B$32,0))))))/Skills!G10,1)))/Inputs!$B$43),G744*Q744))*IF(Inputs!$B$38="pvp",1,(1+(Inputs!$B$21+Skills!P10+B761)/100)*(MIN(Skills!Q10,Inputs!$B$37))),0)</f>
        <v/>
      </c>
    </row>
    <row r="745">
      <c r="A745">
        <f>Skills!A11</f>
        <v/>
      </c>
      <c r="B745">
        <f>Skills!B11</f>
        <v/>
      </c>
      <c r="C745">
        <f>Inputs!$B$3&gt;=107</f>
        <v/>
      </c>
      <c r="D745">
        <f>IF(Skills!C11=1,60+Inputs!$B$25+Inputs!$B$29,IF(Skills!C11=2,90+Inputs!$B$26+Inputs!$B$29,IF(Skills!C11=3,120+Inputs!$B$27+Inputs!$B$29,MAX(0,(Inputs!$B$3-100)*3)+(Inputs!$B$28+1)+Inputs!$B$29)))</f>
        <v/>
      </c>
      <c r="E745">
        <f>INDEX(FactorTable!$B$2:$Y$301, MATCH(ROUND(MIN(300,MAX(1,D745)),0), FactorTable!$A$2:$A$301,0), Skills!L11+1)</f>
        <v/>
      </c>
      <c r="F745">
        <f>IF(Skills!M11=TRUE,(Skills!K11/10)*(E745/1000),Skills!K11/10)+Skills!N11</f>
        <v/>
      </c>
      <c r="G745">
        <f>Calc!G11</f>
        <v/>
      </c>
      <c r="H745">
        <f>Calc!H11</f>
        <v/>
      </c>
      <c r="I745">
        <f>IF(Skills!T11&lt;&gt;"",1+(Skills!T11/10)*(Z737/1000)/100,1)</f>
        <v/>
      </c>
      <c r="J745">
        <f>((Inputs!$B$6*(1+Inputs!$B$7/100))+(((Inputs!$B$12*(1+Inputs!$B$13/100))-(Inputs!$B$12*(1+Inputs!$B$13/100)))+0.25*(Inputs!$B$14-Inputs!$B$14))*(1+Inputs!$B$7/100))*(F745/100)</f>
        <v/>
      </c>
      <c r="K745">
        <f>J745*(1+((Inputs!$B$12*(1+Inputs!$B$13/100))*0.01+Inputs!$B$14*0.0025)/100)*(1+(Inputs!$B$15+B762)/100)*(1+Inputs!$B$16/100)*(5000/(6000+Inputs!$B$42*(1-Inputs!$B$19/100)))*(1+Inputs!$B$24/100)*(1+IF(C749=TRUE,F749,0)/100)*(1+IF(C757=TRUE,F757,0)/100)^5*(1+(IF(Skills!A11="CHAIN_LIGHTNING",Inputs!$B$17,Inputs!$B$18))/100)*(B760*I745)</f>
        <v/>
      </c>
      <c r="L745">
        <f>K745*(MIN(Inputs!$B$22+(F752-Calc!F18),Inputs!$B$23)/100+Inputs!$B$23/100)/2</f>
        <v/>
      </c>
      <c r="M745">
        <f>L745*(1+(Inputs!$B$10+(F755-Calc!F21))/100)</f>
        <v/>
      </c>
      <c r="N745">
        <f>L745*(1-MIN(Inputs!$B$9+((F754-Calc!F20)+(F753-Calc!F19)),100)/100)+M745*(MIN(Inputs!$B$9+((F754-Calc!F20)+(F753-Calc!F19)),100)/100)</f>
        <v/>
      </c>
      <c r="O745">
        <f>(1-Summary!$B$51)*S745+Summary!$B$51*U745</f>
        <v/>
      </c>
      <c r="P745">
        <f>IF(B770=0,0,O745/B770)</f>
        <v/>
      </c>
      <c r="Q745">
        <f>IFERROR(1/IF(Inputs!$B$38="pvp",15,MAX(0.1,Skills!D11-IF(Skills!E11=TRUE,Inputs!$B$32,0))),0)</f>
        <v/>
      </c>
      <c r="R745">
        <f>IF(AND(Inputs!$B$38&lt;&gt;"pvp",Inputs!$B$43&gt;0),IF(MAX(0,Inputs!$B$43-B767)&lt;=0,0,(INT(MAX(0,Inputs!$B$43-B767)/IF(Inputs!$B$38="pvp",15,MAX(0.1,Skills!D11-IF(Skills!E11=TRUE,Inputs!$B$32,0))))+1)),0)</f>
        <v/>
      </c>
      <c r="S745">
        <f>IF(C745,H745*N745*IF(AND(Inputs!$B$38&lt;&gt;"pvp",Inputs!$B$43&gt;0),((Skills!F11*((R745-1)*IF(Skills!G11&gt;0,Skills!H11/Skills!G11,1)+IF(Skills!G11&gt;0,MIN(Skills!H11,MAX(0,MAX(0,Inputs!$B$43-B767)-((R745-1)*IF(Inputs!$B$38="pvp",15,MAX(0.1,Skills!D11-IF(Skills!E11=TRUE,Inputs!$B$32,0))))))/Skills!G11,1)))/Inputs!$B$43),G745*Q745)*0.5*IF(Inputs!$B$38="pvp",1,1+(Inputs!$B$20+Skills!O11+B761)/100),0)</f>
        <v/>
      </c>
      <c r="U745">
        <f>IF(C745,H745*N745*IF(AND(Inputs!$B$38&lt;&gt;"pvp",Inputs!$B$43&gt;0),((Skills!F11*((R745-1)*IF(Skills!G11&gt;0,Skills!H11/Skills!G11,1)+IF(Skills!G11&gt;0,MIN(Skills!H11,MAX(0,MAX(0,Inputs!$B$43-B767)-((R745-1)*IF(Inputs!$B$38="pvp",15,MAX(0.1,Skills!D11-IF(Skills!E11=TRUE,Inputs!$B$32,0))))))/Skills!G11,1)))/Inputs!$B$43),G745*Q745)*1*IF(Inputs!$B$38="pvp",1,(1+(Inputs!$B$21+Skills!P11+B761)/100)*(MIN(Skills!Q11,Inputs!$B$37))),0)</f>
        <v/>
      </c>
    </row>
    <row r="746">
      <c r="A746">
        <f>Skills!A12</f>
        <v/>
      </c>
      <c r="B746">
        <f>Skills!B12</f>
        <v/>
      </c>
      <c r="C746">
        <f>Inputs!$B$3&gt;=115</f>
        <v/>
      </c>
      <c r="D746">
        <f>IF(Skills!C12=1,60+Inputs!$B$25+Inputs!$B$29,IF(Skills!C12=2,90+Inputs!$B$26+Inputs!$B$29,IF(Skills!C12=3,120+Inputs!$B$27+Inputs!$B$29,MAX(0,(Inputs!$B$3-100)*3)+(Inputs!$B$28+1)+Inputs!$B$29)))</f>
        <v/>
      </c>
      <c r="E746">
        <f>INDEX(FactorTable!$B$2:$Y$301, MATCH(ROUND(MIN(300,MAX(1,D746)),0), FactorTable!$A$2:$A$301,0), Skills!L12+1)</f>
        <v/>
      </c>
      <c r="F746">
        <f>IF(Skills!M12=TRUE,(Skills!K12/10)*(E746/1000),Skills!K12/10)+Skills!N12</f>
        <v/>
      </c>
      <c r="G746">
        <f>Calc!G12</f>
        <v/>
      </c>
      <c r="H746">
        <f>Calc!H12</f>
        <v/>
      </c>
      <c r="I746">
        <f>IF(Skills!T12&lt;&gt;"",1+(Skills!T12/10)*(Z737/1000)/100,1)</f>
        <v/>
      </c>
      <c r="J746">
        <f>((Inputs!$B$6*(1+Inputs!$B$7/100))+(((Inputs!$B$12*(1+Inputs!$B$13/100))-(Inputs!$B$12*(1+Inputs!$B$13/100)))+0.25*(Inputs!$B$14-Inputs!$B$14))*(1+Inputs!$B$7/100))*(F746/100)</f>
        <v/>
      </c>
      <c r="K746">
        <f>J746*(1+((Inputs!$B$12*(1+Inputs!$B$13/100))*0.01+Inputs!$B$14*0.0025)/100)*(1+(Inputs!$B$15+B762)/100)*(1+Inputs!$B$16/100)*(5000/(6000+Inputs!$B$42*(1-Inputs!$B$19/100)))*(1+Inputs!$B$24/100)*(1+IF(C749=TRUE,F749,0)/100)*(1+IF(C757=TRUE,F757,0)/100)^5*(1+(IF(Skills!A12="CHAIN_LIGHTNING",Inputs!$B$17,Inputs!$B$18))/100)*(B760*I746)</f>
        <v/>
      </c>
      <c r="L746">
        <f>K746*(MIN(Inputs!$B$22+(F752-Calc!F18),Inputs!$B$23)/100+Inputs!$B$23/100)/2</f>
        <v/>
      </c>
      <c r="M746">
        <f>L746*(1+(Inputs!$B$10+(F755-Calc!F21))/100)</f>
        <v/>
      </c>
      <c r="N746">
        <f>L746*(1-MIN(Inputs!$B$9+((F754-Calc!F20)+(F753-Calc!F19)),100)/100)+M746*(MIN(Inputs!$B$9+((F754-Calc!F20)+(F753-Calc!F19)),100)/100)</f>
        <v/>
      </c>
      <c r="O746">
        <f>(1-Summary!$B$51)*S746+Summary!$B$51*U746</f>
        <v/>
      </c>
      <c r="P746">
        <f>IF(B770=0,0,O746/B770)</f>
        <v/>
      </c>
      <c r="Q746">
        <f>IFERROR(1/IF(Inputs!$B$38="pvp",15,MAX(0.1,Skills!D12-IF(Skills!E12=TRUE,Inputs!$B$32,0))),0)</f>
        <v/>
      </c>
      <c r="R746">
        <f>IF(AND(Inputs!$B$38&lt;&gt;"pvp",Inputs!$B$43&gt;0),IF(MAX(0,Inputs!$B$43-B767)&lt;=0,0,(INT(MAX(0,Inputs!$B$43-B767)/IF(Inputs!$B$38="pvp",15,MAX(0.1,Skills!D12-IF(Skills!E12=TRUE,Inputs!$B$32,0))))+1)),0)</f>
        <v/>
      </c>
      <c r="S746">
        <f>IF(C746,(H746*N746*IF(AND(Inputs!$B$38&lt;&gt;"pvp",Inputs!$B$43&gt;0),((Skills!F12*((R746-1)*IF(Skills!G12&gt;0,Skills!H12/Skills!G12,1)+IF(Skills!G12&gt;0,MIN(Skills!H12,MAX(0,MAX(0,Inputs!$B$43-B767)-((R746-1)*IF(Inputs!$B$38="pvp",15,MAX(0.1,Skills!D12-IF(Skills!E12=TRUE,Inputs!$B$32,0))))))/Skills!G12,1)))/Inputs!$B$43),G746*Q746))*IF(Inputs!$B$38="pvp",1,1+(Inputs!$B$20+Skills!O12+B761)/100),0)</f>
        <v/>
      </c>
      <c r="U746">
        <f>IF(C746,(H746*N746*IF(AND(Inputs!$B$38&lt;&gt;"pvp",Inputs!$B$43&gt;0),((Skills!F12*((R746-1)*IF(Skills!G12&gt;0,Skills!H12/Skills!G12,1)+IF(Skills!G12&gt;0,MIN(Skills!H12,MAX(0,MAX(0,Inputs!$B$43-B767)-((R746-1)*IF(Inputs!$B$38="pvp",15,MAX(0.1,Skills!D12-IF(Skills!E12=TRUE,Inputs!$B$32,0))))))/Skills!G12,1)))/Inputs!$B$43),G746*Q746))*IF(Inputs!$B$38="pvp",1,(1+(Inputs!$B$21+Skills!P12+B761)/100)*(MIN(Skills!Q12,Inputs!$B$37))),0)</f>
        <v/>
      </c>
    </row>
    <row r="747">
      <c r="A747">
        <f>Skills!A13</f>
        <v/>
      </c>
      <c r="B747">
        <f>Skills!B13</f>
        <v/>
      </c>
      <c r="C747">
        <f>Inputs!$B$3&gt;=49</f>
        <v/>
      </c>
      <c r="D747">
        <f>IF(Skills!C13=1,60+Inputs!$B$25+Inputs!$B$29,IF(Skills!C13=2,90+Inputs!$B$26+Inputs!$B$29,IF(Skills!C13=3,120+Inputs!$B$27+Inputs!$B$29,MAX(0,(Inputs!$B$3-100)*3)+(Inputs!$B$28+1)+Inputs!$B$29)))</f>
        <v/>
      </c>
      <c r="E747">
        <f>INDEX(FactorTable!$B$2:$Y$301, MATCH(ROUND(MIN(300,MAX(1,D747)),0), FactorTable!$A$2:$A$301,0), Skills!L13+1)</f>
        <v/>
      </c>
      <c r="F747">
        <f>IF(Skills!M13=TRUE,(Skills!K13/10)*(E747/1000),Skills!K13/10)+Skills!N13</f>
        <v/>
      </c>
      <c r="G747">
        <f>Calc!G13</f>
        <v/>
      </c>
      <c r="H747">
        <f>Calc!H13</f>
        <v/>
      </c>
      <c r="I747">
        <f>IF(Skills!T13&lt;&gt;"",1+(Skills!T13/10)*(Z737/1000)/100,1)</f>
        <v/>
      </c>
      <c r="J747" t="inlineStr"/>
      <c r="K747" t="inlineStr"/>
      <c r="L747" t="inlineStr"/>
      <c r="M747" t="inlineStr"/>
      <c r="N747" t="inlineStr"/>
      <c r="O747">
        <f>(1-Summary!$B$51)*S747+Summary!$B$51*U747</f>
        <v/>
      </c>
      <c r="P747">
        <f>IF(B770=0,0,O747/B770)</f>
        <v/>
      </c>
      <c r="Q747">
        <f>IFERROR(1/IF(Inputs!$B$38="pvp",15,MAX(0.1,Skills!D13-IF(Skills!E13=TRUE,Inputs!$B$32,0))),0)</f>
        <v/>
      </c>
      <c r="R747" t="n">
        <v>0</v>
      </c>
      <c r="S747" t="n">
        <v>0</v>
      </c>
      <c r="U747" t="n">
        <v>0</v>
      </c>
    </row>
    <row r="748">
      <c r="A748">
        <f>Skills!A14</f>
        <v/>
      </c>
      <c r="B748">
        <f>Skills!B14</f>
        <v/>
      </c>
      <c r="C748">
        <f>Inputs!$B$3&gt;=72</f>
        <v/>
      </c>
      <c r="D748">
        <f>IF(Skills!C14=1,60+Inputs!$B$25+Inputs!$B$29,IF(Skills!C14=2,90+Inputs!$B$26+Inputs!$B$29,IF(Skills!C14=3,120+Inputs!$B$27+Inputs!$B$29,MAX(0,(Inputs!$B$3-100)*3)+(Inputs!$B$28+1)+Inputs!$B$29)))</f>
        <v/>
      </c>
      <c r="E748">
        <f>INDEX(FactorTable!$B$2:$Y$301, MATCH(ROUND(MIN(300,MAX(1,D748)),0), FactorTable!$A$2:$A$301,0), Skills!L14+1)</f>
        <v/>
      </c>
      <c r="F748">
        <f>IF(Skills!M14=TRUE,(Skills!K14/10)*(E748/1000),Skills!K14/10)+Skills!N14</f>
        <v/>
      </c>
      <c r="G748">
        <f>Calc!G14</f>
        <v/>
      </c>
      <c r="H748">
        <f>Calc!H14</f>
        <v/>
      </c>
      <c r="I748">
        <f>IF(Skills!T14&lt;&gt;"",1+(Skills!T14/10)*(Z737/1000)/100,1)</f>
        <v/>
      </c>
      <c r="J748" t="inlineStr"/>
      <c r="K748" t="inlineStr"/>
      <c r="L748" t="inlineStr"/>
      <c r="M748" t="inlineStr"/>
      <c r="N748" t="inlineStr"/>
      <c r="O748">
        <f>(1-Summary!$B$51)*S748+Summary!$B$51*U748</f>
        <v/>
      </c>
      <c r="P748">
        <f>IF(B770=0,0,O748/B770)</f>
        <v/>
      </c>
      <c r="Q748">
        <f>IFERROR(1/IF(Inputs!$B$38="pvp",15,MAX(0.1,Skills!D14-IF(Skills!E14=TRUE,Inputs!$B$32,0))),0)</f>
        <v/>
      </c>
      <c r="R748" t="n">
        <v>0</v>
      </c>
      <c r="S748" t="n">
        <v>0</v>
      </c>
      <c r="U748" t="n">
        <v>0</v>
      </c>
    </row>
    <row r="749">
      <c r="A749">
        <f>Skills!A15</f>
        <v/>
      </c>
      <c r="B749">
        <f>Skills!B15</f>
        <v/>
      </c>
      <c r="C749">
        <f>Inputs!$B$3&gt;=75</f>
        <v/>
      </c>
      <c r="D749">
        <f>IF(Skills!C15=1,60+Inputs!$B$25+Inputs!$B$29,IF(Skills!C15=2,90+Inputs!$B$26+Inputs!$B$29,IF(Skills!C15=3,120+Inputs!$B$27+Inputs!$B$29,MAX(0,(Inputs!$B$3-100)*3)+(Inputs!$B$28+1)+Inputs!$B$29)))</f>
        <v/>
      </c>
      <c r="E749">
        <f>INDEX(FactorTable!$B$2:$Y$301, MATCH(ROUND(MIN(300,MAX(1,D749)),0), FactorTable!$A$2:$A$301,0), Skills!L15+1)</f>
        <v/>
      </c>
      <c r="F749">
        <f>IF(Skills!M15=TRUE,(Skills!K15/10)*(E749/1000),Skills!K15/10)+Skills!N15</f>
        <v/>
      </c>
      <c r="G749">
        <f>Calc!G15</f>
        <v/>
      </c>
      <c r="H749">
        <f>Calc!H15</f>
        <v/>
      </c>
      <c r="I749">
        <f>IF(Skills!T15&lt;&gt;"",1+(Skills!T15/10)*(Z737/1000)/100,1)</f>
        <v/>
      </c>
      <c r="J749" t="inlineStr"/>
      <c r="K749" t="inlineStr"/>
      <c r="L749" t="inlineStr"/>
      <c r="M749" t="inlineStr"/>
      <c r="N749" t="inlineStr"/>
      <c r="O749">
        <f>(1-Summary!$B$51)*S749+Summary!$B$51*U749</f>
        <v/>
      </c>
      <c r="P749">
        <f>IF(B770=0,0,O749/B770)</f>
        <v/>
      </c>
      <c r="Q749">
        <f>IFERROR(1/IF(Inputs!$B$38="pvp",15,MAX(0.1,Skills!D15-IF(Skills!E15=TRUE,Inputs!$B$32,0))),0)</f>
        <v/>
      </c>
      <c r="R749" t="n">
        <v>0</v>
      </c>
      <c r="S749" t="n">
        <v>0</v>
      </c>
      <c r="U749" t="n">
        <v>0</v>
      </c>
    </row>
    <row r="750">
      <c r="A750">
        <f>Skills!A16</f>
        <v/>
      </c>
      <c r="B750">
        <f>Skills!B16</f>
        <v/>
      </c>
      <c r="C750">
        <f>Inputs!$B$3&gt;=110</f>
        <v/>
      </c>
      <c r="D750">
        <f>IF(Skills!C16=1,60+Inputs!$B$25+Inputs!$B$29,IF(Skills!C16=2,90+Inputs!$B$26+Inputs!$B$29,IF(Skills!C16=3,120+Inputs!$B$27+Inputs!$B$29,MAX(0,(Inputs!$B$3-100)*3)+(Inputs!$B$28+1)+Inputs!$B$29)))</f>
        <v/>
      </c>
      <c r="E750">
        <f>INDEX(FactorTable!$B$2:$Y$301, MATCH(ROUND(MIN(300,MAX(1,D750)),0), FactorTable!$A$2:$A$301,0), Skills!L16+1)</f>
        <v/>
      </c>
      <c r="F750">
        <f>(Skills!K16/10)*(E750/1000)*64/45+Skills!N16</f>
        <v/>
      </c>
      <c r="G750">
        <f>Calc!G16</f>
        <v/>
      </c>
      <c r="H750">
        <f>Calc!H16</f>
        <v/>
      </c>
      <c r="I750">
        <f>IF(Skills!T16&lt;&gt;"",1+(Skills!T16/10)*(Z737/1000)/100,1)</f>
        <v/>
      </c>
      <c r="J750" t="inlineStr"/>
      <c r="K750" t="inlineStr"/>
      <c r="L750" t="inlineStr"/>
      <c r="M750" t="inlineStr"/>
      <c r="N750" t="inlineStr"/>
      <c r="O750">
        <f>(1-Summary!$B$51)*S750+Summary!$B$51*U750</f>
        <v/>
      </c>
      <c r="P750">
        <f>IF(B770=0,0,O750/B770)</f>
        <v/>
      </c>
      <c r="Q750">
        <f>IFERROR(1/IF(Inputs!$B$38="pvp",15,MAX(0.1,Skills!D16-IF(Skills!E16=TRUE,Inputs!$B$32,0))),0)</f>
        <v/>
      </c>
      <c r="R750">
        <f>IF(AND(Inputs!$B$38&lt;&gt;"pvp",Inputs!$B$43&gt;0),IF(Inputs!$B$43&lt;=0,0,(INT(Inputs!$B$43/IF(Inputs!$B$38="pvp",15,MAX(0.1,Skills!D16-IF(Skills!E16=TRUE,Inputs!$B$32,0))))+1)),0)</f>
        <v/>
      </c>
      <c r="S750" t="n">
        <v>0</v>
      </c>
      <c r="U750" t="n">
        <v>0</v>
      </c>
    </row>
    <row r="751">
      <c r="A751">
        <f>Skills!A17</f>
        <v/>
      </c>
      <c r="B751">
        <f>Skills!B17</f>
        <v/>
      </c>
      <c r="C751">
        <f>Inputs!$B$3&gt;=33</f>
        <v/>
      </c>
      <c r="D751">
        <f>IF(Skills!C17=1,60+Inputs!$B$25+Inputs!$B$29,IF(Skills!C17=2,90+Inputs!$B$26+Inputs!$B$29,IF(Skills!C17=3,120+Inputs!$B$27+Inputs!$B$29,MAX(0,(Inputs!$B$3-100)*3)+(Inputs!$B$28+1)+Inputs!$B$29)))</f>
        <v/>
      </c>
      <c r="E751">
        <f>INDEX(FactorTable!$B$2:$Y$301, MATCH(ROUND(MIN(300,MAX(1,D751)),0), FactorTable!$A$2:$A$301,0), Skills!L17+1)</f>
        <v/>
      </c>
      <c r="F751">
        <f>IF(Skills!M17=TRUE,(Skills!K17/10)*(E751/1000),Skills!K17/10)+Skills!N17</f>
        <v/>
      </c>
      <c r="G751">
        <f>Calc!G17</f>
        <v/>
      </c>
      <c r="H751">
        <f>Calc!H17</f>
        <v/>
      </c>
      <c r="I751">
        <f>IF(Skills!T17&lt;&gt;"",1+(Skills!T17/10)*(Z737/1000)/100,1)</f>
        <v/>
      </c>
      <c r="J751" t="inlineStr"/>
      <c r="K751" t="inlineStr"/>
      <c r="L751" t="inlineStr"/>
      <c r="M751" t="inlineStr"/>
      <c r="N751" t="inlineStr"/>
      <c r="O751">
        <f>(1-Summary!$B$51)*S751+Summary!$B$51*U751</f>
        <v/>
      </c>
      <c r="P751">
        <f>IF(B770=0,0,O751/B770)</f>
        <v/>
      </c>
      <c r="Q751">
        <f>IFERROR(1/IF(Inputs!$B$38="pvp",15,MAX(0.1,Skills!D17-IF(Skills!E17=TRUE,Inputs!$B$32,0))),0)</f>
        <v/>
      </c>
      <c r="R751" t="n">
        <v>0</v>
      </c>
      <c r="S751" t="n">
        <v>0</v>
      </c>
      <c r="U751" t="n">
        <v>0</v>
      </c>
    </row>
    <row r="752">
      <c r="A752">
        <f>Skills!A18</f>
        <v/>
      </c>
      <c r="B752">
        <f>Skills!B18</f>
        <v/>
      </c>
      <c r="C752">
        <f>Inputs!$B$3&gt;=43</f>
        <v/>
      </c>
      <c r="D752">
        <f>IF(Skills!C18=1,60+Inputs!$B$25+Inputs!$B$29,IF(Skills!C18=2,90+Inputs!$B$26+Inputs!$B$29,IF(Skills!C18=3,120+Inputs!$B$27+Inputs!$B$29,MAX(0,(Inputs!$B$3-100)*3)+(Inputs!$B$28+1)+Inputs!$B$29)))</f>
        <v/>
      </c>
      <c r="E752">
        <f>INDEX(FactorTable!$B$2:$Y$301, MATCH(ROUND(MIN(300,MAX(1,D752)),0), FactorTable!$A$2:$A$301,0), Skills!L18+1)</f>
        <v/>
      </c>
      <c r="F752">
        <f>IF(Skills!M18=TRUE,(Skills!K18/10)*(E752/1000),Skills!K18/10)+Skills!N18</f>
        <v/>
      </c>
      <c r="G752">
        <f>Calc!G18</f>
        <v/>
      </c>
      <c r="H752">
        <f>Calc!H18</f>
        <v/>
      </c>
      <c r="I752">
        <f>IF(Skills!T18&lt;&gt;"",1+(Skills!T18/10)*(Z737/1000)/100,1)</f>
        <v/>
      </c>
      <c r="J752" t="inlineStr"/>
      <c r="K752" t="inlineStr"/>
      <c r="L752" t="inlineStr"/>
      <c r="M752" t="inlineStr"/>
      <c r="N752" t="inlineStr"/>
      <c r="O752">
        <f>(1-Summary!$B$51)*S752+Summary!$B$51*U752</f>
        <v/>
      </c>
      <c r="P752">
        <f>IF(B770=0,0,O752/B770)</f>
        <v/>
      </c>
      <c r="Q752">
        <f>IFERROR(1/IF(Inputs!$B$38="pvp",15,MAX(0.1,Skills!D18-IF(Skills!E18=TRUE,Inputs!$B$32,0))),0)</f>
        <v/>
      </c>
      <c r="R752" t="n">
        <v>0</v>
      </c>
      <c r="S752" t="n">
        <v>0</v>
      </c>
      <c r="U752" t="n">
        <v>0</v>
      </c>
    </row>
    <row r="753">
      <c r="A753">
        <f>Skills!A19</f>
        <v/>
      </c>
      <c r="B753">
        <f>Skills!B19</f>
        <v/>
      </c>
      <c r="C753">
        <f>Inputs!$B$3&gt;=50</f>
        <v/>
      </c>
      <c r="D753">
        <f>IF(Skills!C19=1,60+Inputs!$B$25+Inputs!$B$29,IF(Skills!C19=2,90+Inputs!$B$26+Inputs!$B$29,IF(Skills!C19=3,120+Inputs!$B$27+Inputs!$B$29,MAX(0,(Inputs!$B$3-100)*3)+(Inputs!$B$28+1)+Inputs!$B$29)))</f>
        <v/>
      </c>
      <c r="E753">
        <f>INDEX(FactorTable!$B$2:$Y$301, MATCH(ROUND(MIN(300,MAX(1,D753)),0), FactorTable!$A$2:$A$301,0), Skills!L19+1)</f>
        <v/>
      </c>
      <c r="F753">
        <f>IF(Skills!M19=TRUE,(Skills!K19/10)*(E753/1000),Skills!K19/10)+Skills!N19</f>
        <v/>
      </c>
      <c r="G753">
        <f>Calc!G19</f>
        <v/>
      </c>
      <c r="H753">
        <f>Calc!H19</f>
        <v/>
      </c>
      <c r="I753">
        <f>IF(Skills!T19&lt;&gt;"",1+(Skills!T19/10)*(Z737/1000)/100,1)</f>
        <v/>
      </c>
      <c r="J753" t="inlineStr"/>
      <c r="K753" t="inlineStr"/>
      <c r="L753" t="inlineStr"/>
      <c r="M753" t="inlineStr"/>
      <c r="N753" t="inlineStr"/>
      <c r="O753">
        <f>(1-Summary!$B$51)*S753+Summary!$B$51*U753</f>
        <v/>
      </c>
      <c r="P753">
        <f>IF(B770=0,0,O753/B770)</f>
        <v/>
      </c>
      <c r="Q753">
        <f>IFERROR(1/IF(Inputs!$B$38="pvp",15,MAX(0.1,Skills!D19-IF(Skills!E19=TRUE,Inputs!$B$32,0))),0)</f>
        <v/>
      </c>
      <c r="R753" t="n">
        <v>0</v>
      </c>
      <c r="S753" t="n">
        <v>0</v>
      </c>
      <c r="U753" t="n">
        <v>0</v>
      </c>
    </row>
    <row r="754">
      <c r="A754">
        <f>Skills!A20</f>
        <v/>
      </c>
      <c r="B754">
        <f>Skills!B20</f>
        <v/>
      </c>
      <c r="C754">
        <f>Inputs!$B$3&gt;=74</f>
        <v/>
      </c>
      <c r="D754">
        <f>IF(Skills!C20=1,60+Inputs!$B$25+Inputs!$B$29,IF(Skills!C20=2,90+Inputs!$B$26+Inputs!$B$29,IF(Skills!C20=3,120+Inputs!$B$27+Inputs!$B$29,MAX(0,(Inputs!$B$3-100)*3)+(Inputs!$B$28+1)+Inputs!$B$29)))</f>
        <v/>
      </c>
      <c r="E754">
        <f>INDEX(FactorTable!$B$2:$Y$301, MATCH(ROUND(MIN(300,MAX(1,D754)),0), FactorTable!$A$2:$A$301,0), Skills!L20+1)</f>
        <v/>
      </c>
      <c r="F754">
        <f>IF(Skills!M20=TRUE,(Skills!K20/10)*(E754/1000),Skills!K20/10)+Skills!N20</f>
        <v/>
      </c>
      <c r="G754">
        <f>Calc!G20</f>
        <v/>
      </c>
      <c r="H754">
        <f>Calc!H20</f>
        <v/>
      </c>
      <c r="I754">
        <f>IF(Skills!T20&lt;&gt;"",1+(Skills!T20/10)*(Z737/1000)/100,1)</f>
        <v/>
      </c>
      <c r="J754" t="inlineStr"/>
      <c r="K754" t="inlineStr"/>
      <c r="L754" t="inlineStr"/>
      <c r="M754" t="inlineStr"/>
      <c r="N754" t="inlineStr"/>
      <c r="O754">
        <f>(1-Summary!$B$51)*S754+Summary!$B$51*U754</f>
        <v/>
      </c>
      <c r="P754">
        <f>IF(B770=0,0,O754/B770)</f>
        <v/>
      </c>
      <c r="Q754">
        <f>IFERROR(1/IF(Inputs!$B$38="pvp",15,MAX(0.1,Skills!D20-IF(Skills!E20=TRUE,Inputs!$B$32,0))),0)</f>
        <v/>
      </c>
      <c r="R754" t="n">
        <v>0</v>
      </c>
      <c r="S754" t="n">
        <v>0</v>
      </c>
      <c r="U754" t="n">
        <v>0</v>
      </c>
    </row>
    <row r="755">
      <c r="A755">
        <f>Skills!A21</f>
        <v/>
      </c>
      <c r="B755">
        <f>Skills!B21</f>
        <v/>
      </c>
      <c r="C755">
        <f>Inputs!$B$3&gt;=74</f>
        <v/>
      </c>
      <c r="D755">
        <f>IF(Skills!C21=1,60+Inputs!$B$25+Inputs!$B$29,IF(Skills!C21=2,90+Inputs!$B$26+Inputs!$B$29,IF(Skills!C21=3,120+Inputs!$B$27+Inputs!$B$29,MAX(0,(Inputs!$B$3-100)*3)+(Inputs!$B$28+1)+Inputs!$B$29)))</f>
        <v/>
      </c>
      <c r="E755">
        <f>INDEX(FactorTable!$B$2:$Y$301, MATCH(ROUND(MIN(300,MAX(1,D755)),0), FactorTable!$A$2:$A$301,0), Skills!L21+1)</f>
        <v/>
      </c>
      <c r="F755">
        <f>IF(Skills!M21=TRUE,(Skills!K21/10)*(E755/1000),Skills!K21/10)+Skills!N21</f>
        <v/>
      </c>
      <c r="G755">
        <f>Calc!G21</f>
        <v/>
      </c>
      <c r="H755">
        <f>Calc!H21</f>
        <v/>
      </c>
      <c r="I755">
        <f>IF(Skills!T21&lt;&gt;"",1+(Skills!T21/10)*(Z737/1000)/100,1)</f>
        <v/>
      </c>
      <c r="J755" t="inlineStr"/>
      <c r="K755" t="inlineStr"/>
      <c r="L755" t="inlineStr"/>
      <c r="M755" t="inlineStr"/>
      <c r="N755" t="inlineStr"/>
      <c r="O755">
        <f>(1-Summary!$B$51)*S755+Summary!$B$51*U755</f>
        <v/>
      </c>
      <c r="P755">
        <f>IF(B770=0,0,O755/B770)</f>
        <v/>
      </c>
      <c r="Q755">
        <f>IFERROR(1/IF(Inputs!$B$38="pvp",15,MAX(0.1,Skills!D21-IF(Skills!E21=TRUE,Inputs!$B$32,0))),0)</f>
        <v/>
      </c>
      <c r="R755" t="n">
        <v>0</v>
      </c>
      <c r="S755" t="n">
        <v>0</v>
      </c>
      <c r="U755" t="n">
        <v>0</v>
      </c>
    </row>
    <row r="756">
      <c r="A756">
        <f>Skills!A22</f>
        <v/>
      </c>
      <c r="B756">
        <f>Skills!B22</f>
        <v/>
      </c>
      <c r="C756">
        <f>Inputs!$B$3&gt;=117</f>
        <v/>
      </c>
      <c r="D756">
        <f>IF(Skills!C22=1,60+Inputs!$B$25+Inputs!$B$29,IF(Skills!C22=2,90+Inputs!$B$26+Inputs!$B$29,IF(Skills!C22=3,120+Inputs!$B$27+Inputs!$B$29,MAX(0,(Inputs!$B$3-100)*3)+(Inputs!$B$28+1)+Inputs!$B$29)))</f>
        <v/>
      </c>
      <c r="E756">
        <f>INDEX(FactorTable!$B$2:$Y$301, MATCH(ROUND(MIN(300,MAX(1,D756)),0), FactorTable!$A$2:$A$301,0), Skills!L22+1)</f>
        <v/>
      </c>
      <c r="F756">
        <f>IF(Skills!M22=TRUE,(Skills!K22/10)*(E756/1000),Skills!K22/10)+Skills!N22</f>
        <v/>
      </c>
      <c r="G756">
        <f>Calc!G22</f>
        <v/>
      </c>
      <c r="H756">
        <f>Calc!H22</f>
        <v/>
      </c>
      <c r="I756">
        <f>IF(Skills!T22&lt;&gt;"",1+(Skills!T22/10)*(Z737/1000)/100,1)</f>
        <v/>
      </c>
      <c r="J756" t="inlineStr"/>
      <c r="K756" t="inlineStr"/>
      <c r="L756" t="inlineStr"/>
      <c r="M756" t="inlineStr"/>
      <c r="N756" t="inlineStr"/>
      <c r="O756">
        <f>(1-Summary!$B$51)*S756+Summary!$B$51*U756</f>
        <v/>
      </c>
      <c r="P756">
        <f>IF(B770=0,0,O756/B770)</f>
        <v/>
      </c>
      <c r="Q756">
        <f>IFERROR(1/IF(Inputs!$B$38="pvp",15,MAX(0.1,Skills!D22-IF(Skills!E22=TRUE,Inputs!$B$32,0))),0)</f>
        <v/>
      </c>
      <c r="R756" t="n">
        <v>0</v>
      </c>
      <c r="S756" t="n">
        <v>0</v>
      </c>
      <c r="U756" t="n">
        <v>0</v>
      </c>
    </row>
    <row r="757">
      <c r="A757">
        <f>Skills!A23</f>
        <v/>
      </c>
      <c r="B757">
        <f>Skills!B23</f>
        <v/>
      </c>
      <c r="C757">
        <f>Inputs!$B$3&gt;=120</f>
        <v/>
      </c>
      <c r="D757">
        <f>IF(Skills!C23=1,60+Inputs!$B$25+Inputs!$B$29,IF(Skills!C23=2,90+Inputs!$B$26+Inputs!$B$29,IF(Skills!C23=3,120+Inputs!$B$27+Inputs!$B$29,MAX(0,(Inputs!$B$3-100)*3)+(Inputs!$B$28+1)+Inputs!$B$29)))</f>
        <v/>
      </c>
      <c r="E757">
        <f>INDEX(FactorTable!$B$2:$Y$301, MATCH(ROUND(MIN(300,MAX(1,D757)),0), FactorTable!$A$2:$A$301,0), Skills!L23+1)</f>
        <v/>
      </c>
      <c r="F757">
        <f>IF(Skills!M23=TRUE,(Skills!K23/10)*(E757/1000),Skills!K23/10)+Skills!N23</f>
        <v/>
      </c>
      <c r="G757">
        <f>Calc!G23</f>
        <v/>
      </c>
      <c r="H757">
        <f>Calc!H23</f>
        <v/>
      </c>
      <c r="I757">
        <f>IF(Skills!T23&lt;&gt;"",1+(Skills!T23/10)*(Z737/1000)/100,1)</f>
        <v/>
      </c>
      <c r="J757" t="inlineStr"/>
      <c r="K757" t="inlineStr"/>
      <c r="L757" t="inlineStr"/>
      <c r="M757" t="inlineStr"/>
      <c r="N757" t="inlineStr"/>
      <c r="O757">
        <f>(1-Summary!$B$51)*S757+Summary!$B$51*U757</f>
        <v/>
      </c>
      <c r="P757">
        <f>IF(B770=0,0,O757/B770)</f>
        <v/>
      </c>
      <c r="Q757">
        <f>IFERROR(1/IF(Inputs!$B$38="pvp",15,MAX(0.1,Skills!D23-IF(Skills!E23=TRUE,Inputs!$B$32,0))),0)</f>
        <v/>
      </c>
      <c r="R757" t="n">
        <v>0</v>
      </c>
      <c r="S757" t="n">
        <v>0</v>
      </c>
      <c r="U757" t="n">
        <v>0</v>
      </c>
    </row>
    <row r="760">
      <c r="A760" t="inlineStr">
        <is>
          <t>Average Buff Multiplier (Magic Guard + Meditation, summed; then Infinity)</t>
        </is>
      </c>
      <c r="B760">
        <f>(1+(IF(C737=TRUE,F737*IF(AND(Inputs!$B$38&lt;&gt;"pvp",Inputs!$B$43&gt;0),(((R737-1)*(Skills!S3*(1+(Inputs!$B$34+IF(Inputs!$B$3&gt;=117,F756,0))/100))+MIN((Skills!S3*(1+(Inputs!$B$34+IF(Inputs!$B$3&gt;=117,F756,0))/100)),MAX(0,Inputs!$B$43-((R737-1)*Skills!D3))))/Inputs!$B$43),IF(Inputs!$B$38="pvp",MIN((Skills!S3*(1+(Inputs!$B$34+IF(Inputs!$B$3&gt;=117,F756,0))/100)),15)/15,(Skills!S3*(1+(Inputs!$B$34+IF(Inputs!$B$3&gt;=117,F756,0))/100))/Skills!D3)),0)+IF(C738=TRUE,F738*IF(AND(Inputs!$B$38&lt;&gt;"pvp",Inputs!$B$43&gt;0),(((R738-1)*(Skills!S4*(1+(Inputs!$B$34+IF(Inputs!$B$3&gt;=117,F756,0))/100))+MIN((Skills!S4*(1+(Inputs!$B$34+IF(Inputs!$B$3&gt;=117,F756,0))/100)),MAX(0,Inputs!$B$43-((R738-1)*Skills!D4))))/Inputs!$B$43),IF(Inputs!$B$38="pvp",MIN((Skills!S4*(1+(Inputs!$B$34+IF(Inputs!$B$3&gt;=117,F756,0))/100)),15)/15,(Skills!S4*(1+(Inputs!$B$34+IF(Inputs!$B$3&gt;=117,F756,0))/100))/Skills!D4)),0))/100)*IF(C750=TRUE,(1+F750*IF(AND(Inputs!$B$38&lt;&gt;"pvp",Inputs!$B$43&gt;0),(((R750-1)*(Skills!S16*(1+(Inputs!$B$34+IF(Inputs!$B$3&gt;=117,F756,0))/100))+MIN((Skills!S16*(1+(Inputs!$B$34+IF(Inputs!$B$3&gt;=117,F756,0))/100)),MAX(0,Inputs!$B$43-((R750-1)*Skills!D16))))/Inputs!$B$43),IF(Inputs!$B$38="pvp",MIN((Skills!S16*(1+(Inputs!$B$34+IF(Inputs!$B$3&gt;=117,F756,0))/100)),15)/15,(Skills!S16*(1+(Inputs!$B$34+IF(Inputs!$B$3&gt;=117,F756,0))/100))/Skills!D16))/100),1)</f>
        <v/>
      </c>
    </row>
    <row r="761">
      <c r="A761" t="inlineStr">
        <is>
          <t>Monster Damage Taken Bonus % (Freezing Breath - Weaken + Elemental Reset, summed)</t>
        </is>
      </c>
      <c r="B761">
        <f>IF(Inputs!$B$3&gt;=118,15*IF(Inputs!$B$38="pvp",MIN((30*(1+(Inputs!$B$34+IF(Inputs!$B$3&gt;=117,F756,0))/100)),15)/15,(30*(1+(Inputs!$B$34+IF(Inputs!$B$3&gt;=117,F756,0))/100))/Skills!D8),0)+IF(C748=TRUE,F748,0)</f>
        <v/>
      </c>
    </row>
    <row r="762">
      <c r="A762" t="inlineStr">
        <is>
          <t>Damage % Bonus (Frozen Break + Frost Clutch, flat)</t>
        </is>
      </c>
      <c r="B762">
        <f>IF(Inputs!$B$3&gt;=66,15,0)+IF(Inputs!$B$3&gt;=98,10,0)+IF(Inputs!$B$3&gt;=125,20,0)</f>
        <v/>
      </c>
    </row>
    <row r="763">
      <c r="A763" t="inlineStr">
        <is>
          <t>Attack Speed Bonus % (MP Eater - MP Boost, always-on once unlocked)</t>
        </is>
      </c>
      <c r="B763">
        <f>IF(C747=TRUE,F747+(F751-Calc!F17),0)</f>
        <v/>
      </c>
    </row>
    <row r="764">
      <c r="A764" t="inlineStr">
        <is>
          <t>Actions Per Second</t>
        </is>
      </c>
      <c r="B764">
        <f>1+MIN(150,150*(1-(1-Inputs!$B$11/150)*(1-B763/150)))/100</f>
        <v/>
      </c>
    </row>
    <row r="765">
      <c r="A765" t="inlineStr">
        <is>
          <t>Skill + Buff Cast Rate</t>
        </is>
      </c>
      <c r="B765">
        <f>IF(AND(Inputs!$B$38&lt;&gt;"pvp",Inputs!$B$43&gt;0),SUMPRODUCT((Skills!E2:E23=TRUE)*(C736:C757=TRUE)*R736:R757)/Inputs!$B$43,SUMPRODUCT((Skills!E2:E23=TRUE)*(C736:C757=TRUE)*Q736:Q757))</f>
        <v/>
      </c>
    </row>
    <row r="766">
      <c r="A766" t="inlineStr">
        <is>
          <t>Chain Lightning Casts Per Second</t>
        </is>
      </c>
      <c r="B766">
        <f>MAX(0,B764-B765)</f>
        <v/>
      </c>
    </row>
    <row r="767">
      <c r="A767" t="inlineStr">
        <is>
          <t>Buff-Casting Startup Delay (s, fixed-duration only)</t>
        </is>
      </c>
      <c r="B767">
        <f>IF(AND(Inputs!$B$38&lt;&gt;"pvp",Inputs!$B$43&gt;0),SUMPRODUCT((Skills!S2:S23&gt;0)*(Skills!E2:E23=TRUE)*(C736:C757=TRUE))/B764,0)</f>
        <v/>
      </c>
    </row>
    <row r="768">
      <c r="A768" t="inlineStr">
        <is>
          <t>Boss-Only Total DPS (this block's swept value)</t>
        </is>
      </c>
      <c r="B768">
        <f>SUM(S736:S757)</f>
        <v/>
      </c>
    </row>
    <row r="769">
      <c r="A769" t="inlineStr">
        <is>
          <t>Normal-Only Total DPS (this block's swept value)</t>
        </is>
      </c>
      <c r="B769">
        <f>SUM(U736:U757)</f>
        <v/>
      </c>
    </row>
    <row r="770">
      <c r="A770" s="5" t="inlineStr">
        <is>
          <t>TOTAL DPS</t>
        </is>
      </c>
      <c r="B770" s="5">
        <f>SUM(O736:O757)</f>
        <v/>
      </c>
    </row>
    <row r="773">
      <c r="A773" s="5" t="inlineStr">
        <is>
          <t>Stat: Skill Level Bonus — All Skills</t>
        </is>
      </c>
    </row>
    <row r="774">
      <c r="A774" s="9" t="inlineStr">
        <is>
          <t>Key</t>
        </is>
      </c>
      <c r="B774" s="9" t="inlineStr">
        <is>
          <t>Name</t>
        </is>
      </c>
      <c r="C774" s="9" t="inlineStr">
        <is>
          <t>Unlocked</t>
        </is>
      </c>
      <c r="D774" s="9" t="inlineStr">
        <is>
          <t>InputLevel</t>
        </is>
      </c>
      <c r="E774" s="9" t="inlineStr">
        <is>
          <t>Factor</t>
        </is>
      </c>
      <c r="F774" s="9" t="inlineStr">
        <is>
          <t>CoefficientPercent</t>
        </is>
      </c>
      <c r="G774" s="9" t="inlineStr">
        <is>
          <t>EffectiveHits</t>
        </is>
      </c>
      <c r="H774" s="9" t="inlineStr">
        <is>
          <t>ProcProbability</t>
        </is>
      </c>
      <c r="I774" s="9" t="inlineStr">
        <is>
          <t>MapleHeroMultiplier</t>
        </is>
      </c>
      <c r="J774" s="9" t="inlineStr">
        <is>
          <t>BaseDamage</t>
        </is>
      </c>
      <c r="K774" s="9" t="inlineStr">
        <is>
          <t>BaseHitDamage</t>
        </is>
      </c>
      <c r="L774" s="9" t="inlineStr">
        <is>
          <t>NonCritAvg</t>
        </is>
      </c>
      <c r="M774" s="9" t="inlineStr">
        <is>
          <t>CritAvg</t>
        </is>
      </c>
      <c r="N774" s="9" t="inlineStr">
        <is>
          <t>ExpectedDamage(perHit)</t>
        </is>
      </c>
      <c r="O774" s="9" t="inlineStr">
        <is>
          <t>DPS</t>
        </is>
      </c>
      <c r="P774" s="9" t="inlineStr">
        <is>
          <t>% of Total</t>
        </is>
      </c>
      <c r="R774" t="inlineStr">
        <is>
          <t>helpers</t>
        </is>
      </c>
    </row>
    <row r="775">
      <c r="A775">
        <f>Skills!A2</f>
        <v/>
      </c>
      <c r="B775">
        <f>Skills!B2</f>
        <v/>
      </c>
      <c r="C775">
        <f>Inputs!$B$3&gt;=100</f>
        <v/>
      </c>
      <c r="D775" t="inlineStr"/>
      <c r="E775" t="inlineStr"/>
      <c r="F775">
        <f>T777+Skills!N2</f>
        <v/>
      </c>
      <c r="G775">
        <f>Calc!G2</f>
        <v/>
      </c>
      <c r="H775">
        <f>Calc!H2</f>
        <v/>
      </c>
      <c r="I775">
        <f>IF(Skills!T2&lt;&gt;"",1+(Skills!T2/10)*(Z776/1000)/100,1)</f>
        <v/>
      </c>
      <c r="J775">
        <f>((Inputs!$B$6*(1+Inputs!$B$7/100))+(((Inputs!$B$12*(1+Inputs!$B$13/100))-(Inputs!$B$12*(1+Inputs!$B$13/100)))+0.25*(Inputs!$B$14-Inputs!$B$14))*(1+Inputs!$B$7/100))*(F775/100)</f>
        <v/>
      </c>
      <c r="K775">
        <f>J775*(1+((Inputs!$B$12*(1+Inputs!$B$13/100))*0.01+Inputs!$B$14*0.0025)/100)*(1+(Inputs!$B$15+B801)/100)*(1+Inputs!$B$16/100)*(5000/(6000+Inputs!$B$42*(1-Inputs!$B$19/100)))*(1+Inputs!$B$24/100)*(1+IF(C788=TRUE,F788,0)/100)*(1+IF(C796=TRUE,F796,0)/100)^5*(1+(IF(Skills!A2="CHAIN_LIGHTNING",Inputs!$B$17,Inputs!$B$18))/100)*(B799*I775)</f>
        <v/>
      </c>
      <c r="L775">
        <f>K775*(MIN(Inputs!$B$22+(F791-Calc!F18),Inputs!$B$23)/100+Inputs!$B$23/100)/2</f>
        <v/>
      </c>
      <c r="M775">
        <f>L775*(1+(Inputs!$B$10+(F794-Calc!F21))/100)</f>
        <v/>
      </c>
      <c r="N775">
        <f>L775*(1-MIN(Inputs!$B$9+((F793-Calc!F20)+(F792-Calc!F19)),100)/100)+M775*(MIN(Inputs!$B$9+((F793-Calc!F20)+(F792-Calc!F19)),100)/100)</f>
        <v/>
      </c>
      <c r="O775">
        <f>(1-Summary!$B$51)*S775+Summary!$B$51*U775</f>
        <v/>
      </c>
      <c r="P775">
        <f>IF(B809=0,0,O775/B809)</f>
        <v/>
      </c>
      <c r="Q775">
        <f>IFERROR(1/IF(Inputs!$B$38="pvp",15,MAX(0.1,Skills!D2-IF(Skills!E2=TRUE,Inputs!$B$32,0))),0)</f>
        <v/>
      </c>
      <c r="R775" t="n">
        <v>0</v>
      </c>
      <c r="S775">
        <f>IF(C775,(Skills!F2*N775*B805)*IF(Inputs!$B$38="pvp",1,1+(Inputs!$B$20+Skills!O2+B800)/100),0)</f>
        <v/>
      </c>
      <c r="T775">
        <f>MAX(0,(Inputs!$B$3-100)*3)+Inputs!$B$28+(Inputs!$B$29+1)</f>
        <v/>
      </c>
      <c r="U775">
        <f>IF(C775,(Skills!F2*N775*B805)*IF(Inputs!$B$38="pvp",1,(1+(Inputs!$B$21+Skills!P2+B800)/100)*(MIN((6+Inputs!$B$33),Inputs!$B$37))),0)</f>
        <v/>
      </c>
      <c r="Z775">
        <f>MAX(0,(Inputs!$B$3-100)*3)+Inputs!$B$28+(Inputs!$B$29+1)</f>
        <v/>
      </c>
    </row>
    <row r="776">
      <c r="A776">
        <f>Skills!A3</f>
        <v/>
      </c>
      <c r="B776">
        <f>Skills!B3</f>
        <v/>
      </c>
      <c r="C776">
        <f>Inputs!$B$3&gt;=15</f>
        <v/>
      </c>
      <c r="D776">
        <f>IF(Skills!C3=1,60+Inputs!$B$25+(Inputs!$B$29+1),IF(Skills!C3=2,90+Inputs!$B$26+(Inputs!$B$29+1),IF(Skills!C3=3,120+Inputs!$B$27+(Inputs!$B$29+1),MAX(0,(Inputs!$B$3-100)*3)+Inputs!$B$28+(Inputs!$B$29+1))))</f>
        <v/>
      </c>
      <c r="E776">
        <f>INDEX(FactorTable!$B$2:$Y$301, MATCH(ROUND(MIN(300,MAX(1,D776)),0), FactorTable!$A$2:$A$301,0), Skills!L3+1)</f>
        <v/>
      </c>
      <c r="F776">
        <f>IF(Skills!M3=TRUE,(Skills!K3/10)*(E776/1000),Skills!K3/10)+Skills!N3</f>
        <v/>
      </c>
      <c r="G776">
        <f>Calc!G3</f>
        <v/>
      </c>
      <c r="H776">
        <f>Calc!H3</f>
        <v/>
      </c>
      <c r="I776">
        <f>IF(Skills!T3&lt;&gt;"",1+(Skills!T3/10)*(Z776/1000)/100,1)</f>
        <v/>
      </c>
      <c r="J776" t="inlineStr"/>
      <c r="K776" t="inlineStr"/>
      <c r="L776" t="inlineStr"/>
      <c r="M776" t="inlineStr"/>
      <c r="N776" t="inlineStr"/>
      <c r="O776">
        <f>(1-Summary!$B$51)*S776+Summary!$B$51*U776</f>
        <v/>
      </c>
      <c r="P776">
        <f>IF(B809=0,0,O776/B809)</f>
        <v/>
      </c>
      <c r="Q776">
        <f>IFERROR(1/IF(Inputs!$B$38="pvp",15,MAX(0.1,Skills!D3-IF(Skills!E3=TRUE,Inputs!$B$32,0))),0)</f>
        <v/>
      </c>
      <c r="R776">
        <f>IF(AND(Inputs!$B$38&lt;&gt;"pvp",Inputs!$B$43&gt;0),IF(Inputs!$B$43&lt;=0,0,(INT(Inputs!$B$43/IF(Inputs!$B$38="pvp",15,MAX(0.1,Skills!D3-IF(Skills!E3=TRUE,Inputs!$B$32,0))))+1)),0)</f>
        <v/>
      </c>
      <c r="S776" t="n">
        <v>0</v>
      </c>
      <c r="T776">
        <f>INDEX(FactorTable!$B$2:$Y$301, MATCH(ROUND(MIN(300,MAX(1,T775)),0), FactorTable!$A$2:$A$301,0), 22)</f>
        <v/>
      </c>
      <c r="U776" t="n">
        <v>0</v>
      </c>
      <c r="Z776">
        <f>INDEX(FactorTable!$B$2:$Y$301, MATCH(ROUND(MIN(300,MAX(1,Z775)),0), FactorTable!$A$2:$A$301,0), 24)</f>
        <v/>
      </c>
    </row>
    <row r="777">
      <c r="A777">
        <f>Skills!A4</f>
        <v/>
      </c>
      <c r="B777">
        <f>Skills!B4</f>
        <v/>
      </c>
      <c r="C777">
        <f>Inputs!$B$3&gt;=40</f>
        <v/>
      </c>
      <c r="D777">
        <f>IF(Skills!C4=1,60+Inputs!$B$25+(Inputs!$B$29+1),IF(Skills!C4=2,90+Inputs!$B$26+(Inputs!$B$29+1),IF(Skills!C4=3,120+Inputs!$B$27+(Inputs!$B$29+1),MAX(0,(Inputs!$B$3-100)*3)+Inputs!$B$28+(Inputs!$B$29+1))))</f>
        <v/>
      </c>
      <c r="E777">
        <f>INDEX(FactorTable!$B$2:$Y$301, MATCH(ROUND(MIN(300,MAX(1,D777)),0), FactorTable!$A$2:$A$301,0), Skills!L4+1)</f>
        <v/>
      </c>
      <c r="F777">
        <f>IF(Skills!M4=TRUE,(Skills!K4/10)*(E777/1000),Skills!K4/10)+Skills!N4</f>
        <v/>
      </c>
      <c r="G777">
        <f>Calc!G4</f>
        <v/>
      </c>
      <c r="H777">
        <f>Calc!H4</f>
        <v/>
      </c>
      <c r="I777">
        <f>IF(Skills!T4&lt;&gt;"",1+(Skills!T4/10)*(Z776/1000)/100,1)</f>
        <v/>
      </c>
      <c r="J777" t="inlineStr"/>
      <c r="K777" t="inlineStr"/>
      <c r="L777" t="inlineStr"/>
      <c r="M777" t="inlineStr"/>
      <c r="N777" t="inlineStr"/>
      <c r="O777">
        <f>(1-Summary!$B$51)*S777+Summary!$B$51*U777</f>
        <v/>
      </c>
      <c r="P777">
        <f>IF(B809=0,0,O777/B809)</f>
        <v/>
      </c>
      <c r="Q777">
        <f>IFERROR(1/IF(Inputs!$B$38="pvp",15,MAX(0.1,Skills!D4-IF(Skills!E4=TRUE,Inputs!$B$32,0))),0)</f>
        <v/>
      </c>
      <c r="R777">
        <f>IF(AND(Inputs!$B$38&lt;&gt;"pvp",Inputs!$B$43&gt;0),IF(Inputs!$B$43&lt;=0,0,(INT(Inputs!$B$43/IF(Inputs!$B$38="pvp",15,MAX(0.1,Skills!D4-IF(Skills!E4=TRUE,Inputs!$B$32,0))))+1)),0)</f>
        <v/>
      </c>
      <c r="S777" t="n">
        <v>0</v>
      </c>
      <c r="T777">
        <f>290*T776/1000</f>
        <v/>
      </c>
      <c r="U777" t="n">
        <v>0</v>
      </c>
    </row>
    <row r="778">
      <c r="A778">
        <f>Skills!A5</f>
        <v/>
      </c>
      <c r="B778">
        <f>Skills!B5</f>
        <v/>
      </c>
      <c r="C778">
        <f>Inputs!$B$3&gt;=38</f>
        <v/>
      </c>
      <c r="D778">
        <f>IF(Skills!C5=1,60+Inputs!$B$25+(Inputs!$B$29+1),IF(Skills!C5=2,90+Inputs!$B$26+(Inputs!$B$29+1),IF(Skills!C5=3,120+Inputs!$B$27+(Inputs!$B$29+1),MAX(0,(Inputs!$B$3-100)*3)+Inputs!$B$28+(Inputs!$B$29+1))))</f>
        <v/>
      </c>
      <c r="E778">
        <f>INDEX(FactorTable!$B$2:$Y$301, MATCH(ROUND(MIN(300,MAX(1,D778)),0), FactorTable!$A$2:$A$301,0), Skills!L5+1)</f>
        <v/>
      </c>
      <c r="F778">
        <f>IF(Skills!M5=TRUE,(Skills!K5/10)*(E778/1000),Skills!K5/10)+Skills!N5</f>
        <v/>
      </c>
      <c r="G778">
        <f>Calc!G5</f>
        <v/>
      </c>
      <c r="H778">
        <f>Calc!H5</f>
        <v/>
      </c>
      <c r="I778">
        <f>IF(Skills!T5&lt;&gt;"",1+(Skills!T5/10)*(Z776/1000)/100,1)</f>
        <v/>
      </c>
      <c r="J778">
        <f>((Inputs!$B$6*(1+Inputs!$B$7/100))+(((Inputs!$B$12*(1+Inputs!$B$13/100))-(Inputs!$B$12*(1+Inputs!$B$13/100)))+0.25*(Inputs!$B$14-Inputs!$B$14))*(1+Inputs!$B$7/100))*(F778/100)</f>
        <v/>
      </c>
      <c r="K778">
        <f>J778*(1+((Inputs!$B$12*(1+Inputs!$B$13/100))*0.01+Inputs!$B$14*0.0025)/100)*(1+(Inputs!$B$15+B801)/100)*(1+Inputs!$B$16/100)*(5000/(6000+Inputs!$B$42*(1-Inputs!$B$19/100)))*(1+Inputs!$B$24/100)*(1+IF(C788=TRUE,F788,0)/100)*(1+IF(C796=TRUE,F796,0)/100)^5*(1+(IF(Skills!A5="CHAIN_LIGHTNING",Inputs!$B$17,Inputs!$B$18))/100)*(B799*I778)</f>
        <v/>
      </c>
      <c r="L778">
        <f>K778*(MIN(Inputs!$B$22+(F791-Calc!F18),Inputs!$B$23)/100+Inputs!$B$23/100)/2</f>
        <v/>
      </c>
      <c r="M778">
        <f>L778*(1+(Inputs!$B$10+(F794-Calc!F21))/100)</f>
        <v/>
      </c>
      <c r="N778">
        <f>L778*(1-MIN(Inputs!$B$9+((F793-Calc!F20)+(F792-Calc!F19)),100)/100)+M778*(MIN(Inputs!$B$9+((F793-Calc!F20)+(F792-Calc!F19)),100)/100)</f>
        <v/>
      </c>
      <c r="O778">
        <f>(1-Summary!$B$51)*S778+Summary!$B$51*U778</f>
        <v/>
      </c>
      <c r="P778">
        <f>IF(B809=0,0,O778/B809)</f>
        <v/>
      </c>
      <c r="Q778">
        <f>IFERROR(1/IF(Inputs!$B$38="pvp",15,MAX(0.1,Skills!D5-IF(Skills!E5=TRUE,Inputs!$B$32,0))),0)</f>
        <v/>
      </c>
      <c r="R778">
        <f>IF(AND(Inputs!$B$38&lt;&gt;"pvp",Inputs!$B$43&gt;0),IF(MAX(0,Inputs!$B$43-B806)&lt;=0,0,(INT(MAX(0,Inputs!$B$43-B806)/IF(Inputs!$B$38="pvp",15,MAX(0.1,Skills!D5-IF(Skills!E5=TRUE,Inputs!$B$32,0))))+1)),0)</f>
        <v/>
      </c>
      <c r="S778">
        <f>IF(C778,(H778*N778*IF(AND(Inputs!$B$38&lt;&gt;"pvp",Inputs!$B$43&gt;0),((Skills!F5*((R778-1)*IF(Skills!G5&gt;0,Skills!H5/Skills!G5,1)+IF(Skills!G5&gt;0,MIN(Skills!H5,MAX(0,MAX(0,Inputs!$B$43-B806)-((R778-1)*IF(Inputs!$B$38="pvp",15,MAX(0.1,Skills!D5-IF(Skills!E5=TRUE,Inputs!$B$32,0))))))/Skills!G5,1)))/Inputs!$B$43),G778*Q778))*IF(Inputs!$B$38="pvp",1,1+(Inputs!$B$20+Skills!O5+B800)/100),0)</f>
        <v/>
      </c>
      <c r="U778">
        <f>IF(C778,(H778*N778*IF(AND(Inputs!$B$38&lt;&gt;"pvp",Inputs!$B$43&gt;0),((Skills!F5*((R778-1)*IF(Skills!G5&gt;0,Skills!H5/Skills!G5,1)+IF(Skills!G5&gt;0,MIN(Skills!H5,MAX(0,MAX(0,Inputs!$B$43-B806)-((R778-1)*IF(Inputs!$B$38="pvp",15,MAX(0.1,Skills!D5-IF(Skills!E5=TRUE,Inputs!$B$32,0))))))/Skills!G5,1)))/Inputs!$B$43),G778*Q778))*IF(Inputs!$B$38="pvp",1,(1+(Inputs!$B$21+Skills!P5+B800)/100)*(MIN(Skills!Q5,Inputs!$B$37))),0)</f>
        <v/>
      </c>
    </row>
    <row r="779">
      <c r="A779">
        <f>Skills!A6</f>
        <v/>
      </c>
      <c r="B779">
        <f>Skills!B6</f>
        <v/>
      </c>
      <c r="C779">
        <f>Inputs!$B$3&gt;=63</f>
        <v/>
      </c>
      <c r="D779">
        <f>IF(Skills!C6=1,60+Inputs!$B$25+(Inputs!$B$29+1),IF(Skills!C6=2,90+Inputs!$B$26+(Inputs!$B$29+1),IF(Skills!C6=3,120+Inputs!$B$27+(Inputs!$B$29+1),MAX(0,(Inputs!$B$3-100)*3)+Inputs!$B$28+(Inputs!$B$29+1))))</f>
        <v/>
      </c>
      <c r="E779">
        <f>INDEX(FactorTable!$B$2:$Y$301, MATCH(ROUND(MIN(300,MAX(1,D779)),0), FactorTable!$A$2:$A$301,0), Skills!L6+1)</f>
        <v/>
      </c>
      <c r="F779">
        <f>IF(Skills!M6=TRUE,(Skills!K6/10)*(E779/1000),Skills!K6/10)+Skills!N6</f>
        <v/>
      </c>
      <c r="G779">
        <f>Calc!G6</f>
        <v/>
      </c>
      <c r="H779">
        <f>Calc!H6</f>
        <v/>
      </c>
      <c r="I779">
        <f>IF(Skills!T6&lt;&gt;"",1+(Skills!T6/10)*(Z776/1000)/100,1)</f>
        <v/>
      </c>
      <c r="J779">
        <f>((Inputs!$B$6*(1+Inputs!$B$7/100))+(((Inputs!$B$12*(1+Inputs!$B$13/100))-(Inputs!$B$12*(1+Inputs!$B$13/100)))+0.25*(Inputs!$B$14-Inputs!$B$14))*(1+Inputs!$B$7/100))*(F779/100)</f>
        <v/>
      </c>
      <c r="K779">
        <f>J779*(1+((Inputs!$B$12*(1+Inputs!$B$13/100))*0.01+Inputs!$B$14*0.0025)/100)*(1+(Inputs!$B$15+B801)/100)*(1+Inputs!$B$16/100)*(5000/(6000+Inputs!$B$42*(1-Inputs!$B$19/100)))*(1+Inputs!$B$24/100)*(1+IF(C788=TRUE,F788,0)/100)*(1+IF(C796=TRUE,F796,0)/100)^5*(1+(IF(Skills!A6="CHAIN_LIGHTNING",Inputs!$B$17,Inputs!$B$18))/100)*(B799*I779)</f>
        <v/>
      </c>
      <c r="L779">
        <f>K779*(MIN(Inputs!$B$22+(F791-Calc!F18),Inputs!$B$23)/100+Inputs!$B$23/100)/2</f>
        <v/>
      </c>
      <c r="M779">
        <f>L779*(1+(Inputs!$B$10+(F794-Calc!F21))/100)</f>
        <v/>
      </c>
      <c r="N779">
        <f>L779*(1-MIN(Inputs!$B$9+((F793-Calc!F20)+(F792-Calc!F19)),100)/100)+M779*(MIN(Inputs!$B$9+((F793-Calc!F20)+(F792-Calc!F19)),100)/100)</f>
        <v/>
      </c>
      <c r="O779">
        <f>(1-Summary!$B$51)*S779+Summary!$B$51*U779</f>
        <v/>
      </c>
      <c r="P779">
        <f>IF(B809=0,0,O779/B809)</f>
        <v/>
      </c>
      <c r="Q779">
        <f>IFERROR(1/IF(Inputs!$B$38="pvp",15,MAX(0.1,Skills!D6-IF(Skills!E6=TRUE,Inputs!$B$32,0))),0)</f>
        <v/>
      </c>
      <c r="R779">
        <f>IF(AND(Inputs!$B$38&lt;&gt;"pvp",Inputs!$B$43&gt;0),IF(MAX(0,Inputs!$B$43-B806)&lt;=0,0,(INT(MAX(0,Inputs!$B$43-B806)/IF(Inputs!$B$38="pvp",15,MAX(0.1,Skills!D6-IF(Skills!E6=TRUE,Inputs!$B$32,0))))+1)),0)</f>
        <v/>
      </c>
      <c r="S779">
        <f>IF(C779,(H779*N779*IF(AND(Inputs!$B$38&lt;&gt;"pvp",Inputs!$B$43&gt;0),((Skills!F6*((R779-1)*IF(Skills!G6&gt;0,Skills!H6/Skills!G6,1)+IF(Skills!G6&gt;0,MIN(Skills!H6,MAX(0,MAX(0,Inputs!$B$43-B806)-((R779-1)*IF(Inputs!$B$38="pvp",15,MAX(0.1,Skills!D6-IF(Skills!E6=TRUE,Inputs!$B$32,0))))))/Skills!G6,1)))/Inputs!$B$43),G779*Q779))*IF(Inputs!$B$38="pvp",1,1+(Inputs!$B$20+Skills!O6+B800)/100),0)</f>
        <v/>
      </c>
      <c r="U779">
        <f>IF(C779,(H779*N779*IF(AND(Inputs!$B$38&lt;&gt;"pvp",Inputs!$B$43&gt;0),((Skills!F6*((R779-1)*IF(Skills!G6&gt;0,Skills!H6/Skills!G6,1)+IF(Skills!G6&gt;0,MIN(Skills!H6,MAX(0,MAX(0,Inputs!$B$43-B806)-((R779-1)*IF(Inputs!$B$38="pvp",15,MAX(0.1,Skills!D6-IF(Skills!E6=TRUE,Inputs!$B$32,0))))))/Skills!G6,1)))/Inputs!$B$43),G779*Q779))*IF(Inputs!$B$38="pvp",1,(1+(Inputs!$B$21+Skills!P6+B800)/100)*(MIN(Skills!Q6,Inputs!$B$37))),0)</f>
        <v/>
      </c>
    </row>
    <row r="780">
      <c r="A780">
        <f>Skills!A7</f>
        <v/>
      </c>
      <c r="B780">
        <f>Skills!B7</f>
        <v/>
      </c>
      <c r="C780">
        <f>Inputs!$B$3&gt;=69</f>
        <v/>
      </c>
      <c r="D780">
        <f>IF(Skills!C7=1,60+Inputs!$B$25+(Inputs!$B$29+1),IF(Skills!C7=2,90+Inputs!$B$26+(Inputs!$B$29+1),IF(Skills!C7=3,120+Inputs!$B$27+(Inputs!$B$29+1),MAX(0,(Inputs!$B$3-100)*3)+Inputs!$B$28+(Inputs!$B$29+1))))</f>
        <v/>
      </c>
      <c r="E780">
        <f>INDEX(FactorTable!$B$2:$Y$301, MATCH(ROUND(MIN(300,MAX(1,D780)),0), FactorTable!$A$2:$A$301,0), Skills!L7+1)</f>
        <v/>
      </c>
      <c r="F780">
        <f>IF(Skills!M7=TRUE,(Skills!K7/10)*(E780/1000),Skills!K7/10)+Skills!N7</f>
        <v/>
      </c>
      <c r="G780">
        <f>Calc!G7</f>
        <v/>
      </c>
      <c r="H780">
        <f>Calc!H7</f>
        <v/>
      </c>
      <c r="I780">
        <f>IF(Skills!T7&lt;&gt;"",1+(Skills!T7/10)*(Z776/1000)/100,1)</f>
        <v/>
      </c>
      <c r="J780">
        <f>((Inputs!$B$6*(1+Inputs!$B$7/100))+(((Inputs!$B$12*(1+Inputs!$B$13/100))-(Inputs!$B$12*(1+Inputs!$B$13/100)))+0.25*(Inputs!$B$14-Inputs!$B$14))*(1+Inputs!$B$7/100))*(F780/100)</f>
        <v/>
      </c>
      <c r="K780">
        <f>J780*(1+((Inputs!$B$12*(1+Inputs!$B$13/100))*0.01+Inputs!$B$14*0.0025)/100)*(1+(Inputs!$B$15+B801)/100)*(1+Inputs!$B$16/100)*(5000/(6000+Inputs!$B$42*(1-Inputs!$B$19/100)))*(1+Inputs!$B$24/100)*(1+IF(C788=TRUE,F788,0)/100)*(1+IF(C796=TRUE,F796,0)/100)^5*(1+(IF(Skills!A7="CHAIN_LIGHTNING",Inputs!$B$17,Inputs!$B$18))/100)*(B799*I780)</f>
        <v/>
      </c>
      <c r="L780">
        <f>K780*(MIN(Inputs!$B$22+(F791-Calc!F18),Inputs!$B$23)/100+Inputs!$B$23/100)/2</f>
        <v/>
      </c>
      <c r="M780">
        <f>L780*(1+(Inputs!$B$10+(F794-Calc!F21))/100)</f>
        <v/>
      </c>
      <c r="N780">
        <f>L780*(1-MIN(Inputs!$B$9+((F793-Calc!F20)+(F792-Calc!F19)),100)/100)+M780*(MIN(Inputs!$B$9+((F793-Calc!F20)+(F792-Calc!F19)),100)/100)</f>
        <v/>
      </c>
      <c r="O780">
        <f>(1-Summary!$B$51)*S780+Summary!$B$51*U780</f>
        <v/>
      </c>
      <c r="P780">
        <f>IF(B809=0,0,O780/B809)</f>
        <v/>
      </c>
      <c r="Q780">
        <f>IFERROR(1/IF(Inputs!$B$38="pvp",15,MAX(0.1,Skills!D7-IF(Skills!E7=TRUE,Inputs!$B$32,0))),0)</f>
        <v/>
      </c>
      <c r="R780">
        <f>IF(AND(Inputs!$B$38&lt;&gt;"pvp",Inputs!$B$43&gt;0),IF(MAX(0,Inputs!$B$43-B806)&lt;=0,0,(INT(MAX(0,Inputs!$B$43-B806)/IF(Inputs!$B$38="pvp",15,MAX(0.1,Skills!D7-IF(Skills!E7=TRUE,Inputs!$B$32,0))))+1)),0)</f>
        <v/>
      </c>
      <c r="S780">
        <f>IF(C780,(H780*N780*IF(AND(Inputs!$B$38&lt;&gt;"pvp",Inputs!$B$43&gt;0),((Skills!F7*((R780-1)*IF(Skills!G7&gt;0,Skills!H7/Skills!G7,1)+IF(Skills!G7&gt;0,MIN(Skills!H7,MAX(0,MAX(0,Inputs!$B$43-B806)-((R780-1)*IF(Inputs!$B$38="pvp",15,MAX(0.1,Skills!D7-IF(Skills!E7=TRUE,Inputs!$B$32,0))))))/Skills!G7,1)))/Inputs!$B$43),G780*Q780))*IF(Inputs!$B$38="pvp",1,1+(Inputs!$B$20+Skills!O7+B800)/100),0)</f>
        <v/>
      </c>
      <c r="U780">
        <f>IF(C780,(H780*N780*IF(AND(Inputs!$B$38&lt;&gt;"pvp",Inputs!$B$43&gt;0),((Skills!F7*((R780-1)*IF(Skills!G7&gt;0,Skills!H7/Skills!G7,1)+IF(Skills!G7&gt;0,MIN(Skills!H7,MAX(0,MAX(0,Inputs!$B$43-B806)-((R780-1)*IF(Inputs!$B$38="pvp",15,MAX(0.1,Skills!D7-IF(Skills!E7=TRUE,Inputs!$B$32,0))))))/Skills!G7,1)))/Inputs!$B$43),G780*Q780))*IF(Inputs!$B$38="pvp",1,(1+(Inputs!$B$21+Skills!P7+B800)/100)*(MIN(Skills!Q7,Inputs!$B$37))),0)</f>
        <v/>
      </c>
    </row>
    <row r="781">
      <c r="A781">
        <f>Skills!A8</f>
        <v/>
      </c>
      <c r="B781">
        <f>Skills!B8</f>
        <v/>
      </c>
      <c r="C781">
        <f>Inputs!$B$3&gt;=103</f>
        <v/>
      </c>
      <c r="D781">
        <f>IF(Skills!C8=1,60+Inputs!$B$25+(Inputs!$B$29+1),IF(Skills!C8=2,90+Inputs!$B$26+(Inputs!$B$29+1),IF(Skills!C8=3,120+Inputs!$B$27+(Inputs!$B$29+1),MAX(0,(Inputs!$B$3-100)*3)+Inputs!$B$28+(Inputs!$B$29+1))))</f>
        <v/>
      </c>
      <c r="E781">
        <f>INDEX(FactorTable!$B$2:$Y$301, MATCH(ROUND(MIN(300,MAX(1,D781)),0), FactorTable!$A$2:$A$301,0), Skills!L8+1)</f>
        <v/>
      </c>
      <c r="F781">
        <f>IF(Skills!M8=TRUE,(Skills!K8/10)*(E781/1000),Skills!K8/10)+Skills!N8</f>
        <v/>
      </c>
      <c r="G781">
        <f>Calc!G8</f>
        <v/>
      </c>
      <c r="H781">
        <f>Calc!H8</f>
        <v/>
      </c>
      <c r="I781">
        <f>IF(Skills!T8&lt;&gt;"",1+(Skills!T8/10)*(Z776/1000)/100,1)</f>
        <v/>
      </c>
      <c r="J781">
        <f>((Inputs!$B$6*(1+Inputs!$B$7/100))+(((Inputs!$B$12*(1+Inputs!$B$13/100))-(Inputs!$B$12*(1+Inputs!$B$13/100)))+0.25*(Inputs!$B$14-Inputs!$B$14))*(1+Inputs!$B$7/100))*(F781/100)</f>
        <v/>
      </c>
      <c r="K781">
        <f>J781*(1+((Inputs!$B$12*(1+Inputs!$B$13/100))*0.01+Inputs!$B$14*0.0025)/100)*(1+(Inputs!$B$15+B801)/100)*(1+Inputs!$B$16/100)*(5000/(6000+Inputs!$B$42*(1-Inputs!$B$19/100)))*(1+Inputs!$B$24/100)*(1+IF(C788=TRUE,F788,0)/100)*(1+IF(C796=TRUE,F796,0)/100)^5*(1+(IF(Skills!A8="CHAIN_LIGHTNING",Inputs!$B$17,Inputs!$B$18))/100)*(B799*I781)</f>
        <v/>
      </c>
      <c r="L781">
        <f>K781*(MIN(Inputs!$B$22+(F791-Calc!F18),Inputs!$B$23)/100+Inputs!$B$23/100)/2</f>
        <v/>
      </c>
      <c r="M781">
        <f>L781*(1+(Inputs!$B$10+(F794-Calc!F21))/100)</f>
        <v/>
      </c>
      <c r="N781">
        <f>L781*(1-MIN(Inputs!$B$9+((F793-Calc!F20)+(F792-Calc!F19)),100)/100)+M781*(MIN(Inputs!$B$9+((F793-Calc!F20)+(F792-Calc!F19)),100)/100)</f>
        <v/>
      </c>
      <c r="O781">
        <f>(1-Summary!$B$51)*S781+Summary!$B$51*U781</f>
        <v/>
      </c>
      <c r="P781">
        <f>IF(B809=0,0,O781/B809)</f>
        <v/>
      </c>
      <c r="Q781">
        <f>IFERROR(1/IF(Inputs!$B$38="pvp",15,MAX(0.1,Skills!D8-IF(Skills!E8=TRUE,Inputs!$B$32,0))),0)</f>
        <v/>
      </c>
      <c r="R781">
        <f>IF(AND(Inputs!$B$38&lt;&gt;"pvp",Inputs!$B$43&gt;0),IF(MAX(0,Inputs!$B$43-B806)&lt;=0,0,(INT(MAX(0,Inputs!$B$43-B806)/IF(Inputs!$B$38="pvp",15,MAX(0.1,Skills!D8-IF(Skills!E8=TRUE,Inputs!$B$32,0))))+1)),0)</f>
        <v/>
      </c>
      <c r="S781">
        <f>IF(C781,(H781*N781*IF(AND(Inputs!$B$38&lt;&gt;"pvp",Inputs!$B$43&gt;0),((Skills!F8*((R781-1)*IF(Skills!G8&gt;0,Skills!H8/Skills!G8,1)+IF(Skills!G8&gt;0,MIN(Skills!H8,MAX(0,MAX(0,Inputs!$B$43-B806)-((R781-1)*IF(Inputs!$B$38="pvp",15,MAX(0.1,Skills!D8-IF(Skills!E8=TRUE,Inputs!$B$32,0))))))/Skills!G8,1)))/Inputs!$B$43),G781*Q781))*IF(Inputs!$B$38="pvp",1,1+(Inputs!$B$20+Skills!O8+B800)/100),0)</f>
        <v/>
      </c>
      <c r="U781">
        <f>IF(C781,(H781*N781*IF(AND(Inputs!$B$38&lt;&gt;"pvp",Inputs!$B$43&gt;0),((Skills!F8*((R781-1)*IF(Skills!G8&gt;0,Skills!H8/Skills!G8,1)+IF(Skills!G8&gt;0,MIN(Skills!H8,MAX(0,MAX(0,Inputs!$B$43-B806)-((R781-1)*IF(Inputs!$B$38="pvp",15,MAX(0.1,Skills!D8-IF(Skills!E8=TRUE,Inputs!$B$32,0))))))/Skills!G8,1)))/Inputs!$B$43),G781*Q781))*IF(Inputs!$B$38="pvp",1,(1+(Inputs!$B$21+Skills!P8+B800)/100)*(MIN(Skills!Q8,Inputs!$B$37))),0)</f>
        <v/>
      </c>
    </row>
    <row r="782">
      <c r="A782">
        <f>Skills!A9</f>
        <v/>
      </c>
      <c r="B782">
        <f>Skills!B9</f>
        <v/>
      </c>
      <c r="C782">
        <f>Inputs!$B$3&gt;=105</f>
        <v/>
      </c>
      <c r="D782">
        <f>IF(Skills!C9=1,60+Inputs!$B$25+(Inputs!$B$29+1),IF(Skills!C9=2,90+Inputs!$B$26+(Inputs!$B$29+1),IF(Skills!C9=3,120+Inputs!$B$27+(Inputs!$B$29+1),MAX(0,(Inputs!$B$3-100)*3)+Inputs!$B$28+(Inputs!$B$29+1))))</f>
        <v/>
      </c>
      <c r="E782">
        <f>INDEX(FactorTable!$B$2:$Y$301, MATCH(ROUND(MIN(300,MAX(1,D782)),0), FactorTable!$A$2:$A$301,0), Skills!L9+1)</f>
        <v/>
      </c>
      <c r="F782">
        <f>IF(Skills!M9=TRUE,(Skills!K9/10)*(E782/1000),Skills!K9/10)+Skills!N9</f>
        <v/>
      </c>
      <c r="G782">
        <f>Calc!G9</f>
        <v/>
      </c>
      <c r="H782">
        <f>Calc!H9</f>
        <v/>
      </c>
      <c r="I782">
        <f>IF(Skills!T9&lt;&gt;"",1+(Skills!T9/10)*(Z776/1000)/100,1)</f>
        <v/>
      </c>
      <c r="J782">
        <f>((Inputs!$B$6*(1+Inputs!$B$7/100))+(((Inputs!$B$12*(1+Inputs!$B$13/100))-(Inputs!$B$12*(1+Inputs!$B$13/100)))+0.25*(Inputs!$B$14-Inputs!$B$14))*(1+Inputs!$B$7/100))*(F782/100)</f>
        <v/>
      </c>
      <c r="K782">
        <f>J782*(1+((Inputs!$B$12*(1+Inputs!$B$13/100))*0.01+Inputs!$B$14*0.0025)/100)*(1+(Inputs!$B$15+B801)/100)*(1+Inputs!$B$16/100)*(5000/(6000+Inputs!$B$42*(1-Inputs!$B$19/100)))*(1+Inputs!$B$24/100)*(1+IF(C788=TRUE,F788,0)/100)*(1+IF(C796=TRUE,F796,0)/100)^5*(1+(IF(Skills!A9="CHAIN_LIGHTNING",Inputs!$B$17,Inputs!$B$18))/100)*(B799*I782)</f>
        <v/>
      </c>
      <c r="L782">
        <f>K782*(MIN(Inputs!$B$22+(F791-Calc!F18),Inputs!$B$23)/100+Inputs!$B$23/100)/2</f>
        <v/>
      </c>
      <c r="M782">
        <f>L782*(1+(Inputs!$B$10+(F794-Calc!F21))/100)</f>
        <v/>
      </c>
      <c r="N782">
        <f>L782*(1-MIN(Inputs!$B$9+((F793-Calc!F20)+(F792-Calc!F19)),100)/100)+M782*(MIN(Inputs!$B$9+((F793-Calc!F20)+(F792-Calc!F19)),100)/100)</f>
        <v/>
      </c>
      <c r="O782">
        <f>(1-Summary!$B$51)*S782+Summary!$B$51*U782</f>
        <v/>
      </c>
      <c r="P782">
        <f>IF(B809=0,0,O782/B809)</f>
        <v/>
      </c>
      <c r="Q782">
        <f>IFERROR(1/IF(Inputs!$B$38="pvp",15,MAX(0.1,Skills!D9-IF(Skills!E9=TRUE,Inputs!$B$32,0))),0)</f>
        <v/>
      </c>
      <c r="R782">
        <f>IF(AND(Inputs!$B$38&lt;&gt;"pvp",Inputs!$B$43&gt;0),IF(MAX(0,Inputs!$B$43-B806)&lt;=0,0,(INT(MAX(0,Inputs!$B$43-B806)/IF(Inputs!$B$38="pvp",15,MAX(0.1,Skills!D9-IF(Skills!E9=TRUE,Inputs!$B$32,0))))+1)),0)</f>
        <v/>
      </c>
      <c r="S782">
        <f>IF(C782,(H782*N782*IF(AND(Inputs!$B$38&lt;&gt;"pvp",Inputs!$B$43&gt;0),((Skills!F9*((R782-1)*IF(Skills!G9&gt;0,Skills!H9/Skills!G9,1)+IF(Skills!G9&gt;0,MIN(Skills!H9,MAX(0,MAX(0,Inputs!$B$43-B806)-((R782-1)*IF(Inputs!$B$38="pvp",15,MAX(0.1,Skills!D9-IF(Skills!E9=TRUE,Inputs!$B$32,0))))))/Skills!G9,1)))/Inputs!$B$43),G782*Q782))*IF(Inputs!$B$38="pvp",1,1+(Inputs!$B$20+Skills!O9+B800)/100),0)</f>
        <v/>
      </c>
      <c r="U782">
        <f>IF(C782,(H782*N782*IF(AND(Inputs!$B$38&lt;&gt;"pvp",Inputs!$B$43&gt;0),((Skills!F9*((R782-1)*IF(Skills!G9&gt;0,Skills!H9/Skills!G9,1)+IF(Skills!G9&gt;0,MIN(Skills!H9,MAX(0,MAX(0,Inputs!$B$43-B806)-((R782-1)*IF(Inputs!$B$38="pvp",15,MAX(0.1,Skills!D9-IF(Skills!E9=TRUE,Inputs!$B$32,0))))))/Skills!G9,1)))/Inputs!$B$43),G782*Q782))*IF(Inputs!$B$38="pvp",1,(1+(Inputs!$B$21+Skills!P9+B800)/100)*(MIN(Skills!Q9,Inputs!$B$37))),0)</f>
        <v/>
      </c>
    </row>
    <row r="783">
      <c r="A783">
        <f>Skills!A10</f>
        <v/>
      </c>
      <c r="B783">
        <f>Skills!B10</f>
        <v/>
      </c>
      <c r="C783">
        <f>Inputs!$B$3&gt;=113</f>
        <v/>
      </c>
      <c r="D783">
        <f>IF(Skills!C10=1,60+Inputs!$B$25+(Inputs!$B$29+1),IF(Skills!C10=2,90+Inputs!$B$26+(Inputs!$B$29+1),IF(Skills!C10=3,120+Inputs!$B$27+(Inputs!$B$29+1),MAX(0,(Inputs!$B$3-100)*3)+Inputs!$B$28+(Inputs!$B$29+1))))</f>
        <v/>
      </c>
      <c r="E783">
        <f>INDEX(FactorTable!$B$2:$Y$301, MATCH(ROUND(MIN(300,MAX(1,D783)),0), FactorTable!$A$2:$A$301,0), Skills!L10+1)</f>
        <v/>
      </c>
      <c r="F783">
        <f>IF(Skills!M10=TRUE,(Skills!K10/10)*(E783/1000),Skills!K10/10)+Skills!N10</f>
        <v/>
      </c>
      <c r="G783">
        <f>Calc!G10</f>
        <v/>
      </c>
      <c r="H783">
        <f>Calc!H10</f>
        <v/>
      </c>
      <c r="I783">
        <f>IF(Skills!T10&lt;&gt;"",1+(Skills!T10/10)*(Z776/1000)/100,1)</f>
        <v/>
      </c>
      <c r="J783">
        <f>((Inputs!$B$6*(1+Inputs!$B$7/100))+(((Inputs!$B$12*(1+Inputs!$B$13/100))-(Inputs!$B$12*(1+Inputs!$B$13/100)))+0.25*(Inputs!$B$14-Inputs!$B$14))*(1+Inputs!$B$7/100))*(F783/100)</f>
        <v/>
      </c>
      <c r="K783">
        <f>J783*(1+((Inputs!$B$12*(1+Inputs!$B$13/100))*0.01+Inputs!$B$14*0.0025)/100)*(1+(Inputs!$B$15+B801)/100)*(1+Inputs!$B$16/100)*(5000/(6000+Inputs!$B$42*(1-Inputs!$B$19/100)))*(1+Inputs!$B$24/100)*(1+IF(C788=TRUE,F788,0)/100)*(1+IF(C796=TRUE,F796,0)/100)^5*(1+(IF(Skills!A10="CHAIN_LIGHTNING",Inputs!$B$17,Inputs!$B$18))/100)*(B799*I783)</f>
        <v/>
      </c>
      <c r="L783">
        <f>K783*(MIN(Inputs!$B$22+(F791-Calc!F18),Inputs!$B$23)/100+Inputs!$B$23/100)/2</f>
        <v/>
      </c>
      <c r="M783">
        <f>L783*(1+(Inputs!$B$10+(F794-Calc!F21))/100)</f>
        <v/>
      </c>
      <c r="N783">
        <f>L783*(1-MIN(Inputs!$B$9+((F793-Calc!F20)+(F792-Calc!F19)),100)/100)+M783*(MIN(Inputs!$B$9+((F793-Calc!F20)+(F792-Calc!F19)),100)/100)</f>
        <v/>
      </c>
      <c r="O783">
        <f>(1-Summary!$B$51)*S783+Summary!$B$51*U783</f>
        <v/>
      </c>
      <c r="P783">
        <f>IF(B809=0,0,O783/B809)</f>
        <v/>
      </c>
      <c r="Q783">
        <f>IFERROR(1/IF(Inputs!$B$38="pvp",15,MAX(0.1,Skills!D10-IF(Skills!E9=TRUE,Inputs!$B$32,0))),0)</f>
        <v/>
      </c>
      <c r="R783">
        <f>IF(AND(Inputs!$B$38&lt;&gt;"pvp",Inputs!$B$43&gt;0),IF(MAX(0,Inputs!$B$43-B806)&lt;=0,0,(INT(MAX(0,Inputs!$B$43-B806)/IF(Inputs!$B$38="pvp",15,MAX(0.1,Skills!D10-IF(Skills!E9=TRUE,Inputs!$B$32,0))))+1)),0)</f>
        <v/>
      </c>
      <c r="S783">
        <f>IF(C783,(H783*N783*IF(AND(Inputs!$B$38&lt;&gt;"pvp",Inputs!$B$43&gt;0),((Skills!F10*((R783-1)*IF(Skills!G10&gt;0,Skills!H10/Skills!G10,1)+IF(Skills!G10&gt;0,MIN(Skills!H10,MAX(0,MAX(0,Inputs!$B$43-B806)-((R783-1)*IF(Inputs!$B$38="pvp",15,MAX(0.1,Skills!D10-IF(Skills!E9=TRUE,Inputs!$B$32,0))))))/Skills!G10,1)))/Inputs!$B$43),G783*Q783))*IF(Inputs!$B$38="pvp",1,1+(Inputs!$B$20+Skills!O10+B800)/100),0)</f>
        <v/>
      </c>
      <c r="U783">
        <f>IF(C783,(H783*N783*IF(AND(Inputs!$B$38&lt;&gt;"pvp",Inputs!$B$43&gt;0),((Skills!F10*((R783-1)*IF(Skills!G10&gt;0,Skills!H10/Skills!G10,1)+IF(Skills!G10&gt;0,MIN(Skills!H10,MAX(0,MAX(0,Inputs!$B$43-B806)-((R783-1)*IF(Inputs!$B$38="pvp",15,MAX(0.1,Skills!D10-IF(Skills!E9=TRUE,Inputs!$B$32,0))))))/Skills!G10,1)))/Inputs!$B$43),G783*Q783))*IF(Inputs!$B$38="pvp",1,(1+(Inputs!$B$21+Skills!P10+B800)/100)*(MIN(Skills!Q10,Inputs!$B$37))),0)</f>
        <v/>
      </c>
    </row>
    <row r="784">
      <c r="A784">
        <f>Skills!A11</f>
        <v/>
      </c>
      <c r="B784">
        <f>Skills!B11</f>
        <v/>
      </c>
      <c r="C784">
        <f>Inputs!$B$3&gt;=107</f>
        <v/>
      </c>
      <c r="D784">
        <f>IF(Skills!C11=1,60+Inputs!$B$25+(Inputs!$B$29+1),IF(Skills!C11=2,90+Inputs!$B$26+(Inputs!$B$29+1),IF(Skills!C11=3,120+Inputs!$B$27+(Inputs!$B$29+1),MAX(0,(Inputs!$B$3-100)*3)+Inputs!$B$28+(Inputs!$B$29+1))))</f>
        <v/>
      </c>
      <c r="E784">
        <f>INDEX(FactorTable!$B$2:$Y$301, MATCH(ROUND(MIN(300,MAX(1,D784)),0), FactorTable!$A$2:$A$301,0), Skills!L11+1)</f>
        <v/>
      </c>
      <c r="F784">
        <f>IF(Skills!M11=TRUE,(Skills!K11/10)*(E784/1000),Skills!K11/10)+Skills!N11</f>
        <v/>
      </c>
      <c r="G784">
        <f>Calc!G11</f>
        <v/>
      </c>
      <c r="H784">
        <f>Calc!H11</f>
        <v/>
      </c>
      <c r="I784">
        <f>IF(Skills!T11&lt;&gt;"",1+(Skills!T11/10)*(Z776/1000)/100,1)</f>
        <v/>
      </c>
      <c r="J784">
        <f>((Inputs!$B$6*(1+Inputs!$B$7/100))+(((Inputs!$B$12*(1+Inputs!$B$13/100))-(Inputs!$B$12*(1+Inputs!$B$13/100)))+0.25*(Inputs!$B$14-Inputs!$B$14))*(1+Inputs!$B$7/100))*(F784/100)</f>
        <v/>
      </c>
      <c r="K784">
        <f>J784*(1+((Inputs!$B$12*(1+Inputs!$B$13/100))*0.01+Inputs!$B$14*0.0025)/100)*(1+(Inputs!$B$15+B801)/100)*(1+Inputs!$B$16/100)*(5000/(6000+Inputs!$B$42*(1-Inputs!$B$19/100)))*(1+Inputs!$B$24/100)*(1+IF(C788=TRUE,F788,0)/100)*(1+IF(C796=TRUE,F796,0)/100)^5*(1+(IF(Skills!A11="CHAIN_LIGHTNING",Inputs!$B$17,Inputs!$B$18))/100)*(B799*I784)</f>
        <v/>
      </c>
      <c r="L784">
        <f>K784*(MIN(Inputs!$B$22+(F791-Calc!F18),Inputs!$B$23)/100+Inputs!$B$23/100)/2</f>
        <v/>
      </c>
      <c r="M784">
        <f>L784*(1+(Inputs!$B$10+(F794-Calc!F21))/100)</f>
        <v/>
      </c>
      <c r="N784">
        <f>L784*(1-MIN(Inputs!$B$9+((F793-Calc!F20)+(F792-Calc!F19)),100)/100)+M784*(MIN(Inputs!$B$9+((F793-Calc!F20)+(F792-Calc!F19)),100)/100)</f>
        <v/>
      </c>
      <c r="O784">
        <f>(1-Summary!$B$51)*S784+Summary!$B$51*U784</f>
        <v/>
      </c>
      <c r="P784">
        <f>IF(B809=0,0,O784/B809)</f>
        <v/>
      </c>
      <c r="Q784">
        <f>IFERROR(1/IF(Inputs!$B$38="pvp",15,MAX(0.1,Skills!D11-IF(Skills!E11=TRUE,Inputs!$B$32,0))),0)</f>
        <v/>
      </c>
      <c r="R784">
        <f>IF(AND(Inputs!$B$38&lt;&gt;"pvp",Inputs!$B$43&gt;0),IF(MAX(0,Inputs!$B$43-B806)&lt;=0,0,(INT(MAX(0,Inputs!$B$43-B806)/IF(Inputs!$B$38="pvp",15,MAX(0.1,Skills!D11-IF(Skills!E11=TRUE,Inputs!$B$32,0))))+1)),0)</f>
        <v/>
      </c>
      <c r="S784">
        <f>IF(C784,H784*N784*IF(AND(Inputs!$B$38&lt;&gt;"pvp",Inputs!$B$43&gt;0),((Skills!F11*((R784-1)*IF(Skills!G11&gt;0,Skills!H11/Skills!G11,1)+IF(Skills!G11&gt;0,MIN(Skills!H11,MAX(0,MAX(0,Inputs!$B$43-B806)-((R784-1)*IF(Inputs!$B$38="pvp",15,MAX(0.1,Skills!D11-IF(Skills!E11=TRUE,Inputs!$B$32,0))))))/Skills!G11,1)))/Inputs!$B$43),G784*Q784)*0.5*IF(Inputs!$B$38="pvp",1,1+(Inputs!$B$20+Skills!O11+B800)/100),0)</f>
        <v/>
      </c>
      <c r="U784">
        <f>IF(C784,H784*N784*IF(AND(Inputs!$B$38&lt;&gt;"pvp",Inputs!$B$43&gt;0),((Skills!F11*((R784-1)*IF(Skills!G11&gt;0,Skills!H11/Skills!G11,1)+IF(Skills!G11&gt;0,MIN(Skills!H11,MAX(0,MAX(0,Inputs!$B$43-B806)-((R784-1)*IF(Inputs!$B$38="pvp",15,MAX(0.1,Skills!D11-IF(Skills!E11=TRUE,Inputs!$B$32,0))))))/Skills!G11,1)))/Inputs!$B$43),G784*Q784)*1*IF(Inputs!$B$38="pvp",1,(1+(Inputs!$B$21+Skills!P11+B800)/100)*(MIN(Skills!Q11,Inputs!$B$37))),0)</f>
        <v/>
      </c>
    </row>
    <row r="785">
      <c r="A785">
        <f>Skills!A12</f>
        <v/>
      </c>
      <c r="B785">
        <f>Skills!B12</f>
        <v/>
      </c>
      <c r="C785">
        <f>Inputs!$B$3&gt;=115</f>
        <v/>
      </c>
      <c r="D785">
        <f>IF(Skills!C12=1,60+Inputs!$B$25+(Inputs!$B$29+1),IF(Skills!C12=2,90+Inputs!$B$26+(Inputs!$B$29+1),IF(Skills!C12=3,120+Inputs!$B$27+(Inputs!$B$29+1),MAX(0,(Inputs!$B$3-100)*3)+Inputs!$B$28+(Inputs!$B$29+1))))</f>
        <v/>
      </c>
      <c r="E785">
        <f>INDEX(FactorTable!$B$2:$Y$301, MATCH(ROUND(MIN(300,MAX(1,D785)),0), FactorTable!$A$2:$A$301,0), Skills!L12+1)</f>
        <v/>
      </c>
      <c r="F785">
        <f>IF(Skills!M12=TRUE,(Skills!K12/10)*(E785/1000),Skills!K12/10)+Skills!N12</f>
        <v/>
      </c>
      <c r="G785">
        <f>Calc!G12</f>
        <v/>
      </c>
      <c r="H785">
        <f>Calc!H12</f>
        <v/>
      </c>
      <c r="I785">
        <f>IF(Skills!T12&lt;&gt;"",1+(Skills!T12/10)*(Z776/1000)/100,1)</f>
        <v/>
      </c>
      <c r="J785">
        <f>((Inputs!$B$6*(1+Inputs!$B$7/100))+(((Inputs!$B$12*(1+Inputs!$B$13/100))-(Inputs!$B$12*(1+Inputs!$B$13/100)))+0.25*(Inputs!$B$14-Inputs!$B$14))*(1+Inputs!$B$7/100))*(F785/100)</f>
        <v/>
      </c>
      <c r="K785">
        <f>J785*(1+((Inputs!$B$12*(1+Inputs!$B$13/100))*0.01+Inputs!$B$14*0.0025)/100)*(1+(Inputs!$B$15+B801)/100)*(1+Inputs!$B$16/100)*(5000/(6000+Inputs!$B$42*(1-Inputs!$B$19/100)))*(1+Inputs!$B$24/100)*(1+IF(C788=TRUE,F788,0)/100)*(1+IF(C796=TRUE,F796,0)/100)^5*(1+(IF(Skills!A12="CHAIN_LIGHTNING",Inputs!$B$17,Inputs!$B$18))/100)*(B799*I785)</f>
        <v/>
      </c>
      <c r="L785">
        <f>K785*(MIN(Inputs!$B$22+(F791-Calc!F18),Inputs!$B$23)/100+Inputs!$B$23/100)/2</f>
        <v/>
      </c>
      <c r="M785">
        <f>L785*(1+(Inputs!$B$10+(F794-Calc!F21))/100)</f>
        <v/>
      </c>
      <c r="N785">
        <f>L785*(1-MIN(Inputs!$B$9+((F793-Calc!F20)+(F792-Calc!F19)),100)/100)+M785*(MIN(Inputs!$B$9+((F793-Calc!F20)+(F792-Calc!F19)),100)/100)</f>
        <v/>
      </c>
      <c r="O785">
        <f>(1-Summary!$B$51)*S785+Summary!$B$51*U785</f>
        <v/>
      </c>
      <c r="P785">
        <f>IF(B809=0,0,O785/B809)</f>
        <v/>
      </c>
      <c r="Q785">
        <f>IFERROR(1/IF(Inputs!$B$38="pvp",15,MAX(0.1,Skills!D12-IF(Skills!E12=TRUE,Inputs!$B$32,0))),0)</f>
        <v/>
      </c>
      <c r="R785">
        <f>IF(AND(Inputs!$B$38&lt;&gt;"pvp",Inputs!$B$43&gt;0),IF(MAX(0,Inputs!$B$43-B806)&lt;=0,0,(INT(MAX(0,Inputs!$B$43-B806)/IF(Inputs!$B$38="pvp",15,MAX(0.1,Skills!D12-IF(Skills!E12=TRUE,Inputs!$B$32,0))))+1)),0)</f>
        <v/>
      </c>
      <c r="S785">
        <f>IF(C785,(H785*N785*IF(AND(Inputs!$B$38&lt;&gt;"pvp",Inputs!$B$43&gt;0),((Skills!F12*((R785-1)*IF(Skills!G12&gt;0,Skills!H12/Skills!G12,1)+IF(Skills!G12&gt;0,MIN(Skills!H12,MAX(0,MAX(0,Inputs!$B$43-B806)-((R785-1)*IF(Inputs!$B$38="pvp",15,MAX(0.1,Skills!D12-IF(Skills!E12=TRUE,Inputs!$B$32,0))))))/Skills!G12,1)))/Inputs!$B$43),G785*Q785))*IF(Inputs!$B$38="pvp",1,1+(Inputs!$B$20+Skills!O12+B800)/100),0)</f>
        <v/>
      </c>
      <c r="U785">
        <f>IF(C785,(H785*N785*IF(AND(Inputs!$B$38&lt;&gt;"pvp",Inputs!$B$43&gt;0),((Skills!F12*((R785-1)*IF(Skills!G12&gt;0,Skills!H12/Skills!G12,1)+IF(Skills!G12&gt;0,MIN(Skills!H12,MAX(0,MAX(0,Inputs!$B$43-B806)-((R785-1)*IF(Inputs!$B$38="pvp",15,MAX(0.1,Skills!D12-IF(Skills!E12=TRUE,Inputs!$B$32,0))))))/Skills!G12,1)))/Inputs!$B$43),G785*Q785))*IF(Inputs!$B$38="pvp",1,(1+(Inputs!$B$21+Skills!P12+B800)/100)*(MIN(Skills!Q12,Inputs!$B$37))),0)</f>
        <v/>
      </c>
    </row>
    <row r="786">
      <c r="A786">
        <f>Skills!A13</f>
        <v/>
      </c>
      <c r="B786">
        <f>Skills!B13</f>
        <v/>
      </c>
      <c r="C786">
        <f>Inputs!$B$3&gt;=49</f>
        <v/>
      </c>
      <c r="D786">
        <f>IF(Skills!C13=1,60+Inputs!$B$25+(Inputs!$B$29+1),IF(Skills!C13=2,90+Inputs!$B$26+(Inputs!$B$29+1),IF(Skills!C13=3,120+Inputs!$B$27+(Inputs!$B$29+1),MAX(0,(Inputs!$B$3-100)*3)+Inputs!$B$28+(Inputs!$B$29+1))))</f>
        <v/>
      </c>
      <c r="E786">
        <f>INDEX(FactorTable!$B$2:$Y$301, MATCH(ROUND(MIN(300,MAX(1,D786)),0), FactorTable!$A$2:$A$301,0), Skills!L13+1)</f>
        <v/>
      </c>
      <c r="F786">
        <f>IF(Skills!M13=TRUE,(Skills!K13/10)*(E786/1000),Skills!K13/10)+Skills!N13</f>
        <v/>
      </c>
      <c r="G786">
        <f>Calc!G13</f>
        <v/>
      </c>
      <c r="H786">
        <f>Calc!H13</f>
        <v/>
      </c>
      <c r="I786">
        <f>IF(Skills!T13&lt;&gt;"",1+(Skills!T13/10)*(Z776/1000)/100,1)</f>
        <v/>
      </c>
      <c r="J786" t="inlineStr"/>
      <c r="K786" t="inlineStr"/>
      <c r="L786" t="inlineStr"/>
      <c r="M786" t="inlineStr"/>
      <c r="N786" t="inlineStr"/>
      <c r="O786">
        <f>(1-Summary!$B$51)*S786+Summary!$B$51*U786</f>
        <v/>
      </c>
      <c r="P786">
        <f>IF(B809=0,0,O786/B809)</f>
        <v/>
      </c>
      <c r="Q786">
        <f>IFERROR(1/IF(Inputs!$B$38="pvp",15,MAX(0.1,Skills!D13-IF(Skills!E13=TRUE,Inputs!$B$32,0))),0)</f>
        <v/>
      </c>
      <c r="R786" t="n">
        <v>0</v>
      </c>
      <c r="S786" t="n">
        <v>0</v>
      </c>
      <c r="U786" t="n">
        <v>0</v>
      </c>
    </row>
    <row r="787">
      <c r="A787">
        <f>Skills!A14</f>
        <v/>
      </c>
      <c r="B787">
        <f>Skills!B14</f>
        <v/>
      </c>
      <c r="C787">
        <f>Inputs!$B$3&gt;=72</f>
        <v/>
      </c>
      <c r="D787">
        <f>IF(Skills!C14=1,60+Inputs!$B$25+(Inputs!$B$29+1),IF(Skills!C14=2,90+Inputs!$B$26+(Inputs!$B$29+1),IF(Skills!C14=3,120+Inputs!$B$27+(Inputs!$B$29+1),MAX(0,(Inputs!$B$3-100)*3)+Inputs!$B$28+(Inputs!$B$29+1))))</f>
        <v/>
      </c>
      <c r="E787">
        <f>INDEX(FactorTable!$B$2:$Y$301, MATCH(ROUND(MIN(300,MAX(1,D787)),0), FactorTable!$A$2:$A$301,0), Skills!L14+1)</f>
        <v/>
      </c>
      <c r="F787">
        <f>IF(Skills!M14=TRUE,(Skills!K14/10)*(E787/1000),Skills!K14/10)+Skills!N14</f>
        <v/>
      </c>
      <c r="G787">
        <f>Calc!G14</f>
        <v/>
      </c>
      <c r="H787">
        <f>Calc!H14</f>
        <v/>
      </c>
      <c r="I787">
        <f>IF(Skills!T14&lt;&gt;"",1+(Skills!T14/10)*(Z776/1000)/100,1)</f>
        <v/>
      </c>
      <c r="J787" t="inlineStr"/>
      <c r="K787" t="inlineStr"/>
      <c r="L787" t="inlineStr"/>
      <c r="M787" t="inlineStr"/>
      <c r="N787" t="inlineStr"/>
      <c r="O787">
        <f>(1-Summary!$B$51)*S787+Summary!$B$51*U787</f>
        <v/>
      </c>
      <c r="P787">
        <f>IF(B809=0,0,O787/B809)</f>
        <v/>
      </c>
      <c r="Q787">
        <f>IFERROR(1/IF(Inputs!$B$38="pvp",15,MAX(0.1,Skills!D14-IF(Skills!E14=TRUE,Inputs!$B$32,0))),0)</f>
        <v/>
      </c>
      <c r="R787" t="n">
        <v>0</v>
      </c>
      <c r="S787" t="n">
        <v>0</v>
      </c>
      <c r="U787" t="n">
        <v>0</v>
      </c>
    </row>
    <row r="788">
      <c r="A788">
        <f>Skills!A15</f>
        <v/>
      </c>
      <c r="B788">
        <f>Skills!B15</f>
        <v/>
      </c>
      <c r="C788">
        <f>Inputs!$B$3&gt;=75</f>
        <v/>
      </c>
      <c r="D788">
        <f>IF(Skills!C15=1,60+Inputs!$B$25+(Inputs!$B$29+1),IF(Skills!C15=2,90+Inputs!$B$26+(Inputs!$B$29+1),IF(Skills!C15=3,120+Inputs!$B$27+(Inputs!$B$29+1),MAX(0,(Inputs!$B$3-100)*3)+Inputs!$B$28+(Inputs!$B$29+1))))</f>
        <v/>
      </c>
      <c r="E788">
        <f>INDEX(FactorTable!$B$2:$Y$301, MATCH(ROUND(MIN(300,MAX(1,D788)),0), FactorTable!$A$2:$A$301,0), Skills!L15+1)</f>
        <v/>
      </c>
      <c r="F788">
        <f>IF(Skills!M15=TRUE,(Skills!K15/10)*(E788/1000),Skills!K15/10)+Skills!N15</f>
        <v/>
      </c>
      <c r="G788">
        <f>Calc!G15</f>
        <v/>
      </c>
      <c r="H788">
        <f>Calc!H15</f>
        <v/>
      </c>
      <c r="I788">
        <f>IF(Skills!T15&lt;&gt;"",1+(Skills!T15/10)*(Z776/1000)/100,1)</f>
        <v/>
      </c>
      <c r="J788" t="inlineStr"/>
      <c r="K788" t="inlineStr"/>
      <c r="L788" t="inlineStr"/>
      <c r="M788" t="inlineStr"/>
      <c r="N788" t="inlineStr"/>
      <c r="O788">
        <f>(1-Summary!$B$51)*S788+Summary!$B$51*U788</f>
        <v/>
      </c>
      <c r="P788">
        <f>IF(B809=0,0,O788/B809)</f>
        <v/>
      </c>
      <c r="Q788">
        <f>IFERROR(1/IF(Inputs!$B$38="pvp",15,MAX(0.1,Skills!D15-IF(Skills!E15=TRUE,Inputs!$B$32,0))),0)</f>
        <v/>
      </c>
      <c r="R788" t="n">
        <v>0</v>
      </c>
      <c r="S788" t="n">
        <v>0</v>
      </c>
      <c r="U788" t="n">
        <v>0</v>
      </c>
    </row>
    <row r="789">
      <c r="A789">
        <f>Skills!A16</f>
        <v/>
      </c>
      <c r="B789">
        <f>Skills!B16</f>
        <v/>
      </c>
      <c r="C789">
        <f>Inputs!$B$3&gt;=110</f>
        <v/>
      </c>
      <c r="D789">
        <f>IF(Skills!C16=1,60+Inputs!$B$25+(Inputs!$B$29+1),IF(Skills!C16=2,90+Inputs!$B$26+(Inputs!$B$29+1),IF(Skills!C16=3,120+Inputs!$B$27+(Inputs!$B$29+1),MAX(0,(Inputs!$B$3-100)*3)+Inputs!$B$28+(Inputs!$B$29+1))))</f>
        <v/>
      </c>
      <c r="E789">
        <f>INDEX(FactorTable!$B$2:$Y$301, MATCH(ROUND(MIN(300,MAX(1,D789)),0), FactorTable!$A$2:$A$301,0), Skills!L16+1)</f>
        <v/>
      </c>
      <c r="F789">
        <f>(Skills!K16/10)*(E789/1000)*64/45+Skills!N16</f>
        <v/>
      </c>
      <c r="G789">
        <f>Calc!G16</f>
        <v/>
      </c>
      <c r="H789">
        <f>Calc!H16</f>
        <v/>
      </c>
      <c r="I789">
        <f>IF(Skills!T16&lt;&gt;"",1+(Skills!T16/10)*(Z776/1000)/100,1)</f>
        <v/>
      </c>
      <c r="J789" t="inlineStr"/>
      <c r="K789" t="inlineStr"/>
      <c r="L789" t="inlineStr"/>
      <c r="M789" t="inlineStr"/>
      <c r="N789" t="inlineStr"/>
      <c r="O789">
        <f>(1-Summary!$B$51)*S789+Summary!$B$51*U789</f>
        <v/>
      </c>
      <c r="P789">
        <f>IF(B809=0,0,O789/B809)</f>
        <v/>
      </c>
      <c r="Q789">
        <f>IFERROR(1/IF(Inputs!$B$38="pvp",15,MAX(0.1,Skills!D16-IF(Skills!E16=TRUE,Inputs!$B$32,0))),0)</f>
        <v/>
      </c>
      <c r="R789">
        <f>IF(AND(Inputs!$B$38&lt;&gt;"pvp",Inputs!$B$43&gt;0),IF(Inputs!$B$43&lt;=0,0,(INT(Inputs!$B$43/IF(Inputs!$B$38="pvp",15,MAX(0.1,Skills!D16-IF(Skills!E16=TRUE,Inputs!$B$32,0))))+1)),0)</f>
        <v/>
      </c>
      <c r="S789" t="n">
        <v>0</v>
      </c>
      <c r="U789" t="n">
        <v>0</v>
      </c>
    </row>
    <row r="790">
      <c r="A790">
        <f>Skills!A17</f>
        <v/>
      </c>
      <c r="B790">
        <f>Skills!B17</f>
        <v/>
      </c>
      <c r="C790">
        <f>Inputs!$B$3&gt;=33</f>
        <v/>
      </c>
      <c r="D790">
        <f>IF(Skills!C17=1,60+Inputs!$B$25+(Inputs!$B$29+1),IF(Skills!C17=2,90+Inputs!$B$26+(Inputs!$B$29+1),IF(Skills!C17=3,120+Inputs!$B$27+(Inputs!$B$29+1),MAX(0,(Inputs!$B$3-100)*3)+Inputs!$B$28+(Inputs!$B$29+1))))</f>
        <v/>
      </c>
      <c r="E790">
        <f>INDEX(FactorTable!$B$2:$Y$301, MATCH(ROUND(MIN(300,MAX(1,D790)),0), FactorTable!$A$2:$A$301,0), Skills!L17+1)</f>
        <v/>
      </c>
      <c r="F790">
        <f>IF(Skills!M17=TRUE,(Skills!K17/10)*(E790/1000),Skills!K17/10)+Skills!N17</f>
        <v/>
      </c>
      <c r="G790">
        <f>Calc!G17</f>
        <v/>
      </c>
      <c r="H790">
        <f>Calc!H17</f>
        <v/>
      </c>
      <c r="I790">
        <f>IF(Skills!T17&lt;&gt;"",1+(Skills!T17/10)*(Z776/1000)/100,1)</f>
        <v/>
      </c>
      <c r="J790" t="inlineStr"/>
      <c r="K790" t="inlineStr"/>
      <c r="L790" t="inlineStr"/>
      <c r="M790" t="inlineStr"/>
      <c r="N790" t="inlineStr"/>
      <c r="O790">
        <f>(1-Summary!$B$51)*S790+Summary!$B$51*U790</f>
        <v/>
      </c>
      <c r="P790">
        <f>IF(B809=0,0,O790/B809)</f>
        <v/>
      </c>
      <c r="Q790">
        <f>IFERROR(1/IF(Inputs!$B$38="pvp",15,MAX(0.1,Skills!D17-IF(Skills!E17=TRUE,Inputs!$B$32,0))),0)</f>
        <v/>
      </c>
      <c r="R790" t="n">
        <v>0</v>
      </c>
      <c r="S790" t="n">
        <v>0</v>
      </c>
      <c r="U790" t="n">
        <v>0</v>
      </c>
    </row>
    <row r="791">
      <c r="A791">
        <f>Skills!A18</f>
        <v/>
      </c>
      <c r="B791">
        <f>Skills!B18</f>
        <v/>
      </c>
      <c r="C791">
        <f>Inputs!$B$3&gt;=43</f>
        <v/>
      </c>
      <c r="D791">
        <f>IF(Skills!C18=1,60+Inputs!$B$25+(Inputs!$B$29+1),IF(Skills!C18=2,90+Inputs!$B$26+(Inputs!$B$29+1),IF(Skills!C18=3,120+Inputs!$B$27+(Inputs!$B$29+1),MAX(0,(Inputs!$B$3-100)*3)+Inputs!$B$28+(Inputs!$B$29+1))))</f>
        <v/>
      </c>
      <c r="E791">
        <f>INDEX(FactorTable!$B$2:$Y$301, MATCH(ROUND(MIN(300,MAX(1,D791)),0), FactorTable!$A$2:$A$301,0), Skills!L18+1)</f>
        <v/>
      </c>
      <c r="F791">
        <f>IF(Skills!M18=TRUE,(Skills!K18/10)*(E791/1000),Skills!K18/10)+Skills!N18</f>
        <v/>
      </c>
      <c r="G791">
        <f>Calc!G18</f>
        <v/>
      </c>
      <c r="H791">
        <f>Calc!H18</f>
        <v/>
      </c>
      <c r="I791">
        <f>IF(Skills!T18&lt;&gt;"",1+(Skills!T18/10)*(Z776/1000)/100,1)</f>
        <v/>
      </c>
      <c r="J791" t="inlineStr"/>
      <c r="K791" t="inlineStr"/>
      <c r="L791" t="inlineStr"/>
      <c r="M791" t="inlineStr"/>
      <c r="N791" t="inlineStr"/>
      <c r="O791">
        <f>(1-Summary!$B$51)*S791+Summary!$B$51*U791</f>
        <v/>
      </c>
      <c r="P791">
        <f>IF(B809=0,0,O791/B809)</f>
        <v/>
      </c>
      <c r="Q791">
        <f>IFERROR(1/IF(Inputs!$B$38="pvp",15,MAX(0.1,Skills!D18-IF(Skills!E18=TRUE,Inputs!$B$32,0))),0)</f>
        <v/>
      </c>
      <c r="R791" t="n">
        <v>0</v>
      </c>
      <c r="S791" t="n">
        <v>0</v>
      </c>
      <c r="U791" t="n">
        <v>0</v>
      </c>
    </row>
    <row r="792">
      <c r="A792">
        <f>Skills!A19</f>
        <v/>
      </c>
      <c r="B792">
        <f>Skills!B19</f>
        <v/>
      </c>
      <c r="C792">
        <f>Inputs!$B$3&gt;=50</f>
        <v/>
      </c>
      <c r="D792">
        <f>IF(Skills!C19=1,60+Inputs!$B$25+(Inputs!$B$29+1),IF(Skills!C19=2,90+Inputs!$B$26+(Inputs!$B$29+1),IF(Skills!C19=3,120+Inputs!$B$27+(Inputs!$B$29+1),MAX(0,(Inputs!$B$3-100)*3)+Inputs!$B$28+(Inputs!$B$29+1))))</f>
        <v/>
      </c>
      <c r="E792">
        <f>INDEX(FactorTable!$B$2:$Y$301, MATCH(ROUND(MIN(300,MAX(1,D792)),0), FactorTable!$A$2:$A$301,0), Skills!L19+1)</f>
        <v/>
      </c>
      <c r="F792">
        <f>IF(Skills!M19=TRUE,(Skills!K19/10)*(E792/1000),Skills!K19/10)+Skills!N19</f>
        <v/>
      </c>
      <c r="G792">
        <f>Calc!G19</f>
        <v/>
      </c>
      <c r="H792">
        <f>Calc!H19</f>
        <v/>
      </c>
      <c r="I792">
        <f>IF(Skills!T19&lt;&gt;"",1+(Skills!T19/10)*(Z776/1000)/100,1)</f>
        <v/>
      </c>
      <c r="J792" t="inlineStr"/>
      <c r="K792" t="inlineStr"/>
      <c r="L792" t="inlineStr"/>
      <c r="M792" t="inlineStr"/>
      <c r="N792" t="inlineStr"/>
      <c r="O792">
        <f>(1-Summary!$B$51)*S792+Summary!$B$51*U792</f>
        <v/>
      </c>
      <c r="P792">
        <f>IF(B809=0,0,O792/B809)</f>
        <v/>
      </c>
      <c r="Q792">
        <f>IFERROR(1/IF(Inputs!$B$38="pvp",15,MAX(0.1,Skills!D19-IF(Skills!E19=TRUE,Inputs!$B$32,0))),0)</f>
        <v/>
      </c>
      <c r="R792" t="n">
        <v>0</v>
      </c>
      <c r="S792" t="n">
        <v>0</v>
      </c>
      <c r="U792" t="n">
        <v>0</v>
      </c>
    </row>
    <row r="793">
      <c r="A793">
        <f>Skills!A20</f>
        <v/>
      </c>
      <c r="B793">
        <f>Skills!B20</f>
        <v/>
      </c>
      <c r="C793">
        <f>Inputs!$B$3&gt;=74</f>
        <v/>
      </c>
      <c r="D793">
        <f>IF(Skills!C20=1,60+Inputs!$B$25+(Inputs!$B$29+1),IF(Skills!C20=2,90+Inputs!$B$26+(Inputs!$B$29+1),IF(Skills!C20=3,120+Inputs!$B$27+(Inputs!$B$29+1),MAX(0,(Inputs!$B$3-100)*3)+Inputs!$B$28+(Inputs!$B$29+1))))</f>
        <v/>
      </c>
      <c r="E793">
        <f>INDEX(FactorTable!$B$2:$Y$301, MATCH(ROUND(MIN(300,MAX(1,D793)),0), FactorTable!$A$2:$A$301,0), Skills!L20+1)</f>
        <v/>
      </c>
      <c r="F793">
        <f>IF(Skills!M20=TRUE,(Skills!K20/10)*(E793/1000),Skills!K20/10)+Skills!N20</f>
        <v/>
      </c>
      <c r="G793">
        <f>Calc!G20</f>
        <v/>
      </c>
      <c r="H793">
        <f>Calc!H20</f>
        <v/>
      </c>
      <c r="I793">
        <f>IF(Skills!T20&lt;&gt;"",1+(Skills!T20/10)*(Z776/1000)/100,1)</f>
        <v/>
      </c>
      <c r="J793" t="inlineStr"/>
      <c r="K793" t="inlineStr"/>
      <c r="L793" t="inlineStr"/>
      <c r="M793" t="inlineStr"/>
      <c r="N793" t="inlineStr"/>
      <c r="O793">
        <f>(1-Summary!$B$51)*S793+Summary!$B$51*U793</f>
        <v/>
      </c>
      <c r="P793">
        <f>IF(B809=0,0,O793/B809)</f>
        <v/>
      </c>
      <c r="Q793">
        <f>IFERROR(1/IF(Inputs!$B$38="pvp",15,MAX(0.1,Skills!D20-IF(Skills!E20=TRUE,Inputs!$B$32,0))),0)</f>
        <v/>
      </c>
      <c r="R793" t="n">
        <v>0</v>
      </c>
      <c r="S793" t="n">
        <v>0</v>
      </c>
      <c r="U793" t="n">
        <v>0</v>
      </c>
    </row>
    <row r="794">
      <c r="A794">
        <f>Skills!A21</f>
        <v/>
      </c>
      <c r="B794">
        <f>Skills!B21</f>
        <v/>
      </c>
      <c r="C794">
        <f>Inputs!$B$3&gt;=74</f>
        <v/>
      </c>
      <c r="D794">
        <f>IF(Skills!C21=1,60+Inputs!$B$25+(Inputs!$B$29+1),IF(Skills!C21=2,90+Inputs!$B$26+(Inputs!$B$29+1),IF(Skills!C21=3,120+Inputs!$B$27+(Inputs!$B$29+1),MAX(0,(Inputs!$B$3-100)*3)+Inputs!$B$28+(Inputs!$B$29+1))))</f>
        <v/>
      </c>
      <c r="E794">
        <f>INDEX(FactorTable!$B$2:$Y$301, MATCH(ROUND(MIN(300,MAX(1,D794)),0), FactorTable!$A$2:$A$301,0), Skills!L21+1)</f>
        <v/>
      </c>
      <c r="F794">
        <f>IF(Skills!M21=TRUE,(Skills!K21/10)*(E794/1000),Skills!K21/10)+Skills!N21</f>
        <v/>
      </c>
      <c r="G794">
        <f>Calc!G21</f>
        <v/>
      </c>
      <c r="H794">
        <f>Calc!H21</f>
        <v/>
      </c>
      <c r="I794">
        <f>IF(Skills!T21&lt;&gt;"",1+(Skills!T21/10)*(Z776/1000)/100,1)</f>
        <v/>
      </c>
      <c r="J794" t="inlineStr"/>
      <c r="K794" t="inlineStr"/>
      <c r="L794" t="inlineStr"/>
      <c r="M794" t="inlineStr"/>
      <c r="N794" t="inlineStr"/>
      <c r="O794">
        <f>(1-Summary!$B$51)*S794+Summary!$B$51*U794</f>
        <v/>
      </c>
      <c r="P794">
        <f>IF(B809=0,0,O794/B809)</f>
        <v/>
      </c>
      <c r="Q794">
        <f>IFERROR(1/IF(Inputs!$B$38="pvp",15,MAX(0.1,Skills!D21-IF(Skills!E21=TRUE,Inputs!$B$32,0))),0)</f>
        <v/>
      </c>
      <c r="R794" t="n">
        <v>0</v>
      </c>
      <c r="S794" t="n">
        <v>0</v>
      </c>
      <c r="U794" t="n">
        <v>0</v>
      </c>
    </row>
    <row r="795">
      <c r="A795">
        <f>Skills!A22</f>
        <v/>
      </c>
      <c r="B795">
        <f>Skills!B22</f>
        <v/>
      </c>
      <c r="C795">
        <f>Inputs!$B$3&gt;=117</f>
        <v/>
      </c>
      <c r="D795">
        <f>IF(Skills!C22=1,60+Inputs!$B$25+(Inputs!$B$29+1),IF(Skills!C22=2,90+Inputs!$B$26+(Inputs!$B$29+1),IF(Skills!C22=3,120+Inputs!$B$27+(Inputs!$B$29+1),MAX(0,(Inputs!$B$3-100)*3)+Inputs!$B$28+(Inputs!$B$29+1))))</f>
        <v/>
      </c>
      <c r="E795">
        <f>INDEX(FactorTable!$B$2:$Y$301, MATCH(ROUND(MIN(300,MAX(1,D795)),0), FactorTable!$A$2:$A$301,0), Skills!L22+1)</f>
        <v/>
      </c>
      <c r="F795">
        <f>IF(Skills!M22=TRUE,(Skills!K22/10)*(E795/1000),Skills!K22/10)+Skills!N22</f>
        <v/>
      </c>
      <c r="G795">
        <f>Calc!G22</f>
        <v/>
      </c>
      <c r="H795">
        <f>Calc!H22</f>
        <v/>
      </c>
      <c r="I795">
        <f>IF(Skills!T22&lt;&gt;"",1+(Skills!T22/10)*(Z776/1000)/100,1)</f>
        <v/>
      </c>
      <c r="J795" t="inlineStr"/>
      <c r="K795" t="inlineStr"/>
      <c r="L795" t="inlineStr"/>
      <c r="M795" t="inlineStr"/>
      <c r="N795" t="inlineStr"/>
      <c r="O795">
        <f>(1-Summary!$B$51)*S795+Summary!$B$51*U795</f>
        <v/>
      </c>
      <c r="P795">
        <f>IF(B809=0,0,O795/B809)</f>
        <v/>
      </c>
      <c r="Q795">
        <f>IFERROR(1/IF(Inputs!$B$38="pvp",15,MAX(0.1,Skills!D22-IF(Skills!E22=TRUE,Inputs!$B$32,0))),0)</f>
        <v/>
      </c>
      <c r="R795" t="n">
        <v>0</v>
      </c>
      <c r="S795" t="n">
        <v>0</v>
      </c>
      <c r="U795" t="n">
        <v>0</v>
      </c>
    </row>
    <row r="796">
      <c r="A796">
        <f>Skills!A23</f>
        <v/>
      </c>
      <c r="B796">
        <f>Skills!B23</f>
        <v/>
      </c>
      <c r="C796">
        <f>Inputs!$B$3&gt;=120</f>
        <v/>
      </c>
      <c r="D796">
        <f>IF(Skills!C23=1,60+Inputs!$B$25+(Inputs!$B$29+1),IF(Skills!C23=2,90+Inputs!$B$26+(Inputs!$B$29+1),IF(Skills!C23=3,120+Inputs!$B$27+(Inputs!$B$29+1),MAX(0,(Inputs!$B$3-100)*3)+Inputs!$B$28+(Inputs!$B$29+1))))</f>
        <v/>
      </c>
      <c r="E796">
        <f>INDEX(FactorTable!$B$2:$Y$301, MATCH(ROUND(MIN(300,MAX(1,D796)),0), FactorTable!$A$2:$A$301,0), Skills!L23+1)</f>
        <v/>
      </c>
      <c r="F796">
        <f>IF(Skills!M23=TRUE,(Skills!K23/10)*(E796/1000),Skills!K23/10)+Skills!N23</f>
        <v/>
      </c>
      <c r="G796">
        <f>Calc!G23</f>
        <v/>
      </c>
      <c r="H796">
        <f>Calc!H23</f>
        <v/>
      </c>
      <c r="I796">
        <f>IF(Skills!T23&lt;&gt;"",1+(Skills!T23/10)*(Z776/1000)/100,1)</f>
        <v/>
      </c>
      <c r="J796" t="inlineStr"/>
      <c r="K796" t="inlineStr"/>
      <c r="L796" t="inlineStr"/>
      <c r="M796" t="inlineStr"/>
      <c r="N796" t="inlineStr"/>
      <c r="O796">
        <f>(1-Summary!$B$51)*S796+Summary!$B$51*U796</f>
        <v/>
      </c>
      <c r="P796">
        <f>IF(B809=0,0,O796/B809)</f>
        <v/>
      </c>
      <c r="Q796">
        <f>IFERROR(1/IF(Inputs!$B$38="pvp",15,MAX(0.1,Skills!D23-IF(Skills!E23=TRUE,Inputs!$B$32,0))),0)</f>
        <v/>
      </c>
      <c r="R796" t="n">
        <v>0</v>
      </c>
      <c r="S796" t="n">
        <v>0</v>
      </c>
      <c r="U796" t="n">
        <v>0</v>
      </c>
    </row>
    <row r="799">
      <c r="A799" t="inlineStr">
        <is>
          <t>Average Buff Multiplier (Magic Guard + Meditation, summed; then Infinity)</t>
        </is>
      </c>
      <c r="B799">
        <f>(1+(IF(C776=TRUE,F776*IF(AND(Inputs!$B$38&lt;&gt;"pvp",Inputs!$B$43&gt;0),(((R776-1)*(Skills!S3*(1+(Inputs!$B$34+IF(Inputs!$B$3&gt;=117,F795,0))/100))+MIN((Skills!S3*(1+(Inputs!$B$34+IF(Inputs!$B$3&gt;=117,F795,0))/100)),MAX(0,Inputs!$B$43-((R776-1)*Skills!D3))))/Inputs!$B$43),IF(Inputs!$B$38="pvp",MIN((Skills!S3*(1+(Inputs!$B$34+IF(Inputs!$B$3&gt;=117,F795,0))/100)),15)/15,(Skills!S3*(1+(Inputs!$B$34+IF(Inputs!$B$3&gt;=117,F795,0))/100))/Skills!D3)),0)+IF(C777=TRUE,F777*IF(AND(Inputs!$B$38&lt;&gt;"pvp",Inputs!$B$43&gt;0),(((R777-1)*(Skills!S4*(1+(Inputs!$B$34+IF(Inputs!$B$3&gt;=117,F795,0))/100))+MIN((Skills!S4*(1+(Inputs!$B$34+IF(Inputs!$B$3&gt;=117,F795,0))/100)),MAX(0,Inputs!$B$43-((R777-1)*Skills!D4))))/Inputs!$B$43),IF(Inputs!$B$38="pvp",MIN((Skills!S4*(1+(Inputs!$B$34+IF(Inputs!$B$3&gt;=117,F795,0))/100)),15)/15,(Skills!S4*(1+(Inputs!$B$34+IF(Inputs!$B$3&gt;=117,F795,0))/100))/Skills!D4)),0))/100)*IF(C789=TRUE,(1+F789*IF(AND(Inputs!$B$38&lt;&gt;"pvp",Inputs!$B$43&gt;0),(((R789-1)*(Skills!S16*(1+(Inputs!$B$34+IF(Inputs!$B$3&gt;=117,F795,0))/100))+MIN((Skills!S16*(1+(Inputs!$B$34+IF(Inputs!$B$3&gt;=117,F795,0))/100)),MAX(0,Inputs!$B$43-((R789-1)*Skills!D16))))/Inputs!$B$43),IF(Inputs!$B$38="pvp",MIN((Skills!S16*(1+(Inputs!$B$34+IF(Inputs!$B$3&gt;=117,F795,0))/100)),15)/15,(Skills!S16*(1+(Inputs!$B$34+IF(Inputs!$B$3&gt;=117,F795,0))/100))/Skills!D16))/100),1)</f>
        <v/>
      </c>
    </row>
    <row r="800">
      <c r="A800" t="inlineStr">
        <is>
          <t>Monster Damage Taken Bonus % (Freezing Breath - Weaken + Elemental Reset, summed)</t>
        </is>
      </c>
      <c r="B800">
        <f>IF(Inputs!$B$3&gt;=118,15*IF(Inputs!$B$38="pvp",MIN((30*(1+(Inputs!$B$34+IF(Inputs!$B$3&gt;=117,F795,0))/100)),15)/15,(30*(1+(Inputs!$B$34+IF(Inputs!$B$3&gt;=117,F795,0))/100))/Skills!D8),0)+IF(C787=TRUE,F787,0)</f>
        <v/>
      </c>
    </row>
    <row r="801">
      <c r="A801" t="inlineStr">
        <is>
          <t>Damage % Bonus (Frozen Break + Frost Clutch, flat)</t>
        </is>
      </c>
      <c r="B801">
        <f>IF(Inputs!$B$3&gt;=66,15,0)+IF(Inputs!$B$3&gt;=98,10,0)+IF(Inputs!$B$3&gt;=125,20,0)</f>
        <v/>
      </c>
    </row>
    <row r="802">
      <c r="A802" t="inlineStr">
        <is>
          <t>Attack Speed Bonus % (MP Eater - MP Boost, always-on once unlocked)</t>
        </is>
      </c>
      <c r="B802">
        <f>IF(C786=TRUE,F786+(F790-Calc!F17),0)</f>
        <v/>
      </c>
    </row>
    <row r="803">
      <c r="A803" t="inlineStr">
        <is>
          <t>Actions Per Second</t>
        </is>
      </c>
      <c r="B803">
        <f>1+MIN(150,150*(1-(1-Inputs!$B$11/150)*(1-B802/150)))/100</f>
        <v/>
      </c>
    </row>
    <row r="804">
      <c r="A804" t="inlineStr">
        <is>
          <t>Skill + Buff Cast Rate</t>
        </is>
      </c>
      <c r="B804">
        <f>IF(AND(Inputs!$B$38&lt;&gt;"pvp",Inputs!$B$43&gt;0),SUMPRODUCT((Skills!E2:E23=TRUE)*(C775:C796=TRUE)*R775:R796)/Inputs!$B$43,SUMPRODUCT((Skills!E2:E23=TRUE)*(C775:C796=TRUE)*Q775:Q796))</f>
        <v/>
      </c>
    </row>
    <row r="805">
      <c r="A805" t="inlineStr">
        <is>
          <t>Chain Lightning Casts Per Second</t>
        </is>
      </c>
      <c r="B805">
        <f>MAX(0,B803-B804)</f>
        <v/>
      </c>
    </row>
    <row r="806">
      <c r="A806" t="inlineStr">
        <is>
          <t>Buff-Casting Startup Delay (s, fixed-duration only)</t>
        </is>
      </c>
      <c r="B806">
        <f>IF(AND(Inputs!$B$38&lt;&gt;"pvp",Inputs!$B$43&gt;0),SUMPRODUCT((Skills!S2:S23&gt;0)*(Skills!E2:E23=TRUE)*(C775:C796=TRUE))/B803,0)</f>
        <v/>
      </c>
    </row>
    <row r="807">
      <c r="A807" t="inlineStr">
        <is>
          <t>Boss-Only Total DPS (this block's swept value)</t>
        </is>
      </c>
      <c r="B807">
        <f>SUM(S775:S796)</f>
        <v/>
      </c>
    </row>
    <row r="808">
      <c r="A808" t="inlineStr">
        <is>
          <t>Normal-Only Total DPS (this block's swept value)</t>
        </is>
      </c>
      <c r="B808">
        <f>SUM(U775:U796)</f>
        <v/>
      </c>
    </row>
    <row r="809">
      <c r="A809" s="5" t="inlineStr">
        <is>
          <t>TOTAL DPS</t>
        </is>
      </c>
      <c r="B809" s="5">
        <f>SUM(O775:O796)</f>
        <v/>
      </c>
    </row>
    <row r="812">
      <c r="A812" s="5" t="inlineStr">
        <is>
          <t>Stat: Flat ATTACK</t>
        </is>
      </c>
    </row>
    <row r="813">
      <c r="A813" s="9" t="inlineStr">
        <is>
          <t>Key</t>
        </is>
      </c>
      <c r="B813" s="9" t="inlineStr">
        <is>
          <t>Name</t>
        </is>
      </c>
      <c r="C813" s="9" t="inlineStr">
        <is>
          <t>Unlocked</t>
        </is>
      </c>
      <c r="D813" s="9" t="inlineStr">
        <is>
          <t>InputLevel</t>
        </is>
      </c>
      <c r="E813" s="9" t="inlineStr">
        <is>
          <t>Factor</t>
        </is>
      </c>
      <c r="F813" s="9" t="inlineStr">
        <is>
          <t>CoefficientPercent</t>
        </is>
      </c>
      <c r="G813" s="9" t="inlineStr">
        <is>
          <t>EffectiveHits</t>
        </is>
      </c>
      <c r="H813" s="9" t="inlineStr">
        <is>
          <t>ProcProbability</t>
        </is>
      </c>
      <c r="I813" s="9" t="inlineStr">
        <is>
          <t>MapleHeroMultiplier</t>
        </is>
      </c>
      <c r="J813" s="9" t="inlineStr">
        <is>
          <t>BaseDamage</t>
        </is>
      </c>
      <c r="K813" s="9" t="inlineStr">
        <is>
          <t>BaseHitDamage</t>
        </is>
      </c>
      <c r="L813" s="9" t="inlineStr">
        <is>
          <t>NonCritAvg</t>
        </is>
      </c>
      <c r="M813" s="9" t="inlineStr">
        <is>
          <t>CritAvg</t>
        </is>
      </c>
      <c r="N813" s="9" t="inlineStr">
        <is>
          <t>ExpectedDamage(perHit)</t>
        </is>
      </c>
      <c r="O813" s="9" t="inlineStr">
        <is>
          <t>DPS</t>
        </is>
      </c>
      <c r="P813" s="9" t="inlineStr">
        <is>
          <t>% of Total</t>
        </is>
      </c>
      <c r="R813" t="inlineStr">
        <is>
          <t>helpers</t>
        </is>
      </c>
    </row>
    <row r="814">
      <c r="A814">
        <f>Skills!A2</f>
        <v/>
      </c>
      <c r="B814">
        <f>Skills!B2</f>
        <v/>
      </c>
      <c r="C814">
        <f>Inputs!$B$3&gt;=100</f>
        <v/>
      </c>
      <c r="D814" t="inlineStr"/>
      <c r="E814" t="inlineStr"/>
      <c r="F814">
        <f>T816+Skills!N2</f>
        <v/>
      </c>
      <c r="G814">
        <f>Calc!G2</f>
        <v/>
      </c>
      <c r="H814">
        <f>Calc!H2</f>
        <v/>
      </c>
      <c r="I814">
        <f>IF(Skills!T2&lt;&gt;"",1+(Skills!T2/10)*(Z815/1000)/100,1)</f>
        <v/>
      </c>
      <c r="J814">
        <f>(((Inputs!$B$6+1)*(1+Inputs!$B$7/100))+(((Inputs!$B$12*(1+Inputs!$B$13/100))-(Inputs!$B$12*(1+Inputs!$B$13/100)))+0.25*(Inputs!$B$14-Inputs!$B$14))*(1+Inputs!$B$7/100))*(F814/100)</f>
        <v/>
      </c>
      <c r="K814">
        <f>J814*(1+((Inputs!$B$12*(1+Inputs!$B$13/100))*0.01+Inputs!$B$14*0.0025)/100)*(1+(Inputs!$B$15+B840)/100)*(1+Inputs!$B$16/100)*(5000/(6000+Inputs!$B$42*(1-Inputs!$B$19/100)))*(1+Inputs!$B$24/100)*(1+IF(C827=TRUE,F827,0)/100)*(1+IF(C835=TRUE,F835,0)/100)^5*(1+(IF(Skills!A2="CHAIN_LIGHTNING",Inputs!$B$17,Inputs!$B$18))/100)*(B838*I814)</f>
        <v/>
      </c>
      <c r="L814">
        <f>K814*(MIN(Inputs!$B$22+(F830-Calc!F18),Inputs!$B$23)/100+Inputs!$B$23/100)/2</f>
        <v/>
      </c>
      <c r="M814">
        <f>L814*(1+(Inputs!$B$10+(F833-Calc!F21))/100)</f>
        <v/>
      </c>
      <c r="N814">
        <f>L814*(1-MIN(Inputs!$B$9+((F832-Calc!F20)+(F831-Calc!F19)),100)/100)+M814*(MIN(Inputs!$B$9+((F832-Calc!F20)+(F831-Calc!F19)),100)/100)</f>
        <v/>
      </c>
      <c r="O814">
        <f>(1-Summary!$B$51)*S814+Summary!$B$51*U814</f>
        <v/>
      </c>
      <c r="P814">
        <f>IF(B848=0,0,O814/B848)</f>
        <v/>
      </c>
      <c r="Q814">
        <f>IFERROR(1/IF(Inputs!$B$38="pvp",15,MAX(0.1,Skills!D2-IF(Skills!E2=TRUE,Inputs!$B$32,0))),0)</f>
        <v/>
      </c>
      <c r="R814" t="n">
        <v>0</v>
      </c>
      <c r="S814">
        <f>IF(C814,(Skills!F2*N814*B844)*IF(Inputs!$B$38="pvp",1,1+(Inputs!$B$20+Skills!O2+B839)/100),0)</f>
        <v/>
      </c>
      <c r="T814">
        <f>MAX(0,(Inputs!$B$3-100)*3)+Inputs!$B$28+Inputs!$B$29</f>
        <v/>
      </c>
      <c r="U814">
        <f>IF(C814,(Skills!F2*N814*B844)*IF(Inputs!$B$38="pvp",1,(1+(Inputs!$B$21+Skills!P2+B839)/100)*(MIN((6+Inputs!$B$33),Inputs!$B$37))),0)</f>
        <v/>
      </c>
      <c r="Z814">
        <f>MAX(0,(Inputs!$B$3-100)*3)+Inputs!$B$28+Inputs!$B$29</f>
        <v/>
      </c>
    </row>
    <row r="815">
      <c r="A815">
        <f>Skills!A3</f>
        <v/>
      </c>
      <c r="B815">
        <f>Skills!B3</f>
        <v/>
      </c>
      <c r="C815">
        <f>Inputs!$B$3&gt;=15</f>
        <v/>
      </c>
      <c r="D815">
        <f>IF(Skills!C3=1,60+Inputs!$B$25+Inputs!$B$29,IF(Skills!C3=2,90+Inputs!$B$26+Inputs!$B$29,IF(Skills!C3=3,120+Inputs!$B$27+Inputs!$B$29,MAX(0,(Inputs!$B$3-100)*3)+Inputs!$B$28+Inputs!$B$29)))</f>
        <v/>
      </c>
      <c r="E815">
        <f>INDEX(FactorTable!$B$2:$Y$301, MATCH(ROUND(MIN(300,MAX(1,D815)),0), FactorTable!$A$2:$A$301,0), Skills!L3+1)</f>
        <v/>
      </c>
      <c r="F815">
        <f>IF(Skills!M3=TRUE,(Skills!K3/10)*(E815/1000),Skills!K3/10)+Skills!N3</f>
        <v/>
      </c>
      <c r="G815">
        <f>Calc!G3</f>
        <v/>
      </c>
      <c r="H815">
        <f>Calc!H3</f>
        <v/>
      </c>
      <c r="I815">
        <f>IF(Skills!T3&lt;&gt;"",1+(Skills!T3/10)*(Z815/1000)/100,1)</f>
        <v/>
      </c>
      <c r="J815" t="inlineStr"/>
      <c r="K815" t="inlineStr"/>
      <c r="L815" t="inlineStr"/>
      <c r="M815" t="inlineStr"/>
      <c r="N815" t="inlineStr"/>
      <c r="O815">
        <f>(1-Summary!$B$51)*S815+Summary!$B$51*U815</f>
        <v/>
      </c>
      <c r="P815">
        <f>IF(B848=0,0,O815/B848)</f>
        <v/>
      </c>
      <c r="Q815">
        <f>IFERROR(1/IF(Inputs!$B$38="pvp",15,MAX(0.1,Skills!D3-IF(Skills!E3=TRUE,Inputs!$B$32,0))),0)</f>
        <v/>
      </c>
      <c r="R815">
        <f>IF(AND(Inputs!$B$38&lt;&gt;"pvp",Inputs!$B$43&gt;0),IF(Inputs!$B$43&lt;=0,0,(INT(Inputs!$B$43/IF(Inputs!$B$38="pvp",15,MAX(0.1,Skills!D3-IF(Skills!E3=TRUE,Inputs!$B$32,0))))+1)),0)</f>
        <v/>
      </c>
      <c r="S815" t="n">
        <v>0</v>
      </c>
      <c r="T815">
        <f>INDEX(FactorTable!$B$2:$Y$301, MATCH(ROUND(MIN(300,MAX(1,T814)),0), FactorTable!$A$2:$A$301,0), 22)</f>
        <v/>
      </c>
      <c r="U815" t="n">
        <v>0</v>
      </c>
      <c r="Z815">
        <f>INDEX(FactorTable!$B$2:$Y$301, MATCH(ROUND(MIN(300,MAX(1,Z814)),0), FactorTable!$A$2:$A$301,0), 24)</f>
        <v/>
      </c>
    </row>
    <row r="816">
      <c r="A816">
        <f>Skills!A4</f>
        <v/>
      </c>
      <c r="B816">
        <f>Skills!B4</f>
        <v/>
      </c>
      <c r="C816">
        <f>Inputs!$B$3&gt;=40</f>
        <v/>
      </c>
      <c r="D816">
        <f>IF(Skills!C4=1,60+Inputs!$B$25+Inputs!$B$29,IF(Skills!C4=2,90+Inputs!$B$26+Inputs!$B$29,IF(Skills!C4=3,120+Inputs!$B$27+Inputs!$B$29,MAX(0,(Inputs!$B$3-100)*3)+Inputs!$B$28+Inputs!$B$29)))</f>
        <v/>
      </c>
      <c r="E816">
        <f>INDEX(FactorTable!$B$2:$Y$301, MATCH(ROUND(MIN(300,MAX(1,D816)),0), FactorTable!$A$2:$A$301,0), Skills!L4+1)</f>
        <v/>
      </c>
      <c r="F816">
        <f>IF(Skills!M4=TRUE,(Skills!K4/10)*(E816/1000),Skills!K4/10)+Skills!N4</f>
        <v/>
      </c>
      <c r="G816">
        <f>Calc!G4</f>
        <v/>
      </c>
      <c r="H816">
        <f>Calc!H4</f>
        <v/>
      </c>
      <c r="I816">
        <f>IF(Skills!T4&lt;&gt;"",1+(Skills!T4/10)*(Z815/1000)/100,1)</f>
        <v/>
      </c>
      <c r="J816" t="inlineStr"/>
      <c r="K816" t="inlineStr"/>
      <c r="L816" t="inlineStr"/>
      <c r="M816" t="inlineStr"/>
      <c r="N816" t="inlineStr"/>
      <c r="O816">
        <f>(1-Summary!$B$51)*S816+Summary!$B$51*U816</f>
        <v/>
      </c>
      <c r="P816">
        <f>IF(B848=0,0,O816/B848)</f>
        <v/>
      </c>
      <c r="Q816">
        <f>IFERROR(1/IF(Inputs!$B$38="pvp",15,MAX(0.1,Skills!D4-IF(Skills!E4=TRUE,Inputs!$B$32,0))),0)</f>
        <v/>
      </c>
      <c r="R816">
        <f>IF(AND(Inputs!$B$38&lt;&gt;"pvp",Inputs!$B$43&gt;0),IF(Inputs!$B$43&lt;=0,0,(INT(Inputs!$B$43/IF(Inputs!$B$38="pvp",15,MAX(0.1,Skills!D4-IF(Skills!E4=TRUE,Inputs!$B$32,0))))+1)),0)</f>
        <v/>
      </c>
      <c r="S816" t="n">
        <v>0</v>
      </c>
      <c r="T816">
        <f>290*T815/1000</f>
        <v/>
      </c>
      <c r="U816" t="n">
        <v>0</v>
      </c>
    </row>
    <row r="817">
      <c r="A817">
        <f>Skills!A5</f>
        <v/>
      </c>
      <c r="B817">
        <f>Skills!B5</f>
        <v/>
      </c>
      <c r="C817">
        <f>Inputs!$B$3&gt;=38</f>
        <v/>
      </c>
      <c r="D817">
        <f>IF(Skills!C5=1,60+Inputs!$B$25+Inputs!$B$29,IF(Skills!C5=2,90+Inputs!$B$26+Inputs!$B$29,IF(Skills!C5=3,120+Inputs!$B$27+Inputs!$B$29,MAX(0,(Inputs!$B$3-100)*3)+Inputs!$B$28+Inputs!$B$29)))</f>
        <v/>
      </c>
      <c r="E817">
        <f>INDEX(FactorTable!$B$2:$Y$301, MATCH(ROUND(MIN(300,MAX(1,D817)),0), FactorTable!$A$2:$A$301,0), Skills!L5+1)</f>
        <v/>
      </c>
      <c r="F817">
        <f>IF(Skills!M5=TRUE,(Skills!K5/10)*(E817/1000),Skills!K5/10)+Skills!N5</f>
        <v/>
      </c>
      <c r="G817">
        <f>Calc!G5</f>
        <v/>
      </c>
      <c r="H817">
        <f>Calc!H5</f>
        <v/>
      </c>
      <c r="I817">
        <f>IF(Skills!T5&lt;&gt;"",1+(Skills!T5/10)*(Z815/1000)/100,1)</f>
        <v/>
      </c>
      <c r="J817">
        <f>(((Inputs!$B$6+1)*(1+Inputs!$B$7/100))+(((Inputs!$B$12*(1+Inputs!$B$13/100))-(Inputs!$B$12*(1+Inputs!$B$13/100)))+0.25*(Inputs!$B$14-Inputs!$B$14))*(1+Inputs!$B$7/100))*(F817/100)</f>
        <v/>
      </c>
      <c r="K817">
        <f>J817*(1+((Inputs!$B$12*(1+Inputs!$B$13/100))*0.01+Inputs!$B$14*0.0025)/100)*(1+(Inputs!$B$15+B840)/100)*(1+Inputs!$B$16/100)*(5000/(6000+Inputs!$B$42*(1-Inputs!$B$19/100)))*(1+Inputs!$B$24/100)*(1+IF(C827=TRUE,F827,0)/100)*(1+IF(C835=TRUE,F835,0)/100)^5*(1+(IF(Skills!A5="CHAIN_LIGHTNING",Inputs!$B$17,Inputs!$B$18))/100)*(B838*I817)</f>
        <v/>
      </c>
      <c r="L817">
        <f>K817*(MIN(Inputs!$B$22+(F830-Calc!F18),Inputs!$B$23)/100+Inputs!$B$23/100)/2</f>
        <v/>
      </c>
      <c r="M817">
        <f>L817*(1+(Inputs!$B$10+(F833-Calc!F21))/100)</f>
        <v/>
      </c>
      <c r="N817">
        <f>L817*(1-MIN(Inputs!$B$9+((F832-Calc!F20)+(F831-Calc!F19)),100)/100)+M817*(MIN(Inputs!$B$9+((F832-Calc!F20)+(F831-Calc!F19)),100)/100)</f>
        <v/>
      </c>
      <c r="O817">
        <f>(1-Summary!$B$51)*S817+Summary!$B$51*U817</f>
        <v/>
      </c>
      <c r="P817">
        <f>IF(B848=0,0,O817/B848)</f>
        <v/>
      </c>
      <c r="Q817">
        <f>IFERROR(1/IF(Inputs!$B$38="pvp",15,MAX(0.1,Skills!D5-IF(Skills!E5=TRUE,Inputs!$B$32,0))),0)</f>
        <v/>
      </c>
      <c r="R817">
        <f>IF(AND(Inputs!$B$38&lt;&gt;"pvp",Inputs!$B$43&gt;0),IF(MAX(0,Inputs!$B$43-B845)&lt;=0,0,(INT(MAX(0,Inputs!$B$43-B845)/IF(Inputs!$B$38="pvp",15,MAX(0.1,Skills!D5-IF(Skills!E5=TRUE,Inputs!$B$32,0))))+1)),0)</f>
        <v/>
      </c>
      <c r="S817">
        <f>IF(C817,(H817*N817*IF(AND(Inputs!$B$38&lt;&gt;"pvp",Inputs!$B$43&gt;0),((Skills!F5*((R817-1)*IF(Skills!G5&gt;0,Skills!H5/Skills!G5,1)+IF(Skills!G5&gt;0,MIN(Skills!H5,MAX(0,MAX(0,Inputs!$B$43-B845)-((R817-1)*IF(Inputs!$B$38="pvp",15,MAX(0.1,Skills!D5-IF(Skills!E5=TRUE,Inputs!$B$32,0))))))/Skills!G5,1)))/Inputs!$B$43),G817*Q817))*IF(Inputs!$B$38="pvp",1,1+(Inputs!$B$20+Skills!O5+B839)/100),0)</f>
        <v/>
      </c>
      <c r="U817">
        <f>IF(C817,(H817*N817*IF(AND(Inputs!$B$38&lt;&gt;"pvp",Inputs!$B$43&gt;0),((Skills!F5*((R817-1)*IF(Skills!G5&gt;0,Skills!H5/Skills!G5,1)+IF(Skills!G5&gt;0,MIN(Skills!H5,MAX(0,MAX(0,Inputs!$B$43-B845)-((R817-1)*IF(Inputs!$B$38="pvp",15,MAX(0.1,Skills!D5-IF(Skills!E5=TRUE,Inputs!$B$32,0))))))/Skills!G5,1)))/Inputs!$B$43),G817*Q817))*IF(Inputs!$B$38="pvp",1,(1+(Inputs!$B$21+Skills!P5+B839)/100)*(MIN(Skills!Q5,Inputs!$B$37))),0)</f>
        <v/>
      </c>
    </row>
    <row r="818">
      <c r="A818">
        <f>Skills!A6</f>
        <v/>
      </c>
      <c r="B818">
        <f>Skills!B6</f>
        <v/>
      </c>
      <c r="C818">
        <f>Inputs!$B$3&gt;=63</f>
        <v/>
      </c>
      <c r="D818">
        <f>IF(Skills!C6=1,60+Inputs!$B$25+Inputs!$B$29,IF(Skills!C6=2,90+Inputs!$B$26+Inputs!$B$29,IF(Skills!C6=3,120+Inputs!$B$27+Inputs!$B$29,MAX(0,(Inputs!$B$3-100)*3)+Inputs!$B$28+Inputs!$B$29)))</f>
        <v/>
      </c>
      <c r="E818">
        <f>INDEX(FactorTable!$B$2:$Y$301, MATCH(ROUND(MIN(300,MAX(1,D818)),0), FactorTable!$A$2:$A$301,0), Skills!L6+1)</f>
        <v/>
      </c>
      <c r="F818">
        <f>IF(Skills!M6=TRUE,(Skills!K6/10)*(E818/1000),Skills!K6/10)+Skills!N6</f>
        <v/>
      </c>
      <c r="G818">
        <f>Calc!G6</f>
        <v/>
      </c>
      <c r="H818">
        <f>Calc!H6</f>
        <v/>
      </c>
      <c r="I818">
        <f>IF(Skills!T6&lt;&gt;"",1+(Skills!T6/10)*(Z815/1000)/100,1)</f>
        <v/>
      </c>
      <c r="J818">
        <f>(((Inputs!$B$6+1)*(1+Inputs!$B$7/100))+(((Inputs!$B$12*(1+Inputs!$B$13/100))-(Inputs!$B$12*(1+Inputs!$B$13/100)))+0.25*(Inputs!$B$14-Inputs!$B$14))*(1+Inputs!$B$7/100))*(F818/100)</f>
        <v/>
      </c>
      <c r="K818">
        <f>J818*(1+((Inputs!$B$12*(1+Inputs!$B$13/100))*0.01+Inputs!$B$14*0.0025)/100)*(1+(Inputs!$B$15+B840)/100)*(1+Inputs!$B$16/100)*(5000/(6000+Inputs!$B$42*(1-Inputs!$B$19/100)))*(1+Inputs!$B$24/100)*(1+IF(C827=TRUE,F827,0)/100)*(1+IF(C835=TRUE,F835,0)/100)^5*(1+(IF(Skills!A6="CHAIN_LIGHTNING",Inputs!$B$17,Inputs!$B$18))/100)*(B838*I818)</f>
        <v/>
      </c>
      <c r="L818">
        <f>K818*(MIN(Inputs!$B$22+(F830-Calc!F18),Inputs!$B$23)/100+Inputs!$B$23/100)/2</f>
        <v/>
      </c>
      <c r="M818">
        <f>L818*(1+(Inputs!$B$10+(F833-Calc!F21))/100)</f>
        <v/>
      </c>
      <c r="N818">
        <f>L818*(1-MIN(Inputs!$B$9+((F832-Calc!F20)+(F831-Calc!F19)),100)/100)+M818*(MIN(Inputs!$B$9+((F832-Calc!F20)+(F831-Calc!F19)),100)/100)</f>
        <v/>
      </c>
      <c r="O818">
        <f>(1-Summary!$B$51)*S818+Summary!$B$51*U818</f>
        <v/>
      </c>
      <c r="P818">
        <f>IF(B848=0,0,O818/B848)</f>
        <v/>
      </c>
      <c r="Q818">
        <f>IFERROR(1/IF(Inputs!$B$38="pvp",15,MAX(0.1,Skills!D6-IF(Skills!E6=TRUE,Inputs!$B$32,0))),0)</f>
        <v/>
      </c>
      <c r="R818">
        <f>IF(AND(Inputs!$B$38&lt;&gt;"pvp",Inputs!$B$43&gt;0),IF(MAX(0,Inputs!$B$43-B845)&lt;=0,0,(INT(MAX(0,Inputs!$B$43-B845)/IF(Inputs!$B$38="pvp",15,MAX(0.1,Skills!D6-IF(Skills!E6=TRUE,Inputs!$B$32,0))))+1)),0)</f>
        <v/>
      </c>
      <c r="S818">
        <f>IF(C818,(H818*N818*IF(AND(Inputs!$B$38&lt;&gt;"pvp",Inputs!$B$43&gt;0),((Skills!F6*((R818-1)*IF(Skills!G6&gt;0,Skills!H6/Skills!G6,1)+IF(Skills!G6&gt;0,MIN(Skills!H6,MAX(0,MAX(0,Inputs!$B$43-B845)-((R818-1)*IF(Inputs!$B$38="pvp",15,MAX(0.1,Skills!D6-IF(Skills!E6=TRUE,Inputs!$B$32,0))))))/Skills!G6,1)))/Inputs!$B$43),G818*Q818))*IF(Inputs!$B$38="pvp",1,1+(Inputs!$B$20+Skills!O6+B839)/100),0)</f>
        <v/>
      </c>
      <c r="U818">
        <f>IF(C818,(H818*N818*IF(AND(Inputs!$B$38&lt;&gt;"pvp",Inputs!$B$43&gt;0),((Skills!F6*((R818-1)*IF(Skills!G6&gt;0,Skills!H6/Skills!G6,1)+IF(Skills!G6&gt;0,MIN(Skills!H6,MAX(0,MAX(0,Inputs!$B$43-B845)-((R818-1)*IF(Inputs!$B$38="pvp",15,MAX(0.1,Skills!D6-IF(Skills!E6=TRUE,Inputs!$B$32,0))))))/Skills!G6,1)))/Inputs!$B$43),G818*Q818))*IF(Inputs!$B$38="pvp",1,(1+(Inputs!$B$21+Skills!P6+B839)/100)*(MIN(Skills!Q6,Inputs!$B$37))),0)</f>
        <v/>
      </c>
    </row>
    <row r="819">
      <c r="A819">
        <f>Skills!A7</f>
        <v/>
      </c>
      <c r="B819">
        <f>Skills!B7</f>
        <v/>
      </c>
      <c r="C819">
        <f>Inputs!$B$3&gt;=69</f>
        <v/>
      </c>
      <c r="D819">
        <f>IF(Skills!C7=1,60+Inputs!$B$25+Inputs!$B$29,IF(Skills!C7=2,90+Inputs!$B$26+Inputs!$B$29,IF(Skills!C7=3,120+Inputs!$B$27+Inputs!$B$29,MAX(0,(Inputs!$B$3-100)*3)+Inputs!$B$28+Inputs!$B$29)))</f>
        <v/>
      </c>
      <c r="E819">
        <f>INDEX(FactorTable!$B$2:$Y$301, MATCH(ROUND(MIN(300,MAX(1,D819)),0), FactorTable!$A$2:$A$301,0), Skills!L7+1)</f>
        <v/>
      </c>
      <c r="F819">
        <f>IF(Skills!M7=TRUE,(Skills!K7/10)*(E819/1000),Skills!K7/10)+Skills!N7</f>
        <v/>
      </c>
      <c r="G819">
        <f>Calc!G7</f>
        <v/>
      </c>
      <c r="H819">
        <f>Calc!H7</f>
        <v/>
      </c>
      <c r="I819">
        <f>IF(Skills!T7&lt;&gt;"",1+(Skills!T7/10)*(Z815/1000)/100,1)</f>
        <v/>
      </c>
      <c r="J819">
        <f>(((Inputs!$B$6+1)*(1+Inputs!$B$7/100))+(((Inputs!$B$12*(1+Inputs!$B$13/100))-(Inputs!$B$12*(1+Inputs!$B$13/100)))+0.25*(Inputs!$B$14-Inputs!$B$14))*(1+Inputs!$B$7/100))*(F819/100)</f>
        <v/>
      </c>
      <c r="K819">
        <f>J819*(1+((Inputs!$B$12*(1+Inputs!$B$13/100))*0.01+Inputs!$B$14*0.0025)/100)*(1+(Inputs!$B$15+B840)/100)*(1+Inputs!$B$16/100)*(5000/(6000+Inputs!$B$42*(1-Inputs!$B$19/100)))*(1+Inputs!$B$24/100)*(1+IF(C827=TRUE,F827,0)/100)*(1+IF(C835=TRUE,F835,0)/100)^5*(1+(IF(Skills!A7="CHAIN_LIGHTNING",Inputs!$B$17,Inputs!$B$18))/100)*(B838*I819)</f>
        <v/>
      </c>
      <c r="L819">
        <f>K819*(MIN(Inputs!$B$22+(F830-Calc!F18),Inputs!$B$23)/100+Inputs!$B$23/100)/2</f>
        <v/>
      </c>
      <c r="M819">
        <f>L819*(1+(Inputs!$B$10+(F833-Calc!F21))/100)</f>
        <v/>
      </c>
      <c r="N819">
        <f>L819*(1-MIN(Inputs!$B$9+((F832-Calc!F20)+(F831-Calc!F19)),100)/100)+M819*(MIN(Inputs!$B$9+((F832-Calc!F20)+(F831-Calc!F19)),100)/100)</f>
        <v/>
      </c>
      <c r="O819">
        <f>(1-Summary!$B$51)*S819+Summary!$B$51*U819</f>
        <v/>
      </c>
      <c r="P819">
        <f>IF(B848=0,0,O819/B848)</f>
        <v/>
      </c>
      <c r="Q819">
        <f>IFERROR(1/IF(Inputs!$B$38="pvp",15,MAX(0.1,Skills!D7-IF(Skills!E7=TRUE,Inputs!$B$32,0))),0)</f>
        <v/>
      </c>
      <c r="R819">
        <f>IF(AND(Inputs!$B$38&lt;&gt;"pvp",Inputs!$B$43&gt;0),IF(MAX(0,Inputs!$B$43-B845)&lt;=0,0,(INT(MAX(0,Inputs!$B$43-B845)/IF(Inputs!$B$38="pvp",15,MAX(0.1,Skills!D7-IF(Skills!E7=TRUE,Inputs!$B$32,0))))+1)),0)</f>
        <v/>
      </c>
      <c r="S819">
        <f>IF(C819,(H819*N819*IF(AND(Inputs!$B$38&lt;&gt;"pvp",Inputs!$B$43&gt;0),((Skills!F7*((R819-1)*IF(Skills!G7&gt;0,Skills!H7/Skills!G7,1)+IF(Skills!G7&gt;0,MIN(Skills!H7,MAX(0,MAX(0,Inputs!$B$43-B845)-((R819-1)*IF(Inputs!$B$38="pvp",15,MAX(0.1,Skills!D7-IF(Skills!E7=TRUE,Inputs!$B$32,0))))))/Skills!G7,1)))/Inputs!$B$43),G819*Q819))*IF(Inputs!$B$38="pvp",1,1+(Inputs!$B$20+Skills!O7+B839)/100),0)</f>
        <v/>
      </c>
      <c r="U819">
        <f>IF(C819,(H819*N819*IF(AND(Inputs!$B$38&lt;&gt;"pvp",Inputs!$B$43&gt;0),((Skills!F7*((R819-1)*IF(Skills!G7&gt;0,Skills!H7/Skills!G7,1)+IF(Skills!G7&gt;0,MIN(Skills!H7,MAX(0,MAX(0,Inputs!$B$43-B845)-((R819-1)*IF(Inputs!$B$38="pvp",15,MAX(0.1,Skills!D7-IF(Skills!E7=TRUE,Inputs!$B$32,0))))))/Skills!G7,1)))/Inputs!$B$43),G819*Q819))*IF(Inputs!$B$38="pvp",1,(1+(Inputs!$B$21+Skills!P7+B839)/100)*(MIN(Skills!Q7,Inputs!$B$37))),0)</f>
        <v/>
      </c>
    </row>
    <row r="820">
      <c r="A820">
        <f>Skills!A8</f>
        <v/>
      </c>
      <c r="B820">
        <f>Skills!B8</f>
        <v/>
      </c>
      <c r="C820">
        <f>Inputs!$B$3&gt;=103</f>
        <v/>
      </c>
      <c r="D820">
        <f>IF(Skills!C8=1,60+Inputs!$B$25+Inputs!$B$29,IF(Skills!C8=2,90+Inputs!$B$26+Inputs!$B$29,IF(Skills!C8=3,120+Inputs!$B$27+Inputs!$B$29,MAX(0,(Inputs!$B$3-100)*3)+Inputs!$B$28+Inputs!$B$29)))</f>
        <v/>
      </c>
      <c r="E820">
        <f>INDEX(FactorTable!$B$2:$Y$301, MATCH(ROUND(MIN(300,MAX(1,D820)),0), FactorTable!$A$2:$A$301,0), Skills!L8+1)</f>
        <v/>
      </c>
      <c r="F820">
        <f>IF(Skills!M8=TRUE,(Skills!K8/10)*(E820/1000),Skills!K8/10)+Skills!N8</f>
        <v/>
      </c>
      <c r="G820">
        <f>Calc!G8</f>
        <v/>
      </c>
      <c r="H820">
        <f>Calc!H8</f>
        <v/>
      </c>
      <c r="I820">
        <f>IF(Skills!T8&lt;&gt;"",1+(Skills!T8/10)*(Z815/1000)/100,1)</f>
        <v/>
      </c>
      <c r="J820">
        <f>(((Inputs!$B$6+1)*(1+Inputs!$B$7/100))+(((Inputs!$B$12*(1+Inputs!$B$13/100))-(Inputs!$B$12*(1+Inputs!$B$13/100)))+0.25*(Inputs!$B$14-Inputs!$B$14))*(1+Inputs!$B$7/100))*(F820/100)</f>
        <v/>
      </c>
      <c r="K820">
        <f>J820*(1+((Inputs!$B$12*(1+Inputs!$B$13/100))*0.01+Inputs!$B$14*0.0025)/100)*(1+(Inputs!$B$15+B840)/100)*(1+Inputs!$B$16/100)*(5000/(6000+Inputs!$B$42*(1-Inputs!$B$19/100)))*(1+Inputs!$B$24/100)*(1+IF(C827=TRUE,F827,0)/100)*(1+IF(C835=TRUE,F835,0)/100)^5*(1+(IF(Skills!A8="CHAIN_LIGHTNING",Inputs!$B$17,Inputs!$B$18))/100)*(B838*I820)</f>
        <v/>
      </c>
      <c r="L820">
        <f>K820*(MIN(Inputs!$B$22+(F830-Calc!F18),Inputs!$B$23)/100+Inputs!$B$23/100)/2</f>
        <v/>
      </c>
      <c r="M820">
        <f>L820*(1+(Inputs!$B$10+(F833-Calc!F21))/100)</f>
        <v/>
      </c>
      <c r="N820">
        <f>L820*(1-MIN(Inputs!$B$9+((F832-Calc!F20)+(F831-Calc!F19)),100)/100)+M820*(MIN(Inputs!$B$9+((F832-Calc!F20)+(F831-Calc!F19)),100)/100)</f>
        <v/>
      </c>
      <c r="O820">
        <f>(1-Summary!$B$51)*S820+Summary!$B$51*U820</f>
        <v/>
      </c>
      <c r="P820">
        <f>IF(B848=0,0,O820/B848)</f>
        <v/>
      </c>
      <c r="Q820">
        <f>IFERROR(1/IF(Inputs!$B$38="pvp",15,MAX(0.1,Skills!D8-IF(Skills!E8=TRUE,Inputs!$B$32,0))),0)</f>
        <v/>
      </c>
      <c r="R820">
        <f>IF(AND(Inputs!$B$38&lt;&gt;"pvp",Inputs!$B$43&gt;0),IF(MAX(0,Inputs!$B$43-B845)&lt;=0,0,(INT(MAX(0,Inputs!$B$43-B845)/IF(Inputs!$B$38="pvp",15,MAX(0.1,Skills!D8-IF(Skills!E8=TRUE,Inputs!$B$32,0))))+1)),0)</f>
        <v/>
      </c>
      <c r="S820">
        <f>IF(C820,(H820*N820*IF(AND(Inputs!$B$38&lt;&gt;"pvp",Inputs!$B$43&gt;0),((Skills!F8*((R820-1)*IF(Skills!G8&gt;0,Skills!H8/Skills!G8,1)+IF(Skills!G8&gt;0,MIN(Skills!H8,MAX(0,MAX(0,Inputs!$B$43-B845)-((R820-1)*IF(Inputs!$B$38="pvp",15,MAX(0.1,Skills!D8-IF(Skills!E8=TRUE,Inputs!$B$32,0))))))/Skills!G8,1)))/Inputs!$B$43),G820*Q820))*IF(Inputs!$B$38="pvp",1,1+(Inputs!$B$20+Skills!O8+B839)/100),0)</f>
        <v/>
      </c>
      <c r="U820">
        <f>IF(C820,(H820*N820*IF(AND(Inputs!$B$38&lt;&gt;"pvp",Inputs!$B$43&gt;0),((Skills!F8*((R820-1)*IF(Skills!G8&gt;0,Skills!H8/Skills!G8,1)+IF(Skills!G8&gt;0,MIN(Skills!H8,MAX(0,MAX(0,Inputs!$B$43-B845)-((R820-1)*IF(Inputs!$B$38="pvp",15,MAX(0.1,Skills!D8-IF(Skills!E8=TRUE,Inputs!$B$32,0))))))/Skills!G8,1)))/Inputs!$B$43),G820*Q820))*IF(Inputs!$B$38="pvp",1,(1+(Inputs!$B$21+Skills!P8+B839)/100)*(MIN(Skills!Q8,Inputs!$B$37))),0)</f>
        <v/>
      </c>
    </row>
    <row r="821">
      <c r="A821">
        <f>Skills!A9</f>
        <v/>
      </c>
      <c r="B821">
        <f>Skills!B9</f>
        <v/>
      </c>
      <c r="C821">
        <f>Inputs!$B$3&gt;=105</f>
        <v/>
      </c>
      <c r="D821">
        <f>IF(Skills!C9=1,60+Inputs!$B$25+Inputs!$B$29,IF(Skills!C9=2,90+Inputs!$B$26+Inputs!$B$29,IF(Skills!C9=3,120+Inputs!$B$27+Inputs!$B$29,MAX(0,(Inputs!$B$3-100)*3)+Inputs!$B$28+Inputs!$B$29)))</f>
        <v/>
      </c>
      <c r="E821">
        <f>INDEX(FactorTable!$B$2:$Y$301, MATCH(ROUND(MIN(300,MAX(1,D821)),0), FactorTable!$A$2:$A$301,0), Skills!L9+1)</f>
        <v/>
      </c>
      <c r="F821">
        <f>IF(Skills!M9=TRUE,(Skills!K9/10)*(E821/1000),Skills!K9/10)+Skills!N9</f>
        <v/>
      </c>
      <c r="G821">
        <f>Calc!G9</f>
        <v/>
      </c>
      <c r="H821">
        <f>Calc!H9</f>
        <v/>
      </c>
      <c r="I821">
        <f>IF(Skills!T9&lt;&gt;"",1+(Skills!T9/10)*(Z815/1000)/100,1)</f>
        <v/>
      </c>
      <c r="J821">
        <f>(((Inputs!$B$6+1)*(1+Inputs!$B$7/100))+(((Inputs!$B$12*(1+Inputs!$B$13/100))-(Inputs!$B$12*(1+Inputs!$B$13/100)))+0.25*(Inputs!$B$14-Inputs!$B$14))*(1+Inputs!$B$7/100))*(F821/100)</f>
        <v/>
      </c>
      <c r="K821">
        <f>J821*(1+((Inputs!$B$12*(1+Inputs!$B$13/100))*0.01+Inputs!$B$14*0.0025)/100)*(1+(Inputs!$B$15+B840)/100)*(1+Inputs!$B$16/100)*(5000/(6000+Inputs!$B$42*(1-Inputs!$B$19/100)))*(1+Inputs!$B$24/100)*(1+IF(C827=TRUE,F827,0)/100)*(1+IF(C835=TRUE,F835,0)/100)^5*(1+(IF(Skills!A9="CHAIN_LIGHTNING",Inputs!$B$17,Inputs!$B$18))/100)*(B838*I821)</f>
        <v/>
      </c>
      <c r="L821">
        <f>K821*(MIN(Inputs!$B$22+(F830-Calc!F18),Inputs!$B$23)/100+Inputs!$B$23/100)/2</f>
        <v/>
      </c>
      <c r="M821">
        <f>L821*(1+(Inputs!$B$10+(F833-Calc!F21))/100)</f>
        <v/>
      </c>
      <c r="N821">
        <f>L821*(1-MIN(Inputs!$B$9+((F832-Calc!F20)+(F831-Calc!F19)),100)/100)+M821*(MIN(Inputs!$B$9+((F832-Calc!F20)+(F831-Calc!F19)),100)/100)</f>
        <v/>
      </c>
      <c r="O821">
        <f>(1-Summary!$B$51)*S821+Summary!$B$51*U821</f>
        <v/>
      </c>
      <c r="P821">
        <f>IF(B848=0,0,O821/B848)</f>
        <v/>
      </c>
      <c r="Q821">
        <f>IFERROR(1/IF(Inputs!$B$38="pvp",15,MAX(0.1,Skills!D9-IF(Skills!E9=TRUE,Inputs!$B$32,0))),0)</f>
        <v/>
      </c>
      <c r="R821">
        <f>IF(AND(Inputs!$B$38&lt;&gt;"pvp",Inputs!$B$43&gt;0),IF(MAX(0,Inputs!$B$43-B845)&lt;=0,0,(INT(MAX(0,Inputs!$B$43-B845)/IF(Inputs!$B$38="pvp",15,MAX(0.1,Skills!D9-IF(Skills!E9=TRUE,Inputs!$B$32,0))))+1)),0)</f>
        <v/>
      </c>
      <c r="S821">
        <f>IF(C821,(H821*N821*IF(AND(Inputs!$B$38&lt;&gt;"pvp",Inputs!$B$43&gt;0),((Skills!F9*((R821-1)*IF(Skills!G9&gt;0,Skills!H9/Skills!G9,1)+IF(Skills!G9&gt;0,MIN(Skills!H9,MAX(0,MAX(0,Inputs!$B$43-B845)-((R821-1)*IF(Inputs!$B$38="pvp",15,MAX(0.1,Skills!D9-IF(Skills!E9=TRUE,Inputs!$B$32,0))))))/Skills!G9,1)))/Inputs!$B$43),G821*Q821))*IF(Inputs!$B$38="pvp",1,1+(Inputs!$B$20+Skills!O9+B839)/100),0)</f>
        <v/>
      </c>
      <c r="U821">
        <f>IF(C821,(H821*N821*IF(AND(Inputs!$B$38&lt;&gt;"pvp",Inputs!$B$43&gt;0),((Skills!F9*((R821-1)*IF(Skills!G9&gt;0,Skills!H9/Skills!G9,1)+IF(Skills!G9&gt;0,MIN(Skills!H9,MAX(0,MAX(0,Inputs!$B$43-B845)-((R821-1)*IF(Inputs!$B$38="pvp",15,MAX(0.1,Skills!D9-IF(Skills!E9=TRUE,Inputs!$B$32,0))))))/Skills!G9,1)))/Inputs!$B$43),G821*Q821))*IF(Inputs!$B$38="pvp",1,(1+(Inputs!$B$21+Skills!P9+B839)/100)*(MIN(Skills!Q9,Inputs!$B$37))),0)</f>
        <v/>
      </c>
    </row>
    <row r="822">
      <c r="A822">
        <f>Skills!A10</f>
        <v/>
      </c>
      <c r="B822">
        <f>Skills!B10</f>
        <v/>
      </c>
      <c r="C822">
        <f>Inputs!$B$3&gt;=113</f>
        <v/>
      </c>
      <c r="D822">
        <f>IF(Skills!C10=1,60+Inputs!$B$25+Inputs!$B$29,IF(Skills!C10=2,90+Inputs!$B$26+Inputs!$B$29,IF(Skills!C10=3,120+Inputs!$B$27+Inputs!$B$29,MAX(0,(Inputs!$B$3-100)*3)+Inputs!$B$28+Inputs!$B$29)))</f>
        <v/>
      </c>
      <c r="E822">
        <f>INDEX(FactorTable!$B$2:$Y$301, MATCH(ROUND(MIN(300,MAX(1,D822)),0), FactorTable!$A$2:$A$301,0), Skills!L10+1)</f>
        <v/>
      </c>
      <c r="F822">
        <f>IF(Skills!M10=TRUE,(Skills!K10/10)*(E822/1000),Skills!K10/10)+Skills!N10</f>
        <v/>
      </c>
      <c r="G822">
        <f>Calc!G10</f>
        <v/>
      </c>
      <c r="H822">
        <f>Calc!H10</f>
        <v/>
      </c>
      <c r="I822">
        <f>IF(Skills!T10&lt;&gt;"",1+(Skills!T10/10)*(Z815/1000)/100,1)</f>
        <v/>
      </c>
      <c r="J822">
        <f>(((Inputs!$B$6+1)*(1+Inputs!$B$7/100))+(((Inputs!$B$12*(1+Inputs!$B$13/100))-(Inputs!$B$12*(1+Inputs!$B$13/100)))+0.25*(Inputs!$B$14-Inputs!$B$14))*(1+Inputs!$B$7/100))*(F822/100)</f>
        <v/>
      </c>
      <c r="K822">
        <f>J822*(1+((Inputs!$B$12*(1+Inputs!$B$13/100))*0.01+Inputs!$B$14*0.0025)/100)*(1+(Inputs!$B$15+B840)/100)*(1+Inputs!$B$16/100)*(5000/(6000+Inputs!$B$42*(1-Inputs!$B$19/100)))*(1+Inputs!$B$24/100)*(1+IF(C827=TRUE,F827,0)/100)*(1+IF(C835=TRUE,F835,0)/100)^5*(1+(IF(Skills!A10="CHAIN_LIGHTNING",Inputs!$B$17,Inputs!$B$18))/100)*(B838*I822)</f>
        <v/>
      </c>
      <c r="L822">
        <f>K822*(MIN(Inputs!$B$22+(F830-Calc!F18),Inputs!$B$23)/100+Inputs!$B$23/100)/2</f>
        <v/>
      </c>
      <c r="M822">
        <f>L822*(1+(Inputs!$B$10+(F833-Calc!F21))/100)</f>
        <v/>
      </c>
      <c r="N822">
        <f>L822*(1-MIN(Inputs!$B$9+((F832-Calc!F20)+(F831-Calc!F19)),100)/100)+M822*(MIN(Inputs!$B$9+((F832-Calc!F20)+(F831-Calc!F19)),100)/100)</f>
        <v/>
      </c>
      <c r="O822">
        <f>(1-Summary!$B$51)*S822+Summary!$B$51*U822</f>
        <v/>
      </c>
      <c r="P822">
        <f>IF(B848=0,0,O822/B848)</f>
        <v/>
      </c>
      <c r="Q822">
        <f>IFERROR(1/IF(Inputs!$B$38="pvp",15,MAX(0.1,Skills!D10-IF(Skills!E9=TRUE,Inputs!$B$32,0))),0)</f>
        <v/>
      </c>
      <c r="R822">
        <f>IF(AND(Inputs!$B$38&lt;&gt;"pvp",Inputs!$B$43&gt;0),IF(MAX(0,Inputs!$B$43-B845)&lt;=0,0,(INT(MAX(0,Inputs!$B$43-B845)/IF(Inputs!$B$38="pvp",15,MAX(0.1,Skills!D10-IF(Skills!E9=TRUE,Inputs!$B$32,0))))+1)),0)</f>
        <v/>
      </c>
      <c r="S822">
        <f>IF(C822,(H822*N822*IF(AND(Inputs!$B$38&lt;&gt;"pvp",Inputs!$B$43&gt;0),((Skills!F10*((R822-1)*IF(Skills!G10&gt;0,Skills!H10/Skills!G10,1)+IF(Skills!G10&gt;0,MIN(Skills!H10,MAX(0,MAX(0,Inputs!$B$43-B845)-((R822-1)*IF(Inputs!$B$38="pvp",15,MAX(0.1,Skills!D10-IF(Skills!E9=TRUE,Inputs!$B$32,0))))))/Skills!G10,1)))/Inputs!$B$43),G822*Q822))*IF(Inputs!$B$38="pvp",1,1+(Inputs!$B$20+Skills!O10+B839)/100),0)</f>
        <v/>
      </c>
      <c r="U822">
        <f>IF(C822,(H822*N822*IF(AND(Inputs!$B$38&lt;&gt;"pvp",Inputs!$B$43&gt;0),((Skills!F10*((R822-1)*IF(Skills!G10&gt;0,Skills!H10/Skills!G10,1)+IF(Skills!G10&gt;0,MIN(Skills!H10,MAX(0,MAX(0,Inputs!$B$43-B845)-((R822-1)*IF(Inputs!$B$38="pvp",15,MAX(0.1,Skills!D10-IF(Skills!E9=TRUE,Inputs!$B$32,0))))))/Skills!G10,1)))/Inputs!$B$43),G822*Q822))*IF(Inputs!$B$38="pvp",1,(1+(Inputs!$B$21+Skills!P10+B839)/100)*(MIN(Skills!Q10,Inputs!$B$37))),0)</f>
        <v/>
      </c>
    </row>
    <row r="823">
      <c r="A823">
        <f>Skills!A11</f>
        <v/>
      </c>
      <c r="B823">
        <f>Skills!B11</f>
        <v/>
      </c>
      <c r="C823">
        <f>Inputs!$B$3&gt;=107</f>
        <v/>
      </c>
      <c r="D823">
        <f>IF(Skills!C11=1,60+Inputs!$B$25+Inputs!$B$29,IF(Skills!C11=2,90+Inputs!$B$26+Inputs!$B$29,IF(Skills!C11=3,120+Inputs!$B$27+Inputs!$B$29,MAX(0,(Inputs!$B$3-100)*3)+Inputs!$B$28+Inputs!$B$29)))</f>
        <v/>
      </c>
      <c r="E823">
        <f>INDEX(FactorTable!$B$2:$Y$301, MATCH(ROUND(MIN(300,MAX(1,D823)),0), FactorTable!$A$2:$A$301,0), Skills!L11+1)</f>
        <v/>
      </c>
      <c r="F823">
        <f>IF(Skills!M11=TRUE,(Skills!K11/10)*(E823/1000),Skills!K11/10)+Skills!N11</f>
        <v/>
      </c>
      <c r="G823">
        <f>Calc!G11</f>
        <v/>
      </c>
      <c r="H823">
        <f>Calc!H11</f>
        <v/>
      </c>
      <c r="I823">
        <f>IF(Skills!T11&lt;&gt;"",1+(Skills!T11/10)*(Z815/1000)/100,1)</f>
        <v/>
      </c>
      <c r="J823">
        <f>(((Inputs!$B$6+1)*(1+Inputs!$B$7/100))+(((Inputs!$B$12*(1+Inputs!$B$13/100))-(Inputs!$B$12*(1+Inputs!$B$13/100)))+0.25*(Inputs!$B$14-Inputs!$B$14))*(1+Inputs!$B$7/100))*(F823/100)</f>
        <v/>
      </c>
      <c r="K823">
        <f>J823*(1+((Inputs!$B$12*(1+Inputs!$B$13/100))*0.01+Inputs!$B$14*0.0025)/100)*(1+(Inputs!$B$15+B840)/100)*(1+Inputs!$B$16/100)*(5000/(6000+Inputs!$B$42*(1-Inputs!$B$19/100)))*(1+Inputs!$B$24/100)*(1+IF(C827=TRUE,F827,0)/100)*(1+IF(C835=TRUE,F835,0)/100)^5*(1+(IF(Skills!A11="CHAIN_LIGHTNING",Inputs!$B$17,Inputs!$B$18))/100)*(B838*I823)</f>
        <v/>
      </c>
      <c r="L823">
        <f>K823*(MIN(Inputs!$B$22+(F830-Calc!F18),Inputs!$B$23)/100+Inputs!$B$23/100)/2</f>
        <v/>
      </c>
      <c r="M823">
        <f>L823*(1+(Inputs!$B$10+(F833-Calc!F21))/100)</f>
        <v/>
      </c>
      <c r="N823">
        <f>L823*(1-MIN(Inputs!$B$9+((F832-Calc!F20)+(F831-Calc!F19)),100)/100)+M823*(MIN(Inputs!$B$9+((F832-Calc!F20)+(F831-Calc!F19)),100)/100)</f>
        <v/>
      </c>
      <c r="O823">
        <f>(1-Summary!$B$51)*S823+Summary!$B$51*U823</f>
        <v/>
      </c>
      <c r="P823">
        <f>IF(B848=0,0,O823/B848)</f>
        <v/>
      </c>
      <c r="Q823">
        <f>IFERROR(1/IF(Inputs!$B$38="pvp",15,MAX(0.1,Skills!D11-IF(Skills!E11=TRUE,Inputs!$B$32,0))),0)</f>
        <v/>
      </c>
      <c r="R823">
        <f>IF(AND(Inputs!$B$38&lt;&gt;"pvp",Inputs!$B$43&gt;0),IF(MAX(0,Inputs!$B$43-B845)&lt;=0,0,(INT(MAX(0,Inputs!$B$43-B845)/IF(Inputs!$B$38="pvp",15,MAX(0.1,Skills!D11-IF(Skills!E11=TRUE,Inputs!$B$32,0))))+1)),0)</f>
        <v/>
      </c>
      <c r="S823">
        <f>IF(C823,H823*N823*IF(AND(Inputs!$B$38&lt;&gt;"pvp",Inputs!$B$43&gt;0),((Skills!F11*((R823-1)*IF(Skills!G11&gt;0,Skills!H11/Skills!G11,1)+IF(Skills!G11&gt;0,MIN(Skills!H11,MAX(0,MAX(0,Inputs!$B$43-B845)-((R823-1)*IF(Inputs!$B$38="pvp",15,MAX(0.1,Skills!D11-IF(Skills!E11=TRUE,Inputs!$B$32,0))))))/Skills!G11,1)))/Inputs!$B$43),G823*Q823)*0.5*IF(Inputs!$B$38="pvp",1,1+(Inputs!$B$20+Skills!O11+B839)/100),0)</f>
        <v/>
      </c>
      <c r="U823">
        <f>IF(C823,H823*N823*IF(AND(Inputs!$B$38&lt;&gt;"pvp",Inputs!$B$43&gt;0),((Skills!F11*((R823-1)*IF(Skills!G11&gt;0,Skills!H11/Skills!G11,1)+IF(Skills!G11&gt;0,MIN(Skills!H11,MAX(0,MAX(0,Inputs!$B$43-B845)-((R823-1)*IF(Inputs!$B$38="pvp",15,MAX(0.1,Skills!D11-IF(Skills!E11=TRUE,Inputs!$B$32,0))))))/Skills!G11,1)))/Inputs!$B$43),G823*Q823)*1*IF(Inputs!$B$38="pvp",1,(1+(Inputs!$B$21+Skills!P11+B839)/100)*(MIN(Skills!Q11,Inputs!$B$37))),0)</f>
        <v/>
      </c>
    </row>
    <row r="824">
      <c r="A824">
        <f>Skills!A12</f>
        <v/>
      </c>
      <c r="B824">
        <f>Skills!B12</f>
        <v/>
      </c>
      <c r="C824">
        <f>Inputs!$B$3&gt;=115</f>
        <v/>
      </c>
      <c r="D824">
        <f>IF(Skills!C12=1,60+Inputs!$B$25+Inputs!$B$29,IF(Skills!C12=2,90+Inputs!$B$26+Inputs!$B$29,IF(Skills!C12=3,120+Inputs!$B$27+Inputs!$B$29,MAX(0,(Inputs!$B$3-100)*3)+Inputs!$B$28+Inputs!$B$29)))</f>
        <v/>
      </c>
      <c r="E824">
        <f>INDEX(FactorTable!$B$2:$Y$301, MATCH(ROUND(MIN(300,MAX(1,D824)),0), FactorTable!$A$2:$A$301,0), Skills!L12+1)</f>
        <v/>
      </c>
      <c r="F824">
        <f>IF(Skills!M12=TRUE,(Skills!K12/10)*(E824/1000),Skills!K12/10)+Skills!N12</f>
        <v/>
      </c>
      <c r="G824">
        <f>Calc!G12</f>
        <v/>
      </c>
      <c r="H824">
        <f>Calc!H12</f>
        <v/>
      </c>
      <c r="I824">
        <f>IF(Skills!T12&lt;&gt;"",1+(Skills!T12/10)*(Z815/1000)/100,1)</f>
        <v/>
      </c>
      <c r="J824">
        <f>(((Inputs!$B$6+1)*(1+Inputs!$B$7/100))+(((Inputs!$B$12*(1+Inputs!$B$13/100))-(Inputs!$B$12*(1+Inputs!$B$13/100)))+0.25*(Inputs!$B$14-Inputs!$B$14))*(1+Inputs!$B$7/100))*(F824/100)</f>
        <v/>
      </c>
      <c r="K824">
        <f>J824*(1+((Inputs!$B$12*(1+Inputs!$B$13/100))*0.01+Inputs!$B$14*0.0025)/100)*(1+(Inputs!$B$15+B840)/100)*(1+Inputs!$B$16/100)*(5000/(6000+Inputs!$B$42*(1-Inputs!$B$19/100)))*(1+Inputs!$B$24/100)*(1+IF(C827=TRUE,F827,0)/100)*(1+IF(C835=TRUE,F835,0)/100)^5*(1+(IF(Skills!A12="CHAIN_LIGHTNING",Inputs!$B$17,Inputs!$B$18))/100)*(B838*I824)</f>
        <v/>
      </c>
      <c r="L824">
        <f>K824*(MIN(Inputs!$B$22+(F830-Calc!F18),Inputs!$B$23)/100+Inputs!$B$23/100)/2</f>
        <v/>
      </c>
      <c r="M824">
        <f>L824*(1+(Inputs!$B$10+(F833-Calc!F21))/100)</f>
        <v/>
      </c>
      <c r="N824">
        <f>L824*(1-MIN(Inputs!$B$9+((F832-Calc!F20)+(F831-Calc!F19)),100)/100)+M824*(MIN(Inputs!$B$9+((F832-Calc!F20)+(F831-Calc!F19)),100)/100)</f>
        <v/>
      </c>
      <c r="O824">
        <f>(1-Summary!$B$51)*S824+Summary!$B$51*U824</f>
        <v/>
      </c>
      <c r="P824">
        <f>IF(B848=0,0,O824/B848)</f>
        <v/>
      </c>
      <c r="Q824">
        <f>IFERROR(1/IF(Inputs!$B$38="pvp",15,MAX(0.1,Skills!D12-IF(Skills!E12=TRUE,Inputs!$B$32,0))),0)</f>
        <v/>
      </c>
      <c r="R824">
        <f>IF(AND(Inputs!$B$38&lt;&gt;"pvp",Inputs!$B$43&gt;0),IF(MAX(0,Inputs!$B$43-B845)&lt;=0,0,(INT(MAX(0,Inputs!$B$43-B845)/IF(Inputs!$B$38="pvp",15,MAX(0.1,Skills!D12-IF(Skills!E12=TRUE,Inputs!$B$32,0))))+1)),0)</f>
        <v/>
      </c>
      <c r="S824">
        <f>IF(C824,(H824*N824*IF(AND(Inputs!$B$38&lt;&gt;"pvp",Inputs!$B$43&gt;0),((Skills!F12*((R824-1)*IF(Skills!G12&gt;0,Skills!H12/Skills!G12,1)+IF(Skills!G12&gt;0,MIN(Skills!H12,MAX(0,MAX(0,Inputs!$B$43-B845)-((R824-1)*IF(Inputs!$B$38="pvp",15,MAX(0.1,Skills!D12-IF(Skills!E12=TRUE,Inputs!$B$32,0))))))/Skills!G12,1)))/Inputs!$B$43),G824*Q824))*IF(Inputs!$B$38="pvp",1,1+(Inputs!$B$20+Skills!O12+B839)/100),0)</f>
        <v/>
      </c>
      <c r="U824">
        <f>IF(C824,(H824*N824*IF(AND(Inputs!$B$38&lt;&gt;"pvp",Inputs!$B$43&gt;0),((Skills!F12*((R824-1)*IF(Skills!G12&gt;0,Skills!H12/Skills!G12,1)+IF(Skills!G12&gt;0,MIN(Skills!H12,MAX(0,MAX(0,Inputs!$B$43-B845)-((R824-1)*IF(Inputs!$B$38="pvp",15,MAX(0.1,Skills!D12-IF(Skills!E12=TRUE,Inputs!$B$32,0))))))/Skills!G12,1)))/Inputs!$B$43),G824*Q824))*IF(Inputs!$B$38="pvp",1,(1+(Inputs!$B$21+Skills!P12+B839)/100)*(MIN(Skills!Q12,Inputs!$B$37))),0)</f>
        <v/>
      </c>
    </row>
    <row r="825">
      <c r="A825">
        <f>Skills!A13</f>
        <v/>
      </c>
      <c r="B825">
        <f>Skills!B13</f>
        <v/>
      </c>
      <c r="C825">
        <f>Inputs!$B$3&gt;=49</f>
        <v/>
      </c>
      <c r="D825">
        <f>IF(Skills!C13=1,60+Inputs!$B$25+Inputs!$B$29,IF(Skills!C13=2,90+Inputs!$B$26+Inputs!$B$29,IF(Skills!C13=3,120+Inputs!$B$27+Inputs!$B$29,MAX(0,(Inputs!$B$3-100)*3)+Inputs!$B$28+Inputs!$B$29)))</f>
        <v/>
      </c>
      <c r="E825">
        <f>INDEX(FactorTable!$B$2:$Y$301, MATCH(ROUND(MIN(300,MAX(1,D825)),0), FactorTable!$A$2:$A$301,0), Skills!L13+1)</f>
        <v/>
      </c>
      <c r="F825">
        <f>IF(Skills!M13=TRUE,(Skills!K13/10)*(E825/1000),Skills!K13/10)+Skills!N13</f>
        <v/>
      </c>
      <c r="G825">
        <f>Calc!G13</f>
        <v/>
      </c>
      <c r="H825">
        <f>Calc!H13</f>
        <v/>
      </c>
      <c r="I825">
        <f>IF(Skills!T13&lt;&gt;"",1+(Skills!T13/10)*(Z815/1000)/100,1)</f>
        <v/>
      </c>
      <c r="J825" t="inlineStr"/>
      <c r="K825" t="inlineStr"/>
      <c r="L825" t="inlineStr"/>
      <c r="M825" t="inlineStr"/>
      <c r="N825" t="inlineStr"/>
      <c r="O825">
        <f>(1-Summary!$B$51)*S825+Summary!$B$51*U825</f>
        <v/>
      </c>
      <c r="P825">
        <f>IF(B848=0,0,O825/B848)</f>
        <v/>
      </c>
      <c r="Q825">
        <f>IFERROR(1/IF(Inputs!$B$38="pvp",15,MAX(0.1,Skills!D13-IF(Skills!E13=TRUE,Inputs!$B$32,0))),0)</f>
        <v/>
      </c>
      <c r="R825" t="n">
        <v>0</v>
      </c>
      <c r="S825" t="n">
        <v>0</v>
      </c>
      <c r="U825" t="n">
        <v>0</v>
      </c>
    </row>
    <row r="826">
      <c r="A826">
        <f>Skills!A14</f>
        <v/>
      </c>
      <c r="B826">
        <f>Skills!B14</f>
        <v/>
      </c>
      <c r="C826">
        <f>Inputs!$B$3&gt;=72</f>
        <v/>
      </c>
      <c r="D826">
        <f>IF(Skills!C14=1,60+Inputs!$B$25+Inputs!$B$29,IF(Skills!C14=2,90+Inputs!$B$26+Inputs!$B$29,IF(Skills!C14=3,120+Inputs!$B$27+Inputs!$B$29,MAX(0,(Inputs!$B$3-100)*3)+Inputs!$B$28+Inputs!$B$29)))</f>
        <v/>
      </c>
      <c r="E826">
        <f>INDEX(FactorTable!$B$2:$Y$301, MATCH(ROUND(MIN(300,MAX(1,D826)),0), FactorTable!$A$2:$A$301,0), Skills!L14+1)</f>
        <v/>
      </c>
      <c r="F826">
        <f>IF(Skills!M14=TRUE,(Skills!K14/10)*(E826/1000),Skills!K14/10)+Skills!N14</f>
        <v/>
      </c>
      <c r="G826">
        <f>Calc!G14</f>
        <v/>
      </c>
      <c r="H826">
        <f>Calc!H14</f>
        <v/>
      </c>
      <c r="I826">
        <f>IF(Skills!T14&lt;&gt;"",1+(Skills!T14/10)*(Z815/1000)/100,1)</f>
        <v/>
      </c>
      <c r="J826" t="inlineStr"/>
      <c r="K826" t="inlineStr"/>
      <c r="L826" t="inlineStr"/>
      <c r="M826" t="inlineStr"/>
      <c r="N826" t="inlineStr"/>
      <c r="O826">
        <f>(1-Summary!$B$51)*S826+Summary!$B$51*U826</f>
        <v/>
      </c>
      <c r="P826">
        <f>IF(B848=0,0,O826/B848)</f>
        <v/>
      </c>
      <c r="Q826">
        <f>IFERROR(1/IF(Inputs!$B$38="pvp",15,MAX(0.1,Skills!D14-IF(Skills!E14=TRUE,Inputs!$B$32,0))),0)</f>
        <v/>
      </c>
      <c r="R826" t="n">
        <v>0</v>
      </c>
      <c r="S826" t="n">
        <v>0</v>
      </c>
      <c r="U826" t="n">
        <v>0</v>
      </c>
    </row>
    <row r="827">
      <c r="A827">
        <f>Skills!A15</f>
        <v/>
      </c>
      <c r="B827">
        <f>Skills!B15</f>
        <v/>
      </c>
      <c r="C827">
        <f>Inputs!$B$3&gt;=75</f>
        <v/>
      </c>
      <c r="D827">
        <f>IF(Skills!C15=1,60+Inputs!$B$25+Inputs!$B$29,IF(Skills!C15=2,90+Inputs!$B$26+Inputs!$B$29,IF(Skills!C15=3,120+Inputs!$B$27+Inputs!$B$29,MAX(0,(Inputs!$B$3-100)*3)+Inputs!$B$28+Inputs!$B$29)))</f>
        <v/>
      </c>
      <c r="E827">
        <f>INDEX(FactorTable!$B$2:$Y$301, MATCH(ROUND(MIN(300,MAX(1,D827)),0), FactorTable!$A$2:$A$301,0), Skills!L15+1)</f>
        <v/>
      </c>
      <c r="F827">
        <f>IF(Skills!M15=TRUE,(Skills!K15/10)*(E827/1000),Skills!K15/10)+Skills!N15</f>
        <v/>
      </c>
      <c r="G827">
        <f>Calc!G15</f>
        <v/>
      </c>
      <c r="H827">
        <f>Calc!H15</f>
        <v/>
      </c>
      <c r="I827">
        <f>IF(Skills!T15&lt;&gt;"",1+(Skills!T15/10)*(Z815/1000)/100,1)</f>
        <v/>
      </c>
      <c r="J827" t="inlineStr"/>
      <c r="K827" t="inlineStr"/>
      <c r="L827" t="inlineStr"/>
      <c r="M827" t="inlineStr"/>
      <c r="N827" t="inlineStr"/>
      <c r="O827">
        <f>(1-Summary!$B$51)*S827+Summary!$B$51*U827</f>
        <v/>
      </c>
      <c r="P827">
        <f>IF(B848=0,0,O827/B848)</f>
        <v/>
      </c>
      <c r="Q827">
        <f>IFERROR(1/IF(Inputs!$B$38="pvp",15,MAX(0.1,Skills!D15-IF(Skills!E15=TRUE,Inputs!$B$32,0))),0)</f>
        <v/>
      </c>
      <c r="R827" t="n">
        <v>0</v>
      </c>
      <c r="S827" t="n">
        <v>0</v>
      </c>
      <c r="U827" t="n">
        <v>0</v>
      </c>
    </row>
    <row r="828">
      <c r="A828">
        <f>Skills!A16</f>
        <v/>
      </c>
      <c r="B828">
        <f>Skills!B16</f>
        <v/>
      </c>
      <c r="C828">
        <f>Inputs!$B$3&gt;=110</f>
        <v/>
      </c>
      <c r="D828">
        <f>IF(Skills!C16=1,60+Inputs!$B$25+Inputs!$B$29,IF(Skills!C16=2,90+Inputs!$B$26+Inputs!$B$29,IF(Skills!C16=3,120+Inputs!$B$27+Inputs!$B$29,MAX(0,(Inputs!$B$3-100)*3)+Inputs!$B$28+Inputs!$B$29)))</f>
        <v/>
      </c>
      <c r="E828">
        <f>INDEX(FactorTable!$B$2:$Y$301, MATCH(ROUND(MIN(300,MAX(1,D828)),0), FactorTable!$A$2:$A$301,0), Skills!L16+1)</f>
        <v/>
      </c>
      <c r="F828">
        <f>(Skills!K16/10)*(E828/1000)*64/45+Skills!N16</f>
        <v/>
      </c>
      <c r="G828">
        <f>Calc!G16</f>
        <v/>
      </c>
      <c r="H828">
        <f>Calc!H16</f>
        <v/>
      </c>
      <c r="I828">
        <f>IF(Skills!T16&lt;&gt;"",1+(Skills!T16/10)*(Z815/1000)/100,1)</f>
        <v/>
      </c>
      <c r="J828" t="inlineStr"/>
      <c r="K828" t="inlineStr"/>
      <c r="L828" t="inlineStr"/>
      <c r="M828" t="inlineStr"/>
      <c r="N828" t="inlineStr"/>
      <c r="O828">
        <f>(1-Summary!$B$51)*S828+Summary!$B$51*U828</f>
        <v/>
      </c>
      <c r="P828">
        <f>IF(B848=0,0,O828/B848)</f>
        <v/>
      </c>
      <c r="Q828">
        <f>IFERROR(1/IF(Inputs!$B$38="pvp",15,MAX(0.1,Skills!D16-IF(Skills!E16=TRUE,Inputs!$B$32,0))),0)</f>
        <v/>
      </c>
      <c r="R828">
        <f>IF(AND(Inputs!$B$38&lt;&gt;"pvp",Inputs!$B$43&gt;0),IF(Inputs!$B$43&lt;=0,0,(INT(Inputs!$B$43/IF(Inputs!$B$38="pvp",15,MAX(0.1,Skills!D16-IF(Skills!E16=TRUE,Inputs!$B$32,0))))+1)),0)</f>
        <v/>
      </c>
      <c r="S828" t="n">
        <v>0</v>
      </c>
      <c r="U828" t="n">
        <v>0</v>
      </c>
    </row>
    <row r="829">
      <c r="A829">
        <f>Skills!A17</f>
        <v/>
      </c>
      <c r="B829">
        <f>Skills!B17</f>
        <v/>
      </c>
      <c r="C829">
        <f>Inputs!$B$3&gt;=33</f>
        <v/>
      </c>
      <c r="D829">
        <f>IF(Skills!C17=1,60+Inputs!$B$25+Inputs!$B$29,IF(Skills!C17=2,90+Inputs!$B$26+Inputs!$B$29,IF(Skills!C17=3,120+Inputs!$B$27+Inputs!$B$29,MAX(0,(Inputs!$B$3-100)*3)+Inputs!$B$28+Inputs!$B$29)))</f>
        <v/>
      </c>
      <c r="E829">
        <f>INDEX(FactorTable!$B$2:$Y$301, MATCH(ROUND(MIN(300,MAX(1,D829)),0), FactorTable!$A$2:$A$301,0), Skills!L17+1)</f>
        <v/>
      </c>
      <c r="F829">
        <f>IF(Skills!M17=TRUE,(Skills!K17/10)*(E829/1000),Skills!K17/10)+Skills!N17</f>
        <v/>
      </c>
      <c r="G829">
        <f>Calc!G17</f>
        <v/>
      </c>
      <c r="H829">
        <f>Calc!H17</f>
        <v/>
      </c>
      <c r="I829">
        <f>IF(Skills!T17&lt;&gt;"",1+(Skills!T17/10)*(Z815/1000)/100,1)</f>
        <v/>
      </c>
      <c r="J829" t="inlineStr"/>
      <c r="K829" t="inlineStr"/>
      <c r="L829" t="inlineStr"/>
      <c r="M829" t="inlineStr"/>
      <c r="N829" t="inlineStr"/>
      <c r="O829">
        <f>(1-Summary!$B$51)*S829+Summary!$B$51*U829</f>
        <v/>
      </c>
      <c r="P829">
        <f>IF(B848=0,0,O829/B848)</f>
        <v/>
      </c>
      <c r="Q829">
        <f>IFERROR(1/IF(Inputs!$B$38="pvp",15,MAX(0.1,Skills!D17-IF(Skills!E17=TRUE,Inputs!$B$32,0))),0)</f>
        <v/>
      </c>
      <c r="R829" t="n">
        <v>0</v>
      </c>
      <c r="S829" t="n">
        <v>0</v>
      </c>
      <c r="U829" t="n">
        <v>0</v>
      </c>
    </row>
    <row r="830">
      <c r="A830">
        <f>Skills!A18</f>
        <v/>
      </c>
      <c r="B830">
        <f>Skills!B18</f>
        <v/>
      </c>
      <c r="C830">
        <f>Inputs!$B$3&gt;=43</f>
        <v/>
      </c>
      <c r="D830">
        <f>IF(Skills!C18=1,60+Inputs!$B$25+Inputs!$B$29,IF(Skills!C18=2,90+Inputs!$B$26+Inputs!$B$29,IF(Skills!C18=3,120+Inputs!$B$27+Inputs!$B$29,MAX(0,(Inputs!$B$3-100)*3)+Inputs!$B$28+Inputs!$B$29)))</f>
        <v/>
      </c>
      <c r="E830">
        <f>INDEX(FactorTable!$B$2:$Y$301, MATCH(ROUND(MIN(300,MAX(1,D830)),0), FactorTable!$A$2:$A$301,0), Skills!L18+1)</f>
        <v/>
      </c>
      <c r="F830">
        <f>IF(Skills!M18=TRUE,(Skills!K18/10)*(E830/1000),Skills!K18/10)+Skills!N18</f>
        <v/>
      </c>
      <c r="G830">
        <f>Calc!G18</f>
        <v/>
      </c>
      <c r="H830">
        <f>Calc!H18</f>
        <v/>
      </c>
      <c r="I830">
        <f>IF(Skills!T18&lt;&gt;"",1+(Skills!T18/10)*(Z815/1000)/100,1)</f>
        <v/>
      </c>
      <c r="J830" t="inlineStr"/>
      <c r="K830" t="inlineStr"/>
      <c r="L830" t="inlineStr"/>
      <c r="M830" t="inlineStr"/>
      <c r="N830" t="inlineStr"/>
      <c r="O830">
        <f>(1-Summary!$B$51)*S830+Summary!$B$51*U830</f>
        <v/>
      </c>
      <c r="P830">
        <f>IF(B848=0,0,O830/B848)</f>
        <v/>
      </c>
      <c r="Q830">
        <f>IFERROR(1/IF(Inputs!$B$38="pvp",15,MAX(0.1,Skills!D18-IF(Skills!E18=TRUE,Inputs!$B$32,0))),0)</f>
        <v/>
      </c>
      <c r="R830" t="n">
        <v>0</v>
      </c>
      <c r="S830" t="n">
        <v>0</v>
      </c>
      <c r="U830" t="n">
        <v>0</v>
      </c>
    </row>
    <row r="831">
      <c r="A831">
        <f>Skills!A19</f>
        <v/>
      </c>
      <c r="B831">
        <f>Skills!B19</f>
        <v/>
      </c>
      <c r="C831">
        <f>Inputs!$B$3&gt;=50</f>
        <v/>
      </c>
      <c r="D831">
        <f>IF(Skills!C19=1,60+Inputs!$B$25+Inputs!$B$29,IF(Skills!C19=2,90+Inputs!$B$26+Inputs!$B$29,IF(Skills!C19=3,120+Inputs!$B$27+Inputs!$B$29,MAX(0,(Inputs!$B$3-100)*3)+Inputs!$B$28+Inputs!$B$29)))</f>
        <v/>
      </c>
      <c r="E831">
        <f>INDEX(FactorTable!$B$2:$Y$301, MATCH(ROUND(MIN(300,MAX(1,D831)),0), FactorTable!$A$2:$A$301,0), Skills!L19+1)</f>
        <v/>
      </c>
      <c r="F831">
        <f>IF(Skills!M19=TRUE,(Skills!K19/10)*(E831/1000),Skills!K19/10)+Skills!N19</f>
        <v/>
      </c>
      <c r="G831">
        <f>Calc!G19</f>
        <v/>
      </c>
      <c r="H831">
        <f>Calc!H19</f>
        <v/>
      </c>
      <c r="I831">
        <f>IF(Skills!T19&lt;&gt;"",1+(Skills!T19/10)*(Z815/1000)/100,1)</f>
        <v/>
      </c>
      <c r="J831" t="inlineStr"/>
      <c r="K831" t="inlineStr"/>
      <c r="L831" t="inlineStr"/>
      <c r="M831" t="inlineStr"/>
      <c r="N831" t="inlineStr"/>
      <c r="O831">
        <f>(1-Summary!$B$51)*S831+Summary!$B$51*U831</f>
        <v/>
      </c>
      <c r="P831">
        <f>IF(B848=0,0,O831/B848)</f>
        <v/>
      </c>
      <c r="Q831">
        <f>IFERROR(1/IF(Inputs!$B$38="pvp",15,MAX(0.1,Skills!D19-IF(Skills!E19=TRUE,Inputs!$B$32,0))),0)</f>
        <v/>
      </c>
      <c r="R831" t="n">
        <v>0</v>
      </c>
      <c r="S831" t="n">
        <v>0</v>
      </c>
      <c r="U831" t="n">
        <v>0</v>
      </c>
    </row>
    <row r="832">
      <c r="A832">
        <f>Skills!A20</f>
        <v/>
      </c>
      <c r="B832">
        <f>Skills!B20</f>
        <v/>
      </c>
      <c r="C832">
        <f>Inputs!$B$3&gt;=74</f>
        <v/>
      </c>
      <c r="D832">
        <f>IF(Skills!C20=1,60+Inputs!$B$25+Inputs!$B$29,IF(Skills!C20=2,90+Inputs!$B$26+Inputs!$B$29,IF(Skills!C20=3,120+Inputs!$B$27+Inputs!$B$29,MAX(0,(Inputs!$B$3-100)*3)+Inputs!$B$28+Inputs!$B$29)))</f>
        <v/>
      </c>
      <c r="E832">
        <f>INDEX(FactorTable!$B$2:$Y$301, MATCH(ROUND(MIN(300,MAX(1,D832)),0), FactorTable!$A$2:$A$301,0), Skills!L20+1)</f>
        <v/>
      </c>
      <c r="F832">
        <f>IF(Skills!M20=TRUE,(Skills!K20/10)*(E832/1000),Skills!K20/10)+Skills!N20</f>
        <v/>
      </c>
      <c r="G832">
        <f>Calc!G20</f>
        <v/>
      </c>
      <c r="H832">
        <f>Calc!H20</f>
        <v/>
      </c>
      <c r="I832">
        <f>IF(Skills!T20&lt;&gt;"",1+(Skills!T20/10)*(Z815/1000)/100,1)</f>
        <v/>
      </c>
      <c r="J832" t="inlineStr"/>
      <c r="K832" t="inlineStr"/>
      <c r="L832" t="inlineStr"/>
      <c r="M832" t="inlineStr"/>
      <c r="N832" t="inlineStr"/>
      <c r="O832">
        <f>(1-Summary!$B$51)*S832+Summary!$B$51*U832</f>
        <v/>
      </c>
      <c r="P832">
        <f>IF(B848=0,0,O832/B848)</f>
        <v/>
      </c>
      <c r="Q832">
        <f>IFERROR(1/IF(Inputs!$B$38="pvp",15,MAX(0.1,Skills!D20-IF(Skills!E20=TRUE,Inputs!$B$32,0))),0)</f>
        <v/>
      </c>
      <c r="R832" t="n">
        <v>0</v>
      </c>
      <c r="S832" t="n">
        <v>0</v>
      </c>
      <c r="U832" t="n">
        <v>0</v>
      </c>
    </row>
    <row r="833">
      <c r="A833">
        <f>Skills!A21</f>
        <v/>
      </c>
      <c r="B833">
        <f>Skills!B21</f>
        <v/>
      </c>
      <c r="C833">
        <f>Inputs!$B$3&gt;=74</f>
        <v/>
      </c>
      <c r="D833">
        <f>IF(Skills!C21=1,60+Inputs!$B$25+Inputs!$B$29,IF(Skills!C21=2,90+Inputs!$B$26+Inputs!$B$29,IF(Skills!C21=3,120+Inputs!$B$27+Inputs!$B$29,MAX(0,(Inputs!$B$3-100)*3)+Inputs!$B$28+Inputs!$B$29)))</f>
        <v/>
      </c>
      <c r="E833">
        <f>INDEX(FactorTable!$B$2:$Y$301, MATCH(ROUND(MIN(300,MAX(1,D833)),0), FactorTable!$A$2:$A$301,0), Skills!L21+1)</f>
        <v/>
      </c>
      <c r="F833">
        <f>IF(Skills!M21=TRUE,(Skills!K21/10)*(E833/1000),Skills!K21/10)+Skills!N21</f>
        <v/>
      </c>
      <c r="G833">
        <f>Calc!G21</f>
        <v/>
      </c>
      <c r="H833">
        <f>Calc!H21</f>
        <v/>
      </c>
      <c r="I833">
        <f>IF(Skills!T21&lt;&gt;"",1+(Skills!T21/10)*(Z815/1000)/100,1)</f>
        <v/>
      </c>
      <c r="J833" t="inlineStr"/>
      <c r="K833" t="inlineStr"/>
      <c r="L833" t="inlineStr"/>
      <c r="M833" t="inlineStr"/>
      <c r="N833" t="inlineStr"/>
      <c r="O833">
        <f>(1-Summary!$B$51)*S833+Summary!$B$51*U833</f>
        <v/>
      </c>
      <c r="P833">
        <f>IF(B848=0,0,O833/B848)</f>
        <v/>
      </c>
      <c r="Q833">
        <f>IFERROR(1/IF(Inputs!$B$38="pvp",15,MAX(0.1,Skills!D21-IF(Skills!E21=TRUE,Inputs!$B$32,0))),0)</f>
        <v/>
      </c>
      <c r="R833" t="n">
        <v>0</v>
      </c>
      <c r="S833" t="n">
        <v>0</v>
      </c>
      <c r="U833" t="n">
        <v>0</v>
      </c>
    </row>
    <row r="834">
      <c r="A834">
        <f>Skills!A22</f>
        <v/>
      </c>
      <c r="B834">
        <f>Skills!B22</f>
        <v/>
      </c>
      <c r="C834">
        <f>Inputs!$B$3&gt;=117</f>
        <v/>
      </c>
      <c r="D834">
        <f>IF(Skills!C22=1,60+Inputs!$B$25+Inputs!$B$29,IF(Skills!C22=2,90+Inputs!$B$26+Inputs!$B$29,IF(Skills!C22=3,120+Inputs!$B$27+Inputs!$B$29,MAX(0,(Inputs!$B$3-100)*3)+Inputs!$B$28+Inputs!$B$29)))</f>
        <v/>
      </c>
      <c r="E834">
        <f>INDEX(FactorTable!$B$2:$Y$301, MATCH(ROUND(MIN(300,MAX(1,D834)),0), FactorTable!$A$2:$A$301,0), Skills!L22+1)</f>
        <v/>
      </c>
      <c r="F834">
        <f>IF(Skills!M22=TRUE,(Skills!K22/10)*(E834/1000),Skills!K22/10)+Skills!N22</f>
        <v/>
      </c>
      <c r="G834">
        <f>Calc!G22</f>
        <v/>
      </c>
      <c r="H834">
        <f>Calc!H22</f>
        <v/>
      </c>
      <c r="I834">
        <f>IF(Skills!T22&lt;&gt;"",1+(Skills!T22/10)*(Z815/1000)/100,1)</f>
        <v/>
      </c>
      <c r="J834" t="inlineStr"/>
      <c r="K834" t="inlineStr"/>
      <c r="L834" t="inlineStr"/>
      <c r="M834" t="inlineStr"/>
      <c r="N834" t="inlineStr"/>
      <c r="O834">
        <f>(1-Summary!$B$51)*S834+Summary!$B$51*U834</f>
        <v/>
      </c>
      <c r="P834">
        <f>IF(B848=0,0,O834/B848)</f>
        <v/>
      </c>
      <c r="Q834">
        <f>IFERROR(1/IF(Inputs!$B$38="pvp",15,MAX(0.1,Skills!D22-IF(Skills!E22=TRUE,Inputs!$B$32,0))),0)</f>
        <v/>
      </c>
      <c r="R834" t="n">
        <v>0</v>
      </c>
      <c r="S834" t="n">
        <v>0</v>
      </c>
      <c r="U834" t="n">
        <v>0</v>
      </c>
    </row>
    <row r="835">
      <c r="A835">
        <f>Skills!A23</f>
        <v/>
      </c>
      <c r="B835">
        <f>Skills!B23</f>
        <v/>
      </c>
      <c r="C835">
        <f>Inputs!$B$3&gt;=120</f>
        <v/>
      </c>
      <c r="D835">
        <f>IF(Skills!C23=1,60+Inputs!$B$25+Inputs!$B$29,IF(Skills!C23=2,90+Inputs!$B$26+Inputs!$B$29,IF(Skills!C23=3,120+Inputs!$B$27+Inputs!$B$29,MAX(0,(Inputs!$B$3-100)*3)+Inputs!$B$28+Inputs!$B$29)))</f>
        <v/>
      </c>
      <c r="E835">
        <f>INDEX(FactorTable!$B$2:$Y$301, MATCH(ROUND(MIN(300,MAX(1,D835)),0), FactorTable!$A$2:$A$301,0), Skills!L23+1)</f>
        <v/>
      </c>
      <c r="F835">
        <f>IF(Skills!M23=TRUE,(Skills!K23/10)*(E835/1000),Skills!K23/10)+Skills!N23</f>
        <v/>
      </c>
      <c r="G835">
        <f>Calc!G23</f>
        <v/>
      </c>
      <c r="H835">
        <f>Calc!H23</f>
        <v/>
      </c>
      <c r="I835">
        <f>IF(Skills!T23&lt;&gt;"",1+(Skills!T23/10)*(Z815/1000)/100,1)</f>
        <v/>
      </c>
      <c r="J835" t="inlineStr"/>
      <c r="K835" t="inlineStr"/>
      <c r="L835" t="inlineStr"/>
      <c r="M835" t="inlineStr"/>
      <c r="N835" t="inlineStr"/>
      <c r="O835">
        <f>(1-Summary!$B$51)*S835+Summary!$B$51*U835</f>
        <v/>
      </c>
      <c r="P835">
        <f>IF(B848=0,0,O835/B848)</f>
        <v/>
      </c>
      <c r="Q835">
        <f>IFERROR(1/IF(Inputs!$B$38="pvp",15,MAX(0.1,Skills!D23-IF(Skills!E23=TRUE,Inputs!$B$32,0))),0)</f>
        <v/>
      </c>
      <c r="R835" t="n">
        <v>0</v>
      </c>
      <c r="S835" t="n">
        <v>0</v>
      </c>
      <c r="U835" t="n">
        <v>0</v>
      </c>
    </row>
    <row r="838">
      <c r="A838" t="inlineStr">
        <is>
          <t>Average Buff Multiplier (Magic Guard + Meditation, summed; then Infinity)</t>
        </is>
      </c>
      <c r="B838">
        <f>(1+(IF(C815=TRUE,F815*IF(AND(Inputs!$B$38&lt;&gt;"pvp",Inputs!$B$43&gt;0),(((R815-1)*(Skills!S3*(1+(Inputs!$B$34+IF(Inputs!$B$3&gt;=117,F834,0))/100))+MIN((Skills!S3*(1+(Inputs!$B$34+IF(Inputs!$B$3&gt;=117,F834,0))/100)),MAX(0,Inputs!$B$43-((R815-1)*Skills!D3))))/Inputs!$B$43),IF(Inputs!$B$38="pvp",MIN((Skills!S3*(1+(Inputs!$B$34+IF(Inputs!$B$3&gt;=117,F834,0))/100)),15)/15,(Skills!S3*(1+(Inputs!$B$34+IF(Inputs!$B$3&gt;=117,F834,0))/100))/Skills!D3)),0)+IF(C816=TRUE,F816*IF(AND(Inputs!$B$38&lt;&gt;"pvp",Inputs!$B$43&gt;0),(((R816-1)*(Skills!S4*(1+(Inputs!$B$34+IF(Inputs!$B$3&gt;=117,F834,0))/100))+MIN((Skills!S4*(1+(Inputs!$B$34+IF(Inputs!$B$3&gt;=117,F834,0))/100)),MAX(0,Inputs!$B$43-((R816-1)*Skills!D4))))/Inputs!$B$43),IF(Inputs!$B$38="pvp",MIN((Skills!S4*(1+(Inputs!$B$34+IF(Inputs!$B$3&gt;=117,F834,0))/100)),15)/15,(Skills!S4*(1+(Inputs!$B$34+IF(Inputs!$B$3&gt;=117,F834,0))/100))/Skills!D4)),0))/100)*IF(C828=TRUE,(1+F828*IF(AND(Inputs!$B$38&lt;&gt;"pvp",Inputs!$B$43&gt;0),(((R828-1)*(Skills!S16*(1+(Inputs!$B$34+IF(Inputs!$B$3&gt;=117,F834,0))/100))+MIN((Skills!S16*(1+(Inputs!$B$34+IF(Inputs!$B$3&gt;=117,F834,0))/100)),MAX(0,Inputs!$B$43-((R828-1)*Skills!D16))))/Inputs!$B$43),IF(Inputs!$B$38="pvp",MIN((Skills!S16*(1+(Inputs!$B$34+IF(Inputs!$B$3&gt;=117,F834,0))/100)),15)/15,(Skills!S16*(1+(Inputs!$B$34+IF(Inputs!$B$3&gt;=117,F834,0))/100))/Skills!D16))/100),1)</f>
        <v/>
      </c>
    </row>
    <row r="839">
      <c r="A839" t="inlineStr">
        <is>
          <t>Monster Damage Taken Bonus % (Freezing Breath - Weaken + Elemental Reset, summed)</t>
        </is>
      </c>
      <c r="B839">
        <f>IF(Inputs!$B$3&gt;=118,15*IF(Inputs!$B$38="pvp",MIN((30*(1+(Inputs!$B$34+IF(Inputs!$B$3&gt;=117,F834,0))/100)),15)/15,(30*(1+(Inputs!$B$34+IF(Inputs!$B$3&gt;=117,F834,0))/100))/Skills!D8),0)+IF(C826=TRUE,F826,0)</f>
        <v/>
      </c>
    </row>
    <row r="840">
      <c r="A840" t="inlineStr">
        <is>
          <t>Damage % Bonus (Frozen Break + Frost Clutch, flat)</t>
        </is>
      </c>
      <c r="B840">
        <f>IF(Inputs!$B$3&gt;=66,15,0)+IF(Inputs!$B$3&gt;=98,10,0)+IF(Inputs!$B$3&gt;=125,20,0)</f>
        <v/>
      </c>
    </row>
    <row r="841">
      <c r="A841" t="inlineStr">
        <is>
          <t>Attack Speed Bonus % (MP Eater - MP Boost, always-on once unlocked)</t>
        </is>
      </c>
      <c r="B841">
        <f>IF(C825=TRUE,F825+(F829-Calc!F17),0)</f>
        <v/>
      </c>
    </row>
    <row r="842">
      <c r="A842" t="inlineStr">
        <is>
          <t>Actions Per Second</t>
        </is>
      </c>
      <c r="B842">
        <f>1+MIN(150,150*(1-(1-Inputs!$B$11/150)*(1-B841/150)))/100</f>
        <v/>
      </c>
    </row>
    <row r="843">
      <c r="A843" t="inlineStr">
        <is>
          <t>Skill + Buff Cast Rate</t>
        </is>
      </c>
      <c r="B843">
        <f>IF(AND(Inputs!$B$38&lt;&gt;"pvp",Inputs!$B$43&gt;0),SUMPRODUCT((Skills!E2:E23=TRUE)*(C814:C835=TRUE)*R814:R835)/Inputs!$B$43,SUMPRODUCT((Skills!E2:E23=TRUE)*(C814:C835=TRUE)*Q814:Q835))</f>
        <v/>
      </c>
    </row>
    <row r="844">
      <c r="A844" t="inlineStr">
        <is>
          <t>Chain Lightning Casts Per Second</t>
        </is>
      </c>
      <c r="B844">
        <f>MAX(0,B842-B843)</f>
        <v/>
      </c>
    </row>
    <row r="845">
      <c r="A845" t="inlineStr">
        <is>
          <t>Buff-Casting Startup Delay (s, fixed-duration only)</t>
        </is>
      </c>
      <c r="B845">
        <f>IF(AND(Inputs!$B$38&lt;&gt;"pvp",Inputs!$B$43&gt;0),SUMPRODUCT((Skills!S2:S23&gt;0)*(Skills!E2:E23=TRUE)*(C814:C835=TRUE))/B842,0)</f>
        <v/>
      </c>
    </row>
    <row r="846">
      <c r="A846" t="inlineStr">
        <is>
          <t>Boss-Only Total DPS (this block's swept value)</t>
        </is>
      </c>
      <c r="B846">
        <f>SUM(S814:S835)</f>
        <v/>
      </c>
    </row>
    <row r="847">
      <c r="A847" t="inlineStr">
        <is>
          <t>Normal-Only Total DPS (this block's swept value)</t>
        </is>
      </c>
      <c r="B847">
        <f>SUM(U814:U835)</f>
        <v/>
      </c>
    </row>
    <row r="848">
      <c r="A848" s="5" t="inlineStr">
        <is>
          <t>TOTAL DPS</t>
        </is>
      </c>
      <c r="B848" s="5">
        <f>SUM(O814:O835)</f>
        <v/>
      </c>
    </row>
    <row r="851">
      <c r="A851" s="5" t="inlineStr">
        <is>
          <t>Stat: ATTACK %</t>
        </is>
      </c>
    </row>
    <row r="852">
      <c r="A852" s="9" t="inlineStr">
        <is>
          <t>Key</t>
        </is>
      </c>
      <c r="B852" s="9" t="inlineStr">
        <is>
          <t>Name</t>
        </is>
      </c>
      <c r="C852" s="9" t="inlineStr">
        <is>
          <t>Unlocked</t>
        </is>
      </c>
      <c r="D852" s="9" t="inlineStr">
        <is>
          <t>InputLevel</t>
        </is>
      </c>
      <c r="E852" s="9" t="inlineStr">
        <is>
          <t>Factor</t>
        </is>
      </c>
      <c r="F852" s="9" t="inlineStr">
        <is>
          <t>CoefficientPercent</t>
        </is>
      </c>
      <c r="G852" s="9" t="inlineStr">
        <is>
          <t>EffectiveHits</t>
        </is>
      </c>
      <c r="H852" s="9" t="inlineStr">
        <is>
          <t>ProcProbability</t>
        </is>
      </c>
      <c r="I852" s="9" t="inlineStr">
        <is>
          <t>MapleHeroMultiplier</t>
        </is>
      </c>
      <c r="J852" s="9" t="inlineStr">
        <is>
          <t>BaseDamage</t>
        </is>
      </c>
      <c r="K852" s="9" t="inlineStr">
        <is>
          <t>BaseHitDamage</t>
        </is>
      </c>
      <c r="L852" s="9" t="inlineStr">
        <is>
          <t>NonCritAvg</t>
        </is>
      </c>
      <c r="M852" s="9" t="inlineStr">
        <is>
          <t>CritAvg</t>
        </is>
      </c>
      <c r="N852" s="9" t="inlineStr">
        <is>
          <t>ExpectedDamage(perHit)</t>
        </is>
      </c>
      <c r="O852" s="9" t="inlineStr">
        <is>
          <t>DPS</t>
        </is>
      </c>
      <c r="P852" s="9" t="inlineStr">
        <is>
          <t>% of Total</t>
        </is>
      </c>
      <c r="R852" t="inlineStr">
        <is>
          <t>helpers</t>
        </is>
      </c>
    </row>
    <row r="853">
      <c r="A853">
        <f>Skills!A2</f>
        <v/>
      </c>
      <c r="B853">
        <f>Skills!B2</f>
        <v/>
      </c>
      <c r="C853">
        <f>Inputs!$B$3&gt;=100</f>
        <v/>
      </c>
      <c r="D853" t="inlineStr"/>
      <c r="E853" t="inlineStr"/>
      <c r="F853">
        <f>T855+Skills!N2</f>
        <v/>
      </c>
      <c r="G853">
        <f>Calc!G2</f>
        <v/>
      </c>
      <c r="H853">
        <f>Calc!H2</f>
        <v/>
      </c>
      <c r="I853">
        <f>IF(Skills!T2&lt;&gt;"",1+(Skills!T2/10)*(Z854/1000)/100,1)</f>
        <v/>
      </c>
      <c r="J853">
        <f>((Inputs!$B$6*(1+(Inputs!$B$7+1)/100))+(((Inputs!$B$12*(1+Inputs!$B$13/100))-(Inputs!$B$12*(1+Inputs!$B$13/100)))+0.25*(Inputs!$B$14-Inputs!$B$14))*(1+(Inputs!$B$7+1)/100))*(F853/100)</f>
        <v/>
      </c>
      <c r="K853">
        <f>J853*(1+((Inputs!$B$12*(1+Inputs!$B$13/100))*0.01+Inputs!$B$14*0.0025)/100)*(1+(Inputs!$B$15+B879)/100)*(1+Inputs!$B$16/100)*(5000/(6000+Inputs!$B$42*(1-Inputs!$B$19/100)))*(1+Inputs!$B$24/100)*(1+IF(C866=TRUE,F866,0)/100)*(1+IF(C874=TRUE,F874,0)/100)^5*(1+(IF(Skills!A2="CHAIN_LIGHTNING",Inputs!$B$17,Inputs!$B$18))/100)*(B877*I853)</f>
        <v/>
      </c>
      <c r="L853">
        <f>K853*(MIN(Inputs!$B$22+(F869-Calc!F18),Inputs!$B$23)/100+Inputs!$B$23/100)/2</f>
        <v/>
      </c>
      <c r="M853">
        <f>L853*(1+(Inputs!$B$10+(F872-Calc!F21))/100)</f>
        <v/>
      </c>
      <c r="N853">
        <f>L853*(1-MIN(Inputs!$B$9+((F871-Calc!F20)+(F870-Calc!F19)),100)/100)+M853*(MIN(Inputs!$B$9+((F871-Calc!F20)+(F870-Calc!F19)),100)/100)</f>
        <v/>
      </c>
      <c r="O853">
        <f>(1-Summary!$B$51)*S853+Summary!$B$51*U853</f>
        <v/>
      </c>
      <c r="P853">
        <f>IF(B887=0,0,O853/B887)</f>
        <v/>
      </c>
      <c r="Q853">
        <f>IFERROR(1/IF(Inputs!$B$38="pvp",15,MAX(0.1,Skills!D2-IF(Skills!E2=TRUE,Inputs!$B$32,0))),0)</f>
        <v/>
      </c>
      <c r="R853" t="n">
        <v>0</v>
      </c>
      <c r="S853">
        <f>IF(C853,(Skills!F2*N853*B883)*IF(Inputs!$B$38="pvp",1,1+(Inputs!$B$20+Skills!O2+B878)/100),0)</f>
        <v/>
      </c>
      <c r="T853">
        <f>MAX(0,(Inputs!$B$3-100)*3)+Inputs!$B$28+Inputs!$B$29</f>
        <v/>
      </c>
      <c r="U853">
        <f>IF(C853,(Skills!F2*N853*B883)*IF(Inputs!$B$38="pvp",1,(1+(Inputs!$B$21+Skills!P2+B878)/100)*(MIN((6+Inputs!$B$33),Inputs!$B$37))),0)</f>
        <v/>
      </c>
      <c r="Z853">
        <f>MAX(0,(Inputs!$B$3-100)*3)+Inputs!$B$28+Inputs!$B$29</f>
        <v/>
      </c>
    </row>
    <row r="854">
      <c r="A854">
        <f>Skills!A3</f>
        <v/>
      </c>
      <c r="B854">
        <f>Skills!B3</f>
        <v/>
      </c>
      <c r="C854">
        <f>Inputs!$B$3&gt;=15</f>
        <v/>
      </c>
      <c r="D854">
        <f>IF(Skills!C3=1,60+Inputs!$B$25+Inputs!$B$29,IF(Skills!C3=2,90+Inputs!$B$26+Inputs!$B$29,IF(Skills!C3=3,120+Inputs!$B$27+Inputs!$B$29,MAX(0,(Inputs!$B$3-100)*3)+Inputs!$B$28+Inputs!$B$29)))</f>
        <v/>
      </c>
      <c r="E854">
        <f>INDEX(FactorTable!$B$2:$Y$301, MATCH(ROUND(MIN(300,MAX(1,D854)),0), FactorTable!$A$2:$A$301,0), Skills!L3+1)</f>
        <v/>
      </c>
      <c r="F854">
        <f>IF(Skills!M3=TRUE,(Skills!K3/10)*(E854/1000),Skills!K3/10)+Skills!N3</f>
        <v/>
      </c>
      <c r="G854">
        <f>Calc!G3</f>
        <v/>
      </c>
      <c r="H854">
        <f>Calc!H3</f>
        <v/>
      </c>
      <c r="I854">
        <f>IF(Skills!T3&lt;&gt;"",1+(Skills!T3/10)*(Z854/1000)/100,1)</f>
        <v/>
      </c>
      <c r="J854" t="inlineStr"/>
      <c r="K854" t="inlineStr"/>
      <c r="L854" t="inlineStr"/>
      <c r="M854" t="inlineStr"/>
      <c r="N854" t="inlineStr"/>
      <c r="O854">
        <f>(1-Summary!$B$51)*S854+Summary!$B$51*U854</f>
        <v/>
      </c>
      <c r="P854">
        <f>IF(B887=0,0,O854/B887)</f>
        <v/>
      </c>
      <c r="Q854">
        <f>IFERROR(1/IF(Inputs!$B$38="pvp",15,MAX(0.1,Skills!D3-IF(Skills!E3=TRUE,Inputs!$B$32,0))),0)</f>
        <v/>
      </c>
      <c r="R854">
        <f>IF(AND(Inputs!$B$38&lt;&gt;"pvp",Inputs!$B$43&gt;0),IF(Inputs!$B$43&lt;=0,0,(INT(Inputs!$B$43/IF(Inputs!$B$38="pvp",15,MAX(0.1,Skills!D3-IF(Skills!E3=TRUE,Inputs!$B$32,0))))+1)),0)</f>
        <v/>
      </c>
      <c r="S854" t="n">
        <v>0</v>
      </c>
      <c r="T854">
        <f>INDEX(FactorTable!$B$2:$Y$301, MATCH(ROUND(MIN(300,MAX(1,T853)),0), FactorTable!$A$2:$A$301,0), 22)</f>
        <v/>
      </c>
      <c r="U854" t="n">
        <v>0</v>
      </c>
      <c r="Z854">
        <f>INDEX(FactorTable!$B$2:$Y$301, MATCH(ROUND(MIN(300,MAX(1,Z853)),0), FactorTable!$A$2:$A$301,0), 24)</f>
        <v/>
      </c>
    </row>
    <row r="855">
      <c r="A855">
        <f>Skills!A4</f>
        <v/>
      </c>
      <c r="B855">
        <f>Skills!B4</f>
        <v/>
      </c>
      <c r="C855">
        <f>Inputs!$B$3&gt;=40</f>
        <v/>
      </c>
      <c r="D855">
        <f>IF(Skills!C4=1,60+Inputs!$B$25+Inputs!$B$29,IF(Skills!C4=2,90+Inputs!$B$26+Inputs!$B$29,IF(Skills!C4=3,120+Inputs!$B$27+Inputs!$B$29,MAX(0,(Inputs!$B$3-100)*3)+Inputs!$B$28+Inputs!$B$29)))</f>
        <v/>
      </c>
      <c r="E855">
        <f>INDEX(FactorTable!$B$2:$Y$301, MATCH(ROUND(MIN(300,MAX(1,D855)),0), FactorTable!$A$2:$A$301,0), Skills!L4+1)</f>
        <v/>
      </c>
      <c r="F855">
        <f>IF(Skills!M4=TRUE,(Skills!K4/10)*(E855/1000),Skills!K4/10)+Skills!N4</f>
        <v/>
      </c>
      <c r="G855">
        <f>Calc!G4</f>
        <v/>
      </c>
      <c r="H855">
        <f>Calc!H4</f>
        <v/>
      </c>
      <c r="I855">
        <f>IF(Skills!T4&lt;&gt;"",1+(Skills!T4/10)*(Z854/1000)/100,1)</f>
        <v/>
      </c>
      <c r="J855" t="inlineStr"/>
      <c r="K855" t="inlineStr"/>
      <c r="L855" t="inlineStr"/>
      <c r="M855" t="inlineStr"/>
      <c r="N855" t="inlineStr"/>
      <c r="O855">
        <f>(1-Summary!$B$51)*S855+Summary!$B$51*U855</f>
        <v/>
      </c>
      <c r="P855">
        <f>IF(B887=0,0,O855/B887)</f>
        <v/>
      </c>
      <c r="Q855">
        <f>IFERROR(1/IF(Inputs!$B$38="pvp",15,MAX(0.1,Skills!D4-IF(Skills!E4=TRUE,Inputs!$B$32,0))),0)</f>
        <v/>
      </c>
      <c r="R855">
        <f>IF(AND(Inputs!$B$38&lt;&gt;"pvp",Inputs!$B$43&gt;0),IF(Inputs!$B$43&lt;=0,0,(INT(Inputs!$B$43/IF(Inputs!$B$38="pvp",15,MAX(0.1,Skills!D4-IF(Skills!E4=TRUE,Inputs!$B$32,0))))+1)),0)</f>
        <v/>
      </c>
      <c r="S855" t="n">
        <v>0</v>
      </c>
      <c r="T855">
        <f>290*T854/1000</f>
        <v/>
      </c>
      <c r="U855" t="n">
        <v>0</v>
      </c>
    </row>
    <row r="856">
      <c r="A856">
        <f>Skills!A5</f>
        <v/>
      </c>
      <c r="B856">
        <f>Skills!B5</f>
        <v/>
      </c>
      <c r="C856">
        <f>Inputs!$B$3&gt;=38</f>
        <v/>
      </c>
      <c r="D856">
        <f>IF(Skills!C5=1,60+Inputs!$B$25+Inputs!$B$29,IF(Skills!C5=2,90+Inputs!$B$26+Inputs!$B$29,IF(Skills!C5=3,120+Inputs!$B$27+Inputs!$B$29,MAX(0,(Inputs!$B$3-100)*3)+Inputs!$B$28+Inputs!$B$29)))</f>
        <v/>
      </c>
      <c r="E856">
        <f>INDEX(FactorTable!$B$2:$Y$301, MATCH(ROUND(MIN(300,MAX(1,D856)),0), FactorTable!$A$2:$A$301,0), Skills!L5+1)</f>
        <v/>
      </c>
      <c r="F856">
        <f>IF(Skills!M5=TRUE,(Skills!K5/10)*(E856/1000),Skills!K5/10)+Skills!N5</f>
        <v/>
      </c>
      <c r="G856">
        <f>Calc!G5</f>
        <v/>
      </c>
      <c r="H856">
        <f>Calc!H5</f>
        <v/>
      </c>
      <c r="I856">
        <f>IF(Skills!T5&lt;&gt;"",1+(Skills!T5/10)*(Z854/1000)/100,1)</f>
        <v/>
      </c>
      <c r="J856">
        <f>((Inputs!$B$6*(1+(Inputs!$B$7+1)/100))+(((Inputs!$B$12*(1+Inputs!$B$13/100))-(Inputs!$B$12*(1+Inputs!$B$13/100)))+0.25*(Inputs!$B$14-Inputs!$B$14))*(1+(Inputs!$B$7+1)/100))*(F856/100)</f>
        <v/>
      </c>
      <c r="K856">
        <f>J856*(1+((Inputs!$B$12*(1+Inputs!$B$13/100))*0.01+Inputs!$B$14*0.0025)/100)*(1+(Inputs!$B$15+B879)/100)*(1+Inputs!$B$16/100)*(5000/(6000+Inputs!$B$42*(1-Inputs!$B$19/100)))*(1+Inputs!$B$24/100)*(1+IF(C866=TRUE,F866,0)/100)*(1+IF(C874=TRUE,F874,0)/100)^5*(1+(IF(Skills!A5="CHAIN_LIGHTNING",Inputs!$B$17,Inputs!$B$18))/100)*(B877*I856)</f>
        <v/>
      </c>
      <c r="L856">
        <f>K856*(MIN(Inputs!$B$22+(F869-Calc!F18),Inputs!$B$23)/100+Inputs!$B$23/100)/2</f>
        <v/>
      </c>
      <c r="M856">
        <f>L856*(1+(Inputs!$B$10+(F872-Calc!F21))/100)</f>
        <v/>
      </c>
      <c r="N856">
        <f>L856*(1-MIN(Inputs!$B$9+((F871-Calc!F20)+(F870-Calc!F19)),100)/100)+M856*(MIN(Inputs!$B$9+((F871-Calc!F20)+(F870-Calc!F19)),100)/100)</f>
        <v/>
      </c>
      <c r="O856">
        <f>(1-Summary!$B$51)*S856+Summary!$B$51*U856</f>
        <v/>
      </c>
      <c r="P856">
        <f>IF(B887=0,0,O856/B887)</f>
        <v/>
      </c>
      <c r="Q856">
        <f>IFERROR(1/IF(Inputs!$B$38="pvp",15,MAX(0.1,Skills!D5-IF(Skills!E5=TRUE,Inputs!$B$32,0))),0)</f>
        <v/>
      </c>
      <c r="R856">
        <f>IF(AND(Inputs!$B$38&lt;&gt;"pvp",Inputs!$B$43&gt;0),IF(MAX(0,Inputs!$B$43-B884)&lt;=0,0,(INT(MAX(0,Inputs!$B$43-B884)/IF(Inputs!$B$38="pvp",15,MAX(0.1,Skills!D5-IF(Skills!E5=TRUE,Inputs!$B$32,0))))+1)),0)</f>
        <v/>
      </c>
      <c r="S856">
        <f>IF(C856,(H856*N856*IF(AND(Inputs!$B$38&lt;&gt;"pvp",Inputs!$B$43&gt;0),((Skills!F5*((R856-1)*IF(Skills!G5&gt;0,Skills!H5/Skills!G5,1)+IF(Skills!G5&gt;0,MIN(Skills!H5,MAX(0,MAX(0,Inputs!$B$43-B884)-((R856-1)*IF(Inputs!$B$38="pvp",15,MAX(0.1,Skills!D5-IF(Skills!E5=TRUE,Inputs!$B$32,0))))))/Skills!G5,1)))/Inputs!$B$43),G856*Q856))*IF(Inputs!$B$38="pvp",1,1+(Inputs!$B$20+Skills!O5+B878)/100),0)</f>
        <v/>
      </c>
      <c r="U856">
        <f>IF(C856,(H856*N856*IF(AND(Inputs!$B$38&lt;&gt;"pvp",Inputs!$B$43&gt;0),((Skills!F5*((R856-1)*IF(Skills!G5&gt;0,Skills!H5/Skills!G5,1)+IF(Skills!G5&gt;0,MIN(Skills!H5,MAX(0,MAX(0,Inputs!$B$43-B884)-((R856-1)*IF(Inputs!$B$38="pvp",15,MAX(0.1,Skills!D5-IF(Skills!E5=TRUE,Inputs!$B$32,0))))))/Skills!G5,1)))/Inputs!$B$43),G856*Q856))*IF(Inputs!$B$38="pvp",1,(1+(Inputs!$B$21+Skills!P5+B878)/100)*(MIN(Skills!Q5,Inputs!$B$37))),0)</f>
        <v/>
      </c>
    </row>
    <row r="857">
      <c r="A857">
        <f>Skills!A6</f>
        <v/>
      </c>
      <c r="B857">
        <f>Skills!B6</f>
        <v/>
      </c>
      <c r="C857">
        <f>Inputs!$B$3&gt;=63</f>
        <v/>
      </c>
      <c r="D857">
        <f>IF(Skills!C6=1,60+Inputs!$B$25+Inputs!$B$29,IF(Skills!C6=2,90+Inputs!$B$26+Inputs!$B$29,IF(Skills!C6=3,120+Inputs!$B$27+Inputs!$B$29,MAX(0,(Inputs!$B$3-100)*3)+Inputs!$B$28+Inputs!$B$29)))</f>
        <v/>
      </c>
      <c r="E857">
        <f>INDEX(FactorTable!$B$2:$Y$301, MATCH(ROUND(MIN(300,MAX(1,D857)),0), FactorTable!$A$2:$A$301,0), Skills!L6+1)</f>
        <v/>
      </c>
      <c r="F857">
        <f>IF(Skills!M6=TRUE,(Skills!K6/10)*(E857/1000),Skills!K6/10)+Skills!N6</f>
        <v/>
      </c>
      <c r="G857">
        <f>Calc!G6</f>
        <v/>
      </c>
      <c r="H857">
        <f>Calc!H6</f>
        <v/>
      </c>
      <c r="I857">
        <f>IF(Skills!T6&lt;&gt;"",1+(Skills!T6/10)*(Z854/1000)/100,1)</f>
        <v/>
      </c>
      <c r="J857">
        <f>((Inputs!$B$6*(1+(Inputs!$B$7+1)/100))+(((Inputs!$B$12*(1+Inputs!$B$13/100))-(Inputs!$B$12*(1+Inputs!$B$13/100)))+0.25*(Inputs!$B$14-Inputs!$B$14))*(1+(Inputs!$B$7+1)/100))*(F857/100)</f>
        <v/>
      </c>
      <c r="K857">
        <f>J857*(1+((Inputs!$B$12*(1+Inputs!$B$13/100))*0.01+Inputs!$B$14*0.0025)/100)*(1+(Inputs!$B$15+B879)/100)*(1+Inputs!$B$16/100)*(5000/(6000+Inputs!$B$42*(1-Inputs!$B$19/100)))*(1+Inputs!$B$24/100)*(1+IF(C866=TRUE,F866,0)/100)*(1+IF(C874=TRUE,F874,0)/100)^5*(1+(IF(Skills!A6="CHAIN_LIGHTNING",Inputs!$B$17,Inputs!$B$18))/100)*(B877*I857)</f>
        <v/>
      </c>
      <c r="L857">
        <f>K857*(MIN(Inputs!$B$22+(F869-Calc!F18),Inputs!$B$23)/100+Inputs!$B$23/100)/2</f>
        <v/>
      </c>
      <c r="M857">
        <f>L857*(1+(Inputs!$B$10+(F872-Calc!F21))/100)</f>
        <v/>
      </c>
      <c r="N857">
        <f>L857*(1-MIN(Inputs!$B$9+((F871-Calc!F20)+(F870-Calc!F19)),100)/100)+M857*(MIN(Inputs!$B$9+((F871-Calc!F20)+(F870-Calc!F19)),100)/100)</f>
        <v/>
      </c>
      <c r="O857">
        <f>(1-Summary!$B$51)*S857+Summary!$B$51*U857</f>
        <v/>
      </c>
      <c r="P857">
        <f>IF(B887=0,0,O857/B887)</f>
        <v/>
      </c>
      <c r="Q857">
        <f>IFERROR(1/IF(Inputs!$B$38="pvp",15,MAX(0.1,Skills!D6-IF(Skills!E6=TRUE,Inputs!$B$32,0))),0)</f>
        <v/>
      </c>
      <c r="R857">
        <f>IF(AND(Inputs!$B$38&lt;&gt;"pvp",Inputs!$B$43&gt;0),IF(MAX(0,Inputs!$B$43-B884)&lt;=0,0,(INT(MAX(0,Inputs!$B$43-B884)/IF(Inputs!$B$38="pvp",15,MAX(0.1,Skills!D6-IF(Skills!E6=TRUE,Inputs!$B$32,0))))+1)),0)</f>
        <v/>
      </c>
      <c r="S857">
        <f>IF(C857,(H857*N857*IF(AND(Inputs!$B$38&lt;&gt;"pvp",Inputs!$B$43&gt;0),((Skills!F6*((R857-1)*IF(Skills!G6&gt;0,Skills!H6/Skills!G6,1)+IF(Skills!G6&gt;0,MIN(Skills!H6,MAX(0,MAX(0,Inputs!$B$43-B884)-((R857-1)*IF(Inputs!$B$38="pvp",15,MAX(0.1,Skills!D6-IF(Skills!E6=TRUE,Inputs!$B$32,0))))))/Skills!G6,1)))/Inputs!$B$43),G857*Q857))*IF(Inputs!$B$38="pvp",1,1+(Inputs!$B$20+Skills!O6+B878)/100),0)</f>
        <v/>
      </c>
      <c r="U857">
        <f>IF(C857,(H857*N857*IF(AND(Inputs!$B$38&lt;&gt;"pvp",Inputs!$B$43&gt;0),((Skills!F6*((R857-1)*IF(Skills!G6&gt;0,Skills!H6/Skills!G6,1)+IF(Skills!G6&gt;0,MIN(Skills!H6,MAX(0,MAX(0,Inputs!$B$43-B884)-((R857-1)*IF(Inputs!$B$38="pvp",15,MAX(0.1,Skills!D6-IF(Skills!E6=TRUE,Inputs!$B$32,0))))))/Skills!G6,1)))/Inputs!$B$43),G857*Q857))*IF(Inputs!$B$38="pvp",1,(1+(Inputs!$B$21+Skills!P6+B878)/100)*(MIN(Skills!Q6,Inputs!$B$37))),0)</f>
        <v/>
      </c>
    </row>
    <row r="858">
      <c r="A858">
        <f>Skills!A7</f>
        <v/>
      </c>
      <c r="B858">
        <f>Skills!B7</f>
        <v/>
      </c>
      <c r="C858">
        <f>Inputs!$B$3&gt;=69</f>
        <v/>
      </c>
      <c r="D858">
        <f>IF(Skills!C7=1,60+Inputs!$B$25+Inputs!$B$29,IF(Skills!C7=2,90+Inputs!$B$26+Inputs!$B$29,IF(Skills!C7=3,120+Inputs!$B$27+Inputs!$B$29,MAX(0,(Inputs!$B$3-100)*3)+Inputs!$B$28+Inputs!$B$29)))</f>
        <v/>
      </c>
      <c r="E858">
        <f>INDEX(FactorTable!$B$2:$Y$301, MATCH(ROUND(MIN(300,MAX(1,D858)),0), FactorTable!$A$2:$A$301,0), Skills!L7+1)</f>
        <v/>
      </c>
      <c r="F858">
        <f>IF(Skills!M7=TRUE,(Skills!K7/10)*(E858/1000),Skills!K7/10)+Skills!N7</f>
        <v/>
      </c>
      <c r="G858">
        <f>Calc!G7</f>
        <v/>
      </c>
      <c r="H858">
        <f>Calc!H7</f>
        <v/>
      </c>
      <c r="I858">
        <f>IF(Skills!T7&lt;&gt;"",1+(Skills!T7/10)*(Z854/1000)/100,1)</f>
        <v/>
      </c>
      <c r="J858">
        <f>((Inputs!$B$6*(1+(Inputs!$B$7+1)/100))+(((Inputs!$B$12*(1+Inputs!$B$13/100))-(Inputs!$B$12*(1+Inputs!$B$13/100)))+0.25*(Inputs!$B$14-Inputs!$B$14))*(1+(Inputs!$B$7+1)/100))*(F858/100)</f>
        <v/>
      </c>
      <c r="K858">
        <f>J858*(1+((Inputs!$B$12*(1+Inputs!$B$13/100))*0.01+Inputs!$B$14*0.0025)/100)*(1+(Inputs!$B$15+B879)/100)*(1+Inputs!$B$16/100)*(5000/(6000+Inputs!$B$42*(1-Inputs!$B$19/100)))*(1+Inputs!$B$24/100)*(1+IF(C866=TRUE,F866,0)/100)*(1+IF(C874=TRUE,F874,0)/100)^5*(1+(IF(Skills!A7="CHAIN_LIGHTNING",Inputs!$B$17,Inputs!$B$18))/100)*(B877*I858)</f>
        <v/>
      </c>
      <c r="L858">
        <f>K858*(MIN(Inputs!$B$22+(F869-Calc!F18),Inputs!$B$23)/100+Inputs!$B$23/100)/2</f>
        <v/>
      </c>
      <c r="M858">
        <f>L858*(1+(Inputs!$B$10+(F872-Calc!F21))/100)</f>
        <v/>
      </c>
      <c r="N858">
        <f>L858*(1-MIN(Inputs!$B$9+((F871-Calc!F20)+(F870-Calc!F19)),100)/100)+M858*(MIN(Inputs!$B$9+((F871-Calc!F20)+(F870-Calc!F19)),100)/100)</f>
        <v/>
      </c>
      <c r="O858">
        <f>(1-Summary!$B$51)*S858+Summary!$B$51*U858</f>
        <v/>
      </c>
      <c r="P858">
        <f>IF(B887=0,0,O858/B887)</f>
        <v/>
      </c>
      <c r="Q858">
        <f>IFERROR(1/IF(Inputs!$B$38="pvp",15,MAX(0.1,Skills!D7-IF(Skills!E7=TRUE,Inputs!$B$32,0))),0)</f>
        <v/>
      </c>
      <c r="R858">
        <f>IF(AND(Inputs!$B$38&lt;&gt;"pvp",Inputs!$B$43&gt;0),IF(MAX(0,Inputs!$B$43-B884)&lt;=0,0,(INT(MAX(0,Inputs!$B$43-B884)/IF(Inputs!$B$38="pvp",15,MAX(0.1,Skills!D7-IF(Skills!E7=TRUE,Inputs!$B$32,0))))+1)),0)</f>
        <v/>
      </c>
      <c r="S858">
        <f>IF(C858,(H858*N858*IF(AND(Inputs!$B$38&lt;&gt;"pvp",Inputs!$B$43&gt;0),((Skills!F7*((R858-1)*IF(Skills!G7&gt;0,Skills!H7/Skills!G7,1)+IF(Skills!G7&gt;0,MIN(Skills!H7,MAX(0,MAX(0,Inputs!$B$43-B884)-((R858-1)*IF(Inputs!$B$38="pvp",15,MAX(0.1,Skills!D7-IF(Skills!E7=TRUE,Inputs!$B$32,0))))))/Skills!G7,1)))/Inputs!$B$43),G858*Q858))*IF(Inputs!$B$38="pvp",1,1+(Inputs!$B$20+Skills!O7+B878)/100),0)</f>
        <v/>
      </c>
      <c r="U858">
        <f>IF(C858,(H858*N858*IF(AND(Inputs!$B$38&lt;&gt;"pvp",Inputs!$B$43&gt;0),((Skills!F7*((R858-1)*IF(Skills!G7&gt;0,Skills!H7/Skills!G7,1)+IF(Skills!G7&gt;0,MIN(Skills!H7,MAX(0,MAX(0,Inputs!$B$43-B884)-((R858-1)*IF(Inputs!$B$38="pvp",15,MAX(0.1,Skills!D7-IF(Skills!E7=TRUE,Inputs!$B$32,0))))))/Skills!G7,1)))/Inputs!$B$43),G858*Q858))*IF(Inputs!$B$38="pvp",1,(1+(Inputs!$B$21+Skills!P7+B878)/100)*(MIN(Skills!Q7,Inputs!$B$37))),0)</f>
        <v/>
      </c>
    </row>
    <row r="859">
      <c r="A859">
        <f>Skills!A8</f>
        <v/>
      </c>
      <c r="B859">
        <f>Skills!B8</f>
        <v/>
      </c>
      <c r="C859">
        <f>Inputs!$B$3&gt;=103</f>
        <v/>
      </c>
      <c r="D859">
        <f>IF(Skills!C8=1,60+Inputs!$B$25+Inputs!$B$29,IF(Skills!C8=2,90+Inputs!$B$26+Inputs!$B$29,IF(Skills!C8=3,120+Inputs!$B$27+Inputs!$B$29,MAX(0,(Inputs!$B$3-100)*3)+Inputs!$B$28+Inputs!$B$29)))</f>
        <v/>
      </c>
      <c r="E859">
        <f>INDEX(FactorTable!$B$2:$Y$301, MATCH(ROUND(MIN(300,MAX(1,D859)),0), FactorTable!$A$2:$A$301,0), Skills!L8+1)</f>
        <v/>
      </c>
      <c r="F859">
        <f>IF(Skills!M8=TRUE,(Skills!K8/10)*(E859/1000),Skills!K8/10)+Skills!N8</f>
        <v/>
      </c>
      <c r="G859">
        <f>Calc!G8</f>
        <v/>
      </c>
      <c r="H859">
        <f>Calc!H8</f>
        <v/>
      </c>
      <c r="I859">
        <f>IF(Skills!T8&lt;&gt;"",1+(Skills!T8/10)*(Z854/1000)/100,1)</f>
        <v/>
      </c>
      <c r="J859">
        <f>((Inputs!$B$6*(1+(Inputs!$B$7+1)/100))+(((Inputs!$B$12*(1+Inputs!$B$13/100))-(Inputs!$B$12*(1+Inputs!$B$13/100)))+0.25*(Inputs!$B$14-Inputs!$B$14))*(1+(Inputs!$B$7+1)/100))*(F859/100)</f>
        <v/>
      </c>
      <c r="K859">
        <f>J859*(1+((Inputs!$B$12*(1+Inputs!$B$13/100))*0.01+Inputs!$B$14*0.0025)/100)*(1+(Inputs!$B$15+B879)/100)*(1+Inputs!$B$16/100)*(5000/(6000+Inputs!$B$42*(1-Inputs!$B$19/100)))*(1+Inputs!$B$24/100)*(1+IF(C866=TRUE,F866,0)/100)*(1+IF(C874=TRUE,F874,0)/100)^5*(1+(IF(Skills!A8="CHAIN_LIGHTNING",Inputs!$B$17,Inputs!$B$18))/100)*(B877*I859)</f>
        <v/>
      </c>
      <c r="L859">
        <f>K859*(MIN(Inputs!$B$22+(F869-Calc!F18),Inputs!$B$23)/100+Inputs!$B$23/100)/2</f>
        <v/>
      </c>
      <c r="M859">
        <f>L859*(1+(Inputs!$B$10+(F872-Calc!F21))/100)</f>
        <v/>
      </c>
      <c r="N859">
        <f>L859*(1-MIN(Inputs!$B$9+((F871-Calc!F20)+(F870-Calc!F19)),100)/100)+M859*(MIN(Inputs!$B$9+((F871-Calc!F20)+(F870-Calc!F19)),100)/100)</f>
        <v/>
      </c>
      <c r="O859">
        <f>(1-Summary!$B$51)*S859+Summary!$B$51*U859</f>
        <v/>
      </c>
      <c r="P859">
        <f>IF(B887=0,0,O859/B887)</f>
        <v/>
      </c>
      <c r="Q859">
        <f>IFERROR(1/IF(Inputs!$B$38="pvp",15,MAX(0.1,Skills!D8-IF(Skills!E8=TRUE,Inputs!$B$32,0))),0)</f>
        <v/>
      </c>
      <c r="R859">
        <f>IF(AND(Inputs!$B$38&lt;&gt;"pvp",Inputs!$B$43&gt;0),IF(MAX(0,Inputs!$B$43-B884)&lt;=0,0,(INT(MAX(0,Inputs!$B$43-B884)/IF(Inputs!$B$38="pvp",15,MAX(0.1,Skills!D8-IF(Skills!E8=TRUE,Inputs!$B$32,0))))+1)),0)</f>
        <v/>
      </c>
      <c r="S859">
        <f>IF(C859,(H859*N859*IF(AND(Inputs!$B$38&lt;&gt;"pvp",Inputs!$B$43&gt;0),((Skills!F8*((R859-1)*IF(Skills!G8&gt;0,Skills!H8/Skills!G8,1)+IF(Skills!G8&gt;0,MIN(Skills!H8,MAX(0,MAX(0,Inputs!$B$43-B884)-((R859-1)*IF(Inputs!$B$38="pvp",15,MAX(0.1,Skills!D8-IF(Skills!E8=TRUE,Inputs!$B$32,0))))))/Skills!G8,1)))/Inputs!$B$43),G859*Q859))*IF(Inputs!$B$38="pvp",1,1+(Inputs!$B$20+Skills!O8+B878)/100),0)</f>
        <v/>
      </c>
      <c r="U859">
        <f>IF(C859,(H859*N859*IF(AND(Inputs!$B$38&lt;&gt;"pvp",Inputs!$B$43&gt;0),((Skills!F8*((R859-1)*IF(Skills!G8&gt;0,Skills!H8/Skills!G8,1)+IF(Skills!G8&gt;0,MIN(Skills!H8,MAX(0,MAX(0,Inputs!$B$43-B884)-((R859-1)*IF(Inputs!$B$38="pvp",15,MAX(0.1,Skills!D8-IF(Skills!E8=TRUE,Inputs!$B$32,0))))))/Skills!G8,1)))/Inputs!$B$43),G859*Q859))*IF(Inputs!$B$38="pvp",1,(1+(Inputs!$B$21+Skills!P8+B878)/100)*(MIN(Skills!Q8,Inputs!$B$37))),0)</f>
        <v/>
      </c>
    </row>
    <row r="860">
      <c r="A860">
        <f>Skills!A9</f>
        <v/>
      </c>
      <c r="B860">
        <f>Skills!B9</f>
        <v/>
      </c>
      <c r="C860">
        <f>Inputs!$B$3&gt;=105</f>
        <v/>
      </c>
      <c r="D860">
        <f>IF(Skills!C9=1,60+Inputs!$B$25+Inputs!$B$29,IF(Skills!C9=2,90+Inputs!$B$26+Inputs!$B$29,IF(Skills!C9=3,120+Inputs!$B$27+Inputs!$B$29,MAX(0,(Inputs!$B$3-100)*3)+Inputs!$B$28+Inputs!$B$29)))</f>
        <v/>
      </c>
      <c r="E860">
        <f>INDEX(FactorTable!$B$2:$Y$301, MATCH(ROUND(MIN(300,MAX(1,D860)),0), FactorTable!$A$2:$A$301,0), Skills!L9+1)</f>
        <v/>
      </c>
      <c r="F860">
        <f>IF(Skills!M9=TRUE,(Skills!K9/10)*(E860/1000),Skills!K9/10)+Skills!N9</f>
        <v/>
      </c>
      <c r="G860">
        <f>Calc!G9</f>
        <v/>
      </c>
      <c r="H860">
        <f>Calc!H9</f>
        <v/>
      </c>
      <c r="I860">
        <f>IF(Skills!T9&lt;&gt;"",1+(Skills!T9/10)*(Z854/1000)/100,1)</f>
        <v/>
      </c>
      <c r="J860">
        <f>((Inputs!$B$6*(1+(Inputs!$B$7+1)/100))+(((Inputs!$B$12*(1+Inputs!$B$13/100))-(Inputs!$B$12*(1+Inputs!$B$13/100)))+0.25*(Inputs!$B$14-Inputs!$B$14))*(1+(Inputs!$B$7+1)/100))*(F860/100)</f>
        <v/>
      </c>
      <c r="K860">
        <f>J860*(1+((Inputs!$B$12*(1+Inputs!$B$13/100))*0.01+Inputs!$B$14*0.0025)/100)*(1+(Inputs!$B$15+B879)/100)*(1+Inputs!$B$16/100)*(5000/(6000+Inputs!$B$42*(1-Inputs!$B$19/100)))*(1+Inputs!$B$24/100)*(1+IF(C866=TRUE,F866,0)/100)*(1+IF(C874=TRUE,F874,0)/100)^5*(1+(IF(Skills!A9="CHAIN_LIGHTNING",Inputs!$B$17,Inputs!$B$18))/100)*(B877*I860)</f>
        <v/>
      </c>
      <c r="L860">
        <f>K860*(MIN(Inputs!$B$22+(F869-Calc!F18),Inputs!$B$23)/100+Inputs!$B$23/100)/2</f>
        <v/>
      </c>
      <c r="M860">
        <f>L860*(1+(Inputs!$B$10+(F872-Calc!F21))/100)</f>
        <v/>
      </c>
      <c r="N860">
        <f>L860*(1-MIN(Inputs!$B$9+((F871-Calc!F20)+(F870-Calc!F19)),100)/100)+M860*(MIN(Inputs!$B$9+((F871-Calc!F20)+(F870-Calc!F19)),100)/100)</f>
        <v/>
      </c>
      <c r="O860">
        <f>(1-Summary!$B$51)*S860+Summary!$B$51*U860</f>
        <v/>
      </c>
      <c r="P860">
        <f>IF(B887=0,0,O860/B887)</f>
        <v/>
      </c>
      <c r="Q860">
        <f>IFERROR(1/IF(Inputs!$B$38="pvp",15,MAX(0.1,Skills!D9-IF(Skills!E9=TRUE,Inputs!$B$32,0))),0)</f>
        <v/>
      </c>
      <c r="R860">
        <f>IF(AND(Inputs!$B$38&lt;&gt;"pvp",Inputs!$B$43&gt;0),IF(MAX(0,Inputs!$B$43-B884)&lt;=0,0,(INT(MAX(0,Inputs!$B$43-B884)/IF(Inputs!$B$38="pvp",15,MAX(0.1,Skills!D9-IF(Skills!E9=TRUE,Inputs!$B$32,0))))+1)),0)</f>
        <v/>
      </c>
      <c r="S860">
        <f>IF(C860,(H860*N860*IF(AND(Inputs!$B$38&lt;&gt;"pvp",Inputs!$B$43&gt;0),((Skills!F9*((R860-1)*IF(Skills!G9&gt;0,Skills!H9/Skills!G9,1)+IF(Skills!G9&gt;0,MIN(Skills!H9,MAX(0,MAX(0,Inputs!$B$43-B884)-((R860-1)*IF(Inputs!$B$38="pvp",15,MAX(0.1,Skills!D9-IF(Skills!E9=TRUE,Inputs!$B$32,0))))))/Skills!G9,1)))/Inputs!$B$43),G860*Q860))*IF(Inputs!$B$38="pvp",1,1+(Inputs!$B$20+Skills!O9+B878)/100),0)</f>
        <v/>
      </c>
      <c r="U860">
        <f>IF(C860,(H860*N860*IF(AND(Inputs!$B$38&lt;&gt;"pvp",Inputs!$B$43&gt;0),((Skills!F9*((R860-1)*IF(Skills!G9&gt;0,Skills!H9/Skills!G9,1)+IF(Skills!G9&gt;0,MIN(Skills!H9,MAX(0,MAX(0,Inputs!$B$43-B884)-((R860-1)*IF(Inputs!$B$38="pvp",15,MAX(0.1,Skills!D9-IF(Skills!E9=TRUE,Inputs!$B$32,0))))))/Skills!G9,1)))/Inputs!$B$43),G860*Q860))*IF(Inputs!$B$38="pvp",1,(1+(Inputs!$B$21+Skills!P9+B878)/100)*(MIN(Skills!Q9,Inputs!$B$37))),0)</f>
        <v/>
      </c>
    </row>
    <row r="861">
      <c r="A861">
        <f>Skills!A10</f>
        <v/>
      </c>
      <c r="B861">
        <f>Skills!B10</f>
        <v/>
      </c>
      <c r="C861">
        <f>Inputs!$B$3&gt;=113</f>
        <v/>
      </c>
      <c r="D861">
        <f>IF(Skills!C10=1,60+Inputs!$B$25+Inputs!$B$29,IF(Skills!C10=2,90+Inputs!$B$26+Inputs!$B$29,IF(Skills!C10=3,120+Inputs!$B$27+Inputs!$B$29,MAX(0,(Inputs!$B$3-100)*3)+Inputs!$B$28+Inputs!$B$29)))</f>
        <v/>
      </c>
      <c r="E861">
        <f>INDEX(FactorTable!$B$2:$Y$301, MATCH(ROUND(MIN(300,MAX(1,D861)),0), FactorTable!$A$2:$A$301,0), Skills!L10+1)</f>
        <v/>
      </c>
      <c r="F861">
        <f>IF(Skills!M10=TRUE,(Skills!K10/10)*(E861/1000),Skills!K10/10)+Skills!N10</f>
        <v/>
      </c>
      <c r="G861">
        <f>Calc!G10</f>
        <v/>
      </c>
      <c r="H861">
        <f>Calc!H10</f>
        <v/>
      </c>
      <c r="I861">
        <f>IF(Skills!T10&lt;&gt;"",1+(Skills!T10/10)*(Z854/1000)/100,1)</f>
        <v/>
      </c>
      <c r="J861">
        <f>((Inputs!$B$6*(1+(Inputs!$B$7+1)/100))+(((Inputs!$B$12*(1+Inputs!$B$13/100))-(Inputs!$B$12*(1+Inputs!$B$13/100)))+0.25*(Inputs!$B$14-Inputs!$B$14))*(1+(Inputs!$B$7+1)/100))*(F861/100)</f>
        <v/>
      </c>
      <c r="K861">
        <f>J861*(1+((Inputs!$B$12*(1+Inputs!$B$13/100))*0.01+Inputs!$B$14*0.0025)/100)*(1+(Inputs!$B$15+B879)/100)*(1+Inputs!$B$16/100)*(5000/(6000+Inputs!$B$42*(1-Inputs!$B$19/100)))*(1+Inputs!$B$24/100)*(1+IF(C866=TRUE,F866,0)/100)*(1+IF(C874=TRUE,F874,0)/100)^5*(1+(IF(Skills!A10="CHAIN_LIGHTNING",Inputs!$B$17,Inputs!$B$18))/100)*(B877*I861)</f>
        <v/>
      </c>
      <c r="L861">
        <f>K861*(MIN(Inputs!$B$22+(F869-Calc!F18),Inputs!$B$23)/100+Inputs!$B$23/100)/2</f>
        <v/>
      </c>
      <c r="M861">
        <f>L861*(1+(Inputs!$B$10+(F872-Calc!F21))/100)</f>
        <v/>
      </c>
      <c r="N861">
        <f>L861*(1-MIN(Inputs!$B$9+((F871-Calc!F20)+(F870-Calc!F19)),100)/100)+M861*(MIN(Inputs!$B$9+((F871-Calc!F20)+(F870-Calc!F19)),100)/100)</f>
        <v/>
      </c>
      <c r="O861">
        <f>(1-Summary!$B$51)*S861+Summary!$B$51*U861</f>
        <v/>
      </c>
      <c r="P861">
        <f>IF(B887=0,0,O861/B887)</f>
        <v/>
      </c>
      <c r="Q861">
        <f>IFERROR(1/IF(Inputs!$B$38="pvp",15,MAX(0.1,Skills!D10-IF(Skills!E9=TRUE,Inputs!$B$32,0))),0)</f>
        <v/>
      </c>
      <c r="R861">
        <f>IF(AND(Inputs!$B$38&lt;&gt;"pvp",Inputs!$B$43&gt;0),IF(MAX(0,Inputs!$B$43-B884)&lt;=0,0,(INT(MAX(0,Inputs!$B$43-B884)/IF(Inputs!$B$38="pvp",15,MAX(0.1,Skills!D10-IF(Skills!E9=TRUE,Inputs!$B$32,0))))+1)),0)</f>
        <v/>
      </c>
      <c r="S861">
        <f>IF(C861,(H861*N861*IF(AND(Inputs!$B$38&lt;&gt;"pvp",Inputs!$B$43&gt;0),((Skills!F10*((R861-1)*IF(Skills!G10&gt;0,Skills!H10/Skills!G10,1)+IF(Skills!G10&gt;0,MIN(Skills!H10,MAX(0,MAX(0,Inputs!$B$43-B884)-((R861-1)*IF(Inputs!$B$38="pvp",15,MAX(0.1,Skills!D10-IF(Skills!E9=TRUE,Inputs!$B$32,0))))))/Skills!G10,1)))/Inputs!$B$43),G861*Q861))*IF(Inputs!$B$38="pvp",1,1+(Inputs!$B$20+Skills!O10+B878)/100),0)</f>
        <v/>
      </c>
      <c r="U861">
        <f>IF(C861,(H861*N861*IF(AND(Inputs!$B$38&lt;&gt;"pvp",Inputs!$B$43&gt;0),((Skills!F10*((R861-1)*IF(Skills!G10&gt;0,Skills!H10/Skills!G10,1)+IF(Skills!G10&gt;0,MIN(Skills!H10,MAX(0,MAX(0,Inputs!$B$43-B884)-((R861-1)*IF(Inputs!$B$38="pvp",15,MAX(0.1,Skills!D10-IF(Skills!E9=TRUE,Inputs!$B$32,0))))))/Skills!G10,1)))/Inputs!$B$43),G861*Q861))*IF(Inputs!$B$38="pvp",1,(1+(Inputs!$B$21+Skills!P10+B878)/100)*(MIN(Skills!Q10,Inputs!$B$37))),0)</f>
        <v/>
      </c>
    </row>
    <row r="862">
      <c r="A862">
        <f>Skills!A11</f>
        <v/>
      </c>
      <c r="B862">
        <f>Skills!B11</f>
        <v/>
      </c>
      <c r="C862">
        <f>Inputs!$B$3&gt;=107</f>
        <v/>
      </c>
      <c r="D862">
        <f>IF(Skills!C11=1,60+Inputs!$B$25+Inputs!$B$29,IF(Skills!C11=2,90+Inputs!$B$26+Inputs!$B$29,IF(Skills!C11=3,120+Inputs!$B$27+Inputs!$B$29,MAX(0,(Inputs!$B$3-100)*3)+Inputs!$B$28+Inputs!$B$29)))</f>
        <v/>
      </c>
      <c r="E862">
        <f>INDEX(FactorTable!$B$2:$Y$301, MATCH(ROUND(MIN(300,MAX(1,D862)),0), FactorTable!$A$2:$A$301,0), Skills!L11+1)</f>
        <v/>
      </c>
      <c r="F862">
        <f>IF(Skills!M11=TRUE,(Skills!K11/10)*(E862/1000),Skills!K11/10)+Skills!N11</f>
        <v/>
      </c>
      <c r="G862">
        <f>Calc!G11</f>
        <v/>
      </c>
      <c r="H862">
        <f>Calc!H11</f>
        <v/>
      </c>
      <c r="I862">
        <f>IF(Skills!T11&lt;&gt;"",1+(Skills!T11/10)*(Z854/1000)/100,1)</f>
        <v/>
      </c>
      <c r="J862">
        <f>((Inputs!$B$6*(1+(Inputs!$B$7+1)/100))+(((Inputs!$B$12*(1+Inputs!$B$13/100))-(Inputs!$B$12*(1+Inputs!$B$13/100)))+0.25*(Inputs!$B$14-Inputs!$B$14))*(1+(Inputs!$B$7+1)/100))*(F862/100)</f>
        <v/>
      </c>
      <c r="K862">
        <f>J862*(1+((Inputs!$B$12*(1+Inputs!$B$13/100))*0.01+Inputs!$B$14*0.0025)/100)*(1+(Inputs!$B$15+B879)/100)*(1+Inputs!$B$16/100)*(5000/(6000+Inputs!$B$42*(1-Inputs!$B$19/100)))*(1+Inputs!$B$24/100)*(1+IF(C866=TRUE,F866,0)/100)*(1+IF(C874=TRUE,F874,0)/100)^5*(1+(IF(Skills!A11="CHAIN_LIGHTNING",Inputs!$B$17,Inputs!$B$18))/100)*(B877*I862)</f>
        <v/>
      </c>
      <c r="L862">
        <f>K862*(MIN(Inputs!$B$22+(F869-Calc!F18),Inputs!$B$23)/100+Inputs!$B$23/100)/2</f>
        <v/>
      </c>
      <c r="M862">
        <f>L862*(1+(Inputs!$B$10+(F872-Calc!F21))/100)</f>
        <v/>
      </c>
      <c r="N862">
        <f>L862*(1-MIN(Inputs!$B$9+((F871-Calc!F20)+(F870-Calc!F19)),100)/100)+M862*(MIN(Inputs!$B$9+((F871-Calc!F20)+(F870-Calc!F19)),100)/100)</f>
        <v/>
      </c>
      <c r="O862">
        <f>(1-Summary!$B$51)*S862+Summary!$B$51*U862</f>
        <v/>
      </c>
      <c r="P862">
        <f>IF(B887=0,0,O862/B887)</f>
        <v/>
      </c>
      <c r="Q862">
        <f>IFERROR(1/IF(Inputs!$B$38="pvp",15,MAX(0.1,Skills!D11-IF(Skills!E11=TRUE,Inputs!$B$32,0))),0)</f>
        <v/>
      </c>
      <c r="R862">
        <f>IF(AND(Inputs!$B$38&lt;&gt;"pvp",Inputs!$B$43&gt;0),IF(MAX(0,Inputs!$B$43-B884)&lt;=0,0,(INT(MAX(0,Inputs!$B$43-B884)/IF(Inputs!$B$38="pvp",15,MAX(0.1,Skills!D11-IF(Skills!E11=TRUE,Inputs!$B$32,0))))+1)),0)</f>
        <v/>
      </c>
      <c r="S862">
        <f>IF(C862,H862*N862*IF(AND(Inputs!$B$38&lt;&gt;"pvp",Inputs!$B$43&gt;0),((Skills!F11*((R862-1)*IF(Skills!G11&gt;0,Skills!H11/Skills!G11,1)+IF(Skills!G11&gt;0,MIN(Skills!H11,MAX(0,MAX(0,Inputs!$B$43-B884)-((R862-1)*IF(Inputs!$B$38="pvp",15,MAX(0.1,Skills!D11-IF(Skills!E11=TRUE,Inputs!$B$32,0))))))/Skills!G11,1)))/Inputs!$B$43),G862*Q862)*0.5*IF(Inputs!$B$38="pvp",1,1+(Inputs!$B$20+Skills!O11+B878)/100),0)</f>
        <v/>
      </c>
      <c r="U862">
        <f>IF(C862,H862*N862*IF(AND(Inputs!$B$38&lt;&gt;"pvp",Inputs!$B$43&gt;0),((Skills!F11*((R862-1)*IF(Skills!G11&gt;0,Skills!H11/Skills!G11,1)+IF(Skills!G11&gt;0,MIN(Skills!H11,MAX(0,MAX(0,Inputs!$B$43-B884)-((R862-1)*IF(Inputs!$B$38="pvp",15,MAX(0.1,Skills!D11-IF(Skills!E11=TRUE,Inputs!$B$32,0))))))/Skills!G11,1)))/Inputs!$B$43),G862*Q862)*1*IF(Inputs!$B$38="pvp",1,(1+(Inputs!$B$21+Skills!P11+B878)/100)*(MIN(Skills!Q11,Inputs!$B$37))),0)</f>
        <v/>
      </c>
    </row>
    <row r="863">
      <c r="A863">
        <f>Skills!A12</f>
        <v/>
      </c>
      <c r="B863">
        <f>Skills!B12</f>
        <v/>
      </c>
      <c r="C863">
        <f>Inputs!$B$3&gt;=115</f>
        <v/>
      </c>
      <c r="D863">
        <f>IF(Skills!C12=1,60+Inputs!$B$25+Inputs!$B$29,IF(Skills!C12=2,90+Inputs!$B$26+Inputs!$B$29,IF(Skills!C12=3,120+Inputs!$B$27+Inputs!$B$29,MAX(0,(Inputs!$B$3-100)*3)+Inputs!$B$28+Inputs!$B$29)))</f>
        <v/>
      </c>
      <c r="E863">
        <f>INDEX(FactorTable!$B$2:$Y$301, MATCH(ROUND(MIN(300,MAX(1,D863)),0), FactorTable!$A$2:$A$301,0), Skills!L12+1)</f>
        <v/>
      </c>
      <c r="F863">
        <f>IF(Skills!M12=TRUE,(Skills!K12/10)*(E863/1000),Skills!K12/10)+Skills!N12</f>
        <v/>
      </c>
      <c r="G863">
        <f>Calc!G12</f>
        <v/>
      </c>
      <c r="H863">
        <f>Calc!H12</f>
        <v/>
      </c>
      <c r="I863">
        <f>IF(Skills!T12&lt;&gt;"",1+(Skills!T12/10)*(Z854/1000)/100,1)</f>
        <v/>
      </c>
      <c r="J863">
        <f>((Inputs!$B$6*(1+(Inputs!$B$7+1)/100))+(((Inputs!$B$12*(1+Inputs!$B$13/100))-(Inputs!$B$12*(1+Inputs!$B$13/100)))+0.25*(Inputs!$B$14-Inputs!$B$14))*(1+(Inputs!$B$7+1)/100))*(F863/100)</f>
        <v/>
      </c>
      <c r="K863">
        <f>J863*(1+((Inputs!$B$12*(1+Inputs!$B$13/100))*0.01+Inputs!$B$14*0.0025)/100)*(1+(Inputs!$B$15+B879)/100)*(1+Inputs!$B$16/100)*(5000/(6000+Inputs!$B$42*(1-Inputs!$B$19/100)))*(1+Inputs!$B$24/100)*(1+IF(C866=TRUE,F866,0)/100)*(1+IF(C874=TRUE,F874,0)/100)^5*(1+(IF(Skills!A12="CHAIN_LIGHTNING",Inputs!$B$17,Inputs!$B$18))/100)*(B877*I863)</f>
        <v/>
      </c>
      <c r="L863">
        <f>K863*(MIN(Inputs!$B$22+(F869-Calc!F18),Inputs!$B$23)/100+Inputs!$B$23/100)/2</f>
        <v/>
      </c>
      <c r="M863">
        <f>L863*(1+(Inputs!$B$10+(F872-Calc!F21))/100)</f>
        <v/>
      </c>
      <c r="N863">
        <f>L863*(1-MIN(Inputs!$B$9+((F871-Calc!F20)+(F870-Calc!F19)),100)/100)+M863*(MIN(Inputs!$B$9+((F871-Calc!F20)+(F870-Calc!F19)),100)/100)</f>
        <v/>
      </c>
      <c r="O863">
        <f>(1-Summary!$B$51)*S863+Summary!$B$51*U863</f>
        <v/>
      </c>
      <c r="P863">
        <f>IF(B887=0,0,O863/B887)</f>
        <v/>
      </c>
      <c r="Q863">
        <f>IFERROR(1/IF(Inputs!$B$38="pvp",15,MAX(0.1,Skills!D12-IF(Skills!E12=TRUE,Inputs!$B$32,0))),0)</f>
        <v/>
      </c>
      <c r="R863">
        <f>IF(AND(Inputs!$B$38&lt;&gt;"pvp",Inputs!$B$43&gt;0),IF(MAX(0,Inputs!$B$43-B884)&lt;=0,0,(INT(MAX(0,Inputs!$B$43-B884)/IF(Inputs!$B$38="pvp",15,MAX(0.1,Skills!D12-IF(Skills!E12=TRUE,Inputs!$B$32,0))))+1)),0)</f>
        <v/>
      </c>
      <c r="S863">
        <f>IF(C863,(H863*N863*IF(AND(Inputs!$B$38&lt;&gt;"pvp",Inputs!$B$43&gt;0),((Skills!F12*((R863-1)*IF(Skills!G12&gt;0,Skills!H12/Skills!G12,1)+IF(Skills!G12&gt;0,MIN(Skills!H12,MAX(0,MAX(0,Inputs!$B$43-B884)-((R863-1)*IF(Inputs!$B$38="pvp",15,MAX(0.1,Skills!D12-IF(Skills!E12=TRUE,Inputs!$B$32,0))))))/Skills!G12,1)))/Inputs!$B$43),G863*Q863))*IF(Inputs!$B$38="pvp",1,1+(Inputs!$B$20+Skills!O12+B878)/100),0)</f>
        <v/>
      </c>
      <c r="U863">
        <f>IF(C863,(H863*N863*IF(AND(Inputs!$B$38&lt;&gt;"pvp",Inputs!$B$43&gt;0),((Skills!F12*((R863-1)*IF(Skills!G12&gt;0,Skills!H12/Skills!G12,1)+IF(Skills!G12&gt;0,MIN(Skills!H12,MAX(0,MAX(0,Inputs!$B$43-B884)-((R863-1)*IF(Inputs!$B$38="pvp",15,MAX(0.1,Skills!D12-IF(Skills!E12=TRUE,Inputs!$B$32,0))))))/Skills!G12,1)))/Inputs!$B$43),G863*Q863))*IF(Inputs!$B$38="pvp",1,(1+(Inputs!$B$21+Skills!P12+B878)/100)*(MIN(Skills!Q12,Inputs!$B$37))),0)</f>
        <v/>
      </c>
    </row>
    <row r="864">
      <c r="A864">
        <f>Skills!A13</f>
        <v/>
      </c>
      <c r="B864">
        <f>Skills!B13</f>
        <v/>
      </c>
      <c r="C864">
        <f>Inputs!$B$3&gt;=49</f>
        <v/>
      </c>
      <c r="D864">
        <f>IF(Skills!C13=1,60+Inputs!$B$25+Inputs!$B$29,IF(Skills!C13=2,90+Inputs!$B$26+Inputs!$B$29,IF(Skills!C13=3,120+Inputs!$B$27+Inputs!$B$29,MAX(0,(Inputs!$B$3-100)*3)+Inputs!$B$28+Inputs!$B$29)))</f>
        <v/>
      </c>
      <c r="E864">
        <f>INDEX(FactorTable!$B$2:$Y$301, MATCH(ROUND(MIN(300,MAX(1,D864)),0), FactorTable!$A$2:$A$301,0), Skills!L13+1)</f>
        <v/>
      </c>
      <c r="F864">
        <f>IF(Skills!M13=TRUE,(Skills!K13/10)*(E864/1000),Skills!K13/10)+Skills!N13</f>
        <v/>
      </c>
      <c r="G864">
        <f>Calc!G13</f>
        <v/>
      </c>
      <c r="H864">
        <f>Calc!H13</f>
        <v/>
      </c>
      <c r="I864">
        <f>IF(Skills!T13&lt;&gt;"",1+(Skills!T13/10)*(Z854/1000)/100,1)</f>
        <v/>
      </c>
      <c r="J864" t="inlineStr"/>
      <c r="K864" t="inlineStr"/>
      <c r="L864" t="inlineStr"/>
      <c r="M864" t="inlineStr"/>
      <c r="N864" t="inlineStr"/>
      <c r="O864">
        <f>(1-Summary!$B$51)*S864+Summary!$B$51*U864</f>
        <v/>
      </c>
      <c r="P864">
        <f>IF(B887=0,0,O864/B887)</f>
        <v/>
      </c>
      <c r="Q864">
        <f>IFERROR(1/IF(Inputs!$B$38="pvp",15,MAX(0.1,Skills!D13-IF(Skills!E13=TRUE,Inputs!$B$32,0))),0)</f>
        <v/>
      </c>
      <c r="R864" t="n">
        <v>0</v>
      </c>
      <c r="S864" t="n">
        <v>0</v>
      </c>
      <c r="U864" t="n">
        <v>0</v>
      </c>
    </row>
    <row r="865">
      <c r="A865">
        <f>Skills!A14</f>
        <v/>
      </c>
      <c r="B865">
        <f>Skills!B14</f>
        <v/>
      </c>
      <c r="C865">
        <f>Inputs!$B$3&gt;=72</f>
        <v/>
      </c>
      <c r="D865">
        <f>IF(Skills!C14=1,60+Inputs!$B$25+Inputs!$B$29,IF(Skills!C14=2,90+Inputs!$B$26+Inputs!$B$29,IF(Skills!C14=3,120+Inputs!$B$27+Inputs!$B$29,MAX(0,(Inputs!$B$3-100)*3)+Inputs!$B$28+Inputs!$B$29)))</f>
        <v/>
      </c>
      <c r="E865">
        <f>INDEX(FactorTable!$B$2:$Y$301, MATCH(ROUND(MIN(300,MAX(1,D865)),0), FactorTable!$A$2:$A$301,0), Skills!L14+1)</f>
        <v/>
      </c>
      <c r="F865">
        <f>IF(Skills!M14=TRUE,(Skills!K14/10)*(E865/1000),Skills!K14/10)+Skills!N14</f>
        <v/>
      </c>
      <c r="G865">
        <f>Calc!G14</f>
        <v/>
      </c>
      <c r="H865">
        <f>Calc!H14</f>
        <v/>
      </c>
      <c r="I865">
        <f>IF(Skills!T14&lt;&gt;"",1+(Skills!T14/10)*(Z854/1000)/100,1)</f>
        <v/>
      </c>
      <c r="J865" t="inlineStr"/>
      <c r="K865" t="inlineStr"/>
      <c r="L865" t="inlineStr"/>
      <c r="M865" t="inlineStr"/>
      <c r="N865" t="inlineStr"/>
      <c r="O865">
        <f>(1-Summary!$B$51)*S865+Summary!$B$51*U865</f>
        <v/>
      </c>
      <c r="P865">
        <f>IF(B887=0,0,O865/B887)</f>
        <v/>
      </c>
      <c r="Q865">
        <f>IFERROR(1/IF(Inputs!$B$38="pvp",15,MAX(0.1,Skills!D14-IF(Skills!E14=TRUE,Inputs!$B$32,0))),0)</f>
        <v/>
      </c>
      <c r="R865" t="n">
        <v>0</v>
      </c>
      <c r="S865" t="n">
        <v>0</v>
      </c>
      <c r="U865" t="n">
        <v>0</v>
      </c>
    </row>
    <row r="866">
      <c r="A866">
        <f>Skills!A15</f>
        <v/>
      </c>
      <c r="B866">
        <f>Skills!B15</f>
        <v/>
      </c>
      <c r="C866">
        <f>Inputs!$B$3&gt;=75</f>
        <v/>
      </c>
      <c r="D866">
        <f>IF(Skills!C15=1,60+Inputs!$B$25+Inputs!$B$29,IF(Skills!C15=2,90+Inputs!$B$26+Inputs!$B$29,IF(Skills!C15=3,120+Inputs!$B$27+Inputs!$B$29,MAX(0,(Inputs!$B$3-100)*3)+Inputs!$B$28+Inputs!$B$29)))</f>
        <v/>
      </c>
      <c r="E866">
        <f>INDEX(FactorTable!$B$2:$Y$301, MATCH(ROUND(MIN(300,MAX(1,D866)),0), FactorTable!$A$2:$A$301,0), Skills!L15+1)</f>
        <v/>
      </c>
      <c r="F866">
        <f>IF(Skills!M15=TRUE,(Skills!K15/10)*(E866/1000),Skills!K15/10)+Skills!N15</f>
        <v/>
      </c>
      <c r="G866">
        <f>Calc!G15</f>
        <v/>
      </c>
      <c r="H866">
        <f>Calc!H15</f>
        <v/>
      </c>
      <c r="I866">
        <f>IF(Skills!T15&lt;&gt;"",1+(Skills!T15/10)*(Z854/1000)/100,1)</f>
        <v/>
      </c>
      <c r="J866" t="inlineStr"/>
      <c r="K866" t="inlineStr"/>
      <c r="L866" t="inlineStr"/>
      <c r="M866" t="inlineStr"/>
      <c r="N866" t="inlineStr"/>
      <c r="O866">
        <f>(1-Summary!$B$51)*S866+Summary!$B$51*U866</f>
        <v/>
      </c>
      <c r="P866">
        <f>IF(B887=0,0,O866/B887)</f>
        <v/>
      </c>
      <c r="Q866">
        <f>IFERROR(1/IF(Inputs!$B$38="pvp",15,MAX(0.1,Skills!D15-IF(Skills!E15=TRUE,Inputs!$B$32,0))),0)</f>
        <v/>
      </c>
      <c r="R866" t="n">
        <v>0</v>
      </c>
      <c r="S866" t="n">
        <v>0</v>
      </c>
      <c r="U866" t="n">
        <v>0</v>
      </c>
    </row>
    <row r="867">
      <c r="A867">
        <f>Skills!A16</f>
        <v/>
      </c>
      <c r="B867">
        <f>Skills!B16</f>
        <v/>
      </c>
      <c r="C867">
        <f>Inputs!$B$3&gt;=110</f>
        <v/>
      </c>
      <c r="D867">
        <f>IF(Skills!C16=1,60+Inputs!$B$25+Inputs!$B$29,IF(Skills!C16=2,90+Inputs!$B$26+Inputs!$B$29,IF(Skills!C16=3,120+Inputs!$B$27+Inputs!$B$29,MAX(0,(Inputs!$B$3-100)*3)+Inputs!$B$28+Inputs!$B$29)))</f>
        <v/>
      </c>
      <c r="E867">
        <f>INDEX(FactorTable!$B$2:$Y$301, MATCH(ROUND(MIN(300,MAX(1,D867)),0), FactorTable!$A$2:$A$301,0), Skills!L16+1)</f>
        <v/>
      </c>
      <c r="F867">
        <f>(Skills!K16/10)*(E867/1000)*64/45+Skills!N16</f>
        <v/>
      </c>
      <c r="G867">
        <f>Calc!G16</f>
        <v/>
      </c>
      <c r="H867">
        <f>Calc!H16</f>
        <v/>
      </c>
      <c r="I867">
        <f>IF(Skills!T16&lt;&gt;"",1+(Skills!T16/10)*(Z854/1000)/100,1)</f>
        <v/>
      </c>
      <c r="J867" t="inlineStr"/>
      <c r="K867" t="inlineStr"/>
      <c r="L867" t="inlineStr"/>
      <c r="M867" t="inlineStr"/>
      <c r="N867" t="inlineStr"/>
      <c r="O867">
        <f>(1-Summary!$B$51)*S867+Summary!$B$51*U867</f>
        <v/>
      </c>
      <c r="P867">
        <f>IF(B887=0,0,O867/B887)</f>
        <v/>
      </c>
      <c r="Q867">
        <f>IFERROR(1/IF(Inputs!$B$38="pvp",15,MAX(0.1,Skills!D16-IF(Skills!E16=TRUE,Inputs!$B$32,0))),0)</f>
        <v/>
      </c>
      <c r="R867">
        <f>IF(AND(Inputs!$B$38&lt;&gt;"pvp",Inputs!$B$43&gt;0),IF(Inputs!$B$43&lt;=0,0,(INT(Inputs!$B$43/IF(Inputs!$B$38="pvp",15,MAX(0.1,Skills!D16-IF(Skills!E16=TRUE,Inputs!$B$32,0))))+1)),0)</f>
        <v/>
      </c>
      <c r="S867" t="n">
        <v>0</v>
      </c>
      <c r="U867" t="n">
        <v>0</v>
      </c>
    </row>
    <row r="868">
      <c r="A868">
        <f>Skills!A17</f>
        <v/>
      </c>
      <c r="B868">
        <f>Skills!B17</f>
        <v/>
      </c>
      <c r="C868">
        <f>Inputs!$B$3&gt;=33</f>
        <v/>
      </c>
      <c r="D868">
        <f>IF(Skills!C17=1,60+Inputs!$B$25+Inputs!$B$29,IF(Skills!C17=2,90+Inputs!$B$26+Inputs!$B$29,IF(Skills!C17=3,120+Inputs!$B$27+Inputs!$B$29,MAX(0,(Inputs!$B$3-100)*3)+Inputs!$B$28+Inputs!$B$29)))</f>
        <v/>
      </c>
      <c r="E868">
        <f>INDEX(FactorTable!$B$2:$Y$301, MATCH(ROUND(MIN(300,MAX(1,D868)),0), FactorTable!$A$2:$A$301,0), Skills!L17+1)</f>
        <v/>
      </c>
      <c r="F868">
        <f>IF(Skills!M17=TRUE,(Skills!K17/10)*(E868/1000),Skills!K17/10)+Skills!N17</f>
        <v/>
      </c>
      <c r="G868">
        <f>Calc!G17</f>
        <v/>
      </c>
      <c r="H868">
        <f>Calc!H17</f>
        <v/>
      </c>
      <c r="I868">
        <f>IF(Skills!T17&lt;&gt;"",1+(Skills!T17/10)*(Z854/1000)/100,1)</f>
        <v/>
      </c>
      <c r="J868" t="inlineStr"/>
      <c r="K868" t="inlineStr"/>
      <c r="L868" t="inlineStr"/>
      <c r="M868" t="inlineStr"/>
      <c r="N868" t="inlineStr"/>
      <c r="O868">
        <f>(1-Summary!$B$51)*S868+Summary!$B$51*U868</f>
        <v/>
      </c>
      <c r="P868">
        <f>IF(B887=0,0,O868/B887)</f>
        <v/>
      </c>
      <c r="Q868">
        <f>IFERROR(1/IF(Inputs!$B$38="pvp",15,MAX(0.1,Skills!D17-IF(Skills!E17=TRUE,Inputs!$B$32,0))),0)</f>
        <v/>
      </c>
      <c r="R868" t="n">
        <v>0</v>
      </c>
      <c r="S868" t="n">
        <v>0</v>
      </c>
      <c r="U868" t="n">
        <v>0</v>
      </c>
    </row>
    <row r="869">
      <c r="A869">
        <f>Skills!A18</f>
        <v/>
      </c>
      <c r="B869">
        <f>Skills!B18</f>
        <v/>
      </c>
      <c r="C869">
        <f>Inputs!$B$3&gt;=43</f>
        <v/>
      </c>
      <c r="D869">
        <f>IF(Skills!C18=1,60+Inputs!$B$25+Inputs!$B$29,IF(Skills!C18=2,90+Inputs!$B$26+Inputs!$B$29,IF(Skills!C18=3,120+Inputs!$B$27+Inputs!$B$29,MAX(0,(Inputs!$B$3-100)*3)+Inputs!$B$28+Inputs!$B$29)))</f>
        <v/>
      </c>
      <c r="E869">
        <f>INDEX(FactorTable!$B$2:$Y$301, MATCH(ROUND(MIN(300,MAX(1,D869)),0), FactorTable!$A$2:$A$301,0), Skills!L18+1)</f>
        <v/>
      </c>
      <c r="F869">
        <f>IF(Skills!M18=TRUE,(Skills!K18/10)*(E869/1000),Skills!K18/10)+Skills!N18</f>
        <v/>
      </c>
      <c r="G869">
        <f>Calc!G18</f>
        <v/>
      </c>
      <c r="H869">
        <f>Calc!H18</f>
        <v/>
      </c>
      <c r="I869">
        <f>IF(Skills!T18&lt;&gt;"",1+(Skills!T18/10)*(Z854/1000)/100,1)</f>
        <v/>
      </c>
      <c r="J869" t="inlineStr"/>
      <c r="K869" t="inlineStr"/>
      <c r="L869" t="inlineStr"/>
      <c r="M869" t="inlineStr"/>
      <c r="N869" t="inlineStr"/>
      <c r="O869">
        <f>(1-Summary!$B$51)*S869+Summary!$B$51*U869</f>
        <v/>
      </c>
      <c r="P869">
        <f>IF(B887=0,0,O869/B887)</f>
        <v/>
      </c>
      <c r="Q869">
        <f>IFERROR(1/IF(Inputs!$B$38="pvp",15,MAX(0.1,Skills!D18-IF(Skills!E18=TRUE,Inputs!$B$32,0))),0)</f>
        <v/>
      </c>
      <c r="R869" t="n">
        <v>0</v>
      </c>
      <c r="S869" t="n">
        <v>0</v>
      </c>
      <c r="U869" t="n">
        <v>0</v>
      </c>
    </row>
    <row r="870">
      <c r="A870">
        <f>Skills!A19</f>
        <v/>
      </c>
      <c r="B870">
        <f>Skills!B19</f>
        <v/>
      </c>
      <c r="C870">
        <f>Inputs!$B$3&gt;=50</f>
        <v/>
      </c>
      <c r="D870">
        <f>IF(Skills!C19=1,60+Inputs!$B$25+Inputs!$B$29,IF(Skills!C19=2,90+Inputs!$B$26+Inputs!$B$29,IF(Skills!C19=3,120+Inputs!$B$27+Inputs!$B$29,MAX(0,(Inputs!$B$3-100)*3)+Inputs!$B$28+Inputs!$B$29)))</f>
        <v/>
      </c>
      <c r="E870">
        <f>INDEX(FactorTable!$B$2:$Y$301, MATCH(ROUND(MIN(300,MAX(1,D870)),0), FactorTable!$A$2:$A$301,0), Skills!L19+1)</f>
        <v/>
      </c>
      <c r="F870">
        <f>IF(Skills!M19=TRUE,(Skills!K19/10)*(E870/1000),Skills!K19/10)+Skills!N19</f>
        <v/>
      </c>
      <c r="G870">
        <f>Calc!G19</f>
        <v/>
      </c>
      <c r="H870">
        <f>Calc!H19</f>
        <v/>
      </c>
      <c r="I870">
        <f>IF(Skills!T19&lt;&gt;"",1+(Skills!T19/10)*(Z854/1000)/100,1)</f>
        <v/>
      </c>
      <c r="J870" t="inlineStr"/>
      <c r="K870" t="inlineStr"/>
      <c r="L870" t="inlineStr"/>
      <c r="M870" t="inlineStr"/>
      <c r="N870" t="inlineStr"/>
      <c r="O870">
        <f>(1-Summary!$B$51)*S870+Summary!$B$51*U870</f>
        <v/>
      </c>
      <c r="P870">
        <f>IF(B887=0,0,O870/B887)</f>
        <v/>
      </c>
      <c r="Q870">
        <f>IFERROR(1/IF(Inputs!$B$38="pvp",15,MAX(0.1,Skills!D19-IF(Skills!E19=TRUE,Inputs!$B$32,0))),0)</f>
        <v/>
      </c>
      <c r="R870" t="n">
        <v>0</v>
      </c>
      <c r="S870" t="n">
        <v>0</v>
      </c>
      <c r="U870" t="n">
        <v>0</v>
      </c>
    </row>
    <row r="871">
      <c r="A871">
        <f>Skills!A20</f>
        <v/>
      </c>
      <c r="B871">
        <f>Skills!B20</f>
        <v/>
      </c>
      <c r="C871">
        <f>Inputs!$B$3&gt;=74</f>
        <v/>
      </c>
      <c r="D871">
        <f>IF(Skills!C20=1,60+Inputs!$B$25+Inputs!$B$29,IF(Skills!C20=2,90+Inputs!$B$26+Inputs!$B$29,IF(Skills!C20=3,120+Inputs!$B$27+Inputs!$B$29,MAX(0,(Inputs!$B$3-100)*3)+Inputs!$B$28+Inputs!$B$29)))</f>
        <v/>
      </c>
      <c r="E871">
        <f>INDEX(FactorTable!$B$2:$Y$301, MATCH(ROUND(MIN(300,MAX(1,D871)),0), FactorTable!$A$2:$A$301,0), Skills!L20+1)</f>
        <v/>
      </c>
      <c r="F871">
        <f>IF(Skills!M20=TRUE,(Skills!K20/10)*(E871/1000),Skills!K20/10)+Skills!N20</f>
        <v/>
      </c>
      <c r="G871">
        <f>Calc!G20</f>
        <v/>
      </c>
      <c r="H871">
        <f>Calc!H20</f>
        <v/>
      </c>
      <c r="I871">
        <f>IF(Skills!T20&lt;&gt;"",1+(Skills!T20/10)*(Z854/1000)/100,1)</f>
        <v/>
      </c>
      <c r="J871" t="inlineStr"/>
      <c r="K871" t="inlineStr"/>
      <c r="L871" t="inlineStr"/>
      <c r="M871" t="inlineStr"/>
      <c r="N871" t="inlineStr"/>
      <c r="O871">
        <f>(1-Summary!$B$51)*S871+Summary!$B$51*U871</f>
        <v/>
      </c>
      <c r="P871">
        <f>IF(B887=0,0,O871/B887)</f>
        <v/>
      </c>
      <c r="Q871">
        <f>IFERROR(1/IF(Inputs!$B$38="pvp",15,MAX(0.1,Skills!D20-IF(Skills!E20=TRUE,Inputs!$B$32,0))),0)</f>
        <v/>
      </c>
      <c r="R871" t="n">
        <v>0</v>
      </c>
      <c r="S871" t="n">
        <v>0</v>
      </c>
      <c r="U871" t="n">
        <v>0</v>
      </c>
    </row>
    <row r="872">
      <c r="A872">
        <f>Skills!A21</f>
        <v/>
      </c>
      <c r="B872">
        <f>Skills!B21</f>
        <v/>
      </c>
      <c r="C872">
        <f>Inputs!$B$3&gt;=74</f>
        <v/>
      </c>
      <c r="D872">
        <f>IF(Skills!C21=1,60+Inputs!$B$25+Inputs!$B$29,IF(Skills!C21=2,90+Inputs!$B$26+Inputs!$B$29,IF(Skills!C21=3,120+Inputs!$B$27+Inputs!$B$29,MAX(0,(Inputs!$B$3-100)*3)+Inputs!$B$28+Inputs!$B$29)))</f>
        <v/>
      </c>
      <c r="E872">
        <f>INDEX(FactorTable!$B$2:$Y$301, MATCH(ROUND(MIN(300,MAX(1,D872)),0), FactorTable!$A$2:$A$301,0), Skills!L21+1)</f>
        <v/>
      </c>
      <c r="F872">
        <f>IF(Skills!M21=TRUE,(Skills!K21/10)*(E872/1000),Skills!K21/10)+Skills!N21</f>
        <v/>
      </c>
      <c r="G872">
        <f>Calc!G21</f>
        <v/>
      </c>
      <c r="H872">
        <f>Calc!H21</f>
        <v/>
      </c>
      <c r="I872">
        <f>IF(Skills!T21&lt;&gt;"",1+(Skills!T21/10)*(Z854/1000)/100,1)</f>
        <v/>
      </c>
      <c r="J872" t="inlineStr"/>
      <c r="K872" t="inlineStr"/>
      <c r="L872" t="inlineStr"/>
      <c r="M872" t="inlineStr"/>
      <c r="N872" t="inlineStr"/>
      <c r="O872">
        <f>(1-Summary!$B$51)*S872+Summary!$B$51*U872</f>
        <v/>
      </c>
      <c r="P872">
        <f>IF(B887=0,0,O872/B887)</f>
        <v/>
      </c>
      <c r="Q872">
        <f>IFERROR(1/IF(Inputs!$B$38="pvp",15,MAX(0.1,Skills!D21-IF(Skills!E21=TRUE,Inputs!$B$32,0))),0)</f>
        <v/>
      </c>
      <c r="R872" t="n">
        <v>0</v>
      </c>
      <c r="S872" t="n">
        <v>0</v>
      </c>
      <c r="U872" t="n">
        <v>0</v>
      </c>
    </row>
    <row r="873">
      <c r="A873">
        <f>Skills!A22</f>
        <v/>
      </c>
      <c r="B873">
        <f>Skills!B22</f>
        <v/>
      </c>
      <c r="C873">
        <f>Inputs!$B$3&gt;=117</f>
        <v/>
      </c>
      <c r="D873">
        <f>IF(Skills!C22=1,60+Inputs!$B$25+Inputs!$B$29,IF(Skills!C22=2,90+Inputs!$B$26+Inputs!$B$29,IF(Skills!C22=3,120+Inputs!$B$27+Inputs!$B$29,MAX(0,(Inputs!$B$3-100)*3)+Inputs!$B$28+Inputs!$B$29)))</f>
        <v/>
      </c>
      <c r="E873">
        <f>INDEX(FactorTable!$B$2:$Y$301, MATCH(ROUND(MIN(300,MAX(1,D873)),0), FactorTable!$A$2:$A$301,0), Skills!L22+1)</f>
        <v/>
      </c>
      <c r="F873">
        <f>IF(Skills!M22=TRUE,(Skills!K22/10)*(E873/1000),Skills!K22/10)+Skills!N22</f>
        <v/>
      </c>
      <c r="G873">
        <f>Calc!G22</f>
        <v/>
      </c>
      <c r="H873">
        <f>Calc!H22</f>
        <v/>
      </c>
      <c r="I873">
        <f>IF(Skills!T22&lt;&gt;"",1+(Skills!T22/10)*(Z854/1000)/100,1)</f>
        <v/>
      </c>
      <c r="J873" t="inlineStr"/>
      <c r="K873" t="inlineStr"/>
      <c r="L873" t="inlineStr"/>
      <c r="M873" t="inlineStr"/>
      <c r="N873" t="inlineStr"/>
      <c r="O873">
        <f>(1-Summary!$B$51)*S873+Summary!$B$51*U873</f>
        <v/>
      </c>
      <c r="P873">
        <f>IF(B887=0,0,O873/B887)</f>
        <v/>
      </c>
      <c r="Q873">
        <f>IFERROR(1/IF(Inputs!$B$38="pvp",15,MAX(0.1,Skills!D22-IF(Skills!E22=TRUE,Inputs!$B$32,0))),0)</f>
        <v/>
      </c>
      <c r="R873" t="n">
        <v>0</v>
      </c>
      <c r="S873" t="n">
        <v>0</v>
      </c>
      <c r="U873" t="n">
        <v>0</v>
      </c>
    </row>
    <row r="874">
      <c r="A874">
        <f>Skills!A23</f>
        <v/>
      </c>
      <c r="B874">
        <f>Skills!B23</f>
        <v/>
      </c>
      <c r="C874">
        <f>Inputs!$B$3&gt;=120</f>
        <v/>
      </c>
      <c r="D874">
        <f>IF(Skills!C23=1,60+Inputs!$B$25+Inputs!$B$29,IF(Skills!C23=2,90+Inputs!$B$26+Inputs!$B$29,IF(Skills!C23=3,120+Inputs!$B$27+Inputs!$B$29,MAX(0,(Inputs!$B$3-100)*3)+Inputs!$B$28+Inputs!$B$29)))</f>
        <v/>
      </c>
      <c r="E874">
        <f>INDEX(FactorTable!$B$2:$Y$301, MATCH(ROUND(MIN(300,MAX(1,D874)),0), FactorTable!$A$2:$A$301,0), Skills!L23+1)</f>
        <v/>
      </c>
      <c r="F874">
        <f>IF(Skills!M23=TRUE,(Skills!K23/10)*(E874/1000),Skills!K23/10)+Skills!N23</f>
        <v/>
      </c>
      <c r="G874">
        <f>Calc!G23</f>
        <v/>
      </c>
      <c r="H874">
        <f>Calc!H23</f>
        <v/>
      </c>
      <c r="I874">
        <f>IF(Skills!T23&lt;&gt;"",1+(Skills!T23/10)*(Z854/1000)/100,1)</f>
        <v/>
      </c>
      <c r="J874" t="inlineStr"/>
      <c r="K874" t="inlineStr"/>
      <c r="L874" t="inlineStr"/>
      <c r="M874" t="inlineStr"/>
      <c r="N874" t="inlineStr"/>
      <c r="O874">
        <f>(1-Summary!$B$51)*S874+Summary!$B$51*U874</f>
        <v/>
      </c>
      <c r="P874">
        <f>IF(B887=0,0,O874/B887)</f>
        <v/>
      </c>
      <c r="Q874">
        <f>IFERROR(1/IF(Inputs!$B$38="pvp",15,MAX(0.1,Skills!D23-IF(Skills!E23=TRUE,Inputs!$B$32,0))),0)</f>
        <v/>
      </c>
      <c r="R874" t="n">
        <v>0</v>
      </c>
      <c r="S874" t="n">
        <v>0</v>
      </c>
      <c r="U874" t="n">
        <v>0</v>
      </c>
    </row>
    <row r="877">
      <c r="A877" t="inlineStr">
        <is>
          <t>Average Buff Multiplier (Magic Guard + Meditation, summed; then Infinity)</t>
        </is>
      </c>
      <c r="B877">
        <f>(1+(IF(C854=TRUE,F854*IF(AND(Inputs!$B$38&lt;&gt;"pvp",Inputs!$B$43&gt;0),(((R854-1)*(Skills!S3*(1+(Inputs!$B$34+IF(Inputs!$B$3&gt;=117,F873,0))/100))+MIN((Skills!S3*(1+(Inputs!$B$34+IF(Inputs!$B$3&gt;=117,F873,0))/100)),MAX(0,Inputs!$B$43-((R854-1)*Skills!D3))))/Inputs!$B$43),IF(Inputs!$B$38="pvp",MIN((Skills!S3*(1+(Inputs!$B$34+IF(Inputs!$B$3&gt;=117,F873,0))/100)),15)/15,(Skills!S3*(1+(Inputs!$B$34+IF(Inputs!$B$3&gt;=117,F873,0))/100))/Skills!D3)),0)+IF(C855=TRUE,F855*IF(AND(Inputs!$B$38&lt;&gt;"pvp",Inputs!$B$43&gt;0),(((R855-1)*(Skills!S4*(1+(Inputs!$B$34+IF(Inputs!$B$3&gt;=117,F873,0))/100))+MIN((Skills!S4*(1+(Inputs!$B$34+IF(Inputs!$B$3&gt;=117,F873,0))/100)),MAX(0,Inputs!$B$43-((R855-1)*Skills!D4))))/Inputs!$B$43),IF(Inputs!$B$38="pvp",MIN((Skills!S4*(1+(Inputs!$B$34+IF(Inputs!$B$3&gt;=117,F873,0))/100)),15)/15,(Skills!S4*(1+(Inputs!$B$34+IF(Inputs!$B$3&gt;=117,F873,0))/100))/Skills!D4)),0))/100)*IF(C867=TRUE,(1+F867*IF(AND(Inputs!$B$38&lt;&gt;"pvp",Inputs!$B$43&gt;0),(((R867-1)*(Skills!S16*(1+(Inputs!$B$34+IF(Inputs!$B$3&gt;=117,F873,0))/100))+MIN((Skills!S16*(1+(Inputs!$B$34+IF(Inputs!$B$3&gt;=117,F873,0))/100)),MAX(0,Inputs!$B$43-((R867-1)*Skills!D16))))/Inputs!$B$43),IF(Inputs!$B$38="pvp",MIN((Skills!S16*(1+(Inputs!$B$34+IF(Inputs!$B$3&gt;=117,F873,0))/100)),15)/15,(Skills!S16*(1+(Inputs!$B$34+IF(Inputs!$B$3&gt;=117,F873,0))/100))/Skills!D16))/100),1)</f>
        <v/>
      </c>
    </row>
    <row r="878">
      <c r="A878" t="inlineStr">
        <is>
          <t>Monster Damage Taken Bonus % (Freezing Breath - Weaken + Elemental Reset, summed)</t>
        </is>
      </c>
      <c r="B878">
        <f>IF(Inputs!$B$3&gt;=118,15*IF(Inputs!$B$38="pvp",MIN((30*(1+(Inputs!$B$34+IF(Inputs!$B$3&gt;=117,F873,0))/100)),15)/15,(30*(1+(Inputs!$B$34+IF(Inputs!$B$3&gt;=117,F873,0))/100))/Skills!D8),0)+IF(C865=TRUE,F865,0)</f>
        <v/>
      </c>
    </row>
    <row r="879">
      <c r="A879" t="inlineStr">
        <is>
          <t>Damage % Bonus (Frozen Break + Frost Clutch, flat)</t>
        </is>
      </c>
      <c r="B879">
        <f>IF(Inputs!$B$3&gt;=66,15,0)+IF(Inputs!$B$3&gt;=98,10,0)+IF(Inputs!$B$3&gt;=125,20,0)</f>
        <v/>
      </c>
    </row>
    <row r="880">
      <c r="A880" t="inlineStr">
        <is>
          <t>Attack Speed Bonus % (MP Eater - MP Boost, always-on once unlocked)</t>
        </is>
      </c>
      <c r="B880">
        <f>IF(C864=TRUE,F864+(F868-Calc!F17),0)</f>
        <v/>
      </c>
    </row>
    <row r="881">
      <c r="A881" t="inlineStr">
        <is>
          <t>Actions Per Second</t>
        </is>
      </c>
      <c r="B881">
        <f>1+MIN(150,150*(1-(1-Inputs!$B$11/150)*(1-B880/150)))/100</f>
        <v/>
      </c>
    </row>
    <row r="882">
      <c r="A882" t="inlineStr">
        <is>
          <t>Skill + Buff Cast Rate</t>
        </is>
      </c>
      <c r="B882">
        <f>IF(AND(Inputs!$B$38&lt;&gt;"pvp",Inputs!$B$43&gt;0),SUMPRODUCT((Skills!E2:E23=TRUE)*(C853:C874=TRUE)*R853:R874)/Inputs!$B$43,SUMPRODUCT((Skills!E2:E23=TRUE)*(C853:C874=TRUE)*Q853:Q874))</f>
        <v/>
      </c>
    </row>
    <row r="883">
      <c r="A883" t="inlineStr">
        <is>
          <t>Chain Lightning Casts Per Second</t>
        </is>
      </c>
      <c r="B883">
        <f>MAX(0,B881-B882)</f>
        <v/>
      </c>
    </row>
    <row r="884">
      <c r="A884" t="inlineStr">
        <is>
          <t>Buff-Casting Startup Delay (s, fixed-duration only)</t>
        </is>
      </c>
      <c r="B884">
        <f>IF(AND(Inputs!$B$38&lt;&gt;"pvp",Inputs!$B$43&gt;0),SUMPRODUCT((Skills!S2:S23&gt;0)*(Skills!E2:E23=TRUE)*(C853:C874=TRUE))/B881,0)</f>
        <v/>
      </c>
    </row>
    <row r="885">
      <c r="A885" t="inlineStr">
        <is>
          <t>Boss-Only Total DPS (this block's swept value)</t>
        </is>
      </c>
      <c r="B885">
        <f>SUM(S853:S874)</f>
        <v/>
      </c>
    </row>
    <row r="886">
      <c r="A886" t="inlineStr">
        <is>
          <t>Normal-Only Total DPS (this block's swept value)</t>
        </is>
      </c>
      <c r="B886">
        <f>SUM(U853:U874)</f>
        <v/>
      </c>
    </row>
    <row r="887">
      <c r="A887" s="5" t="inlineStr">
        <is>
          <t>TOTAL DPS</t>
        </is>
      </c>
      <c r="B887" s="5">
        <f>SUM(O853:O874)</f>
        <v/>
      </c>
    </row>
    <row r="890">
      <c r="A890" s="5" t="inlineStr">
        <is>
          <t>Stat: Skill Cooldown Decrease (seconds)</t>
        </is>
      </c>
    </row>
    <row r="891">
      <c r="A891" s="9" t="inlineStr">
        <is>
          <t>Key</t>
        </is>
      </c>
      <c r="B891" s="9" t="inlineStr">
        <is>
          <t>Name</t>
        </is>
      </c>
      <c r="C891" s="9" t="inlineStr">
        <is>
          <t>Unlocked</t>
        </is>
      </c>
      <c r="D891" s="9" t="inlineStr">
        <is>
          <t>InputLevel</t>
        </is>
      </c>
      <c r="E891" s="9" t="inlineStr">
        <is>
          <t>Factor</t>
        </is>
      </c>
      <c r="F891" s="9" t="inlineStr">
        <is>
          <t>CoefficientPercent</t>
        </is>
      </c>
      <c r="G891" s="9" t="inlineStr">
        <is>
          <t>EffectiveHits</t>
        </is>
      </c>
      <c r="H891" s="9" t="inlineStr">
        <is>
          <t>ProcProbability</t>
        </is>
      </c>
      <c r="I891" s="9" t="inlineStr">
        <is>
          <t>MapleHeroMultiplier</t>
        </is>
      </c>
      <c r="J891" s="9" t="inlineStr">
        <is>
          <t>BaseDamage</t>
        </is>
      </c>
      <c r="K891" s="9" t="inlineStr">
        <is>
          <t>BaseHitDamage</t>
        </is>
      </c>
      <c r="L891" s="9" t="inlineStr">
        <is>
          <t>NonCritAvg</t>
        </is>
      </c>
      <c r="M891" s="9" t="inlineStr">
        <is>
          <t>CritAvg</t>
        </is>
      </c>
      <c r="N891" s="9" t="inlineStr">
        <is>
          <t>ExpectedDamage(perHit)</t>
        </is>
      </c>
      <c r="O891" s="9" t="inlineStr">
        <is>
          <t>DPS</t>
        </is>
      </c>
      <c r="P891" s="9" t="inlineStr">
        <is>
          <t>% of Total</t>
        </is>
      </c>
      <c r="R891" t="inlineStr">
        <is>
          <t>helpers</t>
        </is>
      </c>
    </row>
    <row r="892">
      <c r="A892">
        <f>Skills!A2</f>
        <v/>
      </c>
      <c r="B892">
        <f>Skills!B2</f>
        <v/>
      </c>
      <c r="C892">
        <f>Inputs!$B$3&gt;=100</f>
        <v/>
      </c>
      <c r="D892" t="inlineStr"/>
      <c r="E892" t="inlineStr"/>
      <c r="F892">
        <f>T894+Skills!N2</f>
        <v/>
      </c>
      <c r="G892">
        <f>Calc!G2</f>
        <v/>
      </c>
      <c r="H892">
        <f>Calc!H2</f>
        <v/>
      </c>
      <c r="I892">
        <f>IF(Skills!T2&lt;&gt;"",1+(Skills!T2/10)*(Z893/1000)/100,1)</f>
        <v/>
      </c>
      <c r="J892">
        <f>((Inputs!$B$6*(1+Inputs!$B$7/100))+(((Inputs!$B$12*(1+Inputs!$B$13/100))-(Inputs!$B$12*(1+Inputs!$B$13/100)))+0.25*(Inputs!$B$14-Inputs!$B$14))*(1+Inputs!$B$7/100))*(F892/100)</f>
        <v/>
      </c>
      <c r="K892">
        <f>J892*(1+((Inputs!$B$12*(1+Inputs!$B$13/100))*0.01+Inputs!$B$14*0.0025)/100)*(1+(Inputs!$B$15+B918)/100)*(1+Inputs!$B$16/100)*(5000/(6000+Inputs!$B$42*(1-Inputs!$B$19/100)))*(1+Inputs!$B$24/100)*(1+IF(C905=TRUE,F905,0)/100)*(1+IF(C913=TRUE,F913,0)/100)^5*(1+(IF(Skills!A2="CHAIN_LIGHTNING",Inputs!$B$17,Inputs!$B$18))/100)*(B916*I892)</f>
        <v/>
      </c>
      <c r="L892">
        <f>K892*(MIN(Inputs!$B$22+(F908-Calc!F18),Inputs!$B$23)/100+Inputs!$B$23/100)/2</f>
        <v/>
      </c>
      <c r="M892">
        <f>L892*(1+(Inputs!$B$10+(F911-Calc!F21))/100)</f>
        <v/>
      </c>
      <c r="N892">
        <f>L892*(1-MIN(Inputs!$B$9+((F910-Calc!F20)+(F909-Calc!F19)),100)/100)+M892*(MIN(Inputs!$B$9+((F910-Calc!F20)+(F909-Calc!F19)),100)/100)</f>
        <v/>
      </c>
      <c r="O892">
        <f>(1-Summary!$B$51)*S892+Summary!$B$51*U892</f>
        <v/>
      </c>
      <c r="P892">
        <f>IF(B926=0,0,O892/B926)</f>
        <v/>
      </c>
      <c r="Q892">
        <f>IFERROR(1/IF(Inputs!$B$38="pvp",15,MAX(0.1,Skills!D2-IF(Skills!E2=TRUE,(Inputs!$B$32+1),0))),0)</f>
        <v/>
      </c>
      <c r="R892" t="n">
        <v>0</v>
      </c>
      <c r="S892">
        <f>IF(C892,(Skills!F2*N892*B922)*IF(Inputs!$B$38="pvp",1,1+(Inputs!$B$20+Skills!O2+B917)/100),0)</f>
        <v/>
      </c>
      <c r="T892">
        <f>MAX(0,(Inputs!$B$3-100)*3)+Inputs!$B$28+Inputs!$B$29</f>
        <v/>
      </c>
      <c r="U892">
        <f>IF(C892,(Skills!F2*N892*B922)*IF(Inputs!$B$38="pvp",1,(1+(Inputs!$B$21+Skills!P2+B917)/100)*(MIN((6+Inputs!$B$33),Inputs!$B$37))),0)</f>
        <v/>
      </c>
      <c r="Z892">
        <f>MAX(0,(Inputs!$B$3-100)*3)+Inputs!$B$28+Inputs!$B$29</f>
        <v/>
      </c>
    </row>
    <row r="893">
      <c r="A893">
        <f>Skills!A3</f>
        <v/>
      </c>
      <c r="B893">
        <f>Skills!B3</f>
        <v/>
      </c>
      <c r="C893">
        <f>Inputs!$B$3&gt;=15</f>
        <v/>
      </c>
      <c r="D893">
        <f>IF(Skills!C3=1,60+Inputs!$B$25+Inputs!$B$29,IF(Skills!C3=2,90+Inputs!$B$26+Inputs!$B$29,IF(Skills!C3=3,120+Inputs!$B$27+Inputs!$B$29,MAX(0,(Inputs!$B$3-100)*3)+Inputs!$B$28+Inputs!$B$29)))</f>
        <v/>
      </c>
      <c r="E893">
        <f>INDEX(FactorTable!$B$2:$Y$301, MATCH(ROUND(MIN(300,MAX(1,D893)),0), FactorTable!$A$2:$A$301,0), Skills!L3+1)</f>
        <v/>
      </c>
      <c r="F893">
        <f>IF(Skills!M3=TRUE,(Skills!K3/10)*(E893/1000),Skills!K3/10)+Skills!N3</f>
        <v/>
      </c>
      <c r="G893">
        <f>Calc!G3</f>
        <v/>
      </c>
      <c r="H893">
        <f>Calc!H3</f>
        <v/>
      </c>
      <c r="I893">
        <f>IF(Skills!T3&lt;&gt;"",1+(Skills!T3/10)*(Z893/1000)/100,1)</f>
        <v/>
      </c>
      <c r="J893" t="inlineStr"/>
      <c r="K893" t="inlineStr"/>
      <c r="L893" t="inlineStr"/>
      <c r="M893" t="inlineStr"/>
      <c r="N893" t="inlineStr"/>
      <c r="O893">
        <f>(1-Summary!$B$51)*S893+Summary!$B$51*U893</f>
        <v/>
      </c>
      <c r="P893">
        <f>IF(B926=0,0,O893/B926)</f>
        <v/>
      </c>
      <c r="Q893">
        <f>IFERROR(1/IF(Inputs!$B$38="pvp",15,MAX(0.1,Skills!D3-IF(Skills!E3=TRUE,(Inputs!$B$32+1),0))),0)</f>
        <v/>
      </c>
      <c r="R893">
        <f>IF(AND(Inputs!$B$38&lt;&gt;"pvp",Inputs!$B$43&gt;0),IF(Inputs!$B$43&lt;=0,0,(INT(Inputs!$B$43/IF(Inputs!$B$38="pvp",15,MAX(0.1,Skills!D3-IF(Skills!E3=TRUE,(Inputs!$B$32+1),0))))+1)),0)</f>
        <v/>
      </c>
      <c r="S893" t="n">
        <v>0</v>
      </c>
      <c r="T893">
        <f>INDEX(FactorTable!$B$2:$Y$301, MATCH(ROUND(MIN(300,MAX(1,T892)),0), FactorTable!$A$2:$A$301,0), 22)</f>
        <v/>
      </c>
      <c r="U893" t="n">
        <v>0</v>
      </c>
      <c r="Z893">
        <f>INDEX(FactorTable!$B$2:$Y$301, MATCH(ROUND(MIN(300,MAX(1,Z892)),0), FactorTable!$A$2:$A$301,0), 24)</f>
        <v/>
      </c>
    </row>
    <row r="894">
      <c r="A894">
        <f>Skills!A4</f>
        <v/>
      </c>
      <c r="B894">
        <f>Skills!B4</f>
        <v/>
      </c>
      <c r="C894">
        <f>Inputs!$B$3&gt;=40</f>
        <v/>
      </c>
      <c r="D894">
        <f>IF(Skills!C4=1,60+Inputs!$B$25+Inputs!$B$29,IF(Skills!C4=2,90+Inputs!$B$26+Inputs!$B$29,IF(Skills!C4=3,120+Inputs!$B$27+Inputs!$B$29,MAX(0,(Inputs!$B$3-100)*3)+Inputs!$B$28+Inputs!$B$29)))</f>
        <v/>
      </c>
      <c r="E894">
        <f>INDEX(FactorTable!$B$2:$Y$301, MATCH(ROUND(MIN(300,MAX(1,D894)),0), FactorTable!$A$2:$A$301,0), Skills!L4+1)</f>
        <v/>
      </c>
      <c r="F894">
        <f>IF(Skills!M4=TRUE,(Skills!K4/10)*(E894/1000),Skills!K4/10)+Skills!N4</f>
        <v/>
      </c>
      <c r="G894">
        <f>Calc!G4</f>
        <v/>
      </c>
      <c r="H894">
        <f>Calc!H4</f>
        <v/>
      </c>
      <c r="I894">
        <f>IF(Skills!T4&lt;&gt;"",1+(Skills!T4/10)*(Z893/1000)/100,1)</f>
        <v/>
      </c>
      <c r="J894" t="inlineStr"/>
      <c r="K894" t="inlineStr"/>
      <c r="L894" t="inlineStr"/>
      <c r="M894" t="inlineStr"/>
      <c r="N894" t="inlineStr"/>
      <c r="O894">
        <f>(1-Summary!$B$51)*S894+Summary!$B$51*U894</f>
        <v/>
      </c>
      <c r="P894">
        <f>IF(B926=0,0,O894/B926)</f>
        <v/>
      </c>
      <c r="Q894">
        <f>IFERROR(1/IF(Inputs!$B$38="pvp",15,MAX(0.1,Skills!D4-IF(Skills!E4=TRUE,(Inputs!$B$32+1),0))),0)</f>
        <v/>
      </c>
      <c r="R894">
        <f>IF(AND(Inputs!$B$38&lt;&gt;"pvp",Inputs!$B$43&gt;0),IF(Inputs!$B$43&lt;=0,0,(INT(Inputs!$B$43/IF(Inputs!$B$38="pvp",15,MAX(0.1,Skills!D4-IF(Skills!E4=TRUE,(Inputs!$B$32+1),0))))+1)),0)</f>
        <v/>
      </c>
      <c r="S894" t="n">
        <v>0</v>
      </c>
      <c r="T894">
        <f>290*T893/1000</f>
        <v/>
      </c>
      <c r="U894" t="n">
        <v>0</v>
      </c>
    </row>
    <row r="895">
      <c r="A895">
        <f>Skills!A5</f>
        <v/>
      </c>
      <c r="B895">
        <f>Skills!B5</f>
        <v/>
      </c>
      <c r="C895">
        <f>Inputs!$B$3&gt;=38</f>
        <v/>
      </c>
      <c r="D895">
        <f>IF(Skills!C5=1,60+Inputs!$B$25+Inputs!$B$29,IF(Skills!C5=2,90+Inputs!$B$26+Inputs!$B$29,IF(Skills!C5=3,120+Inputs!$B$27+Inputs!$B$29,MAX(0,(Inputs!$B$3-100)*3)+Inputs!$B$28+Inputs!$B$29)))</f>
        <v/>
      </c>
      <c r="E895">
        <f>INDEX(FactorTable!$B$2:$Y$301, MATCH(ROUND(MIN(300,MAX(1,D895)),0), FactorTable!$A$2:$A$301,0), Skills!L5+1)</f>
        <v/>
      </c>
      <c r="F895">
        <f>IF(Skills!M5=TRUE,(Skills!K5/10)*(E895/1000),Skills!K5/10)+Skills!N5</f>
        <v/>
      </c>
      <c r="G895">
        <f>Calc!G5</f>
        <v/>
      </c>
      <c r="H895">
        <f>Calc!H5</f>
        <v/>
      </c>
      <c r="I895">
        <f>IF(Skills!T5&lt;&gt;"",1+(Skills!T5/10)*(Z893/1000)/100,1)</f>
        <v/>
      </c>
      <c r="J895">
        <f>((Inputs!$B$6*(1+Inputs!$B$7/100))+(((Inputs!$B$12*(1+Inputs!$B$13/100))-(Inputs!$B$12*(1+Inputs!$B$13/100)))+0.25*(Inputs!$B$14-Inputs!$B$14))*(1+Inputs!$B$7/100))*(F895/100)</f>
        <v/>
      </c>
      <c r="K895">
        <f>J895*(1+((Inputs!$B$12*(1+Inputs!$B$13/100))*0.01+Inputs!$B$14*0.0025)/100)*(1+(Inputs!$B$15+B918)/100)*(1+Inputs!$B$16/100)*(5000/(6000+Inputs!$B$42*(1-Inputs!$B$19/100)))*(1+Inputs!$B$24/100)*(1+IF(C905=TRUE,F905,0)/100)*(1+IF(C913=TRUE,F913,0)/100)^5*(1+(IF(Skills!A5="CHAIN_LIGHTNING",Inputs!$B$17,Inputs!$B$18))/100)*(B916*I895)</f>
        <v/>
      </c>
      <c r="L895">
        <f>K895*(MIN(Inputs!$B$22+(F908-Calc!F18),Inputs!$B$23)/100+Inputs!$B$23/100)/2</f>
        <v/>
      </c>
      <c r="M895">
        <f>L895*(1+(Inputs!$B$10+(F911-Calc!F21))/100)</f>
        <v/>
      </c>
      <c r="N895">
        <f>L895*(1-MIN(Inputs!$B$9+((F910-Calc!F20)+(F909-Calc!F19)),100)/100)+M895*(MIN(Inputs!$B$9+((F910-Calc!F20)+(F909-Calc!F19)),100)/100)</f>
        <v/>
      </c>
      <c r="O895">
        <f>(1-Summary!$B$51)*S895+Summary!$B$51*U895</f>
        <v/>
      </c>
      <c r="P895">
        <f>IF(B926=0,0,O895/B926)</f>
        <v/>
      </c>
      <c r="Q895">
        <f>IFERROR(1/IF(Inputs!$B$38="pvp",15,MAX(0.1,Skills!D5-IF(Skills!E5=TRUE,(Inputs!$B$32+1),0))),0)</f>
        <v/>
      </c>
      <c r="R895">
        <f>IF(AND(Inputs!$B$38&lt;&gt;"pvp",Inputs!$B$43&gt;0),IF(MAX(0,Inputs!$B$43-B923)&lt;=0,0,(INT(MAX(0,Inputs!$B$43-B923)/IF(Inputs!$B$38="pvp",15,MAX(0.1,Skills!D5-IF(Skills!E5=TRUE,(Inputs!$B$32+1),0))))+1)),0)</f>
        <v/>
      </c>
      <c r="S895">
        <f>IF(C895,(H895*N895*IF(AND(Inputs!$B$38&lt;&gt;"pvp",Inputs!$B$43&gt;0),((Skills!F5*((R895-1)*IF(Skills!G5&gt;0,Skills!H5/Skills!G5,1)+IF(Skills!G5&gt;0,MIN(Skills!H5,MAX(0,MAX(0,Inputs!$B$43-B923)-((R895-1)*IF(Inputs!$B$38="pvp",15,MAX(0.1,Skills!D5-IF(Skills!E5=TRUE,(Inputs!$B$32+1),0))))))/Skills!G5,1)))/Inputs!$B$43),G895*Q895))*IF(Inputs!$B$38="pvp",1,1+(Inputs!$B$20+Skills!O5+B917)/100),0)</f>
        <v/>
      </c>
      <c r="U895">
        <f>IF(C895,(H895*N895*IF(AND(Inputs!$B$38&lt;&gt;"pvp",Inputs!$B$43&gt;0),((Skills!F5*((R895-1)*IF(Skills!G5&gt;0,Skills!H5/Skills!G5,1)+IF(Skills!G5&gt;0,MIN(Skills!H5,MAX(0,MAX(0,Inputs!$B$43-B923)-((R895-1)*IF(Inputs!$B$38="pvp",15,MAX(0.1,Skills!D5-IF(Skills!E5=TRUE,(Inputs!$B$32+1),0))))))/Skills!G5,1)))/Inputs!$B$43),G895*Q895))*IF(Inputs!$B$38="pvp",1,(1+(Inputs!$B$21+Skills!P5+B917)/100)*(MIN(Skills!Q5,Inputs!$B$37))),0)</f>
        <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Skills!L6+1)</f>
        <v/>
      </c>
      <c r="F896">
        <f>IF(Skills!M6=TRUE,(Skills!K6/10)*(E896/1000),Skills!K6/10)+Skills!N6</f>
        <v/>
      </c>
      <c r="G896">
        <f>Calc!G6</f>
        <v/>
      </c>
      <c r="H896">
        <f>Calc!H6</f>
        <v/>
      </c>
      <c r="I896">
        <f>IF(Skills!T6&lt;&gt;"",1+(Skills!T6/10)*(Z893/1000)/100,1)</f>
        <v/>
      </c>
      <c r="J896">
        <f>((Inputs!$B$6*(1+Inputs!$B$7/100))+(((Inputs!$B$12*(1+Inputs!$B$13/100))-(Inputs!$B$12*(1+Inputs!$B$13/100)))+0.25*(Inputs!$B$14-Inputs!$B$14))*(1+Inputs!$B$7/100))*(F896/100)</f>
        <v/>
      </c>
      <c r="K896">
        <f>J896*(1+((Inputs!$B$12*(1+Inputs!$B$13/100))*0.01+Inputs!$B$14*0.0025)/100)*(1+(Inputs!$B$15+B918)/100)*(1+Inputs!$B$16/100)*(5000/(6000+Inputs!$B$42*(1-Inputs!$B$19/100)))*(1+Inputs!$B$24/100)*(1+IF(C905=TRUE,F905,0)/100)*(1+IF(C913=TRUE,F913,0)/100)^5*(1+(IF(Skills!A6="CHAIN_LIGHTNING",Inputs!$B$17,Inputs!$B$18))/100)*(B916*I896)</f>
        <v/>
      </c>
      <c r="L896">
        <f>K896*(MIN(Inputs!$B$22+(F908-Calc!F18),Inputs!$B$23)/100+Inputs!$B$23/100)/2</f>
        <v/>
      </c>
      <c r="M896">
        <f>L896*(1+(Inputs!$B$10+(F911-Calc!F21))/100)</f>
        <v/>
      </c>
      <c r="N896">
        <f>L896*(1-MIN(Inputs!$B$9+((F910-Calc!F20)+(F909-Calc!F19)),100)/100)+M896*(MIN(Inputs!$B$9+((F910-Calc!F20)+(F909-Calc!F19)),100)/100)</f>
        <v/>
      </c>
      <c r="O896">
        <f>(1-Summary!$B$51)*S896+Summary!$B$51*U896</f>
        <v/>
      </c>
      <c r="P896">
        <f>IF(B926=0,0,O896/B926)</f>
        <v/>
      </c>
      <c r="Q896">
        <f>IFERROR(1/IF(Inputs!$B$38="pvp",15,MAX(0.1,Skills!D6-IF(Skills!E6=TRUE,(Inputs!$B$32+1),0))),0)</f>
        <v/>
      </c>
      <c r="R896">
        <f>IF(AND(Inputs!$B$38&lt;&gt;"pvp",Inputs!$B$43&gt;0),IF(MAX(0,Inputs!$B$43-B923)&lt;=0,0,(INT(MAX(0,Inputs!$B$43-B923)/IF(Inputs!$B$38="pvp",15,MAX(0.1,Skills!D6-IF(Skills!E6=TRUE,(Inputs!$B$32+1),0))))+1)),0)</f>
        <v/>
      </c>
      <c r="S896">
        <f>IF(C896,(H896*N896*IF(AND(Inputs!$B$38&lt;&gt;"pvp",Inputs!$B$43&gt;0),((Skills!F6*((R896-1)*IF(Skills!G6&gt;0,Skills!H6/Skills!G6,1)+IF(Skills!G6&gt;0,MIN(Skills!H6,MAX(0,MAX(0,Inputs!$B$43-B923)-((R896-1)*IF(Inputs!$B$38="pvp",15,MAX(0.1,Skills!D6-IF(Skills!E6=TRUE,(Inputs!$B$32+1),0))))))/Skills!G6,1)))/Inputs!$B$43),G896*Q896))*IF(Inputs!$B$38="pvp",1,1+(Inputs!$B$20+Skills!O6+B917)/100),0)</f>
        <v/>
      </c>
      <c r="U896">
        <f>IF(C896,(H896*N896*IF(AND(Inputs!$B$38&lt;&gt;"pvp",Inputs!$B$43&gt;0),((Skills!F6*((R896-1)*IF(Skills!G6&gt;0,Skills!H6/Skills!G6,1)+IF(Skills!G6&gt;0,MIN(Skills!H6,MAX(0,MAX(0,Inputs!$B$43-B923)-((R896-1)*IF(Inputs!$B$38="pvp",15,MAX(0.1,Skills!D6-IF(Skills!E6=TRUE,(Inputs!$B$32+1),0))))))/Skills!G6,1)))/Inputs!$B$43),G896*Q896))*IF(Inputs!$B$38="pvp",1,(1+(Inputs!$B$21+Skills!P6+B917)/100)*(MIN(Skills!Q6,Inputs!$B$37))),0)</f>
        <v/>
      </c>
    </row>
    <row r="897">
      <c r="A897">
        <f>Skills!A7</f>
        <v/>
      </c>
      <c r="B897">
        <f>Skills!B7</f>
        <v/>
      </c>
      <c r="C897">
        <f>Inputs!$B$3&gt;=69</f>
        <v/>
      </c>
      <c r="D897">
        <f>IF(Skills!C7=1,60+Inputs!$B$25+Inputs!$B$29,IF(Skills!C7=2,90+Inputs!$B$26+Inputs!$B$29,IF(Skills!C7=3,120+Inputs!$B$27+Inputs!$B$29,MAX(0,(Inputs!$B$3-100)*3)+Inputs!$B$28+Inputs!$B$29)))</f>
        <v/>
      </c>
      <c r="E897">
        <f>INDEX(FactorTable!$B$2:$Y$301, MATCH(ROUND(MIN(300,MAX(1,D897)),0), FactorTable!$A$2:$A$301,0), Skills!L7+1)</f>
        <v/>
      </c>
      <c r="F897">
        <f>IF(Skills!M7=TRUE,(Skills!K7/10)*(E897/1000),Skills!K7/10)+Skills!N7</f>
        <v/>
      </c>
      <c r="G897">
        <f>Calc!G7</f>
        <v/>
      </c>
      <c r="H897">
        <f>Calc!H7</f>
        <v/>
      </c>
      <c r="I897">
        <f>IF(Skills!T7&lt;&gt;"",1+(Skills!T7/10)*(Z893/1000)/100,1)</f>
        <v/>
      </c>
      <c r="J897">
        <f>((Inputs!$B$6*(1+Inputs!$B$7/100))+(((Inputs!$B$12*(1+Inputs!$B$13/100))-(Inputs!$B$12*(1+Inputs!$B$13/100)))+0.25*(Inputs!$B$14-Inputs!$B$14))*(1+Inputs!$B$7/100))*(F897/100)</f>
        <v/>
      </c>
      <c r="K897">
        <f>J897*(1+((Inputs!$B$12*(1+Inputs!$B$13/100))*0.01+Inputs!$B$14*0.0025)/100)*(1+(Inputs!$B$15+B918)/100)*(1+Inputs!$B$16/100)*(5000/(6000+Inputs!$B$42*(1-Inputs!$B$19/100)))*(1+Inputs!$B$24/100)*(1+IF(C905=TRUE,F905,0)/100)*(1+IF(C913=TRUE,F913,0)/100)^5*(1+(IF(Skills!A7="CHAIN_LIGHTNING",Inputs!$B$17,Inputs!$B$18))/100)*(B916*I897)</f>
        <v/>
      </c>
      <c r="L897">
        <f>K897*(MIN(Inputs!$B$22+(F908-Calc!F18),Inputs!$B$23)/100+Inputs!$B$23/100)/2</f>
        <v/>
      </c>
      <c r="M897">
        <f>L897*(1+(Inputs!$B$10+(F911-Calc!F21))/100)</f>
        <v/>
      </c>
      <c r="N897">
        <f>L897*(1-MIN(Inputs!$B$9+((F910-Calc!F20)+(F909-Calc!F19)),100)/100)+M897*(MIN(Inputs!$B$9+((F910-Calc!F20)+(F909-Calc!F19)),100)/100)</f>
        <v/>
      </c>
      <c r="O897">
        <f>(1-Summary!$B$51)*S897+Summary!$B$51*U897</f>
        <v/>
      </c>
      <c r="P897">
        <f>IF(B926=0,0,O897/B926)</f>
        <v/>
      </c>
      <c r="Q897">
        <f>IFERROR(1/IF(Inputs!$B$38="pvp",15,MAX(0.1,Skills!D7-IF(Skills!E7=TRUE,(Inputs!$B$32+1),0))),0)</f>
        <v/>
      </c>
      <c r="R897">
        <f>IF(AND(Inputs!$B$38&lt;&gt;"pvp",Inputs!$B$43&gt;0),IF(MAX(0,Inputs!$B$43-B923)&lt;=0,0,(INT(MAX(0,Inputs!$B$43-B923)/IF(Inputs!$B$38="pvp",15,MAX(0.1,Skills!D7-IF(Skills!E7=TRUE,(Inputs!$B$32+1),0))))+1)),0)</f>
        <v/>
      </c>
      <c r="S897">
        <f>IF(C897,(H897*N897*IF(AND(Inputs!$B$38&lt;&gt;"pvp",Inputs!$B$43&gt;0),((Skills!F7*((R897-1)*IF(Skills!G7&gt;0,Skills!H7/Skills!G7,1)+IF(Skills!G7&gt;0,MIN(Skills!H7,MAX(0,MAX(0,Inputs!$B$43-B923)-((R897-1)*IF(Inputs!$B$38="pvp",15,MAX(0.1,Skills!D7-IF(Skills!E7=TRUE,(Inputs!$B$32+1),0))))))/Skills!G7,1)))/Inputs!$B$43),G897*Q897))*IF(Inputs!$B$38="pvp",1,1+(Inputs!$B$20+Skills!O7+B917)/100),0)</f>
        <v/>
      </c>
      <c r="U897">
        <f>IF(C897,(H897*N897*IF(AND(Inputs!$B$38&lt;&gt;"pvp",Inputs!$B$43&gt;0),((Skills!F7*((R897-1)*IF(Skills!G7&gt;0,Skills!H7/Skills!G7,1)+IF(Skills!G7&gt;0,MIN(Skills!H7,MAX(0,MAX(0,Inputs!$B$43-B923)-((R897-1)*IF(Inputs!$B$38="pvp",15,MAX(0.1,Skills!D7-IF(Skills!E7=TRUE,(Inputs!$B$32+1),0))))))/Skills!G7,1)))/Inputs!$B$43),G897*Q897))*IF(Inputs!$B$38="pvp",1,(1+(Inputs!$B$21+Skills!P7+B917)/100)*(MIN(Skills!Q7,Inputs!$B$37))),0)</f>
        <v/>
      </c>
    </row>
    <row r="898">
      <c r="A898">
        <f>Skills!A8</f>
        <v/>
      </c>
      <c r="B898">
        <f>Skills!B8</f>
        <v/>
      </c>
      <c r="C898">
        <f>Inputs!$B$3&gt;=103</f>
        <v/>
      </c>
      <c r="D898">
        <f>IF(Skills!C8=1,60+Inputs!$B$25+Inputs!$B$29,IF(Skills!C8=2,90+Inputs!$B$26+Inputs!$B$29,IF(Skills!C8=3,120+Inputs!$B$27+Inputs!$B$29,MAX(0,(Inputs!$B$3-100)*3)+Inputs!$B$28+Inputs!$B$29)))</f>
        <v/>
      </c>
      <c r="E898">
        <f>INDEX(FactorTable!$B$2:$Y$301, MATCH(ROUND(MIN(300,MAX(1,D898)),0), FactorTable!$A$2:$A$301,0), Skills!L8+1)</f>
        <v/>
      </c>
      <c r="F898">
        <f>IF(Skills!M8=TRUE,(Skills!K8/10)*(E898/1000),Skills!K8/10)+Skills!N8</f>
        <v/>
      </c>
      <c r="G898">
        <f>Calc!G8</f>
        <v/>
      </c>
      <c r="H898">
        <f>Calc!H8</f>
        <v/>
      </c>
      <c r="I898">
        <f>IF(Skills!T8&lt;&gt;"",1+(Skills!T8/10)*(Z893/1000)/100,1)</f>
        <v/>
      </c>
      <c r="J898">
        <f>((Inputs!$B$6*(1+Inputs!$B$7/100))+(((Inputs!$B$12*(1+Inputs!$B$13/100))-(Inputs!$B$12*(1+Inputs!$B$13/100)))+0.25*(Inputs!$B$14-Inputs!$B$14))*(1+Inputs!$B$7/100))*(F898/100)</f>
        <v/>
      </c>
      <c r="K898">
        <f>J898*(1+((Inputs!$B$12*(1+Inputs!$B$13/100))*0.01+Inputs!$B$14*0.0025)/100)*(1+(Inputs!$B$15+B918)/100)*(1+Inputs!$B$16/100)*(5000/(6000+Inputs!$B$42*(1-Inputs!$B$19/100)))*(1+Inputs!$B$24/100)*(1+IF(C905=TRUE,F905,0)/100)*(1+IF(C913=TRUE,F913,0)/100)^5*(1+(IF(Skills!A8="CHAIN_LIGHTNING",Inputs!$B$17,Inputs!$B$18))/100)*(B916*I898)</f>
        <v/>
      </c>
      <c r="L898">
        <f>K898*(MIN(Inputs!$B$22+(F908-Calc!F18),Inputs!$B$23)/100+Inputs!$B$23/100)/2</f>
        <v/>
      </c>
      <c r="M898">
        <f>L898*(1+(Inputs!$B$10+(F911-Calc!F21))/100)</f>
        <v/>
      </c>
      <c r="N898">
        <f>L898*(1-MIN(Inputs!$B$9+((F910-Calc!F20)+(F909-Calc!F19)),100)/100)+M898*(MIN(Inputs!$B$9+((F910-Calc!F20)+(F909-Calc!F19)),100)/100)</f>
        <v/>
      </c>
      <c r="O898">
        <f>(1-Summary!$B$51)*S898+Summary!$B$51*U898</f>
        <v/>
      </c>
      <c r="P898">
        <f>IF(B926=0,0,O898/B926)</f>
        <v/>
      </c>
      <c r="Q898">
        <f>IFERROR(1/IF(Inputs!$B$38="pvp",15,MAX(0.1,Skills!D8-IF(Skills!E8=TRUE,(Inputs!$B$32+1),0))),0)</f>
        <v/>
      </c>
      <c r="R898">
        <f>IF(AND(Inputs!$B$38&lt;&gt;"pvp",Inputs!$B$43&gt;0),IF(MAX(0,Inputs!$B$43-B923)&lt;=0,0,(INT(MAX(0,Inputs!$B$43-B923)/IF(Inputs!$B$38="pvp",15,MAX(0.1,Skills!D8-IF(Skills!E8=TRUE,(Inputs!$B$32+1),0))))+1)),0)</f>
        <v/>
      </c>
      <c r="S898">
        <f>IF(C898,(H898*N898*IF(AND(Inputs!$B$38&lt;&gt;"pvp",Inputs!$B$43&gt;0),((Skills!F8*((R898-1)*IF(Skills!G8&gt;0,Skills!H8/Skills!G8,1)+IF(Skills!G8&gt;0,MIN(Skills!H8,MAX(0,MAX(0,Inputs!$B$43-B923)-((R898-1)*IF(Inputs!$B$38="pvp",15,MAX(0.1,Skills!D8-IF(Skills!E8=TRUE,(Inputs!$B$32+1),0))))))/Skills!G8,1)))/Inputs!$B$43),G898*Q898))*IF(Inputs!$B$38="pvp",1,1+(Inputs!$B$20+Skills!O8+B917)/100),0)</f>
        <v/>
      </c>
      <c r="U898">
        <f>IF(C898,(H898*N898*IF(AND(Inputs!$B$38&lt;&gt;"pvp",Inputs!$B$43&gt;0),((Skills!F8*((R898-1)*IF(Skills!G8&gt;0,Skills!H8/Skills!G8,1)+IF(Skills!G8&gt;0,MIN(Skills!H8,MAX(0,MAX(0,Inputs!$B$43-B923)-((R898-1)*IF(Inputs!$B$38="pvp",15,MAX(0.1,Skills!D8-IF(Skills!E8=TRUE,(Inputs!$B$32+1),0))))))/Skills!G8,1)))/Inputs!$B$43),G898*Q898))*IF(Inputs!$B$38="pvp",1,(1+(Inputs!$B$21+Skills!P8+B917)/100)*(MIN(Skills!Q8,Inputs!$B$37))),0)</f>
        <v/>
      </c>
    </row>
    <row r="899">
      <c r="A899">
        <f>Skills!A9</f>
        <v/>
      </c>
      <c r="B899">
        <f>Skills!B9</f>
        <v/>
      </c>
      <c r="C899">
        <f>Inputs!$B$3&gt;=105</f>
        <v/>
      </c>
      <c r="D899">
        <f>IF(Skills!C9=1,60+Inputs!$B$25+Inputs!$B$29,IF(Skills!C9=2,90+Inputs!$B$26+Inputs!$B$29,IF(Skills!C9=3,120+Inputs!$B$27+Inputs!$B$29,MAX(0,(Inputs!$B$3-100)*3)+Inputs!$B$28+Inputs!$B$29)))</f>
        <v/>
      </c>
      <c r="E899">
        <f>INDEX(FactorTable!$B$2:$Y$301, MATCH(ROUND(MIN(300,MAX(1,D899)),0), FactorTable!$A$2:$A$301,0), Skills!L9+1)</f>
        <v/>
      </c>
      <c r="F899">
        <f>IF(Skills!M9=TRUE,(Skills!K9/10)*(E899/1000),Skills!K9/10)+Skills!N9</f>
        <v/>
      </c>
      <c r="G899">
        <f>Calc!G9</f>
        <v/>
      </c>
      <c r="H899">
        <f>Calc!H9</f>
        <v/>
      </c>
      <c r="I899">
        <f>IF(Skills!T9&lt;&gt;"",1+(Skills!T9/10)*(Z893/1000)/100,1)</f>
        <v/>
      </c>
      <c r="J899">
        <f>((Inputs!$B$6*(1+Inputs!$B$7/100))+(((Inputs!$B$12*(1+Inputs!$B$13/100))-(Inputs!$B$12*(1+Inputs!$B$13/100)))+0.25*(Inputs!$B$14-Inputs!$B$14))*(1+Inputs!$B$7/100))*(F899/100)</f>
        <v/>
      </c>
      <c r="K899">
        <f>J899*(1+((Inputs!$B$12*(1+Inputs!$B$13/100))*0.01+Inputs!$B$14*0.0025)/100)*(1+(Inputs!$B$15+B918)/100)*(1+Inputs!$B$16/100)*(5000/(6000+Inputs!$B$42*(1-Inputs!$B$19/100)))*(1+Inputs!$B$24/100)*(1+IF(C905=TRUE,F905,0)/100)*(1+IF(C913=TRUE,F913,0)/100)^5*(1+(IF(Skills!A9="CHAIN_LIGHTNING",Inputs!$B$17,Inputs!$B$18))/100)*(B916*I899)</f>
        <v/>
      </c>
      <c r="L899">
        <f>K899*(MIN(Inputs!$B$22+(F908-Calc!F18),Inputs!$B$23)/100+Inputs!$B$23/100)/2</f>
        <v/>
      </c>
      <c r="M899">
        <f>L899*(1+(Inputs!$B$10+(F911-Calc!F21))/100)</f>
        <v/>
      </c>
      <c r="N899">
        <f>L899*(1-MIN(Inputs!$B$9+((F910-Calc!F20)+(F909-Calc!F19)),100)/100)+M899*(MIN(Inputs!$B$9+((F910-Calc!F20)+(F909-Calc!F19)),100)/100)</f>
        <v/>
      </c>
      <c r="O899">
        <f>(1-Summary!$B$51)*S899+Summary!$B$51*U899</f>
        <v/>
      </c>
      <c r="P899">
        <f>IF(B926=0,0,O899/B926)</f>
        <v/>
      </c>
      <c r="Q899">
        <f>IFERROR(1/IF(Inputs!$B$38="pvp",15,MAX(0.1,Skills!D9-IF(Skills!E9=TRUE,(Inputs!$B$32+1),0))),0)</f>
        <v/>
      </c>
      <c r="R899">
        <f>IF(AND(Inputs!$B$38&lt;&gt;"pvp",Inputs!$B$43&gt;0),IF(MAX(0,Inputs!$B$43-B923)&lt;=0,0,(INT(MAX(0,Inputs!$B$43-B923)/IF(Inputs!$B$38="pvp",15,MAX(0.1,Skills!D9-IF(Skills!E9=TRUE,(Inputs!$B$32+1),0))))+1)),0)</f>
        <v/>
      </c>
      <c r="S899">
        <f>IF(C899,(H899*N899*IF(AND(Inputs!$B$38&lt;&gt;"pvp",Inputs!$B$43&gt;0),((Skills!F9*((R899-1)*IF(Skills!G9&gt;0,Skills!H9/Skills!G9,1)+IF(Skills!G9&gt;0,MIN(Skills!H9,MAX(0,MAX(0,Inputs!$B$43-B923)-((R899-1)*IF(Inputs!$B$38="pvp",15,MAX(0.1,Skills!D9-IF(Skills!E9=TRUE,(Inputs!$B$32+1),0))))))/Skills!G9,1)))/Inputs!$B$43),G899*Q899))*IF(Inputs!$B$38="pvp",1,1+(Inputs!$B$20+Skills!O9+B917)/100),0)</f>
        <v/>
      </c>
      <c r="U899">
        <f>IF(C899,(H899*N899*IF(AND(Inputs!$B$38&lt;&gt;"pvp",Inputs!$B$43&gt;0),((Skills!F9*((R899-1)*IF(Skills!G9&gt;0,Skills!H9/Skills!G9,1)+IF(Skills!G9&gt;0,MIN(Skills!H9,MAX(0,MAX(0,Inputs!$B$43-B923)-((R899-1)*IF(Inputs!$B$38="pvp",15,MAX(0.1,Skills!D9-IF(Skills!E9=TRUE,(Inputs!$B$32+1),0))))))/Skills!G9,1)))/Inputs!$B$43),G899*Q899))*IF(Inputs!$B$38="pvp",1,(1+(Inputs!$B$21+Skills!P9+B917)/100)*(MIN(Skills!Q9,Inputs!$B$37))),0)</f>
        <v/>
      </c>
    </row>
    <row r="900">
      <c r="A900">
        <f>Skills!A10</f>
        <v/>
      </c>
      <c r="B900">
        <f>Skills!B10</f>
        <v/>
      </c>
      <c r="C900">
        <f>Inputs!$B$3&gt;=113</f>
        <v/>
      </c>
      <c r="D900">
        <f>IF(Skills!C10=1,60+Inputs!$B$25+Inputs!$B$29,IF(Skills!C10=2,90+Inputs!$B$26+Inputs!$B$29,IF(Skills!C10=3,120+Inputs!$B$27+Inputs!$B$29,MAX(0,(Inputs!$B$3-100)*3)+Inputs!$B$28+Inputs!$B$29)))</f>
        <v/>
      </c>
      <c r="E900">
        <f>INDEX(FactorTable!$B$2:$Y$301, MATCH(ROUND(MIN(300,MAX(1,D900)),0), FactorTable!$A$2:$A$301,0), Skills!L10+1)</f>
        <v/>
      </c>
      <c r="F900">
        <f>IF(Skills!M10=TRUE,(Skills!K10/10)*(E900/1000),Skills!K10/10)+Skills!N10</f>
        <v/>
      </c>
      <c r="G900">
        <f>Calc!G10</f>
        <v/>
      </c>
      <c r="H900">
        <f>Calc!H10</f>
        <v/>
      </c>
      <c r="I900">
        <f>IF(Skills!T10&lt;&gt;"",1+(Skills!T10/10)*(Z893/1000)/100,1)</f>
        <v/>
      </c>
      <c r="J900">
        <f>((Inputs!$B$6*(1+Inputs!$B$7/100))+(((Inputs!$B$12*(1+Inputs!$B$13/100))-(Inputs!$B$12*(1+Inputs!$B$13/100)))+0.25*(Inputs!$B$14-Inputs!$B$14))*(1+Inputs!$B$7/100))*(F900/100)</f>
        <v/>
      </c>
      <c r="K900">
        <f>J900*(1+((Inputs!$B$12*(1+Inputs!$B$13/100))*0.01+Inputs!$B$14*0.0025)/100)*(1+(Inputs!$B$15+B918)/100)*(1+Inputs!$B$16/100)*(5000/(6000+Inputs!$B$42*(1-Inputs!$B$19/100)))*(1+Inputs!$B$24/100)*(1+IF(C905=TRUE,F905,0)/100)*(1+IF(C913=TRUE,F913,0)/100)^5*(1+(IF(Skills!A10="CHAIN_LIGHTNING",Inputs!$B$17,Inputs!$B$18))/100)*(B916*I900)</f>
        <v/>
      </c>
      <c r="L900">
        <f>K900*(MIN(Inputs!$B$22+(F908-Calc!F18),Inputs!$B$23)/100+Inputs!$B$23/100)/2</f>
        <v/>
      </c>
      <c r="M900">
        <f>L900*(1+(Inputs!$B$10+(F911-Calc!F21))/100)</f>
        <v/>
      </c>
      <c r="N900">
        <f>L900*(1-MIN(Inputs!$B$9+((F910-Calc!F20)+(F909-Calc!F19)),100)/100)+M900*(MIN(Inputs!$B$9+((F910-Calc!F20)+(F909-Calc!F19)),100)/100)</f>
        <v/>
      </c>
      <c r="O900">
        <f>(1-Summary!$B$51)*S900+Summary!$B$51*U900</f>
        <v/>
      </c>
      <c r="P900">
        <f>IF(B926=0,0,O900/B926)</f>
        <v/>
      </c>
      <c r="Q900">
        <f>IFERROR(1/IF(Inputs!$B$38="pvp",15,MAX(0.1,Skills!D10-IF(Skills!E9=TRUE,(Inputs!$B$32+1),0))),0)</f>
        <v/>
      </c>
      <c r="R900">
        <f>IF(AND(Inputs!$B$38&lt;&gt;"pvp",Inputs!$B$43&gt;0),IF(MAX(0,Inputs!$B$43-B923)&lt;=0,0,(INT(MAX(0,Inputs!$B$43-B923)/IF(Inputs!$B$38="pvp",15,MAX(0.1,Skills!D10-IF(Skills!E9=TRUE,(Inputs!$B$32+1),0))))+1)),0)</f>
        <v/>
      </c>
      <c r="S900">
        <f>IF(C900,(H900*N900*IF(AND(Inputs!$B$38&lt;&gt;"pvp",Inputs!$B$43&gt;0),((Skills!F10*((R900-1)*IF(Skills!G10&gt;0,Skills!H10/Skills!G10,1)+IF(Skills!G10&gt;0,MIN(Skills!H10,MAX(0,MAX(0,Inputs!$B$43-B923)-((R900-1)*IF(Inputs!$B$38="pvp",15,MAX(0.1,Skills!D10-IF(Skills!E9=TRUE,(Inputs!$B$32+1),0))))))/Skills!G10,1)))/Inputs!$B$43),G900*Q900))*IF(Inputs!$B$38="pvp",1,1+(Inputs!$B$20+Skills!O10+B917)/100),0)</f>
        <v/>
      </c>
      <c r="U900">
        <f>IF(C900,(H900*N900*IF(AND(Inputs!$B$38&lt;&gt;"pvp",Inputs!$B$43&gt;0),((Skills!F10*((R900-1)*IF(Skills!G10&gt;0,Skills!H10/Skills!G10,1)+IF(Skills!G10&gt;0,MIN(Skills!H10,MAX(0,MAX(0,Inputs!$B$43-B923)-((R900-1)*IF(Inputs!$B$38="pvp",15,MAX(0.1,Skills!D10-IF(Skills!E9=TRUE,(Inputs!$B$32+1),0))))))/Skills!G10,1)))/Inputs!$B$43),G900*Q900))*IF(Inputs!$B$38="pvp",1,(1+(Inputs!$B$21+Skills!P10+B917)/100)*(MIN(Skills!Q10,Inputs!$B$37))),0)</f>
        <v/>
      </c>
    </row>
    <row r="901">
      <c r="A901">
        <f>Skills!A11</f>
        <v/>
      </c>
      <c r="B901">
        <f>Skills!B11</f>
        <v/>
      </c>
      <c r="C901">
        <f>Inputs!$B$3&gt;=107</f>
        <v/>
      </c>
      <c r="D901">
        <f>IF(Skills!C11=1,60+Inputs!$B$25+Inputs!$B$29,IF(Skills!C11=2,90+Inputs!$B$26+Inputs!$B$29,IF(Skills!C11=3,120+Inputs!$B$27+Inputs!$B$29,MAX(0,(Inputs!$B$3-100)*3)+Inputs!$B$28+Inputs!$B$29)))</f>
        <v/>
      </c>
      <c r="E901">
        <f>INDEX(FactorTable!$B$2:$Y$301, MATCH(ROUND(MIN(300,MAX(1,D901)),0), FactorTable!$A$2:$A$301,0), Skills!L11+1)</f>
        <v/>
      </c>
      <c r="F901">
        <f>IF(Skills!M11=TRUE,(Skills!K11/10)*(E901/1000),Skills!K11/10)+Skills!N11</f>
        <v/>
      </c>
      <c r="G901">
        <f>Calc!G11</f>
        <v/>
      </c>
      <c r="H901">
        <f>Calc!H11</f>
        <v/>
      </c>
      <c r="I901">
        <f>IF(Skills!T11&lt;&gt;"",1+(Skills!T11/10)*(Z893/1000)/100,1)</f>
        <v/>
      </c>
      <c r="J901">
        <f>((Inputs!$B$6*(1+Inputs!$B$7/100))+(((Inputs!$B$12*(1+Inputs!$B$13/100))-(Inputs!$B$12*(1+Inputs!$B$13/100)))+0.25*(Inputs!$B$14-Inputs!$B$14))*(1+Inputs!$B$7/100))*(F901/100)</f>
        <v/>
      </c>
      <c r="K901">
        <f>J901*(1+((Inputs!$B$12*(1+Inputs!$B$13/100))*0.01+Inputs!$B$14*0.0025)/100)*(1+(Inputs!$B$15+B918)/100)*(1+Inputs!$B$16/100)*(5000/(6000+Inputs!$B$42*(1-Inputs!$B$19/100)))*(1+Inputs!$B$24/100)*(1+IF(C905=TRUE,F905,0)/100)*(1+IF(C913=TRUE,F913,0)/100)^5*(1+(IF(Skills!A11="CHAIN_LIGHTNING",Inputs!$B$17,Inputs!$B$18))/100)*(B916*I901)</f>
        <v/>
      </c>
      <c r="L901">
        <f>K901*(MIN(Inputs!$B$22+(F908-Calc!F18),Inputs!$B$23)/100+Inputs!$B$23/100)/2</f>
        <v/>
      </c>
      <c r="M901">
        <f>L901*(1+(Inputs!$B$10+(F911-Calc!F21))/100)</f>
        <v/>
      </c>
      <c r="N901">
        <f>L901*(1-MIN(Inputs!$B$9+((F910-Calc!F20)+(F909-Calc!F19)),100)/100)+M901*(MIN(Inputs!$B$9+((F910-Calc!F20)+(F909-Calc!F19)),100)/100)</f>
        <v/>
      </c>
      <c r="O901">
        <f>(1-Summary!$B$51)*S901+Summary!$B$51*U901</f>
        <v/>
      </c>
      <c r="P901">
        <f>IF(B926=0,0,O901/B926)</f>
        <v/>
      </c>
      <c r="Q901">
        <f>IFERROR(1/IF(Inputs!$B$38="pvp",15,MAX(0.1,Skills!D11-IF(Skills!E11=TRUE,(Inputs!$B$32+1),0))),0)</f>
        <v/>
      </c>
      <c r="R901">
        <f>IF(AND(Inputs!$B$38&lt;&gt;"pvp",Inputs!$B$43&gt;0),IF(MAX(0,Inputs!$B$43-B923)&lt;=0,0,(INT(MAX(0,Inputs!$B$43-B923)/IF(Inputs!$B$38="pvp",15,MAX(0.1,Skills!D11-IF(Skills!E11=TRUE,(Inputs!$B$32+1),0))))+1)),0)</f>
        <v/>
      </c>
      <c r="S901">
        <f>IF(C901,H901*N901*IF(AND(Inputs!$B$38&lt;&gt;"pvp",Inputs!$B$43&gt;0),((Skills!F11*((R901-1)*IF(Skills!G11&gt;0,Skills!H11/Skills!G11,1)+IF(Skills!G11&gt;0,MIN(Skills!H11,MAX(0,MAX(0,Inputs!$B$43-B923)-((R901-1)*IF(Inputs!$B$38="pvp",15,MAX(0.1,Skills!D11-IF(Skills!E11=TRUE,(Inputs!$B$32+1),0))))))/Skills!G11,1)))/Inputs!$B$43),G901*Q901)*0.5*IF(Inputs!$B$38="pvp",1,1+(Inputs!$B$20+Skills!O11+B917)/100),0)</f>
        <v/>
      </c>
      <c r="U901">
        <f>IF(C901,H901*N901*IF(AND(Inputs!$B$38&lt;&gt;"pvp",Inputs!$B$43&gt;0),((Skills!F11*((R901-1)*IF(Skills!G11&gt;0,Skills!H11/Skills!G11,1)+IF(Skills!G11&gt;0,MIN(Skills!H11,MAX(0,MAX(0,Inputs!$B$43-B923)-((R901-1)*IF(Inputs!$B$38="pvp",15,MAX(0.1,Skills!D11-IF(Skills!E11=TRUE,(Inputs!$B$32+1),0))))))/Skills!G11,1)))/Inputs!$B$43),G901*Q901)*1*IF(Inputs!$B$38="pvp",1,(1+(Inputs!$B$21+Skills!P11+B917)/100)*(MIN(Skills!Q11,Inputs!$B$37))),0)</f>
        <v/>
      </c>
    </row>
    <row r="902">
      <c r="A902">
        <f>Skills!A12</f>
        <v/>
      </c>
      <c r="B902">
        <f>Skills!B12</f>
        <v/>
      </c>
      <c r="C902">
        <f>Inputs!$B$3&gt;=115</f>
        <v/>
      </c>
      <c r="D902">
        <f>IF(Skills!C12=1,60+Inputs!$B$25+Inputs!$B$29,IF(Skills!C12=2,90+Inputs!$B$26+Inputs!$B$29,IF(Skills!C12=3,120+Inputs!$B$27+Inputs!$B$29,MAX(0,(Inputs!$B$3-100)*3)+Inputs!$B$28+Inputs!$B$29)))</f>
        <v/>
      </c>
      <c r="E902">
        <f>INDEX(FactorTable!$B$2:$Y$301, MATCH(ROUND(MIN(300,MAX(1,D902)),0), FactorTable!$A$2:$A$301,0), Skills!L12+1)</f>
        <v/>
      </c>
      <c r="F902">
        <f>IF(Skills!M12=TRUE,(Skills!K12/10)*(E902/1000),Skills!K12/10)+Skills!N12</f>
        <v/>
      </c>
      <c r="G902">
        <f>Calc!G12</f>
        <v/>
      </c>
      <c r="H902">
        <f>Calc!H12</f>
        <v/>
      </c>
      <c r="I902">
        <f>IF(Skills!T12&lt;&gt;"",1+(Skills!T12/10)*(Z893/1000)/100,1)</f>
        <v/>
      </c>
      <c r="J902">
        <f>((Inputs!$B$6*(1+Inputs!$B$7/100))+(((Inputs!$B$12*(1+Inputs!$B$13/100))-(Inputs!$B$12*(1+Inputs!$B$13/100)))+0.25*(Inputs!$B$14-Inputs!$B$14))*(1+Inputs!$B$7/100))*(F902/100)</f>
        <v/>
      </c>
      <c r="K902">
        <f>J902*(1+((Inputs!$B$12*(1+Inputs!$B$13/100))*0.01+Inputs!$B$14*0.0025)/100)*(1+(Inputs!$B$15+B918)/100)*(1+Inputs!$B$16/100)*(5000/(6000+Inputs!$B$42*(1-Inputs!$B$19/100)))*(1+Inputs!$B$24/100)*(1+IF(C905=TRUE,F905,0)/100)*(1+IF(C913=TRUE,F913,0)/100)^5*(1+(IF(Skills!A12="CHAIN_LIGHTNING",Inputs!$B$17,Inputs!$B$18))/100)*(B916*I902)</f>
        <v/>
      </c>
      <c r="L902">
        <f>K902*(MIN(Inputs!$B$22+(F908-Calc!F18),Inputs!$B$23)/100+Inputs!$B$23/100)/2</f>
        <v/>
      </c>
      <c r="M902">
        <f>L902*(1+(Inputs!$B$10+(F911-Calc!F21))/100)</f>
        <v/>
      </c>
      <c r="N902">
        <f>L902*(1-MIN(Inputs!$B$9+((F910-Calc!F20)+(F909-Calc!F19)),100)/100)+M902*(MIN(Inputs!$B$9+((F910-Calc!F20)+(F909-Calc!F19)),100)/100)</f>
        <v/>
      </c>
      <c r="O902">
        <f>(1-Summary!$B$51)*S902+Summary!$B$51*U902</f>
        <v/>
      </c>
      <c r="P902">
        <f>IF(B926=0,0,O902/B926)</f>
        <v/>
      </c>
      <c r="Q902">
        <f>IFERROR(1/IF(Inputs!$B$38="pvp",15,MAX(0.1,Skills!D12-IF(Skills!E12=TRUE,(Inputs!$B$32+1),0))),0)</f>
        <v/>
      </c>
      <c r="R902">
        <f>IF(AND(Inputs!$B$38&lt;&gt;"pvp",Inputs!$B$43&gt;0),IF(MAX(0,Inputs!$B$43-B923)&lt;=0,0,(INT(MAX(0,Inputs!$B$43-B923)/IF(Inputs!$B$38="pvp",15,MAX(0.1,Skills!D12-IF(Skills!E12=TRUE,(Inputs!$B$32+1),0))))+1)),0)</f>
        <v/>
      </c>
      <c r="S902">
        <f>IF(C902,(H902*N902*IF(AND(Inputs!$B$38&lt;&gt;"pvp",Inputs!$B$43&gt;0),((Skills!F12*((R902-1)*IF(Skills!G12&gt;0,Skills!H12/Skills!G12,1)+IF(Skills!G12&gt;0,MIN(Skills!H12,MAX(0,MAX(0,Inputs!$B$43-B923)-((R902-1)*IF(Inputs!$B$38="pvp",15,MAX(0.1,Skills!D12-IF(Skills!E12=TRUE,(Inputs!$B$32+1),0))))))/Skills!G12,1)))/Inputs!$B$43),G902*Q902))*IF(Inputs!$B$38="pvp",1,1+(Inputs!$B$20+Skills!O12+B917)/100),0)</f>
        <v/>
      </c>
      <c r="U902">
        <f>IF(C902,(H902*N902*IF(AND(Inputs!$B$38&lt;&gt;"pvp",Inputs!$B$43&gt;0),((Skills!F12*((R902-1)*IF(Skills!G12&gt;0,Skills!H12/Skills!G12,1)+IF(Skills!G12&gt;0,MIN(Skills!H12,MAX(0,MAX(0,Inputs!$B$43-B923)-((R902-1)*IF(Inputs!$B$38="pvp",15,MAX(0.1,Skills!D12-IF(Skills!E12=TRUE,(Inputs!$B$32+1),0))))))/Skills!G12,1)))/Inputs!$B$43),G902*Q902))*IF(Inputs!$B$38="pvp",1,(1+(Inputs!$B$21+Skills!P12+B917)/100)*(MIN(Skills!Q12,Inputs!$B$37))),0)</f>
        <v/>
      </c>
    </row>
    <row r="903">
      <c r="A903">
        <f>Skills!A13</f>
        <v/>
      </c>
      <c r="B903">
        <f>Skills!B13</f>
        <v/>
      </c>
      <c r="C903">
        <f>Inputs!$B$3&gt;=49</f>
        <v/>
      </c>
      <c r="D903">
        <f>IF(Skills!C13=1,60+Inputs!$B$25+Inputs!$B$29,IF(Skills!C13=2,90+Inputs!$B$26+Inputs!$B$29,IF(Skills!C13=3,120+Inputs!$B$27+Inputs!$B$29,MAX(0,(Inputs!$B$3-100)*3)+Inputs!$B$28+Inputs!$B$29)))</f>
        <v/>
      </c>
      <c r="E903">
        <f>INDEX(FactorTable!$B$2:$Y$301, MATCH(ROUND(MIN(300,MAX(1,D903)),0), FactorTable!$A$2:$A$301,0), Skills!L13+1)</f>
        <v/>
      </c>
      <c r="F903">
        <f>IF(Skills!M13=TRUE,(Skills!K13/10)*(E903/1000),Skills!K13/10)+Skills!N13</f>
        <v/>
      </c>
      <c r="G903">
        <f>Calc!G13</f>
        <v/>
      </c>
      <c r="H903">
        <f>Calc!H13</f>
        <v/>
      </c>
      <c r="I903">
        <f>IF(Skills!T13&lt;&gt;"",1+(Skills!T13/10)*(Z893/1000)/100,1)</f>
        <v/>
      </c>
      <c r="J903" t="inlineStr"/>
      <c r="K903" t="inlineStr"/>
      <c r="L903" t="inlineStr"/>
      <c r="M903" t="inlineStr"/>
      <c r="N903" t="inlineStr"/>
      <c r="O903">
        <f>(1-Summary!$B$51)*S903+Summary!$B$51*U903</f>
        <v/>
      </c>
      <c r="P903">
        <f>IF(B926=0,0,O903/B926)</f>
        <v/>
      </c>
      <c r="Q903">
        <f>IFERROR(1/IF(Inputs!$B$38="pvp",15,MAX(0.1,Skills!D13-IF(Skills!E13=TRUE,(Inputs!$B$32+1),0))),0)</f>
        <v/>
      </c>
      <c r="R903" t="n">
        <v>0</v>
      </c>
      <c r="S903" t="n">
        <v>0</v>
      </c>
      <c r="U903" t="n">
        <v>0</v>
      </c>
    </row>
    <row r="904">
      <c r="A904">
        <f>Skills!A14</f>
        <v/>
      </c>
      <c r="B904">
        <f>Skills!B14</f>
        <v/>
      </c>
      <c r="C904">
        <f>Inputs!$B$3&gt;=72</f>
        <v/>
      </c>
      <c r="D904">
        <f>IF(Skills!C14=1,60+Inputs!$B$25+Inputs!$B$29,IF(Skills!C14=2,90+Inputs!$B$26+Inputs!$B$29,IF(Skills!C14=3,120+Inputs!$B$27+Inputs!$B$29,MAX(0,(Inputs!$B$3-100)*3)+Inputs!$B$28+Inputs!$B$29)))</f>
        <v/>
      </c>
      <c r="E904">
        <f>INDEX(FactorTable!$B$2:$Y$301, MATCH(ROUND(MIN(300,MAX(1,D904)),0), FactorTable!$A$2:$A$301,0), Skills!L14+1)</f>
        <v/>
      </c>
      <c r="F904">
        <f>IF(Skills!M14=TRUE,(Skills!K14/10)*(E904/1000),Skills!K14/10)+Skills!N14</f>
        <v/>
      </c>
      <c r="G904">
        <f>Calc!G14</f>
        <v/>
      </c>
      <c r="H904">
        <f>Calc!H14</f>
        <v/>
      </c>
      <c r="I904">
        <f>IF(Skills!T14&lt;&gt;"",1+(Skills!T14/10)*(Z893/1000)/100,1)</f>
        <v/>
      </c>
      <c r="J904" t="inlineStr"/>
      <c r="K904" t="inlineStr"/>
      <c r="L904" t="inlineStr"/>
      <c r="M904" t="inlineStr"/>
      <c r="N904" t="inlineStr"/>
      <c r="O904">
        <f>(1-Summary!$B$51)*S904+Summary!$B$51*U904</f>
        <v/>
      </c>
      <c r="P904">
        <f>IF(B926=0,0,O904/B926)</f>
        <v/>
      </c>
      <c r="Q904">
        <f>IFERROR(1/IF(Inputs!$B$38="pvp",15,MAX(0.1,Skills!D14-IF(Skills!E14=TRUE,(Inputs!$B$32+1),0))),0)</f>
        <v/>
      </c>
      <c r="R904" t="n">
        <v>0</v>
      </c>
      <c r="S904" t="n">
        <v>0</v>
      </c>
      <c r="U904" t="n">
        <v>0</v>
      </c>
    </row>
    <row r="905">
      <c r="A905">
        <f>Skills!A15</f>
        <v/>
      </c>
      <c r="B905">
        <f>Skills!B15</f>
        <v/>
      </c>
      <c r="C905">
        <f>Inputs!$B$3&gt;=75</f>
        <v/>
      </c>
      <c r="D905">
        <f>IF(Skills!C15=1,60+Inputs!$B$25+Inputs!$B$29,IF(Skills!C15=2,90+Inputs!$B$26+Inputs!$B$29,IF(Skills!C15=3,120+Inputs!$B$27+Inputs!$B$29,MAX(0,(Inputs!$B$3-100)*3)+Inputs!$B$28+Inputs!$B$29)))</f>
        <v/>
      </c>
      <c r="E905">
        <f>INDEX(FactorTable!$B$2:$Y$301, MATCH(ROUND(MIN(300,MAX(1,D905)),0), FactorTable!$A$2:$A$301,0), Skills!L15+1)</f>
        <v/>
      </c>
      <c r="F905">
        <f>IF(Skills!M15=TRUE,(Skills!K15/10)*(E905/1000),Skills!K15/10)+Skills!N15</f>
        <v/>
      </c>
      <c r="G905">
        <f>Calc!G15</f>
        <v/>
      </c>
      <c r="H905">
        <f>Calc!H15</f>
        <v/>
      </c>
      <c r="I905">
        <f>IF(Skills!T15&lt;&gt;"",1+(Skills!T15/10)*(Z893/1000)/100,1)</f>
        <v/>
      </c>
      <c r="J905" t="inlineStr"/>
      <c r="K905" t="inlineStr"/>
      <c r="L905" t="inlineStr"/>
      <c r="M905" t="inlineStr"/>
      <c r="N905" t="inlineStr"/>
      <c r="O905">
        <f>(1-Summary!$B$51)*S905+Summary!$B$51*U905</f>
        <v/>
      </c>
      <c r="P905">
        <f>IF(B926=0,0,O905/B926)</f>
        <v/>
      </c>
      <c r="Q905">
        <f>IFERROR(1/IF(Inputs!$B$38="pvp",15,MAX(0.1,Skills!D15-IF(Skills!E15=TRUE,(Inputs!$B$32+1),0))),0)</f>
        <v/>
      </c>
      <c r="R905" t="n">
        <v>0</v>
      </c>
      <c r="S905" t="n">
        <v>0</v>
      </c>
      <c r="U905" t="n">
        <v>0</v>
      </c>
    </row>
    <row r="906">
      <c r="A906">
        <f>Skills!A16</f>
        <v/>
      </c>
      <c r="B906">
        <f>Skills!B16</f>
        <v/>
      </c>
      <c r="C906">
        <f>Inputs!$B$3&gt;=110</f>
        <v/>
      </c>
      <c r="D906">
        <f>IF(Skills!C16=1,60+Inputs!$B$25+Inputs!$B$29,IF(Skills!C16=2,90+Inputs!$B$26+Inputs!$B$29,IF(Skills!C16=3,120+Inputs!$B$27+Inputs!$B$29,MAX(0,(Inputs!$B$3-100)*3)+Inputs!$B$28+Inputs!$B$29)))</f>
        <v/>
      </c>
      <c r="E906">
        <f>INDEX(FactorTable!$B$2:$Y$301, MATCH(ROUND(MIN(300,MAX(1,D906)),0), FactorTable!$A$2:$A$301,0), Skills!L16+1)</f>
        <v/>
      </c>
      <c r="F906">
        <f>(Skills!K16/10)*(E906/1000)*64/45+Skills!N16</f>
        <v/>
      </c>
      <c r="G906">
        <f>Calc!G16</f>
        <v/>
      </c>
      <c r="H906">
        <f>Calc!H16</f>
        <v/>
      </c>
      <c r="I906">
        <f>IF(Skills!T16&lt;&gt;"",1+(Skills!T16/10)*(Z893/1000)/100,1)</f>
        <v/>
      </c>
      <c r="J906" t="inlineStr"/>
      <c r="K906" t="inlineStr"/>
      <c r="L906" t="inlineStr"/>
      <c r="M906" t="inlineStr"/>
      <c r="N906" t="inlineStr"/>
      <c r="O906">
        <f>(1-Summary!$B$51)*S906+Summary!$B$51*U906</f>
        <v/>
      </c>
      <c r="P906">
        <f>IF(B926=0,0,O906/B926)</f>
        <v/>
      </c>
      <c r="Q906">
        <f>IFERROR(1/IF(Inputs!$B$38="pvp",15,MAX(0.1,Skills!D16-IF(Skills!E16=TRUE,(Inputs!$B$32+1),0))),0)</f>
        <v/>
      </c>
      <c r="R906">
        <f>IF(AND(Inputs!$B$38&lt;&gt;"pvp",Inputs!$B$43&gt;0),IF(Inputs!$B$43&lt;=0,0,(INT(Inputs!$B$43/IF(Inputs!$B$38="pvp",15,MAX(0.1,Skills!D16-IF(Skills!E16=TRUE,(Inputs!$B$32+1),0))))+1)),0)</f>
        <v/>
      </c>
      <c r="S906" t="n">
        <v>0</v>
      </c>
      <c r="U906" t="n">
        <v>0</v>
      </c>
    </row>
    <row r="907">
      <c r="A907">
        <f>Skills!A17</f>
        <v/>
      </c>
      <c r="B907">
        <f>Skills!B17</f>
        <v/>
      </c>
      <c r="C907">
        <f>Inputs!$B$3&gt;=33</f>
        <v/>
      </c>
      <c r="D907">
        <f>IF(Skills!C17=1,60+Inputs!$B$25+Inputs!$B$29,IF(Skills!C17=2,90+Inputs!$B$26+Inputs!$B$29,IF(Skills!C17=3,120+Inputs!$B$27+Inputs!$B$29,MAX(0,(Inputs!$B$3-100)*3)+Inputs!$B$28+Inputs!$B$29)))</f>
        <v/>
      </c>
      <c r="E907">
        <f>INDEX(FactorTable!$B$2:$Y$301, MATCH(ROUND(MIN(300,MAX(1,D907)),0), FactorTable!$A$2:$A$301,0), Skills!L17+1)</f>
        <v/>
      </c>
      <c r="F907">
        <f>IF(Skills!M17=TRUE,(Skills!K17/10)*(E907/1000),Skills!K17/10)+Skills!N17</f>
        <v/>
      </c>
      <c r="G907">
        <f>Calc!G17</f>
        <v/>
      </c>
      <c r="H907">
        <f>Calc!H17</f>
        <v/>
      </c>
      <c r="I907">
        <f>IF(Skills!T17&lt;&gt;"",1+(Skills!T17/10)*(Z893/1000)/100,1)</f>
        <v/>
      </c>
      <c r="J907" t="inlineStr"/>
      <c r="K907" t="inlineStr"/>
      <c r="L907" t="inlineStr"/>
      <c r="M907" t="inlineStr"/>
      <c r="N907" t="inlineStr"/>
      <c r="O907">
        <f>(1-Summary!$B$51)*S907+Summary!$B$51*U907</f>
        <v/>
      </c>
      <c r="P907">
        <f>IF(B926=0,0,O907/B926)</f>
        <v/>
      </c>
      <c r="Q907">
        <f>IFERROR(1/IF(Inputs!$B$38="pvp",15,MAX(0.1,Skills!D17-IF(Skills!E17=TRUE,(Inputs!$B$32+1),0))),0)</f>
        <v/>
      </c>
      <c r="R907" t="n">
        <v>0</v>
      </c>
      <c r="S907" t="n">
        <v>0</v>
      </c>
      <c r="U907" t="n">
        <v>0</v>
      </c>
    </row>
    <row r="908">
      <c r="A908">
        <f>Skills!A18</f>
        <v/>
      </c>
      <c r="B908">
        <f>Skills!B18</f>
        <v/>
      </c>
      <c r="C908">
        <f>Inputs!$B$3&gt;=43</f>
        <v/>
      </c>
      <c r="D908">
        <f>IF(Skills!C18=1,60+Inputs!$B$25+Inputs!$B$29,IF(Skills!C18=2,90+Inputs!$B$26+Inputs!$B$29,IF(Skills!C18=3,120+Inputs!$B$27+Inputs!$B$29,MAX(0,(Inputs!$B$3-100)*3)+Inputs!$B$28+Inputs!$B$29)))</f>
        <v/>
      </c>
      <c r="E908">
        <f>INDEX(FactorTable!$B$2:$Y$301, MATCH(ROUND(MIN(300,MAX(1,D908)),0), FactorTable!$A$2:$A$301,0), Skills!L18+1)</f>
        <v/>
      </c>
      <c r="F908">
        <f>IF(Skills!M18=TRUE,(Skills!K18/10)*(E908/1000),Skills!K18/10)+Skills!N18</f>
        <v/>
      </c>
      <c r="G908">
        <f>Calc!G18</f>
        <v/>
      </c>
      <c r="H908">
        <f>Calc!H18</f>
        <v/>
      </c>
      <c r="I908">
        <f>IF(Skills!T18&lt;&gt;"",1+(Skills!T18/10)*(Z893/1000)/100,1)</f>
        <v/>
      </c>
      <c r="J908" t="inlineStr"/>
      <c r="K908" t="inlineStr"/>
      <c r="L908" t="inlineStr"/>
      <c r="M908" t="inlineStr"/>
      <c r="N908" t="inlineStr"/>
      <c r="O908">
        <f>(1-Summary!$B$51)*S908+Summary!$B$51*U908</f>
        <v/>
      </c>
      <c r="P908">
        <f>IF(B926=0,0,O908/B926)</f>
        <v/>
      </c>
      <c r="Q908">
        <f>IFERROR(1/IF(Inputs!$B$38="pvp",15,MAX(0.1,Skills!D18-IF(Skills!E18=TRUE,(Inputs!$B$32+1),0))),0)</f>
        <v/>
      </c>
      <c r="R908" t="n">
        <v>0</v>
      </c>
      <c r="S908" t="n">
        <v>0</v>
      </c>
      <c r="U908" t="n">
        <v>0</v>
      </c>
    </row>
    <row r="909">
      <c r="A909">
        <f>Skills!A19</f>
        <v/>
      </c>
      <c r="B909">
        <f>Skills!B19</f>
        <v/>
      </c>
      <c r="C909">
        <f>Inputs!$B$3&gt;=50</f>
        <v/>
      </c>
      <c r="D909">
        <f>IF(Skills!C19=1,60+Inputs!$B$25+Inputs!$B$29,IF(Skills!C19=2,90+Inputs!$B$26+Inputs!$B$29,IF(Skills!C19=3,120+Inputs!$B$27+Inputs!$B$29,MAX(0,(Inputs!$B$3-100)*3)+Inputs!$B$28+Inputs!$B$29)))</f>
        <v/>
      </c>
      <c r="E909">
        <f>INDEX(FactorTable!$B$2:$Y$301, MATCH(ROUND(MIN(300,MAX(1,D909)),0), FactorTable!$A$2:$A$301,0), Skills!L19+1)</f>
        <v/>
      </c>
      <c r="F909">
        <f>IF(Skills!M19=TRUE,(Skills!K19/10)*(E909/1000),Skills!K19/10)+Skills!N19</f>
        <v/>
      </c>
      <c r="G909">
        <f>Calc!G19</f>
        <v/>
      </c>
      <c r="H909">
        <f>Calc!H19</f>
        <v/>
      </c>
      <c r="I909">
        <f>IF(Skills!T19&lt;&gt;"",1+(Skills!T19/10)*(Z893/1000)/100,1)</f>
        <v/>
      </c>
      <c r="J909" t="inlineStr"/>
      <c r="K909" t="inlineStr"/>
      <c r="L909" t="inlineStr"/>
      <c r="M909" t="inlineStr"/>
      <c r="N909" t="inlineStr"/>
      <c r="O909">
        <f>(1-Summary!$B$51)*S909+Summary!$B$51*U909</f>
        <v/>
      </c>
      <c r="P909">
        <f>IF(B926=0,0,O909/B926)</f>
        <v/>
      </c>
      <c r="Q909">
        <f>IFERROR(1/IF(Inputs!$B$38="pvp",15,MAX(0.1,Skills!D19-IF(Skills!E19=TRUE,(Inputs!$B$32+1),0))),0)</f>
        <v/>
      </c>
      <c r="R909" t="n">
        <v>0</v>
      </c>
      <c r="S909" t="n">
        <v>0</v>
      </c>
      <c r="U909" t="n">
        <v>0</v>
      </c>
    </row>
    <row r="910">
      <c r="A910">
        <f>Skills!A20</f>
        <v/>
      </c>
      <c r="B910">
        <f>Skills!B20</f>
        <v/>
      </c>
      <c r="C910">
        <f>Inputs!$B$3&gt;=74</f>
        <v/>
      </c>
      <c r="D910">
        <f>IF(Skills!C20=1,60+Inputs!$B$25+Inputs!$B$29,IF(Skills!C20=2,90+Inputs!$B$26+Inputs!$B$29,IF(Skills!C20=3,120+Inputs!$B$27+Inputs!$B$29,MAX(0,(Inputs!$B$3-100)*3)+Inputs!$B$28+Inputs!$B$29)))</f>
        <v/>
      </c>
      <c r="E910">
        <f>INDEX(FactorTable!$B$2:$Y$301, MATCH(ROUND(MIN(300,MAX(1,D910)),0), FactorTable!$A$2:$A$301,0), Skills!L20+1)</f>
        <v/>
      </c>
      <c r="F910">
        <f>IF(Skills!M20=TRUE,(Skills!K20/10)*(E910/1000),Skills!K20/10)+Skills!N20</f>
        <v/>
      </c>
      <c r="G910">
        <f>Calc!G20</f>
        <v/>
      </c>
      <c r="H910">
        <f>Calc!H20</f>
        <v/>
      </c>
      <c r="I910">
        <f>IF(Skills!T20&lt;&gt;"",1+(Skills!T20/10)*(Z893/1000)/100,1)</f>
        <v/>
      </c>
      <c r="J910" t="inlineStr"/>
      <c r="K910" t="inlineStr"/>
      <c r="L910" t="inlineStr"/>
      <c r="M910" t="inlineStr"/>
      <c r="N910" t="inlineStr"/>
      <c r="O910">
        <f>(1-Summary!$B$51)*S910+Summary!$B$51*U910</f>
        <v/>
      </c>
      <c r="P910">
        <f>IF(B926=0,0,O910/B926)</f>
        <v/>
      </c>
      <c r="Q910">
        <f>IFERROR(1/IF(Inputs!$B$38="pvp",15,MAX(0.1,Skills!D20-IF(Skills!E20=TRUE,(Inputs!$B$32+1),0))),0)</f>
        <v/>
      </c>
      <c r="R910" t="n">
        <v>0</v>
      </c>
      <c r="S910" t="n">
        <v>0</v>
      </c>
      <c r="U910" t="n">
        <v>0</v>
      </c>
    </row>
    <row r="911">
      <c r="A911">
        <f>Skills!A21</f>
        <v/>
      </c>
      <c r="B911">
        <f>Skills!B21</f>
        <v/>
      </c>
      <c r="C911">
        <f>Inputs!$B$3&gt;=74</f>
        <v/>
      </c>
      <c r="D911">
        <f>IF(Skills!C21=1,60+Inputs!$B$25+Inputs!$B$29,IF(Skills!C21=2,90+Inputs!$B$26+Inputs!$B$29,IF(Skills!C21=3,120+Inputs!$B$27+Inputs!$B$29,MAX(0,(Inputs!$B$3-100)*3)+Inputs!$B$28+Inputs!$B$29)))</f>
        <v/>
      </c>
      <c r="E911">
        <f>INDEX(FactorTable!$B$2:$Y$301, MATCH(ROUND(MIN(300,MAX(1,D911)),0), FactorTable!$A$2:$A$301,0), Skills!L21+1)</f>
        <v/>
      </c>
      <c r="F911">
        <f>IF(Skills!M21=TRUE,(Skills!K21/10)*(E911/1000),Skills!K21/10)+Skills!N21</f>
        <v/>
      </c>
      <c r="G911">
        <f>Calc!G21</f>
        <v/>
      </c>
      <c r="H911">
        <f>Calc!H21</f>
        <v/>
      </c>
      <c r="I911">
        <f>IF(Skills!T21&lt;&gt;"",1+(Skills!T21/10)*(Z893/1000)/100,1)</f>
        <v/>
      </c>
      <c r="J911" t="inlineStr"/>
      <c r="K911" t="inlineStr"/>
      <c r="L911" t="inlineStr"/>
      <c r="M911" t="inlineStr"/>
      <c r="N911" t="inlineStr"/>
      <c r="O911">
        <f>(1-Summary!$B$51)*S911+Summary!$B$51*U911</f>
        <v/>
      </c>
      <c r="P911">
        <f>IF(B926=0,0,O911/B926)</f>
        <v/>
      </c>
      <c r="Q911">
        <f>IFERROR(1/IF(Inputs!$B$38="pvp",15,MAX(0.1,Skills!D21-IF(Skills!E21=TRUE,(Inputs!$B$32+1),0))),0)</f>
        <v/>
      </c>
      <c r="R911" t="n">
        <v>0</v>
      </c>
      <c r="S911" t="n">
        <v>0</v>
      </c>
      <c r="U911" t="n">
        <v>0</v>
      </c>
    </row>
    <row r="912">
      <c r="A912">
        <f>Skills!A22</f>
        <v/>
      </c>
      <c r="B912">
        <f>Skills!B22</f>
        <v/>
      </c>
      <c r="C912">
        <f>Inputs!$B$3&gt;=117</f>
        <v/>
      </c>
      <c r="D912">
        <f>IF(Skills!C22=1,60+Inputs!$B$25+Inputs!$B$29,IF(Skills!C22=2,90+Inputs!$B$26+Inputs!$B$29,IF(Skills!C22=3,120+Inputs!$B$27+Inputs!$B$29,MAX(0,(Inputs!$B$3-100)*3)+Inputs!$B$28+Inputs!$B$29)))</f>
        <v/>
      </c>
      <c r="E912">
        <f>INDEX(FactorTable!$B$2:$Y$301, MATCH(ROUND(MIN(300,MAX(1,D912)),0), FactorTable!$A$2:$A$301,0), Skills!L22+1)</f>
        <v/>
      </c>
      <c r="F912">
        <f>IF(Skills!M22=TRUE,(Skills!K22/10)*(E912/1000),Skills!K22/10)+Skills!N22</f>
        <v/>
      </c>
      <c r="G912">
        <f>Calc!G22</f>
        <v/>
      </c>
      <c r="H912">
        <f>Calc!H22</f>
        <v/>
      </c>
      <c r="I912">
        <f>IF(Skills!T22&lt;&gt;"",1+(Skills!T22/10)*(Z893/1000)/100,1)</f>
        <v/>
      </c>
      <c r="J912" t="inlineStr"/>
      <c r="K912" t="inlineStr"/>
      <c r="L912" t="inlineStr"/>
      <c r="M912" t="inlineStr"/>
      <c r="N912" t="inlineStr"/>
      <c r="O912">
        <f>(1-Summary!$B$51)*S912+Summary!$B$51*U912</f>
        <v/>
      </c>
      <c r="P912">
        <f>IF(B926=0,0,O912/B926)</f>
        <v/>
      </c>
      <c r="Q912">
        <f>IFERROR(1/IF(Inputs!$B$38="pvp",15,MAX(0.1,Skills!D22-IF(Skills!E22=TRUE,(Inputs!$B$32+1),0))),0)</f>
        <v/>
      </c>
      <c r="R912" t="n">
        <v>0</v>
      </c>
      <c r="S912" t="n">
        <v>0</v>
      </c>
      <c r="U912" t="n">
        <v>0</v>
      </c>
    </row>
    <row r="913">
      <c r="A913">
        <f>Skills!A23</f>
        <v/>
      </c>
      <c r="B913">
        <f>Skills!B23</f>
        <v/>
      </c>
      <c r="C913">
        <f>Inputs!$B$3&gt;=120</f>
        <v/>
      </c>
      <c r="D913">
        <f>IF(Skills!C23=1,60+Inputs!$B$25+Inputs!$B$29,IF(Skills!C23=2,90+Inputs!$B$26+Inputs!$B$29,IF(Skills!C23=3,120+Inputs!$B$27+Inputs!$B$29,MAX(0,(Inputs!$B$3-100)*3)+Inputs!$B$28+Inputs!$B$29)))</f>
        <v/>
      </c>
      <c r="E913">
        <f>INDEX(FactorTable!$B$2:$Y$301, MATCH(ROUND(MIN(300,MAX(1,D913)),0), FactorTable!$A$2:$A$301,0), Skills!L23+1)</f>
        <v/>
      </c>
      <c r="F913">
        <f>IF(Skills!M23=TRUE,(Skills!K23/10)*(E913/1000),Skills!K23/10)+Skills!N23</f>
        <v/>
      </c>
      <c r="G913">
        <f>Calc!G23</f>
        <v/>
      </c>
      <c r="H913">
        <f>Calc!H23</f>
        <v/>
      </c>
      <c r="I913">
        <f>IF(Skills!T23&lt;&gt;"",1+(Skills!T23/10)*(Z893/1000)/100,1)</f>
        <v/>
      </c>
      <c r="J913" t="inlineStr"/>
      <c r="K913" t="inlineStr"/>
      <c r="L913" t="inlineStr"/>
      <c r="M913" t="inlineStr"/>
      <c r="N913" t="inlineStr"/>
      <c r="O913">
        <f>(1-Summary!$B$51)*S913+Summary!$B$51*U913</f>
        <v/>
      </c>
      <c r="P913">
        <f>IF(B926=0,0,O913/B926)</f>
        <v/>
      </c>
      <c r="Q913">
        <f>IFERROR(1/IF(Inputs!$B$38="pvp",15,MAX(0.1,Skills!D23-IF(Skills!E23=TRUE,(Inputs!$B$32+1),0))),0)</f>
        <v/>
      </c>
      <c r="R913" t="n">
        <v>0</v>
      </c>
      <c r="S913" t="n">
        <v>0</v>
      </c>
      <c r="U913" t="n">
        <v>0</v>
      </c>
    </row>
    <row r="916">
      <c r="A916" t="inlineStr">
        <is>
          <t>Average Buff Multiplier (Magic Guard + Meditation, summed; then Infinity)</t>
        </is>
      </c>
      <c r="B916">
        <f>(1+(IF(C893=TRUE,F893*IF(AND(Inputs!$B$38&lt;&gt;"pvp",Inputs!$B$43&gt;0),(((R893-1)*(Skills!S3*(1+(Inputs!$B$34+IF(Inputs!$B$3&gt;=117,F912,0))/100))+MIN((Skills!S3*(1+(Inputs!$B$34+IF(Inputs!$B$3&gt;=117,F912,0))/100)),MAX(0,Inputs!$B$43-((R893-1)*Skills!D3))))/Inputs!$B$43),IF(Inputs!$B$38="pvp",MIN((Skills!S3*(1+(Inputs!$B$34+IF(Inputs!$B$3&gt;=117,F912,0))/100)),15)/15,(Skills!S3*(1+(Inputs!$B$34+IF(Inputs!$B$3&gt;=117,F912,0))/100))/Skills!D3)),0)+IF(C894=TRUE,F894*IF(AND(Inputs!$B$38&lt;&gt;"pvp",Inputs!$B$43&gt;0),(((R894-1)*(Skills!S4*(1+(Inputs!$B$34+IF(Inputs!$B$3&gt;=117,F912,0))/100))+MIN((Skills!S4*(1+(Inputs!$B$34+IF(Inputs!$B$3&gt;=117,F912,0))/100)),MAX(0,Inputs!$B$43-((R894-1)*Skills!D4))))/Inputs!$B$43),IF(Inputs!$B$38="pvp",MIN((Skills!S4*(1+(Inputs!$B$34+IF(Inputs!$B$3&gt;=117,F912,0))/100)),15)/15,(Skills!S4*(1+(Inputs!$B$34+IF(Inputs!$B$3&gt;=117,F912,0))/100))/Skills!D4)),0))/100)*IF(C906=TRUE,(1+F906*IF(AND(Inputs!$B$38&lt;&gt;"pvp",Inputs!$B$43&gt;0),(((R906-1)*(Skills!S16*(1+(Inputs!$B$34+IF(Inputs!$B$3&gt;=117,F912,0))/100))+MIN((Skills!S16*(1+(Inputs!$B$34+IF(Inputs!$B$3&gt;=117,F912,0))/100)),MAX(0,Inputs!$B$43-((R906-1)*Skills!D16))))/Inputs!$B$43),IF(Inputs!$B$38="pvp",MIN((Skills!S16*(1+(Inputs!$B$34+IF(Inputs!$B$3&gt;=117,F912,0))/100)),15)/15,(Skills!S16*(1+(Inputs!$B$34+IF(Inputs!$B$3&gt;=117,F912,0))/100))/Skills!D16))/100),1)</f>
        <v/>
      </c>
    </row>
    <row r="917">
      <c r="A917" t="inlineStr">
        <is>
          <t>Monster Damage Taken Bonus % (Freezing Breath - Weaken + Elemental Reset, summed)</t>
        </is>
      </c>
      <c r="B917">
        <f>IF(Inputs!$B$3&gt;=118,15*IF(Inputs!$B$38="pvp",MIN((30*(1+(Inputs!$B$34+IF(Inputs!$B$3&gt;=117,F912,0))/100)),15)/15,(30*(1+(Inputs!$B$34+IF(Inputs!$B$3&gt;=117,F912,0))/100))/Skills!D8),0)+IF(C904=TRUE,F904,0)</f>
        <v/>
      </c>
    </row>
    <row r="918">
      <c r="A918" t="inlineStr">
        <is>
          <t>Damage % Bonus (Frozen Break + Frost Clutch, flat)</t>
        </is>
      </c>
      <c r="B918">
        <f>IF(Inputs!$B$3&gt;=66,15,0)+IF(Inputs!$B$3&gt;=98,10,0)+IF(Inputs!$B$3&gt;=125,20,0)</f>
        <v/>
      </c>
    </row>
    <row r="919">
      <c r="A919" t="inlineStr">
        <is>
          <t>Attack Speed Bonus % (MP Eater - MP Boost, always-on once unlocked)</t>
        </is>
      </c>
      <c r="B919">
        <f>IF(C903=TRUE,F903+(F907-Calc!F17),0)</f>
        <v/>
      </c>
    </row>
    <row r="920">
      <c r="A920" t="inlineStr">
        <is>
          <t>Actions Per Second</t>
        </is>
      </c>
      <c r="B920">
        <f>1+MIN(150,150*(1-(1-Inputs!$B$11/150)*(1-B919/150)))/100</f>
        <v/>
      </c>
    </row>
    <row r="921">
      <c r="A921" t="inlineStr">
        <is>
          <t>Skill + Buff Cast Rate</t>
        </is>
      </c>
      <c r="B921">
        <f>IF(AND(Inputs!$B$38&lt;&gt;"pvp",Inputs!$B$43&gt;0),SUMPRODUCT((Skills!E2:E23=TRUE)*(C892:C913=TRUE)*R892:R913)/Inputs!$B$43,SUMPRODUCT((Skills!E2:E23=TRUE)*(C892:C913=TRUE)*Q892:Q913))</f>
        <v/>
      </c>
    </row>
    <row r="922">
      <c r="A922" t="inlineStr">
        <is>
          <t>Chain Lightning Casts Per Second</t>
        </is>
      </c>
      <c r="B922">
        <f>MAX(0,B920-B921)</f>
        <v/>
      </c>
    </row>
    <row r="923">
      <c r="A923" t="inlineStr">
        <is>
          <t>Buff-Casting Startup Delay (s, fixed-duration only)</t>
        </is>
      </c>
      <c r="B923">
        <f>IF(AND(Inputs!$B$38&lt;&gt;"pvp",Inputs!$B$43&gt;0),SUMPRODUCT((Skills!S2:S23&gt;0)*(Skills!E2:E23=TRUE)*(C892:C913=TRUE))/B920,0)</f>
        <v/>
      </c>
    </row>
    <row r="924">
      <c r="A924" t="inlineStr">
        <is>
          <t>Boss-Only Total DPS (this block's swept value)</t>
        </is>
      </c>
      <c r="B924">
        <f>SUM(S892:S913)</f>
        <v/>
      </c>
    </row>
    <row r="925">
      <c r="A925" t="inlineStr">
        <is>
          <t>Normal-Only Total DPS (this block's swept value)</t>
        </is>
      </c>
      <c r="B925">
        <f>SUM(U892:U913)</f>
        <v/>
      </c>
    </row>
    <row r="926">
      <c r="A926" s="5" t="inlineStr">
        <is>
          <t>TOTAL DPS</t>
        </is>
      </c>
      <c r="B926" s="5">
        <f>SUM(O892:O913)</f>
        <v/>
      </c>
    </row>
    <row r="929">
      <c r="A929" s="5" t="inlineStr">
        <is>
          <t>Stat: Basic Attack Target Increase (flat)</t>
        </is>
      </c>
    </row>
    <row r="930">
      <c r="A930" s="9" t="inlineStr">
        <is>
          <t>Key</t>
        </is>
      </c>
      <c r="B930" s="9" t="inlineStr">
        <is>
          <t>Name</t>
        </is>
      </c>
      <c r="C930" s="9" t="inlineStr">
        <is>
          <t>Unlocked</t>
        </is>
      </c>
      <c r="D930" s="9" t="inlineStr">
        <is>
          <t>InputLevel</t>
        </is>
      </c>
      <c r="E930" s="9" t="inlineStr">
        <is>
          <t>Factor</t>
        </is>
      </c>
      <c r="F930" s="9" t="inlineStr">
        <is>
          <t>CoefficientPercent</t>
        </is>
      </c>
      <c r="G930" s="9" t="inlineStr">
        <is>
          <t>EffectiveHits</t>
        </is>
      </c>
      <c r="H930" s="9" t="inlineStr">
        <is>
          <t>ProcProbability</t>
        </is>
      </c>
      <c r="I930" s="9" t="inlineStr">
        <is>
          <t>MapleHeroMultiplier</t>
        </is>
      </c>
      <c r="J930" s="9" t="inlineStr">
        <is>
          <t>BaseDamage</t>
        </is>
      </c>
      <c r="K930" s="9" t="inlineStr">
        <is>
          <t>BaseHitDamage</t>
        </is>
      </c>
      <c r="L930" s="9" t="inlineStr">
        <is>
          <t>NonCritAvg</t>
        </is>
      </c>
      <c r="M930" s="9" t="inlineStr">
        <is>
          <t>CritAvg</t>
        </is>
      </c>
      <c r="N930" s="9" t="inlineStr">
        <is>
          <t>ExpectedDamage(perHit)</t>
        </is>
      </c>
      <c r="O930" s="9" t="inlineStr">
        <is>
          <t>DPS</t>
        </is>
      </c>
      <c r="P930" s="9" t="inlineStr">
        <is>
          <t>% of Total</t>
        </is>
      </c>
      <c r="R930" t="inlineStr">
        <is>
          <t>helpers</t>
        </is>
      </c>
    </row>
    <row r="931">
      <c r="A931">
        <f>Skills!A2</f>
        <v/>
      </c>
      <c r="B931">
        <f>Skills!B2</f>
        <v/>
      </c>
      <c r="C931">
        <f>Inputs!$B$3&gt;=100</f>
        <v/>
      </c>
      <c r="D931" t="inlineStr"/>
      <c r="E931" t="inlineStr"/>
      <c r="F931">
        <f>T933+Skills!N2</f>
        <v/>
      </c>
      <c r="G931">
        <f>Calc!G2</f>
        <v/>
      </c>
      <c r="H931">
        <f>Calc!H2</f>
        <v/>
      </c>
      <c r="I931">
        <f>IF(Skills!T2&lt;&gt;"",1+(Skills!T2/10)*(Z932/1000)/100,1)</f>
        <v/>
      </c>
      <c r="J931">
        <f>((Inputs!$B$6*(1+Inputs!$B$7/100))+(((Inputs!$B$12*(1+Inputs!$B$13/100))-(Inputs!$B$12*(1+Inputs!$B$13/100)))+0.25*(Inputs!$B$14-Inputs!$B$14))*(1+Inputs!$B$7/100))*(F931/100)</f>
        <v/>
      </c>
      <c r="K931">
        <f>J931*(1+((Inputs!$B$12*(1+Inputs!$B$13/100))*0.01+Inputs!$B$14*0.0025)/100)*(1+(Inputs!$B$15+B957)/100)*(1+Inputs!$B$16/100)*(5000/(6000+Inputs!$B$42*(1-Inputs!$B$19/100)))*(1+Inputs!$B$24/100)*(1+IF(C944=TRUE,F944,0)/100)*(1+IF(C952=TRUE,F952,0)/100)^5*(1+(IF(Skills!A2="CHAIN_LIGHTNING",Inputs!$B$17,Inputs!$B$18))/100)*(B955*I931)</f>
        <v/>
      </c>
      <c r="L931">
        <f>K931*(MIN(Inputs!$B$22+(F947-Calc!F18),Inputs!$B$23)/100+Inputs!$B$23/100)/2</f>
        <v/>
      </c>
      <c r="M931">
        <f>L931*(1+(Inputs!$B$10+(F950-Calc!F21))/100)</f>
        <v/>
      </c>
      <c r="N931">
        <f>L931*(1-MIN(Inputs!$B$9+((F949-Calc!F20)+(F948-Calc!F19)),100)/100)+M931*(MIN(Inputs!$B$9+((F949-Calc!F20)+(F948-Calc!F19)),100)/100)</f>
        <v/>
      </c>
      <c r="O931">
        <f>(1-Summary!$B$51)*S931+Summary!$B$51*U931</f>
        <v/>
      </c>
      <c r="P931">
        <f>IF(B965=0,0,O931/B965)</f>
        <v/>
      </c>
      <c r="Q931">
        <f>IFERROR(1/IF(Inputs!$B$38="pvp",15,MAX(0.1,Skills!D2-IF(Skills!E2=TRUE,Inputs!$B$32,0))),0)</f>
        <v/>
      </c>
      <c r="R931" t="n">
        <v>0</v>
      </c>
      <c r="S931">
        <f>IF(C931,(Skills!F2*N931*B961)*IF(Inputs!$B$38="pvp",1,1+(Inputs!$B$20+Skills!O2+B956)/100),0)</f>
        <v/>
      </c>
      <c r="T931">
        <f>MAX(0,(Inputs!$B$3-100)*3)+Inputs!$B$28+Inputs!$B$29</f>
        <v/>
      </c>
      <c r="U931">
        <f>IF(C931,(Skills!F2*N931*B961)*IF(Inputs!$B$38="pvp",1,(1+(Inputs!$B$21+Skills!P2+B956)/100)*(MIN((6+(Inputs!$B$33+1)),Inputs!$B$37))),0)</f>
        <v/>
      </c>
      <c r="Z931">
        <f>MAX(0,(Inputs!$B$3-100)*3)+Inputs!$B$28+Inputs!$B$29</f>
        <v/>
      </c>
    </row>
    <row r="932">
      <c r="A932">
        <f>Skills!A3</f>
        <v/>
      </c>
      <c r="B932">
        <f>Skills!B3</f>
        <v/>
      </c>
      <c r="C932">
        <f>Inputs!$B$3&gt;=15</f>
        <v/>
      </c>
      <c r="D932">
        <f>IF(Skills!C3=1,60+Inputs!$B$25+Inputs!$B$29,IF(Skills!C3=2,90+Inputs!$B$26+Inputs!$B$29,IF(Skills!C3=3,120+Inputs!$B$27+Inputs!$B$29,MAX(0,(Inputs!$B$3-100)*3)+Inputs!$B$28+Inputs!$B$29)))</f>
        <v/>
      </c>
      <c r="E932">
        <f>INDEX(FactorTable!$B$2:$Y$301, MATCH(ROUND(MIN(300,MAX(1,D932)),0), FactorTable!$A$2:$A$301,0), Skills!L3+1)</f>
        <v/>
      </c>
      <c r="F932">
        <f>IF(Skills!M3=TRUE,(Skills!K3/10)*(E932/1000),Skills!K3/10)+Skills!N3</f>
        <v/>
      </c>
      <c r="G932">
        <f>Calc!G3</f>
        <v/>
      </c>
      <c r="H932">
        <f>Calc!H3</f>
        <v/>
      </c>
      <c r="I932">
        <f>IF(Skills!T3&lt;&gt;"",1+(Skills!T3/10)*(Z932/1000)/100,1)</f>
        <v/>
      </c>
      <c r="J932" t="inlineStr"/>
      <c r="K932" t="inlineStr"/>
      <c r="L932" t="inlineStr"/>
      <c r="M932" t="inlineStr"/>
      <c r="N932" t="inlineStr"/>
      <c r="O932">
        <f>(1-Summary!$B$51)*S932+Summary!$B$51*U932</f>
        <v/>
      </c>
      <c r="P932">
        <f>IF(B965=0,0,O932/B965)</f>
        <v/>
      </c>
      <c r="Q932">
        <f>IFERROR(1/IF(Inputs!$B$38="pvp",15,MAX(0.1,Skills!D3-IF(Skills!E3=TRUE,Inputs!$B$32,0))),0)</f>
        <v/>
      </c>
      <c r="R932">
        <f>IF(AND(Inputs!$B$38&lt;&gt;"pvp",Inputs!$B$43&gt;0),IF(Inputs!$B$43&lt;=0,0,(INT(Inputs!$B$43/IF(Inputs!$B$38="pvp",15,MAX(0.1,Skills!D3-IF(Skills!E3=TRUE,Inputs!$B$32,0))))+1)),0)</f>
        <v/>
      </c>
      <c r="S932" t="n">
        <v>0</v>
      </c>
      <c r="T932">
        <f>INDEX(FactorTable!$B$2:$Y$301, MATCH(ROUND(MIN(300,MAX(1,T931)),0), FactorTable!$A$2:$A$301,0), 22)</f>
        <v/>
      </c>
      <c r="U932" t="n">
        <v>0</v>
      </c>
      <c r="Z932">
        <f>INDEX(FactorTable!$B$2:$Y$301, MATCH(ROUND(MIN(300,MAX(1,Z931)),0), FactorTable!$A$2:$A$301,0), 24)</f>
        <v/>
      </c>
    </row>
    <row r="933">
      <c r="A933">
        <f>Skills!A4</f>
        <v/>
      </c>
      <c r="B933">
        <f>Skills!B4</f>
        <v/>
      </c>
      <c r="C933">
        <f>Inputs!$B$3&gt;=40</f>
        <v/>
      </c>
      <c r="D933">
        <f>IF(Skills!C4=1,60+Inputs!$B$25+Inputs!$B$29,IF(Skills!C4=2,90+Inputs!$B$26+Inputs!$B$29,IF(Skills!C4=3,120+Inputs!$B$27+Inputs!$B$29,MAX(0,(Inputs!$B$3-100)*3)+Inputs!$B$28+Inputs!$B$29)))</f>
        <v/>
      </c>
      <c r="E933">
        <f>INDEX(FactorTable!$B$2:$Y$301, MATCH(ROUND(MIN(300,MAX(1,D933)),0), FactorTable!$A$2:$A$301,0), Skills!L4+1)</f>
        <v/>
      </c>
      <c r="F933">
        <f>IF(Skills!M4=TRUE,(Skills!K4/10)*(E933/1000),Skills!K4/10)+Skills!N4</f>
        <v/>
      </c>
      <c r="G933">
        <f>Calc!G4</f>
        <v/>
      </c>
      <c r="H933">
        <f>Calc!H4</f>
        <v/>
      </c>
      <c r="I933">
        <f>IF(Skills!T4&lt;&gt;"",1+(Skills!T4/10)*(Z932/1000)/100,1)</f>
        <v/>
      </c>
      <c r="J933" t="inlineStr"/>
      <c r="K933" t="inlineStr"/>
      <c r="L933" t="inlineStr"/>
      <c r="M933" t="inlineStr"/>
      <c r="N933" t="inlineStr"/>
      <c r="O933">
        <f>(1-Summary!$B$51)*S933+Summary!$B$51*U933</f>
        <v/>
      </c>
      <c r="P933">
        <f>IF(B965=0,0,O933/B965)</f>
        <v/>
      </c>
      <c r="Q933">
        <f>IFERROR(1/IF(Inputs!$B$38="pvp",15,MAX(0.1,Skills!D4-IF(Skills!E4=TRUE,Inputs!$B$32,0))),0)</f>
        <v/>
      </c>
      <c r="R933">
        <f>IF(AND(Inputs!$B$38&lt;&gt;"pvp",Inputs!$B$43&gt;0),IF(Inputs!$B$43&lt;=0,0,(INT(Inputs!$B$43/IF(Inputs!$B$38="pvp",15,MAX(0.1,Skills!D4-IF(Skills!E4=TRUE,Inputs!$B$32,0))))+1)),0)</f>
        <v/>
      </c>
      <c r="S933" t="n">
        <v>0</v>
      </c>
      <c r="T933">
        <f>290*T932/1000</f>
        <v/>
      </c>
      <c r="U933" t="n">
        <v>0</v>
      </c>
    </row>
    <row r="934">
      <c r="A934">
        <f>Skills!A5</f>
        <v/>
      </c>
      <c r="B934">
        <f>Skills!B5</f>
        <v/>
      </c>
      <c r="C934">
        <f>Inputs!$B$3&gt;=38</f>
        <v/>
      </c>
      <c r="D934">
        <f>IF(Skills!C5=1,60+Inputs!$B$25+Inputs!$B$29,IF(Skills!C5=2,90+Inputs!$B$26+Inputs!$B$29,IF(Skills!C5=3,120+Inputs!$B$27+Inputs!$B$29,MAX(0,(Inputs!$B$3-100)*3)+Inputs!$B$28+Inputs!$B$29)))</f>
        <v/>
      </c>
      <c r="E934">
        <f>INDEX(FactorTable!$B$2:$Y$301, MATCH(ROUND(MIN(300,MAX(1,D934)),0), FactorTable!$A$2:$A$301,0), Skills!L5+1)</f>
        <v/>
      </c>
      <c r="F934">
        <f>IF(Skills!M5=TRUE,(Skills!K5/10)*(E934/1000),Skills!K5/10)+Skills!N5</f>
        <v/>
      </c>
      <c r="G934">
        <f>Calc!G5</f>
        <v/>
      </c>
      <c r="H934">
        <f>Calc!H5</f>
        <v/>
      </c>
      <c r="I934">
        <f>IF(Skills!T5&lt;&gt;"",1+(Skills!T5/10)*(Z932/1000)/100,1)</f>
        <v/>
      </c>
      <c r="J934">
        <f>((Inputs!$B$6*(1+Inputs!$B$7/100))+(((Inputs!$B$12*(1+Inputs!$B$13/100))-(Inputs!$B$12*(1+Inputs!$B$13/100)))+0.25*(Inputs!$B$14-Inputs!$B$14))*(1+Inputs!$B$7/100))*(F934/100)</f>
        <v/>
      </c>
      <c r="K934">
        <f>J934*(1+((Inputs!$B$12*(1+Inputs!$B$13/100))*0.01+Inputs!$B$14*0.0025)/100)*(1+(Inputs!$B$15+B957)/100)*(1+Inputs!$B$16/100)*(5000/(6000+Inputs!$B$42*(1-Inputs!$B$19/100)))*(1+Inputs!$B$24/100)*(1+IF(C944=TRUE,F944,0)/100)*(1+IF(C952=TRUE,F952,0)/100)^5*(1+(IF(Skills!A5="CHAIN_LIGHTNING",Inputs!$B$17,Inputs!$B$18))/100)*(B955*I934)</f>
        <v/>
      </c>
      <c r="L934">
        <f>K934*(MIN(Inputs!$B$22+(F947-Calc!F18),Inputs!$B$23)/100+Inputs!$B$23/100)/2</f>
        <v/>
      </c>
      <c r="M934">
        <f>L934*(1+(Inputs!$B$10+(F950-Calc!F21))/100)</f>
        <v/>
      </c>
      <c r="N934">
        <f>L934*(1-MIN(Inputs!$B$9+((F949-Calc!F20)+(F948-Calc!F19)),100)/100)+M934*(MIN(Inputs!$B$9+((F949-Calc!F20)+(F948-Calc!F19)),100)/100)</f>
        <v/>
      </c>
      <c r="O934">
        <f>(1-Summary!$B$51)*S934+Summary!$B$51*U934</f>
        <v/>
      </c>
      <c r="P934">
        <f>IF(B965=0,0,O934/B965)</f>
        <v/>
      </c>
      <c r="Q934">
        <f>IFERROR(1/IF(Inputs!$B$38="pvp",15,MAX(0.1,Skills!D5-IF(Skills!E5=TRUE,Inputs!$B$32,0))),0)</f>
        <v/>
      </c>
      <c r="R934">
        <f>IF(AND(Inputs!$B$38&lt;&gt;"pvp",Inputs!$B$43&gt;0),IF(MAX(0,Inputs!$B$43-B962)&lt;=0,0,(INT(MAX(0,Inputs!$B$43-B962)/IF(Inputs!$B$38="pvp",15,MAX(0.1,Skills!D5-IF(Skills!E5=TRUE,Inputs!$B$32,0))))+1)),0)</f>
        <v/>
      </c>
      <c r="S934">
        <f>IF(C934,(H934*N934*IF(AND(Inputs!$B$38&lt;&gt;"pvp",Inputs!$B$43&gt;0),((Skills!F5*((R934-1)*IF(Skills!G5&gt;0,Skills!H5/Skills!G5,1)+IF(Skills!G5&gt;0,MIN(Skills!H5,MAX(0,MAX(0,Inputs!$B$43-B962)-((R934-1)*IF(Inputs!$B$38="pvp",15,MAX(0.1,Skills!D5-IF(Skills!E5=TRUE,Inputs!$B$32,0))))))/Skills!G5,1)))/Inputs!$B$43),G934*Q934))*IF(Inputs!$B$38="pvp",1,1+(Inputs!$B$20+Skills!O5+B956)/100),0)</f>
        <v/>
      </c>
      <c r="U934">
        <f>IF(C934,(H934*N934*IF(AND(Inputs!$B$38&lt;&gt;"pvp",Inputs!$B$43&gt;0),((Skills!F5*((R934-1)*IF(Skills!G5&gt;0,Skills!H5/Skills!G5,1)+IF(Skills!G5&gt;0,MIN(Skills!H5,MAX(0,MAX(0,Inputs!$B$43-B962)-((R934-1)*IF(Inputs!$B$38="pvp",15,MAX(0.1,Skills!D5-IF(Skills!E5=TRUE,Inputs!$B$32,0))))))/Skills!G5,1)))/Inputs!$B$43),G934*Q934))*IF(Inputs!$B$38="pvp",1,(1+(Inputs!$B$21+Skills!P5+B956)/100)*(MIN(Skills!Q5,Inputs!$B$37))),0)</f>
        <v/>
      </c>
    </row>
    <row r="935">
      <c r="A935">
        <f>Skills!A6</f>
        <v/>
      </c>
      <c r="B935">
        <f>Skills!B6</f>
        <v/>
      </c>
      <c r="C935">
        <f>Inputs!$B$3&gt;=63</f>
        <v/>
      </c>
      <c r="D935">
        <f>IF(Skills!C6=1,60+Inputs!$B$25+Inputs!$B$29,IF(Skills!C6=2,90+Inputs!$B$26+Inputs!$B$29,IF(Skills!C6=3,120+Inputs!$B$27+Inputs!$B$29,MAX(0,(Inputs!$B$3-100)*3)+Inputs!$B$28+Inputs!$B$29)))</f>
        <v/>
      </c>
      <c r="E935">
        <f>INDEX(FactorTable!$B$2:$Y$301, MATCH(ROUND(MIN(300,MAX(1,D935)),0), FactorTable!$A$2:$A$301,0), Skills!L6+1)</f>
        <v/>
      </c>
      <c r="F935">
        <f>IF(Skills!M6=TRUE,(Skills!K6/10)*(E935/1000),Skills!K6/10)+Skills!N6</f>
        <v/>
      </c>
      <c r="G935">
        <f>Calc!G6</f>
        <v/>
      </c>
      <c r="H935">
        <f>Calc!H6</f>
        <v/>
      </c>
      <c r="I935">
        <f>IF(Skills!T6&lt;&gt;"",1+(Skills!T6/10)*(Z932/1000)/100,1)</f>
        <v/>
      </c>
      <c r="J935">
        <f>((Inputs!$B$6*(1+Inputs!$B$7/100))+(((Inputs!$B$12*(1+Inputs!$B$13/100))-(Inputs!$B$12*(1+Inputs!$B$13/100)))+0.25*(Inputs!$B$14-Inputs!$B$14))*(1+Inputs!$B$7/100))*(F935/100)</f>
        <v/>
      </c>
      <c r="K935">
        <f>J935*(1+((Inputs!$B$12*(1+Inputs!$B$13/100))*0.01+Inputs!$B$14*0.0025)/100)*(1+(Inputs!$B$15+B957)/100)*(1+Inputs!$B$16/100)*(5000/(6000+Inputs!$B$42*(1-Inputs!$B$19/100)))*(1+Inputs!$B$24/100)*(1+IF(C944=TRUE,F944,0)/100)*(1+IF(C952=TRUE,F952,0)/100)^5*(1+(IF(Skills!A6="CHAIN_LIGHTNING",Inputs!$B$17,Inputs!$B$18))/100)*(B955*I935)</f>
        <v/>
      </c>
      <c r="L935">
        <f>K935*(MIN(Inputs!$B$22+(F947-Calc!F18),Inputs!$B$23)/100+Inputs!$B$23/100)/2</f>
        <v/>
      </c>
      <c r="M935">
        <f>L935*(1+(Inputs!$B$10+(F950-Calc!F21))/100)</f>
        <v/>
      </c>
      <c r="N935">
        <f>L935*(1-MIN(Inputs!$B$9+((F949-Calc!F20)+(F948-Calc!F19)),100)/100)+M935*(MIN(Inputs!$B$9+((F949-Calc!F20)+(F948-Calc!F19)),100)/100)</f>
        <v/>
      </c>
      <c r="O935">
        <f>(1-Summary!$B$51)*S935+Summary!$B$51*U935</f>
        <v/>
      </c>
      <c r="P935">
        <f>IF(B965=0,0,O935/B965)</f>
        <v/>
      </c>
      <c r="Q935">
        <f>IFERROR(1/IF(Inputs!$B$38="pvp",15,MAX(0.1,Skills!D6-IF(Skills!E6=TRUE,Inputs!$B$32,0))),0)</f>
        <v/>
      </c>
      <c r="R935">
        <f>IF(AND(Inputs!$B$38&lt;&gt;"pvp",Inputs!$B$43&gt;0),IF(MAX(0,Inputs!$B$43-B962)&lt;=0,0,(INT(MAX(0,Inputs!$B$43-B962)/IF(Inputs!$B$38="pvp",15,MAX(0.1,Skills!D6-IF(Skills!E6=TRUE,Inputs!$B$32,0))))+1)),0)</f>
        <v/>
      </c>
      <c r="S935">
        <f>IF(C935,(H935*N935*IF(AND(Inputs!$B$38&lt;&gt;"pvp",Inputs!$B$43&gt;0),((Skills!F6*((R935-1)*IF(Skills!G6&gt;0,Skills!H6/Skills!G6,1)+IF(Skills!G6&gt;0,MIN(Skills!H6,MAX(0,MAX(0,Inputs!$B$43-B962)-((R935-1)*IF(Inputs!$B$38="pvp",15,MAX(0.1,Skills!D6-IF(Skills!E6=TRUE,Inputs!$B$32,0))))))/Skills!G6,1)))/Inputs!$B$43),G935*Q935))*IF(Inputs!$B$38="pvp",1,1+(Inputs!$B$20+Skills!O6+B956)/100),0)</f>
        <v/>
      </c>
      <c r="U935">
        <f>IF(C935,(H935*N935*IF(AND(Inputs!$B$38&lt;&gt;"pvp",Inputs!$B$43&gt;0),((Skills!F6*((R935-1)*IF(Skills!G6&gt;0,Skills!H6/Skills!G6,1)+IF(Skills!G6&gt;0,MIN(Skills!H6,MAX(0,MAX(0,Inputs!$B$43-B962)-((R935-1)*IF(Inputs!$B$38="pvp",15,MAX(0.1,Skills!D6-IF(Skills!E6=TRUE,Inputs!$B$32,0))))))/Skills!G6,1)))/Inputs!$B$43),G935*Q935))*IF(Inputs!$B$38="pvp",1,(1+(Inputs!$B$21+Skills!P6+B956)/100)*(MIN(Skills!Q6,Inputs!$B$37))),0)</f>
        <v/>
      </c>
    </row>
    <row r="936">
      <c r="A936">
        <f>Skills!A7</f>
        <v/>
      </c>
      <c r="B936">
        <f>Skills!B7</f>
        <v/>
      </c>
      <c r="C936">
        <f>Inputs!$B$3&gt;=69</f>
        <v/>
      </c>
      <c r="D936">
        <f>IF(Skills!C7=1,60+Inputs!$B$25+Inputs!$B$29,IF(Skills!C7=2,90+Inputs!$B$26+Inputs!$B$29,IF(Skills!C7=3,120+Inputs!$B$27+Inputs!$B$29,MAX(0,(Inputs!$B$3-100)*3)+Inputs!$B$28+Inputs!$B$29)))</f>
        <v/>
      </c>
      <c r="E936">
        <f>INDEX(FactorTable!$B$2:$Y$301, MATCH(ROUND(MIN(300,MAX(1,D936)),0), FactorTable!$A$2:$A$301,0), Skills!L7+1)</f>
        <v/>
      </c>
      <c r="F936">
        <f>IF(Skills!M7=TRUE,(Skills!K7/10)*(E936/1000),Skills!K7/10)+Skills!N7</f>
        <v/>
      </c>
      <c r="G936">
        <f>Calc!G7</f>
        <v/>
      </c>
      <c r="H936">
        <f>Calc!H7</f>
        <v/>
      </c>
      <c r="I936">
        <f>IF(Skills!T7&lt;&gt;"",1+(Skills!T7/10)*(Z932/1000)/100,1)</f>
        <v/>
      </c>
      <c r="J936">
        <f>((Inputs!$B$6*(1+Inputs!$B$7/100))+(((Inputs!$B$12*(1+Inputs!$B$13/100))-(Inputs!$B$12*(1+Inputs!$B$13/100)))+0.25*(Inputs!$B$14-Inputs!$B$14))*(1+Inputs!$B$7/100))*(F936/100)</f>
        <v/>
      </c>
      <c r="K936">
        <f>J936*(1+((Inputs!$B$12*(1+Inputs!$B$13/100))*0.01+Inputs!$B$14*0.0025)/100)*(1+(Inputs!$B$15+B957)/100)*(1+Inputs!$B$16/100)*(5000/(6000+Inputs!$B$42*(1-Inputs!$B$19/100)))*(1+Inputs!$B$24/100)*(1+IF(C944=TRUE,F944,0)/100)*(1+IF(C952=TRUE,F952,0)/100)^5*(1+(IF(Skills!A7="CHAIN_LIGHTNING",Inputs!$B$17,Inputs!$B$18))/100)*(B955*I936)</f>
        <v/>
      </c>
      <c r="L936">
        <f>K936*(MIN(Inputs!$B$22+(F947-Calc!F18),Inputs!$B$23)/100+Inputs!$B$23/100)/2</f>
        <v/>
      </c>
      <c r="M936">
        <f>L936*(1+(Inputs!$B$10+(F950-Calc!F21))/100)</f>
        <v/>
      </c>
      <c r="N936">
        <f>L936*(1-MIN(Inputs!$B$9+((F949-Calc!F20)+(F948-Calc!F19)),100)/100)+M936*(MIN(Inputs!$B$9+((F949-Calc!F20)+(F948-Calc!F19)),100)/100)</f>
        <v/>
      </c>
      <c r="O936">
        <f>(1-Summary!$B$51)*S936+Summary!$B$51*U936</f>
        <v/>
      </c>
      <c r="P936">
        <f>IF(B965=0,0,O936/B965)</f>
        <v/>
      </c>
      <c r="Q936">
        <f>IFERROR(1/IF(Inputs!$B$38="pvp",15,MAX(0.1,Skills!D7-IF(Skills!E7=TRUE,Inputs!$B$32,0))),0)</f>
        <v/>
      </c>
      <c r="R936">
        <f>IF(AND(Inputs!$B$38&lt;&gt;"pvp",Inputs!$B$43&gt;0),IF(MAX(0,Inputs!$B$43-B962)&lt;=0,0,(INT(MAX(0,Inputs!$B$43-B962)/IF(Inputs!$B$38="pvp",15,MAX(0.1,Skills!D7-IF(Skills!E7=TRUE,Inputs!$B$32,0))))+1)),0)</f>
        <v/>
      </c>
      <c r="S936">
        <f>IF(C936,(H936*N936*IF(AND(Inputs!$B$38&lt;&gt;"pvp",Inputs!$B$43&gt;0),((Skills!F7*((R936-1)*IF(Skills!G7&gt;0,Skills!H7/Skills!G7,1)+IF(Skills!G7&gt;0,MIN(Skills!H7,MAX(0,MAX(0,Inputs!$B$43-B962)-((R936-1)*IF(Inputs!$B$38="pvp",15,MAX(0.1,Skills!D7-IF(Skills!E7=TRUE,Inputs!$B$32,0))))))/Skills!G7,1)))/Inputs!$B$43),G936*Q936))*IF(Inputs!$B$38="pvp",1,1+(Inputs!$B$20+Skills!O7+B956)/100),0)</f>
        <v/>
      </c>
      <c r="U936">
        <f>IF(C936,(H936*N936*IF(AND(Inputs!$B$38&lt;&gt;"pvp",Inputs!$B$43&gt;0),((Skills!F7*((R936-1)*IF(Skills!G7&gt;0,Skills!H7/Skills!G7,1)+IF(Skills!G7&gt;0,MIN(Skills!H7,MAX(0,MAX(0,Inputs!$B$43-B962)-((R936-1)*IF(Inputs!$B$38="pvp",15,MAX(0.1,Skills!D7-IF(Skills!E7=TRUE,Inputs!$B$32,0))))))/Skills!G7,1)))/Inputs!$B$43),G936*Q936))*IF(Inputs!$B$38="pvp",1,(1+(Inputs!$B$21+Skills!P7+B956)/100)*(MIN(Skills!Q7,Inputs!$B$37))),0)</f>
        <v/>
      </c>
    </row>
    <row r="937">
      <c r="A937">
        <f>Skills!A8</f>
        <v/>
      </c>
      <c r="B937">
        <f>Skills!B8</f>
        <v/>
      </c>
      <c r="C937">
        <f>Inputs!$B$3&gt;=103</f>
        <v/>
      </c>
      <c r="D937">
        <f>IF(Skills!C8=1,60+Inputs!$B$25+Inputs!$B$29,IF(Skills!C8=2,90+Inputs!$B$26+Inputs!$B$29,IF(Skills!C8=3,120+Inputs!$B$27+Inputs!$B$29,MAX(0,(Inputs!$B$3-100)*3)+Inputs!$B$28+Inputs!$B$29)))</f>
        <v/>
      </c>
      <c r="E937">
        <f>INDEX(FactorTable!$B$2:$Y$301, MATCH(ROUND(MIN(300,MAX(1,D937)),0), FactorTable!$A$2:$A$301,0), Skills!L8+1)</f>
        <v/>
      </c>
      <c r="F937">
        <f>IF(Skills!M8=TRUE,(Skills!K8/10)*(E937/1000),Skills!K8/10)+Skills!N8</f>
        <v/>
      </c>
      <c r="G937">
        <f>Calc!G8</f>
        <v/>
      </c>
      <c r="H937">
        <f>Calc!H8</f>
        <v/>
      </c>
      <c r="I937">
        <f>IF(Skills!T8&lt;&gt;"",1+(Skills!T8/10)*(Z932/1000)/100,1)</f>
        <v/>
      </c>
      <c r="J937">
        <f>((Inputs!$B$6*(1+Inputs!$B$7/100))+(((Inputs!$B$12*(1+Inputs!$B$13/100))-(Inputs!$B$12*(1+Inputs!$B$13/100)))+0.25*(Inputs!$B$14-Inputs!$B$14))*(1+Inputs!$B$7/100))*(F937/100)</f>
        <v/>
      </c>
      <c r="K937">
        <f>J937*(1+((Inputs!$B$12*(1+Inputs!$B$13/100))*0.01+Inputs!$B$14*0.0025)/100)*(1+(Inputs!$B$15+B957)/100)*(1+Inputs!$B$16/100)*(5000/(6000+Inputs!$B$42*(1-Inputs!$B$19/100)))*(1+Inputs!$B$24/100)*(1+IF(C944=TRUE,F944,0)/100)*(1+IF(C952=TRUE,F952,0)/100)^5*(1+(IF(Skills!A8="CHAIN_LIGHTNING",Inputs!$B$17,Inputs!$B$18))/100)*(B955*I937)</f>
        <v/>
      </c>
      <c r="L937">
        <f>K937*(MIN(Inputs!$B$22+(F947-Calc!F18),Inputs!$B$23)/100+Inputs!$B$23/100)/2</f>
        <v/>
      </c>
      <c r="M937">
        <f>L937*(1+(Inputs!$B$10+(F950-Calc!F21))/100)</f>
        <v/>
      </c>
      <c r="N937">
        <f>L937*(1-MIN(Inputs!$B$9+((F949-Calc!F20)+(F948-Calc!F19)),100)/100)+M937*(MIN(Inputs!$B$9+((F949-Calc!F20)+(F948-Calc!F19)),100)/100)</f>
        <v/>
      </c>
      <c r="O937">
        <f>(1-Summary!$B$51)*S937+Summary!$B$51*U937</f>
        <v/>
      </c>
      <c r="P937">
        <f>IF(B965=0,0,O937/B965)</f>
        <v/>
      </c>
      <c r="Q937">
        <f>IFERROR(1/IF(Inputs!$B$38="pvp",15,MAX(0.1,Skills!D8-IF(Skills!E8=TRUE,Inputs!$B$32,0))),0)</f>
        <v/>
      </c>
      <c r="R937">
        <f>IF(AND(Inputs!$B$38&lt;&gt;"pvp",Inputs!$B$43&gt;0),IF(MAX(0,Inputs!$B$43-B962)&lt;=0,0,(INT(MAX(0,Inputs!$B$43-B962)/IF(Inputs!$B$38="pvp",15,MAX(0.1,Skills!D8-IF(Skills!E8=TRUE,Inputs!$B$32,0))))+1)),0)</f>
        <v/>
      </c>
      <c r="S937">
        <f>IF(C937,(H937*N937*IF(AND(Inputs!$B$38&lt;&gt;"pvp",Inputs!$B$43&gt;0),((Skills!F8*((R937-1)*IF(Skills!G8&gt;0,Skills!H8/Skills!G8,1)+IF(Skills!G8&gt;0,MIN(Skills!H8,MAX(0,MAX(0,Inputs!$B$43-B962)-((R937-1)*IF(Inputs!$B$38="pvp",15,MAX(0.1,Skills!D8-IF(Skills!E8=TRUE,Inputs!$B$32,0))))))/Skills!G8,1)))/Inputs!$B$43),G937*Q937))*IF(Inputs!$B$38="pvp",1,1+(Inputs!$B$20+Skills!O8+B956)/100),0)</f>
        <v/>
      </c>
      <c r="U937">
        <f>IF(C937,(H937*N937*IF(AND(Inputs!$B$38&lt;&gt;"pvp",Inputs!$B$43&gt;0),((Skills!F8*((R937-1)*IF(Skills!G8&gt;0,Skills!H8/Skills!G8,1)+IF(Skills!G8&gt;0,MIN(Skills!H8,MAX(0,MAX(0,Inputs!$B$43-B962)-((R937-1)*IF(Inputs!$B$38="pvp",15,MAX(0.1,Skills!D8-IF(Skills!E8=TRUE,Inputs!$B$32,0))))))/Skills!G8,1)))/Inputs!$B$43),G937*Q937))*IF(Inputs!$B$38="pvp",1,(1+(Inputs!$B$21+Skills!P8+B956)/100)*(MIN(Skills!Q8,Inputs!$B$37))),0)</f>
        <v/>
      </c>
    </row>
    <row r="938">
      <c r="A938">
        <f>Skills!A9</f>
        <v/>
      </c>
      <c r="B938">
        <f>Skills!B9</f>
        <v/>
      </c>
      <c r="C938">
        <f>Inputs!$B$3&gt;=105</f>
        <v/>
      </c>
      <c r="D938">
        <f>IF(Skills!C9=1,60+Inputs!$B$25+Inputs!$B$29,IF(Skills!C9=2,90+Inputs!$B$26+Inputs!$B$29,IF(Skills!C9=3,120+Inputs!$B$27+Inputs!$B$29,MAX(0,(Inputs!$B$3-100)*3)+Inputs!$B$28+Inputs!$B$29)))</f>
        <v/>
      </c>
      <c r="E938">
        <f>INDEX(FactorTable!$B$2:$Y$301, MATCH(ROUND(MIN(300,MAX(1,D938)),0), FactorTable!$A$2:$A$301,0), Skills!L9+1)</f>
        <v/>
      </c>
      <c r="F938">
        <f>IF(Skills!M9=TRUE,(Skills!K9/10)*(E938/1000),Skills!K9/10)+Skills!N9</f>
        <v/>
      </c>
      <c r="G938">
        <f>Calc!G9</f>
        <v/>
      </c>
      <c r="H938">
        <f>Calc!H9</f>
        <v/>
      </c>
      <c r="I938">
        <f>IF(Skills!T9&lt;&gt;"",1+(Skills!T9/10)*(Z932/1000)/100,1)</f>
        <v/>
      </c>
      <c r="J938">
        <f>((Inputs!$B$6*(1+Inputs!$B$7/100))+(((Inputs!$B$12*(1+Inputs!$B$13/100))-(Inputs!$B$12*(1+Inputs!$B$13/100)))+0.25*(Inputs!$B$14-Inputs!$B$14))*(1+Inputs!$B$7/100))*(F938/100)</f>
        <v/>
      </c>
      <c r="K938">
        <f>J938*(1+((Inputs!$B$12*(1+Inputs!$B$13/100))*0.01+Inputs!$B$14*0.0025)/100)*(1+(Inputs!$B$15+B957)/100)*(1+Inputs!$B$16/100)*(5000/(6000+Inputs!$B$42*(1-Inputs!$B$19/100)))*(1+Inputs!$B$24/100)*(1+IF(C944=TRUE,F944,0)/100)*(1+IF(C952=TRUE,F952,0)/100)^5*(1+(IF(Skills!A9="CHAIN_LIGHTNING",Inputs!$B$17,Inputs!$B$18))/100)*(B955*I938)</f>
        <v/>
      </c>
      <c r="L938">
        <f>K938*(MIN(Inputs!$B$22+(F947-Calc!F18),Inputs!$B$23)/100+Inputs!$B$23/100)/2</f>
        <v/>
      </c>
      <c r="M938">
        <f>L938*(1+(Inputs!$B$10+(F950-Calc!F21))/100)</f>
        <v/>
      </c>
      <c r="N938">
        <f>L938*(1-MIN(Inputs!$B$9+((F949-Calc!F20)+(F948-Calc!F19)),100)/100)+M938*(MIN(Inputs!$B$9+((F949-Calc!F20)+(F948-Calc!F19)),100)/100)</f>
        <v/>
      </c>
      <c r="O938">
        <f>(1-Summary!$B$51)*S938+Summary!$B$51*U938</f>
        <v/>
      </c>
      <c r="P938">
        <f>IF(B965=0,0,O938/B965)</f>
        <v/>
      </c>
      <c r="Q938">
        <f>IFERROR(1/IF(Inputs!$B$38="pvp",15,MAX(0.1,Skills!D9-IF(Skills!E9=TRUE,Inputs!$B$32,0))),0)</f>
        <v/>
      </c>
      <c r="R938">
        <f>IF(AND(Inputs!$B$38&lt;&gt;"pvp",Inputs!$B$43&gt;0),IF(MAX(0,Inputs!$B$43-B962)&lt;=0,0,(INT(MAX(0,Inputs!$B$43-B962)/IF(Inputs!$B$38="pvp",15,MAX(0.1,Skills!D9-IF(Skills!E9=TRUE,Inputs!$B$32,0))))+1)),0)</f>
        <v/>
      </c>
      <c r="S938">
        <f>IF(C938,(H938*N938*IF(AND(Inputs!$B$38&lt;&gt;"pvp",Inputs!$B$43&gt;0),((Skills!F9*((R938-1)*IF(Skills!G9&gt;0,Skills!H9/Skills!G9,1)+IF(Skills!G9&gt;0,MIN(Skills!H9,MAX(0,MAX(0,Inputs!$B$43-B962)-((R938-1)*IF(Inputs!$B$38="pvp",15,MAX(0.1,Skills!D9-IF(Skills!E9=TRUE,Inputs!$B$32,0))))))/Skills!G9,1)))/Inputs!$B$43),G938*Q938))*IF(Inputs!$B$38="pvp",1,1+(Inputs!$B$20+Skills!O9+B956)/100),0)</f>
        <v/>
      </c>
      <c r="U938">
        <f>IF(C938,(H938*N938*IF(AND(Inputs!$B$38&lt;&gt;"pvp",Inputs!$B$43&gt;0),((Skills!F9*((R938-1)*IF(Skills!G9&gt;0,Skills!H9/Skills!G9,1)+IF(Skills!G9&gt;0,MIN(Skills!H9,MAX(0,MAX(0,Inputs!$B$43-B962)-((R938-1)*IF(Inputs!$B$38="pvp",15,MAX(0.1,Skills!D9-IF(Skills!E9=TRUE,Inputs!$B$32,0))))))/Skills!G9,1)))/Inputs!$B$43),G938*Q938))*IF(Inputs!$B$38="pvp",1,(1+(Inputs!$B$21+Skills!P9+B956)/100)*(MIN(Skills!Q9,Inputs!$B$37))),0)</f>
        <v/>
      </c>
    </row>
    <row r="939">
      <c r="A939">
        <f>Skills!A10</f>
        <v/>
      </c>
      <c r="B939">
        <f>Skills!B10</f>
        <v/>
      </c>
      <c r="C939">
        <f>Inputs!$B$3&gt;=113</f>
        <v/>
      </c>
      <c r="D939">
        <f>IF(Skills!C10=1,60+Inputs!$B$25+Inputs!$B$29,IF(Skills!C10=2,90+Inputs!$B$26+Inputs!$B$29,IF(Skills!C10=3,120+Inputs!$B$27+Inputs!$B$29,MAX(0,(Inputs!$B$3-100)*3)+Inputs!$B$28+Inputs!$B$29)))</f>
        <v/>
      </c>
      <c r="E939">
        <f>INDEX(FactorTable!$B$2:$Y$301, MATCH(ROUND(MIN(300,MAX(1,D939)),0), FactorTable!$A$2:$A$301,0), Skills!L10+1)</f>
        <v/>
      </c>
      <c r="F939">
        <f>IF(Skills!M10=TRUE,(Skills!K10/10)*(E939/1000),Skills!K10/10)+Skills!N10</f>
        <v/>
      </c>
      <c r="G939">
        <f>Calc!G10</f>
        <v/>
      </c>
      <c r="H939">
        <f>Calc!H10</f>
        <v/>
      </c>
      <c r="I939">
        <f>IF(Skills!T10&lt;&gt;"",1+(Skills!T10/10)*(Z932/1000)/100,1)</f>
        <v/>
      </c>
      <c r="J939">
        <f>((Inputs!$B$6*(1+Inputs!$B$7/100))+(((Inputs!$B$12*(1+Inputs!$B$13/100))-(Inputs!$B$12*(1+Inputs!$B$13/100)))+0.25*(Inputs!$B$14-Inputs!$B$14))*(1+Inputs!$B$7/100))*(F939/100)</f>
        <v/>
      </c>
      <c r="K939">
        <f>J939*(1+((Inputs!$B$12*(1+Inputs!$B$13/100))*0.01+Inputs!$B$14*0.0025)/100)*(1+(Inputs!$B$15+B957)/100)*(1+Inputs!$B$16/100)*(5000/(6000+Inputs!$B$42*(1-Inputs!$B$19/100)))*(1+Inputs!$B$24/100)*(1+IF(C944=TRUE,F944,0)/100)*(1+IF(C952=TRUE,F952,0)/100)^5*(1+(IF(Skills!A10="CHAIN_LIGHTNING",Inputs!$B$17,Inputs!$B$18))/100)*(B955*I939)</f>
        <v/>
      </c>
      <c r="L939">
        <f>K939*(MIN(Inputs!$B$22+(F947-Calc!F18),Inputs!$B$23)/100+Inputs!$B$23/100)/2</f>
        <v/>
      </c>
      <c r="M939">
        <f>L939*(1+(Inputs!$B$10+(F950-Calc!F21))/100)</f>
        <v/>
      </c>
      <c r="N939">
        <f>L939*(1-MIN(Inputs!$B$9+((F949-Calc!F20)+(F948-Calc!F19)),100)/100)+M939*(MIN(Inputs!$B$9+((F949-Calc!F20)+(F948-Calc!F19)),100)/100)</f>
        <v/>
      </c>
      <c r="O939">
        <f>(1-Summary!$B$51)*S939+Summary!$B$51*U939</f>
        <v/>
      </c>
      <c r="P939">
        <f>IF(B965=0,0,O939/B965)</f>
        <v/>
      </c>
      <c r="Q939">
        <f>IFERROR(1/IF(Inputs!$B$38="pvp",15,MAX(0.1,Skills!D10-IF(Skills!E9=TRUE,Inputs!$B$32,0))),0)</f>
        <v/>
      </c>
      <c r="R939">
        <f>IF(AND(Inputs!$B$38&lt;&gt;"pvp",Inputs!$B$43&gt;0),IF(MAX(0,Inputs!$B$43-B962)&lt;=0,0,(INT(MAX(0,Inputs!$B$43-B962)/IF(Inputs!$B$38="pvp",15,MAX(0.1,Skills!D10-IF(Skills!E9=TRUE,Inputs!$B$32,0))))+1)),0)</f>
        <v/>
      </c>
      <c r="S939">
        <f>IF(C939,(H939*N939*IF(AND(Inputs!$B$38&lt;&gt;"pvp",Inputs!$B$43&gt;0),((Skills!F10*((R939-1)*IF(Skills!G10&gt;0,Skills!H10/Skills!G10,1)+IF(Skills!G10&gt;0,MIN(Skills!H10,MAX(0,MAX(0,Inputs!$B$43-B962)-((R939-1)*IF(Inputs!$B$38="pvp",15,MAX(0.1,Skills!D10-IF(Skills!E9=TRUE,Inputs!$B$32,0))))))/Skills!G10,1)))/Inputs!$B$43),G939*Q939))*IF(Inputs!$B$38="pvp",1,1+(Inputs!$B$20+Skills!O10+B956)/100),0)</f>
        <v/>
      </c>
      <c r="U939">
        <f>IF(C939,(H939*N939*IF(AND(Inputs!$B$38&lt;&gt;"pvp",Inputs!$B$43&gt;0),((Skills!F10*((R939-1)*IF(Skills!G10&gt;0,Skills!H10/Skills!G10,1)+IF(Skills!G10&gt;0,MIN(Skills!H10,MAX(0,MAX(0,Inputs!$B$43-B962)-((R939-1)*IF(Inputs!$B$38="pvp",15,MAX(0.1,Skills!D10-IF(Skills!E9=TRUE,Inputs!$B$32,0))))))/Skills!G10,1)))/Inputs!$B$43),G939*Q939))*IF(Inputs!$B$38="pvp",1,(1+(Inputs!$B$21+Skills!P10+B956)/100)*(MIN(Skills!Q10,Inputs!$B$37))),0)</f>
        <v/>
      </c>
    </row>
    <row r="940">
      <c r="A940">
        <f>Skills!A11</f>
        <v/>
      </c>
      <c r="B940">
        <f>Skills!B11</f>
        <v/>
      </c>
      <c r="C940">
        <f>Inputs!$B$3&gt;=107</f>
        <v/>
      </c>
      <c r="D940">
        <f>IF(Skills!C11=1,60+Inputs!$B$25+Inputs!$B$29,IF(Skills!C11=2,90+Inputs!$B$26+Inputs!$B$29,IF(Skills!C11=3,120+Inputs!$B$27+Inputs!$B$29,MAX(0,(Inputs!$B$3-100)*3)+Inputs!$B$28+Inputs!$B$29)))</f>
        <v/>
      </c>
      <c r="E940">
        <f>INDEX(FactorTable!$B$2:$Y$301, MATCH(ROUND(MIN(300,MAX(1,D940)),0), FactorTable!$A$2:$A$301,0), Skills!L11+1)</f>
        <v/>
      </c>
      <c r="F940">
        <f>IF(Skills!M11=TRUE,(Skills!K11/10)*(E940/1000),Skills!K11/10)+Skills!N11</f>
        <v/>
      </c>
      <c r="G940">
        <f>Calc!G11</f>
        <v/>
      </c>
      <c r="H940">
        <f>Calc!H11</f>
        <v/>
      </c>
      <c r="I940">
        <f>IF(Skills!T11&lt;&gt;"",1+(Skills!T11/10)*(Z932/1000)/100,1)</f>
        <v/>
      </c>
      <c r="J940">
        <f>((Inputs!$B$6*(1+Inputs!$B$7/100))+(((Inputs!$B$12*(1+Inputs!$B$13/100))-(Inputs!$B$12*(1+Inputs!$B$13/100)))+0.25*(Inputs!$B$14-Inputs!$B$14))*(1+Inputs!$B$7/100))*(F940/100)</f>
        <v/>
      </c>
      <c r="K940">
        <f>J940*(1+((Inputs!$B$12*(1+Inputs!$B$13/100))*0.01+Inputs!$B$14*0.0025)/100)*(1+(Inputs!$B$15+B957)/100)*(1+Inputs!$B$16/100)*(5000/(6000+Inputs!$B$42*(1-Inputs!$B$19/100)))*(1+Inputs!$B$24/100)*(1+IF(C944=TRUE,F944,0)/100)*(1+IF(C952=TRUE,F952,0)/100)^5*(1+(IF(Skills!A11="CHAIN_LIGHTNING",Inputs!$B$17,Inputs!$B$18))/100)*(B955*I940)</f>
        <v/>
      </c>
      <c r="L940">
        <f>K940*(MIN(Inputs!$B$22+(F947-Calc!F18),Inputs!$B$23)/100+Inputs!$B$23/100)/2</f>
        <v/>
      </c>
      <c r="M940">
        <f>L940*(1+(Inputs!$B$10+(F950-Calc!F21))/100)</f>
        <v/>
      </c>
      <c r="N940">
        <f>L940*(1-MIN(Inputs!$B$9+((F949-Calc!F20)+(F948-Calc!F19)),100)/100)+M940*(MIN(Inputs!$B$9+((F949-Calc!F20)+(F948-Calc!F19)),100)/100)</f>
        <v/>
      </c>
      <c r="O940">
        <f>(1-Summary!$B$51)*S940+Summary!$B$51*U940</f>
        <v/>
      </c>
      <c r="P940">
        <f>IF(B965=0,0,O940/B965)</f>
        <v/>
      </c>
      <c r="Q940">
        <f>IFERROR(1/IF(Inputs!$B$38="pvp",15,MAX(0.1,Skills!D11-IF(Skills!E11=TRUE,Inputs!$B$32,0))),0)</f>
        <v/>
      </c>
      <c r="R940">
        <f>IF(AND(Inputs!$B$38&lt;&gt;"pvp",Inputs!$B$43&gt;0),IF(MAX(0,Inputs!$B$43-B962)&lt;=0,0,(INT(MAX(0,Inputs!$B$43-B962)/IF(Inputs!$B$38="pvp",15,MAX(0.1,Skills!D11-IF(Skills!E11=TRUE,Inputs!$B$32,0))))+1)),0)</f>
        <v/>
      </c>
      <c r="S940">
        <f>IF(C940,H940*N940*IF(AND(Inputs!$B$38&lt;&gt;"pvp",Inputs!$B$43&gt;0),((Skills!F11*((R940-1)*IF(Skills!G11&gt;0,Skills!H11/Skills!G11,1)+IF(Skills!G11&gt;0,MIN(Skills!H11,MAX(0,MAX(0,Inputs!$B$43-B962)-((R940-1)*IF(Inputs!$B$38="pvp",15,MAX(0.1,Skills!D11-IF(Skills!E11=TRUE,Inputs!$B$32,0))))))/Skills!G11,1)))/Inputs!$B$43),G940*Q940)*0.5*IF(Inputs!$B$38="pvp",1,1+(Inputs!$B$20+Skills!O11+B956)/100),0)</f>
        <v/>
      </c>
      <c r="U940">
        <f>IF(C940,H940*N940*IF(AND(Inputs!$B$38&lt;&gt;"pvp",Inputs!$B$43&gt;0),((Skills!F11*((R940-1)*IF(Skills!G11&gt;0,Skills!H11/Skills!G11,1)+IF(Skills!G11&gt;0,MIN(Skills!H11,MAX(0,MAX(0,Inputs!$B$43-B962)-((R940-1)*IF(Inputs!$B$38="pvp",15,MAX(0.1,Skills!D11-IF(Skills!E11=TRUE,Inputs!$B$32,0))))))/Skills!G11,1)))/Inputs!$B$43),G940*Q940)*1*IF(Inputs!$B$38="pvp",1,(1+(Inputs!$B$21+Skills!P11+B956)/100)*(MIN(Skills!Q11,Inputs!$B$37))),0)</f>
        <v/>
      </c>
    </row>
    <row r="941">
      <c r="A941">
        <f>Skills!A12</f>
        <v/>
      </c>
      <c r="B941">
        <f>Skills!B12</f>
        <v/>
      </c>
      <c r="C941">
        <f>Inputs!$B$3&gt;=115</f>
        <v/>
      </c>
      <c r="D941">
        <f>IF(Skills!C12=1,60+Inputs!$B$25+Inputs!$B$29,IF(Skills!C12=2,90+Inputs!$B$26+Inputs!$B$29,IF(Skills!C12=3,120+Inputs!$B$27+Inputs!$B$29,MAX(0,(Inputs!$B$3-100)*3)+Inputs!$B$28+Inputs!$B$29)))</f>
        <v/>
      </c>
      <c r="E941">
        <f>INDEX(FactorTable!$B$2:$Y$301, MATCH(ROUND(MIN(300,MAX(1,D941)),0), FactorTable!$A$2:$A$301,0), Skills!L12+1)</f>
        <v/>
      </c>
      <c r="F941">
        <f>IF(Skills!M12=TRUE,(Skills!K12/10)*(E941/1000),Skills!K12/10)+Skills!N12</f>
        <v/>
      </c>
      <c r="G941">
        <f>Calc!G12</f>
        <v/>
      </c>
      <c r="H941">
        <f>Calc!H12</f>
        <v/>
      </c>
      <c r="I941">
        <f>IF(Skills!T12&lt;&gt;"",1+(Skills!T12/10)*(Z932/1000)/100,1)</f>
        <v/>
      </c>
      <c r="J941">
        <f>((Inputs!$B$6*(1+Inputs!$B$7/100))+(((Inputs!$B$12*(1+Inputs!$B$13/100))-(Inputs!$B$12*(1+Inputs!$B$13/100)))+0.25*(Inputs!$B$14-Inputs!$B$14))*(1+Inputs!$B$7/100))*(F941/100)</f>
        <v/>
      </c>
      <c r="K941">
        <f>J941*(1+((Inputs!$B$12*(1+Inputs!$B$13/100))*0.01+Inputs!$B$14*0.0025)/100)*(1+(Inputs!$B$15+B957)/100)*(1+Inputs!$B$16/100)*(5000/(6000+Inputs!$B$42*(1-Inputs!$B$19/100)))*(1+Inputs!$B$24/100)*(1+IF(C944=TRUE,F944,0)/100)*(1+IF(C952=TRUE,F952,0)/100)^5*(1+(IF(Skills!A12="CHAIN_LIGHTNING",Inputs!$B$17,Inputs!$B$18))/100)*(B955*I941)</f>
        <v/>
      </c>
      <c r="L941">
        <f>K941*(MIN(Inputs!$B$22+(F947-Calc!F18),Inputs!$B$23)/100+Inputs!$B$23/100)/2</f>
        <v/>
      </c>
      <c r="M941">
        <f>L941*(1+(Inputs!$B$10+(F950-Calc!F21))/100)</f>
        <v/>
      </c>
      <c r="N941">
        <f>L941*(1-MIN(Inputs!$B$9+((F949-Calc!F20)+(F948-Calc!F19)),100)/100)+M941*(MIN(Inputs!$B$9+((F949-Calc!F20)+(F948-Calc!F19)),100)/100)</f>
        <v/>
      </c>
      <c r="O941">
        <f>(1-Summary!$B$51)*S941+Summary!$B$51*U941</f>
        <v/>
      </c>
      <c r="P941">
        <f>IF(B965=0,0,O941/B965)</f>
        <v/>
      </c>
      <c r="Q941">
        <f>IFERROR(1/IF(Inputs!$B$38="pvp",15,MAX(0.1,Skills!D12-IF(Skills!E12=TRUE,Inputs!$B$32,0))),0)</f>
        <v/>
      </c>
      <c r="R941">
        <f>IF(AND(Inputs!$B$38&lt;&gt;"pvp",Inputs!$B$43&gt;0),IF(MAX(0,Inputs!$B$43-B962)&lt;=0,0,(INT(MAX(0,Inputs!$B$43-B962)/IF(Inputs!$B$38="pvp",15,MAX(0.1,Skills!D12-IF(Skills!E12=TRUE,Inputs!$B$32,0))))+1)),0)</f>
        <v/>
      </c>
      <c r="S941">
        <f>IF(C941,(H941*N941*IF(AND(Inputs!$B$38&lt;&gt;"pvp",Inputs!$B$43&gt;0),((Skills!F12*((R941-1)*IF(Skills!G12&gt;0,Skills!H12/Skills!G12,1)+IF(Skills!G12&gt;0,MIN(Skills!H12,MAX(0,MAX(0,Inputs!$B$43-B962)-((R941-1)*IF(Inputs!$B$38="pvp",15,MAX(0.1,Skills!D12-IF(Skills!E12=TRUE,Inputs!$B$32,0))))))/Skills!G12,1)))/Inputs!$B$43),G941*Q941))*IF(Inputs!$B$38="pvp",1,1+(Inputs!$B$20+Skills!O12+B956)/100),0)</f>
        <v/>
      </c>
      <c r="U941">
        <f>IF(C941,(H941*N941*IF(AND(Inputs!$B$38&lt;&gt;"pvp",Inputs!$B$43&gt;0),((Skills!F12*((R941-1)*IF(Skills!G12&gt;0,Skills!H12/Skills!G12,1)+IF(Skills!G12&gt;0,MIN(Skills!H12,MAX(0,MAX(0,Inputs!$B$43-B962)-((R941-1)*IF(Inputs!$B$38="pvp",15,MAX(0.1,Skills!D12-IF(Skills!E12=TRUE,Inputs!$B$32,0))))))/Skills!G12,1)))/Inputs!$B$43),G941*Q941))*IF(Inputs!$B$38="pvp",1,(1+(Inputs!$B$21+Skills!P12+B956)/100)*(MIN(Skills!Q12,Inputs!$B$37))),0)</f>
        <v/>
      </c>
    </row>
    <row r="942">
      <c r="A942">
        <f>Skills!A13</f>
        <v/>
      </c>
      <c r="B942">
        <f>Skills!B13</f>
        <v/>
      </c>
      <c r="C942">
        <f>Inputs!$B$3&gt;=49</f>
        <v/>
      </c>
      <c r="D942">
        <f>IF(Skills!C13=1,60+Inputs!$B$25+Inputs!$B$29,IF(Skills!C13=2,90+Inputs!$B$26+Inputs!$B$29,IF(Skills!C13=3,120+Inputs!$B$27+Inputs!$B$29,MAX(0,(Inputs!$B$3-100)*3)+Inputs!$B$28+Inputs!$B$29)))</f>
        <v/>
      </c>
      <c r="E942">
        <f>INDEX(FactorTable!$B$2:$Y$301, MATCH(ROUND(MIN(300,MAX(1,D942)),0), FactorTable!$A$2:$A$301,0), Skills!L13+1)</f>
        <v/>
      </c>
      <c r="F942">
        <f>IF(Skills!M13=TRUE,(Skills!K13/10)*(E942/1000),Skills!K13/10)+Skills!N13</f>
        <v/>
      </c>
      <c r="G942">
        <f>Calc!G13</f>
        <v/>
      </c>
      <c r="H942">
        <f>Calc!H13</f>
        <v/>
      </c>
      <c r="I942">
        <f>IF(Skills!T13&lt;&gt;"",1+(Skills!T13/10)*(Z932/1000)/100,1)</f>
        <v/>
      </c>
      <c r="J942" t="inlineStr"/>
      <c r="K942" t="inlineStr"/>
      <c r="L942" t="inlineStr"/>
      <c r="M942" t="inlineStr"/>
      <c r="N942" t="inlineStr"/>
      <c r="O942">
        <f>(1-Summary!$B$51)*S942+Summary!$B$51*U942</f>
        <v/>
      </c>
      <c r="P942">
        <f>IF(B965=0,0,O942/B965)</f>
        <v/>
      </c>
      <c r="Q942">
        <f>IFERROR(1/IF(Inputs!$B$38="pvp",15,MAX(0.1,Skills!D13-IF(Skills!E13=TRUE,Inputs!$B$32,0))),0)</f>
        <v/>
      </c>
      <c r="R942" t="n">
        <v>0</v>
      </c>
      <c r="S942" t="n">
        <v>0</v>
      </c>
      <c r="U942" t="n">
        <v>0</v>
      </c>
    </row>
    <row r="943">
      <c r="A943">
        <f>Skills!A14</f>
        <v/>
      </c>
      <c r="B943">
        <f>Skills!B14</f>
        <v/>
      </c>
      <c r="C943">
        <f>Inputs!$B$3&gt;=72</f>
        <v/>
      </c>
      <c r="D943">
        <f>IF(Skills!C14=1,60+Inputs!$B$25+Inputs!$B$29,IF(Skills!C14=2,90+Inputs!$B$26+Inputs!$B$29,IF(Skills!C14=3,120+Inputs!$B$27+Inputs!$B$29,MAX(0,(Inputs!$B$3-100)*3)+Inputs!$B$28+Inputs!$B$29)))</f>
        <v/>
      </c>
      <c r="E943">
        <f>INDEX(FactorTable!$B$2:$Y$301, MATCH(ROUND(MIN(300,MAX(1,D943)),0), FactorTable!$A$2:$A$301,0), Skills!L14+1)</f>
        <v/>
      </c>
      <c r="F943">
        <f>IF(Skills!M14=TRUE,(Skills!K14/10)*(E943/1000),Skills!K14/10)+Skills!N14</f>
        <v/>
      </c>
      <c r="G943">
        <f>Calc!G14</f>
        <v/>
      </c>
      <c r="H943">
        <f>Calc!H14</f>
        <v/>
      </c>
      <c r="I943">
        <f>IF(Skills!T14&lt;&gt;"",1+(Skills!T14/10)*(Z932/1000)/100,1)</f>
        <v/>
      </c>
      <c r="J943" t="inlineStr"/>
      <c r="K943" t="inlineStr"/>
      <c r="L943" t="inlineStr"/>
      <c r="M943" t="inlineStr"/>
      <c r="N943" t="inlineStr"/>
      <c r="O943">
        <f>(1-Summary!$B$51)*S943+Summary!$B$51*U943</f>
        <v/>
      </c>
      <c r="P943">
        <f>IF(B965=0,0,O943/B965)</f>
        <v/>
      </c>
      <c r="Q943">
        <f>IFERROR(1/IF(Inputs!$B$38="pvp",15,MAX(0.1,Skills!D14-IF(Skills!E14=TRUE,Inputs!$B$32,0))),0)</f>
        <v/>
      </c>
      <c r="R943" t="n">
        <v>0</v>
      </c>
      <c r="S943" t="n">
        <v>0</v>
      </c>
      <c r="U943" t="n">
        <v>0</v>
      </c>
    </row>
    <row r="944">
      <c r="A944">
        <f>Skills!A15</f>
        <v/>
      </c>
      <c r="B944">
        <f>Skills!B15</f>
        <v/>
      </c>
      <c r="C944">
        <f>Inputs!$B$3&gt;=75</f>
        <v/>
      </c>
      <c r="D944">
        <f>IF(Skills!C15=1,60+Inputs!$B$25+Inputs!$B$29,IF(Skills!C15=2,90+Inputs!$B$26+Inputs!$B$29,IF(Skills!C15=3,120+Inputs!$B$27+Inputs!$B$29,MAX(0,(Inputs!$B$3-100)*3)+Inputs!$B$28+Inputs!$B$29)))</f>
        <v/>
      </c>
      <c r="E944">
        <f>INDEX(FactorTable!$B$2:$Y$301, MATCH(ROUND(MIN(300,MAX(1,D944)),0), FactorTable!$A$2:$A$301,0), Skills!L15+1)</f>
        <v/>
      </c>
      <c r="F944">
        <f>IF(Skills!M15=TRUE,(Skills!K15/10)*(E944/1000),Skills!K15/10)+Skills!N15</f>
        <v/>
      </c>
      <c r="G944">
        <f>Calc!G15</f>
        <v/>
      </c>
      <c r="H944">
        <f>Calc!H15</f>
        <v/>
      </c>
      <c r="I944">
        <f>IF(Skills!T15&lt;&gt;"",1+(Skills!T15/10)*(Z932/1000)/100,1)</f>
        <v/>
      </c>
      <c r="J944" t="inlineStr"/>
      <c r="K944" t="inlineStr"/>
      <c r="L944" t="inlineStr"/>
      <c r="M944" t="inlineStr"/>
      <c r="N944" t="inlineStr"/>
      <c r="O944">
        <f>(1-Summary!$B$51)*S944+Summary!$B$51*U944</f>
        <v/>
      </c>
      <c r="P944">
        <f>IF(B965=0,0,O944/B965)</f>
        <v/>
      </c>
      <c r="Q944">
        <f>IFERROR(1/IF(Inputs!$B$38="pvp",15,MAX(0.1,Skills!D15-IF(Skills!E15=TRUE,Inputs!$B$32,0))),0)</f>
        <v/>
      </c>
      <c r="R944" t="n">
        <v>0</v>
      </c>
      <c r="S944" t="n">
        <v>0</v>
      </c>
      <c r="U944" t="n">
        <v>0</v>
      </c>
    </row>
    <row r="945">
      <c r="A945">
        <f>Skills!A16</f>
        <v/>
      </c>
      <c r="B945">
        <f>Skills!B16</f>
        <v/>
      </c>
      <c r="C945">
        <f>Inputs!$B$3&gt;=110</f>
        <v/>
      </c>
      <c r="D945">
        <f>IF(Skills!C16=1,60+Inputs!$B$25+Inputs!$B$29,IF(Skills!C16=2,90+Inputs!$B$26+Inputs!$B$29,IF(Skills!C16=3,120+Inputs!$B$27+Inputs!$B$29,MAX(0,(Inputs!$B$3-100)*3)+Inputs!$B$28+Inputs!$B$29)))</f>
        <v/>
      </c>
      <c r="E945">
        <f>INDEX(FactorTable!$B$2:$Y$301, MATCH(ROUND(MIN(300,MAX(1,D945)),0), FactorTable!$A$2:$A$301,0), Skills!L16+1)</f>
        <v/>
      </c>
      <c r="F945">
        <f>(Skills!K16/10)*(E945/1000)*64/45+Skills!N16</f>
        <v/>
      </c>
      <c r="G945">
        <f>Calc!G16</f>
        <v/>
      </c>
      <c r="H945">
        <f>Calc!H16</f>
        <v/>
      </c>
      <c r="I945">
        <f>IF(Skills!T16&lt;&gt;"",1+(Skills!T16/10)*(Z932/1000)/100,1)</f>
        <v/>
      </c>
      <c r="J945" t="inlineStr"/>
      <c r="K945" t="inlineStr"/>
      <c r="L945" t="inlineStr"/>
      <c r="M945" t="inlineStr"/>
      <c r="N945" t="inlineStr"/>
      <c r="O945">
        <f>(1-Summary!$B$51)*S945+Summary!$B$51*U945</f>
        <v/>
      </c>
      <c r="P945">
        <f>IF(B965=0,0,O945/B965)</f>
        <v/>
      </c>
      <c r="Q945">
        <f>IFERROR(1/IF(Inputs!$B$38="pvp",15,MAX(0.1,Skills!D16-IF(Skills!E16=TRUE,Inputs!$B$32,0))),0)</f>
        <v/>
      </c>
      <c r="R945">
        <f>IF(AND(Inputs!$B$38&lt;&gt;"pvp",Inputs!$B$43&gt;0),IF(Inputs!$B$43&lt;=0,0,(INT(Inputs!$B$43/IF(Inputs!$B$38="pvp",15,MAX(0.1,Skills!D16-IF(Skills!E16=TRUE,Inputs!$B$32,0))))+1)),0)</f>
        <v/>
      </c>
      <c r="S945" t="n">
        <v>0</v>
      </c>
      <c r="U945" t="n">
        <v>0</v>
      </c>
    </row>
    <row r="946">
      <c r="A946">
        <f>Skills!A17</f>
        <v/>
      </c>
      <c r="B946">
        <f>Skills!B17</f>
        <v/>
      </c>
      <c r="C946">
        <f>Inputs!$B$3&gt;=33</f>
        <v/>
      </c>
      <c r="D946">
        <f>IF(Skills!C17=1,60+Inputs!$B$25+Inputs!$B$29,IF(Skills!C17=2,90+Inputs!$B$26+Inputs!$B$29,IF(Skills!C17=3,120+Inputs!$B$27+Inputs!$B$29,MAX(0,(Inputs!$B$3-100)*3)+Inputs!$B$28+Inputs!$B$29)))</f>
        <v/>
      </c>
      <c r="E946">
        <f>INDEX(FactorTable!$B$2:$Y$301, MATCH(ROUND(MIN(300,MAX(1,D946)),0), FactorTable!$A$2:$A$301,0), Skills!L17+1)</f>
        <v/>
      </c>
      <c r="F946">
        <f>IF(Skills!M17=TRUE,(Skills!K17/10)*(E946/1000),Skills!K17/10)+Skills!N17</f>
        <v/>
      </c>
      <c r="G946">
        <f>Calc!G17</f>
        <v/>
      </c>
      <c r="H946">
        <f>Calc!H17</f>
        <v/>
      </c>
      <c r="I946">
        <f>IF(Skills!T17&lt;&gt;"",1+(Skills!T17/10)*(Z932/1000)/100,1)</f>
        <v/>
      </c>
      <c r="J946" t="inlineStr"/>
      <c r="K946" t="inlineStr"/>
      <c r="L946" t="inlineStr"/>
      <c r="M946" t="inlineStr"/>
      <c r="N946" t="inlineStr"/>
      <c r="O946">
        <f>(1-Summary!$B$51)*S946+Summary!$B$51*U946</f>
        <v/>
      </c>
      <c r="P946">
        <f>IF(B965=0,0,O946/B965)</f>
        <v/>
      </c>
      <c r="Q946">
        <f>IFERROR(1/IF(Inputs!$B$38="pvp",15,MAX(0.1,Skills!D17-IF(Skills!E17=TRUE,Inputs!$B$32,0))),0)</f>
        <v/>
      </c>
      <c r="R946" t="n">
        <v>0</v>
      </c>
      <c r="S946" t="n">
        <v>0</v>
      </c>
      <c r="U946" t="n">
        <v>0</v>
      </c>
    </row>
    <row r="947">
      <c r="A947">
        <f>Skills!A18</f>
        <v/>
      </c>
      <c r="B947">
        <f>Skills!B18</f>
        <v/>
      </c>
      <c r="C947">
        <f>Inputs!$B$3&gt;=43</f>
        <v/>
      </c>
      <c r="D947">
        <f>IF(Skills!C18=1,60+Inputs!$B$25+Inputs!$B$29,IF(Skills!C18=2,90+Inputs!$B$26+Inputs!$B$29,IF(Skills!C18=3,120+Inputs!$B$27+Inputs!$B$29,MAX(0,(Inputs!$B$3-100)*3)+Inputs!$B$28+Inputs!$B$29)))</f>
        <v/>
      </c>
      <c r="E947">
        <f>INDEX(FactorTable!$B$2:$Y$301, MATCH(ROUND(MIN(300,MAX(1,D947)),0), FactorTable!$A$2:$A$301,0), Skills!L18+1)</f>
        <v/>
      </c>
      <c r="F947">
        <f>IF(Skills!M18=TRUE,(Skills!K18/10)*(E947/1000),Skills!K18/10)+Skills!N18</f>
        <v/>
      </c>
      <c r="G947">
        <f>Calc!G18</f>
        <v/>
      </c>
      <c r="H947">
        <f>Calc!H18</f>
        <v/>
      </c>
      <c r="I947">
        <f>IF(Skills!T18&lt;&gt;"",1+(Skills!T18/10)*(Z932/1000)/100,1)</f>
        <v/>
      </c>
      <c r="J947" t="inlineStr"/>
      <c r="K947" t="inlineStr"/>
      <c r="L947" t="inlineStr"/>
      <c r="M947" t="inlineStr"/>
      <c r="N947" t="inlineStr"/>
      <c r="O947">
        <f>(1-Summary!$B$51)*S947+Summary!$B$51*U947</f>
        <v/>
      </c>
      <c r="P947">
        <f>IF(B965=0,0,O947/B965)</f>
        <v/>
      </c>
      <c r="Q947">
        <f>IFERROR(1/IF(Inputs!$B$38="pvp",15,MAX(0.1,Skills!D18-IF(Skills!E18=TRUE,Inputs!$B$32,0))),0)</f>
        <v/>
      </c>
      <c r="R947" t="n">
        <v>0</v>
      </c>
      <c r="S947" t="n">
        <v>0</v>
      </c>
      <c r="U947" t="n">
        <v>0</v>
      </c>
    </row>
    <row r="948">
      <c r="A948">
        <f>Skills!A19</f>
        <v/>
      </c>
      <c r="B948">
        <f>Skills!B19</f>
        <v/>
      </c>
      <c r="C948">
        <f>Inputs!$B$3&gt;=50</f>
        <v/>
      </c>
      <c r="D948">
        <f>IF(Skills!C19=1,60+Inputs!$B$25+Inputs!$B$29,IF(Skills!C19=2,90+Inputs!$B$26+Inputs!$B$29,IF(Skills!C19=3,120+Inputs!$B$27+Inputs!$B$29,MAX(0,(Inputs!$B$3-100)*3)+Inputs!$B$28+Inputs!$B$29)))</f>
        <v/>
      </c>
      <c r="E948">
        <f>INDEX(FactorTable!$B$2:$Y$301, MATCH(ROUND(MIN(300,MAX(1,D948)),0), FactorTable!$A$2:$A$301,0), Skills!L19+1)</f>
        <v/>
      </c>
      <c r="F948">
        <f>IF(Skills!M19=TRUE,(Skills!K19/10)*(E948/1000),Skills!K19/10)+Skills!N19</f>
        <v/>
      </c>
      <c r="G948">
        <f>Calc!G19</f>
        <v/>
      </c>
      <c r="H948">
        <f>Calc!H19</f>
        <v/>
      </c>
      <c r="I948">
        <f>IF(Skills!T19&lt;&gt;"",1+(Skills!T19/10)*(Z932/1000)/100,1)</f>
        <v/>
      </c>
      <c r="J948" t="inlineStr"/>
      <c r="K948" t="inlineStr"/>
      <c r="L948" t="inlineStr"/>
      <c r="M948" t="inlineStr"/>
      <c r="N948" t="inlineStr"/>
      <c r="O948">
        <f>(1-Summary!$B$51)*S948+Summary!$B$51*U948</f>
        <v/>
      </c>
      <c r="P948">
        <f>IF(B965=0,0,O948/B965)</f>
        <v/>
      </c>
      <c r="Q948">
        <f>IFERROR(1/IF(Inputs!$B$38="pvp",15,MAX(0.1,Skills!D19-IF(Skills!E19=TRUE,Inputs!$B$32,0))),0)</f>
        <v/>
      </c>
      <c r="R948" t="n">
        <v>0</v>
      </c>
      <c r="S948" t="n">
        <v>0</v>
      </c>
      <c r="U948" t="n">
        <v>0</v>
      </c>
    </row>
    <row r="949">
      <c r="A949">
        <f>Skills!A20</f>
        <v/>
      </c>
      <c r="B949">
        <f>Skills!B20</f>
        <v/>
      </c>
      <c r="C949">
        <f>Inputs!$B$3&gt;=74</f>
        <v/>
      </c>
      <c r="D949">
        <f>IF(Skills!C20=1,60+Inputs!$B$25+Inputs!$B$29,IF(Skills!C20=2,90+Inputs!$B$26+Inputs!$B$29,IF(Skills!C20=3,120+Inputs!$B$27+Inputs!$B$29,MAX(0,(Inputs!$B$3-100)*3)+Inputs!$B$28+Inputs!$B$29)))</f>
        <v/>
      </c>
      <c r="E949">
        <f>INDEX(FactorTable!$B$2:$Y$301, MATCH(ROUND(MIN(300,MAX(1,D949)),0), FactorTable!$A$2:$A$301,0), Skills!L20+1)</f>
        <v/>
      </c>
      <c r="F949">
        <f>IF(Skills!M20=TRUE,(Skills!K20/10)*(E949/1000),Skills!K20/10)+Skills!N20</f>
        <v/>
      </c>
      <c r="G949">
        <f>Calc!G20</f>
        <v/>
      </c>
      <c r="H949">
        <f>Calc!H20</f>
        <v/>
      </c>
      <c r="I949">
        <f>IF(Skills!T20&lt;&gt;"",1+(Skills!T20/10)*(Z932/1000)/100,1)</f>
        <v/>
      </c>
      <c r="J949" t="inlineStr"/>
      <c r="K949" t="inlineStr"/>
      <c r="L949" t="inlineStr"/>
      <c r="M949" t="inlineStr"/>
      <c r="N949" t="inlineStr"/>
      <c r="O949">
        <f>(1-Summary!$B$51)*S949+Summary!$B$51*U949</f>
        <v/>
      </c>
      <c r="P949">
        <f>IF(B965=0,0,O949/B965)</f>
        <v/>
      </c>
      <c r="Q949">
        <f>IFERROR(1/IF(Inputs!$B$38="pvp",15,MAX(0.1,Skills!D20-IF(Skills!E20=TRUE,Inputs!$B$32,0))),0)</f>
        <v/>
      </c>
      <c r="R949" t="n">
        <v>0</v>
      </c>
      <c r="S949" t="n">
        <v>0</v>
      </c>
      <c r="U949" t="n">
        <v>0</v>
      </c>
    </row>
    <row r="950">
      <c r="A950">
        <f>Skills!A21</f>
        <v/>
      </c>
      <c r="B950">
        <f>Skills!B21</f>
        <v/>
      </c>
      <c r="C950">
        <f>Inputs!$B$3&gt;=74</f>
        <v/>
      </c>
      <c r="D950">
        <f>IF(Skills!C21=1,60+Inputs!$B$25+Inputs!$B$29,IF(Skills!C21=2,90+Inputs!$B$26+Inputs!$B$29,IF(Skills!C21=3,120+Inputs!$B$27+Inputs!$B$29,MAX(0,(Inputs!$B$3-100)*3)+Inputs!$B$28+Inputs!$B$29)))</f>
        <v/>
      </c>
      <c r="E950">
        <f>INDEX(FactorTable!$B$2:$Y$301, MATCH(ROUND(MIN(300,MAX(1,D950)),0), FactorTable!$A$2:$A$301,0), Skills!L21+1)</f>
        <v/>
      </c>
      <c r="F950">
        <f>IF(Skills!M21=TRUE,(Skills!K21/10)*(E950/1000),Skills!K21/10)+Skills!N21</f>
        <v/>
      </c>
      <c r="G950">
        <f>Calc!G21</f>
        <v/>
      </c>
      <c r="H950">
        <f>Calc!H21</f>
        <v/>
      </c>
      <c r="I950">
        <f>IF(Skills!T21&lt;&gt;"",1+(Skills!T21/10)*(Z932/1000)/100,1)</f>
        <v/>
      </c>
      <c r="J950" t="inlineStr"/>
      <c r="K950" t="inlineStr"/>
      <c r="L950" t="inlineStr"/>
      <c r="M950" t="inlineStr"/>
      <c r="N950" t="inlineStr"/>
      <c r="O950">
        <f>(1-Summary!$B$51)*S950+Summary!$B$51*U950</f>
        <v/>
      </c>
      <c r="P950">
        <f>IF(B965=0,0,O950/B965)</f>
        <v/>
      </c>
      <c r="Q950">
        <f>IFERROR(1/IF(Inputs!$B$38="pvp",15,MAX(0.1,Skills!D21-IF(Skills!E21=TRUE,Inputs!$B$32,0))),0)</f>
        <v/>
      </c>
      <c r="R950" t="n">
        <v>0</v>
      </c>
      <c r="S950" t="n">
        <v>0</v>
      </c>
      <c r="U950" t="n">
        <v>0</v>
      </c>
    </row>
    <row r="951">
      <c r="A951">
        <f>Skills!A22</f>
        <v/>
      </c>
      <c r="B951">
        <f>Skills!B22</f>
        <v/>
      </c>
      <c r="C951">
        <f>Inputs!$B$3&gt;=117</f>
        <v/>
      </c>
      <c r="D951">
        <f>IF(Skills!C22=1,60+Inputs!$B$25+Inputs!$B$29,IF(Skills!C22=2,90+Inputs!$B$26+Inputs!$B$29,IF(Skills!C22=3,120+Inputs!$B$27+Inputs!$B$29,MAX(0,(Inputs!$B$3-100)*3)+Inputs!$B$28+Inputs!$B$29)))</f>
        <v/>
      </c>
      <c r="E951">
        <f>INDEX(FactorTable!$B$2:$Y$301, MATCH(ROUND(MIN(300,MAX(1,D951)),0), FactorTable!$A$2:$A$301,0), Skills!L22+1)</f>
        <v/>
      </c>
      <c r="F951">
        <f>IF(Skills!M22=TRUE,(Skills!K22/10)*(E951/1000),Skills!K22/10)+Skills!N22</f>
        <v/>
      </c>
      <c r="G951">
        <f>Calc!G22</f>
        <v/>
      </c>
      <c r="H951">
        <f>Calc!H22</f>
        <v/>
      </c>
      <c r="I951">
        <f>IF(Skills!T22&lt;&gt;"",1+(Skills!T22/10)*(Z932/1000)/100,1)</f>
        <v/>
      </c>
      <c r="J951" t="inlineStr"/>
      <c r="K951" t="inlineStr"/>
      <c r="L951" t="inlineStr"/>
      <c r="M951" t="inlineStr"/>
      <c r="N951" t="inlineStr"/>
      <c r="O951">
        <f>(1-Summary!$B$51)*S951+Summary!$B$51*U951</f>
        <v/>
      </c>
      <c r="P951">
        <f>IF(B965=0,0,O951/B965)</f>
        <v/>
      </c>
      <c r="Q951">
        <f>IFERROR(1/IF(Inputs!$B$38="pvp",15,MAX(0.1,Skills!D22-IF(Skills!E22=TRUE,Inputs!$B$32,0))),0)</f>
        <v/>
      </c>
      <c r="R951" t="n">
        <v>0</v>
      </c>
      <c r="S951" t="n">
        <v>0</v>
      </c>
      <c r="U951" t="n">
        <v>0</v>
      </c>
    </row>
    <row r="952">
      <c r="A952">
        <f>Skills!A23</f>
        <v/>
      </c>
      <c r="B952">
        <f>Skills!B23</f>
        <v/>
      </c>
      <c r="C952">
        <f>Inputs!$B$3&gt;=120</f>
        <v/>
      </c>
      <c r="D952">
        <f>IF(Skills!C23=1,60+Inputs!$B$25+Inputs!$B$29,IF(Skills!C23=2,90+Inputs!$B$26+Inputs!$B$29,IF(Skills!C23=3,120+Inputs!$B$27+Inputs!$B$29,MAX(0,(Inputs!$B$3-100)*3)+Inputs!$B$28+Inputs!$B$29)))</f>
        <v/>
      </c>
      <c r="E952">
        <f>INDEX(FactorTable!$B$2:$Y$301, MATCH(ROUND(MIN(300,MAX(1,D952)),0), FactorTable!$A$2:$A$301,0), Skills!L23+1)</f>
        <v/>
      </c>
      <c r="F952">
        <f>IF(Skills!M23=TRUE,(Skills!K23/10)*(E952/1000),Skills!K23/10)+Skills!N23</f>
        <v/>
      </c>
      <c r="G952">
        <f>Calc!G23</f>
        <v/>
      </c>
      <c r="H952">
        <f>Calc!H23</f>
        <v/>
      </c>
      <c r="I952">
        <f>IF(Skills!T23&lt;&gt;"",1+(Skills!T23/10)*(Z932/1000)/100,1)</f>
        <v/>
      </c>
      <c r="J952" t="inlineStr"/>
      <c r="K952" t="inlineStr"/>
      <c r="L952" t="inlineStr"/>
      <c r="M952" t="inlineStr"/>
      <c r="N952" t="inlineStr"/>
      <c r="O952">
        <f>(1-Summary!$B$51)*S952+Summary!$B$51*U952</f>
        <v/>
      </c>
      <c r="P952">
        <f>IF(B965=0,0,O952/B965)</f>
        <v/>
      </c>
      <c r="Q952">
        <f>IFERROR(1/IF(Inputs!$B$38="pvp",15,MAX(0.1,Skills!D23-IF(Skills!E23=TRUE,Inputs!$B$32,0))),0)</f>
        <v/>
      </c>
      <c r="R952" t="n">
        <v>0</v>
      </c>
      <c r="S952" t="n">
        <v>0</v>
      </c>
      <c r="U952" t="n">
        <v>0</v>
      </c>
    </row>
    <row r="955">
      <c r="A955" t="inlineStr">
        <is>
          <t>Average Buff Multiplier (Magic Guard + Meditation, summed; then Infinity)</t>
        </is>
      </c>
      <c r="B955">
        <f>(1+(IF(C932=TRUE,F932*IF(AND(Inputs!$B$38&lt;&gt;"pvp",Inputs!$B$43&gt;0),(((R932-1)*(Skills!S3*(1+(Inputs!$B$34+IF(Inputs!$B$3&gt;=117,F951,0))/100))+MIN((Skills!S3*(1+(Inputs!$B$34+IF(Inputs!$B$3&gt;=117,F951,0))/100)),MAX(0,Inputs!$B$43-((R932-1)*Skills!D3))))/Inputs!$B$43),IF(Inputs!$B$38="pvp",MIN((Skills!S3*(1+(Inputs!$B$34+IF(Inputs!$B$3&gt;=117,F951,0))/100)),15)/15,(Skills!S3*(1+(Inputs!$B$34+IF(Inputs!$B$3&gt;=117,F951,0))/100))/Skills!D3)),0)+IF(C933=TRUE,F933*IF(AND(Inputs!$B$38&lt;&gt;"pvp",Inputs!$B$43&gt;0),(((R933-1)*(Skills!S4*(1+(Inputs!$B$34+IF(Inputs!$B$3&gt;=117,F951,0))/100))+MIN((Skills!S4*(1+(Inputs!$B$34+IF(Inputs!$B$3&gt;=117,F951,0))/100)),MAX(0,Inputs!$B$43-((R933-1)*Skills!D4))))/Inputs!$B$43),IF(Inputs!$B$38="pvp",MIN((Skills!S4*(1+(Inputs!$B$34+IF(Inputs!$B$3&gt;=117,F951,0))/100)),15)/15,(Skills!S4*(1+(Inputs!$B$34+IF(Inputs!$B$3&gt;=117,F951,0))/100))/Skills!D4)),0))/100)*IF(C945=TRUE,(1+F945*IF(AND(Inputs!$B$38&lt;&gt;"pvp",Inputs!$B$43&gt;0),(((R945-1)*(Skills!S16*(1+(Inputs!$B$34+IF(Inputs!$B$3&gt;=117,F951,0))/100))+MIN((Skills!S16*(1+(Inputs!$B$34+IF(Inputs!$B$3&gt;=117,F951,0))/100)),MAX(0,Inputs!$B$43-((R945-1)*Skills!D16))))/Inputs!$B$43),IF(Inputs!$B$38="pvp",MIN((Skills!S16*(1+(Inputs!$B$34+IF(Inputs!$B$3&gt;=117,F951,0))/100)),15)/15,(Skills!S16*(1+(Inputs!$B$34+IF(Inputs!$B$3&gt;=117,F951,0))/100))/Skills!D16))/100),1)</f>
        <v/>
      </c>
    </row>
    <row r="956">
      <c r="A956" t="inlineStr">
        <is>
          <t>Monster Damage Taken Bonus % (Freezing Breath - Weaken + Elemental Reset, summed)</t>
        </is>
      </c>
      <c r="B956">
        <f>IF(Inputs!$B$3&gt;=118,15*IF(Inputs!$B$38="pvp",MIN((30*(1+(Inputs!$B$34+IF(Inputs!$B$3&gt;=117,F951,0))/100)),15)/15,(30*(1+(Inputs!$B$34+IF(Inputs!$B$3&gt;=117,F951,0))/100))/Skills!D8),0)+IF(C943=TRUE,F943,0)</f>
        <v/>
      </c>
    </row>
    <row r="957">
      <c r="A957" t="inlineStr">
        <is>
          <t>Damage % Bonus (Frozen Break + Frost Clutch, flat)</t>
        </is>
      </c>
      <c r="B957">
        <f>IF(Inputs!$B$3&gt;=66,15,0)+IF(Inputs!$B$3&gt;=98,10,0)+IF(Inputs!$B$3&gt;=125,20,0)</f>
        <v/>
      </c>
    </row>
    <row r="958">
      <c r="A958" t="inlineStr">
        <is>
          <t>Attack Speed Bonus % (MP Eater - MP Boost, always-on once unlocked)</t>
        </is>
      </c>
      <c r="B958">
        <f>IF(C942=TRUE,F942+(F946-Calc!F17),0)</f>
        <v/>
      </c>
    </row>
    <row r="959">
      <c r="A959" t="inlineStr">
        <is>
          <t>Actions Per Second</t>
        </is>
      </c>
      <c r="B959">
        <f>1+MIN(150,150*(1-(1-Inputs!$B$11/150)*(1-B958/150)))/100</f>
        <v/>
      </c>
    </row>
    <row r="960">
      <c r="A960" t="inlineStr">
        <is>
          <t>Skill + Buff Cast Rate</t>
        </is>
      </c>
      <c r="B960">
        <f>IF(AND(Inputs!$B$38&lt;&gt;"pvp",Inputs!$B$43&gt;0),SUMPRODUCT((Skills!E2:E23=TRUE)*(C931:C952=TRUE)*R931:R952)/Inputs!$B$43,SUMPRODUCT((Skills!E2:E23=TRUE)*(C931:C952=TRUE)*Q931:Q952))</f>
        <v/>
      </c>
    </row>
    <row r="961">
      <c r="A961" t="inlineStr">
        <is>
          <t>Chain Lightning Casts Per Second</t>
        </is>
      </c>
      <c r="B961">
        <f>MAX(0,B959-B960)</f>
        <v/>
      </c>
    </row>
    <row r="962">
      <c r="A962" t="inlineStr">
        <is>
          <t>Buff-Casting Startup Delay (s, fixed-duration only)</t>
        </is>
      </c>
      <c r="B962">
        <f>IF(AND(Inputs!$B$38&lt;&gt;"pvp",Inputs!$B$43&gt;0),SUMPRODUCT((Skills!S2:S23&gt;0)*(Skills!E2:E23=TRUE)*(C931:C952=TRUE))/B959,0)</f>
        <v/>
      </c>
    </row>
    <row r="963">
      <c r="A963" t="inlineStr">
        <is>
          <t>Boss-Only Total DPS (this block's swept value)</t>
        </is>
      </c>
      <c r="B963">
        <f>SUM(S931:S952)</f>
        <v/>
      </c>
    </row>
    <row r="964">
      <c r="A964" t="inlineStr">
        <is>
          <t>Normal-Only Total DPS (this block's swept value)</t>
        </is>
      </c>
      <c r="B964">
        <f>SUM(U931:U952)</f>
        <v/>
      </c>
    </row>
    <row r="965">
      <c r="A965" s="5" t="inlineStr">
        <is>
          <t>TOTAL DPS</t>
        </is>
      </c>
      <c r="B965" s="5">
        <f>SUM(O931:O952)</f>
        <v/>
      </c>
    </row>
    <row r="968">
      <c r="A968" s="5" t="inlineStr">
        <is>
          <t>Stat: Buff Duration Increase %</t>
        </is>
      </c>
    </row>
    <row r="969">
      <c r="A969" s="9" t="inlineStr">
        <is>
          <t>Key</t>
        </is>
      </c>
      <c r="B969" s="9" t="inlineStr">
        <is>
          <t>Name</t>
        </is>
      </c>
      <c r="C969" s="9" t="inlineStr">
        <is>
          <t>Unlocked</t>
        </is>
      </c>
      <c r="D969" s="9" t="inlineStr">
        <is>
          <t>InputLevel</t>
        </is>
      </c>
      <c r="E969" s="9" t="inlineStr">
        <is>
          <t>Factor</t>
        </is>
      </c>
      <c r="F969" s="9" t="inlineStr">
        <is>
          <t>CoefficientPercent</t>
        </is>
      </c>
      <c r="G969" s="9" t="inlineStr">
        <is>
          <t>EffectiveHits</t>
        </is>
      </c>
      <c r="H969" s="9" t="inlineStr">
        <is>
          <t>ProcProbability</t>
        </is>
      </c>
      <c r="I969" s="9" t="inlineStr">
        <is>
          <t>MapleHeroMultiplier</t>
        </is>
      </c>
      <c r="J969" s="9" t="inlineStr">
        <is>
          <t>BaseDamage</t>
        </is>
      </c>
      <c r="K969" s="9" t="inlineStr">
        <is>
          <t>BaseHitDamage</t>
        </is>
      </c>
      <c r="L969" s="9" t="inlineStr">
        <is>
          <t>NonCritAvg</t>
        </is>
      </c>
      <c r="M969" s="9" t="inlineStr">
        <is>
          <t>CritAvg</t>
        </is>
      </c>
      <c r="N969" s="9" t="inlineStr">
        <is>
          <t>ExpectedDamage(perHit)</t>
        </is>
      </c>
      <c r="O969" s="9" t="inlineStr">
        <is>
          <t>DPS</t>
        </is>
      </c>
      <c r="P969" s="9" t="inlineStr">
        <is>
          <t>% of Total</t>
        </is>
      </c>
      <c r="R969" t="inlineStr">
        <is>
          <t>helpers</t>
        </is>
      </c>
    </row>
    <row r="970">
      <c r="A970">
        <f>Skills!A2</f>
        <v/>
      </c>
      <c r="B970">
        <f>Skills!B2</f>
        <v/>
      </c>
      <c r="C970">
        <f>Inputs!$B$3&gt;=100</f>
        <v/>
      </c>
      <c r="D970" t="inlineStr"/>
      <c r="E970" t="inlineStr"/>
      <c r="F970">
        <f>T972+Skills!N2</f>
        <v/>
      </c>
      <c r="G970">
        <f>Calc!G2</f>
        <v/>
      </c>
      <c r="H970">
        <f>Calc!H2</f>
        <v/>
      </c>
      <c r="I970">
        <f>IF(Skills!T2&lt;&gt;"",1+(Skills!T2/10)*(Z971/1000)/100,1)</f>
        <v/>
      </c>
      <c r="J970">
        <f>((Inputs!$B$6*(1+Inputs!$B$7/100))+(((Inputs!$B$12*(1+Inputs!$B$13/100))-(Inputs!$B$12*(1+Inputs!$B$13/100)))+0.25*(Inputs!$B$14-Inputs!$B$14))*(1+Inputs!$B$7/100))*(F970/100)</f>
        <v/>
      </c>
      <c r="K970">
        <f>J970*(1+((Inputs!$B$12*(1+Inputs!$B$13/100))*0.01+Inputs!$B$14*0.0025)/100)*(1+(Inputs!$B$15+B996)/100)*(1+Inputs!$B$16/100)*(5000/(6000+Inputs!$B$42*(1-Inputs!$B$19/100)))*(1+Inputs!$B$24/100)*(1+IF(C983=TRUE,F983,0)/100)*(1+IF(C991=TRUE,F991,0)/100)^5*(1+(IF(Skills!A2="CHAIN_LIGHTNING",Inputs!$B$17,Inputs!$B$18))/100)*(B994*I970)</f>
        <v/>
      </c>
      <c r="L970">
        <f>K970*(MIN(Inputs!$B$22+(F986-Calc!F18),Inputs!$B$23)/100+Inputs!$B$23/100)/2</f>
        <v/>
      </c>
      <c r="M970">
        <f>L970*(1+(Inputs!$B$10+(F989-Calc!F21))/100)</f>
        <v/>
      </c>
      <c r="N970">
        <f>L970*(1-MIN(Inputs!$B$9+((F988-Calc!F20)+(F987-Calc!F19)),100)/100)+M970*(MIN(Inputs!$B$9+((F988-Calc!F20)+(F987-Calc!F19)),100)/100)</f>
        <v/>
      </c>
      <c r="O970">
        <f>(1-Summary!$B$51)*S970+Summary!$B$51*U970</f>
        <v/>
      </c>
      <c r="P970">
        <f>IF(B1004=0,0,O970/B1004)</f>
        <v/>
      </c>
      <c r="Q970">
        <f>IFERROR(1/IF(Inputs!$B$38="pvp",15,MAX(0.1,Skills!D2-IF(Skills!E2=TRUE,Inputs!$B$32,0))),0)</f>
        <v/>
      </c>
      <c r="R970" t="n">
        <v>0</v>
      </c>
      <c r="S970">
        <f>IF(C970,(Skills!F2*N970*B1000)*IF(Inputs!$B$38="pvp",1,1+(Inputs!$B$20+Skills!O2+B995)/100),0)</f>
        <v/>
      </c>
      <c r="T970">
        <f>MAX(0,(Inputs!$B$3-100)*3)+Inputs!$B$28+Inputs!$B$29</f>
        <v/>
      </c>
      <c r="U970">
        <f>IF(C970,(Skills!F2*N970*B1000)*IF(Inputs!$B$38="pvp",1,(1+(Inputs!$B$21+Skills!P2+B995)/100)*(MIN((6+Inputs!$B$33),Inputs!$B$37))),0)</f>
        <v/>
      </c>
      <c r="Z970">
        <f>MAX(0,(Inputs!$B$3-100)*3)+Inputs!$B$28+Inputs!$B$29</f>
        <v/>
      </c>
    </row>
    <row r="971">
      <c r="A971">
        <f>Skills!A3</f>
        <v/>
      </c>
      <c r="B971">
        <f>Skills!B3</f>
        <v/>
      </c>
      <c r="C971">
        <f>Inputs!$B$3&gt;=15</f>
        <v/>
      </c>
      <c r="D971">
        <f>IF(Skills!C3=1,60+Inputs!$B$25+Inputs!$B$29,IF(Skills!C3=2,90+Inputs!$B$26+Inputs!$B$29,IF(Skills!C3=3,120+Inputs!$B$27+Inputs!$B$29,MAX(0,(Inputs!$B$3-100)*3)+Inputs!$B$28+Inputs!$B$29)))</f>
        <v/>
      </c>
      <c r="E971">
        <f>INDEX(FactorTable!$B$2:$Y$301, MATCH(ROUND(MIN(300,MAX(1,D971)),0), FactorTable!$A$2:$A$301,0), Skills!L3+1)</f>
        <v/>
      </c>
      <c r="F971">
        <f>IF(Skills!M3=TRUE,(Skills!K3/10)*(E971/1000),Skills!K3/10)+Skills!N3</f>
        <v/>
      </c>
      <c r="G971">
        <f>Calc!G3</f>
        <v/>
      </c>
      <c r="H971">
        <f>Calc!H3</f>
        <v/>
      </c>
      <c r="I971">
        <f>IF(Skills!T3&lt;&gt;"",1+(Skills!T3/10)*(Z971/1000)/100,1)</f>
        <v/>
      </c>
      <c r="J971" t="inlineStr"/>
      <c r="K971" t="inlineStr"/>
      <c r="L971" t="inlineStr"/>
      <c r="M971" t="inlineStr"/>
      <c r="N971" t="inlineStr"/>
      <c r="O971">
        <f>(1-Summary!$B$51)*S971+Summary!$B$51*U971</f>
        <v/>
      </c>
      <c r="P971">
        <f>IF(B1004=0,0,O971/B1004)</f>
        <v/>
      </c>
      <c r="Q971">
        <f>IFERROR(1/IF(Inputs!$B$38="pvp",15,MAX(0.1,Skills!D3-IF(Skills!E3=TRUE,Inputs!$B$32,0))),0)</f>
        <v/>
      </c>
      <c r="R971">
        <f>IF(AND(Inputs!$B$38&lt;&gt;"pvp",Inputs!$B$43&gt;0),IF(Inputs!$B$43&lt;=0,0,(INT(Inputs!$B$43/IF(Inputs!$B$38="pvp",15,MAX(0.1,Skills!D3-IF(Skills!E3=TRUE,Inputs!$B$32,0))))+1)),0)</f>
        <v/>
      </c>
      <c r="S971" t="n">
        <v>0</v>
      </c>
      <c r="T971">
        <f>INDEX(FactorTable!$B$2:$Y$301, MATCH(ROUND(MIN(300,MAX(1,T970)),0), FactorTable!$A$2:$A$301,0), 22)</f>
        <v/>
      </c>
      <c r="U971" t="n">
        <v>0</v>
      </c>
      <c r="Z971">
        <f>INDEX(FactorTable!$B$2:$Y$301, MATCH(ROUND(MIN(300,MAX(1,Z970)),0), FactorTable!$A$2:$A$301,0), 24)</f>
        <v/>
      </c>
    </row>
    <row r="972">
      <c r="A972">
        <f>Skills!A4</f>
        <v/>
      </c>
      <c r="B972">
        <f>Skills!B4</f>
        <v/>
      </c>
      <c r="C972">
        <f>Inputs!$B$3&gt;=40</f>
        <v/>
      </c>
      <c r="D972">
        <f>IF(Skills!C4=1,60+Inputs!$B$25+Inputs!$B$29,IF(Skills!C4=2,90+Inputs!$B$26+Inputs!$B$29,IF(Skills!C4=3,120+Inputs!$B$27+Inputs!$B$29,MAX(0,(Inputs!$B$3-100)*3)+Inputs!$B$28+Inputs!$B$29)))</f>
        <v/>
      </c>
      <c r="E972">
        <f>INDEX(FactorTable!$B$2:$Y$301, MATCH(ROUND(MIN(300,MAX(1,D972)),0), FactorTable!$A$2:$A$301,0), Skills!L4+1)</f>
        <v/>
      </c>
      <c r="F972">
        <f>IF(Skills!M4=TRUE,(Skills!K4/10)*(E972/1000),Skills!K4/10)+Skills!N4</f>
        <v/>
      </c>
      <c r="G972">
        <f>Calc!G4</f>
        <v/>
      </c>
      <c r="H972">
        <f>Calc!H4</f>
        <v/>
      </c>
      <c r="I972">
        <f>IF(Skills!T4&lt;&gt;"",1+(Skills!T4/10)*(Z971/1000)/100,1)</f>
        <v/>
      </c>
      <c r="J972" t="inlineStr"/>
      <c r="K972" t="inlineStr"/>
      <c r="L972" t="inlineStr"/>
      <c r="M972" t="inlineStr"/>
      <c r="N972" t="inlineStr"/>
      <c r="O972">
        <f>(1-Summary!$B$51)*S972+Summary!$B$51*U972</f>
        <v/>
      </c>
      <c r="P972">
        <f>IF(B1004=0,0,O972/B1004)</f>
        <v/>
      </c>
      <c r="Q972">
        <f>IFERROR(1/IF(Inputs!$B$38="pvp",15,MAX(0.1,Skills!D4-IF(Skills!E4=TRUE,Inputs!$B$32,0))),0)</f>
        <v/>
      </c>
      <c r="R972">
        <f>IF(AND(Inputs!$B$38&lt;&gt;"pvp",Inputs!$B$43&gt;0),IF(Inputs!$B$43&lt;=0,0,(INT(Inputs!$B$43/IF(Inputs!$B$38="pvp",15,MAX(0.1,Skills!D4-IF(Skills!E4=TRUE,Inputs!$B$32,0))))+1)),0)</f>
        <v/>
      </c>
      <c r="S972" t="n">
        <v>0</v>
      </c>
      <c r="T972">
        <f>290*T971/1000</f>
        <v/>
      </c>
      <c r="U972" t="n">
        <v>0</v>
      </c>
    </row>
    <row r="973">
      <c r="A973">
        <f>Skills!A5</f>
        <v/>
      </c>
      <c r="B973">
        <f>Skills!B5</f>
        <v/>
      </c>
      <c r="C973">
        <f>Inputs!$B$3&gt;=38</f>
        <v/>
      </c>
      <c r="D973">
        <f>IF(Skills!C5=1,60+Inputs!$B$25+Inputs!$B$29,IF(Skills!C5=2,90+Inputs!$B$26+Inputs!$B$29,IF(Skills!C5=3,120+Inputs!$B$27+Inputs!$B$29,MAX(0,(Inputs!$B$3-100)*3)+Inputs!$B$28+Inputs!$B$29)))</f>
        <v/>
      </c>
      <c r="E973">
        <f>INDEX(FactorTable!$B$2:$Y$301, MATCH(ROUND(MIN(300,MAX(1,D973)),0), FactorTable!$A$2:$A$301,0), Skills!L5+1)</f>
        <v/>
      </c>
      <c r="F973">
        <f>IF(Skills!M5=TRUE,(Skills!K5/10)*(E973/1000),Skills!K5/10)+Skills!N5</f>
        <v/>
      </c>
      <c r="G973">
        <f>Calc!G5</f>
        <v/>
      </c>
      <c r="H973">
        <f>Calc!H5</f>
        <v/>
      </c>
      <c r="I973">
        <f>IF(Skills!T5&lt;&gt;"",1+(Skills!T5/10)*(Z971/1000)/100,1)</f>
        <v/>
      </c>
      <c r="J973">
        <f>((Inputs!$B$6*(1+Inputs!$B$7/100))+(((Inputs!$B$12*(1+Inputs!$B$13/100))-(Inputs!$B$12*(1+Inputs!$B$13/100)))+0.25*(Inputs!$B$14-Inputs!$B$14))*(1+Inputs!$B$7/100))*(F973/100)</f>
        <v/>
      </c>
      <c r="K973">
        <f>J973*(1+((Inputs!$B$12*(1+Inputs!$B$13/100))*0.01+Inputs!$B$14*0.0025)/100)*(1+(Inputs!$B$15+B996)/100)*(1+Inputs!$B$16/100)*(5000/(6000+Inputs!$B$42*(1-Inputs!$B$19/100)))*(1+Inputs!$B$24/100)*(1+IF(C983=TRUE,F983,0)/100)*(1+IF(C991=TRUE,F991,0)/100)^5*(1+(IF(Skills!A5="CHAIN_LIGHTNING",Inputs!$B$17,Inputs!$B$18))/100)*(B994*I973)</f>
        <v/>
      </c>
      <c r="L973">
        <f>K973*(MIN(Inputs!$B$22+(F986-Calc!F18),Inputs!$B$23)/100+Inputs!$B$23/100)/2</f>
        <v/>
      </c>
      <c r="M973">
        <f>L973*(1+(Inputs!$B$10+(F989-Calc!F21))/100)</f>
        <v/>
      </c>
      <c r="N973">
        <f>L973*(1-MIN(Inputs!$B$9+((F988-Calc!F20)+(F987-Calc!F19)),100)/100)+M973*(MIN(Inputs!$B$9+((F988-Calc!F20)+(F987-Calc!F19)),100)/100)</f>
        <v/>
      </c>
      <c r="O973">
        <f>(1-Summary!$B$51)*S973+Summary!$B$51*U973</f>
        <v/>
      </c>
      <c r="P973">
        <f>IF(B1004=0,0,O973/B1004)</f>
        <v/>
      </c>
      <c r="Q973">
        <f>IFERROR(1/IF(Inputs!$B$38="pvp",15,MAX(0.1,Skills!D5-IF(Skills!E5=TRUE,Inputs!$B$32,0))),0)</f>
        <v/>
      </c>
      <c r="R973">
        <f>IF(AND(Inputs!$B$38&lt;&gt;"pvp",Inputs!$B$43&gt;0),IF(MAX(0,Inputs!$B$43-B1001)&lt;=0,0,(INT(MAX(0,Inputs!$B$43-B1001)/IF(Inputs!$B$38="pvp",15,MAX(0.1,Skills!D5-IF(Skills!E5=TRUE,Inputs!$B$32,0))))+1)),0)</f>
        <v/>
      </c>
      <c r="S973">
        <f>IF(C973,(H973*N973*IF(AND(Inputs!$B$38&lt;&gt;"pvp",Inputs!$B$43&gt;0),((Skills!F5*((R973-1)*IF(Skills!G5&gt;0,Skills!H5/Skills!G5,1)+IF(Skills!G5&gt;0,MIN(Skills!H5,MAX(0,MAX(0,Inputs!$B$43-B1001)-((R973-1)*IF(Inputs!$B$38="pvp",15,MAX(0.1,Skills!D5-IF(Skills!E5=TRUE,Inputs!$B$32,0))))))/Skills!G5,1)))/Inputs!$B$43),G973*Q973))*IF(Inputs!$B$38="pvp",1,1+(Inputs!$B$20+Skills!O5+B995)/100),0)</f>
        <v/>
      </c>
      <c r="U973">
        <f>IF(C973,(H973*N973*IF(AND(Inputs!$B$38&lt;&gt;"pvp",Inputs!$B$43&gt;0),((Skills!F5*((R973-1)*IF(Skills!G5&gt;0,Skills!H5/Skills!G5,1)+IF(Skills!G5&gt;0,MIN(Skills!H5,MAX(0,MAX(0,Inputs!$B$43-B1001)-((R973-1)*IF(Inputs!$B$38="pvp",15,MAX(0.1,Skills!D5-IF(Skills!E5=TRUE,Inputs!$B$32,0))))))/Skills!G5,1)))/Inputs!$B$43),G973*Q973))*IF(Inputs!$B$38="pvp",1,(1+(Inputs!$B$21+Skills!P5+B995)/100)*(MIN(Skills!Q5,Inputs!$B$37))),0)</f>
        <v/>
      </c>
    </row>
    <row r="974">
      <c r="A974">
        <f>Skills!A6</f>
        <v/>
      </c>
      <c r="B974">
        <f>Skills!B6</f>
        <v/>
      </c>
      <c r="C974">
        <f>Inputs!$B$3&gt;=63</f>
        <v/>
      </c>
      <c r="D974">
        <f>IF(Skills!C6=1,60+Inputs!$B$25+Inputs!$B$29,IF(Skills!C6=2,90+Inputs!$B$26+Inputs!$B$29,IF(Skills!C6=3,120+Inputs!$B$27+Inputs!$B$29,MAX(0,(Inputs!$B$3-100)*3)+Inputs!$B$28+Inputs!$B$29)))</f>
        <v/>
      </c>
      <c r="E974">
        <f>INDEX(FactorTable!$B$2:$Y$301, MATCH(ROUND(MIN(300,MAX(1,D974)),0), FactorTable!$A$2:$A$301,0), Skills!L6+1)</f>
        <v/>
      </c>
      <c r="F974">
        <f>IF(Skills!M6=TRUE,(Skills!K6/10)*(E974/1000),Skills!K6/10)+Skills!N6</f>
        <v/>
      </c>
      <c r="G974">
        <f>Calc!G6</f>
        <v/>
      </c>
      <c r="H974">
        <f>Calc!H6</f>
        <v/>
      </c>
      <c r="I974">
        <f>IF(Skills!T6&lt;&gt;"",1+(Skills!T6/10)*(Z971/1000)/100,1)</f>
        <v/>
      </c>
      <c r="J974">
        <f>((Inputs!$B$6*(1+Inputs!$B$7/100))+(((Inputs!$B$12*(1+Inputs!$B$13/100))-(Inputs!$B$12*(1+Inputs!$B$13/100)))+0.25*(Inputs!$B$14-Inputs!$B$14))*(1+Inputs!$B$7/100))*(F974/100)</f>
        <v/>
      </c>
      <c r="K974">
        <f>J974*(1+((Inputs!$B$12*(1+Inputs!$B$13/100))*0.01+Inputs!$B$14*0.0025)/100)*(1+(Inputs!$B$15+B996)/100)*(1+Inputs!$B$16/100)*(5000/(6000+Inputs!$B$42*(1-Inputs!$B$19/100)))*(1+Inputs!$B$24/100)*(1+IF(C983=TRUE,F983,0)/100)*(1+IF(C991=TRUE,F991,0)/100)^5*(1+(IF(Skills!A6="CHAIN_LIGHTNING",Inputs!$B$17,Inputs!$B$18))/100)*(B994*I974)</f>
        <v/>
      </c>
      <c r="L974">
        <f>K974*(MIN(Inputs!$B$22+(F986-Calc!F18),Inputs!$B$23)/100+Inputs!$B$23/100)/2</f>
        <v/>
      </c>
      <c r="M974">
        <f>L974*(1+(Inputs!$B$10+(F989-Calc!F21))/100)</f>
        <v/>
      </c>
      <c r="N974">
        <f>L974*(1-MIN(Inputs!$B$9+((F988-Calc!F20)+(F987-Calc!F19)),100)/100)+M974*(MIN(Inputs!$B$9+((F988-Calc!F20)+(F987-Calc!F19)),100)/100)</f>
        <v/>
      </c>
      <c r="O974">
        <f>(1-Summary!$B$51)*S974+Summary!$B$51*U974</f>
        <v/>
      </c>
      <c r="P974">
        <f>IF(B1004=0,0,O974/B1004)</f>
        <v/>
      </c>
      <c r="Q974">
        <f>IFERROR(1/IF(Inputs!$B$38="pvp",15,MAX(0.1,Skills!D6-IF(Skills!E6=TRUE,Inputs!$B$32,0))),0)</f>
        <v/>
      </c>
      <c r="R974">
        <f>IF(AND(Inputs!$B$38&lt;&gt;"pvp",Inputs!$B$43&gt;0),IF(MAX(0,Inputs!$B$43-B1001)&lt;=0,0,(INT(MAX(0,Inputs!$B$43-B1001)/IF(Inputs!$B$38="pvp",15,MAX(0.1,Skills!D6-IF(Skills!E6=TRUE,Inputs!$B$32,0))))+1)),0)</f>
        <v/>
      </c>
      <c r="S974">
        <f>IF(C974,(H974*N974*IF(AND(Inputs!$B$38&lt;&gt;"pvp",Inputs!$B$43&gt;0),((Skills!F6*((R974-1)*IF(Skills!G6&gt;0,Skills!H6/Skills!G6,1)+IF(Skills!G6&gt;0,MIN(Skills!H6,MAX(0,MAX(0,Inputs!$B$43-B1001)-((R974-1)*IF(Inputs!$B$38="pvp",15,MAX(0.1,Skills!D6-IF(Skills!E6=TRUE,Inputs!$B$32,0))))))/Skills!G6,1)))/Inputs!$B$43),G974*Q974))*IF(Inputs!$B$38="pvp",1,1+(Inputs!$B$20+Skills!O6+B995)/100),0)</f>
        <v/>
      </c>
      <c r="U974">
        <f>IF(C974,(H974*N974*IF(AND(Inputs!$B$38&lt;&gt;"pvp",Inputs!$B$43&gt;0),((Skills!F6*((R974-1)*IF(Skills!G6&gt;0,Skills!H6/Skills!G6,1)+IF(Skills!G6&gt;0,MIN(Skills!H6,MAX(0,MAX(0,Inputs!$B$43-B1001)-((R974-1)*IF(Inputs!$B$38="pvp",15,MAX(0.1,Skills!D6-IF(Skills!E6=TRUE,Inputs!$B$32,0))))))/Skills!G6,1)))/Inputs!$B$43),G974*Q974))*IF(Inputs!$B$38="pvp",1,(1+(Inputs!$B$21+Skills!P6+B995)/100)*(MIN(Skills!Q6,Inputs!$B$37))),0)</f>
        <v/>
      </c>
    </row>
    <row r="975">
      <c r="A975">
        <f>Skills!A7</f>
        <v/>
      </c>
      <c r="B975">
        <f>Skills!B7</f>
        <v/>
      </c>
      <c r="C975">
        <f>Inputs!$B$3&gt;=69</f>
        <v/>
      </c>
      <c r="D975">
        <f>IF(Skills!C7=1,60+Inputs!$B$25+Inputs!$B$29,IF(Skills!C7=2,90+Inputs!$B$26+Inputs!$B$29,IF(Skills!C7=3,120+Inputs!$B$27+Inputs!$B$29,MAX(0,(Inputs!$B$3-100)*3)+Inputs!$B$28+Inputs!$B$29)))</f>
        <v/>
      </c>
      <c r="E975">
        <f>INDEX(FactorTable!$B$2:$Y$301, MATCH(ROUND(MIN(300,MAX(1,D975)),0), FactorTable!$A$2:$A$301,0), Skills!L7+1)</f>
        <v/>
      </c>
      <c r="F975">
        <f>IF(Skills!M7=TRUE,(Skills!K7/10)*(E975/1000),Skills!K7/10)+Skills!N7</f>
        <v/>
      </c>
      <c r="G975">
        <f>Calc!G7</f>
        <v/>
      </c>
      <c r="H975">
        <f>Calc!H7</f>
        <v/>
      </c>
      <c r="I975">
        <f>IF(Skills!T7&lt;&gt;"",1+(Skills!T7/10)*(Z971/1000)/100,1)</f>
        <v/>
      </c>
      <c r="J975">
        <f>((Inputs!$B$6*(1+Inputs!$B$7/100))+(((Inputs!$B$12*(1+Inputs!$B$13/100))-(Inputs!$B$12*(1+Inputs!$B$13/100)))+0.25*(Inputs!$B$14-Inputs!$B$14))*(1+Inputs!$B$7/100))*(F975/100)</f>
        <v/>
      </c>
      <c r="K975">
        <f>J975*(1+((Inputs!$B$12*(1+Inputs!$B$13/100))*0.01+Inputs!$B$14*0.0025)/100)*(1+(Inputs!$B$15+B996)/100)*(1+Inputs!$B$16/100)*(5000/(6000+Inputs!$B$42*(1-Inputs!$B$19/100)))*(1+Inputs!$B$24/100)*(1+IF(C983=TRUE,F983,0)/100)*(1+IF(C991=TRUE,F991,0)/100)^5*(1+(IF(Skills!A7="CHAIN_LIGHTNING",Inputs!$B$17,Inputs!$B$18))/100)*(B994*I975)</f>
        <v/>
      </c>
      <c r="L975">
        <f>K975*(MIN(Inputs!$B$22+(F986-Calc!F18),Inputs!$B$23)/100+Inputs!$B$23/100)/2</f>
        <v/>
      </c>
      <c r="M975">
        <f>L975*(1+(Inputs!$B$10+(F989-Calc!F21))/100)</f>
        <v/>
      </c>
      <c r="N975">
        <f>L975*(1-MIN(Inputs!$B$9+((F988-Calc!F20)+(F987-Calc!F19)),100)/100)+M975*(MIN(Inputs!$B$9+((F988-Calc!F20)+(F987-Calc!F19)),100)/100)</f>
        <v/>
      </c>
      <c r="O975">
        <f>(1-Summary!$B$51)*S975+Summary!$B$51*U975</f>
        <v/>
      </c>
      <c r="P975">
        <f>IF(B1004=0,0,O975/B1004)</f>
        <v/>
      </c>
      <c r="Q975">
        <f>IFERROR(1/IF(Inputs!$B$38="pvp",15,MAX(0.1,Skills!D7-IF(Skills!E7=TRUE,Inputs!$B$32,0))),0)</f>
        <v/>
      </c>
      <c r="R975">
        <f>IF(AND(Inputs!$B$38&lt;&gt;"pvp",Inputs!$B$43&gt;0),IF(MAX(0,Inputs!$B$43-B1001)&lt;=0,0,(INT(MAX(0,Inputs!$B$43-B1001)/IF(Inputs!$B$38="pvp",15,MAX(0.1,Skills!D7-IF(Skills!E7=TRUE,Inputs!$B$32,0))))+1)),0)</f>
        <v/>
      </c>
      <c r="S975">
        <f>IF(C975,(H975*N975*IF(AND(Inputs!$B$38&lt;&gt;"pvp",Inputs!$B$43&gt;0),((Skills!F7*((R975-1)*IF(Skills!G7&gt;0,Skills!H7/Skills!G7,1)+IF(Skills!G7&gt;0,MIN(Skills!H7,MAX(0,MAX(0,Inputs!$B$43-B1001)-((R975-1)*IF(Inputs!$B$38="pvp",15,MAX(0.1,Skills!D7-IF(Skills!E7=TRUE,Inputs!$B$32,0))))))/Skills!G7,1)))/Inputs!$B$43),G975*Q975))*IF(Inputs!$B$38="pvp",1,1+(Inputs!$B$20+Skills!O7+B995)/100),0)</f>
        <v/>
      </c>
      <c r="U975">
        <f>IF(C975,(H975*N975*IF(AND(Inputs!$B$38&lt;&gt;"pvp",Inputs!$B$43&gt;0),((Skills!F7*((R975-1)*IF(Skills!G7&gt;0,Skills!H7/Skills!G7,1)+IF(Skills!G7&gt;0,MIN(Skills!H7,MAX(0,MAX(0,Inputs!$B$43-B1001)-((R975-1)*IF(Inputs!$B$38="pvp",15,MAX(0.1,Skills!D7-IF(Skills!E7=TRUE,Inputs!$B$32,0))))))/Skills!G7,1)))/Inputs!$B$43),G975*Q975))*IF(Inputs!$B$38="pvp",1,(1+(Inputs!$B$21+Skills!P7+B995)/100)*(MIN(Skills!Q7,Inputs!$B$37))),0)</f>
        <v/>
      </c>
    </row>
    <row r="976">
      <c r="A976">
        <f>Skills!A8</f>
        <v/>
      </c>
      <c r="B976">
        <f>Skills!B8</f>
        <v/>
      </c>
      <c r="C976">
        <f>Inputs!$B$3&gt;=103</f>
        <v/>
      </c>
      <c r="D976">
        <f>IF(Skills!C8=1,60+Inputs!$B$25+Inputs!$B$29,IF(Skills!C8=2,90+Inputs!$B$26+Inputs!$B$29,IF(Skills!C8=3,120+Inputs!$B$27+Inputs!$B$29,MAX(0,(Inputs!$B$3-100)*3)+Inputs!$B$28+Inputs!$B$29)))</f>
        <v/>
      </c>
      <c r="E976">
        <f>INDEX(FactorTable!$B$2:$Y$301, MATCH(ROUND(MIN(300,MAX(1,D976)),0), FactorTable!$A$2:$A$301,0), Skills!L8+1)</f>
        <v/>
      </c>
      <c r="F976">
        <f>IF(Skills!M8=TRUE,(Skills!K8/10)*(E976/1000),Skills!K8/10)+Skills!N8</f>
        <v/>
      </c>
      <c r="G976">
        <f>Calc!G8</f>
        <v/>
      </c>
      <c r="H976">
        <f>Calc!H8</f>
        <v/>
      </c>
      <c r="I976">
        <f>IF(Skills!T8&lt;&gt;"",1+(Skills!T8/10)*(Z971/1000)/100,1)</f>
        <v/>
      </c>
      <c r="J976">
        <f>((Inputs!$B$6*(1+Inputs!$B$7/100))+(((Inputs!$B$12*(1+Inputs!$B$13/100))-(Inputs!$B$12*(1+Inputs!$B$13/100)))+0.25*(Inputs!$B$14-Inputs!$B$14))*(1+Inputs!$B$7/100))*(F976/100)</f>
        <v/>
      </c>
      <c r="K976">
        <f>J976*(1+((Inputs!$B$12*(1+Inputs!$B$13/100))*0.01+Inputs!$B$14*0.0025)/100)*(1+(Inputs!$B$15+B996)/100)*(1+Inputs!$B$16/100)*(5000/(6000+Inputs!$B$42*(1-Inputs!$B$19/100)))*(1+Inputs!$B$24/100)*(1+IF(C983=TRUE,F983,0)/100)*(1+IF(C991=TRUE,F991,0)/100)^5*(1+(IF(Skills!A8="CHAIN_LIGHTNING",Inputs!$B$17,Inputs!$B$18))/100)*(B994*I976)</f>
        <v/>
      </c>
      <c r="L976">
        <f>K976*(MIN(Inputs!$B$22+(F986-Calc!F18),Inputs!$B$23)/100+Inputs!$B$23/100)/2</f>
        <v/>
      </c>
      <c r="M976">
        <f>L976*(1+(Inputs!$B$10+(F989-Calc!F21))/100)</f>
        <v/>
      </c>
      <c r="N976">
        <f>L976*(1-MIN(Inputs!$B$9+((F988-Calc!F20)+(F987-Calc!F19)),100)/100)+M976*(MIN(Inputs!$B$9+((F988-Calc!F20)+(F987-Calc!F19)),100)/100)</f>
        <v/>
      </c>
      <c r="O976">
        <f>(1-Summary!$B$51)*S976+Summary!$B$51*U976</f>
        <v/>
      </c>
      <c r="P976">
        <f>IF(B1004=0,0,O976/B1004)</f>
        <v/>
      </c>
      <c r="Q976">
        <f>IFERROR(1/IF(Inputs!$B$38="pvp",15,MAX(0.1,Skills!D8-IF(Skills!E8=TRUE,Inputs!$B$32,0))),0)</f>
        <v/>
      </c>
      <c r="R976">
        <f>IF(AND(Inputs!$B$38&lt;&gt;"pvp",Inputs!$B$43&gt;0),IF(MAX(0,Inputs!$B$43-B1001)&lt;=0,0,(INT(MAX(0,Inputs!$B$43-B1001)/IF(Inputs!$B$38="pvp",15,MAX(0.1,Skills!D8-IF(Skills!E8=TRUE,Inputs!$B$32,0))))+1)),0)</f>
        <v/>
      </c>
      <c r="S976">
        <f>IF(C976,(H976*N976*IF(AND(Inputs!$B$38&lt;&gt;"pvp",Inputs!$B$43&gt;0),((Skills!F8*((R976-1)*IF(Skills!G8&gt;0,Skills!H8/Skills!G8,1)+IF(Skills!G8&gt;0,MIN(Skills!H8,MAX(0,MAX(0,Inputs!$B$43-B1001)-((R976-1)*IF(Inputs!$B$38="pvp",15,MAX(0.1,Skills!D8-IF(Skills!E8=TRUE,Inputs!$B$32,0))))))/Skills!G8,1)))/Inputs!$B$43),G976*Q976))*IF(Inputs!$B$38="pvp",1,1+(Inputs!$B$20+Skills!O8+B995)/100),0)</f>
        <v/>
      </c>
      <c r="U976">
        <f>IF(C976,(H976*N976*IF(AND(Inputs!$B$38&lt;&gt;"pvp",Inputs!$B$43&gt;0),((Skills!F8*((R976-1)*IF(Skills!G8&gt;0,Skills!H8/Skills!G8,1)+IF(Skills!G8&gt;0,MIN(Skills!H8,MAX(0,MAX(0,Inputs!$B$43-B1001)-((R976-1)*IF(Inputs!$B$38="pvp",15,MAX(0.1,Skills!D8-IF(Skills!E8=TRUE,Inputs!$B$32,0))))))/Skills!G8,1)))/Inputs!$B$43),G976*Q976))*IF(Inputs!$B$38="pvp",1,(1+(Inputs!$B$21+Skills!P8+B995)/100)*(MIN(Skills!Q8,Inputs!$B$37))),0)</f>
        <v/>
      </c>
    </row>
    <row r="977">
      <c r="A977">
        <f>Skills!A9</f>
        <v/>
      </c>
      <c r="B977">
        <f>Skills!B9</f>
        <v/>
      </c>
      <c r="C977">
        <f>Inputs!$B$3&gt;=105</f>
        <v/>
      </c>
      <c r="D977">
        <f>IF(Skills!C9=1,60+Inputs!$B$25+Inputs!$B$29,IF(Skills!C9=2,90+Inputs!$B$26+Inputs!$B$29,IF(Skills!C9=3,120+Inputs!$B$27+Inputs!$B$29,MAX(0,(Inputs!$B$3-100)*3)+Inputs!$B$28+Inputs!$B$29)))</f>
        <v/>
      </c>
      <c r="E977">
        <f>INDEX(FactorTable!$B$2:$Y$301, MATCH(ROUND(MIN(300,MAX(1,D977)),0), FactorTable!$A$2:$A$301,0), Skills!L9+1)</f>
        <v/>
      </c>
      <c r="F977">
        <f>IF(Skills!M9=TRUE,(Skills!K9/10)*(E977/1000),Skills!K9/10)+Skills!N9</f>
        <v/>
      </c>
      <c r="G977">
        <f>Calc!G9</f>
        <v/>
      </c>
      <c r="H977">
        <f>Calc!H9</f>
        <v/>
      </c>
      <c r="I977">
        <f>IF(Skills!T9&lt;&gt;"",1+(Skills!T9/10)*(Z971/1000)/100,1)</f>
        <v/>
      </c>
      <c r="J977">
        <f>((Inputs!$B$6*(1+Inputs!$B$7/100))+(((Inputs!$B$12*(1+Inputs!$B$13/100))-(Inputs!$B$12*(1+Inputs!$B$13/100)))+0.25*(Inputs!$B$14-Inputs!$B$14))*(1+Inputs!$B$7/100))*(F977/100)</f>
        <v/>
      </c>
      <c r="K977">
        <f>J977*(1+((Inputs!$B$12*(1+Inputs!$B$13/100))*0.01+Inputs!$B$14*0.0025)/100)*(1+(Inputs!$B$15+B996)/100)*(1+Inputs!$B$16/100)*(5000/(6000+Inputs!$B$42*(1-Inputs!$B$19/100)))*(1+Inputs!$B$24/100)*(1+IF(C983=TRUE,F983,0)/100)*(1+IF(C991=TRUE,F991,0)/100)^5*(1+(IF(Skills!A9="CHAIN_LIGHTNING",Inputs!$B$17,Inputs!$B$18))/100)*(B994*I977)</f>
        <v/>
      </c>
      <c r="L977">
        <f>K977*(MIN(Inputs!$B$22+(F986-Calc!F18),Inputs!$B$23)/100+Inputs!$B$23/100)/2</f>
        <v/>
      </c>
      <c r="M977">
        <f>L977*(1+(Inputs!$B$10+(F989-Calc!F21))/100)</f>
        <v/>
      </c>
      <c r="N977">
        <f>L977*(1-MIN(Inputs!$B$9+((F988-Calc!F20)+(F987-Calc!F19)),100)/100)+M977*(MIN(Inputs!$B$9+((F988-Calc!F20)+(F987-Calc!F19)),100)/100)</f>
        <v/>
      </c>
      <c r="O977">
        <f>(1-Summary!$B$51)*S977+Summary!$B$51*U977</f>
        <v/>
      </c>
      <c r="P977">
        <f>IF(B1004=0,0,O977/B1004)</f>
        <v/>
      </c>
      <c r="Q977">
        <f>IFERROR(1/IF(Inputs!$B$38="pvp",15,MAX(0.1,Skills!D9-IF(Skills!E9=TRUE,Inputs!$B$32,0))),0)</f>
        <v/>
      </c>
      <c r="R977">
        <f>IF(AND(Inputs!$B$38&lt;&gt;"pvp",Inputs!$B$43&gt;0),IF(MAX(0,Inputs!$B$43-B1001)&lt;=0,0,(INT(MAX(0,Inputs!$B$43-B1001)/IF(Inputs!$B$38="pvp",15,MAX(0.1,Skills!D9-IF(Skills!E9=TRUE,Inputs!$B$32,0))))+1)),0)</f>
        <v/>
      </c>
      <c r="S977">
        <f>IF(C977,(H977*N977*IF(AND(Inputs!$B$38&lt;&gt;"pvp",Inputs!$B$43&gt;0),((Skills!F9*((R977-1)*IF(Skills!G9&gt;0,Skills!H9/Skills!G9,1)+IF(Skills!G9&gt;0,MIN(Skills!H9,MAX(0,MAX(0,Inputs!$B$43-B1001)-((R977-1)*IF(Inputs!$B$38="pvp",15,MAX(0.1,Skills!D9-IF(Skills!E9=TRUE,Inputs!$B$32,0))))))/Skills!G9,1)))/Inputs!$B$43),G977*Q977))*IF(Inputs!$B$38="pvp",1,1+(Inputs!$B$20+Skills!O9+B995)/100),0)</f>
        <v/>
      </c>
      <c r="U977">
        <f>IF(C977,(H977*N977*IF(AND(Inputs!$B$38&lt;&gt;"pvp",Inputs!$B$43&gt;0),((Skills!F9*((R977-1)*IF(Skills!G9&gt;0,Skills!H9/Skills!G9,1)+IF(Skills!G9&gt;0,MIN(Skills!H9,MAX(0,MAX(0,Inputs!$B$43-B1001)-((R977-1)*IF(Inputs!$B$38="pvp",15,MAX(0.1,Skills!D9-IF(Skills!E9=TRUE,Inputs!$B$32,0))))))/Skills!G9,1)))/Inputs!$B$43),G977*Q977))*IF(Inputs!$B$38="pvp",1,(1+(Inputs!$B$21+Skills!P9+B995)/100)*(MIN(Skills!Q9,Inputs!$B$37))),0)</f>
        <v/>
      </c>
    </row>
    <row r="978">
      <c r="A978">
        <f>Skills!A10</f>
        <v/>
      </c>
      <c r="B978">
        <f>Skills!B10</f>
        <v/>
      </c>
      <c r="C978">
        <f>Inputs!$B$3&gt;=113</f>
        <v/>
      </c>
      <c r="D978">
        <f>IF(Skills!C10=1,60+Inputs!$B$25+Inputs!$B$29,IF(Skills!C10=2,90+Inputs!$B$26+Inputs!$B$29,IF(Skills!C10=3,120+Inputs!$B$27+Inputs!$B$29,MAX(0,(Inputs!$B$3-100)*3)+Inputs!$B$28+Inputs!$B$29)))</f>
        <v/>
      </c>
      <c r="E978">
        <f>INDEX(FactorTable!$B$2:$Y$301, MATCH(ROUND(MIN(300,MAX(1,D978)),0), FactorTable!$A$2:$A$301,0), Skills!L10+1)</f>
        <v/>
      </c>
      <c r="F978">
        <f>IF(Skills!M10=TRUE,(Skills!K10/10)*(E978/1000),Skills!K10/10)+Skills!N10</f>
        <v/>
      </c>
      <c r="G978">
        <f>Calc!G10</f>
        <v/>
      </c>
      <c r="H978">
        <f>Calc!H10</f>
        <v/>
      </c>
      <c r="I978">
        <f>IF(Skills!T10&lt;&gt;"",1+(Skills!T10/10)*(Z971/1000)/100,1)</f>
        <v/>
      </c>
      <c r="J978">
        <f>((Inputs!$B$6*(1+Inputs!$B$7/100))+(((Inputs!$B$12*(1+Inputs!$B$13/100))-(Inputs!$B$12*(1+Inputs!$B$13/100)))+0.25*(Inputs!$B$14-Inputs!$B$14))*(1+Inputs!$B$7/100))*(F978/100)</f>
        <v/>
      </c>
      <c r="K978">
        <f>J978*(1+((Inputs!$B$12*(1+Inputs!$B$13/100))*0.01+Inputs!$B$14*0.0025)/100)*(1+(Inputs!$B$15+B996)/100)*(1+Inputs!$B$16/100)*(5000/(6000+Inputs!$B$42*(1-Inputs!$B$19/100)))*(1+Inputs!$B$24/100)*(1+IF(C983=TRUE,F983,0)/100)*(1+IF(C991=TRUE,F991,0)/100)^5*(1+(IF(Skills!A10="CHAIN_LIGHTNING",Inputs!$B$17,Inputs!$B$18))/100)*(B994*I978)</f>
        <v/>
      </c>
      <c r="L978">
        <f>K978*(MIN(Inputs!$B$22+(F986-Calc!F18),Inputs!$B$23)/100+Inputs!$B$23/100)/2</f>
        <v/>
      </c>
      <c r="M978">
        <f>L978*(1+(Inputs!$B$10+(F989-Calc!F21))/100)</f>
        <v/>
      </c>
      <c r="N978">
        <f>L978*(1-MIN(Inputs!$B$9+((F988-Calc!F20)+(F987-Calc!F19)),100)/100)+M978*(MIN(Inputs!$B$9+((F988-Calc!F20)+(F987-Calc!F19)),100)/100)</f>
        <v/>
      </c>
      <c r="O978">
        <f>(1-Summary!$B$51)*S978+Summary!$B$51*U978</f>
        <v/>
      </c>
      <c r="P978">
        <f>IF(B1004=0,0,O978/B1004)</f>
        <v/>
      </c>
      <c r="Q978">
        <f>IFERROR(1/IF(Inputs!$B$38="pvp",15,MAX(0.1,Skills!D10-IF(Skills!E9=TRUE,Inputs!$B$32,0))),0)</f>
        <v/>
      </c>
      <c r="R978">
        <f>IF(AND(Inputs!$B$38&lt;&gt;"pvp",Inputs!$B$43&gt;0),IF(MAX(0,Inputs!$B$43-B1001)&lt;=0,0,(INT(MAX(0,Inputs!$B$43-B1001)/IF(Inputs!$B$38="pvp",15,MAX(0.1,Skills!D10-IF(Skills!E9=TRUE,Inputs!$B$32,0))))+1)),0)</f>
        <v/>
      </c>
      <c r="S978">
        <f>IF(C978,(H978*N978*IF(AND(Inputs!$B$38&lt;&gt;"pvp",Inputs!$B$43&gt;0),((Skills!F10*((R978-1)*IF(Skills!G10&gt;0,Skills!H10/Skills!G10,1)+IF(Skills!G10&gt;0,MIN(Skills!H10,MAX(0,MAX(0,Inputs!$B$43-B1001)-((R978-1)*IF(Inputs!$B$38="pvp",15,MAX(0.1,Skills!D10-IF(Skills!E9=TRUE,Inputs!$B$32,0))))))/Skills!G10,1)))/Inputs!$B$43),G978*Q978))*IF(Inputs!$B$38="pvp",1,1+(Inputs!$B$20+Skills!O10+B995)/100),0)</f>
        <v/>
      </c>
      <c r="U978">
        <f>IF(C978,(H978*N978*IF(AND(Inputs!$B$38&lt;&gt;"pvp",Inputs!$B$43&gt;0),((Skills!F10*((R978-1)*IF(Skills!G10&gt;0,Skills!H10/Skills!G10,1)+IF(Skills!G10&gt;0,MIN(Skills!H10,MAX(0,MAX(0,Inputs!$B$43-B1001)-((R978-1)*IF(Inputs!$B$38="pvp",15,MAX(0.1,Skills!D10-IF(Skills!E9=TRUE,Inputs!$B$32,0))))))/Skills!G10,1)))/Inputs!$B$43),G978*Q978))*IF(Inputs!$B$38="pvp",1,(1+(Inputs!$B$21+Skills!P10+B995)/100)*(MIN(Skills!Q10,Inputs!$B$37))),0)</f>
        <v/>
      </c>
    </row>
    <row r="979">
      <c r="A979">
        <f>Skills!A11</f>
        <v/>
      </c>
      <c r="B979">
        <f>Skills!B11</f>
        <v/>
      </c>
      <c r="C979">
        <f>Inputs!$B$3&gt;=107</f>
        <v/>
      </c>
      <c r="D979">
        <f>IF(Skills!C11=1,60+Inputs!$B$25+Inputs!$B$29,IF(Skills!C11=2,90+Inputs!$B$26+Inputs!$B$29,IF(Skills!C11=3,120+Inputs!$B$27+Inputs!$B$29,MAX(0,(Inputs!$B$3-100)*3)+Inputs!$B$28+Inputs!$B$29)))</f>
        <v/>
      </c>
      <c r="E979">
        <f>INDEX(FactorTable!$B$2:$Y$301, MATCH(ROUND(MIN(300,MAX(1,D979)),0), FactorTable!$A$2:$A$301,0), Skills!L11+1)</f>
        <v/>
      </c>
      <c r="F979">
        <f>IF(Skills!M11=TRUE,(Skills!K11/10)*(E979/1000),Skills!K11/10)+Skills!N11</f>
        <v/>
      </c>
      <c r="G979">
        <f>Calc!G11</f>
        <v/>
      </c>
      <c r="H979">
        <f>Calc!H11</f>
        <v/>
      </c>
      <c r="I979">
        <f>IF(Skills!T11&lt;&gt;"",1+(Skills!T11/10)*(Z971/1000)/100,1)</f>
        <v/>
      </c>
      <c r="J979">
        <f>((Inputs!$B$6*(1+Inputs!$B$7/100))+(((Inputs!$B$12*(1+Inputs!$B$13/100))-(Inputs!$B$12*(1+Inputs!$B$13/100)))+0.25*(Inputs!$B$14-Inputs!$B$14))*(1+Inputs!$B$7/100))*(F979/100)</f>
        <v/>
      </c>
      <c r="K979">
        <f>J979*(1+((Inputs!$B$12*(1+Inputs!$B$13/100))*0.01+Inputs!$B$14*0.0025)/100)*(1+(Inputs!$B$15+B996)/100)*(1+Inputs!$B$16/100)*(5000/(6000+Inputs!$B$42*(1-Inputs!$B$19/100)))*(1+Inputs!$B$24/100)*(1+IF(C983=TRUE,F983,0)/100)*(1+IF(C991=TRUE,F991,0)/100)^5*(1+(IF(Skills!A11="CHAIN_LIGHTNING",Inputs!$B$17,Inputs!$B$18))/100)*(B994*I979)</f>
        <v/>
      </c>
      <c r="L979">
        <f>K979*(MIN(Inputs!$B$22+(F986-Calc!F18),Inputs!$B$23)/100+Inputs!$B$23/100)/2</f>
        <v/>
      </c>
      <c r="M979">
        <f>L979*(1+(Inputs!$B$10+(F989-Calc!F21))/100)</f>
        <v/>
      </c>
      <c r="N979">
        <f>L979*(1-MIN(Inputs!$B$9+((F988-Calc!F20)+(F987-Calc!F19)),100)/100)+M979*(MIN(Inputs!$B$9+((F988-Calc!F20)+(F987-Calc!F19)),100)/100)</f>
        <v/>
      </c>
      <c r="O979">
        <f>(1-Summary!$B$51)*S979+Summary!$B$51*U979</f>
        <v/>
      </c>
      <c r="P979">
        <f>IF(B1004=0,0,O979/B1004)</f>
        <v/>
      </c>
      <c r="Q979">
        <f>IFERROR(1/IF(Inputs!$B$38="pvp",15,MAX(0.1,Skills!D11-IF(Skills!E11=TRUE,Inputs!$B$32,0))),0)</f>
        <v/>
      </c>
      <c r="R979">
        <f>IF(AND(Inputs!$B$38&lt;&gt;"pvp",Inputs!$B$43&gt;0),IF(MAX(0,Inputs!$B$43-B1001)&lt;=0,0,(INT(MAX(0,Inputs!$B$43-B1001)/IF(Inputs!$B$38="pvp",15,MAX(0.1,Skills!D11-IF(Skills!E11=TRUE,Inputs!$B$32,0))))+1)),0)</f>
        <v/>
      </c>
      <c r="S979">
        <f>IF(C979,H979*N979*IF(AND(Inputs!$B$38&lt;&gt;"pvp",Inputs!$B$43&gt;0),((Skills!F11*((R979-1)*IF(Skills!G11&gt;0,Skills!H11/Skills!G11,1)+IF(Skills!G11&gt;0,MIN(Skills!H11,MAX(0,MAX(0,Inputs!$B$43-B1001)-((R979-1)*IF(Inputs!$B$38="pvp",15,MAX(0.1,Skills!D11-IF(Skills!E11=TRUE,Inputs!$B$32,0))))))/Skills!G11,1)))/Inputs!$B$43),G979*Q979)*0.5*IF(Inputs!$B$38="pvp",1,1+(Inputs!$B$20+Skills!O11+B995)/100),0)</f>
        <v/>
      </c>
      <c r="U979">
        <f>IF(C979,H979*N979*IF(AND(Inputs!$B$38&lt;&gt;"pvp",Inputs!$B$43&gt;0),((Skills!F11*((R979-1)*IF(Skills!G11&gt;0,Skills!H11/Skills!G11,1)+IF(Skills!G11&gt;0,MIN(Skills!H11,MAX(0,MAX(0,Inputs!$B$43-B1001)-((R979-1)*IF(Inputs!$B$38="pvp",15,MAX(0.1,Skills!D11-IF(Skills!E11=TRUE,Inputs!$B$32,0))))))/Skills!G11,1)))/Inputs!$B$43),G979*Q979)*1*IF(Inputs!$B$38="pvp",1,(1+(Inputs!$B$21+Skills!P11+B995)/100)*(MIN(Skills!Q11,Inputs!$B$37))),0)</f>
        <v/>
      </c>
    </row>
    <row r="980">
      <c r="A980">
        <f>Skills!A12</f>
        <v/>
      </c>
      <c r="B980">
        <f>Skills!B12</f>
        <v/>
      </c>
      <c r="C980">
        <f>Inputs!$B$3&gt;=115</f>
        <v/>
      </c>
      <c r="D980">
        <f>IF(Skills!C12=1,60+Inputs!$B$25+Inputs!$B$29,IF(Skills!C12=2,90+Inputs!$B$26+Inputs!$B$29,IF(Skills!C12=3,120+Inputs!$B$27+Inputs!$B$29,MAX(0,(Inputs!$B$3-100)*3)+Inputs!$B$28+Inputs!$B$29)))</f>
        <v/>
      </c>
      <c r="E980">
        <f>INDEX(FactorTable!$B$2:$Y$301, MATCH(ROUND(MIN(300,MAX(1,D980)),0), FactorTable!$A$2:$A$301,0), Skills!L12+1)</f>
        <v/>
      </c>
      <c r="F980">
        <f>IF(Skills!M12=TRUE,(Skills!K12/10)*(E980/1000),Skills!K12/10)+Skills!N12</f>
        <v/>
      </c>
      <c r="G980">
        <f>Calc!G12</f>
        <v/>
      </c>
      <c r="H980">
        <f>Calc!H12</f>
        <v/>
      </c>
      <c r="I980">
        <f>IF(Skills!T12&lt;&gt;"",1+(Skills!T12/10)*(Z971/1000)/100,1)</f>
        <v/>
      </c>
      <c r="J980">
        <f>((Inputs!$B$6*(1+Inputs!$B$7/100))+(((Inputs!$B$12*(1+Inputs!$B$13/100))-(Inputs!$B$12*(1+Inputs!$B$13/100)))+0.25*(Inputs!$B$14-Inputs!$B$14))*(1+Inputs!$B$7/100))*(F980/100)</f>
        <v/>
      </c>
      <c r="K980">
        <f>J980*(1+((Inputs!$B$12*(1+Inputs!$B$13/100))*0.01+Inputs!$B$14*0.0025)/100)*(1+(Inputs!$B$15+B996)/100)*(1+Inputs!$B$16/100)*(5000/(6000+Inputs!$B$42*(1-Inputs!$B$19/100)))*(1+Inputs!$B$24/100)*(1+IF(C983=TRUE,F983,0)/100)*(1+IF(C991=TRUE,F991,0)/100)^5*(1+(IF(Skills!A12="CHAIN_LIGHTNING",Inputs!$B$17,Inputs!$B$18))/100)*(B994*I980)</f>
        <v/>
      </c>
      <c r="L980">
        <f>K980*(MIN(Inputs!$B$22+(F986-Calc!F18),Inputs!$B$23)/100+Inputs!$B$23/100)/2</f>
        <v/>
      </c>
      <c r="M980">
        <f>L980*(1+(Inputs!$B$10+(F989-Calc!F21))/100)</f>
        <v/>
      </c>
      <c r="N980">
        <f>L980*(1-MIN(Inputs!$B$9+((F988-Calc!F20)+(F987-Calc!F19)),100)/100)+M980*(MIN(Inputs!$B$9+((F988-Calc!F20)+(F987-Calc!F19)),100)/100)</f>
        <v/>
      </c>
      <c r="O980">
        <f>(1-Summary!$B$51)*S980+Summary!$B$51*U980</f>
        <v/>
      </c>
      <c r="P980">
        <f>IF(B1004=0,0,O980/B1004)</f>
        <v/>
      </c>
      <c r="Q980">
        <f>IFERROR(1/IF(Inputs!$B$38="pvp",15,MAX(0.1,Skills!D12-IF(Skills!E12=TRUE,Inputs!$B$32,0))),0)</f>
        <v/>
      </c>
      <c r="R980">
        <f>IF(AND(Inputs!$B$38&lt;&gt;"pvp",Inputs!$B$43&gt;0),IF(MAX(0,Inputs!$B$43-B1001)&lt;=0,0,(INT(MAX(0,Inputs!$B$43-B1001)/IF(Inputs!$B$38="pvp",15,MAX(0.1,Skills!D12-IF(Skills!E12=TRUE,Inputs!$B$32,0))))+1)),0)</f>
        <v/>
      </c>
      <c r="S980">
        <f>IF(C980,(H980*N980*IF(AND(Inputs!$B$38&lt;&gt;"pvp",Inputs!$B$43&gt;0),((Skills!F12*((R980-1)*IF(Skills!G12&gt;0,Skills!H12/Skills!G12,1)+IF(Skills!G12&gt;0,MIN(Skills!H12,MAX(0,MAX(0,Inputs!$B$43-B1001)-((R980-1)*IF(Inputs!$B$38="pvp",15,MAX(0.1,Skills!D12-IF(Skills!E12=TRUE,Inputs!$B$32,0))))))/Skills!G12,1)))/Inputs!$B$43),G980*Q980))*IF(Inputs!$B$38="pvp",1,1+(Inputs!$B$20+Skills!O12+B995)/100),0)</f>
        <v/>
      </c>
      <c r="U980">
        <f>IF(C980,(H980*N980*IF(AND(Inputs!$B$38&lt;&gt;"pvp",Inputs!$B$43&gt;0),((Skills!F12*((R980-1)*IF(Skills!G12&gt;0,Skills!H12/Skills!G12,1)+IF(Skills!G12&gt;0,MIN(Skills!H12,MAX(0,MAX(0,Inputs!$B$43-B1001)-((R980-1)*IF(Inputs!$B$38="pvp",15,MAX(0.1,Skills!D12-IF(Skills!E12=TRUE,Inputs!$B$32,0))))))/Skills!G12,1)))/Inputs!$B$43),G980*Q980))*IF(Inputs!$B$38="pvp",1,(1+(Inputs!$B$21+Skills!P12+B995)/100)*(MIN(Skills!Q12,Inputs!$B$37))),0)</f>
        <v/>
      </c>
    </row>
    <row r="981">
      <c r="A981">
        <f>Skills!A13</f>
        <v/>
      </c>
      <c r="B981">
        <f>Skills!B13</f>
        <v/>
      </c>
      <c r="C981">
        <f>Inputs!$B$3&gt;=49</f>
        <v/>
      </c>
      <c r="D981">
        <f>IF(Skills!C13=1,60+Inputs!$B$25+Inputs!$B$29,IF(Skills!C13=2,90+Inputs!$B$26+Inputs!$B$29,IF(Skills!C13=3,120+Inputs!$B$27+Inputs!$B$29,MAX(0,(Inputs!$B$3-100)*3)+Inputs!$B$28+Inputs!$B$29)))</f>
        <v/>
      </c>
      <c r="E981">
        <f>INDEX(FactorTable!$B$2:$Y$301, MATCH(ROUND(MIN(300,MAX(1,D981)),0), FactorTable!$A$2:$A$301,0), Skills!L13+1)</f>
        <v/>
      </c>
      <c r="F981">
        <f>IF(Skills!M13=TRUE,(Skills!K13/10)*(E981/1000),Skills!K13/10)+Skills!N13</f>
        <v/>
      </c>
      <c r="G981">
        <f>Calc!G13</f>
        <v/>
      </c>
      <c r="H981">
        <f>Calc!H13</f>
        <v/>
      </c>
      <c r="I981">
        <f>IF(Skills!T13&lt;&gt;"",1+(Skills!T13/10)*(Z971/1000)/100,1)</f>
        <v/>
      </c>
      <c r="J981" t="inlineStr"/>
      <c r="K981" t="inlineStr"/>
      <c r="L981" t="inlineStr"/>
      <c r="M981" t="inlineStr"/>
      <c r="N981" t="inlineStr"/>
      <c r="O981">
        <f>(1-Summary!$B$51)*S981+Summary!$B$51*U981</f>
        <v/>
      </c>
      <c r="P981">
        <f>IF(B1004=0,0,O981/B1004)</f>
        <v/>
      </c>
      <c r="Q981">
        <f>IFERROR(1/IF(Inputs!$B$38="pvp",15,MAX(0.1,Skills!D13-IF(Skills!E13=TRUE,Inputs!$B$32,0))),0)</f>
        <v/>
      </c>
      <c r="R981" t="n">
        <v>0</v>
      </c>
      <c r="S981" t="n">
        <v>0</v>
      </c>
      <c r="U981" t="n">
        <v>0</v>
      </c>
    </row>
    <row r="982">
      <c r="A982">
        <f>Skills!A14</f>
        <v/>
      </c>
      <c r="B982">
        <f>Skills!B14</f>
        <v/>
      </c>
      <c r="C982">
        <f>Inputs!$B$3&gt;=72</f>
        <v/>
      </c>
      <c r="D982">
        <f>IF(Skills!C14=1,60+Inputs!$B$25+Inputs!$B$29,IF(Skills!C14=2,90+Inputs!$B$26+Inputs!$B$29,IF(Skills!C14=3,120+Inputs!$B$27+Inputs!$B$29,MAX(0,(Inputs!$B$3-100)*3)+Inputs!$B$28+Inputs!$B$29)))</f>
        <v/>
      </c>
      <c r="E982">
        <f>INDEX(FactorTable!$B$2:$Y$301, MATCH(ROUND(MIN(300,MAX(1,D982)),0), FactorTable!$A$2:$A$301,0), Skills!L14+1)</f>
        <v/>
      </c>
      <c r="F982">
        <f>IF(Skills!M14=TRUE,(Skills!K14/10)*(E982/1000),Skills!K14/10)+Skills!N14</f>
        <v/>
      </c>
      <c r="G982">
        <f>Calc!G14</f>
        <v/>
      </c>
      <c r="H982">
        <f>Calc!H14</f>
        <v/>
      </c>
      <c r="I982">
        <f>IF(Skills!T14&lt;&gt;"",1+(Skills!T14/10)*(Z971/1000)/100,1)</f>
        <v/>
      </c>
      <c r="J982" t="inlineStr"/>
      <c r="K982" t="inlineStr"/>
      <c r="L982" t="inlineStr"/>
      <c r="M982" t="inlineStr"/>
      <c r="N982" t="inlineStr"/>
      <c r="O982">
        <f>(1-Summary!$B$51)*S982+Summary!$B$51*U982</f>
        <v/>
      </c>
      <c r="P982">
        <f>IF(B1004=0,0,O982/B1004)</f>
        <v/>
      </c>
      <c r="Q982">
        <f>IFERROR(1/IF(Inputs!$B$38="pvp",15,MAX(0.1,Skills!D14-IF(Skills!E14=TRUE,Inputs!$B$32,0))),0)</f>
        <v/>
      </c>
      <c r="R982" t="n">
        <v>0</v>
      </c>
      <c r="S982" t="n">
        <v>0</v>
      </c>
      <c r="U982" t="n">
        <v>0</v>
      </c>
    </row>
    <row r="983">
      <c r="A983">
        <f>Skills!A15</f>
        <v/>
      </c>
      <c r="B983">
        <f>Skills!B15</f>
        <v/>
      </c>
      <c r="C983">
        <f>Inputs!$B$3&gt;=75</f>
        <v/>
      </c>
      <c r="D983">
        <f>IF(Skills!C15=1,60+Inputs!$B$25+Inputs!$B$29,IF(Skills!C15=2,90+Inputs!$B$26+Inputs!$B$29,IF(Skills!C15=3,120+Inputs!$B$27+Inputs!$B$29,MAX(0,(Inputs!$B$3-100)*3)+Inputs!$B$28+Inputs!$B$29)))</f>
        <v/>
      </c>
      <c r="E983">
        <f>INDEX(FactorTable!$B$2:$Y$301, MATCH(ROUND(MIN(300,MAX(1,D983)),0), FactorTable!$A$2:$A$301,0), Skills!L15+1)</f>
        <v/>
      </c>
      <c r="F983">
        <f>IF(Skills!M15=TRUE,(Skills!K15/10)*(E983/1000),Skills!K15/10)+Skills!N15</f>
        <v/>
      </c>
      <c r="G983">
        <f>Calc!G15</f>
        <v/>
      </c>
      <c r="H983">
        <f>Calc!H15</f>
        <v/>
      </c>
      <c r="I983">
        <f>IF(Skills!T15&lt;&gt;"",1+(Skills!T15/10)*(Z971/1000)/100,1)</f>
        <v/>
      </c>
      <c r="J983" t="inlineStr"/>
      <c r="K983" t="inlineStr"/>
      <c r="L983" t="inlineStr"/>
      <c r="M983" t="inlineStr"/>
      <c r="N983" t="inlineStr"/>
      <c r="O983">
        <f>(1-Summary!$B$51)*S983+Summary!$B$51*U983</f>
        <v/>
      </c>
      <c r="P983">
        <f>IF(B1004=0,0,O983/B1004)</f>
        <v/>
      </c>
      <c r="Q983">
        <f>IFERROR(1/IF(Inputs!$B$38="pvp",15,MAX(0.1,Skills!D15-IF(Skills!E15=TRUE,Inputs!$B$32,0))),0)</f>
        <v/>
      </c>
      <c r="R983" t="n">
        <v>0</v>
      </c>
      <c r="S983" t="n">
        <v>0</v>
      </c>
      <c r="U983" t="n">
        <v>0</v>
      </c>
    </row>
    <row r="984">
      <c r="A984">
        <f>Skills!A16</f>
        <v/>
      </c>
      <c r="B984">
        <f>Skills!B16</f>
        <v/>
      </c>
      <c r="C984">
        <f>Inputs!$B$3&gt;=110</f>
        <v/>
      </c>
      <c r="D984">
        <f>IF(Skills!C16=1,60+Inputs!$B$25+Inputs!$B$29,IF(Skills!C16=2,90+Inputs!$B$26+Inputs!$B$29,IF(Skills!C16=3,120+Inputs!$B$27+Inputs!$B$29,MAX(0,(Inputs!$B$3-100)*3)+Inputs!$B$28+Inputs!$B$29)))</f>
        <v/>
      </c>
      <c r="E984">
        <f>INDEX(FactorTable!$B$2:$Y$301, MATCH(ROUND(MIN(300,MAX(1,D984)),0), FactorTable!$A$2:$A$301,0), Skills!L16+1)</f>
        <v/>
      </c>
      <c r="F984">
        <f>(Skills!K16/10)*(E984/1000)*64/45+Skills!N16</f>
        <v/>
      </c>
      <c r="G984">
        <f>Calc!G16</f>
        <v/>
      </c>
      <c r="H984">
        <f>Calc!H16</f>
        <v/>
      </c>
      <c r="I984">
        <f>IF(Skills!T16&lt;&gt;"",1+(Skills!T16/10)*(Z971/1000)/100,1)</f>
        <v/>
      </c>
      <c r="J984" t="inlineStr"/>
      <c r="K984" t="inlineStr"/>
      <c r="L984" t="inlineStr"/>
      <c r="M984" t="inlineStr"/>
      <c r="N984" t="inlineStr"/>
      <c r="O984">
        <f>(1-Summary!$B$51)*S984+Summary!$B$51*U984</f>
        <v/>
      </c>
      <c r="P984">
        <f>IF(B1004=0,0,O984/B1004)</f>
        <v/>
      </c>
      <c r="Q984">
        <f>IFERROR(1/IF(Inputs!$B$38="pvp",15,MAX(0.1,Skills!D16-IF(Skills!E16=TRUE,Inputs!$B$32,0))),0)</f>
        <v/>
      </c>
      <c r="R984">
        <f>IF(AND(Inputs!$B$38&lt;&gt;"pvp",Inputs!$B$43&gt;0),IF(Inputs!$B$43&lt;=0,0,(INT(Inputs!$B$43/IF(Inputs!$B$38="pvp",15,MAX(0.1,Skills!D16-IF(Skills!E16=TRUE,Inputs!$B$32,0))))+1)),0)</f>
        <v/>
      </c>
      <c r="S984" t="n">
        <v>0</v>
      </c>
      <c r="U984" t="n">
        <v>0</v>
      </c>
    </row>
    <row r="985">
      <c r="A985">
        <f>Skills!A17</f>
        <v/>
      </c>
      <c r="B985">
        <f>Skills!B17</f>
        <v/>
      </c>
      <c r="C985">
        <f>Inputs!$B$3&gt;=33</f>
        <v/>
      </c>
      <c r="D985">
        <f>IF(Skills!C17=1,60+Inputs!$B$25+Inputs!$B$29,IF(Skills!C17=2,90+Inputs!$B$26+Inputs!$B$29,IF(Skills!C17=3,120+Inputs!$B$27+Inputs!$B$29,MAX(0,(Inputs!$B$3-100)*3)+Inputs!$B$28+Inputs!$B$29)))</f>
        <v/>
      </c>
      <c r="E985">
        <f>INDEX(FactorTable!$B$2:$Y$301, MATCH(ROUND(MIN(300,MAX(1,D985)),0), FactorTable!$A$2:$A$301,0), Skills!L17+1)</f>
        <v/>
      </c>
      <c r="F985">
        <f>IF(Skills!M17=TRUE,(Skills!K17/10)*(E985/1000),Skills!K17/10)+Skills!N17</f>
        <v/>
      </c>
      <c r="G985">
        <f>Calc!G17</f>
        <v/>
      </c>
      <c r="H985">
        <f>Calc!H17</f>
        <v/>
      </c>
      <c r="I985">
        <f>IF(Skills!T17&lt;&gt;"",1+(Skills!T17/10)*(Z971/1000)/100,1)</f>
        <v/>
      </c>
      <c r="J985" t="inlineStr"/>
      <c r="K985" t="inlineStr"/>
      <c r="L985" t="inlineStr"/>
      <c r="M985" t="inlineStr"/>
      <c r="N985" t="inlineStr"/>
      <c r="O985">
        <f>(1-Summary!$B$51)*S985+Summary!$B$51*U985</f>
        <v/>
      </c>
      <c r="P985">
        <f>IF(B1004=0,0,O985/B1004)</f>
        <v/>
      </c>
      <c r="Q985">
        <f>IFERROR(1/IF(Inputs!$B$38="pvp",15,MAX(0.1,Skills!D17-IF(Skills!E17=TRUE,Inputs!$B$32,0))),0)</f>
        <v/>
      </c>
      <c r="R985" t="n">
        <v>0</v>
      </c>
      <c r="S985" t="n">
        <v>0</v>
      </c>
      <c r="U985" t="n">
        <v>0</v>
      </c>
    </row>
    <row r="986">
      <c r="A986">
        <f>Skills!A18</f>
        <v/>
      </c>
      <c r="B986">
        <f>Skills!B18</f>
        <v/>
      </c>
      <c r="C986">
        <f>Inputs!$B$3&gt;=43</f>
        <v/>
      </c>
      <c r="D986">
        <f>IF(Skills!C18=1,60+Inputs!$B$25+Inputs!$B$29,IF(Skills!C18=2,90+Inputs!$B$26+Inputs!$B$29,IF(Skills!C18=3,120+Inputs!$B$27+Inputs!$B$29,MAX(0,(Inputs!$B$3-100)*3)+Inputs!$B$28+Inputs!$B$29)))</f>
        <v/>
      </c>
      <c r="E986">
        <f>INDEX(FactorTable!$B$2:$Y$301, MATCH(ROUND(MIN(300,MAX(1,D986)),0), FactorTable!$A$2:$A$301,0), Skills!L18+1)</f>
        <v/>
      </c>
      <c r="F986">
        <f>IF(Skills!M18=TRUE,(Skills!K18/10)*(E986/1000),Skills!K18/10)+Skills!N18</f>
        <v/>
      </c>
      <c r="G986">
        <f>Calc!G18</f>
        <v/>
      </c>
      <c r="H986">
        <f>Calc!H18</f>
        <v/>
      </c>
      <c r="I986">
        <f>IF(Skills!T18&lt;&gt;"",1+(Skills!T18/10)*(Z971/1000)/100,1)</f>
        <v/>
      </c>
      <c r="J986" t="inlineStr"/>
      <c r="K986" t="inlineStr"/>
      <c r="L986" t="inlineStr"/>
      <c r="M986" t="inlineStr"/>
      <c r="N986" t="inlineStr"/>
      <c r="O986">
        <f>(1-Summary!$B$51)*S986+Summary!$B$51*U986</f>
        <v/>
      </c>
      <c r="P986">
        <f>IF(B1004=0,0,O986/B1004)</f>
        <v/>
      </c>
      <c r="Q986">
        <f>IFERROR(1/IF(Inputs!$B$38="pvp",15,MAX(0.1,Skills!D18-IF(Skills!E18=TRUE,Inputs!$B$32,0))),0)</f>
        <v/>
      </c>
      <c r="R986" t="n">
        <v>0</v>
      </c>
      <c r="S986" t="n">
        <v>0</v>
      </c>
      <c r="U986" t="n">
        <v>0</v>
      </c>
    </row>
    <row r="987">
      <c r="A987">
        <f>Skills!A19</f>
        <v/>
      </c>
      <c r="B987">
        <f>Skills!B19</f>
        <v/>
      </c>
      <c r="C987">
        <f>Inputs!$B$3&gt;=50</f>
        <v/>
      </c>
      <c r="D987">
        <f>IF(Skills!C19=1,60+Inputs!$B$25+Inputs!$B$29,IF(Skills!C19=2,90+Inputs!$B$26+Inputs!$B$29,IF(Skills!C19=3,120+Inputs!$B$27+Inputs!$B$29,MAX(0,(Inputs!$B$3-100)*3)+Inputs!$B$28+Inputs!$B$29)))</f>
        <v/>
      </c>
      <c r="E987">
        <f>INDEX(FactorTable!$B$2:$Y$301, MATCH(ROUND(MIN(300,MAX(1,D987)),0), FactorTable!$A$2:$A$301,0), Skills!L19+1)</f>
        <v/>
      </c>
      <c r="F987">
        <f>IF(Skills!M19=TRUE,(Skills!K19/10)*(E987/1000),Skills!K19/10)+Skills!N19</f>
        <v/>
      </c>
      <c r="G987">
        <f>Calc!G19</f>
        <v/>
      </c>
      <c r="H987">
        <f>Calc!H19</f>
        <v/>
      </c>
      <c r="I987">
        <f>IF(Skills!T19&lt;&gt;"",1+(Skills!T19/10)*(Z971/1000)/100,1)</f>
        <v/>
      </c>
      <c r="J987" t="inlineStr"/>
      <c r="K987" t="inlineStr"/>
      <c r="L987" t="inlineStr"/>
      <c r="M987" t="inlineStr"/>
      <c r="N987" t="inlineStr"/>
      <c r="O987">
        <f>(1-Summary!$B$51)*S987+Summary!$B$51*U987</f>
        <v/>
      </c>
      <c r="P987">
        <f>IF(B1004=0,0,O987/B1004)</f>
        <v/>
      </c>
      <c r="Q987">
        <f>IFERROR(1/IF(Inputs!$B$38="pvp",15,MAX(0.1,Skills!D19-IF(Skills!E19=TRUE,Inputs!$B$32,0))),0)</f>
        <v/>
      </c>
      <c r="R987" t="n">
        <v>0</v>
      </c>
      <c r="S987" t="n">
        <v>0</v>
      </c>
      <c r="U987" t="n">
        <v>0</v>
      </c>
    </row>
    <row r="988">
      <c r="A988">
        <f>Skills!A20</f>
        <v/>
      </c>
      <c r="B988">
        <f>Skills!B20</f>
        <v/>
      </c>
      <c r="C988">
        <f>Inputs!$B$3&gt;=74</f>
        <v/>
      </c>
      <c r="D988">
        <f>IF(Skills!C20=1,60+Inputs!$B$25+Inputs!$B$29,IF(Skills!C20=2,90+Inputs!$B$26+Inputs!$B$29,IF(Skills!C20=3,120+Inputs!$B$27+Inputs!$B$29,MAX(0,(Inputs!$B$3-100)*3)+Inputs!$B$28+Inputs!$B$29)))</f>
        <v/>
      </c>
      <c r="E988">
        <f>INDEX(FactorTable!$B$2:$Y$301, MATCH(ROUND(MIN(300,MAX(1,D988)),0), FactorTable!$A$2:$A$301,0), Skills!L20+1)</f>
        <v/>
      </c>
      <c r="F988">
        <f>IF(Skills!M20=TRUE,(Skills!K20/10)*(E988/1000),Skills!K20/10)+Skills!N20</f>
        <v/>
      </c>
      <c r="G988">
        <f>Calc!G20</f>
        <v/>
      </c>
      <c r="H988">
        <f>Calc!H20</f>
        <v/>
      </c>
      <c r="I988">
        <f>IF(Skills!T20&lt;&gt;"",1+(Skills!T20/10)*(Z971/1000)/100,1)</f>
        <v/>
      </c>
      <c r="J988" t="inlineStr"/>
      <c r="K988" t="inlineStr"/>
      <c r="L988" t="inlineStr"/>
      <c r="M988" t="inlineStr"/>
      <c r="N988" t="inlineStr"/>
      <c r="O988">
        <f>(1-Summary!$B$51)*S988+Summary!$B$51*U988</f>
        <v/>
      </c>
      <c r="P988">
        <f>IF(B1004=0,0,O988/B1004)</f>
        <v/>
      </c>
      <c r="Q988">
        <f>IFERROR(1/IF(Inputs!$B$38="pvp",15,MAX(0.1,Skills!D20-IF(Skills!E20=TRUE,Inputs!$B$32,0))),0)</f>
        <v/>
      </c>
      <c r="R988" t="n">
        <v>0</v>
      </c>
      <c r="S988" t="n">
        <v>0</v>
      </c>
      <c r="U988" t="n">
        <v>0</v>
      </c>
    </row>
    <row r="989">
      <c r="A989">
        <f>Skills!A21</f>
        <v/>
      </c>
      <c r="B989">
        <f>Skills!B21</f>
        <v/>
      </c>
      <c r="C989">
        <f>Inputs!$B$3&gt;=74</f>
        <v/>
      </c>
      <c r="D989">
        <f>IF(Skills!C21=1,60+Inputs!$B$25+Inputs!$B$29,IF(Skills!C21=2,90+Inputs!$B$26+Inputs!$B$29,IF(Skills!C21=3,120+Inputs!$B$27+Inputs!$B$29,MAX(0,(Inputs!$B$3-100)*3)+Inputs!$B$28+Inputs!$B$29)))</f>
        <v/>
      </c>
      <c r="E989">
        <f>INDEX(FactorTable!$B$2:$Y$301, MATCH(ROUND(MIN(300,MAX(1,D989)),0), FactorTable!$A$2:$A$301,0), Skills!L21+1)</f>
        <v/>
      </c>
      <c r="F989">
        <f>IF(Skills!M21=TRUE,(Skills!K21/10)*(E989/1000),Skills!K21/10)+Skills!N21</f>
        <v/>
      </c>
      <c r="G989">
        <f>Calc!G21</f>
        <v/>
      </c>
      <c r="H989">
        <f>Calc!H21</f>
        <v/>
      </c>
      <c r="I989">
        <f>IF(Skills!T21&lt;&gt;"",1+(Skills!T21/10)*(Z971/1000)/100,1)</f>
        <v/>
      </c>
      <c r="J989" t="inlineStr"/>
      <c r="K989" t="inlineStr"/>
      <c r="L989" t="inlineStr"/>
      <c r="M989" t="inlineStr"/>
      <c r="N989" t="inlineStr"/>
      <c r="O989">
        <f>(1-Summary!$B$51)*S989+Summary!$B$51*U989</f>
        <v/>
      </c>
      <c r="P989">
        <f>IF(B1004=0,0,O989/B1004)</f>
        <v/>
      </c>
      <c r="Q989">
        <f>IFERROR(1/IF(Inputs!$B$38="pvp",15,MAX(0.1,Skills!D21-IF(Skills!E21=TRUE,Inputs!$B$32,0))),0)</f>
        <v/>
      </c>
      <c r="R989" t="n">
        <v>0</v>
      </c>
      <c r="S989" t="n">
        <v>0</v>
      </c>
      <c r="U989" t="n">
        <v>0</v>
      </c>
    </row>
    <row r="990">
      <c r="A990">
        <f>Skills!A22</f>
        <v/>
      </c>
      <c r="B990">
        <f>Skills!B22</f>
        <v/>
      </c>
      <c r="C990">
        <f>Inputs!$B$3&gt;=117</f>
        <v/>
      </c>
      <c r="D990">
        <f>IF(Skills!C22=1,60+Inputs!$B$25+Inputs!$B$29,IF(Skills!C22=2,90+Inputs!$B$26+Inputs!$B$29,IF(Skills!C22=3,120+Inputs!$B$27+Inputs!$B$29,MAX(0,(Inputs!$B$3-100)*3)+Inputs!$B$28+Inputs!$B$29)))</f>
        <v/>
      </c>
      <c r="E990">
        <f>INDEX(FactorTable!$B$2:$Y$301, MATCH(ROUND(MIN(300,MAX(1,D990)),0), FactorTable!$A$2:$A$301,0), Skills!L22+1)</f>
        <v/>
      </c>
      <c r="F990">
        <f>IF(Skills!M22=TRUE,(Skills!K22/10)*(E990/1000),Skills!K22/10)+Skills!N22</f>
        <v/>
      </c>
      <c r="G990">
        <f>Calc!G22</f>
        <v/>
      </c>
      <c r="H990">
        <f>Calc!H22</f>
        <v/>
      </c>
      <c r="I990">
        <f>IF(Skills!T22&lt;&gt;"",1+(Skills!T22/10)*(Z971/1000)/100,1)</f>
        <v/>
      </c>
      <c r="J990" t="inlineStr"/>
      <c r="K990" t="inlineStr"/>
      <c r="L990" t="inlineStr"/>
      <c r="M990" t="inlineStr"/>
      <c r="N990" t="inlineStr"/>
      <c r="O990">
        <f>(1-Summary!$B$51)*S990+Summary!$B$51*U990</f>
        <v/>
      </c>
      <c r="P990">
        <f>IF(B1004=0,0,O990/B1004)</f>
        <v/>
      </c>
      <c r="Q990">
        <f>IFERROR(1/IF(Inputs!$B$38="pvp",15,MAX(0.1,Skills!D22-IF(Skills!E22=TRUE,Inputs!$B$32,0))),0)</f>
        <v/>
      </c>
      <c r="R990" t="n">
        <v>0</v>
      </c>
      <c r="S990" t="n">
        <v>0</v>
      </c>
      <c r="U990" t="n">
        <v>0</v>
      </c>
    </row>
    <row r="991">
      <c r="A991">
        <f>Skills!A23</f>
        <v/>
      </c>
      <c r="B991">
        <f>Skills!B23</f>
        <v/>
      </c>
      <c r="C991">
        <f>Inputs!$B$3&gt;=120</f>
        <v/>
      </c>
      <c r="D991">
        <f>IF(Skills!C23=1,60+Inputs!$B$25+Inputs!$B$29,IF(Skills!C23=2,90+Inputs!$B$26+Inputs!$B$29,IF(Skills!C23=3,120+Inputs!$B$27+Inputs!$B$29,MAX(0,(Inputs!$B$3-100)*3)+Inputs!$B$28+Inputs!$B$29)))</f>
        <v/>
      </c>
      <c r="E991">
        <f>INDEX(FactorTable!$B$2:$Y$301, MATCH(ROUND(MIN(300,MAX(1,D991)),0), FactorTable!$A$2:$A$301,0), Skills!L23+1)</f>
        <v/>
      </c>
      <c r="F991">
        <f>IF(Skills!M23=TRUE,(Skills!K23/10)*(E991/1000),Skills!K23/10)+Skills!N23</f>
        <v/>
      </c>
      <c r="G991">
        <f>Calc!G23</f>
        <v/>
      </c>
      <c r="H991">
        <f>Calc!H23</f>
        <v/>
      </c>
      <c r="I991">
        <f>IF(Skills!T23&lt;&gt;"",1+(Skills!T23/10)*(Z971/1000)/100,1)</f>
        <v/>
      </c>
      <c r="J991" t="inlineStr"/>
      <c r="K991" t="inlineStr"/>
      <c r="L991" t="inlineStr"/>
      <c r="M991" t="inlineStr"/>
      <c r="N991" t="inlineStr"/>
      <c r="O991">
        <f>(1-Summary!$B$51)*S991+Summary!$B$51*U991</f>
        <v/>
      </c>
      <c r="P991">
        <f>IF(B1004=0,0,O991/B1004)</f>
        <v/>
      </c>
      <c r="Q991">
        <f>IFERROR(1/IF(Inputs!$B$38="pvp",15,MAX(0.1,Skills!D23-IF(Skills!E23=TRUE,Inputs!$B$32,0))),0)</f>
        <v/>
      </c>
      <c r="R991" t="n">
        <v>0</v>
      </c>
      <c r="S991" t="n">
        <v>0</v>
      </c>
      <c r="U991" t="n">
        <v>0</v>
      </c>
    </row>
    <row r="994">
      <c r="A994" t="inlineStr">
        <is>
          <t>Average Buff Multiplier (Magic Guard + Meditation, summed; then Infinity)</t>
        </is>
      </c>
      <c r="B994">
        <f>(1+(IF(C971=TRUE,F971*IF(AND(Inputs!$B$38&lt;&gt;"pvp",Inputs!$B$43&gt;0),(((R971-1)*(Skills!S3*(1+((Inputs!$B$34+1)+IF(Inputs!$B$3&gt;=117,F990,0))/100))+MIN((Skills!S3*(1+((Inputs!$B$34+1)+IF(Inputs!$B$3&gt;=117,F990,0))/100)),MAX(0,Inputs!$B$43-((R971-1)*Skills!D3))))/Inputs!$B$43),IF(Inputs!$B$38="pvp",MIN((Skills!S3*(1+((Inputs!$B$34+1)+IF(Inputs!$B$3&gt;=117,F990,0))/100)),15)/15,(Skills!S3*(1+((Inputs!$B$34+1)+IF(Inputs!$B$3&gt;=117,F990,0))/100))/Skills!D3)),0)+IF(C972=TRUE,F972*IF(AND(Inputs!$B$38&lt;&gt;"pvp",Inputs!$B$43&gt;0),(((R972-1)*(Skills!S4*(1+((Inputs!$B$34+1)+IF(Inputs!$B$3&gt;=117,F990,0))/100))+MIN((Skills!S4*(1+((Inputs!$B$34+1)+IF(Inputs!$B$3&gt;=117,F990,0))/100)),MAX(0,Inputs!$B$43-((R972-1)*Skills!D4))))/Inputs!$B$43),IF(Inputs!$B$38="pvp",MIN((Skills!S4*(1+((Inputs!$B$34+1)+IF(Inputs!$B$3&gt;=117,F990,0))/100)),15)/15,(Skills!S4*(1+((Inputs!$B$34+1)+IF(Inputs!$B$3&gt;=117,F990,0))/100))/Skills!D4)),0))/100)*IF(C984=TRUE,(1+F984*IF(AND(Inputs!$B$38&lt;&gt;"pvp",Inputs!$B$43&gt;0),(((R984-1)*(Skills!S16*(1+((Inputs!$B$34+1)+IF(Inputs!$B$3&gt;=117,F990,0))/100))+MIN((Skills!S16*(1+((Inputs!$B$34+1)+IF(Inputs!$B$3&gt;=117,F990,0))/100)),MAX(0,Inputs!$B$43-((R984-1)*Skills!D16))))/Inputs!$B$43),IF(Inputs!$B$38="pvp",MIN((Skills!S16*(1+((Inputs!$B$34+1)+IF(Inputs!$B$3&gt;=117,F990,0))/100)),15)/15,(Skills!S16*(1+((Inputs!$B$34+1)+IF(Inputs!$B$3&gt;=117,F990,0))/100))/Skills!D16))/100),1)</f>
        <v/>
      </c>
    </row>
    <row r="995">
      <c r="A995" t="inlineStr">
        <is>
          <t>Monster Damage Taken Bonus % (Freezing Breath - Weaken + Elemental Reset, summed)</t>
        </is>
      </c>
      <c r="B995">
        <f>IF(Inputs!$B$3&gt;=118,15*IF(Inputs!$B$38="pvp",MIN((30*(1+((Inputs!$B$34+1)+IF(Inputs!$B$3&gt;=117,F990,0))/100)),15)/15,(30*(1+((Inputs!$B$34+1)+IF(Inputs!$B$3&gt;=117,F990,0))/100))/Skills!D8),0)+IF(C982=TRUE,F982,0)</f>
        <v/>
      </c>
    </row>
    <row r="996">
      <c r="A996" t="inlineStr">
        <is>
          <t>Damage % Bonus (Frozen Break + Frost Clutch, flat)</t>
        </is>
      </c>
      <c r="B996">
        <f>IF(Inputs!$B$3&gt;=66,15,0)+IF(Inputs!$B$3&gt;=98,10,0)+IF(Inputs!$B$3&gt;=125,20,0)</f>
        <v/>
      </c>
    </row>
    <row r="997">
      <c r="A997" t="inlineStr">
        <is>
          <t>Attack Speed Bonus % (MP Eater - MP Boost, always-on once unlocked)</t>
        </is>
      </c>
      <c r="B997">
        <f>IF(C981=TRUE,F981+(F985-Calc!F17),0)</f>
        <v/>
      </c>
    </row>
    <row r="998">
      <c r="A998" t="inlineStr">
        <is>
          <t>Actions Per Second</t>
        </is>
      </c>
      <c r="B998">
        <f>1+MIN(150,150*(1-(1-Inputs!$B$11/150)*(1-B997/150)))/100</f>
        <v/>
      </c>
    </row>
    <row r="999">
      <c r="A999" t="inlineStr">
        <is>
          <t>Skill + Buff Cast Rate</t>
        </is>
      </c>
      <c r="B999">
        <f>IF(AND(Inputs!$B$38&lt;&gt;"pvp",Inputs!$B$43&gt;0),SUMPRODUCT((Skills!E2:E23=TRUE)*(C970:C991=TRUE)*R970:R991)/Inputs!$B$43,SUMPRODUCT((Skills!E2:E23=TRUE)*(C970:C991=TRUE)*Q970:Q991))</f>
        <v/>
      </c>
    </row>
    <row r="1000">
      <c r="A1000" t="inlineStr">
        <is>
          <t>Chain Lightning Casts Per Second</t>
        </is>
      </c>
      <c r="B1000">
        <f>MAX(0,B998-B999)</f>
        <v/>
      </c>
    </row>
    <row r="1001">
      <c r="A1001" t="inlineStr">
        <is>
          <t>Buff-Casting Startup Delay (s, fixed-duration only)</t>
        </is>
      </c>
      <c r="B1001">
        <f>IF(AND(Inputs!$B$38&lt;&gt;"pvp",Inputs!$B$43&gt;0),SUMPRODUCT((Skills!S2:S23&gt;0)*(Skills!E2:E23=TRUE)*(C970:C991=TRUE))/B998,0)</f>
        <v/>
      </c>
    </row>
    <row r="1002">
      <c r="A1002" t="inlineStr">
        <is>
          <t>Boss-Only Total DPS (this block's swept value)</t>
        </is>
      </c>
      <c r="B1002">
        <f>SUM(S970:S991)</f>
        <v/>
      </c>
    </row>
    <row r="1003">
      <c r="A1003" t="inlineStr">
        <is>
          <t>Normal-Only Total DPS (this block's swept value)</t>
        </is>
      </c>
      <c r="B1003">
        <f>SUM(U970:U991)</f>
        <v/>
      </c>
    </row>
    <row r="1004">
      <c r="A1004" s="5" t="inlineStr">
        <is>
          <t>TOTAL DPS</t>
        </is>
      </c>
      <c r="B1004" s="5">
        <f>SUM(O970:O991)</f>
        <v/>
      </c>
    </row>
    <row r="1007">
      <c r="A1007" s="7" t="inlineStr">
        <is>
          <t>Cooldown Reduction Milestone Sweep (absolute CDR seconds, fixed-duration content only)</t>
        </is>
      </c>
    </row>
    <row r="1008">
      <c r="A1008" s="9" t="inlineStr">
        <is>
          <t>CDR (s)</t>
        </is>
      </c>
      <c r="B1008" s="9" t="inlineStr">
        <is>
          <t>Total DPS</t>
        </is>
      </c>
      <c r="C1008" s="9" t="inlineStr">
        <is>
          <t>DPS Gain (vs prior step)</t>
        </is>
      </c>
      <c r="D1008" s="9" t="inlineStr">
        <is>
          <t>% Gain (vs current CDR)</t>
        </is>
      </c>
    </row>
    <row r="1009">
      <c r="A1009" t="n">
        <v>0.5</v>
      </c>
      <c r="B1009">
        <f>B1057</f>
        <v/>
      </c>
      <c r="C1009" t="n">
        <v>0</v>
      </c>
      <c r="D1009">
        <f>IF(Summary!$B$3=0,0,(B1009-Summary!$B$3)/Summary!$B$3*100)</f>
        <v/>
      </c>
    </row>
    <row r="1010">
      <c r="A1010" t="n">
        <v>1</v>
      </c>
      <c r="B1010">
        <f>B1096</f>
        <v/>
      </c>
      <c r="C1010">
        <f>B1010-B1009</f>
        <v/>
      </c>
      <c r="D1010">
        <f>IF(Summary!$B$3=0,0,(B1010-Summary!$B$3)/Summary!$B$3*100)</f>
        <v/>
      </c>
    </row>
    <row r="1011">
      <c r="A1011" t="n">
        <v>1.5</v>
      </c>
      <c r="B1011">
        <f>B1135</f>
        <v/>
      </c>
      <c r="C1011">
        <f>B1011-B1010</f>
        <v/>
      </c>
      <c r="D1011">
        <f>IF(Summary!$B$3=0,0,(B1011-Summary!$B$3)/Summary!$B$3*100)</f>
        <v/>
      </c>
    </row>
    <row r="1012">
      <c r="A1012" t="n">
        <v>2</v>
      </c>
      <c r="B1012">
        <f>B1174</f>
        <v/>
      </c>
      <c r="C1012">
        <f>B1012-B1011</f>
        <v/>
      </c>
      <c r="D1012">
        <f>IF(Summary!$B$3=0,0,(B1012-Summary!$B$3)/Summary!$B$3*100)</f>
        <v/>
      </c>
    </row>
    <row r="1013">
      <c r="A1013" t="n">
        <v>2.5</v>
      </c>
      <c r="B1013">
        <f>B1213</f>
        <v/>
      </c>
      <c r="C1013">
        <f>B1013-B1012</f>
        <v/>
      </c>
      <c r="D1013">
        <f>IF(Summary!$B$3=0,0,(B1013-Summary!$B$3)/Summary!$B$3*100)</f>
        <v/>
      </c>
    </row>
    <row r="1014">
      <c r="A1014" t="n">
        <v>3</v>
      </c>
      <c r="B1014">
        <f>B1252</f>
        <v/>
      </c>
      <c r="C1014">
        <f>B1014-B1013</f>
        <v/>
      </c>
      <c r="D1014">
        <f>IF(Summary!$B$3=0,0,(B1014-Summary!$B$3)/Summary!$B$3*100)</f>
        <v/>
      </c>
    </row>
    <row r="1015">
      <c r="A1015" t="n">
        <v>3.5</v>
      </c>
      <c r="B1015">
        <f>B1291</f>
        <v/>
      </c>
      <c r="C1015">
        <f>B1015-B1014</f>
        <v/>
      </c>
      <c r="D1015">
        <f>IF(Summary!$B$3=0,0,(B1015-Summary!$B$3)/Summary!$B$3*100)</f>
        <v/>
      </c>
    </row>
    <row r="1016">
      <c r="A1016" t="n">
        <v>4</v>
      </c>
      <c r="B1016">
        <f>B1330</f>
        <v/>
      </c>
      <c r="C1016">
        <f>B1016-B1015</f>
        <v/>
      </c>
      <c r="D1016">
        <f>IF(Summary!$B$3=0,0,(B1016-Summary!$B$3)/Summary!$B$3*100)</f>
        <v/>
      </c>
    </row>
    <row r="1017">
      <c r="A1017" t="n">
        <v>4.5</v>
      </c>
      <c r="B1017">
        <f>B1369</f>
        <v/>
      </c>
      <c r="C1017">
        <f>B1017-B1016</f>
        <v/>
      </c>
      <c r="D1017">
        <f>IF(Summary!$B$3=0,0,(B1017-Summary!$B$3)/Summary!$B$3*100)</f>
        <v/>
      </c>
    </row>
    <row r="1018">
      <c r="A1018" t="n">
        <v>5</v>
      </c>
      <c r="B1018">
        <f>B1408</f>
        <v/>
      </c>
      <c r="C1018">
        <f>B1018-B1017</f>
        <v/>
      </c>
      <c r="D1018">
        <f>IF(Summary!$B$3=0,0,(B1018-Summary!$B$3)/Summary!$B$3*100)</f>
        <v/>
      </c>
    </row>
    <row r="1021">
      <c r="A1021" s="5" t="inlineStr">
        <is>
          <t>Stat: CDR = 0.5s</t>
        </is>
      </c>
    </row>
    <row r="1022">
      <c r="A1022" s="9" t="inlineStr">
        <is>
          <t>Key</t>
        </is>
      </c>
      <c r="B1022" s="9" t="inlineStr">
        <is>
          <t>Name</t>
        </is>
      </c>
      <c r="C1022" s="9" t="inlineStr">
        <is>
          <t>Unlocked</t>
        </is>
      </c>
      <c r="D1022" s="9" t="inlineStr">
        <is>
          <t>InputLevel</t>
        </is>
      </c>
      <c r="E1022" s="9" t="inlineStr">
        <is>
          <t>Factor</t>
        </is>
      </c>
      <c r="F1022" s="9" t="inlineStr">
        <is>
          <t>CoefficientPercent</t>
        </is>
      </c>
      <c r="G1022" s="9" t="inlineStr">
        <is>
          <t>EffectiveHits</t>
        </is>
      </c>
      <c r="H1022" s="9" t="inlineStr">
        <is>
          <t>ProcProbability</t>
        </is>
      </c>
      <c r="I1022" s="9" t="inlineStr">
        <is>
          <t>MapleHeroMultiplier</t>
        </is>
      </c>
      <c r="J1022" s="9" t="inlineStr">
        <is>
          <t>BaseDamage</t>
        </is>
      </c>
      <c r="K1022" s="9" t="inlineStr">
        <is>
          <t>BaseHitDamage</t>
        </is>
      </c>
      <c r="L1022" s="9" t="inlineStr">
        <is>
          <t>NonCritAvg</t>
        </is>
      </c>
      <c r="M1022" s="9" t="inlineStr">
        <is>
          <t>CritAvg</t>
        </is>
      </c>
      <c r="N1022" s="9" t="inlineStr">
        <is>
          <t>ExpectedDamage(perHit)</t>
        </is>
      </c>
      <c r="O1022" s="9" t="inlineStr">
        <is>
          <t>DPS</t>
        </is>
      </c>
      <c r="P1022" s="9" t="inlineStr">
        <is>
          <t>% of Total</t>
        </is>
      </c>
      <c r="R1022" t="inlineStr">
        <is>
          <t>helpers</t>
        </is>
      </c>
    </row>
    <row r="1023">
      <c r="A1023">
        <f>Skills!A2</f>
        <v/>
      </c>
      <c r="B1023">
        <f>Skills!B2</f>
        <v/>
      </c>
      <c r="C1023">
        <f>Inputs!$B$3&gt;=100</f>
        <v/>
      </c>
      <c r="D1023" t="inlineStr"/>
      <c r="E1023" t="inlineStr"/>
      <c r="F1023">
        <f>T1025+Skills!N2</f>
        <v/>
      </c>
      <c r="G1023">
        <f>Calc!G2</f>
        <v/>
      </c>
      <c r="H1023">
        <f>Calc!H2</f>
        <v/>
      </c>
      <c r="I1023">
        <f>IF(Skills!T2&lt;&gt;"",1+(Skills!T2/10)*(Z1024/1000)/100,1)</f>
        <v/>
      </c>
      <c r="J1023">
        <f>((Inputs!$B$6*(1+Inputs!$B$7/100))+(((Inputs!$B$12*(1+Inputs!$B$13/100))-(Inputs!$B$12*(1+Inputs!$B$13/100)))+0.25*(Inputs!$B$14-Inputs!$B$14))*(1+Inputs!$B$7/100))*(F1023/100)</f>
        <v/>
      </c>
      <c r="K1023">
        <f>J1023*(1+((Inputs!$B$12*(1+Inputs!$B$13/100))*0.01+Inputs!$B$14*0.0025)/100)*(1+(Inputs!$B$15+B1049)/100)*(1+Inputs!$B$16/100)*(5000/(6000+Inputs!$B$42*(1-Inputs!$B$19/100)))*(1+Inputs!$B$24/100)*(1+IF(C1036=TRUE,F1036,0)/100)*(1+IF(C1044=TRUE,F1044,0)/100)^5*(1+(IF(Skills!A2="CHAIN_LIGHTNING",Inputs!$B$17,Inputs!$B$18))/100)*(B1047*I1023)</f>
        <v/>
      </c>
      <c r="L1023">
        <f>K1023*(MIN(Inputs!$B$22+(F1039-Calc!F18),Inputs!$B$23)/100+Inputs!$B$23/100)/2</f>
        <v/>
      </c>
      <c r="M1023">
        <f>L1023*(1+(Inputs!$B$10+(F1042-Calc!F21))/100)</f>
        <v/>
      </c>
      <c r="N1023">
        <f>L1023*(1-MIN(Inputs!$B$9+((F1041-Calc!F20)+(F1040-Calc!F19)),100)/100)+M1023*(MIN(Inputs!$B$9+((F1041-Calc!F20)+(F1040-Calc!F19)),100)/100)</f>
        <v/>
      </c>
      <c r="O1023">
        <f>(1-Summary!$B$51)*S1023+Summary!$B$51*U1023</f>
        <v/>
      </c>
      <c r="P1023">
        <f>IF(B1057=0,0,O1023/B1057)</f>
        <v/>
      </c>
      <c r="Q1023">
        <f>IFERROR(1/IF(Inputs!$B$38="pvp",15,MAX(0.1,Skills!D2-IF(Skills!E2=TRUE,0.5,0))),0)</f>
        <v/>
      </c>
      <c r="R1023" t="n">
        <v>0</v>
      </c>
      <c r="S1023">
        <f>IF(C1023,(Skills!F2*N1023*B1053)*IF(Inputs!$B$38="pvp",1,1+(Inputs!$B$20+Skills!O2+B1048)/100),0)</f>
        <v/>
      </c>
      <c r="T1023">
        <f>MAX(0,(Inputs!$B$3-100)*3)+Inputs!$B$28+Inputs!$B$29</f>
        <v/>
      </c>
      <c r="U1023">
        <f>IF(C1023,(Skills!F2*N1023*B1053)*IF(Inputs!$B$38="pvp",1,(1+(Inputs!$B$21+Skills!P2+B1048)/100)*(MIN((6+Inputs!$B$33),Inputs!$B$37))),0)</f>
        <v/>
      </c>
      <c r="Z1023">
        <f>MAX(0,(Inputs!$B$3-100)*3)+Inputs!$B$28+Inputs!$B$29</f>
        <v/>
      </c>
    </row>
    <row r="1024">
      <c r="A1024">
        <f>Skills!A3</f>
        <v/>
      </c>
      <c r="B1024">
        <f>Skills!B3</f>
        <v/>
      </c>
      <c r="C1024">
        <f>Inputs!$B$3&gt;=15</f>
        <v/>
      </c>
      <c r="D1024">
        <f>IF(Skills!C3=1,60+Inputs!$B$25+Inputs!$B$29,IF(Skills!C3=2,90+Inputs!$B$26+Inputs!$B$29,IF(Skills!C3=3,120+Inputs!$B$27+Inputs!$B$29,MAX(0,(Inputs!$B$3-100)*3)+Inputs!$B$28+Inputs!$B$29)))</f>
        <v/>
      </c>
      <c r="E1024">
        <f>INDEX(FactorTable!$B$2:$Y$301, MATCH(ROUND(MIN(300,MAX(1,D1024)),0), FactorTable!$A$2:$A$301,0), Skills!L3+1)</f>
        <v/>
      </c>
      <c r="F1024">
        <f>IF(Skills!M3=TRUE,(Skills!K3/10)*(E1024/1000),Skills!K3/10)+Skills!N3</f>
        <v/>
      </c>
      <c r="G1024">
        <f>Calc!G3</f>
        <v/>
      </c>
      <c r="H1024">
        <f>Calc!H3</f>
        <v/>
      </c>
      <c r="I1024">
        <f>IF(Skills!T3&lt;&gt;"",1+(Skills!T3/10)*(Z1024/1000)/100,1)</f>
        <v/>
      </c>
      <c r="J1024" t="inlineStr"/>
      <c r="K1024" t="inlineStr"/>
      <c r="L1024" t="inlineStr"/>
      <c r="M1024" t="inlineStr"/>
      <c r="N1024" t="inlineStr"/>
      <c r="O1024">
        <f>(1-Summary!$B$51)*S1024+Summary!$B$51*U1024</f>
        <v/>
      </c>
      <c r="P1024">
        <f>IF(B1057=0,0,O1024/B1057)</f>
        <v/>
      </c>
      <c r="Q1024">
        <f>IFERROR(1/IF(Inputs!$B$38="pvp",15,MAX(0.1,Skills!D3-IF(Skills!E3=TRUE,0.5,0))),0)</f>
        <v/>
      </c>
      <c r="R1024">
        <f>IF(AND(Inputs!$B$38&lt;&gt;"pvp",Inputs!$B$43&gt;0),IF(Inputs!$B$43&lt;=0,0,(INT(Inputs!$B$43/IF(Inputs!$B$38="pvp",15,MAX(0.1,Skills!D3-IF(Skills!E3=TRUE,0.5,0))))+1)),0)</f>
        <v/>
      </c>
      <c r="S1024" t="n">
        <v>0</v>
      </c>
      <c r="T1024">
        <f>INDEX(FactorTable!$B$2:$Y$301, MATCH(ROUND(MIN(300,MAX(1,T1023)),0), FactorTable!$A$2:$A$301,0), 22)</f>
        <v/>
      </c>
      <c r="U1024" t="n">
        <v>0</v>
      </c>
      <c r="Z1024">
        <f>INDEX(FactorTable!$B$2:$Y$301, MATCH(ROUND(MIN(300,MAX(1,Z1023)),0), FactorTable!$A$2:$A$301,0), 24)</f>
        <v/>
      </c>
    </row>
    <row r="1025">
      <c r="A1025">
        <f>Skills!A4</f>
        <v/>
      </c>
      <c r="B1025">
        <f>Skills!B4</f>
        <v/>
      </c>
      <c r="C1025">
        <f>Inputs!$B$3&gt;=40</f>
        <v/>
      </c>
      <c r="D1025">
        <f>IF(Skills!C4=1,60+Inputs!$B$25+Inputs!$B$29,IF(Skills!C4=2,90+Inputs!$B$26+Inputs!$B$29,IF(Skills!C4=3,120+Inputs!$B$27+Inputs!$B$29,MAX(0,(Inputs!$B$3-100)*3)+Inputs!$B$28+Inputs!$B$29)))</f>
        <v/>
      </c>
      <c r="E1025">
        <f>INDEX(FactorTable!$B$2:$Y$301, MATCH(ROUND(MIN(300,MAX(1,D1025)),0), FactorTable!$A$2:$A$301,0), Skills!L4+1)</f>
        <v/>
      </c>
      <c r="F1025">
        <f>IF(Skills!M4=TRUE,(Skills!K4/10)*(E1025/1000),Skills!K4/10)+Skills!N4</f>
        <v/>
      </c>
      <c r="G1025">
        <f>Calc!G4</f>
        <v/>
      </c>
      <c r="H1025">
        <f>Calc!H4</f>
        <v/>
      </c>
      <c r="I1025">
        <f>IF(Skills!T4&lt;&gt;"",1+(Skills!T4/10)*(Z1024/1000)/100,1)</f>
        <v/>
      </c>
      <c r="J1025" t="inlineStr"/>
      <c r="K1025" t="inlineStr"/>
      <c r="L1025" t="inlineStr"/>
      <c r="M1025" t="inlineStr"/>
      <c r="N1025" t="inlineStr"/>
      <c r="O1025">
        <f>(1-Summary!$B$51)*S1025+Summary!$B$51*U1025</f>
        <v/>
      </c>
      <c r="P1025">
        <f>IF(B1057=0,0,O1025/B1057)</f>
        <v/>
      </c>
      <c r="Q1025">
        <f>IFERROR(1/IF(Inputs!$B$38="pvp",15,MAX(0.1,Skills!D4-IF(Skills!E4=TRUE,0.5,0))),0)</f>
        <v/>
      </c>
      <c r="R1025">
        <f>IF(AND(Inputs!$B$38&lt;&gt;"pvp",Inputs!$B$43&gt;0),IF(Inputs!$B$43&lt;=0,0,(INT(Inputs!$B$43/IF(Inputs!$B$38="pvp",15,MAX(0.1,Skills!D4-IF(Skills!E4=TRUE,0.5,0))))+1)),0)</f>
        <v/>
      </c>
      <c r="S1025" t="n">
        <v>0</v>
      </c>
      <c r="T1025">
        <f>290*T1024/1000</f>
        <v/>
      </c>
      <c r="U1025" t="n">
        <v>0</v>
      </c>
    </row>
    <row r="1026">
      <c r="A1026">
        <f>Skills!A5</f>
        <v/>
      </c>
      <c r="B1026">
        <f>Skills!B5</f>
        <v/>
      </c>
      <c r="C1026">
        <f>Inputs!$B$3&gt;=38</f>
        <v/>
      </c>
      <c r="D1026">
        <f>IF(Skills!C5=1,60+Inputs!$B$25+Inputs!$B$29,IF(Skills!C5=2,90+Inputs!$B$26+Inputs!$B$29,IF(Skills!C5=3,120+Inputs!$B$27+Inputs!$B$29,MAX(0,(Inputs!$B$3-100)*3)+Inputs!$B$28+Inputs!$B$29)))</f>
        <v/>
      </c>
      <c r="E1026">
        <f>INDEX(FactorTable!$B$2:$Y$301, MATCH(ROUND(MIN(300,MAX(1,D1026)),0), FactorTable!$A$2:$A$301,0), Skills!L5+1)</f>
        <v/>
      </c>
      <c r="F1026">
        <f>IF(Skills!M5=TRUE,(Skills!K5/10)*(E1026/1000),Skills!K5/10)+Skills!N5</f>
        <v/>
      </c>
      <c r="G1026">
        <f>Calc!G5</f>
        <v/>
      </c>
      <c r="H1026">
        <f>Calc!H5</f>
        <v/>
      </c>
      <c r="I1026">
        <f>IF(Skills!T5&lt;&gt;"",1+(Skills!T5/10)*(Z1024/1000)/100,1)</f>
        <v/>
      </c>
      <c r="J1026">
        <f>((Inputs!$B$6*(1+Inputs!$B$7/100))+(((Inputs!$B$12*(1+Inputs!$B$13/100))-(Inputs!$B$12*(1+Inputs!$B$13/100)))+0.25*(Inputs!$B$14-Inputs!$B$14))*(1+Inputs!$B$7/100))*(F1026/100)</f>
        <v/>
      </c>
      <c r="K1026">
        <f>J1026*(1+((Inputs!$B$12*(1+Inputs!$B$13/100))*0.01+Inputs!$B$14*0.0025)/100)*(1+(Inputs!$B$15+B1049)/100)*(1+Inputs!$B$16/100)*(5000/(6000+Inputs!$B$42*(1-Inputs!$B$19/100)))*(1+Inputs!$B$24/100)*(1+IF(C1036=TRUE,F1036,0)/100)*(1+IF(C1044=TRUE,F1044,0)/100)^5*(1+(IF(Skills!A5="CHAIN_LIGHTNING",Inputs!$B$17,Inputs!$B$18))/100)*(B1047*I1026)</f>
        <v/>
      </c>
      <c r="L1026">
        <f>K1026*(MIN(Inputs!$B$22+(F1039-Calc!F18),Inputs!$B$23)/100+Inputs!$B$23/100)/2</f>
        <v/>
      </c>
      <c r="M1026">
        <f>L1026*(1+(Inputs!$B$10+(F1042-Calc!F21))/100)</f>
        <v/>
      </c>
      <c r="N1026">
        <f>L1026*(1-MIN(Inputs!$B$9+((F1041-Calc!F20)+(F1040-Calc!F19)),100)/100)+M1026*(MIN(Inputs!$B$9+((F1041-Calc!F20)+(F1040-Calc!F19)),100)/100)</f>
        <v/>
      </c>
      <c r="O1026">
        <f>(1-Summary!$B$51)*S1026+Summary!$B$51*U1026</f>
        <v/>
      </c>
      <c r="P1026">
        <f>IF(B1057=0,0,O1026/B1057)</f>
        <v/>
      </c>
      <c r="Q1026">
        <f>IFERROR(1/IF(Inputs!$B$38="pvp",15,MAX(0.1,Skills!D5-IF(Skills!E5=TRUE,0.5,0))),0)</f>
        <v/>
      </c>
      <c r="R1026">
        <f>IF(AND(Inputs!$B$38&lt;&gt;"pvp",Inputs!$B$43&gt;0),IF(MAX(0,Inputs!$B$43-B1054)&lt;=0,0,(INT(MAX(0,Inputs!$B$43-B1054)/IF(Inputs!$B$38="pvp",15,MAX(0.1,Skills!D5-IF(Skills!E5=TRUE,0.5,0))))+1)),0)</f>
        <v/>
      </c>
      <c r="S1026">
        <f>IF(C1026,(H1026*N1026*IF(AND(Inputs!$B$38&lt;&gt;"pvp",Inputs!$B$43&gt;0),((Skills!F5*((R1026-1)*IF(Skills!G5&gt;0,Skills!H5/Skills!G5,1)+IF(Skills!G5&gt;0,MIN(Skills!H5,MAX(0,MAX(0,Inputs!$B$43-B1054)-((R1026-1)*IF(Inputs!$B$38="pvp",15,MAX(0.1,Skills!D5-IF(Skills!E5=TRUE,0.5,0))))))/Skills!G5,1)))/Inputs!$B$43),G1026*Q1026))*IF(Inputs!$B$38="pvp",1,1+(Inputs!$B$20+Skills!O5+B1048)/100),0)</f>
        <v/>
      </c>
      <c r="U1026">
        <f>IF(C1026,(H1026*N1026*IF(AND(Inputs!$B$38&lt;&gt;"pvp",Inputs!$B$43&gt;0),((Skills!F5*((R1026-1)*IF(Skills!G5&gt;0,Skills!H5/Skills!G5,1)+IF(Skills!G5&gt;0,MIN(Skills!H5,MAX(0,MAX(0,Inputs!$B$43-B1054)-((R1026-1)*IF(Inputs!$B$38="pvp",15,MAX(0.1,Skills!D5-IF(Skills!E5=TRUE,0.5,0))))))/Skills!G5,1)))/Inputs!$B$43),G1026*Q1026))*IF(Inputs!$B$38="pvp",1,(1+(Inputs!$B$21+Skills!P5+B1048)/100)*(MIN(Skills!Q5,Inputs!$B$37))),0)</f>
        <v/>
      </c>
    </row>
    <row r="1027">
      <c r="A1027">
        <f>Skills!A6</f>
        <v/>
      </c>
      <c r="B1027">
        <f>Skills!B6</f>
        <v/>
      </c>
      <c r="C1027">
        <f>Inputs!$B$3&gt;=63</f>
        <v/>
      </c>
      <c r="D1027">
        <f>IF(Skills!C6=1,60+Inputs!$B$25+Inputs!$B$29,IF(Skills!C6=2,90+Inputs!$B$26+Inputs!$B$29,IF(Skills!C6=3,120+Inputs!$B$27+Inputs!$B$29,MAX(0,(Inputs!$B$3-100)*3)+Inputs!$B$28+Inputs!$B$29)))</f>
        <v/>
      </c>
      <c r="E1027">
        <f>INDEX(FactorTable!$B$2:$Y$301, MATCH(ROUND(MIN(300,MAX(1,D1027)),0), FactorTable!$A$2:$A$301,0), Skills!L6+1)</f>
        <v/>
      </c>
      <c r="F1027">
        <f>IF(Skills!M6=TRUE,(Skills!K6/10)*(E1027/1000),Skills!K6/10)+Skills!N6</f>
        <v/>
      </c>
      <c r="G1027">
        <f>Calc!G6</f>
        <v/>
      </c>
      <c r="H1027">
        <f>Calc!H6</f>
        <v/>
      </c>
      <c r="I1027">
        <f>IF(Skills!T6&lt;&gt;"",1+(Skills!T6/10)*(Z1024/1000)/100,1)</f>
        <v/>
      </c>
      <c r="J1027">
        <f>((Inputs!$B$6*(1+Inputs!$B$7/100))+(((Inputs!$B$12*(1+Inputs!$B$13/100))-(Inputs!$B$12*(1+Inputs!$B$13/100)))+0.25*(Inputs!$B$14-Inputs!$B$14))*(1+Inputs!$B$7/100))*(F1027/100)</f>
        <v/>
      </c>
      <c r="K1027">
        <f>J1027*(1+((Inputs!$B$12*(1+Inputs!$B$13/100))*0.01+Inputs!$B$14*0.0025)/100)*(1+(Inputs!$B$15+B1049)/100)*(1+Inputs!$B$16/100)*(5000/(6000+Inputs!$B$42*(1-Inputs!$B$19/100)))*(1+Inputs!$B$24/100)*(1+IF(C1036=TRUE,F1036,0)/100)*(1+IF(C1044=TRUE,F1044,0)/100)^5*(1+(IF(Skills!A6="CHAIN_LIGHTNING",Inputs!$B$17,Inputs!$B$18))/100)*(B1047*I1027)</f>
        <v/>
      </c>
      <c r="L1027">
        <f>K1027*(MIN(Inputs!$B$22+(F1039-Calc!F18),Inputs!$B$23)/100+Inputs!$B$23/100)/2</f>
        <v/>
      </c>
      <c r="M1027">
        <f>L1027*(1+(Inputs!$B$10+(F1042-Calc!F21))/100)</f>
        <v/>
      </c>
      <c r="N1027">
        <f>L1027*(1-MIN(Inputs!$B$9+((F1041-Calc!F20)+(F1040-Calc!F19)),100)/100)+M1027*(MIN(Inputs!$B$9+((F1041-Calc!F20)+(F1040-Calc!F19)),100)/100)</f>
        <v/>
      </c>
      <c r="O1027">
        <f>(1-Summary!$B$51)*S1027+Summary!$B$51*U1027</f>
        <v/>
      </c>
      <c r="P1027">
        <f>IF(B1057=0,0,O1027/B1057)</f>
        <v/>
      </c>
      <c r="Q1027">
        <f>IFERROR(1/IF(Inputs!$B$38="pvp",15,MAX(0.1,Skills!D6-IF(Skills!E6=TRUE,0.5,0))),0)</f>
        <v/>
      </c>
      <c r="R1027">
        <f>IF(AND(Inputs!$B$38&lt;&gt;"pvp",Inputs!$B$43&gt;0),IF(MAX(0,Inputs!$B$43-B1054)&lt;=0,0,(INT(MAX(0,Inputs!$B$43-B1054)/IF(Inputs!$B$38="pvp",15,MAX(0.1,Skills!D6-IF(Skills!E6=TRUE,0.5,0))))+1)),0)</f>
        <v/>
      </c>
      <c r="S1027">
        <f>IF(C1027,(H1027*N1027*IF(AND(Inputs!$B$38&lt;&gt;"pvp",Inputs!$B$43&gt;0),((Skills!F6*((R1027-1)*IF(Skills!G6&gt;0,Skills!H6/Skills!G6,1)+IF(Skills!G6&gt;0,MIN(Skills!H6,MAX(0,MAX(0,Inputs!$B$43-B1054)-((R1027-1)*IF(Inputs!$B$38="pvp",15,MAX(0.1,Skills!D6-IF(Skills!E6=TRUE,0.5,0))))))/Skills!G6,1)))/Inputs!$B$43),G1027*Q1027))*IF(Inputs!$B$38="pvp",1,1+(Inputs!$B$20+Skills!O6+B1048)/100),0)</f>
        <v/>
      </c>
      <c r="U1027">
        <f>IF(C1027,(H1027*N1027*IF(AND(Inputs!$B$38&lt;&gt;"pvp",Inputs!$B$43&gt;0),((Skills!F6*((R1027-1)*IF(Skills!G6&gt;0,Skills!H6/Skills!G6,1)+IF(Skills!G6&gt;0,MIN(Skills!H6,MAX(0,MAX(0,Inputs!$B$43-B1054)-((R1027-1)*IF(Inputs!$B$38="pvp",15,MAX(0.1,Skills!D6-IF(Skills!E6=TRUE,0.5,0))))))/Skills!G6,1)))/Inputs!$B$43),G1027*Q1027))*IF(Inputs!$B$38="pvp",1,(1+(Inputs!$B$21+Skills!P6+B1048)/100)*(MIN(Skills!Q6,Inputs!$B$37))),0)</f>
        <v/>
      </c>
    </row>
    <row r="1028">
      <c r="A1028">
        <f>Skills!A7</f>
        <v/>
      </c>
      <c r="B1028">
        <f>Skills!B7</f>
        <v/>
      </c>
      <c r="C1028">
        <f>Inputs!$B$3&gt;=69</f>
        <v/>
      </c>
      <c r="D1028">
        <f>IF(Skills!C7=1,60+Inputs!$B$25+Inputs!$B$29,IF(Skills!C7=2,90+Inputs!$B$26+Inputs!$B$29,IF(Skills!C7=3,120+Inputs!$B$27+Inputs!$B$29,MAX(0,(Inputs!$B$3-100)*3)+Inputs!$B$28+Inputs!$B$29)))</f>
        <v/>
      </c>
      <c r="E1028">
        <f>INDEX(FactorTable!$B$2:$Y$301, MATCH(ROUND(MIN(300,MAX(1,D1028)),0), FactorTable!$A$2:$A$301,0), Skills!L7+1)</f>
        <v/>
      </c>
      <c r="F1028">
        <f>IF(Skills!M7=TRUE,(Skills!K7/10)*(E1028/1000),Skills!K7/10)+Skills!N7</f>
        <v/>
      </c>
      <c r="G1028">
        <f>Calc!G7</f>
        <v/>
      </c>
      <c r="H1028">
        <f>Calc!H7</f>
        <v/>
      </c>
      <c r="I1028">
        <f>IF(Skills!T7&lt;&gt;"",1+(Skills!T7/10)*(Z1024/1000)/100,1)</f>
        <v/>
      </c>
      <c r="J1028">
        <f>((Inputs!$B$6*(1+Inputs!$B$7/100))+(((Inputs!$B$12*(1+Inputs!$B$13/100))-(Inputs!$B$12*(1+Inputs!$B$13/100)))+0.25*(Inputs!$B$14-Inputs!$B$14))*(1+Inputs!$B$7/100))*(F1028/100)</f>
        <v/>
      </c>
      <c r="K1028">
        <f>J1028*(1+((Inputs!$B$12*(1+Inputs!$B$13/100))*0.01+Inputs!$B$14*0.0025)/100)*(1+(Inputs!$B$15+B1049)/100)*(1+Inputs!$B$16/100)*(5000/(6000+Inputs!$B$42*(1-Inputs!$B$19/100)))*(1+Inputs!$B$24/100)*(1+IF(C1036=TRUE,F1036,0)/100)*(1+IF(C1044=TRUE,F1044,0)/100)^5*(1+(IF(Skills!A7="CHAIN_LIGHTNING",Inputs!$B$17,Inputs!$B$18))/100)*(B1047*I1028)</f>
        <v/>
      </c>
      <c r="L1028">
        <f>K1028*(MIN(Inputs!$B$22+(F1039-Calc!F18),Inputs!$B$23)/100+Inputs!$B$23/100)/2</f>
        <v/>
      </c>
      <c r="M1028">
        <f>L1028*(1+(Inputs!$B$10+(F1042-Calc!F21))/100)</f>
        <v/>
      </c>
      <c r="N1028">
        <f>L1028*(1-MIN(Inputs!$B$9+((F1041-Calc!F20)+(F1040-Calc!F19)),100)/100)+M1028*(MIN(Inputs!$B$9+((F1041-Calc!F20)+(F1040-Calc!F19)),100)/100)</f>
        <v/>
      </c>
      <c r="O1028">
        <f>(1-Summary!$B$51)*S1028+Summary!$B$51*U1028</f>
        <v/>
      </c>
      <c r="P1028">
        <f>IF(B1057=0,0,O1028/B1057)</f>
        <v/>
      </c>
      <c r="Q1028">
        <f>IFERROR(1/IF(Inputs!$B$38="pvp",15,MAX(0.1,Skills!D7-IF(Skills!E7=TRUE,0.5,0))),0)</f>
        <v/>
      </c>
      <c r="R1028">
        <f>IF(AND(Inputs!$B$38&lt;&gt;"pvp",Inputs!$B$43&gt;0),IF(MAX(0,Inputs!$B$43-B1054)&lt;=0,0,(INT(MAX(0,Inputs!$B$43-B1054)/IF(Inputs!$B$38="pvp",15,MAX(0.1,Skills!D7-IF(Skills!E7=TRUE,0.5,0))))+1)),0)</f>
        <v/>
      </c>
      <c r="S1028">
        <f>IF(C1028,(H1028*N1028*IF(AND(Inputs!$B$38&lt;&gt;"pvp",Inputs!$B$43&gt;0),((Skills!F7*((R1028-1)*IF(Skills!G7&gt;0,Skills!H7/Skills!G7,1)+IF(Skills!G7&gt;0,MIN(Skills!H7,MAX(0,MAX(0,Inputs!$B$43-B1054)-((R1028-1)*IF(Inputs!$B$38="pvp",15,MAX(0.1,Skills!D7-IF(Skills!E7=TRUE,0.5,0))))))/Skills!G7,1)))/Inputs!$B$43),G1028*Q1028))*IF(Inputs!$B$38="pvp",1,1+(Inputs!$B$20+Skills!O7+B1048)/100),0)</f>
        <v/>
      </c>
      <c r="U1028">
        <f>IF(C1028,(H1028*N1028*IF(AND(Inputs!$B$38&lt;&gt;"pvp",Inputs!$B$43&gt;0),((Skills!F7*((R1028-1)*IF(Skills!G7&gt;0,Skills!H7/Skills!G7,1)+IF(Skills!G7&gt;0,MIN(Skills!H7,MAX(0,MAX(0,Inputs!$B$43-B1054)-((R1028-1)*IF(Inputs!$B$38="pvp",15,MAX(0.1,Skills!D7-IF(Skills!E7=TRUE,0.5,0))))))/Skills!G7,1)))/Inputs!$B$43),G1028*Q1028))*IF(Inputs!$B$38="pvp",1,(1+(Inputs!$B$21+Skills!P7+B1048)/100)*(MIN(Skills!Q7,Inputs!$B$37))),0)</f>
        <v/>
      </c>
    </row>
    <row r="1029">
      <c r="A1029">
        <f>Skills!A8</f>
        <v/>
      </c>
      <c r="B1029">
        <f>Skills!B8</f>
        <v/>
      </c>
      <c r="C1029">
        <f>Inputs!$B$3&gt;=103</f>
        <v/>
      </c>
      <c r="D1029">
        <f>IF(Skills!C8=1,60+Inputs!$B$25+Inputs!$B$29,IF(Skills!C8=2,90+Inputs!$B$26+Inputs!$B$29,IF(Skills!C8=3,120+Inputs!$B$27+Inputs!$B$29,MAX(0,(Inputs!$B$3-100)*3)+Inputs!$B$28+Inputs!$B$29)))</f>
        <v/>
      </c>
      <c r="E1029">
        <f>INDEX(FactorTable!$B$2:$Y$301, MATCH(ROUND(MIN(300,MAX(1,D1029)),0), FactorTable!$A$2:$A$301,0), Skills!L8+1)</f>
        <v/>
      </c>
      <c r="F1029">
        <f>IF(Skills!M8=TRUE,(Skills!K8/10)*(E1029/1000),Skills!K8/10)+Skills!N8</f>
        <v/>
      </c>
      <c r="G1029">
        <f>Calc!G8</f>
        <v/>
      </c>
      <c r="H1029">
        <f>Calc!H8</f>
        <v/>
      </c>
      <c r="I1029">
        <f>IF(Skills!T8&lt;&gt;"",1+(Skills!T8/10)*(Z1024/1000)/100,1)</f>
        <v/>
      </c>
      <c r="J1029">
        <f>((Inputs!$B$6*(1+Inputs!$B$7/100))+(((Inputs!$B$12*(1+Inputs!$B$13/100))-(Inputs!$B$12*(1+Inputs!$B$13/100)))+0.25*(Inputs!$B$14-Inputs!$B$14))*(1+Inputs!$B$7/100))*(F1029/100)</f>
        <v/>
      </c>
      <c r="K1029">
        <f>J1029*(1+((Inputs!$B$12*(1+Inputs!$B$13/100))*0.01+Inputs!$B$14*0.0025)/100)*(1+(Inputs!$B$15+B1049)/100)*(1+Inputs!$B$16/100)*(5000/(6000+Inputs!$B$42*(1-Inputs!$B$19/100)))*(1+Inputs!$B$24/100)*(1+IF(C1036=TRUE,F1036,0)/100)*(1+IF(C1044=TRUE,F1044,0)/100)^5*(1+(IF(Skills!A8="CHAIN_LIGHTNING",Inputs!$B$17,Inputs!$B$18))/100)*(B1047*I1029)</f>
        <v/>
      </c>
      <c r="L1029">
        <f>K1029*(MIN(Inputs!$B$22+(F1039-Calc!F18),Inputs!$B$23)/100+Inputs!$B$23/100)/2</f>
        <v/>
      </c>
      <c r="M1029">
        <f>L1029*(1+(Inputs!$B$10+(F1042-Calc!F21))/100)</f>
        <v/>
      </c>
      <c r="N1029">
        <f>L1029*(1-MIN(Inputs!$B$9+((F1041-Calc!F20)+(F1040-Calc!F19)),100)/100)+M1029*(MIN(Inputs!$B$9+((F1041-Calc!F20)+(F1040-Calc!F19)),100)/100)</f>
        <v/>
      </c>
      <c r="O1029">
        <f>(1-Summary!$B$51)*S1029+Summary!$B$51*U1029</f>
        <v/>
      </c>
      <c r="P1029">
        <f>IF(B1057=0,0,O1029/B1057)</f>
        <v/>
      </c>
      <c r="Q1029">
        <f>IFERROR(1/IF(Inputs!$B$38="pvp",15,MAX(0.1,Skills!D8-IF(Skills!E8=TRUE,0.5,0))),0)</f>
        <v/>
      </c>
      <c r="R1029">
        <f>IF(AND(Inputs!$B$38&lt;&gt;"pvp",Inputs!$B$43&gt;0),IF(MAX(0,Inputs!$B$43-B1054)&lt;=0,0,(INT(MAX(0,Inputs!$B$43-B1054)/IF(Inputs!$B$38="pvp",15,MAX(0.1,Skills!D8-IF(Skills!E8=TRUE,0.5,0))))+1)),0)</f>
        <v/>
      </c>
      <c r="S1029">
        <f>IF(C1029,(H1029*N1029*IF(AND(Inputs!$B$38&lt;&gt;"pvp",Inputs!$B$43&gt;0),((Skills!F8*((R1029-1)*IF(Skills!G8&gt;0,Skills!H8/Skills!G8,1)+IF(Skills!G8&gt;0,MIN(Skills!H8,MAX(0,MAX(0,Inputs!$B$43-B1054)-((R1029-1)*IF(Inputs!$B$38="pvp",15,MAX(0.1,Skills!D8-IF(Skills!E8=TRUE,0.5,0))))))/Skills!G8,1)))/Inputs!$B$43),G1029*Q1029))*IF(Inputs!$B$38="pvp",1,1+(Inputs!$B$20+Skills!O8+B1048)/100),0)</f>
        <v/>
      </c>
      <c r="U1029">
        <f>IF(C1029,(H1029*N1029*IF(AND(Inputs!$B$38&lt;&gt;"pvp",Inputs!$B$43&gt;0),((Skills!F8*((R1029-1)*IF(Skills!G8&gt;0,Skills!H8/Skills!G8,1)+IF(Skills!G8&gt;0,MIN(Skills!H8,MAX(0,MAX(0,Inputs!$B$43-B1054)-((R1029-1)*IF(Inputs!$B$38="pvp",15,MAX(0.1,Skills!D8-IF(Skills!E8=TRUE,0.5,0))))))/Skills!G8,1)))/Inputs!$B$43),G1029*Q1029))*IF(Inputs!$B$38="pvp",1,(1+(Inputs!$B$21+Skills!P8+B1048)/100)*(MIN(Skills!Q8,Inputs!$B$37))),0)</f>
        <v/>
      </c>
    </row>
    <row r="1030">
      <c r="A1030">
        <f>Skills!A9</f>
        <v/>
      </c>
      <c r="B1030">
        <f>Skills!B9</f>
        <v/>
      </c>
      <c r="C1030">
        <f>Inputs!$B$3&gt;=105</f>
        <v/>
      </c>
      <c r="D1030">
        <f>IF(Skills!C9=1,60+Inputs!$B$25+Inputs!$B$29,IF(Skills!C9=2,90+Inputs!$B$26+Inputs!$B$29,IF(Skills!C9=3,120+Inputs!$B$27+Inputs!$B$29,MAX(0,(Inputs!$B$3-100)*3)+Inputs!$B$28+Inputs!$B$29)))</f>
        <v/>
      </c>
      <c r="E1030">
        <f>INDEX(FactorTable!$B$2:$Y$301, MATCH(ROUND(MIN(300,MAX(1,D1030)),0), FactorTable!$A$2:$A$301,0), Skills!L9+1)</f>
        <v/>
      </c>
      <c r="F1030">
        <f>IF(Skills!M9=TRUE,(Skills!K9/10)*(E1030/1000),Skills!K9/10)+Skills!N9</f>
        <v/>
      </c>
      <c r="G1030">
        <f>Calc!G9</f>
        <v/>
      </c>
      <c r="H1030">
        <f>Calc!H9</f>
        <v/>
      </c>
      <c r="I1030">
        <f>IF(Skills!T9&lt;&gt;"",1+(Skills!T9/10)*(Z1024/1000)/100,1)</f>
        <v/>
      </c>
      <c r="J1030">
        <f>((Inputs!$B$6*(1+Inputs!$B$7/100))+(((Inputs!$B$12*(1+Inputs!$B$13/100))-(Inputs!$B$12*(1+Inputs!$B$13/100)))+0.25*(Inputs!$B$14-Inputs!$B$14))*(1+Inputs!$B$7/100))*(F1030/100)</f>
        <v/>
      </c>
      <c r="K1030">
        <f>J1030*(1+((Inputs!$B$12*(1+Inputs!$B$13/100))*0.01+Inputs!$B$14*0.0025)/100)*(1+(Inputs!$B$15+B1049)/100)*(1+Inputs!$B$16/100)*(5000/(6000+Inputs!$B$42*(1-Inputs!$B$19/100)))*(1+Inputs!$B$24/100)*(1+IF(C1036=TRUE,F1036,0)/100)*(1+IF(C1044=TRUE,F1044,0)/100)^5*(1+(IF(Skills!A9="CHAIN_LIGHTNING",Inputs!$B$17,Inputs!$B$18))/100)*(B1047*I1030)</f>
        <v/>
      </c>
      <c r="L1030">
        <f>K1030*(MIN(Inputs!$B$22+(F1039-Calc!F18),Inputs!$B$23)/100+Inputs!$B$23/100)/2</f>
        <v/>
      </c>
      <c r="M1030">
        <f>L1030*(1+(Inputs!$B$10+(F1042-Calc!F21))/100)</f>
        <v/>
      </c>
      <c r="N1030">
        <f>L1030*(1-MIN(Inputs!$B$9+((F1041-Calc!F20)+(F1040-Calc!F19)),100)/100)+M1030*(MIN(Inputs!$B$9+((F1041-Calc!F20)+(F1040-Calc!F19)),100)/100)</f>
        <v/>
      </c>
      <c r="O1030">
        <f>(1-Summary!$B$51)*S1030+Summary!$B$51*U1030</f>
        <v/>
      </c>
      <c r="P1030">
        <f>IF(B1057=0,0,O1030/B1057)</f>
        <v/>
      </c>
      <c r="Q1030">
        <f>IFERROR(1/IF(Inputs!$B$38="pvp",15,MAX(0.1,Skills!D9-IF(Skills!E9=TRUE,0.5,0))),0)</f>
        <v/>
      </c>
      <c r="R1030">
        <f>IF(AND(Inputs!$B$38&lt;&gt;"pvp",Inputs!$B$43&gt;0),IF(MAX(0,Inputs!$B$43-B1054)&lt;=0,0,(INT(MAX(0,Inputs!$B$43-B1054)/IF(Inputs!$B$38="pvp",15,MAX(0.1,Skills!D9-IF(Skills!E9=TRUE,0.5,0))))+1)),0)</f>
        <v/>
      </c>
      <c r="S1030">
        <f>IF(C1030,(H1030*N1030*IF(AND(Inputs!$B$38&lt;&gt;"pvp",Inputs!$B$43&gt;0),((Skills!F9*((R1030-1)*IF(Skills!G9&gt;0,Skills!H9/Skills!G9,1)+IF(Skills!G9&gt;0,MIN(Skills!H9,MAX(0,MAX(0,Inputs!$B$43-B1054)-((R1030-1)*IF(Inputs!$B$38="pvp",15,MAX(0.1,Skills!D9-IF(Skills!E9=TRUE,0.5,0))))))/Skills!G9,1)))/Inputs!$B$43),G1030*Q1030))*IF(Inputs!$B$38="pvp",1,1+(Inputs!$B$20+Skills!O9+B1048)/100),0)</f>
        <v/>
      </c>
      <c r="U1030">
        <f>IF(C1030,(H1030*N1030*IF(AND(Inputs!$B$38&lt;&gt;"pvp",Inputs!$B$43&gt;0),((Skills!F9*((R1030-1)*IF(Skills!G9&gt;0,Skills!H9/Skills!G9,1)+IF(Skills!G9&gt;0,MIN(Skills!H9,MAX(0,MAX(0,Inputs!$B$43-B1054)-((R1030-1)*IF(Inputs!$B$38="pvp",15,MAX(0.1,Skills!D9-IF(Skills!E9=TRUE,0.5,0))))))/Skills!G9,1)))/Inputs!$B$43),G1030*Q1030))*IF(Inputs!$B$38="pvp",1,(1+(Inputs!$B$21+Skills!P9+B1048)/100)*(MIN(Skills!Q9,Inputs!$B$37))),0)</f>
        <v/>
      </c>
    </row>
    <row r="1031">
      <c r="A1031">
        <f>Skills!A10</f>
        <v/>
      </c>
      <c r="B1031">
        <f>Skills!B10</f>
        <v/>
      </c>
      <c r="C1031">
        <f>Inputs!$B$3&gt;=113</f>
        <v/>
      </c>
      <c r="D1031">
        <f>IF(Skills!C10=1,60+Inputs!$B$25+Inputs!$B$29,IF(Skills!C10=2,90+Inputs!$B$26+Inputs!$B$29,IF(Skills!C10=3,120+Inputs!$B$27+Inputs!$B$29,MAX(0,(Inputs!$B$3-100)*3)+Inputs!$B$28+Inputs!$B$29)))</f>
        <v/>
      </c>
      <c r="E1031">
        <f>INDEX(FactorTable!$B$2:$Y$301, MATCH(ROUND(MIN(300,MAX(1,D1031)),0), FactorTable!$A$2:$A$301,0), Skills!L10+1)</f>
        <v/>
      </c>
      <c r="F1031">
        <f>IF(Skills!M10=TRUE,(Skills!K10/10)*(E1031/1000),Skills!K10/10)+Skills!N10</f>
        <v/>
      </c>
      <c r="G1031">
        <f>Calc!G10</f>
        <v/>
      </c>
      <c r="H1031">
        <f>Calc!H10</f>
        <v/>
      </c>
      <c r="I1031">
        <f>IF(Skills!T10&lt;&gt;"",1+(Skills!T10/10)*(Z1024/1000)/100,1)</f>
        <v/>
      </c>
      <c r="J1031">
        <f>((Inputs!$B$6*(1+Inputs!$B$7/100))+(((Inputs!$B$12*(1+Inputs!$B$13/100))-(Inputs!$B$12*(1+Inputs!$B$13/100)))+0.25*(Inputs!$B$14-Inputs!$B$14))*(1+Inputs!$B$7/100))*(F1031/100)</f>
        <v/>
      </c>
      <c r="K1031">
        <f>J1031*(1+((Inputs!$B$12*(1+Inputs!$B$13/100))*0.01+Inputs!$B$14*0.0025)/100)*(1+(Inputs!$B$15+B1049)/100)*(1+Inputs!$B$16/100)*(5000/(6000+Inputs!$B$42*(1-Inputs!$B$19/100)))*(1+Inputs!$B$24/100)*(1+IF(C1036=TRUE,F1036,0)/100)*(1+IF(C1044=TRUE,F1044,0)/100)^5*(1+(IF(Skills!A10="CHAIN_LIGHTNING",Inputs!$B$17,Inputs!$B$18))/100)*(B1047*I1031)</f>
        <v/>
      </c>
      <c r="L1031">
        <f>K1031*(MIN(Inputs!$B$22+(F1039-Calc!F18),Inputs!$B$23)/100+Inputs!$B$23/100)/2</f>
        <v/>
      </c>
      <c r="M1031">
        <f>L1031*(1+(Inputs!$B$10+(F1042-Calc!F21))/100)</f>
        <v/>
      </c>
      <c r="N1031">
        <f>L1031*(1-MIN(Inputs!$B$9+((F1041-Calc!F20)+(F1040-Calc!F19)),100)/100)+M1031*(MIN(Inputs!$B$9+((F1041-Calc!F20)+(F1040-Calc!F19)),100)/100)</f>
        <v/>
      </c>
      <c r="O1031">
        <f>(1-Summary!$B$51)*S1031+Summary!$B$51*U1031</f>
        <v/>
      </c>
      <c r="P1031">
        <f>IF(B1057=0,0,O1031/B1057)</f>
        <v/>
      </c>
      <c r="Q1031">
        <f>IFERROR(1/IF(Inputs!$B$38="pvp",15,MAX(0.1,Skills!D10-IF(Skills!E9=TRUE,0.5,0))),0)</f>
        <v/>
      </c>
      <c r="R1031">
        <f>IF(AND(Inputs!$B$38&lt;&gt;"pvp",Inputs!$B$43&gt;0),IF(MAX(0,Inputs!$B$43-B1054)&lt;=0,0,(INT(MAX(0,Inputs!$B$43-B1054)/IF(Inputs!$B$38="pvp",15,MAX(0.1,Skills!D10-IF(Skills!E9=TRUE,0.5,0))))+1)),0)</f>
        <v/>
      </c>
      <c r="S1031">
        <f>IF(C1031,(H1031*N1031*IF(AND(Inputs!$B$38&lt;&gt;"pvp",Inputs!$B$43&gt;0),((Skills!F10*((R1031-1)*IF(Skills!G10&gt;0,Skills!H10/Skills!G10,1)+IF(Skills!G10&gt;0,MIN(Skills!H10,MAX(0,MAX(0,Inputs!$B$43-B1054)-((R1031-1)*IF(Inputs!$B$38="pvp",15,MAX(0.1,Skills!D10-IF(Skills!E9=TRUE,0.5,0))))))/Skills!G10,1)))/Inputs!$B$43),G1031*Q1031))*IF(Inputs!$B$38="pvp",1,1+(Inputs!$B$20+Skills!O10+B1048)/100),0)</f>
        <v/>
      </c>
      <c r="U1031">
        <f>IF(C1031,(H1031*N1031*IF(AND(Inputs!$B$38&lt;&gt;"pvp",Inputs!$B$43&gt;0),((Skills!F10*((R1031-1)*IF(Skills!G10&gt;0,Skills!H10/Skills!G10,1)+IF(Skills!G10&gt;0,MIN(Skills!H10,MAX(0,MAX(0,Inputs!$B$43-B1054)-((R1031-1)*IF(Inputs!$B$38="pvp",15,MAX(0.1,Skills!D10-IF(Skills!E9=TRUE,0.5,0))))))/Skills!G10,1)))/Inputs!$B$43),G1031*Q1031))*IF(Inputs!$B$38="pvp",1,(1+(Inputs!$B$21+Skills!P10+B1048)/100)*(MIN(Skills!Q10,Inputs!$B$37))),0)</f>
        <v/>
      </c>
    </row>
    <row r="1032">
      <c r="A1032">
        <f>Skills!A11</f>
        <v/>
      </c>
      <c r="B1032">
        <f>Skills!B11</f>
        <v/>
      </c>
      <c r="C1032">
        <f>Inputs!$B$3&gt;=107</f>
        <v/>
      </c>
      <c r="D1032">
        <f>IF(Skills!C11=1,60+Inputs!$B$25+Inputs!$B$29,IF(Skills!C11=2,90+Inputs!$B$26+Inputs!$B$29,IF(Skills!C11=3,120+Inputs!$B$27+Inputs!$B$29,MAX(0,(Inputs!$B$3-100)*3)+Inputs!$B$28+Inputs!$B$29)))</f>
        <v/>
      </c>
      <c r="E1032">
        <f>INDEX(FactorTable!$B$2:$Y$301, MATCH(ROUND(MIN(300,MAX(1,D1032)),0), FactorTable!$A$2:$A$301,0), Skills!L11+1)</f>
        <v/>
      </c>
      <c r="F1032">
        <f>IF(Skills!M11=TRUE,(Skills!K11/10)*(E1032/1000),Skills!K11/10)+Skills!N11</f>
        <v/>
      </c>
      <c r="G1032">
        <f>Calc!G11</f>
        <v/>
      </c>
      <c r="H1032">
        <f>Calc!H11</f>
        <v/>
      </c>
      <c r="I1032">
        <f>IF(Skills!T11&lt;&gt;"",1+(Skills!T11/10)*(Z1024/1000)/100,1)</f>
        <v/>
      </c>
      <c r="J1032">
        <f>((Inputs!$B$6*(1+Inputs!$B$7/100))+(((Inputs!$B$12*(1+Inputs!$B$13/100))-(Inputs!$B$12*(1+Inputs!$B$13/100)))+0.25*(Inputs!$B$14-Inputs!$B$14))*(1+Inputs!$B$7/100))*(F1032/100)</f>
        <v/>
      </c>
      <c r="K1032">
        <f>J1032*(1+((Inputs!$B$12*(1+Inputs!$B$13/100))*0.01+Inputs!$B$14*0.0025)/100)*(1+(Inputs!$B$15+B1049)/100)*(1+Inputs!$B$16/100)*(5000/(6000+Inputs!$B$42*(1-Inputs!$B$19/100)))*(1+Inputs!$B$24/100)*(1+IF(C1036=TRUE,F1036,0)/100)*(1+IF(C1044=TRUE,F1044,0)/100)^5*(1+(IF(Skills!A11="CHAIN_LIGHTNING",Inputs!$B$17,Inputs!$B$18))/100)*(B1047*I1032)</f>
        <v/>
      </c>
      <c r="L1032">
        <f>K1032*(MIN(Inputs!$B$22+(F1039-Calc!F18),Inputs!$B$23)/100+Inputs!$B$23/100)/2</f>
        <v/>
      </c>
      <c r="M1032">
        <f>L1032*(1+(Inputs!$B$10+(F1042-Calc!F21))/100)</f>
        <v/>
      </c>
      <c r="N1032">
        <f>L1032*(1-MIN(Inputs!$B$9+((F1041-Calc!F20)+(F1040-Calc!F19)),100)/100)+M1032*(MIN(Inputs!$B$9+((F1041-Calc!F20)+(F1040-Calc!F19)),100)/100)</f>
        <v/>
      </c>
      <c r="O1032">
        <f>(1-Summary!$B$51)*S1032+Summary!$B$51*U1032</f>
        <v/>
      </c>
      <c r="P1032">
        <f>IF(B1057=0,0,O1032/B1057)</f>
        <v/>
      </c>
      <c r="Q1032">
        <f>IFERROR(1/IF(Inputs!$B$38="pvp",15,MAX(0.1,Skills!D11-IF(Skills!E11=TRUE,0.5,0))),0)</f>
        <v/>
      </c>
      <c r="R1032">
        <f>IF(AND(Inputs!$B$38&lt;&gt;"pvp",Inputs!$B$43&gt;0),IF(MAX(0,Inputs!$B$43-B1054)&lt;=0,0,(INT(MAX(0,Inputs!$B$43-B1054)/IF(Inputs!$B$38="pvp",15,MAX(0.1,Skills!D11-IF(Skills!E11=TRUE,0.5,0))))+1)),0)</f>
        <v/>
      </c>
      <c r="S1032">
        <f>IF(C1032,H1032*N1032*IF(AND(Inputs!$B$38&lt;&gt;"pvp",Inputs!$B$43&gt;0),((Skills!F11*((R1032-1)*IF(Skills!G11&gt;0,Skills!H11/Skills!G11,1)+IF(Skills!G11&gt;0,MIN(Skills!H11,MAX(0,MAX(0,Inputs!$B$43-B1054)-((R1032-1)*IF(Inputs!$B$38="pvp",15,MAX(0.1,Skills!D11-IF(Skills!E11=TRUE,0.5,0))))))/Skills!G11,1)))/Inputs!$B$43),G1032*Q1032)*0.5*IF(Inputs!$B$38="pvp",1,1+(Inputs!$B$20+Skills!O11+B1048)/100),0)</f>
        <v/>
      </c>
      <c r="U1032">
        <f>IF(C1032,H1032*N1032*IF(AND(Inputs!$B$38&lt;&gt;"pvp",Inputs!$B$43&gt;0),((Skills!F11*((R1032-1)*IF(Skills!G11&gt;0,Skills!H11/Skills!G11,1)+IF(Skills!G11&gt;0,MIN(Skills!H11,MAX(0,MAX(0,Inputs!$B$43-B1054)-((R1032-1)*IF(Inputs!$B$38="pvp",15,MAX(0.1,Skills!D11-IF(Skills!E11=TRUE,0.5,0))))))/Skills!G11,1)))/Inputs!$B$43),G1032*Q1032)*1*IF(Inputs!$B$38="pvp",1,(1+(Inputs!$B$21+Skills!P11+B1048)/100)*(MIN(Skills!Q11,Inputs!$B$37))),0)</f>
        <v/>
      </c>
    </row>
    <row r="1033">
      <c r="A1033">
        <f>Skills!A12</f>
        <v/>
      </c>
      <c r="B1033">
        <f>Skills!B12</f>
        <v/>
      </c>
      <c r="C1033">
        <f>Inputs!$B$3&gt;=115</f>
        <v/>
      </c>
      <c r="D1033">
        <f>IF(Skills!C12=1,60+Inputs!$B$25+Inputs!$B$29,IF(Skills!C12=2,90+Inputs!$B$26+Inputs!$B$29,IF(Skills!C12=3,120+Inputs!$B$27+Inputs!$B$29,MAX(0,(Inputs!$B$3-100)*3)+Inputs!$B$28+Inputs!$B$29)))</f>
        <v/>
      </c>
      <c r="E1033">
        <f>INDEX(FactorTable!$B$2:$Y$301, MATCH(ROUND(MIN(300,MAX(1,D1033)),0), FactorTable!$A$2:$A$301,0), Skills!L12+1)</f>
        <v/>
      </c>
      <c r="F1033">
        <f>IF(Skills!M12=TRUE,(Skills!K12/10)*(E1033/1000),Skills!K12/10)+Skills!N12</f>
        <v/>
      </c>
      <c r="G1033">
        <f>Calc!G12</f>
        <v/>
      </c>
      <c r="H1033">
        <f>Calc!H12</f>
        <v/>
      </c>
      <c r="I1033">
        <f>IF(Skills!T12&lt;&gt;"",1+(Skills!T12/10)*(Z1024/1000)/100,1)</f>
        <v/>
      </c>
      <c r="J1033">
        <f>((Inputs!$B$6*(1+Inputs!$B$7/100))+(((Inputs!$B$12*(1+Inputs!$B$13/100))-(Inputs!$B$12*(1+Inputs!$B$13/100)))+0.25*(Inputs!$B$14-Inputs!$B$14))*(1+Inputs!$B$7/100))*(F1033/100)</f>
        <v/>
      </c>
      <c r="K1033">
        <f>J1033*(1+((Inputs!$B$12*(1+Inputs!$B$13/100))*0.01+Inputs!$B$14*0.0025)/100)*(1+(Inputs!$B$15+B1049)/100)*(1+Inputs!$B$16/100)*(5000/(6000+Inputs!$B$42*(1-Inputs!$B$19/100)))*(1+Inputs!$B$24/100)*(1+IF(C1036=TRUE,F1036,0)/100)*(1+IF(C1044=TRUE,F1044,0)/100)^5*(1+(IF(Skills!A12="CHAIN_LIGHTNING",Inputs!$B$17,Inputs!$B$18))/100)*(B1047*I1033)</f>
        <v/>
      </c>
      <c r="L1033">
        <f>K1033*(MIN(Inputs!$B$22+(F1039-Calc!F18),Inputs!$B$23)/100+Inputs!$B$23/100)/2</f>
        <v/>
      </c>
      <c r="M1033">
        <f>L1033*(1+(Inputs!$B$10+(F1042-Calc!F21))/100)</f>
        <v/>
      </c>
      <c r="N1033">
        <f>L1033*(1-MIN(Inputs!$B$9+((F1041-Calc!F20)+(F1040-Calc!F19)),100)/100)+M1033*(MIN(Inputs!$B$9+((F1041-Calc!F20)+(F1040-Calc!F19)),100)/100)</f>
        <v/>
      </c>
      <c r="O1033">
        <f>(1-Summary!$B$51)*S1033+Summary!$B$51*U1033</f>
        <v/>
      </c>
      <c r="P1033">
        <f>IF(B1057=0,0,O1033/B1057)</f>
        <v/>
      </c>
      <c r="Q1033">
        <f>IFERROR(1/IF(Inputs!$B$38="pvp",15,MAX(0.1,Skills!D12-IF(Skills!E12=TRUE,0.5,0))),0)</f>
        <v/>
      </c>
      <c r="R1033">
        <f>IF(AND(Inputs!$B$38&lt;&gt;"pvp",Inputs!$B$43&gt;0),IF(MAX(0,Inputs!$B$43-B1054)&lt;=0,0,(INT(MAX(0,Inputs!$B$43-B1054)/IF(Inputs!$B$38="pvp",15,MAX(0.1,Skills!D12-IF(Skills!E12=TRUE,0.5,0))))+1)),0)</f>
        <v/>
      </c>
      <c r="S1033">
        <f>IF(C1033,(H1033*N1033*IF(AND(Inputs!$B$38&lt;&gt;"pvp",Inputs!$B$43&gt;0),((Skills!F12*((R1033-1)*IF(Skills!G12&gt;0,Skills!H12/Skills!G12,1)+IF(Skills!G12&gt;0,MIN(Skills!H12,MAX(0,MAX(0,Inputs!$B$43-B1054)-((R1033-1)*IF(Inputs!$B$38="pvp",15,MAX(0.1,Skills!D12-IF(Skills!E12=TRUE,0.5,0))))))/Skills!G12,1)))/Inputs!$B$43),G1033*Q1033))*IF(Inputs!$B$38="pvp",1,1+(Inputs!$B$20+Skills!O12+B1048)/100),0)</f>
        <v/>
      </c>
      <c r="U1033">
        <f>IF(C1033,(H1033*N1033*IF(AND(Inputs!$B$38&lt;&gt;"pvp",Inputs!$B$43&gt;0),((Skills!F12*((R1033-1)*IF(Skills!G12&gt;0,Skills!H12/Skills!G12,1)+IF(Skills!G12&gt;0,MIN(Skills!H12,MAX(0,MAX(0,Inputs!$B$43-B1054)-((R1033-1)*IF(Inputs!$B$38="pvp",15,MAX(0.1,Skills!D12-IF(Skills!E12=TRUE,0.5,0))))))/Skills!G12,1)))/Inputs!$B$43),G1033*Q1033))*IF(Inputs!$B$38="pvp",1,(1+(Inputs!$B$21+Skills!P12+B1048)/100)*(MIN(Skills!Q12,Inputs!$B$37))),0)</f>
        <v/>
      </c>
    </row>
    <row r="1034">
      <c r="A1034">
        <f>Skills!A13</f>
        <v/>
      </c>
      <c r="B1034">
        <f>Skills!B13</f>
        <v/>
      </c>
      <c r="C1034">
        <f>Inputs!$B$3&gt;=49</f>
        <v/>
      </c>
      <c r="D1034">
        <f>IF(Skills!C13=1,60+Inputs!$B$25+Inputs!$B$29,IF(Skills!C13=2,90+Inputs!$B$26+Inputs!$B$29,IF(Skills!C13=3,120+Inputs!$B$27+Inputs!$B$29,MAX(0,(Inputs!$B$3-100)*3)+Inputs!$B$28+Inputs!$B$29)))</f>
        <v/>
      </c>
      <c r="E1034">
        <f>INDEX(FactorTable!$B$2:$Y$301, MATCH(ROUND(MIN(300,MAX(1,D1034)),0), FactorTable!$A$2:$A$301,0), Skills!L13+1)</f>
        <v/>
      </c>
      <c r="F1034">
        <f>IF(Skills!M13=TRUE,(Skills!K13/10)*(E1034/1000),Skills!K13/10)+Skills!N13</f>
        <v/>
      </c>
      <c r="G1034">
        <f>Calc!G13</f>
        <v/>
      </c>
      <c r="H1034">
        <f>Calc!H13</f>
        <v/>
      </c>
      <c r="I1034">
        <f>IF(Skills!T13&lt;&gt;"",1+(Skills!T13/10)*(Z1024/1000)/100,1)</f>
        <v/>
      </c>
      <c r="J1034" t="inlineStr"/>
      <c r="K1034" t="inlineStr"/>
      <c r="L1034" t="inlineStr"/>
      <c r="M1034" t="inlineStr"/>
      <c r="N1034" t="inlineStr"/>
      <c r="O1034">
        <f>(1-Summary!$B$51)*S1034+Summary!$B$51*U1034</f>
        <v/>
      </c>
      <c r="P1034">
        <f>IF(B1057=0,0,O1034/B1057)</f>
        <v/>
      </c>
      <c r="Q1034">
        <f>IFERROR(1/IF(Inputs!$B$38="pvp",15,MAX(0.1,Skills!D13-IF(Skills!E13=TRUE,0.5,0))),0)</f>
        <v/>
      </c>
      <c r="R1034" t="n">
        <v>0</v>
      </c>
      <c r="S1034" t="n">
        <v>0</v>
      </c>
      <c r="U1034" t="n">
        <v>0</v>
      </c>
    </row>
    <row r="1035">
      <c r="A1035">
        <f>Skills!A14</f>
        <v/>
      </c>
      <c r="B1035">
        <f>Skills!B14</f>
        <v/>
      </c>
      <c r="C1035">
        <f>Inputs!$B$3&gt;=72</f>
        <v/>
      </c>
      <c r="D1035">
        <f>IF(Skills!C14=1,60+Inputs!$B$25+Inputs!$B$29,IF(Skills!C14=2,90+Inputs!$B$26+Inputs!$B$29,IF(Skills!C14=3,120+Inputs!$B$27+Inputs!$B$29,MAX(0,(Inputs!$B$3-100)*3)+Inputs!$B$28+Inputs!$B$29)))</f>
        <v/>
      </c>
      <c r="E1035">
        <f>INDEX(FactorTable!$B$2:$Y$301, MATCH(ROUND(MIN(300,MAX(1,D1035)),0), FactorTable!$A$2:$A$301,0), Skills!L14+1)</f>
        <v/>
      </c>
      <c r="F1035">
        <f>IF(Skills!M14=TRUE,(Skills!K14/10)*(E1035/1000),Skills!K14/10)+Skills!N14</f>
        <v/>
      </c>
      <c r="G1035">
        <f>Calc!G14</f>
        <v/>
      </c>
      <c r="H1035">
        <f>Calc!H14</f>
        <v/>
      </c>
      <c r="I1035">
        <f>IF(Skills!T14&lt;&gt;"",1+(Skills!T14/10)*(Z1024/1000)/100,1)</f>
        <v/>
      </c>
      <c r="J1035" t="inlineStr"/>
      <c r="K1035" t="inlineStr"/>
      <c r="L1035" t="inlineStr"/>
      <c r="M1035" t="inlineStr"/>
      <c r="N1035" t="inlineStr"/>
      <c r="O1035">
        <f>(1-Summary!$B$51)*S1035+Summary!$B$51*U1035</f>
        <v/>
      </c>
      <c r="P1035">
        <f>IF(B1057=0,0,O1035/B1057)</f>
        <v/>
      </c>
      <c r="Q1035">
        <f>IFERROR(1/IF(Inputs!$B$38="pvp",15,MAX(0.1,Skills!D14-IF(Skills!E14=TRUE,0.5,0))),0)</f>
        <v/>
      </c>
      <c r="R1035" t="n">
        <v>0</v>
      </c>
      <c r="S1035" t="n">
        <v>0</v>
      </c>
      <c r="U1035" t="n">
        <v>0</v>
      </c>
    </row>
    <row r="1036">
      <c r="A1036">
        <f>Skills!A15</f>
        <v/>
      </c>
      <c r="B1036">
        <f>Skills!B15</f>
        <v/>
      </c>
      <c r="C1036">
        <f>Inputs!$B$3&gt;=75</f>
        <v/>
      </c>
      <c r="D1036">
        <f>IF(Skills!C15=1,60+Inputs!$B$25+Inputs!$B$29,IF(Skills!C15=2,90+Inputs!$B$26+Inputs!$B$29,IF(Skills!C15=3,120+Inputs!$B$27+Inputs!$B$29,MAX(0,(Inputs!$B$3-100)*3)+Inputs!$B$28+Inputs!$B$29)))</f>
        <v/>
      </c>
      <c r="E1036">
        <f>INDEX(FactorTable!$B$2:$Y$301, MATCH(ROUND(MIN(300,MAX(1,D1036)),0), FactorTable!$A$2:$A$301,0), Skills!L15+1)</f>
        <v/>
      </c>
      <c r="F1036">
        <f>IF(Skills!M15=TRUE,(Skills!K15/10)*(E1036/1000),Skills!K15/10)+Skills!N15</f>
        <v/>
      </c>
      <c r="G1036">
        <f>Calc!G15</f>
        <v/>
      </c>
      <c r="H1036">
        <f>Calc!H15</f>
        <v/>
      </c>
      <c r="I1036">
        <f>IF(Skills!T15&lt;&gt;"",1+(Skills!T15/10)*(Z1024/1000)/100,1)</f>
        <v/>
      </c>
      <c r="J1036" t="inlineStr"/>
      <c r="K1036" t="inlineStr"/>
      <c r="L1036" t="inlineStr"/>
      <c r="M1036" t="inlineStr"/>
      <c r="N1036" t="inlineStr"/>
      <c r="O1036">
        <f>(1-Summary!$B$51)*S1036+Summary!$B$51*U1036</f>
        <v/>
      </c>
      <c r="P1036">
        <f>IF(B1057=0,0,O1036/B1057)</f>
        <v/>
      </c>
      <c r="Q1036">
        <f>IFERROR(1/IF(Inputs!$B$38="pvp",15,MAX(0.1,Skills!D15-IF(Skills!E15=TRUE,0.5,0))),0)</f>
        <v/>
      </c>
      <c r="R1036" t="n">
        <v>0</v>
      </c>
      <c r="S1036" t="n">
        <v>0</v>
      </c>
      <c r="U1036" t="n">
        <v>0</v>
      </c>
    </row>
    <row r="1037">
      <c r="A1037">
        <f>Skills!A16</f>
        <v/>
      </c>
      <c r="B1037">
        <f>Skills!B16</f>
        <v/>
      </c>
      <c r="C1037">
        <f>Inputs!$B$3&gt;=110</f>
        <v/>
      </c>
      <c r="D1037">
        <f>IF(Skills!C16=1,60+Inputs!$B$25+Inputs!$B$29,IF(Skills!C16=2,90+Inputs!$B$26+Inputs!$B$29,IF(Skills!C16=3,120+Inputs!$B$27+Inputs!$B$29,MAX(0,(Inputs!$B$3-100)*3)+Inputs!$B$28+Inputs!$B$29)))</f>
        <v/>
      </c>
      <c r="E1037">
        <f>INDEX(FactorTable!$B$2:$Y$301, MATCH(ROUND(MIN(300,MAX(1,D1037)),0), FactorTable!$A$2:$A$301,0), Skills!L16+1)</f>
        <v/>
      </c>
      <c r="F1037">
        <f>(Skills!K16/10)*(E1037/1000)*64/45+Skills!N16</f>
        <v/>
      </c>
      <c r="G1037">
        <f>Calc!G16</f>
        <v/>
      </c>
      <c r="H1037">
        <f>Calc!H16</f>
        <v/>
      </c>
      <c r="I1037">
        <f>IF(Skills!T16&lt;&gt;"",1+(Skills!T16/10)*(Z1024/1000)/100,1)</f>
        <v/>
      </c>
      <c r="J1037" t="inlineStr"/>
      <c r="K1037" t="inlineStr"/>
      <c r="L1037" t="inlineStr"/>
      <c r="M1037" t="inlineStr"/>
      <c r="N1037" t="inlineStr"/>
      <c r="O1037">
        <f>(1-Summary!$B$51)*S1037+Summary!$B$51*U1037</f>
        <v/>
      </c>
      <c r="P1037">
        <f>IF(B1057=0,0,O1037/B1057)</f>
        <v/>
      </c>
      <c r="Q1037">
        <f>IFERROR(1/IF(Inputs!$B$38="pvp",15,MAX(0.1,Skills!D16-IF(Skills!E16=TRUE,0.5,0))),0)</f>
        <v/>
      </c>
      <c r="R1037">
        <f>IF(AND(Inputs!$B$38&lt;&gt;"pvp",Inputs!$B$43&gt;0),IF(Inputs!$B$43&lt;=0,0,(INT(Inputs!$B$43/IF(Inputs!$B$38="pvp",15,MAX(0.1,Skills!D16-IF(Skills!E16=TRUE,0.5,0))))+1)),0)</f>
        <v/>
      </c>
      <c r="S1037" t="n">
        <v>0</v>
      </c>
      <c r="U1037" t="n">
        <v>0</v>
      </c>
    </row>
    <row r="1038">
      <c r="A1038">
        <f>Skills!A17</f>
        <v/>
      </c>
      <c r="B1038">
        <f>Skills!B17</f>
        <v/>
      </c>
      <c r="C1038">
        <f>Inputs!$B$3&gt;=33</f>
        <v/>
      </c>
      <c r="D1038">
        <f>IF(Skills!C17=1,60+Inputs!$B$25+Inputs!$B$29,IF(Skills!C17=2,90+Inputs!$B$26+Inputs!$B$29,IF(Skills!C17=3,120+Inputs!$B$27+Inputs!$B$29,MAX(0,(Inputs!$B$3-100)*3)+Inputs!$B$28+Inputs!$B$29)))</f>
        <v/>
      </c>
      <c r="E1038">
        <f>INDEX(FactorTable!$B$2:$Y$301, MATCH(ROUND(MIN(300,MAX(1,D1038)),0), FactorTable!$A$2:$A$301,0), Skills!L17+1)</f>
        <v/>
      </c>
      <c r="F1038">
        <f>IF(Skills!M17=TRUE,(Skills!K17/10)*(E1038/1000),Skills!K17/10)+Skills!N17</f>
        <v/>
      </c>
      <c r="G1038">
        <f>Calc!G17</f>
        <v/>
      </c>
      <c r="H1038">
        <f>Calc!H17</f>
        <v/>
      </c>
      <c r="I1038">
        <f>IF(Skills!T17&lt;&gt;"",1+(Skills!T17/10)*(Z1024/1000)/100,1)</f>
        <v/>
      </c>
      <c r="J1038" t="inlineStr"/>
      <c r="K1038" t="inlineStr"/>
      <c r="L1038" t="inlineStr"/>
      <c r="M1038" t="inlineStr"/>
      <c r="N1038" t="inlineStr"/>
      <c r="O1038">
        <f>(1-Summary!$B$51)*S1038+Summary!$B$51*U1038</f>
        <v/>
      </c>
      <c r="P1038">
        <f>IF(B1057=0,0,O1038/B1057)</f>
        <v/>
      </c>
      <c r="Q1038">
        <f>IFERROR(1/IF(Inputs!$B$38="pvp",15,MAX(0.1,Skills!D17-IF(Skills!E17=TRUE,0.5,0))),0)</f>
        <v/>
      </c>
      <c r="R1038" t="n">
        <v>0</v>
      </c>
      <c r="S1038" t="n">
        <v>0</v>
      </c>
      <c r="U1038" t="n">
        <v>0</v>
      </c>
    </row>
    <row r="1039">
      <c r="A1039">
        <f>Skills!A18</f>
        <v/>
      </c>
      <c r="B1039">
        <f>Skills!B18</f>
        <v/>
      </c>
      <c r="C1039">
        <f>Inputs!$B$3&gt;=43</f>
        <v/>
      </c>
      <c r="D1039">
        <f>IF(Skills!C18=1,60+Inputs!$B$25+Inputs!$B$29,IF(Skills!C18=2,90+Inputs!$B$26+Inputs!$B$29,IF(Skills!C18=3,120+Inputs!$B$27+Inputs!$B$29,MAX(0,(Inputs!$B$3-100)*3)+Inputs!$B$28+Inputs!$B$29)))</f>
        <v/>
      </c>
      <c r="E1039">
        <f>INDEX(FactorTable!$B$2:$Y$301, MATCH(ROUND(MIN(300,MAX(1,D1039)),0), FactorTable!$A$2:$A$301,0), Skills!L18+1)</f>
        <v/>
      </c>
      <c r="F1039">
        <f>IF(Skills!M18=TRUE,(Skills!K18/10)*(E1039/1000),Skills!K18/10)+Skills!N18</f>
        <v/>
      </c>
      <c r="G1039">
        <f>Calc!G18</f>
        <v/>
      </c>
      <c r="H1039">
        <f>Calc!H18</f>
        <v/>
      </c>
      <c r="I1039">
        <f>IF(Skills!T18&lt;&gt;"",1+(Skills!T18/10)*(Z1024/1000)/100,1)</f>
        <v/>
      </c>
      <c r="J1039" t="inlineStr"/>
      <c r="K1039" t="inlineStr"/>
      <c r="L1039" t="inlineStr"/>
      <c r="M1039" t="inlineStr"/>
      <c r="N1039" t="inlineStr"/>
      <c r="O1039">
        <f>(1-Summary!$B$51)*S1039+Summary!$B$51*U1039</f>
        <v/>
      </c>
      <c r="P1039">
        <f>IF(B1057=0,0,O1039/B1057)</f>
        <v/>
      </c>
      <c r="Q1039">
        <f>IFERROR(1/IF(Inputs!$B$38="pvp",15,MAX(0.1,Skills!D18-IF(Skills!E18=TRUE,0.5,0))),0)</f>
        <v/>
      </c>
      <c r="R1039" t="n">
        <v>0</v>
      </c>
      <c r="S1039" t="n">
        <v>0</v>
      </c>
      <c r="U1039" t="n">
        <v>0</v>
      </c>
    </row>
    <row r="1040">
      <c r="A1040">
        <f>Skills!A19</f>
        <v/>
      </c>
      <c r="B1040">
        <f>Skills!B19</f>
        <v/>
      </c>
      <c r="C1040">
        <f>Inputs!$B$3&gt;=50</f>
        <v/>
      </c>
      <c r="D1040">
        <f>IF(Skills!C19=1,60+Inputs!$B$25+Inputs!$B$29,IF(Skills!C19=2,90+Inputs!$B$26+Inputs!$B$29,IF(Skills!C19=3,120+Inputs!$B$27+Inputs!$B$29,MAX(0,(Inputs!$B$3-100)*3)+Inputs!$B$28+Inputs!$B$29)))</f>
        <v/>
      </c>
      <c r="E1040">
        <f>INDEX(FactorTable!$B$2:$Y$301, MATCH(ROUND(MIN(300,MAX(1,D1040)),0), FactorTable!$A$2:$A$301,0), Skills!L19+1)</f>
        <v/>
      </c>
      <c r="F1040">
        <f>IF(Skills!M19=TRUE,(Skills!K19/10)*(E1040/1000),Skills!K19/10)+Skills!N19</f>
        <v/>
      </c>
      <c r="G1040">
        <f>Calc!G19</f>
        <v/>
      </c>
      <c r="H1040">
        <f>Calc!H19</f>
        <v/>
      </c>
      <c r="I1040">
        <f>IF(Skills!T19&lt;&gt;"",1+(Skills!T19/10)*(Z1024/1000)/100,1)</f>
        <v/>
      </c>
      <c r="J1040" t="inlineStr"/>
      <c r="K1040" t="inlineStr"/>
      <c r="L1040" t="inlineStr"/>
      <c r="M1040" t="inlineStr"/>
      <c r="N1040" t="inlineStr"/>
      <c r="O1040">
        <f>(1-Summary!$B$51)*S1040+Summary!$B$51*U1040</f>
        <v/>
      </c>
      <c r="P1040">
        <f>IF(B1057=0,0,O1040/B1057)</f>
        <v/>
      </c>
      <c r="Q1040">
        <f>IFERROR(1/IF(Inputs!$B$38="pvp",15,MAX(0.1,Skills!D19-IF(Skills!E19=TRUE,0.5,0))),0)</f>
        <v/>
      </c>
      <c r="R1040" t="n">
        <v>0</v>
      </c>
      <c r="S1040" t="n">
        <v>0</v>
      </c>
      <c r="U1040" t="n">
        <v>0</v>
      </c>
    </row>
    <row r="1041">
      <c r="A1041">
        <f>Skills!A20</f>
        <v/>
      </c>
      <c r="B1041">
        <f>Skills!B20</f>
        <v/>
      </c>
      <c r="C1041">
        <f>Inputs!$B$3&gt;=74</f>
        <v/>
      </c>
      <c r="D1041">
        <f>IF(Skills!C20=1,60+Inputs!$B$25+Inputs!$B$29,IF(Skills!C20=2,90+Inputs!$B$26+Inputs!$B$29,IF(Skills!C20=3,120+Inputs!$B$27+Inputs!$B$29,MAX(0,(Inputs!$B$3-100)*3)+Inputs!$B$28+Inputs!$B$29)))</f>
        <v/>
      </c>
      <c r="E1041">
        <f>INDEX(FactorTable!$B$2:$Y$301, MATCH(ROUND(MIN(300,MAX(1,D1041)),0), FactorTable!$A$2:$A$301,0), Skills!L20+1)</f>
        <v/>
      </c>
      <c r="F1041">
        <f>IF(Skills!M20=TRUE,(Skills!K20/10)*(E1041/1000),Skills!K20/10)+Skills!N20</f>
        <v/>
      </c>
      <c r="G1041">
        <f>Calc!G20</f>
        <v/>
      </c>
      <c r="H1041">
        <f>Calc!H20</f>
        <v/>
      </c>
      <c r="I1041">
        <f>IF(Skills!T20&lt;&gt;"",1+(Skills!T20/10)*(Z1024/1000)/100,1)</f>
        <v/>
      </c>
      <c r="J1041" t="inlineStr"/>
      <c r="K1041" t="inlineStr"/>
      <c r="L1041" t="inlineStr"/>
      <c r="M1041" t="inlineStr"/>
      <c r="N1041" t="inlineStr"/>
      <c r="O1041">
        <f>(1-Summary!$B$51)*S1041+Summary!$B$51*U1041</f>
        <v/>
      </c>
      <c r="P1041">
        <f>IF(B1057=0,0,O1041/B1057)</f>
        <v/>
      </c>
      <c r="Q1041">
        <f>IFERROR(1/IF(Inputs!$B$38="pvp",15,MAX(0.1,Skills!D20-IF(Skills!E20=TRUE,0.5,0))),0)</f>
        <v/>
      </c>
      <c r="R1041" t="n">
        <v>0</v>
      </c>
      <c r="S1041" t="n">
        <v>0</v>
      </c>
      <c r="U1041" t="n">
        <v>0</v>
      </c>
    </row>
    <row r="1042">
      <c r="A1042">
        <f>Skills!A21</f>
        <v/>
      </c>
      <c r="B1042">
        <f>Skills!B21</f>
        <v/>
      </c>
      <c r="C1042">
        <f>Inputs!$B$3&gt;=74</f>
        <v/>
      </c>
      <c r="D1042">
        <f>IF(Skills!C21=1,60+Inputs!$B$25+Inputs!$B$29,IF(Skills!C21=2,90+Inputs!$B$26+Inputs!$B$29,IF(Skills!C21=3,120+Inputs!$B$27+Inputs!$B$29,MAX(0,(Inputs!$B$3-100)*3)+Inputs!$B$28+Inputs!$B$29)))</f>
        <v/>
      </c>
      <c r="E1042">
        <f>INDEX(FactorTable!$B$2:$Y$301, MATCH(ROUND(MIN(300,MAX(1,D1042)),0), FactorTable!$A$2:$A$301,0), Skills!L21+1)</f>
        <v/>
      </c>
      <c r="F1042">
        <f>IF(Skills!M21=TRUE,(Skills!K21/10)*(E1042/1000),Skills!K21/10)+Skills!N21</f>
        <v/>
      </c>
      <c r="G1042">
        <f>Calc!G21</f>
        <v/>
      </c>
      <c r="H1042">
        <f>Calc!H21</f>
        <v/>
      </c>
      <c r="I1042">
        <f>IF(Skills!T21&lt;&gt;"",1+(Skills!T21/10)*(Z1024/1000)/100,1)</f>
        <v/>
      </c>
      <c r="J1042" t="inlineStr"/>
      <c r="K1042" t="inlineStr"/>
      <c r="L1042" t="inlineStr"/>
      <c r="M1042" t="inlineStr"/>
      <c r="N1042" t="inlineStr"/>
      <c r="O1042">
        <f>(1-Summary!$B$51)*S1042+Summary!$B$51*U1042</f>
        <v/>
      </c>
      <c r="P1042">
        <f>IF(B1057=0,0,O1042/B1057)</f>
        <v/>
      </c>
      <c r="Q1042">
        <f>IFERROR(1/IF(Inputs!$B$38="pvp",15,MAX(0.1,Skills!D21-IF(Skills!E21=TRUE,0.5,0))),0)</f>
        <v/>
      </c>
      <c r="R1042" t="n">
        <v>0</v>
      </c>
      <c r="S1042" t="n">
        <v>0</v>
      </c>
      <c r="U1042" t="n">
        <v>0</v>
      </c>
    </row>
    <row r="1043">
      <c r="A1043">
        <f>Skills!A22</f>
        <v/>
      </c>
      <c r="B1043">
        <f>Skills!B22</f>
        <v/>
      </c>
      <c r="C1043">
        <f>Inputs!$B$3&gt;=117</f>
        <v/>
      </c>
      <c r="D1043">
        <f>IF(Skills!C22=1,60+Inputs!$B$25+Inputs!$B$29,IF(Skills!C22=2,90+Inputs!$B$26+Inputs!$B$29,IF(Skills!C22=3,120+Inputs!$B$27+Inputs!$B$29,MAX(0,(Inputs!$B$3-100)*3)+Inputs!$B$28+Inputs!$B$29)))</f>
        <v/>
      </c>
      <c r="E1043">
        <f>INDEX(FactorTable!$B$2:$Y$301, MATCH(ROUND(MIN(300,MAX(1,D1043)),0), FactorTable!$A$2:$A$301,0), Skills!L22+1)</f>
        <v/>
      </c>
      <c r="F1043">
        <f>IF(Skills!M22=TRUE,(Skills!K22/10)*(E1043/1000),Skills!K22/10)+Skills!N22</f>
        <v/>
      </c>
      <c r="G1043">
        <f>Calc!G22</f>
        <v/>
      </c>
      <c r="H1043">
        <f>Calc!H22</f>
        <v/>
      </c>
      <c r="I1043">
        <f>IF(Skills!T22&lt;&gt;"",1+(Skills!T22/10)*(Z1024/1000)/100,1)</f>
        <v/>
      </c>
      <c r="J1043" t="inlineStr"/>
      <c r="K1043" t="inlineStr"/>
      <c r="L1043" t="inlineStr"/>
      <c r="M1043" t="inlineStr"/>
      <c r="N1043" t="inlineStr"/>
      <c r="O1043">
        <f>(1-Summary!$B$51)*S1043+Summary!$B$51*U1043</f>
        <v/>
      </c>
      <c r="P1043">
        <f>IF(B1057=0,0,O1043/B1057)</f>
        <v/>
      </c>
      <c r="Q1043">
        <f>IFERROR(1/IF(Inputs!$B$38="pvp",15,MAX(0.1,Skills!D22-IF(Skills!E22=TRUE,0.5,0))),0)</f>
        <v/>
      </c>
      <c r="R1043" t="n">
        <v>0</v>
      </c>
      <c r="S1043" t="n">
        <v>0</v>
      </c>
      <c r="U1043" t="n">
        <v>0</v>
      </c>
    </row>
    <row r="1044">
      <c r="A1044">
        <f>Skills!A23</f>
        <v/>
      </c>
      <c r="B1044">
        <f>Skills!B23</f>
        <v/>
      </c>
      <c r="C1044">
        <f>Inputs!$B$3&gt;=120</f>
        <v/>
      </c>
      <c r="D1044">
        <f>IF(Skills!C23=1,60+Inputs!$B$25+Inputs!$B$29,IF(Skills!C23=2,90+Inputs!$B$26+Inputs!$B$29,IF(Skills!C23=3,120+Inputs!$B$27+Inputs!$B$29,MAX(0,(Inputs!$B$3-100)*3)+Inputs!$B$28+Inputs!$B$29)))</f>
        <v/>
      </c>
      <c r="E1044">
        <f>INDEX(FactorTable!$B$2:$Y$301, MATCH(ROUND(MIN(300,MAX(1,D1044)),0), FactorTable!$A$2:$A$301,0), Skills!L23+1)</f>
        <v/>
      </c>
      <c r="F1044">
        <f>IF(Skills!M23=TRUE,(Skills!K23/10)*(E1044/1000),Skills!K23/10)+Skills!N23</f>
        <v/>
      </c>
      <c r="G1044">
        <f>Calc!G23</f>
        <v/>
      </c>
      <c r="H1044">
        <f>Calc!H23</f>
        <v/>
      </c>
      <c r="I1044">
        <f>IF(Skills!T23&lt;&gt;"",1+(Skills!T23/10)*(Z1024/1000)/100,1)</f>
        <v/>
      </c>
      <c r="J1044" t="inlineStr"/>
      <c r="K1044" t="inlineStr"/>
      <c r="L1044" t="inlineStr"/>
      <c r="M1044" t="inlineStr"/>
      <c r="N1044" t="inlineStr"/>
      <c r="O1044">
        <f>(1-Summary!$B$51)*S1044+Summary!$B$51*U1044</f>
        <v/>
      </c>
      <c r="P1044">
        <f>IF(B1057=0,0,O1044/B1057)</f>
        <v/>
      </c>
      <c r="Q1044">
        <f>IFERROR(1/IF(Inputs!$B$38="pvp",15,MAX(0.1,Skills!D23-IF(Skills!E23=TRUE,0.5,0))),0)</f>
        <v/>
      </c>
      <c r="R1044" t="n">
        <v>0</v>
      </c>
      <c r="S1044" t="n">
        <v>0</v>
      </c>
      <c r="U1044" t="n">
        <v>0</v>
      </c>
    </row>
    <row r="1047">
      <c r="A1047" t="inlineStr">
        <is>
          <t>Average Buff Multiplier (Magic Guard + Meditation, summed; then Infinity)</t>
        </is>
      </c>
      <c r="B1047">
        <f>(1+(IF(C1024=TRUE,F1024*IF(AND(Inputs!$B$38&lt;&gt;"pvp",Inputs!$B$43&gt;0),(((R1024-1)*(Skills!S3*(1+(Inputs!$B$34+IF(Inputs!$B$3&gt;=117,F1043,0))/100))+MIN((Skills!S3*(1+(Inputs!$B$34+IF(Inputs!$B$3&gt;=117,F1043,0))/100)),MAX(0,Inputs!$B$43-((R1024-1)*Skills!D3))))/Inputs!$B$43),IF(Inputs!$B$38="pvp",MIN((Skills!S3*(1+(Inputs!$B$34+IF(Inputs!$B$3&gt;=117,F1043,0))/100)),15)/15,(Skills!S3*(1+(Inputs!$B$34+IF(Inputs!$B$3&gt;=117,F1043,0))/100))/Skills!D3)),0)+IF(C1025=TRUE,F1025*IF(AND(Inputs!$B$38&lt;&gt;"pvp",Inputs!$B$43&gt;0),(((R1025-1)*(Skills!S4*(1+(Inputs!$B$34+IF(Inputs!$B$3&gt;=117,F1043,0))/100))+MIN((Skills!S4*(1+(Inputs!$B$34+IF(Inputs!$B$3&gt;=117,F1043,0))/100)),MAX(0,Inputs!$B$43-((R1025-1)*Skills!D4))))/Inputs!$B$43),IF(Inputs!$B$38="pvp",MIN((Skills!S4*(1+(Inputs!$B$34+IF(Inputs!$B$3&gt;=117,F1043,0))/100)),15)/15,(Skills!S4*(1+(Inputs!$B$34+IF(Inputs!$B$3&gt;=117,F1043,0))/100))/Skills!D4)),0))/100)*IF(C1037=TRUE,(1+F1037*IF(AND(Inputs!$B$38&lt;&gt;"pvp",Inputs!$B$43&gt;0),(((R1037-1)*(Skills!S16*(1+(Inputs!$B$34+IF(Inputs!$B$3&gt;=117,F1043,0))/100))+MIN((Skills!S16*(1+(Inputs!$B$34+IF(Inputs!$B$3&gt;=117,F1043,0))/100)),MAX(0,Inputs!$B$43-((R1037-1)*Skills!D16))))/Inputs!$B$43),IF(Inputs!$B$38="pvp",MIN((Skills!S16*(1+(Inputs!$B$34+IF(Inputs!$B$3&gt;=117,F1043,0))/100)),15)/15,(Skills!S16*(1+(Inputs!$B$34+IF(Inputs!$B$3&gt;=117,F1043,0))/100))/Skills!D16))/100),1)</f>
        <v/>
      </c>
    </row>
    <row r="1048">
      <c r="A1048" t="inlineStr">
        <is>
          <t>Monster Damage Taken Bonus % (Freezing Breath - Weaken + Elemental Reset, summed)</t>
        </is>
      </c>
      <c r="B1048">
        <f>IF(Inputs!$B$3&gt;=118,15*IF(Inputs!$B$38="pvp",MIN((30*(1+(Inputs!$B$34+IF(Inputs!$B$3&gt;=117,F1043,0))/100)),15)/15,(30*(1+(Inputs!$B$34+IF(Inputs!$B$3&gt;=117,F1043,0))/100))/Skills!D8),0)+IF(C1035=TRUE,F1035,0)</f>
        <v/>
      </c>
    </row>
    <row r="1049">
      <c r="A1049" t="inlineStr">
        <is>
          <t>Damage % Bonus (Frozen Break + Frost Clutch, flat)</t>
        </is>
      </c>
      <c r="B1049">
        <f>IF(Inputs!$B$3&gt;=66,15,0)+IF(Inputs!$B$3&gt;=98,10,0)+IF(Inputs!$B$3&gt;=125,20,0)</f>
        <v/>
      </c>
    </row>
    <row r="1050">
      <c r="A1050" t="inlineStr">
        <is>
          <t>Attack Speed Bonus % (MP Eater - MP Boost, always-on once unlocked)</t>
        </is>
      </c>
      <c r="B1050">
        <f>IF(C1034=TRUE,F1034+(F1038-Calc!F17),0)</f>
        <v/>
      </c>
    </row>
    <row r="1051">
      <c r="A1051" t="inlineStr">
        <is>
          <t>Actions Per Second</t>
        </is>
      </c>
      <c r="B1051">
        <f>1+MIN(150,150*(1-(1-Inputs!$B$11/150)*(1-B1050/150)))/100</f>
        <v/>
      </c>
    </row>
    <row r="1052">
      <c r="A1052" t="inlineStr">
        <is>
          <t>Skill + Buff Cast Rate</t>
        </is>
      </c>
      <c r="B1052">
        <f>IF(AND(Inputs!$B$38&lt;&gt;"pvp",Inputs!$B$43&gt;0),SUMPRODUCT((Skills!E2:E23=TRUE)*(C1023:C1044=TRUE)*R1023:R1044)/Inputs!$B$43,SUMPRODUCT((Skills!E2:E23=TRUE)*(C1023:C1044=TRUE)*Q1023:Q1044))</f>
        <v/>
      </c>
    </row>
    <row r="1053">
      <c r="A1053" t="inlineStr">
        <is>
          <t>Chain Lightning Casts Per Second</t>
        </is>
      </c>
      <c r="B1053">
        <f>MAX(0,B1051-B1052)</f>
        <v/>
      </c>
    </row>
    <row r="1054">
      <c r="A1054" t="inlineStr">
        <is>
          <t>Buff-Casting Startup Delay (s, fixed-duration only)</t>
        </is>
      </c>
      <c r="B1054">
        <f>IF(AND(Inputs!$B$38&lt;&gt;"pvp",Inputs!$B$43&gt;0),SUMPRODUCT((Skills!S2:S23&gt;0)*(Skills!E2:E23=TRUE)*(C1023:C1044=TRUE))/B1051,0)</f>
        <v/>
      </c>
    </row>
    <row r="1055">
      <c r="A1055" t="inlineStr">
        <is>
          <t>Boss-Only Total DPS (this block's swept value)</t>
        </is>
      </c>
      <c r="B1055">
        <f>SUM(S1023:S1044)</f>
        <v/>
      </c>
    </row>
    <row r="1056">
      <c r="A1056" t="inlineStr">
        <is>
          <t>Normal-Only Total DPS (this block's swept value)</t>
        </is>
      </c>
      <c r="B1056">
        <f>SUM(U1023:U1044)</f>
        <v/>
      </c>
    </row>
    <row r="1057">
      <c r="A1057" s="5" t="inlineStr">
        <is>
          <t>TOTAL DPS</t>
        </is>
      </c>
      <c r="B1057" s="5">
        <f>SUM(O1023:O1044)</f>
        <v/>
      </c>
    </row>
    <row r="1060">
      <c r="A1060" s="5" t="inlineStr">
        <is>
          <t>Stat: CDR = 1.0s</t>
        </is>
      </c>
    </row>
    <row r="1061">
      <c r="A1061" s="9" t="inlineStr">
        <is>
          <t>Key</t>
        </is>
      </c>
      <c r="B1061" s="9" t="inlineStr">
        <is>
          <t>Name</t>
        </is>
      </c>
      <c r="C1061" s="9" t="inlineStr">
        <is>
          <t>Unlocked</t>
        </is>
      </c>
      <c r="D1061" s="9" t="inlineStr">
        <is>
          <t>InputLevel</t>
        </is>
      </c>
      <c r="E1061" s="9" t="inlineStr">
        <is>
          <t>Factor</t>
        </is>
      </c>
      <c r="F1061" s="9" t="inlineStr">
        <is>
          <t>CoefficientPercent</t>
        </is>
      </c>
      <c r="G1061" s="9" t="inlineStr">
        <is>
          <t>EffectiveHits</t>
        </is>
      </c>
      <c r="H1061" s="9" t="inlineStr">
        <is>
          <t>ProcProbability</t>
        </is>
      </c>
      <c r="I1061" s="9" t="inlineStr">
        <is>
          <t>MapleHeroMultiplier</t>
        </is>
      </c>
      <c r="J1061" s="9" t="inlineStr">
        <is>
          <t>BaseDamage</t>
        </is>
      </c>
      <c r="K1061" s="9" t="inlineStr">
        <is>
          <t>BaseHitDamage</t>
        </is>
      </c>
      <c r="L1061" s="9" t="inlineStr">
        <is>
          <t>NonCritAvg</t>
        </is>
      </c>
      <c r="M1061" s="9" t="inlineStr">
        <is>
          <t>CritAvg</t>
        </is>
      </c>
      <c r="N1061" s="9" t="inlineStr">
        <is>
          <t>ExpectedDamage(perHit)</t>
        </is>
      </c>
      <c r="O1061" s="9" t="inlineStr">
        <is>
          <t>DPS</t>
        </is>
      </c>
      <c r="P1061" s="9" t="inlineStr">
        <is>
          <t>% of Total</t>
        </is>
      </c>
      <c r="R1061" t="inlineStr">
        <is>
          <t>helpers</t>
        </is>
      </c>
    </row>
    <row r="1062">
      <c r="A1062">
        <f>Skills!A2</f>
        <v/>
      </c>
      <c r="B1062">
        <f>Skills!B2</f>
        <v/>
      </c>
      <c r="C1062">
        <f>Inputs!$B$3&gt;=100</f>
        <v/>
      </c>
      <c r="D1062" t="inlineStr"/>
      <c r="E1062" t="inlineStr"/>
      <c r="F1062">
        <f>T1064+Skills!N2</f>
        <v/>
      </c>
      <c r="G1062">
        <f>Calc!G2</f>
        <v/>
      </c>
      <c r="H1062">
        <f>Calc!H2</f>
        <v/>
      </c>
      <c r="I1062">
        <f>IF(Skills!T2&lt;&gt;"",1+(Skills!T2/10)*(Z1063/1000)/100,1)</f>
        <v/>
      </c>
      <c r="J1062">
        <f>((Inputs!$B$6*(1+Inputs!$B$7/100))+(((Inputs!$B$12*(1+Inputs!$B$13/100))-(Inputs!$B$12*(1+Inputs!$B$13/100)))+0.25*(Inputs!$B$14-Inputs!$B$14))*(1+Inputs!$B$7/100))*(F1062/100)</f>
        <v/>
      </c>
      <c r="K1062">
        <f>J1062*(1+((Inputs!$B$12*(1+Inputs!$B$13/100))*0.01+Inputs!$B$14*0.0025)/100)*(1+(Inputs!$B$15+B1088)/100)*(1+Inputs!$B$16/100)*(5000/(6000+Inputs!$B$42*(1-Inputs!$B$19/100)))*(1+Inputs!$B$24/100)*(1+IF(C1075=TRUE,F1075,0)/100)*(1+IF(C1083=TRUE,F1083,0)/100)^5*(1+(IF(Skills!A2="CHAIN_LIGHTNING",Inputs!$B$17,Inputs!$B$18))/100)*(B1086*I1062)</f>
        <v/>
      </c>
      <c r="L1062">
        <f>K1062*(MIN(Inputs!$B$22+(F1078-Calc!F18),Inputs!$B$23)/100+Inputs!$B$23/100)/2</f>
        <v/>
      </c>
      <c r="M1062">
        <f>L1062*(1+(Inputs!$B$10+(F1081-Calc!F21))/100)</f>
        <v/>
      </c>
      <c r="N1062">
        <f>L1062*(1-MIN(Inputs!$B$9+((F1080-Calc!F20)+(F1079-Calc!F19)),100)/100)+M1062*(MIN(Inputs!$B$9+((F1080-Calc!F20)+(F1079-Calc!F19)),100)/100)</f>
        <v/>
      </c>
      <c r="O1062">
        <f>(1-Summary!$B$51)*S1062+Summary!$B$51*U1062</f>
        <v/>
      </c>
      <c r="P1062">
        <f>IF(B1096=0,0,O1062/B1096)</f>
        <v/>
      </c>
      <c r="Q1062">
        <f>IFERROR(1/IF(Inputs!$B$38="pvp",15,MAX(0.1,Skills!D2-IF(Skills!E2=TRUE,1.0,0))),0)</f>
        <v/>
      </c>
      <c r="R1062" t="n">
        <v>0</v>
      </c>
      <c r="S1062">
        <f>IF(C1062,(Skills!F2*N1062*B1092)*IF(Inputs!$B$38="pvp",1,1+(Inputs!$B$20+Skills!O2+B1087)/100),0)</f>
        <v/>
      </c>
      <c r="T1062">
        <f>MAX(0,(Inputs!$B$3-100)*3)+Inputs!$B$28+Inputs!$B$29</f>
        <v/>
      </c>
      <c r="U1062">
        <f>IF(C1062,(Skills!F2*N1062*B1092)*IF(Inputs!$B$38="pvp",1,(1+(Inputs!$B$21+Skills!P2+B1087)/100)*(MIN((6+Inputs!$B$33),Inputs!$B$37))),0)</f>
        <v/>
      </c>
      <c r="Z1062">
        <f>MAX(0,(Inputs!$B$3-100)*3)+Inputs!$B$28+Inputs!$B$29</f>
        <v/>
      </c>
    </row>
    <row r="1063">
      <c r="A1063">
        <f>Skills!A3</f>
        <v/>
      </c>
      <c r="B1063">
        <f>Skills!B3</f>
        <v/>
      </c>
      <c r="C1063">
        <f>Inputs!$B$3&gt;=15</f>
        <v/>
      </c>
      <c r="D1063">
        <f>IF(Skills!C3=1,60+Inputs!$B$25+Inputs!$B$29,IF(Skills!C3=2,90+Inputs!$B$26+Inputs!$B$29,IF(Skills!C3=3,120+Inputs!$B$27+Inputs!$B$29,MAX(0,(Inputs!$B$3-100)*3)+Inputs!$B$28+Inputs!$B$29)))</f>
        <v/>
      </c>
      <c r="E1063">
        <f>INDEX(FactorTable!$B$2:$Y$301, MATCH(ROUND(MIN(300,MAX(1,D1063)),0), FactorTable!$A$2:$A$301,0), Skills!L3+1)</f>
        <v/>
      </c>
      <c r="F1063">
        <f>IF(Skills!M3=TRUE,(Skills!K3/10)*(E1063/1000),Skills!K3/10)+Skills!N3</f>
        <v/>
      </c>
      <c r="G1063">
        <f>Calc!G3</f>
        <v/>
      </c>
      <c r="H1063">
        <f>Calc!H3</f>
        <v/>
      </c>
      <c r="I1063">
        <f>IF(Skills!T3&lt;&gt;"",1+(Skills!T3/10)*(Z1063/1000)/100,1)</f>
        <v/>
      </c>
      <c r="J1063" t="inlineStr"/>
      <c r="K1063" t="inlineStr"/>
      <c r="L1063" t="inlineStr"/>
      <c r="M1063" t="inlineStr"/>
      <c r="N1063" t="inlineStr"/>
      <c r="O1063">
        <f>(1-Summary!$B$51)*S1063+Summary!$B$51*U1063</f>
        <v/>
      </c>
      <c r="P1063">
        <f>IF(B1096=0,0,O1063/B1096)</f>
        <v/>
      </c>
      <c r="Q1063">
        <f>IFERROR(1/IF(Inputs!$B$38="pvp",15,MAX(0.1,Skills!D3-IF(Skills!E3=TRUE,1.0,0))),0)</f>
        <v/>
      </c>
      <c r="R1063">
        <f>IF(AND(Inputs!$B$38&lt;&gt;"pvp",Inputs!$B$43&gt;0),IF(Inputs!$B$43&lt;=0,0,(INT(Inputs!$B$43/IF(Inputs!$B$38="pvp",15,MAX(0.1,Skills!D3-IF(Skills!E3=TRUE,1.0,0))))+1)),0)</f>
        <v/>
      </c>
      <c r="S1063" t="n">
        <v>0</v>
      </c>
      <c r="T1063">
        <f>INDEX(FactorTable!$B$2:$Y$301, MATCH(ROUND(MIN(300,MAX(1,T1062)),0), FactorTable!$A$2:$A$301,0), 22)</f>
        <v/>
      </c>
      <c r="U1063" t="n">
        <v>0</v>
      </c>
      <c r="Z1063">
        <f>INDEX(FactorTable!$B$2:$Y$301, MATCH(ROUND(MIN(300,MAX(1,Z1062)),0), FactorTable!$A$2:$A$301,0), 24)</f>
        <v/>
      </c>
    </row>
    <row r="1064">
      <c r="A1064">
        <f>Skills!A4</f>
        <v/>
      </c>
      <c r="B1064">
        <f>Skills!B4</f>
        <v/>
      </c>
      <c r="C1064">
        <f>Inputs!$B$3&gt;=40</f>
        <v/>
      </c>
      <c r="D1064">
        <f>IF(Skills!C4=1,60+Inputs!$B$25+Inputs!$B$29,IF(Skills!C4=2,90+Inputs!$B$26+Inputs!$B$29,IF(Skills!C4=3,120+Inputs!$B$27+Inputs!$B$29,MAX(0,(Inputs!$B$3-100)*3)+Inputs!$B$28+Inputs!$B$29)))</f>
        <v/>
      </c>
      <c r="E1064">
        <f>INDEX(FactorTable!$B$2:$Y$301, MATCH(ROUND(MIN(300,MAX(1,D1064)),0), FactorTable!$A$2:$A$301,0), Skills!L4+1)</f>
        <v/>
      </c>
      <c r="F1064">
        <f>IF(Skills!M4=TRUE,(Skills!K4/10)*(E1064/1000),Skills!K4/10)+Skills!N4</f>
        <v/>
      </c>
      <c r="G1064">
        <f>Calc!G4</f>
        <v/>
      </c>
      <c r="H1064">
        <f>Calc!H4</f>
        <v/>
      </c>
      <c r="I1064">
        <f>IF(Skills!T4&lt;&gt;"",1+(Skills!T4/10)*(Z1063/1000)/100,1)</f>
        <v/>
      </c>
      <c r="J1064" t="inlineStr"/>
      <c r="K1064" t="inlineStr"/>
      <c r="L1064" t="inlineStr"/>
      <c r="M1064" t="inlineStr"/>
      <c r="N1064" t="inlineStr"/>
      <c r="O1064">
        <f>(1-Summary!$B$51)*S1064+Summary!$B$51*U1064</f>
        <v/>
      </c>
      <c r="P1064">
        <f>IF(B1096=0,0,O1064/B1096)</f>
        <v/>
      </c>
      <c r="Q1064">
        <f>IFERROR(1/IF(Inputs!$B$38="pvp",15,MAX(0.1,Skills!D4-IF(Skills!E4=TRUE,1.0,0))),0)</f>
        <v/>
      </c>
      <c r="R1064">
        <f>IF(AND(Inputs!$B$38&lt;&gt;"pvp",Inputs!$B$43&gt;0),IF(Inputs!$B$43&lt;=0,0,(INT(Inputs!$B$43/IF(Inputs!$B$38="pvp",15,MAX(0.1,Skills!D4-IF(Skills!E4=TRUE,1.0,0))))+1)),0)</f>
        <v/>
      </c>
      <c r="S1064" t="n">
        <v>0</v>
      </c>
      <c r="T1064">
        <f>290*T1063/1000</f>
        <v/>
      </c>
      <c r="U1064" t="n">
        <v>0</v>
      </c>
    </row>
    <row r="1065">
      <c r="A1065">
        <f>Skills!A5</f>
        <v/>
      </c>
      <c r="B1065">
        <f>Skills!B5</f>
        <v/>
      </c>
      <c r="C1065">
        <f>Inputs!$B$3&gt;=38</f>
        <v/>
      </c>
      <c r="D1065">
        <f>IF(Skills!C5=1,60+Inputs!$B$25+Inputs!$B$29,IF(Skills!C5=2,90+Inputs!$B$26+Inputs!$B$29,IF(Skills!C5=3,120+Inputs!$B$27+Inputs!$B$29,MAX(0,(Inputs!$B$3-100)*3)+Inputs!$B$28+Inputs!$B$29)))</f>
        <v/>
      </c>
      <c r="E1065">
        <f>INDEX(FactorTable!$B$2:$Y$301, MATCH(ROUND(MIN(300,MAX(1,D1065)),0), FactorTable!$A$2:$A$301,0), Skills!L5+1)</f>
        <v/>
      </c>
      <c r="F1065">
        <f>IF(Skills!M5=TRUE,(Skills!K5/10)*(E1065/1000),Skills!K5/10)+Skills!N5</f>
        <v/>
      </c>
      <c r="G1065">
        <f>Calc!G5</f>
        <v/>
      </c>
      <c r="H1065">
        <f>Calc!H5</f>
        <v/>
      </c>
      <c r="I1065">
        <f>IF(Skills!T5&lt;&gt;"",1+(Skills!T5/10)*(Z1063/1000)/100,1)</f>
        <v/>
      </c>
      <c r="J1065">
        <f>((Inputs!$B$6*(1+Inputs!$B$7/100))+(((Inputs!$B$12*(1+Inputs!$B$13/100))-(Inputs!$B$12*(1+Inputs!$B$13/100)))+0.25*(Inputs!$B$14-Inputs!$B$14))*(1+Inputs!$B$7/100))*(F1065/100)</f>
        <v/>
      </c>
      <c r="K1065">
        <f>J1065*(1+((Inputs!$B$12*(1+Inputs!$B$13/100))*0.01+Inputs!$B$14*0.0025)/100)*(1+(Inputs!$B$15+B1088)/100)*(1+Inputs!$B$16/100)*(5000/(6000+Inputs!$B$42*(1-Inputs!$B$19/100)))*(1+Inputs!$B$24/100)*(1+IF(C1075=TRUE,F1075,0)/100)*(1+IF(C1083=TRUE,F1083,0)/100)^5*(1+(IF(Skills!A5="CHAIN_LIGHTNING",Inputs!$B$17,Inputs!$B$18))/100)*(B1086*I1065)</f>
        <v/>
      </c>
      <c r="L1065">
        <f>K1065*(MIN(Inputs!$B$22+(F1078-Calc!F18),Inputs!$B$23)/100+Inputs!$B$23/100)/2</f>
        <v/>
      </c>
      <c r="M1065">
        <f>L1065*(1+(Inputs!$B$10+(F1081-Calc!F21))/100)</f>
        <v/>
      </c>
      <c r="N1065">
        <f>L1065*(1-MIN(Inputs!$B$9+((F1080-Calc!F20)+(F1079-Calc!F19)),100)/100)+M1065*(MIN(Inputs!$B$9+((F1080-Calc!F20)+(F1079-Calc!F19)),100)/100)</f>
        <v/>
      </c>
      <c r="O1065">
        <f>(1-Summary!$B$51)*S1065+Summary!$B$51*U1065</f>
        <v/>
      </c>
      <c r="P1065">
        <f>IF(B1096=0,0,O1065/B1096)</f>
        <v/>
      </c>
      <c r="Q1065">
        <f>IFERROR(1/IF(Inputs!$B$38="pvp",15,MAX(0.1,Skills!D5-IF(Skills!E5=TRUE,1.0,0))),0)</f>
        <v/>
      </c>
      <c r="R1065">
        <f>IF(AND(Inputs!$B$38&lt;&gt;"pvp",Inputs!$B$43&gt;0),IF(MAX(0,Inputs!$B$43-B1093)&lt;=0,0,(INT(MAX(0,Inputs!$B$43-B1093)/IF(Inputs!$B$38="pvp",15,MAX(0.1,Skills!D5-IF(Skills!E5=TRUE,1.0,0))))+1)),0)</f>
        <v/>
      </c>
      <c r="S1065">
        <f>IF(C1065,(H1065*N1065*IF(AND(Inputs!$B$38&lt;&gt;"pvp",Inputs!$B$43&gt;0),((Skills!F5*((R1065-1)*IF(Skills!G5&gt;0,Skills!H5/Skills!G5,1)+IF(Skills!G5&gt;0,MIN(Skills!H5,MAX(0,MAX(0,Inputs!$B$43-B1093)-((R1065-1)*IF(Inputs!$B$38="pvp",15,MAX(0.1,Skills!D5-IF(Skills!E5=TRUE,1.0,0))))))/Skills!G5,1)))/Inputs!$B$43),G1065*Q1065))*IF(Inputs!$B$38="pvp",1,1+(Inputs!$B$20+Skills!O5+B1087)/100),0)</f>
        <v/>
      </c>
      <c r="U1065">
        <f>IF(C1065,(H1065*N1065*IF(AND(Inputs!$B$38&lt;&gt;"pvp",Inputs!$B$43&gt;0),((Skills!F5*((R1065-1)*IF(Skills!G5&gt;0,Skills!H5/Skills!G5,1)+IF(Skills!G5&gt;0,MIN(Skills!H5,MAX(0,MAX(0,Inputs!$B$43-B1093)-((R1065-1)*IF(Inputs!$B$38="pvp",15,MAX(0.1,Skills!D5-IF(Skills!E5=TRUE,1.0,0))))))/Skills!G5,1)))/Inputs!$B$43),G1065*Q1065))*IF(Inputs!$B$38="pvp",1,(1+(Inputs!$B$21+Skills!P5+B1087)/100)*(MIN(Skills!Q5,Inputs!$B$37))),0)</f>
        <v/>
      </c>
    </row>
    <row r="1066">
      <c r="A1066">
        <f>Skills!A6</f>
        <v/>
      </c>
      <c r="B1066">
        <f>Skills!B6</f>
        <v/>
      </c>
      <c r="C1066">
        <f>Inputs!$B$3&gt;=63</f>
        <v/>
      </c>
      <c r="D1066">
        <f>IF(Skills!C6=1,60+Inputs!$B$25+Inputs!$B$29,IF(Skills!C6=2,90+Inputs!$B$26+Inputs!$B$29,IF(Skills!C6=3,120+Inputs!$B$27+Inputs!$B$29,MAX(0,(Inputs!$B$3-100)*3)+Inputs!$B$28+Inputs!$B$29)))</f>
        <v/>
      </c>
      <c r="E1066">
        <f>INDEX(FactorTable!$B$2:$Y$301, MATCH(ROUND(MIN(300,MAX(1,D1066)),0), FactorTable!$A$2:$A$301,0), Skills!L6+1)</f>
        <v/>
      </c>
      <c r="F1066">
        <f>IF(Skills!M6=TRUE,(Skills!K6/10)*(E1066/1000),Skills!K6/10)+Skills!N6</f>
        <v/>
      </c>
      <c r="G1066">
        <f>Calc!G6</f>
        <v/>
      </c>
      <c r="H1066">
        <f>Calc!H6</f>
        <v/>
      </c>
      <c r="I1066">
        <f>IF(Skills!T6&lt;&gt;"",1+(Skills!T6/10)*(Z1063/1000)/100,1)</f>
        <v/>
      </c>
      <c r="J1066">
        <f>((Inputs!$B$6*(1+Inputs!$B$7/100))+(((Inputs!$B$12*(1+Inputs!$B$13/100))-(Inputs!$B$12*(1+Inputs!$B$13/100)))+0.25*(Inputs!$B$14-Inputs!$B$14))*(1+Inputs!$B$7/100))*(F1066/100)</f>
        <v/>
      </c>
      <c r="K1066">
        <f>J1066*(1+((Inputs!$B$12*(1+Inputs!$B$13/100))*0.01+Inputs!$B$14*0.0025)/100)*(1+(Inputs!$B$15+B1088)/100)*(1+Inputs!$B$16/100)*(5000/(6000+Inputs!$B$42*(1-Inputs!$B$19/100)))*(1+Inputs!$B$24/100)*(1+IF(C1075=TRUE,F1075,0)/100)*(1+IF(C1083=TRUE,F1083,0)/100)^5*(1+(IF(Skills!A6="CHAIN_LIGHTNING",Inputs!$B$17,Inputs!$B$18))/100)*(B1086*I1066)</f>
        <v/>
      </c>
      <c r="L1066">
        <f>K1066*(MIN(Inputs!$B$22+(F1078-Calc!F18),Inputs!$B$23)/100+Inputs!$B$23/100)/2</f>
        <v/>
      </c>
      <c r="M1066">
        <f>L1066*(1+(Inputs!$B$10+(F1081-Calc!F21))/100)</f>
        <v/>
      </c>
      <c r="N1066">
        <f>L1066*(1-MIN(Inputs!$B$9+((F1080-Calc!F20)+(F1079-Calc!F19)),100)/100)+M1066*(MIN(Inputs!$B$9+((F1080-Calc!F20)+(F1079-Calc!F19)),100)/100)</f>
        <v/>
      </c>
      <c r="O1066">
        <f>(1-Summary!$B$51)*S1066+Summary!$B$51*U1066</f>
        <v/>
      </c>
      <c r="P1066">
        <f>IF(B1096=0,0,O1066/B1096)</f>
        <v/>
      </c>
      <c r="Q1066">
        <f>IFERROR(1/IF(Inputs!$B$38="pvp",15,MAX(0.1,Skills!D6-IF(Skills!E6=TRUE,1.0,0))),0)</f>
        <v/>
      </c>
      <c r="R1066">
        <f>IF(AND(Inputs!$B$38&lt;&gt;"pvp",Inputs!$B$43&gt;0),IF(MAX(0,Inputs!$B$43-B1093)&lt;=0,0,(INT(MAX(0,Inputs!$B$43-B1093)/IF(Inputs!$B$38="pvp",15,MAX(0.1,Skills!D6-IF(Skills!E6=TRUE,1.0,0))))+1)),0)</f>
        <v/>
      </c>
      <c r="S1066">
        <f>IF(C1066,(H1066*N1066*IF(AND(Inputs!$B$38&lt;&gt;"pvp",Inputs!$B$43&gt;0),((Skills!F6*((R1066-1)*IF(Skills!G6&gt;0,Skills!H6/Skills!G6,1)+IF(Skills!G6&gt;0,MIN(Skills!H6,MAX(0,MAX(0,Inputs!$B$43-B1093)-((R1066-1)*IF(Inputs!$B$38="pvp",15,MAX(0.1,Skills!D6-IF(Skills!E6=TRUE,1.0,0))))))/Skills!G6,1)))/Inputs!$B$43),G1066*Q1066))*IF(Inputs!$B$38="pvp",1,1+(Inputs!$B$20+Skills!O6+B1087)/100),0)</f>
        <v/>
      </c>
      <c r="U1066">
        <f>IF(C1066,(H1066*N1066*IF(AND(Inputs!$B$38&lt;&gt;"pvp",Inputs!$B$43&gt;0),((Skills!F6*((R1066-1)*IF(Skills!G6&gt;0,Skills!H6/Skills!G6,1)+IF(Skills!G6&gt;0,MIN(Skills!H6,MAX(0,MAX(0,Inputs!$B$43-B1093)-((R1066-1)*IF(Inputs!$B$38="pvp",15,MAX(0.1,Skills!D6-IF(Skills!E6=TRUE,1.0,0))))))/Skills!G6,1)))/Inputs!$B$43),G1066*Q1066))*IF(Inputs!$B$38="pvp",1,(1+(Inputs!$B$21+Skills!P6+B1087)/100)*(MIN(Skills!Q6,Inputs!$B$37))),0)</f>
        <v/>
      </c>
    </row>
    <row r="1067">
      <c r="A1067">
        <f>Skills!A7</f>
        <v/>
      </c>
      <c r="B1067">
        <f>Skills!B7</f>
        <v/>
      </c>
      <c r="C1067">
        <f>Inputs!$B$3&gt;=69</f>
        <v/>
      </c>
      <c r="D1067">
        <f>IF(Skills!C7=1,60+Inputs!$B$25+Inputs!$B$29,IF(Skills!C7=2,90+Inputs!$B$26+Inputs!$B$29,IF(Skills!C7=3,120+Inputs!$B$27+Inputs!$B$29,MAX(0,(Inputs!$B$3-100)*3)+Inputs!$B$28+Inputs!$B$29)))</f>
        <v/>
      </c>
      <c r="E1067">
        <f>INDEX(FactorTable!$B$2:$Y$301, MATCH(ROUND(MIN(300,MAX(1,D1067)),0), FactorTable!$A$2:$A$301,0), Skills!L7+1)</f>
        <v/>
      </c>
      <c r="F1067">
        <f>IF(Skills!M7=TRUE,(Skills!K7/10)*(E1067/1000),Skills!K7/10)+Skills!N7</f>
        <v/>
      </c>
      <c r="G1067">
        <f>Calc!G7</f>
        <v/>
      </c>
      <c r="H1067">
        <f>Calc!H7</f>
        <v/>
      </c>
      <c r="I1067">
        <f>IF(Skills!T7&lt;&gt;"",1+(Skills!T7/10)*(Z1063/1000)/100,1)</f>
        <v/>
      </c>
      <c r="J1067">
        <f>((Inputs!$B$6*(1+Inputs!$B$7/100))+(((Inputs!$B$12*(1+Inputs!$B$13/100))-(Inputs!$B$12*(1+Inputs!$B$13/100)))+0.25*(Inputs!$B$14-Inputs!$B$14))*(1+Inputs!$B$7/100))*(F1067/100)</f>
        <v/>
      </c>
      <c r="K1067">
        <f>J1067*(1+((Inputs!$B$12*(1+Inputs!$B$13/100))*0.01+Inputs!$B$14*0.0025)/100)*(1+(Inputs!$B$15+B1088)/100)*(1+Inputs!$B$16/100)*(5000/(6000+Inputs!$B$42*(1-Inputs!$B$19/100)))*(1+Inputs!$B$24/100)*(1+IF(C1075=TRUE,F1075,0)/100)*(1+IF(C1083=TRUE,F1083,0)/100)^5*(1+(IF(Skills!A7="CHAIN_LIGHTNING",Inputs!$B$17,Inputs!$B$18))/100)*(B1086*I1067)</f>
        <v/>
      </c>
      <c r="L1067">
        <f>K1067*(MIN(Inputs!$B$22+(F1078-Calc!F18),Inputs!$B$23)/100+Inputs!$B$23/100)/2</f>
        <v/>
      </c>
      <c r="M1067">
        <f>L1067*(1+(Inputs!$B$10+(F1081-Calc!F21))/100)</f>
        <v/>
      </c>
      <c r="N1067">
        <f>L1067*(1-MIN(Inputs!$B$9+((F1080-Calc!F20)+(F1079-Calc!F19)),100)/100)+M1067*(MIN(Inputs!$B$9+((F1080-Calc!F20)+(F1079-Calc!F19)),100)/100)</f>
        <v/>
      </c>
      <c r="O1067">
        <f>(1-Summary!$B$51)*S1067+Summary!$B$51*U1067</f>
        <v/>
      </c>
      <c r="P1067">
        <f>IF(B1096=0,0,O1067/B1096)</f>
        <v/>
      </c>
      <c r="Q1067">
        <f>IFERROR(1/IF(Inputs!$B$38="pvp",15,MAX(0.1,Skills!D7-IF(Skills!E7=TRUE,1.0,0))),0)</f>
        <v/>
      </c>
      <c r="R1067">
        <f>IF(AND(Inputs!$B$38&lt;&gt;"pvp",Inputs!$B$43&gt;0),IF(MAX(0,Inputs!$B$43-B1093)&lt;=0,0,(INT(MAX(0,Inputs!$B$43-B1093)/IF(Inputs!$B$38="pvp",15,MAX(0.1,Skills!D7-IF(Skills!E7=TRUE,1.0,0))))+1)),0)</f>
        <v/>
      </c>
      <c r="S1067">
        <f>IF(C1067,(H1067*N1067*IF(AND(Inputs!$B$38&lt;&gt;"pvp",Inputs!$B$43&gt;0),((Skills!F7*((R1067-1)*IF(Skills!G7&gt;0,Skills!H7/Skills!G7,1)+IF(Skills!G7&gt;0,MIN(Skills!H7,MAX(0,MAX(0,Inputs!$B$43-B1093)-((R1067-1)*IF(Inputs!$B$38="pvp",15,MAX(0.1,Skills!D7-IF(Skills!E7=TRUE,1.0,0))))))/Skills!G7,1)))/Inputs!$B$43),G1067*Q1067))*IF(Inputs!$B$38="pvp",1,1+(Inputs!$B$20+Skills!O7+B1087)/100),0)</f>
        <v/>
      </c>
      <c r="U1067">
        <f>IF(C1067,(H1067*N1067*IF(AND(Inputs!$B$38&lt;&gt;"pvp",Inputs!$B$43&gt;0),((Skills!F7*((R1067-1)*IF(Skills!G7&gt;0,Skills!H7/Skills!G7,1)+IF(Skills!G7&gt;0,MIN(Skills!H7,MAX(0,MAX(0,Inputs!$B$43-B1093)-((R1067-1)*IF(Inputs!$B$38="pvp",15,MAX(0.1,Skills!D7-IF(Skills!E7=TRUE,1.0,0))))))/Skills!G7,1)))/Inputs!$B$43),G1067*Q1067))*IF(Inputs!$B$38="pvp",1,(1+(Inputs!$B$21+Skills!P7+B1087)/100)*(MIN(Skills!Q7,Inputs!$B$37))),0)</f>
        <v/>
      </c>
    </row>
    <row r="1068">
      <c r="A1068">
        <f>Skills!A8</f>
        <v/>
      </c>
      <c r="B1068">
        <f>Skills!B8</f>
        <v/>
      </c>
      <c r="C1068">
        <f>Inputs!$B$3&gt;=103</f>
        <v/>
      </c>
      <c r="D1068">
        <f>IF(Skills!C8=1,60+Inputs!$B$25+Inputs!$B$29,IF(Skills!C8=2,90+Inputs!$B$26+Inputs!$B$29,IF(Skills!C8=3,120+Inputs!$B$27+Inputs!$B$29,MAX(0,(Inputs!$B$3-100)*3)+Inputs!$B$28+Inputs!$B$29)))</f>
        <v/>
      </c>
      <c r="E1068">
        <f>INDEX(FactorTable!$B$2:$Y$301, MATCH(ROUND(MIN(300,MAX(1,D1068)),0), FactorTable!$A$2:$A$301,0), Skills!L8+1)</f>
        <v/>
      </c>
      <c r="F1068">
        <f>IF(Skills!M8=TRUE,(Skills!K8/10)*(E1068/1000),Skills!K8/10)+Skills!N8</f>
        <v/>
      </c>
      <c r="G1068">
        <f>Calc!G8</f>
        <v/>
      </c>
      <c r="H1068">
        <f>Calc!H8</f>
        <v/>
      </c>
      <c r="I1068">
        <f>IF(Skills!T8&lt;&gt;"",1+(Skills!T8/10)*(Z1063/1000)/100,1)</f>
        <v/>
      </c>
      <c r="J1068">
        <f>((Inputs!$B$6*(1+Inputs!$B$7/100))+(((Inputs!$B$12*(1+Inputs!$B$13/100))-(Inputs!$B$12*(1+Inputs!$B$13/100)))+0.25*(Inputs!$B$14-Inputs!$B$14))*(1+Inputs!$B$7/100))*(F1068/100)</f>
        <v/>
      </c>
      <c r="K1068">
        <f>J1068*(1+((Inputs!$B$12*(1+Inputs!$B$13/100))*0.01+Inputs!$B$14*0.0025)/100)*(1+(Inputs!$B$15+B1088)/100)*(1+Inputs!$B$16/100)*(5000/(6000+Inputs!$B$42*(1-Inputs!$B$19/100)))*(1+Inputs!$B$24/100)*(1+IF(C1075=TRUE,F1075,0)/100)*(1+IF(C1083=TRUE,F1083,0)/100)^5*(1+(IF(Skills!A8="CHAIN_LIGHTNING",Inputs!$B$17,Inputs!$B$18))/100)*(B1086*I1068)</f>
        <v/>
      </c>
      <c r="L1068">
        <f>K1068*(MIN(Inputs!$B$22+(F1078-Calc!F18),Inputs!$B$23)/100+Inputs!$B$23/100)/2</f>
        <v/>
      </c>
      <c r="M1068">
        <f>L1068*(1+(Inputs!$B$10+(F1081-Calc!F21))/100)</f>
        <v/>
      </c>
      <c r="N1068">
        <f>L1068*(1-MIN(Inputs!$B$9+((F1080-Calc!F20)+(F1079-Calc!F19)),100)/100)+M1068*(MIN(Inputs!$B$9+((F1080-Calc!F20)+(F1079-Calc!F19)),100)/100)</f>
        <v/>
      </c>
      <c r="O1068">
        <f>(1-Summary!$B$51)*S1068+Summary!$B$51*U1068</f>
        <v/>
      </c>
      <c r="P1068">
        <f>IF(B1096=0,0,O1068/B1096)</f>
        <v/>
      </c>
      <c r="Q1068">
        <f>IFERROR(1/IF(Inputs!$B$38="pvp",15,MAX(0.1,Skills!D8-IF(Skills!E8=TRUE,1.0,0))),0)</f>
        <v/>
      </c>
      <c r="R1068">
        <f>IF(AND(Inputs!$B$38&lt;&gt;"pvp",Inputs!$B$43&gt;0),IF(MAX(0,Inputs!$B$43-B1093)&lt;=0,0,(INT(MAX(0,Inputs!$B$43-B1093)/IF(Inputs!$B$38="pvp",15,MAX(0.1,Skills!D8-IF(Skills!E8=TRUE,1.0,0))))+1)),0)</f>
        <v/>
      </c>
      <c r="S1068">
        <f>IF(C1068,(H1068*N1068*IF(AND(Inputs!$B$38&lt;&gt;"pvp",Inputs!$B$43&gt;0),((Skills!F8*((R1068-1)*IF(Skills!G8&gt;0,Skills!H8/Skills!G8,1)+IF(Skills!G8&gt;0,MIN(Skills!H8,MAX(0,MAX(0,Inputs!$B$43-B1093)-((R1068-1)*IF(Inputs!$B$38="pvp",15,MAX(0.1,Skills!D8-IF(Skills!E8=TRUE,1.0,0))))))/Skills!G8,1)))/Inputs!$B$43),G1068*Q1068))*IF(Inputs!$B$38="pvp",1,1+(Inputs!$B$20+Skills!O8+B1087)/100),0)</f>
        <v/>
      </c>
      <c r="U1068">
        <f>IF(C1068,(H1068*N1068*IF(AND(Inputs!$B$38&lt;&gt;"pvp",Inputs!$B$43&gt;0),((Skills!F8*((R1068-1)*IF(Skills!G8&gt;0,Skills!H8/Skills!G8,1)+IF(Skills!G8&gt;0,MIN(Skills!H8,MAX(0,MAX(0,Inputs!$B$43-B1093)-((R1068-1)*IF(Inputs!$B$38="pvp",15,MAX(0.1,Skills!D8-IF(Skills!E8=TRUE,1.0,0))))))/Skills!G8,1)))/Inputs!$B$43),G1068*Q1068))*IF(Inputs!$B$38="pvp",1,(1+(Inputs!$B$21+Skills!P8+B1087)/100)*(MIN(Skills!Q8,Inputs!$B$37))),0)</f>
        <v/>
      </c>
    </row>
    <row r="1069">
      <c r="A1069">
        <f>Skills!A9</f>
        <v/>
      </c>
      <c r="B1069">
        <f>Skills!B9</f>
        <v/>
      </c>
      <c r="C1069">
        <f>Inputs!$B$3&gt;=105</f>
        <v/>
      </c>
      <c r="D1069">
        <f>IF(Skills!C9=1,60+Inputs!$B$25+Inputs!$B$29,IF(Skills!C9=2,90+Inputs!$B$26+Inputs!$B$29,IF(Skills!C9=3,120+Inputs!$B$27+Inputs!$B$29,MAX(0,(Inputs!$B$3-100)*3)+Inputs!$B$28+Inputs!$B$29)))</f>
        <v/>
      </c>
      <c r="E1069">
        <f>INDEX(FactorTable!$B$2:$Y$301, MATCH(ROUND(MIN(300,MAX(1,D1069)),0), FactorTable!$A$2:$A$301,0), Skills!L9+1)</f>
        <v/>
      </c>
      <c r="F1069">
        <f>IF(Skills!M9=TRUE,(Skills!K9/10)*(E1069/1000),Skills!K9/10)+Skills!N9</f>
        <v/>
      </c>
      <c r="G1069">
        <f>Calc!G9</f>
        <v/>
      </c>
      <c r="H1069">
        <f>Calc!H9</f>
        <v/>
      </c>
      <c r="I1069">
        <f>IF(Skills!T9&lt;&gt;"",1+(Skills!T9/10)*(Z1063/1000)/100,1)</f>
        <v/>
      </c>
      <c r="J1069">
        <f>((Inputs!$B$6*(1+Inputs!$B$7/100))+(((Inputs!$B$12*(1+Inputs!$B$13/100))-(Inputs!$B$12*(1+Inputs!$B$13/100)))+0.25*(Inputs!$B$14-Inputs!$B$14))*(1+Inputs!$B$7/100))*(F1069/100)</f>
        <v/>
      </c>
      <c r="K1069">
        <f>J1069*(1+((Inputs!$B$12*(1+Inputs!$B$13/100))*0.01+Inputs!$B$14*0.0025)/100)*(1+(Inputs!$B$15+B1088)/100)*(1+Inputs!$B$16/100)*(5000/(6000+Inputs!$B$42*(1-Inputs!$B$19/100)))*(1+Inputs!$B$24/100)*(1+IF(C1075=TRUE,F1075,0)/100)*(1+IF(C1083=TRUE,F1083,0)/100)^5*(1+(IF(Skills!A9="CHAIN_LIGHTNING",Inputs!$B$17,Inputs!$B$18))/100)*(B1086*I1069)</f>
        <v/>
      </c>
      <c r="L1069">
        <f>K1069*(MIN(Inputs!$B$22+(F1078-Calc!F18),Inputs!$B$23)/100+Inputs!$B$23/100)/2</f>
        <v/>
      </c>
      <c r="M1069">
        <f>L1069*(1+(Inputs!$B$10+(F1081-Calc!F21))/100)</f>
        <v/>
      </c>
      <c r="N1069">
        <f>L1069*(1-MIN(Inputs!$B$9+((F1080-Calc!F20)+(F1079-Calc!F19)),100)/100)+M1069*(MIN(Inputs!$B$9+((F1080-Calc!F20)+(F1079-Calc!F19)),100)/100)</f>
        <v/>
      </c>
      <c r="O1069">
        <f>(1-Summary!$B$51)*S1069+Summary!$B$51*U1069</f>
        <v/>
      </c>
      <c r="P1069">
        <f>IF(B1096=0,0,O1069/B1096)</f>
        <v/>
      </c>
      <c r="Q1069">
        <f>IFERROR(1/IF(Inputs!$B$38="pvp",15,MAX(0.1,Skills!D9-IF(Skills!E9=TRUE,1.0,0))),0)</f>
        <v/>
      </c>
      <c r="R1069">
        <f>IF(AND(Inputs!$B$38&lt;&gt;"pvp",Inputs!$B$43&gt;0),IF(MAX(0,Inputs!$B$43-B1093)&lt;=0,0,(INT(MAX(0,Inputs!$B$43-B1093)/IF(Inputs!$B$38="pvp",15,MAX(0.1,Skills!D9-IF(Skills!E9=TRUE,1.0,0))))+1)),0)</f>
        <v/>
      </c>
      <c r="S1069">
        <f>IF(C1069,(H1069*N1069*IF(AND(Inputs!$B$38&lt;&gt;"pvp",Inputs!$B$43&gt;0),((Skills!F9*((R1069-1)*IF(Skills!G9&gt;0,Skills!H9/Skills!G9,1)+IF(Skills!G9&gt;0,MIN(Skills!H9,MAX(0,MAX(0,Inputs!$B$43-B1093)-((R1069-1)*IF(Inputs!$B$38="pvp",15,MAX(0.1,Skills!D9-IF(Skills!E9=TRUE,1.0,0))))))/Skills!G9,1)))/Inputs!$B$43),G1069*Q1069))*IF(Inputs!$B$38="pvp",1,1+(Inputs!$B$20+Skills!O9+B1087)/100),0)</f>
        <v/>
      </c>
      <c r="U1069">
        <f>IF(C1069,(H1069*N1069*IF(AND(Inputs!$B$38&lt;&gt;"pvp",Inputs!$B$43&gt;0),((Skills!F9*((R1069-1)*IF(Skills!G9&gt;0,Skills!H9/Skills!G9,1)+IF(Skills!G9&gt;0,MIN(Skills!H9,MAX(0,MAX(0,Inputs!$B$43-B1093)-((R1069-1)*IF(Inputs!$B$38="pvp",15,MAX(0.1,Skills!D9-IF(Skills!E9=TRUE,1.0,0))))))/Skills!G9,1)))/Inputs!$B$43),G1069*Q1069))*IF(Inputs!$B$38="pvp",1,(1+(Inputs!$B$21+Skills!P9+B1087)/100)*(MIN(Skills!Q9,Inputs!$B$37))),0)</f>
        <v/>
      </c>
    </row>
    <row r="1070">
      <c r="A1070">
        <f>Skills!A10</f>
        <v/>
      </c>
      <c r="B1070">
        <f>Skills!B10</f>
        <v/>
      </c>
      <c r="C1070">
        <f>Inputs!$B$3&gt;=113</f>
        <v/>
      </c>
      <c r="D1070">
        <f>IF(Skills!C10=1,60+Inputs!$B$25+Inputs!$B$29,IF(Skills!C10=2,90+Inputs!$B$26+Inputs!$B$29,IF(Skills!C10=3,120+Inputs!$B$27+Inputs!$B$29,MAX(0,(Inputs!$B$3-100)*3)+Inputs!$B$28+Inputs!$B$29)))</f>
        <v/>
      </c>
      <c r="E1070">
        <f>INDEX(FactorTable!$B$2:$Y$301, MATCH(ROUND(MIN(300,MAX(1,D1070)),0), FactorTable!$A$2:$A$301,0), Skills!L10+1)</f>
        <v/>
      </c>
      <c r="F1070">
        <f>IF(Skills!M10=TRUE,(Skills!K10/10)*(E1070/1000),Skills!K10/10)+Skills!N10</f>
        <v/>
      </c>
      <c r="G1070">
        <f>Calc!G10</f>
        <v/>
      </c>
      <c r="H1070">
        <f>Calc!H10</f>
        <v/>
      </c>
      <c r="I1070">
        <f>IF(Skills!T10&lt;&gt;"",1+(Skills!T10/10)*(Z1063/1000)/100,1)</f>
        <v/>
      </c>
      <c r="J1070">
        <f>((Inputs!$B$6*(1+Inputs!$B$7/100))+(((Inputs!$B$12*(1+Inputs!$B$13/100))-(Inputs!$B$12*(1+Inputs!$B$13/100)))+0.25*(Inputs!$B$14-Inputs!$B$14))*(1+Inputs!$B$7/100))*(F1070/100)</f>
        <v/>
      </c>
      <c r="K1070">
        <f>J1070*(1+((Inputs!$B$12*(1+Inputs!$B$13/100))*0.01+Inputs!$B$14*0.0025)/100)*(1+(Inputs!$B$15+B1088)/100)*(1+Inputs!$B$16/100)*(5000/(6000+Inputs!$B$42*(1-Inputs!$B$19/100)))*(1+Inputs!$B$24/100)*(1+IF(C1075=TRUE,F1075,0)/100)*(1+IF(C1083=TRUE,F1083,0)/100)^5*(1+(IF(Skills!A10="CHAIN_LIGHTNING",Inputs!$B$17,Inputs!$B$18))/100)*(B1086*I1070)</f>
        <v/>
      </c>
      <c r="L1070">
        <f>K1070*(MIN(Inputs!$B$22+(F1078-Calc!F18),Inputs!$B$23)/100+Inputs!$B$23/100)/2</f>
        <v/>
      </c>
      <c r="M1070">
        <f>L1070*(1+(Inputs!$B$10+(F1081-Calc!F21))/100)</f>
        <v/>
      </c>
      <c r="N1070">
        <f>L1070*(1-MIN(Inputs!$B$9+((F1080-Calc!F20)+(F1079-Calc!F19)),100)/100)+M1070*(MIN(Inputs!$B$9+((F1080-Calc!F20)+(F1079-Calc!F19)),100)/100)</f>
        <v/>
      </c>
      <c r="O1070">
        <f>(1-Summary!$B$51)*S1070+Summary!$B$51*U1070</f>
        <v/>
      </c>
      <c r="P1070">
        <f>IF(B1096=0,0,O1070/B1096)</f>
        <v/>
      </c>
      <c r="Q1070">
        <f>IFERROR(1/IF(Inputs!$B$38="pvp",15,MAX(0.1,Skills!D10-IF(Skills!E9=TRUE,1.0,0))),0)</f>
        <v/>
      </c>
      <c r="R1070">
        <f>IF(AND(Inputs!$B$38&lt;&gt;"pvp",Inputs!$B$43&gt;0),IF(MAX(0,Inputs!$B$43-B1093)&lt;=0,0,(INT(MAX(0,Inputs!$B$43-B1093)/IF(Inputs!$B$38="pvp",15,MAX(0.1,Skills!D10-IF(Skills!E9=TRUE,1.0,0))))+1)),0)</f>
        <v/>
      </c>
      <c r="S1070">
        <f>IF(C1070,(H1070*N1070*IF(AND(Inputs!$B$38&lt;&gt;"pvp",Inputs!$B$43&gt;0),((Skills!F10*((R1070-1)*IF(Skills!G10&gt;0,Skills!H10/Skills!G10,1)+IF(Skills!G10&gt;0,MIN(Skills!H10,MAX(0,MAX(0,Inputs!$B$43-B1093)-((R1070-1)*IF(Inputs!$B$38="pvp",15,MAX(0.1,Skills!D10-IF(Skills!E9=TRUE,1.0,0))))))/Skills!G10,1)))/Inputs!$B$43),G1070*Q1070))*IF(Inputs!$B$38="pvp",1,1+(Inputs!$B$20+Skills!O10+B1087)/100),0)</f>
        <v/>
      </c>
      <c r="U1070">
        <f>IF(C1070,(H1070*N1070*IF(AND(Inputs!$B$38&lt;&gt;"pvp",Inputs!$B$43&gt;0),((Skills!F10*((R1070-1)*IF(Skills!G10&gt;0,Skills!H10/Skills!G10,1)+IF(Skills!G10&gt;0,MIN(Skills!H10,MAX(0,MAX(0,Inputs!$B$43-B1093)-((R1070-1)*IF(Inputs!$B$38="pvp",15,MAX(0.1,Skills!D10-IF(Skills!E9=TRUE,1.0,0))))))/Skills!G10,1)))/Inputs!$B$43),G1070*Q1070))*IF(Inputs!$B$38="pvp",1,(1+(Inputs!$B$21+Skills!P10+B1087)/100)*(MIN(Skills!Q10,Inputs!$B$37))),0)</f>
        <v/>
      </c>
    </row>
    <row r="1071">
      <c r="A1071">
        <f>Skills!A11</f>
        <v/>
      </c>
      <c r="B1071">
        <f>Skills!B11</f>
        <v/>
      </c>
      <c r="C1071">
        <f>Inputs!$B$3&gt;=107</f>
        <v/>
      </c>
      <c r="D1071">
        <f>IF(Skills!C11=1,60+Inputs!$B$25+Inputs!$B$29,IF(Skills!C11=2,90+Inputs!$B$26+Inputs!$B$29,IF(Skills!C11=3,120+Inputs!$B$27+Inputs!$B$29,MAX(0,(Inputs!$B$3-100)*3)+Inputs!$B$28+Inputs!$B$29)))</f>
        <v/>
      </c>
      <c r="E1071">
        <f>INDEX(FactorTable!$B$2:$Y$301, MATCH(ROUND(MIN(300,MAX(1,D1071)),0), FactorTable!$A$2:$A$301,0), Skills!L11+1)</f>
        <v/>
      </c>
      <c r="F1071">
        <f>IF(Skills!M11=TRUE,(Skills!K11/10)*(E1071/1000),Skills!K11/10)+Skills!N11</f>
        <v/>
      </c>
      <c r="G1071">
        <f>Calc!G11</f>
        <v/>
      </c>
      <c r="H1071">
        <f>Calc!H11</f>
        <v/>
      </c>
      <c r="I1071">
        <f>IF(Skills!T11&lt;&gt;"",1+(Skills!T11/10)*(Z1063/1000)/100,1)</f>
        <v/>
      </c>
      <c r="J1071">
        <f>((Inputs!$B$6*(1+Inputs!$B$7/100))+(((Inputs!$B$12*(1+Inputs!$B$13/100))-(Inputs!$B$12*(1+Inputs!$B$13/100)))+0.25*(Inputs!$B$14-Inputs!$B$14))*(1+Inputs!$B$7/100))*(F1071/100)</f>
        <v/>
      </c>
      <c r="K1071">
        <f>J1071*(1+((Inputs!$B$12*(1+Inputs!$B$13/100))*0.01+Inputs!$B$14*0.0025)/100)*(1+(Inputs!$B$15+B1088)/100)*(1+Inputs!$B$16/100)*(5000/(6000+Inputs!$B$42*(1-Inputs!$B$19/100)))*(1+Inputs!$B$24/100)*(1+IF(C1075=TRUE,F1075,0)/100)*(1+IF(C1083=TRUE,F1083,0)/100)^5*(1+(IF(Skills!A11="CHAIN_LIGHTNING",Inputs!$B$17,Inputs!$B$18))/100)*(B1086*I1071)</f>
        <v/>
      </c>
      <c r="L1071">
        <f>K1071*(MIN(Inputs!$B$22+(F1078-Calc!F18),Inputs!$B$23)/100+Inputs!$B$23/100)/2</f>
        <v/>
      </c>
      <c r="M1071">
        <f>L1071*(1+(Inputs!$B$10+(F1081-Calc!F21))/100)</f>
        <v/>
      </c>
      <c r="N1071">
        <f>L1071*(1-MIN(Inputs!$B$9+((F1080-Calc!F20)+(F1079-Calc!F19)),100)/100)+M1071*(MIN(Inputs!$B$9+((F1080-Calc!F20)+(F1079-Calc!F19)),100)/100)</f>
        <v/>
      </c>
      <c r="O1071">
        <f>(1-Summary!$B$51)*S1071+Summary!$B$51*U1071</f>
        <v/>
      </c>
      <c r="P1071">
        <f>IF(B1096=0,0,O1071/B1096)</f>
        <v/>
      </c>
      <c r="Q1071">
        <f>IFERROR(1/IF(Inputs!$B$38="pvp",15,MAX(0.1,Skills!D11-IF(Skills!E11=TRUE,1.0,0))),0)</f>
        <v/>
      </c>
      <c r="R1071">
        <f>IF(AND(Inputs!$B$38&lt;&gt;"pvp",Inputs!$B$43&gt;0),IF(MAX(0,Inputs!$B$43-B1093)&lt;=0,0,(INT(MAX(0,Inputs!$B$43-B1093)/IF(Inputs!$B$38="pvp",15,MAX(0.1,Skills!D11-IF(Skills!E11=TRUE,1.0,0))))+1)),0)</f>
        <v/>
      </c>
      <c r="S1071">
        <f>IF(C1071,H1071*N1071*IF(AND(Inputs!$B$38&lt;&gt;"pvp",Inputs!$B$43&gt;0),((Skills!F11*((R1071-1)*IF(Skills!G11&gt;0,Skills!H11/Skills!G11,1)+IF(Skills!G11&gt;0,MIN(Skills!H11,MAX(0,MAX(0,Inputs!$B$43-B1093)-((R1071-1)*IF(Inputs!$B$38="pvp",15,MAX(0.1,Skills!D11-IF(Skills!E11=TRUE,1.0,0))))))/Skills!G11,1)))/Inputs!$B$43),G1071*Q1071)*0.5*IF(Inputs!$B$38="pvp",1,1+(Inputs!$B$20+Skills!O11+B1087)/100),0)</f>
        <v/>
      </c>
      <c r="U1071">
        <f>IF(C1071,H1071*N1071*IF(AND(Inputs!$B$38&lt;&gt;"pvp",Inputs!$B$43&gt;0),((Skills!F11*((R1071-1)*IF(Skills!G11&gt;0,Skills!H11/Skills!G11,1)+IF(Skills!G11&gt;0,MIN(Skills!H11,MAX(0,MAX(0,Inputs!$B$43-B1093)-((R1071-1)*IF(Inputs!$B$38="pvp",15,MAX(0.1,Skills!D11-IF(Skills!E11=TRUE,1.0,0))))))/Skills!G11,1)))/Inputs!$B$43),G1071*Q1071)*1*IF(Inputs!$B$38="pvp",1,(1+(Inputs!$B$21+Skills!P11+B1087)/100)*(MIN(Skills!Q11,Inputs!$B$37))),0)</f>
        <v/>
      </c>
    </row>
    <row r="1072">
      <c r="A1072">
        <f>Skills!A12</f>
        <v/>
      </c>
      <c r="B1072">
        <f>Skills!B12</f>
        <v/>
      </c>
      <c r="C1072">
        <f>Inputs!$B$3&gt;=115</f>
        <v/>
      </c>
      <c r="D1072">
        <f>IF(Skills!C12=1,60+Inputs!$B$25+Inputs!$B$29,IF(Skills!C12=2,90+Inputs!$B$26+Inputs!$B$29,IF(Skills!C12=3,120+Inputs!$B$27+Inputs!$B$29,MAX(0,(Inputs!$B$3-100)*3)+Inputs!$B$28+Inputs!$B$29)))</f>
        <v/>
      </c>
      <c r="E1072">
        <f>INDEX(FactorTable!$B$2:$Y$301, MATCH(ROUND(MIN(300,MAX(1,D1072)),0), FactorTable!$A$2:$A$301,0), Skills!L12+1)</f>
        <v/>
      </c>
      <c r="F1072">
        <f>IF(Skills!M12=TRUE,(Skills!K12/10)*(E1072/1000),Skills!K12/10)+Skills!N12</f>
        <v/>
      </c>
      <c r="G1072">
        <f>Calc!G12</f>
        <v/>
      </c>
      <c r="H1072">
        <f>Calc!H12</f>
        <v/>
      </c>
      <c r="I1072">
        <f>IF(Skills!T12&lt;&gt;"",1+(Skills!T12/10)*(Z1063/1000)/100,1)</f>
        <v/>
      </c>
      <c r="J1072">
        <f>((Inputs!$B$6*(1+Inputs!$B$7/100))+(((Inputs!$B$12*(1+Inputs!$B$13/100))-(Inputs!$B$12*(1+Inputs!$B$13/100)))+0.25*(Inputs!$B$14-Inputs!$B$14))*(1+Inputs!$B$7/100))*(F1072/100)</f>
        <v/>
      </c>
      <c r="K1072">
        <f>J1072*(1+((Inputs!$B$12*(1+Inputs!$B$13/100))*0.01+Inputs!$B$14*0.0025)/100)*(1+(Inputs!$B$15+B1088)/100)*(1+Inputs!$B$16/100)*(5000/(6000+Inputs!$B$42*(1-Inputs!$B$19/100)))*(1+Inputs!$B$24/100)*(1+IF(C1075=TRUE,F1075,0)/100)*(1+IF(C1083=TRUE,F1083,0)/100)^5*(1+(IF(Skills!A12="CHAIN_LIGHTNING",Inputs!$B$17,Inputs!$B$18))/100)*(B1086*I1072)</f>
        <v/>
      </c>
      <c r="L1072">
        <f>K1072*(MIN(Inputs!$B$22+(F1078-Calc!F18),Inputs!$B$23)/100+Inputs!$B$23/100)/2</f>
        <v/>
      </c>
      <c r="M1072">
        <f>L1072*(1+(Inputs!$B$10+(F1081-Calc!F21))/100)</f>
        <v/>
      </c>
      <c r="N1072">
        <f>L1072*(1-MIN(Inputs!$B$9+((F1080-Calc!F20)+(F1079-Calc!F19)),100)/100)+M1072*(MIN(Inputs!$B$9+((F1080-Calc!F20)+(F1079-Calc!F19)),100)/100)</f>
        <v/>
      </c>
      <c r="O1072">
        <f>(1-Summary!$B$51)*S1072+Summary!$B$51*U1072</f>
        <v/>
      </c>
      <c r="P1072">
        <f>IF(B1096=0,0,O1072/B1096)</f>
        <v/>
      </c>
      <c r="Q1072">
        <f>IFERROR(1/IF(Inputs!$B$38="pvp",15,MAX(0.1,Skills!D12-IF(Skills!E12=TRUE,1.0,0))),0)</f>
        <v/>
      </c>
      <c r="R1072">
        <f>IF(AND(Inputs!$B$38&lt;&gt;"pvp",Inputs!$B$43&gt;0),IF(MAX(0,Inputs!$B$43-B1093)&lt;=0,0,(INT(MAX(0,Inputs!$B$43-B1093)/IF(Inputs!$B$38="pvp",15,MAX(0.1,Skills!D12-IF(Skills!E12=TRUE,1.0,0))))+1)),0)</f>
        <v/>
      </c>
      <c r="S1072">
        <f>IF(C1072,(H1072*N1072*IF(AND(Inputs!$B$38&lt;&gt;"pvp",Inputs!$B$43&gt;0),((Skills!F12*((R1072-1)*IF(Skills!G12&gt;0,Skills!H12/Skills!G12,1)+IF(Skills!G12&gt;0,MIN(Skills!H12,MAX(0,MAX(0,Inputs!$B$43-B1093)-((R1072-1)*IF(Inputs!$B$38="pvp",15,MAX(0.1,Skills!D12-IF(Skills!E12=TRUE,1.0,0))))))/Skills!G12,1)))/Inputs!$B$43),G1072*Q1072))*IF(Inputs!$B$38="pvp",1,1+(Inputs!$B$20+Skills!O12+B1087)/100),0)</f>
        <v/>
      </c>
      <c r="U1072">
        <f>IF(C1072,(H1072*N1072*IF(AND(Inputs!$B$38&lt;&gt;"pvp",Inputs!$B$43&gt;0),((Skills!F12*((R1072-1)*IF(Skills!G12&gt;0,Skills!H12/Skills!G12,1)+IF(Skills!G12&gt;0,MIN(Skills!H12,MAX(0,MAX(0,Inputs!$B$43-B1093)-((R1072-1)*IF(Inputs!$B$38="pvp",15,MAX(0.1,Skills!D12-IF(Skills!E12=TRUE,1.0,0))))))/Skills!G12,1)))/Inputs!$B$43),G1072*Q1072))*IF(Inputs!$B$38="pvp",1,(1+(Inputs!$B$21+Skills!P12+B1087)/100)*(MIN(Skills!Q12,Inputs!$B$37))),0)</f>
        <v/>
      </c>
    </row>
    <row r="1073">
      <c r="A1073">
        <f>Skills!A13</f>
        <v/>
      </c>
      <c r="B1073">
        <f>Skills!B13</f>
        <v/>
      </c>
      <c r="C1073">
        <f>Inputs!$B$3&gt;=49</f>
        <v/>
      </c>
      <c r="D1073">
        <f>IF(Skills!C13=1,60+Inputs!$B$25+Inputs!$B$29,IF(Skills!C13=2,90+Inputs!$B$26+Inputs!$B$29,IF(Skills!C13=3,120+Inputs!$B$27+Inputs!$B$29,MAX(0,(Inputs!$B$3-100)*3)+Inputs!$B$28+Inputs!$B$29)))</f>
        <v/>
      </c>
      <c r="E1073">
        <f>INDEX(FactorTable!$B$2:$Y$301, MATCH(ROUND(MIN(300,MAX(1,D1073)),0), FactorTable!$A$2:$A$301,0), Skills!L13+1)</f>
        <v/>
      </c>
      <c r="F1073">
        <f>IF(Skills!M13=TRUE,(Skills!K13/10)*(E1073/1000),Skills!K13/10)+Skills!N13</f>
        <v/>
      </c>
      <c r="G1073">
        <f>Calc!G13</f>
        <v/>
      </c>
      <c r="H1073">
        <f>Calc!H13</f>
        <v/>
      </c>
      <c r="I1073">
        <f>IF(Skills!T13&lt;&gt;"",1+(Skills!T13/10)*(Z1063/1000)/100,1)</f>
        <v/>
      </c>
      <c r="J1073" t="inlineStr"/>
      <c r="K1073" t="inlineStr"/>
      <c r="L1073" t="inlineStr"/>
      <c r="M1073" t="inlineStr"/>
      <c r="N1073" t="inlineStr"/>
      <c r="O1073">
        <f>(1-Summary!$B$51)*S1073+Summary!$B$51*U1073</f>
        <v/>
      </c>
      <c r="P1073">
        <f>IF(B1096=0,0,O1073/B1096)</f>
        <v/>
      </c>
      <c r="Q1073">
        <f>IFERROR(1/IF(Inputs!$B$38="pvp",15,MAX(0.1,Skills!D13-IF(Skills!E13=TRUE,1.0,0))),0)</f>
        <v/>
      </c>
      <c r="R1073" t="n">
        <v>0</v>
      </c>
      <c r="S1073" t="n">
        <v>0</v>
      </c>
      <c r="U1073" t="n">
        <v>0</v>
      </c>
    </row>
    <row r="1074">
      <c r="A1074">
        <f>Skills!A14</f>
        <v/>
      </c>
      <c r="B1074">
        <f>Skills!B14</f>
        <v/>
      </c>
      <c r="C1074">
        <f>Inputs!$B$3&gt;=72</f>
        <v/>
      </c>
      <c r="D1074">
        <f>IF(Skills!C14=1,60+Inputs!$B$25+Inputs!$B$29,IF(Skills!C14=2,90+Inputs!$B$26+Inputs!$B$29,IF(Skills!C14=3,120+Inputs!$B$27+Inputs!$B$29,MAX(0,(Inputs!$B$3-100)*3)+Inputs!$B$28+Inputs!$B$29)))</f>
        <v/>
      </c>
      <c r="E1074">
        <f>INDEX(FactorTable!$B$2:$Y$301, MATCH(ROUND(MIN(300,MAX(1,D1074)),0), FactorTable!$A$2:$A$301,0), Skills!L14+1)</f>
        <v/>
      </c>
      <c r="F1074">
        <f>IF(Skills!M14=TRUE,(Skills!K14/10)*(E1074/1000),Skills!K14/10)+Skills!N14</f>
        <v/>
      </c>
      <c r="G1074">
        <f>Calc!G14</f>
        <v/>
      </c>
      <c r="H1074">
        <f>Calc!H14</f>
        <v/>
      </c>
      <c r="I1074">
        <f>IF(Skills!T14&lt;&gt;"",1+(Skills!T14/10)*(Z1063/1000)/100,1)</f>
        <v/>
      </c>
      <c r="J1074" t="inlineStr"/>
      <c r="K1074" t="inlineStr"/>
      <c r="L1074" t="inlineStr"/>
      <c r="M1074" t="inlineStr"/>
      <c r="N1074" t="inlineStr"/>
      <c r="O1074">
        <f>(1-Summary!$B$51)*S1074+Summary!$B$51*U1074</f>
        <v/>
      </c>
      <c r="P1074">
        <f>IF(B1096=0,0,O1074/B1096)</f>
        <v/>
      </c>
      <c r="Q1074">
        <f>IFERROR(1/IF(Inputs!$B$38="pvp",15,MAX(0.1,Skills!D14-IF(Skills!E14=TRUE,1.0,0))),0)</f>
        <v/>
      </c>
      <c r="R1074" t="n">
        <v>0</v>
      </c>
      <c r="S1074" t="n">
        <v>0</v>
      </c>
      <c r="U1074" t="n">
        <v>0</v>
      </c>
    </row>
    <row r="1075">
      <c r="A1075">
        <f>Skills!A15</f>
        <v/>
      </c>
      <c r="B1075">
        <f>Skills!B15</f>
        <v/>
      </c>
      <c r="C1075">
        <f>Inputs!$B$3&gt;=75</f>
        <v/>
      </c>
      <c r="D1075">
        <f>IF(Skills!C15=1,60+Inputs!$B$25+Inputs!$B$29,IF(Skills!C15=2,90+Inputs!$B$26+Inputs!$B$29,IF(Skills!C15=3,120+Inputs!$B$27+Inputs!$B$29,MAX(0,(Inputs!$B$3-100)*3)+Inputs!$B$28+Inputs!$B$29)))</f>
        <v/>
      </c>
      <c r="E1075">
        <f>INDEX(FactorTable!$B$2:$Y$301, MATCH(ROUND(MIN(300,MAX(1,D1075)),0), FactorTable!$A$2:$A$301,0), Skills!L15+1)</f>
        <v/>
      </c>
      <c r="F1075">
        <f>IF(Skills!M15=TRUE,(Skills!K15/10)*(E1075/1000),Skills!K15/10)+Skills!N15</f>
        <v/>
      </c>
      <c r="G1075">
        <f>Calc!G15</f>
        <v/>
      </c>
      <c r="H1075">
        <f>Calc!H15</f>
        <v/>
      </c>
      <c r="I1075">
        <f>IF(Skills!T15&lt;&gt;"",1+(Skills!T15/10)*(Z1063/1000)/100,1)</f>
        <v/>
      </c>
      <c r="J1075" t="inlineStr"/>
      <c r="K1075" t="inlineStr"/>
      <c r="L1075" t="inlineStr"/>
      <c r="M1075" t="inlineStr"/>
      <c r="N1075" t="inlineStr"/>
      <c r="O1075">
        <f>(1-Summary!$B$51)*S1075+Summary!$B$51*U1075</f>
        <v/>
      </c>
      <c r="P1075">
        <f>IF(B1096=0,0,O1075/B1096)</f>
        <v/>
      </c>
      <c r="Q1075">
        <f>IFERROR(1/IF(Inputs!$B$38="pvp",15,MAX(0.1,Skills!D15-IF(Skills!E15=TRUE,1.0,0))),0)</f>
        <v/>
      </c>
      <c r="R1075" t="n">
        <v>0</v>
      </c>
      <c r="S1075" t="n">
        <v>0</v>
      </c>
      <c r="U1075" t="n">
        <v>0</v>
      </c>
    </row>
    <row r="1076">
      <c r="A1076">
        <f>Skills!A16</f>
        <v/>
      </c>
      <c r="B1076">
        <f>Skills!B16</f>
        <v/>
      </c>
      <c r="C1076">
        <f>Inputs!$B$3&gt;=110</f>
        <v/>
      </c>
      <c r="D1076">
        <f>IF(Skills!C16=1,60+Inputs!$B$25+Inputs!$B$29,IF(Skills!C16=2,90+Inputs!$B$26+Inputs!$B$29,IF(Skills!C16=3,120+Inputs!$B$27+Inputs!$B$29,MAX(0,(Inputs!$B$3-100)*3)+Inputs!$B$28+Inputs!$B$29)))</f>
        <v/>
      </c>
      <c r="E1076">
        <f>INDEX(FactorTable!$B$2:$Y$301, MATCH(ROUND(MIN(300,MAX(1,D1076)),0), FactorTable!$A$2:$A$301,0), Skills!L16+1)</f>
        <v/>
      </c>
      <c r="F1076">
        <f>(Skills!K16/10)*(E1076/1000)*64/45+Skills!N16</f>
        <v/>
      </c>
      <c r="G1076">
        <f>Calc!G16</f>
        <v/>
      </c>
      <c r="H1076">
        <f>Calc!H16</f>
        <v/>
      </c>
      <c r="I1076">
        <f>IF(Skills!T16&lt;&gt;"",1+(Skills!T16/10)*(Z1063/1000)/100,1)</f>
        <v/>
      </c>
      <c r="J1076" t="inlineStr"/>
      <c r="K1076" t="inlineStr"/>
      <c r="L1076" t="inlineStr"/>
      <c r="M1076" t="inlineStr"/>
      <c r="N1076" t="inlineStr"/>
      <c r="O1076">
        <f>(1-Summary!$B$51)*S1076+Summary!$B$51*U1076</f>
        <v/>
      </c>
      <c r="P1076">
        <f>IF(B1096=0,0,O1076/B1096)</f>
        <v/>
      </c>
      <c r="Q1076">
        <f>IFERROR(1/IF(Inputs!$B$38="pvp",15,MAX(0.1,Skills!D16-IF(Skills!E16=TRUE,1.0,0))),0)</f>
        <v/>
      </c>
      <c r="R1076">
        <f>IF(AND(Inputs!$B$38&lt;&gt;"pvp",Inputs!$B$43&gt;0),IF(Inputs!$B$43&lt;=0,0,(INT(Inputs!$B$43/IF(Inputs!$B$38="pvp",15,MAX(0.1,Skills!D16-IF(Skills!E16=TRUE,1.0,0))))+1)),0)</f>
        <v/>
      </c>
      <c r="S1076" t="n">
        <v>0</v>
      </c>
      <c r="U1076" t="n">
        <v>0</v>
      </c>
    </row>
    <row r="1077">
      <c r="A1077">
        <f>Skills!A17</f>
        <v/>
      </c>
      <c r="B1077">
        <f>Skills!B17</f>
        <v/>
      </c>
      <c r="C1077">
        <f>Inputs!$B$3&gt;=33</f>
        <v/>
      </c>
      <c r="D1077">
        <f>IF(Skills!C17=1,60+Inputs!$B$25+Inputs!$B$29,IF(Skills!C17=2,90+Inputs!$B$26+Inputs!$B$29,IF(Skills!C17=3,120+Inputs!$B$27+Inputs!$B$29,MAX(0,(Inputs!$B$3-100)*3)+Inputs!$B$28+Inputs!$B$29)))</f>
        <v/>
      </c>
      <c r="E1077">
        <f>INDEX(FactorTable!$B$2:$Y$301, MATCH(ROUND(MIN(300,MAX(1,D1077)),0), FactorTable!$A$2:$A$301,0), Skills!L17+1)</f>
        <v/>
      </c>
      <c r="F1077">
        <f>IF(Skills!M17=TRUE,(Skills!K17/10)*(E1077/1000),Skills!K17/10)+Skills!N17</f>
        <v/>
      </c>
      <c r="G1077">
        <f>Calc!G17</f>
        <v/>
      </c>
      <c r="H1077">
        <f>Calc!H17</f>
        <v/>
      </c>
      <c r="I1077">
        <f>IF(Skills!T17&lt;&gt;"",1+(Skills!T17/10)*(Z1063/1000)/100,1)</f>
        <v/>
      </c>
      <c r="J1077" t="inlineStr"/>
      <c r="K1077" t="inlineStr"/>
      <c r="L1077" t="inlineStr"/>
      <c r="M1077" t="inlineStr"/>
      <c r="N1077" t="inlineStr"/>
      <c r="O1077">
        <f>(1-Summary!$B$51)*S1077+Summary!$B$51*U1077</f>
        <v/>
      </c>
      <c r="P1077">
        <f>IF(B1096=0,0,O1077/B1096)</f>
        <v/>
      </c>
      <c r="Q1077">
        <f>IFERROR(1/IF(Inputs!$B$38="pvp",15,MAX(0.1,Skills!D17-IF(Skills!E17=TRUE,1.0,0))),0)</f>
        <v/>
      </c>
      <c r="R1077" t="n">
        <v>0</v>
      </c>
      <c r="S1077" t="n">
        <v>0</v>
      </c>
      <c r="U1077" t="n">
        <v>0</v>
      </c>
    </row>
    <row r="1078">
      <c r="A1078">
        <f>Skills!A18</f>
        <v/>
      </c>
      <c r="B1078">
        <f>Skills!B18</f>
        <v/>
      </c>
      <c r="C1078">
        <f>Inputs!$B$3&gt;=43</f>
        <v/>
      </c>
      <c r="D1078">
        <f>IF(Skills!C18=1,60+Inputs!$B$25+Inputs!$B$29,IF(Skills!C18=2,90+Inputs!$B$26+Inputs!$B$29,IF(Skills!C18=3,120+Inputs!$B$27+Inputs!$B$29,MAX(0,(Inputs!$B$3-100)*3)+Inputs!$B$28+Inputs!$B$29)))</f>
        <v/>
      </c>
      <c r="E1078">
        <f>INDEX(FactorTable!$B$2:$Y$301, MATCH(ROUND(MIN(300,MAX(1,D1078)),0), FactorTable!$A$2:$A$301,0), Skills!L18+1)</f>
        <v/>
      </c>
      <c r="F1078">
        <f>IF(Skills!M18=TRUE,(Skills!K18/10)*(E1078/1000),Skills!K18/10)+Skills!N18</f>
        <v/>
      </c>
      <c r="G1078">
        <f>Calc!G18</f>
        <v/>
      </c>
      <c r="H1078">
        <f>Calc!H18</f>
        <v/>
      </c>
      <c r="I1078">
        <f>IF(Skills!T18&lt;&gt;"",1+(Skills!T18/10)*(Z1063/1000)/100,1)</f>
        <v/>
      </c>
      <c r="J1078" t="inlineStr"/>
      <c r="K1078" t="inlineStr"/>
      <c r="L1078" t="inlineStr"/>
      <c r="M1078" t="inlineStr"/>
      <c r="N1078" t="inlineStr"/>
      <c r="O1078">
        <f>(1-Summary!$B$51)*S1078+Summary!$B$51*U1078</f>
        <v/>
      </c>
      <c r="P1078">
        <f>IF(B1096=0,0,O1078/B1096)</f>
        <v/>
      </c>
      <c r="Q1078">
        <f>IFERROR(1/IF(Inputs!$B$38="pvp",15,MAX(0.1,Skills!D18-IF(Skills!E18=TRUE,1.0,0))),0)</f>
        <v/>
      </c>
      <c r="R1078" t="n">
        <v>0</v>
      </c>
      <c r="S1078" t="n">
        <v>0</v>
      </c>
      <c r="U1078" t="n">
        <v>0</v>
      </c>
    </row>
    <row r="1079">
      <c r="A1079">
        <f>Skills!A19</f>
        <v/>
      </c>
      <c r="B1079">
        <f>Skills!B19</f>
        <v/>
      </c>
      <c r="C1079">
        <f>Inputs!$B$3&gt;=50</f>
        <v/>
      </c>
      <c r="D1079">
        <f>IF(Skills!C19=1,60+Inputs!$B$25+Inputs!$B$29,IF(Skills!C19=2,90+Inputs!$B$26+Inputs!$B$29,IF(Skills!C19=3,120+Inputs!$B$27+Inputs!$B$29,MAX(0,(Inputs!$B$3-100)*3)+Inputs!$B$28+Inputs!$B$29)))</f>
        <v/>
      </c>
      <c r="E1079">
        <f>INDEX(FactorTable!$B$2:$Y$301, MATCH(ROUND(MIN(300,MAX(1,D1079)),0), FactorTable!$A$2:$A$301,0), Skills!L19+1)</f>
        <v/>
      </c>
      <c r="F1079">
        <f>IF(Skills!M19=TRUE,(Skills!K19/10)*(E1079/1000),Skills!K19/10)+Skills!N19</f>
        <v/>
      </c>
      <c r="G1079">
        <f>Calc!G19</f>
        <v/>
      </c>
      <c r="H1079">
        <f>Calc!H19</f>
        <v/>
      </c>
      <c r="I1079">
        <f>IF(Skills!T19&lt;&gt;"",1+(Skills!T19/10)*(Z1063/1000)/100,1)</f>
        <v/>
      </c>
      <c r="J1079" t="inlineStr"/>
      <c r="K1079" t="inlineStr"/>
      <c r="L1079" t="inlineStr"/>
      <c r="M1079" t="inlineStr"/>
      <c r="N1079" t="inlineStr"/>
      <c r="O1079">
        <f>(1-Summary!$B$51)*S1079+Summary!$B$51*U1079</f>
        <v/>
      </c>
      <c r="P1079">
        <f>IF(B1096=0,0,O1079/B1096)</f>
        <v/>
      </c>
      <c r="Q1079">
        <f>IFERROR(1/IF(Inputs!$B$38="pvp",15,MAX(0.1,Skills!D19-IF(Skills!E19=TRUE,1.0,0))),0)</f>
        <v/>
      </c>
      <c r="R1079" t="n">
        <v>0</v>
      </c>
      <c r="S1079" t="n">
        <v>0</v>
      </c>
      <c r="U1079" t="n">
        <v>0</v>
      </c>
    </row>
    <row r="1080">
      <c r="A1080">
        <f>Skills!A20</f>
        <v/>
      </c>
      <c r="B1080">
        <f>Skills!B20</f>
        <v/>
      </c>
      <c r="C1080">
        <f>Inputs!$B$3&gt;=74</f>
        <v/>
      </c>
      <c r="D1080">
        <f>IF(Skills!C20=1,60+Inputs!$B$25+Inputs!$B$29,IF(Skills!C20=2,90+Inputs!$B$26+Inputs!$B$29,IF(Skills!C20=3,120+Inputs!$B$27+Inputs!$B$29,MAX(0,(Inputs!$B$3-100)*3)+Inputs!$B$28+Inputs!$B$29)))</f>
        <v/>
      </c>
      <c r="E1080">
        <f>INDEX(FactorTable!$B$2:$Y$301, MATCH(ROUND(MIN(300,MAX(1,D1080)),0), FactorTable!$A$2:$A$301,0), Skills!L20+1)</f>
        <v/>
      </c>
      <c r="F1080">
        <f>IF(Skills!M20=TRUE,(Skills!K20/10)*(E1080/1000),Skills!K20/10)+Skills!N20</f>
        <v/>
      </c>
      <c r="G1080">
        <f>Calc!G20</f>
        <v/>
      </c>
      <c r="H1080">
        <f>Calc!H20</f>
        <v/>
      </c>
      <c r="I1080">
        <f>IF(Skills!T20&lt;&gt;"",1+(Skills!T20/10)*(Z1063/1000)/100,1)</f>
        <v/>
      </c>
      <c r="J1080" t="inlineStr"/>
      <c r="K1080" t="inlineStr"/>
      <c r="L1080" t="inlineStr"/>
      <c r="M1080" t="inlineStr"/>
      <c r="N1080" t="inlineStr"/>
      <c r="O1080">
        <f>(1-Summary!$B$51)*S1080+Summary!$B$51*U1080</f>
        <v/>
      </c>
      <c r="P1080">
        <f>IF(B1096=0,0,O1080/B1096)</f>
        <v/>
      </c>
      <c r="Q1080">
        <f>IFERROR(1/IF(Inputs!$B$38="pvp",15,MAX(0.1,Skills!D20-IF(Skills!E20=TRUE,1.0,0))),0)</f>
        <v/>
      </c>
      <c r="R1080" t="n">
        <v>0</v>
      </c>
      <c r="S1080" t="n">
        <v>0</v>
      </c>
      <c r="U1080" t="n">
        <v>0</v>
      </c>
    </row>
    <row r="1081">
      <c r="A1081">
        <f>Skills!A21</f>
        <v/>
      </c>
      <c r="B1081">
        <f>Skills!B21</f>
        <v/>
      </c>
      <c r="C1081">
        <f>Inputs!$B$3&gt;=74</f>
        <v/>
      </c>
      <c r="D1081">
        <f>IF(Skills!C21=1,60+Inputs!$B$25+Inputs!$B$29,IF(Skills!C21=2,90+Inputs!$B$26+Inputs!$B$29,IF(Skills!C21=3,120+Inputs!$B$27+Inputs!$B$29,MAX(0,(Inputs!$B$3-100)*3)+Inputs!$B$28+Inputs!$B$29)))</f>
        <v/>
      </c>
      <c r="E1081">
        <f>INDEX(FactorTable!$B$2:$Y$301, MATCH(ROUND(MIN(300,MAX(1,D1081)),0), FactorTable!$A$2:$A$301,0), Skills!L21+1)</f>
        <v/>
      </c>
      <c r="F1081">
        <f>IF(Skills!M21=TRUE,(Skills!K21/10)*(E1081/1000),Skills!K21/10)+Skills!N21</f>
        <v/>
      </c>
      <c r="G1081">
        <f>Calc!G21</f>
        <v/>
      </c>
      <c r="H1081">
        <f>Calc!H21</f>
        <v/>
      </c>
      <c r="I1081">
        <f>IF(Skills!T21&lt;&gt;"",1+(Skills!T21/10)*(Z1063/1000)/100,1)</f>
        <v/>
      </c>
      <c r="J1081" t="inlineStr"/>
      <c r="K1081" t="inlineStr"/>
      <c r="L1081" t="inlineStr"/>
      <c r="M1081" t="inlineStr"/>
      <c r="N1081" t="inlineStr"/>
      <c r="O1081">
        <f>(1-Summary!$B$51)*S1081+Summary!$B$51*U1081</f>
        <v/>
      </c>
      <c r="P1081">
        <f>IF(B1096=0,0,O1081/B1096)</f>
        <v/>
      </c>
      <c r="Q1081">
        <f>IFERROR(1/IF(Inputs!$B$38="pvp",15,MAX(0.1,Skills!D21-IF(Skills!E21=TRUE,1.0,0))),0)</f>
        <v/>
      </c>
      <c r="R1081" t="n">
        <v>0</v>
      </c>
      <c r="S1081" t="n">
        <v>0</v>
      </c>
      <c r="U1081" t="n">
        <v>0</v>
      </c>
    </row>
    <row r="1082">
      <c r="A1082">
        <f>Skills!A22</f>
        <v/>
      </c>
      <c r="B1082">
        <f>Skills!B22</f>
        <v/>
      </c>
      <c r="C1082">
        <f>Inputs!$B$3&gt;=117</f>
        <v/>
      </c>
      <c r="D1082">
        <f>IF(Skills!C22=1,60+Inputs!$B$25+Inputs!$B$29,IF(Skills!C22=2,90+Inputs!$B$26+Inputs!$B$29,IF(Skills!C22=3,120+Inputs!$B$27+Inputs!$B$29,MAX(0,(Inputs!$B$3-100)*3)+Inputs!$B$28+Inputs!$B$29)))</f>
        <v/>
      </c>
      <c r="E1082">
        <f>INDEX(FactorTable!$B$2:$Y$301, MATCH(ROUND(MIN(300,MAX(1,D1082)),0), FactorTable!$A$2:$A$301,0), Skills!L22+1)</f>
        <v/>
      </c>
      <c r="F1082">
        <f>IF(Skills!M22=TRUE,(Skills!K22/10)*(E1082/1000),Skills!K22/10)+Skills!N22</f>
        <v/>
      </c>
      <c r="G1082">
        <f>Calc!G22</f>
        <v/>
      </c>
      <c r="H1082">
        <f>Calc!H22</f>
        <v/>
      </c>
      <c r="I1082">
        <f>IF(Skills!T22&lt;&gt;"",1+(Skills!T22/10)*(Z1063/1000)/100,1)</f>
        <v/>
      </c>
      <c r="J1082" t="inlineStr"/>
      <c r="K1082" t="inlineStr"/>
      <c r="L1082" t="inlineStr"/>
      <c r="M1082" t="inlineStr"/>
      <c r="N1082" t="inlineStr"/>
      <c r="O1082">
        <f>(1-Summary!$B$51)*S1082+Summary!$B$51*U1082</f>
        <v/>
      </c>
      <c r="P1082">
        <f>IF(B1096=0,0,O1082/B1096)</f>
        <v/>
      </c>
      <c r="Q1082">
        <f>IFERROR(1/IF(Inputs!$B$38="pvp",15,MAX(0.1,Skills!D22-IF(Skills!E22=TRUE,1.0,0))),0)</f>
        <v/>
      </c>
      <c r="R1082" t="n">
        <v>0</v>
      </c>
      <c r="S1082" t="n">
        <v>0</v>
      </c>
      <c r="U1082" t="n">
        <v>0</v>
      </c>
    </row>
    <row r="1083">
      <c r="A1083">
        <f>Skills!A23</f>
        <v/>
      </c>
      <c r="B1083">
        <f>Skills!B23</f>
        <v/>
      </c>
      <c r="C1083">
        <f>Inputs!$B$3&gt;=120</f>
        <v/>
      </c>
      <c r="D1083">
        <f>IF(Skills!C23=1,60+Inputs!$B$25+Inputs!$B$29,IF(Skills!C23=2,90+Inputs!$B$26+Inputs!$B$29,IF(Skills!C23=3,120+Inputs!$B$27+Inputs!$B$29,MAX(0,(Inputs!$B$3-100)*3)+Inputs!$B$28+Inputs!$B$29)))</f>
        <v/>
      </c>
      <c r="E1083">
        <f>INDEX(FactorTable!$B$2:$Y$301, MATCH(ROUND(MIN(300,MAX(1,D1083)),0), FactorTable!$A$2:$A$301,0), Skills!L23+1)</f>
        <v/>
      </c>
      <c r="F1083">
        <f>IF(Skills!M23=TRUE,(Skills!K23/10)*(E1083/1000),Skills!K23/10)+Skills!N23</f>
        <v/>
      </c>
      <c r="G1083">
        <f>Calc!G23</f>
        <v/>
      </c>
      <c r="H1083">
        <f>Calc!H23</f>
        <v/>
      </c>
      <c r="I1083">
        <f>IF(Skills!T23&lt;&gt;"",1+(Skills!T23/10)*(Z1063/1000)/100,1)</f>
        <v/>
      </c>
      <c r="J1083" t="inlineStr"/>
      <c r="K1083" t="inlineStr"/>
      <c r="L1083" t="inlineStr"/>
      <c r="M1083" t="inlineStr"/>
      <c r="N1083" t="inlineStr"/>
      <c r="O1083">
        <f>(1-Summary!$B$51)*S1083+Summary!$B$51*U1083</f>
        <v/>
      </c>
      <c r="P1083">
        <f>IF(B1096=0,0,O1083/B1096)</f>
        <v/>
      </c>
      <c r="Q1083">
        <f>IFERROR(1/IF(Inputs!$B$38="pvp",15,MAX(0.1,Skills!D23-IF(Skills!E23=TRUE,1.0,0))),0)</f>
        <v/>
      </c>
      <c r="R1083" t="n">
        <v>0</v>
      </c>
      <c r="S1083" t="n">
        <v>0</v>
      </c>
      <c r="U1083" t="n">
        <v>0</v>
      </c>
    </row>
    <row r="1086">
      <c r="A1086" t="inlineStr">
        <is>
          <t>Average Buff Multiplier (Magic Guard + Meditation, summed; then Infinity)</t>
        </is>
      </c>
      <c r="B1086">
        <f>(1+(IF(C1063=TRUE,F1063*IF(AND(Inputs!$B$38&lt;&gt;"pvp",Inputs!$B$43&gt;0),(((R1063-1)*(Skills!S3*(1+(Inputs!$B$34+IF(Inputs!$B$3&gt;=117,F1082,0))/100))+MIN((Skills!S3*(1+(Inputs!$B$34+IF(Inputs!$B$3&gt;=117,F1082,0))/100)),MAX(0,Inputs!$B$43-((R1063-1)*Skills!D3))))/Inputs!$B$43),IF(Inputs!$B$38="pvp",MIN((Skills!S3*(1+(Inputs!$B$34+IF(Inputs!$B$3&gt;=117,F1082,0))/100)),15)/15,(Skills!S3*(1+(Inputs!$B$34+IF(Inputs!$B$3&gt;=117,F1082,0))/100))/Skills!D3)),0)+IF(C1064=TRUE,F1064*IF(AND(Inputs!$B$38&lt;&gt;"pvp",Inputs!$B$43&gt;0),(((R1064-1)*(Skills!S4*(1+(Inputs!$B$34+IF(Inputs!$B$3&gt;=117,F1082,0))/100))+MIN((Skills!S4*(1+(Inputs!$B$34+IF(Inputs!$B$3&gt;=117,F1082,0))/100)),MAX(0,Inputs!$B$43-((R1064-1)*Skills!D4))))/Inputs!$B$43),IF(Inputs!$B$38="pvp",MIN((Skills!S4*(1+(Inputs!$B$34+IF(Inputs!$B$3&gt;=117,F1082,0))/100)),15)/15,(Skills!S4*(1+(Inputs!$B$34+IF(Inputs!$B$3&gt;=117,F1082,0))/100))/Skills!D4)),0))/100)*IF(C1076=TRUE,(1+F1076*IF(AND(Inputs!$B$38&lt;&gt;"pvp",Inputs!$B$43&gt;0),(((R1076-1)*(Skills!S16*(1+(Inputs!$B$34+IF(Inputs!$B$3&gt;=117,F1082,0))/100))+MIN((Skills!S16*(1+(Inputs!$B$34+IF(Inputs!$B$3&gt;=117,F1082,0))/100)),MAX(0,Inputs!$B$43-((R1076-1)*Skills!D16))))/Inputs!$B$43),IF(Inputs!$B$38="pvp",MIN((Skills!S16*(1+(Inputs!$B$34+IF(Inputs!$B$3&gt;=117,F1082,0))/100)),15)/15,(Skills!S16*(1+(Inputs!$B$34+IF(Inputs!$B$3&gt;=117,F1082,0))/100))/Skills!D16))/100),1)</f>
        <v/>
      </c>
    </row>
    <row r="1087">
      <c r="A1087" t="inlineStr">
        <is>
          <t>Monster Damage Taken Bonus % (Freezing Breath - Weaken + Elemental Reset, summed)</t>
        </is>
      </c>
      <c r="B1087">
        <f>IF(Inputs!$B$3&gt;=118,15*IF(Inputs!$B$38="pvp",MIN((30*(1+(Inputs!$B$34+IF(Inputs!$B$3&gt;=117,F1082,0))/100)),15)/15,(30*(1+(Inputs!$B$34+IF(Inputs!$B$3&gt;=117,F1082,0))/100))/Skills!D8),0)+IF(C1074=TRUE,F1074,0)</f>
        <v/>
      </c>
    </row>
    <row r="1088">
      <c r="A1088" t="inlineStr">
        <is>
          <t>Damage % Bonus (Frozen Break + Frost Clutch, flat)</t>
        </is>
      </c>
      <c r="B1088">
        <f>IF(Inputs!$B$3&gt;=66,15,0)+IF(Inputs!$B$3&gt;=98,10,0)+IF(Inputs!$B$3&gt;=125,20,0)</f>
        <v/>
      </c>
    </row>
    <row r="1089">
      <c r="A1089" t="inlineStr">
        <is>
          <t>Attack Speed Bonus % (MP Eater - MP Boost, always-on once unlocked)</t>
        </is>
      </c>
      <c r="B1089">
        <f>IF(C1073=TRUE,F1073+(F1077-Calc!F17),0)</f>
        <v/>
      </c>
    </row>
    <row r="1090">
      <c r="A1090" t="inlineStr">
        <is>
          <t>Actions Per Second</t>
        </is>
      </c>
      <c r="B1090">
        <f>1+MIN(150,150*(1-(1-Inputs!$B$11/150)*(1-B1089/150)))/100</f>
        <v/>
      </c>
    </row>
    <row r="1091">
      <c r="A1091" t="inlineStr">
        <is>
          <t>Skill + Buff Cast Rate</t>
        </is>
      </c>
      <c r="B1091">
        <f>IF(AND(Inputs!$B$38&lt;&gt;"pvp",Inputs!$B$43&gt;0),SUMPRODUCT((Skills!E2:E23=TRUE)*(C1062:C1083=TRUE)*R1062:R1083)/Inputs!$B$43,SUMPRODUCT((Skills!E2:E23=TRUE)*(C1062:C1083=TRUE)*Q1062:Q1083))</f>
        <v/>
      </c>
    </row>
    <row r="1092">
      <c r="A1092" t="inlineStr">
        <is>
          <t>Chain Lightning Casts Per Second</t>
        </is>
      </c>
      <c r="B1092">
        <f>MAX(0,B1090-B1091)</f>
        <v/>
      </c>
    </row>
    <row r="1093">
      <c r="A1093" t="inlineStr">
        <is>
          <t>Buff-Casting Startup Delay (s, fixed-duration only)</t>
        </is>
      </c>
      <c r="B1093">
        <f>IF(AND(Inputs!$B$38&lt;&gt;"pvp",Inputs!$B$43&gt;0),SUMPRODUCT((Skills!S2:S23&gt;0)*(Skills!E2:E23=TRUE)*(C1062:C1083=TRUE))/B1090,0)</f>
        <v/>
      </c>
    </row>
    <row r="1094">
      <c r="A1094" t="inlineStr">
        <is>
          <t>Boss-Only Total DPS (this block's swept value)</t>
        </is>
      </c>
      <c r="B1094">
        <f>SUM(S1062:S1083)</f>
        <v/>
      </c>
    </row>
    <row r="1095">
      <c r="A1095" t="inlineStr">
        <is>
          <t>Normal-Only Total DPS (this block's swept value)</t>
        </is>
      </c>
      <c r="B1095">
        <f>SUM(U1062:U1083)</f>
        <v/>
      </c>
    </row>
    <row r="1096">
      <c r="A1096" s="5" t="inlineStr">
        <is>
          <t>TOTAL DPS</t>
        </is>
      </c>
      <c r="B1096" s="5">
        <f>SUM(O1062:O1083)</f>
        <v/>
      </c>
    </row>
    <row r="1099">
      <c r="A1099" s="5" t="inlineStr">
        <is>
          <t>Stat: CDR = 1.5s</t>
        </is>
      </c>
    </row>
    <row r="1100">
      <c r="A1100" s="9" t="inlineStr">
        <is>
          <t>Key</t>
        </is>
      </c>
      <c r="B1100" s="9" t="inlineStr">
        <is>
          <t>Name</t>
        </is>
      </c>
      <c r="C1100" s="9" t="inlineStr">
        <is>
          <t>Unlocked</t>
        </is>
      </c>
      <c r="D1100" s="9" t="inlineStr">
        <is>
          <t>InputLevel</t>
        </is>
      </c>
      <c r="E1100" s="9" t="inlineStr">
        <is>
          <t>Factor</t>
        </is>
      </c>
      <c r="F1100" s="9" t="inlineStr">
        <is>
          <t>CoefficientPercent</t>
        </is>
      </c>
      <c r="G1100" s="9" t="inlineStr">
        <is>
          <t>EffectiveHits</t>
        </is>
      </c>
      <c r="H1100" s="9" t="inlineStr">
        <is>
          <t>ProcProbability</t>
        </is>
      </c>
      <c r="I1100" s="9" t="inlineStr">
        <is>
          <t>MapleHeroMultiplier</t>
        </is>
      </c>
      <c r="J1100" s="9" t="inlineStr">
        <is>
          <t>BaseDamage</t>
        </is>
      </c>
      <c r="K1100" s="9" t="inlineStr">
        <is>
          <t>BaseHitDamage</t>
        </is>
      </c>
      <c r="L1100" s="9" t="inlineStr">
        <is>
          <t>NonCritAvg</t>
        </is>
      </c>
      <c r="M1100" s="9" t="inlineStr">
        <is>
          <t>CritAvg</t>
        </is>
      </c>
      <c r="N1100" s="9" t="inlineStr">
        <is>
          <t>ExpectedDamage(perHit)</t>
        </is>
      </c>
      <c r="O1100" s="9" t="inlineStr">
        <is>
          <t>DPS</t>
        </is>
      </c>
      <c r="P1100" s="9" t="inlineStr">
        <is>
          <t>% of Total</t>
        </is>
      </c>
      <c r="R1100" t="inlineStr">
        <is>
          <t>helpers</t>
        </is>
      </c>
    </row>
    <row r="1101">
      <c r="A1101">
        <f>Skills!A2</f>
        <v/>
      </c>
      <c r="B1101">
        <f>Skills!B2</f>
        <v/>
      </c>
      <c r="C1101">
        <f>Inputs!$B$3&gt;=100</f>
        <v/>
      </c>
      <c r="D1101" t="inlineStr"/>
      <c r="E1101" t="inlineStr"/>
      <c r="F1101">
        <f>T1103+Skills!N2</f>
        <v/>
      </c>
      <c r="G1101">
        <f>Calc!G2</f>
        <v/>
      </c>
      <c r="H1101">
        <f>Calc!H2</f>
        <v/>
      </c>
      <c r="I1101">
        <f>IF(Skills!T2&lt;&gt;"",1+(Skills!T2/10)*(Z1102/1000)/100,1)</f>
        <v/>
      </c>
      <c r="J1101">
        <f>((Inputs!$B$6*(1+Inputs!$B$7/100))+(((Inputs!$B$12*(1+Inputs!$B$13/100))-(Inputs!$B$12*(1+Inputs!$B$13/100)))+0.25*(Inputs!$B$14-Inputs!$B$14))*(1+Inputs!$B$7/100))*(F1101/100)</f>
        <v/>
      </c>
      <c r="K1101">
        <f>J1101*(1+((Inputs!$B$12*(1+Inputs!$B$13/100))*0.01+Inputs!$B$14*0.0025)/100)*(1+(Inputs!$B$15+B1127)/100)*(1+Inputs!$B$16/100)*(5000/(6000+Inputs!$B$42*(1-Inputs!$B$19/100)))*(1+Inputs!$B$24/100)*(1+IF(C1114=TRUE,F1114,0)/100)*(1+IF(C1122=TRUE,F1122,0)/100)^5*(1+(IF(Skills!A2="CHAIN_LIGHTNING",Inputs!$B$17,Inputs!$B$18))/100)*(B1125*I1101)</f>
        <v/>
      </c>
      <c r="L1101">
        <f>K1101*(MIN(Inputs!$B$22+(F1117-Calc!F18),Inputs!$B$23)/100+Inputs!$B$23/100)/2</f>
        <v/>
      </c>
      <c r="M1101">
        <f>L1101*(1+(Inputs!$B$10+(F1120-Calc!F21))/100)</f>
        <v/>
      </c>
      <c r="N1101">
        <f>L1101*(1-MIN(Inputs!$B$9+((F1119-Calc!F20)+(F1118-Calc!F19)),100)/100)+M1101*(MIN(Inputs!$B$9+((F1119-Calc!F20)+(F1118-Calc!F19)),100)/100)</f>
        <v/>
      </c>
      <c r="O1101">
        <f>(1-Summary!$B$51)*S1101+Summary!$B$51*U1101</f>
        <v/>
      </c>
      <c r="P1101">
        <f>IF(B1135=0,0,O1101/B1135)</f>
        <v/>
      </c>
      <c r="Q1101">
        <f>IFERROR(1/IF(Inputs!$B$38="pvp",15,MAX(0.1,Skills!D2-IF(Skills!E2=TRUE,1.5,0))),0)</f>
        <v/>
      </c>
      <c r="R1101" t="n">
        <v>0</v>
      </c>
      <c r="S1101">
        <f>IF(C1101,(Skills!F2*N1101*B1131)*IF(Inputs!$B$38="pvp",1,1+(Inputs!$B$20+Skills!O2+B1126)/100),0)</f>
        <v/>
      </c>
      <c r="T1101">
        <f>MAX(0,(Inputs!$B$3-100)*3)+Inputs!$B$28+Inputs!$B$29</f>
        <v/>
      </c>
      <c r="U1101">
        <f>IF(C1101,(Skills!F2*N1101*B1131)*IF(Inputs!$B$38="pvp",1,(1+(Inputs!$B$21+Skills!P2+B1126)/100)*(MIN((6+Inputs!$B$33),Inputs!$B$37))),0)</f>
        <v/>
      </c>
      <c r="Z1101">
        <f>MAX(0,(Inputs!$B$3-100)*3)+Inputs!$B$28+Inputs!$B$29</f>
        <v/>
      </c>
    </row>
    <row r="1102">
      <c r="A1102">
        <f>Skills!A3</f>
        <v/>
      </c>
      <c r="B1102">
        <f>Skills!B3</f>
        <v/>
      </c>
      <c r="C1102">
        <f>Inputs!$B$3&gt;=15</f>
        <v/>
      </c>
      <c r="D1102">
        <f>IF(Skills!C3=1,60+Inputs!$B$25+Inputs!$B$29,IF(Skills!C3=2,90+Inputs!$B$26+Inputs!$B$29,IF(Skills!C3=3,120+Inputs!$B$27+Inputs!$B$29,MAX(0,(Inputs!$B$3-100)*3)+Inputs!$B$28+Inputs!$B$29)))</f>
        <v/>
      </c>
      <c r="E1102">
        <f>INDEX(FactorTable!$B$2:$Y$301, MATCH(ROUND(MIN(300,MAX(1,D1102)),0), FactorTable!$A$2:$A$301,0), Skills!L3+1)</f>
        <v/>
      </c>
      <c r="F1102">
        <f>IF(Skills!M3=TRUE,(Skills!K3/10)*(E1102/1000),Skills!K3/10)+Skills!N3</f>
        <v/>
      </c>
      <c r="G1102">
        <f>Calc!G3</f>
        <v/>
      </c>
      <c r="H1102">
        <f>Calc!H3</f>
        <v/>
      </c>
      <c r="I1102">
        <f>IF(Skills!T3&lt;&gt;"",1+(Skills!T3/10)*(Z1102/1000)/100,1)</f>
        <v/>
      </c>
      <c r="J1102" t="inlineStr"/>
      <c r="K1102" t="inlineStr"/>
      <c r="L1102" t="inlineStr"/>
      <c r="M1102" t="inlineStr"/>
      <c r="N1102" t="inlineStr"/>
      <c r="O1102">
        <f>(1-Summary!$B$51)*S1102+Summary!$B$51*U1102</f>
        <v/>
      </c>
      <c r="P1102">
        <f>IF(B1135=0,0,O1102/B1135)</f>
        <v/>
      </c>
      <c r="Q1102">
        <f>IFERROR(1/IF(Inputs!$B$38="pvp",15,MAX(0.1,Skills!D3-IF(Skills!E3=TRUE,1.5,0))),0)</f>
        <v/>
      </c>
      <c r="R1102">
        <f>IF(AND(Inputs!$B$38&lt;&gt;"pvp",Inputs!$B$43&gt;0),IF(Inputs!$B$43&lt;=0,0,(INT(Inputs!$B$43/IF(Inputs!$B$38="pvp",15,MAX(0.1,Skills!D3-IF(Skills!E3=TRUE,1.5,0))))+1)),0)</f>
        <v/>
      </c>
      <c r="S1102" t="n">
        <v>0</v>
      </c>
      <c r="T1102">
        <f>INDEX(FactorTable!$B$2:$Y$301, MATCH(ROUND(MIN(300,MAX(1,T1101)),0), FactorTable!$A$2:$A$301,0), 22)</f>
        <v/>
      </c>
      <c r="U1102" t="n">
        <v>0</v>
      </c>
      <c r="Z1102">
        <f>INDEX(FactorTable!$B$2:$Y$301, MATCH(ROUND(MIN(300,MAX(1,Z1101)),0), FactorTable!$A$2:$A$301,0), 24)</f>
        <v/>
      </c>
    </row>
    <row r="1103">
      <c r="A1103">
        <f>Skills!A4</f>
        <v/>
      </c>
      <c r="B1103">
        <f>Skills!B4</f>
        <v/>
      </c>
      <c r="C1103">
        <f>Inputs!$B$3&gt;=40</f>
        <v/>
      </c>
      <c r="D1103">
        <f>IF(Skills!C4=1,60+Inputs!$B$25+Inputs!$B$29,IF(Skills!C4=2,90+Inputs!$B$26+Inputs!$B$29,IF(Skills!C4=3,120+Inputs!$B$27+Inputs!$B$29,MAX(0,(Inputs!$B$3-100)*3)+Inputs!$B$28+Inputs!$B$29)))</f>
        <v/>
      </c>
      <c r="E1103">
        <f>INDEX(FactorTable!$B$2:$Y$301, MATCH(ROUND(MIN(300,MAX(1,D1103)),0), FactorTable!$A$2:$A$301,0), Skills!L4+1)</f>
        <v/>
      </c>
      <c r="F1103">
        <f>IF(Skills!M4=TRUE,(Skills!K4/10)*(E1103/1000),Skills!K4/10)+Skills!N4</f>
        <v/>
      </c>
      <c r="G1103">
        <f>Calc!G4</f>
        <v/>
      </c>
      <c r="H1103">
        <f>Calc!H4</f>
        <v/>
      </c>
      <c r="I1103">
        <f>IF(Skills!T4&lt;&gt;"",1+(Skills!T4/10)*(Z1102/1000)/100,1)</f>
        <v/>
      </c>
      <c r="J1103" t="inlineStr"/>
      <c r="K1103" t="inlineStr"/>
      <c r="L1103" t="inlineStr"/>
      <c r="M1103" t="inlineStr"/>
      <c r="N1103" t="inlineStr"/>
      <c r="O1103">
        <f>(1-Summary!$B$51)*S1103+Summary!$B$51*U1103</f>
        <v/>
      </c>
      <c r="P1103">
        <f>IF(B1135=0,0,O1103/B1135)</f>
        <v/>
      </c>
      <c r="Q1103">
        <f>IFERROR(1/IF(Inputs!$B$38="pvp",15,MAX(0.1,Skills!D4-IF(Skills!E4=TRUE,1.5,0))),0)</f>
        <v/>
      </c>
      <c r="R1103">
        <f>IF(AND(Inputs!$B$38&lt;&gt;"pvp",Inputs!$B$43&gt;0),IF(Inputs!$B$43&lt;=0,0,(INT(Inputs!$B$43/IF(Inputs!$B$38="pvp",15,MAX(0.1,Skills!D4-IF(Skills!E4=TRUE,1.5,0))))+1)),0)</f>
        <v/>
      </c>
      <c r="S1103" t="n">
        <v>0</v>
      </c>
      <c r="T1103">
        <f>290*T1102/1000</f>
        <v/>
      </c>
      <c r="U1103" t="n">
        <v>0</v>
      </c>
    </row>
    <row r="1104">
      <c r="A1104">
        <f>Skills!A5</f>
        <v/>
      </c>
      <c r="B1104">
        <f>Skills!B5</f>
        <v/>
      </c>
      <c r="C1104">
        <f>Inputs!$B$3&gt;=38</f>
        <v/>
      </c>
      <c r="D1104">
        <f>IF(Skills!C5=1,60+Inputs!$B$25+Inputs!$B$29,IF(Skills!C5=2,90+Inputs!$B$26+Inputs!$B$29,IF(Skills!C5=3,120+Inputs!$B$27+Inputs!$B$29,MAX(0,(Inputs!$B$3-100)*3)+Inputs!$B$28+Inputs!$B$29)))</f>
        <v/>
      </c>
      <c r="E1104">
        <f>INDEX(FactorTable!$B$2:$Y$301, MATCH(ROUND(MIN(300,MAX(1,D1104)),0), FactorTable!$A$2:$A$301,0), Skills!L5+1)</f>
        <v/>
      </c>
      <c r="F1104">
        <f>IF(Skills!M5=TRUE,(Skills!K5/10)*(E1104/1000),Skills!K5/10)+Skills!N5</f>
        <v/>
      </c>
      <c r="G1104">
        <f>Calc!G5</f>
        <v/>
      </c>
      <c r="H1104">
        <f>Calc!H5</f>
        <v/>
      </c>
      <c r="I1104">
        <f>IF(Skills!T5&lt;&gt;"",1+(Skills!T5/10)*(Z1102/1000)/100,1)</f>
        <v/>
      </c>
      <c r="J1104">
        <f>((Inputs!$B$6*(1+Inputs!$B$7/100))+(((Inputs!$B$12*(1+Inputs!$B$13/100))-(Inputs!$B$12*(1+Inputs!$B$13/100)))+0.25*(Inputs!$B$14-Inputs!$B$14))*(1+Inputs!$B$7/100))*(F1104/100)</f>
        <v/>
      </c>
      <c r="K1104">
        <f>J1104*(1+((Inputs!$B$12*(1+Inputs!$B$13/100))*0.01+Inputs!$B$14*0.0025)/100)*(1+(Inputs!$B$15+B1127)/100)*(1+Inputs!$B$16/100)*(5000/(6000+Inputs!$B$42*(1-Inputs!$B$19/100)))*(1+Inputs!$B$24/100)*(1+IF(C1114=TRUE,F1114,0)/100)*(1+IF(C1122=TRUE,F1122,0)/100)^5*(1+(IF(Skills!A5="CHAIN_LIGHTNING",Inputs!$B$17,Inputs!$B$18))/100)*(B1125*I1104)</f>
        <v/>
      </c>
      <c r="L1104">
        <f>K1104*(MIN(Inputs!$B$22+(F1117-Calc!F18),Inputs!$B$23)/100+Inputs!$B$23/100)/2</f>
        <v/>
      </c>
      <c r="M1104">
        <f>L1104*(1+(Inputs!$B$10+(F1120-Calc!F21))/100)</f>
        <v/>
      </c>
      <c r="N1104">
        <f>L1104*(1-MIN(Inputs!$B$9+((F1119-Calc!F20)+(F1118-Calc!F19)),100)/100)+M1104*(MIN(Inputs!$B$9+((F1119-Calc!F20)+(F1118-Calc!F19)),100)/100)</f>
        <v/>
      </c>
      <c r="O1104">
        <f>(1-Summary!$B$51)*S1104+Summary!$B$51*U1104</f>
        <v/>
      </c>
      <c r="P1104">
        <f>IF(B1135=0,0,O1104/B1135)</f>
        <v/>
      </c>
      <c r="Q1104">
        <f>IFERROR(1/IF(Inputs!$B$38="pvp",15,MAX(0.1,Skills!D5-IF(Skills!E5=TRUE,1.5,0))),0)</f>
        <v/>
      </c>
      <c r="R1104">
        <f>IF(AND(Inputs!$B$38&lt;&gt;"pvp",Inputs!$B$43&gt;0),IF(MAX(0,Inputs!$B$43-B1132)&lt;=0,0,(INT(MAX(0,Inputs!$B$43-B1132)/IF(Inputs!$B$38="pvp",15,MAX(0.1,Skills!D5-IF(Skills!E5=TRUE,1.5,0))))+1)),0)</f>
        <v/>
      </c>
      <c r="S1104">
        <f>IF(C1104,(H1104*N1104*IF(AND(Inputs!$B$38&lt;&gt;"pvp",Inputs!$B$43&gt;0),((Skills!F5*((R1104-1)*IF(Skills!G5&gt;0,Skills!H5/Skills!G5,1)+IF(Skills!G5&gt;0,MIN(Skills!H5,MAX(0,MAX(0,Inputs!$B$43-B1132)-((R1104-1)*IF(Inputs!$B$38="pvp",15,MAX(0.1,Skills!D5-IF(Skills!E5=TRUE,1.5,0))))))/Skills!G5,1)))/Inputs!$B$43),G1104*Q1104))*IF(Inputs!$B$38="pvp",1,1+(Inputs!$B$20+Skills!O5+B1126)/100),0)</f>
        <v/>
      </c>
      <c r="U1104">
        <f>IF(C1104,(H1104*N1104*IF(AND(Inputs!$B$38&lt;&gt;"pvp",Inputs!$B$43&gt;0),((Skills!F5*((R1104-1)*IF(Skills!G5&gt;0,Skills!H5/Skills!G5,1)+IF(Skills!G5&gt;0,MIN(Skills!H5,MAX(0,MAX(0,Inputs!$B$43-B1132)-((R1104-1)*IF(Inputs!$B$38="pvp",15,MAX(0.1,Skills!D5-IF(Skills!E5=TRUE,1.5,0))))))/Skills!G5,1)))/Inputs!$B$43),G1104*Q1104))*IF(Inputs!$B$38="pvp",1,(1+(Inputs!$B$21+Skills!P5+B1126)/100)*(MIN(Skills!Q5,Inputs!$B$37))),0)</f>
        <v/>
      </c>
    </row>
    <row r="1105">
      <c r="A1105">
        <f>Skills!A6</f>
        <v/>
      </c>
      <c r="B1105">
        <f>Skills!B6</f>
        <v/>
      </c>
      <c r="C1105">
        <f>Inputs!$B$3&gt;=63</f>
        <v/>
      </c>
      <c r="D1105">
        <f>IF(Skills!C6=1,60+Inputs!$B$25+Inputs!$B$29,IF(Skills!C6=2,90+Inputs!$B$26+Inputs!$B$29,IF(Skills!C6=3,120+Inputs!$B$27+Inputs!$B$29,MAX(0,(Inputs!$B$3-100)*3)+Inputs!$B$28+Inputs!$B$29)))</f>
        <v/>
      </c>
      <c r="E1105">
        <f>INDEX(FactorTable!$B$2:$Y$301, MATCH(ROUND(MIN(300,MAX(1,D1105)),0), FactorTable!$A$2:$A$301,0), Skills!L6+1)</f>
        <v/>
      </c>
      <c r="F1105">
        <f>IF(Skills!M6=TRUE,(Skills!K6/10)*(E1105/1000),Skills!K6/10)+Skills!N6</f>
        <v/>
      </c>
      <c r="G1105">
        <f>Calc!G6</f>
        <v/>
      </c>
      <c r="H1105">
        <f>Calc!H6</f>
        <v/>
      </c>
      <c r="I1105">
        <f>IF(Skills!T6&lt;&gt;"",1+(Skills!T6/10)*(Z1102/1000)/100,1)</f>
        <v/>
      </c>
      <c r="J1105">
        <f>((Inputs!$B$6*(1+Inputs!$B$7/100))+(((Inputs!$B$12*(1+Inputs!$B$13/100))-(Inputs!$B$12*(1+Inputs!$B$13/100)))+0.25*(Inputs!$B$14-Inputs!$B$14))*(1+Inputs!$B$7/100))*(F1105/100)</f>
        <v/>
      </c>
      <c r="K1105">
        <f>J1105*(1+((Inputs!$B$12*(1+Inputs!$B$13/100))*0.01+Inputs!$B$14*0.0025)/100)*(1+(Inputs!$B$15+B1127)/100)*(1+Inputs!$B$16/100)*(5000/(6000+Inputs!$B$42*(1-Inputs!$B$19/100)))*(1+Inputs!$B$24/100)*(1+IF(C1114=TRUE,F1114,0)/100)*(1+IF(C1122=TRUE,F1122,0)/100)^5*(1+(IF(Skills!A6="CHAIN_LIGHTNING",Inputs!$B$17,Inputs!$B$18))/100)*(B1125*I1105)</f>
        <v/>
      </c>
      <c r="L1105">
        <f>K1105*(MIN(Inputs!$B$22+(F1117-Calc!F18),Inputs!$B$23)/100+Inputs!$B$23/100)/2</f>
        <v/>
      </c>
      <c r="M1105">
        <f>L1105*(1+(Inputs!$B$10+(F1120-Calc!F21))/100)</f>
        <v/>
      </c>
      <c r="N1105">
        <f>L1105*(1-MIN(Inputs!$B$9+((F1119-Calc!F20)+(F1118-Calc!F19)),100)/100)+M1105*(MIN(Inputs!$B$9+((F1119-Calc!F20)+(F1118-Calc!F19)),100)/100)</f>
        <v/>
      </c>
      <c r="O1105">
        <f>(1-Summary!$B$51)*S1105+Summary!$B$51*U1105</f>
        <v/>
      </c>
      <c r="P1105">
        <f>IF(B1135=0,0,O1105/B1135)</f>
        <v/>
      </c>
      <c r="Q1105">
        <f>IFERROR(1/IF(Inputs!$B$38="pvp",15,MAX(0.1,Skills!D6-IF(Skills!E6=TRUE,1.5,0))),0)</f>
        <v/>
      </c>
      <c r="R1105">
        <f>IF(AND(Inputs!$B$38&lt;&gt;"pvp",Inputs!$B$43&gt;0),IF(MAX(0,Inputs!$B$43-B1132)&lt;=0,0,(INT(MAX(0,Inputs!$B$43-B1132)/IF(Inputs!$B$38="pvp",15,MAX(0.1,Skills!D6-IF(Skills!E6=TRUE,1.5,0))))+1)),0)</f>
        <v/>
      </c>
      <c r="S1105">
        <f>IF(C1105,(H1105*N1105*IF(AND(Inputs!$B$38&lt;&gt;"pvp",Inputs!$B$43&gt;0),((Skills!F6*((R1105-1)*IF(Skills!G6&gt;0,Skills!H6/Skills!G6,1)+IF(Skills!G6&gt;0,MIN(Skills!H6,MAX(0,MAX(0,Inputs!$B$43-B1132)-((R1105-1)*IF(Inputs!$B$38="pvp",15,MAX(0.1,Skills!D6-IF(Skills!E6=TRUE,1.5,0))))))/Skills!G6,1)))/Inputs!$B$43),G1105*Q1105))*IF(Inputs!$B$38="pvp",1,1+(Inputs!$B$20+Skills!O6+B1126)/100),0)</f>
        <v/>
      </c>
      <c r="U1105">
        <f>IF(C1105,(H1105*N1105*IF(AND(Inputs!$B$38&lt;&gt;"pvp",Inputs!$B$43&gt;0),((Skills!F6*((R1105-1)*IF(Skills!G6&gt;0,Skills!H6/Skills!G6,1)+IF(Skills!G6&gt;0,MIN(Skills!H6,MAX(0,MAX(0,Inputs!$B$43-B1132)-((R1105-1)*IF(Inputs!$B$38="pvp",15,MAX(0.1,Skills!D6-IF(Skills!E6=TRUE,1.5,0))))))/Skills!G6,1)))/Inputs!$B$43),G1105*Q1105))*IF(Inputs!$B$38="pvp",1,(1+(Inputs!$B$21+Skills!P6+B1126)/100)*(MIN(Skills!Q6,Inputs!$B$37))),0)</f>
        <v/>
      </c>
    </row>
    <row r="1106">
      <c r="A1106">
        <f>Skills!A7</f>
        <v/>
      </c>
      <c r="B1106">
        <f>Skills!B7</f>
        <v/>
      </c>
      <c r="C1106">
        <f>Inputs!$B$3&gt;=69</f>
        <v/>
      </c>
      <c r="D1106">
        <f>IF(Skills!C7=1,60+Inputs!$B$25+Inputs!$B$29,IF(Skills!C7=2,90+Inputs!$B$26+Inputs!$B$29,IF(Skills!C7=3,120+Inputs!$B$27+Inputs!$B$29,MAX(0,(Inputs!$B$3-100)*3)+Inputs!$B$28+Inputs!$B$29)))</f>
        <v/>
      </c>
      <c r="E1106">
        <f>INDEX(FactorTable!$B$2:$Y$301, MATCH(ROUND(MIN(300,MAX(1,D1106)),0), FactorTable!$A$2:$A$301,0), Skills!L7+1)</f>
        <v/>
      </c>
      <c r="F1106">
        <f>IF(Skills!M7=TRUE,(Skills!K7/10)*(E1106/1000),Skills!K7/10)+Skills!N7</f>
        <v/>
      </c>
      <c r="G1106">
        <f>Calc!G7</f>
        <v/>
      </c>
      <c r="H1106">
        <f>Calc!H7</f>
        <v/>
      </c>
      <c r="I1106">
        <f>IF(Skills!T7&lt;&gt;"",1+(Skills!T7/10)*(Z1102/1000)/100,1)</f>
        <v/>
      </c>
      <c r="J1106">
        <f>((Inputs!$B$6*(1+Inputs!$B$7/100))+(((Inputs!$B$12*(1+Inputs!$B$13/100))-(Inputs!$B$12*(1+Inputs!$B$13/100)))+0.25*(Inputs!$B$14-Inputs!$B$14))*(1+Inputs!$B$7/100))*(F1106/100)</f>
        <v/>
      </c>
      <c r="K1106">
        <f>J1106*(1+((Inputs!$B$12*(1+Inputs!$B$13/100))*0.01+Inputs!$B$14*0.0025)/100)*(1+(Inputs!$B$15+B1127)/100)*(1+Inputs!$B$16/100)*(5000/(6000+Inputs!$B$42*(1-Inputs!$B$19/100)))*(1+Inputs!$B$24/100)*(1+IF(C1114=TRUE,F1114,0)/100)*(1+IF(C1122=TRUE,F1122,0)/100)^5*(1+(IF(Skills!A7="CHAIN_LIGHTNING",Inputs!$B$17,Inputs!$B$18))/100)*(B1125*I1106)</f>
        <v/>
      </c>
      <c r="L1106">
        <f>K1106*(MIN(Inputs!$B$22+(F1117-Calc!F18),Inputs!$B$23)/100+Inputs!$B$23/100)/2</f>
        <v/>
      </c>
      <c r="M1106">
        <f>L1106*(1+(Inputs!$B$10+(F1120-Calc!F21))/100)</f>
        <v/>
      </c>
      <c r="N1106">
        <f>L1106*(1-MIN(Inputs!$B$9+((F1119-Calc!F20)+(F1118-Calc!F19)),100)/100)+M1106*(MIN(Inputs!$B$9+((F1119-Calc!F20)+(F1118-Calc!F19)),100)/100)</f>
        <v/>
      </c>
      <c r="O1106">
        <f>(1-Summary!$B$51)*S1106+Summary!$B$51*U1106</f>
        <v/>
      </c>
      <c r="P1106">
        <f>IF(B1135=0,0,O1106/B1135)</f>
        <v/>
      </c>
      <c r="Q1106">
        <f>IFERROR(1/IF(Inputs!$B$38="pvp",15,MAX(0.1,Skills!D7-IF(Skills!E7=TRUE,1.5,0))),0)</f>
        <v/>
      </c>
      <c r="R1106">
        <f>IF(AND(Inputs!$B$38&lt;&gt;"pvp",Inputs!$B$43&gt;0),IF(MAX(0,Inputs!$B$43-B1132)&lt;=0,0,(INT(MAX(0,Inputs!$B$43-B1132)/IF(Inputs!$B$38="pvp",15,MAX(0.1,Skills!D7-IF(Skills!E7=TRUE,1.5,0))))+1)),0)</f>
        <v/>
      </c>
      <c r="S1106">
        <f>IF(C1106,(H1106*N1106*IF(AND(Inputs!$B$38&lt;&gt;"pvp",Inputs!$B$43&gt;0),((Skills!F7*((R1106-1)*IF(Skills!G7&gt;0,Skills!H7/Skills!G7,1)+IF(Skills!G7&gt;0,MIN(Skills!H7,MAX(0,MAX(0,Inputs!$B$43-B1132)-((R1106-1)*IF(Inputs!$B$38="pvp",15,MAX(0.1,Skills!D7-IF(Skills!E7=TRUE,1.5,0))))))/Skills!G7,1)))/Inputs!$B$43),G1106*Q1106))*IF(Inputs!$B$38="pvp",1,1+(Inputs!$B$20+Skills!O7+B1126)/100),0)</f>
        <v/>
      </c>
      <c r="U1106">
        <f>IF(C1106,(H1106*N1106*IF(AND(Inputs!$B$38&lt;&gt;"pvp",Inputs!$B$43&gt;0),((Skills!F7*((R1106-1)*IF(Skills!G7&gt;0,Skills!H7/Skills!G7,1)+IF(Skills!G7&gt;0,MIN(Skills!H7,MAX(0,MAX(0,Inputs!$B$43-B1132)-((R1106-1)*IF(Inputs!$B$38="pvp",15,MAX(0.1,Skills!D7-IF(Skills!E7=TRUE,1.5,0))))))/Skills!G7,1)))/Inputs!$B$43),G1106*Q1106))*IF(Inputs!$B$38="pvp",1,(1+(Inputs!$B$21+Skills!P7+B1126)/100)*(MIN(Skills!Q7,Inputs!$B$37))),0)</f>
        <v/>
      </c>
    </row>
    <row r="1107">
      <c r="A1107">
        <f>Skills!A8</f>
        <v/>
      </c>
      <c r="B1107">
        <f>Skills!B8</f>
        <v/>
      </c>
      <c r="C1107">
        <f>Inputs!$B$3&gt;=103</f>
        <v/>
      </c>
      <c r="D1107">
        <f>IF(Skills!C8=1,60+Inputs!$B$25+Inputs!$B$29,IF(Skills!C8=2,90+Inputs!$B$26+Inputs!$B$29,IF(Skills!C8=3,120+Inputs!$B$27+Inputs!$B$29,MAX(0,(Inputs!$B$3-100)*3)+Inputs!$B$28+Inputs!$B$29)))</f>
        <v/>
      </c>
      <c r="E1107">
        <f>INDEX(FactorTable!$B$2:$Y$301, MATCH(ROUND(MIN(300,MAX(1,D1107)),0), FactorTable!$A$2:$A$301,0), Skills!L8+1)</f>
        <v/>
      </c>
      <c r="F1107">
        <f>IF(Skills!M8=TRUE,(Skills!K8/10)*(E1107/1000),Skills!K8/10)+Skills!N8</f>
        <v/>
      </c>
      <c r="G1107">
        <f>Calc!G8</f>
        <v/>
      </c>
      <c r="H1107">
        <f>Calc!H8</f>
        <v/>
      </c>
      <c r="I1107">
        <f>IF(Skills!T8&lt;&gt;"",1+(Skills!T8/10)*(Z1102/1000)/100,1)</f>
        <v/>
      </c>
      <c r="J1107">
        <f>((Inputs!$B$6*(1+Inputs!$B$7/100))+(((Inputs!$B$12*(1+Inputs!$B$13/100))-(Inputs!$B$12*(1+Inputs!$B$13/100)))+0.25*(Inputs!$B$14-Inputs!$B$14))*(1+Inputs!$B$7/100))*(F1107/100)</f>
        <v/>
      </c>
      <c r="K1107">
        <f>J1107*(1+((Inputs!$B$12*(1+Inputs!$B$13/100))*0.01+Inputs!$B$14*0.0025)/100)*(1+(Inputs!$B$15+B1127)/100)*(1+Inputs!$B$16/100)*(5000/(6000+Inputs!$B$42*(1-Inputs!$B$19/100)))*(1+Inputs!$B$24/100)*(1+IF(C1114=TRUE,F1114,0)/100)*(1+IF(C1122=TRUE,F1122,0)/100)^5*(1+(IF(Skills!A8="CHAIN_LIGHTNING",Inputs!$B$17,Inputs!$B$18))/100)*(B1125*I1107)</f>
        <v/>
      </c>
      <c r="L1107">
        <f>K1107*(MIN(Inputs!$B$22+(F1117-Calc!F18),Inputs!$B$23)/100+Inputs!$B$23/100)/2</f>
        <v/>
      </c>
      <c r="M1107">
        <f>L1107*(1+(Inputs!$B$10+(F1120-Calc!F21))/100)</f>
        <v/>
      </c>
      <c r="N1107">
        <f>L1107*(1-MIN(Inputs!$B$9+((F1119-Calc!F20)+(F1118-Calc!F19)),100)/100)+M1107*(MIN(Inputs!$B$9+((F1119-Calc!F20)+(F1118-Calc!F19)),100)/100)</f>
        <v/>
      </c>
      <c r="O1107">
        <f>(1-Summary!$B$51)*S1107+Summary!$B$51*U1107</f>
        <v/>
      </c>
      <c r="P1107">
        <f>IF(B1135=0,0,O1107/B1135)</f>
        <v/>
      </c>
      <c r="Q1107">
        <f>IFERROR(1/IF(Inputs!$B$38="pvp",15,MAX(0.1,Skills!D8-IF(Skills!E8=TRUE,1.5,0))),0)</f>
        <v/>
      </c>
      <c r="R1107">
        <f>IF(AND(Inputs!$B$38&lt;&gt;"pvp",Inputs!$B$43&gt;0),IF(MAX(0,Inputs!$B$43-B1132)&lt;=0,0,(INT(MAX(0,Inputs!$B$43-B1132)/IF(Inputs!$B$38="pvp",15,MAX(0.1,Skills!D8-IF(Skills!E8=TRUE,1.5,0))))+1)),0)</f>
        <v/>
      </c>
      <c r="S1107">
        <f>IF(C1107,(H1107*N1107*IF(AND(Inputs!$B$38&lt;&gt;"pvp",Inputs!$B$43&gt;0),((Skills!F8*((R1107-1)*IF(Skills!G8&gt;0,Skills!H8/Skills!G8,1)+IF(Skills!G8&gt;0,MIN(Skills!H8,MAX(0,MAX(0,Inputs!$B$43-B1132)-((R1107-1)*IF(Inputs!$B$38="pvp",15,MAX(0.1,Skills!D8-IF(Skills!E8=TRUE,1.5,0))))))/Skills!G8,1)))/Inputs!$B$43),G1107*Q1107))*IF(Inputs!$B$38="pvp",1,1+(Inputs!$B$20+Skills!O8+B1126)/100),0)</f>
        <v/>
      </c>
      <c r="U1107">
        <f>IF(C1107,(H1107*N1107*IF(AND(Inputs!$B$38&lt;&gt;"pvp",Inputs!$B$43&gt;0),((Skills!F8*((R1107-1)*IF(Skills!G8&gt;0,Skills!H8/Skills!G8,1)+IF(Skills!G8&gt;0,MIN(Skills!H8,MAX(0,MAX(0,Inputs!$B$43-B1132)-((R1107-1)*IF(Inputs!$B$38="pvp",15,MAX(0.1,Skills!D8-IF(Skills!E8=TRUE,1.5,0))))))/Skills!G8,1)))/Inputs!$B$43),G1107*Q1107))*IF(Inputs!$B$38="pvp",1,(1+(Inputs!$B$21+Skills!P8+B1126)/100)*(MIN(Skills!Q8,Inputs!$B$37))),0)</f>
        <v/>
      </c>
    </row>
    <row r="1108">
      <c r="A1108">
        <f>Skills!A9</f>
        <v/>
      </c>
      <c r="B1108">
        <f>Skills!B9</f>
        <v/>
      </c>
      <c r="C1108">
        <f>Inputs!$B$3&gt;=105</f>
        <v/>
      </c>
      <c r="D1108">
        <f>IF(Skills!C9=1,60+Inputs!$B$25+Inputs!$B$29,IF(Skills!C9=2,90+Inputs!$B$26+Inputs!$B$29,IF(Skills!C9=3,120+Inputs!$B$27+Inputs!$B$29,MAX(0,(Inputs!$B$3-100)*3)+Inputs!$B$28+Inputs!$B$29)))</f>
        <v/>
      </c>
      <c r="E1108">
        <f>INDEX(FactorTable!$B$2:$Y$301, MATCH(ROUND(MIN(300,MAX(1,D1108)),0), FactorTable!$A$2:$A$301,0), Skills!L9+1)</f>
        <v/>
      </c>
      <c r="F1108">
        <f>IF(Skills!M9=TRUE,(Skills!K9/10)*(E1108/1000),Skills!K9/10)+Skills!N9</f>
        <v/>
      </c>
      <c r="G1108">
        <f>Calc!G9</f>
        <v/>
      </c>
      <c r="H1108">
        <f>Calc!H9</f>
        <v/>
      </c>
      <c r="I1108">
        <f>IF(Skills!T9&lt;&gt;"",1+(Skills!T9/10)*(Z1102/1000)/100,1)</f>
        <v/>
      </c>
      <c r="J1108">
        <f>((Inputs!$B$6*(1+Inputs!$B$7/100))+(((Inputs!$B$12*(1+Inputs!$B$13/100))-(Inputs!$B$12*(1+Inputs!$B$13/100)))+0.25*(Inputs!$B$14-Inputs!$B$14))*(1+Inputs!$B$7/100))*(F1108/100)</f>
        <v/>
      </c>
      <c r="K1108">
        <f>J1108*(1+((Inputs!$B$12*(1+Inputs!$B$13/100))*0.01+Inputs!$B$14*0.0025)/100)*(1+(Inputs!$B$15+B1127)/100)*(1+Inputs!$B$16/100)*(5000/(6000+Inputs!$B$42*(1-Inputs!$B$19/100)))*(1+Inputs!$B$24/100)*(1+IF(C1114=TRUE,F1114,0)/100)*(1+IF(C1122=TRUE,F1122,0)/100)^5*(1+(IF(Skills!A9="CHAIN_LIGHTNING",Inputs!$B$17,Inputs!$B$18))/100)*(B1125*I1108)</f>
        <v/>
      </c>
      <c r="L1108">
        <f>K1108*(MIN(Inputs!$B$22+(F1117-Calc!F18),Inputs!$B$23)/100+Inputs!$B$23/100)/2</f>
        <v/>
      </c>
      <c r="M1108">
        <f>L1108*(1+(Inputs!$B$10+(F1120-Calc!F21))/100)</f>
        <v/>
      </c>
      <c r="N1108">
        <f>L1108*(1-MIN(Inputs!$B$9+((F1119-Calc!F20)+(F1118-Calc!F19)),100)/100)+M1108*(MIN(Inputs!$B$9+((F1119-Calc!F20)+(F1118-Calc!F19)),100)/100)</f>
        <v/>
      </c>
      <c r="O1108">
        <f>(1-Summary!$B$51)*S1108+Summary!$B$51*U1108</f>
        <v/>
      </c>
      <c r="P1108">
        <f>IF(B1135=0,0,O1108/B1135)</f>
        <v/>
      </c>
      <c r="Q1108">
        <f>IFERROR(1/IF(Inputs!$B$38="pvp",15,MAX(0.1,Skills!D9-IF(Skills!E9=TRUE,1.5,0))),0)</f>
        <v/>
      </c>
      <c r="R1108">
        <f>IF(AND(Inputs!$B$38&lt;&gt;"pvp",Inputs!$B$43&gt;0),IF(MAX(0,Inputs!$B$43-B1132)&lt;=0,0,(INT(MAX(0,Inputs!$B$43-B1132)/IF(Inputs!$B$38="pvp",15,MAX(0.1,Skills!D9-IF(Skills!E9=TRUE,1.5,0))))+1)),0)</f>
        <v/>
      </c>
      <c r="S1108">
        <f>IF(C1108,(H1108*N1108*IF(AND(Inputs!$B$38&lt;&gt;"pvp",Inputs!$B$43&gt;0),((Skills!F9*((R1108-1)*IF(Skills!G9&gt;0,Skills!H9/Skills!G9,1)+IF(Skills!G9&gt;0,MIN(Skills!H9,MAX(0,MAX(0,Inputs!$B$43-B1132)-((R1108-1)*IF(Inputs!$B$38="pvp",15,MAX(0.1,Skills!D9-IF(Skills!E9=TRUE,1.5,0))))))/Skills!G9,1)))/Inputs!$B$43),G1108*Q1108))*IF(Inputs!$B$38="pvp",1,1+(Inputs!$B$20+Skills!O9+B1126)/100),0)</f>
        <v/>
      </c>
      <c r="U1108">
        <f>IF(C1108,(H1108*N1108*IF(AND(Inputs!$B$38&lt;&gt;"pvp",Inputs!$B$43&gt;0),((Skills!F9*((R1108-1)*IF(Skills!G9&gt;0,Skills!H9/Skills!G9,1)+IF(Skills!G9&gt;0,MIN(Skills!H9,MAX(0,MAX(0,Inputs!$B$43-B1132)-((R1108-1)*IF(Inputs!$B$38="pvp",15,MAX(0.1,Skills!D9-IF(Skills!E9=TRUE,1.5,0))))))/Skills!G9,1)))/Inputs!$B$43),G1108*Q1108))*IF(Inputs!$B$38="pvp",1,(1+(Inputs!$B$21+Skills!P9+B1126)/100)*(MIN(Skills!Q9,Inputs!$B$37))),0)</f>
        <v/>
      </c>
    </row>
    <row r="1109">
      <c r="A1109">
        <f>Skills!A10</f>
        <v/>
      </c>
      <c r="B1109">
        <f>Skills!B10</f>
        <v/>
      </c>
      <c r="C1109">
        <f>Inputs!$B$3&gt;=113</f>
        <v/>
      </c>
      <c r="D1109">
        <f>IF(Skills!C10=1,60+Inputs!$B$25+Inputs!$B$29,IF(Skills!C10=2,90+Inputs!$B$26+Inputs!$B$29,IF(Skills!C10=3,120+Inputs!$B$27+Inputs!$B$29,MAX(0,(Inputs!$B$3-100)*3)+Inputs!$B$28+Inputs!$B$29)))</f>
        <v/>
      </c>
      <c r="E1109">
        <f>INDEX(FactorTable!$B$2:$Y$301, MATCH(ROUND(MIN(300,MAX(1,D1109)),0), FactorTable!$A$2:$A$301,0), Skills!L10+1)</f>
        <v/>
      </c>
      <c r="F1109">
        <f>IF(Skills!M10=TRUE,(Skills!K10/10)*(E1109/1000),Skills!K10/10)+Skills!N10</f>
        <v/>
      </c>
      <c r="G1109">
        <f>Calc!G10</f>
        <v/>
      </c>
      <c r="H1109">
        <f>Calc!H10</f>
        <v/>
      </c>
      <c r="I1109">
        <f>IF(Skills!T10&lt;&gt;"",1+(Skills!T10/10)*(Z1102/1000)/100,1)</f>
        <v/>
      </c>
      <c r="J1109">
        <f>((Inputs!$B$6*(1+Inputs!$B$7/100))+(((Inputs!$B$12*(1+Inputs!$B$13/100))-(Inputs!$B$12*(1+Inputs!$B$13/100)))+0.25*(Inputs!$B$14-Inputs!$B$14))*(1+Inputs!$B$7/100))*(F1109/100)</f>
        <v/>
      </c>
      <c r="K1109">
        <f>J1109*(1+((Inputs!$B$12*(1+Inputs!$B$13/100))*0.01+Inputs!$B$14*0.0025)/100)*(1+(Inputs!$B$15+B1127)/100)*(1+Inputs!$B$16/100)*(5000/(6000+Inputs!$B$42*(1-Inputs!$B$19/100)))*(1+Inputs!$B$24/100)*(1+IF(C1114=TRUE,F1114,0)/100)*(1+IF(C1122=TRUE,F1122,0)/100)^5*(1+(IF(Skills!A10="CHAIN_LIGHTNING",Inputs!$B$17,Inputs!$B$18))/100)*(B1125*I1109)</f>
        <v/>
      </c>
      <c r="L1109">
        <f>K1109*(MIN(Inputs!$B$22+(F1117-Calc!F18),Inputs!$B$23)/100+Inputs!$B$23/100)/2</f>
        <v/>
      </c>
      <c r="M1109">
        <f>L1109*(1+(Inputs!$B$10+(F1120-Calc!F21))/100)</f>
        <v/>
      </c>
      <c r="N1109">
        <f>L1109*(1-MIN(Inputs!$B$9+((F1119-Calc!F20)+(F1118-Calc!F19)),100)/100)+M1109*(MIN(Inputs!$B$9+((F1119-Calc!F20)+(F1118-Calc!F19)),100)/100)</f>
        <v/>
      </c>
      <c r="O1109">
        <f>(1-Summary!$B$51)*S1109+Summary!$B$51*U1109</f>
        <v/>
      </c>
      <c r="P1109">
        <f>IF(B1135=0,0,O1109/B1135)</f>
        <v/>
      </c>
      <c r="Q1109">
        <f>IFERROR(1/IF(Inputs!$B$38="pvp",15,MAX(0.1,Skills!D10-IF(Skills!E9=TRUE,1.5,0))),0)</f>
        <v/>
      </c>
      <c r="R1109">
        <f>IF(AND(Inputs!$B$38&lt;&gt;"pvp",Inputs!$B$43&gt;0),IF(MAX(0,Inputs!$B$43-B1132)&lt;=0,0,(INT(MAX(0,Inputs!$B$43-B1132)/IF(Inputs!$B$38="pvp",15,MAX(0.1,Skills!D10-IF(Skills!E9=TRUE,1.5,0))))+1)),0)</f>
        <v/>
      </c>
      <c r="S1109">
        <f>IF(C1109,(H1109*N1109*IF(AND(Inputs!$B$38&lt;&gt;"pvp",Inputs!$B$43&gt;0),((Skills!F10*((R1109-1)*IF(Skills!G10&gt;0,Skills!H10/Skills!G10,1)+IF(Skills!G10&gt;0,MIN(Skills!H10,MAX(0,MAX(0,Inputs!$B$43-B1132)-((R1109-1)*IF(Inputs!$B$38="pvp",15,MAX(0.1,Skills!D10-IF(Skills!E9=TRUE,1.5,0))))))/Skills!G10,1)))/Inputs!$B$43),G1109*Q1109))*IF(Inputs!$B$38="pvp",1,1+(Inputs!$B$20+Skills!O10+B1126)/100),0)</f>
        <v/>
      </c>
      <c r="U1109">
        <f>IF(C1109,(H1109*N1109*IF(AND(Inputs!$B$38&lt;&gt;"pvp",Inputs!$B$43&gt;0),((Skills!F10*((R1109-1)*IF(Skills!G10&gt;0,Skills!H10/Skills!G10,1)+IF(Skills!G10&gt;0,MIN(Skills!H10,MAX(0,MAX(0,Inputs!$B$43-B1132)-((R1109-1)*IF(Inputs!$B$38="pvp",15,MAX(0.1,Skills!D10-IF(Skills!E9=TRUE,1.5,0))))))/Skills!G10,1)))/Inputs!$B$43),G1109*Q1109))*IF(Inputs!$B$38="pvp",1,(1+(Inputs!$B$21+Skills!P10+B1126)/100)*(MIN(Skills!Q10,Inputs!$B$37))),0)</f>
        <v/>
      </c>
    </row>
    <row r="1110">
      <c r="A1110">
        <f>Skills!A11</f>
        <v/>
      </c>
      <c r="B1110">
        <f>Skills!B11</f>
        <v/>
      </c>
      <c r="C1110">
        <f>Inputs!$B$3&gt;=107</f>
        <v/>
      </c>
      <c r="D1110">
        <f>IF(Skills!C11=1,60+Inputs!$B$25+Inputs!$B$29,IF(Skills!C11=2,90+Inputs!$B$26+Inputs!$B$29,IF(Skills!C11=3,120+Inputs!$B$27+Inputs!$B$29,MAX(0,(Inputs!$B$3-100)*3)+Inputs!$B$28+Inputs!$B$29)))</f>
        <v/>
      </c>
      <c r="E1110">
        <f>INDEX(FactorTable!$B$2:$Y$301, MATCH(ROUND(MIN(300,MAX(1,D1110)),0), FactorTable!$A$2:$A$301,0), Skills!L11+1)</f>
        <v/>
      </c>
      <c r="F1110">
        <f>IF(Skills!M11=TRUE,(Skills!K11/10)*(E1110/1000),Skills!K11/10)+Skills!N11</f>
        <v/>
      </c>
      <c r="G1110">
        <f>Calc!G11</f>
        <v/>
      </c>
      <c r="H1110">
        <f>Calc!H11</f>
        <v/>
      </c>
      <c r="I1110">
        <f>IF(Skills!T11&lt;&gt;"",1+(Skills!T11/10)*(Z1102/1000)/100,1)</f>
        <v/>
      </c>
      <c r="J1110">
        <f>((Inputs!$B$6*(1+Inputs!$B$7/100))+(((Inputs!$B$12*(1+Inputs!$B$13/100))-(Inputs!$B$12*(1+Inputs!$B$13/100)))+0.25*(Inputs!$B$14-Inputs!$B$14))*(1+Inputs!$B$7/100))*(F1110/100)</f>
        <v/>
      </c>
      <c r="K1110">
        <f>J1110*(1+((Inputs!$B$12*(1+Inputs!$B$13/100))*0.01+Inputs!$B$14*0.0025)/100)*(1+(Inputs!$B$15+B1127)/100)*(1+Inputs!$B$16/100)*(5000/(6000+Inputs!$B$42*(1-Inputs!$B$19/100)))*(1+Inputs!$B$24/100)*(1+IF(C1114=TRUE,F1114,0)/100)*(1+IF(C1122=TRUE,F1122,0)/100)^5*(1+(IF(Skills!A11="CHAIN_LIGHTNING",Inputs!$B$17,Inputs!$B$18))/100)*(B1125*I1110)</f>
        <v/>
      </c>
      <c r="L1110">
        <f>K1110*(MIN(Inputs!$B$22+(F1117-Calc!F18),Inputs!$B$23)/100+Inputs!$B$23/100)/2</f>
        <v/>
      </c>
      <c r="M1110">
        <f>L1110*(1+(Inputs!$B$10+(F1120-Calc!F21))/100)</f>
        <v/>
      </c>
      <c r="N1110">
        <f>L1110*(1-MIN(Inputs!$B$9+((F1119-Calc!F20)+(F1118-Calc!F19)),100)/100)+M1110*(MIN(Inputs!$B$9+((F1119-Calc!F20)+(F1118-Calc!F19)),100)/100)</f>
        <v/>
      </c>
      <c r="O1110">
        <f>(1-Summary!$B$51)*S1110+Summary!$B$51*U1110</f>
        <v/>
      </c>
      <c r="P1110">
        <f>IF(B1135=0,0,O1110/B1135)</f>
        <v/>
      </c>
      <c r="Q1110">
        <f>IFERROR(1/IF(Inputs!$B$38="pvp",15,MAX(0.1,Skills!D11-IF(Skills!E11=TRUE,1.5,0))),0)</f>
        <v/>
      </c>
      <c r="R1110">
        <f>IF(AND(Inputs!$B$38&lt;&gt;"pvp",Inputs!$B$43&gt;0),IF(MAX(0,Inputs!$B$43-B1132)&lt;=0,0,(INT(MAX(0,Inputs!$B$43-B1132)/IF(Inputs!$B$38="pvp",15,MAX(0.1,Skills!D11-IF(Skills!E11=TRUE,1.5,0))))+1)),0)</f>
        <v/>
      </c>
      <c r="S1110">
        <f>IF(C1110,H1110*N1110*IF(AND(Inputs!$B$38&lt;&gt;"pvp",Inputs!$B$43&gt;0),((Skills!F11*((R1110-1)*IF(Skills!G11&gt;0,Skills!H11/Skills!G11,1)+IF(Skills!G11&gt;0,MIN(Skills!H11,MAX(0,MAX(0,Inputs!$B$43-B1132)-((R1110-1)*IF(Inputs!$B$38="pvp",15,MAX(0.1,Skills!D11-IF(Skills!E11=TRUE,1.5,0))))))/Skills!G11,1)))/Inputs!$B$43),G1110*Q1110)*0.5*IF(Inputs!$B$38="pvp",1,1+(Inputs!$B$20+Skills!O11+B1126)/100),0)</f>
        <v/>
      </c>
      <c r="U1110">
        <f>IF(C1110,H1110*N1110*IF(AND(Inputs!$B$38&lt;&gt;"pvp",Inputs!$B$43&gt;0),((Skills!F11*((R1110-1)*IF(Skills!G11&gt;0,Skills!H11/Skills!G11,1)+IF(Skills!G11&gt;0,MIN(Skills!H11,MAX(0,MAX(0,Inputs!$B$43-B1132)-((R1110-1)*IF(Inputs!$B$38="pvp",15,MAX(0.1,Skills!D11-IF(Skills!E11=TRUE,1.5,0))))))/Skills!G11,1)))/Inputs!$B$43),G1110*Q1110)*1*IF(Inputs!$B$38="pvp",1,(1+(Inputs!$B$21+Skills!P11+B1126)/100)*(MIN(Skills!Q11,Inputs!$B$37))),0)</f>
        <v/>
      </c>
    </row>
    <row r="1111">
      <c r="A1111">
        <f>Skills!A12</f>
        <v/>
      </c>
      <c r="B1111">
        <f>Skills!B12</f>
        <v/>
      </c>
      <c r="C1111">
        <f>Inputs!$B$3&gt;=115</f>
        <v/>
      </c>
      <c r="D1111">
        <f>IF(Skills!C12=1,60+Inputs!$B$25+Inputs!$B$29,IF(Skills!C12=2,90+Inputs!$B$26+Inputs!$B$29,IF(Skills!C12=3,120+Inputs!$B$27+Inputs!$B$29,MAX(0,(Inputs!$B$3-100)*3)+Inputs!$B$28+Inputs!$B$29)))</f>
        <v/>
      </c>
      <c r="E1111">
        <f>INDEX(FactorTable!$B$2:$Y$301, MATCH(ROUND(MIN(300,MAX(1,D1111)),0), FactorTable!$A$2:$A$301,0), Skills!L12+1)</f>
        <v/>
      </c>
      <c r="F1111">
        <f>IF(Skills!M12=TRUE,(Skills!K12/10)*(E1111/1000),Skills!K12/10)+Skills!N12</f>
        <v/>
      </c>
      <c r="G1111">
        <f>Calc!G12</f>
        <v/>
      </c>
      <c r="H1111">
        <f>Calc!H12</f>
        <v/>
      </c>
      <c r="I1111">
        <f>IF(Skills!T12&lt;&gt;"",1+(Skills!T12/10)*(Z1102/1000)/100,1)</f>
        <v/>
      </c>
      <c r="J1111">
        <f>((Inputs!$B$6*(1+Inputs!$B$7/100))+(((Inputs!$B$12*(1+Inputs!$B$13/100))-(Inputs!$B$12*(1+Inputs!$B$13/100)))+0.25*(Inputs!$B$14-Inputs!$B$14))*(1+Inputs!$B$7/100))*(F1111/100)</f>
        <v/>
      </c>
      <c r="K1111">
        <f>J1111*(1+((Inputs!$B$12*(1+Inputs!$B$13/100))*0.01+Inputs!$B$14*0.0025)/100)*(1+(Inputs!$B$15+B1127)/100)*(1+Inputs!$B$16/100)*(5000/(6000+Inputs!$B$42*(1-Inputs!$B$19/100)))*(1+Inputs!$B$24/100)*(1+IF(C1114=TRUE,F1114,0)/100)*(1+IF(C1122=TRUE,F1122,0)/100)^5*(1+(IF(Skills!A12="CHAIN_LIGHTNING",Inputs!$B$17,Inputs!$B$18))/100)*(B1125*I1111)</f>
        <v/>
      </c>
      <c r="L1111">
        <f>K1111*(MIN(Inputs!$B$22+(F1117-Calc!F18),Inputs!$B$23)/100+Inputs!$B$23/100)/2</f>
        <v/>
      </c>
      <c r="M1111">
        <f>L1111*(1+(Inputs!$B$10+(F1120-Calc!F21))/100)</f>
        <v/>
      </c>
      <c r="N1111">
        <f>L1111*(1-MIN(Inputs!$B$9+((F1119-Calc!F20)+(F1118-Calc!F19)),100)/100)+M1111*(MIN(Inputs!$B$9+((F1119-Calc!F20)+(F1118-Calc!F19)),100)/100)</f>
        <v/>
      </c>
      <c r="O1111">
        <f>(1-Summary!$B$51)*S1111+Summary!$B$51*U1111</f>
        <v/>
      </c>
      <c r="P1111">
        <f>IF(B1135=0,0,O1111/B1135)</f>
        <v/>
      </c>
      <c r="Q1111">
        <f>IFERROR(1/IF(Inputs!$B$38="pvp",15,MAX(0.1,Skills!D12-IF(Skills!E12=TRUE,1.5,0))),0)</f>
        <v/>
      </c>
      <c r="R1111">
        <f>IF(AND(Inputs!$B$38&lt;&gt;"pvp",Inputs!$B$43&gt;0),IF(MAX(0,Inputs!$B$43-B1132)&lt;=0,0,(INT(MAX(0,Inputs!$B$43-B1132)/IF(Inputs!$B$38="pvp",15,MAX(0.1,Skills!D12-IF(Skills!E12=TRUE,1.5,0))))+1)),0)</f>
        <v/>
      </c>
      <c r="S1111">
        <f>IF(C1111,(H1111*N1111*IF(AND(Inputs!$B$38&lt;&gt;"pvp",Inputs!$B$43&gt;0),((Skills!F12*((R1111-1)*IF(Skills!G12&gt;0,Skills!H12/Skills!G12,1)+IF(Skills!G12&gt;0,MIN(Skills!H12,MAX(0,MAX(0,Inputs!$B$43-B1132)-((R1111-1)*IF(Inputs!$B$38="pvp",15,MAX(0.1,Skills!D12-IF(Skills!E12=TRUE,1.5,0))))))/Skills!G12,1)))/Inputs!$B$43),G1111*Q1111))*IF(Inputs!$B$38="pvp",1,1+(Inputs!$B$20+Skills!O12+B1126)/100),0)</f>
        <v/>
      </c>
      <c r="U1111">
        <f>IF(C1111,(H1111*N1111*IF(AND(Inputs!$B$38&lt;&gt;"pvp",Inputs!$B$43&gt;0),((Skills!F12*((R1111-1)*IF(Skills!G12&gt;0,Skills!H12/Skills!G12,1)+IF(Skills!G12&gt;0,MIN(Skills!H12,MAX(0,MAX(0,Inputs!$B$43-B1132)-((R1111-1)*IF(Inputs!$B$38="pvp",15,MAX(0.1,Skills!D12-IF(Skills!E12=TRUE,1.5,0))))))/Skills!G12,1)))/Inputs!$B$43),G1111*Q1111))*IF(Inputs!$B$38="pvp",1,(1+(Inputs!$B$21+Skills!P12+B1126)/100)*(MIN(Skills!Q12,Inputs!$B$37))),0)</f>
        <v/>
      </c>
    </row>
    <row r="1112">
      <c r="A1112">
        <f>Skills!A13</f>
        <v/>
      </c>
      <c r="B1112">
        <f>Skills!B13</f>
        <v/>
      </c>
      <c r="C1112">
        <f>Inputs!$B$3&gt;=49</f>
        <v/>
      </c>
      <c r="D1112">
        <f>IF(Skills!C13=1,60+Inputs!$B$25+Inputs!$B$29,IF(Skills!C13=2,90+Inputs!$B$26+Inputs!$B$29,IF(Skills!C13=3,120+Inputs!$B$27+Inputs!$B$29,MAX(0,(Inputs!$B$3-100)*3)+Inputs!$B$28+Inputs!$B$29)))</f>
        <v/>
      </c>
      <c r="E1112">
        <f>INDEX(FactorTable!$B$2:$Y$301, MATCH(ROUND(MIN(300,MAX(1,D1112)),0), FactorTable!$A$2:$A$301,0), Skills!L13+1)</f>
        <v/>
      </c>
      <c r="F1112">
        <f>IF(Skills!M13=TRUE,(Skills!K13/10)*(E1112/1000),Skills!K13/10)+Skills!N13</f>
        <v/>
      </c>
      <c r="G1112">
        <f>Calc!G13</f>
        <v/>
      </c>
      <c r="H1112">
        <f>Calc!H13</f>
        <v/>
      </c>
      <c r="I1112">
        <f>IF(Skills!T13&lt;&gt;"",1+(Skills!T13/10)*(Z1102/1000)/100,1)</f>
        <v/>
      </c>
      <c r="J1112" t="inlineStr"/>
      <c r="K1112" t="inlineStr"/>
      <c r="L1112" t="inlineStr"/>
      <c r="M1112" t="inlineStr"/>
      <c r="N1112" t="inlineStr"/>
      <c r="O1112">
        <f>(1-Summary!$B$51)*S1112+Summary!$B$51*U1112</f>
        <v/>
      </c>
      <c r="P1112">
        <f>IF(B1135=0,0,O1112/B1135)</f>
        <v/>
      </c>
      <c r="Q1112">
        <f>IFERROR(1/IF(Inputs!$B$38="pvp",15,MAX(0.1,Skills!D13-IF(Skills!E13=TRUE,1.5,0))),0)</f>
        <v/>
      </c>
      <c r="R1112" t="n">
        <v>0</v>
      </c>
      <c r="S1112" t="n">
        <v>0</v>
      </c>
      <c r="U1112" t="n">
        <v>0</v>
      </c>
    </row>
    <row r="1113">
      <c r="A1113">
        <f>Skills!A14</f>
        <v/>
      </c>
      <c r="B1113">
        <f>Skills!B14</f>
        <v/>
      </c>
      <c r="C1113">
        <f>Inputs!$B$3&gt;=72</f>
        <v/>
      </c>
      <c r="D1113">
        <f>IF(Skills!C14=1,60+Inputs!$B$25+Inputs!$B$29,IF(Skills!C14=2,90+Inputs!$B$26+Inputs!$B$29,IF(Skills!C14=3,120+Inputs!$B$27+Inputs!$B$29,MAX(0,(Inputs!$B$3-100)*3)+Inputs!$B$28+Inputs!$B$29)))</f>
        <v/>
      </c>
      <c r="E1113">
        <f>INDEX(FactorTable!$B$2:$Y$301, MATCH(ROUND(MIN(300,MAX(1,D1113)),0), FactorTable!$A$2:$A$301,0), Skills!L14+1)</f>
        <v/>
      </c>
      <c r="F1113">
        <f>IF(Skills!M14=TRUE,(Skills!K14/10)*(E1113/1000),Skills!K14/10)+Skills!N14</f>
        <v/>
      </c>
      <c r="G1113">
        <f>Calc!G14</f>
        <v/>
      </c>
      <c r="H1113">
        <f>Calc!H14</f>
        <v/>
      </c>
      <c r="I1113">
        <f>IF(Skills!T14&lt;&gt;"",1+(Skills!T14/10)*(Z1102/1000)/100,1)</f>
        <v/>
      </c>
      <c r="J1113" t="inlineStr"/>
      <c r="K1113" t="inlineStr"/>
      <c r="L1113" t="inlineStr"/>
      <c r="M1113" t="inlineStr"/>
      <c r="N1113" t="inlineStr"/>
      <c r="O1113">
        <f>(1-Summary!$B$51)*S1113+Summary!$B$51*U1113</f>
        <v/>
      </c>
      <c r="P1113">
        <f>IF(B1135=0,0,O1113/B1135)</f>
        <v/>
      </c>
      <c r="Q1113">
        <f>IFERROR(1/IF(Inputs!$B$38="pvp",15,MAX(0.1,Skills!D14-IF(Skills!E14=TRUE,1.5,0))),0)</f>
        <v/>
      </c>
      <c r="R1113" t="n">
        <v>0</v>
      </c>
      <c r="S1113" t="n">
        <v>0</v>
      </c>
      <c r="U1113" t="n">
        <v>0</v>
      </c>
    </row>
    <row r="1114">
      <c r="A1114">
        <f>Skills!A15</f>
        <v/>
      </c>
      <c r="B1114">
        <f>Skills!B15</f>
        <v/>
      </c>
      <c r="C1114">
        <f>Inputs!$B$3&gt;=75</f>
        <v/>
      </c>
      <c r="D1114">
        <f>IF(Skills!C15=1,60+Inputs!$B$25+Inputs!$B$29,IF(Skills!C15=2,90+Inputs!$B$26+Inputs!$B$29,IF(Skills!C15=3,120+Inputs!$B$27+Inputs!$B$29,MAX(0,(Inputs!$B$3-100)*3)+Inputs!$B$28+Inputs!$B$29)))</f>
        <v/>
      </c>
      <c r="E1114">
        <f>INDEX(FactorTable!$B$2:$Y$301, MATCH(ROUND(MIN(300,MAX(1,D1114)),0), FactorTable!$A$2:$A$301,0), Skills!L15+1)</f>
        <v/>
      </c>
      <c r="F1114">
        <f>IF(Skills!M15=TRUE,(Skills!K15/10)*(E1114/1000),Skills!K15/10)+Skills!N15</f>
        <v/>
      </c>
      <c r="G1114">
        <f>Calc!G15</f>
        <v/>
      </c>
      <c r="H1114">
        <f>Calc!H15</f>
        <v/>
      </c>
      <c r="I1114">
        <f>IF(Skills!T15&lt;&gt;"",1+(Skills!T15/10)*(Z1102/1000)/100,1)</f>
        <v/>
      </c>
      <c r="J1114" t="inlineStr"/>
      <c r="K1114" t="inlineStr"/>
      <c r="L1114" t="inlineStr"/>
      <c r="M1114" t="inlineStr"/>
      <c r="N1114" t="inlineStr"/>
      <c r="O1114">
        <f>(1-Summary!$B$51)*S1114+Summary!$B$51*U1114</f>
        <v/>
      </c>
      <c r="P1114">
        <f>IF(B1135=0,0,O1114/B1135)</f>
        <v/>
      </c>
      <c r="Q1114">
        <f>IFERROR(1/IF(Inputs!$B$38="pvp",15,MAX(0.1,Skills!D15-IF(Skills!E15=TRUE,1.5,0))),0)</f>
        <v/>
      </c>
      <c r="R1114" t="n">
        <v>0</v>
      </c>
      <c r="S1114" t="n">
        <v>0</v>
      </c>
      <c r="U1114" t="n">
        <v>0</v>
      </c>
    </row>
    <row r="1115">
      <c r="A1115">
        <f>Skills!A16</f>
        <v/>
      </c>
      <c r="B1115">
        <f>Skills!B16</f>
        <v/>
      </c>
      <c r="C1115">
        <f>Inputs!$B$3&gt;=110</f>
        <v/>
      </c>
      <c r="D1115">
        <f>IF(Skills!C16=1,60+Inputs!$B$25+Inputs!$B$29,IF(Skills!C16=2,90+Inputs!$B$26+Inputs!$B$29,IF(Skills!C16=3,120+Inputs!$B$27+Inputs!$B$29,MAX(0,(Inputs!$B$3-100)*3)+Inputs!$B$28+Inputs!$B$29)))</f>
        <v/>
      </c>
      <c r="E1115">
        <f>INDEX(FactorTable!$B$2:$Y$301, MATCH(ROUND(MIN(300,MAX(1,D1115)),0), FactorTable!$A$2:$A$301,0), Skills!L16+1)</f>
        <v/>
      </c>
      <c r="F1115">
        <f>(Skills!K16/10)*(E1115/1000)*64/45+Skills!N16</f>
        <v/>
      </c>
      <c r="G1115">
        <f>Calc!G16</f>
        <v/>
      </c>
      <c r="H1115">
        <f>Calc!H16</f>
        <v/>
      </c>
      <c r="I1115">
        <f>IF(Skills!T16&lt;&gt;"",1+(Skills!T16/10)*(Z1102/1000)/100,1)</f>
        <v/>
      </c>
      <c r="J1115" t="inlineStr"/>
      <c r="K1115" t="inlineStr"/>
      <c r="L1115" t="inlineStr"/>
      <c r="M1115" t="inlineStr"/>
      <c r="N1115" t="inlineStr"/>
      <c r="O1115">
        <f>(1-Summary!$B$51)*S1115+Summary!$B$51*U1115</f>
        <v/>
      </c>
      <c r="P1115">
        <f>IF(B1135=0,0,O1115/B1135)</f>
        <v/>
      </c>
      <c r="Q1115">
        <f>IFERROR(1/IF(Inputs!$B$38="pvp",15,MAX(0.1,Skills!D16-IF(Skills!E16=TRUE,1.5,0))),0)</f>
        <v/>
      </c>
      <c r="R1115">
        <f>IF(AND(Inputs!$B$38&lt;&gt;"pvp",Inputs!$B$43&gt;0),IF(Inputs!$B$43&lt;=0,0,(INT(Inputs!$B$43/IF(Inputs!$B$38="pvp",15,MAX(0.1,Skills!D16-IF(Skills!E16=TRUE,1.5,0))))+1)),0)</f>
        <v/>
      </c>
      <c r="S1115" t="n">
        <v>0</v>
      </c>
      <c r="U1115" t="n">
        <v>0</v>
      </c>
    </row>
    <row r="1116">
      <c r="A1116">
        <f>Skills!A17</f>
        <v/>
      </c>
      <c r="B1116">
        <f>Skills!B17</f>
        <v/>
      </c>
      <c r="C1116">
        <f>Inputs!$B$3&gt;=33</f>
        <v/>
      </c>
      <c r="D1116">
        <f>IF(Skills!C17=1,60+Inputs!$B$25+Inputs!$B$29,IF(Skills!C17=2,90+Inputs!$B$26+Inputs!$B$29,IF(Skills!C17=3,120+Inputs!$B$27+Inputs!$B$29,MAX(0,(Inputs!$B$3-100)*3)+Inputs!$B$28+Inputs!$B$29)))</f>
        <v/>
      </c>
      <c r="E1116">
        <f>INDEX(FactorTable!$B$2:$Y$301, MATCH(ROUND(MIN(300,MAX(1,D1116)),0), FactorTable!$A$2:$A$301,0), Skills!L17+1)</f>
        <v/>
      </c>
      <c r="F1116">
        <f>IF(Skills!M17=TRUE,(Skills!K17/10)*(E1116/1000),Skills!K17/10)+Skills!N17</f>
        <v/>
      </c>
      <c r="G1116">
        <f>Calc!G17</f>
        <v/>
      </c>
      <c r="H1116">
        <f>Calc!H17</f>
        <v/>
      </c>
      <c r="I1116">
        <f>IF(Skills!T17&lt;&gt;"",1+(Skills!T17/10)*(Z1102/1000)/100,1)</f>
        <v/>
      </c>
      <c r="J1116" t="inlineStr"/>
      <c r="K1116" t="inlineStr"/>
      <c r="L1116" t="inlineStr"/>
      <c r="M1116" t="inlineStr"/>
      <c r="N1116" t="inlineStr"/>
      <c r="O1116">
        <f>(1-Summary!$B$51)*S1116+Summary!$B$51*U1116</f>
        <v/>
      </c>
      <c r="P1116">
        <f>IF(B1135=0,0,O1116/B1135)</f>
        <v/>
      </c>
      <c r="Q1116">
        <f>IFERROR(1/IF(Inputs!$B$38="pvp",15,MAX(0.1,Skills!D17-IF(Skills!E17=TRUE,1.5,0))),0)</f>
        <v/>
      </c>
      <c r="R1116" t="n">
        <v>0</v>
      </c>
      <c r="S1116" t="n">
        <v>0</v>
      </c>
      <c r="U1116" t="n">
        <v>0</v>
      </c>
    </row>
    <row r="1117">
      <c r="A1117">
        <f>Skills!A18</f>
        <v/>
      </c>
      <c r="B1117">
        <f>Skills!B18</f>
        <v/>
      </c>
      <c r="C1117">
        <f>Inputs!$B$3&gt;=43</f>
        <v/>
      </c>
      <c r="D1117">
        <f>IF(Skills!C18=1,60+Inputs!$B$25+Inputs!$B$29,IF(Skills!C18=2,90+Inputs!$B$26+Inputs!$B$29,IF(Skills!C18=3,120+Inputs!$B$27+Inputs!$B$29,MAX(0,(Inputs!$B$3-100)*3)+Inputs!$B$28+Inputs!$B$29)))</f>
        <v/>
      </c>
      <c r="E1117">
        <f>INDEX(FactorTable!$B$2:$Y$301, MATCH(ROUND(MIN(300,MAX(1,D1117)),0), FactorTable!$A$2:$A$301,0), Skills!L18+1)</f>
        <v/>
      </c>
      <c r="F1117">
        <f>IF(Skills!M18=TRUE,(Skills!K18/10)*(E1117/1000),Skills!K18/10)+Skills!N18</f>
        <v/>
      </c>
      <c r="G1117">
        <f>Calc!G18</f>
        <v/>
      </c>
      <c r="H1117">
        <f>Calc!H18</f>
        <v/>
      </c>
      <c r="I1117">
        <f>IF(Skills!T18&lt;&gt;"",1+(Skills!T18/10)*(Z1102/1000)/100,1)</f>
        <v/>
      </c>
      <c r="J1117" t="inlineStr"/>
      <c r="K1117" t="inlineStr"/>
      <c r="L1117" t="inlineStr"/>
      <c r="M1117" t="inlineStr"/>
      <c r="N1117" t="inlineStr"/>
      <c r="O1117">
        <f>(1-Summary!$B$51)*S1117+Summary!$B$51*U1117</f>
        <v/>
      </c>
      <c r="P1117">
        <f>IF(B1135=0,0,O1117/B1135)</f>
        <v/>
      </c>
      <c r="Q1117">
        <f>IFERROR(1/IF(Inputs!$B$38="pvp",15,MAX(0.1,Skills!D18-IF(Skills!E18=TRUE,1.5,0))),0)</f>
        <v/>
      </c>
      <c r="R1117" t="n">
        <v>0</v>
      </c>
      <c r="S1117" t="n">
        <v>0</v>
      </c>
      <c r="U1117" t="n">
        <v>0</v>
      </c>
    </row>
    <row r="1118">
      <c r="A1118">
        <f>Skills!A19</f>
        <v/>
      </c>
      <c r="B1118">
        <f>Skills!B19</f>
        <v/>
      </c>
      <c r="C1118">
        <f>Inputs!$B$3&gt;=50</f>
        <v/>
      </c>
      <c r="D1118">
        <f>IF(Skills!C19=1,60+Inputs!$B$25+Inputs!$B$29,IF(Skills!C19=2,90+Inputs!$B$26+Inputs!$B$29,IF(Skills!C19=3,120+Inputs!$B$27+Inputs!$B$29,MAX(0,(Inputs!$B$3-100)*3)+Inputs!$B$28+Inputs!$B$29)))</f>
        <v/>
      </c>
      <c r="E1118">
        <f>INDEX(FactorTable!$B$2:$Y$301, MATCH(ROUND(MIN(300,MAX(1,D1118)),0), FactorTable!$A$2:$A$301,0), Skills!L19+1)</f>
        <v/>
      </c>
      <c r="F1118">
        <f>IF(Skills!M19=TRUE,(Skills!K19/10)*(E1118/1000),Skills!K19/10)+Skills!N19</f>
        <v/>
      </c>
      <c r="G1118">
        <f>Calc!G19</f>
        <v/>
      </c>
      <c r="H1118">
        <f>Calc!H19</f>
        <v/>
      </c>
      <c r="I1118">
        <f>IF(Skills!T19&lt;&gt;"",1+(Skills!T19/10)*(Z1102/1000)/100,1)</f>
        <v/>
      </c>
      <c r="J1118" t="inlineStr"/>
      <c r="K1118" t="inlineStr"/>
      <c r="L1118" t="inlineStr"/>
      <c r="M1118" t="inlineStr"/>
      <c r="N1118" t="inlineStr"/>
      <c r="O1118">
        <f>(1-Summary!$B$51)*S1118+Summary!$B$51*U1118</f>
        <v/>
      </c>
      <c r="P1118">
        <f>IF(B1135=0,0,O1118/B1135)</f>
        <v/>
      </c>
      <c r="Q1118">
        <f>IFERROR(1/IF(Inputs!$B$38="pvp",15,MAX(0.1,Skills!D19-IF(Skills!E19=TRUE,1.5,0))),0)</f>
        <v/>
      </c>
      <c r="R1118" t="n">
        <v>0</v>
      </c>
      <c r="S1118" t="n">
        <v>0</v>
      </c>
      <c r="U1118" t="n">
        <v>0</v>
      </c>
    </row>
    <row r="1119">
      <c r="A1119">
        <f>Skills!A20</f>
        <v/>
      </c>
      <c r="B1119">
        <f>Skills!B20</f>
        <v/>
      </c>
      <c r="C1119">
        <f>Inputs!$B$3&gt;=74</f>
        <v/>
      </c>
      <c r="D1119">
        <f>IF(Skills!C20=1,60+Inputs!$B$25+Inputs!$B$29,IF(Skills!C20=2,90+Inputs!$B$26+Inputs!$B$29,IF(Skills!C20=3,120+Inputs!$B$27+Inputs!$B$29,MAX(0,(Inputs!$B$3-100)*3)+Inputs!$B$28+Inputs!$B$29)))</f>
        <v/>
      </c>
      <c r="E1119">
        <f>INDEX(FactorTable!$B$2:$Y$301, MATCH(ROUND(MIN(300,MAX(1,D1119)),0), FactorTable!$A$2:$A$301,0), Skills!L20+1)</f>
        <v/>
      </c>
      <c r="F1119">
        <f>IF(Skills!M20=TRUE,(Skills!K20/10)*(E1119/1000),Skills!K20/10)+Skills!N20</f>
        <v/>
      </c>
      <c r="G1119">
        <f>Calc!G20</f>
        <v/>
      </c>
      <c r="H1119">
        <f>Calc!H20</f>
        <v/>
      </c>
      <c r="I1119">
        <f>IF(Skills!T20&lt;&gt;"",1+(Skills!T20/10)*(Z1102/1000)/100,1)</f>
        <v/>
      </c>
      <c r="J1119" t="inlineStr"/>
      <c r="K1119" t="inlineStr"/>
      <c r="L1119" t="inlineStr"/>
      <c r="M1119" t="inlineStr"/>
      <c r="N1119" t="inlineStr"/>
      <c r="O1119">
        <f>(1-Summary!$B$51)*S1119+Summary!$B$51*U1119</f>
        <v/>
      </c>
      <c r="P1119">
        <f>IF(B1135=0,0,O1119/B1135)</f>
        <v/>
      </c>
      <c r="Q1119">
        <f>IFERROR(1/IF(Inputs!$B$38="pvp",15,MAX(0.1,Skills!D20-IF(Skills!E20=TRUE,1.5,0))),0)</f>
        <v/>
      </c>
      <c r="R1119" t="n">
        <v>0</v>
      </c>
      <c r="S1119" t="n">
        <v>0</v>
      </c>
      <c r="U1119" t="n">
        <v>0</v>
      </c>
    </row>
    <row r="1120">
      <c r="A1120">
        <f>Skills!A21</f>
        <v/>
      </c>
      <c r="B1120">
        <f>Skills!B21</f>
        <v/>
      </c>
      <c r="C1120">
        <f>Inputs!$B$3&gt;=74</f>
        <v/>
      </c>
      <c r="D1120">
        <f>IF(Skills!C21=1,60+Inputs!$B$25+Inputs!$B$29,IF(Skills!C21=2,90+Inputs!$B$26+Inputs!$B$29,IF(Skills!C21=3,120+Inputs!$B$27+Inputs!$B$29,MAX(0,(Inputs!$B$3-100)*3)+Inputs!$B$28+Inputs!$B$29)))</f>
        <v/>
      </c>
      <c r="E1120">
        <f>INDEX(FactorTable!$B$2:$Y$301, MATCH(ROUND(MIN(300,MAX(1,D1120)),0), FactorTable!$A$2:$A$301,0), Skills!L21+1)</f>
        <v/>
      </c>
      <c r="F1120">
        <f>IF(Skills!M21=TRUE,(Skills!K21/10)*(E1120/1000),Skills!K21/10)+Skills!N21</f>
        <v/>
      </c>
      <c r="G1120">
        <f>Calc!G21</f>
        <v/>
      </c>
      <c r="H1120">
        <f>Calc!H21</f>
        <v/>
      </c>
      <c r="I1120">
        <f>IF(Skills!T21&lt;&gt;"",1+(Skills!T21/10)*(Z1102/1000)/100,1)</f>
        <v/>
      </c>
      <c r="J1120" t="inlineStr"/>
      <c r="K1120" t="inlineStr"/>
      <c r="L1120" t="inlineStr"/>
      <c r="M1120" t="inlineStr"/>
      <c r="N1120" t="inlineStr"/>
      <c r="O1120">
        <f>(1-Summary!$B$51)*S1120+Summary!$B$51*U1120</f>
        <v/>
      </c>
      <c r="P1120">
        <f>IF(B1135=0,0,O1120/B1135)</f>
        <v/>
      </c>
      <c r="Q1120">
        <f>IFERROR(1/IF(Inputs!$B$38="pvp",15,MAX(0.1,Skills!D21-IF(Skills!E21=TRUE,1.5,0))),0)</f>
        <v/>
      </c>
      <c r="R1120" t="n">
        <v>0</v>
      </c>
      <c r="S1120" t="n">
        <v>0</v>
      </c>
      <c r="U1120" t="n">
        <v>0</v>
      </c>
    </row>
    <row r="1121">
      <c r="A1121">
        <f>Skills!A22</f>
        <v/>
      </c>
      <c r="B1121">
        <f>Skills!B22</f>
        <v/>
      </c>
      <c r="C1121">
        <f>Inputs!$B$3&gt;=117</f>
        <v/>
      </c>
      <c r="D1121">
        <f>IF(Skills!C22=1,60+Inputs!$B$25+Inputs!$B$29,IF(Skills!C22=2,90+Inputs!$B$26+Inputs!$B$29,IF(Skills!C22=3,120+Inputs!$B$27+Inputs!$B$29,MAX(0,(Inputs!$B$3-100)*3)+Inputs!$B$28+Inputs!$B$29)))</f>
        <v/>
      </c>
      <c r="E1121">
        <f>INDEX(FactorTable!$B$2:$Y$301, MATCH(ROUND(MIN(300,MAX(1,D1121)),0), FactorTable!$A$2:$A$301,0), Skills!L22+1)</f>
        <v/>
      </c>
      <c r="F1121">
        <f>IF(Skills!M22=TRUE,(Skills!K22/10)*(E1121/1000),Skills!K22/10)+Skills!N22</f>
        <v/>
      </c>
      <c r="G1121">
        <f>Calc!G22</f>
        <v/>
      </c>
      <c r="H1121">
        <f>Calc!H22</f>
        <v/>
      </c>
      <c r="I1121">
        <f>IF(Skills!T22&lt;&gt;"",1+(Skills!T22/10)*(Z1102/1000)/100,1)</f>
        <v/>
      </c>
      <c r="J1121" t="inlineStr"/>
      <c r="K1121" t="inlineStr"/>
      <c r="L1121" t="inlineStr"/>
      <c r="M1121" t="inlineStr"/>
      <c r="N1121" t="inlineStr"/>
      <c r="O1121">
        <f>(1-Summary!$B$51)*S1121+Summary!$B$51*U1121</f>
        <v/>
      </c>
      <c r="P1121">
        <f>IF(B1135=0,0,O1121/B1135)</f>
        <v/>
      </c>
      <c r="Q1121">
        <f>IFERROR(1/IF(Inputs!$B$38="pvp",15,MAX(0.1,Skills!D22-IF(Skills!E22=TRUE,1.5,0))),0)</f>
        <v/>
      </c>
      <c r="R1121" t="n">
        <v>0</v>
      </c>
      <c r="S1121" t="n">
        <v>0</v>
      </c>
      <c r="U1121" t="n">
        <v>0</v>
      </c>
    </row>
    <row r="1122">
      <c r="A1122">
        <f>Skills!A23</f>
        <v/>
      </c>
      <c r="B1122">
        <f>Skills!B23</f>
        <v/>
      </c>
      <c r="C1122">
        <f>Inputs!$B$3&gt;=120</f>
        <v/>
      </c>
      <c r="D1122">
        <f>IF(Skills!C23=1,60+Inputs!$B$25+Inputs!$B$29,IF(Skills!C23=2,90+Inputs!$B$26+Inputs!$B$29,IF(Skills!C23=3,120+Inputs!$B$27+Inputs!$B$29,MAX(0,(Inputs!$B$3-100)*3)+Inputs!$B$28+Inputs!$B$29)))</f>
        <v/>
      </c>
      <c r="E1122">
        <f>INDEX(FactorTable!$B$2:$Y$301, MATCH(ROUND(MIN(300,MAX(1,D1122)),0), FactorTable!$A$2:$A$301,0), Skills!L23+1)</f>
        <v/>
      </c>
      <c r="F1122">
        <f>IF(Skills!M23=TRUE,(Skills!K23/10)*(E1122/1000),Skills!K23/10)+Skills!N23</f>
        <v/>
      </c>
      <c r="G1122">
        <f>Calc!G23</f>
        <v/>
      </c>
      <c r="H1122">
        <f>Calc!H23</f>
        <v/>
      </c>
      <c r="I1122">
        <f>IF(Skills!T23&lt;&gt;"",1+(Skills!T23/10)*(Z1102/1000)/100,1)</f>
        <v/>
      </c>
      <c r="J1122" t="inlineStr"/>
      <c r="K1122" t="inlineStr"/>
      <c r="L1122" t="inlineStr"/>
      <c r="M1122" t="inlineStr"/>
      <c r="N1122" t="inlineStr"/>
      <c r="O1122">
        <f>(1-Summary!$B$51)*S1122+Summary!$B$51*U1122</f>
        <v/>
      </c>
      <c r="P1122">
        <f>IF(B1135=0,0,O1122/B1135)</f>
        <v/>
      </c>
      <c r="Q1122">
        <f>IFERROR(1/IF(Inputs!$B$38="pvp",15,MAX(0.1,Skills!D23-IF(Skills!E23=TRUE,1.5,0))),0)</f>
        <v/>
      </c>
      <c r="R1122" t="n">
        <v>0</v>
      </c>
      <c r="S1122" t="n">
        <v>0</v>
      </c>
      <c r="U1122" t="n">
        <v>0</v>
      </c>
    </row>
    <row r="1125">
      <c r="A1125" t="inlineStr">
        <is>
          <t>Average Buff Multiplier (Magic Guard + Meditation, summed; then Infinity)</t>
        </is>
      </c>
      <c r="B1125">
        <f>(1+(IF(C1102=TRUE,F1102*IF(AND(Inputs!$B$38&lt;&gt;"pvp",Inputs!$B$43&gt;0),(((R1102-1)*(Skills!S3*(1+(Inputs!$B$34+IF(Inputs!$B$3&gt;=117,F1121,0))/100))+MIN((Skills!S3*(1+(Inputs!$B$34+IF(Inputs!$B$3&gt;=117,F1121,0))/100)),MAX(0,Inputs!$B$43-((R1102-1)*Skills!D3))))/Inputs!$B$43),IF(Inputs!$B$38="pvp",MIN((Skills!S3*(1+(Inputs!$B$34+IF(Inputs!$B$3&gt;=117,F1121,0))/100)),15)/15,(Skills!S3*(1+(Inputs!$B$34+IF(Inputs!$B$3&gt;=117,F1121,0))/100))/Skills!D3)),0)+IF(C1103=TRUE,F1103*IF(AND(Inputs!$B$38&lt;&gt;"pvp",Inputs!$B$43&gt;0),(((R1103-1)*(Skills!S4*(1+(Inputs!$B$34+IF(Inputs!$B$3&gt;=117,F1121,0))/100))+MIN((Skills!S4*(1+(Inputs!$B$34+IF(Inputs!$B$3&gt;=117,F1121,0))/100)),MAX(0,Inputs!$B$43-((R1103-1)*Skills!D4))))/Inputs!$B$43),IF(Inputs!$B$38="pvp",MIN((Skills!S4*(1+(Inputs!$B$34+IF(Inputs!$B$3&gt;=117,F1121,0))/100)),15)/15,(Skills!S4*(1+(Inputs!$B$34+IF(Inputs!$B$3&gt;=117,F1121,0))/100))/Skills!D4)),0))/100)*IF(C1115=TRUE,(1+F1115*IF(AND(Inputs!$B$38&lt;&gt;"pvp",Inputs!$B$43&gt;0),(((R1115-1)*(Skills!S16*(1+(Inputs!$B$34+IF(Inputs!$B$3&gt;=117,F1121,0))/100))+MIN((Skills!S16*(1+(Inputs!$B$34+IF(Inputs!$B$3&gt;=117,F1121,0))/100)),MAX(0,Inputs!$B$43-((R1115-1)*Skills!D16))))/Inputs!$B$43),IF(Inputs!$B$38="pvp",MIN((Skills!S16*(1+(Inputs!$B$34+IF(Inputs!$B$3&gt;=117,F1121,0))/100)),15)/15,(Skills!S16*(1+(Inputs!$B$34+IF(Inputs!$B$3&gt;=117,F1121,0))/100))/Skills!D16))/100),1)</f>
        <v/>
      </c>
    </row>
    <row r="1126">
      <c r="A1126" t="inlineStr">
        <is>
          <t>Monster Damage Taken Bonus % (Freezing Breath - Weaken + Elemental Reset, summed)</t>
        </is>
      </c>
      <c r="B1126">
        <f>IF(Inputs!$B$3&gt;=118,15*IF(Inputs!$B$38="pvp",MIN((30*(1+(Inputs!$B$34+IF(Inputs!$B$3&gt;=117,F1121,0))/100)),15)/15,(30*(1+(Inputs!$B$34+IF(Inputs!$B$3&gt;=117,F1121,0))/100))/Skills!D8),0)+IF(C1113=TRUE,F1113,0)</f>
        <v/>
      </c>
    </row>
    <row r="1127">
      <c r="A1127" t="inlineStr">
        <is>
          <t>Damage % Bonus (Frozen Break + Frost Clutch, flat)</t>
        </is>
      </c>
      <c r="B1127">
        <f>IF(Inputs!$B$3&gt;=66,15,0)+IF(Inputs!$B$3&gt;=98,10,0)+IF(Inputs!$B$3&gt;=125,20,0)</f>
        <v/>
      </c>
    </row>
    <row r="1128">
      <c r="A1128" t="inlineStr">
        <is>
          <t>Attack Speed Bonus % (MP Eater - MP Boost, always-on once unlocked)</t>
        </is>
      </c>
      <c r="B1128">
        <f>IF(C1112=TRUE,F1112+(F1116-Calc!F17),0)</f>
        <v/>
      </c>
    </row>
    <row r="1129">
      <c r="A1129" t="inlineStr">
        <is>
          <t>Actions Per Second</t>
        </is>
      </c>
      <c r="B1129">
        <f>1+MIN(150,150*(1-(1-Inputs!$B$11/150)*(1-B1128/150)))/100</f>
        <v/>
      </c>
    </row>
    <row r="1130">
      <c r="A1130" t="inlineStr">
        <is>
          <t>Skill + Buff Cast Rate</t>
        </is>
      </c>
      <c r="B1130">
        <f>IF(AND(Inputs!$B$38&lt;&gt;"pvp",Inputs!$B$43&gt;0),SUMPRODUCT((Skills!E2:E23=TRUE)*(C1101:C1122=TRUE)*R1101:R1122)/Inputs!$B$43,SUMPRODUCT((Skills!E2:E23=TRUE)*(C1101:C1122=TRUE)*Q1101:Q1122))</f>
        <v/>
      </c>
    </row>
    <row r="1131">
      <c r="A1131" t="inlineStr">
        <is>
          <t>Chain Lightning Casts Per Second</t>
        </is>
      </c>
      <c r="B1131">
        <f>MAX(0,B1129-B1130)</f>
        <v/>
      </c>
    </row>
    <row r="1132">
      <c r="A1132" t="inlineStr">
        <is>
          <t>Buff-Casting Startup Delay (s, fixed-duration only)</t>
        </is>
      </c>
      <c r="B1132">
        <f>IF(AND(Inputs!$B$38&lt;&gt;"pvp",Inputs!$B$43&gt;0),SUMPRODUCT((Skills!S2:S23&gt;0)*(Skills!E2:E23=TRUE)*(C1101:C1122=TRUE))/B1129,0)</f>
        <v/>
      </c>
    </row>
    <row r="1133">
      <c r="A1133" t="inlineStr">
        <is>
          <t>Boss-Only Total DPS (this block's swept value)</t>
        </is>
      </c>
      <c r="B1133">
        <f>SUM(S1101:S1122)</f>
        <v/>
      </c>
    </row>
    <row r="1134">
      <c r="A1134" t="inlineStr">
        <is>
          <t>Normal-Only Total DPS (this block's swept value)</t>
        </is>
      </c>
      <c r="B1134">
        <f>SUM(U1101:U1122)</f>
        <v/>
      </c>
    </row>
    <row r="1135">
      <c r="A1135" s="5" t="inlineStr">
        <is>
          <t>TOTAL DPS</t>
        </is>
      </c>
      <c r="B1135" s="5">
        <f>SUM(O1101:O1122)</f>
        <v/>
      </c>
    </row>
    <row r="1138">
      <c r="A1138" s="5" t="inlineStr">
        <is>
          <t>Stat: CDR = 2.0s</t>
        </is>
      </c>
    </row>
    <row r="1139">
      <c r="A1139" s="9" t="inlineStr">
        <is>
          <t>Key</t>
        </is>
      </c>
      <c r="B1139" s="9" t="inlineStr">
        <is>
          <t>Name</t>
        </is>
      </c>
      <c r="C1139" s="9" t="inlineStr">
        <is>
          <t>Unlocked</t>
        </is>
      </c>
      <c r="D1139" s="9" t="inlineStr">
        <is>
          <t>InputLevel</t>
        </is>
      </c>
      <c r="E1139" s="9" t="inlineStr">
        <is>
          <t>Factor</t>
        </is>
      </c>
      <c r="F1139" s="9" t="inlineStr">
        <is>
          <t>CoefficientPercent</t>
        </is>
      </c>
      <c r="G1139" s="9" t="inlineStr">
        <is>
          <t>EffectiveHits</t>
        </is>
      </c>
      <c r="H1139" s="9" t="inlineStr">
        <is>
          <t>ProcProbability</t>
        </is>
      </c>
      <c r="I1139" s="9" t="inlineStr">
        <is>
          <t>MapleHeroMultiplier</t>
        </is>
      </c>
      <c r="J1139" s="9" t="inlineStr">
        <is>
          <t>BaseDamage</t>
        </is>
      </c>
      <c r="K1139" s="9" t="inlineStr">
        <is>
          <t>BaseHitDamage</t>
        </is>
      </c>
      <c r="L1139" s="9" t="inlineStr">
        <is>
          <t>NonCritAvg</t>
        </is>
      </c>
      <c r="M1139" s="9" t="inlineStr">
        <is>
          <t>CritAvg</t>
        </is>
      </c>
      <c r="N1139" s="9" t="inlineStr">
        <is>
          <t>ExpectedDamage(perHit)</t>
        </is>
      </c>
      <c r="O1139" s="9" t="inlineStr">
        <is>
          <t>DPS</t>
        </is>
      </c>
      <c r="P1139" s="9" t="inlineStr">
        <is>
          <t>% of Total</t>
        </is>
      </c>
      <c r="R1139" t="inlineStr">
        <is>
          <t>helpers</t>
        </is>
      </c>
    </row>
    <row r="1140">
      <c r="A1140">
        <f>Skills!A2</f>
        <v/>
      </c>
      <c r="B1140">
        <f>Skills!B2</f>
        <v/>
      </c>
      <c r="C1140">
        <f>Inputs!$B$3&gt;=100</f>
        <v/>
      </c>
      <c r="D1140" t="inlineStr"/>
      <c r="E1140" t="inlineStr"/>
      <c r="F1140">
        <f>T1142+Skills!N2</f>
        <v/>
      </c>
      <c r="G1140">
        <f>Calc!G2</f>
        <v/>
      </c>
      <c r="H1140">
        <f>Calc!H2</f>
        <v/>
      </c>
      <c r="I1140">
        <f>IF(Skills!T2&lt;&gt;"",1+(Skills!T2/10)*(Z1141/1000)/100,1)</f>
        <v/>
      </c>
      <c r="J1140">
        <f>((Inputs!$B$6*(1+Inputs!$B$7/100))+(((Inputs!$B$12*(1+Inputs!$B$13/100))-(Inputs!$B$12*(1+Inputs!$B$13/100)))+0.25*(Inputs!$B$14-Inputs!$B$14))*(1+Inputs!$B$7/100))*(F1140/100)</f>
        <v/>
      </c>
      <c r="K1140">
        <f>J1140*(1+((Inputs!$B$12*(1+Inputs!$B$13/100))*0.01+Inputs!$B$14*0.0025)/100)*(1+(Inputs!$B$15+B1166)/100)*(1+Inputs!$B$16/100)*(5000/(6000+Inputs!$B$42*(1-Inputs!$B$19/100)))*(1+Inputs!$B$24/100)*(1+IF(C1153=TRUE,F1153,0)/100)*(1+IF(C1161=TRUE,F1161,0)/100)^5*(1+(IF(Skills!A2="CHAIN_LIGHTNING",Inputs!$B$17,Inputs!$B$18))/100)*(B1164*I1140)</f>
        <v/>
      </c>
      <c r="L1140">
        <f>K1140*(MIN(Inputs!$B$22+(F1156-Calc!F18),Inputs!$B$23)/100+Inputs!$B$23/100)/2</f>
        <v/>
      </c>
      <c r="M1140">
        <f>L1140*(1+(Inputs!$B$10+(F1159-Calc!F21))/100)</f>
        <v/>
      </c>
      <c r="N1140">
        <f>L1140*(1-MIN(Inputs!$B$9+((F1158-Calc!F20)+(F1157-Calc!F19)),100)/100)+M1140*(MIN(Inputs!$B$9+((F1158-Calc!F20)+(F1157-Calc!F19)),100)/100)</f>
        <v/>
      </c>
      <c r="O1140">
        <f>(1-Summary!$B$51)*S1140+Summary!$B$51*U1140</f>
        <v/>
      </c>
      <c r="P1140">
        <f>IF(B1174=0,0,O1140/B1174)</f>
        <v/>
      </c>
      <c r="Q1140">
        <f>IFERROR(1/IF(Inputs!$B$38="pvp",15,MAX(0.1,Skills!D2-IF(Skills!E2=TRUE,2.0,0))),0)</f>
        <v/>
      </c>
      <c r="R1140" t="n">
        <v>0</v>
      </c>
      <c r="S1140">
        <f>IF(C1140,(Skills!F2*N1140*B1170)*IF(Inputs!$B$38="pvp",1,1+(Inputs!$B$20+Skills!O2+B1165)/100),0)</f>
        <v/>
      </c>
      <c r="T1140">
        <f>MAX(0,(Inputs!$B$3-100)*3)+Inputs!$B$28+Inputs!$B$29</f>
        <v/>
      </c>
      <c r="U1140">
        <f>IF(C1140,(Skills!F2*N1140*B1170)*IF(Inputs!$B$38="pvp",1,(1+(Inputs!$B$21+Skills!P2+B1165)/100)*(MIN((6+Inputs!$B$33),Inputs!$B$37))),0)</f>
        <v/>
      </c>
      <c r="Z1140">
        <f>MAX(0,(Inputs!$B$3-100)*3)+Inputs!$B$28+Inputs!$B$29</f>
        <v/>
      </c>
    </row>
    <row r="1141">
      <c r="A1141">
        <f>Skills!A3</f>
        <v/>
      </c>
      <c r="B1141">
        <f>Skills!B3</f>
        <v/>
      </c>
      <c r="C1141">
        <f>Inputs!$B$3&gt;=15</f>
        <v/>
      </c>
      <c r="D1141">
        <f>IF(Skills!C3=1,60+Inputs!$B$25+Inputs!$B$29,IF(Skills!C3=2,90+Inputs!$B$26+Inputs!$B$29,IF(Skills!C3=3,120+Inputs!$B$27+Inputs!$B$29,MAX(0,(Inputs!$B$3-100)*3)+Inputs!$B$28+Inputs!$B$29)))</f>
        <v/>
      </c>
      <c r="E1141">
        <f>INDEX(FactorTable!$B$2:$Y$301, MATCH(ROUND(MIN(300,MAX(1,D1141)),0), FactorTable!$A$2:$A$301,0), Skills!L3+1)</f>
        <v/>
      </c>
      <c r="F1141">
        <f>IF(Skills!M3=TRUE,(Skills!K3/10)*(E1141/1000),Skills!K3/10)+Skills!N3</f>
        <v/>
      </c>
      <c r="G1141">
        <f>Calc!G3</f>
        <v/>
      </c>
      <c r="H1141">
        <f>Calc!H3</f>
        <v/>
      </c>
      <c r="I1141">
        <f>IF(Skills!T3&lt;&gt;"",1+(Skills!T3/10)*(Z1141/1000)/100,1)</f>
        <v/>
      </c>
      <c r="J1141" t="inlineStr"/>
      <c r="K1141" t="inlineStr"/>
      <c r="L1141" t="inlineStr"/>
      <c r="M1141" t="inlineStr"/>
      <c r="N1141" t="inlineStr"/>
      <c r="O1141">
        <f>(1-Summary!$B$51)*S1141+Summary!$B$51*U1141</f>
        <v/>
      </c>
      <c r="P1141">
        <f>IF(B1174=0,0,O1141/B1174)</f>
        <v/>
      </c>
      <c r="Q1141">
        <f>IFERROR(1/IF(Inputs!$B$38="pvp",15,MAX(0.1,Skills!D3-IF(Skills!E3=TRUE,2.0,0))),0)</f>
        <v/>
      </c>
      <c r="R1141">
        <f>IF(AND(Inputs!$B$38&lt;&gt;"pvp",Inputs!$B$43&gt;0),IF(Inputs!$B$43&lt;=0,0,(INT(Inputs!$B$43/IF(Inputs!$B$38="pvp",15,MAX(0.1,Skills!D3-IF(Skills!E3=TRUE,2.0,0))))+1)),0)</f>
        <v/>
      </c>
      <c r="S1141" t="n">
        <v>0</v>
      </c>
      <c r="T1141">
        <f>INDEX(FactorTable!$B$2:$Y$301, MATCH(ROUND(MIN(300,MAX(1,T1140)),0), FactorTable!$A$2:$A$301,0), 22)</f>
        <v/>
      </c>
      <c r="U1141" t="n">
        <v>0</v>
      </c>
      <c r="Z1141">
        <f>INDEX(FactorTable!$B$2:$Y$301, MATCH(ROUND(MIN(300,MAX(1,Z1140)),0), FactorTable!$A$2:$A$301,0), 24)</f>
        <v/>
      </c>
    </row>
    <row r="1142">
      <c r="A1142">
        <f>Skills!A4</f>
        <v/>
      </c>
      <c r="B1142">
        <f>Skills!B4</f>
        <v/>
      </c>
      <c r="C1142">
        <f>Inputs!$B$3&gt;=40</f>
        <v/>
      </c>
      <c r="D1142">
        <f>IF(Skills!C4=1,60+Inputs!$B$25+Inputs!$B$29,IF(Skills!C4=2,90+Inputs!$B$26+Inputs!$B$29,IF(Skills!C4=3,120+Inputs!$B$27+Inputs!$B$29,MAX(0,(Inputs!$B$3-100)*3)+Inputs!$B$28+Inputs!$B$29)))</f>
        <v/>
      </c>
      <c r="E1142">
        <f>INDEX(FactorTable!$B$2:$Y$301, MATCH(ROUND(MIN(300,MAX(1,D1142)),0), FactorTable!$A$2:$A$301,0), Skills!L4+1)</f>
        <v/>
      </c>
      <c r="F1142">
        <f>IF(Skills!M4=TRUE,(Skills!K4/10)*(E1142/1000),Skills!K4/10)+Skills!N4</f>
        <v/>
      </c>
      <c r="G1142">
        <f>Calc!G4</f>
        <v/>
      </c>
      <c r="H1142">
        <f>Calc!H4</f>
        <v/>
      </c>
      <c r="I1142">
        <f>IF(Skills!T4&lt;&gt;"",1+(Skills!T4/10)*(Z1141/1000)/100,1)</f>
        <v/>
      </c>
      <c r="J1142" t="inlineStr"/>
      <c r="K1142" t="inlineStr"/>
      <c r="L1142" t="inlineStr"/>
      <c r="M1142" t="inlineStr"/>
      <c r="N1142" t="inlineStr"/>
      <c r="O1142">
        <f>(1-Summary!$B$51)*S1142+Summary!$B$51*U1142</f>
        <v/>
      </c>
      <c r="P1142">
        <f>IF(B1174=0,0,O1142/B1174)</f>
        <v/>
      </c>
      <c r="Q1142">
        <f>IFERROR(1/IF(Inputs!$B$38="pvp",15,MAX(0.1,Skills!D4-IF(Skills!E4=TRUE,2.0,0))),0)</f>
        <v/>
      </c>
      <c r="R1142">
        <f>IF(AND(Inputs!$B$38&lt;&gt;"pvp",Inputs!$B$43&gt;0),IF(Inputs!$B$43&lt;=0,0,(INT(Inputs!$B$43/IF(Inputs!$B$38="pvp",15,MAX(0.1,Skills!D4-IF(Skills!E4=TRUE,2.0,0))))+1)),0)</f>
        <v/>
      </c>
      <c r="S1142" t="n">
        <v>0</v>
      </c>
      <c r="T1142">
        <f>290*T1141/1000</f>
        <v/>
      </c>
      <c r="U1142" t="n">
        <v>0</v>
      </c>
    </row>
    <row r="1143">
      <c r="A1143">
        <f>Skills!A5</f>
        <v/>
      </c>
      <c r="B1143">
        <f>Skills!B5</f>
        <v/>
      </c>
      <c r="C1143">
        <f>Inputs!$B$3&gt;=38</f>
        <v/>
      </c>
      <c r="D1143">
        <f>IF(Skills!C5=1,60+Inputs!$B$25+Inputs!$B$29,IF(Skills!C5=2,90+Inputs!$B$26+Inputs!$B$29,IF(Skills!C5=3,120+Inputs!$B$27+Inputs!$B$29,MAX(0,(Inputs!$B$3-100)*3)+Inputs!$B$28+Inputs!$B$29)))</f>
        <v/>
      </c>
      <c r="E1143">
        <f>INDEX(FactorTable!$B$2:$Y$301, MATCH(ROUND(MIN(300,MAX(1,D1143)),0), FactorTable!$A$2:$A$301,0), Skills!L5+1)</f>
        <v/>
      </c>
      <c r="F1143">
        <f>IF(Skills!M5=TRUE,(Skills!K5/10)*(E1143/1000),Skills!K5/10)+Skills!N5</f>
        <v/>
      </c>
      <c r="G1143">
        <f>Calc!G5</f>
        <v/>
      </c>
      <c r="H1143">
        <f>Calc!H5</f>
        <v/>
      </c>
      <c r="I1143">
        <f>IF(Skills!T5&lt;&gt;"",1+(Skills!T5/10)*(Z1141/1000)/100,1)</f>
        <v/>
      </c>
      <c r="J1143">
        <f>((Inputs!$B$6*(1+Inputs!$B$7/100))+(((Inputs!$B$12*(1+Inputs!$B$13/100))-(Inputs!$B$12*(1+Inputs!$B$13/100)))+0.25*(Inputs!$B$14-Inputs!$B$14))*(1+Inputs!$B$7/100))*(F1143/100)</f>
        <v/>
      </c>
      <c r="K1143">
        <f>J1143*(1+((Inputs!$B$12*(1+Inputs!$B$13/100))*0.01+Inputs!$B$14*0.0025)/100)*(1+(Inputs!$B$15+B1166)/100)*(1+Inputs!$B$16/100)*(5000/(6000+Inputs!$B$42*(1-Inputs!$B$19/100)))*(1+Inputs!$B$24/100)*(1+IF(C1153=TRUE,F1153,0)/100)*(1+IF(C1161=TRUE,F1161,0)/100)^5*(1+(IF(Skills!A5="CHAIN_LIGHTNING",Inputs!$B$17,Inputs!$B$18))/100)*(B1164*I1143)</f>
        <v/>
      </c>
      <c r="L1143">
        <f>K1143*(MIN(Inputs!$B$22+(F1156-Calc!F18),Inputs!$B$23)/100+Inputs!$B$23/100)/2</f>
        <v/>
      </c>
      <c r="M1143">
        <f>L1143*(1+(Inputs!$B$10+(F1159-Calc!F21))/100)</f>
        <v/>
      </c>
      <c r="N1143">
        <f>L1143*(1-MIN(Inputs!$B$9+((F1158-Calc!F20)+(F1157-Calc!F19)),100)/100)+M1143*(MIN(Inputs!$B$9+((F1158-Calc!F20)+(F1157-Calc!F19)),100)/100)</f>
        <v/>
      </c>
      <c r="O1143">
        <f>(1-Summary!$B$51)*S1143+Summary!$B$51*U1143</f>
        <v/>
      </c>
      <c r="P1143">
        <f>IF(B1174=0,0,O1143/B1174)</f>
        <v/>
      </c>
      <c r="Q1143">
        <f>IFERROR(1/IF(Inputs!$B$38="pvp",15,MAX(0.1,Skills!D5-IF(Skills!E5=TRUE,2.0,0))),0)</f>
        <v/>
      </c>
      <c r="R1143">
        <f>IF(AND(Inputs!$B$38&lt;&gt;"pvp",Inputs!$B$43&gt;0),IF(MAX(0,Inputs!$B$43-B1171)&lt;=0,0,(INT(MAX(0,Inputs!$B$43-B1171)/IF(Inputs!$B$38="pvp",15,MAX(0.1,Skills!D5-IF(Skills!E5=TRUE,2.0,0))))+1)),0)</f>
        <v/>
      </c>
      <c r="S1143">
        <f>IF(C1143,(H1143*N1143*IF(AND(Inputs!$B$38&lt;&gt;"pvp",Inputs!$B$43&gt;0),((Skills!F5*((R1143-1)*IF(Skills!G5&gt;0,Skills!H5/Skills!G5,1)+IF(Skills!G5&gt;0,MIN(Skills!H5,MAX(0,MAX(0,Inputs!$B$43-B1171)-((R1143-1)*IF(Inputs!$B$38="pvp",15,MAX(0.1,Skills!D5-IF(Skills!E5=TRUE,2.0,0))))))/Skills!G5,1)))/Inputs!$B$43),G1143*Q1143))*IF(Inputs!$B$38="pvp",1,1+(Inputs!$B$20+Skills!O5+B1165)/100),0)</f>
        <v/>
      </c>
      <c r="U1143">
        <f>IF(C1143,(H1143*N1143*IF(AND(Inputs!$B$38&lt;&gt;"pvp",Inputs!$B$43&gt;0),((Skills!F5*((R1143-1)*IF(Skills!G5&gt;0,Skills!H5/Skills!G5,1)+IF(Skills!G5&gt;0,MIN(Skills!H5,MAX(0,MAX(0,Inputs!$B$43-B1171)-((R1143-1)*IF(Inputs!$B$38="pvp",15,MAX(0.1,Skills!D5-IF(Skills!E5=TRUE,2.0,0))))))/Skills!G5,1)))/Inputs!$B$43),G1143*Q1143))*IF(Inputs!$B$38="pvp",1,(1+(Inputs!$B$21+Skills!P5+B1165)/100)*(MIN(Skills!Q5,Inputs!$B$37))),0)</f>
        <v/>
      </c>
    </row>
    <row r="1144">
      <c r="A1144">
        <f>Skills!A6</f>
        <v/>
      </c>
      <c r="B1144">
        <f>Skills!B6</f>
        <v/>
      </c>
      <c r="C1144">
        <f>Inputs!$B$3&gt;=63</f>
        <v/>
      </c>
      <c r="D1144">
        <f>IF(Skills!C6=1,60+Inputs!$B$25+Inputs!$B$29,IF(Skills!C6=2,90+Inputs!$B$26+Inputs!$B$29,IF(Skills!C6=3,120+Inputs!$B$27+Inputs!$B$29,MAX(0,(Inputs!$B$3-100)*3)+Inputs!$B$28+Inputs!$B$29)))</f>
        <v/>
      </c>
      <c r="E1144">
        <f>INDEX(FactorTable!$B$2:$Y$301, MATCH(ROUND(MIN(300,MAX(1,D1144)),0), FactorTable!$A$2:$A$301,0), Skills!L6+1)</f>
        <v/>
      </c>
      <c r="F1144">
        <f>IF(Skills!M6=TRUE,(Skills!K6/10)*(E1144/1000),Skills!K6/10)+Skills!N6</f>
        <v/>
      </c>
      <c r="G1144">
        <f>Calc!G6</f>
        <v/>
      </c>
      <c r="H1144">
        <f>Calc!H6</f>
        <v/>
      </c>
      <c r="I1144">
        <f>IF(Skills!T6&lt;&gt;"",1+(Skills!T6/10)*(Z1141/1000)/100,1)</f>
        <v/>
      </c>
      <c r="J1144">
        <f>((Inputs!$B$6*(1+Inputs!$B$7/100))+(((Inputs!$B$12*(1+Inputs!$B$13/100))-(Inputs!$B$12*(1+Inputs!$B$13/100)))+0.25*(Inputs!$B$14-Inputs!$B$14))*(1+Inputs!$B$7/100))*(F1144/100)</f>
        <v/>
      </c>
      <c r="K1144">
        <f>J1144*(1+((Inputs!$B$12*(1+Inputs!$B$13/100))*0.01+Inputs!$B$14*0.0025)/100)*(1+(Inputs!$B$15+B1166)/100)*(1+Inputs!$B$16/100)*(5000/(6000+Inputs!$B$42*(1-Inputs!$B$19/100)))*(1+Inputs!$B$24/100)*(1+IF(C1153=TRUE,F1153,0)/100)*(1+IF(C1161=TRUE,F1161,0)/100)^5*(1+(IF(Skills!A6="CHAIN_LIGHTNING",Inputs!$B$17,Inputs!$B$18))/100)*(B1164*I1144)</f>
        <v/>
      </c>
      <c r="L1144">
        <f>K1144*(MIN(Inputs!$B$22+(F1156-Calc!F18),Inputs!$B$23)/100+Inputs!$B$23/100)/2</f>
        <v/>
      </c>
      <c r="M1144">
        <f>L1144*(1+(Inputs!$B$10+(F1159-Calc!F21))/100)</f>
        <v/>
      </c>
      <c r="N1144">
        <f>L1144*(1-MIN(Inputs!$B$9+((F1158-Calc!F20)+(F1157-Calc!F19)),100)/100)+M1144*(MIN(Inputs!$B$9+((F1158-Calc!F20)+(F1157-Calc!F19)),100)/100)</f>
        <v/>
      </c>
      <c r="O1144">
        <f>(1-Summary!$B$51)*S1144+Summary!$B$51*U1144</f>
        <v/>
      </c>
      <c r="P1144">
        <f>IF(B1174=0,0,O1144/B1174)</f>
        <v/>
      </c>
      <c r="Q1144">
        <f>IFERROR(1/IF(Inputs!$B$38="pvp",15,MAX(0.1,Skills!D6-IF(Skills!E6=TRUE,2.0,0))),0)</f>
        <v/>
      </c>
      <c r="R1144">
        <f>IF(AND(Inputs!$B$38&lt;&gt;"pvp",Inputs!$B$43&gt;0),IF(MAX(0,Inputs!$B$43-B1171)&lt;=0,0,(INT(MAX(0,Inputs!$B$43-B1171)/IF(Inputs!$B$38="pvp",15,MAX(0.1,Skills!D6-IF(Skills!E6=TRUE,2.0,0))))+1)),0)</f>
        <v/>
      </c>
      <c r="S1144">
        <f>IF(C1144,(H1144*N1144*IF(AND(Inputs!$B$38&lt;&gt;"pvp",Inputs!$B$43&gt;0),((Skills!F6*((R1144-1)*IF(Skills!G6&gt;0,Skills!H6/Skills!G6,1)+IF(Skills!G6&gt;0,MIN(Skills!H6,MAX(0,MAX(0,Inputs!$B$43-B1171)-((R1144-1)*IF(Inputs!$B$38="pvp",15,MAX(0.1,Skills!D6-IF(Skills!E6=TRUE,2.0,0))))))/Skills!G6,1)))/Inputs!$B$43),G1144*Q1144))*IF(Inputs!$B$38="pvp",1,1+(Inputs!$B$20+Skills!O6+B1165)/100),0)</f>
        <v/>
      </c>
      <c r="U1144">
        <f>IF(C1144,(H1144*N1144*IF(AND(Inputs!$B$38&lt;&gt;"pvp",Inputs!$B$43&gt;0),((Skills!F6*((R1144-1)*IF(Skills!G6&gt;0,Skills!H6/Skills!G6,1)+IF(Skills!G6&gt;0,MIN(Skills!H6,MAX(0,MAX(0,Inputs!$B$43-B1171)-((R1144-1)*IF(Inputs!$B$38="pvp",15,MAX(0.1,Skills!D6-IF(Skills!E6=TRUE,2.0,0))))))/Skills!G6,1)))/Inputs!$B$43),G1144*Q1144))*IF(Inputs!$B$38="pvp",1,(1+(Inputs!$B$21+Skills!P6+B1165)/100)*(MIN(Skills!Q6,Inputs!$B$37))),0)</f>
        <v/>
      </c>
    </row>
    <row r="1145">
      <c r="A1145">
        <f>Skills!A7</f>
        <v/>
      </c>
      <c r="B1145">
        <f>Skills!B7</f>
        <v/>
      </c>
      <c r="C1145">
        <f>Inputs!$B$3&gt;=69</f>
        <v/>
      </c>
      <c r="D1145">
        <f>IF(Skills!C7=1,60+Inputs!$B$25+Inputs!$B$29,IF(Skills!C7=2,90+Inputs!$B$26+Inputs!$B$29,IF(Skills!C7=3,120+Inputs!$B$27+Inputs!$B$29,MAX(0,(Inputs!$B$3-100)*3)+Inputs!$B$28+Inputs!$B$29)))</f>
        <v/>
      </c>
      <c r="E1145">
        <f>INDEX(FactorTable!$B$2:$Y$301, MATCH(ROUND(MIN(300,MAX(1,D1145)),0), FactorTable!$A$2:$A$301,0), Skills!L7+1)</f>
        <v/>
      </c>
      <c r="F1145">
        <f>IF(Skills!M7=TRUE,(Skills!K7/10)*(E1145/1000),Skills!K7/10)+Skills!N7</f>
        <v/>
      </c>
      <c r="G1145">
        <f>Calc!G7</f>
        <v/>
      </c>
      <c r="H1145">
        <f>Calc!H7</f>
        <v/>
      </c>
      <c r="I1145">
        <f>IF(Skills!T7&lt;&gt;"",1+(Skills!T7/10)*(Z1141/1000)/100,1)</f>
        <v/>
      </c>
      <c r="J1145">
        <f>((Inputs!$B$6*(1+Inputs!$B$7/100))+(((Inputs!$B$12*(1+Inputs!$B$13/100))-(Inputs!$B$12*(1+Inputs!$B$13/100)))+0.25*(Inputs!$B$14-Inputs!$B$14))*(1+Inputs!$B$7/100))*(F1145/100)</f>
        <v/>
      </c>
      <c r="K1145">
        <f>J1145*(1+((Inputs!$B$12*(1+Inputs!$B$13/100))*0.01+Inputs!$B$14*0.0025)/100)*(1+(Inputs!$B$15+B1166)/100)*(1+Inputs!$B$16/100)*(5000/(6000+Inputs!$B$42*(1-Inputs!$B$19/100)))*(1+Inputs!$B$24/100)*(1+IF(C1153=TRUE,F1153,0)/100)*(1+IF(C1161=TRUE,F1161,0)/100)^5*(1+(IF(Skills!A7="CHAIN_LIGHTNING",Inputs!$B$17,Inputs!$B$18))/100)*(B1164*I1145)</f>
        <v/>
      </c>
      <c r="L1145">
        <f>K1145*(MIN(Inputs!$B$22+(F1156-Calc!F18),Inputs!$B$23)/100+Inputs!$B$23/100)/2</f>
        <v/>
      </c>
      <c r="M1145">
        <f>L1145*(1+(Inputs!$B$10+(F1159-Calc!F21))/100)</f>
        <v/>
      </c>
      <c r="N1145">
        <f>L1145*(1-MIN(Inputs!$B$9+((F1158-Calc!F20)+(F1157-Calc!F19)),100)/100)+M1145*(MIN(Inputs!$B$9+((F1158-Calc!F20)+(F1157-Calc!F19)),100)/100)</f>
        <v/>
      </c>
      <c r="O1145">
        <f>(1-Summary!$B$51)*S1145+Summary!$B$51*U1145</f>
        <v/>
      </c>
      <c r="P1145">
        <f>IF(B1174=0,0,O1145/B1174)</f>
        <v/>
      </c>
      <c r="Q1145">
        <f>IFERROR(1/IF(Inputs!$B$38="pvp",15,MAX(0.1,Skills!D7-IF(Skills!E7=TRUE,2.0,0))),0)</f>
        <v/>
      </c>
      <c r="R1145">
        <f>IF(AND(Inputs!$B$38&lt;&gt;"pvp",Inputs!$B$43&gt;0),IF(MAX(0,Inputs!$B$43-B1171)&lt;=0,0,(INT(MAX(0,Inputs!$B$43-B1171)/IF(Inputs!$B$38="pvp",15,MAX(0.1,Skills!D7-IF(Skills!E7=TRUE,2.0,0))))+1)),0)</f>
        <v/>
      </c>
      <c r="S1145">
        <f>IF(C1145,(H1145*N1145*IF(AND(Inputs!$B$38&lt;&gt;"pvp",Inputs!$B$43&gt;0),((Skills!F7*((R1145-1)*IF(Skills!G7&gt;0,Skills!H7/Skills!G7,1)+IF(Skills!G7&gt;0,MIN(Skills!H7,MAX(0,MAX(0,Inputs!$B$43-B1171)-((R1145-1)*IF(Inputs!$B$38="pvp",15,MAX(0.1,Skills!D7-IF(Skills!E7=TRUE,2.0,0))))))/Skills!G7,1)))/Inputs!$B$43),G1145*Q1145))*IF(Inputs!$B$38="pvp",1,1+(Inputs!$B$20+Skills!O7+B1165)/100),0)</f>
        <v/>
      </c>
      <c r="U1145">
        <f>IF(C1145,(H1145*N1145*IF(AND(Inputs!$B$38&lt;&gt;"pvp",Inputs!$B$43&gt;0),((Skills!F7*((R1145-1)*IF(Skills!G7&gt;0,Skills!H7/Skills!G7,1)+IF(Skills!G7&gt;0,MIN(Skills!H7,MAX(0,MAX(0,Inputs!$B$43-B1171)-((R1145-1)*IF(Inputs!$B$38="pvp",15,MAX(0.1,Skills!D7-IF(Skills!E7=TRUE,2.0,0))))))/Skills!G7,1)))/Inputs!$B$43),G1145*Q1145))*IF(Inputs!$B$38="pvp",1,(1+(Inputs!$B$21+Skills!P7+B1165)/100)*(MIN(Skills!Q7,Inputs!$B$37))),0)</f>
        <v/>
      </c>
    </row>
    <row r="1146">
      <c r="A1146">
        <f>Skills!A8</f>
        <v/>
      </c>
      <c r="B1146">
        <f>Skills!B8</f>
        <v/>
      </c>
      <c r="C1146">
        <f>Inputs!$B$3&gt;=103</f>
        <v/>
      </c>
      <c r="D1146">
        <f>IF(Skills!C8=1,60+Inputs!$B$25+Inputs!$B$29,IF(Skills!C8=2,90+Inputs!$B$26+Inputs!$B$29,IF(Skills!C8=3,120+Inputs!$B$27+Inputs!$B$29,MAX(0,(Inputs!$B$3-100)*3)+Inputs!$B$28+Inputs!$B$29)))</f>
        <v/>
      </c>
      <c r="E1146">
        <f>INDEX(FactorTable!$B$2:$Y$301, MATCH(ROUND(MIN(300,MAX(1,D1146)),0), FactorTable!$A$2:$A$301,0), Skills!L8+1)</f>
        <v/>
      </c>
      <c r="F1146">
        <f>IF(Skills!M8=TRUE,(Skills!K8/10)*(E1146/1000),Skills!K8/10)+Skills!N8</f>
        <v/>
      </c>
      <c r="G1146">
        <f>Calc!G8</f>
        <v/>
      </c>
      <c r="H1146">
        <f>Calc!H8</f>
        <v/>
      </c>
      <c r="I1146">
        <f>IF(Skills!T8&lt;&gt;"",1+(Skills!T8/10)*(Z1141/1000)/100,1)</f>
        <v/>
      </c>
      <c r="J1146">
        <f>((Inputs!$B$6*(1+Inputs!$B$7/100))+(((Inputs!$B$12*(1+Inputs!$B$13/100))-(Inputs!$B$12*(1+Inputs!$B$13/100)))+0.25*(Inputs!$B$14-Inputs!$B$14))*(1+Inputs!$B$7/100))*(F1146/100)</f>
        <v/>
      </c>
      <c r="K1146">
        <f>J1146*(1+((Inputs!$B$12*(1+Inputs!$B$13/100))*0.01+Inputs!$B$14*0.0025)/100)*(1+(Inputs!$B$15+B1166)/100)*(1+Inputs!$B$16/100)*(5000/(6000+Inputs!$B$42*(1-Inputs!$B$19/100)))*(1+Inputs!$B$24/100)*(1+IF(C1153=TRUE,F1153,0)/100)*(1+IF(C1161=TRUE,F1161,0)/100)^5*(1+(IF(Skills!A8="CHAIN_LIGHTNING",Inputs!$B$17,Inputs!$B$18))/100)*(B1164*I1146)</f>
        <v/>
      </c>
      <c r="L1146">
        <f>K1146*(MIN(Inputs!$B$22+(F1156-Calc!F18),Inputs!$B$23)/100+Inputs!$B$23/100)/2</f>
        <v/>
      </c>
      <c r="M1146">
        <f>L1146*(1+(Inputs!$B$10+(F1159-Calc!F21))/100)</f>
        <v/>
      </c>
      <c r="N1146">
        <f>L1146*(1-MIN(Inputs!$B$9+((F1158-Calc!F20)+(F1157-Calc!F19)),100)/100)+M1146*(MIN(Inputs!$B$9+((F1158-Calc!F20)+(F1157-Calc!F19)),100)/100)</f>
        <v/>
      </c>
      <c r="O1146">
        <f>(1-Summary!$B$51)*S1146+Summary!$B$51*U1146</f>
        <v/>
      </c>
      <c r="P1146">
        <f>IF(B1174=0,0,O1146/B1174)</f>
        <v/>
      </c>
      <c r="Q1146">
        <f>IFERROR(1/IF(Inputs!$B$38="pvp",15,MAX(0.1,Skills!D8-IF(Skills!E8=TRUE,2.0,0))),0)</f>
        <v/>
      </c>
      <c r="R1146">
        <f>IF(AND(Inputs!$B$38&lt;&gt;"pvp",Inputs!$B$43&gt;0),IF(MAX(0,Inputs!$B$43-B1171)&lt;=0,0,(INT(MAX(0,Inputs!$B$43-B1171)/IF(Inputs!$B$38="pvp",15,MAX(0.1,Skills!D8-IF(Skills!E8=TRUE,2.0,0))))+1)),0)</f>
        <v/>
      </c>
      <c r="S1146">
        <f>IF(C1146,(H1146*N1146*IF(AND(Inputs!$B$38&lt;&gt;"pvp",Inputs!$B$43&gt;0),((Skills!F8*((R1146-1)*IF(Skills!G8&gt;0,Skills!H8/Skills!G8,1)+IF(Skills!G8&gt;0,MIN(Skills!H8,MAX(0,MAX(0,Inputs!$B$43-B1171)-((R1146-1)*IF(Inputs!$B$38="pvp",15,MAX(0.1,Skills!D8-IF(Skills!E8=TRUE,2.0,0))))))/Skills!G8,1)))/Inputs!$B$43),G1146*Q1146))*IF(Inputs!$B$38="pvp",1,1+(Inputs!$B$20+Skills!O8+B1165)/100),0)</f>
        <v/>
      </c>
      <c r="U1146">
        <f>IF(C1146,(H1146*N1146*IF(AND(Inputs!$B$38&lt;&gt;"pvp",Inputs!$B$43&gt;0),((Skills!F8*((R1146-1)*IF(Skills!G8&gt;0,Skills!H8/Skills!G8,1)+IF(Skills!G8&gt;0,MIN(Skills!H8,MAX(0,MAX(0,Inputs!$B$43-B1171)-((R1146-1)*IF(Inputs!$B$38="pvp",15,MAX(0.1,Skills!D8-IF(Skills!E8=TRUE,2.0,0))))))/Skills!G8,1)))/Inputs!$B$43),G1146*Q1146))*IF(Inputs!$B$38="pvp",1,(1+(Inputs!$B$21+Skills!P8+B1165)/100)*(MIN(Skills!Q8,Inputs!$B$37))),0)</f>
        <v/>
      </c>
    </row>
    <row r="1147">
      <c r="A1147">
        <f>Skills!A9</f>
        <v/>
      </c>
      <c r="B1147">
        <f>Skills!B9</f>
        <v/>
      </c>
      <c r="C1147">
        <f>Inputs!$B$3&gt;=105</f>
        <v/>
      </c>
      <c r="D1147">
        <f>IF(Skills!C9=1,60+Inputs!$B$25+Inputs!$B$29,IF(Skills!C9=2,90+Inputs!$B$26+Inputs!$B$29,IF(Skills!C9=3,120+Inputs!$B$27+Inputs!$B$29,MAX(0,(Inputs!$B$3-100)*3)+Inputs!$B$28+Inputs!$B$29)))</f>
        <v/>
      </c>
      <c r="E1147">
        <f>INDEX(FactorTable!$B$2:$Y$301, MATCH(ROUND(MIN(300,MAX(1,D1147)),0), FactorTable!$A$2:$A$301,0), Skills!L9+1)</f>
        <v/>
      </c>
      <c r="F1147">
        <f>IF(Skills!M9=TRUE,(Skills!K9/10)*(E1147/1000),Skills!K9/10)+Skills!N9</f>
        <v/>
      </c>
      <c r="G1147">
        <f>Calc!G9</f>
        <v/>
      </c>
      <c r="H1147">
        <f>Calc!H9</f>
        <v/>
      </c>
      <c r="I1147">
        <f>IF(Skills!T9&lt;&gt;"",1+(Skills!T9/10)*(Z1141/1000)/100,1)</f>
        <v/>
      </c>
      <c r="J1147">
        <f>((Inputs!$B$6*(1+Inputs!$B$7/100))+(((Inputs!$B$12*(1+Inputs!$B$13/100))-(Inputs!$B$12*(1+Inputs!$B$13/100)))+0.25*(Inputs!$B$14-Inputs!$B$14))*(1+Inputs!$B$7/100))*(F1147/100)</f>
        <v/>
      </c>
      <c r="K1147">
        <f>J1147*(1+((Inputs!$B$12*(1+Inputs!$B$13/100))*0.01+Inputs!$B$14*0.0025)/100)*(1+(Inputs!$B$15+B1166)/100)*(1+Inputs!$B$16/100)*(5000/(6000+Inputs!$B$42*(1-Inputs!$B$19/100)))*(1+Inputs!$B$24/100)*(1+IF(C1153=TRUE,F1153,0)/100)*(1+IF(C1161=TRUE,F1161,0)/100)^5*(1+(IF(Skills!A9="CHAIN_LIGHTNING",Inputs!$B$17,Inputs!$B$18))/100)*(B1164*I1147)</f>
        <v/>
      </c>
      <c r="L1147">
        <f>K1147*(MIN(Inputs!$B$22+(F1156-Calc!F18),Inputs!$B$23)/100+Inputs!$B$23/100)/2</f>
        <v/>
      </c>
      <c r="M1147">
        <f>L1147*(1+(Inputs!$B$10+(F1159-Calc!F21))/100)</f>
        <v/>
      </c>
      <c r="N1147">
        <f>L1147*(1-MIN(Inputs!$B$9+((F1158-Calc!F20)+(F1157-Calc!F19)),100)/100)+M1147*(MIN(Inputs!$B$9+((F1158-Calc!F20)+(F1157-Calc!F19)),100)/100)</f>
        <v/>
      </c>
      <c r="O1147">
        <f>(1-Summary!$B$51)*S1147+Summary!$B$51*U1147</f>
        <v/>
      </c>
      <c r="P1147">
        <f>IF(B1174=0,0,O1147/B1174)</f>
        <v/>
      </c>
      <c r="Q1147">
        <f>IFERROR(1/IF(Inputs!$B$38="pvp",15,MAX(0.1,Skills!D9-IF(Skills!E9=TRUE,2.0,0))),0)</f>
        <v/>
      </c>
      <c r="R1147">
        <f>IF(AND(Inputs!$B$38&lt;&gt;"pvp",Inputs!$B$43&gt;0),IF(MAX(0,Inputs!$B$43-B1171)&lt;=0,0,(INT(MAX(0,Inputs!$B$43-B1171)/IF(Inputs!$B$38="pvp",15,MAX(0.1,Skills!D9-IF(Skills!E9=TRUE,2.0,0))))+1)),0)</f>
        <v/>
      </c>
      <c r="S1147">
        <f>IF(C1147,(H1147*N1147*IF(AND(Inputs!$B$38&lt;&gt;"pvp",Inputs!$B$43&gt;0),((Skills!F9*((R1147-1)*IF(Skills!G9&gt;0,Skills!H9/Skills!G9,1)+IF(Skills!G9&gt;0,MIN(Skills!H9,MAX(0,MAX(0,Inputs!$B$43-B1171)-((R1147-1)*IF(Inputs!$B$38="pvp",15,MAX(0.1,Skills!D9-IF(Skills!E9=TRUE,2.0,0))))))/Skills!G9,1)))/Inputs!$B$43),G1147*Q1147))*IF(Inputs!$B$38="pvp",1,1+(Inputs!$B$20+Skills!O9+B1165)/100),0)</f>
        <v/>
      </c>
      <c r="U1147">
        <f>IF(C1147,(H1147*N1147*IF(AND(Inputs!$B$38&lt;&gt;"pvp",Inputs!$B$43&gt;0),((Skills!F9*((R1147-1)*IF(Skills!G9&gt;0,Skills!H9/Skills!G9,1)+IF(Skills!G9&gt;0,MIN(Skills!H9,MAX(0,MAX(0,Inputs!$B$43-B1171)-((R1147-1)*IF(Inputs!$B$38="pvp",15,MAX(0.1,Skills!D9-IF(Skills!E9=TRUE,2.0,0))))))/Skills!G9,1)))/Inputs!$B$43),G1147*Q1147))*IF(Inputs!$B$38="pvp",1,(1+(Inputs!$B$21+Skills!P9+B1165)/100)*(MIN(Skills!Q9,Inputs!$B$37))),0)</f>
        <v/>
      </c>
    </row>
    <row r="1148">
      <c r="A1148">
        <f>Skills!A10</f>
        <v/>
      </c>
      <c r="B1148">
        <f>Skills!B10</f>
        <v/>
      </c>
      <c r="C1148">
        <f>Inputs!$B$3&gt;=113</f>
        <v/>
      </c>
      <c r="D1148">
        <f>IF(Skills!C10=1,60+Inputs!$B$25+Inputs!$B$29,IF(Skills!C10=2,90+Inputs!$B$26+Inputs!$B$29,IF(Skills!C10=3,120+Inputs!$B$27+Inputs!$B$29,MAX(0,(Inputs!$B$3-100)*3)+Inputs!$B$28+Inputs!$B$29)))</f>
        <v/>
      </c>
      <c r="E1148">
        <f>INDEX(FactorTable!$B$2:$Y$301, MATCH(ROUND(MIN(300,MAX(1,D1148)),0), FactorTable!$A$2:$A$301,0), Skills!L10+1)</f>
        <v/>
      </c>
      <c r="F1148">
        <f>IF(Skills!M10=TRUE,(Skills!K10/10)*(E1148/1000),Skills!K10/10)+Skills!N10</f>
        <v/>
      </c>
      <c r="G1148">
        <f>Calc!G10</f>
        <v/>
      </c>
      <c r="H1148">
        <f>Calc!H10</f>
        <v/>
      </c>
      <c r="I1148">
        <f>IF(Skills!T10&lt;&gt;"",1+(Skills!T10/10)*(Z1141/1000)/100,1)</f>
        <v/>
      </c>
      <c r="J1148">
        <f>((Inputs!$B$6*(1+Inputs!$B$7/100))+(((Inputs!$B$12*(1+Inputs!$B$13/100))-(Inputs!$B$12*(1+Inputs!$B$13/100)))+0.25*(Inputs!$B$14-Inputs!$B$14))*(1+Inputs!$B$7/100))*(F1148/100)</f>
        <v/>
      </c>
      <c r="K1148">
        <f>J1148*(1+((Inputs!$B$12*(1+Inputs!$B$13/100))*0.01+Inputs!$B$14*0.0025)/100)*(1+(Inputs!$B$15+B1166)/100)*(1+Inputs!$B$16/100)*(5000/(6000+Inputs!$B$42*(1-Inputs!$B$19/100)))*(1+Inputs!$B$24/100)*(1+IF(C1153=TRUE,F1153,0)/100)*(1+IF(C1161=TRUE,F1161,0)/100)^5*(1+(IF(Skills!A10="CHAIN_LIGHTNING",Inputs!$B$17,Inputs!$B$18))/100)*(B1164*I1148)</f>
        <v/>
      </c>
      <c r="L1148">
        <f>K1148*(MIN(Inputs!$B$22+(F1156-Calc!F18),Inputs!$B$23)/100+Inputs!$B$23/100)/2</f>
        <v/>
      </c>
      <c r="M1148">
        <f>L1148*(1+(Inputs!$B$10+(F1159-Calc!F21))/100)</f>
        <v/>
      </c>
      <c r="N1148">
        <f>L1148*(1-MIN(Inputs!$B$9+((F1158-Calc!F20)+(F1157-Calc!F19)),100)/100)+M1148*(MIN(Inputs!$B$9+((F1158-Calc!F20)+(F1157-Calc!F19)),100)/100)</f>
        <v/>
      </c>
      <c r="O1148">
        <f>(1-Summary!$B$51)*S1148+Summary!$B$51*U1148</f>
        <v/>
      </c>
      <c r="P1148">
        <f>IF(B1174=0,0,O1148/B1174)</f>
        <v/>
      </c>
      <c r="Q1148">
        <f>IFERROR(1/IF(Inputs!$B$38="pvp",15,MAX(0.1,Skills!D10-IF(Skills!E9=TRUE,2.0,0))),0)</f>
        <v/>
      </c>
      <c r="R1148">
        <f>IF(AND(Inputs!$B$38&lt;&gt;"pvp",Inputs!$B$43&gt;0),IF(MAX(0,Inputs!$B$43-B1171)&lt;=0,0,(INT(MAX(0,Inputs!$B$43-B1171)/IF(Inputs!$B$38="pvp",15,MAX(0.1,Skills!D10-IF(Skills!E9=TRUE,2.0,0))))+1)),0)</f>
        <v/>
      </c>
      <c r="S1148">
        <f>IF(C1148,(H1148*N1148*IF(AND(Inputs!$B$38&lt;&gt;"pvp",Inputs!$B$43&gt;0),((Skills!F10*((R1148-1)*IF(Skills!G10&gt;0,Skills!H10/Skills!G10,1)+IF(Skills!G10&gt;0,MIN(Skills!H10,MAX(0,MAX(0,Inputs!$B$43-B1171)-((R1148-1)*IF(Inputs!$B$38="pvp",15,MAX(0.1,Skills!D10-IF(Skills!E9=TRUE,2.0,0))))))/Skills!G10,1)))/Inputs!$B$43),G1148*Q1148))*IF(Inputs!$B$38="pvp",1,1+(Inputs!$B$20+Skills!O10+B1165)/100),0)</f>
        <v/>
      </c>
      <c r="U1148">
        <f>IF(C1148,(H1148*N1148*IF(AND(Inputs!$B$38&lt;&gt;"pvp",Inputs!$B$43&gt;0),((Skills!F10*((R1148-1)*IF(Skills!G10&gt;0,Skills!H10/Skills!G10,1)+IF(Skills!G10&gt;0,MIN(Skills!H10,MAX(0,MAX(0,Inputs!$B$43-B1171)-((R1148-1)*IF(Inputs!$B$38="pvp",15,MAX(0.1,Skills!D10-IF(Skills!E9=TRUE,2.0,0))))))/Skills!G10,1)))/Inputs!$B$43),G1148*Q1148))*IF(Inputs!$B$38="pvp",1,(1+(Inputs!$B$21+Skills!P10+B1165)/100)*(MIN(Skills!Q10,Inputs!$B$37))),0)</f>
        <v/>
      </c>
    </row>
    <row r="1149">
      <c r="A1149">
        <f>Skills!A11</f>
        <v/>
      </c>
      <c r="B1149">
        <f>Skills!B11</f>
        <v/>
      </c>
      <c r="C1149">
        <f>Inputs!$B$3&gt;=107</f>
        <v/>
      </c>
      <c r="D1149">
        <f>IF(Skills!C11=1,60+Inputs!$B$25+Inputs!$B$29,IF(Skills!C11=2,90+Inputs!$B$26+Inputs!$B$29,IF(Skills!C11=3,120+Inputs!$B$27+Inputs!$B$29,MAX(0,(Inputs!$B$3-100)*3)+Inputs!$B$28+Inputs!$B$29)))</f>
        <v/>
      </c>
      <c r="E1149">
        <f>INDEX(FactorTable!$B$2:$Y$301, MATCH(ROUND(MIN(300,MAX(1,D1149)),0), FactorTable!$A$2:$A$301,0), Skills!L11+1)</f>
        <v/>
      </c>
      <c r="F1149">
        <f>IF(Skills!M11=TRUE,(Skills!K11/10)*(E1149/1000),Skills!K11/10)+Skills!N11</f>
        <v/>
      </c>
      <c r="G1149">
        <f>Calc!G11</f>
        <v/>
      </c>
      <c r="H1149">
        <f>Calc!H11</f>
        <v/>
      </c>
      <c r="I1149">
        <f>IF(Skills!T11&lt;&gt;"",1+(Skills!T11/10)*(Z1141/1000)/100,1)</f>
        <v/>
      </c>
      <c r="J1149">
        <f>((Inputs!$B$6*(1+Inputs!$B$7/100))+(((Inputs!$B$12*(1+Inputs!$B$13/100))-(Inputs!$B$12*(1+Inputs!$B$13/100)))+0.25*(Inputs!$B$14-Inputs!$B$14))*(1+Inputs!$B$7/100))*(F1149/100)</f>
        <v/>
      </c>
      <c r="K1149">
        <f>J1149*(1+((Inputs!$B$12*(1+Inputs!$B$13/100))*0.01+Inputs!$B$14*0.0025)/100)*(1+(Inputs!$B$15+B1166)/100)*(1+Inputs!$B$16/100)*(5000/(6000+Inputs!$B$42*(1-Inputs!$B$19/100)))*(1+Inputs!$B$24/100)*(1+IF(C1153=TRUE,F1153,0)/100)*(1+IF(C1161=TRUE,F1161,0)/100)^5*(1+(IF(Skills!A11="CHAIN_LIGHTNING",Inputs!$B$17,Inputs!$B$18))/100)*(B1164*I1149)</f>
        <v/>
      </c>
      <c r="L1149">
        <f>K1149*(MIN(Inputs!$B$22+(F1156-Calc!F18),Inputs!$B$23)/100+Inputs!$B$23/100)/2</f>
        <v/>
      </c>
      <c r="M1149">
        <f>L1149*(1+(Inputs!$B$10+(F1159-Calc!F21))/100)</f>
        <v/>
      </c>
      <c r="N1149">
        <f>L1149*(1-MIN(Inputs!$B$9+((F1158-Calc!F20)+(F1157-Calc!F19)),100)/100)+M1149*(MIN(Inputs!$B$9+((F1158-Calc!F20)+(F1157-Calc!F19)),100)/100)</f>
        <v/>
      </c>
      <c r="O1149">
        <f>(1-Summary!$B$51)*S1149+Summary!$B$51*U1149</f>
        <v/>
      </c>
      <c r="P1149">
        <f>IF(B1174=0,0,O1149/B1174)</f>
        <v/>
      </c>
      <c r="Q1149">
        <f>IFERROR(1/IF(Inputs!$B$38="pvp",15,MAX(0.1,Skills!D11-IF(Skills!E11=TRUE,2.0,0))),0)</f>
        <v/>
      </c>
      <c r="R1149">
        <f>IF(AND(Inputs!$B$38&lt;&gt;"pvp",Inputs!$B$43&gt;0),IF(MAX(0,Inputs!$B$43-B1171)&lt;=0,0,(INT(MAX(0,Inputs!$B$43-B1171)/IF(Inputs!$B$38="pvp",15,MAX(0.1,Skills!D11-IF(Skills!E11=TRUE,2.0,0))))+1)),0)</f>
        <v/>
      </c>
      <c r="S1149">
        <f>IF(C1149,H1149*N1149*IF(AND(Inputs!$B$38&lt;&gt;"pvp",Inputs!$B$43&gt;0),((Skills!F11*((R1149-1)*IF(Skills!G11&gt;0,Skills!H11/Skills!G11,1)+IF(Skills!G11&gt;0,MIN(Skills!H11,MAX(0,MAX(0,Inputs!$B$43-B1171)-((R1149-1)*IF(Inputs!$B$38="pvp",15,MAX(0.1,Skills!D11-IF(Skills!E11=TRUE,2.0,0))))))/Skills!G11,1)))/Inputs!$B$43),G1149*Q1149)*0.5*IF(Inputs!$B$38="pvp",1,1+(Inputs!$B$20+Skills!O11+B1165)/100),0)</f>
        <v/>
      </c>
      <c r="U1149">
        <f>IF(C1149,H1149*N1149*IF(AND(Inputs!$B$38&lt;&gt;"pvp",Inputs!$B$43&gt;0),((Skills!F11*((R1149-1)*IF(Skills!G11&gt;0,Skills!H11/Skills!G11,1)+IF(Skills!G11&gt;0,MIN(Skills!H11,MAX(0,MAX(0,Inputs!$B$43-B1171)-((R1149-1)*IF(Inputs!$B$38="pvp",15,MAX(0.1,Skills!D11-IF(Skills!E11=TRUE,2.0,0))))))/Skills!G11,1)))/Inputs!$B$43),G1149*Q1149)*1*IF(Inputs!$B$38="pvp",1,(1+(Inputs!$B$21+Skills!P11+B1165)/100)*(MIN(Skills!Q11,Inputs!$B$37))),0)</f>
        <v/>
      </c>
    </row>
    <row r="1150">
      <c r="A1150">
        <f>Skills!A12</f>
        <v/>
      </c>
      <c r="B1150">
        <f>Skills!B12</f>
        <v/>
      </c>
      <c r="C1150">
        <f>Inputs!$B$3&gt;=115</f>
        <v/>
      </c>
      <c r="D1150">
        <f>IF(Skills!C12=1,60+Inputs!$B$25+Inputs!$B$29,IF(Skills!C12=2,90+Inputs!$B$26+Inputs!$B$29,IF(Skills!C12=3,120+Inputs!$B$27+Inputs!$B$29,MAX(0,(Inputs!$B$3-100)*3)+Inputs!$B$28+Inputs!$B$29)))</f>
        <v/>
      </c>
      <c r="E1150">
        <f>INDEX(FactorTable!$B$2:$Y$301, MATCH(ROUND(MIN(300,MAX(1,D1150)),0), FactorTable!$A$2:$A$301,0), Skills!L12+1)</f>
        <v/>
      </c>
      <c r="F1150">
        <f>IF(Skills!M12=TRUE,(Skills!K12/10)*(E1150/1000),Skills!K12/10)+Skills!N12</f>
        <v/>
      </c>
      <c r="G1150">
        <f>Calc!G12</f>
        <v/>
      </c>
      <c r="H1150">
        <f>Calc!H12</f>
        <v/>
      </c>
      <c r="I1150">
        <f>IF(Skills!T12&lt;&gt;"",1+(Skills!T12/10)*(Z1141/1000)/100,1)</f>
        <v/>
      </c>
      <c r="J1150">
        <f>((Inputs!$B$6*(1+Inputs!$B$7/100))+(((Inputs!$B$12*(1+Inputs!$B$13/100))-(Inputs!$B$12*(1+Inputs!$B$13/100)))+0.25*(Inputs!$B$14-Inputs!$B$14))*(1+Inputs!$B$7/100))*(F1150/100)</f>
        <v/>
      </c>
      <c r="K1150">
        <f>J1150*(1+((Inputs!$B$12*(1+Inputs!$B$13/100))*0.01+Inputs!$B$14*0.0025)/100)*(1+(Inputs!$B$15+B1166)/100)*(1+Inputs!$B$16/100)*(5000/(6000+Inputs!$B$42*(1-Inputs!$B$19/100)))*(1+Inputs!$B$24/100)*(1+IF(C1153=TRUE,F1153,0)/100)*(1+IF(C1161=TRUE,F1161,0)/100)^5*(1+(IF(Skills!A12="CHAIN_LIGHTNING",Inputs!$B$17,Inputs!$B$18))/100)*(B1164*I1150)</f>
        <v/>
      </c>
      <c r="L1150">
        <f>K1150*(MIN(Inputs!$B$22+(F1156-Calc!F18),Inputs!$B$23)/100+Inputs!$B$23/100)/2</f>
        <v/>
      </c>
      <c r="M1150">
        <f>L1150*(1+(Inputs!$B$10+(F1159-Calc!F21))/100)</f>
        <v/>
      </c>
      <c r="N1150">
        <f>L1150*(1-MIN(Inputs!$B$9+((F1158-Calc!F20)+(F1157-Calc!F19)),100)/100)+M1150*(MIN(Inputs!$B$9+((F1158-Calc!F20)+(F1157-Calc!F19)),100)/100)</f>
        <v/>
      </c>
      <c r="O1150">
        <f>(1-Summary!$B$51)*S1150+Summary!$B$51*U1150</f>
        <v/>
      </c>
      <c r="P1150">
        <f>IF(B1174=0,0,O1150/B1174)</f>
        <v/>
      </c>
      <c r="Q1150">
        <f>IFERROR(1/IF(Inputs!$B$38="pvp",15,MAX(0.1,Skills!D12-IF(Skills!E12=TRUE,2.0,0))),0)</f>
        <v/>
      </c>
      <c r="R1150">
        <f>IF(AND(Inputs!$B$38&lt;&gt;"pvp",Inputs!$B$43&gt;0),IF(MAX(0,Inputs!$B$43-B1171)&lt;=0,0,(INT(MAX(0,Inputs!$B$43-B1171)/IF(Inputs!$B$38="pvp",15,MAX(0.1,Skills!D12-IF(Skills!E12=TRUE,2.0,0))))+1)),0)</f>
        <v/>
      </c>
      <c r="S1150">
        <f>IF(C1150,(H1150*N1150*IF(AND(Inputs!$B$38&lt;&gt;"pvp",Inputs!$B$43&gt;0),((Skills!F12*((R1150-1)*IF(Skills!G12&gt;0,Skills!H12/Skills!G12,1)+IF(Skills!G12&gt;0,MIN(Skills!H12,MAX(0,MAX(0,Inputs!$B$43-B1171)-((R1150-1)*IF(Inputs!$B$38="pvp",15,MAX(0.1,Skills!D12-IF(Skills!E12=TRUE,2.0,0))))))/Skills!G12,1)))/Inputs!$B$43),G1150*Q1150))*IF(Inputs!$B$38="pvp",1,1+(Inputs!$B$20+Skills!O12+B1165)/100),0)</f>
        <v/>
      </c>
      <c r="U1150">
        <f>IF(C1150,(H1150*N1150*IF(AND(Inputs!$B$38&lt;&gt;"pvp",Inputs!$B$43&gt;0),((Skills!F12*((R1150-1)*IF(Skills!G12&gt;0,Skills!H12/Skills!G12,1)+IF(Skills!G12&gt;0,MIN(Skills!H12,MAX(0,MAX(0,Inputs!$B$43-B1171)-((R1150-1)*IF(Inputs!$B$38="pvp",15,MAX(0.1,Skills!D12-IF(Skills!E12=TRUE,2.0,0))))))/Skills!G12,1)))/Inputs!$B$43),G1150*Q1150))*IF(Inputs!$B$38="pvp",1,(1+(Inputs!$B$21+Skills!P12+B1165)/100)*(MIN(Skills!Q12,Inputs!$B$37))),0)</f>
        <v/>
      </c>
    </row>
    <row r="1151">
      <c r="A1151">
        <f>Skills!A13</f>
        <v/>
      </c>
      <c r="B1151">
        <f>Skills!B13</f>
        <v/>
      </c>
      <c r="C1151">
        <f>Inputs!$B$3&gt;=49</f>
        <v/>
      </c>
      <c r="D1151">
        <f>IF(Skills!C13=1,60+Inputs!$B$25+Inputs!$B$29,IF(Skills!C13=2,90+Inputs!$B$26+Inputs!$B$29,IF(Skills!C13=3,120+Inputs!$B$27+Inputs!$B$29,MAX(0,(Inputs!$B$3-100)*3)+Inputs!$B$28+Inputs!$B$29)))</f>
        <v/>
      </c>
      <c r="E1151">
        <f>INDEX(FactorTable!$B$2:$Y$301, MATCH(ROUND(MIN(300,MAX(1,D1151)),0), FactorTable!$A$2:$A$301,0), Skills!L13+1)</f>
        <v/>
      </c>
      <c r="F1151">
        <f>IF(Skills!M13=TRUE,(Skills!K13/10)*(E1151/1000),Skills!K13/10)+Skills!N13</f>
        <v/>
      </c>
      <c r="G1151">
        <f>Calc!G13</f>
        <v/>
      </c>
      <c r="H1151">
        <f>Calc!H13</f>
        <v/>
      </c>
      <c r="I1151">
        <f>IF(Skills!T13&lt;&gt;"",1+(Skills!T13/10)*(Z1141/1000)/100,1)</f>
        <v/>
      </c>
      <c r="J1151" t="inlineStr"/>
      <c r="K1151" t="inlineStr"/>
      <c r="L1151" t="inlineStr"/>
      <c r="M1151" t="inlineStr"/>
      <c r="N1151" t="inlineStr"/>
      <c r="O1151">
        <f>(1-Summary!$B$51)*S1151+Summary!$B$51*U1151</f>
        <v/>
      </c>
      <c r="P1151">
        <f>IF(B1174=0,0,O1151/B1174)</f>
        <v/>
      </c>
      <c r="Q1151">
        <f>IFERROR(1/IF(Inputs!$B$38="pvp",15,MAX(0.1,Skills!D13-IF(Skills!E13=TRUE,2.0,0))),0)</f>
        <v/>
      </c>
      <c r="R1151" t="n">
        <v>0</v>
      </c>
      <c r="S1151" t="n">
        <v>0</v>
      </c>
      <c r="U1151" t="n">
        <v>0</v>
      </c>
    </row>
    <row r="1152">
      <c r="A1152">
        <f>Skills!A14</f>
        <v/>
      </c>
      <c r="B1152">
        <f>Skills!B14</f>
        <v/>
      </c>
      <c r="C1152">
        <f>Inputs!$B$3&gt;=72</f>
        <v/>
      </c>
      <c r="D1152">
        <f>IF(Skills!C14=1,60+Inputs!$B$25+Inputs!$B$29,IF(Skills!C14=2,90+Inputs!$B$26+Inputs!$B$29,IF(Skills!C14=3,120+Inputs!$B$27+Inputs!$B$29,MAX(0,(Inputs!$B$3-100)*3)+Inputs!$B$28+Inputs!$B$29)))</f>
        <v/>
      </c>
      <c r="E1152">
        <f>INDEX(FactorTable!$B$2:$Y$301, MATCH(ROUND(MIN(300,MAX(1,D1152)),0), FactorTable!$A$2:$A$301,0), Skills!L14+1)</f>
        <v/>
      </c>
      <c r="F1152">
        <f>IF(Skills!M14=TRUE,(Skills!K14/10)*(E1152/1000),Skills!K14/10)+Skills!N14</f>
        <v/>
      </c>
      <c r="G1152">
        <f>Calc!G14</f>
        <v/>
      </c>
      <c r="H1152">
        <f>Calc!H14</f>
        <v/>
      </c>
      <c r="I1152">
        <f>IF(Skills!T14&lt;&gt;"",1+(Skills!T14/10)*(Z1141/1000)/100,1)</f>
        <v/>
      </c>
      <c r="J1152" t="inlineStr"/>
      <c r="K1152" t="inlineStr"/>
      <c r="L1152" t="inlineStr"/>
      <c r="M1152" t="inlineStr"/>
      <c r="N1152" t="inlineStr"/>
      <c r="O1152">
        <f>(1-Summary!$B$51)*S1152+Summary!$B$51*U1152</f>
        <v/>
      </c>
      <c r="P1152">
        <f>IF(B1174=0,0,O1152/B1174)</f>
        <v/>
      </c>
      <c r="Q1152">
        <f>IFERROR(1/IF(Inputs!$B$38="pvp",15,MAX(0.1,Skills!D14-IF(Skills!E14=TRUE,2.0,0))),0)</f>
        <v/>
      </c>
      <c r="R1152" t="n">
        <v>0</v>
      </c>
      <c r="S1152" t="n">
        <v>0</v>
      </c>
      <c r="U1152" t="n">
        <v>0</v>
      </c>
    </row>
    <row r="1153">
      <c r="A1153">
        <f>Skills!A15</f>
        <v/>
      </c>
      <c r="B1153">
        <f>Skills!B15</f>
        <v/>
      </c>
      <c r="C1153">
        <f>Inputs!$B$3&gt;=75</f>
        <v/>
      </c>
      <c r="D1153">
        <f>IF(Skills!C15=1,60+Inputs!$B$25+Inputs!$B$29,IF(Skills!C15=2,90+Inputs!$B$26+Inputs!$B$29,IF(Skills!C15=3,120+Inputs!$B$27+Inputs!$B$29,MAX(0,(Inputs!$B$3-100)*3)+Inputs!$B$28+Inputs!$B$29)))</f>
        <v/>
      </c>
      <c r="E1153">
        <f>INDEX(FactorTable!$B$2:$Y$301, MATCH(ROUND(MIN(300,MAX(1,D1153)),0), FactorTable!$A$2:$A$301,0), Skills!L15+1)</f>
        <v/>
      </c>
      <c r="F1153">
        <f>IF(Skills!M15=TRUE,(Skills!K15/10)*(E1153/1000),Skills!K15/10)+Skills!N15</f>
        <v/>
      </c>
      <c r="G1153">
        <f>Calc!G15</f>
        <v/>
      </c>
      <c r="H1153">
        <f>Calc!H15</f>
        <v/>
      </c>
      <c r="I1153">
        <f>IF(Skills!T15&lt;&gt;"",1+(Skills!T15/10)*(Z1141/1000)/100,1)</f>
        <v/>
      </c>
      <c r="J1153" t="inlineStr"/>
      <c r="K1153" t="inlineStr"/>
      <c r="L1153" t="inlineStr"/>
      <c r="M1153" t="inlineStr"/>
      <c r="N1153" t="inlineStr"/>
      <c r="O1153">
        <f>(1-Summary!$B$51)*S1153+Summary!$B$51*U1153</f>
        <v/>
      </c>
      <c r="P1153">
        <f>IF(B1174=0,0,O1153/B1174)</f>
        <v/>
      </c>
      <c r="Q1153">
        <f>IFERROR(1/IF(Inputs!$B$38="pvp",15,MAX(0.1,Skills!D15-IF(Skills!E15=TRUE,2.0,0))),0)</f>
        <v/>
      </c>
      <c r="R1153" t="n">
        <v>0</v>
      </c>
      <c r="S1153" t="n">
        <v>0</v>
      </c>
      <c r="U1153" t="n">
        <v>0</v>
      </c>
    </row>
    <row r="1154">
      <c r="A1154">
        <f>Skills!A16</f>
        <v/>
      </c>
      <c r="B1154">
        <f>Skills!B16</f>
        <v/>
      </c>
      <c r="C1154">
        <f>Inputs!$B$3&gt;=110</f>
        <v/>
      </c>
      <c r="D1154">
        <f>IF(Skills!C16=1,60+Inputs!$B$25+Inputs!$B$29,IF(Skills!C16=2,90+Inputs!$B$26+Inputs!$B$29,IF(Skills!C16=3,120+Inputs!$B$27+Inputs!$B$29,MAX(0,(Inputs!$B$3-100)*3)+Inputs!$B$28+Inputs!$B$29)))</f>
        <v/>
      </c>
      <c r="E1154">
        <f>INDEX(FactorTable!$B$2:$Y$301, MATCH(ROUND(MIN(300,MAX(1,D1154)),0), FactorTable!$A$2:$A$301,0), Skills!L16+1)</f>
        <v/>
      </c>
      <c r="F1154">
        <f>(Skills!K16/10)*(E1154/1000)*64/45+Skills!N16</f>
        <v/>
      </c>
      <c r="G1154">
        <f>Calc!G16</f>
        <v/>
      </c>
      <c r="H1154">
        <f>Calc!H16</f>
        <v/>
      </c>
      <c r="I1154">
        <f>IF(Skills!T16&lt;&gt;"",1+(Skills!T16/10)*(Z1141/1000)/100,1)</f>
        <v/>
      </c>
      <c r="J1154" t="inlineStr"/>
      <c r="K1154" t="inlineStr"/>
      <c r="L1154" t="inlineStr"/>
      <c r="M1154" t="inlineStr"/>
      <c r="N1154" t="inlineStr"/>
      <c r="O1154">
        <f>(1-Summary!$B$51)*S1154+Summary!$B$51*U1154</f>
        <v/>
      </c>
      <c r="P1154">
        <f>IF(B1174=0,0,O1154/B1174)</f>
        <v/>
      </c>
      <c r="Q1154">
        <f>IFERROR(1/IF(Inputs!$B$38="pvp",15,MAX(0.1,Skills!D16-IF(Skills!E16=TRUE,2.0,0))),0)</f>
        <v/>
      </c>
      <c r="R1154">
        <f>IF(AND(Inputs!$B$38&lt;&gt;"pvp",Inputs!$B$43&gt;0),IF(Inputs!$B$43&lt;=0,0,(INT(Inputs!$B$43/IF(Inputs!$B$38="pvp",15,MAX(0.1,Skills!D16-IF(Skills!E16=TRUE,2.0,0))))+1)),0)</f>
        <v/>
      </c>
      <c r="S1154" t="n">
        <v>0</v>
      </c>
      <c r="U1154" t="n">
        <v>0</v>
      </c>
    </row>
    <row r="1155">
      <c r="A1155">
        <f>Skills!A17</f>
        <v/>
      </c>
      <c r="B1155">
        <f>Skills!B17</f>
        <v/>
      </c>
      <c r="C1155">
        <f>Inputs!$B$3&gt;=33</f>
        <v/>
      </c>
      <c r="D1155">
        <f>IF(Skills!C17=1,60+Inputs!$B$25+Inputs!$B$29,IF(Skills!C17=2,90+Inputs!$B$26+Inputs!$B$29,IF(Skills!C17=3,120+Inputs!$B$27+Inputs!$B$29,MAX(0,(Inputs!$B$3-100)*3)+Inputs!$B$28+Inputs!$B$29)))</f>
        <v/>
      </c>
      <c r="E1155">
        <f>INDEX(FactorTable!$B$2:$Y$301, MATCH(ROUND(MIN(300,MAX(1,D1155)),0), FactorTable!$A$2:$A$301,0), Skills!L17+1)</f>
        <v/>
      </c>
      <c r="F1155">
        <f>IF(Skills!M17=TRUE,(Skills!K17/10)*(E1155/1000),Skills!K17/10)+Skills!N17</f>
        <v/>
      </c>
      <c r="G1155">
        <f>Calc!G17</f>
        <v/>
      </c>
      <c r="H1155">
        <f>Calc!H17</f>
        <v/>
      </c>
      <c r="I1155">
        <f>IF(Skills!T17&lt;&gt;"",1+(Skills!T17/10)*(Z1141/1000)/100,1)</f>
        <v/>
      </c>
      <c r="J1155" t="inlineStr"/>
      <c r="K1155" t="inlineStr"/>
      <c r="L1155" t="inlineStr"/>
      <c r="M1155" t="inlineStr"/>
      <c r="N1155" t="inlineStr"/>
      <c r="O1155">
        <f>(1-Summary!$B$51)*S1155+Summary!$B$51*U1155</f>
        <v/>
      </c>
      <c r="P1155">
        <f>IF(B1174=0,0,O1155/B1174)</f>
        <v/>
      </c>
      <c r="Q1155">
        <f>IFERROR(1/IF(Inputs!$B$38="pvp",15,MAX(0.1,Skills!D17-IF(Skills!E17=TRUE,2.0,0))),0)</f>
        <v/>
      </c>
      <c r="R1155" t="n">
        <v>0</v>
      </c>
      <c r="S1155" t="n">
        <v>0</v>
      </c>
      <c r="U1155" t="n">
        <v>0</v>
      </c>
    </row>
    <row r="1156">
      <c r="A1156">
        <f>Skills!A18</f>
        <v/>
      </c>
      <c r="B1156">
        <f>Skills!B18</f>
        <v/>
      </c>
      <c r="C1156">
        <f>Inputs!$B$3&gt;=43</f>
        <v/>
      </c>
      <c r="D1156">
        <f>IF(Skills!C18=1,60+Inputs!$B$25+Inputs!$B$29,IF(Skills!C18=2,90+Inputs!$B$26+Inputs!$B$29,IF(Skills!C18=3,120+Inputs!$B$27+Inputs!$B$29,MAX(0,(Inputs!$B$3-100)*3)+Inputs!$B$28+Inputs!$B$29)))</f>
        <v/>
      </c>
      <c r="E1156">
        <f>INDEX(FactorTable!$B$2:$Y$301, MATCH(ROUND(MIN(300,MAX(1,D1156)),0), FactorTable!$A$2:$A$301,0), Skills!L18+1)</f>
        <v/>
      </c>
      <c r="F1156">
        <f>IF(Skills!M18=TRUE,(Skills!K18/10)*(E1156/1000),Skills!K18/10)+Skills!N18</f>
        <v/>
      </c>
      <c r="G1156">
        <f>Calc!G18</f>
        <v/>
      </c>
      <c r="H1156">
        <f>Calc!H18</f>
        <v/>
      </c>
      <c r="I1156">
        <f>IF(Skills!T18&lt;&gt;"",1+(Skills!T18/10)*(Z1141/1000)/100,1)</f>
        <v/>
      </c>
      <c r="J1156" t="inlineStr"/>
      <c r="K1156" t="inlineStr"/>
      <c r="L1156" t="inlineStr"/>
      <c r="M1156" t="inlineStr"/>
      <c r="N1156" t="inlineStr"/>
      <c r="O1156">
        <f>(1-Summary!$B$51)*S1156+Summary!$B$51*U1156</f>
        <v/>
      </c>
      <c r="P1156">
        <f>IF(B1174=0,0,O1156/B1174)</f>
        <v/>
      </c>
      <c r="Q1156">
        <f>IFERROR(1/IF(Inputs!$B$38="pvp",15,MAX(0.1,Skills!D18-IF(Skills!E18=TRUE,2.0,0))),0)</f>
        <v/>
      </c>
      <c r="R1156" t="n">
        <v>0</v>
      </c>
      <c r="S1156" t="n">
        <v>0</v>
      </c>
      <c r="U1156" t="n">
        <v>0</v>
      </c>
    </row>
    <row r="1157">
      <c r="A1157">
        <f>Skills!A19</f>
        <v/>
      </c>
      <c r="B1157">
        <f>Skills!B19</f>
        <v/>
      </c>
      <c r="C1157">
        <f>Inputs!$B$3&gt;=50</f>
        <v/>
      </c>
      <c r="D1157">
        <f>IF(Skills!C19=1,60+Inputs!$B$25+Inputs!$B$29,IF(Skills!C19=2,90+Inputs!$B$26+Inputs!$B$29,IF(Skills!C19=3,120+Inputs!$B$27+Inputs!$B$29,MAX(0,(Inputs!$B$3-100)*3)+Inputs!$B$28+Inputs!$B$29)))</f>
        <v/>
      </c>
      <c r="E1157">
        <f>INDEX(FactorTable!$B$2:$Y$301, MATCH(ROUND(MIN(300,MAX(1,D1157)),0), FactorTable!$A$2:$A$301,0), Skills!L19+1)</f>
        <v/>
      </c>
      <c r="F1157">
        <f>IF(Skills!M19=TRUE,(Skills!K19/10)*(E1157/1000),Skills!K19/10)+Skills!N19</f>
        <v/>
      </c>
      <c r="G1157">
        <f>Calc!G19</f>
        <v/>
      </c>
      <c r="H1157">
        <f>Calc!H19</f>
        <v/>
      </c>
      <c r="I1157">
        <f>IF(Skills!T19&lt;&gt;"",1+(Skills!T19/10)*(Z1141/1000)/100,1)</f>
        <v/>
      </c>
      <c r="J1157" t="inlineStr"/>
      <c r="K1157" t="inlineStr"/>
      <c r="L1157" t="inlineStr"/>
      <c r="M1157" t="inlineStr"/>
      <c r="N1157" t="inlineStr"/>
      <c r="O1157">
        <f>(1-Summary!$B$51)*S1157+Summary!$B$51*U1157</f>
        <v/>
      </c>
      <c r="P1157">
        <f>IF(B1174=0,0,O1157/B1174)</f>
        <v/>
      </c>
      <c r="Q1157">
        <f>IFERROR(1/IF(Inputs!$B$38="pvp",15,MAX(0.1,Skills!D19-IF(Skills!E19=TRUE,2.0,0))),0)</f>
        <v/>
      </c>
      <c r="R1157" t="n">
        <v>0</v>
      </c>
      <c r="S1157" t="n">
        <v>0</v>
      </c>
      <c r="U1157" t="n">
        <v>0</v>
      </c>
    </row>
    <row r="1158">
      <c r="A1158">
        <f>Skills!A20</f>
        <v/>
      </c>
      <c r="B1158">
        <f>Skills!B20</f>
        <v/>
      </c>
      <c r="C1158">
        <f>Inputs!$B$3&gt;=74</f>
        <v/>
      </c>
      <c r="D1158">
        <f>IF(Skills!C20=1,60+Inputs!$B$25+Inputs!$B$29,IF(Skills!C20=2,90+Inputs!$B$26+Inputs!$B$29,IF(Skills!C20=3,120+Inputs!$B$27+Inputs!$B$29,MAX(0,(Inputs!$B$3-100)*3)+Inputs!$B$28+Inputs!$B$29)))</f>
        <v/>
      </c>
      <c r="E1158">
        <f>INDEX(FactorTable!$B$2:$Y$301, MATCH(ROUND(MIN(300,MAX(1,D1158)),0), FactorTable!$A$2:$A$301,0), Skills!L20+1)</f>
        <v/>
      </c>
      <c r="F1158">
        <f>IF(Skills!M20=TRUE,(Skills!K20/10)*(E1158/1000),Skills!K20/10)+Skills!N20</f>
        <v/>
      </c>
      <c r="G1158">
        <f>Calc!G20</f>
        <v/>
      </c>
      <c r="H1158">
        <f>Calc!H20</f>
        <v/>
      </c>
      <c r="I1158">
        <f>IF(Skills!T20&lt;&gt;"",1+(Skills!T20/10)*(Z1141/1000)/100,1)</f>
        <v/>
      </c>
      <c r="J1158" t="inlineStr"/>
      <c r="K1158" t="inlineStr"/>
      <c r="L1158" t="inlineStr"/>
      <c r="M1158" t="inlineStr"/>
      <c r="N1158" t="inlineStr"/>
      <c r="O1158">
        <f>(1-Summary!$B$51)*S1158+Summary!$B$51*U1158</f>
        <v/>
      </c>
      <c r="P1158">
        <f>IF(B1174=0,0,O1158/B1174)</f>
        <v/>
      </c>
      <c r="Q1158">
        <f>IFERROR(1/IF(Inputs!$B$38="pvp",15,MAX(0.1,Skills!D20-IF(Skills!E20=TRUE,2.0,0))),0)</f>
        <v/>
      </c>
      <c r="R1158" t="n">
        <v>0</v>
      </c>
      <c r="S1158" t="n">
        <v>0</v>
      </c>
      <c r="U1158" t="n">
        <v>0</v>
      </c>
    </row>
    <row r="1159">
      <c r="A1159">
        <f>Skills!A21</f>
        <v/>
      </c>
      <c r="B1159">
        <f>Skills!B21</f>
        <v/>
      </c>
      <c r="C1159">
        <f>Inputs!$B$3&gt;=74</f>
        <v/>
      </c>
      <c r="D1159">
        <f>IF(Skills!C21=1,60+Inputs!$B$25+Inputs!$B$29,IF(Skills!C21=2,90+Inputs!$B$26+Inputs!$B$29,IF(Skills!C21=3,120+Inputs!$B$27+Inputs!$B$29,MAX(0,(Inputs!$B$3-100)*3)+Inputs!$B$28+Inputs!$B$29)))</f>
        <v/>
      </c>
      <c r="E1159">
        <f>INDEX(FactorTable!$B$2:$Y$301, MATCH(ROUND(MIN(300,MAX(1,D1159)),0), FactorTable!$A$2:$A$301,0), Skills!L21+1)</f>
        <v/>
      </c>
      <c r="F1159">
        <f>IF(Skills!M21=TRUE,(Skills!K21/10)*(E1159/1000),Skills!K21/10)+Skills!N21</f>
        <v/>
      </c>
      <c r="G1159">
        <f>Calc!G21</f>
        <v/>
      </c>
      <c r="H1159">
        <f>Calc!H21</f>
        <v/>
      </c>
      <c r="I1159">
        <f>IF(Skills!T21&lt;&gt;"",1+(Skills!T21/10)*(Z1141/1000)/100,1)</f>
        <v/>
      </c>
      <c r="J1159" t="inlineStr"/>
      <c r="K1159" t="inlineStr"/>
      <c r="L1159" t="inlineStr"/>
      <c r="M1159" t="inlineStr"/>
      <c r="N1159" t="inlineStr"/>
      <c r="O1159">
        <f>(1-Summary!$B$51)*S1159+Summary!$B$51*U1159</f>
        <v/>
      </c>
      <c r="P1159">
        <f>IF(B1174=0,0,O1159/B1174)</f>
        <v/>
      </c>
      <c r="Q1159">
        <f>IFERROR(1/IF(Inputs!$B$38="pvp",15,MAX(0.1,Skills!D21-IF(Skills!E21=TRUE,2.0,0))),0)</f>
        <v/>
      </c>
      <c r="R1159" t="n">
        <v>0</v>
      </c>
      <c r="S1159" t="n">
        <v>0</v>
      </c>
      <c r="U1159" t="n">
        <v>0</v>
      </c>
    </row>
    <row r="1160">
      <c r="A1160">
        <f>Skills!A22</f>
        <v/>
      </c>
      <c r="B1160">
        <f>Skills!B22</f>
        <v/>
      </c>
      <c r="C1160">
        <f>Inputs!$B$3&gt;=117</f>
        <v/>
      </c>
      <c r="D1160">
        <f>IF(Skills!C22=1,60+Inputs!$B$25+Inputs!$B$29,IF(Skills!C22=2,90+Inputs!$B$26+Inputs!$B$29,IF(Skills!C22=3,120+Inputs!$B$27+Inputs!$B$29,MAX(0,(Inputs!$B$3-100)*3)+Inputs!$B$28+Inputs!$B$29)))</f>
        <v/>
      </c>
      <c r="E1160">
        <f>INDEX(FactorTable!$B$2:$Y$301, MATCH(ROUND(MIN(300,MAX(1,D1160)),0), FactorTable!$A$2:$A$301,0), Skills!L22+1)</f>
        <v/>
      </c>
      <c r="F1160">
        <f>IF(Skills!M22=TRUE,(Skills!K22/10)*(E1160/1000),Skills!K22/10)+Skills!N22</f>
        <v/>
      </c>
      <c r="G1160">
        <f>Calc!G22</f>
        <v/>
      </c>
      <c r="H1160">
        <f>Calc!H22</f>
        <v/>
      </c>
      <c r="I1160">
        <f>IF(Skills!T22&lt;&gt;"",1+(Skills!T22/10)*(Z1141/1000)/100,1)</f>
        <v/>
      </c>
      <c r="J1160" t="inlineStr"/>
      <c r="K1160" t="inlineStr"/>
      <c r="L1160" t="inlineStr"/>
      <c r="M1160" t="inlineStr"/>
      <c r="N1160" t="inlineStr"/>
      <c r="O1160">
        <f>(1-Summary!$B$51)*S1160+Summary!$B$51*U1160</f>
        <v/>
      </c>
      <c r="P1160">
        <f>IF(B1174=0,0,O1160/B1174)</f>
        <v/>
      </c>
      <c r="Q1160">
        <f>IFERROR(1/IF(Inputs!$B$38="pvp",15,MAX(0.1,Skills!D22-IF(Skills!E22=TRUE,2.0,0))),0)</f>
        <v/>
      </c>
      <c r="R1160" t="n">
        <v>0</v>
      </c>
      <c r="S1160" t="n">
        <v>0</v>
      </c>
      <c r="U1160" t="n">
        <v>0</v>
      </c>
    </row>
    <row r="1161">
      <c r="A1161">
        <f>Skills!A23</f>
        <v/>
      </c>
      <c r="B1161">
        <f>Skills!B23</f>
        <v/>
      </c>
      <c r="C1161">
        <f>Inputs!$B$3&gt;=120</f>
        <v/>
      </c>
      <c r="D1161">
        <f>IF(Skills!C23=1,60+Inputs!$B$25+Inputs!$B$29,IF(Skills!C23=2,90+Inputs!$B$26+Inputs!$B$29,IF(Skills!C23=3,120+Inputs!$B$27+Inputs!$B$29,MAX(0,(Inputs!$B$3-100)*3)+Inputs!$B$28+Inputs!$B$29)))</f>
        <v/>
      </c>
      <c r="E1161">
        <f>INDEX(FactorTable!$B$2:$Y$301, MATCH(ROUND(MIN(300,MAX(1,D1161)),0), FactorTable!$A$2:$A$301,0), Skills!L23+1)</f>
        <v/>
      </c>
      <c r="F1161">
        <f>IF(Skills!M23=TRUE,(Skills!K23/10)*(E1161/1000),Skills!K23/10)+Skills!N23</f>
        <v/>
      </c>
      <c r="G1161">
        <f>Calc!G23</f>
        <v/>
      </c>
      <c r="H1161">
        <f>Calc!H23</f>
        <v/>
      </c>
      <c r="I1161">
        <f>IF(Skills!T23&lt;&gt;"",1+(Skills!T23/10)*(Z1141/1000)/100,1)</f>
        <v/>
      </c>
      <c r="J1161" t="inlineStr"/>
      <c r="K1161" t="inlineStr"/>
      <c r="L1161" t="inlineStr"/>
      <c r="M1161" t="inlineStr"/>
      <c r="N1161" t="inlineStr"/>
      <c r="O1161">
        <f>(1-Summary!$B$51)*S1161+Summary!$B$51*U1161</f>
        <v/>
      </c>
      <c r="P1161">
        <f>IF(B1174=0,0,O1161/B1174)</f>
        <v/>
      </c>
      <c r="Q1161">
        <f>IFERROR(1/IF(Inputs!$B$38="pvp",15,MAX(0.1,Skills!D23-IF(Skills!E23=TRUE,2.0,0))),0)</f>
        <v/>
      </c>
      <c r="R1161" t="n">
        <v>0</v>
      </c>
      <c r="S1161" t="n">
        <v>0</v>
      </c>
      <c r="U1161" t="n">
        <v>0</v>
      </c>
    </row>
    <row r="1164">
      <c r="A1164" t="inlineStr">
        <is>
          <t>Average Buff Multiplier (Magic Guard + Meditation, summed; then Infinity)</t>
        </is>
      </c>
      <c r="B1164">
        <f>(1+(IF(C1141=TRUE,F1141*IF(AND(Inputs!$B$38&lt;&gt;"pvp",Inputs!$B$43&gt;0),(((R1141-1)*(Skills!S3*(1+(Inputs!$B$34+IF(Inputs!$B$3&gt;=117,F1160,0))/100))+MIN((Skills!S3*(1+(Inputs!$B$34+IF(Inputs!$B$3&gt;=117,F1160,0))/100)),MAX(0,Inputs!$B$43-((R1141-1)*Skills!D3))))/Inputs!$B$43),IF(Inputs!$B$38="pvp",MIN((Skills!S3*(1+(Inputs!$B$34+IF(Inputs!$B$3&gt;=117,F1160,0))/100)),15)/15,(Skills!S3*(1+(Inputs!$B$34+IF(Inputs!$B$3&gt;=117,F1160,0))/100))/Skills!D3)),0)+IF(C1142=TRUE,F1142*IF(AND(Inputs!$B$38&lt;&gt;"pvp",Inputs!$B$43&gt;0),(((R1142-1)*(Skills!S4*(1+(Inputs!$B$34+IF(Inputs!$B$3&gt;=117,F1160,0))/100))+MIN((Skills!S4*(1+(Inputs!$B$34+IF(Inputs!$B$3&gt;=117,F1160,0))/100)),MAX(0,Inputs!$B$43-((R1142-1)*Skills!D4))))/Inputs!$B$43),IF(Inputs!$B$38="pvp",MIN((Skills!S4*(1+(Inputs!$B$34+IF(Inputs!$B$3&gt;=117,F1160,0))/100)),15)/15,(Skills!S4*(1+(Inputs!$B$34+IF(Inputs!$B$3&gt;=117,F1160,0))/100))/Skills!D4)),0))/100)*IF(C1154=TRUE,(1+F1154*IF(AND(Inputs!$B$38&lt;&gt;"pvp",Inputs!$B$43&gt;0),(((R1154-1)*(Skills!S16*(1+(Inputs!$B$34+IF(Inputs!$B$3&gt;=117,F1160,0))/100))+MIN((Skills!S16*(1+(Inputs!$B$34+IF(Inputs!$B$3&gt;=117,F1160,0))/100)),MAX(0,Inputs!$B$43-((R1154-1)*Skills!D16))))/Inputs!$B$43),IF(Inputs!$B$38="pvp",MIN((Skills!S16*(1+(Inputs!$B$34+IF(Inputs!$B$3&gt;=117,F1160,0))/100)),15)/15,(Skills!S16*(1+(Inputs!$B$34+IF(Inputs!$B$3&gt;=117,F1160,0))/100))/Skills!D16))/100),1)</f>
        <v/>
      </c>
    </row>
    <row r="1165">
      <c r="A1165" t="inlineStr">
        <is>
          <t>Monster Damage Taken Bonus % (Freezing Breath - Weaken + Elemental Reset, summed)</t>
        </is>
      </c>
      <c r="B1165">
        <f>IF(Inputs!$B$3&gt;=118,15*IF(Inputs!$B$38="pvp",MIN((30*(1+(Inputs!$B$34+IF(Inputs!$B$3&gt;=117,F1160,0))/100)),15)/15,(30*(1+(Inputs!$B$34+IF(Inputs!$B$3&gt;=117,F1160,0))/100))/Skills!D8),0)+IF(C1152=TRUE,F1152,0)</f>
        <v/>
      </c>
    </row>
    <row r="1166">
      <c r="A1166" t="inlineStr">
        <is>
          <t>Damage % Bonus (Frozen Break + Frost Clutch, flat)</t>
        </is>
      </c>
      <c r="B1166">
        <f>IF(Inputs!$B$3&gt;=66,15,0)+IF(Inputs!$B$3&gt;=98,10,0)+IF(Inputs!$B$3&gt;=125,20,0)</f>
        <v/>
      </c>
    </row>
    <row r="1167">
      <c r="A1167" t="inlineStr">
        <is>
          <t>Attack Speed Bonus % (MP Eater - MP Boost, always-on once unlocked)</t>
        </is>
      </c>
      <c r="B1167">
        <f>IF(C1151=TRUE,F1151+(F1155-Calc!F17),0)</f>
        <v/>
      </c>
    </row>
    <row r="1168">
      <c r="A1168" t="inlineStr">
        <is>
          <t>Actions Per Second</t>
        </is>
      </c>
      <c r="B1168">
        <f>1+MIN(150,150*(1-(1-Inputs!$B$11/150)*(1-B1167/150)))/100</f>
        <v/>
      </c>
    </row>
    <row r="1169">
      <c r="A1169" t="inlineStr">
        <is>
          <t>Skill + Buff Cast Rate</t>
        </is>
      </c>
      <c r="B1169">
        <f>IF(AND(Inputs!$B$38&lt;&gt;"pvp",Inputs!$B$43&gt;0),SUMPRODUCT((Skills!E2:E23=TRUE)*(C1140:C1161=TRUE)*R1140:R1161)/Inputs!$B$43,SUMPRODUCT((Skills!E2:E23=TRUE)*(C1140:C1161=TRUE)*Q1140:Q1161))</f>
        <v/>
      </c>
    </row>
    <row r="1170">
      <c r="A1170" t="inlineStr">
        <is>
          <t>Chain Lightning Casts Per Second</t>
        </is>
      </c>
      <c r="B1170">
        <f>MAX(0,B1168-B1169)</f>
        <v/>
      </c>
    </row>
    <row r="1171">
      <c r="A1171" t="inlineStr">
        <is>
          <t>Buff-Casting Startup Delay (s, fixed-duration only)</t>
        </is>
      </c>
      <c r="B1171">
        <f>IF(AND(Inputs!$B$38&lt;&gt;"pvp",Inputs!$B$43&gt;0),SUMPRODUCT((Skills!S2:S23&gt;0)*(Skills!E2:E23=TRUE)*(C1140:C1161=TRUE))/B1168,0)</f>
        <v/>
      </c>
    </row>
    <row r="1172">
      <c r="A1172" t="inlineStr">
        <is>
          <t>Boss-Only Total DPS (this block's swept value)</t>
        </is>
      </c>
      <c r="B1172">
        <f>SUM(S1140:S1161)</f>
        <v/>
      </c>
    </row>
    <row r="1173">
      <c r="A1173" t="inlineStr">
        <is>
          <t>Normal-Only Total DPS (this block's swept value)</t>
        </is>
      </c>
      <c r="B1173">
        <f>SUM(U1140:U1161)</f>
        <v/>
      </c>
    </row>
    <row r="1174">
      <c r="A1174" s="5" t="inlineStr">
        <is>
          <t>TOTAL DPS</t>
        </is>
      </c>
      <c r="B1174" s="5">
        <f>SUM(O1140:O1161)</f>
        <v/>
      </c>
    </row>
    <row r="1177">
      <c r="A1177" s="5" t="inlineStr">
        <is>
          <t>Stat: CDR = 2.5s</t>
        </is>
      </c>
    </row>
    <row r="1178">
      <c r="A1178" s="9" t="inlineStr">
        <is>
          <t>Key</t>
        </is>
      </c>
      <c r="B1178" s="9" t="inlineStr">
        <is>
          <t>Name</t>
        </is>
      </c>
      <c r="C1178" s="9" t="inlineStr">
        <is>
          <t>Unlocked</t>
        </is>
      </c>
      <c r="D1178" s="9" t="inlineStr">
        <is>
          <t>InputLevel</t>
        </is>
      </c>
      <c r="E1178" s="9" t="inlineStr">
        <is>
          <t>Factor</t>
        </is>
      </c>
      <c r="F1178" s="9" t="inlineStr">
        <is>
          <t>CoefficientPercent</t>
        </is>
      </c>
      <c r="G1178" s="9" t="inlineStr">
        <is>
          <t>EffectiveHits</t>
        </is>
      </c>
      <c r="H1178" s="9" t="inlineStr">
        <is>
          <t>ProcProbability</t>
        </is>
      </c>
      <c r="I1178" s="9" t="inlineStr">
        <is>
          <t>MapleHeroMultiplier</t>
        </is>
      </c>
      <c r="J1178" s="9" t="inlineStr">
        <is>
          <t>BaseDamage</t>
        </is>
      </c>
      <c r="K1178" s="9" t="inlineStr">
        <is>
          <t>BaseHitDamage</t>
        </is>
      </c>
      <c r="L1178" s="9" t="inlineStr">
        <is>
          <t>NonCritAvg</t>
        </is>
      </c>
      <c r="M1178" s="9" t="inlineStr">
        <is>
          <t>CritAvg</t>
        </is>
      </c>
      <c r="N1178" s="9" t="inlineStr">
        <is>
          <t>ExpectedDamage(perHit)</t>
        </is>
      </c>
      <c r="O1178" s="9" t="inlineStr">
        <is>
          <t>DPS</t>
        </is>
      </c>
      <c r="P1178" s="9" t="inlineStr">
        <is>
          <t>% of Total</t>
        </is>
      </c>
      <c r="R1178" t="inlineStr">
        <is>
          <t>helpers</t>
        </is>
      </c>
    </row>
    <row r="1179">
      <c r="A1179">
        <f>Skills!A2</f>
        <v/>
      </c>
      <c r="B1179">
        <f>Skills!B2</f>
        <v/>
      </c>
      <c r="C1179">
        <f>Inputs!$B$3&gt;=100</f>
        <v/>
      </c>
      <c r="D1179" t="inlineStr"/>
      <c r="E1179" t="inlineStr"/>
      <c r="F1179">
        <f>T1181+Skills!N2</f>
        <v/>
      </c>
      <c r="G1179">
        <f>Calc!G2</f>
        <v/>
      </c>
      <c r="H1179">
        <f>Calc!H2</f>
        <v/>
      </c>
      <c r="I1179">
        <f>IF(Skills!T2&lt;&gt;"",1+(Skills!T2/10)*(Z1180/1000)/100,1)</f>
        <v/>
      </c>
      <c r="J1179">
        <f>((Inputs!$B$6*(1+Inputs!$B$7/100))+(((Inputs!$B$12*(1+Inputs!$B$13/100))-(Inputs!$B$12*(1+Inputs!$B$13/100)))+0.25*(Inputs!$B$14-Inputs!$B$14))*(1+Inputs!$B$7/100))*(F1179/100)</f>
        <v/>
      </c>
      <c r="K1179">
        <f>J1179*(1+((Inputs!$B$12*(1+Inputs!$B$13/100))*0.01+Inputs!$B$14*0.0025)/100)*(1+(Inputs!$B$15+B1205)/100)*(1+Inputs!$B$16/100)*(5000/(6000+Inputs!$B$42*(1-Inputs!$B$19/100)))*(1+Inputs!$B$24/100)*(1+IF(C1192=TRUE,F1192,0)/100)*(1+IF(C1200=TRUE,F1200,0)/100)^5*(1+(IF(Skills!A2="CHAIN_LIGHTNING",Inputs!$B$17,Inputs!$B$18))/100)*(B1203*I1179)</f>
        <v/>
      </c>
      <c r="L1179">
        <f>K1179*(MIN(Inputs!$B$22+(F1195-Calc!F18),Inputs!$B$23)/100+Inputs!$B$23/100)/2</f>
        <v/>
      </c>
      <c r="M1179">
        <f>L1179*(1+(Inputs!$B$10+(F1198-Calc!F21))/100)</f>
        <v/>
      </c>
      <c r="N1179">
        <f>L1179*(1-MIN(Inputs!$B$9+((F1197-Calc!F20)+(F1196-Calc!F19)),100)/100)+M1179*(MIN(Inputs!$B$9+((F1197-Calc!F20)+(F1196-Calc!F19)),100)/100)</f>
        <v/>
      </c>
      <c r="O1179">
        <f>(1-Summary!$B$51)*S1179+Summary!$B$51*U1179</f>
        <v/>
      </c>
      <c r="P1179">
        <f>IF(B1213=0,0,O1179/B1213)</f>
        <v/>
      </c>
      <c r="Q1179">
        <f>IFERROR(1/IF(Inputs!$B$38="pvp",15,MAX(0.1,Skills!D2-IF(Skills!E2=TRUE,2.5,0))),0)</f>
        <v/>
      </c>
      <c r="R1179" t="n">
        <v>0</v>
      </c>
      <c r="S1179">
        <f>IF(C1179,(Skills!F2*N1179*B1209)*IF(Inputs!$B$38="pvp",1,1+(Inputs!$B$20+Skills!O2+B1204)/100),0)</f>
        <v/>
      </c>
      <c r="T1179">
        <f>MAX(0,(Inputs!$B$3-100)*3)+Inputs!$B$28+Inputs!$B$29</f>
        <v/>
      </c>
      <c r="U1179">
        <f>IF(C1179,(Skills!F2*N1179*B1209)*IF(Inputs!$B$38="pvp",1,(1+(Inputs!$B$21+Skills!P2+B1204)/100)*(MIN((6+Inputs!$B$33),Inputs!$B$37))),0)</f>
        <v/>
      </c>
      <c r="Z1179">
        <f>MAX(0,(Inputs!$B$3-100)*3)+Inputs!$B$28+Inputs!$B$29</f>
        <v/>
      </c>
    </row>
    <row r="1180">
      <c r="A1180">
        <f>Skills!A3</f>
        <v/>
      </c>
      <c r="B1180">
        <f>Skills!B3</f>
        <v/>
      </c>
      <c r="C1180">
        <f>Inputs!$B$3&gt;=15</f>
        <v/>
      </c>
      <c r="D1180">
        <f>IF(Skills!C3=1,60+Inputs!$B$25+Inputs!$B$29,IF(Skills!C3=2,90+Inputs!$B$26+Inputs!$B$29,IF(Skills!C3=3,120+Inputs!$B$27+Inputs!$B$29,MAX(0,(Inputs!$B$3-100)*3)+Inputs!$B$28+Inputs!$B$29)))</f>
        <v/>
      </c>
      <c r="E1180">
        <f>INDEX(FactorTable!$B$2:$Y$301, MATCH(ROUND(MIN(300,MAX(1,D1180)),0), FactorTable!$A$2:$A$301,0), Skills!L3+1)</f>
        <v/>
      </c>
      <c r="F1180">
        <f>IF(Skills!M3=TRUE,(Skills!K3/10)*(E1180/1000),Skills!K3/10)+Skills!N3</f>
        <v/>
      </c>
      <c r="G1180">
        <f>Calc!G3</f>
        <v/>
      </c>
      <c r="H1180">
        <f>Calc!H3</f>
        <v/>
      </c>
      <c r="I1180">
        <f>IF(Skills!T3&lt;&gt;"",1+(Skills!T3/10)*(Z1180/1000)/100,1)</f>
        <v/>
      </c>
      <c r="J1180" t="inlineStr"/>
      <c r="K1180" t="inlineStr"/>
      <c r="L1180" t="inlineStr"/>
      <c r="M1180" t="inlineStr"/>
      <c r="N1180" t="inlineStr"/>
      <c r="O1180">
        <f>(1-Summary!$B$51)*S1180+Summary!$B$51*U1180</f>
        <v/>
      </c>
      <c r="P1180">
        <f>IF(B1213=0,0,O1180/B1213)</f>
        <v/>
      </c>
      <c r="Q1180">
        <f>IFERROR(1/IF(Inputs!$B$38="pvp",15,MAX(0.1,Skills!D3-IF(Skills!E3=TRUE,2.5,0))),0)</f>
        <v/>
      </c>
      <c r="R1180">
        <f>IF(AND(Inputs!$B$38&lt;&gt;"pvp",Inputs!$B$43&gt;0),IF(Inputs!$B$43&lt;=0,0,(INT(Inputs!$B$43/IF(Inputs!$B$38="pvp",15,MAX(0.1,Skills!D3-IF(Skills!E3=TRUE,2.5,0))))+1)),0)</f>
        <v/>
      </c>
      <c r="S1180" t="n">
        <v>0</v>
      </c>
      <c r="T1180">
        <f>INDEX(FactorTable!$B$2:$Y$301, MATCH(ROUND(MIN(300,MAX(1,T1179)),0), FactorTable!$A$2:$A$301,0), 22)</f>
        <v/>
      </c>
      <c r="U1180" t="n">
        <v>0</v>
      </c>
      <c r="Z1180">
        <f>INDEX(FactorTable!$B$2:$Y$301, MATCH(ROUND(MIN(300,MAX(1,Z1179)),0), FactorTable!$A$2:$A$301,0), 24)</f>
        <v/>
      </c>
    </row>
    <row r="1181">
      <c r="A1181">
        <f>Skills!A4</f>
        <v/>
      </c>
      <c r="B1181">
        <f>Skills!B4</f>
        <v/>
      </c>
      <c r="C1181">
        <f>Inputs!$B$3&gt;=40</f>
        <v/>
      </c>
      <c r="D1181">
        <f>IF(Skills!C4=1,60+Inputs!$B$25+Inputs!$B$29,IF(Skills!C4=2,90+Inputs!$B$26+Inputs!$B$29,IF(Skills!C4=3,120+Inputs!$B$27+Inputs!$B$29,MAX(0,(Inputs!$B$3-100)*3)+Inputs!$B$28+Inputs!$B$29)))</f>
        <v/>
      </c>
      <c r="E1181">
        <f>INDEX(FactorTable!$B$2:$Y$301, MATCH(ROUND(MIN(300,MAX(1,D1181)),0), FactorTable!$A$2:$A$301,0), Skills!L4+1)</f>
        <v/>
      </c>
      <c r="F1181">
        <f>IF(Skills!M4=TRUE,(Skills!K4/10)*(E1181/1000),Skills!K4/10)+Skills!N4</f>
        <v/>
      </c>
      <c r="G1181">
        <f>Calc!G4</f>
        <v/>
      </c>
      <c r="H1181">
        <f>Calc!H4</f>
        <v/>
      </c>
      <c r="I1181">
        <f>IF(Skills!T4&lt;&gt;"",1+(Skills!T4/10)*(Z1180/1000)/100,1)</f>
        <v/>
      </c>
      <c r="J1181" t="inlineStr"/>
      <c r="K1181" t="inlineStr"/>
      <c r="L1181" t="inlineStr"/>
      <c r="M1181" t="inlineStr"/>
      <c r="N1181" t="inlineStr"/>
      <c r="O1181">
        <f>(1-Summary!$B$51)*S1181+Summary!$B$51*U1181</f>
        <v/>
      </c>
      <c r="P1181">
        <f>IF(B1213=0,0,O1181/B1213)</f>
        <v/>
      </c>
      <c r="Q1181">
        <f>IFERROR(1/IF(Inputs!$B$38="pvp",15,MAX(0.1,Skills!D4-IF(Skills!E4=TRUE,2.5,0))),0)</f>
        <v/>
      </c>
      <c r="R1181">
        <f>IF(AND(Inputs!$B$38&lt;&gt;"pvp",Inputs!$B$43&gt;0),IF(Inputs!$B$43&lt;=0,0,(INT(Inputs!$B$43/IF(Inputs!$B$38="pvp",15,MAX(0.1,Skills!D4-IF(Skills!E4=TRUE,2.5,0))))+1)),0)</f>
        <v/>
      </c>
      <c r="S1181" t="n">
        <v>0</v>
      </c>
      <c r="T1181">
        <f>290*T1180/1000</f>
        <v/>
      </c>
      <c r="U1181" t="n">
        <v>0</v>
      </c>
    </row>
    <row r="1182">
      <c r="A1182">
        <f>Skills!A5</f>
        <v/>
      </c>
      <c r="B1182">
        <f>Skills!B5</f>
        <v/>
      </c>
      <c r="C1182">
        <f>Inputs!$B$3&gt;=38</f>
        <v/>
      </c>
      <c r="D1182">
        <f>IF(Skills!C5=1,60+Inputs!$B$25+Inputs!$B$29,IF(Skills!C5=2,90+Inputs!$B$26+Inputs!$B$29,IF(Skills!C5=3,120+Inputs!$B$27+Inputs!$B$29,MAX(0,(Inputs!$B$3-100)*3)+Inputs!$B$28+Inputs!$B$29)))</f>
        <v/>
      </c>
      <c r="E1182">
        <f>INDEX(FactorTable!$B$2:$Y$301, MATCH(ROUND(MIN(300,MAX(1,D1182)),0), FactorTable!$A$2:$A$301,0), Skills!L5+1)</f>
        <v/>
      </c>
      <c r="F1182">
        <f>IF(Skills!M5=TRUE,(Skills!K5/10)*(E1182/1000),Skills!K5/10)+Skills!N5</f>
        <v/>
      </c>
      <c r="G1182">
        <f>Calc!G5</f>
        <v/>
      </c>
      <c r="H1182">
        <f>Calc!H5</f>
        <v/>
      </c>
      <c r="I1182">
        <f>IF(Skills!T5&lt;&gt;"",1+(Skills!T5/10)*(Z1180/1000)/100,1)</f>
        <v/>
      </c>
      <c r="J1182">
        <f>((Inputs!$B$6*(1+Inputs!$B$7/100))+(((Inputs!$B$12*(1+Inputs!$B$13/100))-(Inputs!$B$12*(1+Inputs!$B$13/100)))+0.25*(Inputs!$B$14-Inputs!$B$14))*(1+Inputs!$B$7/100))*(F1182/100)</f>
        <v/>
      </c>
      <c r="K1182">
        <f>J1182*(1+((Inputs!$B$12*(1+Inputs!$B$13/100))*0.01+Inputs!$B$14*0.0025)/100)*(1+(Inputs!$B$15+B1205)/100)*(1+Inputs!$B$16/100)*(5000/(6000+Inputs!$B$42*(1-Inputs!$B$19/100)))*(1+Inputs!$B$24/100)*(1+IF(C1192=TRUE,F1192,0)/100)*(1+IF(C1200=TRUE,F1200,0)/100)^5*(1+(IF(Skills!A5="CHAIN_LIGHTNING",Inputs!$B$17,Inputs!$B$18))/100)*(B1203*I1182)</f>
        <v/>
      </c>
      <c r="L1182">
        <f>K1182*(MIN(Inputs!$B$22+(F1195-Calc!F18),Inputs!$B$23)/100+Inputs!$B$23/100)/2</f>
        <v/>
      </c>
      <c r="M1182">
        <f>L1182*(1+(Inputs!$B$10+(F1198-Calc!F21))/100)</f>
        <v/>
      </c>
      <c r="N1182">
        <f>L1182*(1-MIN(Inputs!$B$9+((F1197-Calc!F20)+(F1196-Calc!F19)),100)/100)+M1182*(MIN(Inputs!$B$9+((F1197-Calc!F20)+(F1196-Calc!F19)),100)/100)</f>
        <v/>
      </c>
      <c r="O1182">
        <f>(1-Summary!$B$51)*S1182+Summary!$B$51*U1182</f>
        <v/>
      </c>
      <c r="P1182">
        <f>IF(B1213=0,0,O1182/B1213)</f>
        <v/>
      </c>
      <c r="Q1182">
        <f>IFERROR(1/IF(Inputs!$B$38="pvp",15,MAX(0.1,Skills!D5-IF(Skills!E5=TRUE,2.5,0))),0)</f>
        <v/>
      </c>
      <c r="R1182">
        <f>IF(AND(Inputs!$B$38&lt;&gt;"pvp",Inputs!$B$43&gt;0),IF(MAX(0,Inputs!$B$43-B1210)&lt;=0,0,(INT(MAX(0,Inputs!$B$43-B1210)/IF(Inputs!$B$38="pvp",15,MAX(0.1,Skills!D5-IF(Skills!E5=TRUE,2.5,0))))+1)),0)</f>
        <v/>
      </c>
      <c r="S1182">
        <f>IF(C1182,(H1182*N1182*IF(AND(Inputs!$B$38&lt;&gt;"pvp",Inputs!$B$43&gt;0),((Skills!F5*((R1182-1)*IF(Skills!G5&gt;0,Skills!H5/Skills!G5,1)+IF(Skills!G5&gt;0,MIN(Skills!H5,MAX(0,MAX(0,Inputs!$B$43-B1210)-((R1182-1)*IF(Inputs!$B$38="pvp",15,MAX(0.1,Skills!D5-IF(Skills!E5=TRUE,2.5,0))))))/Skills!G5,1)))/Inputs!$B$43),G1182*Q1182))*IF(Inputs!$B$38="pvp",1,1+(Inputs!$B$20+Skills!O5+B1204)/100),0)</f>
        <v/>
      </c>
      <c r="U1182">
        <f>IF(C1182,(H1182*N1182*IF(AND(Inputs!$B$38&lt;&gt;"pvp",Inputs!$B$43&gt;0),((Skills!F5*((R1182-1)*IF(Skills!G5&gt;0,Skills!H5/Skills!G5,1)+IF(Skills!G5&gt;0,MIN(Skills!H5,MAX(0,MAX(0,Inputs!$B$43-B1210)-((R1182-1)*IF(Inputs!$B$38="pvp",15,MAX(0.1,Skills!D5-IF(Skills!E5=TRUE,2.5,0))))))/Skills!G5,1)))/Inputs!$B$43),G1182*Q1182))*IF(Inputs!$B$38="pvp",1,(1+(Inputs!$B$21+Skills!P5+B1204)/100)*(MIN(Skills!Q5,Inputs!$B$37))),0)</f>
        <v/>
      </c>
    </row>
    <row r="1183">
      <c r="A1183">
        <f>Skills!A6</f>
        <v/>
      </c>
      <c r="B1183">
        <f>Skills!B6</f>
        <v/>
      </c>
      <c r="C1183">
        <f>Inputs!$B$3&gt;=63</f>
        <v/>
      </c>
      <c r="D1183">
        <f>IF(Skills!C6=1,60+Inputs!$B$25+Inputs!$B$29,IF(Skills!C6=2,90+Inputs!$B$26+Inputs!$B$29,IF(Skills!C6=3,120+Inputs!$B$27+Inputs!$B$29,MAX(0,(Inputs!$B$3-100)*3)+Inputs!$B$28+Inputs!$B$29)))</f>
        <v/>
      </c>
      <c r="E1183">
        <f>INDEX(FactorTable!$B$2:$Y$301, MATCH(ROUND(MIN(300,MAX(1,D1183)),0), FactorTable!$A$2:$A$301,0), Skills!L6+1)</f>
        <v/>
      </c>
      <c r="F1183">
        <f>IF(Skills!M6=TRUE,(Skills!K6/10)*(E1183/1000),Skills!K6/10)+Skills!N6</f>
        <v/>
      </c>
      <c r="G1183">
        <f>Calc!G6</f>
        <v/>
      </c>
      <c r="H1183">
        <f>Calc!H6</f>
        <v/>
      </c>
      <c r="I1183">
        <f>IF(Skills!T6&lt;&gt;"",1+(Skills!T6/10)*(Z1180/1000)/100,1)</f>
        <v/>
      </c>
      <c r="J1183">
        <f>((Inputs!$B$6*(1+Inputs!$B$7/100))+(((Inputs!$B$12*(1+Inputs!$B$13/100))-(Inputs!$B$12*(1+Inputs!$B$13/100)))+0.25*(Inputs!$B$14-Inputs!$B$14))*(1+Inputs!$B$7/100))*(F1183/100)</f>
        <v/>
      </c>
      <c r="K1183">
        <f>J1183*(1+((Inputs!$B$12*(1+Inputs!$B$13/100))*0.01+Inputs!$B$14*0.0025)/100)*(1+(Inputs!$B$15+B1205)/100)*(1+Inputs!$B$16/100)*(5000/(6000+Inputs!$B$42*(1-Inputs!$B$19/100)))*(1+Inputs!$B$24/100)*(1+IF(C1192=TRUE,F1192,0)/100)*(1+IF(C1200=TRUE,F1200,0)/100)^5*(1+(IF(Skills!A6="CHAIN_LIGHTNING",Inputs!$B$17,Inputs!$B$18))/100)*(B1203*I1183)</f>
        <v/>
      </c>
      <c r="L1183">
        <f>K1183*(MIN(Inputs!$B$22+(F1195-Calc!F18),Inputs!$B$23)/100+Inputs!$B$23/100)/2</f>
        <v/>
      </c>
      <c r="M1183">
        <f>L1183*(1+(Inputs!$B$10+(F1198-Calc!F21))/100)</f>
        <v/>
      </c>
      <c r="N1183">
        <f>L1183*(1-MIN(Inputs!$B$9+((F1197-Calc!F20)+(F1196-Calc!F19)),100)/100)+M1183*(MIN(Inputs!$B$9+((F1197-Calc!F20)+(F1196-Calc!F19)),100)/100)</f>
        <v/>
      </c>
      <c r="O1183">
        <f>(1-Summary!$B$51)*S1183+Summary!$B$51*U1183</f>
        <v/>
      </c>
      <c r="P1183">
        <f>IF(B1213=0,0,O1183/B1213)</f>
        <v/>
      </c>
      <c r="Q1183">
        <f>IFERROR(1/IF(Inputs!$B$38="pvp",15,MAX(0.1,Skills!D6-IF(Skills!E6=TRUE,2.5,0))),0)</f>
        <v/>
      </c>
      <c r="R1183">
        <f>IF(AND(Inputs!$B$38&lt;&gt;"pvp",Inputs!$B$43&gt;0),IF(MAX(0,Inputs!$B$43-B1210)&lt;=0,0,(INT(MAX(0,Inputs!$B$43-B1210)/IF(Inputs!$B$38="pvp",15,MAX(0.1,Skills!D6-IF(Skills!E6=TRUE,2.5,0))))+1)),0)</f>
        <v/>
      </c>
      <c r="S1183">
        <f>IF(C1183,(H1183*N1183*IF(AND(Inputs!$B$38&lt;&gt;"pvp",Inputs!$B$43&gt;0),((Skills!F6*((R1183-1)*IF(Skills!G6&gt;0,Skills!H6/Skills!G6,1)+IF(Skills!G6&gt;0,MIN(Skills!H6,MAX(0,MAX(0,Inputs!$B$43-B1210)-((R1183-1)*IF(Inputs!$B$38="pvp",15,MAX(0.1,Skills!D6-IF(Skills!E6=TRUE,2.5,0))))))/Skills!G6,1)))/Inputs!$B$43),G1183*Q1183))*IF(Inputs!$B$38="pvp",1,1+(Inputs!$B$20+Skills!O6+B1204)/100),0)</f>
        <v/>
      </c>
      <c r="U1183">
        <f>IF(C1183,(H1183*N1183*IF(AND(Inputs!$B$38&lt;&gt;"pvp",Inputs!$B$43&gt;0),((Skills!F6*((R1183-1)*IF(Skills!G6&gt;0,Skills!H6/Skills!G6,1)+IF(Skills!G6&gt;0,MIN(Skills!H6,MAX(0,MAX(0,Inputs!$B$43-B1210)-((R1183-1)*IF(Inputs!$B$38="pvp",15,MAX(0.1,Skills!D6-IF(Skills!E6=TRUE,2.5,0))))))/Skills!G6,1)))/Inputs!$B$43),G1183*Q1183))*IF(Inputs!$B$38="pvp",1,(1+(Inputs!$B$21+Skills!P6+B1204)/100)*(MIN(Skills!Q6,Inputs!$B$37))),0)</f>
        <v/>
      </c>
    </row>
    <row r="1184">
      <c r="A1184">
        <f>Skills!A7</f>
        <v/>
      </c>
      <c r="B1184">
        <f>Skills!B7</f>
        <v/>
      </c>
      <c r="C1184">
        <f>Inputs!$B$3&gt;=69</f>
        <v/>
      </c>
      <c r="D1184">
        <f>IF(Skills!C7=1,60+Inputs!$B$25+Inputs!$B$29,IF(Skills!C7=2,90+Inputs!$B$26+Inputs!$B$29,IF(Skills!C7=3,120+Inputs!$B$27+Inputs!$B$29,MAX(0,(Inputs!$B$3-100)*3)+Inputs!$B$28+Inputs!$B$29)))</f>
        <v/>
      </c>
      <c r="E1184">
        <f>INDEX(FactorTable!$B$2:$Y$301, MATCH(ROUND(MIN(300,MAX(1,D1184)),0), FactorTable!$A$2:$A$301,0), Skills!L7+1)</f>
        <v/>
      </c>
      <c r="F1184">
        <f>IF(Skills!M7=TRUE,(Skills!K7/10)*(E1184/1000),Skills!K7/10)+Skills!N7</f>
        <v/>
      </c>
      <c r="G1184">
        <f>Calc!G7</f>
        <v/>
      </c>
      <c r="H1184">
        <f>Calc!H7</f>
        <v/>
      </c>
      <c r="I1184">
        <f>IF(Skills!T7&lt;&gt;"",1+(Skills!T7/10)*(Z1180/1000)/100,1)</f>
        <v/>
      </c>
      <c r="J1184">
        <f>((Inputs!$B$6*(1+Inputs!$B$7/100))+(((Inputs!$B$12*(1+Inputs!$B$13/100))-(Inputs!$B$12*(1+Inputs!$B$13/100)))+0.25*(Inputs!$B$14-Inputs!$B$14))*(1+Inputs!$B$7/100))*(F1184/100)</f>
        <v/>
      </c>
      <c r="K1184">
        <f>J1184*(1+((Inputs!$B$12*(1+Inputs!$B$13/100))*0.01+Inputs!$B$14*0.0025)/100)*(1+(Inputs!$B$15+B1205)/100)*(1+Inputs!$B$16/100)*(5000/(6000+Inputs!$B$42*(1-Inputs!$B$19/100)))*(1+Inputs!$B$24/100)*(1+IF(C1192=TRUE,F1192,0)/100)*(1+IF(C1200=TRUE,F1200,0)/100)^5*(1+(IF(Skills!A7="CHAIN_LIGHTNING",Inputs!$B$17,Inputs!$B$18))/100)*(B1203*I1184)</f>
        <v/>
      </c>
      <c r="L1184">
        <f>K1184*(MIN(Inputs!$B$22+(F1195-Calc!F18),Inputs!$B$23)/100+Inputs!$B$23/100)/2</f>
        <v/>
      </c>
      <c r="M1184">
        <f>L1184*(1+(Inputs!$B$10+(F1198-Calc!F21))/100)</f>
        <v/>
      </c>
      <c r="N1184">
        <f>L1184*(1-MIN(Inputs!$B$9+((F1197-Calc!F20)+(F1196-Calc!F19)),100)/100)+M1184*(MIN(Inputs!$B$9+((F1197-Calc!F20)+(F1196-Calc!F19)),100)/100)</f>
        <v/>
      </c>
      <c r="O1184">
        <f>(1-Summary!$B$51)*S1184+Summary!$B$51*U1184</f>
        <v/>
      </c>
      <c r="P1184">
        <f>IF(B1213=0,0,O1184/B1213)</f>
        <v/>
      </c>
      <c r="Q1184">
        <f>IFERROR(1/IF(Inputs!$B$38="pvp",15,MAX(0.1,Skills!D7-IF(Skills!E7=TRUE,2.5,0))),0)</f>
        <v/>
      </c>
      <c r="R1184">
        <f>IF(AND(Inputs!$B$38&lt;&gt;"pvp",Inputs!$B$43&gt;0),IF(MAX(0,Inputs!$B$43-B1210)&lt;=0,0,(INT(MAX(0,Inputs!$B$43-B1210)/IF(Inputs!$B$38="pvp",15,MAX(0.1,Skills!D7-IF(Skills!E7=TRUE,2.5,0))))+1)),0)</f>
        <v/>
      </c>
      <c r="S1184">
        <f>IF(C1184,(H1184*N1184*IF(AND(Inputs!$B$38&lt;&gt;"pvp",Inputs!$B$43&gt;0),((Skills!F7*((R1184-1)*IF(Skills!G7&gt;0,Skills!H7/Skills!G7,1)+IF(Skills!G7&gt;0,MIN(Skills!H7,MAX(0,MAX(0,Inputs!$B$43-B1210)-((R1184-1)*IF(Inputs!$B$38="pvp",15,MAX(0.1,Skills!D7-IF(Skills!E7=TRUE,2.5,0))))))/Skills!G7,1)))/Inputs!$B$43),G1184*Q1184))*IF(Inputs!$B$38="pvp",1,1+(Inputs!$B$20+Skills!O7+B1204)/100),0)</f>
        <v/>
      </c>
      <c r="U1184">
        <f>IF(C1184,(H1184*N1184*IF(AND(Inputs!$B$38&lt;&gt;"pvp",Inputs!$B$43&gt;0),((Skills!F7*((R1184-1)*IF(Skills!G7&gt;0,Skills!H7/Skills!G7,1)+IF(Skills!G7&gt;0,MIN(Skills!H7,MAX(0,MAX(0,Inputs!$B$43-B1210)-((R1184-1)*IF(Inputs!$B$38="pvp",15,MAX(0.1,Skills!D7-IF(Skills!E7=TRUE,2.5,0))))))/Skills!G7,1)))/Inputs!$B$43),G1184*Q1184))*IF(Inputs!$B$38="pvp",1,(1+(Inputs!$B$21+Skills!P7+B1204)/100)*(MIN(Skills!Q7,Inputs!$B$37))),0)</f>
        <v/>
      </c>
    </row>
    <row r="1185">
      <c r="A1185">
        <f>Skills!A8</f>
        <v/>
      </c>
      <c r="B1185">
        <f>Skills!B8</f>
        <v/>
      </c>
      <c r="C1185">
        <f>Inputs!$B$3&gt;=103</f>
        <v/>
      </c>
      <c r="D1185">
        <f>IF(Skills!C8=1,60+Inputs!$B$25+Inputs!$B$29,IF(Skills!C8=2,90+Inputs!$B$26+Inputs!$B$29,IF(Skills!C8=3,120+Inputs!$B$27+Inputs!$B$29,MAX(0,(Inputs!$B$3-100)*3)+Inputs!$B$28+Inputs!$B$29)))</f>
        <v/>
      </c>
      <c r="E1185">
        <f>INDEX(FactorTable!$B$2:$Y$301, MATCH(ROUND(MIN(300,MAX(1,D1185)),0), FactorTable!$A$2:$A$301,0), Skills!L8+1)</f>
        <v/>
      </c>
      <c r="F1185">
        <f>IF(Skills!M8=TRUE,(Skills!K8/10)*(E1185/1000),Skills!K8/10)+Skills!N8</f>
        <v/>
      </c>
      <c r="G1185">
        <f>Calc!G8</f>
        <v/>
      </c>
      <c r="H1185">
        <f>Calc!H8</f>
        <v/>
      </c>
      <c r="I1185">
        <f>IF(Skills!T8&lt;&gt;"",1+(Skills!T8/10)*(Z1180/1000)/100,1)</f>
        <v/>
      </c>
      <c r="J1185">
        <f>((Inputs!$B$6*(1+Inputs!$B$7/100))+(((Inputs!$B$12*(1+Inputs!$B$13/100))-(Inputs!$B$12*(1+Inputs!$B$13/100)))+0.25*(Inputs!$B$14-Inputs!$B$14))*(1+Inputs!$B$7/100))*(F1185/100)</f>
        <v/>
      </c>
      <c r="K1185">
        <f>J1185*(1+((Inputs!$B$12*(1+Inputs!$B$13/100))*0.01+Inputs!$B$14*0.0025)/100)*(1+(Inputs!$B$15+B1205)/100)*(1+Inputs!$B$16/100)*(5000/(6000+Inputs!$B$42*(1-Inputs!$B$19/100)))*(1+Inputs!$B$24/100)*(1+IF(C1192=TRUE,F1192,0)/100)*(1+IF(C1200=TRUE,F1200,0)/100)^5*(1+(IF(Skills!A8="CHAIN_LIGHTNING",Inputs!$B$17,Inputs!$B$18))/100)*(B1203*I1185)</f>
        <v/>
      </c>
      <c r="L1185">
        <f>K1185*(MIN(Inputs!$B$22+(F1195-Calc!F18),Inputs!$B$23)/100+Inputs!$B$23/100)/2</f>
        <v/>
      </c>
      <c r="M1185">
        <f>L1185*(1+(Inputs!$B$10+(F1198-Calc!F21))/100)</f>
        <v/>
      </c>
      <c r="N1185">
        <f>L1185*(1-MIN(Inputs!$B$9+((F1197-Calc!F20)+(F1196-Calc!F19)),100)/100)+M1185*(MIN(Inputs!$B$9+((F1197-Calc!F20)+(F1196-Calc!F19)),100)/100)</f>
        <v/>
      </c>
      <c r="O1185">
        <f>(1-Summary!$B$51)*S1185+Summary!$B$51*U1185</f>
        <v/>
      </c>
      <c r="P1185">
        <f>IF(B1213=0,0,O1185/B1213)</f>
        <v/>
      </c>
      <c r="Q1185">
        <f>IFERROR(1/IF(Inputs!$B$38="pvp",15,MAX(0.1,Skills!D8-IF(Skills!E8=TRUE,2.5,0))),0)</f>
        <v/>
      </c>
      <c r="R1185">
        <f>IF(AND(Inputs!$B$38&lt;&gt;"pvp",Inputs!$B$43&gt;0),IF(MAX(0,Inputs!$B$43-B1210)&lt;=0,0,(INT(MAX(0,Inputs!$B$43-B1210)/IF(Inputs!$B$38="pvp",15,MAX(0.1,Skills!D8-IF(Skills!E8=TRUE,2.5,0))))+1)),0)</f>
        <v/>
      </c>
      <c r="S1185">
        <f>IF(C1185,(H1185*N1185*IF(AND(Inputs!$B$38&lt;&gt;"pvp",Inputs!$B$43&gt;0),((Skills!F8*((R1185-1)*IF(Skills!G8&gt;0,Skills!H8/Skills!G8,1)+IF(Skills!G8&gt;0,MIN(Skills!H8,MAX(0,MAX(0,Inputs!$B$43-B1210)-((R1185-1)*IF(Inputs!$B$38="pvp",15,MAX(0.1,Skills!D8-IF(Skills!E8=TRUE,2.5,0))))))/Skills!G8,1)))/Inputs!$B$43),G1185*Q1185))*IF(Inputs!$B$38="pvp",1,1+(Inputs!$B$20+Skills!O8+B1204)/100),0)</f>
        <v/>
      </c>
      <c r="U1185">
        <f>IF(C1185,(H1185*N1185*IF(AND(Inputs!$B$38&lt;&gt;"pvp",Inputs!$B$43&gt;0),((Skills!F8*((R1185-1)*IF(Skills!G8&gt;0,Skills!H8/Skills!G8,1)+IF(Skills!G8&gt;0,MIN(Skills!H8,MAX(0,MAX(0,Inputs!$B$43-B1210)-((R1185-1)*IF(Inputs!$B$38="pvp",15,MAX(0.1,Skills!D8-IF(Skills!E8=TRUE,2.5,0))))))/Skills!G8,1)))/Inputs!$B$43),G1185*Q1185))*IF(Inputs!$B$38="pvp",1,(1+(Inputs!$B$21+Skills!P8+B1204)/100)*(MIN(Skills!Q8,Inputs!$B$37))),0)</f>
        <v/>
      </c>
    </row>
    <row r="1186">
      <c r="A1186">
        <f>Skills!A9</f>
        <v/>
      </c>
      <c r="B1186">
        <f>Skills!B9</f>
        <v/>
      </c>
      <c r="C1186">
        <f>Inputs!$B$3&gt;=105</f>
        <v/>
      </c>
      <c r="D1186">
        <f>IF(Skills!C9=1,60+Inputs!$B$25+Inputs!$B$29,IF(Skills!C9=2,90+Inputs!$B$26+Inputs!$B$29,IF(Skills!C9=3,120+Inputs!$B$27+Inputs!$B$29,MAX(0,(Inputs!$B$3-100)*3)+Inputs!$B$28+Inputs!$B$29)))</f>
        <v/>
      </c>
      <c r="E1186">
        <f>INDEX(FactorTable!$B$2:$Y$301, MATCH(ROUND(MIN(300,MAX(1,D1186)),0), FactorTable!$A$2:$A$301,0), Skills!L9+1)</f>
        <v/>
      </c>
      <c r="F1186">
        <f>IF(Skills!M9=TRUE,(Skills!K9/10)*(E1186/1000),Skills!K9/10)+Skills!N9</f>
        <v/>
      </c>
      <c r="G1186">
        <f>Calc!G9</f>
        <v/>
      </c>
      <c r="H1186">
        <f>Calc!H9</f>
        <v/>
      </c>
      <c r="I1186">
        <f>IF(Skills!T9&lt;&gt;"",1+(Skills!T9/10)*(Z1180/1000)/100,1)</f>
        <v/>
      </c>
      <c r="J1186">
        <f>((Inputs!$B$6*(1+Inputs!$B$7/100))+(((Inputs!$B$12*(1+Inputs!$B$13/100))-(Inputs!$B$12*(1+Inputs!$B$13/100)))+0.25*(Inputs!$B$14-Inputs!$B$14))*(1+Inputs!$B$7/100))*(F1186/100)</f>
        <v/>
      </c>
      <c r="K1186">
        <f>J1186*(1+((Inputs!$B$12*(1+Inputs!$B$13/100))*0.01+Inputs!$B$14*0.0025)/100)*(1+(Inputs!$B$15+B1205)/100)*(1+Inputs!$B$16/100)*(5000/(6000+Inputs!$B$42*(1-Inputs!$B$19/100)))*(1+Inputs!$B$24/100)*(1+IF(C1192=TRUE,F1192,0)/100)*(1+IF(C1200=TRUE,F1200,0)/100)^5*(1+(IF(Skills!A9="CHAIN_LIGHTNING",Inputs!$B$17,Inputs!$B$18))/100)*(B1203*I1186)</f>
        <v/>
      </c>
      <c r="L1186">
        <f>K1186*(MIN(Inputs!$B$22+(F1195-Calc!F18),Inputs!$B$23)/100+Inputs!$B$23/100)/2</f>
        <v/>
      </c>
      <c r="M1186">
        <f>L1186*(1+(Inputs!$B$10+(F1198-Calc!F21))/100)</f>
        <v/>
      </c>
      <c r="N1186">
        <f>L1186*(1-MIN(Inputs!$B$9+((F1197-Calc!F20)+(F1196-Calc!F19)),100)/100)+M1186*(MIN(Inputs!$B$9+((F1197-Calc!F20)+(F1196-Calc!F19)),100)/100)</f>
        <v/>
      </c>
      <c r="O1186">
        <f>(1-Summary!$B$51)*S1186+Summary!$B$51*U1186</f>
        <v/>
      </c>
      <c r="P1186">
        <f>IF(B1213=0,0,O1186/B1213)</f>
        <v/>
      </c>
      <c r="Q1186">
        <f>IFERROR(1/IF(Inputs!$B$38="pvp",15,MAX(0.1,Skills!D9-IF(Skills!E9=TRUE,2.5,0))),0)</f>
        <v/>
      </c>
      <c r="R1186">
        <f>IF(AND(Inputs!$B$38&lt;&gt;"pvp",Inputs!$B$43&gt;0),IF(MAX(0,Inputs!$B$43-B1210)&lt;=0,0,(INT(MAX(0,Inputs!$B$43-B1210)/IF(Inputs!$B$38="pvp",15,MAX(0.1,Skills!D9-IF(Skills!E9=TRUE,2.5,0))))+1)),0)</f>
        <v/>
      </c>
      <c r="S1186">
        <f>IF(C1186,(H1186*N1186*IF(AND(Inputs!$B$38&lt;&gt;"pvp",Inputs!$B$43&gt;0),((Skills!F9*((R1186-1)*IF(Skills!G9&gt;0,Skills!H9/Skills!G9,1)+IF(Skills!G9&gt;0,MIN(Skills!H9,MAX(0,MAX(0,Inputs!$B$43-B1210)-((R1186-1)*IF(Inputs!$B$38="pvp",15,MAX(0.1,Skills!D9-IF(Skills!E9=TRUE,2.5,0))))))/Skills!G9,1)))/Inputs!$B$43),G1186*Q1186))*IF(Inputs!$B$38="pvp",1,1+(Inputs!$B$20+Skills!O9+B1204)/100),0)</f>
        <v/>
      </c>
      <c r="U1186">
        <f>IF(C1186,(H1186*N1186*IF(AND(Inputs!$B$38&lt;&gt;"pvp",Inputs!$B$43&gt;0),((Skills!F9*((R1186-1)*IF(Skills!G9&gt;0,Skills!H9/Skills!G9,1)+IF(Skills!G9&gt;0,MIN(Skills!H9,MAX(0,MAX(0,Inputs!$B$43-B1210)-((R1186-1)*IF(Inputs!$B$38="pvp",15,MAX(0.1,Skills!D9-IF(Skills!E9=TRUE,2.5,0))))))/Skills!G9,1)))/Inputs!$B$43),G1186*Q1186))*IF(Inputs!$B$38="pvp",1,(1+(Inputs!$B$21+Skills!P9+B1204)/100)*(MIN(Skills!Q9,Inputs!$B$37))),0)</f>
        <v/>
      </c>
    </row>
    <row r="1187">
      <c r="A1187">
        <f>Skills!A10</f>
        <v/>
      </c>
      <c r="B1187">
        <f>Skills!B10</f>
        <v/>
      </c>
      <c r="C1187">
        <f>Inputs!$B$3&gt;=113</f>
        <v/>
      </c>
      <c r="D1187">
        <f>IF(Skills!C10=1,60+Inputs!$B$25+Inputs!$B$29,IF(Skills!C10=2,90+Inputs!$B$26+Inputs!$B$29,IF(Skills!C10=3,120+Inputs!$B$27+Inputs!$B$29,MAX(0,(Inputs!$B$3-100)*3)+Inputs!$B$28+Inputs!$B$29)))</f>
        <v/>
      </c>
      <c r="E1187">
        <f>INDEX(FactorTable!$B$2:$Y$301, MATCH(ROUND(MIN(300,MAX(1,D1187)),0), FactorTable!$A$2:$A$301,0), Skills!L10+1)</f>
        <v/>
      </c>
      <c r="F1187">
        <f>IF(Skills!M10=TRUE,(Skills!K10/10)*(E1187/1000),Skills!K10/10)+Skills!N10</f>
        <v/>
      </c>
      <c r="G1187">
        <f>Calc!G10</f>
        <v/>
      </c>
      <c r="H1187">
        <f>Calc!H10</f>
        <v/>
      </c>
      <c r="I1187">
        <f>IF(Skills!T10&lt;&gt;"",1+(Skills!T10/10)*(Z1180/1000)/100,1)</f>
        <v/>
      </c>
      <c r="J1187">
        <f>((Inputs!$B$6*(1+Inputs!$B$7/100))+(((Inputs!$B$12*(1+Inputs!$B$13/100))-(Inputs!$B$12*(1+Inputs!$B$13/100)))+0.25*(Inputs!$B$14-Inputs!$B$14))*(1+Inputs!$B$7/100))*(F1187/100)</f>
        <v/>
      </c>
      <c r="K1187">
        <f>J1187*(1+((Inputs!$B$12*(1+Inputs!$B$13/100))*0.01+Inputs!$B$14*0.0025)/100)*(1+(Inputs!$B$15+B1205)/100)*(1+Inputs!$B$16/100)*(5000/(6000+Inputs!$B$42*(1-Inputs!$B$19/100)))*(1+Inputs!$B$24/100)*(1+IF(C1192=TRUE,F1192,0)/100)*(1+IF(C1200=TRUE,F1200,0)/100)^5*(1+(IF(Skills!A10="CHAIN_LIGHTNING",Inputs!$B$17,Inputs!$B$18))/100)*(B1203*I1187)</f>
        <v/>
      </c>
      <c r="L1187">
        <f>K1187*(MIN(Inputs!$B$22+(F1195-Calc!F18),Inputs!$B$23)/100+Inputs!$B$23/100)/2</f>
        <v/>
      </c>
      <c r="M1187">
        <f>L1187*(1+(Inputs!$B$10+(F1198-Calc!F21))/100)</f>
        <v/>
      </c>
      <c r="N1187">
        <f>L1187*(1-MIN(Inputs!$B$9+((F1197-Calc!F20)+(F1196-Calc!F19)),100)/100)+M1187*(MIN(Inputs!$B$9+((F1197-Calc!F20)+(F1196-Calc!F19)),100)/100)</f>
        <v/>
      </c>
      <c r="O1187">
        <f>(1-Summary!$B$51)*S1187+Summary!$B$51*U1187</f>
        <v/>
      </c>
      <c r="P1187">
        <f>IF(B1213=0,0,O1187/B1213)</f>
        <v/>
      </c>
      <c r="Q1187">
        <f>IFERROR(1/IF(Inputs!$B$38="pvp",15,MAX(0.1,Skills!D10-IF(Skills!E9=TRUE,2.5,0))),0)</f>
        <v/>
      </c>
      <c r="R1187">
        <f>IF(AND(Inputs!$B$38&lt;&gt;"pvp",Inputs!$B$43&gt;0),IF(MAX(0,Inputs!$B$43-B1210)&lt;=0,0,(INT(MAX(0,Inputs!$B$43-B1210)/IF(Inputs!$B$38="pvp",15,MAX(0.1,Skills!D10-IF(Skills!E9=TRUE,2.5,0))))+1)),0)</f>
        <v/>
      </c>
      <c r="S1187">
        <f>IF(C1187,(H1187*N1187*IF(AND(Inputs!$B$38&lt;&gt;"pvp",Inputs!$B$43&gt;0),((Skills!F10*((R1187-1)*IF(Skills!G10&gt;0,Skills!H10/Skills!G10,1)+IF(Skills!G10&gt;0,MIN(Skills!H10,MAX(0,MAX(0,Inputs!$B$43-B1210)-((R1187-1)*IF(Inputs!$B$38="pvp",15,MAX(0.1,Skills!D10-IF(Skills!E9=TRUE,2.5,0))))))/Skills!G10,1)))/Inputs!$B$43),G1187*Q1187))*IF(Inputs!$B$38="pvp",1,1+(Inputs!$B$20+Skills!O10+B1204)/100),0)</f>
        <v/>
      </c>
      <c r="U1187">
        <f>IF(C1187,(H1187*N1187*IF(AND(Inputs!$B$38&lt;&gt;"pvp",Inputs!$B$43&gt;0),((Skills!F10*((R1187-1)*IF(Skills!G10&gt;0,Skills!H10/Skills!G10,1)+IF(Skills!G10&gt;0,MIN(Skills!H10,MAX(0,MAX(0,Inputs!$B$43-B1210)-((R1187-1)*IF(Inputs!$B$38="pvp",15,MAX(0.1,Skills!D10-IF(Skills!E9=TRUE,2.5,0))))))/Skills!G10,1)))/Inputs!$B$43),G1187*Q1187))*IF(Inputs!$B$38="pvp",1,(1+(Inputs!$B$21+Skills!P10+B1204)/100)*(MIN(Skills!Q10,Inputs!$B$37))),0)</f>
        <v/>
      </c>
    </row>
    <row r="1188">
      <c r="A1188">
        <f>Skills!A11</f>
        <v/>
      </c>
      <c r="B1188">
        <f>Skills!B11</f>
        <v/>
      </c>
      <c r="C1188">
        <f>Inputs!$B$3&gt;=107</f>
        <v/>
      </c>
      <c r="D1188">
        <f>IF(Skills!C11=1,60+Inputs!$B$25+Inputs!$B$29,IF(Skills!C11=2,90+Inputs!$B$26+Inputs!$B$29,IF(Skills!C11=3,120+Inputs!$B$27+Inputs!$B$29,MAX(0,(Inputs!$B$3-100)*3)+Inputs!$B$28+Inputs!$B$29)))</f>
        <v/>
      </c>
      <c r="E1188">
        <f>INDEX(FactorTable!$B$2:$Y$301, MATCH(ROUND(MIN(300,MAX(1,D1188)),0), FactorTable!$A$2:$A$301,0), Skills!L11+1)</f>
        <v/>
      </c>
      <c r="F1188">
        <f>IF(Skills!M11=TRUE,(Skills!K11/10)*(E1188/1000),Skills!K11/10)+Skills!N11</f>
        <v/>
      </c>
      <c r="G1188">
        <f>Calc!G11</f>
        <v/>
      </c>
      <c r="H1188">
        <f>Calc!H11</f>
        <v/>
      </c>
      <c r="I1188">
        <f>IF(Skills!T11&lt;&gt;"",1+(Skills!T11/10)*(Z1180/1000)/100,1)</f>
        <v/>
      </c>
      <c r="J1188">
        <f>((Inputs!$B$6*(1+Inputs!$B$7/100))+(((Inputs!$B$12*(1+Inputs!$B$13/100))-(Inputs!$B$12*(1+Inputs!$B$13/100)))+0.25*(Inputs!$B$14-Inputs!$B$14))*(1+Inputs!$B$7/100))*(F1188/100)</f>
        <v/>
      </c>
      <c r="K1188">
        <f>J1188*(1+((Inputs!$B$12*(1+Inputs!$B$13/100))*0.01+Inputs!$B$14*0.0025)/100)*(1+(Inputs!$B$15+B1205)/100)*(1+Inputs!$B$16/100)*(5000/(6000+Inputs!$B$42*(1-Inputs!$B$19/100)))*(1+Inputs!$B$24/100)*(1+IF(C1192=TRUE,F1192,0)/100)*(1+IF(C1200=TRUE,F1200,0)/100)^5*(1+(IF(Skills!A11="CHAIN_LIGHTNING",Inputs!$B$17,Inputs!$B$18))/100)*(B1203*I1188)</f>
        <v/>
      </c>
      <c r="L1188">
        <f>K1188*(MIN(Inputs!$B$22+(F1195-Calc!F18),Inputs!$B$23)/100+Inputs!$B$23/100)/2</f>
        <v/>
      </c>
      <c r="M1188">
        <f>L1188*(1+(Inputs!$B$10+(F1198-Calc!F21))/100)</f>
        <v/>
      </c>
      <c r="N1188">
        <f>L1188*(1-MIN(Inputs!$B$9+((F1197-Calc!F20)+(F1196-Calc!F19)),100)/100)+M1188*(MIN(Inputs!$B$9+((F1197-Calc!F20)+(F1196-Calc!F19)),100)/100)</f>
        <v/>
      </c>
      <c r="O1188">
        <f>(1-Summary!$B$51)*S1188+Summary!$B$51*U1188</f>
        <v/>
      </c>
      <c r="P1188">
        <f>IF(B1213=0,0,O1188/B1213)</f>
        <v/>
      </c>
      <c r="Q1188">
        <f>IFERROR(1/IF(Inputs!$B$38="pvp",15,MAX(0.1,Skills!D11-IF(Skills!E11=TRUE,2.5,0))),0)</f>
        <v/>
      </c>
      <c r="R1188">
        <f>IF(AND(Inputs!$B$38&lt;&gt;"pvp",Inputs!$B$43&gt;0),IF(MAX(0,Inputs!$B$43-B1210)&lt;=0,0,(INT(MAX(0,Inputs!$B$43-B1210)/IF(Inputs!$B$38="pvp",15,MAX(0.1,Skills!D11-IF(Skills!E11=TRUE,2.5,0))))+1)),0)</f>
        <v/>
      </c>
      <c r="S1188">
        <f>IF(C1188,H1188*N1188*IF(AND(Inputs!$B$38&lt;&gt;"pvp",Inputs!$B$43&gt;0),((Skills!F11*((R1188-1)*IF(Skills!G11&gt;0,Skills!H11/Skills!G11,1)+IF(Skills!G11&gt;0,MIN(Skills!H11,MAX(0,MAX(0,Inputs!$B$43-B1210)-((R1188-1)*IF(Inputs!$B$38="pvp",15,MAX(0.1,Skills!D11-IF(Skills!E11=TRUE,2.5,0))))))/Skills!G11,1)))/Inputs!$B$43),G1188*Q1188)*0.5*IF(Inputs!$B$38="pvp",1,1+(Inputs!$B$20+Skills!O11+B1204)/100),0)</f>
        <v/>
      </c>
      <c r="U1188">
        <f>IF(C1188,H1188*N1188*IF(AND(Inputs!$B$38&lt;&gt;"pvp",Inputs!$B$43&gt;0),((Skills!F11*((R1188-1)*IF(Skills!G11&gt;0,Skills!H11/Skills!G11,1)+IF(Skills!G11&gt;0,MIN(Skills!H11,MAX(0,MAX(0,Inputs!$B$43-B1210)-((R1188-1)*IF(Inputs!$B$38="pvp",15,MAX(0.1,Skills!D11-IF(Skills!E11=TRUE,2.5,0))))))/Skills!G11,1)))/Inputs!$B$43),G1188*Q1188)*1*IF(Inputs!$B$38="pvp",1,(1+(Inputs!$B$21+Skills!P11+B1204)/100)*(MIN(Skills!Q11,Inputs!$B$37))),0)</f>
        <v/>
      </c>
    </row>
    <row r="1189">
      <c r="A1189">
        <f>Skills!A12</f>
        <v/>
      </c>
      <c r="B1189">
        <f>Skills!B12</f>
        <v/>
      </c>
      <c r="C1189">
        <f>Inputs!$B$3&gt;=115</f>
        <v/>
      </c>
      <c r="D1189">
        <f>IF(Skills!C12=1,60+Inputs!$B$25+Inputs!$B$29,IF(Skills!C12=2,90+Inputs!$B$26+Inputs!$B$29,IF(Skills!C12=3,120+Inputs!$B$27+Inputs!$B$29,MAX(0,(Inputs!$B$3-100)*3)+Inputs!$B$28+Inputs!$B$29)))</f>
        <v/>
      </c>
      <c r="E1189">
        <f>INDEX(FactorTable!$B$2:$Y$301, MATCH(ROUND(MIN(300,MAX(1,D1189)),0), FactorTable!$A$2:$A$301,0), Skills!L12+1)</f>
        <v/>
      </c>
      <c r="F1189">
        <f>IF(Skills!M12=TRUE,(Skills!K12/10)*(E1189/1000),Skills!K12/10)+Skills!N12</f>
        <v/>
      </c>
      <c r="G1189">
        <f>Calc!G12</f>
        <v/>
      </c>
      <c r="H1189">
        <f>Calc!H12</f>
        <v/>
      </c>
      <c r="I1189">
        <f>IF(Skills!T12&lt;&gt;"",1+(Skills!T12/10)*(Z1180/1000)/100,1)</f>
        <v/>
      </c>
      <c r="J1189">
        <f>((Inputs!$B$6*(1+Inputs!$B$7/100))+(((Inputs!$B$12*(1+Inputs!$B$13/100))-(Inputs!$B$12*(1+Inputs!$B$13/100)))+0.25*(Inputs!$B$14-Inputs!$B$14))*(1+Inputs!$B$7/100))*(F1189/100)</f>
        <v/>
      </c>
      <c r="K1189">
        <f>J1189*(1+((Inputs!$B$12*(1+Inputs!$B$13/100))*0.01+Inputs!$B$14*0.0025)/100)*(1+(Inputs!$B$15+B1205)/100)*(1+Inputs!$B$16/100)*(5000/(6000+Inputs!$B$42*(1-Inputs!$B$19/100)))*(1+Inputs!$B$24/100)*(1+IF(C1192=TRUE,F1192,0)/100)*(1+IF(C1200=TRUE,F1200,0)/100)^5*(1+(IF(Skills!A12="CHAIN_LIGHTNING",Inputs!$B$17,Inputs!$B$18))/100)*(B1203*I1189)</f>
        <v/>
      </c>
      <c r="L1189">
        <f>K1189*(MIN(Inputs!$B$22+(F1195-Calc!F18),Inputs!$B$23)/100+Inputs!$B$23/100)/2</f>
        <v/>
      </c>
      <c r="M1189">
        <f>L1189*(1+(Inputs!$B$10+(F1198-Calc!F21))/100)</f>
        <v/>
      </c>
      <c r="N1189">
        <f>L1189*(1-MIN(Inputs!$B$9+((F1197-Calc!F20)+(F1196-Calc!F19)),100)/100)+M1189*(MIN(Inputs!$B$9+((F1197-Calc!F20)+(F1196-Calc!F19)),100)/100)</f>
        <v/>
      </c>
      <c r="O1189">
        <f>(1-Summary!$B$51)*S1189+Summary!$B$51*U1189</f>
        <v/>
      </c>
      <c r="P1189">
        <f>IF(B1213=0,0,O1189/B1213)</f>
        <v/>
      </c>
      <c r="Q1189">
        <f>IFERROR(1/IF(Inputs!$B$38="pvp",15,MAX(0.1,Skills!D12-IF(Skills!E12=TRUE,2.5,0))),0)</f>
        <v/>
      </c>
      <c r="R1189">
        <f>IF(AND(Inputs!$B$38&lt;&gt;"pvp",Inputs!$B$43&gt;0),IF(MAX(0,Inputs!$B$43-B1210)&lt;=0,0,(INT(MAX(0,Inputs!$B$43-B1210)/IF(Inputs!$B$38="pvp",15,MAX(0.1,Skills!D12-IF(Skills!E12=TRUE,2.5,0))))+1)),0)</f>
        <v/>
      </c>
      <c r="S1189">
        <f>IF(C1189,(H1189*N1189*IF(AND(Inputs!$B$38&lt;&gt;"pvp",Inputs!$B$43&gt;0),((Skills!F12*((R1189-1)*IF(Skills!G12&gt;0,Skills!H12/Skills!G12,1)+IF(Skills!G12&gt;0,MIN(Skills!H12,MAX(0,MAX(0,Inputs!$B$43-B1210)-((R1189-1)*IF(Inputs!$B$38="pvp",15,MAX(0.1,Skills!D12-IF(Skills!E12=TRUE,2.5,0))))))/Skills!G12,1)))/Inputs!$B$43),G1189*Q1189))*IF(Inputs!$B$38="pvp",1,1+(Inputs!$B$20+Skills!O12+B1204)/100),0)</f>
        <v/>
      </c>
      <c r="U1189">
        <f>IF(C1189,(H1189*N1189*IF(AND(Inputs!$B$38&lt;&gt;"pvp",Inputs!$B$43&gt;0),((Skills!F12*((R1189-1)*IF(Skills!G12&gt;0,Skills!H12/Skills!G12,1)+IF(Skills!G12&gt;0,MIN(Skills!H12,MAX(0,MAX(0,Inputs!$B$43-B1210)-((R1189-1)*IF(Inputs!$B$38="pvp",15,MAX(0.1,Skills!D12-IF(Skills!E12=TRUE,2.5,0))))))/Skills!G12,1)))/Inputs!$B$43),G1189*Q1189))*IF(Inputs!$B$38="pvp",1,(1+(Inputs!$B$21+Skills!P12+B1204)/100)*(MIN(Skills!Q12,Inputs!$B$37))),0)</f>
        <v/>
      </c>
    </row>
    <row r="1190">
      <c r="A1190">
        <f>Skills!A13</f>
        <v/>
      </c>
      <c r="B1190">
        <f>Skills!B13</f>
        <v/>
      </c>
      <c r="C1190">
        <f>Inputs!$B$3&gt;=49</f>
        <v/>
      </c>
      <c r="D1190">
        <f>IF(Skills!C13=1,60+Inputs!$B$25+Inputs!$B$29,IF(Skills!C13=2,90+Inputs!$B$26+Inputs!$B$29,IF(Skills!C13=3,120+Inputs!$B$27+Inputs!$B$29,MAX(0,(Inputs!$B$3-100)*3)+Inputs!$B$28+Inputs!$B$29)))</f>
        <v/>
      </c>
      <c r="E1190">
        <f>INDEX(FactorTable!$B$2:$Y$301, MATCH(ROUND(MIN(300,MAX(1,D1190)),0), FactorTable!$A$2:$A$301,0), Skills!L13+1)</f>
        <v/>
      </c>
      <c r="F1190">
        <f>IF(Skills!M13=TRUE,(Skills!K13/10)*(E1190/1000),Skills!K13/10)+Skills!N13</f>
        <v/>
      </c>
      <c r="G1190">
        <f>Calc!G13</f>
        <v/>
      </c>
      <c r="H1190">
        <f>Calc!H13</f>
        <v/>
      </c>
      <c r="I1190">
        <f>IF(Skills!T13&lt;&gt;"",1+(Skills!T13/10)*(Z1180/1000)/100,1)</f>
        <v/>
      </c>
      <c r="J1190" t="inlineStr"/>
      <c r="K1190" t="inlineStr"/>
      <c r="L1190" t="inlineStr"/>
      <c r="M1190" t="inlineStr"/>
      <c r="N1190" t="inlineStr"/>
      <c r="O1190">
        <f>(1-Summary!$B$51)*S1190+Summary!$B$51*U1190</f>
        <v/>
      </c>
      <c r="P1190">
        <f>IF(B1213=0,0,O1190/B1213)</f>
        <v/>
      </c>
      <c r="Q1190">
        <f>IFERROR(1/IF(Inputs!$B$38="pvp",15,MAX(0.1,Skills!D13-IF(Skills!E13=TRUE,2.5,0))),0)</f>
        <v/>
      </c>
      <c r="R1190" t="n">
        <v>0</v>
      </c>
      <c r="S1190" t="n">
        <v>0</v>
      </c>
      <c r="U1190" t="n">
        <v>0</v>
      </c>
    </row>
    <row r="1191">
      <c r="A1191">
        <f>Skills!A14</f>
        <v/>
      </c>
      <c r="B1191">
        <f>Skills!B14</f>
        <v/>
      </c>
      <c r="C1191">
        <f>Inputs!$B$3&gt;=72</f>
        <v/>
      </c>
      <c r="D1191">
        <f>IF(Skills!C14=1,60+Inputs!$B$25+Inputs!$B$29,IF(Skills!C14=2,90+Inputs!$B$26+Inputs!$B$29,IF(Skills!C14=3,120+Inputs!$B$27+Inputs!$B$29,MAX(0,(Inputs!$B$3-100)*3)+Inputs!$B$28+Inputs!$B$29)))</f>
        <v/>
      </c>
      <c r="E1191">
        <f>INDEX(FactorTable!$B$2:$Y$301, MATCH(ROUND(MIN(300,MAX(1,D1191)),0), FactorTable!$A$2:$A$301,0), Skills!L14+1)</f>
        <v/>
      </c>
      <c r="F1191">
        <f>IF(Skills!M14=TRUE,(Skills!K14/10)*(E1191/1000),Skills!K14/10)+Skills!N14</f>
        <v/>
      </c>
      <c r="G1191">
        <f>Calc!G14</f>
        <v/>
      </c>
      <c r="H1191">
        <f>Calc!H14</f>
        <v/>
      </c>
      <c r="I1191">
        <f>IF(Skills!T14&lt;&gt;"",1+(Skills!T14/10)*(Z1180/1000)/100,1)</f>
        <v/>
      </c>
      <c r="J1191" t="inlineStr"/>
      <c r="K1191" t="inlineStr"/>
      <c r="L1191" t="inlineStr"/>
      <c r="M1191" t="inlineStr"/>
      <c r="N1191" t="inlineStr"/>
      <c r="O1191">
        <f>(1-Summary!$B$51)*S1191+Summary!$B$51*U1191</f>
        <v/>
      </c>
      <c r="P1191">
        <f>IF(B1213=0,0,O1191/B1213)</f>
        <v/>
      </c>
      <c r="Q1191">
        <f>IFERROR(1/IF(Inputs!$B$38="pvp",15,MAX(0.1,Skills!D14-IF(Skills!E14=TRUE,2.5,0))),0)</f>
        <v/>
      </c>
      <c r="R1191" t="n">
        <v>0</v>
      </c>
      <c r="S1191" t="n">
        <v>0</v>
      </c>
      <c r="U1191" t="n">
        <v>0</v>
      </c>
    </row>
    <row r="1192">
      <c r="A1192">
        <f>Skills!A15</f>
        <v/>
      </c>
      <c r="B1192">
        <f>Skills!B15</f>
        <v/>
      </c>
      <c r="C1192">
        <f>Inputs!$B$3&gt;=75</f>
        <v/>
      </c>
      <c r="D1192">
        <f>IF(Skills!C15=1,60+Inputs!$B$25+Inputs!$B$29,IF(Skills!C15=2,90+Inputs!$B$26+Inputs!$B$29,IF(Skills!C15=3,120+Inputs!$B$27+Inputs!$B$29,MAX(0,(Inputs!$B$3-100)*3)+Inputs!$B$28+Inputs!$B$29)))</f>
        <v/>
      </c>
      <c r="E1192">
        <f>INDEX(FactorTable!$B$2:$Y$301, MATCH(ROUND(MIN(300,MAX(1,D1192)),0), FactorTable!$A$2:$A$301,0), Skills!L15+1)</f>
        <v/>
      </c>
      <c r="F1192">
        <f>IF(Skills!M15=TRUE,(Skills!K15/10)*(E1192/1000),Skills!K15/10)+Skills!N15</f>
        <v/>
      </c>
      <c r="G1192">
        <f>Calc!G15</f>
        <v/>
      </c>
      <c r="H1192">
        <f>Calc!H15</f>
        <v/>
      </c>
      <c r="I1192">
        <f>IF(Skills!T15&lt;&gt;"",1+(Skills!T15/10)*(Z1180/1000)/100,1)</f>
        <v/>
      </c>
      <c r="J1192" t="inlineStr"/>
      <c r="K1192" t="inlineStr"/>
      <c r="L1192" t="inlineStr"/>
      <c r="M1192" t="inlineStr"/>
      <c r="N1192" t="inlineStr"/>
      <c r="O1192">
        <f>(1-Summary!$B$51)*S1192+Summary!$B$51*U1192</f>
        <v/>
      </c>
      <c r="P1192">
        <f>IF(B1213=0,0,O1192/B1213)</f>
        <v/>
      </c>
      <c r="Q1192">
        <f>IFERROR(1/IF(Inputs!$B$38="pvp",15,MAX(0.1,Skills!D15-IF(Skills!E15=TRUE,2.5,0))),0)</f>
        <v/>
      </c>
      <c r="R1192" t="n">
        <v>0</v>
      </c>
      <c r="S1192" t="n">
        <v>0</v>
      </c>
      <c r="U1192" t="n">
        <v>0</v>
      </c>
    </row>
    <row r="1193">
      <c r="A1193">
        <f>Skills!A16</f>
        <v/>
      </c>
      <c r="B1193">
        <f>Skills!B16</f>
        <v/>
      </c>
      <c r="C1193">
        <f>Inputs!$B$3&gt;=110</f>
        <v/>
      </c>
      <c r="D1193">
        <f>IF(Skills!C16=1,60+Inputs!$B$25+Inputs!$B$29,IF(Skills!C16=2,90+Inputs!$B$26+Inputs!$B$29,IF(Skills!C16=3,120+Inputs!$B$27+Inputs!$B$29,MAX(0,(Inputs!$B$3-100)*3)+Inputs!$B$28+Inputs!$B$29)))</f>
        <v/>
      </c>
      <c r="E1193">
        <f>INDEX(FactorTable!$B$2:$Y$301, MATCH(ROUND(MIN(300,MAX(1,D1193)),0), FactorTable!$A$2:$A$301,0), Skills!L16+1)</f>
        <v/>
      </c>
      <c r="F1193">
        <f>(Skills!K16/10)*(E1193/1000)*64/45+Skills!N16</f>
        <v/>
      </c>
      <c r="G1193">
        <f>Calc!G16</f>
        <v/>
      </c>
      <c r="H1193">
        <f>Calc!H16</f>
        <v/>
      </c>
      <c r="I1193">
        <f>IF(Skills!T16&lt;&gt;"",1+(Skills!T16/10)*(Z1180/1000)/100,1)</f>
        <v/>
      </c>
      <c r="J1193" t="inlineStr"/>
      <c r="K1193" t="inlineStr"/>
      <c r="L1193" t="inlineStr"/>
      <c r="M1193" t="inlineStr"/>
      <c r="N1193" t="inlineStr"/>
      <c r="O1193">
        <f>(1-Summary!$B$51)*S1193+Summary!$B$51*U1193</f>
        <v/>
      </c>
      <c r="P1193">
        <f>IF(B1213=0,0,O1193/B1213)</f>
        <v/>
      </c>
      <c r="Q1193">
        <f>IFERROR(1/IF(Inputs!$B$38="pvp",15,MAX(0.1,Skills!D16-IF(Skills!E16=TRUE,2.5,0))),0)</f>
        <v/>
      </c>
      <c r="R1193">
        <f>IF(AND(Inputs!$B$38&lt;&gt;"pvp",Inputs!$B$43&gt;0),IF(Inputs!$B$43&lt;=0,0,(INT(Inputs!$B$43/IF(Inputs!$B$38="pvp",15,MAX(0.1,Skills!D16-IF(Skills!E16=TRUE,2.5,0))))+1)),0)</f>
        <v/>
      </c>
      <c r="S1193" t="n">
        <v>0</v>
      </c>
      <c r="U1193" t="n">
        <v>0</v>
      </c>
    </row>
    <row r="1194">
      <c r="A1194">
        <f>Skills!A17</f>
        <v/>
      </c>
      <c r="B1194">
        <f>Skills!B17</f>
        <v/>
      </c>
      <c r="C1194">
        <f>Inputs!$B$3&gt;=33</f>
        <v/>
      </c>
      <c r="D1194">
        <f>IF(Skills!C17=1,60+Inputs!$B$25+Inputs!$B$29,IF(Skills!C17=2,90+Inputs!$B$26+Inputs!$B$29,IF(Skills!C17=3,120+Inputs!$B$27+Inputs!$B$29,MAX(0,(Inputs!$B$3-100)*3)+Inputs!$B$28+Inputs!$B$29)))</f>
        <v/>
      </c>
      <c r="E1194">
        <f>INDEX(FactorTable!$B$2:$Y$301, MATCH(ROUND(MIN(300,MAX(1,D1194)),0), FactorTable!$A$2:$A$301,0), Skills!L17+1)</f>
        <v/>
      </c>
      <c r="F1194">
        <f>IF(Skills!M17=TRUE,(Skills!K17/10)*(E1194/1000),Skills!K17/10)+Skills!N17</f>
        <v/>
      </c>
      <c r="G1194">
        <f>Calc!G17</f>
        <v/>
      </c>
      <c r="H1194">
        <f>Calc!H17</f>
        <v/>
      </c>
      <c r="I1194">
        <f>IF(Skills!T17&lt;&gt;"",1+(Skills!T17/10)*(Z1180/1000)/100,1)</f>
        <v/>
      </c>
      <c r="J1194" t="inlineStr"/>
      <c r="K1194" t="inlineStr"/>
      <c r="L1194" t="inlineStr"/>
      <c r="M1194" t="inlineStr"/>
      <c r="N1194" t="inlineStr"/>
      <c r="O1194">
        <f>(1-Summary!$B$51)*S1194+Summary!$B$51*U1194</f>
        <v/>
      </c>
      <c r="P1194">
        <f>IF(B1213=0,0,O1194/B1213)</f>
        <v/>
      </c>
      <c r="Q1194">
        <f>IFERROR(1/IF(Inputs!$B$38="pvp",15,MAX(0.1,Skills!D17-IF(Skills!E17=TRUE,2.5,0))),0)</f>
        <v/>
      </c>
      <c r="R1194" t="n">
        <v>0</v>
      </c>
      <c r="S1194" t="n">
        <v>0</v>
      </c>
      <c r="U1194" t="n">
        <v>0</v>
      </c>
    </row>
    <row r="1195">
      <c r="A1195">
        <f>Skills!A18</f>
        <v/>
      </c>
      <c r="B1195">
        <f>Skills!B18</f>
        <v/>
      </c>
      <c r="C1195">
        <f>Inputs!$B$3&gt;=43</f>
        <v/>
      </c>
      <c r="D1195">
        <f>IF(Skills!C18=1,60+Inputs!$B$25+Inputs!$B$29,IF(Skills!C18=2,90+Inputs!$B$26+Inputs!$B$29,IF(Skills!C18=3,120+Inputs!$B$27+Inputs!$B$29,MAX(0,(Inputs!$B$3-100)*3)+Inputs!$B$28+Inputs!$B$29)))</f>
        <v/>
      </c>
      <c r="E1195">
        <f>INDEX(FactorTable!$B$2:$Y$301, MATCH(ROUND(MIN(300,MAX(1,D1195)),0), FactorTable!$A$2:$A$301,0), Skills!L18+1)</f>
        <v/>
      </c>
      <c r="F1195">
        <f>IF(Skills!M18=TRUE,(Skills!K18/10)*(E1195/1000),Skills!K18/10)+Skills!N18</f>
        <v/>
      </c>
      <c r="G1195">
        <f>Calc!G18</f>
        <v/>
      </c>
      <c r="H1195">
        <f>Calc!H18</f>
        <v/>
      </c>
      <c r="I1195">
        <f>IF(Skills!T18&lt;&gt;"",1+(Skills!T18/10)*(Z1180/1000)/100,1)</f>
        <v/>
      </c>
      <c r="J1195" t="inlineStr"/>
      <c r="K1195" t="inlineStr"/>
      <c r="L1195" t="inlineStr"/>
      <c r="M1195" t="inlineStr"/>
      <c r="N1195" t="inlineStr"/>
      <c r="O1195">
        <f>(1-Summary!$B$51)*S1195+Summary!$B$51*U1195</f>
        <v/>
      </c>
      <c r="P1195">
        <f>IF(B1213=0,0,O1195/B1213)</f>
        <v/>
      </c>
      <c r="Q1195">
        <f>IFERROR(1/IF(Inputs!$B$38="pvp",15,MAX(0.1,Skills!D18-IF(Skills!E18=TRUE,2.5,0))),0)</f>
        <v/>
      </c>
      <c r="R1195" t="n">
        <v>0</v>
      </c>
      <c r="S1195" t="n">
        <v>0</v>
      </c>
      <c r="U1195" t="n">
        <v>0</v>
      </c>
    </row>
    <row r="1196">
      <c r="A1196">
        <f>Skills!A19</f>
        <v/>
      </c>
      <c r="B1196">
        <f>Skills!B19</f>
        <v/>
      </c>
      <c r="C1196">
        <f>Inputs!$B$3&gt;=50</f>
        <v/>
      </c>
      <c r="D1196">
        <f>IF(Skills!C19=1,60+Inputs!$B$25+Inputs!$B$29,IF(Skills!C19=2,90+Inputs!$B$26+Inputs!$B$29,IF(Skills!C19=3,120+Inputs!$B$27+Inputs!$B$29,MAX(0,(Inputs!$B$3-100)*3)+Inputs!$B$28+Inputs!$B$29)))</f>
        <v/>
      </c>
      <c r="E1196">
        <f>INDEX(FactorTable!$B$2:$Y$301, MATCH(ROUND(MIN(300,MAX(1,D1196)),0), FactorTable!$A$2:$A$301,0), Skills!L19+1)</f>
        <v/>
      </c>
      <c r="F1196">
        <f>IF(Skills!M19=TRUE,(Skills!K19/10)*(E1196/1000),Skills!K19/10)+Skills!N19</f>
        <v/>
      </c>
      <c r="G1196">
        <f>Calc!G19</f>
        <v/>
      </c>
      <c r="H1196">
        <f>Calc!H19</f>
        <v/>
      </c>
      <c r="I1196">
        <f>IF(Skills!T19&lt;&gt;"",1+(Skills!T19/10)*(Z1180/1000)/100,1)</f>
        <v/>
      </c>
      <c r="J1196" t="inlineStr"/>
      <c r="K1196" t="inlineStr"/>
      <c r="L1196" t="inlineStr"/>
      <c r="M1196" t="inlineStr"/>
      <c r="N1196" t="inlineStr"/>
      <c r="O1196">
        <f>(1-Summary!$B$51)*S1196+Summary!$B$51*U1196</f>
        <v/>
      </c>
      <c r="P1196">
        <f>IF(B1213=0,0,O1196/B1213)</f>
        <v/>
      </c>
      <c r="Q1196">
        <f>IFERROR(1/IF(Inputs!$B$38="pvp",15,MAX(0.1,Skills!D19-IF(Skills!E19=TRUE,2.5,0))),0)</f>
        <v/>
      </c>
      <c r="R1196" t="n">
        <v>0</v>
      </c>
      <c r="S1196" t="n">
        <v>0</v>
      </c>
      <c r="U1196" t="n">
        <v>0</v>
      </c>
    </row>
    <row r="1197">
      <c r="A1197">
        <f>Skills!A20</f>
        <v/>
      </c>
      <c r="B1197">
        <f>Skills!B20</f>
        <v/>
      </c>
      <c r="C1197">
        <f>Inputs!$B$3&gt;=74</f>
        <v/>
      </c>
      <c r="D1197">
        <f>IF(Skills!C20=1,60+Inputs!$B$25+Inputs!$B$29,IF(Skills!C20=2,90+Inputs!$B$26+Inputs!$B$29,IF(Skills!C20=3,120+Inputs!$B$27+Inputs!$B$29,MAX(0,(Inputs!$B$3-100)*3)+Inputs!$B$28+Inputs!$B$29)))</f>
        <v/>
      </c>
      <c r="E1197">
        <f>INDEX(FactorTable!$B$2:$Y$301, MATCH(ROUND(MIN(300,MAX(1,D1197)),0), FactorTable!$A$2:$A$301,0), Skills!L20+1)</f>
        <v/>
      </c>
      <c r="F1197">
        <f>IF(Skills!M20=TRUE,(Skills!K20/10)*(E1197/1000),Skills!K20/10)+Skills!N20</f>
        <v/>
      </c>
      <c r="G1197">
        <f>Calc!G20</f>
        <v/>
      </c>
      <c r="H1197">
        <f>Calc!H20</f>
        <v/>
      </c>
      <c r="I1197">
        <f>IF(Skills!T20&lt;&gt;"",1+(Skills!T20/10)*(Z1180/1000)/100,1)</f>
        <v/>
      </c>
      <c r="J1197" t="inlineStr"/>
      <c r="K1197" t="inlineStr"/>
      <c r="L1197" t="inlineStr"/>
      <c r="M1197" t="inlineStr"/>
      <c r="N1197" t="inlineStr"/>
      <c r="O1197">
        <f>(1-Summary!$B$51)*S1197+Summary!$B$51*U1197</f>
        <v/>
      </c>
      <c r="P1197">
        <f>IF(B1213=0,0,O1197/B1213)</f>
        <v/>
      </c>
      <c r="Q1197">
        <f>IFERROR(1/IF(Inputs!$B$38="pvp",15,MAX(0.1,Skills!D20-IF(Skills!E20=TRUE,2.5,0))),0)</f>
        <v/>
      </c>
      <c r="R1197" t="n">
        <v>0</v>
      </c>
      <c r="S1197" t="n">
        <v>0</v>
      </c>
      <c r="U1197" t="n">
        <v>0</v>
      </c>
    </row>
    <row r="1198">
      <c r="A1198">
        <f>Skills!A21</f>
        <v/>
      </c>
      <c r="B1198">
        <f>Skills!B21</f>
        <v/>
      </c>
      <c r="C1198">
        <f>Inputs!$B$3&gt;=74</f>
        <v/>
      </c>
      <c r="D1198">
        <f>IF(Skills!C21=1,60+Inputs!$B$25+Inputs!$B$29,IF(Skills!C21=2,90+Inputs!$B$26+Inputs!$B$29,IF(Skills!C21=3,120+Inputs!$B$27+Inputs!$B$29,MAX(0,(Inputs!$B$3-100)*3)+Inputs!$B$28+Inputs!$B$29)))</f>
        <v/>
      </c>
      <c r="E1198">
        <f>INDEX(FactorTable!$B$2:$Y$301, MATCH(ROUND(MIN(300,MAX(1,D1198)),0), FactorTable!$A$2:$A$301,0), Skills!L21+1)</f>
        <v/>
      </c>
      <c r="F1198">
        <f>IF(Skills!M21=TRUE,(Skills!K21/10)*(E1198/1000),Skills!K21/10)+Skills!N21</f>
        <v/>
      </c>
      <c r="G1198">
        <f>Calc!G21</f>
        <v/>
      </c>
      <c r="H1198">
        <f>Calc!H21</f>
        <v/>
      </c>
      <c r="I1198">
        <f>IF(Skills!T21&lt;&gt;"",1+(Skills!T21/10)*(Z1180/1000)/100,1)</f>
        <v/>
      </c>
      <c r="J1198" t="inlineStr"/>
      <c r="K1198" t="inlineStr"/>
      <c r="L1198" t="inlineStr"/>
      <c r="M1198" t="inlineStr"/>
      <c r="N1198" t="inlineStr"/>
      <c r="O1198">
        <f>(1-Summary!$B$51)*S1198+Summary!$B$51*U1198</f>
        <v/>
      </c>
      <c r="P1198">
        <f>IF(B1213=0,0,O1198/B1213)</f>
        <v/>
      </c>
      <c r="Q1198">
        <f>IFERROR(1/IF(Inputs!$B$38="pvp",15,MAX(0.1,Skills!D21-IF(Skills!E21=TRUE,2.5,0))),0)</f>
        <v/>
      </c>
      <c r="R1198" t="n">
        <v>0</v>
      </c>
      <c r="S1198" t="n">
        <v>0</v>
      </c>
      <c r="U1198" t="n">
        <v>0</v>
      </c>
    </row>
    <row r="1199">
      <c r="A1199">
        <f>Skills!A22</f>
        <v/>
      </c>
      <c r="B1199">
        <f>Skills!B22</f>
        <v/>
      </c>
      <c r="C1199">
        <f>Inputs!$B$3&gt;=117</f>
        <v/>
      </c>
      <c r="D1199">
        <f>IF(Skills!C22=1,60+Inputs!$B$25+Inputs!$B$29,IF(Skills!C22=2,90+Inputs!$B$26+Inputs!$B$29,IF(Skills!C22=3,120+Inputs!$B$27+Inputs!$B$29,MAX(0,(Inputs!$B$3-100)*3)+Inputs!$B$28+Inputs!$B$29)))</f>
        <v/>
      </c>
      <c r="E1199">
        <f>INDEX(FactorTable!$B$2:$Y$301, MATCH(ROUND(MIN(300,MAX(1,D1199)),0), FactorTable!$A$2:$A$301,0), Skills!L22+1)</f>
        <v/>
      </c>
      <c r="F1199">
        <f>IF(Skills!M22=TRUE,(Skills!K22/10)*(E1199/1000),Skills!K22/10)+Skills!N22</f>
        <v/>
      </c>
      <c r="G1199">
        <f>Calc!G22</f>
        <v/>
      </c>
      <c r="H1199">
        <f>Calc!H22</f>
        <v/>
      </c>
      <c r="I1199">
        <f>IF(Skills!T22&lt;&gt;"",1+(Skills!T22/10)*(Z1180/1000)/100,1)</f>
        <v/>
      </c>
      <c r="J1199" t="inlineStr"/>
      <c r="K1199" t="inlineStr"/>
      <c r="L1199" t="inlineStr"/>
      <c r="M1199" t="inlineStr"/>
      <c r="N1199" t="inlineStr"/>
      <c r="O1199">
        <f>(1-Summary!$B$51)*S1199+Summary!$B$51*U1199</f>
        <v/>
      </c>
      <c r="P1199">
        <f>IF(B1213=0,0,O1199/B1213)</f>
        <v/>
      </c>
      <c r="Q1199">
        <f>IFERROR(1/IF(Inputs!$B$38="pvp",15,MAX(0.1,Skills!D22-IF(Skills!E22=TRUE,2.5,0))),0)</f>
        <v/>
      </c>
      <c r="R1199" t="n">
        <v>0</v>
      </c>
      <c r="S1199" t="n">
        <v>0</v>
      </c>
      <c r="U1199" t="n">
        <v>0</v>
      </c>
    </row>
    <row r="1200">
      <c r="A1200">
        <f>Skills!A23</f>
        <v/>
      </c>
      <c r="B1200">
        <f>Skills!B23</f>
        <v/>
      </c>
      <c r="C1200">
        <f>Inputs!$B$3&gt;=120</f>
        <v/>
      </c>
      <c r="D1200">
        <f>IF(Skills!C23=1,60+Inputs!$B$25+Inputs!$B$29,IF(Skills!C23=2,90+Inputs!$B$26+Inputs!$B$29,IF(Skills!C23=3,120+Inputs!$B$27+Inputs!$B$29,MAX(0,(Inputs!$B$3-100)*3)+Inputs!$B$28+Inputs!$B$29)))</f>
        <v/>
      </c>
      <c r="E1200">
        <f>INDEX(FactorTable!$B$2:$Y$301, MATCH(ROUND(MIN(300,MAX(1,D1200)),0), FactorTable!$A$2:$A$301,0), Skills!L23+1)</f>
        <v/>
      </c>
      <c r="F1200">
        <f>IF(Skills!M23=TRUE,(Skills!K23/10)*(E1200/1000),Skills!K23/10)+Skills!N23</f>
        <v/>
      </c>
      <c r="G1200">
        <f>Calc!G23</f>
        <v/>
      </c>
      <c r="H1200">
        <f>Calc!H23</f>
        <v/>
      </c>
      <c r="I1200">
        <f>IF(Skills!T23&lt;&gt;"",1+(Skills!T23/10)*(Z1180/1000)/100,1)</f>
        <v/>
      </c>
      <c r="J1200" t="inlineStr"/>
      <c r="K1200" t="inlineStr"/>
      <c r="L1200" t="inlineStr"/>
      <c r="M1200" t="inlineStr"/>
      <c r="N1200" t="inlineStr"/>
      <c r="O1200">
        <f>(1-Summary!$B$51)*S1200+Summary!$B$51*U1200</f>
        <v/>
      </c>
      <c r="P1200">
        <f>IF(B1213=0,0,O1200/B1213)</f>
        <v/>
      </c>
      <c r="Q1200">
        <f>IFERROR(1/IF(Inputs!$B$38="pvp",15,MAX(0.1,Skills!D23-IF(Skills!E23=TRUE,2.5,0))),0)</f>
        <v/>
      </c>
      <c r="R1200" t="n">
        <v>0</v>
      </c>
      <c r="S1200" t="n">
        <v>0</v>
      </c>
      <c r="U1200" t="n">
        <v>0</v>
      </c>
    </row>
    <row r="1203">
      <c r="A1203" t="inlineStr">
        <is>
          <t>Average Buff Multiplier (Magic Guard + Meditation, summed; then Infinity)</t>
        </is>
      </c>
      <c r="B1203">
        <f>(1+(IF(C1180=TRUE,F1180*IF(AND(Inputs!$B$38&lt;&gt;"pvp",Inputs!$B$43&gt;0),(((R1180-1)*(Skills!S3*(1+(Inputs!$B$34+IF(Inputs!$B$3&gt;=117,F1199,0))/100))+MIN((Skills!S3*(1+(Inputs!$B$34+IF(Inputs!$B$3&gt;=117,F1199,0))/100)),MAX(0,Inputs!$B$43-((R1180-1)*Skills!D3))))/Inputs!$B$43),IF(Inputs!$B$38="pvp",MIN((Skills!S3*(1+(Inputs!$B$34+IF(Inputs!$B$3&gt;=117,F1199,0))/100)),15)/15,(Skills!S3*(1+(Inputs!$B$34+IF(Inputs!$B$3&gt;=117,F1199,0))/100))/Skills!D3)),0)+IF(C1181=TRUE,F1181*IF(AND(Inputs!$B$38&lt;&gt;"pvp",Inputs!$B$43&gt;0),(((R1181-1)*(Skills!S4*(1+(Inputs!$B$34+IF(Inputs!$B$3&gt;=117,F1199,0))/100))+MIN((Skills!S4*(1+(Inputs!$B$34+IF(Inputs!$B$3&gt;=117,F1199,0))/100)),MAX(0,Inputs!$B$43-((R1181-1)*Skills!D4))))/Inputs!$B$43),IF(Inputs!$B$38="pvp",MIN((Skills!S4*(1+(Inputs!$B$34+IF(Inputs!$B$3&gt;=117,F1199,0))/100)),15)/15,(Skills!S4*(1+(Inputs!$B$34+IF(Inputs!$B$3&gt;=117,F1199,0))/100))/Skills!D4)),0))/100)*IF(C1193=TRUE,(1+F1193*IF(AND(Inputs!$B$38&lt;&gt;"pvp",Inputs!$B$43&gt;0),(((R1193-1)*(Skills!S16*(1+(Inputs!$B$34+IF(Inputs!$B$3&gt;=117,F1199,0))/100))+MIN((Skills!S16*(1+(Inputs!$B$34+IF(Inputs!$B$3&gt;=117,F1199,0))/100)),MAX(0,Inputs!$B$43-((R1193-1)*Skills!D16))))/Inputs!$B$43),IF(Inputs!$B$38="pvp",MIN((Skills!S16*(1+(Inputs!$B$34+IF(Inputs!$B$3&gt;=117,F1199,0))/100)),15)/15,(Skills!S16*(1+(Inputs!$B$34+IF(Inputs!$B$3&gt;=117,F1199,0))/100))/Skills!D16))/100),1)</f>
        <v/>
      </c>
    </row>
    <row r="1204">
      <c r="A1204" t="inlineStr">
        <is>
          <t>Monster Damage Taken Bonus % (Freezing Breath - Weaken + Elemental Reset, summed)</t>
        </is>
      </c>
      <c r="B1204">
        <f>IF(Inputs!$B$3&gt;=118,15*IF(Inputs!$B$38="pvp",MIN((30*(1+(Inputs!$B$34+IF(Inputs!$B$3&gt;=117,F1199,0))/100)),15)/15,(30*(1+(Inputs!$B$34+IF(Inputs!$B$3&gt;=117,F1199,0))/100))/Skills!D8),0)+IF(C1191=TRUE,F1191,0)</f>
        <v/>
      </c>
    </row>
    <row r="1205">
      <c r="A1205" t="inlineStr">
        <is>
          <t>Damage % Bonus (Frozen Break + Frost Clutch, flat)</t>
        </is>
      </c>
      <c r="B1205">
        <f>IF(Inputs!$B$3&gt;=66,15,0)+IF(Inputs!$B$3&gt;=98,10,0)+IF(Inputs!$B$3&gt;=125,20,0)</f>
        <v/>
      </c>
    </row>
    <row r="1206">
      <c r="A1206" t="inlineStr">
        <is>
          <t>Attack Speed Bonus % (MP Eater - MP Boost, always-on once unlocked)</t>
        </is>
      </c>
      <c r="B1206">
        <f>IF(C1190=TRUE,F1190+(F1194-Calc!F17),0)</f>
        <v/>
      </c>
    </row>
    <row r="1207">
      <c r="A1207" t="inlineStr">
        <is>
          <t>Actions Per Second</t>
        </is>
      </c>
      <c r="B1207">
        <f>1+MIN(150,150*(1-(1-Inputs!$B$11/150)*(1-B1206/150)))/100</f>
        <v/>
      </c>
    </row>
    <row r="1208">
      <c r="A1208" t="inlineStr">
        <is>
          <t>Skill + Buff Cast Rate</t>
        </is>
      </c>
      <c r="B1208">
        <f>IF(AND(Inputs!$B$38&lt;&gt;"pvp",Inputs!$B$43&gt;0),SUMPRODUCT((Skills!E2:E23=TRUE)*(C1179:C1200=TRUE)*R1179:R1200)/Inputs!$B$43,SUMPRODUCT((Skills!E2:E23=TRUE)*(C1179:C1200=TRUE)*Q1179:Q1200))</f>
        <v/>
      </c>
    </row>
    <row r="1209">
      <c r="A1209" t="inlineStr">
        <is>
          <t>Chain Lightning Casts Per Second</t>
        </is>
      </c>
      <c r="B1209">
        <f>MAX(0,B1207-B1208)</f>
        <v/>
      </c>
    </row>
    <row r="1210">
      <c r="A1210" t="inlineStr">
        <is>
          <t>Buff-Casting Startup Delay (s, fixed-duration only)</t>
        </is>
      </c>
      <c r="B1210">
        <f>IF(AND(Inputs!$B$38&lt;&gt;"pvp",Inputs!$B$43&gt;0),SUMPRODUCT((Skills!S2:S23&gt;0)*(Skills!E2:E23=TRUE)*(C1179:C1200=TRUE))/B1207,0)</f>
        <v/>
      </c>
    </row>
    <row r="1211">
      <c r="A1211" t="inlineStr">
        <is>
          <t>Boss-Only Total DPS (this block's swept value)</t>
        </is>
      </c>
      <c r="B1211">
        <f>SUM(S1179:S1200)</f>
        <v/>
      </c>
    </row>
    <row r="1212">
      <c r="A1212" t="inlineStr">
        <is>
          <t>Normal-Only Total DPS (this block's swept value)</t>
        </is>
      </c>
      <c r="B1212">
        <f>SUM(U1179:U1200)</f>
        <v/>
      </c>
    </row>
    <row r="1213">
      <c r="A1213" s="5" t="inlineStr">
        <is>
          <t>TOTAL DPS</t>
        </is>
      </c>
      <c r="B1213" s="5">
        <f>SUM(O1179:O1200)</f>
        <v/>
      </c>
    </row>
    <row r="1216">
      <c r="A1216" s="5" t="inlineStr">
        <is>
          <t>Stat: CDR = 3.0s</t>
        </is>
      </c>
    </row>
    <row r="1217">
      <c r="A1217" s="9" t="inlineStr">
        <is>
          <t>Key</t>
        </is>
      </c>
      <c r="B1217" s="9" t="inlineStr">
        <is>
          <t>Name</t>
        </is>
      </c>
      <c r="C1217" s="9" t="inlineStr">
        <is>
          <t>Unlocked</t>
        </is>
      </c>
      <c r="D1217" s="9" t="inlineStr">
        <is>
          <t>InputLevel</t>
        </is>
      </c>
      <c r="E1217" s="9" t="inlineStr">
        <is>
          <t>Factor</t>
        </is>
      </c>
      <c r="F1217" s="9" t="inlineStr">
        <is>
          <t>CoefficientPercent</t>
        </is>
      </c>
      <c r="G1217" s="9" t="inlineStr">
        <is>
          <t>EffectiveHits</t>
        </is>
      </c>
      <c r="H1217" s="9" t="inlineStr">
        <is>
          <t>ProcProbability</t>
        </is>
      </c>
      <c r="I1217" s="9" t="inlineStr">
        <is>
          <t>MapleHeroMultiplier</t>
        </is>
      </c>
      <c r="J1217" s="9" t="inlineStr">
        <is>
          <t>BaseDamage</t>
        </is>
      </c>
      <c r="K1217" s="9" t="inlineStr">
        <is>
          <t>BaseHitDamage</t>
        </is>
      </c>
      <c r="L1217" s="9" t="inlineStr">
        <is>
          <t>NonCritAvg</t>
        </is>
      </c>
      <c r="M1217" s="9" t="inlineStr">
        <is>
          <t>CritAvg</t>
        </is>
      </c>
      <c r="N1217" s="9" t="inlineStr">
        <is>
          <t>ExpectedDamage(perHit)</t>
        </is>
      </c>
      <c r="O1217" s="9" t="inlineStr">
        <is>
          <t>DPS</t>
        </is>
      </c>
      <c r="P1217" s="9" t="inlineStr">
        <is>
          <t>% of Total</t>
        </is>
      </c>
      <c r="R1217" t="inlineStr">
        <is>
          <t>helpers</t>
        </is>
      </c>
    </row>
    <row r="1218">
      <c r="A1218">
        <f>Skills!A2</f>
        <v/>
      </c>
      <c r="B1218">
        <f>Skills!B2</f>
        <v/>
      </c>
      <c r="C1218">
        <f>Inputs!$B$3&gt;=100</f>
        <v/>
      </c>
      <c r="D1218" t="inlineStr"/>
      <c r="E1218" t="inlineStr"/>
      <c r="F1218">
        <f>T1220+Skills!N2</f>
        <v/>
      </c>
      <c r="G1218">
        <f>Calc!G2</f>
        <v/>
      </c>
      <c r="H1218">
        <f>Calc!H2</f>
        <v/>
      </c>
      <c r="I1218">
        <f>IF(Skills!T2&lt;&gt;"",1+(Skills!T2/10)*(Z1219/1000)/100,1)</f>
        <v/>
      </c>
      <c r="J1218">
        <f>((Inputs!$B$6*(1+Inputs!$B$7/100))+(((Inputs!$B$12*(1+Inputs!$B$13/100))-(Inputs!$B$12*(1+Inputs!$B$13/100)))+0.25*(Inputs!$B$14-Inputs!$B$14))*(1+Inputs!$B$7/100))*(F1218/100)</f>
        <v/>
      </c>
      <c r="K1218">
        <f>J1218*(1+((Inputs!$B$12*(1+Inputs!$B$13/100))*0.01+Inputs!$B$14*0.0025)/100)*(1+(Inputs!$B$15+B1244)/100)*(1+Inputs!$B$16/100)*(5000/(6000+Inputs!$B$42*(1-Inputs!$B$19/100)))*(1+Inputs!$B$24/100)*(1+IF(C1231=TRUE,F1231,0)/100)*(1+IF(C1239=TRUE,F1239,0)/100)^5*(1+(IF(Skills!A2="CHAIN_LIGHTNING",Inputs!$B$17,Inputs!$B$18))/100)*(B1242*I1218)</f>
        <v/>
      </c>
      <c r="L1218">
        <f>K1218*(MIN(Inputs!$B$22+(F1234-Calc!F18),Inputs!$B$23)/100+Inputs!$B$23/100)/2</f>
        <v/>
      </c>
      <c r="M1218">
        <f>L1218*(1+(Inputs!$B$10+(F1237-Calc!F21))/100)</f>
        <v/>
      </c>
      <c r="N1218">
        <f>L1218*(1-MIN(Inputs!$B$9+((F1236-Calc!F20)+(F1235-Calc!F19)),100)/100)+M1218*(MIN(Inputs!$B$9+((F1236-Calc!F20)+(F1235-Calc!F19)),100)/100)</f>
        <v/>
      </c>
      <c r="O1218">
        <f>(1-Summary!$B$51)*S1218+Summary!$B$51*U1218</f>
        <v/>
      </c>
      <c r="P1218">
        <f>IF(B1252=0,0,O1218/B1252)</f>
        <v/>
      </c>
      <c r="Q1218">
        <f>IFERROR(1/IF(Inputs!$B$38="pvp",15,MAX(0.1,Skills!D2-IF(Skills!E2=TRUE,3.0,0))),0)</f>
        <v/>
      </c>
      <c r="R1218" t="n">
        <v>0</v>
      </c>
      <c r="S1218">
        <f>IF(C1218,(Skills!F2*N1218*B1248)*IF(Inputs!$B$38="pvp",1,1+(Inputs!$B$20+Skills!O2+B1243)/100),0)</f>
        <v/>
      </c>
      <c r="T1218">
        <f>MAX(0,(Inputs!$B$3-100)*3)+Inputs!$B$28+Inputs!$B$29</f>
        <v/>
      </c>
      <c r="U1218">
        <f>IF(C1218,(Skills!F2*N1218*B1248)*IF(Inputs!$B$38="pvp",1,(1+(Inputs!$B$21+Skills!P2+B1243)/100)*(MIN((6+Inputs!$B$33),Inputs!$B$37))),0)</f>
        <v/>
      </c>
      <c r="Z1218">
        <f>MAX(0,(Inputs!$B$3-100)*3)+Inputs!$B$28+Inputs!$B$29</f>
        <v/>
      </c>
    </row>
    <row r="1219">
      <c r="A1219">
        <f>Skills!A3</f>
        <v/>
      </c>
      <c r="B1219">
        <f>Skills!B3</f>
        <v/>
      </c>
      <c r="C1219">
        <f>Inputs!$B$3&gt;=15</f>
        <v/>
      </c>
      <c r="D1219">
        <f>IF(Skills!C3=1,60+Inputs!$B$25+Inputs!$B$29,IF(Skills!C3=2,90+Inputs!$B$26+Inputs!$B$29,IF(Skills!C3=3,120+Inputs!$B$27+Inputs!$B$29,MAX(0,(Inputs!$B$3-100)*3)+Inputs!$B$28+Inputs!$B$29)))</f>
        <v/>
      </c>
      <c r="E1219">
        <f>INDEX(FactorTable!$B$2:$Y$301, MATCH(ROUND(MIN(300,MAX(1,D1219)),0), FactorTable!$A$2:$A$301,0), Skills!L3+1)</f>
        <v/>
      </c>
      <c r="F1219">
        <f>IF(Skills!M3=TRUE,(Skills!K3/10)*(E1219/1000),Skills!K3/10)+Skills!N3</f>
        <v/>
      </c>
      <c r="G1219">
        <f>Calc!G3</f>
        <v/>
      </c>
      <c r="H1219">
        <f>Calc!H3</f>
        <v/>
      </c>
      <c r="I1219">
        <f>IF(Skills!T3&lt;&gt;"",1+(Skills!T3/10)*(Z1219/1000)/100,1)</f>
        <v/>
      </c>
      <c r="J1219" t="inlineStr"/>
      <c r="K1219" t="inlineStr"/>
      <c r="L1219" t="inlineStr"/>
      <c r="M1219" t="inlineStr"/>
      <c r="N1219" t="inlineStr"/>
      <c r="O1219">
        <f>(1-Summary!$B$51)*S1219+Summary!$B$51*U1219</f>
        <v/>
      </c>
      <c r="P1219">
        <f>IF(B1252=0,0,O1219/B1252)</f>
        <v/>
      </c>
      <c r="Q1219">
        <f>IFERROR(1/IF(Inputs!$B$38="pvp",15,MAX(0.1,Skills!D3-IF(Skills!E3=TRUE,3.0,0))),0)</f>
        <v/>
      </c>
      <c r="R1219">
        <f>IF(AND(Inputs!$B$38&lt;&gt;"pvp",Inputs!$B$43&gt;0),IF(Inputs!$B$43&lt;=0,0,(INT(Inputs!$B$43/IF(Inputs!$B$38="pvp",15,MAX(0.1,Skills!D3-IF(Skills!E3=TRUE,3.0,0))))+1)),0)</f>
        <v/>
      </c>
      <c r="S1219" t="n">
        <v>0</v>
      </c>
      <c r="T1219">
        <f>INDEX(FactorTable!$B$2:$Y$301, MATCH(ROUND(MIN(300,MAX(1,T1218)),0), FactorTable!$A$2:$A$301,0), 22)</f>
        <v/>
      </c>
      <c r="U1219" t="n">
        <v>0</v>
      </c>
      <c r="Z1219">
        <f>INDEX(FactorTable!$B$2:$Y$301, MATCH(ROUND(MIN(300,MAX(1,Z1218)),0), FactorTable!$A$2:$A$301,0), 24)</f>
        <v/>
      </c>
    </row>
    <row r="1220">
      <c r="A1220">
        <f>Skills!A4</f>
        <v/>
      </c>
      <c r="B1220">
        <f>Skills!B4</f>
        <v/>
      </c>
      <c r="C1220">
        <f>Inputs!$B$3&gt;=40</f>
        <v/>
      </c>
      <c r="D1220">
        <f>IF(Skills!C4=1,60+Inputs!$B$25+Inputs!$B$29,IF(Skills!C4=2,90+Inputs!$B$26+Inputs!$B$29,IF(Skills!C4=3,120+Inputs!$B$27+Inputs!$B$29,MAX(0,(Inputs!$B$3-100)*3)+Inputs!$B$28+Inputs!$B$29)))</f>
        <v/>
      </c>
      <c r="E1220">
        <f>INDEX(FactorTable!$B$2:$Y$301, MATCH(ROUND(MIN(300,MAX(1,D1220)),0), FactorTable!$A$2:$A$301,0), Skills!L4+1)</f>
        <v/>
      </c>
      <c r="F1220">
        <f>IF(Skills!M4=TRUE,(Skills!K4/10)*(E1220/1000),Skills!K4/10)+Skills!N4</f>
        <v/>
      </c>
      <c r="G1220">
        <f>Calc!G4</f>
        <v/>
      </c>
      <c r="H1220">
        <f>Calc!H4</f>
        <v/>
      </c>
      <c r="I1220">
        <f>IF(Skills!T4&lt;&gt;"",1+(Skills!T4/10)*(Z1219/1000)/100,1)</f>
        <v/>
      </c>
      <c r="J1220" t="inlineStr"/>
      <c r="K1220" t="inlineStr"/>
      <c r="L1220" t="inlineStr"/>
      <c r="M1220" t="inlineStr"/>
      <c r="N1220" t="inlineStr"/>
      <c r="O1220">
        <f>(1-Summary!$B$51)*S1220+Summary!$B$51*U1220</f>
        <v/>
      </c>
      <c r="P1220">
        <f>IF(B1252=0,0,O1220/B1252)</f>
        <v/>
      </c>
      <c r="Q1220">
        <f>IFERROR(1/IF(Inputs!$B$38="pvp",15,MAX(0.1,Skills!D4-IF(Skills!E4=TRUE,3.0,0))),0)</f>
        <v/>
      </c>
      <c r="R1220">
        <f>IF(AND(Inputs!$B$38&lt;&gt;"pvp",Inputs!$B$43&gt;0),IF(Inputs!$B$43&lt;=0,0,(INT(Inputs!$B$43/IF(Inputs!$B$38="pvp",15,MAX(0.1,Skills!D4-IF(Skills!E4=TRUE,3.0,0))))+1)),0)</f>
        <v/>
      </c>
      <c r="S1220" t="n">
        <v>0</v>
      </c>
      <c r="T1220">
        <f>290*T1219/1000</f>
        <v/>
      </c>
      <c r="U1220" t="n">
        <v>0</v>
      </c>
    </row>
    <row r="1221">
      <c r="A1221">
        <f>Skills!A5</f>
        <v/>
      </c>
      <c r="B1221">
        <f>Skills!B5</f>
        <v/>
      </c>
      <c r="C1221">
        <f>Inputs!$B$3&gt;=38</f>
        <v/>
      </c>
      <c r="D1221">
        <f>IF(Skills!C5=1,60+Inputs!$B$25+Inputs!$B$29,IF(Skills!C5=2,90+Inputs!$B$26+Inputs!$B$29,IF(Skills!C5=3,120+Inputs!$B$27+Inputs!$B$29,MAX(0,(Inputs!$B$3-100)*3)+Inputs!$B$28+Inputs!$B$29)))</f>
        <v/>
      </c>
      <c r="E1221">
        <f>INDEX(FactorTable!$B$2:$Y$301, MATCH(ROUND(MIN(300,MAX(1,D1221)),0), FactorTable!$A$2:$A$301,0), Skills!L5+1)</f>
        <v/>
      </c>
      <c r="F1221">
        <f>IF(Skills!M5=TRUE,(Skills!K5/10)*(E1221/1000),Skills!K5/10)+Skills!N5</f>
        <v/>
      </c>
      <c r="G1221">
        <f>Calc!G5</f>
        <v/>
      </c>
      <c r="H1221">
        <f>Calc!H5</f>
        <v/>
      </c>
      <c r="I1221">
        <f>IF(Skills!T5&lt;&gt;"",1+(Skills!T5/10)*(Z1219/1000)/100,1)</f>
        <v/>
      </c>
      <c r="J1221">
        <f>((Inputs!$B$6*(1+Inputs!$B$7/100))+(((Inputs!$B$12*(1+Inputs!$B$13/100))-(Inputs!$B$12*(1+Inputs!$B$13/100)))+0.25*(Inputs!$B$14-Inputs!$B$14))*(1+Inputs!$B$7/100))*(F1221/100)</f>
        <v/>
      </c>
      <c r="K1221">
        <f>J1221*(1+((Inputs!$B$12*(1+Inputs!$B$13/100))*0.01+Inputs!$B$14*0.0025)/100)*(1+(Inputs!$B$15+B1244)/100)*(1+Inputs!$B$16/100)*(5000/(6000+Inputs!$B$42*(1-Inputs!$B$19/100)))*(1+Inputs!$B$24/100)*(1+IF(C1231=TRUE,F1231,0)/100)*(1+IF(C1239=TRUE,F1239,0)/100)^5*(1+(IF(Skills!A5="CHAIN_LIGHTNING",Inputs!$B$17,Inputs!$B$18))/100)*(B1242*I1221)</f>
        <v/>
      </c>
      <c r="L1221">
        <f>K1221*(MIN(Inputs!$B$22+(F1234-Calc!F18),Inputs!$B$23)/100+Inputs!$B$23/100)/2</f>
        <v/>
      </c>
      <c r="M1221">
        <f>L1221*(1+(Inputs!$B$10+(F1237-Calc!F21))/100)</f>
        <v/>
      </c>
      <c r="N1221">
        <f>L1221*(1-MIN(Inputs!$B$9+((F1236-Calc!F20)+(F1235-Calc!F19)),100)/100)+M1221*(MIN(Inputs!$B$9+((F1236-Calc!F20)+(F1235-Calc!F19)),100)/100)</f>
        <v/>
      </c>
      <c r="O1221">
        <f>(1-Summary!$B$51)*S1221+Summary!$B$51*U1221</f>
        <v/>
      </c>
      <c r="P1221">
        <f>IF(B1252=0,0,O1221/B1252)</f>
        <v/>
      </c>
      <c r="Q1221">
        <f>IFERROR(1/IF(Inputs!$B$38="pvp",15,MAX(0.1,Skills!D5-IF(Skills!E5=TRUE,3.0,0))),0)</f>
        <v/>
      </c>
      <c r="R1221">
        <f>IF(AND(Inputs!$B$38&lt;&gt;"pvp",Inputs!$B$43&gt;0),IF(MAX(0,Inputs!$B$43-B1249)&lt;=0,0,(INT(MAX(0,Inputs!$B$43-B1249)/IF(Inputs!$B$38="pvp",15,MAX(0.1,Skills!D5-IF(Skills!E5=TRUE,3.0,0))))+1)),0)</f>
        <v/>
      </c>
      <c r="S1221">
        <f>IF(C1221,(H1221*N1221*IF(AND(Inputs!$B$38&lt;&gt;"pvp",Inputs!$B$43&gt;0),((Skills!F5*((R1221-1)*IF(Skills!G5&gt;0,Skills!H5/Skills!G5,1)+IF(Skills!G5&gt;0,MIN(Skills!H5,MAX(0,MAX(0,Inputs!$B$43-B1249)-((R1221-1)*IF(Inputs!$B$38="pvp",15,MAX(0.1,Skills!D5-IF(Skills!E5=TRUE,3.0,0))))))/Skills!G5,1)))/Inputs!$B$43),G1221*Q1221))*IF(Inputs!$B$38="pvp",1,1+(Inputs!$B$20+Skills!O5+B1243)/100),0)</f>
        <v/>
      </c>
      <c r="U1221">
        <f>IF(C1221,(H1221*N1221*IF(AND(Inputs!$B$38&lt;&gt;"pvp",Inputs!$B$43&gt;0),((Skills!F5*((R1221-1)*IF(Skills!G5&gt;0,Skills!H5/Skills!G5,1)+IF(Skills!G5&gt;0,MIN(Skills!H5,MAX(0,MAX(0,Inputs!$B$43-B1249)-((R1221-1)*IF(Inputs!$B$38="pvp",15,MAX(0.1,Skills!D5-IF(Skills!E5=TRUE,3.0,0))))))/Skills!G5,1)))/Inputs!$B$43),G1221*Q1221))*IF(Inputs!$B$38="pvp",1,(1+(Inputs!$B$21+Skills!P5+B1243)/100)*(MIN(Skills!Q5,Inputs!$B$37))),0)</f>
        <v/>
      </c>
    </row>
    <row r="1222">
      <c r="A1222">
        <f>Skills!A6</f>
        <v/>
      </c>
      <c r="B1222">
        <f>Skills!B6</f>
        <v/>
      </c>
      <c r="C1222">
        <f>Inputs!$B$3&gt;=63</f>
        <v/>
      </c>
      <c r="D1222">
        <f>IF(Skills!C6=1,60+Inputs!$B$25+Inputs!$B$29,IF(Skills!C6=2,90+Inputs!$B$26+Inputs!$B$29,IF(Skills!C6=3,120+Inputs!$B$27+Inputs!$B$29,MAX(0,(Inputs!$B$3-100)*3)+Inputs!$B$28+Inputs!$B$29)))</f>
        <v/>
      </c>
      <c r="E1222">
        <f>INDEX(FactorTable!$B$2:$Y$301, MATCH(ROUND(MIN(300,MAX(1,D1222)),0), FactorTable!$A$2:$A$301,0), Skills!L6+1)</f>
        <v/>
      </c>
      <c r="F1222">
        <f>IF(Skills!M6=TRUE,(Skills!K6/10)*(E1222/1000),Skills!K6/10)+Skills!N6</f>
        <v/>
      </c>
      <c r="G1222">
        <f>Calc!G6</f>
        <v/>
      </c>
      <c r="H1222">
        <f>Calc!H6</f>
        <v/>
      </c>
      <c r="I1222">
        <f>IF(Skills!T6&lt;&gt;"",1+(Skills!T6/10)*(Z1219/1000)/100,1)</f>
        <v/>
      </c>
      <c r="J1222">
        <f>((Inputs!$B$6*(1+Inputs!$B$7/100))+(((Inputs!$B$12*(1+Inputs!$B$13/100))-(Inputs!$B$12*(1+Inputs!$B$13/100)))+0.25*(Inputs!$B$14-Inputs!$B$14))*(1+Inputs!$B$7/100))*(F1222/100)</f>
        <v/>
      </c>
      <c r="K1222">
        <f>J1222*(1+((Inputs!$B$12*(1+Inputs!$B$13/100))*0.01+Inputs!$B$14*0.0025)/100)*(1+(Inputs!$B$15+B1244)/100)*(1+Inputs!$B$16/100)*(5000/(6000+Inputs!$B$42*(1-Inputs!$B$19/100)))*(1+Inputs!$B$24/100)*(1+IF(C1231=TRUE,F1231,0)/100)*(1+IF(C1239=TRUE,F1239,0)/100)^5*(1+(IF(Skills!A6="CHAIN_LIGHTNING",Inputs!$B$17,Inputs!$B$18))/100)*(B1242*I1222)</f>
        <v/>
      </c>
      <c r="L1222">
        <f>K1222*(MIN(Inputs!$B$22+(F1234-Calc!F18),Inputs!$B$23)/100+Inputs!$B$23/100)/2</f>
        <v/>
      </c>
      <c r="M1222">
        <f>L1222*(1+(Inputs!$B$10+(F1237-Calc!F21))/100)</f>
        <v/>
      </c>
      <c r="N1222">
        <f>L1222*(1-MIN(Inputs!$B$9+((F1236-Calc!F20)+(F1235-Calc!F19)),100)/100)+M1222*(MIN(Inputs!$B$9+((F1236-Calc!F20)+(F1235-Calc!F19)),100)/100)</f>
        <v/>
      </c>
      <c r="O1222">
        <f>(1-Summary!$B$51)*S1222+Summary!$B$51*U1222</f>
        <v/>
      </c>
      <c r="P1222">
        <f>IF(B1252=0,0,O1222/B1252)</f>
        <v/>
      </c>
      <c r="Q1222">
        <f>IFERROR(1/IF(Inputs!$B$38="pvp",15,MAX(0.1,Skills!D6-IF(Skills!E6=TRUE,3.0,0))),0)</f>
        <v/>
      </c>
      <c r="R1222">
        <f>IF(AND(Inputs!$B$38&lt;&gt;"pvp",Inputs!$B$43&gt;0),IF(MAX(0,Inputs!$B$43-B1249)&lt;=0,0,(INT(MAX(0,Inputs!$B$43-B1249)/IF(Inputs!$B$38="pvp",15,MAX(0.1,Skills!D6-IF(Skills!E6=TRUE,3.0,0))))+1)),0)</f>
        <v/>
      </c>
      <c r="S1222">
        <f>IF(C1222,(H1222*N1222*IF(AND(Inputs!$B$38&lt;&gt;"pvp",Inputs!$B$43&gt;0),((Skills!F6*((R1222-1)*IF(Skills!G6&gt;0,Skills!H6/Skills!G6,1)+IF(Skills!G6&gt;0,MIN(Skills!H6,MAX(0,MAX(0,Inputs!$B$43-B1249)-((R1222-1)*IF(Inputs!$B$38="pvp",15,MAX(0.1,Skills!D6-IF(Skills!E6=TRUE,3.0,0))))))/Skills!G6,1)))/Inputs!$B$43),G1222*Q1222))*IF(Inputs!$B$38="pvp",1,1+(Inputs!$B$20+Skills!O6+B1243)/100),0)</f>
        <v/>
      </c>
      <c r="U1222">
        <f>IF(C1222,(H1222*N1222*IF(AND(Inputs!$B$38&lt;&gt;"pvp",Inputs!$B$43&gt;0),((Skills!F6*((R1222-1)*IF(Skills!G6&gt;0,Skills!H6/Skills!G6,1)+IF(Skills!G6&gt;0,MIN(Skills!H6,MAX(0,MAX(0,Inputs!$B$43-B1249)-((R1222-1)*IF(Inputs!$B$38="pvp",15,MAX(0.1,Skills!D6-IF(Skills!E6=TRUE,3.0,0))))))/Skills!G6,1)))/Inputs!$B$43),G1222*Q1222))*IF(Inputs!$B$38="pvp",1,(1+(Inputs!$B$21+Skills!P6+B1243)/100)*(MIN(Skills!Q6,Inputs!$B$37))),0)</f>
        <v/>
      </c>
    </row>
    <row r="1223">
      <c r="A1223">
        <f>Skills!A7</f>
        <v/>
      </c>
      <c r="B1223">
        <f>Skills!B7</f>
        <v/>
      </c>
      <c r="C1223">
        <f>Inputs!$B$3&gt;=69</f>
        <v/>
      </c>
      <c r="D1223">
        <f>IF(Skills!C7=1,60+Inputs!$B$25+Inputs!$B$29,IF(Skills!C7=2,90+Inputs!$B$26+Inputs!$B$29,IF(Skills!C7=3,120+Inputs!$B$27+Inputs!$B$29,MAX(0,(Inputs!$B$3-100)*3)+Inputs!$B$28+Inputs!$B$29)))</f>
        <v/>
      </c>
      <c r="E1223">
        <f>INDEX(FactorTable!$B$2:$Y$301, MATCH(ROUND(MIN(300,MAX(1,D1223)),0), FactorTable!$A$2:$A$301,0), Skills!L7+1)</f>
        <v/>
      </c>
      <c r="F1223">
        <f>IF(Skills!M7=TRUE,(Skills!K7/10)*(E1223/1000),Skills!K7/10)+Skills!N7</f>
        <v/>
      </c>
      <c r="G1223">
        <f>Calc!G7</f>
        <v/>
      </c>
      <c r="H1223">
        <f>Calc!H7</f>
        <v/>
      </c>
      <c r="I1223">
        <f>IF(Skills!T7&lt;&gt;"",1+(Skills!T7/10)*(Z1219/1000)/100,1)</f>
        <v/>
      </c>
      <c r="J1223">
        <f>((Inputs!$B$6*(1+Inputs!$B$7/100))+(((Inputs!$B$12*(1+Inputs!$B$13/100))-(Inputs!$B$12*(1+Inputs!$B$13/100)))+0.25*(Inputs!$B$14-Inputs!$B$14))*(1+Inputs!$B$7/100))*(F1223/100)</f>
        <v/>
      </c>
      <c r="K1223">
        <f>J1223*(1+((Inputs!$B$12*(1+Inputs!$B$13/100))*0.01+Inputs!$B$14*0.0025)/100)*(1+(Inputs!$B$15+B1244)/100)*(1+Inputs!$B$16/100)*(5000/(6000+Inputs!$B$42*(1-Inputs!$B$19/100)))*(1+Inputs!$B$24/100)*(1+IF(C1231=TRUE,F1231,0)/100)*(1+IF(C1239=TRUE,F1239,0)/100)^5*(1+(IF(Skills!A7="CHAIN_LIGHTNING",Inputs!$B$17,Inputs!$B$18))/100)*(B1242*I1223)</f>
        <v/>
      </c>
      <c r="L1223">
        <f>K1223*(MIN(Inputs!$B$22+(F1234-Calc!F18),Inputs!$B$23)/100+Inputs!$B$23/100)/2</f>
        <v/>
      </c>
      <c r="M1223">
        <f>L1223*(1+(Inputs!$B$10+(F1237-Calc!F21))/100)</f>
        <v/>
      </c>
      <c r="N1223">
        <f>L1223*(1-MIN(Inputs!$B$9+((F1236-Calc!F20)+(F1235-Calc!F19)),100)/100)+M1223*(MIN(Inputs!$B$9+((F1236-Calc!F20)+(F1235-Calc!F19)),100)/100)</f>
        <v/>
      </c>
      <c r="O1223">
        <f>(1-Summary!$B$51)*S1223+Summary!$B$51*U1223</f>
        <v/>
      </c>
      <c r="P1223">
        <f>IF(B1252=0,0,O1223/B1252)</f>
        <v/>
      </c>
      <c r="Q1223">
        <f>IFERROR(1/IF(Inputs!$B$38="pvp",15,MAX(0.1,Skills!D7-IF(Skills!E7=TRUE,3.0,0))),0)</f>
        <v/>
      </c>
      <c r="R1223">
        <f>IF(AND(Inputs!$B$38&lt;&gt;"pvp",Inputs!$B$43&gt;0),IF(MAX(0,Inputs!$B$43-B1249)&lt;=0,0,(INT(MAX(0,Inputs!$B$43-B1249)/IF(Inputs!$B$38="pvp",15,MAX(0.1,Skills!D7-IF(Skills!E7=TRUE,3.0,0))))+1)),0)</f>
        <v/>
      </c>
      <c r="S1223">
        <f>IF(C1223,(H1223*N1223*IF(AND(Inputs!$B$38&lt;&gt;"pvp",Inputs!$B$43&gt;0),((Skills!F7*((R1223-1)*IF(Skills!G7&gt;0,Skills!H7/Skills!G7,1)+IF(Skills!G7&gt;0,MIN(Skills!H7,MAX(0,MAX(0,Inputs!$B$43-B1249)-((R1223-1)*IF(Inputs!$B$38="pvp",15,MAX(0.1,Skills!D7-IF(Skills!E7=TRUE,3.0,0))))))/Skills!G7,1)))/Inputs!$B$43),G1223*Q1223))*IF(Inputs!$B$38="pvp",1,1+(Inputs!$B$20+Skills!O7+B1243)/100),0)</f>
        <v/>
      </c>
      <c r="U1223">
        <f>IF(C1223,(H1223*N1223*IF(AND(Inputs!$B$38&lt;&gt;"pvp",Inputs!$B$43&gt;0),((Skills!F7*((R1223-1)*IF(Skills!G7&gt;0,Skills!H7/Skills!G7,1)+IF(Skills!G7&gt;0,MIN(Skills!H7,MAX(0,MAX(0,Inputs!$B$43-B1249)-((R1223-1)*IF(Inputs!$B$38="pvp",15,MAX(0.1,Skills!D7-IF(Skills!E7=TRUE,3.0,0))))))/Skills!G7,1)))/Inputs!$B$43),G1223*Q1223))*IF(Inputs!$B$38="pvp",1,(1+(Inputs!$B$21+Skills!P7+B1243)/100)*(MIN(Skills!Q7,Inputs!$B$37))),0)</f>
        <v/>
      </c>
    </row>
    <row r="1224">
      <c r="A1224">
        <f>Skills!A8</f>
        <v/>
      </c>
      <c r="B1224">
        <f>Skills!B8</f>
        <v/>
      </c>
      <c r="C1224">
        <f>Inputs!$B$3&gt;=103</f>
        <v/>
      </c>
      <c r="D1224">
        <f>IF(Skills!C8=1,60+Inputs!$B$25+Inputs!$B$29,IF(Skills!C8=2,90+Inputs!$B$26+Inputs!$B$29,IF(Skills!C8=3,120+Inputs!$B$27+Inputs!$B$29,MAX(0,(Inputs!$B$3-100)*3)+Inputs!$B$28+Inputs!$B$29)))</f>
        <v/>
      </c>
      <c r="E1224">
        <f>INDEX(FactorTable!$B$2:$Y$301, MATCH(ROUND(MIN(300,MAX(1,D1224)),0), FactorTable!$A$2:$A$301,0), Skills!L8+1)</f>
        <v/>
      </c>
      <c r="F1224">
        <f>IF(Skills!M8=TRUE,(Skills!K8/10)*(E1224/1000),Skills!K8/10)+Skills!N8</f>
        <v/>
      </c>
      <c r="G1224">
        <f>Calc!G8</f>
        <v/>
      </c>
      <c r="H1224">
        <f>Calc!H8</f>
        <v/>
      </c>
      <c r="I1224">
        <f>IF(Skills!T8&lt;&gt;"",1+(Skills!T8/10)*(Z1219/1000)/100,1)</f>
        <v/>
      </c>
      <c r="J1224">
        <f>((Inputs!$B$6*(1+Inputs!$B$7/100))+(((Inputs!$B$12*(1+Inputs!$B$13/100))-(Inputs!$B$12*(1+Inputs!$B$13/100)))+0.25*(Inputs!$B$14-Inputs!$B$14))*(1+Inputs!$B$7/100))*(F1224/100)</f>
        <v/>
      </c>
      <c r="K1224">
        <f>J1224*(1+((Inputs!$B$12*(1+Inputs!$B$13/100))*0.01+Inputs!$B$14*0.0025)/100)*(1+(Inputs!$B$15+B1244)/100)*(1+Inputs!$B$16/100)*(5000/(6000+Inputs!$B$42*(1-Inputs!$B$19/100)))*(1+Inputs!$B$24/100)*(1+IF(C1231=TRUE,F1231,0)/100)*(1+IF(C1239=TRUE,F1239,0)/100)^5*(1+(IF(Skills!A8="CHAIN_LIGHTNING",Inputs!$B$17,Inputs!$B$18))/100)*(B1242*I1224)</f>
        <v/>
      </c>
      <c r="L1224">
        <f>K1224*(MIN(Inputs!$B$22+(F1234-Calc!F18),Inputs!$B$23)/100+Inputs!$B$23/100)/2</f>
        <v/>
      </c>
      <c r="M1224">
        <f>L1224*(1+(Inputs!$B$10+(F1237-Calc!F21))/100)</f>
        <v/>
      </c>
      <c r="N1224">
        <f>L1224*(1-MIN(Inputs!$B$9+((F1236-Calc!F20)+(F1235-Calc!F19)),100)/100)+M1224*(MIN(Inputs!$B$9+((F1236-Calc!F20)+(F1235-Calc!F19)),100)/100)</f>
        <v/>
      </c>
      <c r="O1224">
        <f>(1-Summary!$B$51)*S1224+Summary!$B$51*U1224</f>
        <v/>
      </c>
      <c r="P1224">
        <f>IF(B1252=0,0,O1224/B1252)</f>
        <v/>
      </c>
      <c r="Q1224">
        <f>IFERROR(1/IF(Inputs!$B$38="pvp",15,MAX(0.1,Skills!D8-IF(Skills!E8=TRUE,3.0,0))),0)</f>
        <v/>
      </c>
      <c r="R1224">
        <f>IF(AND(Inputs!$B$38&lt;&gt;"pvp",Inputs!$B$43&gt;0),IF(MAX(0,Inputs!$B$43-B1249)&lt;=0,0,(INT(MAX(0,Inputs!$B$43-B1249)/IF(Inputs!$B$38="pvp",15,MAX(0.1,Skills!D8-IF(Skills!E8=TRUE,3.0,0))))+1)),0)</f>
        <v/>
      </c>
      <c r="S1224">
        <f>IF(C1224,(H1224*N1224*IF(AND(Inputs!$B$38&lt;&gt;"pvp",Inputs!$B$43&gt;0),((Skills!F8*((R1224-1)*IF(Skills!G8&gt;0,Skills!H8/Skills!G8,1)+IF(Skills!G8&gt;0,MIN(Skills!H8,MAX(0,MAX(0,Inputs!$B$43-B1249)-((R1224-1)*IF(Inputs!$B$38="pvp",15,MAX(0.1,Skills!D8-IF(Skills!E8=TRUE,3.0,0))))))/Skills!G8,1)))/Inputs!$B$43),G1224*Q1224))*IF(Inputs!$B$38="pvp",1,1+(Inputs!$B$20+Skills!O8+B1243)/100),0)</f>
        <v/>
      </c>
      <c r="U1224">
        <f>IF(C1224,(H1224*N1224*IF(AND(Inputs!$B$38&lt;&gt;"pvp",Inputs!$B$43&gt;0),((Skills!F8*((R1224-1)*IF(Skills!G8&gt;0,Skills!H8/Skills!G8,1)+IF(Skills!G8&gt;0,MIN(Skills!H8,MAX(0,MAX(0,Inputs!$B$43-B1249)-((R1224-1)*IF(Inputs!$B$38="pvp",15,MAX(0.1,Skills!D8-IF(Skills!E8=TRUE,3.0,0))))))/Skills!G8,1)))/Inputs!$B$43),G1224*Q1224))*IF(Inputs!$B$38="pvp",1,(1+(Inputs!$B$21+Skills!P8+B1243)/100)*(MIN(Skills!Q8,Inputs!$B$37))),0)</f>
        <v/>
      </c>
    </row>
    <row r="1225">
      <c r="A1225">
        <f>Skills!A9</f>
        <v/>
      </c>
      <c r="B1225">
        <f>Skills!B9</f>
        <v/>
      </c>
      <c r="C1225">
        <f>Inputs!$B$3&gt;=105</f>
        <v/>
      </c>
      <c r="D1225">
        <f>IF(Skills!C9=1,60+Inputs!$B$25+Inputs!$B$29,IF(Skills!C9=2,90+Inputs!$B$26+Inputs!$B$29,IF(Skills!C9=3,120+Inputs!$B$27+Inputs!$B$29,MAX(0,(Inputs!$B$3-100)*3)+Inputs!$B$28+Inputs!$B$29)))</f>
        <v/>
      </c>
      <c r="E1225">
        <f>INDEX(FactorTable!$B$2:$Y$301, MATCH(ROUND(MIN(300,MAX(1,D1225)),0), FactorTable!$A$2:$A$301,0), Skills!L9+1)</f>
        <v/>
      </c>
      <c r="F1225">
        <f>IF(Skills!M9=TRUE,(Skills!K9/10)*(E1225/1000),Skills!K9/10)+Skills!N9</f>
        <v/>
      </c>
      <c r="G1225">
        <f>Calc!G9</f>
        <v/>
      </c>
      <c r="H1225">
        <f>Calc!H9</f>
        <v/>
      </c>
      <c r="I1225">
        <f>IF(Skills!T9&lt;&gt;"",1+(Skills!T9/10)*(Z1219/1000)/100,1)</f>
        <v/>
      </c>
      <c r="J1225">
        <f>((Inputs!$B$6*(1+Inputs!$B$7/100))+(((Inputs!$B$12*(1+Inputs!$B$13/100))-(Inputs!$B$12*(1+Inputs!$B$13/100)))+0.25*(Inputs!$B$14-Inputs!$B$14))*(1+Inputs!$B$7/100))*(F1225/100)</f>
        <v/>
      </c>
      <c r="K1225">
        <f>J1225*(1+((Inputs!$B$12*(1+Inputs!$B$13/100))*0.01+Inputs!$B$14*0.0025)/100)*(1+(Inputs!$B$15+B1244)/100)*(1+Inputs!$B$16/100)*(5000/(6000+Inputs!$B$42*(1-Inputs!$B$19/100)))*(1+Inputs!$B$24/100)*(1+IF(C1231=TRUE,F1231,0)/100)*(1+IF(C1239=TRUE,F1239,0)/100)^5*(1+(IF(Skills!A9="CHAIN_LIGHTNING",Inputs!$B$17,Inputs!$B$18))/100)*(B1242*I1225)</f>
        <v/>
      </c>
      <c r="L1225">
        <f>K1225*(MIN(Inputs!$B$22+(F1234-Calc!F18),Inputs!$B$23)/100+Inputs!$B$23/100)/2</f>
        <v/>
      </c>
      <c r="M1225">
        <f>L1225*(1+(Inputs!$B$10+(F1237-Calc!F21))/100)</f>
        <v/>
      </c>
      <c r="N1225">
        <f>L1225*(1-MIN(Inputs!$B$9+((F1236-Calc!F20)+(F1235-Calc!F19)),100)/100)+M1225*(MIN(Inputs!$B$9+((F1236-Calc!F20)+(F1235-Calc!F19)),100)/100)</f>
        <v/>
      </c>
      <c r="O1225">
        <f>(1-Summary!$B$51)*S1225+Summary!$B$51*U1225</f>
        <v/>
      </c>
      <c r="P1225">
        <f>IF(B1252=0,0,O1225/B1252)</f>
        <v/>
      </c>
      <c r="Q1225">
        <f>IFERROR(1/IF(Inputs!$B$38="pvp",15,MAX(0.1,Skills!D9-IF(Skills!E9=TRUE,3.0,0))),0)</f>
        <v/>
      </c>
      <c r="R1225">
        <f>IF(AND(Inputs!$B$38&lt;&gt;"pvp",Inputs!$B$43&gt;0),IF(MAX(0,Inputs!$B$43-B1249)&lt;=0,0,(INT(MAX(0,Inputs!$B$43-B1249)/IF(Inputs!$B$38="pvp",15,MAX(0.1,Skills!D9-IF(Skills!E9=TRUE,3.0,0))))+1)),0)</f>
        <v/>
      </c>
      <c r="S1225">
        <f>IF(C1225,(H1225*N1225*IF(AND(Inputs!$B$38&lt;&gt;"pvp",Inputs!$B$43&gt;0),((Skills!F9*((R1225-1)*IF(Skills!G9&gt;0,Skills!H9/Skills!G9,1)+IF(Skills!G9&gt;0,MIN(Skills!H9,MAX(0,MAX(0,Inputs!$B$43-B1249)-((R1225-1)*IF(Inputs!$B$38="pvp",15,MAX(0.1,Skills!D9-IF(Skills!E9=TRUE,3.0,0))))))/Skills!G9,1)))/Inputs!$B$43),G1225*Q1225))*IF(Inputs!$B$38="pvp",1,1+(Inputs!$B$20+Skills!O9+B1243)/100),0)</f>
        <v/>
      </c>
      <c r="U1225">
        <f>IF(C1225,(H1225*N1225*IF(AND(Inputs!$B$38&lt;&gt;"pvp",Inputs!$B$43&gt;0),((Skills!F9*((R1225-1)*IF(Skills!G9&gt;0,Skills!H9/Skills!G9,1)+IF(Skills!G9&gt;0,MIN(Skills!H9,MAX(0,MAX(0,Inputs!$B$43-B1249)-((R1225-1)*IF(Inputs!$B$38="pvp",15,MAX(0.1,Skills!D9-IF(Skills!E9=TRUE,3.0,0))))))/Skills!G9,1)))/Inputs!$B$43),G1225*Q1225))*IF(Inputs!$B$38="pvp",1,(1+(Inputs!$B$21+Skills!P9+B1243)/100)*(MIN(Skills!Q9,Inputs!$B$37))),0)</f>
        <v/>
      </c>
    </row>
    <row r="1226">
      <c r="A1226">
        <f>Skills!A10</f>
        <v/>
      </c>
      <c r="B1226">
        <f>Skills!B10</f>
        <v/>
      </c>
      <c r="C1226">
        <f>Inputs!$B$3&gt;=113</f>
        <v/>
      </c>
      <c r="D1226">
        <f>IF(Skills!C10=1,60+Inputs!$B$25+Inputs!$B$29,IF(Skills!C10=2,90+Inputs!$B$26+Inputs!$B$29,IF(Skills!C10=3,120+Inputs!$B$27+Inputs!$B$29,MAX(0,(Inputs!$B$3-100)*3)+Inputs!$B$28+Inputs!$B$29)))</f>
        <v/>
      </c>
      <c r="E1226">
        <f>INDEX(FactorTable!$B$2:$Y$301, MATCH(ROUND(MIN(300,MAX(1,D1226)),0), FactorTable!$A$2:$A$301,0), Skills!L10+1)</f>
        <v/>
      </c>
      <c r="F1226">
        <f>IF(Skills!M10=TRUE,(Skills!K10/10)*(E1226/1000),Skills!K10/10)+Skills!N10</f>
        <v/>
      </c>
      <c r="G1226">
        <f>Calc!G10</f>
        <v/>
      </c>
      <c r="H1226">
        <f>Calc!H10</f>
        <v/>
      </c>
      <c r="I1226">
        <f>IF(Skills!T10&lt;&gt;"",1+(Skills!T10/10)*(Z1219/1000)/100,1)</f>
        <v/>
      </c>
      <c r="J1226">
        <f>((Inputs!$B$6*(1+Inputs!$B$7/100))+(((Inputs!$B$12*(1+Inputs!$B$13/100))-(Inputs!$B$12*(1+Inputs!$B$13/100)))+0.25*(Inputs!$B$14-Inputs!$B$14))*(1+Inputs!$B$7/100))*(F1226/100)</f>
        <v/>
      </c>
      <c r="K1226">
        <f>J1226*(1+((Inputs!$B$12*(1+Inputs!$B$13/100))*0.01+Inputs!$B$14*0.0025)/100)*(1+(Inputs!$B$15+B1244)/100)*(1+Inputs!$B$16/100)*(5000/(6000+Inputs!$B$42*(1-Inputs!$B$19/100)))*(1+Inputs!$B$24/100)*(1+IF(C1231=TRUE,F1231,0)/100)*(1+IF(C1239=TRUE,F1239,0)/100)^5*(1+(IF(Skills!A10="CHAIN_LIGHTNING",Inputs!$B$17,Inputs!$B$18))/100)*(B1242*I1226)</f>
        <v/>
      </c>
      <c r="L1226">
        <f>K1226*(MIN(Inputs!$B$22+(F1234-Calc!F18),Inputs!$B$23)/100+Inputs!$B$23/100)/2</f>
        <v/>
      </c>
      <c r="M1226">
        <f>L1226*(1+(Inputs!$B$10+(F1237-Calc!F21))/100)</f>
        <v/>
      </c>
      <c r="N1226">
        <f>L1226*(1-MIN(Inputs!$B$9+((F1236-Calc!F20)+(F1235-Calc!F19)),100)/100)+M1226*(MIN(Inputs!$B$9+((F1236-Calc!F20)+(F1235-Calc!F19)),100)/100)</f>
        <v/>
      </c>
      <c r="O1226">
        <f>(1-Summary!$B$51)*S1226+Summary!$B$51*U1226</f>
        <v/>
      </c>
      <c r="P1226">
        <f>IF(B1252=0,0,O1226/B1252)</f>
        <v/>
      </c>
      <c r="Q1226">
        <f>IFERROR(1/IF(Inputs!$B$38="pvp",15,MAX(0.1,Skills!D10-IF(Skills!E9=TRUE,3.0,0))),0)</f>
        <v/>
      </c>
      <c r="R1226">
        <f>IF(AND(Inputs!$B$38&lt;&gt;"pvp",Inputs!$B$43&gt;0),IF(MAX(0,Inputs!$B$43-B1249)&lt;=0,0,(INT(MAX(0,Inputs!$B$43-B1249)/IF(Inputs!$B$38="pvp",15,MAX(0.1,Skills!D10-IF(Skills!E9=TRUE,3.0,0))))+1)),0)</f>
        <v/>
      </c>
      <c r="S1226">
        <f>IF(C1226,(H1226*N1226*IF(AND(Inputs!$B$38&lt;&gt;"pvp",Inputs!$B$43&gt;0),((Skills!F10*((R1226-1)*IF(Skills!G10&gt;0,Skills!H10/Skills!G10,1)+IF(Skills!G10&gt;0,MIN(Skills!H10,MAX(0,MAX(0,Inputs!$B$43-B1249)-((R1226-1)*IF(Inputs!$B$38="pvp",15,MAX(0.1,Skills!D10-IF(Skills!E9=TRUE,3.0,0))))))/Skills!G10,1)))/Inputs!$B$43),G1226*Q1226))*IF(Inputs!$B$38="pvp",1,1+(Inputs!$B$20+Skills!O10+B1243)/100),0)</f>
        <v/>
      </c>
      <c r="U1226">
        <f>IF(C1226,(H1226*N1226*IF(AND(Inputs!$B$38&lt;&gt;"pvp",Inputs!$B$43&gt;0),((Skills!F10*((R1226-1)*IF(Skills!G10&gt;0,Skills!H10/Skills!G10,1)+IF(Skills!G10&gt;0,MIN(Skills!H10,MAX(0,MAX(0,Inputs!$B$43-B1249)-((R1226-1)*IF(Inputs!$B$38="pvp",15,MAX(0.1,Skills!D10-IF(Skills!E9=TRUE,3.0,0))))))/Skills!G10,1)))/Inputs!$B$43),G1226*Q1226))*IF(Inputs!$B$38="pvp",1,(1+(Inputs!$B$21+Skills!P10+B1243)/100)*(MIN(Skills!Q10,Inputs!$B$37))),0)</f>
        <v/>
      </c>
    </row>
    <row r="1227">
      <c r="A1227">
        <f>Skills!A11</f>
        <v/>
      </c>
      <c r="B1227">
        <f>Skills!B11</f>
        <v/>
      </c>
      <c r="C1227">
        <f>Inputs!$B$3&gt;=107</f>
        <v/>
      </c>
      <c r="D1227">
        <f>IF(Skills!C11=1,60+Inputs!$B$25+Inputs!$B$29,IF(Skills!C11=2,90+Inputs!$B$26+Inputs!$B$29,IF(Skills!C11=3,120+Inputs!$B$27+Inputs!$B$29,MAX(0,(Inputs!$B$3-100)*3)+Inputs!$B$28+Inputs!$B$29)))</f>
        <v/>
      </c>
      <c r="E1227">
        <f>INDEX(FactorTable!$B$2:$Y$301, MATCH(ROUND(MIN(300,MAX(1,D1227)),0), FactorTable!$A$2:$A$301,0), Skills!L11+1)</f>
        <v/>
      </c>
      <c r="F1227">
        <f>IF(Skills!M11=TRUE,(Skills!K11/10)*(E1227/1000),Skills!K11/10)+Skills!N11</f>
        <v/>
      </c>
      <c r="G1227">
        <f>Calc!G11</f>
        <v/>
      </c>
      <c r="H1227">
        <f>Calc!H11</f>
        <v/>
      </c>
      <c r="I1227">
        <f>IF(Skills!T11&lt;&gt;"",1+(Skills!T11/10)*(Z1219/1000)/100,1)</f>
        <v/>
      </c>
      <c r="J1227">
        <f>((Inputs!$B$6*(1+Inputs!$B$7/100))+(((Inputs!$B$12*(1+Inputs!$B$13/100))-(Inputs!$B$12*(1+Inputs!$B$13/100)))+0.25*(Inputs!$B$14-Inputs!$B$14))*(1+Inputs!$B$7/100))*(F1227/100)</f>
        <v/>
      </c>
      <c r="K1227">
        <f>J1227*(1+((Inputs!$B$12*(1+Inputs!$B$13/100))*0.01+Inputs!$B$14*0.0025)/100)*(1+(Inputs!$B$15+B1244)/100)*(1+Inputs!$B$16/100)*(5000/(6000+Inputs!$B$42*(1-Inputs!$B$19/100)))*(1+Inputs!$B$24/100)*(1+IF(C1231=TRUE,F1231,0)/100)*(1+IF(C1239=TRUE,F1239,0)/100)^5*(1+(IF(Skills!A11="CHAIN_LIGHTNING",Inputs!$B$17,Inputs!$B$18))/100)*(B1242*I1227)</f>
        <v/>
      </c>
      <c r="L1227">
        <f>K1227*(MIN(Inputs!$B$22+(F1234-Calc!F18),Inputs!$B$23)/100+Inputs!$B$23/100)/2</f>
        <v/>
      </c>
      <c r="M1227">
        <f>L1227*(1+(Inputs!$B$10+(F1237-Calc!F21))/100)</f>
        <v/>
      </c>
      <c r="N1227">
        <f>L1227*(1-MIN(Inputs!$B$9+((F1236-Calc!F20)+(F1235-Calc!F19)),100)/100)+M1227*(MIN(Inputs!$B$9+((F1236-Calc!F20)+(F1235-Calc!F19)),100)/100)</f>
        <v/>
      </c>
      <c r="O1227">
        <f>(1-Summary!$B$51)*S1227+Summary!$B$51*U1227</f>
        <v/>
      </c>
      <c r="P1227">
        <f>IF(B1252=0,0,O1227/B1252)</f>
        <v/>
      </c>
      <c r="Q1227">
        <f>IFERROR(1/IF(Inputs!$B$38="pvp",15,MAX(0.1,Skills!D11-IF(Skills!E11=TRUE,3.0,0))),0)</f>
        <v/>
      </c>
      <c r="R1227">
        <f>IF(AND(Inputs!$B$38&lt;&gt;"pvp",Inputs!$B$43&gt;0),IF(MAX(0,Inputs!$B$43-B1249)&lt;=0,0,(INT(MAX(0,Inputs!$B$43-B1249)/IF(Inputs!$B$38="pvp",15,MAX(0.1,Skills!D11-IF(Skills!E11=TRUE,3.0,0))))+1)),0)</f>
        <v/>
      </c>
      <c r="S1227">
        <f>IF(C1227,H1227*N1227*IF(AND(Inputs!$B$38&lt;&gt;"pvp",Inputs!$B$43&gt;0),((Skills!F11*((R1227-1)*IF(Skills!G11&gt;0,Skills!H11/Skills!G11,1)+IF(Skills!G11&gt;0,MIN(Skills!H11,MAX(0,MAX(0,Inputs!$B$43-B1249)-((R1227-1)*IF(Inputs!$B$38="pvp",15,MAX(0.1,Skills!D11-IF(Skills!E11=TRUE,3.0,0))))))/Skills!G11,1)))/Inputs!$B$43),G1227*Q1227)*0.5*IF(Inputs!$B$38="pvp",1,1+(Inputs!$B$20+Skills!O11+B1243)/100),0)</f>
        <v/>
      </c>
      <c r="U1227">
        <f>IF(C1227,H1227*N1227*IF(AND(Inputs!$B$38&lt;&gt;"pvp",Inputs!$B$43&gt;0),((Skills!F11*((R1227-1)*IF(Skills!G11&gt;0,Skills!H11/Skills!G11,1)+IF(Skills!G11&gt;0,MIN(Skills!H11,MAX(0,MAX(0,Inputs!$B$43-B1249)-((R1227-1)*IF(Inputs!$B$38="pvp",15,MAX(0.1,Skills!D11-IF(Skills!E11=TRUE,3.0,0))))))/Skills!G11,1)))/Inputs!$B$43),G1227*Q1227)*1*IF(Inputs!$B$38="pvp",1,(1+(Inputs!$B$21+Skills!P11+B1243)/100)*(MIN(Skills!Q11,Inputs!$B$37))),0)</f>
        <v/>
      </c>
    </row>
    <row r="1228">
      <c r="A1228">
        <f>Skills!A12</f>
        <v/>
      </c>
      <c r="B1228">
        <f>Skills!B12</f>
        <v/>
      </c>
      <c r="C1228">
        <f>Inputs!$B$3&gt;=115</f>
        <v/>
      </c>
      <c r="D1228">
        <f>IF(Skills!C12=1,60+Inputs!$B$25+Inputs!$B$29,IF(Skills!C12=2,90+Inputs!$B$26+Inputs!$B$29,IF(Skills!C12=3,120+Inputs!$B$27+Inputs!$B$29,MAX(0,(Inputs!$B$3-100)*3)+Inputs!$B$28+Inputs!$B$29)))</f>
        <v/>
      </c>
      <c r="E1228">
        <f>INDEX(FactorTable!$B$2:$Y$301, MATCH(ROUND(MIN(300,MAX(1,D1228)),0), FactorTable!$A$2:$A$301,0), Skills!L12+1)</f>
        <v/>
      </c>
      <c r="F1228">
        <f>IF(Skills!M12=TRUE,(Skills!K12/10)*(E1228/1000),Skills!K12/10)+Skills!N12</f>
        <v/>
      </c>
      <c r="G1228">
        <f>Calc!G12</f>
        <v/>
      </c>
      <c r="H1228">
        <f>Calc!H12</f>
        <v/>
      </c>
      <c r="I1228">
        <f>IF(Skills!T12&lt;&gt;"",1+(Skills!T12/10)*(Z1219/1000)/100,1)</f>
        <v/>
      </c>
      <c r="J1228">
        <f>((Inputs!$B$6*(1+Inputs!$B$7/100))+(((Inputs!$B$12*(1+Inputs!$B$13/100))-(Inputs!$B$12*(1+Inputs!$B$13/100)))+0.25*(Inputs!$B$14-Inputs!$B$14))*(1+Inputs!$B$7/100))*(F1228/100)</f>
        <v/>
      </c>
      <c r="K1228">
        <f>J1228*(1+((Inputs!$B$12*(1+Inputs!$B$13/100))*0.01+Inputs!$B$14*0.0025)/100)*(1+(Inputs!$B$15+B1244)/100)*(1+Inputs!$B$16/100)*(5000/(6000+Inputs!$B$42*(1-Inputs!$B$19/100)))*(1+Inputs!$B$24/100)*(1+IF(C1231=TRUE,F1231,0)/100)*(1+IF(C1239=TRUE,F1239,0)/100)^5*(1+(IF(Skills!A12="CHAIN_LIGHTNING",Inputs!$B$17,Inputs!$B$18))/100)*(B1242*I1228)</f>
        <v/>
      </c>
      <c r="L1228">
        <f>K1228*(MIN(Inputs!$B$22+(F1234-Calc!F18),Inputs!$B$23)/100+Inputs!$B$23/100)/2</f>
        <v/>
      </c>
      <c r="M1228">
        <f>L1228*(1+(Inputs!$B$10+(F1237-Calc!F21))/100)</f>
        <v/>
      </c>
      <c r="N1228">
        <f>L1228*(1-MIN(Inputs!$B$9+((F1236-Calc!F20)+(F1235-Calc!F19)),100)/100)+M1228*(MIN(Inputs!$B$9+((F1236-Calc!F20)+(F1235-Calc!F19)),100)/100)</f>
        <v/>
      </c>
      <c r="O1228">
        <f>(1-Summary!$B$51)*S1228+Summary!$B$51*U1228</f>
        <v/>
      </c>
      <c r="P1228">
        <f>IF(B1252=0,0,O1228/B1252)</f>
        <v/>
      </c>
      <c r="Q1228">
        <f>IFERROR(1/IF(Inputs!$B$38="pvp",15,MAX(0.1,Skills!D12-IF(Skills!E12=TRUE,3.0,0))),0)</f>
        <v/>
      </c>
      <c r="R1228">
        <f>IF(AND(Inputs!$B$38&lt;&gt;"pvp",Inputs!$B$43&gt;0),IF(MAX(0,Inputs!$B$43-B1249)&lt;=0,0,(INT(MAX(0,Inputs!$B$43-B1249)/IF(Inputs!$B$38="pvp",15,MAX(0.1,Skills!D12-IF(Skills!E12=TRUE,3.0,0))))+1)),0)</f>
        <v/>
      </c>
      <c r="S1228">
        <f>IF(C1228,(H1228*N1228*IF(AND(Inputs!$B$38&lt;&gt;"pvp",Inputs!$B$43&gt;0),((Skills!F12*((R1228-1)*IF(Skills!G12&gt;0,Skills!H12/Skills!G12,1)+IF(Skills!G12&gt;0,MIN(Skills!H12,MAX(0,MAX(0,Inputs!$B$43-B1249)-((R1228-1)*IF(Inputs!$B$38="pvp",15,MAX(0.1,Skills!D12-IF(Skills!E12=TRUE,3.0,0))))))/Skills!G12,1)))/Inputs!$B$43),G1228*Q1228))*IF(Inputs!$B$38="pvp",1,1+(Inputs!$B$20+Skills!O12+B1243)/100),0)</f>
        <v/>
      </c>
      <c r="U1228">
        <f>IF(C1228,(H1228*N1228*IF(AND(Inputs!$B$38&lt;&gt;"pvp",Inputs!$B$43&gt;0),((Skills!F12*((R1228-1)*IF(Skills!G12&gt;0,Skills!H12/Skills!G12,1)+IF(Skills!G12&gt;0,MIN(Skills!H12,MAX(0,MAX(0,Inputs!$B$43-B1249)-((R1228-1)*IF(Inputs!$B$38="pvp",15,MAX(0.1,Skills!D12-IF(Skills!E12=TRUE,3.0,0))))))/Skills!G12,1)))/Inputs!$B$43),G1228*Q1228))*IF(Inputs!$B$38="pvp",1,(1+(Inputs!$B$21+Skills!P12+B1243)/100)*(MIN(Skills!Q12,Inputs!$B$37))),0)</f>
        <v/>
      </c>
    </row>
    <row r="1229">
      <c r="A1229">
        <f>Skills!A13</f>
        <v/>
      </c>
      <c r="B1229">
        <f>Skills!B13</f>
        <v/>
      </c>
      <c r="C1229">
        <f>Inputs!$B$3&gt;=49</f>
        <v/>
      </c>
      <c r="D1229">
        <f>IF(Skills!C13=1,60+Inputs!$B$25+Inputs!$B$29,IF(Skills!C13=2,90+Inputs!$B$26+Inputs!$B$29,IF(Skills!C13=3,120+Inputs!$B$27+Inputs!$B$29,MAX(0,(Inputs!$B$3-100)*3)+Inputs!$B$28+Inputs!$B$29)))</f>
        <v/>
      </c>
      <c r="E1229">
        <f>INDEX(FactorTable!$B$2:$Y$301, MATCH(ROUND(MIN(300,MAX(1,D1229)),0), FactorTable!$A$2:$A$301,0), Skills!L13+1)</f>
        <v/>
      </c>
      <c r="F1229">
        <f>IF(Skills!M13=TRUE,(Skills!K13/10)*(E1229/1000),Skills!K13/10)+Skills!N13</f>
        <v/>
      </c>
      <c r="G1229">
        <f>Calc!G13</f>
        <v/>
      </c>
      <c r="H1229">
        <f>Calc!H13</f>
        <v/>
      </c>
      <c r="I1229">
        <f>IF(Skills!T13&lt;&gt;"",1+(Skills!T13/10)*(Z1219/1000)/100,1)</f>
        <v/>
      </c>
      <c r="J1229" t="inlineStr"/>
      <c r="K1229" t="inlineStr"/>
      <c r="L1229" t="inlineStr"/>
      <c r="M1229" t="inlineStr"/>
      <c r="N1229" t="inlineStr"/>
      <c r="O1229">
        <f>(1-Summary!$B$51)*S1229+Summary!$B$51*U1229</f>
        <v/>
      </c>
      <c r="P1229">
        <f>IF(B1252=0,0,O1229/B1252)</f>
        <v/>
      </c>
      <c r="Q1229">
        <f>IFERROR(1/IF(Inputs!$B$38="pvp",15,MAX(0.1,Skills!D13-IF(Skills!E13=TRUE,3.0,0))),0)</f>
        <v/>
      </c>
      <c r="R1229" t="n">
        <v>0</v>
      </c>
      <c r="S1229" t="n">
        <v>0</v>
      </c>
      <c r="U1229" t="n">
        <v>0</v>
      </c>
    </row>
    <row r="1230">
      <c r="A1230">
        <f>Skills!A14</f>
        <v/>
      </c>
      <c r="B1230">
        <f>Skills!B14</f>
        <v/>
      </c>
      <c r="C1230">
        <f>Inputs!$B$3&gt;=72</f>
        <v/>
      </c>
      <c r="D1230">
        <f>IF(Skills!C14=1,60+Inputs!$B$25+Inputs!$B$29,IF(Skills!C14=2,90+Inputs!$B$26+Inputs!$B$29,IF(Skills!C14=3,120+Inputs!$B$27+Inputs!$B$29,MAX(0,(Inputs!$B$3-100)*3)+Inputs!$B$28+Inputs!$B$29)))</f>
        <v/>
      </c>
      <c r="E1230">
        <f>INDEX(FactorTable!$B$2:$Y$301, MATCH(ROUND(MIN(300,MAX(1,D1230)),0), FactorTable!$A$2:$A$301,0), Skills!L14+1)</f>
        <v/>
      </c>
      <c r="F1230">
        <f>IF(Skills!M14=TRUE,(Skills!K14/10)*(E1230/1000),Skills!K14/10)+Skills!N14</f>
        <v/>
      </c>
      <c r="G1230">
        <f>Calc!G14</f>
        <v/>
      </c>
      <c r="H1230">
        <f>Calc!H14</f>
        <v/>
      </c>
      <c r="I1230">
        <f>IF(Skills!T14&lt;&gt;"",1+(Skills!T14/10)*(Z1219/1000)/100,1)</f>
        <v/>
      </c>
      <c r="J1230" t="inlineStr"/>
      <c r="K1230" t="inlineStr"/>
      <c r="L1230" t="inlineStr"/>
      <c r="M1230" t="inlineStr"/>
      <c r="N1230" t="inlineStr"/>
      <c r="O1230">
        <f>(1-Summary!$B$51)*S1230+Summary!$B$51*U1230</f>
        <v/>
      </c>
      <c r="P1230">
        <f>IF(B1252=0,0,O1230/B1252)</f>
        <v/>
      </c>
      <c r="Q1230">
        <f>IFERROR(1/IF(Inputs!$B$38="pvp",15,MAX(0.1,Skills!D14-IF(Skills!E14=TRUE,3.0,0))),0)</f>
        <v/>
      </c>
      <c r="R1230" t="n">
        <v>0</v>
      </c>
      <c r="S1230" t="n">
        <v>0</v>
      </c>
      <c r="U1230" t="n">
        <v>0</v>
      </c>
    </row>
    <row r="1231">
      <c r="A1231">
        <f>Skills!A15</f>
        <v/>
      </c>
      <c r="B1231">
        <f>Skills!B15</f>
        <v/>
      </c>
      <c r="C1231">
        <f>Inputs!$B$3&gt;=75</f>
        <v/>
      </c>
      <c r="D1231">
        <f>IF(Skills!C15=1,60+Inputs!$B$25+Inputs!$B$29,IF(Skills!C15=2,90+Inputs!$B$26+Inputs!$B$29,IF(Skills!C15=3,120+Inputs!$B$27+Inputs!$B$29,MAX(0,(Inputs!$B$3-100)*3)+Inputs!$B$28+Inputs!$B$29)))</f>
        <v/>
      </c>
      <c r="E1231">
        <f>INDEX(FactorTable!$B$2:$Y$301, MATCH(ROUND(MIN(300,MAX(1,D1231)),0), FactorTable!$A$2:$A$301,0), Skills!L15+1)</f>
        <v/>
      </c>
      <c r="F1231">
        <f>IF(Skills!M15=TRUE,(Skills!K15/10)*(E1231/1000),Skills!K15/10)+Skills!N15</f>
        <v/>
      </c>
      <c r="G1231">
        <f>Calc!G15</f>
        <v/>
      </c>
      <c r="H1231">
        <f>Calc!H15</f>
        <v/>
      </c>
      <c r="I1231">
        <f>IF(Skills!T15&lt;&gt;"",1+(Skills!T15/10)*(Z1219/1000)/100,1)</f>
        <v/>
      </c>
      <c r="J1231" t="inlineStr"/>
      <c r="K1231" t="inlineStr"/>
      <c r="L1231" t="inlineStr"/>
      <c r="M1231" t="inlineStr"/>
      <c r="N1231" t="inlineStr"/>
      <c r="O1231">
        <f>(1-Summary!$B$51)*S1231+Summary!$B$51*U1231</f>
        <v/>
      </c>
      <c r="P1231">
        <f>IF(B1252=0,0,O1231/B1252)</f>
        <v/>
      </c>
      <c r="Q1231">
        <f>IFERROR(1/IF(Inputs!$B$38="pvp",15,MAX(0.1,Skills!D15-IF(Skills!E15=TRUE,3.0,0))),0)</f>
        <v/>
      </c>
      <c r="R1231" t="n">
        <v>0</v>
      </c>
      <c r="S1231" t="n">
        <v>0</v>
      </c>
      <c r="U1231" t="n">
        <v>0</v>
      </c>
    </row>
    <row r="1232">
      <c r="A1232">
        <f>Skills!A16</f>
        <v/>
      </c>
      <c r="B1232">
        <f>Skills!B16</f>
        <v/>
      </c>
      <c r="C1232">
        <f>Inputs!$B$3&gt;=110</f>
        <v/>
      </c>
      <c r="D1232">
        <f>IF(Skills!C16=1,60+Inputs!$B$25+Inputs!$B$29,IF(Skills!C16=2,90+Inputs!$B$26+Inputs!$B$29,IF(Skills!C16=3,120+Inputs!$B$27+Inputs!$B$29,MAX(0,(Inputs!$B$3-100)*3)+Inputs!$B$28+Inputs!$B$29)))</f>
        <v/>
      </c>
      <c r="E1232">
        <f>INDEX(FactorTable!$B$2:$Y$301, MATCH(ROUND(MIN(300,MAX(1,D1232)),0), FactorTable!$A$2:$A$301,0), Skills!L16+1)</f>
        <v/>
      </c>
      <c r="F1232">
        <f>(Skills!K16/10)*(E1232/1000)*64/45+Skills!N16</f>
        <v/>
      </c>
      <c r="G1232">
        <f>Calc!G16</f>
        <v/>
      </c>
      <c r="H1232">
        <f>Calc!H16</f>
        <v/>
      </c>
      <c r="I1232">
        <f>IF(Skills!T16&lt;&gt;"",1+(Skills!T16/10)*(Z1219/1000)/100,1)</f>
        <v/>
      </c>
      <c r="J1232" t="inlineStr"/>
      <c r="K1232" t="inlineStr"/>
      <c r="L1232" t="inlineStr"/>
      <c r="M1232" t="inlineStr"/>
      <c r="N1232" t="inlineStr"/>
      <c r="O1232">
        <f>(1-Summary!$B$51)*S1232+Summary!$B$51*U1232</f>
        <v/>
      </c>
      <c r="P1232">
        <f>IF(B1252=0,0,O1232/B1252)</f>
        <v/>
      </c>
      <c r="Q1232">
        <f>IFERROR(1/IF(Inputs!$B$38="pvp",15,MAX(0.1,Skills!D16-IF(Skills!E16=TRUE,3.0,0))),0)</f>
        <v/>
      </c>
      <c r="R1232">
        <f>IF(AND(Inputs!$B$38&lt;&gt;"pvp",Inputs!$B$43&gt;0),IF(Inputs!$B$43&lt;=0,0,(INT(Inputs!$B$43/IF(Inputs!$B$38="pvp",15,MAX(0.1,Skills!D16-IF(Skills!E16=TRUE,3.0,0))))+1)),0)</f>
        <v/>
      </c>
      <c r="S1232" t="n">
        <v>0</v>
      </c>
      <c r="U1232" t="n">
        <v>0</v>
      </c>
    </row>
    <row r="1233">
      <c r="A1233">
        <f>Skills!A17</f>
        <v/>
      </c>
      <c r="B1233">
        <f>Skills!B17</f>
        <v/>
      </c>
      <c r="C1233">
        <f>Inputs!$B$3&gt;=33</f>
        <v/>
      </c>
      <c r="D1233">
        <f>IF(Skills!C17=1,60+Inputs!$B$25+Inputs!$B$29,IF(Skills!C17=2,90+Inputs!$B$26+Inputs!$B$29,IF(Skills!C17=3,120+Inputs!$B$27+Inputs!$B$29,MAX(0,(Inputs!$B$3-100)*3)+Inputs!$B$28+Inputs!$B$29)))</f>
        <v/>
      </c>
      <c r="E1233">
        <f>INDEX(FactorTable!$B$2:$Y$301, MATCH(ROUND(MIN(300,MAX(1,D1233)),0), FactorTable!$A$2:$A$301,0), Skills!L17+1)</f>
        <v/>
      </c>
      <c r="F1233">
        <f>IF(Skills!M17=TRUE,(Skills!K17/10)*(E1233/1000),Skills!K17/10)+Skills!N17</f>
        <v/>
      </c>
      <c r="G1233">
        <f>Calc!G17</f>
        <v/>
      </c>
      <c r="H1233">
        <f>Calc!H17</f>
        <v/>
      </c>
      <c r="I1233">
        <f>IF(Skills!T17&lt;&gt;"",1+(Skills!T17/10)*(Z1219/1000)/100,1)</f>
        <v/>
      </c>
      <c r="J1233" t="inlineStr"/>
      <c r="K1233" t="inlineStr"/>
      <c r="L1233" t="inlineStr"/>
      <c r="M1233" t="inlineStr"/>
      <c r="N1233" t="inlineStr"/>
      <c r="O1233">
        <f>(1-Summary!$B$51)*S1233+Summary!$B$51*U1233</f>
        <v/>
      </c>
      <c r="P1233">
        <f>IF(B1252=0,0,O1233/B1252)</f>
        <v/>
      </c>
      <c r="Q1233">
        <f>IFERROR(1/IF(Inputs!$B$38="pvp",15,MAX(0.1,Skills!D17-IF(Skills!E17=TRUE,3.0,0))),0)</f>
        <v/>
      </c>
      <c r="R1233" t="n">
        <v>0</v>
      </c>
      <c r="S1233" t="n">
        <v>0</v>
      </c>
      <c r="U1233" t="n">
        <v>0</v>
      </c>
    </row>
    <row r="1234">
      <c r="A1234">
        <f>Skills!A18</f>
        <v/>
      </c>
      <c r="B1234">
        <f>Skills!B18</f>
        <v/>
      </c>
      <c r="C1234">
        <f>Inputs!$B$3&gt;=43</f>
        <v/>
      </c>
      <c r="D1234">
        <f>IF(Skills!C18=1,60+Inputs!$B$25+Inputs!$B$29,IF(Skills!C18=2,90+Inputs!$B$26+Inputs!$B$29,IF(Skills!C18=3,120+Inputs!$B$27+Inputs!$B$29,MAX(0,(Inputs!$B$3-100)*3)+Inputs!$B$28+Inputs!$B$29)))</f>
        <v/>
      </c>
      <c r="E1234">
        <f>INDEX(FactorTable!$B$2:$Y$301, MATCH(ROUND(MIN(300,MAX(1,D1234)),0), FactorTable!$A$2:$A$301,0), Skills!L18+1)</f>
        <v/>
      </c>
      <c r="F1234">
        <f>IF(Skills!M18=TRUE,(Skills!K18/10)*(E1234/1000),Skills!K18/10)+Skills!N18</f>
        <v/>
      </c>
      <c r="G1234">
        <f>Calc!G18</f>
        <v/>
      </c>
      <c r="H1234">
        <f>Calc!H18</f>
        <v/>
      </c>
      <c r="I1234">
        <f>IF(Skills!T18&lt;&gt;"",1+(Skills!T18/10)*(Z1219/1000)/100,1)</f>
        <v/>
      </c>
      <c r="J1234" t="inlineStr"/>
      <c r="K1234" t="inlineStr"/>
      <c r="L1234" t="inlineStr"/>
      <c r="M1234" t="inlineStr"/>
      <c r="N1234" t="inlineStr"/>
      <c r="O1234">
        <f>(1-Summary!$B$51)*S1234+Summary!$B$51*U1234</f>
        <v/>
      </c>
      <c r="P1234">
        <f>IF(B1252=0,0,O1234/B1252)</f>
        <v/>
      </c>
      <c r="Q1234">
        <f>IFERROR(1/IF(Inputs!$B$38="pvp",15,MAX(0.1,Skills!D18-IF(Skills!E18=TRUE,3.0,0))),0)</f>
        <v/>
      </c>
      <c r="R1234" t="n">
        <v>0</v>
      </c>
      <c r="S1234" t="n">
        <v>0</v>
      </c>
      <c r="U1234" t="n">
        <v>0</v>
      </c>
    </row>
    <row r="1235">
      <c r="A1235">
        <f>Skills!A19</f>
        <v/>
      </c>
      <c r="B1235">
        <f>Skills!B19</f>
        <v/>
      </c>
      <c r="C1235">
        <f>Inputs!$B$3&gt;=50</f>
        <v/>
      </c>
      <c r="D1235">
        <f>IF(Skills!C19=1,60+Inputs!$B$25+Inputs!$B$29,IF(Skills!C19=2,90+Inputs!$B$26+Inputs!$B$29,IF(Skills!C19=3,120+Inputs!$B$27+Inputs!$B$29,MAX(0,(Inputs!$B$3-100)*3)+Inputs!$B$28+Inputs!$B$29)))</f>
        <v/>
      </c>
      <c r="E1235">
        <f>INDEX(FactorTable!$B$2:$Y$301, MATCH(ROUND(MIN(300,MAX(1,D1235)),0), FactorTable!$A$2:$A$301,0), Skills!L19+1)</f>
        <v/>
      </c>
      <c r="F1235">
        <f>IF(Skills!M19=TRUE,(Skills!K19/10)*(E1235/1000),Skills!K19/10)+Skills!N19</f>
        <v/>
      </c>
      <c r="G1235">
        <f>Calc!G19</f>
        <v/>
      </c>
      <c r="H1235">
        <f>Calc!H19</f>
        <v/>
      </c>
      <c r="I1235">
        <f>IF(Skills!T19&lt;&gt;"",1+(Skills!T19/10)*(Z1219/1000)/100,1)</f>
        <v/>
      </c>
      <c r="J1235" t="inlineStr"/>
      <c r="K1235" t="inlineStr"/>
      <c r="L1235" t="inlineStr"/>
      <c r="M1235" t="inlineStr"/>
      <c r="N1235" t="inlineStr"/>
      <c r="O1235">
        <f>(1-Summary!$B$51)*S1235+Summary!$B$51*U1235</f>
        <v/>
      </c>
      <c r="P1235">
        <f>IF(B1252=0,0,O1235/B1252)</f>
        <v/>
      </c>
      <c r="Q1235">
        <f>IFERROR(1/IF(Inputs!$B$38="pvp",15,MAX(0.1,Skills!D19-IF(Skills!E19=TRUE,3.0,0))),0)</f>
        <v/>
      </c>
      <c r="R1235" t="n">
        <v>0</v>
      </c>
      <c r="S1235" t="n">
        <v>0</v>
      </c>
      <c r="U1235" t="n">
        <v>0</v>
      </c>
    </row>
    <row r="1236">
      <c r="A1236">
        <f>Skills!A20</f>
        <v/>
      </c>
      <c r="B1236">
        <f>Skills!B20</f>
        <v/>
      </c>
      <c r="C1236">
        <f>Inputs!$B$3&gt;=74</f>
        <v/>
      </c>
      <c r="D1236">
        <f>IF(Skills!C20=1,60+Inputs!$B$25+Inputs!$B$29,IF(Skills!C20=2,90+Inputs!$B$26+Inputs!$B$29,IF(Skills!C20=3,120+Inputs!$B$27+Inputs!$B$29,MAX(0,(Inputs!$B$3-100)*3)+Inputs!$B$28+Inputs!$B$29)))</f>
        <v/>
      </c>
      <c r="E1236">
        <f>INDEX(FactorTable!$B$2:$Y$301, MATCH(ROUND(MIN(300,MAX(1,D1236)),0), FactorTable!$A$2:$A$301,0), Skills!L20+1)</f>
        <v/>
      </c>
      <c r="F1236">
        <f>IF(Skills!M20=TRUE,(Skills!K20/10)*(E1236/1000),Skills!K20/10)+Skills!N20</f>
        <v/>
      </c>
      <c r="G1236">
        <f>Calc!G20</f>
        <v/>
      </c>
      <c r="H1236">
        <f>Calc!H20</f>
        <v/>
      </c>
      <c r="I1236">
        <f>IF(Skills!T20&lt;&gt;"",1+(Skills!T20/10)*(Z1219/1000)/100,1)</f>
        <v/>
      </c>
      <c r="J1236" t="inlineStr"/>
      <c r="K1236" t="inlineStr"/>
      <c r="L1236" t="inlineStr"/>
      <c r="M1236" t="inlineStr"/>
      <c r="N1236" t="inlineStr"/>
      <c r="O1236">
        <f>(1-Summary!$B$51)*S1236+Summary!$B$51*U1236</f>
        <v/>
      </c>
      <c r="P1236">
        <f>IF(B1252=0,0,O1236/B1252)</f>
        <v/>
      </c>
      <c r="Q1236">
        <f>IFERROR(1/IF(Inputs!$B$38="pvp",15,MAX(0.1,Skills!D20-IF(Skills!E20=TRUE,3.0,0))),0)</f>
        <v/>
      </c>
      <c r="R1236" t="n">
        <v>0</v>
      </c>
      <c r="S1236" t="n">
        <v>0</v>
      </c>
      <c r="U1236" t="n">
        <v>0</v>
      </c>
    </row>
    <row r="1237">
      <c r="A1237">
        <f>Skills!A21</f>
        <v/>
      </c>
      <c r="B1237">
        <f>Skills!B21</f>
        <v/>
      </c>
      <c r="C1237">
        <f>Inputs!$B$3&gt;=74</f>
        <v/>
      </c>
      <c r="D1237">
        <f>IF(Skills!C21=1,60+Inputs!$B$25+Inputs!$B$29,IF(Skills!C21=2,90+Inputs!$B$26+Inputs!$B$29,IF(Skills!C21=3,120+Inputs!$B$27+Inputs!$B$29,MAX(0,(Inputs!$B$3-100)*3)+Inputs!$B$28+Inputs!$B$29)))</f>
        <v/>
      </c>
      <c r="E1237">
        <f>INDEX(FactorTable!$B$2:$Y$301, MATCH(ROUND(MIN(300,MAX(1,D1237)),0), FactorTable!$A$2:$A$301,0), Skills!L21+1)</f>
        <v/>
      </c>
      <c r="F1237">
        <f>IF(Skills!M21=TRUE,(Skills!K21/10)*(E1237/1000),Skills!K21/10)+Skills!N21</f>
        <v/>
      </c>
      <c r="G1237">
        <f>Calc!G21</f>
        <v/>
      </c>
      <c r="H1237">
        <f>Calc!H21</f>
        <v/>
      </c>
      <c r="I1237">
        <f>IF(Skills!T21&lt;&gt;"",1+(Skills!T21/10)*(Z1219/1000)/100,1)</f>
        <v/>
      </c>
      <c r="J1237" t="inlineStr"/>
      <c r="K1237" t="inlineStr"/>
      <c r="L1237" t="inlineStr"/>
      <c r="M1237" t="inlineStr"/>
      <c r="N1237" t="inlineStr"/>
      <c r="O1237">
        <f>(1-Summary!$B$51)*S1237+Summary!$B$51*U1237</f>
        <v/>
      </c>
      <c r="P1237">
        <f>IF(B1252=0,0,O1237/B1252)</f>
        <v/>
      </c>
      <c r="Q1237">
        <f>IFERROR(1/IF(Inputs!$B$38="pvp",15,MAX(0.1,Skills!D21-IF(Skills!E21=TRUE,3.0,0))),0)</f>
        <v/>
      </c>
      <c r="R1237" t="n">
        <v>0</v>
      </c>
      <c r="S1237" t="n">
        <v>0</v>
      </c>
      <c r="U1237" t="n">
        <v>0</v>
      </c>
    </row>
    <row r="1238">
      <c r="A1238">
        <f>Skills!A22</f>
        <v/>
      </c>
      <c r="B1238">
        <f>Skills!B22</f>
        <v/>
      </c>
      <c r="C1238">
        <f>Inputs!$B$3&gt;=117</f>
        <v/>
      </c>
      <c r="D1238">
        <f>IF(Skills!C22=1,60+Inputs!$B$25+Inputs!$B$29,IF(Skills!C22=2,90+Inputs!$B$26+Inputs!$B$29,IF(Skills!C22=3,120+Inputs!$B$27+Inputs!$B$29,MAX(0,(Inputs!$B$3-100)*3)+Inputs!$B$28+Inputs!$B$29)))</f>
        <v/>
      </c>
      <c r="E1238">
        <f>INDEX(FactorTable!$B$2:$Y$301, MATCH(ROUND(MIN(300,MAX(1,D1238)),0), FactorTable!$A$2:$A$301,0), Skills!L22+1)</f>
        <v/>
      </c>
      <c r="F1238">
        <f>IF(Skills!M22=TRUE,(Skills!K22/10)*(E1238/1000),Skills!K22/10)+Skills!N22</f>
        <v/>
      </c>
      <c r="G1238">
        <f>Calc!G22</f>
        <v/>
      </c>
      <c r="H1238">
        <f>Calc!H22</f>
        <v/>
      </c>
      <c r="I1238">
        <f>IF(Skills!T22&lt;&gt;"",1+(Skills!T22/10)*(Z1219/1000)/100,1)</f>
        <v/>
      </c>
      <c r="J1238" t="inlineStr"/>
      <c r="K1238" t="inlineStr"/>
      <c r="L1238" t="inlineStr"/>
      <c r="M1238" t="inlineStr"/>
      <c r="N1238" t="inlineStr"/>
      <c r="O1238">
        <f>(1-Summary!$B$51)*S1238+Summary!$B$51*U1238</f>
        <v/>
      </c>
      <c r="P1238">
        <f>IF(B1252=0,0,O1238/B1252)</f>
        <v/>
      </c>
      <c r="Q1238">
        <f>IFERROR(1/IF(Inputs!$B$38="pvp",15,MAX(0.1,Skills!D22-IF(Skills!E22=TRUE,3.0,0))),0)</f>
        <v/>
      </c>
      <c r="R1238" t="n">
        <v>0</v>
      </c>
      <c r="S1238" t="n">
        <v>0</v>
      </c>
      <c r="U1238" t="n">
        <v>0</v>
      </c>
    </row>
    <row r="1239">
      <c r="A1239">
        <f>Skills!A23</f>
        <v/>
      </c>
      <c r="B1239">
        <f>Skills!B23</f>
        <v/>
      </c>
      <c r="C1239">
        <f>Inputs!$B$3&gt;=120</f>
        <v/>
      </c>
      <c r="D1239">
        <f>IF(Skills!C23=1,60+Inputs!$B$25+Inputs!$B$29,IF(Skills!C23=2,90+Inputs!$B$26+Inputs!$B$29,IF(Skills!C23=3,120+Inputs!$B$27+Inputs!$B$29,MAX(0,(Inputs!$B$3-100)*3)+Inputs!$B$28+Inputs!$B$29)))</f>
        <v/>
      </c>
      <c r="E1239">
        <f>INDEX(FactorTable!$B$2:$Y$301, MATCH(ROUND(MIN(300,MAX(1,D1239)),0), FactorTable!$A$2:$A$301,0), Skills!L23+1)</f>
        <v/>
      </c>
      <c r="F1239">
        <f>IF(Skills!M23=TRUE,(Skills!K23/10)*(E1239/1000),Skills!K23/10)+Skills!N23</f>
        <v/>
      </c>
      <c r="G1239">
        <f>Calc!G23</f>
        <v/>
      </c>
      <c r="H1239">
        <f>Calc!H23</f>
        <v/>
      </c>
      <c r="I1239">
        <f>IF(Skills!T23&lt;&gt;"",1+(Skills!T23/10)*(Z1219/1000)/100,1)</f>
        <v/>
      </c>
      <c r="J1239" t="inlineStr"/>
      <c r="K1239" t="inlineStr"/>
      <c r="L1239" t="inlineStr"/>
      <c r="M1239" t="inlineStr"/>
      <c r="N1239" t="inlineStr"/>
      <c r="O1239">
        <f>(1-Summary!$B$51)*S1239+Summary!$B$51*U1239</f>
        <v/>
      </c>
      <c r="P1239">
        <f>IF(B1252=0,0,O1239/B1252)</f>
        <v/>
      </c>
      <c r="Q1239">
        <f>IFERROR(1/IF(Inputs!$B$38="pvp",15,MAX(0.1,Skills!D23-IF(Skills!E23=TRUE,3.0,0))),0)</f>
        <v/>
      </c>
      <c r="R1239" t="n">
        <v>0</v>
      </c>
      <c r="S1239" t="n">
        <v>0</v>
      </c>
      <c r="U1239" t="n">
        <v>0</v>
      </c>
    </row>
    <row r="1242">
      <c r="A1242" t="inlineStr">
        <is>
          <t>Average Buff Multiplier (Magic Guard + Meditation, summed; then Infinity)</t>
        </is>
      </c>
      <c r="B1242">
        <f>(1+(IF(C1219=TRUE,F1219*IF(AND(Inputs!$B$38&lt;&gt;"pvp",Inputs!$B$43&gt;0),(((R1219-1)*(Skills!S3*(1+(Inputs!$B$34+IF(Inputs!$B$3&gt;=117,F1238,0))/100))+MIN((Skills!S3*(1+(Inputs!$B$34+IF(Inputs!$B$3&gt;=117,F1238,0))/100)),MAX(0,Inputs!$B$43-((R1219-1)*Skills!D3))))/Inputs!$B$43),IF(Inputs!$B$38="pvp",MIN((Skills!S3*(1+(Inputs!$B$34+IF(Inputs!$B$3&gt;=117,F1238,0))/100)),15)/15,(Skills!S3*(1+(Inputs!$B$34+IF(Inputs!$B$3&gt;=117,F1238,0))/100))/Skills!D3)),0)+IF(C1220=TRUE,F1220*IF(AND(Inputs!$B$38&lt;&gt;"pvp",Inputs!$B$43&gt;0),(((R1220-1)*(Skills!S4*(1+(Inputs!$B$34+IF(Inputs!$B$3&gt;=117,F1238,0))/100))+MIN((Skills!S4*(1+(Inputs!$B$34+IF(Inputs!$B$3&gt;=117,F1238,0))/100)),MAX(0,Inputs!$B$43-((R1220-1)*Skills!D4))))/Inputs!$B$43),IF(Inputs!$B$38="pvp",MIN((Skills!S4*(1+(Inputs!$B$34+IF(Inputs!$B$3&gt;=117,F1238,0))/100)),15)/15,(Skills!S4*(1+(Inputs!$B$34+IF(Inputs!$B$3&gt;=117,F1238,0))/100))/Skills!D4)),0))/100)*IF(C1232=TRUE,(1+F1232*IF(AND(Inputs!$B$38&lt;&gt;"pvp",Inputs!$B$43&gt;0),(((R1232-1)*(Skills!S16*(1+(Inputs!$B$34+IF(Inputs!$B$3&gt;=117,F1238,0))/100))+MIN((Skills!S16*(1+(Inputs!$B$34+IF(Inputs!$B$3&gt;=117,F1238,0))/100)),MAX(0,Inputs!$B$43-((R1232-1)*Skills!D16))))/Inputs!$B$43),IF(Inputs!$B$38="pvp",MIN((Skills!S16*(1+(Inputs!$B$34+IF(Inputs!$B$3&gt;=117,F1238,0))/100)),15)/15,(Skills!S16*(1+(Inputs!$B$34+IF(Inputs!$B$3&gt;=117,F1238,0))/100))/Skills!D16))/100),1)</f>
        <v/>
      </c>
    </row>
    <row r="1243">
      <c r="A1243" t="inlineStr">
        <is>
          <t>Monster Damage Taken Bonus % (Freezing Breath - Weaken + Elemental Reset, summed)</t>
        </is>
      </c>
      <c r="B1243">
        <f>IF(Inputs!$B$3&gt;=118,15*IF(Inputs!$B$38="pvp",MIN((30*(1+(Inputs!$B$34+IF(Inputs!$B$3&gt;=117,F1238,0))/100)),15)/15,(30*(1+(Inputs!$B$34+IF(Inputs!$B$3&gt;=117,F1238,0))/100))/Skills!D8),0)+IF(C1230=TRUE,F1230,0)</f>
        <v/>
      </c>
    </row>
    <row r="1244">
      <c r="A1244" t="inlineStr">
        <is>
          <t>Damage % Bonus (Frozen Break + Frost Clutch, flat)</t>
        </is>
      </c>
      <c r="B1244">
        <f>IF(Inputs!$B$3&gt;=66,15,0)+IF(Inputs!$B$3&gt;=98,10,0)+IF(Inputs!$B$3&gt;=125,20,0)</f>
        <v/>
      </c>
    </row>
    <row r="1245">
      <c r="A1245" t="inlineStr">
        <is>
          <t>Attack Speed Bonus % (MP Eater - MP Boost, always-on once unlocked)</t>
        </is>
      </c>
      <c r="B1245">
        <f>IF(C1229=TRUE,F1229+(F1233-Calc!F17),0)</f>
        <v/>
      </c>
    </row>
    <row r="1246">
      <c r="A1246" t="inlineStr">
        <is>
          <t>Actions Per Second</t>
        </is>
      </c>
      <c r="B1246">
        <f>1+MIN(150,150*(1-(1-Inputs!$B$11/150)*(1-B1245/150)))/100</f>
        <v/>
      </c>
    </row>
    <row r="1247">
      <c r="A1247" t="inlineStr">
        <is>
          <t>Skill + Buff Cast Rate</t>
        </is>
      </c>
      <c r="B1247">
        <f>IF(AND(Inputs!$B$38&lt;&gt;"pvp",Inputs!$B$43&gt;0),SUMPRODUCT((Skills!E2:E23=TRUE)*(C1218:C1239=TRUE)*R1218:R1239)/Inputs!$B$43,SUMPRODUCT((Skills!E2:E23=TRUE)*(C1218:C1239=TRUE)*Q1218:Q1239))</f>
        <v/>
      </c>
    </row>
    <row r="1248">
      <c r="A1248" t="inlineStr">
        <is>
          <t>Chain Lightning Casts Per Second</t>
        </is>
      </c>
      <c r="B1248">
        <f>MAX(0,B1246-B1247)</f>
        <v/>
      </c>
    </row>
    <row r="1249">
      <c r="A1249" t="inlineStr">
        <is>
          <t>Buff-Casting Startup Delay (s, fixed-duration only)</t>
        </is>
      </c>
      <c r="B1249">
        <f>IF(AND(Inputs!$B$38&lt;&gt;"pvp",Inputs!$B$43&gt;0),SUMPRODUCT((Skills!S2:S23&gt;0)*(Skills!E2:E23=TRUE)*(C1218:C1239=TRUE))/B1246,0)</f>
        <v/>
      </c>
    </row>
    <row r="1250">
      <c r="A1250" t="inlineStr">
        <is>
          <t>Boss-Only Total DPS (this block's swept value)</t>
        </is>
      </c>
      <c r="B1250">
        <f>SUM(S1218:S1239)</f>
        <v/>
      </c>
    </row>
    <row r="1251">
      <c r="A1251" t="inlineStr">
        <is>
          <t>Normal-Only Total DPS (this block's swept value)</t>
        </is>
      </c>
      <c r="B1251">
        <f>SUM(U1218:U1239)</f>
        <v/>
      </c>
    </row>
    <row r="1252">
      <c r="A1252" s="5" t="inlineStr">
        <is>
          <t>TOTAL DPS</t>
        </is>
      </c>
      <c r="B1252" s="5">
        <f>SUM(O1218:O1239)</f>
        <v/>
      </c>
    </row>
    <row r="1255">
      <c r="A1255" s="5" t="inlineStr">
        <is>
          <t>Stat: CDR = 3.5s</t>
        </is>
      </c>
    </row>
    <row r="1256">
      <c r="A1256" s="9" t="inlineStr">
        <is>
          <t>Key</t>
        </is>
      </c>
      <c r="B1256" s="9" t="inlineStr">
        <is>
          <t>Name</t>
        </is>
      </c>
      <c r="C1256" s="9" t="inlineStr">
        <is>
          <t>Unlocked</t>
        </is>
      </c>
      <c r="D1256" s="9" t="inlineStr">
        <is>
          <t>InputLevel</t>
        </is>
      </c>
      <c r="E1256" s="9" t="inlineStr">
        <is>
          <t>Factor</t>
        </is>
      </c>
      <c r="F1256" s="9" t="inlineStr">
        <is>
          <t>CoefficientPercent</t>
        </is>
      </c>
      <c r="G1256" s="9" t="inlineStr">
        <is>
          <t>EffectiveHits</t>
        </is>
      </c>
      <c r="H1256" s="9" t="inlineStr">
        <is>
          <t>ProcProbability</t>
        </is>
      </c>
      <c r="I1256" s="9" t="inlineStr">
        <is>
          <t>MapleHeroMultiplier</t>
        </is>
      </c>
      <c r="J1256" s="9" t="inlineStr">
        <is>
          <t>BaseDamage</t>
        </is>
      </c>
      <c r="K1256" s="9" t="inlineStr">
        <is>
          <t>BaseHitDamage</t>
        </is>
      </c>
      <c r="L1256" s="9" t="inlineStr">
        <is>
          <t>NonCritAvg</t>
        </is>
      </c>
      <c r="M1256" s="9" t="inlineStr">
        <is>
          <t>CritAvg</t>
        </is>
      </c>
      <c r="N1256" s="9" t="inlineStr">
        <is>
          <t>ExpectedDamage(perHit)</t>
        </is>
      </c>
      <c r="O1256" s="9" t="inlineStr">
        <is>
          <t>DPS</t>
        </is>
      </c>
      <c r="P1256" s="9" t="inlineStr">
        <is>
          <t>% of Total</t>
        </is>
      </c>
      <c r="R1256" t="inlineStr">
        <is>
          <t>helpers</t>
        </is>
      </c>
    </row>
    <row r="1257">
      <c r="A1257">
        <f>Skills!A2</f>
        <v/>
      </c>
      <c r="B1257">
        <f>Skills!B2</f>
        <v/>
      </c>
      <c r="C1257">
        <f>Inputs!$B$3&gt;=100</f>
        <v/>
      </c>
      <c r="D1257" t="inlineStr"/>
      <c r="E1257" t="inlineStr"/>
      <c r="F1257">
        <f>T1259+Skills!N2</f>
        <v/>
      </c>
      <c r="G1257">
        <f>Calc!G2</f>
        <v/>
      </c>
      <c r="H1257">
        <f>Calc!H2</f>
        <v/>
      </c>
      <c r="I1257">
        <f>IF(Skills!T2&lt;&gt;"",1+(Skills!T2/10)*(Z1258/1000)/100,1)</f>
        <v/>
      </c>
      <c r="J1257">
        <f>((Inputs!$B$6*(1+Inputs!$B$7/100))+(((Inputs!$B$12*(1+Inputs!$B$13/100))-(Inputs!$B$12*(1+Inputs!$B$13/100)))+0.25*(Inputs!$B$14-Inputs!$B$14))*(1+Inputs!$B$7/100))*(F1257/100)</f>
        <v/>
      </c>
      <c r="K1257">
        <f>J1257*(1+((Inputs!$B$12*(1+Inputs!$B$13/100))*0.01+Inputs!$B$14*0.0025)/100)*(1+(Inputs!$B$15+B1283)/100)*(1+Inputs!$B$16/100)*(5000/(6000+Inputs!$B$42*(1-Inputs!$B$19/100)))*(1+Inputs!$B$24/100)*(1+IF(C1270=TRUE,F1270,0)/100)*(1+IF(C1278=TRUE,F1278,0)/100)^5*(1+(IF(Skills!A2="CHAIN_LIGHTNING",Inputs!$B$17,Inputs!$B$18))/100)*(B1281*I1257)</f>
        <v/>
      </c>
      <c r="L1257">
        <f>K1257*(MIN(Inputs!$B$22+(F1273-Calc!F18),Inputs!$B$23)/100+Inputs!$B$23/100)/2</f>
        <v/>
      </c>
      <c r="M1257">
        <f>L1257*(1+(Inputs!$B$10+(F1276-Calc!F21))/100)</f>
        <v/>
      </c>
      <c r="N1257">
        <f>L1257*(1-MIN(Inputs!$B$9+((F1275-Calc!F20)+(F1274-Calc!F19)),100)/100)+M1257*(MIN(Inputs!$B$9+((F1275-Calc!F20)+(F1274-Calc!F19)),100)/100)</f>
        <v/>
      </c>
      <c r="O1257">
        <f>(1-Summary!$B$51)*S1257+Summary!$B$51*U1257</f>
        <v/>
      </c>
      <c r="P1257">
        <f>IF(B1291=0,0,O1257/B1291)</f>
        <v/>
      </c>
      <c r="Q1257">
        <f>IFERROR(1/IF(Inputs!$B$38="pvp",15,MAX(0.1,Skills!D2-IF(Skills!E2=TRUE,3.5,0))),0)</f>
        <v/>
      </c>
      <c r="R1257" t="n">
        <v>0</v>
      </c>
      <c r="S1257">
        <f>IF(C1257,(Skills!F2*N1257*B1287)*IF(Inputs!$B$38="pvp",1,1+(Inputs!$B$20+Skills!O2+B1282)/100),0)</f>
        <v/>
      </c>
      <c r="T1257">
        <f>MAX(0,(Inputs!$B$3-100)*3)+Inputs!$B$28+Inputs!$B$29</f>
        <v/>
      </c>
      <c r="U1257">
        <f>IF(C1257,(Skills!F2*N1257*B1287)*IF(Inputs!$B$38="pvp",1,(1+(Inputs!$B$21+Skills!P2+B1282)/100)*(MIN((6+Inputs!$B$33),Inputs!$B$37))),0)</f>
        <v/>
      </c>
      <c r="Z1257">
        <f>MAX(0,(Inputs!$B$3-100)*3)+Inputs!$B$28+Inputs!$B$29</f>
        <v/>
      </c>
    </row>
    <row r="1258">
      <c r="A1258">
        <f>Skills!A3</f>
        <v/>
      </c>
      <c r="B1258">
        <f>Skills!B3</f>
        <v/>
      </c>
      <c r="C1258">
        <f>Inputs!$B$3&gt;=15</f>
        <v/>
      </c>
      <c r="D1258">
        <f>IF(Skills!C3=1,60+Inputs!$B$25+Inputs!$B$29,IF(Skills!C3=2,90+Inputs!$B$26+Inputs!$B$29,IF(Skills!C3=3,120+Inputs!$B$27+Inputs!$B$29,MAX(0,(Inputs!$B$3-100)*3)+Inputs!$B$28+Inputs!$B$29)))</f>
        <v/>
      </c>
      <c r="E1258">
        <f>INDEX(FactorTable!$B$2:$Y$301, MATCH(ROUND(MIN(300,MAX(1,D1258)),0), FactorTable!$A$2:$A$301,0), Skills!L3+1)</f>
        <v/>
      </c>
      <c r="F1258">
        <f>IF(Skills!M3=TRUE,(Skills!K3/10)*(E1258/1000),Skills!K3/10)+Skills!N3</f>
        <v/>
      </c>
      <c r="G1258">
        <f>Calc!G3</f>
        <v/>
      </c>
      <c r="H1258">
        <f>Calc!H3</f>
        <v/>
      </c>
      <c r="I1258">
        <f>IF(Skills!T3&lt;&gt;"",1+(Skills!T3/10)*(Z1258/1000)/100,1)</f>
        <v/>
      </c>
      <c r="J1258" t="inlineStr"/>
      <c r="K1258" t="inlineStr"/>
      <c r="L1258" t="inlineStr"/>
      <c r="M1258" t="inlineStr"/>
      <c r="N1258" t="inlineStr"/>
      <c r="O1258">
        <f>(1-Summary!$B$51)*S1258+Summary!$B$51*U1258</f>
        <v/>
      </c>
      <c r="P1258">
        <f>IF(B1291=0,0,O1258/B1291)</f>
        <v/>
      </c>
      <c r="Q1258">
        <f>IFERROR(1/IF(Inputs!$B$38="pvp",15,MAX(0.1,Skills!D3-IF(Skills!E3=TRUE,3.5,0))),0)</f>
        <v/>
      </c>
      <c r="R1258">
        <f>IF(AND(Inputs!$B$38&lt;&gt;"pvp",Inputs!$B$43&gt;0),IF(Inputs!$B$43&lt;=0,0,(INT(Inputs!$B$43/IF(Inputs!$B$38="pvp",15,MAX(0.1,Skills!D3-IF(Skills!E3=TRUE,3.5,0))))+1)),0)</f>
        <v/>
      </c>
      <c r="S1258" t="n">
        <v>0</v>
      </c>
      <c r="T1258">
        <f>INDEX(FactorTable!$B$2:$Y$301, MATCH(ROUND(MIN(300,MAX(1,T1257)),0), FactorTable!$A$2:$A$301,0), 22)</f>
        <v/>
      </c>
      <c r="U1258" t="n">
        <v>0</v>
      </c>
      <c r="Z1258">
        <f>INDEX(FactorTable!$B$2:$Y$301, MATCH(ROUND(MIN(300,MAX(1,Z1257)),0), FactorTable!$A$2:$A$301,0), 24)</f>
        <v/>
      </c>
    </row>
    <row r="1259">
      <c r="A1259">
        <f>Skills!A4</f>
        <v/>
      </c>
      <c r="B1259">
        <f>Skills!B4</f>
        <v/>
      </c>
      <c r="C1259">
        <f>Inputs!$B$3&gt;=40</f>
        <v/>
      </c>
      <c r="D1259">
        <f>IF(Skills!C4=1,60+Inputs!$B$25+Inputs!$B$29,IF(Skills!C4=2,90+Inputs!$B$26+Inputs!$B$29,IF(Skills!C4=3,120+Inputs!$B$27+Inputs!$B$29,MAX(0,(Inputs!$B$3-100)*3)+Inputs!$B$28+Inputs!$B$29)))</f>
        <v/>
      </c>
      <c r="E1259">
        <f>INDEX(FactorTable!$B$2:$Y$301, MATCH(ROUND(MIN(300,MAX(1,D1259)),0), FactorTable!$A$2:$A$301,0), Skills!L4+1)</f>
        <v/>
      </c>
      <c r="F1259">
        <f>IF(Skills!M4=TRUE,(Skills!K4/10)*(E1259/1000),Skills!K4/10)+Skills!N4</f>
        <v/>
      </c>
      <c r="G1259">
        <f>Calc!G4</f>
        <v/>
      </c>
      <c r="H1259">
        <f>Calc!H4</f>
        <v/>
      </c>
      <c r="I1259">
        <f>IF(Skills!T4&lt;&gt;"",1+(Skills!T4/10)*(Z1258/1000)/100,1)</f>
        <v/>
      </c>
      <c r="J1259" t="inlineStr"/>
      <c r="K1259" t="inlineStr"/>
      <c r="L1259" t="inlineStr"/>
      <c r="M1259" t="inlineStr"/>
      <c r="N1259" t="inlineStr"/>
      <c r="O1259">
        <f>(1-Summary!$B$51)*S1259+Summary!$B$51*U1259</f>
        <v/>
      </c>
      <c r="P1259">
        <f>IF(B1291=0,0,O1259/B1291)</f>
        <v/>
      </c>
      <c r="Q1259">
        <f>IFERROR(1/IF(Inputs!$B$38="pvp",15,MAX(0.1,Skills!D4-IF(Skills!E4=TRUE,3.5,0))),0)</f>
        <v/>
      </c>
      <c r="R1259">
        <f>IF(AND(Inputs!$B$38&lt;&gt;"pvp",Inputs!$B$43&gt;0),IF(Inputs!$B$43&lt;=0,0,(INT(Inputs!$B$43/IF(Inputs!$B$38="pvp",15,MAX(0.1,Skills!D4-IF(Skills!E4=TRUE,3.5,0))))+1)),0)</f>
        <v/>
      </c>
      <c r="S1259" t="n">
        <v>0</v>
      </c>
      <c r="T1259">
        <f>290*T1258/1000</f>
        <v/>
      </c>
      <c r="U1259" t="n">
        <v>0</v>
      </c>
    </row>
    <row r="1260">
      <c r="A1260">
        <f>Skills!A5</f>
        <v/>
      </c>
      <c r="B1260">
        <f>Skills!B5</f>
        <v/>
      </c>
      <c r="C1260">
        <f>Inputs!$B$3&gt;=38</f>
        <v/>
      </c>
      <c r="D1260">
        <f>IF(Skills!C5=1,60+Inputs!$B$25+Inputs!$B$29,IF(Skills!C5=2,90+Inputs!$B$26+Inputs!$B$29,IF(Skills!C5=3,120+Inputs!$B$27+Inputs!$B$29,MAX(0,(Inputs!$B$3-100)*3)+Inputs!$B$28+Inputs!$B$29)))</f>
        <v/>
      </c>
      <c r="E1260">
        <f>INDEX(FactorTable!$B$2:$Y$301, MATCH(ROUND(MIN(300,MAX(1,D1260)),0), FactorTable!$A$2:$A$301,0), Skills!L5+1)</f>
        <v/>
      </c>
      <c r="F1260">
        <f>IF(Skills!M5=TRUE,(Skills!K5/10)*(E1260/1000),Skills!K5/10)+Skills!N5</f>
        <v/>
      </c>
      <c r="G1260">
        <f>Calc!G5</f>
        <v/>
      </c>
      <c r="H1260">
        <f>Calc!H5</f>
        <v/>
      </c>
      <c r="I1260">
        <f>IF(Skills!T5&lt;&gt;"",1+(Skills!T5/10)*(Z1258/1000)/100,1)</f>
        <v/>
      </c>
      <c r="J1260">
        <f>((Inputs!$B$6*(1+Inputs!$B$7/100))+(((Inputs!$B$12*(1+Inputs!$B$13/100))-(Inputs!$B$12*(1+Inputs!$B$13/100)))+0.25*(Inputs!$B$14-Inputs!$B$14))*(1+Inputs!$B$7/100))*(F1260/100)</f>
        <v/>
      </c>
      <c r="K1260">
        <f>J1260*(1+((Inputs!$B$12*(1+Inputs!$B$13/100))*0.01+Inputs!$B$14*0.0025)/100)*(1+(Inputs!$B$15+B1283)/100)*(1+Inputs!$B$16/100)*(5000/(6000+Inputs!$B$42*(1-Inputs!$B$19/100)))*(1+Inputs!$B$24/100)*(1+IF(C1270=TRUE,F1270,0)/100)*(1+IF(C1278=TRUE,F1278,0)/100)^5*(1+(IF(Skills!A5="CHAIN_LIGHTNING",Inputs!$B$17,Inputs!$B$18))/100)*(B1281*I1260)</f>
        <v/>
      </c>
      <c r="L1260">
        <f>K1260*(MIN(Inputs!$B$22+(F1273-Calc!F18),Inputs!$B$23)/100+Inputs!$B$23/100)/2</f>
        <v/>
      </c>
      <c r="M1260">
        <f>L1260*(1+(Inputs!$B$10+(F1276-Calc!F21))/100)</f>
        <v/>
      </c>
      <c r="N1260">
        <f>L1260*(1-MIN(Inputs!$B$9+((F1275-Calc!F20)+(F1274-Calc!F19)),100)/100)+M1260*(MIN(Inputs!$B$9+((F1275-Calc!F20)+(F1274-Calc!F19)),100)/100)</f>
        <v/>
      </c>
      <c r="O1260">
        <f>(1-Summary!$B$51)*S1260+Summary!$B$51*U1260</f>
        <v/>
      </c>
      <c r="P1260">
        <f>IF(B1291=0,0,O1260/B1291)</f>
        <v/>
      </c>
      <c r="Q1260">
        <f>IFERROR(1/IF(Inputs!$B$38="pvp",15,MAX(0.1,Skills!D5-IF(Skills!E5=TRUE,3.5,0))),0)</f>
        <v/>
      </c>
      <c r="R1260">
        <f>IF(AND(Inputs!$B$38&lt;&gt;"pvp",Inputs!$B$43&gt;0),IF(MAX(0,Inputs!$B$43-B1288)&lt;=0,0,(INT(MAX(0,Inputs!$B$43-B1288)/IF(Inputs!$B$38="pvp",15,MAX(0.1,Skills!D5-IF(Skills!E5=TRUE,3.5,0))))+1)),0)</f>
        <v/>
      </c>
      <c r="S1260">
        <f>IF(C1260,(H1260*N1260*IF(AND(Inputs!$B$38&lt;&gt;"pvp",Inputs!$B$43&gt;0),((Skills!F5*((R1260-1)*IF(Skills!G5&gt;0,Skills!H5/Skills!G5,1)+IF(Skills!G5&gt;0,MIN(Skills!H5,MAX(0,MAX(0,Inputs!$B$43-B1288)-((R1260-1)*IF(Inputs!$B$38="pvp",15,MAX(0.1,Skills!D5-IF(Skills!E5=TRUE,3.5,0))))))/Skills!G5,1)))/Inputs!$B$43),G1260*Q1260))*IF(Inputs!$B$38="pvp",1,1+(Inputs!$B$20+Skills!O5+B1282)/100),0)</f>
        <v/>
      </c>
      <c r="U1260">
        <f>IF(C1260,(H1260*N1260*IF(AND(Inputs!$B$38&lt;&gt;"pvp",Inputs!$B$43&gt;0),((Skills!F5*((R1260-1)*IF(Skills!G5&gt;0,Skills!H5/Skills!G5,1)+IF(Skills!G5&gt;0,MIN(Skills!H5,MAX(0,MAX(0,Inputs!$B$43-B1288)-((R1260-1)*IF(Inputs!$B$38="pvp",15,MAX(0.1,Skills!D5-IF(Skills!E5=TRUE,3.5,0))))))/Skills!G5,1)))/Inputs!$B$43),G1260*Q1260))*IF(Inputs!$B$38="pvp",1,(1+(Inputs!$B$21+Skills!P5+B1282)/100)*(MIN(Skills!Q5,Inputs!$B$37))),0)</f>
        <v/>
      </c>
    </row>
    <row r="1261">
      <c r="A1261">
        <f>Skills!A6</f>
        <v/>
      </c>
      <c r="B1261">
        <f>Skills!B6</f>
        <v/>
      </c>
      <c r="C1261">
        <f>Inputs!$B$3&gt;=63</f>
        <v/>
      </c>
      <c r="D1261">
        <f>IF(Skills!C6=1,60+Inputs!$B$25+Inputs!$B$29,IF(Skills!C6=2,90+Inputs!$B$26+Inputs!$B$29,IF(Skills!C6=3,120+Inputs!$B$27+Inputs!$B$29,MAX(0,(Inputs!$B$3-100)*3)+Inputs!$B$28+Inputs!$B$29)))</f>
        <v/>
      </c>
      <c r="E1261">
        <f>INDEX(FactorTable!$B$2:$Y$301, MATCH(ROUND(MIN(300,MAX(1,D1261)),0), FactorTable!$A$2:$A$301,0), Skills!L6+1)</f>
        <v/>
      </c>
      <c r="F1261">
        <f>IF(Skills!M6=TRUE,(Skills!K6/10)*(E1261/1000),Skills!K6/10)+Skills!N6</f>
        <v/>
      </c>
      <c r="G1261">
        <f>Calc!G6</f>
        <v/>
      </c>
      <c r="H1261">
        <f>Calc!H6</f>
        <v/>
      </c>
      <c r="I1261">
        <f>IF(Skills!T6&lt;&gt;"",1+(Skills!T6/10)*(Z1258/1000)/100,1)</f>
        <v/>
      </c>
      <c r="J1261">
        <f>((Inputs!$B$6*(1+Inputs!$B$7/100))+(((Inputs!$B$12*(1+Inputs!$B$13/100))-(Inputs!$B$12*(1+Inputs!$B$13/100)))+0.25*(Inputs!$B$14-Inputs!$B$14))*(1+Inputs!$B$7/100))*(F1261/100)</f>
        <v/>
      </c>
      <c r="K1261">
        <f>J1261*(1+((Inputs!$B$12*(1+Inputs!$B$13/100))*0.01+Inputs!$B$14*0.0025)/100)*(1+(Inputs!$B$15+B1283)/100)*(1+Inputs!$B$16/100)*(5000/(6000+Inputs!$B$42*(1-Inputs!$B$19/100)))*(1+Inputs!$B$24/100)*(1+IF(C1270=TRUE,F1270,0)/100)*(1+IF(C1278=TRUE,F1278,0)/100)^5*(1+(IF(Skills!A6="CHAIN_LIGHTNING",Inputs!$B$17,Inputs!$B$18))/100)*(B1281*I1261)</f>
        <v/>
      </c>
      <c r="L1261">
        <f>K1261*(MIN(Inputs!$B$22+(F1273-Calc!F18),Inputs!$B$23)/100+Inputs!$B$23/100)/2</f>
        <v/>
      </c>
      <c r="M1261">
        <f>L1261*(1+(Inputs!$B$10+(F1276-Calc!F21))/100)</f>
        <v/>
      </c>
      <c r="N1261">
        <f>L1261*(1-MIN(Inputs!$B$9+((F1275-Calc!F20)+(F1274-Calc!F19)),100)/100)+M1261*(MIN(Inputs!$B$9+((F1275-Calc!F20)+(F1274-Calc!F19)),100)/100)</f>
        <v/>
      </c>
      <c r="O1261">
        <f>(1-Summary!$B$51)*S1261+Summary!$B$51*U1261</f>
        <v/>
      </c>
      <c r="P1261">
        <f>IF(B1291=0,0,O1261/B1291)</f>
        <v/>
      </c>
      <c r="Q1261">
        <f>IFERROR(1/IF(Inputs!$B$38="pvp",15,MAX(0.1,Skills!D6-IF(Skills!E6=TRUE,3.5,0))),0)</f>
        <v/>
      </c>
      <c r="R1261">
        <f>IF(AND(Inputs!$B$38&lt;&gt;"pvp",Inputs!$B$43&gt;0),IF(MAX(0,Inputs!$B$43-B1288)&lt;=0,0,(INT(MAX(0,Inputs!$B$43-B1288)/IF(Inputs!$B$38="pvp",15,MAX(0.1,Skills!D6-IF(Skills!E6=TRUE,3.5,0))))+1)),0)</f>
        <v/>
      </c>
      <c r="S1261">
        <f>IF(C1261,(H1261*N1261*IF(AND(Inputs!$B$38&lt;&gt;"pvp",Inputs!$B$43&gt;0),((Skills!F6*((R1261-1)*IF(Skills!G6&gt;0,Skills!H6/Skills!G6,1)+IF(Skills!G6&gt;0,MIN(Skills!H6,MAX(0,MAX(0,Inputs!$B$43-B1288)-((R1261-1)*IF(Inputs!$B$38="pvp",15,MAX(0.1,Skills!D6-IF(Skills!E6=TRUE,3.5,0))))))/Skills!G6,1)))/Inputs!$B$43),G1261*Q1261))*IF(Inputs!$B$38="pvp",1,1+(Inputs!$B$20+Skills!O6+B1282)/100),0)</f>
        <v/>
      </c>
      <c r="U1261">
        <f>IF(C1261,(H1261*N1261*IF(AND(Inputs!$B$38&lt;&gt;"pvp",Inputs!$B$43&gt;0),((Skills!F6*((R1261-1)*IF(Skills!G6&gt;0,Skills!H6/Skills!G6,1)+IF(Skills!G6&gt;0,MIN(Skills!H6,MAX(0,MAX(0,Inputs!$B$43-B1288)-((R1261-1)*IF(Inputs!$B$38="pvp",15,MAX(0.1,Skills!D6-IF(Skills!E6=TRUE,3.5,0))))))/Skills!G6,1)))/Inputs!$B$43),G1261*Q1261))*IF(Inputs!$B$38="pvp",1,(1+(Inputs!$B$21+Skills!P6+B1282)/100)*(MIN(Skills!Q6,Inputs!$B$37))),0)</f>
        <v/>
      </c>
    </row>
    <row r="1262">
      <c r="A1262">
        <f>Skills!A7</f>
        <v/>
      </c>
      <c r="B1262">
        <f>Skills!B7</f>
        <v/>
      </c>
      <c r="C1262">
        <f>Inputs!$B$3&gt;=69</f>
        <v/>
      </c>
      <c r="D1262">
        <f>IF(Skills!C7=1,60+Inputs!$B$25+Inputs!$B$29,IF(Skills!C7=2,90+Inputs!$B$26+Inputs!$B$29,IF(Skills!C7=3,120+Inputs!$B$27+Inputs!$B$29,MAX(0,(Inputs!$B$3-100)*3)+Inputs!$B$28+Inputs!$B$29)))</f>
        <v/>
      </c>
      <c r="E1262">
        <f>INDEX(FactorTable!$B$2:$Y$301, MATCH(ROUND(MIN(300,MAX(1,D1262)),0), FactorTable!$A$2:$A$301,0), Skills!L7+1)</f>
        <v/>
      </c>
      <c r="F1262">
        <f>IF(Skills!M7=TRUE,(Skills!K7/10)*(E1262/1000),Skills!K7/10)+Skills!N7</f>
        <v/>
      </c>
      <c r="G1262">
        <f>Calc!G7</f>
        <v/>
      </c>
      <c r="H1262">
        <f>Calc!H7</f>
        <v/>
      </c>
      <c r="I1262">
        <f>IF(Skills!T7&lt;&gt;"",1+(Skills!T7/10)*(Z1258/1000)/100,1)</f>
        <v/>
      </c>
      <c r="J1262">
        <f>((Inputs!$B$6*(1+Inputs!$B$7/100))+(((Inputs!$B$12*(1+Inputs!$B$13/100))-(Inputs!$B$12*(1+Inputs!$B$13/100)))+0.25*(Inputs!$B$14-Inputs!$B$14))*(1+Inputs!$B$7/100))*(F1262/100)</f>
        <v/>
      </c>
      <c r="K1262">
        <f>J1262*(1+((Inputs!$B$12*(1+Inputs!$B$13/100))*0.01+Inputs!$B$14*0.0025)/100)*(1+(Inputs!$B$15+B1283)/100)*(1+Inputs!$B$16/100)*(5000/(6000+Inputs!$B$42*(1-Inputs!$B$19/100)))*(1+Inputs!$B$24/100)*(1+IF(C1270=TRUE,F1270,0)/100)*(1+IF(C1278=TRUE,F1278,0)/100)^5*(1+(IF(Skills!A7="CHAIN_LIGHTNING",Inputs!$B$17,Inputs!$B$18))/100)*(B1281*I1262)</f>
        <v/>
      </c>
      <c r="L1262">
        <f>K1262*(MIN(Inputs!$B$22+(F1273-Calc!F18),Inputs!$B$23)/100+Inputs!$B$23/100)/2</f>
        <v/>
      </c>
      <c r="M1262">
        <f>L1262*(1+(Inputs!$B$10+(F1276-Calc!F21))/100)</f>
        <v/>
      </c>
      <c r="N1262">
        <f>L1262*(1-MIN(Inputs!$B$9+((F1275-Calc!F20)+(F1274-Calc!F19)),100)/100)+M1262*(MIN(Inputs!$B$9+((F1275-Calc!F20)+(F1274-Calc!F19)),100)/100)</f>
        <v/>
      </c>
      <c r="O1262">
        <f>(1-Summary!$B$51)*S1262+Summary!$B$51*U1262</f>
        <v/>
      </c>
      <c r="P1262">
        <f>IF(B1291=0,0,O1262/B1291)</f>
        <v/>
      </c>
      <c r="Q1262">
        <f>IFERROR(1/IF(Inputs!$B$38="pvp",15,MAX(0.1,Skills!D7-IF(Skills!E7=TRUE,3.5,0))),0)</f>
        <v/>
      </c>
      <c r="R1262">
        <f>IF(AND(Inputs!$B$38&lt;&gt;"pvp",Inputs!$B$43&gt;0),IF(MAX(0,Inputs!$B$43-B1288)&lt;=0,0,(INT(MAX(0,Inputs!$B$43-B1288)/IF(Inputs!$B$38="pvp",15,MAX(0.1,Skills!D7-IF(Skills!E7=TRUE,3.5,0))))+1)),0)</f>
        <v/>
      </c>
      <c r="S1262">
        <f>IF(C1262,(H1262*N1262*IF(AND(Inputs!$B$38&lt;&gt;"pvp",Inputs!$B$43&gt;0),((Skills!F7*((R1262-1)*IF(Skills!G7&gt;0,Skills!H7/Skills!G7,1)+IF(Skills!G7&gt;0,MIN(Skills!H7,MAX(0,MAX(0,Inputs!$B$43-B1288)-((R1262-1)*IF(Inputs!$B$38="pvp",15,MAX(0.1,Skills!D7-IF(Skills!E7=TRUE,3.5,0))))))/Skills!G7,1)))/Inputs!$B$43),G1262*Q1262))*IF(Inputs!$B$38="pvp",1,1+(Inputs!$B$20+Skills!O7+B1282)/100),0)</f>
        <v/>
      </c>
      <c r="U1262">
        <f>IF(C1262,(H1262*N1262*IF(AND(Inputs!$B$38&lt;&gt;"pvp",Inputs!$B$43&gt;0),((Skills!F7*((R1262-1)*IF(Skills!G7&gt;0,Skills!H7/Skills!G7,1)+IF(Skills!G7&gt;0,MIN(Skills!H7,MAX(0,MAX(0,Inputs!$B$43-B1288)-((R1262-1)*IF(Inputs!$B$38="pvp",15,MAX(0.1,Skills!D7-IF(Skills!E7=TRUE,3.5,0))))))/Skills!G7,1)))/Inputs!$B$43),G1262*Q1262))*IF(Inputs!$B$38="pvp",1,(1+(Inputs!$B$21+Skills!P7+B1282)/100)*(MIN(Skills!Q7,Inputs!$B$37))),0)</f>
        <v/>
      </c>
    </row>
    <row r="1263">
      <c r="A1263">
        <f>Skills!A8</f>
        <v/>
      </c>
      <c r="B1263">
        <f>Skills!B8</f>
        <v/>
      </c>
      <c r="C1263">
        <f>Inputs!$B$3&gt;=103</f>
        <v/>
      </c>
      <c r="D1263">
        <f>IF(Skills!C8=1,60+Inputs!$B$25+Inputs!$B$29,IF(Skills!C8=2,90+Inputs!$B$26+Inputs!$B$29,IF(Skills!C8=3,120+Inputs!$B$27+Inputs!$B$29,MAX(0,(Inputs!$B$3-100)*3)+Inputs!$B$28+Inputs!$B$29)))</f>
        <v/>
      </c>
      <c r="E1263">
        <f>INDEX(FactorTable!$B$2:$Y$301, MATCH(ROUND(MIN(300,MAX(1,D1263)),0), FactorTable!$A$2:$A$301,0), Skills!L8+1)</f>
        <v/>
      </c>
      <c r="F1263">
        <f>IF(Skills!M8=TRUE,(Skills!K8/10)*(E1263/1000),Skills!K8/10)+Skills!N8</f>
        <v/>
      </c>
      <c r="G1263">
        <f>Calc!G8</f>
        <v/>
      </c>
      <c r="H1263">
        <f>Calc!H8</f>
        <v/>
      </c>
      <c r="I1263">
        <f>IF(Skills!T8&lt;&gt;"",1+(Skills!T8/10)*(Z1258/1000)/100,1)</f>
        <v/>
      </c>
      <c r="J1263">
        <f>((Inputs!$B$6*(1+Inputs!$B$7/100))+(((Inputs!$B$12*(1+Inputs!$B$13/100))-(Inputs!$B$12*(1+Inputs!$B$13/100)))+0.25*(Inputs!$B$14-Inputs!$B$14))*(1+Inputs!$B$7/100))*(F1263/100)</f>
        <v/>
      </c>
      <c r="K1263">
        <f>J1263*(1+((Inputs!$B$12*(1+Inputs!$B$13/100))*0.01+Inputs!$B$14*0.0025)/100)*(1+(Inputs!$B$15+B1283)/100)*(1+Inputs!$B$16/100)*(5000/(6000+Inputs!$B$42*(1-Inputs!$B$19/100)))*(1+Inputs!$B$24/100)*(1+IF(C1270=TRUE,F1270,0)/100)*(1+IF(C1278=TRUE,F1278,0)/100)^5*(1+(IF(Skills!A8="CHAIN_LIGHTNING",Inputs!$B$17,Inputs!$B$18))/100)*(B1281*I1263)</f>
        <v/>
      </c>
      <c r="L1263">
        <f>K1263*(MIN(Inputs!$B$22+(F1273-Calc!F18),Inputs!$B$23)/100+Inputs!$B$23/100)/2</f>
        <v/>
      </c>
      <c r="M1263">
        <f>L1263*(1+(Inputs!$B$10+(F1276-Calc!F21))/100)</f>
        <v/>
      </c>
      <c r="N1263">
        <f>L1263*(1-MIN(Inputs!$B$9+((F1275-Calc!F20)+(F1274-Calc!F19)),100)/100)+M1263*(MIN(Inputs!$B$9+((F1275-Calc!F20)+(F1274-Calc!F19)),100)/100)</f>
        <v/>
      </c>
      <c r="O1263">
        <f>(1-Summary!$B$51)*S1263+Summary!$B$51*U1263</f>
        <v/>
      </c>
      <c r="P1263">
        <f>IF(B1291=0,0,O1263/B1291)</f>
        <v/>
      </c>
      <c r="Q1263">
        <f>IFERROR(1/IF(Inputs!$B$38="pvp",15,MAX(0.1,Skills!D8-IF(Skills!E8=TRUE,3.5,0))),0)</f>
        <v/>
      </c>
      <c r="R1263">
        <f>IF(AND(Inputs!$B$38&lt;&gt;"pvp",Inputs!$B$43&gt;0),IF(MAX(0,Inputs!$B$43-B1288)&lt;=0,0,(INT(MAX(0,Inputs!$B$43-B1288)/IF(Inputs!$B$38="pvp",15,MAX(0.1,Skills!D8-IF(Skills!E8=TRUE,3.5,0))))+1)),0)</f>
        <v/>
      </c>
      <c r="S1263">
        <f>IF(C1263,(H1263*N1263*IF(AND(Inputs!$B$38&lt;&gt;"pvp",Inputs!$B$43&gt;0),((Skills!F8*((R1263-1)*IF(Skills!G8&gt;0,Skills!H8/Skills!G8,1)+IF(Skills!G8&gt;0,MIN(Skills!H8,MAX(0,MAX(0,Inputs!$B$43-B1288)-((R1263-1)*IF(Inputs!$B$38="pvp",15,MAX(0.1,Skills!D8-IF(Skills!E8=TRUE,3.5,0))))))/Skills!G8,1)))/Inputs!$B$43),G1263*Q1263))*IF(Inputs!$B$38="pvp",1,1+(Inputs!$B$20+Skills!O8+B1282)/100),0)</f>
        <v/>
      </c>
      <c r="U1263">
        <f>IF(C1263,(H1263*N1263*IF(AND(Inputs!$B$38&lt;&gt;"pvp",Inputs!$B$43&gt;0),((Skills!F8*((R1263-1)*IF(Skills!G8&gt;0,Skills!H8/Skills!G8,1)+IF(Skills!G8&gt;0,MIN(Skills!H8,MAX(0,MAX(0,Inputs!$B$43-B1288)-((R1263-1)*IF(Inputs!$B$38="pvp",15,MAX(0.1,Skills!D8-IF(Skills!E8=TRUE,3.5,0))))))/Skills!G8,1)))/Inputs!$B$43),G1263*Q1263))*IF(Inputs!$B$38="pvp",1,(1+(Inputs!$B$21+Skills!P8+B1282)/100)*(MIN(Skills!Q8,Inputs!$B$37))),0)</f>
        <v/>
      </c>
    </row>
    <row r="1264">
      <c r="A1264">
        <f>Skills!A9</f>
        <v/>
      </c>
      <c r="B1264">
        <f>Skills!B9</f>
        <v/>
      </c>
      <c r="C1264">
        <f>Inputs!$B$3&gt;=105</f>
        <v/>
      </c>
      <c r="D1264">
        <f>IF(Skills!C9=1,60+Inputs!$B$25+Inputs!$B$29,IF(Skills!C9=2,90+Inputs!$B$26+Inputs!$B$29,IF(Skills!C9=3,120+Inputs!$B$27+Inputs!$B$29,MAX(0,(Inputs!$B$3-100)*3)+Inputs!$B$28+Inputs!$B$29)))</f>
        <v/>
      </c>
      <c r="E1264">
        <f>INDEX(FactorTable!$B$2:$Y$301, MATCH(ROUND(MIN(300,MAX(1,D1264)),0), FactorTable!$A$2:$A$301,0), Skills!L9+1)</f>
        <v/>
      </c>
      <c r="F1264">
        <f>IF(Skills!M9=TRUE,(Skills!K9/10)*(E1264/1000),Skills!K9/10)+Skills!N9</f>
        <v/>
      </c>
      <c r="G1264">
        <f>Calc!G9</f>
        <v/>
      </c>
      <c r="H1264">
        <f>Calc!H9</f>
        <v/>
      </c>
      <c r="I1264">
        <f>IF(Skills!T9&lt;&gt;"",1+(Skills!T9/10)*(Z1258/1000)/100,1)</f>
        <v/>
      </c>
      <c r="J1264">
        <f>((Inputs!$B$6*(1+Inputs!$B$7/100))+(((Inputs!$B$12*(1+Inputs!$B$13/100))-(Inputs!$B$12*(1+Inputs!$B$13/100)))+0.25*(Inputs!$B$14-Inputs!$B$14))*(1+Inputs!$B$7/100))*(F1264/100)</f>
        <v/>
      </c>
      <c r="K1264">
        <f>J1264*(1+((Inputs!$B$12*(1+Inputs!$B$13/100))*0.01+Inputs!$B$14*0.0025)/100)*(1+(Inputs!$B$15+B1283)/100)*(1+Inputs!$B$16/100)*(5000/(6000+Inputs!$B$42*(1-Inputs!$B$19/100)))*(1+Inputs!$B$24/100)*(1+IF(C1270=TRUE,F1270,0)/100)*(1+IF(C1278=TRUE,F1278,0)/100)^5*(1+(IF(Skills!A9="CHAIN_LIGHTNING",Inputs!$B$17,Inputs!$B$18))/100)*(B1281*I1264)</f>
        <v/>
      </c>
      <c r="L1264">
        <f>K1264*(MIN(Inputs!$B$22+(F1273-Calc!F18),Inputs!$B$23)/100+Inputs!$B$23/100)/2</f>
        <v/>
      </c>
      <c r="M1264">
        <f>L1264*(1+(Inputs!$B$10+(F1276-Calc!F21))/100)</f>
        <v/>
      </c>
      <c r="N1264">
        <f>L1264*(1-MIN(Inputs!$B$9+((F1275-Calc!F20)+(F1274-Calc!F19)),100)/100)+M1264*(MIN(Inputs!$B$9+((F1275-Calc!F20)+(F1274-Calc!F19)),100)/100)</f>
        <v/>
      </c>
      <c r="O1264">
        <f>(1-Summary!$B$51)*S1264+Summary!$B$51*U1264</f>
        <v/>
      </c>
      <c r="P1264">
        <f>IF(B1291=0,0,O1264/B1291)</f>
        <v/>
      </c>
      <c r="Q1264">
        <f>IFERROR(1/IF(Inputs!$B$38="pvp",15,MAX(0.1,Skills!D9-IF(Skills!E9=TRUE,3.5,0))),0)</f>
        <v/>
      </c>
      <c r="R1264">
        <f>IF(AND(Inputs!$B$38&lt;&gt;"pvp",Inputs!$B$43&gt;0),IF(MAX(0,Inputs!$B$43-B1288)&lt;=0,0,(INT(MAX(0,Inputs!$B$43-B1288)/IF(Inputs!$B$38="pvp",15,MAX(0.1,Skills!D9-IF(Skills!E9=TRUE,3.5,0))))+1)),0)</f>
        <v/>
      </c>
      <c r="S1264">
        <f>IF(C1264,(H1264*N1264*IF(AND(Inputs!$B$38&lt;&gt;"pvp",Inputs!$B$43&gt;0),((Skills!F9*((R1264-1)*IF(Skills!G9&gt;0,Skills!H9/Skills!G9,1)+IF(Skills!G9&gt;0,MIN(Skills!H9,MAX(0,MAX(0,Inputs!$B$43-B1288)-((R1264-1)*IF(Inputs!$B$38="pvp",15,MAX(0.1,Skills!D9-IF(Skills!E9=TRUE,3.5,0))))))/Skills!G9,1)))/Inputs!$B$43),G1264*Q1264))*IF(Inputs!$B$38="pvp",1,1+(Inputs!$B$20+Skills!O9+B1282)/100),0)</f>
        <v/>
      </c>
      <c r="U1264">
        <f>IF(C1264,(H1264*N1264*IF(AND(Inputs!$B$38&lt;&gt;"pvp",Inputs!$B$43&gt;0),((Skills!F9*((R1264-1)*IF(Skills!G9&gt;0,Skills!H9/Skills!G9,1)+IF(Skills!G9&gt;0,MIN(Skills!H9,MAX(0,MAX(0,Inputs!$B$43-B1288)-((R1264-1)*IF(Inputs!$B$38="pvp",15,MAX(0.1,Skills!D9-IF(Skills!E9=TRUE,3.5,0))))))/Skills!G9,1)))/Inputs!$B$43),G1264*Q1264))*IF(Inputs!$B$38="pvp",1,(1+(Inputs!$B$21+Skills!P9+B1282)/100)*(MIN(Skills!Q9,Inputs!$B$37))),0)</f>
        <v/>
      </c>
    </row>
    <row r="1265">
      <c r="A1265">
        <f>Skills!A10</f>
        <v/>
      </c>
      <c r="B1265">
        <f>Skills!B10</f>
        <v/>
      </c>
      <c r="C1265">
        <f>Inputs!$B$3&gt;=113</f>
        <v/>
      </c>
      <c r="D1265">
        <f>IF(Skills!C10=1,60+Inputs!$B$25+Inputs!$B$29,IF(Skills!C10=2,90+Inputs!$B$26+Inputs!$B$29,IF(Skills!C10=3,120+Inputs!$B$27+Inputs!$B$29,MAX(0,(Inputs!$B$3-100)*3)+Inputs!$B$28+Inputs!$B$29)))</f>
        <v/>
      </c>
      <c r="E1265">
        <f>INDEX(FactorTable!$B$2:$Y$301, MATCH(ROUND(MIN(300,MAX(1,D1265)),0), FactorTable!$A$2:$A$301,0), Skills!L10+1)</f>
        <v/>
      </c>
      <c r="F1265">
        <f>IF(Skills!M10=TRUE,(Skills!K10/10)*(E1265/1000),Skills!K10/10)+Skills!N10</f>
        <v/>
      </c>
      <c r="G1265">
        <f>Calc!G10</f>
        <v/>
      </c>
      <c r="H1265">
        <f>Calc!H10</f>
        <v/>
      </c>
      <c r="I1265">
        <f>IF(Skills!T10&lt;&gt;"",1+(Skills!T10/10)*(Z1258/1000)/100,1)</f>
        <v/>
      </c>
      <c r="J1265">
        <f>((Inputs!$B$6*(1+Inputs!$B$7/100))+(((Inputs!$B$12*(1+Inputs!$B$13/100))-(Inputs!$B$12*(1+Inputs!$B$13/100)))+0.25*(Inputs!$B$14-Inputs!$B$14))*(1+Inputs!$B$7/100))*(F1265/100)</f>
        <v/>
      </c>
      <c r="K1265">
        <f>J1265*(1+((Inputs!$B$12*(1+Inputs!$B$13/100))*0.01+Inputs!$B$14*0.0025)/100)*(1+(Inputs!$B$15+B1283)/100)*(1+Inputs!$B$16/100)*(5000/(6000+Inputs!$B$42*(1-Inputs!$B$19/100)))*(1+Inputs!$B$24/100)*(1+IF(C1270=TRUE,F1270,0)/100)*(1+IF(C1278=TRUE,F1278,0)/100)^5*(1+(IF(Skills!A10="CHAIN_LIGHTNING",Inputs!$B$17,Inputs!$B$18))/100)*(B1281*I1265)</f>
        <v/>
      </c>
      <c r="L1265">
        <f>K1265*(MIN(Inputs!$B$22+(F1273-Calc!F18),Inputs!$B$23)/100+Inputs!$B$23/100)/2</f>
        <v/>
      </c>
      <c r="M1265">
        <f>L1265*(1+(Inputs!$B$10+(F1276-Calc!F21))/100)</f>
        <v/>
      </c>
      <c r="N1265">
        <f>L1265*(1-MIN(Inputs!$B$9+((F1275-Calc!F20)+(F1274-Calc!F19)),100)/100)+M1265*(MIN(Inputs!$B$9+((F1275-Calc!F20)+(F1274-Calc!F19)),100)/100)</f>
        <v/>
      </c>
      <c r="O1265">
        <f>(1-Summary!$B$51)*S1265+Summary!$B$51*U1265</f>
        <v/>
      </c>
      <c r="P1265">
        <f>IF(B1291=0,0,O1265/B1291)</f>
        <v/>
      </c>
      <c r="Q1265">
        <f>IFERROR(1/IF(Inputs!$B$38="pvp",15,MAX(0.1,Skills!D10-IF(Skills!E9=TRUE,3.5,0))),0)</f>
        <v/>
      </c>
      <c r="R1265">
        <f>IF(AND(Inputs!$B$38&lt;&gt;"pvp",Inputs!$B$43&gt;0),IF(MAX(0,Inputs!$B$43-B1288)&lt;=0,0,(INT(MAX(0,Inputs!$B$43-B1288)/IF(Inputs!$B$38="pvp",15,MAX(0.1,Skills!D10-IF(Skills!E9=TRUE,3.5,0))))+1)),0)</f>
        <v/>
      </c>
      <c r="S1265">
        <f>IF(C1265,(H1265*N1265*IF(AND(Inputs!$B$38&lt;&gt;"pvp",Inputs!$B$43&gt;0),((Skills!F10*((R1265-1)*IF(Skills!G10&gt;0,Skills!H10/Skills!G10,1)+IF(Skills!G10&gt;0,MIN(Skills!H10,MAX(0,MAX(0,Inputs!$B$43-B1288)-((R1265-1)*IF(Inputs!$B$38="pvp",15,MAX(0.1,Skills!D10-IF(Skills!E9=TRUE,3.5,0))))))/Skills!G10,1)))/Inputs!$B$43),G1265*Q1265))*IF(Inputs!$B$38="pvp",1,1+(Inputs!$B$20+Skills!O10+B1282)/100),0)</f>
        <v/>
      </c>
      <c r="U1265">
        <f>IF(C1265,(H1265*N1265*IF(AND(Inputs!$B$38&lt;&gt;"pvp",Inputs!$B$43&gt;0),((Skills!F10*((R1265-1)*IF(Skills!G10&gt;0,Skills!H10/Skills!G10,1)+IF(Skills!G10&gt;0,MIN(Skills!H10,MAX(0,MAX(0,Inputs!$B$43-B1288)-((R1265-1)*IF(Inputs!$B$38="pvp",15,MAX(0.1,Skills!D10-IF(Skills!E9=TRUE,3.5,0))))))/Skills!G10,1)))/Inputs!$B$43),G1265*Q1265))*IF(Inputs!$B$38="pvp",1,(1+(Inputs!$B$21+Skills!P10+B1282)/100)*(MIN(Skills!Q10,Inputs!$B$37))),0)</f>
        <v/>
      </c>
    </row>
    <row r="1266">
      <c r="A1266">
        <f>Skills!A11</f>
        <v/>
      </c>
      <c r="B1266">
        <f>Skills!B11</f>
        <v/>
      </c>
      <c r="C1266">
        <f>Inputs!$B$3&gt;=107</f>
        <v/>
      </c>
      <c r="D1266">
        <f>IF(Skills!C11=1,60+Inputs!$B$25+Inputs!$B$29,IF(Skills!C11=2,90+Inputs!$B$26+Inputs!$B$29,IF(Skills!C11=3,120+Inputs!$B$27+Inputs!$B$29,MAX(0,(Inputs!$B$3-100)*3)+Inputs!$B$28+Inputs!$B$29)))</f>
        <v/>
      </c>
      <c r="E1266">
        <f>INDEX(FactorTable!$B$2:$Y$301, MATCH(ROUND(MIN(300,MAX(1,D1266)),0), FactorTable!$A$2:$A$301,0), Skills!L11+1)</f>
        <v/>
      </c>
      <c r="F1266">
        <f>IF(Skills!M11=TRUE,(Skills!K11/10)*(E1266/1000),Skills!K11/10)+Skills!N11</f>
        <v/>
      </c>
      <c r="G1266">
        <f>Calc!G11</f>
        <v/>
      </c>
      <c r="H1266">
        <f>Calc!H11</f>
        <v/>
      </c>
      <c r="I1266">
        <f>IF(Skills!T11&lt;&gt;"",1+(Skills!T11/10)*(Z1258/1000)/100,1)</f>
        <v/>
      </c>
      <c r="J1266">
        <f>((Inputs!$B$6*(1+Inputs!$B$7/100))+(((Inputs!$B$12*(1+Inputs!$B$13/100))-(Inputs!$B$12*(1+Inputs!$B$13/100)))+0.25*(Inputs!$B$14-Inputs!$B$14))*(1+Inputs!$B$7/100))*(F1266/100)</f>
        <v/>
      </c>
      <c r="K1266">
        <f>J1266*(1+((Inputs!$B$12*(1+Inputs!$B$13/100))*0.01+Inputs!$B$14*0.0025)/100)*(1+(Inputs!$B$15+B1283)/100)*(1+Inputs!$B$16/100)*(5000/(6000+Inputs!$B$42*(1-Inputs!$B$19/100)))*(1+Inputs!$B$24/100)*(1+IF(C1270=TRUE,F1270,0)/100)*(1+IF(C1278=TRUE,F1278,0)/100)^5*(1+(IF(Skills!A11="CHAIN_LIGHTNING",Inputs!$B$17,Inputs!$B$18))/100)*(B1281*I1266)</f>
        <v/>
      </c>
      <c r="L1266">
        <f>K1266*(MIN(Inputs!$B$22+(F1273-Calc!F18),Inputs!$B$23)/100+Inputs!$B$23/100)/2</f>
        <v/>
      </c>
      <c r="M1266">
        <f>L1266*(1+(Inputs!$B$10+(F1276-Calc!F21))/100)</f>
        <v/>
      </c>
      <c r="N1266">
        <f>L1266*(1-MIN(Inputs!$B$9+((F1275-Calc!F20)+(F1274-Calc!F19)),100)/100)+M1266*(MIN(Inputs!$B$9+((F1275-Calc!F20)+(F1274-Calc!F19)),100)/100)</f>
        <v/>
      </c>
      <c r="O1266">
        <f>(1-Summary!$B$51)*S1266+Summary!$B$51*U1266</f>
        <v/>
      </c>
      <c r="P1266">
        <f>IF(B1291=0,0,O1266/B1291)</f>
        <v/>
      </c>
      <c r="Q1266">
        <f>IFERROR(1/IF(Inputs!$B$38="pvp",15,MAX(0.1,Skills!D11-IF(Skills!E11=TRUE,3.5,0))),0)</f>
        <v/>
      </c>
      <c r="R1266">
        <f>IF(AND(Inputs!$B$38&lt;&gt;"pvp",Inputs!$B$43&gt;0),IF(MAX(0,Inputs!$B$43-B1288)&lt;=0,0,(INT(MAX(0,Inputs!$B$43-B1288)/IF(Inputs!$B$38="pvp",15,MAX(0.1,Skills!D11-IF(Skills!E11=TRUE,3.5,0))))+1)),0)</f>
        <v/>
      </c>
      <c r="S1266">
        <f>IF(C1266,H1266*N1266*IF(AND(Inputs!$B$38&lt;&gt;"pvp",Inputs!$B$43&gt;0),((Skills!F11*((R1266-1)*IF(Skills!G11&gt;0,Skills!H11/Skills!G11,1)+IF(Skills!G11&gt;0,MIN(Skills!H11,MAX(0,MAX(0,Inputs!$B$43-B1288)-((R1266-1)*IF(Inputs!$B$38="pvp",15,MAX(0.1,Skills!D11-IF(Skills!E11=TRUE,3.5,0))))))/Skills!G11,1)))/Inputs!$B$43),G1266*Q1266)*0.5*IF(Inputs!$B$38="pvp",1,1+(Inputs!$B$20+Skills!O11+B1282)/100),0)</f>
        <v/>
      </c>
      <c r="U1266">
        <f>IF(C1266,H1266*N1266*IF(AND(Inputs!$B$38&lt;&gt;"pvp",Inputs!$B$43&gt;0),((Skills!F11*((R1266-1)*IF(Skills!G11&gt;0,Skills!H11/Skills!G11,1)+IF(Skills!G11&gt;0,MIN(Skills!H11,MAX(0,MAX(0,Inputs!$B$43-B1288)-((R1266-1)*IF(Inputs!$B$38="pvp",15,MAX(0.1,Skills!D11-IF(Skills!E11=TRUE,3.5,0))))))/Skills!G11,1)))/Inputs!$B$43),G1266*Q1266)*1*IF(Inputs!$B$38="pvp",1,(1+(Inputs!$B$21+Skills!P11+B1282)/100)*(MIN(Skills!Q11,Inputs!$B$37))),0)</f>
        <v/>
      </c>
    </row>
    <row r="1267">
      <c r="A1267">
        <f>Skills!A12</f>
        <v/>
      </c>
      <c r="B1267">
        <f>Skills!B12</f>
        <v/>
      </c>
      <c r="C1267">
        <f>Inputs!$B$3&gt;=115</f>
        <v/>
      </c>
      <c r="D1267">
        <f>IF(Skills!C12=1,60+Inputs!$B$25+Inputs!$B$29,IF(Skills!C12=2,90+Inputs!$B$26+Inputs!$B$29,IF(Skills!C12=3,120+Inputs!$B$27+Inputs!$B$29,MAX(0,(Inputs!$B$3-100)*3)+Inputs!$B$28+Inputs!$B$29)))</f>
        <v/>
      </c>
      <c r="E1267">
        <f>INDEX(FactorTable!$B$2:$Y$301, MATCH(ROUND(MIN(300,MAX(1,D1267)),0), FactorTable!$A$2:$A$301,0), Skills!L12+1)</f>
        <v/>
      </c>
      <c r="F1267">
        <f>IF(Skills!M12=TRUE,(Skills!K12/10)*(E1267/1000),Skills!K12/10)+Skills!N12</f>
        <v/>
      </c>
      <c r="G1267">
        <f>Calc!G12</f>
        <v/>
      </c>
      <c r="H1267">
        <f>Calc!H12</f>
        <v/>
      </c>
      <c r="I1267">
        <f>IF(Skills!T12&lt;&gt;"",1+(Skills!T12/10)*(Z1258/1000)/100,1)</f>
        <v/>
      </c>
      <c r="J1267">
        <f>((Inputs!$B$6*(1+Inputs!$B$7/100))+(((Inputs!$B$12*(1+Inputs!$B$13/100))-(Inputs!$B$12*(1+Inputs!$B$13/100)))+0.25*(Inputs!$B$14-Inputs!$B$14))*(1+Inputs!$B$7/100))*(F1267/100)</f>
        <v/>
      </c>
      <c r="K1267">
        <f>J1267*(1+((Inputs!$B$12*(1+Inputs!$B$13/100))*0.01+Inputs!$B$14*0.0025)/100)*(1+(Inputs!$B$15+B1283)/100)*(1+Inputs!$B$16/100)*(5000/(6000+Inputs!$B$42*(1-Inputs!$B$19/100)))*(1+Inputs!$B$24/100)*(1+IF(C1270=TRUE,F1270,0)/100)*(1+IF(C1278=TRUE,F1278,0)/100)^5*(1+(IF(Skills!A12="CHAIN_LIGHTNING",Inputs!$B$17,Inputs!$B$18))/100)*(B1281*I1267)</f>
        <v/>
      </c>
      <c r="L1267">
        <f>K1267*(MIN(Inputs!$B$22+(F1273-Calc!F18),Inputs!$B$23)/100+Inputs!$B$23/100)/2</f>
        <v/>
      </c>
      <c r="M1267">
        <f>L1267*(1+(Inputs!$B$10+(F1276-Calc!F21))/100)</f>
        <v/>
      </c>
      <c r="N1267">
        <f>L1267*(1-MIN(Inputs!$B$9+((F1275-Calc!F20)+(F1274-Calc!F19)),100)/100)+M1267*(MIN(Inputs!$B$9+((F1275-Calc!F20)+(F1274-Calc!F19)),100)/100)</f>
        <v/>
      </c>
      <c r="O1267">
        <f>(1-Summary!$B$51)*S1267+Summary!$B$51*U1267</f>
        <v/>
      </c>
      <c r="P1267">
        <f>IF(B1291=0,0,O1267/B1291)</f>
        <v/>
      </c>
      <c r="Q1267">
        <f>IFERROR(1/IF(Inputs!$B$38="pvp",15,MAX(0.1,Skills!D12-IF(Skills!E12=TRUE,3.5,0))),0)</f>
        <v/>
      </c>
      <c r="R1267">
        <f>IF(AND(Inputs!$B$38&lt;&gt;"pvp",Inputs!$B$43&gt;0),IF(MAX(0,Inputs!$B$43-B1288)&lt;=0,0,(INT(MAX(0,Inputs!$B$43-B1288)/IF(Inputs!$B$38="pvp",15,MAX(0.1,Skills!D12-IF(Skills!E12=TRUE,3.5,0))))+1)),0)</f>
        <v/>
      </c>
      <c r="S1267">
        <f>IF(C1267,(H1267*N1267*IF(AND(Inputs!$B$38&lt;&gt;"pvp",Inputs!$B$43&gt;0),((Skills!F12*((R1267-1)*IF(Skills!G12&gt;0,Skills!H12/Skills!G12,1)+IF(Skills!G12&gt;0,MIN(Skills!H12,MAX(0,MAX(0,Inputs!$B$43-B1288)-((R1267-1)*IF(Inputs!$B$38="pvp",15,MAX(0.1,Skills!D12-IF(Skills!E12=TRUE,3.5,0))))))/Skills!G12,1)))/Inputs!$B$43),G1267*Q1267))*IF(Inputs!$B$38="pvp",1,1+(Inputs!$B$20+Skills!O12+B1282)/100),0)</f>
        <v/>
      </c>
      <c r="U1267">
        <f>IF(C1267,(H1267*N1267*IF(AND(Inputs!$B$38&lt;&gt;"pvp",Inputs!$B$43&gt;0),((Skills!F12*((R1267-1)*IF(Skills!G12&gt;0,Skills!H12/Skills!G12,1)+IF(Skills!G12&gt;0,MIN(Skills!H12,MAX(0,MAX(0,Inputs!$B$43-B1288)-((R1267-1)*IF(Inputs!$B$38="pvp",15,MAX(0.1,Skills!D12-IF(Skills!E12=TRUE,3.5,0))))))/Skills!G12,1)))/Inputs!$B$43),G1267*Q1267))*IF(Inputs!$B$38="pvp",1,(1+(Inputs!$B$21+Skills!P12+B1282)/100)*(MIN(Skills!Q12,Inputs!$B$37))),0)</f>
        <v/>
      </c>
    </row>
    <row r="1268">
      <c r="A1268">
        <f>Skills!A13</f>
        <v/>
      </c>
      <c r="B1268">
        <f>Skills!B13</f>
        <v/>
      </c>
      <c r="C1268">
        <f>Inputs!$B$3&gt;=49</f>
        <v/>
      </c>
      <c r="D1268">
        <f>IF(Skills!C13=1,60+Inputs!$B$25+Inputs!$B$29,IF(Skills!C13=2,90+Inputs!$B$26+Inputs!$B$29,IF(Skills!C13=3,120+Inputs!$B$27+Inputs!$B$29,MAX(0,(Inputs!$B$3-100)*3)+Inputs!$B$28+Inputs!$B$29)))</f>
        <v/>
      </c>
      <c r="E1268">
        <f>INDEX(FactorTable!$B$2:$Y$301, MATCH(ROUND(MIN(300,MAX(1,D1268)),0), FactorTable!$A$2:$A$301,0), Skills!L13+1)</f>
        <v/>
      </c>
      <c r="F1268">
        <f>IF(Skills!M13=TRUE,(Skills!K13/10)*(E1268/1000),Skills!K13/10)+Skills!N13</f>
        <v/>
      </c>
      <c r="G1268">
        <f>Calc!G13</f>
        <v/>
      </c>
      <c r="H1268">
        <f>Calc!H13</f>
        <v/>
      </c>
      <c r="I1268">
        <f>IF(Skills!T13&lt;&gt;"",1+(Skills!T13/10)*(Z1258/1000)/100,1)</f>
        <v/>
      </c>
      <c r="J1268" t="inlineStr"/>
      <c r="K1268" t="inlineStr"/>
      <c r="L1268" t="inlineStr"/>
      <c r="M1268" t="inlineStr"/>
      <c r="N1268" t="inlineStr"/>
      <c r="O1268">
        <f>(1-Summary!$B$51)*S1268+Summary!$B$51*U1268</f>
        <v/>
      </c>
      <c r="P1268">
        <f>IF(B1291=0,0,O1268/B1291)</f>
        <v/>
      </c>
      <c r="Q1268">
        <f>IFERROR(1/IF(Inputs!$B$38="pvp",15,MAX(0.1,Skills!D13-IF(Skills!E13=TRUE,3.5,0))),0)</f>
        <v/>
      </c>
      <c r="R1268" t="n">
        <v>0</v>
      </c>
      <c r="S1268" t="n">
        <v>0</v>
      </c>
      <c r="U1268" t="n">
        <v>0</v>
      </c>
    </row>
    <row r="1269">
      <c r="A1269">
        <f>Skills!A14</f>
        <v/>
      </c>
      <c r="B1269">
        <f>Skills!B14</f>
        <v/>
      </c>
      <c r="C1269">
        <f>Inputs!$B$3&gt;=72</f>
        <v/>
      </c>
      <c r="D1269">
        <f>IF(Skills!C14=1,60+Inputs!$B$25+Inputs!$B$29,IF(Skills!C14=2,90+Inputs!$B$26+Inputs!$B$29,IF(Skills!C14=3,120+Inputs!$B$27+Inputs!$B$29,MAX(0,(Inputs!$B$3-100)*3)+Inputs!$B$28+Inputs!$B$29)))</f>
        <v/>
      </c>
      <c r="E1269">
        <f>INDEX(FactorTable!$B$2:$Y$301, MATCH(ROUND(MIN(300,MAX(1,D1269)),0), FactorTable!$A$2:$A$301,0), Skills!L14+1)</f>
        <v/>
      </c>
      <c r="F1269">
        <f>IF(Skills!M14=TRUE,(Skills!K14/10)*(E1269/1000),Skills!K14/10)+Skills!N14</f>
        <v/>
      </c>
      <c r="G1269">
        <f>Calc!G14</f>
        <v/>
      </c>
      <c r="H1269">
        <f>Calc!H14</f>
        <v/>
      </c>
      <c r="I1269">
        <f>IF(Skills!T14&lt;&gt;"",1+(Skills!T14/10)*(Z1258/1000)/100,1)</f>
        <v/>
      </c>
      <c r="J1269" t="inlineStr"/>
      <c r="K1269" t="inlineStr"/>
      <c r="L1269" t="inlineStr"/>
      <c r="M1269" t="inlineStr"/>
      <c r="N1269" t="inlineStr"/>
      <c r="O1269">
        <f>(1-Summary!$B$51)*S1269+Summary!$B$51*U1269</f>
        <v/>
      </c>
      <c r="P1269">
        <f>IF(B1291=0,0,O1269/B1291)</f>
        <v/>
      </c>
      <c r="Q1269">
        <f>IFERROR(1/IF(Inputs!$B$38="pvp",15,MAX(0.1,Skills!D14-IF(Skills!E14=TRUE,3.5,0))),0)</f>
        <v/>
      </c>
      <c r="R1269" t="n">
        <v>0</v>
      </c>
      <c r="S1269" t="n">
        <v>0</v>
      </c>
      <c r="U1269" t="n">
        <v>0</v>
      </c>
    </row>
    <row r="1270">
      <c r="A1270">
        <f>Skills!A15</f>
        <v/>
      </c>
      <c r="B1270">
        <f>Skills!B15</f>
        <v/>
      </c>
      <c r="C1270">
        <f>Inputs!$B$3&gt;=75</f>
        <v/>
      </c>
      <c r="D1270">
        <f>IF(Skills!C15=1,60+Inputs!$B$25+Inputs!$B$29,IF(Skills!C15=2,90+Inputs!$B$26+Inputs!$B$29,IF(Skills!C15=3,120+Inputs!$B$27+Inputs!$B$29,MAX(0,(Inputs!$B$3-100)*3)+Inputs!$B$28+Inputs!$B$29)))</f>
        <v/>
      </c>
      <c r="E1270">
        <f>INDEX(FactorTable!$B$2:$Y$301, MATCH(ROUND(MIN(300,MAX(1,D1270)),0), FactorTable!$A$2:$A$301,0), Skills!L15+1)</f>
        <v/>
      </c>
      <c r="F1270">
        <f>IF(Skills!M15=TRUE,(Skills!K15/10)*(E1270/1000),Skills!K15/10)+Skills!N15</f>
        <v/>
      </c>
      <c r="G1270">
        <f>Calc!G15</f>
        <v/>
      </c>
      <c r="H1270">
        <f>Calc!H15</f>
        <v/>
      </c>
      <c r="I1270">
        <f>IF(Skills!T15&lt;&gt;"",1+(Skills!T15/10)*(Z1258/1000)/100,1)</f>
        <v/>
      </c>
      <c r="J1270" t="inlineStr"/>
      <c r="K1270" t="inlineStr"/>
      <c r="L1270" t="inlineStr"/>
      <c r="M1270" t="inlineStr"/>
      <c r="N1270" t="inlineStr"/>
      <c r="O1270">
        <f>(1-Summary!$B$51)*S1270+Summary!$B$51*U1270</f>
        <v/>
      </c>
      <c r="P1270">
        <f>IF(B1291=0,0,O1270/B1291)</f>
        <v/>
      </c>
      <c r="Q1270">
        <f>IFERROR(1/IF(Inputs!$B$38="pvp",15,MAX(0.1,Skills!D15-IF(Skills!E15=TRUE,3.5,0))),0)</f>
        <v/>
      </c>
      <c r="R1270" t="n">
        <v>0</v>
      </c>
      <c r="S1270" t="n">
        <v>0</v>
      </c>
      <c r="U1270" t="n">
        <v>0</v>
      </c>
    </row>
    <row r="1271">
      <c r="A1271">
        <f>Skills!A16</f>
        <v/>
      </c>
      <c r="B1271">
        <f>Skills!B16</f>
        <v/>
      </c>
      <c r="C1271">
        <f>Inputs!$B$3&gt;=110</f>
        <v/>
      </c>
      <c r="D1271">
        <f>IF(Skills!C16=1,60+Inputs!$B$25+Inputs!$B$29,IF(Skills!C16=2,90+Inputs!$B$26+Inputs!$B$29,IF(Skills!C16=3,120+Inputs!$B$27+Inputs!$B$29,MAX(0,(Inputs!$B$3-100)*3)+Inputs!$B$28+Inputs!$B$29)))</f>
        <v/>
      </c>
      <c r="E1271">
        <f>INDEX(FactorTable!$B$2:$Y$301, MATCH(ROUND(MIN(300,MAX(1,D1271)),0), FactorTable!$A$2:$A$301,0), Skills!L16+1)</f>
        <v/>
      </c>
      <c r="F1271">
        <f>(Skills!K16/10)*(E1271/1000)*64/45+Skills!N16</f>
        <v/>
      </c>
      <c r="G1271">
        <f>Calc!G16</f>
        <v/>
      </c>
      <c r="H1271">
        <f>Calc!H16</f>
        <v/>
      </c>
      <c r="I1271">
        <f>IF(Skills!T16&lt;&gt;"",1+(Skills!T16/10)*(Z1258/1000)/100,1)</f>
        <v/>
      </c>
      <c r="J1271" t="inlineStr"/>
      <c r="K1271" t="inlineStr"/>
      <c r="L1271" t="inlineStr"/>
      <c r="M1271" t="inlineStr"/>
      <c r="N1271" t="inlineStr"/>
      <c r="O1271">
        <f>(1-Summary!$B$51)*S1271+Summary!$B$51*U1271</f>
        <v/>
      </c>
      <c r="P1271">
        <f>IF(B1291=0,0,O1271/B1291)</f>
        <v/>
      </c>
      <c r="Q1271">
        <f>IFERROR(1/IF(Inputs!$B$38="pvp",15,MAX(0.1,Skills!D16-IF(Skills!E16=TRUE,3.5,0))),0)</f>
        <v/>
      </c>
      <c r="R1271">
        <f>IF(AND(Inputs!$B$38&lt;&gt;"pvp",Inputs!$B$43&gt;0),IF(Inputs!$B$43&lt;=0,0,(INT(Inputs!$B$43/IF(Inputs!$B$38="pvp",15,MAX(0.1,Skills!D16-IF(Skills!E16=TRUE,3.5,0))))+1)),0)</f>
        <v/>
      </c>
      <c r="S1271" t="n">
        <v>0</v>
      </c>
      <c r="U1271" t="n">
        <v>0</v>
      </c>
    </row>
    <row r="1272">
      <c r="A1272">
        <f>Skills!A17</f>
        <v/>
      </c>
      <c r="B1272">
        <f>Skills!B17</f>
        <v/>
      </c>
      <c r="C1272">
        <f>Inputs!$B$3&gt;=33</f>
        <v/>
      </c>
      <c r="D1272">
        <f>IF(Skills!C17=1,60+Inputs!$B$25+Inputs!$B$29,IF(Skills!C17=2,90+Inputs!$B$26+Inputs!$B$29,IF(Skills!C17=3,120+Inputs!$B$27+Inputs!$B$29,MAX(0,(Inputs!$B$3-100)*3)+Inputs!$B$28+Inputs!$B$29)))</f>
        <v/>
      </c>
      <c r="E1272">
        <f>INDEX(FactorTable!$B$2:$Y$301, MATCH(ROUND(MIN(300,MAX(1,D1272)),0), FactorTable!$A$2:$A$301,0), Skills!L17+1)</f>
        <v/>
      </c>
      <c r="F1272">
        <f>IF(Skills!M17=TRUE,(Skills!K17/10)*(E1272/1000),Skills!K17/10)+Skills!N17</f>
        <v/>
      </c>
      <c r="G1272">
        <f>Calc!G17</f>
        <v/>
      </c>
      <c r="H1272">
        <f>Calc!H17</f>
        <v/>
      </c>
      <c r="I1272">
        <f>IF(Skills!T17&lt;&gt;"",1+(Skills!T17/10)*(Z1258/1000)/100,1)</f>
        <v/>
      </c>
      <c r="J1272" t="inlineStr"/>
      <c r="K1272" t="inlineStr"/>
      <c r="L1272" t="inlineStr"/>
      <c r="M1272" t="inlineStr"/>
      <c r="N1272" t="inlineStr"/>
      <c r="O1272">
        <f>(1-Summary!$B$51)*S1272+Summary!$B$51*U1272</f>
        <v/>
      </c>
      <c r="P1272">
        <f>IF(B1291=0,0,O1272/B1291)</f>
        <v/>
      </c>
      <c r="Q1272">
        <f>IFERROR(1/IF(Inputs!$B$38="pvp",15,MAX(0.1,Skills!D17-IF(Skills!E17=TRUE,3.5,0))),0)</f>
        <v/>
      </c>
      <c r="R1272" t="n">
        <v>0</v>
      </c>
      <c r="S1272" t="n">
        <v>0</v>
      </c>
      <c r="U1272" t="n">
        <v>0</v>
      </c>
    </row>
    <row r="1273">
      <c r="A1273">
        <f>Skills!A18</f>
        <v/>
      </c>
      <c r="B1273">
        <f>Skills!B18</f>
        <v/>
      </c>
      <c r="C1273">
        <f>Inputs!$B$3&gt;=43</f>
        <v/>
      </c>
      <c r="D1273">
        <f>IF(Skills!C18=1,60+Inputs!$B$25+Inputs!$B$29,IF(Skills!C18=2,90+Inputs!$B$26+Inputs!$B$29,IF(Skills!C18=3,120+Inputs!$B$27+Inputs!$B$29,MAX(0,(Inputs!$B$3-100)*3)+Inputs!$B$28+Inputs!$B$29)))</f>
        <v/>
      </c>
      <c r="E1273">
        <f>INDEX(FactorTable!$B$2:$Y$301, MATCH(ROUND(MIN(300,MAX(1,D1273)),0), FactorTable!$A$2:$A$301,0), Skills!L18+1)</f>
        <v/>
      </c>
      <c r="F1273">
        <f>IF(Skills!M18=TRUE,(Skills!K18/10)*(E1273/1000),Skills!K18/10)+Skills!N18</f>
        <v/>
      </c>
      <c r="G1273">
        <f>Calc!G18</f>
        <v/>
      </c>
      <c r="H1273">
        <f>Calc!H18</f>
        <v/>
      </c>
      <c r="I1273">
        <f>IF(Skills!T18&lt;&gt;"",1+(Skills!T18/10)*(Z1258/1000)/100,1)</f>
        <v/>
      </c>
      <c r="J1273" t="inlineStr"/>
      <c r="K1273" t="inlineStr"/>
      <c r="L1273" t="inlineStr"/>
      <c r="M1273" t="inlineStr"/>
      <c r="N1273" t="inlineStr"/>
      <c r="O1273">
        <f>(1-Summary!$B$51)*S1273+Summary!$B$51*U1273</f>
        <v/>
      </c>
      <c r="P1273">
        <f>IF(B1291=0,0,O1273/B1291)</f>
        <v/>
      </c>
      <c r="Q1273">
        <f>IFERROR(1/IF(Inputs!$B$38="pvp",15,MAX(0.1,Skills!D18-IF(Skills!E18=TRUE,3.5,0))),0)</f>
        <v/>
      </c>
      <c r="R1273" t="n">
        <v>0</v>
      </c>
      <c r="S1273" t="n">
        <v>0</v>
      </c>
      <c r="U1273" t="n">
        <v>0</v>
      </c>
    </row>
    <row r="1274">
      <c r="A1274">
        <f>Skills!A19</f>
        <v/>
      </c>
      <c r="B1274">
        <f>Skills!B19</f>
        <v/>
      </c>
      <c r="C1274">
        <f>Inputs!$B$3&gt;=50</f>
        <v/>
      </c>
      <c r="D1274">
        <f>IF(Skills!C19=1,60+Inputs!$B$25+Inputs!$B$29,IF(Skills!C19=2,90+Inputs!$B$26+Inputs!$B$29,IF(Skills!C19=3,120+Inputs!$B$27+Inputs!$B$29,MAX(0,(Inputs!$B$3-100)*3)+Inputs!$B$28+Inputs!$B$29)))</f>
        <v/>
      </c>
      <c r="E1274">
        <f>INDEX(FactorTable!$B$2:$Y$301, MATCH(ROUND(MIN(300,MAX(1,D1274)),0), FactorTable!$A$2:$A$301,0), Skills!L19+1)</f>
        <v/>
      </c>
      <c r="F1274">
        <f>IF(Skills!M19=TRUE,(Skills!K19/10)*(E1274/1000),Skills!K19/10)+Skills!N19</f>
        <v/>
      </c>
      <c r="G1274">
        <f>Calc!G19</f>
        <v/>
      </c>
      <c r="H1274">
        <f>Calc!H19</f>
        <v/>
      </c>
      <c r="I1274">
        <f>IF(Skills!T19&lt;&gt;"",1+(Skills!T19/10)*(Z1258/1000)/100,1)</f>
        <v/>
      </c>
      <c r="J1274" t="inlineStr"/>
      <c r="K1274" t="inlineStr"/>
      <c r="L1274" t="inlineStr"/>
      <c r="M1274" t="inlineStr"/>
      <c r="N1274" t="inlineStr"/>
      <c r="O1274">
        <f>(1-Summary!$B$51)*S1274+Summary!$B$51*U1274</f>
        <v/>
      </c>
      <c r="P1274">
        <f>IF(B1291=0,0,O1274/B1291)</f>
        <v/>
      </c>
      <c r="Q1274">
        <f>IFERROR(1/IF(Inputs!$B$38="pvp",15,MAX(0.1,Skills!D19-IF(Skills!E19=TRUE,3.5,0))),0)</f>
        <v/>
      </c>
      <c r="R1274" t="n">
        <v>0</v>
      </c>
      <c r="S1274" t="n">
        <v>0</v>
      </c>
      <c r="U1274" t="n">
        <v>0</v>
      </c>
    </row>
    <row r="1275">
      <c r="A1275">
        <f>Skills!A20</f>
        <v/>
      </c>
      <c r="B1275">
        <f>Skills!B20</f>
        <v/>
      </c>
      <c r="C1275">
        <f>Inputs!$B$3&gt;=74</f>
        <v/>
      </c>
      <c r="D1275">
        <f>IF(Skills!C20=1,60+Inputs!$B$25+Inputs!$B$29,IF(Skills!C20=2,90+Inputs!$B$26+Inputs!$B$29,IF(Skills!C20=3,120+Inputs!$B$27+Inputs!$B$29,MAX(0,(Inputs!$B$3-100)*3)+Inputs!$B$28+Inputs!$B$29)))</f>
        <v/>
      </c>
      <c r="E1275">
        <f>INDEX(FactorTable!$B$2:$Y$301, MATCH(ROUND(MIN(300,MAX(1,D1275)),0), FactorTable!$A$2:$A$301,0), Skills!L20+1)</f>
        <v/>
      </c>
      <c r="F1275">
        <f>IF(Skills!M20=TRUE,(Skills!K20/10)*(E1275/1000),Skills!K20/10)+Skills!N20</f>
        <v/>
      </c>
      <c r="G1275">
        <f>Calc!G20</f>
        <v/>
      </c>
      <c r="H1275">
        <f>Calc!H20</f>
        <v/>
      </c>
      <c r="I1275">
        <f>IF(Skills!T20&lt;&gt;"",1+(Skills!T20/10)*(Z1258/1000)/100,1)</f>
        <v/>
      </c>
      <c r="J1275" t="inlineStr"/>
      <c r="K1275" t="inlineStr"/>
      <c r="L1275" t="inlineStr"/>
      <c r="M1275" t="inlineStr"/>
      <c r="N1275" t="inlineStr"/>
      <c r="O1275">
        <f>(1-Summary!$B$51)*S1275+Summary!$B$51*U1275</f>
        <v/>
      </c>
      <c r="P1275">
        <f>IF(B1291=0,0,O1275/B1291)</f>
        <v/>
      </c>
      <c r="Q1275">
        <f>IFERROR(1/IF(Inputs!$B$38="pvp",15,MAX(0.1,Skills!D20-IF(Skills!E20=TRUE,3.5,0))),0)</f>
        <v/>
      </c>
      <c r="R1275" t="n">
        <v>0</v>
      </c>
      <c r="S1275" t="n">
        <v>0</v>
      </c>
      <c r="U1275" t="n">
        <v>0</v>
      </c>
    </row>
    <row r="1276">
      <c r="A1276">
        <f>Skills!A21</f>
        <v/>
      </c>
      <c r="B1276">
        <f>Skills!B21</f>
        <v/>
      </c>
      <c r="C1276">
        <f>Inputs!$B$3&gt;=74</f>
        <v/>
      </c>
      <c r="D1276">
        <f>IF(Skills!C21=1,60+Inputs!$B$25+Inputs!$B$29,IF(Skills!C21=2,90+Inputs!$B$26+Inputs!$B$29,IF(Skills!C21=3,120+Inputs!$B$27+Inputs!$B$29,MAX(0,(Inputs!$B$3-100)*3)+Inputs!$B$28+Inputs!$B$29)))</f>
        <v/>
      </c>
      <c r="E1276">
        <f>INDEX(FactorTable!$B$2:$Y$301, MATCH(ROUND(MIN(300,MAX(1,D1276)),0), FactorTable!$A$2:$A$301,0), Skills!L21+1)</f>
        <v/>
      </c>
      <c r="F1276">
        <f>IF(Skills!M21=TRUE,(Skills!K21/10)*(E1276/1000),Skills!K21/10)+Skills!N21</f>
        <v/>
      </c>
      <c r="G1276">
        <f>Calc!G21</f>
        <v/>
      </c>
      <c r="H1276">
        <f>Calc!H21</f>
        <v/>
      </c>
      <c r="I1276">
        <f>IF(Skills!T21&lt;&gt;"",1+(Skills!T21/10)*(Z1258/1000)/100,1)</f>
        <v/>
      </c>
      <c r="J1276" t="inlineStr"/>
      <c r="K1276" t="inlineStr"/>
      <c r="L1276" t="inlineStr"/>
      <c r="M1276" t="inlineStr"/>
      <c r="N1276" t="inlineStr"/>
      <c r="O1276">
        <f>(1-Summary!$B$51)*S1276+Summary!$B$51*U1276</f>
        <v/>
      </c>
      <c r="P1276">
        <f>IF(B1291=0,0,O1276/B1291)</f>
        <v/>
      </c>
      <c r="Q1276">
        <f>IFERROR(1/IF(Inputs!$B$38="pvp",15,MAX(0.1,Skills!D21-IF(Skills!E21=TRUE,3.5,0))),0)</f>
        <v/>
      </c>
      <c r="R1276" t="n">
        <v>0</v>
      </c>
      <c r="S1276" t="n">
        <v>0</v>
      </c>
      <c r="U1276" t="n">
        <v>0</v>
      </c>
    </row>
    <row r="1277">
      <c r="A1277">
        <f>Skills!A22</f>
        <v/>
      </c>
      <c r="B1277">
        <f>Skills!B22</f>
        <v/>
      </c>
      <c r="C1277">
        <f>Inputs!$B$3&gt;=117</f>
        <v/>
      </c>
      <c r="D1277">
        <f>IF(Skills!C22=1,60+Inputs!$B$25+Inputs!$B$29,IF(Skills!C22=2,90+Inputs!$B$26+Inputs!$B$29,IF(Skills!C22=3,120+Inputs!$B$27+Inputs!$B$29,MAX(0,(Inputs!$B$3-100)*3)+Inputs!$B$28+Inputs!$B$29)))</f>
        <v/>
      </c>
      <c r="E1277">
        <f>INDEX(FactorTable!$B$2:$Y$301, MATCH(ROUND(MIN(300,MAX(1,D1277)),0), FactorTable!$A$2:$A$301,0), Skills!L22+1)</f>
        <v/>
      </c>
      <c r="F1277">
        <f>IF(Skills!M22=TRUE,(Skills!K22/10)*(E1277/1000),Skills!K22/10)+Skills!N22</f>
        <v/>
      </c>
      <c r="G1277">
        <f>Calc!G22</f>
        <v/>
      </c>
      <c r="H1277">
        <f>Calc!H22</f>
        <v/>
      </c>
      <c r="I1277">
        <f>IF(Skills!T22&lt;&gt;"",1+(Skills!T22/10)*(Z1258/1000)/100,1)</f>
        <v/>
      </c>
      <c r="J1277" t="inlineStr"/>
      <c r="K1277" t="inlineStr"/>
      <c r="L1277" t="inlineStr"/>
      <c r="M1277" t="inlineStr"/>
      <c r="N1277" t="inlineStr"/>
      <c r="O1277">
        <f>(1-Summary!$B$51)*S1277+Summary!$B$51*U1277</f>
        <v/>
      </c>
      <c r="P1277">
        <f>IF(B1291=0,0,O1277/B1291)</f>
        <v/>
      </c>
      <c r="Q1277">
        <f>IFERROR(1/IF(Inputs!$B$38="pvp",15,MAX(0.1,Skills!D22-IF(Skills!E22=TRUE,3.5,0))),0)</f>
        <v/>
      </c>
      <c r="R1277" t="n">
        <v>0</v>
      </c>
      <c r="S1277" t="n">
        <v>0</v>
      </c>
      <c r="U1277" t="n">
        <v>0</v>
      </c>
    </row>
    <row r="1278">
      <c r="A1278">
        <f>Skills!A23</f>
        <v/>
      </c>
      <c r="B1278">
        <f>Skills!B23</f>
        <v/>
      </c>
      <c r="C1278">
        <f>Inputs!$B$3&gt;=120</f>
        <v/>
      </c>
      <c r="D1278">
        <f>IF(Skills!C23=1,60+Inputs!$B$25+Inputs!$B$29,IF(Skills!C23=2,90+Inputs!$B$26+Inputs!$B$29,IF(Skills!C23=3,120+Inputs!$B$27+Inputs!$B$29,MAX(0,(Inputs!$B$3-100)*3)+Inputs!$B$28+Inputs!$B$29)))</f>
        <v/>
      </c>
      <c r="E1278">
        <f>INDEX(FactorTable!$B$2:$Y$301, MATCH(ROUND(MIN(300,MAX(1,D1278)),0), FactorTable!$A$2:$A$301,0), Skills!L23+1)</f>
        <v/>
      </c>
      <c r="F1278">
        <f>IF(Skills!M23=TRUE,(Skills!K23/10)*(E1278/1000),Skills!K23/10)+Skills!N23</f>
        <v/>
      </c>
      <c r="G1278">
        <f>Calc!G23</f>
        <v/>
      </c>
      <c r="H1278">
        <f>Calc!H23</f>
        <v/>
      </c>
      <c r="I1278">
        <f>IF(Skills!T23&lt;&gt;"",1+(Skills!T23/10)*(Z1258/1000)/100,1)</f>
        <v/>
      </c>
      <c r="J1278" t="inlineStr"/>
      <c r="K1278" t="inlineStr"/>
      <c r="L1278" t="inlineStr"/>
      <c r="M1278" t="inlineStr"/>
      <c r="N1278" t="inlineStr"/>
      <c r="O1278">
        <f>(1-Summary!$B$51)*S1278+Summary!$B$51*U1278</f>
        <v/>
      </c>
      <c r="P1278">
        <f>IF(B1291=0,0,O1278/B1291)</f>
        <v/>
      </c>
      <c r="Q1278">
        <f>IFERROR(1/IF(Inputs!$B$38="pvp",15,MAX(0.1,Skills!D23-IF(Skills!E23=TRUE,3.5,0))),0)</f>
        <v/>
      </c>
      <c r="R1278" t="n">
        <v>0</v>
      </c>
      <c r="S1278" t="n">
        <v>0</v>
      </c>
      <c r="U1278" t="n">
        <v>0</v>
      </c>
    </row>
    <row r="1281">
      <c r="A1281" t="inlineStr">
        <is>
          <t>Average Buff Multiplier (Magic Guard + Meditation, summed; then Infinity)</t>
        </is>
      </c>
      <c r="B1281">
        <f>(1+(IF(C1258=TRUE,F1258*IF(AND(Inputs!$B$38&lt;&gt;"pvp",Inputs!$B$43&gt;0),(((R1258-1)*(Skills!S3*(1+(Inputs!$B$34+IF(Inputs!$B$3&gt;=117,F1277,0))/100))+MIN((Skills!S3*(1+(Inputs!$B$34+IF(Inputs!$B$3&gt;=117,F1277,0))/100)),MAX(0,Inputs!$B$43-((R1258-1)*Skills!D3))))/Inputs!$B$43),IF(Inputs!$B$38="pvp",MIN((Skills!S3*(1+(Inputs!$B$34+IF(Inputs!$B$3&gt;=117,F1277,0))/100)),15)/15,(Skills!S3*(1+(Inputs!$B$34+IF(Inputs!$B$3&gt;=117,F1277,0))/100))/Skills!D3)),0)+IF(C1259=TRUE,F1259*IF(AND(Inputs!$B$38&lt;&gt;"pvp",Inputs!$B$43&gt;0),(((R1259-1)*(Skills!S4*(1+(Inputs!$B$34+IF(Inputs!$B$3&gt;=117,F1277,0))/100))+MIN((Skills!S4*(1+(Inputs!$B$34+IF(Inputs!$B$3&gt;=117,F1277,0))/100)),MAX(0,Inputs!$B$43-((R1259-1)*Skills!D4))))/Inputs!$B$43),IF(Inputs!$B$38="pvp",MIN((Skills!S4*(1+(Inputs!$B$34+IF(Inputs!$B$3&gt;=117,F1277,0))/100)),15)/15,(Skills!S4*(1+(Inputs!$B$34+IF(Inputs!$B$3&gt;=117,F1277,0))/100))/Skills!D4)),0))/100)*IF(C1271=TRUE,(1+F1271*IF(AND(Inputs!$B$38&lt;&gt;"pvp",Inputs!$B$43&gt;0),(((R1271-1)*(Skills!S16*(1+(Inputs!$B$34+IF(Inputs!$B$3&gt;=117,F1277,0))/100))+MIN((Skills!S16*(1+(Inputs!$B$34+IF(Inputs!$B$3&gt;=117,F1277,0))/100)),MAX(0,Inputs!$B$43-((R1271-1)*Skills!D16))))/Inputs!$B$43),IF(Inputs!$B$38="pvp",MIN((Skills!S16*(1+(Inputs!$B$34+IF(Inputs!$B$3&gt;=117,F1277,0))/100)),15)/15,(Skills!S16*(1+(Inputs!$B$34+IF(Inputs!$B$3&gt;=117,F1277,0))/100))/Skills!D16))/100),1)</f>
        <v/>
      </c>
    </row>
    <row r="1282">
      <c r="A1282" t="inlineStr">
        <is>
          <t>Monster Damage Taken Bonus % (Freezing Breath - Weaken + Elemental Reset, summed)</t>
        </is>
      </c>
      <c r="B1282">
        <f>IF(Inputs!$B$3&gt;=118,15*IF(Inputs!$B$38="pvp",MIN((30*(1+(Inputs!$B$34+IF(Inputs!$B$3&gt;=117,F1277,0))/100)),15)/15,(30*(1+(Inputs!$B$34+IF(Inputs!$B$3&gt;=117,F1277,0))/100))/Skills!D8),0)+IF(C1269=TRUE,F1269,0)</f>
        <v/>
      </c>
    </row>
    <row r="1283">
      <c r="A1283" t="inlineStr">
        <is>
          <t>Damage % Bonus (Frozen Break + Frost Clutch, flat)</t>
        </is>
      </c>
      <c r="B1283">
        <f>IF(Inputs!$B$3&gt;=66,15,0)+IF(Inputs!$B$3&gt;=98,10,0)+IF(Inputs!$B$3&gt;=125,20,0)</f>
        <v/>
      </c>
    </row>
    <row r="1284">
      <c r="A1284" t="inlineStr">
        <is>
          <t>Attack Speed Bonus % (MP Eater - MP Boost, always-on once unlocked)</t>
        </is>
      </c>
      <c r="B1284">
        <f>IF(C1268=TRUE,F1268+(F1272-Calc!F17),0)</f>
        <v/>
      </c>
    </row>
    <row r="1285">
      <c r="A1285" t="inlineStr">
        <is>
          <t>Actions Per Second</t>
        </is>
      </c>
      <c r="B1285">
        <f>1+MIN(150,150*(1-(1-Inputs!$B$11/150)*(1-B1284/150)))/100</f>
        <v/>
      </c>
    </row>
    <row r="1286">
      <c r="A1286" t="inlineStr">
        <is>
          <t>Skill + Buff Cast Rate</t>
        </is>
      </c>
      <c r="B1286">
        <f>IF(AND(Inputs!$B$38&lt;&gt;"pvp",Inputs!$B$43&gt;0),SUMPRODUCT((Skills!E2:E23=TRUE)*(C1257:C1278=TRUE)*R1257:R1278)/Inputs!$B$43,SUMPRODUCT((Skills!E2:E23=TRUE)*(C1257:C1278=TRUE)*Q1257:Q1278))</f>
        <v/>
      </c>
    </row>
    <row r="1287">
      <c r="A1287" t="inlineStr">
        <is>
          <t>Chain Lightning Casts Per Second</t>
        </is>
      </c>
      <c r="B1287">
        <f>MAX(0,B1285-B1286)</f>
        <v/>
      </c>
    </row>
    <row r="1288">
      <c r="A1288" t="inlineStr">
        <is>
          <t>Buff-Casting Startup Delay (s, fixed-duration only)</t>
        </is>
      </c>
      <c r="B1288">
        <f>IF(AND(Inputs!$B$38&lt;&gt;"pvp",Inputs!$B$43&gt;0),SUMPRODUCT((Skills!S2:S23&gt;0)*(Skills!E2:E23=TRUE)*(C1257:C1278=TRUE))/B1285,0)</f>
        <v/>
      </c>
    </row>
    <row r="1289">
      <c r="A1289" t="inlineStr">
        <is>
          <t>Boss-Only Total DPS (this block's swept value)</t>
        </is>
      </c>
      <c r="B1289">
        <f>SUM(S1257:S1278)</f>
        <v/>
      </c>
    </row>
    <row r="1290">
      <c r="A1290" t="inlineStr">
        <is>
          <t>Normal-Only Total DPS (this block's swept value)</t>
        </is>
      </c>
      <c r="B1290">
        <f>SUM(U1257:U1278)</f>
        <v/>
      </c>
    </row>
    <row r="1291">
      <c r="A1291" s="5" t="inlineStr">
        <is>
          <t>TOTAL DPS</t>
        </is>
      </c>
      <c r="B1291" s="5">
        <f>SUM(O1257:O1278)</f>
        <v/>
      </c>
    </row>
    <row r="1294">
      <c r="A1294" s="5" t="inlineStr">
        <is>
          <t>Stat: CDR = 4.0s</t>
        </is>
      </c>
    </row>
    <row r="1295">
      <c r="A1295" s="9" t="inlineStr">
        <is>
          <t>Key</t>
        </is>
      </c>
      <c r="B1295" s="9" t="inlineStr">
        <is>
          <t>Name</t>
        </is>
      </c>
      <c r="C1295" s="9" t="inlineStr">
        <is>
          <t>Unlocked</t>
        </is>
      </c>
      <c r="D1295" s="9" t="inlineStr">
        <is>
          <t>InputLevel</t>
        </is>
      </c>
      <c r="E1295" s="9" t="inlineStr">
        <is>
          <t>Factor</t>
        </is>
      </c>
      <c r="F1295" s="9" t="inlineStr">
        <is>
          <t>CoefficientPercent</t>
        </is>
      </c>
      <c r="G1295" s="9" t="inlineStr">
        <is>
          <t>EffectiveHits</t>
        </is>
      </c>
      <c r="H1295" s="9" t="inlineStr">
        <is>
          <t>ProcProbability</t>
        </is>
      </c>
      <c r="I1295" s="9" t="inlineStr">
        <is>
          <t>MapleHeroMultiplier</t>
        </is>
      </c>
      <c r="J1295" s="9" t="inlineStr">
        <is>
          <t>BaseDamage</t>
        </is>
      </c>
      <c r="K1295" s="9" t="inlineStr">
        <is>
          <t>BaseHitDamage</t>
        </is>
      </c>
      <c r="L1295" s="9" t="inlineStr">
        <is>
          <t>NonCritAvg</t>
        </is>
      </c>
      <c r="M1295" s="9" t="inlineStr">
        <is>
          <t>CritAvg</t>
        </is>
      </c>
      <c r="N1295" s="9" t="inlineStr">
        <is>
          <t>ExpectedDamage(perHit)</t>
        </is>
      </c>
      <c r="O1295" s="9" t="inlineStr">
        <is>
          <t>DPS</t>
        </is>
      </c>
      <c r="P1295" s="9" t="inlineStr">
        <is>
          <t>% of Total</t>
        </is>
      </c>
      <c r="R1295" t="inlineStr">
        <is>
          <t>helpers</t>
        </is>
      </c>
    </row>
    <row r="1296">
      <c r="A1296">
        <f>Skills!A2</f>
        <v/>
      </c>
      <c r="B1296">
        <f>Skills!B2</f>
        <v/>
      </c>
      <c r="C1296">
        <f>Inputs!$B$3&gt;=100</f>
        <v/>
      </c>
      <c r="D1296" t="inlineStr"/>
      <c r="E1296" t="inlineStr"/>
      <c r="F1296">
        <f>T1298+Skills!N2</f>
        <v/>
      </c>
      <c r="G1296">
        <f>Calc!G2</f>
        <v/>
      </c>
      <c r="H1296">
        <f>Calc!H2</f>
        <v/>
      </c>
      <c r="I1296">
        <f>IF(Skills!T2&lt;&gt;"",1+(Skills!T2/10)*(Z1297/1000)/100,1)</f>
        <v/>
      </c>
      <c r="J1296">
        <f>((Inputs!$B$6*(1+Inputs!$B$7/100))+(((Inputs!$B$12*(1+Inputs!$B$13/100))-(Inputs!$B$12*(1+Inputs!$B$13/100)))+0.25*(Inputs!$B$14-Inputs!$B$14))*(1+Inputs!$B$7/100))*(F1296/100)</f>
        <v/>
      </c>
      <c r="K1296">
        <f>J1296*(1+((Inputs!$B$12*(1+Inputs!$B$13/100))*0.01+Inputs!$B$14*0.0025)/100)*(1+(Inputs!$B$15+B1322)/100)*(1+Inputs!$B$16/100)*(5000/(6000+Inputs!$B$42*(1-Inputs!$B$19/100)))*(1+Inputs!$B$24/100)*(1+IF(C1309=TRUE,F1309,0)/100)*(1+IF(C1317=TRUE,F1317,0)/100)^5*(1+(IF(Skills!A2="CHAIN_LIGHTNING",Inputs!$B$17,Inputs!$B$18))/100)*(B1320*I1296)</f>
        <v/>
      </c>
      <c r="L1296">
        <f>K1296*(MIN(Inputs!$B$22+(F1312-Calc!F18),Inputs!$B$23)/100+Inputs!$B$23/100)/2</f>
        <v/>
      </c>
      <c r="M1296">
        <f>L1296*(1+(Inputs!$B$10+(F1315-Calc!F21))/100)</f>
        <v/>
      </c>
      <c r="N1296">
        <f>L1296*(1-MIN(Inputs!$B$9+((F1314-Calc!F20)+(F1313-Calc!F19)),100)/100)+M1296*(MIN(Inputs!$B$9+((F1314-Calc!F20)+(F1313-Calc!F19)),100)/100)</f>
        <v/>
      </c>
      <c r="O1296">
        <f>(1-Summary!$B$51)*S1296+Summary!$B$51*U1296</f>
        <v/>
      </c>
      <c r="P1296">
        <f>IF(B1330=0,0,O1296/B1330)</f>
        <v/>
      </c>
      <c r="Q1296">
        <f>IFERROR(1/IF(Inputs!$B$38="pvp",15,MAX(0.1,Skills!D2-IF(Skills!E2=TRUE,4.0,0))),0)</f>
        <v/>
      </c>
      <c r="R1296" t="n">
        <v>0</v>
      </c>
      <c r="S1296">
        <f>IF(C1296,(Skills!F2*N1296*B1326)*IF(Inputs!$B$38="pvp",1,1+(Inputs!$B$20+Skills!O2+B1321)/100),0)</f>
        <v/>
      </c>
      <c r="T1296">
        <f>MAX(0,(Inputs!$B$3-100)*3)+Inputs!$B$28+Inputs!$B$29</f>
        <v/>
      </c>
      <c r="U1296">
        <f>IF(C1296,(Skills!F2*N1296*B1326)*IF(Inputs!$B$38="pvp",1,(1+(Inputs!$B$21+Skills!P2+B1321)/100)*(MIN((6+Inputs!$B$33),Inputs!$B$37))),0)</f>
        <v/>
      </c>
      <c r="Z1296">
        <f>MAX(0,(Inputs!$B$3-100)*3)+Inputs!$B$28+Inputs!$B$29</f>
        <v/>
      </c>
    </row>
    <row r="1297">
      <c r="A1297">
        <f>Skills!A3</f>
        <v/>
      </c>
      <c r="B1297">
        <f>Skills!B3</f>
        <v/>
      </c>
      <c r="C1297">
        <f>Inputs!$B$3&gt;=15</f>
        <v/>
      </c>
      <c r="D1297">
        <f>IF(Skills!C3=1,60+Inputs!$B$25+Inputs!$B$29,IF(Skills!C3=2,90+Inputs!$B$26+Inputs!$B$29,IF(Skills!C3=3,120+Inputs!$B$27+Inputs!$B$29,MAX(0,(Inputs!$B$3-100)*3)+Inputs!$B$28+Inputs!$B$29)))</f>
        <v/>
      </c>
      <c r="E1297">
        <f>INDEX(FactorTable!$B$2:$Y$301, MATCH(ROUND(MIN(300,MAX(1,D1297)),0), FactorTable!$A$2:$A$301,0), Skills!L3+1)</f>
        <v/>
      </c>
      <c r="F1297">
        <f>IF(Skills!M3=TRUE,(Skills!K3/10)*(E1297/1000),Skills!K3/10)+Skills!N3</f>
        <v/>
      </c>
      <c r="G1297">
        <f>Calc!G3</f>
        <v/>
      </c>
      <c r="H1297">
        <f>Calc!H3</f>
        <v/>
      </c>
      <c r="I1297">
        <f>IF(Skills!T3&lt;&gt;"",1+(Skills!T3/10)*(Z1297/1000)/100,1)</f>
        <v/>
      </c>
      <c r="J1297" t="inlineStr"/>
      <c r="K1297" t="inlineStr"/>
      <c r="L1297" t="inlineStr"/>
      <c r="M1297" t="inlineStr"/>
      <c r="N1297" t="inlineStr"/>
      <c r="O1297">
        <f>(1-Summary!$B$51)*S1297+Summary!$B$51*U1297</f>
        <v/>
      </c>
      <c r="P1297">
        <f>IF(B1330=0,0,O1297/B1330)</f>
        <v/>
      </c>
      <c r="Q1297">
        <f>IFERROR(1/IF(Inputs!$B$38="pvp",15,MAX(0.1,Skills!D3-IF(Skills!E3=TRUE,4.0,0))),0)</f>
        <v/>
      </c>
      <c r="R1297">
        <f>IF(AND(Inputs!$B$38&lt;&gt;"pvp",Inputs!$B$43&gt;0),IF(Inputs!$B$43&lt;=0,0,(INT(Inputs!$B$43/IF(Inputs!$B$38="pvp",15,MAX(0.1,Skills!D3-IF(Skills!E3=TRUE,4.0,0))))+1)),0)</f>
        <v/>
      </c>
      <c r="S1297" t="n">
        <v>0</v>
      </c>
      <c r="T1297">
        <f>INDEX(FactorTable!$B$2:$Y$301, MATCH(ROUND(MIN(300,MAX(1,T1296)),0), FactorTable!$A$2:$A$301,0), 22)</f>
        <v/>
      </c>
      <c r="U1297" t="n">
        <v>0</v>
      </c>
      <c r="Z1297">
        <f>INDEX(FactorTable!$B$2:$Y$301, MATCH(ROUND(MIN(300,MAX(1,Z1296)),0), FactorTable!$A$2:$A$301,0), 24)</f>
        <v/>
      </c>
    </row>
    <row r="1298">
      <c r="A1298">
        <f>Skills!A4</f>
        <v/>
      </c>
      <c r="B1298">
        <f>Skills!B4</f>
        <v/>
      </c>
      <c r="C1298">
        <f>Inputs!$B$3&gt;=40</f>
        <v/>
      </c>
      <c r="D1298">
        <f>IF(Skills!C4=1,60+Inputs!$B$25+Inputs!$B$29,IF(Skills!C4=2,90+Inputs!$B$26+Inputs!$B$29,IF(Skills!C4=3,120+Inputs!$B$27+Inputs!$B$29,MAX(0,(Inputs!$B$3-100)*3)+Inputs!$B$28+Inputs!$B$29)))</f>
        <v/>
      </c>
      <c r="E1298">
        <f>INDEX(FactorTable!$B$2:$Y$301, MATCH(ROUND(MIN(300,MAX(1,D1298)),0), FactorTable!$A$2:$A$301,0), Skills!L4+1)</f>
        <v/>
      </c>
      <c r="F1298">
        <f>IF(Skills!M4=TRUE,(Skills!K4/10)*(E1298/1000),Skills!K4/10)+Skills!N4</f>
        <v/>
      </c>
      <c r="G1298">
        <f>Calc!G4</f>
        <v/>
      </c>
      <c r="H1298">
        <f>Calc!H4</f>
        <v/>
      </c>
      <c r="I1298">
        <f>IF(Skills!T4&lt;&gt;"",1+(Skills!T4/10)*(Z1297/1000)/100,1)</f>
        <v/>
      </c>
      <c r="J1298" t="inlineStr"/>
      <c r="K1298" t="inlineStr"/>
      <c r="L1298" t="inlineStr"/>
      <c r="M1298" t="inlineStr"/>
      <c r="N1298" t="inlineStr"/>
      <c r="O1298">
        <f>(1-Summary!$B$51)*S1298+Summary!$B$51*U1298</f>
        <v/>
      </c>
      <c r="P1298">
        <f>IF(B1330=0,0,O1298/B1330)</f>
        <v/>
      </c>
      <c r="Q1298">
        <f>IFERROR(1/IF(Inputs!$B$38="pvp",15,MAX(0.1,Skills!D4-IF(Skills!E4=TRUE,4.0,0))),0)</f>
        <v/>
      </c>
      <c r="R1298">
        <f>IF(AND(Inputs!$B$38&lt;&gt;"pvp",Inputs!$B$43&gt;0),IF(Inputs!$B$43&lt;=0,0,(INT(Inputs!$B$43/IF(Inputs!$B$38="pvp",15,MAX(0.1,Skills!D4-IF(Skills!E4=TRUE,4.0,0))))+1)),0)</f>
        <v/>
      </c>
      <c r="S1298" t="n">
        <v>0</v>
      </c>
      <c r="T1298">
        <f>290*T1297/1000</f>
        <v/>
      </c>
      <c r="U1298" t="n">
        <v>0</v>
      </c>
    </row>
    <row r="1299">
      <c r="A1299">
        <f>Skills!A5</f>
        <v/>
      </c>
      <c r="B1299">
        <f>Skills!B5</f>
        <v/>
      </c>
      <c r="C1299">
        <f>Inputs!$B$3&gt;=38</f>
        <v/>
      </c>
      <c r="D1299">
        <f>IF(Skills!C5=1,60+Inputs!$B$25+Inputs!$B$29,IF(Skills!C5=2,90+Inputs!$B$26+Inputs!$B$29,IF(Skills!C5=3,120+Inputs!$B$27+Inputs!$B$29,MAX(0,(Inputs!$B$3-100)*3)+Inputs!$B$28+Inputs!$B$29)))</f>
        <v/>
      </c>
      <c r="E1299">
        <f>INDEX(FactorTable!$B$2:$Y$301, MATCH(ROUND(MIN(300,MAX(1,D1299)),0), FactorTable!$A$2:$A$301,0), Skills!L5+1)</f>
        <v/>
      </c>
      <c r="F1299">
        <f>IF(Skills!M5=TRUE,(Skills!K5/10)*(E1299/1000),Skills!K5/10)+Skills!N5</f>
        <v/>
      </c>
      <c r="G1299">
        <f>Calc!G5</f>
        <v/>
      </c>
      <c r="H1299">
        <f>Calc!H5</f>
        <v/>
      </c>
      <c r="I1299">
        <f>IF(Skills!T5&lt;&gt;"",1+(Skills!T5/10)*(Z1297/1000)/100,1)</f>
        <v/>
      </c>
      <c r="J1299">
        <f>((Inputs!$B$6*(1+Inputs!$B$7/100))+(((Inputs!$B$12*(1+Inputs!$B$13/100))-(Inputs!$B$12*(1+Inputs!$B$13/100)))+0.25*(Inputs!$B$14-Inputs!$B$14))*(1+Inputs!$B$7/100))*(F1299/100)</f>
        <v/>
      </c>
      <c r="K1299">
        <f>J1299*(1+((Inputs!$B$12*(1+Inputs!$B$13/100))*0.01+Inputs!$B$14*0.0025)/100)*(1+(Inputs!$B$15+B1322)/100)*(1+Inputs!$B$16/100)*(5000/(6000+Inputs!$B$42*(1-Inputs!$B$19/100)))*(1+Inputs!$B$24/100)*(1+IF(C1309=TRUE,F1309,0)/100)*(1+IF(C1317=TRUE,F1317,0)/100)^5*(1+(IF(Skills!A5="CHAIN_LIGHTNING",Inputs!$B$17,Inputs!$B$18))/100)*(B1320*I1299)</f>
        <v/>
      </c>
      <c r="L1299">
        <f>K1299*(MIN(Inputs!$B$22+(F1312-Calc!F18),Inputs!$B$23)/100+Inputs!$B$23/100)/2</f>
        <v/>
      </c>
      <c r="M1299">
        <f>L1299*(1+(Inputs!$B$10+(F1315-Calc!F21))/100)</f>
        <v/>
      </c>
      <c r="N1299">
        <f>L1299*(1-MIN(Inputs!$B$9+((F1314-Calc!F20)+(F1313-Calc!F19)),100)/100)+M1299*(MIN(Inputs!$B$9+((F1314-Calc!F20)+(F1313-Calc!F19)),100)/100)</f>
        <v/>
      </c>
      <c r="O1299">
        <f>(1-Summary!$B$51)*S1299+Summary!$B$51*U1299</f>
        <v/>
      </c>
      <c r="P1299">
        <f>IF(B1330=0,0,O1299/B1330)</f>
        <v/>
      </c>
      <c r="Q1299">
        <f>IFERROR(1/IF(Inputs!$B$38="pvp",15,MAX(0.1,Skills!D5-IF(Skills!E5=TRUE,4.0,0))),0)</f>
        <v/>
      </c>
      <c r="R1299">
        <f>IF(AND(Inputs!$B$38&lt;&gt;"pvp",Inputs!$B$43&gt;0),IF(MAX(0,Inputs!$B$43-B1327)&lt;=0,0,(INT(MAX(0,Inputs!$B$43-B1327)/IF(Inputs!$B$38="pvp",15,MAX(0.1,Skills!D5-IF(Skills!E5=TRUE,4.0,0))))+1)),0)</f>
        <v/>
      </c>
      <c r="S1299">
        <f>IF(C1299,(H1299*N1299*IF(AND(Inputs!$B$38&lt;&gt;"pvp",Inputs!$B$43&gt;0),((Skills!F5*((R1299-1)*IF(Skills!G5&gt;0,Skills!H5/Skills!G5,1)+IF(Skills!G5&gt;0,MIN(Skills!H5,MAX(0,MAX(0,Inputs!$B$43-B1327)-((R1299-1)*IF(Inputs!$B$38="pvp",15,MAX(0.1,Skills!D5-IF(Skills!E5=TRUE,4.0,0))))))/Skills!G5,1)))/Inputs!$B$43),G1299*Q1299))*IF(Inputs!$B$38="pvp",1,1+(Inputs!$B$20+Skills!O5+B1321)/100),0)</f>
        <v/>
      </c>
      <c r="U1299">
        <f>IF(C1299,(H1299*N1299*IF(AND(Inputs!$B$38&lt;&gt;"pvp",Inputs!$B$43&gt;0),((Skills!F5*((R1299-1)*IF(Skills!G5&gt;0,Skills!H5/Skills!G5,1)+IF(Skills!G5&gt;0,MIN(Skills!H5,MAX(0,MAX(0,Inputs!$B$43-B1327)-((R1299-1)*IF(Inputs!$B$38="pvp",15,MAX(0.1,Skills!D5-IF(Skills!E5=TRUE,4.0,0))))))/Skills!G5,1)))/Inputs!$B$43),G1299*Q1299))*IF(Inputs!$B$38="pvp",1,(1+(Inputs!$B$21+Skills!P5+B1321)/100)*(MIN(Skills!Q5,Inputs!$B$37))),0)</f>
        <v/>
      </c>
    </row>
    <row r="1300">
      <c r="A1300">
        <f>Skills!A6</f>
        <v/>
      </c>
      <c r="B1300">
        <f>Skills!B6</f>
        <v/>
      </c>
      <c r="C1300">
        <f>Inputs!$B$3&gt;=63</f>
        <v/>
      </c>
      <c r="D1300">
        <f>IF(Skills!C6=1,60+Inputs!$B$25+Inputs!$B$29,IF(Skills!C6=2,90+Inputs!$B$26+Inputs!$B$29,IF(Skills!C6=3,120+Inputs!$B$27+Inputs!$B$29,MAX(0,(Inputs!$B$3-100)*3)+Inputs!$B$28+Inputs!$B$29)))</f>
        <v/>
      </c>
      <c r="E1300">
        <f>INDEX(FactorTable!$B$2:$Y$301, MATCH(ROUND(MIN(300,MAX(1,D1300)),0), FactorTable!$A$2:$A$301,0), Skills!L6+1)</f>
        <v/>
      </c>
      <c r="F1300">
        <f>IF(Skills!M6=TRUE,(Skills!K6/10)*(E1300/1000),Skills!K6/10)+Skills!N6</f>
        <v/>
      </c>
      <c r="G1300">
        <f>Calc!G6</f>
        <v/>
      </c>
      <c r="H1300">
        <f>Calc!H6</f>
        <v/>
      </c>
      <c r="I1300">
        <f>IF(Skills!T6&lt;&gt;"",1+(Skills!T6/10)*(Z1297/1000)/100,1)</f>
        <v/>
      </c>
      <c r="J1300">
        <f>((Inputs!$B$6*(1+Inputs!$B$7/100))+(((Inputs!$B$12*(1+Inputs!$B$13/100))-(Inputs!$B$12*(1+Inputs!$B$13/100)))+0.25*(Inputs!$B$14-Inputs!$B$14))*(1+Inputs!$B$7/100))*(F1300/100)</f>
        <v/>
      </c>
      <c r="K1300">
        <f>J1300*(1+((Inputs!$B$12*(1+Inputs!$B$13/100))*0.01+Inputs!$B$14*0.0025)/100)*(1+(Inputs!$B$15+B1322)/100)*(1+Inputs!$B$16/100)*(5000/(6000+Inputs!$B$42*(1-Inputs!$B$19/100)))*(1+Inputs!$B$24/100)*(1+IF(C1309=TRUE,F1309,0)/100)*(1+IF(C1317=TRUE,F1317,0)/100)^5*(1+(IF(Skills!A6="CHAIN_LIGHTNING",Inputs!$B$17,Inputs!$B$18))/100)*(B1320*I1300)</f>
        <v/>
      </c>
      <c r="L1300">
        <f>K1300*(MIN(Inputs!$B$22+(F1312-Calc!F18),Inputs!$B$23)/100+Inputs!$B$23/100)/2</f>
        <v/>
      </c>
      <c r="M1300">
        <f>L1300*(1+(Inputs!$B$10+(F1315-Calc!F21))/100)</f>
        <v/>
      </c>
      <c r="N1300">
        <f>L1300*(1-MIN(Inputs!$B$9+((F1314-Calc!F20)+(F1313-Calc!F19)),100)/100)+M1300*(MIN(Inputs!$B$9+((F1314-Calc!F20)+(F1313-Calc!F19)),100)/100)</f>
        <v/>
      </c>
      <c r="O1300">
        <f>(1-Summary!$B$51)*S1300+Summary!$B$51*U1300</f>
        <v/>
      </c>
      <c r="P1300">
        <f>IF(B1330=0,0,O1300/B1330)</f>
        <v/>
      </c>
      <c r="Q1300">
        <f>IFERROR(1/IF(Inputs!$B$38="pvp",15,MAX(0.1,Skills!D6-IF(Skills!E6=TRUE,4.0,0))),0)</f>
        <v/>
      </c>
      <c r="R1300">
        <f>IF(AND(Inputs!$B$38&lt;&gt;"pvp",Inputs!$B$43&gt;0),IF(MAX(0,Inputs!$B$43-B1327)&lt;=0,0,(INT(MAX(0,Inputs!$B$43-B1327)/IF(Inputs!$B$38="pvp",15,MAX(0.1,Skills!D6-IF(Skills!E6=TRUE,4.0,0))))+1)),0)</f>
        <v/>
      </c>
      <c r="S1300">
        <f>IF(C1300,(H1300*N1300*IF(AND(Inputs!$B$38&lt;&gt;"pvp",Inputs!$B$43&gt;0),((Skills!F6*((R1300-1)*IF(Skills!G6&gt;0,Skills!H6/Skills!G6,1)+IF(Skills!G6&gt;0,MIN(Skills!H6,MAX(0,MAX(0,Inputs!$B$43-B1327)-((R1300-1)*IF(Inputs!$B$38="pvp",15,MAX(0.1,Skills!D6-IF(Skills!E6=TRUE,4.0,0))))))/Skills!G6,1)))/Inputs!$B$43),G1300*Q1300))*IF(Inputs!$B$38="pvp",1,1+(Inputs!$B$20+Skills!O6+B1321)/100),0)</f>
        <v/>
      </c>
      <c r="U1300">
        <f>IF(C1300,(H1300*N1300*IF(AND(Inputs!$B$38&lt;&gt;"pvp",Inputs!$B$43&gt;0),((Skills!F6*((R1300-1)*IF(Skills!G6&gt;0,Skills!H6/Skills!G6,1)+IF(Skills!G6&gt;0,MIN(Skills!H6,MAX(0,MAX(0,Inputs!$B$43-B1327)-((R1300-1)*IF(Inputs!$B$38="pvp",15,MAX(0.1,Skills!D6-IF(Skills!E6=TRUE,4.0,0))))))/Skills!G6,1)))/Inputs!$B$43),G1300*Q1300))*IF(Inputs!$B$38="pvp",1,(1+(Inputs!$B$21+Skills!P6+B1321)/100)*(MIN(Skills!Q6,Inputs!$B$37))),0)</f>
        <v/>
      </c>
    </row>
    <row r="1301">
      <c r="A1301">
        <f>Skills!A7</f>
        <v/>
      </c>
      <c r="B1301">
        <f>Skills!B7</f>
        <v/>
      </c>
      <c r="C1301">
        <f>Inputs!$B$3&gt;=69</f>
        <v/>
      </c>
      <c r="D1301">
        <f>IF(Skills!C7=1,60+Inputs!$B$25+Inputs!$B$29,IF(Skills!C7=2,90+Inputs!$B$26+Inputs!$B$29,IF(Skills!C7=3,120+Inputs!$B$27+Inputs!$B$29,MAX(0,(Inputs!$B$3-100)*3)+Inputs!$B$28+Inputs!$B$29)))</f>
        <v/>
      </c>
      <c r="E1301">
        <f>INDEX(FactorTable!$B$2:$Y$301, MATCH(ROUND(MIN(300,MAX(1,D1301)),0), FactorTable!$A$2:$A$301,0), Skills!L7+1)</f>
        <v/>
      </c>
      <c r="F1301">
        <f>IF(Skills!M7=TRUE,(Skills!K7/10)*(E1301/1000),Skills!K7/10)+Skills!N7</f>
        <v/>
      </c>
      <c r="G1301">
        <f>Calc!G7</f>
        <v/>
      </c>
      <c r="H1301">
        <f>Calc!H7</f>
        <v/>
      </c>
      <c r="I1301">
        <f>IF(Skills!T7&lt;&gt;"",1+(Skills!T7/10)*(Z1297/1000)/100,1)</f>
        <v/>
      </c>
      <c r="J1301">
        <f>((Inputs!$B$6*(1+Inputs!$B$7/100))+(((Inputs!$B$12*(1+Inputs!$B$13/100))-(Inputs!$B$12*(1+Inputs!$B$13/100)))+0.25*(Inputs!$B$14-Inputs!$B$14))*(1+Inputs!$B$7/100))*(F1301/100)</f>
        <v/>
      </c>
      <c r="K1301">
        <f>J1301*(1+((Inputs!$B$12*(1+Inputs!$B$13/100))*0.01+Inputs!$B$14*0.0025)/100)*(1+(Inputs!$B$15+B1322)/100)*(1+Inputs!$B$16/100)*(5000/(6000+Inputs!$B$42*(1-Inputs!$B$19/100)))*(1+Inputs!$B$24/100)*(1+IF(C1309=TRUE,F1309,0)/100)*(1+IF(C1317=TRUE,F1317,0)/100)^5*(1+(IF(Skills!A7="CHAIN_LIGHTNING",Inputs!$B$17,Inputs!$B$18))/100)*(B1320*I1301)</f>
        <v/>
      </c>
      <c r="L1301">
        <f>K1301*(MIN(Inputs!$B$22+(F1312-Calc!F18),Inputs!$B$23)/100+Inputs!$B$23/100)/2</f>
        <v/>
      </c>
      <c r="M1301">
        <f>L1301*(1+(Inputs!$B$10+(F1315-Calc!F21))/100)</f>
        <v/>
      </c>
      <c r="N1301">
        <f>L1301*(1-MIN(Inputs!$B$9+((F1314-Calc!F20)+(F1313-Calc!F19)),100)/100)+M1301*(MIN(Inputs!$B$9+((F1314-Calc!F20)+(F1313-Calc!F19)),100)/100)</f>
        <v/>
      </c>
      <c r="O1301">
        <f>(1-Summary!$B$51)*S1301+Summary!$B$51*U1301</f>
        <v/>
      </c>
      <c r="P1301">
        <f>IF(B1330=0,0,O1301/B1330)</f>
        <v/>
      </c>
      <c r="Q1301">
        <f>IFERROR(1/IF(Inputs!$B$38="pvp",15,MAX(0.1,Skills!D7-IF(Skills!E7=TRUE,4.0,0))),0)</f>
        <v/>
      </c>
      <c r="R1301">
        <f>IF(AND(Inputs!$B$38&lt;&gt;"pvp",Inputs!$B$43&gt;0),IF(MAX(0,Inputs!$B$43-B1327)&lt;=0,0,(INT(MAX(0,Inputs!$B$43-B1327)/IF(Inputs!$B$38="pvp",15,MAX(0.1,Skills!D7-IF(Skills!E7=TRUE,4.0,0))))+1)),0)</f>
        <v/>
      </c>
      <c r="S1301">
        <f>IF(C1301,(H1301*N1301*IF(AND(Inputs!$B$38&lt;&gt;"pvp",Inputs!$B$43&gt;0),((Skills!F7*((R1301-1)*IF(Skills!G7&gt;0,Skills!H7/Skills!G7,1)+IF(Skills!G7&gt;0,MIN(Skills!H7,MAX(0,MAX(0,Inputs!$B$43-B1327)-((R1301-1)*IF(Inputs!$B$38="pvp",15,MAX(0.1,Skills!D7-IF(Skills!E7=TRUE,4.0,0))))))/Skills!G7,1)))/Inputs!$B$43),G1301*Q1301))*IF(Inputs!$B$38="pvp",1,1+(Inputs!$B$20+Skills!O7+B1321)/100),0)</f>
        <v/>
      </c>
      <c r="U1301">
        <f>IF(C1301,(H1301*N1301*IF(AND(Inputs!$B$38&lt;&gt;"pvp",Inputs!$B$43&gt;0),((Skills!F7*((R1301-1)*IF(Skills!G7&gt;0,Skills!H7/Skills!G7,1)+IF(Skills!G7&gt;0,MIN(Skills!H7,MAX(0,MAX(0,Inputs!$B$43-B1327)-((R1301-1)*IF(Inputs!$B$38="pvp",15,MAX(0.1,Skills!D7-IF(Skills!E7=TRUE,4.0,0))))))/Skills!G7,1)))/Inputs!$B$43),G1301*Q1301))*IF(Inputs!$B$38="pvp",1,(1+(Inputs!$B$21+Skills!P7+B1321)/100)*(MIN(Skills!Q7,Inputs!$B$37))),0)</f>
        <v/>
      </c>
    </row>
    <row r="1302">
      <c r="A1302">
        <f>Skills!A8</f>
        <v/>
      </c>
      <c r="B1302">
        <f>Skills!B8</f>
        <v/>
      </c>
      <c r="C1302">
        <f>Inputs!$B$3&gt;=103</f>
        <v/>
      </c>
      <c r="D1302">
        <f>IF(Skills!C8=1,60+Inputs!$B$25+Inputs!$B$29,IF(Skills!C8=2,90+Inputs!$B$26+Inputs!$B$29,IF(Skills!C8=3,120+Inputs!$B$27+Inputs!$B$29,MAX(0,(Inputs!$B$3-100)*3)+Inputs!$B$28+Inputs!$B$29)))</f>
        <v/>
      </c>
      <c r="E1302">
        <f>INDEX(FactorTable!$B$2:$Y$301, MATCH(ROUND(MIN(300,MAX(1,D1302)),0), FactorTable!$A$2:$A$301,0), Skills!L8+1)</f>
        <v/>
      </c>
      <c r="F1302">
        <f>IF(Skills!M8=TRUE,(Skills!K8/10)*(E1302/1000),Skills!K8/10)+Skills!N8</f>
        <v/>
      </c>
      <c r="G1302">
        <f>Calc!G8</f>
        <v/>
      </c>
      <c r="H1302">
        <f>Calc!H8</f>
        <v/>
      </c>
      <c r="I1302">
        <f>IF(Skills!T8&lt;&gt;"",1+(Skills!T8/10)*(Z1297/1000)/100,1)</f>
        <v/>
      </c>
      <c r="J1302">
        <f>((Inputs!$B$6*(1+Inputs!$B$7/100))+(((Inputs!$B$12*(1+Inputs!$B$13/100))-(Inputs!$B$12*(1+Inputs!$B$13/100)))+0.25*(Inputs!$B$14-Inputs!$B$14))*(1+Inputs!$B$7/100))*(F1302/100)</f>
        <v/>
      </c>
      <c r="K1302">
        <f>J1302*(1+((Inputs!$B$12*(1+Inputs!$B$13/100))*0.01+Inputs!$B$14*0.0025)/100)*(1+(Inputs!$B$15+B1322)/100)*(1+Inputs!$B$16/100)*(5000/(6000+Inputs!$B$42*(1-Inputs!$B$19/100)))*(1+Inputs!$B$24/100)*(1+IF(C1309=TRUE,F1309,0)/100)*(1+IF(C1317=TRUE,F1317,0)/100)^5*(1+(IF(Skills!A8="CHAIN_LIGHTNING",Inputs!$B$17,Inputs!$B$18))/100)*(B1320*I1302)</f>
        <v/>
      </c>
      <c r="L1302">
        <f>K1302*(MIN(Inputs!$B$22+(F1312-Calc!F18),Inputs!$B$23)/100+Inputs!$B$23/100)/2</f>
        <v/>
      </c>
      <c r="M1302">
        <f>L1302*(1+(Inputs!$B$10+(F1315-Calc!F21))/100)</f>
        <v/>
      </c>
      <c r="N1302">
        <f>L1302*(1-MIN(Inputs!$B$9+((F1314-Calc!F20)+(F1313-Calc!F19)),100)/100)+M1302*(MIN(Inputs!$B$9+((F1314-Calc!F20)+(F1313-Calc!F19)),100)/100)</f>
        <v/>
      </c>
      <c r="O1302">
        <f>(1-Summary!$B$51)*S1302+Summary!$B$51*U1302</f>
        <v/>
      </c>
      <c r="P1302">
        <f>IF(B1330=0,0,O1302/B1330)</f>
        <v/>
      </c>
      <c r="Q1302">
        <f>IFERROR(1/IF(Inputs!$B$38="pvp",15,MAX(0.1,Skills!D8-IF(Skills!E8=TRUE,4.0,0))),0)</f>
        <v/>
      </c>
      <c r="R1302">
        <f>IF(AND(Inputs!$B$38&lt;&gt;"pvp",Inputs!$B$43&gt;0),IF(MAX(0,Inputs!$B$43-B1327)&lt;=0,0,(INT(MAX(0,Inputs!$B$43-B1327)/IF(Inputs!$B$38="pvp",15,MAX(0.1,Skills!D8-IF(Skills!E8=TRUE,4.0,0))))+1)),0)</f>
        <v/>
      </c>
      <c r="S1302">
        <f>IF(C1302,(H1302*N1302*IF(AND(Inputs!$B$38&lt;&gt;"pvp",Inputs!$B$43&gt;0),((Skills!F8*((R1302-1)*IF(Skills!G8&gt;0,Skills!H8/Skills!G8,1)+IF(Skills!G8&gt;0,MIN(Skills!H8,MAX(0,MAX(0,Inputs!$B$43-B1327)-((R1302-1)*IF(Inputs!$B$38="pvp",15,MAX(0.1,Skills!D8-IF(Skills!E8=TRUE,4.0,0))))))/Skills!G8,1)))/Inputs!$B$43),G1302*Q1302))*IF(Inputs!$B$38="pvp",1,1+(Inputs!$B$20+Skills!O8+B1321)/100),0)</f>
        <v/>
      </c>
      <c r="U1302">
        <f>IF(C1302,(H1302*N1302*IF(AND(Inputs!$B$38&lt;&gt;"pvp",Inputs!$B$43&gt;0),((Skills!F8*((R1302-1)*IF(Skills!G8&gt;0,Skills!H8/Skills!G8,1)+IF(Skills!G8&gt;0,MIN(Skills!H8,MAX(0,MAX(0,Inputs!$B$43-B1327)-((R1302-1)*IF(Inputs!$B$38="pvp",15,MAX(0.1,Skills!D8-IF(Skills!E8=TRUE,4.0,0))))))/Skills!G8,1)))/Inputs!$B$43),G1302*Q1302))*IF(Inputs!$B$38="pvp",1,(1+(Inputs!$B$21+Skills!P8+B1321)/100)*(MIN(Skills!Q8,Inputs!$B$37))),0)</f>
        <v/>
      </c>
    </row>
    <row r="1303">
      <c r="A1303">
        <f>Skills!A9</f>
        <v/>
      </c>
      <c r="B1303">
        <f>Skills!B9</f>
        <v/>
      </c>
      <c r="C1303">
        <f>Inputs!$B$3&gt;=105</f>
        <v/>
      </c>
      <c r="D1303">
        <f>IF(Skills!C9=1,60+Inputs!$B$25+Inputs!$B$29,IF(Skills!C9=2,90+Inputs!$B$26+Inputs!$B$29,IF(Skills!C9=3,120+Inputs!$B$27+Inputs!$B$29,MAX(0,(Inputs!$B$3-100)*3)+Inputs!$B$28+Inputs!$B$29)))</f>
        <v/>
      </c>
      <c r="E1303">
        <f>INDEX(FactorTable!$B$2:$Y$301, MATCH(ROUND(MIN(300,MAX(1,D1303)),0), FactorTable!$A$2:$A$301,0), Skills!L9+1)</f>
        <v/>
      </c>
      <c r="F1303">
        <f>IF(Skills!M9=TRUE,(Skills!K9/10)*(E1303/1000),Skills!K9/10)+Skills!N9</f>
        <v/>
      </c>
      <c r="G1303">
        <f>Calc!G9</f>
        <v/>
      </c>
      <c r="H1303">
        <f>Calc!H9</f>
        <v/>
      </c>
      <c r="I1303">
        <f>IF(Skills!T9&lt;&gt;"",1+(Skills!T9/10)*(Z1297/1000)/100,1)</f>
        <v/>
      </c>
      <c r="J1303">
        <f>((Inputs!$B$6*(1+Inputs!$B$7/100))+(((Inputs!$B$12*(1+Inputs!$B$13/100))-(Inputs!$B$12*(1+Inputs!$B$13/100)))+0.25*(Inputs!$B$14-Inputs!$B$14))*(1+Inputs!$B$7/100))*(F1303/100)</f>
        <v/>
      </c>
      <c r="K1303">
        <f>J1303*(1+((Inputs!$B$12*(1+Inputs!$B$13/100))*0.01+Inputs!$B$14*0.0025)/100)*(1+(Inputs!$B$15+B1322)/100)*(1+Inputs!$B$16/100)*(5000/(6000+Inputs!$B$42*(1-Inputs!$B$19/100)))*(1+Inputs!$B$24/100)*(1+IF(C1309=TRUE,F1309,0)/100)*(1+IF(C1317=TRUE,F1317,0)/100)^5*(1+(IF(Skills!A9="CHAIN_LIGHTNING",Inputs!$B$17,Inputs!$B$18))/100)*(B1320*I1303)</f>
        <v/>
      </c>
      <c r="L1303">
        <f>K1303*(MIN(Inputs!$B$22+(F1312-Calc!F18),Inputs!$B$23)/100+Inputs!$B$23/100)/2</f>
        <v/>
      </c>
      <c r="M1303">
        <f>L1303*(1+(Inputs!$B$10+(F1315-Calc!F21))/100)</f>
        <v/>
      </c>
      <c r="N1303">
        <f>L1303*(1-MIN(Inputs!$B$9+((F1314-Calc!F20)+(F1313-Calc!F19)),100)/100)+M1303*(MIN(Inputs!$B$9+((F1314-Calc!F20)+(F1313-Calc!F19)),100)/100)</f>
        <v/>
      </c>
      <c r="O1303">
        <f>(1-Summary!$B$51)*S1303+Summary!$B$51*U1303</f>
        <v/>
      </c>
      <c r="P1303">
        <f>IF(B1330=0,0,O1303/B1330)</f>
        <v/>
      </c>
      <c r="Q1303">
        <f>IFERROR(1/IF(Inputs!$B$38="pvp",15,MAX(0.1,Skills!D9-IF(Skills!E9=TRUE,4.0,0))),0)</f>
        <v/>
      </c>
      <c r="R1303">
        <f>IF(AND(Inputs!$B$38&lt;&gt;"pvp",Inputs!$B$43&gt;0),IF(MAX(0,Inputs!$B$43-B1327)&lt;=0,0,(INT(MAX(0,Inputs!$B$43-B1327)/IF(Inputs!$B$38="pvp",15,MAX(0.1,Skills!D9-IF(Skills!E9=TRUE,4.0,0))))+1)),0)</f>
        <v/>
      </c>
      <c r="S1303">
        <f>IF(C1303,(H1303*N1303*IF(AND(Inputs!$B$38&lt;&gt;"pvp",Inputs!$B$43&gt;0),((Skills!F9*((R1303-1)*IF(Skills!G9&gt;0,Skills!H9/Skills!G9,1)+IF(Skills!G9&gt;0,MIN(Skills!H9,MAX(0,MAX(0,Inputs!$B$43-B1327)-((R1303-1)*IF(Inputs!$B$38="pvp",15,MAX(0.1,Skills!D9-IF(Skills!E9=TRUE,4.0,0))))))/Skills!G9,1)))/Inputs!$B$43),G1303*Q1303))*IF(Inputs!$B$38="pvp",1,1+(Inputs!$B$20+Skills!O9+B1321)/100),0)</f>
        <v/>
      </c>
      <c r="U1303">
        <f>IF(C1303,(H1303*N1303*IF(AND(Inputs!$B$38&lt;&gt;"pvp",Inputs!$B$43&gt;0),((Skills!F9*((R1303-1)*IF(Skills!G9&gt;0,Skills!H9/Skills!G9,1)+IF(Skills!G9&gt;0,MIN(Skills!H9,MAX(0,MAX(0,Inputs!$B$43-B1327)-((R1303-1)*IF(Inputs!$B$38="pvp",15,MAX(0.1,Skills!D9-IF(Skills!E9=TRUE,4.0,0))))))/Skills!G9,1)))/Inputs!$B$43),G1303*Q1303))*IF(Inputs!$B$38="pvp",1,(1+(Inputs!$B$21+Skills!P9+B1321)/100)*(MIN(Skills!Q9,Inputs!$B$37))),0)</f>
        <v/>
      </c>
    </row>
    <row r="1304">
      <c r="A1304">
        <f>Skills!A10</f>
        <v/>
      </c>
      <c r="B1304">
        <f>Skills!B10</f>
        <v/>
      </c>
      <c r="C1304">
        <f>Inputs!$B$3&gt;=113</f>
        <v/>
      </c>
      <c r="D1304">
        <f>IF(Skills!C10=1,60+Inputs!$B$25+Inputs!$B$29,IF(Skills!C10=2,90+Inputs!$B$26+Inputs!$B$29,IF(Skills!C10=3,120+Inputs!$B$27+Inputs!$B$29,MAX(0,(Inputs!$B$3-100)*3)+Inputs!$B$28+Inputs!$B$29)))</f>
        <v/>
      </c>
      <c r="E1304">
        <f>INDEX(FactorTable!$B$2:$Y$301, MATCH(ROUND(MIN(300,MAX(1,D1304)),0), FactorTable!$A$2:$A$301,0), Skills!L10+1)</f>
        <v/>
      </c>
      <c r="F1304">
        <f>IF(Skills!M10=TRUE,(Skills!K10/10)*(E1304/1000),Skills!K10/10)+Skills!N10</f>
        <v/>
      </c>
      <c r="G1304">
        <f>Calc!G10</f>
        <v/>
      </c>
      <c r="H1304">
        <f>Calc!H10</f>
        <v/>
      </c>
      <c r="I1304">
        <f>IF(Skills!T10&lt;&gt;"",1+(Skills!T10/10)*(Z1297/1000)/100,1)</f>
        <v/>
      </c>
      <c r="J1304">
        <f>((Inputs!$B$6*(1+Inputs!$B$7/100))+(((Inputs!$B$12*(1+Inputs!$B$13/100))-(Inputs!$B$12*(1+Inputs!$B$13/100)))+0.25*(Inputs!$B$14-Inputs!$B$14))*(1+Inputs!$B$7/100))*(F1304/100)</f>
        <v/>
      </c>
      <c r="K1304">
        <f>J1304*(1+((Inputs!$B$12*(1+Inputs!$B$13/100))*0.01+Inputs!$B$14*0.0025)/100)*(1+(Inputs!$B$15+B1322)/100)*(1+Inputs!$B$16/100)*(5000/(6000+Inputs!$B$42*(1-Inputs!$B$19/100)))*(1+Inputs!$B$24/100)*(1+IF(C1309=TRUE,F1309,0)/100)*(1+IF(C1317=TRUE,F1317,0)/100)^5*(1+(IF(Skills!A10="CHAIN_LIGHTNING",Inputs!$B$17,Inputs!$B$18))/100)*(B1320*I1304)</f>
        <v/>
      </c>
      <c r="L1304">
        <f>K1304*(MIN(Inputs!$B$22+(F1312-Calc!F18),Inputs!$B$23)/100+Inputs!$B$23/100)/2</f>
        <v/>
      </c>
      <c r="M1304">
        <f>L1304*(1+(Inputs!$B$10+(F1315-Calc!F21))/100)</f>
        <v/>
      </c>
      <c r="N1304">
        <f>L1304*(1-MIN(Inputs!$B$9+((F1314-Calc!F20)+(F1313-Calc!F19)),100)/100)+M1304*(MIN(Inputs!$B$9+((F1314-Calc!F20)+(F1313-Calc!F19)),100)/100)</f>
        <v/>
      </c>
      <c r="O1304">
        <f>(1-Summary!$B$51)*S1304+Summary!$B$51*U1304</f>
        <v/>
      </c>
      <c r="P1304">
        <f>IF(B1330=0,0,O1304/B1330)</f>
        <v/>
      </c>
      <c r="Q1304">
        <f>IFERROR(1/IF(Inputs!$B$38="pvp",15,MAX(0.1,Skills!D10-IF(Skills!E9=TRUE,4.0,0))),0)</f>
        <v/>
      </c>
      <c r="R1304">
        <f>IF(AND(Inputs!$B$38&lt;&gt;"pvp",Inputs!$B$43&gt;0),IF(MAX(0,Inputs!$B$43-B1327)&lt;=0,0,(INT(MAX(0,Inputs!$B$43-B1327)/IF(Inputs!$B$38="pvp",15,MAX(0.1,Skills!D10-IF(Skills!E9=TRUE,4.0,0))))+1)),0)</f>
        <v/>
      </c>
      <c r="S1304">
        <f>IF(C1304,(H1304*N1304*IF(AND(Inputs!$B$38&lt;&gt;"pvp",Inputs!$B$43&gt;0),((Skills!F10*((R1304-1)*IF(Skills!G10&gt;0,Skills!H10/Skills!G10,1)+IF(Skills!G10&gt;0,MIN(Skills!H10,MAX(0,MAX(0,Inputs!$B$43-B1327)-((R1304-1)*IF(Inputs!$B$38="pvp",15,MAX(0.1,Skills!D10-IF(Skills!E9=TRUE,4.0,0))))))/Skills!G10,1)))/Inputs!$B$43),G1304*Q1304))*IF(Inputs!$B$38="pvp",1,1+(Inputs!$B$20+Skills!O10+B1321)/100),0)</f>
        <v/>
      </c>
      <c r="U1304">
        <f>IF(C1304,(H1304*N1304*IF(AND(Inputs!$B$38&lt;&gt;"pvp",Inputs!$B$43&gt;0),((Skills!F10*((R1304-1)*IF(Skills!G10&gt;0,Skills!H10/Skills!G10,1)+IF(Skills!G10&gt;0,MIN(Skills!H10,MAX(0,MAX(0,Inputs!$B$43-B1327)-((R1304-1)*IF(Inputs!$B$38="pvp",15,MAX(0.1,Skills!D10-IF(Skills!E9=TRUE,4.0,0))))))/Skills!G10,1)))/Inputs!$B$43),G1304*Q1304))*IF(Inputs!$B$38="pvp",1,(1+(Inputs!$B$21+Skills!P10+B1321)/100)*(MIN(Skills!Q10,Inputs!$B$37))),0)</f>
        <v/>
      </c>
    </row>
    <row r="1305">
      <c r="A1305">
        <f>Skills!A11</f>
        <v/>
      </c>
      <c r="B1305">
        <f>Skills!B11</f>
        <v/>
      </c>
      <c r="C1305">
        <f>Inputs!$B$3&gt;=107</f>
        <v/>
      </c>
      <c r="D1305">
        <f>IF(Skills!C11=1,60+Inputs!$B$25+Inputs!$B$29,IF(Skills!C11=2,90+Inputs!$B$26+Inputs!$B$29,IF(Skills!C11=3,120+Inputs!$B$27+Inputs!$B$29,MAX(0,(Inputs!$B$3-100)*3)+Inputs!$B$28+Inputs!$B$29)))</f>
        <v/>
      </c>
      <c r="E1305">
        <f>INDEX(FactorTable!$B$2:$Y$301, MATCH(ROUND(MIN(300,MAX(1,D1305)),0), FactorTable!$A$2:$A$301,0), Skills!L11+1)</f>
        <v/>
      </c>
      <c r="F1305">
        <f>IF(Skills!M11=TRUE,(Skills!K11/10)*(E1305/1000),Skills!K11/10)+Skills!N11</f>
        <v/>
      </c>
      <c r="G1305">
        <f>Calc!G11</f>
        <v/>
      </c>
      <c r="H1305">
        <f>Calc!H11</f>
        <v/>
      </c>
      <c r="I1305">
        <f>IF(Skills!T11&lt;&gt;"",1+(Skills!T11/10)*(Z1297/1000)/100,1)</f>
        <v/>
      </c>
      <c r="J1305">
        <f>((Inputs!$B$6*(1+Inputs!$B$7/100))+(((Inputs!$B$12*(1+Inputs!$B$13/100))-(Inputs!$B$12*(1+Inputs!$B$13/100)))+0.25*(Inputs!$B$14-Inputs!$B$14))*(1+Inputs!$B$7/100))*(F1305/100)</f>
        <v/>
      </c>
      <c r="K1305">
        <f>J1305*(1+((Inputs!$B$12*(1+Inputs!$B$13/100))*0.01+Inputs!$B$14*0.0025)/100)*(1+(Inputs!$B$15+B1322)/100)*(1+Inputs!$B$16/100)*(5000/(6000+Inputs!$B$42*(1-Inputs!$B$19/100)))*(1+Inputs!$B$24/100)*(1+IF(C1309=TRUE,F1309,0)/100)*(1+IF(C1317=TRUE,F1317,0)/100)^5*(1+(IF(Skills!A11="CHAIN_LIGHTNING",Inputs!$B$17,Inputs!$B$18))/100)*(B1320*I1305)</f>
        <v/>
      </c>
      <c r="L1305">
        <f>K1305*(MIN(Inputs!$B$22+(F1312-Calc!F18),Inputs!$B$23)/100+Inputs!$B$23/100)/2</f>
        <v/>
      </c>
      <c r="M1305">
        <f>L1305*(1+(Inputs!$B$10+(F1315-Calc!F21))/100)</f>
        <v/>
      </c>
      <c r="N1305">
        <f>L1305*(1-MIN(Inputs!$B$9+((F1314-Calc!F20)+(F1313-Calc!F19)),100)/100)+M1305*(MIN(Inputs!$B$9+((F1314-Calc!F20)+(F1313-Calc!F19)),100)/100)</f>
        <v/>
      </c>
      <c r="O1305">
        <f>(1-Summary!$B$51)*S1305+Summary!$B$51*U1305</f>
        <v/>
      </c>
      <c r="P1305">
        <f>IF(B1330=0,0,O1305/B1330)</f>
        <v/>
      </c>
      <c r="Q1305">
        <f>IFERROR(1/IF(Inputs!$B$38="pvp",15,MAX(0.1,Skills!D11-IF(Skills!E11=TRUE,4.0,0))),0)</f>
        <v/>
      </c>
      <c r="R1305">
        <f>IF(AND(Inputs!$B$38&lt;&gt;"pvp",Inputs!$B$43&gt;0),IF(MAX(0,Inputs!$B$43-B1327)&lt;=0,0,(INT(MAX(0,Inputs!$B$43-B1327)/IF(Inputs!$B$38="pvp",15,MAX(0.1,Skills!D11-IF(Skills!E11=TRUE,4.0,0))))+1)),0)</f>
        <v/>
      </c>
      <c r="S1305">
        <f>IF(C1305,H1305*N1305*IF(AND(Inputs!$B$38&lt;&gt;"pvp",Inputs!$B$43&gt;0),((Skills!F11*((R1305-1)*IF(Skills!G11&gt;0,Skills!H11/Skills!G11,1)+IF(Skills!G11&gt;0,MIN(Skills!H11,MAX(0,MAX(0,Inputs!$B$43-B1327)-((R1305-1)*IF(Inputs!$B$38="pvp",15,MAX(0.1,Skills!D11-IF(Skills!E11=TRUE,4.0,0))))))/Skills!G11,1)))/Inputs!$B$43),G1305*Q1305)*0.5*IF(Inputs!$B$38="pvp",1,1+(Inputs!$B$20+Skills!O11+B1321)/100),0)</f>
        <v/>
      </c>
      <c r="U1305">
        <f>IF(C1305,H1305*N1305*IF(AND(Inputs!$B$38&lt;&gt;"pvp",Inputs!$B$43&gt;0),((Skills!F11*((R1305-1)*IF(Skills!G11&gt;0,Skills!H11/Skills!G11,1)+IF(Skills!G11&gt;0,MIN(Skills!H11,MAX(0,MAX(0,Inputs!$B$43-B1327)-((R1305-1)*IF(Inputs!$B$38="pvp",15,MAX(0.1,Skills!D11-IF(Skills!E11=TRUE,4.0,0))))))/Skills!G11,1)))/Inputs!$B$43),G1305*Q1305)*1*IF(Inputs!$B$38="pvp",1,(1+(Inputs!$B$21+Skills!P11+B1321)/100)*(MIN(Skills!Q11,Inputs!$B$37))),0)</f>
        <v/>
      </c>
    </row>
    <row r="1306">
      <c r="A1306">
        <f>Skills!A12</f>
        <v/>
      </c>
      <c r="B1306">
        <f>Skills!B12</f>
        <v/>
      </c>
      <c r="C1306">
        <f>Inputs!$B$3&gt;=115</f>
        <v/>
      </c>
      <c r="D1306">
        <f>IF(Skills!C12=1,60+Inputs!$B$25+Inputs!$B$29,IF(Skills!C12=2,90+Inputs!$B$26+Inputs!$B$29,IF(Skills!C12=3,120+Inputs!$B$27+Inputs!$B$29,MAX(0,(Inputs!$B$3-100)*3)+Inputs!$B$28+Inputs!$B$29)))</f>
        <v/>
      </c>
      <c r="E1306">
        <f>INDEX(FactorTable!$B$2:$Y$301, MATCH(ROUND(MIN(300,MAX(1,D1306)),0), FactorTable!$A$2:$A$301,0), Skills!L12+1)</f>
        <v/>
      </c>
      <c r="F1306">
        <f>IF(Skills!M12=TRUE,(Skills!K12/10)*(E1306/1000),Skills!K12/10)+Skills!N12</f>
        <v/>
      </c>
      <c r="G1306">
        <f>Calc!G12</f>
        <v/>
      </c>
      <c r="H1306">
        <f>Calc!H12</f>
        <v/>
      </c>
      <c r="I1306">
        <f>IF(Skills!T12&lt;&gt;"",1+(Skills!T12/10)*(Z1297/1000)/100,1)</f>
        <v/>
      </c>
      <c r="J1306">
        <f>((Inputs!$B$6*(1+Inputs!$B$7/100))+(((Inputs!$B$12*(1+Inputs!$B$13/100))-(Inputs!$B$12*(1+Inputs!$B$13/100)))+0.25*(Inputs!$B$14-Inputs!$B$14))*(1+Inputs!$B$7/100))*(F1306/100)</f>
        <v/>
      </c>
      <c r="K1306">
        <f>J1306*(1+((Inputs!$B$12*(1+Inputs!$B$13/100))*0.01+Inputs!$B$14*0.0025)/100)*(1+(Inputs!$B$15+B1322)/100)*(1+Inputs!$B$16/100)*(5000/(6000+Inputs!$B$42*(1-Inputs!$B$19/100)))*(1+Inputs!$B$24/100)*(1+IF(C1309=TRUE,F1309,0)/100)*(1+IF(C1317=TRUE,F1317,0)/100)^5*(1+(IF(Skills!A12="CHAIN_LIGHTNING",Inputs!$B$17,Inputs!$B$18))/100)*(B1320*I1306)</f>
        <v/>
      </c>
      <c r="L1306">
        <f>K1306*(MIN(Inputs!$B$22+(F1312-Calc!F18),Inputs!$B$23)/100+Inputs!$B$23/100)/2</f>
        <v/>
      </c>
      <c r="M1306">
        <f>L1306*(1+(Inputs!$B$10+(F1315-Calc!F21))/100)</f>
        <v/>
      </c>
      <c r="N1306">
        <f>L1306*(1-MIN(Inputs!$B$9+((F1314-Calc!F20)+(F1313-Calc!F19)),100)/100)+M1306*(MIN(Inputs!$B$9+((F1314-Calc!F20)+(F1313-Calc!F19)),100)/100)</f>
        <v/>
      </c>
      <c r="O1306">
        <f>(1-Summary!$B$51)*S1306+Summary!$B$51*U1306</f>
        <v/>
      </c>
      <c r="P1306">
        <f>IF(B1330=0,0,O1306/B1330)</f>
        <v/>
      </c>
      <c r="Q1306">
        <f>IFERROR(1/IF(Inputs!$B$38="pvp",15,MAX(0.1,Skills!D12-IF(Skills!E12=TRUE,4.0,0))),0)</f>
        <v/>
      </c>
      <c r="R1306">
        <f>IF(AND(Inputs!$B$38&lt;&gt;"pvp",Inputs!$B$43&gt;0),IF(MAX(0,Inputs!$B$43-B1327)&lt;=0,0,(INT(MAX(0,Inputs!$B$43-B1327)/IF(Inputs!$B$38="pvp",15,MAX(0.1,Skills!D12-IF(Skills!E12=TRUE,4.0,0))))+1)),0)</f>
        <v/>
      </c>
      <c r="S1306">
        <f>IF(C1306,(H1306*N1306*IF(AND(Inputs!$B$38&lt;&gt;"pvp",Inputs!$B$43&gt;0),((Skills!F12*((R1306-1)*IF(Skills!G12&gt;0,Skills!H12/Skills!G12,1)+IF(Skills!G12&gt;0,MIN(Skills!H12,MAX(0,MAX(0,Inputs!$B$43-B1327)-((R1306-1)*IF(Inputs!$B$38="pvp",15,MAX(0.1,Skills!D12-IF(Skills!E12=TRUE,4.0,0))))))/Skills!G12,1)))/Inputs!$B$43),G1306*Q1306))*IF(Inputs!$B$38="pvp",1,1+(Inputs!$B$20+Skills!O12+B1321)/100),0)</f>
        <v/>
      </c>
      <c r="U1306">
        <f>IF(C1306,(H1306*N1306*IF(AND(Inputs!$B$38&lt;&gt;"pvp",Inputs!$B$43&gt;0),((Skills!F12*((R1306-1)*IF(Skills!G12&gt;0,Skills!H12/Skills!G12,1)+IF(Skills!G12&gt;0,MIN(Skills!H12,MAX(0,MAX(0,Inputs!$B$43-B1327)-((R1306-1)*IF(Inputs!$B$38="pvp",15,MAX(0.1,Skills!D12-IF(Skills!E12=TRUE,4.0,0))))))/Skills!G12,1)))/Inputs!$B$43),G1306*Q1306))*IF(Inputs!$B$38="pvp",1,(1+(Inputs!$B$21+Skills!P12+B1321)/100)*(MIN(Skills!Q12,Inputs!$B$37))),0)</f>
        <v/>
      </c>
    </row>
    <row r="1307">
      <c r="A1307">
        <f>Skills!A13</f>
        <v/>
      </c>
      <c r="B1307">
        <f>Skills!B13</f>
        <v/>
      </c>
      <c r="C1307">
        <f>Inputs!$B$3&gt;=49</f>
        <v/>
      </c>
      <c r="D1307">
        <f>IF(Skills!C13=1,60+Inputs!$B$25+Inputs!$B$29,IF(Skills!C13=2,90+Inputs!$B$26+Inputs!$B$29,IF(Skills!C13=3,120+Inputs!$B$27+Inputs!$B$29,MAX(0,(Inputs!$B$3-100)*3)+Inputs!$B$28+Inputs!$B$29)))</f>
        <v/>
      </c>
      <c r="E1307">
        <f>INDEX(FactorTable!$B$2:$Y$301, MATCH(ROUND(MIN(300,MAX(1,D1307)),0), FactorTable!$A$2:$A$301,0), Skills!L13+1)</f>
        <v/>
      </c>
      <c r="F1307">
        <f>IF(Skills!M13=TRUE,(Skills!K13/10)*(E1307/1000),Skills!K13/10)+Skills!N13</f>
        <v/>
      </c>
      <c r="G1307">
        <f>Calc!G13</f>
        <v/>
      </c>
      <c r="H1307">
        <f>Calc!H13</f>
        <v/>
      </c>
      <c r="I1307">
        <f>IF(Skills!T13&lt;&gt;"",1+(Skills!T13/10)*(Z1297/1000)/100,1)</f>
        <v/>
      </c>
      <c r="J1307" t="inlineStr"/>
      <c r="K1307" t="inlineStr"/>
      <c r="L1307" t="inlineStr"/>
      <c r="M1307" t="inlineStr"/>
      <c r="N1307" t="inlineStr"/>
      <c r="O1307">
        <f>(1-Summary!$B$51)*S1307+Summary!$B$51*U1307</f>
        <v/>
      </c>
      <c r="P1307">
        <f>IF(B1330=0,0,O1307/B1330)</f>
        <v/>
      </c>
      <c r="Q1307">
        <f>IFERROR(1/IF(Inputs!$B$38="pvp",15,MAX(0.1,Skills!D13-IF(Skills!E13=TRUE,4.0,0))),0)</f>
        <v/>
      </c>
      <c r="R1307" t="n">
        <v>0</v>
      </c>
      <c r="S1307" t="n">
        <v>0</v>
      </c>
      <c r="U1307" t="n">
        <v>0</v>
      </c>
    </row>
    <row r="1308">
      <c r="A1308">
        <f>Skills!A14</f>
        <v/>
      </c>
      <c r="B1308">
        <f>Skills!B14</f>
        <v/>
      </c>
      <c r="C1308">
        <f>Inputs!$B$3&gt;=72</f>
        <v/>
      </c>
      <c r="D1308">
        <f>IF(Skills!C14=1,60+Inputs!$B$25+Inputs!$B$29,IF(Skills!C14=2,90+Inputs!$B$26+Inputs!$B$29,IF(Skills!C14=3,120+Inputs!$B$27+Inputs!$B$29,MAX(0,(Inputs!$B$3-100)*3)+Inputs!$B$28+Inputs!$B$29)))</f>
        <v/>
      </c>
      <c r="E1308">
        <f>INDEX(FactorTable!$B$2:$Y$301, MATCH(ROUND(MIN(300,MAX(1,D1308)),0), FactorTable!$A$2:$A$301,0), Skills!L14+1)</f>
        <v/>
      </c>
      <c r="F1308">
        <f>IF(Skills!M14=TRUE,(Skills!K14/10)*(E1308/1000),Skills!K14/10)+Skills!N14</f>
        <v/>
      </c>
      <c r="G1308">
        <f>Calc!G14</f>
        <v/>
      </c>
      <c r="H1308">
        <f>Calc!H14</f>
        <v/>
      </c>
      <c r="I1308">
        <f>IF(Skills!T14&lt;&gt;"",1+(Skills!T14/10)*(Z1297/1000)/100,1)</f>
        <v/>
      </c>
      <c r="J1308" t="inlineStr"/>
      <c r="K1308" t="inlineStr"/>
      <c r="L1308" t="inlineStr"/>
      <c r="M1308" t="inlineStr"/>
      <c r="N1308" t="inlineStr"/>
      <c r="O1308">
        <f>(1-Summary!$B$51)*S1308+Summary!$B$51*U1308</f>
        <v/>
      </c>
      <c r="P1308">
        <f>IF(B1330=0,0,O1308/B1330)</f>
        <v/>
      </c>
      <c r="Q1308">
        <f>IFERROR(1/IF(Inputs!$B$38="pvp",15,MAX(0.1,Skills!D14-IF(Skills!E14=TRUE,4.0,0))),0)</f>
        <v/>
      </c>
      <c r="R1308" t="n">
        <v>0</v>
      </c>
      <c r="S1308" t="n">
        <v>0</v>
      </c>
      <c r="U1308" t="n">
        <v>0</v>
      </c>
    </row>
    <row r="1309">
      <c r="A1309">
        <f>Skills!A15</f>
        <v/>
      </c>
      <c r="B1309">
        <f>Skills!B15</f>
        <v/>
      </c>
      <c r="C1309">
        <f>Inputs!$B$3&gt;=75</f>
        <v/>
      </c>
      <c r="D1309">
        <f>IF(Skills!C15=1,60+Inputs!$B$25+Inputs!$B$29,IF(Skills!C15=2,90+Inputs!$B$26+Inputs!$B$29,IF(Skills!C15=3,120+Inputs!$B$27+Inputs!$B$29,MAX(0,(Inputs!$B$3-100)*3)+Inputs!$B$28+Inputs!$B$29)))</f>
        <v/>
      </c>
      <c r="E1309">
        <f>INDEX(FactorTable!$B$2:$Y$301, MATCH(ROUND(MIN(300,MAX(1,D1309)),0), FactorTable!$A$2:$A$301,0), Skills!L15+1)</f>
        <v/>
      </c>
      <c r="F1309">
        <f>IF(Skills!M15=TRUE,(Skills!K15/10)*(E1309/1000),Skills!K15/10)+Skills!N15</f>
        <v/>
      </c>
      <c r="G1309">
        <f>Calc!G15</f>
        <v/>
      </c>
      <c r="H1309">
        <f>Calc!H15</f>
        <v/>
      </c>
      <c r="I1309">
        <f>IF(Skills!T15&lt;&gt;"",1+(Skills!T15/10)*(Z1297/1000)/100,1)</f>
        <v/>
      </c>
      <c r="J1309" t="inlineStr"/>
      <c r="K1309" t="inlineStr"/>
      <c r="L1309" t="inlineStr"/>
      <c r="M1309" t="inlineStr"/>
      <c r="N1309" t="inlineStr"/>
      <c r="O1309">
        <f>(1-Summary!$B$51)*S1309+Summary!$B$51*U1309</f>
        <v/>
      </c>
      <c r="P1309">
        <f>IF(B1330=0,0,O1309/B1330)</f>
        <v/>
      </c>
      <c r="Q1309">
        <f>IFERROR(1/IF(Inputs!$B$38="pvp",15,MAX(0.1,Skills!D15-IF(Skills!E15=TRUE,4.0,0))),0)</f>
        <v/>
      </c>
      <c r="R1309" t="n">
        <v>0</v>
      </c>
      <c r="S1309" t="n">
        <v>0</v>
      </c>
      <c r="U1309" t="n">
        <v>0</v>
      </c>
    </row>
    <row r="1310">
      <c r="A1310">
        <f>Skills!A16</f>
        <v/>
      </c>
      <c r="B1310">
        <f>Skills!B16</f>
        <v/>
      </c>
      <c r="C1310">
        <f>Inputs!$B$3&gt;=110</f>
        <v/>
      </c>
      <c r="D1310">
        <f>IF(Skills!C16=1,60+Inputs!$B$25+Inputs!$B$29,IF(Skills!C16=2,90+Inputs!$B$26+Inputs!$B$29,IF(Skills!C16=3,120+Inputs!$B$27+Inputs!$B$29,MAX(0,(Inputs!$B$3-100)*3)+Inputs!$B$28+Inputs!$B$29)))</f>
        <v/>
      </c>
      <c r="E1310">
        <f>INDEX(FactorTable!$B$2:$Y$301, MATCH(ROUND(MIN(300,MAX(1,D1310)),0), FactorTable!$A$2:$A$301,0), Skills!L16+1)</f>
        <v/>
      </c>
      <c r="F1310">
        <f>(Skills!K16/10)*(E1310/1000)*64/45+Skills!N16</f>
        <v/>
      </c>
      <c r="G1310">
        <f>Calc!G16</f>
        <v/>
      </c>
      <c r="H1310">
        <f>Calc!H16</f>
        <v/>
      </c>
      <c r="I1310">
        <f>IF(Skills!T16&lt;&gt;"",1+(Skills!T16/10)*(Z1297/1000)/100,1)</f>
        <v/>
      </c>
      <c r="J1310" t="inlineStr"/>
      <c r="K1310" t="inlineStr"/>
      <c r="L1310" t="inlineStr"/>
      <c r="M1310" t="inlineStr"/>
      <c r="N1310" t="inlineStr"/>
      <c r="O1310">
        <f>(1-Summary!$B$51)*S1310+Summary!$B$51*U1310</f>
        <v/>
      </c>
      <c r="P1310">
        <f>IF(B1330=0,0,O1310/B1330)</f>
        <v/>
      </c>
      <c r="Q1310">
        <f>IFERROR(1/IF(Inputs!$B$38="pvp",15,MAX(0.1,Skills!D16-IF(Skills!E16=TRUE,4.0,0))),0)</f>
        <v/>
      </c>
      <c r="R1310">
        <f>IF(AND(Inputs!$B$38&lt;&gt;"pvp",Inputs!$B$43&gt;0),IF(Inputs!$B$43&lt;=0,0,(INT(Inputs!$B$43/IF(Inputs!$B$38="pvp",15,MAX(0.1,Skills!D16-IF(Skills!E16=TRUE,4.0,0))))+1)),0)</f>
        <v/>
      </c>
      <c r="S1310" t="n">
        <v>0</v>
      </c>
      <c r="U1310" t="n">
        <v>0</v>
      </c>
    </row>
    <row r="1311">
      <c r="A1311">
        <f>Skills!A17</f>
        <v/>
      </c>
      <c r="B1311">
        <f>Skills!B17</f>
        <v/>
      </c>
      <c r="C1311">
        <f>Inputs!$B$3&gt;=33</f>
        <v/>
      </c>
      <c r="D1311">
        <f>IF(Skills!C17=1,60+Inputs!$B$25+Inputs!$B$29,IF(Skills!C17=2,90+Inputs!$B$26+Inputs!$B$29,IF(Skills!C17=3,120+Inputs!$B$27+Inputs!$B$29,MAX(0,(Inputs!$B$3-100)*3)+Inputs!$B$28+Inputs!$B$29)))</f>
        <v/>
      </c>
      <c r="E1311">
        <f>INDEX(FactorTable!$B$2:$Y$301, MATCH(ROUND(MIN(300,MAX(1,D1311)),0), FactorTable!$A$2:$A$301,0), Skills!L17+1)</f>
        <v/>
      </c>
      <c r="F1311">
        <f>IF(Skills!M17=TRUE,(Skills!K17/10)*(E1311/1000),Skills!K17/10)+Skills!N17</f>
        <v/>
      </c>
      <c r="G1311">
        <f>Calc!G17</f>
        <v/>
      </c>
      <c r="H1311">
        <f>Calc!H17</f>
        <v/>
      </c>
      <c r="I1311">
        <f>IF(Skills!T17&lt;&gt;"",1+(Skills!T17/10)*(Z1297/1000)/100,1)</f>
        <v/>
      </c>
      <c r="J1311" t="inlineStr"/>
      <c r="K1311" t="inlineStr"/>
      <c r="L1311" t="inlineStr"/>
      <c r="M1311" t="inlineStr"/>
      <c r="N1311" t="inlineStr"/>
      <c r="O1311">
        <f>(1-Summary!$B$51)*S1311+Summary!$B$51*U1311</f>
        <v/>
      </c>
      <c r="P1311">
        <f>IF(B1330=0,0,O1311/B1330)</f>
        <v/>
      </c>
      <c r="Q1311">
        <f>IFERROR(1/IF(Inputs!$B$38="pvp",15,MAX(0.1,Skills!D17-IF(Skills!E17=TRUE,4.0,0))),0)</f>
        <v/>
      </c>
      <c r="R1311" t="n">
        <v>0</v>
      </c>
      <c r="S1311" t="n">
        <v>0</v>
      </c>
      <c r="U1311" t="n">
        <v>0</v>
      </c>
    </row>
    <row r="1312">
      <c r="A1312">
        <f>Skills!A18</f>
        <v/>
      </c>
      <c r="B1312">
        <f>Skills!B18</f>
        <v/>
      </c>
      <c r="C1312">
        <f>Inputs!$B$3&gt;=43</f>
        <v/>
      </c>
      <c r="D1312">
        <f>IF(Skills!C18=1,60+Inputs!$B$25+Inputs!$B$29,IF(Skills!C18=2,90+Inputs!$B$26+Inputs!$B$29,IF(Skills!C18=3,120+Inputs!$B$27+Inputs!$B$29,MAX(0,(Inputs!$B$3-100)*3)+Inputs!$B$28+Inputs!$B$29)))</f>
        <v/>
      </c>
      <c r="E1312">
        <f>INDEX(FactorTable!$B$2:$Y$301, MATCH(ROUND(MIN(300,MAX(1,D1312)),0), FactorTable!$A$2:$A$301,0), Skills!L18+1)</f>
        <v/>
      </c>
      <c r="F1312">
        <f>IF(Skills!M18=TRUE,(Skills!K18/10)*(E1312/1000),Skills!K18/10)+Skills!N18</f>
        <v/>
      </c>
      <c r="G1312">
        <f>Calc!G18</f>
        <v/>
      </c>
      <c r="H1312">
        <f>Calc!H18</f>
        <v/>
      </c>
      <c r="I1312">
        <f>IF(Skills!T18&lt;&gt;"",1+(Skills!T18/10)*(Z1297/1000)/100,1)</f>
        <v/>
      </c>
      <c r="J1312" t="inlineStr"/>
      <c r="K1312" t="inlineStr"/>
      <c r="L1312" t="inlineStr"/>
      <c r="M1312" t="inlineStr"/>
      <c r="N1312" t="inlineStr"/>
      <c r="O1312">
        <f>(1-Summary!$B$51)*S1312+Summary!$B$51*U1312</f>
        <v/>
      </c>
      <c r="P1312">
        <f>IF(B1330=0,0,O1312/B1330)</f>
        <v/>
      </c>
      <c r="Q1312">
        <f>IFERROR(1/IF(Inputs!$B$38="pvp",15,MAX(0.1,Skills!D18-IF(Skills!E18=TRUE,4.0,0))),0)</f>
        <v/>
      </c>
      <c r="R1312" t="n">
        <v>0</v>
      </c>
      <c r="S1312" t="n">
        <v>0</v>
      </c>
      <c r="U1312" t="n">
        <v>0</v>
      </c>
    </row>
    <row r="1313">
      <c r="A1313">
        <f>Skills!A19</f>
        <v/>
      </c>
      <c r="B1313">
        <f>Skills!B19</f>
        <v/>
      </c>
      <c r="C1313">
        <f>Inputs!$B$3&gt;=50</f>
        <v/>
      </c>
      <c r="D1313">
        <f>IF(Skills!C19=1,60+Inputs!$B$25+Inputs!$B$29,IF(Skills!C19=2,90+Inputs!$B$26+Inputs!$B$29,IF(Skills!C19=3,120+Inputs!$B$27+Inputs!$B$29,MAX(0,(Inputs!$B$3-100)*3)+Inputs!$B$28+Inputs!$B$29)))</f>
        <v/>
      </c>
      <c r="E1313">
        <f>INDEX(FactorTable!$B$2:$Y$301, MATCH(ROUND(MIN(300,MAX(1,D1313)),0), FactorTable!$A$2:$A$301,0), Skills!L19+1)</f>
        <v/>
      </c>
      <c r="F1313">
        <f>IF(Skills!M19=TRUE,(Skills!K19/10)*(E1313/1000),Skills!K19/10)+Skills!N19</f>
        <v/>
      </c>
      <c r="G1313">
        <f>Calc!G19</f>
        <v/>
      </c>
      <c r="H1313">
        <f>Calc!H19</f>
        <v/>
      </c>
      <c r="I1313">
        <f>IF(Skills!T19&lt;&gt;"",1+(Skills!T19/10)*(Z1297/1000)/100,1)</f>
        <v/>
      </c>
      <c r="J1313" t="inlineStr"/>
      <c r="K1313" t="inlineStr"/>
      <c r="L1313" t="inlineStr"/>
      <c r="M1313" t="inlineStr"/>
      <c r="N1313" t="inlineStr"/>
      <c r="O1313">
        <f>(1-Summary!$B$51)*S1313+Summary!$B$51*U1313</f>
        <v/>
      </c>
      <c r="P1313">
        <f>IF(B1330=0,0,O1313/B1330)</f>
        <v/>
      </c>
      <c r="Q1313">
        <f>IFERROR(1/IF(Inputs!$B$38="pvp",15,MAX(0.1,Skills!D19-IF(Skills!E19=TRUE,4.0,0))),0)</f>
        <v/>
      </c>
      <c r="R1313" t="n">
        <v>0</v>
      </c>
      <c r="S1313" t="n">
        <v>0</v>
      </c>
      <c r="U1313" t="n">
        <v>0</v>
      </c>
    </row>
    <row r="1314">
      <c r="A1314">
        <f>Skills!A20</f>
        <v/>
      </c>
      <c r="B1314">
        <f>Skills!B20</f>
        <v/>
      </c>
      <c r="C1314">
        <f>Inputs!$B$3&gt;=74</f>
        <v/>
      </c>
      <c r="D1314">
        <f>IF(Skills!C20=1,60+Inputs!$B$25+Inputs!$B$29,IF(Skills!C20=2,90+Inputs!$B$26+Inputs!$B$29,IF(Skills!C20=3,120+Inputs!$B$27+Inputs!$B$29,MAX(0,(Inputs!$B$3-100)*3)+Inputs!$B$28+Inputs!$B$29)))</f>
        <v/>
      </c>
      <c r="E1314">
        <f>INDEX(FactorTable!$B$2:$Y$301, MATCH(ROUND(MIN(300,MAX(1,D1314)),0), FactorTable!$A$2:$A$301,0), Skills!L20+1)</f>
        <v/>
      </c>
      <c r="F1314">
        <f>IF(Skills!M20=TRUE,(Skills!K20/10)*(E1314/1000),Skills!K20/10)+Skills!N20</f>
        <v/>
      </c>
      <c r="G1314">
        <f>Calc!G20</f>
        <v/>
      </c>
      <c r="H1314">
        <f>Calc!H20</f>
        <v/>
      </c>
      <c r="I1314">
        <f>IF(Skills!T20&lt;&gt;"",1+(Skills!T20/10)*(Z1297/1000)/100,1)</f>
        <v/>
      </c>
      <c r="J1314" t="inlineStr"/>
      <c r="K1314" t="inlineStr"/>
      <c r="L1314" t="inlineStr"/>
      <c r="M1314" t="inlineStr"/>
      <c r="N1314" t="inlineStr"/>
      <c r="O1314">
        <f>(1-Summary!$B$51)*S1314+Summary!$B$51*U1314</f>
        <v/>
      </c>
      <c r="P1314">
        <f>IF(B1330=0,0,O1314/B1330)</f>
        <v/>
      </c>
      <c r="Q1314">
        <f>IFERROR(1/IF(Inputs!$B$38="pvp",15,MAX(0.1,Skills!D20-IF(Skills!E20=TRUE,4.0,0))),0)</f>
        <v/>
      </c>
      <c r="R1314" t="n">
        <v>0</v>
      </c>
      <c r="S1314" t="n">
        <v>0</v>
      </c>
      <c r="U1314" t="n">
        <v>0</v>
      </c>
    </row>
    <row r="1315">
      <c r="A1315">
        <f>Skills!A21</f>
        <v/>
      </c>
      <c r="B1315">
        <f>Skills!B21</f>
        <v/>
      </c>
      <c r="C1315">
        <f>Inputs!$B$3&gt;=74</f>
        <v/>
      </c>
      <c r="D1315">
        <f>IF(Skills!C21=1,60+Inputs!$B$25+Inputs!$B$29,IF(Skills!C21=2,90+Inputs!$B$26+Inputs!$B$29,IF(Skills!C21=3,120+Inputs!$B$27+Inputs!$B$29,MAX(0,(Inputs!$B$3-100)*3)+Inputs!$B$28+Inputs!$B$29)))</f>
        <v/>
      </c>
      <c r="E1315">
        <f>INDEX(FactorTable!$B$2:$Y$301, MATCH(ROUND(MIN(300,MAX(1,D1315)),0), FactorTable!$A$2:$A$301,0), Skills!L21+1)</f>
        <v/>
      </c>
      <c r="F1315">
        <f>IF(Skills!M21=TRUE,(Skills!K21/10)*(E1315/1000),Skills!K21/10)+Skills!N21</f>
        <v/>
      </c>
      <c r="G1315">
        <f>Calc!G21</f>
        <v/>
      </c>
      <c r="H1315">
        <f>Calc!H21</f>
        <v/>
      </c>
      <c r="I1315">
        <f>IF(Skills!T21&lt;&gt;"",1+(Skills!T21/10)*(Z1297/1000)/100,1)</f>
        <v/>
      </c>
      <c r="J1315" t="inlineStr"/>
      <c r="K1315" t="inlineStr"/>
      <c r="L1315" t="inlineStr"/>
      <c r="M1315" t="inlineStr"/>
      <c r="N1315" t="inlineStr"/>
      <c r="O1315">
        <f>(1-Summary!$B$51)*S1315+Summary!$B$51*U1315</f>
        <v/>
      </c>
      <c r="P1315">
        <f>IF(B1330=0,0,O1315/B1330)</f>
        <v/>
      </c>
      <c r="Q1315">
        <f>IFERROR(1/IF(Inputs!$B$38="pvp",15,MAX(0.1,Skills!D21-IF(Skills!E21=TRUE,4.0,0))),0)</f>
        <v/>
      </c>
      <c r="R1315" t="n">
        <v>0</v>
      </c>
      <c r="S1315" t="n">
        <v>0</v>
      </c>
      <c r="U1315" t="n">
        <v>0</v>
      </c>
    </row>
    <row r="1316">
      <c r="A1316">
        <f>Skills!A22</f>
        <v/>
      </c>
      <c r="B1316">
        <f>Skills!B22</f>
        <v/>
      </c>
      <c r="C1316">
        <f>Inputs!$B$3&gt;=117</f>
        <v/>
      </c>
      <c r="D1316">
        <f>IF(Skills!C22=1,60+Inputs!$B$25+Inputs!$B$29,IF(Skills!C22=2,90+Inputs!$B$26+Inputs!$B$29,IF(Skills!C22=3,120+Inputs!$B$27+Inputs!$B$29,MAX(0,(Inputs!$B$3-100)*3)+Inputs!$B$28+Inputs!$B$29)))</f>
        <v/>
      </c>
      <c r="E1316">
        <f>INDEX(FactorTable!$B$2:$Y$301, MATCH(ROUND(MIN(300,MAX(1,D1316)),0), FactorTable!$A$2:$A$301,0), Skills!L22+1)</f>
        <v/>
      </c>
      <c r="F1316">
        <f>IF(Skills!M22=TRUE,(Skills!K22/10)*(E1316/1000),Skills!K22/10)+Skills!N22</f>
        <v/>
      </c>
      <c r="G1316">
        <f>Calc!G22</f>
        <v/>
      </c>
      <c r="H1316">
        <f>Calc!H22</f>
        <v/>
      </c>
      <c r="I1316">
        <f>IF(Skills!T22&lt;&gt;"",1+(Skills!T22/10)*(Z1297/1000)/100,1)</f>
        <v/>
      </c>
      <c r="J1316" t="inlineStr"/>
      <c r="K1316" t="inlineStr"/>
      <c r="L1316" t="inlineStr"/>
      <c r="M1316" t="inlineStr"/>
      <c r="N1316" t="inlineStr"/>
      <c r="O1316">
        <f>(1-Summary!$B$51)*S1316+Summary!$B$51*U1316</f>
        <v/>
      </c>
      <c r="P1316">
        <f>IF(B1330=0,0,O1316/B1330)</f>
        <v/>
      </c>
      <c r="Q1316">
        <f>IFERROR(1/IF(Inputs!$B$38="pvp",15,MAX(0.1,Skills!D22-IF(Skills!E22=TRUE,4.0,0))),0)</f>
        <v/>
      </c>
      <c r="R1316" t="n">
        <v>0</v>
      </c>
      <c r="S1316" t="n">
        <v>0</v>
      </c>
      <c r="U1316" t="n">
        <v>0</v>
      </c>
    </row>
    <row r="1317">
      <c r="A1317">
        <f>Skills!A23</f>
        <v/>
      </c>
      <c r="B1317">
        <f>Skills!B23</f>
        <v/>
      </c>
      <c r="C1317">
        <f>Inputs!$B$3&gt;=120</f>
        <v/>
      </c>
      <c r="D1317">
        <f>IF(Skills!C23=1,60+Inputs!$B$25+Inputs!$B$29,IF(Skills!C23=2,90+Inputs!$B$26+Inputs!$B$29,IF(Skills!C23=3,120+Inputs!$B$27+Inputs!$B$29,MAX(0,(Inputs!$B$3-100)*3)+Inputs!$B$28+Inputs!$B$29)))</f>
        <v/>
      </c>
      <c r="E1317">
        <f>INDEX(FactorTable!$B$2:$Y$301, MATCH(ROUND(MIN(300,MAX(1,D1317)),0), FactorTable!$A$2:$A$301,0), Skills!L23+1)</f>
        <v/>
      </c>
      <c r="F1317">
        <f>IF(Skills!M23=TRUE,(Skills!K23/10)*(E1317/1000),Skills!K23/10)+Skills!N23</f>
        <v/>
      </c>
      <c r="G1317">
        <f>Calc!G23</f>
        <v/>
      </c>
      <c r="H1317">
        <f>Calc!H23</f>
        <v/>
      </c>
      <c r="I1317">
        <f>IF(Skills!T23&lt;&gt;"",1+(Skills!T23/10)*(Z1297/1000)/100,1)</f>
        <v/>
      </c>
      <c r="J1317" t="inlineStr"/>
      <c r="K1317" t="inlineStr"/>
      <c r="L1317" t="inlineStr"/>
      <c r="M1317" t="inlineStr"/>
      <c r="N1317" t="inlineStr"/>
      <c r="O1317">
        <f>(1-Summary!$B$51)*S1317+Summary!$B$51*U1317</f>
        <v/>
      </c>
      <c r="P1317">
        <f>IF(B1330=0,0,O1317/B1330)</f>
        <v/>
      </c>
      <c r="Q1317">
        <f>IFERROR(1/IF(Inputs!$B$38="pvp",15,MAX(0.1,Skills!D23-IF(Skills!E23=TRUE,4.0,0))),0)</f>
        <v/>
      </c>
      <c r="R1317" t="n">
        <v>0</v>
      </c>
      <c r="S1317" t="n">
        <v>0</v>
      </c>
      <c r="U1317" t="n">
        <v>0</v>
      </c>
    </row>
    <row r="1320">
      <c r="A1320" t="inlineStr">
        <is>
          <t>Average Buff Multiplier (Magic Guard + Meditation, summed; then Infinity)</t>
        </is>
      </c>
      <c r="B1320">
        <f>(1+(IF(C1297=TRUE,F1297*IF(AND(Inputs!$B$38&lt;&gt;"pvp",Inputs!$B$43&gt;0),(((R1297-1)*(Skills!S3*(1+(Inputs!$B$34+IF(Inputs!$B$3&gt;=117,F1316,0))/100))+MIN((Skills!S3*(1+(Inputs!$B$34+IF(Inputs!$B$3&gt;=117,F1316,0))/100)),MAX(0,Inputs!$B$43-((R1297-1)*Skills!D3))))/Inputs!$B$43),IF(Inputs!$B$38="pvp",MIN((Skills!S3*(1+(Inputs!$B$34+IF(Inputs!$B$3&gt;=117,F1316,0))/100)),15)/15,(Skills!S3*(1+(Inputs!$B$34+IF(Inputs!$B$3&gt;=117,F1316,0))/100))/Skills!D3)),0)+IF(C1298=TRUE,F1298*IF(AND(Inputs!$B$38&lt;&gt;"pvp",Inputs!$B$43&gt;0),(((R1298-1)*(Skills!S4*(1+(Inputs!$B$34+IF(Inputs!$B$3&gt;=117,F1316,0))/100))+MIN((Skills!S4*(1+(Inputs!$B$34+IF(Inputs!$B$3&gt;=117,F1316,0))/100)),MAX(0,Inputs!$B$43-((R1298-1)*Skills!D4))))/Inputs!$B$43),IF(Inputs!$B$38="pvp",MIN((Skills!S4*(1+(Inputs!$B$34+IF(Inputs!$B$3&gt;=117,F1316,0))/100)),15)/15,(Skills!S4*(1+(Inputs!$B$34+IF(Inputs!$B$3&gt;=117,F1316,0))/100))/Skills!D4)),0))/100)*IF(C1310=TRUE,(1+F1310*IF(AND(Inputs!$B$38&lt;&gt;"pvp",Inputs!$B$43&gt;0),(((R1310-1)*(Skills!S16*(1+(Inputs!$B$34+IF(Inputs!$B$3&gt;=117,F1316,0))/100))+MIN((Skills!S16*(1+(Inputs!$B$34+IF(Inputs!$B$3&gt;=117,F1316,0))/100)),MAX(0,Inputs!$B$43-((R1310-1)*Skills!D16))))/Inputs!$B$43),IF(Inputs!$B$38="pvp",MIN((Skills!S16*(1+(Inputs!$B$34+IF(Inputs!$B$3&gt;=117,F1316,0))/100)),15)/15,(Skills!S16*(1+(Inputs!$B$34+IF(Inputs!$B$3&gt;=117,F1316,0))/100))/Skills!D16))/100),1)</f>
        <v/>
      </c>
    </row>
    <row r="1321">
      <c r="A1321" t="inlineStr">
        <is>
          <t>Monster Damage Taken Bonus % (Freezing Breath - Weaken + Elemental Reset, summed)</t>
        </is>
      </c>
      <c r="B1321">
        <f>IF(Inputs!$B$3&gt;=118,15*IF(Inputs!$B$38="pvp",MIN((30*(1+(Inputs!$B$34+IF(Inputs!$B$3&gt;=117,F1316,0))/100)),15)/15,(30*(1+(Inputs!$B$34+IF(Inputs!$B$3&gt;=117,F1316,0))/100))/Skills!D8),0)+IF(C1308=TRUE,F1308,0)</f>
        <v/>
      </c>
    </row>
    <row r="1322">
      <c r="A1322" t="inlineStr">
        <is>
          <t>Damage % Bonus (Frozen Break + Frost Clutch, flat)</t>
        </is>
      </c>
      <c r="B1322">
        <f>IF(Inputs!$B$3&gt;=66,15,0)+IF(Inputs!$B$3&gt;=98,10,0)+IF(Inputs!$B$3&gt;=125,20,0)</f>
        <v/>
      </c>
    </row>
    <row r="1323">
      <c r="A1323" t="inlineStr">
        <is>
          <t>Attack Speed Bonus % (MP Eater - MP Boost, always-on once unlocked)</t>
        </is>
      </c>
      <c r="B1323">
        <f>IF(C1307=TRUE,F1307+(F1311-Calc!F17),0)</f>
        <v/>
      </c>
    </row>
    <row r="1324">
      <c r="A1324" t="inlineStr">
        <is>
          <t>Actions Per Second</t>
        </is>
      </c>
      <c r="B1324">
        <f>1+MIN(150,150*(1-(1-Inputs!$B$11/150)*(1-B1323/150)))/100</f>
        <v/>
      </c>
    </row>
    <row r="1325">
      <c r="A1325" t="inlineStr">
        <is>
          <t>Skill + Buff Cast Rate</t>
        </is>
      </c>
      <c r="B1325">
        <f>IF(AND(Inputs!$B$38&lt;&gt;"pvp",Inputs!$B$43&gt;0),SUMPRODUCT((Skills!E2:E23=TRUE)*(C1296:C1317=TRUE)*R1296:R1317)/Inputs!$B$43,SUMPRODUCT((Skills!E2:E23=TRUE)*(C1296:C1317=TRUE)*Q1296:Q1317))</f>
        <v/>
      </c>
    </row>
    <row r="1326">
      <c r="A1326" t="inlineStr">
        <is>
          <t>Chain Lightning Casts Per Second</t>
        </is>
      </c>
      <c r="B1326">
        <f>MAX(0,B1324-B1325)</f>
        <v/>
      </c>
    </row>
    <row r="1327">
      <c r="A1327" t="inlineStr">
        <is>
          <t>Buff-Casting Startup Delay (s, fixed-duration only)</t>
        </is>
      </c>
      <c r="B1327">
        <f>IF(AND(Inputs!$B$38&lt;&gt;"pvp",Inputs!$B$43&gt;0),SUMPRODUCT((Skills!S2:S23&gt;0)*(Skills!E2:E23=TRUE)*(C1296:C1317=TRUE))/B1324,0)</f>
        <v/>
      </c>
    </row>
    <row r="1328">
      <c r="A1328" t="inlineStr">
        <is>
          <t>Boss-Only Total DPS (this block's swept value)</t>
        </is>
      </c>
      <c r="B1328">
        <f>SUM(S1296:S1317)</f>
        <v/>
      </c>
    </row>
    <row r="1329">
      <c r="A1329" t="inlineStr">
        <is>
          <t>Normal-Only Total DPS (this block's swept value)</t>
        </is>
      </c>
      <c r="B1329">
        <f>SUM(U1296:U1317)</f>
        <v/>
      </c>
    </row>
    <row r="1330">
      <c r="A1330" s="5" t="inlineStr">
        <is>
          <t>TOTAL DPS</t>
        </is>
      </c>
      <c r="B1330" s="5">
        <f>SUM(O1296:O1317)</f>
        <v/>
      </c>
    </row>
    <row r="1333">
      <c r="A1333" s="5" t="inlineStr">
        <is>
          <t>Stat: CDR = 4.5s</t>
        </is>
      </c>
    </row>
    <row r="1334">
      <c r="A1334" s="9" t="inlineStr">
        <is>
          <t>Key</t>
        </is>
      </c>
      <c r="B1334" s="9" t="inlineStr">
        <is>
          <t>Name</t>
        </is>
      </c>
      <c r="C1334" s="9" t="inlineStr">
        <is>
          <t>Unlocked</t>
        </is>
      </c>
      <c r="D1334" s="9" t="inlineStr">
        <is>
          <t>InputLevel</t>
        </is>
      </c>
      <c r="E1334" s="9" t="inlineStr">
        <is>
          <t>Factor</t>
        </is>
      </c>
      <c r="F1334" s="9" t="inlineStr">
        <is>
          <t>CoefficientPercent</t>
        </is>
      </c>
      <c r="G1334" s="9" t="inlineStr">
        <is>
          <t>EffectiveHits</t>
        </is>
      </c>
      <c r="H1334" s="9" t="inlineStr">
        <is>
          <t>ProcProbability</t>
        </is>
      </c>
      <c r="I1334" s="9" t="inlineStr">
        <is>
          <t>MapleHeroMultiplier</t>
        </is>
      </c>
      <c r="J1334" s="9" t="inlineStr">
        <is>
          <t>BaseDamage</t>
        </is>
      </c>
      <c r="K1334" s="9" t="inlineStr">
        <is>
          <t>BaseHitDamage</t>
        </is>
      </c>
      <c r="L1334" s="9" t="inlineStr">
        <is>
          <t>NonCritAvg</t>
        </is>
      </c>
      <c r="M1334" s="9" t="inlineStr">
        <is>
          <t>CritAvg</t>
        </is>
      </c>
      <c r="N1334" s="9" t="inlineStr">
        <is>
          <t>ExpectedDamage(perHit)</t>
        </is>
      </c>
      <c r="O1334" s="9" t="inlineStr">
        <is>
          <t>DPS</t>
        </is>
      </c>
      <c r="P1334" s="9" t="inlineStr">
        <is>
          <t>% of Total</t>
        </is>
      </c>
      <c r="R1334" t="inlineStr">
        <is>
          <t>helpers</t>
        </is>
      </c>
    </row>
    <row r="1335">
      <c r="A1335">
        <f>Skills!A2</f>
        <v/>
      </c>
      <c r="B1335">
        <f>Skills!B2</f>
        <v/>
      </c>
      <c r="C1335">
        <f>Inputs!$B$3&gt;=100</f>
        <v/>
      </c>
      <c r="D1335" t="inlineStr"/>
      <c r="E1335" t="inlineStr"/>
      <c r="F1335">
        <f>T1337+Skills!N2</f>
        <v/>
      </c>
      <c r="G1335">
        <f>Calc!G2</f>
        <v/>
      </c>
      <c r="H1335">
        <f>Calc!H2</f>
        <v/>
      </c>
      <c r="I1335">
        <f>IF(Skills!T2&lt;&gt;"",1+(Skills!T2/10)*(Z1336/1000)/100,1)</f>
        <v/>
      </c>
      <c r="J1335">
        <f>((Inputs!$B$6*(1+Inputs!$B$7/100))+(((Inputs!$B$12*(1+Inputs!$B$13/100))-(Inputs!$B$12*(1+Inputs!$B$13/100)))+0.25*(Inputs!$B$14-Inputs!$B$14))*(1+Inputs!$B$7/100))*(F1335/100)</f>
        <v/>
      </c>
      <c r="K1335">
        <f>J1335*(1+((Inputs!$B$12*(1+Inputs!$B$13/100))*0.01+Inputs!$B$14*0.0025)/100)*(1+(Inputs!$B$15+B1361)/100)*(1+Inputs!$B$16/100)*(5000/(6000+Inputs!$B$42*(1-Inputs!$B$19/100)))*(1+Inputs!$B$24/100)*(1+IF(C1348=TRUE,F1348,0)/100)*(1+IF(C1356=TRUE,F1356,0)/100)^5*(1+(IF(Skills!A2="CHAIN_LIGHTNING",Inputs!$B$17,Inputs!$B$18))/100)*(B1359*I1335)</f>
        <v/>
      </c>
      <c r="L1335">
        <f>K1335*(MIN(Inputs!$B$22+(F1351-Calc!F18),Inputs!$B$23)/100+Inputs!$B$23/100)/2</f>
        <v/>
      </c>
      <c r="M1335">
        <f>L1335*(1+(Inputs!$B$10+(F1354-Calc!F21))/100)</f>
        <v/>
      </c>
      <c r="N1335">
        <f>L1335*(1-MIN(Inputs!$B$9+((F1353-Calc!F20)+(F1352-Calc!F19)),100)/100)+M1335*(MIN(Inputs!$B$9+((F1353-Calc!F20)+(F1352-Calc!F19)),100)/100)</f>
        <v/>
      </c>
      <c r="O1335">
        <f>(1-Summary!$B$51)*S1335+Summary!$B$51*U1335</f>
        <v/>
      </c>
      <c r="P1335">
        <f>IF(B1369=0,0,O1335/B1369)</f>
        <v/>
      </c>
      <c r="Q1335">
        <f>IFERROR(1/IF(Inputs!$B$38="pvp",15,MAX(0.1,Skills!D2-IF(Skills!E2=TRUE,4.5,0))),0)</f>
        <v/>
      </c>
      <c r="R1335" t="n">
        <v>0</v>
      </c>
      <c r="S1335">
        <f>IF(C1335,(Skills!F2*N1335*B1365)*IF(Inputs!$B$38="pvp",1,1+(Inputs!$B$20+Skills!O2+B1360)/100),0)</f>
        <v/>
      </c>
      <c r="T1335">
        <f>MAX(0,(Inputs!$B$3-100)*3)+Inputs!$B$28+Inputs!$B$29</f>
        <v/>
      </c>
      <c r="U1335">
        <f>IF(C1335,(Skills!F2*N1335*B1365)*IF(Inputs!$B$38="pvp",1,(1+(Inputs!$B$21+Skills!P2+B1360)/100)*(MIN((6+Inputs!$B$33),Inputs!$B$37))),0)</f>
        <v/>
      </c>
      <c r="Z1335">
        <f>MAX(0,(Inputs!$B$3-100)*3)+Inputs!$B$28+Inputs!$B$29</f>
        <v/>
      </c>
    </row>
    <row r="1336">
      <c r="A1336">
        <f>Skills!A3</f>
        <v/>
      </c>
      <c r="B1336">
        <f>Skills!B3</f>
        <v/>
      </c>
      <c r="C1336">
        <f>Inputs!$B$3&gt;=15</f>
        <v/>
      </c>
      <c r="D1336">
        <f>IF(Skills!C3=1,60+Inputs!$B$25+Inputs!$B$29,IF(Skills!C3=2,90+Inputs!$B$26+Inputs!$B$29,IF(Skills!C3=3,120+Inputs!$B$27+Inputs!$B$29,MAX(0,(Inputs!$B$3-100)*3)+Inputs!$B$28+Inputs!$B$29)))</f>
        <v/>
      </c>
      <c r="E1336">
        <f>INDEX(FactorTable!$B$2:$Y$301, MATCH(ROUND(MIN(300,MAX(1,D1336)),0), FactorTable!$A$2:$A$301,0), Skills!L3+1)</f>
        <v/>
      </c>
      <c r="F1336">
        <f>IF(Skills!M3=TRUE,(Skills!K3/10)*(E1336/1000),Skills!K3/10)+Skills!N3</f>
        <v/>
      </c>
      <c r="G1336">
        <f>Calc!G3</f>
        <v/>
      </c>
      <c r="H1336">
        <f>Calc!H3</f>
        <v/>
      </c>
      <c r="I1336">
        <f>IF(Skills!T3&lt;&gt;"",1+(Skills!T3/10)*(Z1336/1000)/100,1)</f>
        <v/>
      </c>
      <c r="J1336" t="inlineStr"/>
      <c r="K1336" t="inlineStr"/>
      <c r="L1336" t="inlineStr"/>
      <c r="M1336" t="inlineStr"/>
      <c r="N1336" t="inlineStr"/>
      <c r="O1336">
        <f>(1-Summary!$B$51)*S1336+Summary!$B$51*U1336</f>
        <v/>
      </c>
      <c r="P1336">
        <f>IF(B1369=0,0,O1336/B1369)</f>
        <v/>
      </c>
      <c r="Q1336">
        <f>IFERROR(1/IF(Inputs!$B$38="pvp",15,MAX(0.1,Skills!D3-IF(Skills!E3=TRUE,4.5,0))),0)</f>
        <v/>
      </c>
      <c r="R1336">
        <f>IF(AND(Inputs!$B$38&lt;&gt;"pvp",Inputs!$B$43&gt;0),IF(Inputs!$B$43&lt;=0,0,(INT(Inputs!$B$43/IF(Inputs!$B$38="pvp",15,MAX(0.1,Skills!D3-IF(Skills!E3=TRUE,4.5,0))))+1)),0)</f>
        <v/>
      </c>
      <c r="S1336" t="n">
        <v>0</v>
      </c>
      <c r="T1336">
        <f>INDEX(FactorTable!$B$2:$Y$301, MATCH(ROUND(MIN(300,MAX(1,T1335)),0), FactorTable!$A$2:$A$301,0), 22)</f>
        <v/>
      </c>
      <c r="U1336" t="n">
        <v>0</v>
      </c>
      <c r="Z1336">
        <f>INDEX(FactorTable!$B$2:$Y$301, MATCH(ROUND(MIN(300,MAX(1,Z1335)),0), FactorTable!$A$2:$A$301,0), 24)</f>
        <v/>
      </c>
    </row>
    <row r="1337">
      <c r="A1337">
        <f>Skills!A4</f>
        <v/>
      </c>
      <c r="B1337">
        <f>Skills!B4</f>
        <v/>
      </c>
      <c r="C1337">
        <f>Inputs!$B$3&gt;=40</f>
        <v/>
      </c>
      <c r="D1337">
        <f>IF(Skills!C4=1,60+Inputs!$B$25+Inputs!$B$29,IF(Skills!C4=2,90+Inputs!$B$26+Inputs!$B$29,IF(Skills!C4=3,120+Inputs!$B$27+Inputs!$B$29,MAX(0,(Inputs!$B$3-100)*3)+Inputs!$B$28+Inputs!$B$29)))</f>
        <v/>
      </c>
      <c r="E1337">
        <f>INDEX(FactorTable!$B$2:$Y$301, MATCH(ROUND(MIN(300,MAX(1,D1337)),0), FactorTable!$A$2:$A$301,0), Skills!L4+1)</f>
        <v/>
      </c>
      <c r="F1337">
        <f>IF(Skills!M4=TRUE,(Skills!K4/10)*(E1337/1000),Skills!K4/10)+Skills!N4</f>
        <v/>
      </c>
      <c r="G1337">
        <f>Calc!G4</f>
        <v/>
      </c>
      <c r="H1337">
        <f>Calc!H4</f>
        <v/>
      </c>
      <c r="I1337">
        <f>IF(Skills!T4&lt;&gt;"",1+(Skills!T4/10)*(Z1336/1000)/100,1)</f>
        <v/>
      </c>
      <c r="J1337" t="inlineStr"/>
      <c r="K1337" t="inlineStr"/>
      <c r="L1337" t="inlineStr"/>
      <c r="M1337" t="inlineStr"/>
      <c r="N1337" t="inlineStr"/>
      <c r="O1337">
        <f>(1-Summary!$B$51)*S1337+Summary!$B$51*U1337</f>
        <v/>
      </c>
      <c r="P1337">
        <f>IF(B1369=0,0,O1337/B1369)</f>
        <v/>
      </c>
      <c r="Q1337">
        <f>IFERROR(1/IF(Inputs!$B$38="pvp",15,MAX(0.1,Skills!D4-IF(Skills!E4=TRUE,4.5,0))),0)</f>
        <v/>
      </c>
      <c r="R1337">
        <f>IF(AND(Inputs!$B$38&lt;&gt;"pvp",Inputs!$B$43&gt;0),IF(Inputs!$B$43&lt;=0,0,(INT(Inputs!$B$43/IF(Inputs!$B$38="pvp",15,MAX(0.1,Skills!D4-IF(Skills!E4=TRUE,4.5,0))))+1)),0)</f>
        <v/>
      </c>
      <c r="S1337" t="n">
        <v>0</v>
      </c>
      <c r="T1337">
        <f>290*T1336/1000</f>
        <v/>
      </c>
      <c r="U1337" t="n">
        <v>0</v>
      </c>
    </row>
    <row r="1338">
      <c r="A1338">
        <f>Skills!A5</f>
        <v/>
      </c>
      <c r="B1338">
        <f>Skills!B5</f>
        <v/>
      </c>
      <c r="C1338">
        <f>Inputs!$B$3&gt;=38</f>
        <v/>
      </c>
      <c r="D1338">
        <f>IF(Skills!C5=1,60+Inputs!$B$25+Inputs!$B$29,IF(Skills!C5=2,90+Inputs!$B$26+Inputs!$B$29,IF(Skills!C5=3,120+Inputs!$B$27+Inputs!$B$29,MAX(0,(Inputs!$B$3-100)*3)+Inputs!$B$28+Inputs!$B$29)))</f>
        <v/>
      </c>
      <c r="E1338">
        <f>INDEX(FactorTable!$B$2:$Y$301, MATCH(ROUND(MIN(300,MAX(1,D1338)),0), FactorTable!$A$2:$A$301,0), Skills!L5+1)</f>
        <v/>
      </c>
      <c r="F1338">
        <f>IF(Skills!M5=TRUE,(Skills!K5/10)*(E1338/1000),Skills!K5/10)+Skills!N5</f>
        <v/>
      </c>
      <c r="G1338">
        <f>Calc!G5</f>
        <v/>
      </c>
      <c r="H1338">
        <f>Calc!H5</f>
        <v/>
      </c>
      <c r="I1338">
        <f>IF(Skills!T5&lt;&gt;"",1+(Skills!T5/10)*(Z1336/1000)/100,1)</f>
        <v/>
      </c>
      <c r="J1338">
        <f>((Inputs!$B$6*(1+Inputs!$B$7/100))+(((Inputs!$B$12*(1+Inputs!$B$13/100))-(Inputs!$B$12*(1+Inputs!$B$13/100)))+0.25*(Inputs!$B$14-Inputs!$B$14))*(1+Inputs!$B$7/100))*(F1338/100)</f>
        <v/>
      </c>
      <c r="K1338">
        <f>J1338*(1+((Inputs!$B$12*(1+Inputs!$B$13/100))*0.01+Inputs!$B$14*0.0025)/100)*(1+(Inputs!$B$15+B1361)/100)*(1+Inputs!$B$16/100)*(5000/(6000+Inputs!$B$42*(1-Inputs!$B$19/100)))*(1+Inputs!$B$24/100)*(1+IF(C1348=TRUE,F1348,0)/100)*(1+IF(C1356=TRUE,F1356,0)/100)^5*(1+(IF(Skills!A5="CHAIN_LIGHTNING",Inputs!$B$17,Inputs!$B$18))/100)*(B1359*I1338)</f>
        <v/>
      </c>
      <c r="L1338">
        <f>K1338*(MIN(Inputs!$B$22+(F1351-Calc!F18),Inputs!$B$23)/100+Inputs!$B$23/100)/2</f>
        <v/>
      </c>
      <c r="M1338">
        <f>L1338*(1+(Inputs!$B$10+(F1354-Calc!F21))/100)</f>
        <v/>
      </c>
      <c r="N1338">
        <f>L1338*(1-MIN(Inputs!$B$9+((F1353-Calc!F20)+(F1352-Calc!F19)),100)/100)+M1338*(MIN(Inputs!$B$9+((F1353-Calc!F20)+(F1352-Calc!F19)),100)/100)</f>
        <v/>
      </c>
      <c r="O1338">
        <f>(1-Summary!$B$51)*S1338+Summary!$B$51*U1338</f>
        <v/>
      </c>
      <c r="P1338">
        <f>IF(B1369=0,0,O1338/B1369)</f>
        <v/>
      </c>
      <c r="Q1338">
        <f>IFERROR(1/IF(Inputs!$B$38="pvp",15,MAX(0.1,Skills!D5-IF(Skills!E5=TRUE,4.5,0))),0)</f>
        <v/>
      </c>
      <c r="R1338">
        <f>IF(AND(Inputs!$B$38&lt;&gt;"pvp",Inputs!$B$43&gt;0),IF(MAX(0,Inputs!$B$43-B1366)&lt;=0,0,(INT(MAX(0,Inputs!$B$43-B1366)/IF(Inputs!$B$38="pvp",15,MAX(0.1,Skills!D5-IF(Skills!E5=TRUE,4.5,0))))+1)),0)</f>
        <v/>
      </c>
      <c r="S1338">
        <f>IF(C1338,(H1338*N1338*IF(AND(Inputs!$B$38&lt;&gt;"pvp",Inputs!$B$43&gt;0),((Skills!F5*((R1338-1)*IF(Skills!G5&gt;0,Skills!H5/Skills!G5,1)+IF(Skills!G5&gt;0,MIN(Skills!H5,MAX(0,MAX(0,Inputs!$B$43-B1366)-((R1338-1)*IF(Inputs!$B$38="pvp",15,MAX(0.1,Skills!D5-IF(Skills!E5=TRUE,4.5,0))))))/Skills!G5,1)))/Inputs!$B$43),G1338*Q1338))*IF(Inputs!$B$38="pvp",1,1+(Inputs!$B$20+Skills!O5+B1360)/100),0)</f>
        <v/>
      </c>
      <c r="U1338">
        <f>IF(C1338,(H1338*N1338*IF(AND(Inputs!$B$38&lt;&gt;"pvp",Inputs!$B$43&gt;0),((Skills!F5*((R1338-1)*IF(Skills!G5&gt;0,Skills!H5/Skills!G5,1)+IF(Skills!G5&gt;0,MIN(Skills!H5,MAX(0,MAX(0,Inputs!$B$43-B1366)-((R1338-1)*IF(Inputs!$B$38="pvp",15,MAX(0.1,Skills!D5-IF(Skills!E5=TRUE,4.5,0))))))/Skills!G5,1)))/Inputs!$B$43),G1338*Q1338))*IF(Inputs!$B$38="pvp",1,(1+(Inputs!$B$21+Skills!P5+B1360)/100)*(MIN(Skills!Q5,Inputs!$B$37))),0)</f>
        <v/>
      </c>
    </row>
    <row r="1339">
      <c r="A1339">
        <f>Skills!A6</f>
        <v/>
      </c>
      <c r="B1339">
        <f>Skills!B6</f>
        <v/>
      </c>
      <c r="C1339">
        <f>Inputs!$B$3&gt;=63</f>
        <v/>
      </c>
      <c r="D1339">
        <f>IF(Skills!C6=1,60+Inputs!$B$25+Inputs!$B$29,IF(Skills!C6=2,90+Inputs!$B$26+Inputs!$B$29,IF(Skills!C6=3,120+Inputs!$B$27+Inputs!$B$29,MAX(0,(Inputs!$B$3-100)*3)+Inputs!$B$28+Inputs!$B$29)))</f>
        <v/>
      </c>
      <c r="E1339">
        <f>INDEX(FactorTable!$B$2:$Y$301, MATCH(ROUND(MIN(300,MAX(1,D1339)),0), FactorTable!$A$2:$A$301,0), Skills!L6+1)</f>
        <v/>
      </c>
      <c r="F1339">
        <f>IF(Skills!M6=TRUE,(Skills!K6/10)*(E1339/1000),Skills!K6/10)+Skills!N6</f>
        <v/>
      </c>
      <c r="G1339">
        <f>Calc!G6</f>
        <v/>
      </c>
      <c r="H1339">
        <f>Calc!H6</f>
        <v/>
      </c>
      <c r="I1339">
        <f>IF(Skills!T6&lt;&gt;"",1+(Skills!T6/10)*(Z1336/1000)/100,1)</f>
        <v/>
      </c>
      <c r="J1339">
        <f>((Inputs!$B$6*(1+Inputs!$B$7/100))+(((Inputs!$B$12*(1+Inputs!$B$13/100))-(Inputs!$B$12*(1+Inputs!$B$13/100)))+0.25*(Inputs!$B$14-Inputs!$B$14))*(1+Inputs!$B$7/100))*(F1339/100)</f>
        <v/>
      </c>
      <c r="K1339">
        <f>J1339*(1+((Inputs!$B$12*(1+Inputs!$B$13/100))*0.01+Inputs!$B$14*0.0025)/100)*(1+(Inputs!$B$15+B1361)/100)*(1+Inputs!$B$16/100)*(5000/(6000+Inputs!$B$42*(1-Inputs!$B$19/100)))*(1+Inputs!$B$24/100)*(1+IF(C1348=TRUE,F1348,0)/100)*(1+IF(C1356=TRUE,F1356,0)/100)^5*(1+(IF(Skills!A6="CHAIN_LIGHTNING",Inputs!$B$17,Inputs!$B$18))/100)*(B1359*I1339)</f>
        <v/>
      </c>
      <c r="L1339">
        <f>K1339*(MIN(Inputs!$B$22+(F1351-Calc!F18),Inputs!$B$23)/100+Inputs!$B$23/100)/2</f>
        <v/>
      </c>
      <c r="M1339">
        <f>L1339*(1+(Inputs!$B$10+(F1354-Calc!F21))/100)</f>
        <v/>
      </c>
      <c r="N1339">
        <f>L1339*(1-MIN(Inputs!$B$9+((F1353-Calc!F20)+(F1352-Calc!F19)),100)/100)+M1339*(MIN(Inputs!$B$9+((F1353-Calc!F20)+(F1352-Calc!F19)),100)/100)</f>
        <v/>
      </c>
      <c r="O1339">
        <f>(1-Summary!$B$51)*S1339+Summary!$B$51*U1339</f>
        <v/>
      </c>
      <c r="P1339">
        <f>IF(B1369=0,0,O1339/B1369)</f>
        <v/>
      </c>
      <c r="Q1339">
        <f>IFERROR(1/IF(Inputs!$B$38="pvp",15,MAX(0.1,Skills!D6-IF(Skills!E6=TRUE,4.5,0))),0)</f>
        <v/>
      </c>
      <c r="R1339">
        <f>IF(AND(Inputs!$B$38&lt;&gt;"pvp",Inputs!$B$43&gt;0),IF(MAX(0,Inputs!$B$43-B1366)&lt;=0,0,(INT(MAX(0,Inputs!$B$43-B1366)/IF(Inputs!$B$38="pvp",15,MAX(0.1,Skills!D6-IF(Skills!E6=TRUE,4.5,0))))+1)),0)</f>
        <v/>
      </c>
      <c r="S1339">
        <f>IF(C1339,(H1339*N1339*IF(AND(Inputs!$B$38&lt;&gt;"pvp",Inputs!$B$43&gt;0),((Skills!F6*((R1339-1)*IF(Skills!G6&gt;0,Skills!H6/Skills!G6,1)+IF(Skills!G6&gt;0,MIN(Skills!H6,MAX(0,MAX(0,Inputs!$B$43-B1366)-((R1339-1)*IF(Inputs!$B$38="pvp",15,MAX(0.1,Skills!D6-IF(Skills!E6=TRUE,4.5,0))))))/Skills!G6,1)))/Inputs!$B$43),G1339*Q1339))*IF(Inputs!$B$38="pvp",1,1+(Inputs!$B$20+Skills!O6+B1360)/100),0)</f>
        <v/>
      </c>
      <c r="U1339">
        <f>IF(C1339,(H1339*N1339*IF(AND(Inputs!$B$38&lt;&gt;"pvp",Inputs!$B$43&gt;0),((Skills!F6*((R1339-1)*IF(Skills!G6&gt;0,Skills!H6/Skills!G6,1)+IF(Skills!G6&gt;0,MIN(Skills!H6,MAX(0,MAX(0,Inputs!$B$43-B1366)-((R1339-1)*IF(Inputs!$B$38="pvp",15,MAX(0.1,Skills!D6-IF(Skills!E6=TRUE,4.5,0))))))/Skills!G6,1)))/Inputs!$B$43),G1339*Q1339))*IF(Inputs!$B$38="pvp",1,(1+(Inputs!$B$21+Skills!P6+B1360)/100)*(MIN(Skills!Q6,Inputs!$B$37))),0)</f>
        <v/>
      </c>
    </row>
    <row r="1340">
      <c r="A1340">
        <f>Skills!A7</f>
        <v/>
      </c>
      <c r="B1340">
        <f>Skills!B7</f>
        <v/>
      </c>
      <c r="C1340">
        <f>Inputs!$B$3&gt;=69</f>
        <v/>
      </c>
      <c r="D1340">
        <f>IF(Skills!C7=1,60+Inputs!$B$25+Inputs!$B$29,IF(Skills!C7=2,90+Inputs!$B$26+Inputs!$B$29,IF(Skills!C7=3,120+Inputs!$B$27+Inputs!$B$29,MAX(0,(Inputs!$B$3-100)*3)+Inputs!$B$28+Inputs!$B$29)))</f>
        <v/>
      </c>
      <c r="E1340">
        <f>INDEX(FactorTable!$B$2:$Y$301, MATCH(ROUND(MIN(300,MAX(1,D1340)),0), FactorTable!$A$2:$A$301,0), Skills!L7+1)</f>
        <v/>
      </c>
      <c r="F1340">
        <f>IF(Skills!M7=TRUE,(Skills!K7/10)*(E1340/1000),Skills!K7/10)+Skills!N7</f>
        <v/>
      </c>
      <c r="G1340">
        <f>Calc!G7</f>
        <v/>
      </c>
      <c r="H1340">
        <f>Calc!H7</f>
        <v/>
      </c>
      <c r="I1340">
        <f>IF(Skills!T7&lt;&gt;"",1+(Skills!T7/10)*(Z1336/1000)/100,1)</f>
        <v/>
      </c>
      <c r="J1340">
        <f>((Inputs!$B$6*(1+Inputs!$B$7/100))+(((Inputs!$B$12*(1+Inputs!$B$13/100))-(Inputs!$B$12*(1+Inputs!$B$13/100)))+0.25*(Inputs!$B$14-Inputs!$B$14))*(1+Inputs!$B$7/100))*(F1340/100)</f>
        <v/>
      </c>
      <c r="K1340">
        <f>J1340*(1+((Inputs!$B$12*(1+Inputs!$B$13/100))*0.01+Inputs!$B$14*0.0025)/100)*(1+(Inputs!$B$15+B1361)/100)*(1+Inputs!$B$16/100)*(5000/(6000+Inputs!$B$42*(1-Inputs!$B$19/100)))*(1+Inputs!$B$24/100)*(1+IF(C1348=TRUE,F1348,0)/100)*(1+IF(C1356=TRUE,F1356,0)/100)^5*(1+(IF(Skills!A7="CHAIN_LIGHTNING",Inputs!$B$17,Inputs!$B$18))/100)*(B1359*I1340)</f>
        <v/>
      </c>
      <c r="L1340">
        <f>K1340*(MIN(Inputs!$B$22+(F1351-Calc!F18),Inputs!$B$23)/100+Inputs!$B$23/100)/2</f>
        <v/>
      </c>
      <c r="M1340">
        <f>L1340*(1+(Inputs!$B$10+(F1354-Calc!F21))/100)</f>
        <v/>
      </c>
      <c r="N1340">
        <f>L1340*(1-MIN(Inputs!$B$9+((F1353-Calc!F20)+(F1352-Calc!F19)),100)/100)+M1340*(MIN(Inputs!$B$9+((F1353-Calc!F20)+(F1352-Calc!F19)),100)/100)</f>
        <v/>
      </c>
      <c r="O1340">
        <f>(1-Summary!$B$51)*S1340+Summary!$B$51*U1340</f>
        <v/>
      </c>
      <c r="P1340">
        <f>IF(B1369=0,0,O1340/B1369)</f>
        <v/>
      </c>
      <c r="Q1340">
        <f>IFERROR(1/IF(Inputs!$B$38="pvp",15,MAX(0.1,Skills!D7-IF(Skills!E7=TRUE,4.5,0))),0)</f>
        <v/>
      </c>
      <c r="R1340">
        <f>IF(AND(Inputs!$B$38&lt;&gt;"pvp",Inputs!$B$43&gt;0),IF(MAX(0,Inputs!$B$43-B1366)&lt;=0,0,(INT(MAX(0,Inputs!$B$43-B1366)/IF(Inputs!$B$38="pvp",15,MAX(0.1,Skills!D7-IF(Skills!E7=TRUE,4.5,0))))+1)),0)</f>
        <v/>
      </c>
      <c r="S1340">
        <f>IF(C1340,(H1340*N1340*IF(AND(Inputs!$B$38&lt;&gt;"pvp",Inputs!$B$43&gt;0),((Skills!F7*((R1340-1)*IF(Skills!G7&gt;0,Skills!H7/Skills!G7,1)+IF(Skills!G7&gt;0,MIN(Skills!H7,MAX(0,MAX(0,Inputs!$B$43-B1366)-((R1340-1)*IF(Inputs!$B$38="pvp",15,MAX(0.1,Skills!D7-IF(Skills!E7=TRUE,4.5,0))))))/Skills!G7,1)))/Inputs!$B$43),G1340*Q1340))*IF(Inputs!$B$38="pvp",1,1+(Inputs!$B$20+Skills!O7+B1360)/100),0)</f>
        <v/>
      </c>
      <c r="U1340">
        <f>IF(C1340,(H1340*N1340*IF(AND(Inputs!$B$38&lt;&gt;"pvp",Inputs!$B$43&gt;0),((Skills!F7*((R1340-1)*IF(Skills!G7&gt;0,Skills!H7/Skills!G7,1)+IF(Skills!G7&gt;0,MIN(Skills!H7,MAX(0,MAX(0,Inputs!$B$43-B1366)-((R1340-1)*IF(Inputs!$B$38="pvp",15,MAX(0.1,Skills!D7-IF(Skills!E7=TRUE,4.5,0))))))/Skills!G7,1)))/Inputs!$B$43),G1340*Q1340))*IF(Inputs!$B$38="pvp",1,(1+(Inputs!$B$21+Skills!P7+B1360)/100)*(MIN(Skills!Q7,Inputs!$B$37))),0)</f>
        <v/>
      </c>
    </row>
    <row r="1341">
      <c r="A1341">
        <f>Skills!A8</f>
        <v/>
      </c>
      <c r="B1341">
        <f>Skills!B8</f>
        <v/>
      </c>
      <c r="C1341">
        <f>Inputs!$B$3&gt;=103</f>
        <v/>
      </c>
      <c r="D1341">
        <f>IF(Skills!C8=1,60+Inputs!$B$25+Inputs!$B$29,IF(Skills!C8=2,90+Inputs!$B$26+Inputs!$B$29,IF(Skills!C8=3,120+Inputs!$B$27+Inputs!$B$29,MAX(0,(Inputs!$B$3-100)*3)+Inputs!$B$28+Inputs!$B$29)))</f>
        <v/>
      </c>
      <c r="E1341">
        <f>INDEX(FactorTable!$B$2:$Y$301, MATCH(ROUND(MIN(300,MAX(1,D1341)),0), FactorTable!$A$2:$A$301,0), Skills!L8+1)</f>
        <v/>
      </c>
      <c r="F1341">
        <f>IF(Skills!M8=TRUE,(Skills!K8/10)*(E1341/1000),Skills!K8/10)+Skills!N8</f>
        <v/>
      </c>
      <c r="G1341">
        <f>Calc!G8</f>
        <v/>
      </c>
      <c r="H1341">
        <f>Calc!H8</f>
        <v/>
      </c>
      <c r="I1341">
        <f>IF(Skills!T8&lt;&gt;"",1+(Skills!T8/10)*(Z1336/1000)/100,1)</f>
        <v/>
      </c>
      <c r="J1341">
        <f>((Inputs!$B$6*(1+Inputs!$B$7/100))+(((Inputs!$B$12*(1+Inputs!$B$13/100))-(Inputs!$B$12*(1+Inputs!$B$13/100)))+0.25*(Inputs!$B$14-Inputs!$B$14))*(1+Inputs!$B$7/100))*(F1341/100)</f>
        <v/>
      </c>
      <c r="K1341">
        <f>J1341*(1+((Inputs!$B$12*(1+Inputs!$B$13/100))*0.01+Inputs!$B$14*0.0025)/100)*(1+(Inputs!$B$15+B1361)/100)*(1+Inputs!$B$16/100)*(5000/(6000+Inputs!$B$42*(1-Inputs!$B$19/100)))*(1+Inputs!$B$24/100)*(1+IF(C1348=TRUE,F1348,0)/100)*(1+IF(C1356=TRUE,F1356,0)/100)^5*(1+(IF(Skills!A8="CHAIN_LIGHTNING",Inputs!$B$17,Inputs!$B$18))/100)*(B1359*I1341)</f>
        <v/>
      </c>
      <c r="L1341">
        <f>K1341*(MIN(Inputs!$B$22+(F1351-Calc!F18),Inputs!$B$23)/100+Inputs!$B$23/100)/2</f>
        <v/>
      </c>
      <c r="M1341">
        <f>L1341*(1+(Inputs!$B$10+(F1354-Calc!F21))/100)</f>
        <v/>
      </c>
      <c r="N1341">
        <f>L1341*(1-MIN(Inputs!$B$9+((F1353-Calc!F20)+(F1352-Calc!F19)),100)/100)+M1341*(MIN(Inputs!$B$9+((F1353-Calc!F20)+(F1352-Calc!F19)),100)/100)</f>
        <v/>
      </c>
      <c r="O1341">
        <f>(1-Summary!$B$51)*S1341+Summary!$B$51*U1341</f>
        <v/>
      </c>
      <c r="P1341">
        <f>IF(B1369=0,0,O1341/B1369)</f>
        <v/>
      </c>
      <c r="Q1341">
        <f>IFERROR(1/IF(Inputs!$B$38="pvp",15,MAX(0.1,Skills!D8-IF(Skills!E8=TRUE,4.5,0))),0)</f>
        <v/>
      </c>
      <c r="R1341">
        <f>IF(AND(Inputs!$B$38&lt;&gt;"pvp",Inputs!$B$43&gt;0),IF(MAX(0,Inputs!$B$43-B1366)&lt;=0,0,(INT(MAX(0,Inputs!$B$43-B1366)/IF(Inputs!$B$38="pvp",15,MAX(0.1,Skills!D8-IF(Skills!E8=TRUE,4.5,0))))+1)),0)</f>
        <v/>
      </c>
      <c r="S1341">
        <f>IF(C1341,(H1341*N1341*IF(AND(Inputs!$B$38&lt;&gt;"pvp",Inputs!$B$43&gt;0),((Skills!F8*((R1341-1)*IF(Skills!G8&gt;0,Skills!H8/Skills!G8,1)+IF(Skills!G8&gt;0,MIN(Skills!H8,MAX(0,MAX(0,Inputs!$B$43-B1366)-((R1341-1)*IF(Inputs!$B$38="pvp",15,MAX(0.1,Skills!D8-IF(Skills!E8=TRUE,4.5,0))))))/Skills!G8,1)))/Inputs!$B$43),G1341*Q1341))*IF(Inputs!$B$38="pvp",1,1+(Inputs!$B$20+Skills!O8+B1360)/100),0)</f>
        <v/>
      </c>
      <c r="U1341">
        <f>IF(C1341,(H1341*N1341*IF(AND(Inputs!$B$38&lt;&gt;"pvp",Inputs!$B$43&gt;0),((Skills!F8*((R1341-1)*IF(Skills!G8&gt;0,Skills!H8/Skills!G8,1)+IF(Skills!G8&gt;0,MIN(Skills!H8,MAX(0,MAX(0,Inputs!$B$43-B1366)-((R1341-1)*IF(Inputs!$B$38="pvp",15,MAX(0.1,Skills!D8-IF(Skills!E8=TRUE,4.5,0))))))/Skills!G8,1)))/Inputs!$B$43),G1341*Q1341))*IF(Inputs!$B$38="pvp",1,(1+(Inputs!$B$21+Skills!P8+B1360)/100)*(MIN(Skills!Q8,Inputs!$B$37))),0)</f>
        <v/>
      </c>
    </row>
    <row r="1342">
      <c r="A1342">
        <f>Skills!A9</f>
        <v/>
      </c>
      <c r="B1342">
        <f>Skills!B9</f>
        <v/>
      </c>
      <c r="C1342">
        <f>Inputs!$B$3&gt;=105</f>
        <v/>
      </c>
      <c r="D1342">
        <f>IF(Skills!C9=1,60+Inputs!$B$25+Inputs!$B$29,IF(Skills!C9=2,90+Inputs!$B$26+Inputs!$B$29,IF(Skills!C9=3,120+Inputs!$B$27+Inputs!$B$29,MAX(0,(Inputs!$B$3-100)*3)+Inputs!$B$28+Inputs!$B$29)))</f>
        <v/>
      </c>
      <c r="E1342">
        <f>INDEX(FactorTable!$B$2:$Y$301, MATCH(ROUND(MIN(300,MAX(1,D1342)),0), FactorTable!$A$2:$A$301,0), Skills!L9+1)</f>
        <v/>
      </c>
      <c r="F1342">
        <f>IF(Skills!M9=TRUE,(Skills!K9/10)*(E1342/1000),Skills!K9/10)+Skills!N9</f>
        <v/>
      </c>
      <c r="G1342">
        <f>Calc!G9</f>
        <v/>
      </c>
      <c r="H1342">
        <f>Calc!H9</f>
        <v/>
      </c>
      <c r="I1342">
        <f>IF(Skills!T9&lt;&gt;"",1+(Skills!T9/10)*(Z1336/1000)/100,1)</f>
        <v/>
      </c>
      <c r="J1342">
        <f>((Inputs!$B$6*(1+Inputs!$B$7/100))+(((Inputs!$B$12*(1+Inputs!$B$13/100))-(Inputs!$B$12*(1+Inputs!$B$13/100)))+0.25*(Inputs!$B$14-Inputs!$B$14))*(1+Inputs!$B$7/100))*(F1342/100)</f>
        <v/>
      </c>
      <c r="K1342">
        <f>J1342*(1+((Inputs!$B$12*(1+Inputs!$B$13/100))*0.01+Inputs!$B$14*0.0025)/100)*(1+(Inputs!$B$15+B1361)/100)*(1+Inputs!$B$16/100)*(5000/(6000+Inputs!$B$42*(1-Inputs!$B$19/100)))*(1+Inputs!$B$24/100)*(1+IF(C1348=TRUE,F1348,0)/100)*(1+IF(C1356=TRUE,F1356,0)/100)^5*(1+(IF(Skills!A9="CHAIN_LIGHTNING",Inputs!$B$17,Inputs!$B$18))/100)*(B1359*I1342)</f>
        <v/>
      </c>
      <c r="L1342">
        <f>K1342*(MIN(Inputs!$B$22+(F1351-Calc!F18),Inputs!$B$23)/100+Inputs!$B$23/100)/2</f>
        <v/>
      </c>
      <c r="M1342">
        <f>L1342*(1+(Inputs!$B$10+(F1354-Calc!F21))/100)</f>
        <v/>
      </c>
      <c r="N1342">
        <f>L1342*(1-MIN(Inputs!$B$9+((F1353-Calc!F20)+(F1352-Calc!F19)),100)/100)+M1342*(MIN(Inputs!$B$9+((F1353-Calc!F20)+(F1352-Calc!F19)),100)/100)</f>
        <v/>
      </c>
      <c r="O1342">
        <f>(1-Summary!$B$51)*S1342+Summary!$B$51*U1342</f>
        <v/>
      </c>
      <c r="P1342">
        <f>IF(B1369=0,0,O1342/B1369)</f>
        <v/>
      </c>
      <c r="Q1342">
        <f>IFERROR(1/IF(Inputs!$B$38="pvp",15,MAX(0.1,Skills!D9-IF(Skills!E9=TRUE,4.5,0))),0)</f>
        <v/>
      </c>
      <c r="R1342">
        <f>IF(AND(Inputs!$B$38&lt;&gt;"pvp",Inputs!$B$43&gt;0),IF(MAX(0,Inputs!$B$43-B1366)&lt;=0,0,(INT(MAX(0,Inputs!$B$43-B1366)/IF(Inputs!$B$38="pvp",15,MAX(0.1,Skills!D9-IF(Skills!E9=TRUE,4.5,0))))+1)),0)</f>
        <v/>
      </c>
      <c r="S1342">
        <f>IF(C1342,(H1342*N1342*IF(AND(Inputs!$B$38&lt;&gt;"pvp",Inputs!$B$43&gt;0),((Skills!F9*((R1342-1)*IF(Skills!G9&gt;0,Skills!H9/Skills!G9,1)+IF(Skills!G9&gt;0,MIN(Skills!H9,MAX(0,MAX(0,Inputs!$B$43-B1366)-((R1342-1)*IF(Inputs!$B$38="pvp",15,MAX(0.1,Skills!D9-IF(Skills!E9=TRUE,4.5,0))))))/Skills!G9,1)))/Inputs!$B$43),G1342*Q1342))*IF(Inputs!$B$38="pvp",1,1+(Inputs!$B$20+Skills!O9+B1360)/100),0)</f>
        <v/>
      </c>
      <c r="U1342">
        <f>IF(C1342,(H1342*N1342*IF(AND(Inputs!$B$38&lt;&gt;"pvp",Inputs!$B$43&gt;0),((Skills!F9*((R1342-1)*IF(Skills!G9&gt;0,Skills!H9/Skills!G9,1)+IF(Skills!G9&gt;0,MIN(Skills!H9,MAX(0,MAX(0,Inputs!$B$43-B1366)-((R1342-1)*IF(Inputs!$B$38="pvp",15,MAX(0.1,Skills!D9-IF(Skills!E9=TRUE,4.5,0))))))/Skills!G9,1)))/Inputs!$B$43),G1342*Q1342))*IF(Inputs!$B$38="pvp",1,(1+(Inputs!$B$21+Skills!P9+B1360)/100)*(MIN(Skills!Q9,Inputs!$B$37))),0)</f>
        <v/>
      </c>
    </row>
    <row r="1343">
      <c r="A1343">
        <f>Skills!A10</f>
        <v/>
      </c>
      <c r="B1343">
        <f>Skills!B10</f>
        <v/>
      </c>
      <c r="C1343">
        <f>Inputs!$B$3&gt;=113</f>
        <v/>
      </c>
      <c r="D1343">
        <f>IF(Skills!C10=1,60+Inputs!$B$25+Inputs!$B$29,IF(Skills!C10=2,90+Inputs!$B$26+Inputs!$B$29,IF(Skills!C10=3,120+Inputs!$B$27+Inputs!$B$29,MAX(0,(Inputs!$B$3-100)*3)+Inputs!$B$28+Inputs!$B$29)))</f>
        <v/>
      </c>
      <c r="E1343">
        <f>INDEX(FactorTable!$B$2:$Y$301, MATCH(ROUND(MIN(300,MAX(1,D1343)),0), FactorTable!$A$2:$A$301,0), Skills!L10+1)</f>
        <v/>
      </c>
      <c r="F1343">
        <f>IF(Skills!M10=TRUE,(Skills!K10/10)*(E1343/1000),Skills!K10/10)+Skills!N10</f>
        <v/>
      </c>
      <c r="G1343">
        <f>Calc!G10</f>
        <v/>
      </c>
      <c r="H1343">
        <f>Calc!H10</f>
        <v/>
      </c>
      <c r="I1343">
        <f>IF(Skills!T10&lt;&gt;"",1+(Skills!T10/10)*(Z1336/1000)/100,1)</f>
        <v/>
      </c>
      <c r="J1343">
        <f>((Inputs!$B$6*(1+Inputs!$B$7/100))+(((Inputs!$B$12*(1+Inputs!$B$13/100))-(Inputs!$B$12*(1+Inputs!$B$13/100)))+0.25*(Inputs!$B$14-Inputs!$B$14))*(1+Inputs!$B$7/100))*(F1343/100)</f>
        <v/>
      </c>
      <c r="K1343">
        <f>J1343*(1+((Inputs!$B$12*(1+Inputs!$B$13/100))*0.01+Inputs!$B$14*0.0025)/100)*(1+(Inputs!$B$15+B1361)/100)*(1+Inputs!$B$16/100)*(5000/(6000+Inputs!$B$42*(1-Inputs!$B$19/100)))*(1+Inputs!$B$24/100)*(1+IF(C1348=TRUE,F1348,0)/100)*(1+IF(C1356=TRUE,F1356,0)/100)^5*(1+(IF(Skills!A10="CHAIN_LIGHTNING",Inputs!$B$17,Inputs!$B$18))/100)*(B1359*I1343)</f>
        <v/>
      </c>
      <c r="L1343">
        <f>K1343*(MIN(Inputs!$B$22+(F1351-Calc!F18),Inputs!$B$23)/100+Inputs!$B$23/100)/2</f>
        <v/>
      </c>
      <c r="M1343">
        <f>L1343*(1+(Inputs!$B$10+(F1354-Calc!F21))/100)</f>
        <v/>
      </c>
      <c r="N1343">
        <f>L1343*(1-MIN(Inputs!$B$9+((F1353-Calc!F20)+(F1352-Calc!F19)),100)/100)+M1343*(MIN(Inputs!$B$9+((F1353-Calc!F20)+(F1352-Calc!F19)),100)/100)</f>
        <v/>
      </c>
      <c r="O1343">
        <f>(1-Summary!$B$51)*S1343+Summary!$B$51*U1343</f>
        <v/>
      </c>
      <c r="P1343">
        <f>IF(B1369=0,0,O1343/B1369)</f>
        <v/>
      </c>
      <c r="Q1343">
        <f>IFERROR(1/IF(Inputs!$B$38="pvp",15,MAX(0.1,Skills!D10-IF(Skills!E9=TRUE,4.5,0))),0)</f>
        <v/>
      </c>
      <c r="R1343">
        <f>IF(AND(Inputs!$B$38&lt;&gt;"pvp",Inputs!$B$43&gt;0),IF(MAX(0,Inputs!$B$43-B1366)&lt;=0,0,(INT(MAX(0,Inputs!$B$43-B1366)/IF(Inputs!$B$38="pvp",15,MAX(0.1,Skills!D10-IF(Skills!E9=TRUE,4.5,0))))+1)),0)</f>
        <v/>
      </c>
      <c r="S1343">
        <f>IF(C1343,(H1343*N1343*IF(AND(Inputs!$B$38&lt;&gt;"pvp",Inputs!$B$43&gt;0),((Skills!F10*((R1343-1)*IF(Skills!G10&gt;0,Skills!H10/Skills!G10,1)+IF(Skills!G10&gt;0,MIN(Skills!H10,MAX(0,MAX(0,Inputs!$B$43-B1366)-((R1343-1)*IF(Inputs!$B$38="pvp",15,MAX(0.1,Skills!D10-IF(Skills!E9=TRUE,4.5,0))))))/Skills!G10,1)))/Inputs!$B$43),G1343*Q1343))*IF(Inputs!$B$38="pvp",1,1+(Inputs!$B$20+Skills!O10+B1360)/100),0)</f>
        <v/>
      </c>
      <c r="U1343">
        <f>IF(C1343,(H1343*N1343*IF(AND(Inputs!$B$38&lt;&gt;"pvp",Inputs!$B$43&gt;0),((Skills!F10*((R1343-1)*IF(Skills!G10&gt;0,Skills!H10/Skills!G10,1)+IF(Skills!G10&gt;0,MIN(Skills!H10,MAX(0,MAX(0,Inputs!$B$43-B1366)-((R1343-1)*IF(Inputs!$B$38="pvp",15,MAX(0.1,Skills!D10-IF(Skills!E9=TRUE,4.5,0))))))/Skills!G10,1)))/Inputs!$B$43),G1343*Q1343))*IF(Inputs!$B$38="pvp",1,(1+(Inputs!$B$21+Skills!P10+B1360)/100)*(MIN(Skills!Q10,Inputs!$B$37))),0)</f>
        <v/>
      </c>
    </row>
    <row r="1344">
      <c r="A1344">
        <f>Skills!A11</f>
        <v/>
      </c>
      <c r="B1344">
        <f>Skills!B11</f>
        <v/>
      </c>
      <c r="C1344">
        <f>Inputs!$B$3&gt;=107</f>
        <v/>
      </c>
      <c r="D1344">
        <f>IF(Skills!C11=1,60+Inputs!$B$25+Inputs!$B$29,IF(Skills!C11=2,90+Inputs!$B$26+Inputs!$B$29,IF(Skills!C11=3,120+Inputs!$B$27+Inputs!$B$29,MAX(0,(Inputs!$B$3-100)*3)+Inputs!$B$28+Inputs!$B$29)))</f>
        <v/>
      </c>
      <c r="E1344">
        <f>INDEX(FactorTable!$B$2:$Y$301, MATCH(ROUND(MIN(300,MAX(1,D1344)),0), FactorTable!$A$2:$A$301,0), Skills!L11+1)</f>
        <v/>
      </c>
      <c r="F1344">
        <f>IF(Skills!M11=TRUE,(Skills!K11/10)*(E1344/1000),Skills!K11/10)+Skills!N11</f>
        <v/>
      </c>
      <c r="G1344">
        <f>Calc!G11</f>
        <v/>
      </c>
      <c r="H1344">
        <f>Calc!H11</f>
        <v/>
      </c>
      <c r="I1344">
        <f>IF(Skills!T11&lt;&gt;"",1+(Skills!T11/10)*(Z1336/1000)/100,1)</f>
        <v/>
      </c>
      <c r="J1344">
        <f>((Inputs!$B$6*(1+Inputs!$B$7/100))+(((Inputs!$B$12*(1+Inputs!$B$13/100))-(Inputs!$B$12*(1+Inputs!$B$13/100)))+0.25*(Inputs!$B$14-Inputs!$B$14))*(1+Inputs!$B$7/100))*(F1344/100)</f>
        <v/>
      </c>
      <c r="K1344">
        <f>J1344*(1+((Inputs!$B$12*(1+Inputs!$B$13/100))*0.01+Inputs!$B$14*0.0025)/100)*(1+(Inputs!$B$15+B1361)/100)*(1+Inputs!$B$16/100)*(5000/(6000+Inputs!$B$42*(1-Inputs!$B$19/100)))*(1+Inputs!$B$24/100)*(1+IF(C1348=TRUE,F1348,0)/100)*(1+IF(C1356=TRUE,F1356,0)/100)^5*(1+(IF(Skills!A11="CHAIN_LIGHTNING",Inputs!$B$17,Inputs!$B$18))/100)*(B1359*I1344)</f>
        <v/>
      </c>
      <c r="L1344">
        <f>K1344*(MIN(Inputs!$B$22+(F1351-Calc!F18),Inputs!$B$23)/100+Inputs!$B$23/100)/2</f>
        <v/>
      </c>
      <c r="M1344">
        <f>L1344*(1+(Inputs!$B$10+(F1354-Calc!F21))/100)</f>
        <v/>
      </c>
      <c r="N1344">
        <f>L1344*(1-MIN(Inputs!$B$9+((F1353-Calc!F20)+(F1352-Calc!F19)),100)/100)+M1344*(MIN(Inputs!$B$9+((F1353-Calc!F20)+(F1352-Calc!F19)),100)/100)</f>
        <v/>
      </c>
      <c r="O1344">
        <f>(1-Summary!$B$51)*S1344+Summary!$B$51*U1344</f>
        <v/>
      </c>
      <c r="P1344">
        <f>IF(B1369=0,0,O1344/B1369)</f>
        <v/>
      </c>
      <c r="Q1344">
        <f>IFERROR(1/IF(Inputs!$B$38="pvp",15,MAX(0.1,Skills!D11-IF(Skills!E11=TRUE,4.5,0))),0)</f>
        <v/>
      </c>
      <c r="R1344">
        <f>IF(AND(Inputs!$B$38&lt;&gt;"pvp",Inputs!$B$43&gt;0),IF(MAX(0,Inputs!$B$43-B1366)&lt;=0,0,(INT(MAX(0,Inputs!$B$43-B1366)/IF(Inputs!$B$38="pvp",15,MAX(0.1,Skills!D11-IF(Skills!E11=TRUE,4.5,0))))+1)),0)</f>
        <v/>
      </c>
      <c r="S1344">
        <f>IF(C1344,H1344*N1344*IF(AND(Inputs!$B$38&lt;&gt;"pvp",Inputs!$B$43&gt;0),((Skills!F11*((R1344-1)*IF(Skills!G11&gt;0,Skills!H11/Skills!G11,1)+IF(Skills!G11&gt;0,MIN(Skills!H11,MAX(0,MAX(0,Inputs!$B$43-B1366)-((R1344-1)*IF(Inputs!$B$38="pvp",15,MAX(0.1,Skills!D11-IF(Skills!E11=TRUE,4.5,0))))))/Skills!G11,1)))/Inputs!$B$43),G1344*Q1344)*0.5*IF(Inputs!$B$38="pvp",1,1+(Inputs!$B$20+Skills!O11+B1360)/100),0)</f>
        <v/>
      </c>
      <c r="U1344">
        <f>IF(C1344,H1344*N1344*IF(AND(Inputs!$B$38&lt;&gt;"pvp",Inputs!$B$43&gt;0),((Skills!F11*((R1344-1)*IF(Skills!G11&gt;0,Skills!H11/Skills!G11,1)+IF(Skills!G11&gt;0,MIN(Skills!H11,MAX(0,MAX(0,Inputs!$B$43-B1366)-((R1344-1)*IF(Inputs!$B$38="pvp",15,MAX(0.1,Skills!D11-IF(Skills!E11=TRUE,4.5,0))))))/Skills!G11,1)))/Inputs!$B$43),G1344*Q1344)*1*IF(Inputs!$B$38="pvp",1,(1+(Inputs!$B$21+Skills!P11+B1360)/100)*(MIN(Skills!Q11,Inputs!$B$37))),0)</f>
        <v/>
      </c>
    </row>
    <row r="1345">
      <c r="A1345">
        <f>Skills!A12</f>
        <v/>
      </c>
      <c r="B1345">
        <f>Skills!B12</f>
        <v/>
      </c>
      <c r="C1345">
        <f>Inputs!$B$3&gt;=115</f>
        <v/>
      </c>
      <c r="D1345">
        <f>IF(Skills!C12=1,60+Inputs!$B$25+Inputs!$B$29,IF(Skills!C12=2,90+Inputs!$B$26+Inputs!$B$29,IF(Skills!C12=3,120+Inputs!$B$27+Inputs!$B$29,MAX(0,(Inputs!$B$3-100)*3)+Inputs!$B$28+Inputs!$B$29)))</f>
        <v/>
      </c>
      <c r="E1345">
        <f>INDEX(FactorTable!$B$2:$Y$301, MATCH(ROUND(MIN(300,MAX(1,D1345)),0), FactorTable!$A$2:$A$301,0), Skills!L12+1)</f>
        <v/>
      </c>
      <c r="F1345">
        <f>IF(Skills!M12=TRUE,(Skills!K12/10)*(E1345/1000),Skills!K12/10)+Skills!N12</f>
        <v/>
      </c>
      <c r="G1345">
        <f>Calc!G12</f>
        <v/>
      </c>
      <c r="H1345">
        <f>Calc!H12</f>
        <v/>
      </c>
      <c r="I1345">
        <f>IF(Skills!T12&lt;&gt;"",1+(Skills!T12/10)*(Z1336/1000)/100,1)</f>
        <v/>
      </c>
      <c r="J1345">
        <f>((Inputs!$B$6*(1+Inputs!$B$7/100))+(((Inputs!$B$12*(1+Inputs!$B$13/100))-(Inputs!$B$12*(1+Inputs!$B$13/100)))+0.25*(Inputs!$B$14-Inputs!$B$14))*(1+Inputs!$B$7/100))*(F1345/100)</f>
        <v/>
      </c>
      <c r="K1345">
        <f>J1345*(1+((Inputs!$B$12*(1+Inputs!$B$13/100))*0.01+Inputs!$B$14*0.0025)/100)*(1+(Inputs!$B$15+B1361)/100)*(1+Inputs!$B$16/100)*(5000/(6000+Inputs!$B$42*(1-Inputs!$B$19/100)))*(1+Inputs!$B$24/100)*(1+IF(C1348=TRUE,F1348,0)/100)*(1+IF(C1356=TRUE,F1356,0)/100)^5*(1+(IF(Skills!A12="CHAIN_LIGHTNING",Inputs!$B$17,Inputs!$B$18))/100)*(B1359*I1345)</f>
        <v/>
      </c>
      <c r="L1345">
        <f>K1345*(MIN(Inputs!$B$22+(F1351-Calc!F18),Inputs!$B$23)/100+Inputs!$B$23/100)/2</f>
        <v/>
      </c>
      <c r="M1345">
        <f>L1345*(1+(Inputs!$B$10+(F1354-Calc!F21))/100)</f>
        <v/>
      </c>
      <c r="N1345">
        <f>L1345*(1-MIN(Inputs!$B$9+((F1353-Calc!F20)+(F1352-Calc!F19)),100)/100)+M1345*(MIN(Inputs!$B$9+((F1353-Calc!F20)+(F1352-Calc!F19)),100)/100)</f>
        <v/>
      </c>
      <c r="O1345">
        <f>(1-Summary!$B$51)*S1345+Summary!$B$51*U1345</f>
        <v/>
      </c>
      <c r="P1345">
        <f>IF(B1369=0,0,O1345/B1369)</f>
        <v/>
      </c>
      <c r="Q1345">
        <f>IFERROR(1/IF(Inputs!$B$38="pvp",15,MAX(0.1,Skills!D12-IF(Skills!E12=TRUE,4.5,0))),0)</f>
        <v/>
      </c>
      <c r="R1345">
        <f>IF(AND(Inputs!$B$38&lt;&gt;"pvp",Inputs!$B$43&gt;0),IF(MAX(0,Inputs!$B$43-B1366)&lt;=0,0,(INT(MAX(0,Inputs!$B$43-B1366)/IF(Inputs!$B$38="pvp",15,MAX(0.1,Skills!D12-IF(Skills!E12=TRUE,4.5,0))))+1)),0)</f>
        <v/>
      </c>
      <c r="S1345">
        <f>IF(C1345,(H1345*N1345*IF(AND(Inputs!$B$38&lt;&gt;"pvp",Inputs!$B$43&gt;0),((Skills!F12*((R1345-1)*IF(Skills!G12&gt;0,Skills!H12/Skills!G12,1)+IF(Skills!G12&gt;0,MIN(Skills!H12,MAX(0,MAX(0,Inputs!$B$43-B1366)-((R1345-1)*IF(Inputs!$B$38="pvp",15,MAX(0.1,Skills!D12-IF(Skills!E12=TRUE,4.5,0))))))/Skills!G12,1)))/Inputs!$B$43),G1345*Q1345))*IF(Inputs!$B$38="pvp",1,1+(Inputs!$B$20+Skills!O12+B1360)/100),0)</f>
        <v/>
      </c>
      <c r="U1345">
        <f>IF(C1345,(H1345*N1345*IF(AND(Inputs!$B$38&lt;&gt;"pvp",Inputs!$B$43&gt;0),((Skills!F12*((R1345-1)*IF(Skills!G12&gt;0,Skills!H12/Skills!G12,1)+IF(Skills!G12&gt;0,MIN(Skills!H12,MAX(0,MAX(0,Inputs!$B$43-B1366)-((R1345-1)*IF(Inputs!$B$38="pvp",15,MAX(0.1,Skills!D12-IF(Skills!E12=TRUE,4.5,0))))))/Skills!G12,1)))/Inputs!$B$43),G1345*Q1345))*IF(Inputs!$B$38="pvp",1,(1+(Inputs!$B$21+Skills!P12+B1360)/100)*(MIN(Skills!Q12,Inputs!$B$37))),0)</f>
        <v/>
      </c>
    </row>
    <row r="1346">
      <c r="A1346">
        <f>Skills!A13</f>
        <v/>
      </c>
      <c r="B1346">
        <f>Skills!B13</f>
        <v/>
      </c>
      <c r="C1346">
        <f>Inputs!$B$3&gt;=49</f>
        <v/>
      </c>
      <c r="D1346">
        <f>IF(Skills!C13=1,60+Inputs!$B$25+Inputs!$B$29,IF(Skills!C13=2,90+Inputs!$B$26+Inputs!$B$29,IF(Skills!C13=3,120+Inputs!$B$27+Inputs!$B$29,MAX(0,(Inputs!$B$3-100)*3)+Inputs!$B$28+Inputs!$B$29)))</f>
        <v/>
      </c>
      <c r="E1346">
        <f>INDEX(FactorTable!$B$2:$Y$301, MATCH(ROUND(MIN(300,MAX(1,D1346)),0), FactorTable!$A$2:$A$301,0), Skills!L13+1)</f>
        <v/>
      </c>
      <c r="F1346">
        <f>IF(Skills!M13=TRUE,(Skills!K13/10)*(E1346/1000),Skills!K13/10)+Skills!N13</f>
        <v/>
      </c>
      <c r="G1346">
        <f>Calc!G13</f>
        <v/>
      </c>
      <c r="H1346">
        <f>Calc!H13</f>
        <v/>
      </c>
      <c r="I1346">
        <f>IF(Skills!T13&lt;&gt;"",1+(Skills!T13/10)*(Z1336/1000)/100,1)</f>
        <v/>
      </c>
      <c r="J1346" t="inlineStr"/>
      <c r="K1346" t="inlineStr"/>
      <c r="L1346" t="inlineStr"/>
      <c r="M1346" t="inlineStr"/>
      <c r="N1346" t="inlineStr"/>
      <c r="O1346">
        <f>(1-Summary!$B$51)*S1346+Summary!$B$51*U1346</f>
        <v/>
      </c>
      <c r="P1346">
        <f>IF(B1369=0,0,O1346/B1369)</f>
        <v/>
      </c>
      <c r="Q1346">
        <f>IFERROR(1/IF(Inputs!$B$38="pvp",15,MAX(0.1,Skills!D13-IF(Skills!E13=TRUE,4.5,0))),0)</f>
        <v/>
      </c>
      <c r="R1346" t="n">
        <v>0</v>
      </c>
      <c r="S1346" t="n">
        <v>0</v>
      </c>
      <c r="U1346" t="n">
        <v>0</v>
      </c>
    </row>
    <row r="1347">
      <c r="A1347">
        <f>Skills!A14</f>
        <v/>
      </c>
      <c r="B1347">
        <f>Skills!B14</f>
        <v/>
      </c>
      <c r="C1347">
        <f>Inputs!$B$3&gt;=72</f>
        <v/>
      </c>
      <c r="D1347">
        <f>IF(Skills!C14=1,60+Inputs!$B$25+Inputs!$B$29,IF(Skills!C14=2,90+Inputs!$B$26+Inputs!$B$29,IF(Skills!C14=3,120+Inputs!$B$27+Inputs!$B$29,MAX(0,(Inputs!$B$3-100)*3)+Inputs!$B$28+Inputs!$B$29)))</f>
        <v/>
      </c>
      <c r="E1347">
        <f>INDEX(FactorTable!$B$2:$Y$301, MATCH(ROUND(MIN(300,MAX(1,D1347)),0), FactorTable!$A$2:$A$301,0), Skills!L14+1)</f>
        <v/>
      </c>
      <c r="F1347">
        <f>IF(Skills!M14=TRUE,(Skills!K14/10)*(E1347/1000),Skills!K14/10)+Skills!N14</f>
        <v/>
      </c>
      <c r="G1347">
        <f>Calc!G14</f>
        <v/>
      </c>
      <c r="H1347">
        <f>Calc!H14</f>
        <v/>
      </c>
      <c r="I1347">
        <f>IF(Skills!T14&lt;&gt;"",1+(Skills!T14/10)*(Z1336/1000)/100,1)</f>
        <v/>
      </c>
      <c r="J1347" t="inlineStr"/>
      <c r="K1347" t="inlineStr"/>
      <c r="L1347" t="inlineStr"/>
      <c r="M1347" t="inlineStr"/>
      <c r="N1347" t="inlineStr"/>
      <c r="O1347">
        <f>(1-Summary!$B$51)*S1347+Summary!$B$51*U1347</f>
        <v/>
      </c>
      <c r="P1347">
        <f>IF(B1369=0,0,O1347/B1369)</f>
        <v/>
      </c>
      <c r="Q1347">
        <f>IFERROR(1/IF(Inputs!$B$38="pvp",15,MAX(0.1,Skills!D14-IF(Skills!E14=TRUE,4.5,0))),0)</f>
        <v/>
      </c>
      <c r="R1347" t="n">
        <v>0</v>
      </c>
      <c r="S1347" t="n">
        <v>0</v>
      </c>
      <c r="U1347" t="n">
        <v>0</v>
      </c>
    </row>
    <row r="1348">
      <c r="A1348">
        <f>Skills!A15</f>
        <v/>
      </c>
      <c r="B1348">
        <f>Skills!B15</f>
        <v/>
      </c>
      <c r="C1348">
        <f>Inputs!$B$3&gt;=75</f>
        <v/>
      </c>
      <c r="D1348">
        <f>IF(Skills!C15=1,60+Inputs!$B$25+Inputs!$B$29,IF(Skills!C15=2,90+Inputs!$B$26+Inputs!$B$29,IF(Skills!C15=3,120+Inputs!$B$27+Inputs!$B$29,MAX(0,(Inputs!$B$3-100)*3)+Inputs!$B$28+Inputs!$B$29)))</f>
        <v/>
      </c>
      <c r="E1348">
        <f>INDEX(FactorTable!$B$2:$Y$301, MATCH(ROUND(MIN(300,MAX(1,D1348)),0), FactorTable!$A$2:$A$301,0), Skills!L15+1)</f>
        <v/>
      </c>
      <c r="F1348">
        <f>IF(Skills!M15=TRUE,(Skills!K15/10)*(E1348/1000),Skills!K15/10)+Skills!N15</f>
        <v/>
      </c>
      <c r="G1348">
        <f>Calc!G15</f>
        <v/>
      </c>
      <c r="H1348">
        <f>Calc!H15</f>
        <v/>
      </c>
      <c r="I1348">
        <f>IF(Skills!T15&lt;&gt;"",1+(Skills!T15/10)*(Z1336/1000)/100,1)</f>
        <v/>
      </c>
      <c r="J1348" t="inlineStr"/>
      <c r="K1348" t="inlineStr"/>
      <c r="L1348" t="inlineStr"/>
      <c r="M1348" t="inlineStr"/>
      <c r="N1348" t="inlineStr"/>
      <c r="O1348">
        <f>(1-Summary!$B$51)*S1348+Summary!$B$51*U1348</f>
        <v/>
      </c>
      <c r="P1348">
        <f>IF(B1369=0,0,O1348/B1369)</f>
        <v/>
      </c>
      <c r="Q1348">
        <f>IFERROR(1/IF(Inputs!$B$38="pvp",15,MAX(0.1,Skills!D15-IF(Skills!E15=TRUE,4.5,0))),0)</f>
        <v/>
      </c>
      <c r="R1348" t="n">
        <v>0</v>
      </c>
      <c r="S1348" t="n">
        <v>0</v>
      </c>
      <c r="U1348" t="n">
        <v>0</v>
      </c>
    </row>
    <row r="1349">
      <c r="A1349">
        <f>Skills!A16</f>
        <v/>
      </c>
      <c r="B1349">
        <f>Skills!B16</f>
        <v/>
      </c>
      <c r="C1349">
        <f>Inputs!$B$3&gt;=110</f>
        <v/>
      </c>
      <c r="D1349">
        <f>IF(Skills!C16=1,60+Inputs!$B$25+Inputs!$B$29,IF(Skills!C16=2,90+Inputs!$B$26+Inputs!$B$29,IF(Skills!C16=3,120+Inputs!$B$27+Inputs!$B$29,MAX(0,(Inputs!$B$3-100)*3)+Inputs!$B$28+Inputs!$B$29)))</f>
        <v/>
      </c>
      <c r="E1349">
        <f>INDEX(FactorTable!$B$2:$Y$301, MATCH(ROUND(MIN(300,MAX(1,D1349)),0), FactorTable!$A$2:$A$301,0), Skills!L16+1)</f>
        <v/>
      </c>
      <c r="F1349">
        <f>(Skills!K16/10)*(E1349/1000)*64/45+Skills!N16</f>
        <v/>
      </c>
      <c r="G1349">
        <f>Calc!G16</f>
        <v/>
      </c>
      <c r="H1349">
        <f>Calc!H16</f>
        <v/>
      </c>
      <c r="I1349">
        <f>IF(Skills!T16&lt;&gt;"",1+(Skills!T16/10)*(Z1336/1000)/100,1)</f>
        <v/>
      </c>
      <c r="J1349" t="inlineStr"/>
      <c r="K1349" t="inlineStr"/>
      <c r="L1349" t="inlineStr"/>
      <c r="M1349" t="inlineStr"/>
      <c r="N1349" t="inlineStr"/>
      <c r="O1349">
        <f>(1-Summary!$B$51)*S1349+Summary!$B$51*U1349</f>
        <v/>
      </c>
      <c r="P1349">
        <f>IF(B1369=0,0,O1349/B1369)</f>
        <v/>
      </c>
      <c r="Q1349">
        <f>IFERROR(1/IF(Inputs!$B$38="pvp",15,MAX(0.1,Skills!D16-IF(Skills!E16=TRUE,4.5,0))),0)</f>
        <v/>
      </c>
      <c r="R1349">
        <f>IF(AND(Inputs!$B$38&lt;&gt;"pvp",Inputs!$B$43&gt;0),IF(Inputs!$B$43&lt;=0,0,(INT(Inputs!$B$43/IF(Inputs!$B$38="pvp",15,MAX(0.1,Skills!D16-IF(Skills!E16=TRUE,4.5,0))))+1)),0)</f>
        <v/>
      </c>
      <c r="S1349" t="n">
        <v>0</v>
      </c>
      <c r="U1349" t="n">
        <v>0</v>
      </c>
    </row>
    <row r="1350">
      <c r="A1350">
        <f>Skills!A17</f>
        <v/>
      </c>
      <c r="B1350">
        <f>Skills!B17</f>
        <v/>
      </c>
      <c r="C1350">
        <f>Inputs!$B$3&gt;=33</f>
        <v/>
      </c>
      <c r="D1350">
        <f>IF(Skills!C17=1,60+Inputs!$B$25+Inputs!$B$29,IF(Skills!C17=2,90+Inputs!$B$26+Inputs!$B$29,IF(Skills!C17=3,120+Inputs!$B$27+Inputs!$B$29,MAX(0,(Inputs!$B$3-100)*3)+Inputs!$B$28+Inputs!$B$29)))</f>
        <v/>
      </c>
      <c r="E1350">
        <f>INDEX(FactorTable!$B$2:$Y$301, MATCH(ROUND(MIN(300,MAX(1,D1350)),0), FactorTable!$A$2:$A$301,0), Skills!L17+1)</f>
        <v/>
      </c>
      <c r="F1350">
        <f>IF(Skills!M17=TRUE,(Skills!K17/10)*(E1350/1000),Skills!K17/10)+Skills!N17</f>
        <v/>
      </c>
      <c r="G1350">
        <f>Calc!G17</f>
        <v/>
      </c>
      <c r="H1350">
        <f>Calc!H17</f>
        <v/>
      </c>
      <c r="I1350">
        <f>IF(Skills!T17&lt;&gt;"",1+(Skills!T17/10)*(Z1336/1000)/100,1)</f>
        <v/>
      </c>
      <c r="J1350" t="inlineStr"/>
      <c r="K1350" t="inlineStr"/>
      <c r="L1350" t="inlineStr"/>
      <c r="M1350" t="inlineStr"/>
      <c r="N1350" t="inlineStr"/>
      <c r="O1350">
        <f>(1-Summary!$B$51)*S1350+Summary!$B$51*U1350</f>
        <v/>
      </c>
      <c r="P1350">
        <f>IF(B1369=0,0,O1350/B1369)</f>
        <v/>
      </c>
      <c r="Q1350">
        <f>IFERROR(1/IF(Inputs!$B$38="pvp",15,MAX(0.1,Skills!D17-IF(Skills!E17=TRUE,4.5,0))),0)</f>
        <v/>
      </c>
      <c r="R1350" t="n">
        <v>0</v>
      </c>
      <c r="S1350" t="n">
        <v>0</v>
      </c>
      <c r="U1350" t="n">
        <v>0</v>
      </c>
    </row>
    <row r="1351">
      <c r="A1351">
        <f>Skills!A18</f>
        <v/>
      </c>
      <c r="B1351">
        <f>Skills!B18</f>
        <v/>
      </c>
      <c r="C1351">
        <f>Inputs!$B$3&gt;=43</f>
        <v/>
      </c>
      <c r="D1351">
        <f>IF(Skills!C18=1,60+Inputs!$B$25+Inputs!$B$29,IF(Skills!C18=2,90+Inputs!$B$26+Inputs!$B$29,IF(Skills!C18=3,120+Inputs!$B$27+Inputs!$B$29,MAX(0,(Inputs!$B$3-100)*3)+Inputs!$B$28+Inputs!$B$29)))</f>
        <v/>
      </c>
      <c r="E1351">
        <f>INDEX(FactorTable!$B$2:$Y$301, MATCH(ROUND(MIN(300,MAX(1,D1351)),0), FactorTable!$A$2:$A$301,0), Skills!L18+1)</f>
        <v/>
      </c>
      <c r="F1351">
        <f>IF(Skills!M18=TRUE,(Skills!K18/10)*(E1351/1000),Skills!K18/10)+Skills!N18</f>
        <v/>
      </c>
      <c r="G1351">
        <f>Calc!G18</f>
        <v/>
      </c>
      <c r="H1351">
        <f>Calc!H18</f>
        <v/>
      </c>
      <c r="I1351">
        <f>IF(Skills!T18&lt;&gt;"",1+(Skills!T18/10)*(Z1336/1000)/100,1)</f>
        <v/>
      </c>
      <c r="J1351" t="inlineStr"/>
      <c r="K1351" t="inlineStr"/>
      <c r="L1351" t="inlineStr"/>
      <c r="M1351" t="inlineStr"/>
      <c r="N1351" t="inlineStr"/>
      <c r="O1351">
        <f>(1-Summary!$B$51)*S1351+Summary!$B$51*U1351</f>
        <v/>
      </c>
      <c r="P1351">
        <f>IF(B1369=0,0,O1351/B1369)</f>
        <v/>
      </c>
      <c r="Q1351">
        <f>IFERROR(1/IF(Inputs!$B$38="pvp",15,MAX(0.1,Skills!D18-IF(Skills!E18=TRUE,4.5,0))),0)</f>
        <v/>
      </c>
      <c r="R1351" t="n">
        <v>0</v>
      </c>
      <c r="S1351" t="n">
        <v>0</v>
      </c>
      <c r="U1351" t="n">
        <v>0</v>
      </c>
    </row>
    <row r="1352">
      <c r="A1352">
        <f>Skills!A19</f>
        <v/>
      </c>
      <c r="B1352">
        <f>Skills!B19</f>
        <v/>
      </c>
      <c r="C1352">
        <f>Inputs!$B$3&gt;=50</f>
        <v/>
      </c>
      <c r="D1352">
        <f>IF(Skills!C19=1,60+Inputs!$B$25+Inputs!$B$29,IF(Skills!C19=2,90+Inputs!$B$26+Inputs!$B$29,IF(Skills!C19=3,120+Inputs!$B$27+Inputs!$B$29,MAX(0,(Inputs!$B$3-100)*3)+Inputs!$B$28+Inputs!$B$29)))</f>
        <v/>
      </c>
      <c r="E1352">
        <f>INDEX(FactorTable!$B$2:$Y$301, MATCH(ROUND(MIN(300,MAX(1,D1352)),0), FactorTable!$A$2:$A$301,0), Skills!L19+1)</f>
        <v/>
      </c>
      <c r="F1352">
        <f>IF(Skills!M19=TRUE,(Skills!K19/10)*(E1352/1000),Skills!K19/10)+Skills!N19</f>
        <v/>
      </c>
      <c r="G1352">
        <f>Calc!G19</f>
        <v/>
      </c>
      <c r="H1352">
        <f>Calc!H19</f>
        <v/>
      </c>
      <c r="I1352">
        <f>IF(Skills!T19&lt;&gt;"",1+(Skills!T19/10)*(Z1336/1000)/100,1)</f>
        <v/>
      </c>
      <c r="J1352" t="inlineStr"/>
      <c r="K1352" t="inlineStr"/>
      <c r="L1352" t="inlineStr"/>
      <c r="M1352" t="inlineStr"/>
      <c r="N1352" t="inlineStr"/>
      <c r="O1352">
        <f>(1-Summary!$B$51)*S1352+Summary!$B$51*U1352</f>
        <v/>
      </c>
      <c r="P1352">
        <f>IF(B1369=0,0,O1352/B1369)</f>
        <v/>
      </c>
      <c r="Q1352">
        <f>IFERROR(1/IF(Inputs!$B$38="pvp",15,MAX(0.1,Skills!D19-IF(Skills!E19=TRUE,4.5,0))),0)</f>
        <v/>
      </c>
      <c r="R1352" t="n">
        <v>0</v>
      </c>
      <c r="S1352" t="n">
        <v>0</v>
      </c>
      <c r="U1352" t="n">
        <v>0</v>
      </c>
    </row>
    <row r="1353">
      <c r="A1353">
        <f>Skills!A20</f>
        <v/>
      </c>
      <c r="B1353">
        <f>Skills!B20</f>
        <v/>
      </c>
      <c r="C1353">
        <f>Inputs!$B$3&gt;=74</f>
        <v/>
      </c>
      <c r="D1353">
        <f>IF(Skills!C20=1,60+Inputs!$B$25+Inputs!$B$29,IF(Skills!C20=2,90+Inputs!$B$26+Inputs!$B$29,IF(Skills!C20=3,120+Inputs!$B$27+Inputs!$B$29,MAX(0,(Inputs!$B$3-100)*3)+Inputs!$B$28+Inputs!$B$29)))</f>
        <v/>
      </c>
      <c r="E1353">
        <f>INDEX(FactorTable!$B$2:$Y$301, MATCH(ROUND(MIN(300,MAX(1,D1353)),0), FactorTable!$A$2:$A$301,0), Skills!L20+1)</f>
        <v/>
      </c>
      <c r="F1353">
        <f>IF(Skills!M20=TRUE,(Skills!K20/10)*(E1353/1000),Skills!K20/10)+Skills!N20</f>
        <v/>
      </c>
      <c r="G1353">
        <f>Calc!G20</f>
        <v/>
      </c>
      <c r="H1353">
        <f>Calc!H20</f>
        <v/>
      </c>
      <c r="I1353">
        <f>IF(Skills!T20&lt;&gt;"",1+(Skills!T20/10)*(Z1336/1000)/100,1)</f>
        <v/>
      </c>
      <c r="J1353" t="inlineStr"/>
      <c r="K1353" t="inlineStr"/>
      <c r="L1353" t="inlineStr"/>
      <c r="M1353" t="inlineStr"/>
      <c r="N1353" t="inlineStr"/>
      <c r="O1353">
        <f>(1-Summary!$B$51)*S1353+Summary!$B$51*U1353</f>
        <v/>
      </c>
      <c r="P1353">
        <f>IF(B1369=0,0,O1353/B1369)</f>
        <v/>
      </c>
      <c r="Q1353">
        <f>IFERROR(1/IF(Inputs!$B$38="pvp",15,MAX(0.1,Skills!D20-IF(Skills!E20=TRUE,4.5,0))),0)</f>
        <v/>
      </c>
      <c r="R1353" t="n">
        <v>0</v>
      </c>
      <c r="S1353" t="n">
        <v>0</v>
      </c>
      <c r="U1353" t="n">
        <v>0</v>
      </c>
    </row>
    <row r="1354">
      <c r="A1354">
        <f>Skills!A21</f>
        <v/>
      </c>
      <c r="B1354">
        <f>Skills!B21</f>
        <v/>
      </c>
      <c r="C1354">
        <f>Inputs!$B$3&gt;=74</f>
        <v/>
      </c>
      <c r="D1354">
        <f>IF(Skills!C21=1,60+Inputs!$B$25+Inputs!$B$29,IF(Skills!C21=2,90+Inputs!$B$26+Inputs!$B$29,IF(Skills!C21=3,120+Inputs!$B$27+Inputs!$B$29,MAX(0,(Inputs!$B$3-100)*3)+Inputs!$B$28+Inputs!$B$29)))</f>
        <v/>
      </c>
      <c r="E1354">
        <f>INDEX(FactorTable!$B$2:$Y$301, MATCH(ROUND(MIN(300,MAX(1,D1354)),0), FactorTable!$A$2:$A$301,0), Skills!L21+1)</f>
        <v/>
      </c>
      <c r="F1354">
        <f>IF(Skills!M21=TRUE,(Skills!K21/10)*(E1354/1000),Skills!K21/10)+Skills!N21</f>
        <v/>
      </c>
      <c r="G1354">
        <f>Calc!G21</f>
        <v/>
      </c>
      <c r="H1354">
        <f>Calc!H21</f>
        <v/>
      </c>
      <c r="I1354">
        <f>IF(Skills!T21&lt;&gt;"",1+(Skills!T21/10)*(Z1336/1000)/100,1)</f>
        <v/>
      </c>
      <c r="J1354" t="inlineStr"/>
      <c r="K1354" t="inlineStr"/>
      <c r="L1354" t="inlineStr"/>
      <c r="M1354" t="inlineStr"/>
      <c r="N1354" t="inlineStr"/>
      <c r="O1354">
        <f>(1-Summary!$B$51)*S1354+Summary!$B$51*U1354</f>
        <v/>
      </c>
      <c r="P1354">
        <f>IF(B1369=0,0,O1354/B1369)</f>
        <v/>
      </c>
      <c r="Q1354">
        <f>IFERROR(1/IF(Inputs!$B$38="pvp",15,MAX(0.1,Skills!D21-IF(Skills!E21=TRUE,4.5,0))),0)</f>
        <v/>
      </c>
      <c r="R1354" t="n">
        <v>0</v>
      </c>
      <c r="S1354" t="n">
        <v>0</v>
      </c>
      <c r="U1354" t="n">
        <v>0</v>
      </c>
    </row>
    <row r="1355">
      <c r="A1355">
        <f>Skills!A22</f>
        <v/>
      </c>
      <c r="B1355">
        <f>Skills!B22</f>
        <v/>
      </c>
      <c r="C1355">
        <f>Inputs!$B$3&gt;=117</f>
        <v/>
      </c>
      <c r="D1355">
        <f>IF(Skills!C22=1,60+Inputs!$B$25+Inputs!$B$29,IF(Skills!C22=2,90+Inputs!$B$26+Inputs!$B$29,IF(Skills!C22=3,120+Inputs!$B$27+Inputs!$B$29,MAX(0,(Inputs!$B$3-100)*3)+Inputs!$B$28+Inputs!$B$29)))</f>
        <v/>
      </c>
      <c r="E1355">
        <f>INDEX(FactorTable!$B$2:$Y$301, MATCH(ROUND(MIN(300,MAX(1,D1355)),0), FactorTable!$A$2:$A$301,0), Skills!L22+1)</f>
        <v/>
      </c>
      <c r="F1355">
        <f>IF(Skills!M22=TRUE,(Skills!K22/10)*(E1355/1000),Skills!K22/10)+Skills!N22</f>
        <v/>
      </c>
      <c r="G1355">
        <f>Calc!G22</f>
        <v/>
      </c>
      <c r="H1355">
        <f>Calc!H22</f>
        <v/>
      </c>
      <c r="I1355">
        <f>IF(Skills!T22&lt;&gt;"",1+(Skills!T22/10)*(Z1336/1000)/100,1)</f>
        <v/>
      </c>
      <c r="J1355" t="inlineStr"/>
      <c r="K1355" t="inlineStr"/>
      <c r="L1355" t="inlineStr"/>
      <c r="M1355" t="inlineStr"/>
      <c r="N1355" t="inlineStr"/>
      <c r="O1355">
        <f>(1-Summary!$B$51)*S1355+Summary!$B$51*U1355</f>
        <v/>
      </c>
      <c r="P1355">
        <f>IF(B1369=0,0,O1355/B1369)</f>
        <v/>
      </c>
      <c r="Q1355">
        <f>IFERROR(1/IF(Inputs!$B$38="pvp",15,MAX(0.1,Skills!D22-IF(Skills!E22=TRUE,4.5,0))),0)</f>
        <v/>
      </c>
      <c r="R1355" t="n">
        <v>0</v>
      </c>
      <c r="S1355" t="n">
        <v>0</v>
      </c>
      <c r="U1355" t="n">
        <v>0</v>
      </c>
    </row>
    <row r="1356">
      <c r="A1356">
        <f>Skills!A23</f>
        <v/>
      </c>
      <c r="B1356">
        <f>Skills!B23</f>
        <v/>
      </c>
      <c r="C1356">
        <f>Inputs!$B$3&gt;=120</f>
        <v/>
      </c>
      <c r="D1356">
        <f>IF(Skills!C23=1,60+Inputs!$B$25+Inputs!$B$29,IF(Skills!C23=2,90+Inputs!$B$26+Inputs!$B$29,IF(Skills!C23=3,120+Inputs!$B$27+Inputs!$B$29,MAX(0,(Inputs!$B$3-100)*3)+Inputs!$B$28+Inputs!$B$29)))</f>
        <v/>
      </c>
      <c r="E1356">
        <f>INDEX(FactorTable!$B$2:$Y$301, MATCH(ROUND(MIN(300,MAX(1,D1356)),0), FactorTable!$A$2:$A$301,0), Skills!L23+1)</f>
        <v/>
      </c>
      <c r="F1356">
        <f>IF(Skills!M23=TRUE,(Skills!K23/10)*(E1356/1000),Skills!K23/10)+Skills!N23</f>
        <v/>
      </c>
      <c r="G1356">
        <f>Calc!G23</f>
        <v/>
      </c>
      <c r="H1356">
        <f>Calc!H23</f>
        <v/>
      </c>
      <c r="I1356">
        <f>IF(Skills!T23&lt;&gt;"",1+(Skills!T23/10)*(Z1336/1000)/100,1)</f>
        <v/>
      </c>
      <c r="J1356" t="inlineStr"/>
      <c r="K1356" t="inlineStr"/>
      <c r="L1356" t="inlineStr"/>
      <c r="M1356" t="inlineStr"/>
      <c r="N1356" t="inlineStr"/>
      <c r="O1356">
        <f>(1-Summary!$B$51)*S1356+Summary!$B$51*U1356</f>
        <v/>
      </c>
      <c r="P1356">
        <f>IF(B1369=0,0,O1356/B1369)</f>
        <v/>
      </c>
      <c r="Q1356">
        <f>IFERROR(1/IF(Inputs!$B$38="pvp",15,MAX(0.1,Skills!D23-IF(Skills!E23=TRUE,4.5,0))),0)</f>
        <v/>
      </c>
      <c r="R1356" t="n">
        <v>0</v>
      </c>
      <c r="S1356" t="n">
        <v>0</v>
      </c>
      <c r="U1356" t="n">
        <v>0</v>
      </c>
    </row>
    <row r="1359">
      <c r="A1359" t="inlineStr">
        <is>
          <t>Average Buff Multiplier (Magic Guard + Meditation, summed; then Infinity)</t>
        </is>
      </c>
      <c r="B1359">
        <f>(1+(IF(C1336=TRUE,F1336*IF(AND(Inputs!$B$38&lt;&gt;"pvp",Inputs!$B$43&gt;0),(((R1336-1)*(Skills!S3*(1+(Inputs!$B$34+IF(Inputs!$B$3&gt;=117,F1355,0))/100))+MIN((Skills!S3*(1+(Inputs!$B$34+IF(Inputs!$B$3&gt;=117,F1355,0))/100)),MAX(0,Inputs!$B$43-((R1336-1)*Skills!D3))))/Inputs!$B$43),IF(Inputs!$B$38="pvp",MIN((Skills!S3*(1+(Inputs!$B$34+IF(Inputs!$B$3&gt;=117,F1355,0))/100)),15)/15,(Skills!S3*(1+(Inputs!$B$34+IF(Inputs!$B$3&gt;=117,F1355,0))/100))/Skills!D3)),0)+IF(C1337=TRUE,F1337*IF(AND(Inputs!$B$38&lt;&gt;"pvp",Inputs!$B$43&gt;0),(((R1337-1)*(Skills!S4*(1+(Inputs!$B$34+IF(Inputs!$B$3&gt;=117,F1355,0))/100))+MIN((Skills!S4*(1+(Inputs!$B$34+IF(Inputs!$B$3&gt;=117,F1355,0))/100)),MAX(0,Inputs!$B$43-((R1337-1)*Skills!D4))))/Inputs!$B$43),IF(Inputs!$B$38="pvp",MIN((Skills!S4*(1+(Inputs!$B$34+IF(Inputs!$B$3&gt;=117,F1355,0))/100)),15)/15,(Skills!S4*(1+(Inputs!$B$34+IF(Inputs!$B$3&gt;=117,F1355,0))/100))/Skills!D4)),0))/100)*IF(C1349=TRUE,(1+F1349*IF(AND(Inputs!$B$38&lt;&gt;"pvp",Inputs!$B$43&gt;0),(((R1349-1)*(Skills!S16*(1+(Inputs!$B$34+IF(Inputs!$B$3&gt;=117,F1355,0))/100))+MIN((Skills!S16*(1+(Inputs!$B$34+IF(Inputs!$B$3&gt;=117,F1355,0))/100)),MAX(0,Inputs!$B$43-((R1349-1)*Skills!D16))))/Inputs!$B$43),IF(Inputs!$B$38="pvp",MIN((Skills!S16*(1+(Inputs!$B$34+IF(Inputs!$B$3&gt;=117,F1355,0))/100)),15)/15,(Skills!S16*(1+(Inputs!$B$34+IF(Inputs!$B$3&gt;=117,F1355,0))/100))/Skills!D16))/100),1)</f>
        <v/>
      </c>
    </row>
    <row r="1360">
      <c r="A1360" t="inlineStr">
        <is>
          <t>Monster Damage Taken Bonus % (Freezing Breath - Weaken + Elemental Reset, summed)</t>
        </is>
      </c>
      <c r="B1360">
        <f>IF(Inputs!$B$3&gt;=118,15*IF(Inputs!$B$38="pvp",MIN((30*(1+(Inputs!$B$34+IF(Inputs!$B$3&gt;=117,F1355,0))/100)),15)/15,(30*(1+(Inputs!$B$34+IF(Inputs!$B$3&gt;=117,F1355,0))/100))/Skills!D8),0)+IF(C1347=TRUE,F1347,0)</f>
        <v/>
      </c>
    </row>
    <row r="1361">
      <c r="A1361" t="inlineStr">
        <is>
          <t>Damage % Bonus (Frozen Break + Frost Clutch, flat)</t>
        </is>
      </c>
      <c r="B1361">
        <f>IF(Inputs!$B$3&gt;=66,15,0)+IF(Inputs!$B$3&gt;=98,10,0)+IF(Inputs!$B$3&gt;=125,20,0)</f>
        <v/>
      </c>
    </row>
    <row r="1362">
      <c r="A1362" t="inlineStr">
        <is>
          <t>Attack Speed Bonus % (MP Eater - MP Boost, always-on once unlocked)</t>
        </is>
      </c>
      <c r="B1362">
        <f>IF(C1346=TRUE,F1346+(F1350-Calc!F17),0)</f>
        <v/>
      </c>
    </row>
    <row r="1363">
      <c r="A1363" t="inlineStr">
        <is>
          <t>Actions Per Second</t>
        </is>
      </c>
      <c r="B1363">
        <f>1+MIN(150,150*(1-(1-Inputs!$B$11/150)*(1-B1362/150)))/100</f>
        <v/>
      </c>
    </row>
    <row r="1364">
      <c r="A1364" t="inlineStr">
        <is>
          <t>Skill + Buff Cast Rate</t>
        </is>
      </c>
      <c r="B1364">
        <f>IF(AND(Inputs!$B$38&lt;&gt;"pvp",Inputs!$B$43&gt;0),SUMPRODUCT((Skills!E2:E23=TRUE)*(C1335:C1356=TRUE)*R1335:R1356)/Inputs!$B$43,SUMPRODUCT((Skills!E2:E23=TRUE)*(C1335:C1356=TRUE)*Q1335:Q1356))</f>
        <v/>
      </c>
    </row>
    <row r="1365">
      <c r="A1365" t="inlineStr">
        <is>
          <t>Chain Lightning Casts Per Second</t>
        </is>
      </c>
      <c r="B1365">
        <f>MAX(0,B1363-B1364)</f>
        <v/>
      </c>
    </row>
    <row r="1366">
      <c r="A1366" t="inlineStr">
        <is>
          <t>Buff-Casting Startup Delay (s, fixed-duration only)</t>
        </is>
      </c>
      <c r="B1366">
        <f>IF(AND(Inputs!$B$38&lt;&gt;"pvp",Inputs!$B$43&gt;0),SUMPRODUCT((Skills!S2:S23&gt;0)*(Skills!E2:E23=TRUE)*(C1335:C1356=TRUE))/B1363,0)</f>
        <v/>
      </c>
    </row>
    <row r="1367">
      <c r="A1367" t="inlineStr">
        <is>
          <t>Boss-Only Total DPS (this block's swept value)</t>
        </is>
      </c>
      <c r="B1367">
        <f>SUM(S1335:S1356)</f>
        <v/>
      </c>
    </row>
    <row r="1368">
      <c r="A1368" t="inlineStr">
        <is>
          <t>Normal-Only Total DPS (this block's swept value)</t>
        </is>
      </c>
      <c r="B1368">
        <f>SUM(U1335:U1356)</f>
        <v/>
      </c>
    </row>
    <row r="1369">
      <c r="A1369" s="5" t="inlineStr">
        <is>
          <t>TOTAL DPS</t>
        </is>
      </c>
      <c r="B1369" s="5">
        <f>SUM(O1335:O1356)</f>
        <v/>
      </c>
    </row>
    <row r="1372">
      <c r="A1372" s="5" t="inlineStr">
        <is>
          <t>Stat: CDR = 5.0s</t>
        </is>
      </c>
    </row>
    <row r="1373">
      <c r="A1373" s="9" t="inlineStr">
        <is>
          <t>Key</t>
        </is>
      </c>
      <c r="B1373" s="9" t="inlineStr">
        <is>
          <t>Name</t>
        </is>
      </c>
      <c r="C1373" s="9" t="inlineStr">
        <is>
          <t>Unlocked</t>
        </is>
      </c>
      <c r="D1373" s="9" t="inlineStr">
        <is>
          <t>InputLevel</t>
        </is>
      </c>
      <c r="E1373" s="9" t="inlineStr">
        <is>
          <t>Factor</t>
        </is>
      </c>
      <c r="F1373" s="9" t="inlineStr">
        <is>
          <t>CoefficientPercent</t>
        </is>
      </c>
      <c r="G1373" s="9" t="inlineStr">
        <is>
          <t>EffectiveHits</t>
        </is>
      </c>
      <c r="H1373" s="9" t="inlineStr">
        <is>
          <t>ProcProbability</t>
        </is>
      </c>
      <c r="I1373" s="9" t="inlineStr">
        <is>
          <t>MapleHeroMultiplier</t>
        </is>
      </c>
      <c r="J1373" s="9" t="inlineStr">
        <is>
          <t>BaseDamage</t>
        </is>
      </c>
      <c r="K1373" s="9" t="inlineStr">
        <is>
          <t>BaseHitDamage</t>
        </is>
      </c>
      <c r="L1373" s="9" t="inlineStr">
        <is>
          <t>NonCritAvg</t>
        </is>
      </c>
      <c r="M1373" s="9" t="inlineStr">
        <is>
          <t>CritAvg</t>
        </is>
      </c>
      <c r="N1373" s="9" t="inlineStr">
        <is>
          <t>ExpectedDamage(perHit)</t>
        </is>
      </c>
      <c r="O1373" s="9" t="inlineStr">
        <is>
          <t>DPS</t>
        </is>
      </c>
      <c r="P1373" s="9" t="inlineStr">
        <is>
          <t>% of Total</t>
        </is>
      </c>
      <c r="R1373" t="inlineStr">
        <is>
          <t>helpers</t>
        </is>
      </c>
    </row>
    <row r="1374">
      <c r="A1374">
        <f>Skills!A2</f>
        <v/>
      </c>
      <c r="B1374">
        <f>Skills!B2</f>
        <v/>
      </c>
      <c r="C1374">
        <f>Inputs!$B$3&gt;=100</f>
        <v/>
      </c>
      <c r="D1374" t="inlineStr"/>
      <c r="E1374" t="inlineStr"/>
      <c r="F1374">
        <f>T1376+Skills!N2</f>
        <v/>
      </c>
      <c r="G1374">
        <f>Calc!G2</f>
        <v/>
      </c>
      <c r="H1374">
        <f>Calc!H2</f>
        <v/>
      </c>
      <c r="I1374">
        <f>IF(Skills!T2&lt;&gt;"",1+(Skills!T2/10)*(Z1375/1000)/100,1)</f>
        <v/>
      </c>
      <c r="J1374">
        <f>((Inputs!$B$6*(1+Inputs!$B$7/100))+(((Inputs!$B$12*(1+Inputs!$B$13/100))-(Inputs!$B$12*(1+Inputs!$B$13/100)))+0.25*(Inputs!$B$14-Inputs!$B$14))*(1+Inputs!$B$7/100))*(F1374/100)</f>
        <v/>
      </c>
      <c r="K1374">
        <f>J1374*(1+((Inputs!$B$12*(1+Inputs!$B$13/100))*0.01+Inputs!$B$14*0.0025)/100)*(1+(Inputs!$B$15+B1400)/100)*(1+Inputs!$B$16/100)*(5000/(6000+Inputs!$B$42*(1-Inputs!$B$19/100)))*(1+Inputs!$B$24/100)*(1+IF(C1387=TRUE,F1387,0)/100)*(1+IF(C1395=TRUE,F1395,0)/100)^5*(1+(IF(Skills!A2="CHAIN_LIGHTNING",Inputs!$B$17,Inputs!$B$18))/100)*(B1398*I1374)</f>
        <v/>
      </c>
      <c r="L1374">
        <f>K1374*(MIN(Inputs!$B$22+(F1390-Calc!F18),Inputs!$B$23)/100+Inputs!$B$23/100)/2</f>
        <v/>
      </c>
      <c r="M1374">
        <f>L1374*(1+(Inputs!$B$10+(F1393-Calc!F21))/100)</f>
        <v/>
      </c>
      <c r="N1374">
        <f>L1374*(1-MIN(Inputs!$B$9+((F1392-Calc!F20)+(F1391-Calc!F19)),100)/100)+M1374*(MIN(Inputs!$B$9+((F1392-Calc!F20)+(F1391-Calc!F19)),100)/100)</f>
        <v/>
      </c>
      <c r="O1374">
        <f>(1-Summary!$B$51)*S1374+Summary!$B$51*U1374</f>
        <v/>
      </c>
      <c r="P1374">
        <f>IF(B1408=0,0,O1374/B1408)</f>
        <v/>
      </c>
      <c r="Q1374">
        <f>IFERROR(1/IF(Inputs!$B$38="pvp",15,MAX(0.1,Skills!D2-IF(Skills!E2=TRUE,5.0,0))),0)</f>
        <v/>
      </c>
      <c r="R1374" t="n">
        <v>0</v>
      </c>
      <c r="S1374">
        <f>IF(C1374,(Skills!F2*N1374*B1404)*IF(Inputs!$B$38="pvp",1,1+(Inputs!$B$20+Skills!O2+B1399)/100),0)</f>
        <v/>
      </c>
      <c r="T1374">
        <f>MAX(0,(Inputs!$B$3-100)*3)+Inputs!$B$28+Inputs!$B$29</f>
        <v/>
      </c>
      <c r="U1374">
        <f>IF(C1374,(Skills!F2*N1374*B1404)*IF(Inputs!$B$38="pvp",1,(1+(Inputs!$B$21+Skills!P2+B1399)/100)*(MIN((6+Inputs!$B$33),Inputs!$B$37))),0)</f>
        <v/>
      </c>
      <c r="Z1374">
        <f>MAX(0,(Inputs!$B$3-100)*3)+Inputs!$B$28+Inputs!$B$29</f>
        <v/>
      </c>
    </row>
    <row r="1375">
      <c r="A1375">
        <f>Skills!A3</f>
        <v/>
      </c>
      <c r="B1375">
        <f>Skills!B3</f>
        <v/>
      </c>
      <c r="C1375">
        <f>Inputs!$B$3&gt;=15</f>
        <v/>
      </c>
      <c r="D1375">
        <f>IF(Skills!C3=1,60+Inputs!$B$25+Inputs!$B$29,IF(Skills!C3=2,90+Inputs!$B$26+Inputs!$B$29,IF(Skills!C3=3,120+Inputs!$B$27+Inputs!$B$29,MAX(0,(Inputs!$B$3-100)*3)+Inputs!$B$28+Inputs!$B$29)))</f>
        <v/>
      </c>
      <c r="E1375">
        <f>INDEX(FactorTable!$B$2:$Y$301, MATCH(ROUND(MIN(300,MAX(1,D1375)),0), FactorTable!$A$2:$A$301,0), Skills!L3+1)</f>
        <v/>
      </c>
      <c r="F1375">
        <f>IF(Skills!M3=TRUE,(Skills!K3/10)*(E1375/1000),Skills!K3/10)+Skills!N3</f>
        <v/>
      </c>
      <c r="G1375">
        <f>Calc!G3</f>
        <v/>
      </c>
      <c r="H1375">
        <f>Calc!H3</f>
        <v/>
      </c>
      <c r="I1375">
        <f>IF(Skills!T3&lt;&gt;"",1+(Skills!T3/10)*(Z1375/1000)/100,1)</f>
        <v/>
      </c>
      <c r="J1375" t="inlineStr"/>
      <c r="K1375" t="inlineStr"/>
      <c r="L1375" t="inlineStr"/>
      <c r="M1375" t="inlineStr"/>
      <c r="N1375" t="inlineStr"/>
      <c r="O1375">
        <f>(1-Summary!$B$51)*S1375+Summary!$B$51*U1375</f>
        <v/>
      </c>
      <c r="P1375">
        <f>IF(B1408=0,0,O1375/B1408)</f>
        <v/>
      </c>
      <c r="Q1375">
        <f>IFERROR(1/IF(Inputs!$B$38="pvp",15,MAX(0.1,Skills!D3-IF(Skills!E3=TRUE,5.0,0))),0)</f>
        <v/>
      </c>
      <c r="R1375">
        <f>IF(AND(Inputs!$B$38&lt;&gt;"pvp",Inputs!$B$43&gt;0),IF(Inputs!$B$43&lt;=0,0,(INT(Inputs!$B$43/IF(Inputs!$B$38="pvp",15,MAX(0.1,Skills!D3-IF(Skills!E3=TRUE,5.0,0))))+1)),0)</f>
        <v/>
      </c>
      <c r="S1375" t="n">
        <v>0</v>
      </c>
      <c r="T1375">
        <f>INDEX(FactorTable!$B$2:$Y$301, MATCH(ROUND(MIN(300,MAX(1,T1374)),0), FactorTable!$A$2:$A$301,0), 22)</f>
        <v/>
      </c>
      <c r="U1375" t="n">
        <v>0</v>
      </c>
      <c r="Z1375">
        <f>INDEX(FactorTable!$B$2:$Y$301, MATCH(ROUND(MIN(300,MAX(1,Z1374)),0), FactorTable!$A$2:$A$301,0), 24)</f>
        <v/>
      </c>
    </row>
    <row r="1376">
      <c r="A1376">
        <f>Skills!A4</f>
        <v/>
      </c>
      <c r="B1376">
        <f>Skills!B4</f>
        <v/>
      </c>
      <c r="C1376">
        <f>Inputs!$B$3&gt;=40</f>
        <v/>
      </c>
      <c r="D1376">
        <f>IF(Skills!C4=1,60+Inputs!$B$25+Inputs!$B$29,IF(Skills!C4=2,90+Inputs!$B$26+Inputs!$B$29,IF(Skills!C4=3,120+Inputs!$B$27+Inputs!$B$29,MAX(0,(Inputs!$B$3-100)*3)+Inputs!$B$28+Inputs!$B$29)))</f>
        <v/>
      </c>
      <c r="E1376">
        <f>INDEX(FactorTable!$B$2:$Y$301, MATCH(ROUND(MIN(300,MAX(1,D1376)),0), FactorTable!$A$2:$A$301,0), Skills!L4+1)</f>
        <v/>
      </c>
      <c r="F1376">
        <f>IF(Skills!M4=TRUE,(Skills!K4/10)*(E1376/1000),Skills!K4/10)+Skills!N4</f>
        <v/>
      </c>
      <c r="G1376">
        <f>Calc!G4</f>
        <v/>
      </c>
      <c r="H1376">
        <f>Calc!H4</f>
        <v/>
      </c>
      <c r="I1376">
        <f>IF(Skills!T4&lt;&gt;"",1+(Skills!T4/10)*(Z1375/1000)/100,1)</f>
        <v/>
      </c>
      <c r="J1376" t="inlineStr"/>
      <c r="K1376" t="inlineStr"/>
      <c r="L1376" t="inlineStr"/>
      <c r="M1376" t="inlineStr"/>
      <c r="N1376" t="inlineStr"/>
      <c r="O1376">
        <f>(1-Summary!$B$51)*S1376+Summary!$B$51*U1376</f>
        <v/>
      </c>
      <c r="P1376">
        <f>IF(B1408=0,0,O1376/B1408)</f>
        <v/>
      </c>
      <c r="Q1376">
        <f>IFERROR(1/IF(Inputs!$B$38="pvp",15,MAX(0.1,Skills!D4-IF(Skills!E4=TRUE,5.0,0))),0)</f>
        <v/>
      </c>
      <c r="R1376">
        <f>IF(AND(Inputs!$B$38&lt;&gt;"pvp",Inputs!$B$43&gt;0),IF(Inputs!$B$43&lt;=0,0,(INT(Inputs!$B$43/IF(Inputs!$B$38="pvp",15,MAX(0.1,Skills!D4-IF(Skills!E4=TRUE,5.0,0))))+1)),0)</f>
        <v/>
      </c>
      <c r="S1376" t="n">
        <v>0</v>
      </c>
      <c r="T1376">
        <f>290*T1375/1000</f>
        <v/>
      </c>
      <c r="U1376" t="n">
        <v>0</v>
      </c>
    </row>
    <row r="1377">
      <c r="A1377">
        <f>Skills!A5</f>
        <v/>
      </c>
      <c r="B1377">
        <f>Skills!B5</f>
        <v/>
      </c>
      <c r="C1377">
        <f>Inputs!$B$3&gt;=38</f>
        <v/>
      </c>
      <c r="D1377">
        <f>IF(Skills!C5=1,60+Inputs!$B$25+Inputs!$B$29,IF(Skills!C5=2,90+Inputs!$B$26+Inputs!$B$29,IF(Skills!C5=3,120+Inputs!$B$27+Inputs!$B$29,MAX(0,(Inputs!$B$3-100)*3)+Inputs!$B$28+Inputs!$B$29)))</f>
        <v/>
      </c>
      <c r="E1377">
        <f>INDEX(FactorTable!$B$2:$Y$301, MATCH(ROUND(MIN(300,MAX(1,D1377)),0), FactorTable!$A$2:$A$301,0), Skills!L5+1)</f>
        <v/>
      </c>
      <c r="F1377">
        <f>IF(Skills!M5=TRUE,(Skills!K5/10)*(E1377/1000),Skills!K5/10)+Skills!N5</f>
        <v/>
      </c>
      <c r="G1377">
        <f>Calc!G5</f>
        <v/>
      </c>
      <c r="H1377">
        <f>Calc!H5</f>
        <v/>
      </c>
      <c r="I1377">
        <f>IF(Skills!T5&lt;&gt;"",1+(Skills!T5/10)*(Z1375/1000)/100,1)</f>
        <v/>
      </c>
      <c r="J1377">
        <f>((Inputs!$B$6*(1+Inputs!$B$7/100))+(((Inputs!$B$12*(1+Inputs!$B$13/100))-(Inputs!$B$12*(1+Inputs!$B$13/100)))+0.25*(Inputs!$B$14-Inputs!$B$14))*(1+Inputs!$B$7/100))*(F1377/100)</f>
        <v/>
      </c>
      <c r="K1377">
        <f>J1377*(1+((Inputs!$B$12*(1+Inputs!$B$13/100))*0.01+Inputs!$B$14*0.0025)/100)*(1+(Inputs!$B$15+B1400)/100)*(1+Inputs!$B$16/100)*(5000/(6000+Inputs!$B$42*(1-Inputs!$B$19/100)))*(1+Inputs!$B$24/100)*(1+IF(C1387=TRUE,F1387,0)/100)*(1+IF(C1395=TRUE,F1395,0)/100)^5*(1+(IF(Skills!A5="CHAIN_LIGHTNING",Inputs!$B$17,Inputs!$B$18))/100)*(B1398*I1377)</f>
        <v/>
      </c>
      <c r="L1377">
        <f>K1377*(MIN(Inputs!$B$22+(F1390-Calc!F18),Inputs!$B$23)/100+Inputs!$B$23/100)/2</f>
        <v/>
      </c>
      <c r="M1377">
        <f>L1377*(1+(Inputs!$B$10+(F1393-Calc!F21))/100)</f>
        <v/>
      </c>
      <c r="N1377">
        <f>L1377*(1-MIN(Inputs!$B$9+((F1392-Calc!F20)+(F1391-Calc!F19)),100)/100)+M1377*(MIN(Inputs!$B$9+((F1392-Calc!F20)+(F1391-Calc!F19)),100)/100)</f>
        <v/>
      </c>
      <c r="O1377">
        <f>(1-Summary!$B$51)*S1377+Summary!$B$51*U1377</f>
        <v/>
      </c>
      <c r="P1377">
        <f>IF(B1408=0,0,O1377/B1408)</f>
        <v/>
      </c>
      <c r="Q1377">
        <f>IFERROR(1/IF(Inputs!$B$38="pvp",15,MAX(0.1,Skills!D5-IF(Skills!E5=TRUE,5.0,0))),0)</f>
        <v/>
      </c>
      <c r="R1377">
        <f>IF(AND(Inputs!$B$38&lt;&gt;"pvp",Inputs!$B$43&gt;0),IF(MAX(0,Inputs!$B$43-B1405)&lt;=0,0,(INT(MAX(0,Inputs!$B$43-B1405)/IF(Inputs!$B$38="pvp",15,MAX(0.1,Skills!D5-IF(Skills!E5=TRUE,5.0,0))))+1)),0)</f>
        <v/>
      </c>
      <c r="S1377">
        <f>IF(C1377,(H1377*N1377*IF(AND(Inputs!$B$38&lt;&gt;"pvp",Inputs!$B$43&gt;0),((Skills!F5*((R1377-1)*IF(Skills!G5&gt;0,Skills!H5/Skills!G5,1)+IF(Skills!G5&gt;0,MIN(Skills!H5,MAX(0,MAX(0,Inputs!$B$43-B1405)-((R1377-1)*IF(Inputs!$B$38="pvp",15,MAX(0.1,Skills!D5-IF(Skills!E5=TRUE,5.0,0))))))/Skills!G5,1)))/Inputs!$B$43),G1377*Q1377))*IF(Inputs!$B$38="pvp",1,1+(Inputs!$B$20+Skills!O5+B1399)/100),0)</f>
        <v/>
      </c>
      <c r="U1377">
        <f>IF(C1377,(H1377*N1377*IF(AND(Inputs!$B$38&lt;&gt;"pvp",Inputs!$B$43&gt;0),((Skills!F5*((R1377-1)*IF(Skills!G5&gt;0,Skills!H5/Skills!G5,1)+IF(Skills!G5&gt;0,MIN(Skills!H5,MAX(0,MAX(0,Inputs!$B$43-B1405)-((R1377-1)*IF(Inputs!$B$38="pvp",15,MAX(0.1,Skills!D5-IF(Skills!E5=TRUE,5.0,0))))))/Skills!G5,1)))/Inputs!$B$43),G1377*Q1377))*IF(Inputs!$B$38="pvp",1,(1+(Inputs!$B$21+Skills!P5+B1399)/100)*(MIN(Skills!Q5,Inputs!$B$37))),0)</f>
        <v/>
      </c>
    </row>
    <row r="1378">
      <c r="A1378">
        <f>Skills!A6</f>
        <v/>
      </c>
      <c r="B1378">
        <f>Skills!B6</f>
        <v/>
      </c>
      <c r="C1378">
        <f>Inputs!$B$3&gt;=63</f>
        <v/>
      </c>
      <c r="D1378">
        <f>IF(Skills!C6=1,60+Inputs!$B$25+Inputs!$B$29,IF(Skills!C6=2,90+Inputs!$B$26+Inputs!$B$29,IF(Skills!C6=3,120+Inputs!$B$27+Inputs!$B$29,MAX(0,(Inputs!$B$3-100)*3)+Inputs!$B$28+Inputs!$B$29)))</f>
        <v/>
      </c>
      <c r="E1378">
        <f>INDEX(FactorTable!$B$2:$Y$301, MATCH(ROUND(MIN(300,MAX(1,D1378)),0), FactorTable!$A$2:$A$301,0), Skills!L6+1)</f>
        <v/>
      </c>
      <c r="F1378">
        <f>IF(Skills!M6=TRUE,(Skills!K6/10)*(E1378/1000),Skills!K6/10)+Skills!N6</f>
        <v/>
      </c>
      <c r="G1378">
        <f>Calc!G6</f>
        <v/>
      </c>
      <c r="H1378">
        <f>Calc!H6</f>
        <v/>
      </c>
      <c r="I1378">
        <f>IF(Skills!T6&lt;&gt;"",1+(Skills!T6/10)*(Z1375/1000)/100,1)</f>
        <v/>
      </c>
      <c r="J1378">
        <f>((Inputs!$B$6*(1+Inputs!$B$7/100))+(((Inputs!$B$12*(1+Inputs!$B$13/100))-(Inputs!$B$12*(1+Inputs!$B$13/100)))+0.25*(Inputs!$B$14-Inputs!$B$14))*(1+Inputs!$B$7/100))*(F1378/100)</f>
        <v/>
      </c>
      <c r="K1378">
        <f>J1378*(1+((Inputs!$B$12*(1+Inputs!$B$13/100))*0.01+Inputs!$B$14*0.0025)/100)*(1+(Inputs!$B$15+B1400)/100)*(1+Inputs!$B$16/100)*(5000/(6000+Inputs!$B$42*(1-Inputs!$B$19/100)))*(1+Inputs!$B$24/100)*(1+IF(C1387=TRUE,F1387,0)/100)*(1+IF(C1395=TRUE,F1395,0)/100)^5*(1+(IF(Skills!A6="CHAIN_LIGHTNING",Inputs!$B$17,Inputs!$B$18))/100)*(B1398*I1378)</f>
        <v/>
      </c>
      <c r="L1378">
        <f>K1378*(MIN(Inputs!$B$22+(F1390-Calc!F18),Inputs!$B$23)/100+Inputs!$B$23/100)/2</f>
        <v/>
      </c>
      <c r="M1378">
        <f>L1378*(1+(Inputs!$B$10+(F1393-Calc!F21))/100)</f>
        <v/>
      </c>
      <c r="N1378">
        <f>L1378*(1-MIN(Inputs!$B$9+((F1392-Calc!F20)+(F1391-Calc!F19)),100)/100)+M1378*(MIN(Inputs!$B$9+((F1392-Calc!F20)+(F1391-Calc!F19)),100)/100)</f>
        <v/>
      </c>
      <c r="O1378">
        <f>(1-Summary!$B$51)*S1378+Summary!$B$51*U1378</f>
        <v/>
      </c>
      <c r="P1378">
        <f>IF(B1408=0,0,O1378/B1408)</f>
        <v/>
      </c>
      <c r="Q1378">
        <f>IFERROR(1/IF(Inputs!$B$38="pvp",15,MAX(0.1,Skills!D6-IF(Skills!E6=TRUE,5.0,0))),0)</f>
        <v/>
      </c>
      <c r="R1378">
        <f>IF(AND(Inputs!$B$38&lt;&gt;"pvp",Inputs!$B$43&gt;0),IF(MAX(0,Inputs!$B$43-B1405)&lt;=0,0,(INT(MAX(0,Inputs!$B$43-B1405)/IF(Inputs!$B$38="pvp",15,MAX(0.1,Skills!D6-IF(Skills!E6=TRUE,5.0,0))))+1)),0)</f>
        <v/>
      </c>
      <c r="S1378">
        <f>IF(C1378,(H1378*N1378*IF(AND(Inputs!$B$38&lt;&gt;"pvp",Inputs!$B$43&gt;0),((Skills!F6*((R1378-1)*IF(Skills!G6&gt;0,Skills!H6/Skills!G6,1)+IF(Skills!G6&gt;0,MIN(Skills!H6,MAX(0,MAX(0,Inputs!$B$43-B1405)-((R1378-1)*IF(Inputs!$B$38="pvp",15,MAX(0.1,Skills!D6-IF(Skills!E6=TRUE,5.0,0))))))/Skills!G6,1)))/Inputs!$B$43),G1378*Q1378))*IF(Inputs!$B$38="pvp",1,1+(Inputs!$B$20+Skills!O6+B1399)/100),0)</f>
        <v/>
      </c>
      <c r="U1378">
        <f>IF(C1378,(H1378*N1378*IF(AND(Inputs!$B$38&lt;&gt;"pvp",Inputs!$B$43&gt;0),((Skills!F6*((R1378-1)*IF(Skills!G6&gt;0,Skills!H6/Skills!G6,1)+IF(Skills!G6&gt;0,MIN(Skills!H6,MAX(0,MAX(0,Inputs!$B$43-B1405)-((R1378-1)*IF(Inputs!$B$38="pvp",15,MAX(0.1,Skills!D6-IF(Skills!E6=TRUE,5.0,0))))))/Skills!G6,1)))/Inputs!$B$43),G1378*Q1378))*IF(Inputs!$B$38="pvp",1,(1+(Inputs!$B$21+Skills!P6+B1399)/100)*(MIN(Skills!Q6,Inputs!$B$37))),0)</f>
        <v/>
      </c>
    </row>
    <row r="1379">
      <c r="A1379">
        <f>Skills!A7</f>
        <v/>
      </c>
      <c r="B1379">
        <f>Skills!B7</f>
        <v/>
      </c>
      <c r="C1379">
        <f>Inputs!$B$3&gt;=69</f>
        <v/>
      </c>
      <c r="D1379">
        <f>IF(Skills!C7=1,60+Inputs!$B$25+Inputs!$B$29,IF(Skills!C7=2,90+Inputs!$B$26+Inputs!$B$29,IF(Skills!C7=3,120+Inputs!$B$27+Inputs!$B$29,MAX(0,(Inputs!$B$3-100)*3)+Inputs!$B$28+Inputs!$B$29)))</f>
        <v/>
      </c>
      <c r="E1379">
        <f>INDEX(FactorTable!$B$2:$Y$301, MATCH(ROUND(MIN(300,MAX(1,D1379)),0), FactorTable!$A$2:$A$301,0), Skills!L7+1)</f>
        <v/>
      </c>
      <c r="F1379">
        <f>IF(Skills!M7=TRUE,(Skills!K7/10)*(E1379/1000),Skills!K7/10)+Skills!N7</f>
        <v/>
      </c>
      <c r="G1379">
        <f>Calc!G7</f>
        <v/>
      </c>
      <c r="H1379">
        <f>Calc!H7</f>
        <v/>
      </c>
      <c r="I1379">
        <f>IF(Skills!T7&lt;&gt;"",1+(Skills!T7/10)*(Z1375/1000)/100,1)</f>
        <v/>
      </c>
      <c r="J1379">
        <f>((Inputs!$B$6*(1+Inputs!$B$7/100))+(((Inputs!$B$12*(1+Inputs!$B$13/100))-(Inputs!$B$12*(1+Inputs!$B$13/100)))+0.25*(Inputs!$B$14-Inputs!$B$14))*(1+Inputs!$B$7/100))*(F1379/100)</f>
        <v/>
      </c>
      <c r="K1379">
        <f>J1379*(1+((Inputs!$B$12*(1+Inputs!$B$13/100))*0.01+Inputs!$B$14*0.0025)/100)*(1+(Inputs!$B$15+B1400)/100)*(1+Inputs!$B$16/100)*(5000/(6000+Inputs!$B$42*(1-Inputs!$B$19/100)))*(1+Inputs!$B$24/100)*(1+IF(C1387=TRUE,F1387,0)/100)*(1+IF(C1395=TRUE,F1395,0)/100)^5*(1+(IF(Skills!A7="CHAIN_LIGHTNING",Inputs!$B$17,Inputs!$B$18))/100)*(B1398*I1379)</f>
        <v/>
      </c>
      <c r="L1379">
        <f>K1379*(MIN(Inputs!$B$22+(F1390-Calc!F18),Inputs!$B$23)/100+Inputs!$B$23/100)/2</f>
        <v/>
      </c>
      <c r="M1379">
        <f>L1379*(1+(Inputs!$B$10+(F1393-Calc!F21))/100)</f>
        <v/>
      </c>
      <c r="N1379">
        <f>L1379*(1-MIN(Inputs!$B$9+((F1392-Calc!F20)+(F1391-Calc!F19)),100)/100)+M1379*(MIN(Inputs!$B$9+((F1392-Calc!F20)+(F1391-Calc!F19)),100)/100)</f>
        <v/>
      </c>
      <c r="O1379">
        <f>(1-Summary!$B$51)*S1379+Summary!$B$51*U1379</f>
        <v/>
      </c>
      <c r="P1379">
        <f>IF(B1408=0,0,O1379/B1408)</f>
        <v/>
      </c>
      <c r="Q1379">
        <f>IFERROR(1/IF(Inputs!$B$38="pvp",15,MAX(0.1,Skills!D7-IF(Skills!E7=TRUE,5.0,0))),0)</f>
        <v/>
      </c>
      <c r="R1379">
        <f>IF(AND(Inputs!$B$38&lt;&gt;"pvp",Inputs!$B$43&gt;0),IF(MAX(0,Inputs!$B$43-B1405)&lt;=0,0,(INT(MAX(0,Inputs!$B$43-B1405)/IF(Inputs!$B$38="pvp",15,MAX(0.1,Skills!D7-IF(Skills!E7=TRUE,5.0,0))))+1)),0)</f>
        <v/>
      </c>
      <c r="S1379">
        <f>IF(C1379,(H1379*N1379*IF(AND(Inputs!$B$38&lt;&gt;"pvp",Inputs!$B$43&gt;0),((Skills!F7*((R1379-1)*IF(Skills!G7&gt;0,Skills!H7/Skills!G7,1)+IF(Skills!G7&gt;0,MIN(Skills!H7,MAX(0,MAX(0,Inputs!$B$43-B1405)-((R1379-1)*IF(Inputs!$B$38="pvp",15,MAX(0.1,Skills!D7-IF(Skills!E7=TRUE,5.0,0))))))/Skills!G7,1)))/Inputs!$B$43),G1379*Q1379))*IF(Inputs!$B$38="pvp",1,1+(Inputs!$B$20+Skills!O7+B1399)/100),0)</f>
        <v/>
      </c>
      <c r="U1379">
        <f>IF(C1379,(H1379*N1379*IF(AND(Inputs!$B$38&lt;&gt;"pvp",Inputs!$B$43&gt;0),((Skills!F7*((R1379-1)*IF(Skills!G7&gt;0,Skills!H7/Skills!G7,1)+IF(Skills!G7&gt;0,MIN(Skills!H7,MAX(0,MAX(0,Inputs!$B$43-B1405)-((R1379-1)*IF(Inputs!$B$38="pvp",15,MAX(0.1,Skills!D7-IF(Skills!E7=TRUE,5.0,0))))))/Skills!G7,1)))/Inputs!$B$43),G1379*Q1379))*IF(Inputs!$B$38="pvp",1,(1+(Inputs!$B$21+Skills!P7+B1399)/100)*(MIN(Skills!Q7,Inputs!$B$37))),0)</f>
        <v/>
      </c>
    </row>
    <row r="1380">
      <c r="A1380">
        <f>Skills!A8</f>
        <v/>
      </c>
      <c r="B1380">
        <f>Skills!B8</f>
        <v/>
      </c>
      <c r="C1380">
        <f>Inputs!$B$3&gt;=103</f>
        <v/>
      </c>
      <c r="D1380">
        <f>IF(Skills!C8=1,60+Inputs!$B$25+Inputs!$B$29,IF(Skills!C8=2,90+Inputs!$B$26+Inputs!$B$29,IF(Skills!C8=3,120+Inputs!$B$27+Inputs!$B$29,MAX(0,(Inputs!$B$3-100)*3)+Inputs!$B$28+Inputs!$B$29)))</f>
        <v/>
      </c>
      <c r="E1380">
        <f>INDEX(FactorTable!$B$2:$Y$301, MATCH(ROUND(MIN(300,MAX(1,D1380)),0), FactorTable!$A$2:$A$301,0), Skills!L8+1)</f>
        <v/>
      </c>
      <c r="F1380">
        <f>IF(Skills!M8=TRUE,(Skills!K8/10)*(E1380/1000),Skills!K8/10)+Skills!N8</f>
        <v/>
      </c>
      <c r="G1380">
        <f>Calc!G8</f>
        <v/>
      </c>
      <c r="H1380">
        <f>Calc!H8</f>
        <v/>
      </c>
      <c r="I1380">
        <f>IF(Skills!T8&lt;&gt;"",1+(Skills!T8/10)*(Z1375/1000)/100,1)</f>
        <v/>
      </c>
      <c r="J1380">
        <f>((Inputs!$B$6*(1+Inputs!$B$7/100))+(((Inputs!$B$12*(1+Inputs!$B$13/100))-(Inputs!$B$12*(1+Inputs!$B$13/100)))+0.25*(Inputs!$B$14-Inputs!$B$14))*(1+Inputs!$B$7/100))*(F1380/100)</f>
        <v/>
      </c>
      <c r="K1380">
        <f>J1380*(1+((Inputs!$B$12*(1+Inputs!$B$13/100))*0.01+Inputs!$B$14*0.0025)/100)*(1+(Inputs!$B$15+B1400)/100)*(1+Inputs!$B$16/100)*(5000/(6000+Inputs!$B$42*(1-Inputs!$B$19/100)))*(1+Inputs!$B$24/100)*(1+IF(C1387=TRUE,F1387,0)/100)*(1+IF(C1395=TRUE,F1395,0)/100)^5*(1+(IF(Skills!A8="CHAIN_LIGHTNING",Inputs!$B$17,Inputs!$B$18))/100)*(B1398*I1380)</f>
        <v/>
      </c>
      <c r="L1380">
        <f>K1380*(MIN(Inputs!$B$22+(F1390-Calc!F18),Inputs!$B$23)/100+Inputs!$B$23/100)/2</f>
        <v/>
      </c>
      <c r="M1380">
        <f>L1380*(1+(Inputs!$B$10+(F1393-Calc!F21))/100)</f>
        <v/>
      </c>
      <c r="N1380">
        <f>L1380*(1-MIN(Inputs!$B$9+((F1392-Calc!F20)+(F1391-Calc!F19)),100)/100)+M1380*(MIN(Inputs!$B$9+((F1392-Calc!F20)+(F1391-Calc!F19)),100)/100)</f>
        <v/>
      </c>
      <c r="O1380">
        <f>(1-Summary!$B$51)*S1380+Summary!$B$51*U1380</f>
        <v/>
      </c>
      <c r="P1380">
        <f>IF(B1408=0,0,O1380/B1408)</f>
        <v/>
      </c>
      <c r="Q1380">
        <f>IFERROR(1/IF(Inputs!$B$38="pvp",15,MAX(0.1,Skills!D8-IF(Skills!E8=TRUE,5.0,0))),0)</f>
        <v/>
      </c>
      <c r="R1380">
        <f>IF(AND(Inputs!$B$38&lt;&gt;"pvp",Inputs!$B$43&gt;0),IF(MAX(0,Inputs!$B$43-B1405)&lt;=0,0,(INT(MAX(0,Inputs!$B$43-B1405)/IF(Inputs!$B$38="pvp",15,MAX(0.1,Skills!D8-IF(Skills!E8=TRUE,5.0,0))))+1)),0)</f>
        <v/>
      </c>
      <c r="S1380">
        <f>IF(C1380,(H1380*N1380*IF(AND(Inputs!$B$38&lt;&gt;"pvp",Inputs!$B$43&gt;0),((Skills!F8*((R1380-1)*IF(Skills!G8&gt;0,Skills!H8/Skills!G8,1)+IF(Skills!G8&gt;0,MIN(Skills!H8,MAX(0,MAX(0,Inputs!$B$43-B1405)-((R1380-1)*IF(Inputs!$B$38="pvp",15,MAX(0.1,Skills!D8-IF(Skills!E8=TRUE,5.0,0))))))/Skills!G8,1)))/Inputs!$B$43),G1380*Q1380))*IF(Inputs!$B$38="pvp",1,1+(Inputs!$B$20+Skills!O8+B1399)/100),0)</f>
        <v/>
      </c>
      <c r="U1380">
        <f>IF(C1380,(H1380*N1380*IF(AND(Inputs!$B$38&lt;&gt;"pvp",Inputs!$B$43&gt;0),((Skills!F8*((R1380-1)*IF(Skills!G8&gt;0,Skills!H8/Skills!G8,1)+IF(Skills!G8&gt;0,MIN(Skills!H8,MAX(0,MAX(0,Inputs!$B$43-B1405)-((R1380-1)*IF(Inputs!$B$38="pvp",15,MAX(0.1,Skills!D8-IF(Skills!E8=TRUE,5.0,0))))))/Skills!G8,1)))/Inputs!$B$43),G1380*Q1380))*IF(Inputs!$B$38="pvp",1,(1+(Inputs!$B$21+Skills!P8+B1399)/100)*(MIN(Skills!Q8,Inputs!$B$37))),0)</f>
        <v/>
      </c>
    </row>
    <row r="1381">
      <c r="A1381">
        <f>Skills!A9</f>
        <v/>
      </c>
      <c r="B1381">
        <f>Skills!B9</f>
        <v/>
      </c>
      <c r="C1381">
        <f>Inputs!$B$3&gt;=105</f>
        <v/>
      </c>
      <c r="D1381">
        <f>IF(Skills!C9=1,60+Inputs!$B$25+Inputs!$B$29,IF(Skills!C9=2,90+Inputs!$B$26+Inputs!$B$29,IF(Skills!C9=3,120+Inputs!$B$27+Inputs!$B$29,MAX(0,(Inputs!$B$3-100)*3)+Inputs!$B$28+Inputs!$B$29)))</f>
        <v/>
      </c>
      <c r="E1381">
        <f>INDEX(FactorTable!$B$2:$Y$301, MATCH(ROUND(MIN(300,MAX(1,D1381)),0), FactorTable!$A$2:$A$301,0), Skills!L9+1)</f>
        <v/>
      </c>
      <c r="F1381">
        <f>IF(Skills!M9=TRUE,(Skills!K9/10)*(E1381/1000),Skills!K9/10)+Skills!N9</f>
        <v/>
      </c>
      <c r="G1381">
        <f>Calc!G9</f>
        <v/>
      </c>
      <c r="H1381">
        <f>Calc!H9</f>
        <v/>
      </c>
      <c r="I1381">
        <f>IF(Skills!T9&lt;&gt;"",1+(Skills!T9/10)*(Z1375/1000)/100,1)</f>
        <v/>
      </c>
      <c r="J1381">
        <f>((Inputs!$B$6*(1+Inputs!$B$7/100))+(((Inputs!$B$12*(1+Inputs!$B$13/100))-(Inputs!$B$12*(1+Inputs!$B$13/100)))+0.25*(Inputs!$B$14-Inputs!$B$14))*(1+Inputs!$B$7/100))*(F1381/100)</f>
        <v/>
      </c>
      <c r="K1381">
        <f>J1381*(1+((Inputs!$B$12*(1+Inputs!$B$13/100))*0.01+Inputs!$B$14*0.0025)/100)*(1+(Inputs!$B$15+B1400)/100)*(1+Inputs!$B$16/100)*(5000/(6000+Inputs!$B$42*(1-Inputs!$B$19/100)))*(1+Inputs!$B$24/100)*(1+IF(C1387=TRUE,F1387,0)/100)*(1+IF(C1395=TRUE,F1395,0)/100)^5*(1+(IF(Skills!A9="CHAIN_LIGHTNING",Inputs!$B$17,Inputs!$B$18))/100)*(B1398*I1381)</f>
        <v/>
      </c>
      <c r="L1381">
        <f>K1381*(MIN(Inputs!$B$22+(F1390-Calc!F18),Inputs!$B$23)/100+Inputs!$B$23/100)/2</f>
        <v/>
      </c>
      <c r="M1381">
        <f>L1381*(1+(Inputs!$B$10+(F1393-Calc!F21))/100)</f>
        <v/>
      </c>
      <c r="N1381">
        <f>L1381*(1-MIN(Inputs!$B$9+((F1392-Calc!F20)+(F1391-Calc!F19)),100)/100)+M1381*(MIN(Inputs!$B$9+((F1392-Calc!F20)+(F1391-Calc!F19)),100)/100)</f>
        <v/>
      </c>
      <c r="O1381">
        <f>(1-Summary!$B$51)*S1381+Summary!$B$51*U1381</f>
        <v/>
      </c>
      <c r="P1381">
        <f>IF(B1408=0,0,O1381/B1408)</f>
        <v/>
      </c>
      <c r="Q1381">
        <f>IFERROR(1/IF(Inputs!$B$38="pvp",15,MAX(0.1,Skills!D9-IF(Skills!E9=TRUE,5.0,0))),0)</f>
        <v/>
      </c>
      <c r="R1381">
        <f>IF(AND(Inputs!$B$38&lt;&gt;"pvp",Inputs!$B$43&gt;0),IF(MAX(0,Inputs!$B$43-B1405)&lt;=0,0,(INT(MAX(0,Inputs!$B$43-B1405)/IF(Inputs!$B$38="pvp",15,MAX(0.1,Skills!D9-IF(Skills!E9=TRUE,5.0,0))))+1)),0)</f>
        <v/>
      </c>
      <c r="S1381">
        <f>IF(C1381,(H1381*N1381*IF(AND(Inputs!$B$38&lt;&gt;"pvp",Inputs!$B$43&gt;0),((Skills!F9*((R1381-1)*IF(Skills!G9&gt;0,Skills!H9/Skills!G9,1)+IF(Skills!G9&gt;0,MIN(Skills!H9,MAX(0,MAX(0,Inputs!$B$43-B1405)-((R1381-1)*IF(Inputs!$B$38="pvp",15,MAX(0.1,Skills!D9-IF(Skills!E9=TRUE,5.0,0))))))/Skills!G9,1)))/Inputs!$B$43),G1381*Q1381))*IF(Inputs!$B$38="pvp",1,1+(Inputs!$B$20+Skills!O9+B1399)/100),0)</f>
        <v/>
      </c>
      <c r="U1381">
        <f>IF(C1381,(H1381*N1381*IF(AND(Inputs!$B$38&lt;&gt;"pvp",Inputs!$B$43&gt;0),((Skills!F9*((R1381-1)*IF(Skills!G9&gt;0,Skills!H9/Skills!G9,1)+IF(Skills!G9&gt;0,MIN(Skills!H9,MAX(0,MAX(0,Inputs!$B$43-B1405)-((R1381-1)*IF(Inputs!$B$38="pvp",15,MAX(0.1,Skills!D9-IF(Skills!E9=TRUE,5.0,0))))))/Skills!G9,1)))/Inputs!$B$43),G1381*Q1381))*IF(Inputs!$B$38="pvp",1,(1+(Inputs!$B$21+Skills!P9+B1399)/100)*(MIN(Skills!Q9,Inputs!$B$37))),0)</f>
        <v/>
      </c>
    </row>
    <row r="1382">
      <c r="A1382">
        <f>Skills!A10</f>
        <v/>
      </c>
      <c r="B1382">
        <f>Skills!B10</f>
        <v/>
      </c>
      <c r="C1382">
        <f>Inputs!$B$3&gt;=113</f>
        <v/>
      </c>
      <c r="D1382">
        <f>IF(Skills!C10=1,60+Inputs!$B$25+Inputs!$B$29,IF(Skills!C10=2,90+Inputs!$B$26+Inputs!$B$29,IF(Skills!C10=3,120+Inputs!$B$27+Inputs!$B$29,MAX(0,(Inputs!$B$3-100)*3)+Inputs!$B$28+Inputs!$B$29)))</f>
        <v/>
      </c>
      <c r="E1382">
        <f>INDEX(FactorTable!$B$2:$Y$301, MATCH(ROUND(MIN(300,MAX(1,D1382)),0), FactorTable!$A$2:$A$301,0), Skills!L10+1)</f>
        <v/>
      </c>
      <c r="F1382">
        <f>IF(Skills!M10=TRUE,(Skills!K10/10)*(E1382/1000),Skills!K10/10)+Skills!N10</f>
        <v/>
      </c>
      <c r="G1382">
        <f>Calc!G10</f>
        <v/>
      </c>
      <c r="H1382">
        <f>Calc!H10</f>
        <v/>
      </c>
      <c r="I1382">
        <f>IF(Skills!T10&lt;&gt;"",1+(Skills!T10/10)*(Z1375/1000)/100,1)</f>
        <v/>
      </c>
      <c r="J1382">
        <f>((Inputs!$B$6*(1+Inputs!$B$7/100))+(((Inputs!$B$12*(1+Inputs!$B$13/100))-(Inputs!$B$12*(1+Inputs!$B$13/100)))+0.25*(Inputs!$B$14-Inputs!$B$14))*(1+Inputs!$B$7/100))*(F1382/100)</f>
        <v/>
      </c>
      <c r="K1382">
        <f>J1382*(1+((Inputs!$B$12*(1+Inputs!$B$13/100))*0.01+Inputs!$B$14*0.0025)/100)*(1+(Inputs!$B$15+B1400)/100)*(1+Inputs!$B$16/100)*(5000/(6000+Inputs!$B$42*(1-Inputs!$B$19/100)))*(1+Inputs!$B$24/100)*(1+IF(C1387=TRUE,F1387,0)/100)*(1+IF(C1395=TRUE,F1395,0)/100)^5*(1+(IF(Skills!A10="CHAIN_LIGHTNING",Inputs!$B$17,Inputs!$B$18))/100)*(B1398*I1382)</f>
        <v/>
      </c>
      <c r="L1382">
        <f>K1382*(MIN(Inputs!$B$22+(F1390-Calc!F18),Inputs!$B$23)/100+Inputs!$B$23/100)/2</f>
        <v/>
      </c>
      <c r="M1382">
        <f>L1382*(1+(Inputs!$B$10+(F1393-Calc!F21))/100)</f>
        <v/>
      </c>
      <c r="N1382">
        <f>L1382*(1-MIN(Inputs!$B$9+((F1392-Calc!F20)+(F1391-Calc!F19)),100)/100)+M1382*(MIN(Inputs!$B$9+((F1392-Calc!F20)+(F1391-Calc!F19)),100)/100)</f>
        <v/>
      </c>
      <c r="O1382">
        <f>(1-Summary!$B$51)*S1382+Summary!$B$51*U1382</f>
        <v/>
      </c>
      <c r="P1382">
        <f>IF(B1408=0,0,O1382/B1408)</f>
        <v/>
      </c>
      <c r="Q1382">
        <f>IFERROR(1/IF(Inputs!$B$38="pvp",15,MAX(0.1,Skills!D10-IF(Skills!E9=TRUE,5.0,0))),0)</f>
        <v/>
      </c>
      <c r="R1382">
        <f>IF(AND(Inputs!$B$38&lt;&gt;"pvp",Inputs!$B$43&gt;0),IF(MAX(0,Inputs!$B$43-B1405)&lt;=0,0,(INT(MAX(0,Inputs!$B$43-B1405)/IF(Inputs!$B$38="pvp",15,MAX(0.1,Skills!D10-IF(Skills!E9=TRUE,5.0,0))))+1)),0)</f>
        <v/>
      </c>
      <c r="S1382">
        <f>IF(C1382,(H1382*N1382*IF(AND(Inputs!$B$38&lt;&gt;"pvp",Inputs!$B$43&gt;0),((Skills!F10*((R1382-1)*IF(Skills!G10&gt;0,Skills!H10/Skills!G10,1)+IF(Skills!G10&gt;0,MIN(Skills!H10,MAX(0,MAX(0,Inputs!$B$43-B1405)-((R1382-1)*IF(Inputs!$B$38="pvp",15,MAX(0.1,Skills!D10-IF(Skills!E9=TRUE,5.0,0))))))/Skills!G10,1)))/Inputs!$B$43),G1382*Q1382))*IF(Inputs!$B$38="pvp",1,1+(Inputs!$B$20+Skills!O10+B1399)/100),0)</f>
        <v/>
      </c>
      <c r="U1382">
        <f>IF(C1382,(H1382*N1382*IF(AND(Inputs!$B$38&lt;&gt;"pvp",Inputs!$B$43&gt;0),((Skills!F10*((R1382-1)*IF(Skills!G10&gt;0,Skills!H10/Skills!G10,1)+IF(Skills!G10&gt;0,MIN(Skills!H10,MAX(0,MAX(0,Inputs!$B$43-B1405)-((R1382-1)*IF(Inputs!$B$38="pvp",15,MAX(0.1,Skills!D10-IF(Skills!E9=TRUE,5.0,0))))))/Skills!G10,1)))/Inputs!$B$43),G1382*Q1382))*IF(Inputs!$B$38="pvp",1,(1+(Inputs!$B$21+Skills!P10+B1399)/100)*(MIN(Skills!Q10,Inputs!$B$37))),0)</f>
        <v/>
      </c>
    </row>
    <row r="1383">
      <c r="A1383">
        <f>Skills!A11</f>
        <v/>
      </c>
      <c r="B1383">
        <f>Skills!B11</f>
        <v/>
      </c>
      <c r="C1383">
        <f>Inputs!$B$3&gt;=107</f>
        <v/>
      </c>
      <c r="D1383">
        <f>IF(Skills!C11=1,60+Inputs!$B$25+Inputs!$B$29,IF(Skills!C11=2,90+Inputs!$B$26+Inputs!$B$29,IF(Skills!C11=3,120+Inputs!$B$27+Inputs!$B$29,MAX(0,(Inputs!$B$3-100)*3)+Inputs!$B$28+Inputs!$B$29)))</f>
        <v/>
      </c>
      <c r="E1383">
        <f>INDEX(FactorTable!$B$2:$Y$301, MATCH(ROUND(MIN(300,MAX(1,D1383)),0), FactorTable!$A$2:$A$301,0), Skills!L11+1)</f>
        <v/>
      </c>
      <c r="F1383">
        <f>IF(Skills!M11=TRUE,(Skills!K11/10)*(E1383/1000),Skills!K11/10)+Skills!N11</f>
        <v/>
      </c>
      <c r="G1383">
        <f>Calc!G11</f>
        <v/>
      </c>
      <c r="H1383">
        <f>Calc!H11</f>
        <v/>
      </c>
      <c r="I1383">
        <f>IF(Skills!T11&lt;&gt;"",1+(Skills!T11/10)*(Z1375/1000)/100,1)</f>
        <v/>
      </c>
      <c r="J1383">
        <f>((Inputs!$B$6*(1+Inputs!$B$7/100))+(((Inputs!$B$12*(1+Inputs!$B$13/100))-(Inputs!$B$12*(1+Inputs!$B$13/100)))+0.25*(Inputs!$B$14-Inputs!$B$14))*(1+Inputs!$B$7/100))*(F1383/100)</f>
        <v/>
      </c>
      <c r="K1383">
        <f>J1383*(1+((Inputs!$B$12*(1+Inputs!$B$13/100))*0.01+Inputs!$B$14*0.0025)/100)*(1+(Inputs!$B$15+B1400)/100)*(1+Inputs!$B$16/100)*(5000/(6000+Inputs!$B$42*(1-Inputs!$B$19/100)))*(1+Inputs!$B$24/100)*(1+IF(C1387=TRUE,F1387,0)/100)*(1+IF(C1395=TRUE,F1395,0)/100)^5*(1+(IF(Skills!A11="CHAIN_LIGHTNING",Inputs!$B$17,Inputs!$B$18))/100)*(B1398*I1383)</f>
        <v/>
      </c>
      <c r="L1383">
        <f>K1383*(MIN(Inputs!$B$22+(F1390-Calc!F18),Inputs!$B$23)/100+Inputs!$B$23/100)/2</f>
        <v/>
      </c>
      <c r="M1383">
        <f>L1383*(1+(Inputs!$B$10+(F1393-Calc!F21))/100)</f>
        <v/>
      </c>
      <c r="N1383">
        <f>L1383*(1-MIN(Inputs!$B$9+((F1392-Calc!F20)+(F1391-Calc!F19)),100)/100)+M1383*(MIN(Inputs!$B$9+((F1392-Calc!F20)+(F1391-Calc!F19)),100)/100)</f>
        <v/>
      </c>
      <c r="O1383">
        <f>(1-Summary!$B$51)*S1383+Summary!$B$51*U1383</f>
        <v/>
      </c>
      <c r="P1383">
        <f>IF(B1408=0,0,O1383/B1408)</f>
        <v/>
      </c>
      <c r="Q1383">
        <f>IFERROR(1/IF(Inputs!$B$38="pvp",15,MAX(0.1,Skills!D11-IF(Skills!E11=TRUE,5.0,0))),0)</f>
        <v/>
      </c>
      <c r="R1383">
        <f>IF(AND(Inputs!$B$38&lt;&gt;"pvp",Inputs!$B$43&gt;0),IF(MAX(0,Inputs!$B$43-B1405)&lt;=0,0,(INT(MAX(0,Inputs!$B$43-B1405)/IF(Inputs!$B$38="pvp",15,MAX(0.1,Skills!D11-IF(Skills!E11=TRUE,5.0,0))))+1)),0)</f>
        <v/>
      </c>
      <c r="S1383">
        <f>IF(C1383,H1383*N1383*IF(AND(Inputs!$B$38&lt;&gt;"pvp",Inputs!$B$43&gt;0),((Skills!F11*((R1383-1)*IF(Skills!G11&gt;0,Skills!H11/Skills!G11,1)+IF(Skills!G11&gt;0,MIN(Skills!H11,MAX(0,MAX(0,Inputs!$B$43-B1405)-((R1383-1)*IF(Inputs!$B$38="pvp",15,MAX(0.1,Skills!D11-IF(Skills!E11=TRUE,5.0,0))))))/Skills!G11,1)))/Inputs!$B$43),G1383*Q1383)*0.5*IF(Inputs!$B$38="pvp",1,1+(Inputs!$B$20+Skills!O11+B1399)/100),0)</f>
        <v/>
      </c>
      <c r="U1383">
        <f>IF(C1383,H1383*N1383*IF(AND(Inputs!$B$38&lt;&gt;"pvp",Inputs!$B$43&gt;0),((Skills!F11*((R1383-1)*IF(Skills!G11&gt;0,Skills!H11/Skills!G11,1)+IF(Skills!G11&gt;0,MIN(Skills!H11,MAX(0,MAX(0,Inputs!$B$43-B1405)-((R1383-1)*IF(Inputs!$B$38="pvp",15,MAX(0.1,Skills!D11-IF(Skills!E11=TRUE,5.0,0))))))/Skills!G11,1)))/Inputs!$B$43),G1383*Q1383)*1*IF(Inputs!$B$38="pvp",1,(1+(Inputs!$B$21+Skills!P11+B1399)/100)*(MIN(Skills!Q11,Inputs!$B$37))),0)</f>
        <v/>
      </c>
    </row>
    <row r="1384">
      <c r="A1384">
        <f>Skills!A12</f>
        <v/>
      </c>
      <c r="B1384">
        <f>Skills!B12</f>
        <v/>
      </c>
      <c r="C1384">
        <f>Inputs!$B$3&gt;=115</f>
        <v/>
      </c>
      <c r="D1384">
        <f>IF(Skills!C12=1,60+Inputs!$B$25+Inputs!$B$29,IF(Skills!C12=2,90+Inputs!$B$26+Inputs!$B$29,IF(Skills!C12=3,120+Inputs!$B$27+Inputs!$B$29,MAX(0,(Inputs!$B$3-100)*3)+Inputs!$B$28+Inputs!$B$29)))</f>
        <v/>
      </c>
      <c r="E1384">
        <f>INDEX(FactorTable!$B$2:$Y$301, MATCH(ROUND(MIN(300,MAX(1,D1384)),0), FactorTable!$A$2:$A$301,0), Skills!L12+1)</f>
        <v/>
      </c>
      <c r="F1384">
        <f>IF(Skills!M12=TRUE,(Skills!K12/10)*(E1384/1000),Skills!K12/10)+Skills!N12</f>
        <v/>
      </c>
      <c r="G1384">
        <f>Calc!G12</f>
        <v/>
      </c>
      <c r="H1384">
        <f>Calc!H12</f>
        <v/>
      </c>
      <c r="I1384">
        <f>IF(Skills!T12&lt;&gt;"",1+(Skills!T12/10)*(Z1375/1000)/100,1)</f>
        <v/>
      </c>
      <c r="J1384">
        <f>((Inputs!$B$6*(1+Inputs!$B$7/100))+(((Inputs!$B$12*(1+Inputs!$B$13/100))-(Inputs!$B$12*(1+Inputs!$B$13/100)))+0.25*(Inputs!$B$14-Inputs!$B$14))*(1+Inputs!$B$7/100))*(F1384/100)</f>
        <v/>
      </c>
      <c r="K1384">
        <f>J1384*(1+((Inputs!$B$12*(1+Inputs!$B$13/100))*0.01+Inputs!$B$14*0.0025)/100)*(1+(Inputs!$B$15+B1400)/100)*(1+Inputs!$B$16/100)*(5000/(6000+Inputs!$B$42*(1-Inputs!$B$19/100)))*(1+Inputs!$B$24/100)*(1+IF(C1387=TRUE,F1387,0)/100)*(1+IF(C1395=TRUE,F1395,0)/100)^5*(1+(IF(Skills!A12="CHAIN_LIGHTNING",Inputs!$B$17,Inputs!$B$18))/100)*(B1398*I1384)</f>
        <v/>
      </c>
      <c r="L1384">
        <f>K1384*(MIN(Inputs!$B$22+(F1390-Calc!F18),Inputs!$B$23)/100+Inputs!$B$23/100)/2</f>
        <v/>
      </c>
      <c r="M1384">
        <f>L1384*(1+(Inputs!$B$10+(F1393-Calc!F21))/100)</f>
        <v/>
      </c>
      <c r="N1384">
        <f>L1384*(1-MIN(Inputs!$B$9+((F1392-Calc!F20)+(F1391-Calc!F19)),100)/100)+M1384*(MIN(Inputs!$B$9+((F1392-Calc!F20)+(F1391-Calc!F19)),100)/100)</f>
        <v/>
      </c>
      <c r="O1384">
        <f>(1-Summary!$B$51)*S1384+Summary!$B$51*U1384</f>
        <v/>
      </c>
      <c r="P1384">
        <f>IF(B1408=0,0,O1384/B1408)</f>
        <v/>
      </c>
      <c r="Q1384">
        <f>IFERROR(1/IF(Inputs!$B$38="pvp",15,MAX(0.1,Skills!D12-IF(Skills!E12=TRUE,5.0,0))),0)</f>
        <v/>
      </c>
      <c r="R1384">
        <f>IF(AND(Inputs!$B$38&lt;&gt;"pvp",Inputs!$B$43&gt;0),IF(MAX(0,Inputs!$B$43-B1405)&lt;=0,0,(INT(MAX(0,Inputs!$B$43-B1405)/IF(Inputs!$B$38="pvp",15,MAX(0.1,Skills!D12-IF(Skills!E12=TRUE,5.0,0))))+1)),0)</f>
        <v/>
      </c>
      <c r="S1384">
        <f>IF(C1384,(H1384*N1384*IF(AND(Inputs!$B$38&lt;&gt;"pvp",Inputs!$B$43&gt;0),((Skills!F12*((R1384-1)*IF(Skills!G12&gt;0,Skills!H12/Skills!G12,1)+IF(Skills!G12&gt;0,MIN(Skills!H12,MAX(0,MAX(0,Inputs!$B$43-B1405)-((R1384-1)*IF(Inputs!$B$38="pvp",15,MAX(0.1,Skills!D12-IF(Skills!E12=TRUE,5.0,0))))))/Skills!G12,1)))/Inputs!$B$43),G1384*Q1384))*IF(Inputs!$B$38="pvp",1,1+(Inputs!$B$20+Skills!O12+B1399)/100),0)</f>
        <v/>
      </c>
      <c r="U1384">
        <f>IF(C1384,(H1384*N1384*IF(AND(Inputs!$B$38&lt;&gt;"pvp",Inputs!$B$43&gt;0),((Skills!F12*((R1384-1)*IF(Skills!G12&gt;0,Skills!H12/Skills!G12,1)+IF(Skills!G12&gt;0,MIN(Skills!H12,MAX(0,MAX(0,Inputs!$B$43-B1405)-((R1384-1)*IF(Inputs!$B$38="pvp",15,MAX(0.1,Skills!D12-IF(Skills!E12=TRUE,5.0,0))))))/Skills!G12,1)))/Inputs!$B$43),G1384*Q1384))*IF(Inputs!$B$38="pvp",1,(1+(Inputs!$B$21+Skills!P12+B1399)/100)*(MIN(Skills!Q12,Inputs!$B$37))),0)</f>
        <v/>
      </c>
    </row>
    <row r="1385">
      <c r="A1385">
        <f>Skills!A13</f>
        <v/>
      </c>
      <c r="B1385">
        <f>Skills!B13</f>
        <v/>
      </c>
      <c r="C1385">
        <f>Inputs!$B$3&gt;=49</f>
        <v/>
      </c>
      <c r="D1385">
        <f>IF(Skills!C13=1,60+Inputs!$B$25+Inputs!$B$29,IF(Skills!C13=2,90+Inputs!$B$26+Inputs!$B$29,IF(Skills!C13=3,120+Inputs!$B$27+Inputs!$B$29,MAX(0,(Inputs!$B$3-100)*3)+Inputs!$B$28+Inputs!$B$29)))</f>
        <v/>
      </c>
      <c r="E1385">
        <f>INDEX(FactorTable!$B$2:$Y$301, MATCH(ROUND(MIN(300,MAX(1,D1385)),0), FactorTable!$A$2:$A$301,0), Skills!L13+1)</f>
        <v/>
      </c>
      <c r="F1385">
        <f>IF(Skills!M13=TRUE,(Skills!K13/10)*(E1385/1000),Skills!K13/10)+Skills!N13</f>
        <v/>
      </c>
      <c r="G1385">
        <f>Calc!G13</f>
        <v/>
      </c>
      <c r="H1385">
        <f>Calc!H13</f>
        <v/>
      </c>
      <c r="I1385">
        <f>IF(Skills!T13&lt;&gt;"",1+(Skills!T13/10)*(Z1375/1000)/100,1)</f>
        <v/>
      </c>
      <c r="J1385" t="inlineStr"/>
      <c r="K1385" t="inlineStr"/>
      <c r="L1385" t="inlineStr"/>
      <c r="M1385" t="inlineStr"/>
      <c r="N1385" t="inlineStr"/>
      <c r="O1385">
        <f>(1-Summary!$B$51)*S1385+Summary!$B$51*U1385</f>
        <v/>
      </c>
      <c r="P1385">
        <f>IF(B1408=0,0,O1385/B1408)</f>
        <v/>
      </c>
      <c r="Q1385">
        <f>IFERROR(1/IF(Inputs!$B$38="pvp",15,MAX(0.1,Skills!D13-IF(Skills!E13=TRUE,5.0,0))),0)</f>
        <v/>
      </c>
      <c r="R1385" t="n">
        <v>0</v>
      </c>
      <c r="S1385" t="n">
        <v>0</v>
      </c>
      <c r="U1385" t="n">
        <v>0</v>
      </c>
    </row>
    <row r="1386">
      <c r="A1386">
        <f>Skills!A14</f>
        <v/>
      </c>
      <c r="B1386">
        <f>Skills!B14</f>
        <v/>
      </c>
      <c r="C1386">
        <f>Inputs!$B$3&gt;=72</f>
        <v/>
      </c>
      <c r="D1386">
        <f>IF(Skills!C14=1,60+Inputs!$B$25+Inputs!$B$29,IF(Skills!C14=2,90+Inputs!$B$26+Inputs!$B$29,IF(Skills!C14=3,120+Inputs!$B$27+Inputs!$B$29,MAX(0,(Inputs!$B$3-100)*3)+Inputs!$B$28+Inputs!$B$29)))</f>
        <v/>
      </c>
      <c r="E1386">
        <f>INDEX(FactorTable!$B$2:$Y$301, MATCH(ROUND(MIN(300,MAX(1,D1386)),0), FactorTable!$A$2:$A$301,0), Skills!L14+1)</f>
        <v/>
      </c>
      <c r="F1386">
        <f>IF(Skills!M14=TRUE,(Skills!K14/10)*(E1386/1000),Skills!K14/10)+Skills!N14</f>
        <v/>
      </c>
      <c r="G1386">
        <f>Calc!G14</f>
        <v/>
      </c>
      <c r="H1386">
        <f>Calc!H14</f>
        <v/>
      </c>
      <c r="I1386">
        <f>IF(Skills!T14&lt;&gt;"",1+(Skills!T14/10)*(Z1375/1000)/100,1)</f>
        <v/>
      </c>
      <c r="J1386" t="inlineStr"/>
      <c r="K1386" t="inlineStr"/>
      <c r="L1386" t="inlineStr"/>
      <c r="M1386" t="inlineStr"/>
      <c r="N1386" t="inlineStr"/>
      <c r="O1386">
        <f>(1-Summary!$B$51)*S1386+Summary!$B$51*U1386</f>
        <v/>
      </c>
      <c r="P1386">
        <f>IF(B1408=0,0,O1386/B1408)</f>
        <v/>
      </c>
      <c r="Q1386">
        <f>IFERROR(1/IF(Inputs!$B$38="pvp",15,MAX(0.1,Skills!D14-IF(Skills!E14=TRUE,5.0,0))),0)</f>
        <v/>
      </c>
      <c r="R1386" t="n">
        <v>0</v>
      </c>
      <c r="S1386" t="n">
        <v>0</v>
      </c>
      <c r="U1386" t="n">
        <v>0</v>
      </c>
    </row>
    <row r="1387">
      <c r="A1387">
        <f>Skills!A15</f>
        <v/>
      </c>
      <c r="B1387">
        <f>Skills!B15</f>
        <v/>
      </c>
      <c r="C1387">
        <f>Inputs!$B$3&gt;=75</f>
        <v/>
      </c>
      <c r="D1387">
        <f>IF(Skills!C15=1,60+Inputs!$B$25+Inputs!$B$29,IF(Skills!C15=2,90+Inputs!$B$26+Inputs!$B$29,IF(Skills!C15=3,120+Inputs!$B$27+Inputs!$B$29,MAX(0,(Inputs!$B$3-100)*3)+Inputs!$B$28+Inputs!$B$29)))</f>
        <v/>
      </c>
      <c r="E1387">
        <f>INDEX(FactorTable!$B$2:$Y$301, MATCH(ROUND(MIN(300,MAX(1,D1387)),0), FactorTable!$A$2:$A$301,0), Skills!L15+1)</f>
        <v/>
      </c>
      <c r="F1387">
        <f>IF(Skills!M15=TRUE,(Skills!K15/10)*(E1387/1000),Skills!K15/10)+Skills!N15</f>
        <v/>
      </c>
      <c r="G1387">
        <f>Calc!G15</f>
        <v/>
      </c>
      <c r="H1387">
        <f>Calc!H15</f>
        <v/>
      </c>
      <c r="I1387">
        <f>IF(Skills!T15&lt;&gt;"",1+(Skills!T15/10)*(Z1375/1000)/100,1)</f>
        <v/>
      </c>
      <c r="J1387" t="inlineStr"/>
      <c r="K1387" t="inlineStr"/>
      <c r="L1387" t="inlineStr"/>
      <c r="M1387" t="inlineStr"/>
      <c r="N1387" t="inlineStr"/>
      <c r="O1387">
        <f>(1-Summary!$B$51)*S1387+Summary!$B$51*U1387</f>
        <v/>
      </c>
      <c r="P1387">
        <f>IF(B1408=0,0,O1387/B1408)</f>
        <v/>
      </c>
      <c r="Q1387">
        <f>IFERROR(1/IF(Inputs!$B$38="pvp",15,MAX(0.1,Skills!D15-IF(Skills!E15=TRUE,5.0,0))),0)</f>
        <v/>
      </c>
      <c r="R1387" t="n">
        <v>0</v>
      </c>
      <c r="S1387" t="n">
        <v>0</v>
      </c>
      <c r="U1387" t="n">
        <v>0</v>
      </c>
    </row>
    <row r="1388">
      <c r="A1388">
        <f>Skills!A16</f>
        <v/>
      </c>
      <c r="B1388">
        <f>Skills!B16</f>
        <v/>
      </c>
      <c r="C1388">
        <f>Inputs!$B$3&gt;=110</f>
        <v/>
      </c>
      <c r="D1388">
        <f>IF(Skills!C16=1,60+Inputs!$B$25+Inputs!$B$29,IF(Skills!C16=2,90+Inputs!$B$26+Inputs!$B$29,IF(Skills!C16=3,120+Inputs!$B$27+Inputs!$B$29,MAX(0,(Inputs!$B$3-100)*3)+Inputs!$B$28+Inputs!$B$29)))</f>
        <v/>
      </c>
      <c r="E1388">
        <f>INDEX(FactorTable!$B$2:$Y$301, MATCH(ROUND(MIN(300,MAX(1,D1388)),0), FactorTable!$A$2:$A$301,0), Skills!L16+1)</f>
        <v/>
      </c>
      <c r="F1388">
        <f>(Skills!K16/10)*(E1388/1000)*64/45+Skills!N16</f>
        <v/>
      </c>
      <c r="G1388">
        <f>Calc!G16</f>
        <v/>
      </c>
      <c r="H1388">
        <f>Calc!H16</f>
        <v/>
      </c>
      <c r="I1388">
        <f>IF(Skills!T16&lt;&gt;"",1+(Skills!T16/10)*(Z1375/1000)/100,1)</f>
        <v/>
      </c>
      <c r="J1388" t="inlineStr"/>
      <c r="K1388" t="inlineStr"/>
      <c r="L1388" t="inlineStr"/>
      <c r="M1388" t="inlineStr"/>
      <c r="N1388" t="inlineStr"/>
      <c r="O1388">
        <f>(1-Summary!$B$51)*S1388+Summary!$B$51*U1388</f>
        <v/>
      </c>
      <c r="P1388">
        <f>IF(B1408=0,0,O1388/B1408)</f>
        <v/>
      </c>
      <c r="Q1388">
        <f>IFERROR(1/IF(Inputs!$B$38="pvp",15,MAX(0.1,Skills!D16-IF(Skills!E16=TRUE,5.0,0))),0)</f>
        <v/>
      </c>
      <c r="R1388">
        <f>IF(AND(Inputs!$B$38&lt;&gt;"pvp",Inputs!$B$43&gt;0),IF(Inputs!$B$43&lt;=0,0,(INT(Inputs!$B$43/IF(Inputs!$B$38="pvp",15,MAX(0.1,Skills!D16-IF(Skills!E16=TRUE,5.0,0))))+1)),0)</f>
        <v/>
      </c>
      <c r="S1388" t="n">
        <v>0</v>
      </c>
      <c r="U1388" t="n">
        <v>0</v>
      </c>
    </row>
    <row r="1389">
      <c r="A1389">
        <f>Skills!A17</f>
        <v/>
      </c>
      <c r="B1389">
        <f>Skills!B17</f>
        <v/>
      </c>
      <c r="C1389">
        <f>Inputs!$B$3&gt;=33</f>
        <v/>
      </c>
      <c r="D1389">
        <f>IF(Skills!C17=1,60+Inputs!$B$25+Inputs!$B$29,IF(Skills!C17=2,90+Inputs!$B$26+Inputs!$B$29,IF(Skills!C17=3,120+Inputs!$B$27+Inputs!$B$29,MAX(0,(Inputs!$B$3-100)*3)+Inputs!$B$28+Inputs!$B$29)))</f>
        <v/>
      </c>
      <c r="E1389">
        <f>INDEX(FactorTable!$B$2:$Y$301, MATCH(ROUND(MIN(300,MAX(1,D1389)),0), FactorTable!$A$2:$A$301,0), Skills!L17+1)</f>
        <v/>
      </c>
      <c r="F1389">
        <f>IF(Skills!M17=TRUE,(Skills!K17/10)*(E1389/1000),Skills!K17/10)+Skills!N17</f>
        <v/>
      </c>
      <c r="G1389">
        <f>Calc!G17</f>
        <v/>
      </c>
      <c r="H1389">
        <f>Calc!H17</f>
        <v/>
      </c>
      <c r="I1389">
        <f>IF(Skills!T17&lt;&gt;"",1+(Skills!T17/10)*(Z1375/1000)/100,1)</f>
        <v/>
      </c>
      <c r="J1389" t="inlineStr"/>
      <c r="K1389" t="inlineStr"/>
      <c r="L1389" t="inlineStr"/>
      <c r="M1389" t="inlineStr"/>
      <c r="N1389" t="inlineStr"/>
      <c r="O1389">
        <f>(1-Summary!$B$51)*S1389+Summary!$B$51*U1389</f>
        <v/>
      </c>
      <c r="P1389">
        <f>IF(B1408=0,0,O1389/B1408)</f>
        <v/>
      </c>
      <c r="Q1389">
        <f>IFERROR(1/IF(Inputs!$B$38="pvp",15,MAX(0.1,Skills!D17-IF(Skills!E17=TRUE,5.0,0))),0)</f>
        <v/>
      </c>
      <c r="R1389" t="n">
        <v>0</v>
      </c>
      <c r="S1389" t="n">
        <v>0</v>
      </c>
      <c r="U1389" t="n">
        <v>0</v>
      </c>
    </row>
    <row r="1390">
      <c r="A1390">
        <f>Skills!A18</f>
        <v/>
      </c>
      <c r="B1390">
        <f>Skills!B18</f>
        <v/>
      </c>
      <c r="C1390">
        <f>Inputs!$B$3&gt;=43</f>
        <v/>
      </c>
      <c r="D1390">
        <f>IF(Skills!C18=1,60+Inputs!$B$25+Inputs!$B$29,IF(Skills!C18=2,90+Inputs!$B$26+Inputs!$B$29,IF(Skills!C18=3,120+Inputs!$B$27+Inputs!$B$29,MAX(0,(Inputs!$B$3-100)*3)+Inputs!$B$28+Inputs!$B$29)))</f>
        <v/>
      </c>
      <c r="E1390">
        <f>INDEX(FactorTable!$B$2:$Y$301, MATCH(ROUND(MIN(300,MAX(1,D1390)),0), FactorTable!$A$2:$A$301,0), Skills!L18+1)</f>
        <v/>
      </c>
      <c r="F1390">
        <f>IF(Skills!M18=TRUE,(Skills!K18/10)*(E1390/1000),Skills!K18/10)+Skills!N18</f>
        <v/>
      </c>
      <c r="G1390">
        <f>Calc!G18</f>
        <v/>
      </c>
      <c r="H1390">
        <f>Calc!H18</f>
        <v/>
      </c>
      <c r="I1390">
        <f>IF(Skills!T18&lt;&gt;"",1+(Skills!T18/10)*(Z1375/1000)/100,1)</f>
        <v/>
      </c>
      <c r="J1390" t="inlineStr"/>
      <c r="K1390" t="inlineStr"/>
      <c r="L1390" t="inlineStr"/>
      <c r="M1390" t="inlineStr"/>
      <c r="N1390" t="inlineStr"/>
      <c r="O1390">
        <f>(1-Summary!$B$51)*S1390+Summary!$B$51*U1390</f>
        <v/>
      </c>
      <c r="P1390">
        <f>IF(B1408=0,0,O1390/B1408)</f>
        <v/>
      </c>
      <c r="Q1390">
        <f>IFERROR(1/IF(Inputs!$B$38="pvp",15,MAX(0.1,Skills!D18-IF(Skills!E18=TRUE,5.0,0))),0)</f>
        <v/>
      </c>
      <c r="R1390" t="n">
        <v>0</v>
      </c>
      <c r="S1390" t="n">
        <v>0</v>
      </c>
      <c r="U1390" t="n">
        <v>0</v>
      </c>
    </row>
    <row r="1391">
      <c r="A1391">
        <f>Skills!A19</f>
        <v/>
      </c>
      <c r="B1391">
        <f>Skills!B19</f>
        <v/>
      </c>
      <c r="C1391">
        <f>Inputs!$B$3&gt;=50</f>
        <v/>
      </c>
      <c r="D1391">
        <f>IF(Skills!C19=1,60+Inputs!$B$25+Inputs!$B$29,IF(Skills!C19=2,90+Inputs!$B$26+Inputs!$B$29,IF(Skills!C19=3,120+Inputs!$B$27+Inputs!$B$29,MAX(0,(Inputs!$B$3-100)*3)+Inputs!$B$28+Inputs!$B$29)))</f>
        <v/>
      </c>
      <c r="E1391">
        <f>INDEX(FactorTable!$B$2:$Y$301, MATCH(ROUND(MIN(300,MAX(1,D1391)),0), FactorTable!$A$2:$A$301,0), Skills!L19+1)</f>
        <v/>
      </c>
      <c r="F1391">
        <f>IF(Skills!M19=TRUE,(Skills!K19/10)*(E1391/1000),Skills!K19/10)+Skills!N19</f>
        <v/>
      </c>
      <c r="G1391">
        <f>Calc!G19</f>
        <v/>
      </c>
      <c r="H1391">
        <f>Calc!H19</f>
        <v/>
      </c>
      <c r="I1391">
        <f>IF(Skills!T19&lt;&gt;"",1+(Skills!T19/10)*(Z1375/1000)/100,1)</f>
        <v/>
      </c>
      <c r="J1391" t="inlineStr"/>
      <c r="K1391" t="inlineStr"/>
      <c r="L1391" t="inlineStr"/>
      <c r="M1391" t="inlineStr"/>
      <c r="N1391" t="inlineStr"/>
      <c r="O1391">
        <f>(1-Summary!$B$51)*S1391+Summary!$B$51*U1391</f>
        <v/>
      </c>
      <c r="P1391">
        <f>IF(B1408=0,0,O1391/B1408)</f>
        <v/>
      </c>
      <c r="Q1391">
        <f>IFERROR(1/IF(Inputs!$B$38="pvp",15,MAX(0.1,Skills!D19-IF(Skills!E19=TRUE,5.0,0))),0)</f>
        <v/>
      </c>
      <c r="R1391" t="n">
        <v>0</v>
      </c>
      <c r="S1391" t="n">
        <v>0</v>
      </c>
      <c r="U1391" t="n">
        <v>0</v>
      </c>
    </row>
    <row r="1392">
      <c r="A1392">
        <f>Skills!A20</f>
        <v/>
      </c>
      <c r="B1392">
        <f>Skills!B20</f>
        <v/>
      </c>
      <c r="C1392">
        <f>Inputs!$B$3&gt;=74</f>
        <v/>
      </c>
      <c r="D1392">
        <f>IF(Skills!C20=1,60+Inputs!$B$25+Inputs!$B$29,IF(Skills!C20=2,90+Inputs!$B$26+Inputs!$B$29,IF(Skills!C20=3,120+Inputs!$B$27+Inputs!$B$29,MAX(0,(Inputs!$B$3-100)*3)+Inputs!$B$28+Inputs!$B$29)))</f>
        <v/>
      </c>
      <c r="E1392">
        <f>INDEX(FactorTable!$B$2:$Y$301, MATCH(ROUND(MIN(300,MAX(1,D1392)),0), FactorTable!$A$2:$A$301,0), Skills!L20+1)</f>
        <v/>
      </c>
      <c r="F1392">
        <f>IF(Skills!M20=TRUE,(Skills!K20/10)*(E1392/1000),Skills!K20/10)+Skills!N20</f>
        <v/>
      </c>
      <c r="G1392">
        <f>Calc!G20</f>
        <v/>
      </c>
      <c r="H1392">
        <f>Calc!H20</f>
        <v/>
      </c>
      <c r="I1392">
        <f>IF(Skills!T20&lt;&gt;"",1+(Skills!T20/10)*(Z1375/1000)/100,1)</f>
        <v/>
      </c>
      <c r="J1392" t="inlineStr"/>
      <c r="K1392" t="inlineStr"/>
      <c r="L1392" t="inlineStr"/>
      <c r="M1392" t="inlineStr"/>
      <c r="N1392" t="inlineStr"/>
      <c r="O1392">
        <f>(1-Summary!$B$51)*S1392+Summary!$B$51*U1392</f>
        <v/>
      </c>
      <c r="P1392">
        <f>IF(B1408=0,0,O1392/B1408)</f>
        <v/>
      </c>
      <c r="Q1392">
        <f>IFERROR(1/IF(Inputs!$B$38="pvp",15,MAX(0.1,Skills!D20-IF(Skills!E20=TRUE,5.0,0))),0)</f>
        <v/>
      </c>
      <c r="R1392" t="n">
        <v>0</v>
      </c>
      <c r="S1392" t="n">
        <v>0</v>
      </c>
      <c r="U1392" t="n">
        <v>0</v>
      </c>
    </row>
    <row r="1393">
      <c r="A1393">
        <f>Skills!A21</f>
        <v/>
      </c>
      <c r="B1393">
        <f>Skills!B21</f>
        <v/>
      </c>
      <c r="C1393">
        <f>Inputs!$B$3&gt;=74</f>
        <v/>
      </c>
      <c r="D1393">
        <f>IF(Skills!C21=1,60+Inputs!$B$25+Inputs!$B$29,IF(Skills!C21=2,90+Inputs!$B$26+Inputs!$B$29,IF(Skills!C21=3,120+Inputs!$B$27+Inputs!$B$29,MAX(0,(Inputs!$B$3-100)*3)+Inputs!$B$28+Inputs!$B$29)))</f>
        <v/>
      </c>
      <c r="E1393">
        <f>INDEX(FactorTable!$B$2:$Y$301, MATCH(ROUND(MIN(300,MAX(1,D1393)),0), FactorTable!$A$2:$A$301,0), Skills!L21+1)</f>
        <v/>
      </c>
      <c r="F1393">
        <f>IF(Skills!M21=TRUE,(Skills!K21/10)*(E1393/1000),Skills!K21/10)+Skills!N21</f>
        <v/>
      </c>
      <c r="G1393">
        <f>Calc!G21</f>
        <v/>
      </c>
      <c r="H1393">
        <f>Calc!H21</f>
        <v/>
      </c>
      <c r="I1393">
        <f>IF(Skills!T21&lt;&gt;"",1+(Skills!T21/10)*(Z1375/1000)/100,1)</f>
        <v/>
      </c>
      <c r="J1393" t="inlineStr"/>
      <c r="K1393" t="inlineStr"/>
      <c r="L1393" t="inlineStr"/>
      <c r="M1393" t="inlineStr"/>
      <c r="N1393" t="inlineStr"/>
      <c r="O1393">
        <f>(1-Summary!$B$51)*S1393+Summary!$B$51*U1393</f>
        <v/>
      </c>
      <c r="P1393">
        <f>IF(B1408=0,0,O1393/B1408)</f>
        <v/>
      </c>
      <c r="Q1393">
        <f>IFERROR(1/IF(Inputs!$B$38="pvp",15,MAX(0.1,Skills!D21-IF(Skills!E21=TRUE,5.0,0))),0)</f>
        <v/>
      </c>
      <c r="R1393" t="n">
        <v>0</v>
      </c>
      <c r="S1393" t="n">
        <v>0</v>
      </c>
      <c r="U1393" t="n">
        <v>0</v>
      </c>
    </row>
    <row r="1394">
      <c r="A1394">
        <f>Skills!A22</f>
        <v/>
      </c>
      <c r="B1394">
        <f>Skills!B22</f>
        <v/>
      </c>
      <c r="C1394">
        <f>Inputs!$B$3&gt;=117</f>
        <v/>
      </c>
      <c r="D1394">
        <f>IF(Skills!C22=1,60+Inputs!$B$25+Inputs!$B$29,IF(Skills!C22=2,90+Inputs!$B$26+Inputs!$B$29,IF(Skills!C22=3,120+Inputs!$B$27+Inputs!$B$29,MAX(0,(Inputs!$B$3-100)*3)+Inputs!$B$28+Inputs!$B$29)))</f>
        <v/>
      </c>
      <c r="E1394">
        <f>INDEX(FactorTable!$B$2:$Y$301, MATCH(ROUND(MIN(300,MAX(1,D1394)),0), FactorTable!$A$2:$A$301,0), Skills!L22+1)</f>
        <v/>
      </c>
      <c r="F1394">
        <f>IF(Skills!M22=TRUE,(Skills!K22/10)*(E1394/1000),Skills!K22/10)+Skills!N22</f>
        <v/>
      </c>
      <c r="G1394">
        <f>Calc!G22</f>
        <v/>
      </c>
      <c r="H1394">
        <f>Calc!H22</f>
        <v/>
      </c>
      <c r="I1394">
        <f>IF(Skills!T22&lt;&gt;"",1+(Skills!T22/10)*(Z1375/1000)/100,1)</f>
        <v/>
      </c>
      <c r="J1394" t="inlineStr"/>
      <c r="K1394" t="inlineStr"/>
      <c r="L1394" t="inlineStr"/>
      <c r="M1394" t="inlineStr"/>
      <c r="N1394" t="inlineStr"/>
      <c r="O1394">
        <f>(1-Summary!$B$51)*S1394+Summary!$B$51*U1394</f>
        <v/>
      </c>
      <c r="P1394">
        <f>IF(B1408=0,0,O1394/B1408)</f>
        <v/>
      </c>
      <c r="Q1394">
        <f>IFERROR(1/IF(Inputs!$B$38="pvp",15,MAX(0.1,Skills!D22-IF(Skills!E22=TRUE,5.0,0))),0)</f>
        <v/>
      </c>
      <c r="R1394" t="n">
        <v>0</v>
      </c>
      <c r="S1394" t="n">
        <v>0</v>
      </c>
      <c r="U1394" t="n">
        <v>0</v>
      </c>
    </row>
    <row r="1395">
      <c r="A1395">
        <f>Skills!A23</f>
        <v/>
      </c>
      <c r="B1395">
        <f>Skills!B23</f>
        <v/>
      </c>
      <c r="C1395">
        <f>Inputs!$B$3&gt;=120</f>
        <v/>
      </c>
      <c r="D1395">
        <f>IF(Skills!C23=1,60+Inputs!$B$25+Inputs!$B$29,IF(Skills!C23=2,90+Inputs!$B$26+Inputs!$B$29,IF(Skills!C23=3,120+Inputs!$B$27+Inputs!$B$29,MAX(0,(Inputs!$B$3-100)*3)+Inputs!$B$28+Inputs!$B$29)))</f>
        <v/>
      </c>
      <c r="E1395">
        <f>INDEX(FactorTable!$B$2:$Y$301, MATCH(ROUND(MIN(300,MAX(1,D1395)),0), FactorTable!$A$2:$A$301,0), Skills!L23+1)</f>
        <v/>
      </c>
      <c r="F1395">
        <f>IF(Skills!M23=TRUE,(Skills!K23/10)*(E1395/1000),Skills!K23/10)+Skills!N23</f>
        <v/>
      </c>
      <c r="G1395">
        <f>Calc!G23</f>
        <v/>
      </c>
      <c r="H1395">
        <f>Calc!H23</f>
        <v/>
      </c>
      <c r="I1395">
        <f>IF(Skills!T23&lt;&gt;"",1+(Skills!T23/10)*(Z1375/1000)/100,1)</f>
        <v/>
      </c>
      <c r="J1395" t="inlineStr"/>
      <c r="K1395" t="inlineStr"/>
      <c r="L1395" t="inlineStr"/>
      <c r="M1395" t="inlineStr"/>
      <c r="N1395" t="inlineStr"/>
      <c r="O1395">
        <f>(1-Summary!$B$51)*S1395+Summary!$B$51*U1395</f>
        <v/>
      </c>
      <c r="P1395">
        <f>IF(B1408=0,0,O1395/B1408)</f>
        <v/>
      </c>
      <c r="Q1395">
        <f>IFERROR(1/IF(Inputs!$B$38="pvp",15,MAX(0.1,Skills!D23-IF(Skills!E23=TRUE,5.0,0))),0)</f>
        <v/>
      </c>
      <c r="R1395" t="n">
        <v>0</v>
      </c>
      <c r="S1395" t="n">
        <v>0</v>
      </c>
      <c r="U1395" t="n">
        <v>0</v>
      </c>
    </row>
    <row r="1398">
      <c r="A1398" t="inlineStr">
        <is>
          <t>Average Buff Multiplier (Magic Guard + Meditation, summed; then Infinity)</t>
        </is>
      </c>
      <c r="B1398">
        <f>(1+(IF(C1375=TRUE,F1375*IF(AND(Inputs!$B$38&lt;&gt;"pvp",Inputs!$B$43&gt;0),(((R1375-1)*(Skills!S3*(1+(Inputs!$B$34+IF(Inputs!$B$3&gt;=117,F1394,0))/100))+MIN((Skills!S3*(1+(Inputs!$B$34+IF(Inputs!$B$3&gt;=117,F1394,0))/100)),MAX(0,Inputs!$B$43-((R1375-1)*Skills!D3))))/Inputs!$B$43),IF(Inputs!$B$38="pvp",MIN((Skills!S3*(1+(Inputs!$B$34+IF(Inputs!$B$3&gt;=117,F1394,0))/100)),15)/15,(Skills!S3*(1+(Inputs!$B$34+IF(Inputs!$B$3&gt;=117,F1394,0))/100))/Skills!D3)),0)+IF(C1376=TRUE,F1376*IF(AND(Inputs!$B$38&lt;&gt;"pvp",Inputs!$B$43&gt;0),(((R1376-1)*(Skills!S4*(1+(Inputs!$B$34+IF(Inputs!$B$3&gt;=117,F1394,0))/100))+MIN((Skills!S4*(1+(Inputs!$B$34+IF(Inputs!$B$3&gt;=117,F1394,0))/100)),MAX(0,Inputs!$B$43-((R1376-1)*Skills!D4))))/Inputs!$B$43),IF(Inputs!$B$38="pvp",MIN((Skills!S4*(1+(Inputs!$B$34+IF(Inputs!$B$3&gt;=117,F1394,0))/100)),15)/15,(Skills!S4*(1+(Inputs!$B$34+IF(Inputs!$B$3&gt;=117,F1394,0))/100))/Skills!D4)),0))/100)*IF(C1388=TRUE,(1+F1388*IF(AND(Inputs!$B$38&lt;&gt;"pvp",Inputs!$B$43&gt;0),(((R1388-1)*(Skills!S16*(1+(Inputs!$B$34+IF(Inputs!$B$3&gt;=117,F1394,0))/100))+MIN((Skills!S16*(1+(Inputs!$B$34+IF(Inputs!$B$3&gt;=117,F1394,0))/100)),MAX(0,Inputs!$B$43-((R1388-1)*Skills!D16))))/Inputs!$B$43),IF(Inputs!$B$38="pvp",MIN((Skills!S16*(1+(Inputs!$B$34+IF(Inputs!$B$3&gt;=117,F1394,0))/100)),15)/15,(Skills!S16*(1+(Inputs!$B$34+IF(Inputs!$B$3&gt;=117,F1394,0))/100))/Skills!D16))/100),1)</f>
        <v/>
      </c>
    </row>
    <row r="1399">
      <c r="A1399" t="inlineStr">
        <is>
          <t>Monster Damage Taken Bonus % (Freezing Breath - Weaken + Elemental Reset, summed)</t>
        </is>
      </c>
      <c r="B1399">
        <f>IF(Inputs!$B$3&gt;=118,15*IF(Inputs!$B$38="pvp",MIN((30*(1+(Inputs!$B$34+IF(Inputs!$B$3&gt;=117,F1394,0))/100)),15)/15,(30*(1+(Inputs!$B$34+IF(Inputs!$B$3&gt;=117,F1394,0))/100))/Skills!D8),0)+IF(C1386=TRUE,F1386,0)</f>
        <v/>
      </c>
    </row>
    <row r="1400">
      <c r="A1400" t="inlineStr">
        <is>
          <t>Damage % Bonus (Frozen Break + Frost Clutch, flat)</t>
        </is>
      </c>
      <c r="B1400">
        <f>IF(Inputs!$B$3&gt;=66,15,0)+IF(Inputs!$B$3&gt;=98,10,0)+IF(Inputs!$B$3&gt;=125,20,0)</f>
        <v/>
      </c>
    </row>
    <row r="1401">
      <c r="A1401" t="inlineStr">
        <is>
          <t>Attack Speed Bonus % (MP Eater - MP Boost, always-on once unlocked)</t>
        </is>
      </c>
      <c r="B1401">
        <f>IF(C1385=TRUE,F1385+(F1389-Calc!F17),0)</f>
        <v/>
      </c>
    </row>
    <row r="1402">
      <c r="A1402" t="inlineStr">
        <is>
          <t>Actions Per Second</t>
        </is>
      </c>
      <c r="B1402">
        <f>1+MIN(150,150*(1-(1-Inputs!$B$11/150)*(1-B1401/150)))/100</f>
        <v/>
      </c>
    </row>
    <row r="1403">
      <c r="A1403" t="inlineStr">
        <is>
          <t>Skill + Buff Cast Rate</t>
        </is>
      </c>
      <c r="B1403">
        <f>IF(AND(Inputs!$B$38&lt;&gt;"pvp",Inputs!$B$43&gt;0),SUMPRODUCT((Skills!E2:E23=TRUE)*(C1374:C1395=TRUE)*R1374:R1395)/Inputs!$B$43,SUMPRODUCT((Skills!E2:E23=TRUE)*(C1374:C1395=TRUE)*Q1374:Q1395))</f>
        <v/>
      </c>
    </row>
    <row r="1404">
      <c r="A1404" t="inlineStr">
        <is>
          <t>Chain Lightning Casts Per Second</t>
        </is>
      </c>
      <c r="B1404">
        <f>MAX(0,B1402-B1403)</f>
        <v/>
      </c>
    </row>
    <row r="1405">
      <c r="A1405" t="inlineStr">
        <is>
          <t>Buff-Casting Startup Delay (s, fixed-duration only)</t>
        </is>
      </c>
      <c r="B1405">
        <f>IF(AND(Inputs!$B$38&lt;&gt;"pvp",Inputs!$B$43&gt;0),SUMPRODUCT((Skills!S2:S23&gt;0)*(Skills!E2:E23=TRUE)*(C1374:C1395=TRUE))/B1402,0)</f>
        <v/>
      </c>
    </row>
    <row r="1406">
      <c r="A1406" t="inlineStr">
        <is>
          <t>Boss-Only Total DPS (this block's swept value)</t>
        </is>
      </c>
      <c r="B1406">
        <f>SUM(S1374:S1395)</f>
        <v/>
      </c>
    </row>
    <row r="1407">
      <c r="A1407" t="inlineStr">
        <is>
          <t>Normal-Only Total DPS (this block's swept value)</t>
        </is>
      </c>
      <c r="B1407">
        <f>SUM(U1374:U1395)</f>
        <v/>
      </c>
    </row>
    <row r="1408">
      <c r="A1408" s="5" t="inlineStr">
        <is>
          <t>TOTAL DPS</t>
        </is>
      </c>
      <c r="B1408" s="5">
        <f>SUM(O1374:O1395)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2026-09-20T09:22:48Z</dcterms:created>
  <dcterms:modified xsi:type="dcterms:W3CDTF">2026-09-20T09:22:48Z</dcterms:modified>
</cp:coreProperties>
</file>