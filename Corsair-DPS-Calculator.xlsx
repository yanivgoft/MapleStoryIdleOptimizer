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Calc" sheetId="5" state="visible" r:id="rId5"/>
    <sheet name="Summary" sheetId="6" state="visible" r:id="rId6"/>
    <sheet name="Sensitivity" sheetId="7" state="visible" r:id="rId7"/>
    <sheet name="CubeData" sheetId="8" state="visible" r:id="rId8"/>
    <sheet name="PotentialCub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2"/>
    </font>
    <font>
      <b val="1"/>
    </font>
    <font>
      <b val="1"/>
      <color rgb="00FFFFFF"/>
    </font>
    <font>
      <b val="1"/>
      <sz val="13"/>
    </font>
  </fonts>
  <fills count="4">
    <fill>
      <patternFill/>
    </fill>
    <fill>
      <patternFill patternType="gray125"/>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0" fillId="2" borderId="0" pivotButton="0" quotePrefix="0" xfId="0"/>
    <xf numFmtId="0" fontId="2" fillId="0" borderId="0" pivotButton="0" quotePrefix="0" xfId="0"/>
    <xf numFmtId="0" fontId="4" fillId="3" borderId="0" applyAlignment="1" pivotButton="0" quotePrefix="0" xfId="0">
      <alignment horizontal="center"/>
    </xf>
    <xf numFmtId="0" fontId="5" fillId="0"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Corsair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CRITICAL: Corsair has ZERO individual wiki pages AND no Mastery page at all — worse than any other class built in this project. Every scaling skill's (baseDamage, factorIndex) is a FLAGGED ASSUMPTION from its own level-1 value; every mastery bonus below is a FLAGGED ASSUMPTION mapped from Buccaneer's own real mastery table by skill-slot role, per direct user decision. This entire workbook's accuracy ceiling is lower than every sibling class — treat every number as a documented estimate, not verified data.</t>
        </is>
      </c>
    </row>
    <row r="11">
      <c r="A11" s="2" t="inlineStr">
        <is>
          <t>Shadow Heart, Quick Motion (AS component only), Agile Guns, Gun Mastery, Physical Training, Infinity Blast, Fullmetal Jacket, Cross Cut Blast, and Quickdraw's own flat +25% Basic Attack Damage component are always-on passives assumed to already be reflected in your own Inputs stat entries — only their Sensitivity marginal delta is modeled live, matching this project's established convention.</t>
        </is>
      </c>
    </row>
    <row r="12">
      <c r="A12" s="2" t="inlineStr">
        <is>
          <t>Eight-Legs Easton (basic attack) reuses the universal 4th-job-basic-attack constant (baseDamage 2900, factorIndex 21) confirmed identical across every class in this project. Its own Mastery chain is mapped from Buccaneer's own Hook Bomber chain (same universal pattern).</t>
        </is>
      </c>
    </row>
    <row r="13">
      <c r="A13" s="2" t="inlineStr">
        <is>
          <t>Nautilus Strike and Roll of the Dice are both CONFIRMED SHARED verbatim with Buccaneer (byte-identical wiki descriptions) — reuse Buccaneer's exact resolved tuples directly, not re-derived.</t>
        </is>
      </c>
    </row>
    <row r="14">
      <c r="A14" s="2" t="inlineStr">
        <is>
          <t>Scurvy Summons / All Aboard (crew summons) and Broadside's burst+sustained split use the standard generic ActiveWindow/ICD tick machinery already used for every summon/turret skill in this project (Bowmaster's Phoenix, FP-Mage's Ifrit) — no bespoke mechanics needed.</t>
        </is>
      </c>
    </row>
    <row r="15">
      <c r="A15" s="2" t="inlineStr">
        <is>
          <t>Majestic Presence procs off three independent sources (Basic Attack, Brain Scrambler, Rapid Fire) — modeled as its own combined-trigger-rate row summing the three sources' own hit rates directly, extending Marksman's own Bolt Surplus dual-trigger pattern to three sources.</t>
        </is>
      </c>
    </row>
    <row r="16">
      <c r="A16" s="2" t="inlineStr">
        <is>
          <t>Ahoy Mateys (+250%/+100% FD to Scurvy Summons/All Aboard) is its own helper row, same mechanism as Maple Hero — both feed the same two skills' K-column terms independently.</t>
        </is>
      </c>
    </row>
    <row r="17">
      <c r="A17" s="2" t="inlineStr">
        <is>
          <t>Recoil Shot is explicitly 'not used automatically' per its own wiki text — excluded entirely, no row. Outlaw's Code (Defense/Debuff Tolerance) is purely defensive, not modeled.</t>
        </is>
      </c>
    </row>
    <row r="18">
      <c r="A18" s="2" t="inlineStr">
        <is>
          <t>Jolly Roger (PATCHED FD 18%-&gt;15%, a nerf) has no stated cooldown — modeled always-active steady-state once unlocked, same tier as Buccaneer's own Crossbones/Time Leap.</t>
        </is>
      </c>
    </row>
    <row r="19">
      <c r="A19" s="2" t="inlineStr">
        <is>
          <t>Monster Type blends Boss/Normal Monster Damage% by the Chapter Breakthrough weight %; PvP forces a fixed 15-second window regardless of the Fixed Fight Duration input.</t>
        </is>
      </c>
    </row>
    <row r="20">
      <c r="A20" s="2" t="inlineStr">
        <is>
          <t>Not modeled (out of scope): all forms of crowd control (Blackboot Bill's stun), Accuracy, Evasion, Defense, movement speed, and Companion Summoning Time.</t>
        </is>
      </c>
    </row>
    <row r="21">
      <c r="A2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55" customWidth="1" min="1" max="1"/>
    <col width="16" customWidth="1" min="2" max="2"/>
  </cols>
  <sheetData>
    <row r="1">
      <c r="A1" s="4" t="inlineStr">
        <is>
          <t>Corsair — DPS Calculator Inputs</t>
        </is>
      </c>
    </row>
    <row r="3">
      <c r="A3" s="5" t="inlineStr">
        <is>
          <t>Character Level</t>
        </is>
      </c>
      <c r="B3" s="6" t="n">
        <v>200</v>
      </c>
    </row>
    <row r="4">
      <c r="A4" s="5" t="inlineStr">
        <is>
          <t>Monster Type ("boss", "normal", "breakthrough", or "pvp")</t>
        </is>
      </c>
      <c r="B4" s="6" t="inlineStr">
        <is>
          <t>boss</t>
        </is>
      </c>
    </row>
    <row r="5">
      <c r="A5" s="5" t="inlineStr">
        <is>
          <t>Flat ATTACK</t>
        </is>
      </c>
      <c r="B5" s="6" t="n">
        <v>10000</v>
      </c>
    </row>
    <row r="6">
      <c r="A6" s="5" t="inlineStr">
        <is>
          <t>ATTACK %</t>
        </is>
      </c>
      <c r="B6" s="6" t="n">
        <v>0</v>
      </c>
    </row>
    <row r="7">
      <c r="A7" s="5" t="inlineStr">
        <is>
          <t>Monster Defense (flat, post-x100/x10 scaling)</t>
        </is>
      </c>
      <c r="B7" s="6" t="n">
        <v>0</v>
      </c>
    </row>
    <row r="8">
      <c r="A8" s="5" t="inlineStr">
        <is>
          <t>CRIT_RATE %</t>
        </is>
      </c>
      <c r="B8" s="6" t="n">
        <v>0</v>
      </c>
    </row>
    <row r="9">
      <c r="A9" s="5" t="inlineStr">
        <is>
          <t>CRIT_DAMAGE %</t>
        </is>
      </c>
      <c r="B9" s="6" t="n">
        <v>0</v>
      </c>
    </row>
    <row r="10">
      <c r="A10" s="5" t="inlineStr">
        <is>
          <t>ATTACK_SPEED % (base, excludes Weapon Acceleration)</t>
        </is>
      </c>
      <c r="B10" s="6" t="n">
        <v>0</v>
      </c>
    </row>
    <row r="11">
      <c r="A11" s="5" t="inlineStr">
        <is>
          <t>Flat DEX</t>
        </is>
      </c>
      <c r="B11" s="6" t="n">
        <v>0</v>
      </c>
    </row>
    <row r="12">
      <c r="A12" s="5" t="inlineStr">
        <is>
          <t>DEX %</t>
        </is>
      </c>
      <c r="B12" s="6" t="n">
        <v>0</v>
      </c>
    </row>
    <row r="13">
      <c r="A13" s="5" t="inlineStr">
        <is>
          <t>STR</t>
        </is>
      </c>
      <c r="B13" s="6" t="n">
        <v>0</v>
      </c>
    </row>
    <row r="14">
      <c r="A14" s="5" t="inlineStr">
        <is>
          <t>DAMAGE %</t>
        </is>
      </c>
      <c r="B14" s="6" t="n">
        <v>0</v>
      </c>
    </row>
    <row r="15">
      <c r="A15" s="5" t="inlineStr">
        <is>
          <t>DAMAGE_AMP %</t>
        </is>
      </c>
      <c r="B15" s="6" t="n">
        <v>0</v>
      </c>
    </row>
    <row r="16">
      <c r="A16" s="5" t="inlineStr">
        <is>
          <t>BASIC_ATTACK_DAMAGE %</t>
        </is>
      </c>
      <c r="B16" s="6" t="n">
        <v>0</v>
      </c>
    </row>
    <row r="17">
      <c r="A17" s="5" t="inlineStr">
        <is>
          <t>SKILL_DAMAGE %</t>
        </is>
      </c>
      <c r="B17" s="6" t="n">
        <v>0</v>
      </c>
    </row>
    <row r="18">
      <c r="A18" s="5" t="inlineStr">
        <is>
          <t>DEF_PEN %</t>
        </is>
      </c>
      <c r="B18" s="6" t="n">
        <v>0</v>
      </c>
    </row>
    <row r="19">
      <c r="A19" s="5" t="inlineStr">
        <is>
          <t>BOSS_DAMAGE %</t>
        </is>
      </c>
      <c r="B19" s="6" t="n">
        <v>0</v>
      </c>
    </row>
    <row r="20">
      <c r="A20" s="5" t="inlineStr">
        <is>
          <t>NORMAL_DAMAGE %</t>
        </is>
      </c>
      <c r="B20" s="6" t="n">
        <v>0</v>
      </c>
    </row>
    <row r="21">
      <c r="A21" s="5" t="inlineStr">
        <is>
          <t>MIN_DAMAGE %</t>
        </is>
      </c>
      <c r="B21" s="6" t="n">
        <v>100</v>
      </c>
    </row>
    <row r="22">
      <c r="A22" s="5" t="inlineStr">
        <is>
          <t>MAX_DAMAGE %</t>
        </is>
      </c>
      <c r="B22" s="6" t="n">
        <v>100</v>
      </c>
    </row>
    <row r="23">
      <c r="A23" s="5" t="inlineStr">
        <is>
          <t>FINAL_DAMAGE % (base)</t>
        </is>
      </c>
      <c r="B23" s="6" t="n">
        <v>0</v>
      </c>
    </row>
    <row r="24">
      <c r="A24" s="5" t="inlineStr">
        <is>
          <t>Skill Level Bonus — 1st Job</t>
        </is>
      </c>
      <c r="B24" s="6" t="n">
        <v>0</v>
      </c>
    </row>
    <row r="25">
      <c r="A25" s="5" t="inlineStr">
        <is>
          <t>Skill Level Bonus — 2nd Job</t>
        </is>
      </c>
      <c r="B25" s="6" t="n">
        <v>0</v>
      </c>
    </row>
    <row r="26">
      <c r="A26" s="5" t="inlineStr">
        <is>
          <t>Skill Level Bonus — 3rd Job</t>
        </is>
      </c>
      <c r="B26" s="6" t="n">
        <v>0</v>
      </c>
    </row>
    <row r="27">
      <c r="A27" s="5" t="inlineStr">
        <is>
          <t>Skill Level Bonus — 4th Job</t>
        </is>
      </c>
      <c r="B27" s="6" t="n">
        <v>0</v>
      </c>
    </row>
    <row r="28">
      <c r="A28" s="5" t="inlineStr">
        <is>
          <t>Skill Level Bonus — All Skills</t>
        </is>
      </c>
      <c r="B28" s="6" t="n">
        <v>0</v>
      </c>
    </row>
    <row r="30">
      <c r="A30" s="7" t="inlineStr">
        <is>
          <t>Additional Bonuses</t>
        </is>
      </c>
    </row>
    <row r="31">
      <c r="A31" s="5" t="inlineStr">
        <is>
          <t>Skill Cooldown Decrease (seconds, only skills/buffs the character actively casts)</t>
        </is>
      </c>
      <c r="B31" s="6" t="n">
        <v>0</v>
      </c>
    </row>
    <row r="32">
      <c r="A32" s="5" t="inlineStr">
        <is>
          <t>Basic Attack Target Increase (flat, adds to the 6-target normal-monster base)</t>
        </is>
      </c>
      <c r="B32" s="6" t="n">
        <v>1</v>
      </c>
    </row>
    <row r="33">
      <c r="A33" s="5" t="inlineStr">
        <is>
          <t>Buff Duration Increase %</t>
        </is>
      </c>
      <c r="B33" s="6" t="n">
        <v>0</v>
      </c>
    </row>
    <row r="34">
      <c r="A34" s="5" t="inlineStr">
        <is>
          <t>Companion Summoning Time Increase % (companions not modeled — always 0 DPS impact)</t>
        </is>
      </c>
      <c r="B34" s="6" t="n">
        <v>0</v>
      </c>
    </row>
    <row r="35">
      <c r="A35" s="5" t="inlineStr">
        <is>
          <t>Fixed Fight Duration (seconds, boss or normal — leave 0 for steady-state DPS; ignored for pvp)</t>
        </is>
      </c>
      <c r="B35" s="6" t="n">
        <v>0</v>
      </c>
    </row>
    <row r="36">
      <c r="A36" s="5" t="inlineStr">
        <is>
          <t>Chapter Breakthrough: Normal-Monster Weight % (only used when Monster Type = breakthrough)</t>
        </is>
      </c>
      <c r="B36" s="6" t="n">
        <v>60</v>
      </c>
    </row>
    <row r="37">
      <c r="A37" s="5" t="inlineStr">
        <is>
          <t>Max Enemies Actually In Range (normal monsters only; default 999 = uncapped)</t>
        </is>
      </c>
      <c r="B37" s="6" t="n">
        <v>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8" t="inlineStr">
        <is>
          <t>Level</t>
        </is>
      </c>
      <c r="B1" s="8" t="inlineStr">
        <is>
          <t>F0</t>
        </is>
      </c>
      <c r="C1" s="8" t="inlineStr">
        <is>
          <t>F1</t>
        </is>
      </c>
      <c r="D1" s="8" t="inlineStr">
        <is>
          <t>F2</t>
        </is>
      </c>
      <c r="E1" s="8" t="inlineStr">
        <is>
          <t>F3</t>
        </is>
      </c>
      <c r="F1" s="8" t="inlineStr">
        <is>
          <t>F4</t>
        </is>
      </c>
      <c r="G1" s="8" t="inlineStr">
        <is>
          <t>F5</t>
        </is>
      </c>
      <c r="H1" s="8" t="inlineStr">
        <is>
          <t>F6</t>
        </is>
      </c>
      <c r="I1" s="8" t="inlineStr">
        <is>
          <t>F7</t>
        </is>
      </c>
      <c r="J1" s="8" t="inlineStr">
        <is>
          <t>F8</t>
        </is>
      </c>
      <c r="K1" s="8" t="inlineStr">
        <is>
          <t>F9</t>
        </is>
      </c>
      <c r="L1" s="8" t="inlineStr">
        <is>
          <t>F10</t>
        </is>
      </c>
      <c r="M1" s="8" t="inlineStr">
        <is>
          <t>F11</t>
        </is>
      </c>
      <c r="N1" s="8" t="inlineStr">
        <is>
          <t>F12</t>
        </is>
      </c>
      <c r="O1" s="8" t="inlineStr">
        <is>
          <t>F13</t>
        </is>
      </c>
      <c r="P1" s="8" t="inlineStr">
        <is>
          <t>F14</t>
        </is>
      </c>
      <c r="Q1" s="8" t="inlineStr">
        <is>
          <t>F15</t>
        </is>
      </c>
      <c r="R1" s="8" t="inlineStr">
        <is>
          <t>F16</t>
        </is>
      </c>
      <c r="S1" s="8" t="inlineStr">
        <is>
          <t>F17</t>
        </is>
      </c>
      <c r="T1" s="8" t="inlineStr">
        <is>
          <t>F18</t>
        </is>
      </c>
      <c r="U1" s="8" t="inlineStr">
        <is>
          <t>F19</t>
        </is>
      </c>
      <c r="V1" s="8" t="inlineStr">
        <is>
          <t>F20</t>
        </is>
      </c>
      <c r="W1" s="8" t="inlineStr">
        <is>
          <t>F21</t>
        </is>
      </c>
      <c r="X1" s="8" t="inlineStr">
        <is>
          <t>F22</t>
        </is>
      </c>
      <c r="Y1" s="8"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7"/>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8" customWidth="1" min="3" max="3"/>
    <col width="11" customWidth="1" min="4" max="4"/>
    <col width="15" customWidth="1" min="5" max="5"/>
    <col width="13" customWidth="1" min="6" max="6"/>
    <col width="11" customWidth="1" min="7" max="7"/>
    <col width="8" customWidth="1" min="8" max="8"/>
    <col width="13" customWidth="1" min="9" max="9"/>
    <col width="11" customWidth="1" min="10" max="10"/>
    <col width="12" customWidth="1" min="11" max="11"/>
    <col width="18" customWidth="1" min="12" max="12"/>
    <col width="11" customWidth="1" min="13" max="13"/>
    <col width="14" customWidth="1" min="14" max="14"/>
    <col width="17" customWidth="1" min="15" max="15"/>
    <col width="16" customWidth="1" min="16" max="16"/>
    <col width="18" customWidth="1" min="17" max="17"/>
    <col width="20" customWidth="1" min="18" max="18"/>
    <col width="18" customWidth="1" min="19" max="19"/>
    <col width="15" customWidth="1" min="20" max="20"/>
    <col width="20" customWidth="1" min="21" max="21"/>
    <col width="20" customWidth="1" min="22" max="22"/>
    <col width="60" customWidth="1" min="23" max="23"/>
  </cols>
  <sheetData>
    <row r="1">
      <c r="A1" s="8" t="inlineStr">
        <is>
          <t>Key</t>
        </is>
      </c>
      <c r="B1" s="8" t="inlineStr">
        <is>
          <t>Name</t>
        </is>
      </c>
      <c r="C1" s="8" t="inlineStr">
        <is>
          <t>JobStep</t>
        </is>
      </c>
      <c r="D1" s="8" t="inlineStr">
        <is>
          <t>Cooldown(s)</t>
        </is>
      </c>
      <c r="E1" s="8" t="inlineStr">
        <is>
          <t>CostsActionSlot</t>
        </is>
      </c>
      <c r="F1" s="8" t="inlineStr">
        <is>
          <t>ActionsPerCast</t>
        </is>
      </c>
      <c r="G1" s="8" t="inlineStr">
        <is>
          <t>HitsPerCast</t>
        </is>
      </c>
      <c r="H1" s="8" t="inlineStr">
        <is>
          <t>ICD(s)</t>
        </is>
      </c>
      <c r="I1" s="8" t="inlineStr">
        <is>
          <t>ActiveWindow(s)</t>
        </is>
      </c>
      <c r="J1" s="8" t="inlineStr">
        <is>
          <t>ProcChance%</t>
        </is>
      </c>
      <c r="K1" s="8" t="inlineStr">
        <is>
          <t>RollsPerCast</t>
        </is>
      </c>
      <c r="L1" s="8" t="inlineStr">
        <is>
          <t>BaseDamage(tenths%)</t>
        </is>
      </c>
      <c r="M1" s="8" t="inlineStr">
        <is>
          <t>FactorIndex</t>
        </is>
      </c>
      <c r="N1" s="8" t="inlineStr">
        <is>
          <t>ScalesWithLevel</t>
        </is>
      </c>
      <c r="O1" s="8" t="inlineStr">
        <is>
          <t>SkillMasteryBonus%</t>
        </is>
      </c>
      <c r="P1" s="8" t="inlineStr">
        <is>
          <t>MasteryBossDamage%</t>
        </is>
      </c>
      <c r="Q1" s="8" t="inlineStr">
        <is>
          <t>MasteryNormalDamage%</t>
        </is>
      </c>
      <c r="R1" s="8" t="inlineStr">
        <is>
          <t>NormalMonsterTargets</t>
        </is>
      </c>
      <c r="S1" s="8" t="inlineStr">
        <is>
          <t>BuffTargetStat</t>
        </is>
      </c>
      <c r="T1" s="8" t="inlineStr">
        <is>
          <t>BuffDuration(s)</t>
        </is>
      </c>
      <c r="U1" s="8" t="inlineStr">
        <is>
          <t>MapleHeroBase(tenths%)</t>
        </is>
      </c>
      <c r="V1" s="8" t="inlineStr">
        <is>
          <t>MapleHeroFactorIndex</t>
        </is>
      </c>
      <c r="W1" s="8" t="inlineStr">
        <is>
          <t>Note</t>
        </is>
      </c>
    </row>
    <row r="2">
      <c r="A2" t="inlineStr">
        <is>
          <t>EIGHT_LEGS_EASTON</t>
        </is>
      </c>
      <c r="B2" t="inlineStr">
        <is>
          <t>Eight-Legs Easton</t>
        </is>
      </c>
      <c r="C2" t="n">
        <v>4</v>
      </c>
      <c r="D2" t="inlineStr"/>
      <c r="E2" t="b">
        <v>0</v>
      </c>
      <c r="F2" t="n">
        <v>1</v>
      </c>
      <c r="G2">
        <f>IF(Inputs!$B$3&gt;=136,6,5)</f>
        <v/>
      </c>
      <c r="H2" t="n">
        <v>0</v>
      </c>
      <c r="I2" t="n">
        <v>0</v>
      </c>
      <c r="J2" t="n">
        <v>100</v>
      </c>
      <c r="K2" t="n">
        <v>1</v>
      </c>
      <c r="L2" t="n">
        <v>2900</v>
      </c>
      <c r="M2" t="n">
        <v>21</v>
      </c>
      <c r="N2" t="b">
        <v>1</v>
      </c>
      <c r="O2">
        <f>SUMPRODUCT((Inputs!$B$3&gt;={102,106,116,120,128,132})*{10,1,1,1,1,1})</f>
        <v/>
      </c>
      <c r="P2">
        <f>SUMPRODUCT((Inputs!$B$3&gt;={111,124})*{10,10})</f>
        <v/>
      </c>
      <c r="Q2" t="n">
        <v>0</v>
      </c>
      <c r="R2">
        <f>6+Inputs!$B$32</f>
        <v/>
      </c>
      <c r="S2" t="inlineStr"/>
      <c r="T2" t="n">
        <v>0</v>
      </c>
      <c r="U2" t="inlineStr"/>
      <c r="V2" t="inlineStr"/>
      <c r="W2" t="inlineStr">
        <is>
          <t>4th-job basic-attack effect (supersedes Double Shot/Rapid Blast/Blunderbuster, confirmed identical wiki wording — 290% damage to 6 target(s) in front 5 time(s) — to every other class's own 4th-job basic attack). factorIndex 21, baseDamage 2900 tenths%. HitsPerCast=5, bumping to 6 once the ASSUMED Mastery Lv.136 tier unlocks (mapped from Buccaneer's own Hook Bomber - Strike slot — Corsair has no Mastery page at all to confirm this independently). Real Damage mastery chain (102/106/116/120/128/132, DELTAS) and Boss Monster Damage chain (111/124, +10% each) mapped directly from Buccaneer's own Hook Bomber chain — this is the same universal 4th-job-basic-attack mastery pattern confirmed across every class in this project, so this specific mapping is high-confidence despite the overall lack of Corsair mastery data.</t>
        </is>
      </c>
    </row>
    <row r="3">
      <c r="A3" t="inlineStr">
        <is>
          <t>SWIFT_FIRE</t>
        </is>
      </c>
      <c r="B3" t="inlineStr">
        <is>
          <t>Swift Fire</t>
        </is>
      </c>
      <c r="C3" t="n">
        <v>2</v>
      </c>
      <c r="D3" t="n">
        <v>18</v>
      </c>
      <c r="E3" t="b">
        <v>1</v>
      </c>
      <c r="F3" t="n">
        <v>1</v>
      </c>
      <c r="G3" t="n">
        <v>3</v>
      </c>
      <c r="H3" t="n">
        <v>0</v>
      </c>
      <c r="I3" t="n">
        <v>0</v>
      </c>
      <c r="J3" t="n">
        <v>100</v>
      </c>
      <c r="K3" t="n">
        <v>1</v>
      </c>
      <c r="L3" t="n">
        <v>1800</v>
      </c>
      <c r="M3" t="n">
        <v>12</v>
      </c>
      <c r="N3" t="b">
        <v>1</v>
      </c>
      <c r="O3">
        <f>SUMPRODUCT((Inputs!$B$3&gt;={39})*{50})</f>
        <v/>
      </c>
      <c r="P3" t="n">
        <v>0</v>
      </c>
      <c r="Q3" t="n">
        <v>0</v>
      </c>
      <c r="R3" t="n">
        <v>8</v>
      </c>
      <c r="S3" t="inlineStr"/>
      <c r="T3" t="n">
        <v>0</v>
      </c>
      <c r="U3" t="n">
        <v>200</v>
      </c>
      <c r="V3" t="n">
        <v>23</v>
      </c>
      <c r="W3" t="inlineStr">
        <is>
          <t>FLAGGED ASSUMPTION (no individual wiki page exists, no cooldown stated — 18s assumed by convention matching similarly-shaped 2nd-job burst skills elsewhere): 'Fires three bullets consecutively at the target to deal 180% damage each.' factorIndex 12, baseDamage 1800 tenths%. PATCHED: single-target -&gt; up to 8 enemies ahead (targets field reflects this). Mastery mapped from Buccaneer's own Sea Serpent Burst - Damage @39 (+50%) slot — no exact 1:1 analog exists since Corsair has no mastery data at all, but both are the class's own 2nd-job attack-proc-shaped skill, so this role-mapping is a reasonable assumption. Maple Hero target — see MAPLE_HERO_RATIOS (biggest share, 4x Siege Bomber's own).</t>
        </is>
      </c>
    </row>
    <row r="4">
      <c r="A4" t="inlineStr">
        <is>
          <t>SCURVY_SUMMONS</t>
        </is>
      </c>
      <c r="B4" t="inlineStr">
        <is>
          <t>Scurvy Summons</t>
        </is>
      </c>
      <c r="C4" t="n">
        <v>2</v>
      </c>
      <c r="D4" t="n">
        <v>20</v>
      </c>
      <c r="E4" t="b">
        <v>1</v>
      </c>
      <c r="F4" t="n">
        <v>1</v>
      </c>
      <c r="G4" t="n">
        <v>2</v>
      </c>
      <c r="H4" t="n">
        <v>1.5</v>
      </c>
      <c r="I4" t="n">
        <v>20</v>
      </c>
      <c r="J4" t="n">
        <v>100</v>
      </c>
      <c r="K4" t="n">
        <v>1</v>
      </c>
      <c r="L4" t="n">
        <v>950</v>
      </c>
      <c r="M4" t="n">
        <v>12</v>
      </c>
      <c r="N4" t="b">
        <v>1</v>
      </c>
      <c r="O4" t="n">
        <v>0</v>
      </c>
      <c r="P4" t="n">
        <v>0</v>
      </c>
      <c r="Q4" t="n">
        <v>0</v>
      </c>
      <c r="R4" t="n">
        <v>3</v>
      </c>
      <c r="S4" t="inlineStr"/>
      <c r="T4" t="n">
        <v>0</v>
      </c>
      <c r="U4" t="inlineStr"/>
      <c r="V4" t="inlineStr"/>
      <c r="W4" t="inlineStr">
        <is>
          <t>FLAGGED ASSUMPTION (no individual wiki page exists, cooldown assumed = its own 20s duration, recast-on-expiry, same convention as every other summon/turret skill in this project): 'Summons the Dual Pistol Crew of the Nautilus for 20 sec. The Dual Pistol Crew deals 95% damage to the target 2 time(s) every 3 sec.' factorIndex 12, baseDamage 950 tenths%. PATCHED: tick interval 3s-&gt;1.5s (baked into ICD(s)), crew now hits up to 3 nearby targets instead of single-target (targets field reflects this). Standard ActiveWindow/ICD tick machinery (EffectiveHits = 2*(20/1.5) per cast) — no bespoke mechanics needed, unlike Buccaneer's own resource-economy skills. No clean Buccaneer mastery-slot analog exists for this specific crew-summon mechanic — left unmodeled (SkillMasteryBonus%=0) rather than forcing a poor mapping. Ahoy Mateys target — see AHOY_MATEYS_RATIOS (biggest share, ratio 1.0).</t>
        </is>
      </c>
    </row>
    <row r="5">
      <c r="A5" t="inlineStr">
        <is>
          <t>ALL_ABOARD</t>
        </is>
      </c>
      <c r="B5" t="inlineStr">
        <is>
          <t>All Aboard</t>
        </is>
      </c>
      <c r="C5" t="n">
        <v>2</v>
      </c>
      <c r="D5" t="n">
        <v>20</v>
      </c>
      <c r="E5" t="b">
        <v>0</v>
      </c>
      <c r="F5" t="n">
        <v>1</v>
      </c>
      <c r="G5" t="n">
        <v>3</v>
      </c>
      <c r="H5" t="n">
        <v>2</v>
      </c>
      <c r="I5" t="n">
        <v>20</v>
      </c>
      <c r="J5" t="n">
        <v>100</v>
      </c>
      <c r="K5" t="n">
        <v>1</v>
      </c>
      <c r="L5" t="n">
        <v>1100</v>
      </c>
      <c r="M5" t="n">
        <v>12</v>
      </c>
      <c r="N5" t="b">
        <v>1</v>
      </c>
      <c r="O5" t="n">
        <v>0</v>
      </c>
      <c r="P5" t="n">
        <v>0</v>
      </c>
      <c r="Q5" t="n">
        <v>0</v>
      </c>
      <c r="R5" t="n">
        <v>8</v>
      </c>
      <c r="S5" t="inlineStr"/>
      <c r="T5" t="n">
        <v>0</v>
      </c>
      <c r="U5" t="inlineStr"/>
      <c r="V5" t="inlineStr"/>
      <c r="W5" t="inlineStr">
        <is>
          <t>FLAGGED ASSUMPTION (no individual wiki page exists): 'Summons the Sharpshooter Crew upon using Scurvy Summons. The Sharpshooter Crew fires bullets every 4 sec to deal 190% damage to 3 target(s) near the main target 3 time(s).' Triggered BY Scurvy Summons — shares its own Cooldown(s)/duration values directly (CostsActionSlot=False so it doesn't double-count the action economy), same 'rides the parent skill's cast timing' pattern as Buccaneer's own Sea Serpent's Rage riding Octopunch. factorIndex 12, baseDamage 1100 tenths%. PATCHED: tick interval 4s-&gt;2s (baked into ICD(s)), damage 190%-&gt;110%, targets 3-&gt;8. No clean Buccaneer mastery-slot analog — left unmodeled. Ahoy Mateys target — see AHOY_MATEYS_RATIOS (0.4x Scurvy Summons' own share).</t>
        </is>
      </c>
    </row>
    <row r="6">
      <c r="A6" t="inlineStr">
        <is>
          <t>BLACKBOOT_BILL</t>
        </is>
      </c>
      <c r="B6" t="inlineStr">
        <is>
          <t>Blackboot Bill</t>
        </is>
      </c>
      <c r="C6" t="n">
        <v>3</v>
      </c>
      <c r="D6" t="n">
        <v>20</v>
      </c>
      <c r="E6" t="b">
        <v>1</v>
      </c>
      <c r="F6" t="n">
        <v>1</v>
      </c>
      <c r="G6" t="n">
        <v>4</v>
      </c>
      <c r="H6" t="n">
        <v>0</v>
      </c>
      <c r="I6" t="n">
        <v>0</v>
      </c>
      <c r="J6" t="n">
        <v>100</v>
      </c>
      <c r="K6" t="n">
        <v>1</v>
      </c>
      <c r="L6" t="n">
        <v>1700</v>
      </c>
      <c r="M6" t="n">
        <v>12</v>
      </c>
      <c r="N6" t="b">
        <v>1</v>
      </c>
      <c r="O6">
        <f>SUMPRODUCT((Inputs!$B$3&gt;={73})*{80})</f>
        <v/>
      </c>
      <c r="P6" t="n">
        <v>0</v>
      </c>
      <c r="Q6" t="n">
        <v>0</v>
      </c>
      <c r="R6" t="n">
        <v>9</v>
      </c>
      <c r="S6" t="inlineStr"/>
      <c r="T6" t="n">
        <v>0</v>
      </c>
      <c r="U6" t="n">
        <v>400</v>
      </c>
      <c r="V6" t="n">
        <v>23</v>
      </c>
      <c r="W6" t="inlineStr">
        <is>
          <t>FLAGGED ASSUMPTION (no individual wiki page exists, no cooldown stated — 20s assumed by convention matching Buccaneer's own similarly-shaped Corkscrew Blow): 'Fires a giant bullet to deal 170% damage to 6 target(s) in front 4 time(s) and stun them for 2 sec' (stun not modeled). factorIndex 12, baseDamage 1700 tenths%. PATCHED: targets 6-&gt;9. Mastery mapped from Buccaneer's own Corkscrew Blow - Damage @73 (+80%) slot — both are the class's own 3rd-job unique burst skill. Maple Hero target — see MAPLE_HERO_RATIOS (2x Siege Bomber's own share).</t>
        </is>
      </c>
    </row>
    <row r="7">
      <c r="A7" t="inlineStr">
        <is>
          <t>SIEGE_BOMBER</t>
        </is>
      </c>
      <c r="B7" t="inlineStr">
        <is>
          <t>Siege Bomber</t>
        </is>
      </c>
      <c r="C7" t="n">
        <v>3</v>
      </c>
      <c r="D7" t="n">
        <v>30</v>
      </c>
      <c r="E7" t="b">
        <v>1</v>
      </c>
      <c r="F7" t="n">
        <v>1</v>
      </c>
      <c r="G7" t="n">
        <v>1</v>
      </c>
      <c r="H7" t="n">
        <v>1.5</v>
      </c>
      <c r="I7" t="n">
        <v>30</v>
      </c>
      <c r="J7" t="n">
        <v>100</v>
      </c>
      <c r="K7" t="n">
        <v>1</v>
      </c>
      <c r="L7" t="n">
        <v>1900</v>
      </c>
      <c r="M7" t="n">
        <v>12</v>
      </c>
      <c r="N7" t="b">
        <v>1</v>
      </c>
      <c r="O7" t="n">
        <v>0</v>
      </c>
      <c r="P7" t="n">
        <v>0</v>
      </c>
      <c r="Q7" t="n">
        <v>0</v>
      </c>
      <c r="R7" t="n">
        <v>6</v>
      </c>
      <c r="S7" t="inlineStr"/>
      <c r="T7" t="n">
        <v>0</v>
      </c>
      <c r="U7" t="n">
        <v>100</v>
      </c>
      <c r="V7" t="n">
        <v>23</v>
      </c>
      <c r="W7" t="inlineStr">
        <is>
          <t>FLAGGED ASSUMPTION (no individual wiki page exists, cooldown assumed = its own 30s duration, recast-on-expiry): 'Installs a fixed cannon for 30 sec to deal 290% damage to 4 target(s) near the main target every 2.5 sec.' factorIndex 12, baseDamage 1900 tenths%. PATCHED: tick interval 2.5s-&gt;1.5s (baked into ICD(s)), damage 290%-&gt;190%, targets 4-&gt;6. Standard ActiveWindow/ICD turret machinery, same as Bowmaster's own Arrow Platter. No clean Buccaneer mastery-slot analog — left unmodeled. Maple Hero target — see MAPLE_HERO_RATIOS (smallest share, ratio 1.0).</t>
        </is>
      </c>
    </row>
    <row r="8">
      <c r="A8" t="inlineStr">
        <is>
          <t>BRAIN_SCRAMBLER</t>
        </is>
      </c>
      <c r="B8" t="inlineStr">
        <is>
          <t>Brain Scrambler</t>
        </is>
      </c>
      <c r="C8" t="n">
        <v>4</v>
      </c>
      <c r="D8" t="n">
        <v>15</v>
      </c>
      <c r="E8" t="b">
        <v>1</v>
      </c>
      <c r="F8" t="n">
        <v>1</v>
      </c>
      <c r="G8" t="n">
        <v>2</v>
      </c>
      <c r="H8" t="n">
        <v>0</v>
      </c>
      <c r="I8" t="n">
        <v>0</v>
      </c>
      <c r="J8" t="n">
        <v>100</v>
      </c>
      <c r="K8" t="n">
        <v>1</v>
      </c>
      <c r="L8" t="n">
        <v>29000</v>
      </c>
      <c r="M8" t="n">
        <v>12</v>
      </c>
      <c r="N8" t="b">
        <v>1</v>
      </c>
      <c r="O8">
        <f>SUMPRODUCT((Inputs!$B$3&gt;={108})*{50})</f>
        <v/>
      </c>
      <c r="P8" t="n">
        <v>0</v>
      </c>
      <c r="Q8" t="n">
        <v>0</v>
      </c>
      <c r="R8" t="n">
        <v>1</v>
      </c>
      <c r="S8" t="inlineStr"/>
      <c r="T8" t="n">
        <v>0</v>
      </c>
      <c r="U8" t="inlineStr"/>
      <c r="V8" t="inlineStr"/>
      <c r="W8" t="inlineStr">
        <is>
          <t>FLAGGED ASSUMPTION (no individual wiki page exists, no cooldown stated — 15s assumed by convention matching Buccaneer's own similarly-shaped 4th-job burst skill Octopunch): 'Hits the target's head to deal 2900% damage 2 time(s).' factorIndex 12, baseDamage 29000 tenths%, single target. Mastery mapped from Buccaneer's own Octopunch - Damage @108 (+50%) slot — both are the class's own 4th-job single-target burst skill. Also feeds Majestic Presence's own combined trigger rate — see MAJESTIC_PRESENCE's own Note.</t>
        </is>
      </c>
    </row>
    <row r="9">
      <c r="A9" t="inlineStr">
        <is>
          <t>NAUTILUS_STRIKE</t>
        </is>
      </c>
      <c r="B9" t="inlineStr">
        <is>
          <t>Nautilus Strike</t>
        </is>
      </c>
      <c r="C9" t="n">
        <v>4</v>
      </c>
      <c r="D9" t="n">
        <v>45</v>
      </c>
      <c r="E9" t="b">
        <v>1</v>
      </c>
      <c r="F9" t="n">
        <v>1</v>
      </c>
      <c r="G9" t="n">
        <v>5</v>
      </c>
      <c r="H9" t="n">
        <v>0</v>
      </c>
      <c r="I9" t="n">
        <v>0</v>
      </c>
      <c r="J9" t="n">
        <v>100</v>
      </c>
      <c r="K9" t="n">
        <v>1</v>
      </c>
      <c r="L9" t="n">
        <v>19500</v>
      </c>
      <c r="M9" t="n">
        <v>12</v>
      </c>
      <c r="N9" t="b">
        <v>1</v>
      </c>
      <c r="O9">
        <f>SUMPRODUCT((Inputs!$B$3&gt;={126})*{50})</f>
        <v/>
      </c>
      <c r="P9" t="n">
        <v>0</v>
      </c>
      <c r="Q9" t="n">
        <v>0</v>
      </c>
      <c r="R9" t="n">
        <v>15</v>
      </c>
      <c r="S9" t="inlineStr"/>
      <c r="T9" t="n">
        <v>0</v>
      </c>
      <c r="U9" t="inlineStr"/>
      <c r="V9" t="inlineStr"/>
      <c r="W9" t="inlineStr">
        <is>
          <t>CONFIRMED SHARED VERBATIM WITH BUCCANEER (byte-identical wiki description on both classes' overview pages: 'Orders the Nautilus to attack to deal 1950% damage to 15 nearby target(s) 5 time(s).') — reuses Buccaneer's exact FLAGGED-ASSUMPTION (19500, 12) tuple directly, not re-derived. Cooldown (45s) also reused from Buccaneer's own assumption. Mastery mapped from Buccaneer's own Nautilus Strike - Damage @126 (+50%) slot — since this is the SAME shared skill, this mapping is higher-confidence than most other role-mapped masteries in this workbook.</t>
        </is>
      </c>
    </row>
    <row r="10">
      <c r="A10" t="inlineStr">
        <is>
          <t>NAUTILUS_FINAL_ATTACK</t>
        </is>
      </c>
      <c r="B10" t="inlineStr">
        <is>
          <t>Nautilus Strike - Final Attack</t>
        </is>
      </c>
      <c r="C10" t="n">
        <v>4</v>
      </c>
      <c r="D10" t="n">
        <v>1</v>
      </c>
      <c r="E10" t="b">
        <v>0</v>
      </c>
      <c r="F10" t="n">
        <v>1</v>
      </c>
      <c r="G10" t="n">
        <v>1</v>
      </c>
      <c r="H10" t="n">
        <v>0</v>
      </c>
      <c r="I10" t="n">
        <v>0</v>
      </c>
      <c r="J10" t="n">
        <v>30</v>
      </c>
      <c r="K10" t="n">
        <v>1</v>
      </c>
      <c r="L10" t="n">
        <v>8500</v>
      </c>
      <c r="M10" t="n">
        <v>21</v>
      </c>
      <c r="N10" t="b">
        <v>1</v>
      </c>
      <c r="O10" t="n">
        <v>0</v>
      </c>
      <c r="P10" t="n">
        <v>0</v>
      </c>
      <c r="Q10" t="n">
        <v>0</v>
      </c>
      <c r="R10" t="n">
        <v>1</v>
      </c>
      <c r="S10" t="inlineStr"/>
      <c r="T10" t="n">
        <v>0</v>
      </c>
      <c r="U10" t="inlineStr"/>
      <c r="V10" t="inlineStr"/>
      <c r="W10" t="inlineStr">
        <is>
          <t>CONFIRMED SHARED VERBATIM WITH BUCCANEER — same Mastery Lv.113 proc mechanic, same patch note applies identically to both classes: '[Nautilus Strike in Slot] When attacking, deals 850% additional damage' — PATCHED: trigger chance 15%-&gt;30%, 'cooldown set to 1s' (both baked in directly: ProcChance%=30, Cooldown(s)=1). Reuses Buccaneer's exact row shape/tuple directly. Triggers off basic attacks generically (CostsActionSlot=False), factorIndex 21, baseDamage 8500 tenths%.</t>
        </is>
      </c>
    </row>
    <row r="11">
      <c r="A11" t="inlineStr">
        <is>
          <t>RAPID_FIRE</t>
        </is>
      </c>
      <c r="B11" t="inlineStr">
        <is>
          <t>Rapid Fire</t>
        </is>
      </c>
      <c r="C11" t="n">
        <v>4</v>
      </c>
      <c r="D11" t="n">
        <v>17</v>
      </c>
      <c r="E11" t="b">
        <v>1</v>
      </c>
      <c r="F11" t="n">
        <v>1</v>
      </c>
      <c r="G11" t="n">
        <v>7</v>
      </c>
      <c r="H11" t="n">
        <v>0</v>
      </c>
      <c r="I11" t="n">
        <v>0</v>
      </c>
      <c r="J11" t="n">
        <v>100</v>
      </c>
      <c r="K11" t="n">
        <v>1</v>
      </c>
      <c r="L11" t="n">
        <v>18000</v>
      </c>
      <c r="M11" t="n">
        <v>12</v>
      </c>
      <c r="N11" t="b">
        <v>1</v>
      </c>
      <c r="O11" t="n">
        <v>0</v>
      </c>
      <c r="P11" t="n">
        <v>0</v>
      </c>
      <c r="Q11" t="n">
        <v>0</v>
      </c>
      <c r="R11" t="n">
        <v>9</v>
      </c>
      <c r="S11" t="inlineStr"/>
      <c r="T11" t="n">
        <v>0</v>
      </c>
      <c r="U11" t="inlineStr"/>
      <c r="V11" t="inlineStr"/>
      <c r="W11" t="inlineStr">
        <is>
          <t>FLAGGED ASSUMPTION (no individual wiki page exists, but cooldown IS explicitly stated in the patch notes — see below): 'Fires bullets at a very high speed 7 time(s) to deal 1350% damage each.' factorIndex 12, baseDamage 18000 tenths% (already reflects the patch). PATCHED: single-target -&gt; up to 9 enemies (targets field), damage 1350%-&gt;1800% (curve rescaled 1800/1350=1.333x before applying), cooldown 21s-&gt;17s (Cooldown(s) already reflects the patched value directly, unlike every other assumed cooldown in this workbook — this one has an actual documented number). No clean Buccaneer mastery-slot analog — left unmodeled. Also feeds Majestic Presence's own combined trigger rate.</t>
        </is>
      </c>
    </row>
    <row r="12">
      <c r="A12" t="inlineStr">
        <is>
          <t>BROADSIDE_BURST</t>
        </is>
      </c>
      <c r="B12" t="inlineStr">
        <is>
          <t>Broadside (initial burst)</t>
        </is>
      </c>
      <c r="C12" t="n">
        <v>4</v>
      </c>
      <c r="D12" t="n">
        <v>30</v>
      </c>
      <c r="E12" t="b">
        <v>1</v>
      </c>
      <c r="F12" t="n">
        <v>1</v>
      </c>
      <c r="G12" t="n">
        <v>2</v>
      </c>
      <c r="H12" t="n">
        <v>0</v>
      </c>
      <c r="I12" t="n">
        <v>0</v>
      </c>
      <c r="J12" t="n">
        <v>100</v>
      </c>
      <c r="K12" t="n">
        <v>1</v>
      </c>
      <c r="L12" t="n">
        <v>50000</v>
      </c>
      <c r="M12" t="n">
        <v>12</v>
      </c>
      <c r="N12" t="b">
        <v>1</v>
      </c>
      <c r="O12">
        <f>SUMPRODUCT((Inputs!$B$3&gt;={122})*{100})</f>
        <v/>
      </c>
      <c r="P12" t="n">
        <v>0</v>
      </c>
      <c r="Q12" t="n">
        <v>0</v>
      </c>
      <c r="R12" t="n">
        <v>10</v>
      </c>
      <c r="S12" t="inlineStr"/>
      <c r="T12" t="n">
        <v>0</v>
      </c>
      <c r="U12" t="inlineStr"/>
      <c r="V12" t="inlineStr"/>
      <c r="W12" t="inlineStr">
        <is>
          <t>FLAGGED ASSUMPTION (no individual wiki page exists, cooldown assumed = its own 30s sustained-phase duration, recast-on-expiry): 'Summons the Nautilus's Battleship. The Battleship arrives behind 3 sec later and deals 3800% damage to 5 nearby target(s) 2 time(s).' (the 3s arrival delay is not modeled — folded into a same-cast instant hit, same simplification tier as every other 'delayed burst' skill in this project). factorIndex 12, baseDamage 50000 tenths% (already reflects the patch). PATCHED: damage 3800%-&gt;5000%, targets 5-&gt;10. This row pays the real Cooldown(s)/action-slot cost; see BROADSIDE_SUSTAINED for the follow-up turret phase, which rides this row's own cast timing. Mastery mapped from Buccaneer's own Sea Serpent's Rage - Damage @122 (+100%) slot — both are the class's own 4th-job summon-triggered burst effect.</t>
        </is>
      </c>
    </row>
    <row r="13">
      <c r="A13" t="inlineStr">
        <is>
          <t>BROADSIDE_SUSTAINED</t>
        </is>
      </c>
      <c r="B13" t="inlineStr">
        <is>
          <t>Broadside (sustained turret)</t>
        </is>
      </c>
      <c r="C13" t="n">
        <v>4</v>
      </c>
      <c r="D13" t="n">
        <v>30</v>
      </c>
      <c r="E13" t="b">
        <v>0</v>
      </c>
      <c r="F13" t="n">
        <v>1</v>
      </c>
      <c r="G13" t="n">
        <v>1</v>
      </c>
      <c r="H13" t="n">
        <v>2</v>
      </c>
      <c r="I13" t="n">
        <v>30</v>
      </c>
      <c r="J13" t="n">
        <v>100</v>
      </c>
      <c r="K13" t="n">
        <v>1</v>
      </c>
      <c r="L13" t="n">
        <v>33000</v>
      </c>
      <c r="M13" t="n">
        <v>12</v>
      </c>
      <c r="N13" t="b">
        <v>1</v>
      </c>
      <c r="O13" t="n">
        <v>0</v>
      </c>
      <c r="P13" t="n">
        <v>0</v>
      </c>
      <c r="Q13" t="n">
        <v>0</v>
      </c>
      <c r="R13" t="n">
        <v>5</v>
      </c>
      <c r="S13" t="inlineStr"/>
      <c r="T13" t="n">
        <v>0</v>
      </c>
      <c r="U13" t="inlineStr"/>
      <c r="V13" t="inlineStr"/>
      <c r="W13" t="inlineStr">
        <is>
          <t>FLAGGED ASSUMPTION (no individual wiki page exists, target count assumed = the burst phase's own PRE-patch value of 5, since the Aug 13 patch notes only cover the initial burst numbers, not this sustained phase — its patch status is genuinely unstated, not necessarily unchanged): 'Afterward it stays for 30 sec and deals 3300% damage to target(s) in front of the Battleship every 2 sec.' factorIndex 12, baseDamage 33000 tenths%. Shares BROADSIDE_BURST's own Cooldown(s) value (same cast timing, CostsActionSlot=False so it doesn't double-count the action economy) — same 'rides the parent's cast timing' pattern as ALL_ABOARD riding SCURVY_SUMMONS.</t>
        </is>
      </c>
    </row>
    <row r="14">
      <c r="A14" t="inlineStr">
        <is>
          <t>MAJESTIC_PRESENCE</t>
        </is>
      </c>
      <c r="B14" t="inlineStr">
        <is>
          <t>Majestic Presence</t>
        </is>
      </c>
      <c r="C14" t="n">
        <v>4</v>
      </c>
      <c r="D14" t="inlineStr"/>
      <c r="E14" t="b">
        <v>0</v>
      </c>
      <c r="F14" t="n">
        <v>1</v>
      </c>
      <c r="G14" t="n">
        <v>1</v>
      </c>
      <c r="H14" t="n">
        <v>0</v>
      </c>
      <c r="I14" t="n">
        <v>0</v>
      </c>
      <c r="J14" t="n">
        <v>25</v>
      </c>
      <c r="K14" t="n">
        <v>1</v>
      </c>
      <c r="L14" t="n">
        <v>18000</v>
      </c>
      <c r="M14" t="n">
        <v>12</v>
      </c>
      <c r="N14" t="b">
        <v>1</v>
      </c>
      <c r="O14" t="n">
        <v>0</v>
      </c>
      <c r="P14" t="n">
        <v>0</v>
      </c>
      <c r="Q14" t="n">
        <v>0</v>
      </c>
      <c r="R14" t="n">
        <v>6</v>
      </c>
      <c r="S14" t="inlineStr"/>
      <c r="T14" t="n">
        <v>0</v>
      </c>
      <c r="U14" t="inlineStr"/>
      <c r="V14" t="inlineStr"/>
      <c r="W14" t="inlineStr">
        <is>
          <t>FLAGGED ASSUMPTION (no individual wiki page exists): 'When attacking with Basic Attacks Brain Scrambler or Rapid Fire deals 1800% additional damage with a 25% chance.' PATCHED: single-target -&gt; up to 6 enemies near target (targets field). factorIndex 12, baseDamage 18000 tenths%. Procs off THREE independent sources (Basic Attack + Brain Scrambler + Rapid Fire) — has no Cooldown(s) of its own at all (CostsActionSlot=False); its own combined trigger rate is built directly in build_calc_sheet/build_stat_block as Summary!$B$R_BAPS (basic attack rate) + Brain Scrambler's own HitRate(perSec) + Rapid Fire's own HitRate(perSec), extending Marksman's own Bolt Surplus dual-trigger pattern to three sources instead of two. No clean Buccaneer mastery-slot analog — left unmodeled.</t>
        </is>
      </c>
    </row>
    <row r="15">
      <c r="A15" t="inlineStr">
        <is>
          <t>MAPLE_HERO_HELPER</t>
        </is>
      </c>
      <c r="B15" t="inlineStr">
        <is>
          <t>Maple Hero (helper)</t>
        </is>
      </c>
      <c r="C15" t="n">
        <v>4</v>
      </c>
      <c r="D15" t="inlineStr"/>
      <c r="E15" t="b">
        <v>0</v>
      </c>
      <c r="F15" t="n">
        <v>1</v>
      </c>
      <c r="G15" t="n">
        <v>1</v>
      </c>
      <c r="H15" t="n">
        <v>0</v>
      </c>
      <c r="I15" t="n">
        <v>0</v>
      </c>
      <c r="J15" t="n">
        <v>100</v>
      </c>
      <c r="K15" t="n">
        <v>1</v>
      </c>
      <c r="L15" t="n">
        <v>200</v>
      </c>
      <c r="M15" t="n">
        <v>23</v>
      </c>
      <c r="N15" t="b">
        <v>1</v>
      </c>
      <c r="O15" t="n">
        <v>0</v>
      </c>
      <c r="P15" t="n">
        <v>0</v>
      </c>
      <c r="Q15" t="n">
        <v>0</v>
      </c>
      <c r="R15" t="n">
        <v>0</v>
      </c>
      <c r="S15" t="inlineStr"/>
      <c r="T15" t="n">
        <v>0</v>
      </c>
      <c r="U15" t="inlineStr"/>
      <c r="V15" t="inlineStr"/>
      <c r="W15" t="inlineStr">
        <is>
          <t>Shared ratio-feeder row (see MAPLE_HERO_RATIOS) for Siege Bomber/Blackboot Bill/Swift Fire's own Final Damage chains — mirrors every other class's own Maple Hero mechanism. UNLIKE Buccaneer's own truncated entry, Corsair's level-1 anchor values ARE real/confirmed: 'Siege Bomber 20%, Blackboot Bill 40%, Swift Fire 80%.' FLAGGED ASSUMPTION: factorIndex 23 (the universal Maple Hero growth-curve convention confirmed on every other class), baseDamage 200 tenths% anchored to the confirmed level-1 value (20%). No individual Maple_Hero_(Corsair) page exists to verify the real growth curve. No independent DPS row of its own (Calc columns J-N blank/0, only D/E/F computed, read directly by each target row's own K-column formula).</t>
        </is>
      </c>
    </row>
    <row r="16">
      <c r="A16" t="inlineStr">
        <is>
          <t>AHOY_MATEYS_HELPER</t>
        </is>
      </c>
      <c r="B16" t="inlineStr">
        <is>
          <t>Ahoy Mateys (helper)</t>
        </is>
      </c>
      <c r="C16" t="n">
        <v>4</v>
      </c>
      <c r="D16" t="inlineStr"/>
      <c r="E16" t="b">
        <v>0</v>
      </c>
      <c r="F16" t="n">
        <v>1</v>
      </c>
      <c r="G16" t="n">
        <v>1</v>
      </c>
      <c r="H16" t="n">
        <v>0</v>
      </c>
      <c r="I16" t="n">
        <v>0</v>
      </c>
      <c r="J16" t="n">
        <v>100</v>
      </c>
      <c r="K16" t="n">
        <v>1</v>
      </c>
      <c r="L16" t="n">
        <v>2500</v>
      </c>
      <c r="M16" t="n">
        <v>22</v>
      </c>
      <c r="N16" t="b">
        <v>1</v>
      </c>
      <c r="O16" t="n">
        <v>0</v>
      </c>
      <c r="P16" t="n">
        <v>0</v>
      </c>
      <c r="Q16" t="n">
        <v>0</v>
      </c>
      <c r="R16" t="n">
        <v>0</v>
      </c>
      <c r="S16" t="inlineStr"/>
      <c r="T16" t="n">
        <v>0</v>
      </c>
      <c r="U16" t="inlineStr"/>
      <c r="V16" t="inlineStr"/>
      <c r="W16" t="inlineStr">
        <is>
          <t>Shared ratio-feeder row (see AHOY_MATEYS_RATIOS) for Scurvy Summons/All Aboard's own Final Damage chains — a SEPARATE, independent helper from Maple Hero (Ahoy Mateys is its own skill, not literally 'Maple Hero'), same 'no independent DPS row' mechanism. FLAGGED ASSUMPTION: factorIndex 22 (generic buff-growth convention, not tied to Maple Hero's own special factorIndex 23 since this is a genuinely different skill), baseDamage 2500 tenths% anchored to the confirmed level-1 value (250%, Scurvy Summons' own share). No individual wiki page exists for this skill at all — even its unlock level is a bare position-in-list assumption.</t>
        </is>
      </c>
    </row>
    <row r="17">
      <c r="A17" t="inlineStr">
        <is>
          <t>ROLL_OF_THE_DICE_DICE</t>
        </is>
      </c>
      <c r="B17" t="inlineStr">
        <is>
          <t>Roll of the Dice (dice component)</t>
        </is>
      </c>
      <c r="C17" t="n">
        <v>3</v>
      </c>
      <c r="D17" t="inlineStr"/>
      <c r="E17" t="b">
        <v>0</v>
      </c>
      <c r="F17" t="n">
        <v>1</v>
      </c>
      <c r="G17" t="n">
        <v>1</v>
      </c>
      <c r="H17" t="n">
        <v>0</v>
      </c>
      <c r="I17" t="n">
        <v>0</v>
      </c>
      <c r="J17" t="n">
        <v>100</v>
      </c>
      <c r="K17" t="n">
        <v>1</v>
      </c>
      <c r="L17" t="n">
        <v>25</v>
      </c>
      <c r="M17" t="n">
        <v>0</v>
      </c>
      <c r="N17" t="b">
        <v>0</v>
      </c>
      <c r="O17" t="n">
        <v>0</v>
      </c>
      <c r="P17" t="n">
        <v>0</v>
      </c>
      <c r="Q17" t="n">
        <v>0</v>
      </c>
      <c r="R17" t="n">
        <v>0</v>
      </c>
      <c r="S17" t="inlineStr">
        <is>
          <t>ATTACK</t>
        </is>
      </c>
      <c r="T17" t="n">
        <v>0</v>
      </c>
      <c r="U17" t="inlineStr"/>
      <c r="V17" t="inlineStr"/>
      <c r="W17" t="inlineStr">
        <is>
          <t>CONFIRMED SHARED VERBATIM WITH BUCCANEER (byte-identical wiki description, discovered during this build — not called out by the original research report): 'Increases Attack by 20%. Rolls a six-sided die every 7 sec to increase Attack by 0-5% in proportion to the number on the die for 5 sec. A number that has appeared once does not appear again for 30 sec.' Reuses Buccaneer's exact treatment: this row models ONLY the random dice component, approximated at its average roll (2.5%, the midpoint of 0-5%) treated as an always-active flat bonus once unlocked. The flat, unconditional '+20% Attack' base effect is Magic-Critical-pattern (assumed already reflected in your own Inputs!ATTACK_PCT, see PASSIVE_DELTA_SLOT). factorIndex 0 (non-scaling placeholder), baseDamage 25 tenths%.</t>
        </is>
      </c>
    </row>
    <row r="18">
      <c r="A18" t="inlineStr">
        <is>
          <t>JOLLY_ROGER_FD</t>
        </is>
      </c>
      <c r="B18" t="inlineStr">
        <is>
          <t>Jolly Roger</t>
        </is>
      </c>
      <c r="C18" t="n">
        <v>4</v>
      </c>
      <c r="D18" t="inlineStr"/>
      <c r="E18" t="b">
        <v>0</v>
      </c>
      <c r="F18" t="n">
        <v>1</v>
      </c>
      <c r="G18" t="n">
        <v>1</v>
      </c>
      <c r="H18" t="n">
        <v>0</v>
      </c>
      <c r="I18" t="n">
        <v>0</v>
      </c>
      <c r="J18" t="n">
        <v>100</v>
      </c>
      <c r="K18" t="n">
        <v>1</v>
      </c>
      <c r="L18" t="n">
        <v>150</v>
      </c>
      <c r="M18" t="n">
        <v>22</v>
      </c>
      <c r="N18" t="b">
        <v>1</v>
      </c>
      <c r="O18" t="n">
        <v>0</v>
      </c>
      <c r="P18" t="n">
        <v>0</v>
      </c>
      <c r="Q18" t="n">
        <v>0</v>
      </c>
      <c r="R18" t="n">
        <v>0</v>
      </c>
      <c r="S18" t="inlineStr">
        <is>
          <t>FINAL_DAMAGE</t>
        </is>
      </c>
      <c r="T18" t="n">
        <v>0</v>
      </c>
      <c r="U18" t="inlineStr"/>
      <c r="V18" t="inlineStr"/>
      <c r="W18" t="inlineStr">
        <is>
          <t>FLAGGED ASSUMPTION (no individual wiki page exists, no cooldown stated — modeled as always-active steady-state once unlocked, same tier as Buccaneer's own Crossbones/Time Leap): 'Increases Final Damage by 18% for 18 sec but decreases Evasion by 5' (Evasion not modeled). PATCHED: Final Damage 18%-&gt;15% (a nerf — baseDamage already reflects this). factorIndex 22, baseDamage 150 tenths%. Corsair's ONLY live (non-Magic-Critical) Final Damage source — feeds R_FD_BONUS directly.</t>
        </is>
      </c>
    </row>
    <row r="19">
      <c r="A19" t="inlineStr">
        <is>
          <t>SHADOW_HEART</t>
        </is>
      </c>
      <c r="B19" t="inlineStr">
        <is>
          <t>Shadow Heart</t>
        </is>
      </c>
      <c r="C19" t="n">
        <v>1</v>
      </c>
      <c r="D19" t="inlineStr"/>
      <c r="E19" t="b">
        <v>0</v>
      </c>
      <c r="F19" t="n">
        <v>1</v>
      </c>
      <c r="G19" t="n">
        <v>1</v>
      </c>
      <c r="H19" t="n">
        <v>0</v>
      </c>
      <c r="I19" t="n">
        <v>0</v>
      </c>
      <c r="J19" t="n">
        <v>100</v>
      </c>
      <c r="K19" t="n">
        <v>1</v>
      </c>
      <c r="L19" t="n">
        <v>50</v>
      </c>
      <c r="M19" t="n">
        <v>22</v>
      </c>
      <c r="N19" t="b">
        <v>1</v>
      </c>
      <c r="O19" t="n">
        <v>0</v>
      </c>
      <c r="P19" t="n">
        <v>0</v>
      </c>
      <c r="Q19" t="n">
        <v>0</v>
      </c>
      <c r="R19" t="n">
        <v>0</v>
      </c>
      <c r="S19" t="inlineStr">
        <is>
          <t>CRIT_RATE</t>
        </is>
      </c>
      <c r="T19" t="n">
        <v>0</v>
      </c>
      <c r="U19" t="inlineStr"/>
      <c r="V19" t="inlineStr"/>
      <c r="W19" t="inlineStr">
        <is>
          <t>Magic Critical pattern — already baked into Inputs!CRIT_RATE%; feeds the 1st-Job Skill Level Bonus delta. FLAGGED ASSUMPTION (no individual wiki page exists, though byte-identical wording to Buccaneer's own Shadow Heart): 'Increases Critical Rate by 5%.' factorIndex 22, baseDamage 50 tenths%.</t>
        </is>
      </c>
    </row>
    <row r="20">
      <c r="A20" t="inlineStr">
        <is>
          <t>QUICK_MOTION</t>
        </is>
      </c>
      <c r="B20" t="inlineStr">
        <is>
          <t>Quick Motion</t>
        </is>
      </c>
      <c r="C20" t="n">
        <v>1</v>
      </c>
      <c r="D20" t="inlineStr"/>
      <c r="E20" t="b">
        <v>0</v>
      </c>
      <c r="F20" t="n">
        <v>1</v>
      </c>
      <c r="G20" t="n">
        <v>1</v>
      </c>
      <c r="H20" t="n">
        <v>0</v>
      </c>
      <c r="I20" t="n">
        <v>0</v>
      </c>
      <c r="J20" t="n">
        <v>100</v>
      </c>
      <c r="K20" t="n">
        <v>1</v>
      </c>
      <c r="L20" t="n">
        <v>60</v>
      </c>
      <c r="M20" t="n">
        <v>22</v>
      </c>
      <c r="N20" t="b">
        <v>1</v>
      </c>
      <c r="O20" t="n">
        <v>0</v>
      </c>
      <c r="P20" t="n">
        <v>0</v>
      </c>
      <c r="Q20" t="n">
        <v>0</v>
      </c>
      <c r="R20" t="n">
        <v>0</v>
      </c>
      <c r="S20" t="inlineStr">
        <is>
          <t>ATTACK_SPEED</t>
        </is>
      </c>
      <c r="T20" t="n">
        <v>0</v>
      </c>
      <c r="U20" t="inlineStr"/>
      <c r="V20" t="inlineStr"/>
      <c r="W20" t="inlineStr">
        <is>
          <t>Magic Critical pattern — already baked into Inputs!ATTACK_SPEED%; feeds the 1st-Job Skill Level Bonus delta. FLAGGED ASSUMPTION (no individual wiki page exists, though byte-identical wording to Buccaneer's own Quick Motion): 'Increases Attack Speed by 6% and Speed by 8%' (Speed not modeled). Like Buccaneer, Corsair has NO Nimble-Feet-style live AS buff — Quick Motion is a flat passive. factorIndex 22, baseDamage 60 tenths%.</t>
        </is>
      </c>
    </row>
    <row r="21">
      <c r="A21" t="inlineStr">
        <is>
          <t>AGILE_GUNS</t>
        </is>
      </c>
      <c r="B21" t="inlineStr">
        <is>
          <t>Agile Guns</t>
        </is>
      </c>
      <c r="C21" t="n">
        <v>2</v>
      </c>
      <c r="D21" t="inlineStr"/>
      <c r="E21" t="b">
        <v>0</v>
      </c>
      <c r="F21" t="n">
        <v>1</v>
      </c>
      <c r="G21" t="n">
        <v>1</v>
      </c>
      <c r="H21" t="n">
        <v>0</v>
      </c>
      <c r="I21" t="n">
        <v>0</v>
      </c>
      <c r="J21" t="n">
        <v>100</v>
      </c>
      <c r="K21" t="n">
        <v>1</v>
      </c>
      <c r="L21" t="n">
        <v>50</v>
      </c>
      <c r="M21" t="n">
        <v>22</v>
      </c>
      <c r="N21" t="b">
        <v>1</v>
      </c>
      <c r="O21">
        <f>SUMPRODUCT((Inputs!$B$3&gt;={44})*{7})</f>
        <v/>
      </c>
      <c r="P21" t="n">
        <v>0</v>
      </c>
      <c r="Q21" t="n">
        <v>0</v>
      </c>
      <c r="R21" t="n">
        <v>0</v>
      </c>
      <c r="S21" t="inlineStr">
        <is>
          <t>ATTACK_SPEED</t>
        </is>
      </c>
      <c r="T21" t="n">
        <v>0</v>
      </c>
      <c r="U21" t="inlineStr"/>
      <c r="V21" t="inlineStr"/>
      <c r="W21" t="inlineStr">
        <is>
          <t>Magic Critical pattern — already baked into Inputs!ATTACK_SPEED%; feeds the 2nd-Job Skill Level Bonus delta. FLAGGED ASSUMPTION (no individual wiki page exists): 'Increases Attack Speed by 5%.' factorIndex 22, baseDamage 50 tenths%. Mastery mapped from Buccaneer's own Agile Knuckles - Speed @44 (+7) slot — both are the class's own AS passive in the same kit-slot role.</t>
        </is>
      </c>
    </row>
    <row r="22">
      <c r="A22" t="inlineStr">
        <is>
          <t>GUN_MASTERY</t>
        </is>
      </c>
      <c r="B22" t="inlineStr">
        <is>
          <t>Gun Mastery</t>
        </is>
      </c>
      <c r="C22" t="n">
        <v>2</v>
      </c>
      <c r="D22" t="inlineStr"/>
      <c r="E22" t="b">
        <v>0</v>
      </c>
      <c r="F22" t="n">
        <v>1</v>
      </c>
      <c r="G22" t="n">
        <v>1</v>
      </c>
      <c r="H22" t="n">
        <v>0</v>
      </c>
      <c r="I22" t="n">
        <v>0</v>
      </c>
      <c r="J22" t="n">
        <v>100</v>
      </c>
      <c r="K22" t="n">
        <v>1</v>
      </c>
      <c r="L22" t="n">
        <v>150</v>
      </c>
      <c r="M22" t="n">
        <v>22</v>
      </c>
      <c r="N22" t="b">
        <v>1</v>
      </c>
      <c r="O22" t="n">
        <v>0</v>
      </c>
      <c r="P22" t="n">
        <v>0</v>
      </c>
      <c r="Q22" t="n">
        <v>0</v>
      </c>
      <c r="R22" t="n">
        <v>0</v>
      </c>
      <c r="S22" t="inlineStr">
        <is>
          <t>MIN_DAMAGE</t>
        </is>
      </c>
      <c r="T22" t="n">
        <v>0</v>
      </c>
      <c r="U22" t="inlineStr"/>
      <c r="V22" t="inlineStr"/>
      <c r="W22" t="inlineStr">
        <is>
          <t>Magic Critical pattern — already baked into Inputs!MIN_DAMAGE%; feeds the 2nd-Job Skill Level Bonus delta. FLAGGED ASSUMPTION (no individual wiki page exists): 'Increases Min Damage Multiplier by 15%.' factorIndex 22, baseDamage 150 tenths% — matches Buccaneer's own Knuckle Mastery exactly (same kit-slot role, no mastery bonus in either class).</t>
        </is>
      </c>
    </row>
    <row r="23">
      <c r="A23" t="inlineStr">
        <is>
          <t>PHYSICAL_TRAINING</t>
        </is>
      </c>
      <c r="B23" t="inlineStr">
        <is>
          <t>Physical Training</t>
        </is>
      </c>
      <c r="C23" t="n">
        <v>2</v>
      </c>
      <c r="D23" t="inlineStr"/>
      <c r="E23" t="b">
        <v>0</v>
      </c>
      <c r="F23" t="n">
        <v>1</v>
      </c>
      <c r="G23" t="n">
        <v>1</v>
      </c>
      <c r="H23" t="n">
        <v>0</v>
      </c>
      <c r="I23" t="n">
        <v>0</v>
      </c>
      <c r="J23" t="n">
        <v>100</v>
      </c>
      <c r="K23" t="n">
        <v>1</v>
      </c>
      <c r="L23" t="n">
        <v>100</v>
      </c>
      <c r="M23" t="n">
        <v>22</v>
      </c>
      <c r="N23" t="b">
        <v>1</v>
      </c>
      <c r="O23" t="n">
        <v>0</v>
      </c>
      <c r="P23" t="n">
        <v>0</v>
      </c>
      <c r="Q23" t="n">
        <v>0</v>
      </c>
      <c r="R23" t="n">
        <v>0</v>
      </c>
      <c r="S23" t="inlineStr">
        <is>
          <t>BASIC_ATTACK_DAMAGE</t>
        </is>
      </c>
      <c r="T23" t="n">
        <v>0</v>
      </c>
      <c r="U23" t="inlineStr"/>
      <c r="V23" t="inlineStr"/>
      <c r="W23" t="inlineStr">
        <is>
          <t>Magic Critical pattern — already baked into Inputs!BASIC_ATTACK_DAMAGE%; feeds the 2nd-Job Skill Level Bonus delta. FLAGGED ASSUMPTION (no individual wiki page exists, though byte-identical wording to every other class's own Physical Training): 'Increases Basic Attack Damage by 10%.' factorIndex 22, baseDamage 100 tenths%.</t>
        </is>
      </c>
    </row>
    <row r="24">
      <c r="A24" t="inlineStr">
        <is>
          <t>INFINITY_BLAST_ATK</t>
        </is>
      </c>
      <c r="B24" t="inlineStr">
        <is>
          <t>Infinity Blast</t>
        </is>
      </c>
      <c r="C24" t="n">
        <v>2</v>
      </c>
      <c r="D24" t="inlineStr"/>
      <c r="E24" t="b">
        <v>0</v>
      </c>
      <c r="F24" t="n">
        <v>1</v>
      </c>
      <c r="G24" t="n">
        <v>1</v>
      </c>
      <c r="H24" t="n">
        <v>0</v>
      </c>
      <c r="I24" t="n">
        <v>0</v>
      </c>
      <c r="J24" t="n">
        <v>100</v>
      </c>
      <c r="K24" t="n">
        <v>1</v>
      </c>
      <c r="L24" t="n">
        <v>120</v>
      </c>
      <c r="M24" t="n">
        <v>22</v>
      </c>
      <c r="N24" t="b">
        <v>1</v>
      </c>
      <c r="O24" t="n">
        <v>0</v>
      </c>
      <c r="P24" t="n">
        <v>0</v>
      </c>
      <c r="Q24" t="n">
        <v>0</v>
      </c>
      <c r="R24" t="n">
        <v>0</v>
      </c>
      <c r="S24" t="inlineStr">
        <is>
          <t>ATTACK</t>
        </is>
      </c>
      <c r="T24" t="n">
        <v>0</v>
      </c>
      <c r="U24" t="inlineStr"/>
      <c r="V24" t="inlineStr"/>
      <c r="W24" t="inlineStr">
        <is>
          <t>Magic Critical pattern — already baked into Inputs!ATTACK_PCT (folds into the attack_mult delta bucket, same slot as Buccaneer's own Dark Clarity). FLAGGED ASSUMPTION (no individual wiki page exists): 'Increases Attack by 10%.' PATCHED: 10%-&gt;12% (baseDamage already reflects this). factorIndex 22, baseDamage 120 tenths%.</t>
        </is>
      </c>
    </row>
    <row r="25">
      <c r="A25" t="inlineStr">
        <is>
          <t>FULLMETAL_JACKET_CD</t>
        </is>
      </c>
      <c r="B25" t="inlineStr">
        <is>
          <t>Fullmetal Jacket</t>
        </is>
      </c>
      <c r="C25" t="n">
        <v>3</v>
      </c>
      <c r="D25" t="inlineStr"/>
      <c r="E25" t="b">
        <v>0</v>
      </c>
      <c r="F25" t="n">
        <v>1</v>
      </c>
      <c r="G25" t="n">
        <v>1</v>
      </c>
      <c r="H25" t="n">
        <v>0</v>
      </c>
      <c r="I25" t="n">
        <v>0</v>
      </c>
      <c r="J25" t="n">
        <v>100</v>
      </c>
      <c r="K25" t="n">
        <v>1</v>
      </c>
      <c r="L25" t="n">
        <v>100</v>
      </c>
      <c r="M25" t="n">
        <v>22</v>
      </c>
      <c r="N25" t="b">
        <v>1</v>
      </c>
      <c r="O25" t="n">
        <v>0</v>
      </c>
      <c r="P25" t="n">
        <v>0</v>
      </c>
      <c r="Q25" t="n">
        <v>0</v>
      </c>
      <c r="R25" t="n">
        <v>0</v>
      </c>
      <c r="S25" t="inlineStr">
        <is>
          <t>CRIT_DAMAGE</t>
        </is>
      </c>
      <c r="T25" t="n">
        <v>0</v>
      </c>
      <c r="U25" t="inlineStr"/>
      <c r="V25" t="inlineStr"/>
      <c r="W25" t="inlineStr">
        <is>
          <t>Magic Critical pattern — already baked into Inputs!CRIT_DAMAGE%; feeds the 3rd-Job Skill Level Bonus delta. FLAGGED ASSUMPTION (no individual wiki page exists): 'Increases Critical Damage by 10%.' factorIndex 22, baseDamage 100 tenths%.</t>
        </is>
      </c>
    </row>
    <row r="26">
      <c r="A26" t="inlineStr">
        <is>
          <t>CROSS_CUT_BLAST_FD</t>
        </is>
      </c>
      <c r="B26" t="inlineStr">
        <is>
          <t>Cross Cut Blast</t>
        </is>
      </c>
      <c r="C26" t="n">
        <v>3</v>
      </c>
      <c r="D26" t="inlineStr"/>
      <c r="E26" t="b">
        <v>0</v>
      </c>
      <c r="F26" t="n">
        <v>1</v>
      </c>
      <c r="G26" t="n">
        <v>1</v>
      </c>
      <c r="H26" t="n">
        <v>0</v>
      </c>
      <c r="I26" t="n">
        <v>0</v>
      </c>
      <c r="J26" t="n">
        <v>100</v>
      </c>
      <c r="K26" t="n">
        <v>1</v>
      </c>
      <c r="L26" t="n">
        <v>120</v>
      </c>
      <c r="M26" t="n">
        <v>22</v>
      </c>
      <c r="N26" t="b">
        <v>1</v>
      </c>
      <c r="O26" t="n">
        <v>0</v>
      </c>
      <c r="P26" t="n">
        <v>0</v>
      </c>
      <c r="Q26" t="n">
        <v>0</v>
      </c>
      <c r="R26" t="n">
        <v>0</v>
      </c>
      <c r="S26" t="inlineStr">
        <is>
          <t>FINAL_DAMAGE</t>
        </is>
      </c>
      <c r="T26" t="n">
        <v>0</v>
      </c>
      <c r="U26" t="inlineStr"/>
      <c r="V26" t="inlineStr"/>
      <c r="W26" t="inlineStr">
        <is>
          <t>Magic Critical pattern — already baked into Inputs!FINAL_DAMAGE%; feeds the 3rd-Job Skill Level Bonus delta. FLAGGED ASSUMPTION (no individual wiki page exists): 'Increases Final Damage by 10%.' PATCHED: 10%-&gt;12% (baseDamage already reflects this). factorIndex 22, baseDamage 120 tenths%.</t>
        </is>
      </c>
    </row>
    <row r="27">
      <c r="A27" t="inlineStr">
        <is>
          <t>QUICKDRAW_BAD</t>
        </is>
      </c>
      <c r="B27" t="inlineStr">
        <is>
          <t>Quickdraw</t>
        </is>
      </c>
      <c r="C27" t="n">
        <v>4</v>
      </c>
      <c r="D27" t="inlineStr"/>
      <c r="E27" t="b">
        <v>0</v>
      </c>
      <c r="F27" t="n">
        <v>1</v>
      </c>
      <c r="G27" t="n">
        <v>1</v>
      </c>
      <c r="H27" t="n">
        <v>0</v>
      </c>
      <c r="I27" t="n">
        <v>0</v>
      </c>
      <c r="J27" t="n">
        <v>100</v>
      </c>
      <c r="K27" t="n">
        <v>1</v>
      </c>
      <c r="L27" t="n">
        <v>250</v>
      </c>
      <c r="M27" t="n">
        <v>22</v>
      </c>
      <c r="N27" t="b">
        <v>1</v>
      </c>
      <c r="O27" t="n">
        <v>0</v>
      </c>
      <c r="P27" t="n">
        <v>0</v>
      </c>
      <c r="Q27" t="n">
        <v>0</v>
      </c>
      <c r="R27" t="n">
        <v>0</v>
      </c>
      <c r="S27" t="inlineStr">
        <is>
          <t>BASIC_ATTACK_DAMAGE</t>
        </is>
      </c>
      <c r="T27" t="n">
        <v>0</v>
      </c>
      <c r="U27" t="inlineStr"/>
      <c r="V27" t="inlineStr"/>
      <c r="W27" t="inlineStr">
        <is>
          <t>Magic Critical pattern — already baked into Inputs!BASIC_ATTACK_DAMAGE%; feeds the 4th-Job Skill Level Bonus delta. FLAGGED ASSUMPTION (no individual wiki page exists): only the flat, unconditional 'Increases Basic Attack Damage by 25%' component is modeled here. factorIndex 22, baseDamage 250 tenths%. NOT modeled (out of scope): its own 'every 3rd Eight-Legs Easton cast doubles the damage and reduces Brain Scrambler/Rapid Fire cooldown by 1.5s' proc — no mechanic exists in this project for one skill's cast count to modify another's cooldown, and stacking that on top of an already-assumed kit was judged out of scope for this session.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34"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 width="12" customWidth="1" min="17" max="17"/>
    <col width="12" customWidth="1" min="18" max="18"/>
    <col width="14" customWidth="1" min="19" max="19"/>
  </cols>
  <sheetData>
    <row r="1">
      <c r="A1" s="8" t="inlineStr">
        <is>
          <t>Key</t>
        </is>
      </c>
      <c r="B1" s="8" t="inlineStr">
        <is>
          <t>Name</t>
        </is>
      </c>
      <c r="C1" s="8" t="inlineStr">
        <is>
          <t>Unlocked</t>
        </is>
      </c>
      <c r="D1" s="8" t="inlineStr">
        <is>
          <t>InputLevel</t>
        </is>
      </c>
      <c r="E1" s="8" t="inlineStr">
        <is>
          <t>Factor</t>
        </is>
      </c>
      <c r="F1" s="8" t="inlineStr">
        <is>
          <t>CoefficientPercent</t>
        </is>
      </c>
      <c r="G1" s="8" t="inlineStr">
        <is>
          <t>EffectiveHits</t>
        </is>
      </c>
      <c r="H1" s="8" t="inlineStr">
        <is>
          <t>ProcProbability</t>
        </is>
      </c>
      <c r="I1" s="8" t="inlineStr">
        <is>
          <t>MapleHeroMultiplier</t>
        </is>
      </c>
      <c r="J1" s="8" t="inlineStr">
        <is>
          <t>BaseDamage</t>
        </is>
      </c>
      <c r="K1" s="8" t="inlineStr">
        <is>
          <t>BaseHitDamage</t>
        </is>
      </c>
      <c r="L1" s="8" t="inlineStr">
        <is>
          <t>NonCritAvg</t>
        </is>
      </c>
      <c r="M1" s="8" t="inlineStr">
        <is>
          <t>CritAvg</t>
        </is>
      </c>
      <c r="N1" s="8" t="inlineStr">
        <is>
          <t>ExpectedDamage(perHit)</t>
        </is>
      </c>
      <c r="O1" s="8" t="inlineStr">
        <is>
          <t>DPS</t>
        </is>
      </c>
      <c r="P1" s="8" t="inlineStr">
        <is>
          <t>% of Total</t>
        </is>
      </c>
      <c r="Q1" s="8" t="inlineStr">
        <is>
          <t>InvCooldown</t>
        </is>
      </c>
      <c r="R1" s="8" t="inlineStr">
        <is>
          <t>CastsInFight</t>
        </is>
      </c>
      <c r="S1" s="8" t="inlineStr">
        <is>
          <t>HitRate(perSec)</t>
        </is>
      </c>
    </row>
    <row r="2">
      <c r="A2">
        <f>Skills!A2</f>
        <v/>
      </c>
      <c r="B2">
        <f>Skills!B2</f>
        <v/>
      </c>
      <c r="C2">
        <f>Inputs!$B$3&gt;=100</f>
        <v/>
      </c>
      <c r="D2" t="inlineStr"/>
      <c r="E2" t="inlineStr"/>
      <c r="F2">
        <f>Summary!$B$54+Skills!O2</f>
        <v/>
      </c>
      <c r="G2">
        <f>Skills!G2*IF(Skills!H2&gt;0,Skills!I2/Skills!H2,1)</f>
        <v/>
      </c>
      <c r="H2">
        <f>1-(1-Skills!J2/100)^Skills!K2</f>
        <v/>
      </c>
      <c r="I2" t="inlineStr">
        <is>
          <t>1</t>
        </is>
      </c>
      <c r="J2">
        <f>Summary!$B$50*(F2/100)</f>
        <v/>
      </c>
      <c r="K2">
        <f>J2*(1+Summary!$B$51/100)*(1+Inputs!$B$14/100)*(1+IF(Inputs!$B$4="pvp",0,(1-Summary!$B$55)*(Inputs!$B$19+Skills!P2+Summary!$B$59)+Summary!$B$55*(Inputs!$B$20+Skills!Q2+Summary!$B$59))/100)*(1+Inputs!$B$15/100)*(5000/(6000+Inputs!$B$7*(1-Inputs!$B$18/100)))*(1+(Inputs!$B$23+Summary!$B$65)/100)*(1+(IF(Skills!A2="EIGHT_LEGS_EASTON",Inputs!$B$16,Inputs!$B$17))/100)*(Summary!$B$57*I2)</f>
        <v/>
      </c>
      <c r="L2">
        <f>K2*(MIN(Inputs!$B$21,Inputs!$B$22)/100+Inputs!$B$22/100)/2</f>
        <v/>
      </c>
      <c r="M2">
        <f>L2*(1+(Inputs!$B$9+Summary!$B$64)/100)</f>
        <v/>
      </c>
      <c r="N2">
        <f>L2*(1-MIN((Inputs!$B$8+Summary!$B$58),100)/100)+M2*(MIN((Inputs!$B$8+Summary!$B$58),100)/100)</f>
        <v/>
      </c>
      <c r="O2">
        <f>IF(C2,Skills!G2*N2*Summary!$B$63*IF(Inputs!$B$4="pvp",1,(1-Summary!$B$55)*(1)+Summary!$B$55*(MIN(Skills!R2,Inputs!$B$37))),0)</f>
        <v/>
      </c>
      <c r="P2">
        <f>IF(Summary!$B$3=0,0,O2/Summary!$B$3)</f>
        <v/>
      </c>
      <c r="Q2" t="n">
        <v>0</v>
      </c>
      <c r="R2" t="n">
        <v>0</v>
      </c>
      <c r="S2">
        <f>IFERROR(O2/N2,0)</f>
        <v/>
      </c>
    </row>
    <row r="3">
      <c r="A3">
        <f>Skills!A3</f>
        <v/>
      </c>
      <c r="B3">
        <f>Skills!B3</f>
        <v/>
      </c>
      <c r="C3">
        <f>Inputs!$B$3&gt;=35</f>
        <v/>
      </c>
      <c r="D3">
        <f>IF(Skills!C3=1,60+Inputs!$B$24+Inputs!$B$28,IF(Skills!C3=2,90+Inputs!$B$25+Inputs!$B$28,IF(Skills!C3=3,120+Inputs!$B$26+Inputs!$B$28,MAX(0,(Inputs!$B$3-100)*3)+Inputs!$B$27+Inputs!$B$28)))</f>
        <v/>
      </c>
      <c r="E3">
        <f>INDEX(FactorTable!$B$2:$Y$301, MATCH(ROUND(MIN(300,MAX(1,D3)),0), FactorTable!$A$2:$A$301,0), Skills!M3+1)</f>
        <v/>
      </c>
      <c r="F3">
        <f>IF(Skills!N3=TRUE,(Skills!L3/10)*(E3/1000),Skills!L3/10)+Skills!O3</f>
        <v/>
      </c>
      <c r="G3">
        <f>Skills!G3*IF(Skills!H3&gt;0,Skills!I3/Skills!H3,1)</f>
        <v/>
      </c>
      <c r="H3">
        <f>1-(1-Skills!J3/100)^Skills!K3</f>
        <v/>
      </c>
      <c r="I3" t="inlineStr">
        <is>
          <t>1</t>
        </is>
      </c>
      <c r="J3">
        <f>Summary!$B$50*(F3/100)</f>
        <v/>
      </c>
      <c r="K3">
        <f>J3*(1+Summary!$B$51/100)*(1+Inputs!$B$14/100)*(1+IF(Inputs!$B$4="pvp",0,(1-Summary!$B$55)*(Inputs!$B$19+Skills!P3+Summary!$B$59)+Summary!$B$55*(Inputs!$B$20+Skills!Q3+Summary!$B$59))/100)*(1+Inputs!$B$15/100)*(5000/(6000+Inputs!$B$7*(1-Inputs!$B$18/100)))*(1+(Inputs!$B$23+Summary!$B$65)/100)*(1+4.0*IF(C15=TRUE,F15,0)/100)*(1+(IF(Skills!A3="EIGHT_LEGS_EASTON",Inputs!$B$16,Inputs!$B$17))/100)*(Summary!$B$57*I3)</f>
        <v/>
      </c>
      <c r="L3">
        <f>K3*(MIN(Inputs!$B$21,Inputs!$B$22)/100+Inputs!$B$22/100)/2</f>
        <v/>
      </c>
      <c r="M3">
        <f>L3*(1+(Inputs!$B$9+Summary!$B$64)/100)</f>
        <v/>
      </c>
      <c r="N3">
        <f>L3*(1-MIN((Inputs!$B$8+Summary!$B$58),100)/100)+M3*(MIN((Inputs!$B$8+Summary!$B$58),100)/100)</f>
        <v/>
      </c>
      <c r="O3">
        <f>IF(C3,H3*N3*IF(AND(Inputs!$B$4&lt;&gt;"pvp",Inputs!$B$35&gt;0),((Skills!G3*((R3-1)*IF(Skills!H3&gt;0,Skills!I3/Skills!H3,1)+IF(Skills!H3&gt;0,MIN(Skills!I3,MAX(0,Inputs!$B$35-((R3-1)*IF(Inputs!$B$4="pvp",15,MAX(0.1,Skills!D3-IF(Skills!E3=TRUE,Inputs!$B$31,0))))))/Skills!H3,1)))/Inputs!$B$35),G3*Q3)*IF(Inputs!$B$4="pvp",1,(1-Summary!$B$55)*(1)+Summary!$B$55*(MIN(Skills!R3,Inputs!$B$37))),0)</f>
        <v/>
      </c>
      <c r="P3">
        <f>IF(Summary!$B$3=0,0,O3/Summary!$B$3)</f>
        <v/>
      </c>
      <c r="Q3">
        <f>IFERROR(1/IF(Inputs!$B$4="pvp",15,MAX(0.1,Skills!D3-IF(Skills!E3=TRUE,Inputs!$B$31,0))),0)</f>
        <v/>
      </c>
      <c r="R3">
        <f>IF(AND(Inputs!$B$4&lt;&gt;"pvp",Inputs!$B$35&gt;0),(INT(Inputs!$B$35/IF(Inputs!$B$4="pvp",15,MAX(0.1,Skills!D3-IF(Skills!E3=TRUE,Inputs!$B$31,0))))+1),0)</f>
        <v/>
      </c>
      <c r="S3">
        <f>IFERROR(O3/N3,0)</f>
        <v/>
      </c>
    </row>
    <row r="4">
      <c r="A4">
        <f>Skills!A4</f>
        <v/>
      </c>
      <c r="B4">
        <f>Skills!B4</f>
        <v/>
      </c>
      <c r="C4">
        <f>Inputs!$B$3&gt;=40</f>
        <v/>
      </c>
      <c r="D4">
        <f>IF(Skills!C4=1,60+Inputs!$B$24+Inputs!$B$28,IF(Skills!C4=2,90+Inputs!$B$25+Inputs!$B$28,IF(Skills!C4=3,120+Inputs!$B$26+Inputs!$B$28,MAX(0,(Inputs!$B$3-100)*3)+Inputs!$B$27+Inputs!$B$28)))</f>
        <v/>
      </c>
      <c r="E4">
        <f>INDEX(FactorTable!$B$2:$Y$301, MATCH(ROUND(MIN(300,MAX(1,D4)),0), FactorTable!$A$2:$A$301,0), Skills!M4+1)</f>
        <v/>
      </c>
      <c r="F4">
        <f>IF(Skills!N4=TRUE,(Skills!L4/10)*(E4/1000),Skills!L4/10)+Skills!O4</f>
        <v/>
      </c>
      <c r="G4">
        <f>Skills!G4*IF(Skills!H4&gt;0,Skills!I4/Skills!H4,1)</f>
        <v/>
      </c>
      <c r="H4">
        <f>1-(1-Skills!J4/100)^Skills!K4</f>
        <v/>
      </c>
      <c r="I4" t="inlineStr">
        <is>
          <t>1</t>
        </is>
      </c>
      <c r="J4">
        <f>Summary!$B$50*(F4/100)</f>
        <v/>
      </c>
      <c r="K4">
        <f>J4*(1+Summary!$B$51/100)*(1+Inputs!$B$14/100)*(1+IF(Inputs!$B$4="pvp",0,(1-Summary!$B$55)*(Inputs!$B$19+Skills!P4+Summary!$B$59)+Summary!$B$55*(Inputs!$B$20+Skills!Q4+Summary!$B$59))/100)*(1+Inputs!$B$15/100)*(5000/(6000+Inputs!$B$7*(1-Inputs!$B$18/100)))*(1+(Inputs!$B$23+Summary!$B$65)/100)*(1+1.0*IF(C16=TRUE,F16,0)/100)*(1+(IF(Skills!A4="EIGHT_LEGS_EASTON",Inputs!$B$16,Inputs!$B$17))/100)*(Summary!$B$57*I4)</f>
        <v/>
      </c>
      <c r="L4">
        <f>K4*(MIN(Inputs!$B$21,Inputs!$B$22)/100+Inputs!$B$22/100)/2</f>
        <v/>
      </c>
      <c r="M4">
        <f>L4*(1+(Inputs!$B$9+Summary!$B$64)/100)</f>
        <v/>
      </c>
      <c r="N4">
        <f>L4*(1-MIN((Inputs!$B$8+Summary!$B$58),100)/100)+M4*(MIN((Inputs!$B$8+Summary!$B$58),100)/100)</f>
        <v/>
      </c>
      <c r="O4">
        <f>IF(C4,H4*N4*IF(AND(Inputs!$B$4&lt;&gt;"pvp",Inputs!$B$35&gt;0),((Skills!G4*((R4-1)*IF(Skills!H4&gt;0,Skills!I4/Skills!H4,1)+IF(Skills!H4&gt;0,MIN(Skills!I4,MAX(0,Inputs!$B$35-((R4-1)*IF(Inputs!$B$4="pvp",15,MAX(0.1,Skills!D4-IF(Skills!E4=TRUE,Inputs!$B$31,0))))))/Skills!H4,1)))/Inputs!$B$35),G4*Q4)*IF(Inputs!$B$4="pvp",1,(1-Summary!$B$55)*(1)+Summary!$B$55*(MIN(Skills!R4,Inputs!$B$37))),0)</f>
        <v/>
      </c>
      <c r="P4">
        <f>IF(Summary!$B$3=0,0,O4/Summary!$B$3)</f>
        <v/>
      </c>
      <c r="Q4">
        <f>IFERROR(1/IF(Inputs!$B$4="pvp",15,MAX(0.1,Skills!D4-IF(Skills!E4=TRUE,Inputs!$B$31,0))),0)</f>
        <v/>
      </c>
      <c r="R4">
        <f>IF(AND(Inputs!$B$4&lt;&gt;"pvp",Inputs!$B$35&gt;0),(INT(Inputs!$B$35/IF(Inputs!$B$4="pvp",15,MAX(0.1,Skills!D4-IF(Skills!E4=TRUE,Inputs!$B$31,0))))+1),0)</f>
        <v/>
      </c>
      <c r="S4">
        <f>IFERROR(O4/N4,0)</f>
        <v/>
      </c>
    </row>
    <row r="5">
      <c r="A5">
        <f>Skills!A5</f>
        <v/>
      </c>
      <c r="B5">
        <f>Skills!B5</f>
        <v/>
      </c>
      <c r="C5">
        <f>Inputs!$B$3&gt;=45</f>
        <v/>
      </c>
      <c r="D5">
        <f>IF(Skills!C5=1,60+Inputs!$B$24+Inputs!$B$28,IF(Skills!C5=2,90+Inputs!$B$25+Inputs!$B$28,IF(Skills!C5=3,120+Inputs!$B$26+Inputs!$B$28,MAX(0,(Inputs!$B$3-100)*3)+Inputs!$B$27+Inputs!$B$28)))</f>
        <v/>
      </c>
      <c r="E5">
        <f>INDEX(FactorTable!$B$2:$Y$301, MATCH(ROUND(MIN(300,MAX(1,D5)),0), FactorTable!$A$2:$A$301,0), Skills!M5+1)</f>
        <v/>
      </c>
      <c r="F5">
        <f>IF(Skills!N5=TRUE,(Skills!L5/10)*(E5/1000),Skills!L5/10)+Skills!O5</f>
        <v/>
      </c>
      <c r="G5">
        <f>Skills!G5*IF(Skills!H5&gt;0,Skills!I5/Skills!H5,1)</f>
        <v/>
      </c>
      <c r="H5">
        <f>1-(1-Skills!J5/100)^Skills!K5</f>
        <v/>
      </c>
      <c r="I5" t="inlineStr">
        <is>
          <t>1</t>
        </is>
      </c>
      <c r="J5">
        <f>Summary!$B$50*(F5/100)</f>
        <v/>
      </c>
      <c r="K5">
        <f>J5*(1+Summary!$B$51/100)*(1+Inputs!$B$14/100)*(1+IF(Inputs!$B$4="pvp",0,(1-Summary!$B$55)*(Inputs!$B$19+Skills!P5+Summary!$B$59)+Summary!$B$55*(Inputs!$B$20+Skills!Q5+Summary!$B$59))/100)*(1+Inputs!$B$15/100)*(5000/(6000+Inputs!$B$7*(1-Inputs!$B$18/100)))*(1+(Inputs!$B$23+Summary!$B$65)/100)*(1+0.4*IF(C16=TRUE,F16,0)/100)*(1+(IF(Skills!A5="EIGHT_LEGS_EASTON",Inputs!$B$16,Inputs!$B$17))/100)*(Summary!$B$57*I5)</f>
        <v/>
      </c>
      <c r="L5">
        <f>K5*(MIN(Inputs!$B$21,Inputs!$B$22)/100+Inputs!$B$22/100)/2</f>
        <v/>
      </c>
      <c r="M5">
        <f>L5*(1+(Inputs!$B$9+Summary!$B$64)/100)</f>
        <v/>
      </c>
      <c r="N5">
        <f>L5*(1-MIN((Inputs!$B$8+Summary!$B$58),100)/100)+M5*(MIN((Inputs!$B$8+Summary!$B$58),100)/100)</f>
        <v/>
      </c>
      <c r="O5">
        <f>IF(C5,H5*N5*IF(AND(Inputs!$B$4&lt;&gt;"pvp",Inputs!$B$35&gt;0),((Skills!G5*((R5-1)*IF(Skills!H5&gt;0,Skills!I5/Skills!H5,1)+IF(Skills!H5&gt;0,MIN(Skills!I5,MAX(0,Inputs!$B$35-((R5-1)*IF(Inputs!$B$4="pvp",15,MAX(0.1,Skills!D5-IF(Skills!E5=TRUE,Inputs!$B$31,0))))))/Skills!H5,1)))/Inputs!$B$35),G5*Q5)*IF(Inputs!$B$4="pvp",1,(1-Summary!$B$55)*(1)+Summary!$B$55*(MIN(Skills!R5,Inputs!$B$37))),0)</f>
        <v/>
      </c>
      <c r="P5">
        <f>IF(Summary!$B$3=0,0,O5/Summary!$B$3)</f>
        <v/>
      </c>
      <c r="Q5">
        <f>IFERROR(1/IF(Inputs!$B$4="pvp",15,MAX(0.1,Skills!D5-IF(Skills!E5=TRUE,Inputs!$B$31,0))),0)</f>
        <v/>
      </c>
      <c r="R5">
        <f>IF(AND(Inputs!$B$4&lt;&gt;"pvp",Inputs!$B$35&gt;0),(INT(Inputs!$B$35/IF(Inputs!$B$4="pvp",15,MAX(0.1,Skills!D5-IF(Skills!E5=TRUE,Inputs!$B$31,0))))+1),0)</f>
        <v/>
      </c>
      <c r="S5">
        <f>IFERROR(O5/N5,0)</f>
        <v/>
      </c>
    </row>
    <row r="6">
      <c r="A6">
        <f>Skills!A6</f>
        <v/>
      </c>
      <c r="B6">
        <f>Skills!B6</f>
        <v/>
      </c>
      <c r="C6">
        <f>Inputs!$B$3&gt;=63</f>
        <v/>
      </c>
      <c r="D6">
        <f>IF(Skills!C6=1,60+Inputs!$B$24+Inputs!$B$28,IF(Skills!C6=2,90+Inputs!$B$25+Inputs!$B$28,IF(Skills!C6=3,120+Inputs!$B$26+Inputs!$B$28,MAX(0,(Inputs!$B$3-100)*3)+Inputs!$B$27+Inputs!$B$28)))</f>
        <v/>
      </c>
      <c r="E6">
        <f>INDEX(FactorTable!$B$2:$Y$301, MATCH(ROUND(MIN(300,MAX(1,D6)),0), FactorTable!$A$2:$A$301,0), Skills!M6+1)</f>
        <v/>
      </c>
      <c r="F6">
        <f>IF(Skills!N6=TRUE,(Skills!L6/10)*(E6/1000),Skills!L6/10)+Skills!O6</f>
        <v/>
      </c>
      <c r="G6">
        <f>Skills!G6*IF(Skills!H6&gt;0,Skills!I6/Skills!H6,1)</f>
        <v/>
      </c>
      <c r="H6">
        <f>1-(1-Skills!J6/100)^Skills!K6</f>
        <v/>
      </c>
      <c r="I6" t="inlineStr">
        <is>
          <t>1</t>
        </is>
      </c>
      <c r="J6">
        <f>Summary!$B$50*(F6/100)</f>
        <v/>
      </c>
      <c r="K6">
        <f>J6*(1+Summary!$B$51/100)*(1+Inputs!$B$14/100)*(1+IF(Inputs!$B$4="pvp",0,(1-Summary!$B$55)*(Inputs!$B$19+Skills!P6+Summary!$B$59)+Summary!$B$55*(Inputs!$B$20+Skills!Q6+Summary!$B$59))/100)*(1+Inputs!$B$15/100)*(5000/(6000+Inputs!$B$7*(1-Inputs!$B$18/100)))*(1+(Inputs!$B$23+Summary!$B$65)/100)*(1+2.0*IF(C15=TRUE,F15,0)/100)*(1+(IF(Skills!A6="EIGHT_LEGS_EASTON",Inputs!$B$16,Inputs!$B$17))/100)*(Summary!$B$57*I6)</f>
        <v/>
      </c>
      <c r="L6">
        <f>K6*(MIN(Inputs!$B$21,Inputs!$B$22)/100+Inputs!$B$22/100)/2</f>
        <v/>
      </c>
      <c r="M6">
        <f>L6*(1+(Inputs!$B$9+Summary!$B$64)/100)</f>
        <v/>
      </c>
      <c r="N6">
        <f>L6*(1-MIN((Inputs!$B$8+Summary!$B$58),100)/100)+M6*(MIN((Inputs!$B$8+Summary!$B$58),100)/100)</f>
        <v/>
      </c>
      <c r="O6">
        <f>IF(C6,H6*N6*IF(AND(Inputs!$B$4&lt;&gt;"pvp",Inputs!$B$35&gt;0),((Skills!G6*((R6-1)*IF(Skills!H6&gt;0,Skills!I6/Skills!H6,1)+IF(Skills!H6&gt;0,MIN(Skills!I6,MAX(0,Inputs!$B$35-((R6-1)*IF(Inputs!$B$4="pvp",15,MAX(0.1,Skills!D6-IF(Skills!E6=TRUE,Inputs!$B$31,0))))))/Skills!H6,1)))/Inputs!$B$35),G6*Q6)*IF(Inputs!$B$4="pvp",1,(1-Summary!$B$55)*(1)+Summary!$B$55*(MIN(Skills!R6,Inputs!$B$37))),0)</f>
        <v/>
      </c>
      <c r="P6">
        <f>IF(Summary!$B$3=0,0,O6/Summary!$B$3)</f>
        <v/>
      </c>
      <c r="Q6">
        <f>IFERROR(1/IF(Inputs!$B$4="pvp",15,MAX(0.1,Skills!D6-IF(Skills!E6=TRUE,Inputs!$B$31,0))),0)</f>
        <v/>
      </c>
      <c r="R6">
        <f>IF(AND(Inputs!$B$4&lt;&gt;"pvp",Inputs!$B$35&gt;0),(INT(Inputs!$B$35/IF(Inputs!$B$4="pvp",15,MAX(0.1,Skills!D6-IF(Skills!E6=TRUE,Inputs!$B$31,0))))+1),0)</f>
        <v/>
      </c>
      <c r="S6">
        <f>IFERROR(O6/N6,0)</f>
        <v/>
      </c>
    </row>
    <row r="7">
      <c r="A7">
        <f>Skills!A7</f>
        <v/>
      </c>
      <c r="B7">
        <f>Skills!B7</f>
        <v/>
      </c>
      <c r="C7">
        <f>Inputs!$B$3&gt;=66</f>
        <v/>
      </c>
      <c r="D7">
        <f>IF(Skills!C7=1,60+Inputs!$B$24+Inputs!$B$28,IF(Skills!C7=2,90+Inputs!$B$25+Inputs!$B$28,IF(Skills!C7=3,120+Inputs!$B$26+Inputs!$B$28,MAX(0,(Inputs!$B$3-100)*3)+Inputs!$B$27+Inputs!$B$28)))</f>
        <v/>
      </c>
      <c r="E7">
        <f>INDEX(FactorTable!$B$2:$Y$301, MATCH(ROUND(MIN(300,MAX(1,D7)),0), FactorTable!$A$2:$A$301,0), Skills!M7+1)</f>
        <v/>
      </c>
      <c r="F7">
        <f>IF(Skills!N7=TRUE,(Skills!L7/10)*(E7/1000),Skills!L7/10)+Skills!O7</f>
        <v/>
      </c>
      <c r="G7">
        <f>Skills!G7*IF(Skills!H7&gt;0,Skills!I7/Skills!H7,1)</f>
        <v/>
      </c>
      <c r="H7">
        <f>1-(1-Skills!J7/100)^Skills!K7</f>
        <v/>
      </c>
      <c r="I7" t="inlineStr">
        <is>
          <t>1</t>
        </is>
      </c>
      <c r="J7">
        <f>Summary!$B$50*(F7/100)</f>
        <v/>
      </c>
      <c r="K7">
        <f>J7*(1+Summary!$B$51/100)*(1+Inputs!$B$14/100)*(1+IF(Inputs!$B$4="pvp",0,(1-Summary!$B$55)*(Inputs!$B$19+Skills!P7+Summary!$B$59)+Summary!$B$55*(Inputs!$B$20+Skills!Q7+Summary!$B$59))/100)*(1+Inputs!$B$15/100)*(5000/(6000+Inputs!$B$7*(1-Inputs!$B$18/100)))*(1+(Inputs!$B$23+Summary!$B$65)/100)*(1+1.0*IF(C15=TRUE,F15,0)/100)*(1+(IF(Skills!A7="EIGHT_LEGS_EASTON",Inputs!$B$16,Inputs!$B$17))/100)*(Summary!$B$57*I7)</f>
        <v/>
      </c>
      <c r="L7">
        <f>K7*(MIN(Inputs!$B$21,Inputs!$B$22)/100+Inputs!$B$22/100)/2</f>
        <v/>
      </c>
      <c r="M7">
        <f>L7*(1+(Inputs!$B$9+Summary!$B$64)/100)</f>
        <v/>
      </c>
      <c r="N7">
        <f>L7*(1-MIN((Inputs!$B$8+Summary!$B$58),100)/100)+M7*(MIN((Inputs!$B$8+Summary!$B$58),100)/100)</f>
        <v/>
      </c>
      <c r="O7">
        <f>IF(C7,H7*N7*IF(AND(Inputs!$B$4&lt;&gt;"pvp",Inputs!$B$35&gt;0),((Skills!G7*((R7-1)*IF(Skills!H7&gt;0,Skills!I7/Skills!H7,1)+IF(Skills!H7&gt;0,MIN(Skills!I7,MAX(0,Inputs!$B$35-((R7-1)*IF(Inputs!$B$4="pvp",15,MAX(0.1,Skills!D7-IF(Skills!E7=TRUE,Inputs!$B$31,0))))))/Skills!H7,1)))/Inputs!$B$35),G7*Q7)*IF(Inputs!$B$4="pvp",1,(1-Summary!$B$55)*(1)+Summary!$B$55*(MIN(Skills!R7,Inputs!$B$37))),0)</f>
        <v/>
      </c>
      <c r="P7">
        <f>IF(Summary!$B$3=0,0,O7/Summary!$B$3)</f>
        <v/>
      </c>
      <c r="Q7">
        <f>IFERROR(1/IF(Inputs!$B$4="pvp",15,MAX(0.1,Skills!D7-IF(Skills!E7=TRUE,Inputs!$B$31,0))),0)</f>
        <v/>
      </c>
      <c r="R7">
        <f>IF(AND(Inputs!$B$4&lt;&gt;"pvp",Inputs!$B$35&gt;0),(INT(Inputs!$B$35/IF(Inputs!$B$4="pvp",15,MAX(0.1,Skills!D7-IF(Skills!E7=TRUE,Inputs!$B$31,0))))+1),0)</f>
        <v/>
      </c>
      <c r="S7">
        <f>IFERROR(O7/N7,0)</f>
        <v/>
      </c>
    </row>
    <row r="8">
      <c r="A8">
        <f>Skills!A8</f>
        <v/>
      </c>
      <c r="B8">
        <f>Skills!B8</f>
        <v/>
      </c>
      <c r="C8">
        <f>Inputs!$B$3&gt;=100</f>
        <v/>
      </c>
      <c r="D8">
        <f>IF(Skills!C8=1,60+Inputs!$B$24+Inputs!$B$28,IF(Skills!C8=2,90+Inputs!$B$25+Inputs!$B$28,IF(Skills!C8=3,120+Inputs!$B$26+Inputs!$B$28,MAX(0,(Inputs!$B$3-100)*3)+Inputs!$B$27+Inputs!$B$28)))</f>
        <v/>
      </c>
      <c r="E8">
        <f>INDEX(FactorTable!$B$2:$Y$301, MATCH(ROUND(MIN(300,MAX(1,D8)),0), FactorTable!$A$2:$A$301,0), Skills!M8+1)</f>
        <v/>
      </c>
      <c r="F8">
        <f>IF(Skills!N8=TRUE,(Skills!L8/10)*(E8/1000),Skills!L8/10)+Skills!O8</f>
        <v/>
      </c>
      <c r="G8">
        <f>Skills!G8*IF(Skills!H8&gt;0,Skills!I8/Skills!H8,1)</f>
        <v/>
      </c>
      <c r="H8">
        <f>1-(1-Skills!J8/100)^Skills!K8</f>
        <v/>
      </c>
      <c r="I8" t="inlineStr">
        <is>
          <t>1</t>
        </is>
      </c>
      <c r="J8">
        <f>Summary!$B$50*(F8/100)</f>
        <v/>
      </c>
      <c r="K8">
        <f>J8*(1+Summary!$B$51/100)*(1+Inputs!$B$14/100)*(1+IF(Inputs!$B$4="pvp",0,(1-Summary!$B$55)*(Inputs!$B$19+Skills!P8+Summary!$B$59)+Summary!$B$55*(Inputs!$B$20+Skills!Q8+Summary!$B$59))/100)*(1+Inputs!$B$15/100)*(5000/(6000+Inputs!$B$7*(1-Inputs!$B$18/100)))*(1+(Inputs!$B$23+Summary!$B$65)/100)*(1+(IF(Skills!A8="EIGHT_LEGS_EASTON",Inputs!$B$16,Inputs!$B$17))/100)*(Summary!$B$57*I8)</f>
        <v/>
      </c>
      <c r="L8">
        <f>K8*(MIN(Inputs!$B$21,Inputs!$B$22)/100+Inputs!$B$22/100)/2</f>
        <v/>
      </c>
      <c r="M8">
        <f>L8*(1+(Inputs!$B$9+Summary!$B$64)/100)</f>
        <v/>
      </c>
      <c r="N8">
        <f>L8*(1-MIN((Inputs!$B$8+Summary!$B$58),100)/100)+M8*(MIN((Inputs!$B$8+Summary!$B$58),100)/100)</f>
        <v/>
      </c>
      <c r="O8">
        <f>IF(C8,H8*N8*IF(AND(Inputs!$B$4&lt;&gt;"pvp",Inputs!$B$35&gt;0),((Skills!G8*((R8-1)*IF(Skills!H8&gt;0,Skills!I8/Skills!H8,1)+IF(Skills!H8&gt;0,MIN(Skills!I8,MAX(0,Inputs!$B$35-((R8-1)*IF(Inputs!$B$4="pvp",15,MAX(0.1,Skills!D8-IF(Skills!E8=TRUE,Inputs!$B$31,0))))))/Skills!H8,1)))/Inputs!$B$35),G8*Q8)*IF(Inputs!$B$4="pvp",1,(1-Summary!$B$55)*(1)+Summary!$B$55*(MIN(Skills!R8,Inputs!$B$37))),0)</f>
        <v/>
      </c>
      <c r="P8">
        <f>IF(Summary!$B$3=0,0,O8/Summary!$B$3)</f>
        <v/>
      </c>
      <c r="Q8">
        <f>IFERROR(1/IF(Inputs!$B$4="pvp",15,MAX(0.1,Skills!D8-IF(Skills!E8=TRUE,Inputs!$B$31,0))),0)</f>
        <v/>
      </c>
      <c r="R8">
        <f>IF(AND(Inputs!$B$4&lt;&gt;"pvp",Inputs!$B$35&gt;0),(INT(Inputs!$B$35/IF(Inputs!$B$4="pvp",15,MAX(0.1,Skills!D8-IF(Skills!E8=TRUE,Inputs!$B$31,0))))+1),0)</f>
        <v/>
      </c>
      <c r="S8">
        <f>IFERROR(O8/N8,0)</f>
        <v/>
      </c>
    </row>
    <row r="9">
      <c r="A9">
        <f>Skills!A9</f>
        <v/>
      </c>
      <c r="B9">
        <f>Skills!B9</f>
        <v/>
      </c>
      <c r="C9">
        <f>Inputs!$B$3&gt;=103</f>
        <v/>
      </c>
      <c r="D9">
        <f>IF(Skills!C9=1,60+Inputs!$B$24+Inputs!$B$28,IF(Skills!C9=2,90+Inputs!$B$25+Inputs!$B$28,IF(Skills!C9=3,120+Inputs!$B$26+Inputs!$B$28,MAX(0,(Inputs!$B$3-100)*3)+Inputs!$B$27+Inputs!$B$28)))</f>
        <v/>
      </c>
      <c r="E9">
        <f>INDEX(FactorTable!$B$2:$Y$301, MATCH(ROUND(MIN(300,MAX(1,D9)),0), FactorTable!$A$2:$A$301,0), Skills!M9+1)</f>
        <v/>
      </c>
      <c r="F9">
        <f>IF(Skills!N9=TRUE,(Skills!L9/10)*(E9/1000),Skills!L9/10)+Skills!O9</f>
        <v/>
      </c>
      <c r="G9">
        <f>Skills!G9*IF(Skills!H9&gt;0,Skills!I9/Skills!H9,1)</f>
        <v/>
      </c>
      <c r="H9">
        <f>1-(1-Skills!J9/100)^Skills!K9</f>
        <v/>
      </c>
      <c r="I9" t="inlineStr">
        <is>
          <t>1</t>
        </is>
      </c>
      <c r="J9">
        <f>Summary!$B$50*(F9/100)</f>
        <v/>
      </c>
      <c r="K9">
        <f>J9*(1+Summary!$B$51/100)*(1+Inputs!$B$14/100)*(1+IF(Inputs!$B$4="pvp",0,(1-Summary!$B$55)*(Inputs!$B$19+Skills!P9+Summary!$B$59)+Summary!$B$55*(Inputs!$B$20+Skills!Q9+Summary!$B$59))/100)*(1+Inputs!$B$15/100)*(5000/(6000+Inputs!$B$7*(1-Inputs!$B$18/100)))*(1+(Inputs!$B$23+Summary!$B$65)/100)*(1+(IF(Skills!A9="EIGHT_LEGS_EASTON",Inputs!$B$16,Inputs!$B$17))/100)*(Summary!$B$57*I9)</f>
        <v/>
      </c>
      <c r="L9">
        <f>K9*(MIN(Inputs!$B$21,Inputs!$B$22)/100+Inputs!$B$22/100)/2</f>
        <v/>
      </c>
      <c r="M9">
        <f>L9*(1+(Inputs!$B$9+Summary!$B$64)/100)</f>
        <v/>
      </c>
      <c r="N9">
        <f>L9*(1-MIN((Inputs!$B$8+Summary!$B$58),100)/100)+M9*(MIN((Inputs!$B$8+Summary!$B$58),100)/100)</f>
        <v/>
      </c>
      <c r="O9">
        <f>IF(C9,H9*N9*IF(AND(Inputs!$B$4&lt;&gt;"pvp",Inputs!$B$35&gt;0),((Skills!G9*((R9-1)*IF(Skills!H9&gt;0,Skills!I9/Skills!H9,1)+IF(Skills!H9&gt;0,MIN(Skills!I9,MAX(0,Inputs!$B$35-((R9-1)*IF(Inputs!$B$4="pvp",15,MAX(0.1,Skills!D9-IF(Skills!E9=TRUE,Inputs!$B$31,0))))))/Skills!H9,1)))/Inputs!$B$35),G9*Q9)*IF(Inputs!$B$4="pvp",1,(1-Summary!$B$55)*(1)+Summary!$B$55*(MIN(Skills!R9,Inputs!$B$37))),0)</f>
        <v/>
      </c>
      <c r="P9">
        <f>IF(Summary!$B$3=0,0,O9/Summary!$B$3)</f>
        <v/>
      </c>
      <c r="Q9">
        <f>IFERROR(1/IF(Inputs!$B$4="pvp",15,MAX(0.1,Skills!D9-IF(Skills!E9=TRUE,Inputs!$B$31,0))),0)</f>
        <v/>
      </c>
      <c r="R9">
        <f>IF(AND(Inputs!$B$4&lt;&gt;"pvp",Inputs!$B$35&gt;0),(INT(Inputs!$B$35/IF(Inputs!$B$4="pvp",15,MAX(0.1,Skills!D9-IF(Skills!E9=TRUE,Inputs!$B$31,0))))+1),0)</f>
        <v/>
      </c>
      <c r="S9">
        <f>IFERROR(O9/N9,0)</f>
        <v/>
      </c>
    </row>
    <row r="10">
      <c r="A10">
        <f>Skills!A10</f>
        <v/>
      </c>
      <c r="B10">
        <f>Skills!B10</f>
        <v/>
      </c>
      <c r="C10">
        <f>Inputs!$B$3&gt;=113</f>
        <v/>
      </c>
      <c r="D10">
        <f>IF(Skills!C10=1,60+Inputs!$B$24+Inputs!$B$28,IF(Skills!C10=2,90+Inputs!$B$25+Inputs!$B$28,IF(Skills!C10=3,120+Inputs!$B$26+Inputs!$B$28,MAX(0,(Inputs!$B$3-100)*3)+Inputs!$B$27+Inputs!$B$28)))</f>
        <v/>
      </c>
      <c r="E10">
        <f>INDEX(FactorTable!$B$2:$Y$301, MATCH(ROUND(MIN(300,MAX(1,D10)),0), FactorTable!$A$2:$A$301,0), Skills!M10+1)</f>
        <v/>
      </c>
      <c r="F10">
        <f>IF(Skills!N10=TRUE,(Skills!L10/10)*(E10/1000),Skills!L10/10)+Skills!O10</f>
        <v/>
      </c>
      <c r="G10">
        <f>Skills!G10*IF(Skills!H10&gt;0,Skills!I10/Skills!H10,1)</f>
        <v/>
      </c>
      <c r="H10">
        <f>1-(1-Skills!J10/100)^Skills!K10</f>
        <v/>
      </c>
      <c r="I10" t="inlineStr">
        <is>
          <t>1</t>
        </is>
      </c>
      <c r="J10">
        <f>Summary!$B$50*(F10/100)</f>
        <v/>
      </c>
      <c r="K10">
        <f>J10*(1+Summary!$B$51/100)*(1+Inputs!$B$14/100)*(1+IF(Inputs!$B$4="pvp",0,(1-Summary!$B$55)*(Inputs!$B$19+Skills!P10+Summary!$B$59)+Summary!$B$55*(Inputs!$B$20+Skills!Q10+Summary!$B$59))/100)*(1+Inputs!$B$15/100)*(5000/(6000+Inputs!$B$7*(1-Inputs!$B$18/100)))*(1+(Inputs!$B$23+Summary!$B$65)/100)*(1+(IF(Skills!A10="EIGHT_LEGS_EASTON",Inputs!$B$16,Inputs!$B$17))/100)*(Summary!$B$57*I10)</f>
        <v/>
      </c>
      <c r="L10">
        <f>K10*(MIN(Inputs!$B$21,Inputs!$B$22)/100+Inputs!$B$22/100)/2</f>
        <v/>
      </c>
      <c r="M10">
        <f>L10*(1+(Inputs!$B$9+Summary!$B$64)/100)</f>
        <v/>
      </c>
      <c r="N10">
        <f>L10*(1-MIN((Inputs!$B$8+Summary!$B$58),100)/100)+M10*(MIN((Inputs!$B$8+Summary!$B$58),100)/100)</f>
        <v/>
      </c>
      <c r="O10">
        <f>IF(C10,H10*N10*IF(AND(Inputs!$B$4&lt;&gt;"pvp",Inputs!$B$35&gt;0),((Skills!G10*((R10-1)*IF(Skills!H10&gt;0,Skills!I10/Skills!H10,1)+IF(Skills!H10&gt;0,MIN(Skills!I10,MAX(0,Inputs!$B$35-((R10-1)*IF(Inputs!$B$4="pvp",15,MAX(0.1,Skills!D10-IF(Skills!E10=TRUE,Inputs!$B$31,0))))))/Skills!H10,1)))/Inputs!$B$35),G10*Q10)*IF(Inputs!$B$4="pvp",1,(1-Summary!$B$55)*(1)+Summary!$B$55*(MIN(Skills!R10,Inputs!$B$37))),0)</f>
        <v/>
      </c>
      <c r="P10">
        <f>IF(Summary!$B$3=0,0,O10/Summary!$B$3)</f>
        <v/>
      </c>
      <c r="Q10">
        <f>IFERROR(1/IF(Inputs!$B$4="pvp",15,MAX(0.1,Skills!D10-IF(Skills!E10=TRUE,Inputs!$B$31,0))),0)</f>
        <v/>
      </c>
      <c r="R10">
        <f>IF(AND(Inputs!$B$4&lt;&gt;"pvp",Inputs!$B$35&gt;0),(INT(Inputs!$B$35/IF(Inputs!$B$4="pvp",15,MAX(0.1,Skills!D10-IF(Skills!E10=TRUE,Inputs!$B$31,0))))+1),0)</f>
        <v/>
      </c>
      <c r="S10">
        <f>IFERROR(O10/N10,0)</f>
        <v/>
      </c>
    </row>
    <row r="11">
      <c r="A11">
        <f>Skills!A11</f>
        <v/>
      </c>
      <c r="B11">
        <f>Skills!B11</f>
        <v/>
      </c>
      <c r="C11">
        <f>Inputs!$B$3&gt;=107</f>
        <v/>
      </c>
      <c r="D11">
        <f>IF(Skills!C11=1,60+Inputs!$B$24+Inputs!$B$28,IF(Skills!C11=2,90+Inputs!$B$25+Inputs!$B$28,IF(Skills!C11=3,120+Inputs!$B$26+Inputs!$B$28,MAX(0,(Inputs!$B$3-100)*3)+Inputs!$B$27+Inputs!$B$28)))</f>
        <v/>
      </c>
      <c r="E11">
        <f>INDEX(FactorTable!$B$2:$Y$301, MATCH(ROUND(MIN(300,MAX(1,D11)),0), FactorTable!$A$2:$A$301,0), Skills!M11+1)</f>
        <v/>
      </c>
      <c r="F11">
        <f>IF(Skills!N11=TRUE,(Skills!L11/10)*(E11/1000),Skills!L11/10)+Skills!O11</f>
        <v/>
      </c>
      <c r="G11">
        <f>Skills!G11*IF(Skills!H11&gt;0,Skills!I11/Skills!H11,1)</f>
        <v/>
      </c>
      <c r="H11">
        <f>1-(1-Skills!J11/100)^Skills!K11</f>
        <v/>
      </c>
      <c r="I11" t="inlineStr">
        <is>
          <t>1</t>
        </is>
      </c>
      <c r="J11">
        <f>Summary!$B$50*(F11/100)</f>
        <v/>
      </c>
      <c r="K11">
        <f>J11*(1+Summary!$B$51/100)*(1+Inputs!$B$14/100)*(1+IF(Inputs!$B$4="pvp",0,(1-Summary!$B$55)*(Inputs!$B$19+Skills!P11+Summary!$B$59)+Summary!$B$55*(Inputs!$B$20+Skills!Q11+Summary!$B$59))/100)*(1+Inputs!$B$15/100)*(5000/(6000+Inputs!$B$7*(1-Inputs!$B$18/100)))*(1+(Inputs!$B$23+Summary!$B$65)/100)*(1+(IF(Skills!A11="EIGHT_LEGS_EASTON",Inputs!$B$16,Inputs!$B$17))/100)*(Summary!$B$57*I11)</f>
        <v/>
      </c>
      <c r="L11">
        <f>K11*(MIN(Inputs!$B$21,Inputs!$B$22)/100+Inputs!$B$22/100)/2</f>
        <v/>
      </c>
      <c r="M11">
        <f>L11*(1+(Inputs!$B$9+Summary!$B$64)/100)</f>
        <v/>
      </c>
      <c r="N11">
        <f>L11*(1-MIN((Inputs!$B$8+Summary!$B$58),100)/100)+M11*(MIN((Inputs!$B$8+Summary!$B$58),100)/100)</f>
        <v/>
      </c>
      <c r="O11">
        <f>IF(C11,H11*N11*IF(AND(Inputs!$B$4&lt;&gt;"pvp",Inputs!$B$35&gt;0),((Skills!G11*((R11-1)*IF(Skills!H11&gt;0,Skills!I11/Skills!H11,1)+IF(Skills!H11&gt;0,MIN(Skills!I11,MAX(0,Inputs!$B$35-((R11-1)*IF(Inputs!$B$4="pvp",15,MAX(0.1,Skills!D11-IF(Skills!E11=TRUE,Inputs!$B$31,0))))))/Skills!H11,1)))/Inputs!$B$35),G11*Q11)*IF(Inputs!$B$4="pvp",1,(1-Summary!$B$55)*(1)+Summary!$B$55*(MIN(Skills!R11,Inputs!$B$37))),0)</f>
        <v/>
      </c>
      <c r="P11">
        <f>IF(Summary!$B$3=0,0,O11/Summary!$B$3)</f>
        <v/>
      </c>
      <c r="Q11">
        <f>IFERROR(1/IF(Inputs!$B$4="pvp",15,MAX(0.1,Skills!D11-IF(Skills!E11=TRUE,Inputs!$B$31,0))),0)</f>
        <v/>
      </c>
      <c r="R11">
        <f>IF(AND(Inputs!$B$4&lt;&gt;"pvp",Inputs!$B$35&gt;0),(INT(Inputs!$B$35/IF(Inputs!$B$4="pvp",15,MAX(0.1,Skills!D11-IF(Skills!E11=TRUE,Inputs!$B$31,0))))+1),0)</f>
        <v/>
      </c>
      <c r="S11">
        <f>IFERROR(O11/N11,0)</f>
        <v/>
      </c>
    </row>
    <row r="12">
      <c r="A12">
        <f>Skills!A12</f>
        <v/>
      </c>
      <c r="B12">
        <f>Skills!B12</f>
        <v/>
      </c>
      <c r="C12">
        <f>Inputs!$B$3&gt;=110</f>
        <v/>
      </c>
      <c r="D12">
        <f>IF(Skills!C12=1,60+Inputs!$B$24+Inputs!$B$28,IF(Skills!C12=2,90+Inputs!$B$25+Inputs!$B$28,IF(Skills!C12=3,120+Inputs!$B$26+Inputs!$B$28,MAX(0,(Inputs!$B$3-100)*3)+Inputs!$B$27+Inputs!$B$28)))</f>
        <v/>
      </c>
      <c r="E12">
        <f>INDEX(FactorTable!$B$2:$Y$301, MATCH(ROUND(MIN(300,MAX(1,D12)),0), FactorTable!$A$2:$A$301,0), Skills!M12+1)</f>
        <v/>
      </c>
      <c r="F12">
        <f>IF(Skills!N12=TRUE,(Skills!L12/10)*(E12/1000),Skills!L12/10)+Skills!O12</f>
        <v/>
      </c>
      <c r="G12">
        <f>Skills!G12*IF(Skills!H12&gt;0,Skills!I12/Skills!H12,1)</f>
        <v/>
      </c>
      <c r="H12">
        <f>1-(1-Skills!J12/100)^Skills!K12</f>
        <v/>
      </c>
      <c r="I12" t="inlineStr">
        <is>
          <t>1</t>
        </is>
      </c>
      <c r="J12">
        <f>Summary!$B$50*(F12/100)</f>
        <v/>
      </c>
      <c r="K12">
        <f>J12*(1+Summary!$B$51/100)*(1+Inputs!$B$14/100)*(1+IF(Inputs!$B$4="pvp",0,(1-Summary!$B$55)*(Inputs!$B$19+Skills!P12+Summary!$B$59)+Summary!$B$55*(Inputs!$B$20+Skills!Q12+Summary!$B$59))/100)*(1+Inputs!$B$15/100)*(5000/(6000+Inputs!$B$7*(1-Inputs!$B$18/100)))*(1+(Inputs!$B$23+Summary!$B$65)/100)*(1+(IF(Skills!A12="EIGHT_LEGS_EASTON",Inputs!$B$16,Inputs!$B$17))/100)*(Summary!$B$57*I12)</f>
        <v/>
      </c>
      <c r="L12">
        <f>K12*(MIN(Inputs!$B$21,Inputs!$B$22)/100+Inputs!$B$22/100)/2</f>
        <v/>
      </c>
      <c r="M12">
        <f>L12*(1+(Inputs!$B$9+Summary!$B$64)/100)</f>
        <v/>
      </c>
      <c r="N12">
        <f>L12*(1-MIN((Inputs!$B$8+Summary!$B$58),100)/100)+M12*(MIN((Inputs!$B$8+Summary!$B$58),100)/100)</f>
        <v/>
      </c>
      <c r="O12">
        <f>IF(C12,H12*N12*IF(AND(Inputs!$B$4&lt;&gt;"pvp",Inputs!$B$35&gt;0),((Skills!G12*((R12-1)*IF(Skills!H12&gt;0,Skills!I12/Skills!H12,1)+IF(Skills!H12&gt;0,MIN(Skills!I12,MAX(0,Inputs!$B$35-((R12-1)*IF(Inputs!$B$4="pvp",15,MAX(0.1,Skills!D12-IF(Skills!E12=TRUE,Inputs!$B$31,0))))))/Skills!H12,1)))/Inputs!$B$35),G12*Q12)*IF(Inputs!$B$4="pvp",1,(1-Summary!$B$55)*(1)+Summary!$B$55*(MIN(Skills!R12,Inputs!$B$37))),0)</f>
        <v/>
      </c>
      <c r="P12">
        <f>IF(Summary!$B$3=0,0,O12/Summary!$B$3)</f>
        <v/>
      </c>
      <c r="Q12">
        <f>IFERROR(1/IF(Inputs!$B$4="pvp",15,MAX(0.1,Skills!D12-IF(Skills!E12=TRUE,Inputs!$B$31,0))),0)</f>
        <v/>
      </c>
      <c r="R12">
        <f>IF(AND(Inputs!$B$4&lt;&gt;"pvp",Inputs!$B$35&gt;0),(INT(Inputs!$B$35/IF(Inputs!$B$4="pvp",15,MAX(0.1,Skills!D12-IF(Skills!E12=TRUE,Inputs!$B$31,0))))+1),0)</f>
        <v/>
      </c>
      <c r="S12">
        <f>IFERROR(O12/N12,0)</f>
        <v/>
      </c>
    </row>
    <row r="13">
      <c r="A13">
        <f>Skills!A13</f>
        <v/>
      </c>
      <c r="B13">
        <f>Skills!B13</f>
        <v/>
      </c>
      <c r="C13">
        <f>Inputs!$B$3&gt;=110</f>
        <v/>
      </c>
      <c r="D13">
        <f>IF(Skills!C13=1,60+Inputs!$B$24+Inputs!$B$28,IF(Skills!C13=2,90+Inputs!$B$25+Inputs!$B$28,IF(Skills!C13=3,120+Inputs!$B$26+Inputs!$B$28,MAX(0,(Inputs!$B$3-100)*3)+Inputs!$B$27+Inputs!$B$28)))</f>
        <v/>
      </c>
      <c r="E13">
        <f>INDEX(FactorTable!$B$2:$Y$301, MATCH(ROUND(MIN(300,MAX(1,D13)),0), FactorTable!$A$2:$A$301,0), Skills!M13+1)</f>
        <v/>
      </c>
      <c r="F13">
        <f>IF(Skills!N13=TRUE,(Skills!L13/10)*(E13/1000),Skills!L13/10)+Skills!O13</f>
        <v/>
      </c>
      <c r="G13">
        <f>Skills!G13*IF(Skills!H13&gt;0,Skills!I13/Skills!H13,1)</f>
        <v/>
      </c>
      <c r="H13">
        <f>1-(1-Skills!J13/100)^Skills!K13</f>
        <v/>
      </c>
      <c r="I13" t="inlineStr">
        <is>
          <t>1</t>
        </is>
      </c>
      <c r="J13">
        <f>Summary!$B$50*(F13/100)</f>
        <v/>
      </c>
      <c r="K13">
        <f>J13*(1+Summary!$B$51/100)*(1+Inputs!$B$14/100)*(1+IF(Inputs!$B$4="pvp",0,(1-Summary!$B$55)*(Inputs!$B$19+Skills!P13+Summary!$B$59)+Summary!$B$55*(Inputs!$B$20+Skills!Q13+Summary!$B$59))/100)*(1+Inputs!$B$15/100)*(5000/(6000+Inputs!$B$7*(1-Inputs!$B$18/100)))*(1+(Inputs!$B$23+Summary!$B$65)/100)*(1+(IF(Skills!A13="EIGHT_LEGS_EASTON",Inputs!$B$16,Inputs!$B$17))/100)*(Summary!$B$57*I13)</f>
        <v/>
      </c>
      <c r="L13">
        <f>K13*(MIN(Inputs!$B$21,Inputs!$B$22)/100+Inputs!$B$22/100)/2</f>
        <v/>
      </c>
      <c r="M13">
        <f>L13*(1+(Inputs!$B$9+Summary!$B$64)/100)</f>
        <v/>
      </c>
      <c r="N13">
        <f>L13*(1-MIN((Inputs!$B$8+Summary!$B$58),100)/100)+M13*(MIN((Inputs!$B$8+Summary!$B$58),100)/100)</f>
        <v/>
      </c>
      <c r="O13">
        <f>IF(C13,H13*N13*IF(AND(Inputs!$B$4&lt;&gt;"pvp",Inputs!$B$35&gt;0),((Skills!G13*((R13-1)*IF(Skills!H13&gt;0,Skills!I13/Skills!H13,1)+IF(Skills!H13&gt;0,MIN(Skills!I13,MAX(0,Inputs!$B$35-((R13-1)*IF(Inputs!$B$4="pvp",15,MAX(0.1,Skills!D13-IF(Skills!E13=TRUE,Inputs!$B$31,0))))))/Skills!H13,1)))/Inputs!$B$35),G13*Q13)*IF(Inputs!$B$4="pvp",1,(1-Summary!$B$55)*(1)+Summary!$B$55*(MIN(Skills!R13,Inputs!$B$37))),0)</f>
        <v/>
      </c>
      <c r="P13">
        <f>IF(Summary!$B$3=0,0,O13/Summary!$B$3)</f>
        <v/>
      </c>
      <c r="Q13">
        <f>IFERROR(1/IF(Inputs!$B$4="pvp",15,MAX(0.1,Skills!D13-IF(Skills!E13=TRUE,Inputs!$B$31,0))),0)</f>
        <v/>
      </c>
      <c r="R13">
        <f>IF(AND(Inputs!$B$4&lt;&gt;"pvp",Inputs!$B$35&gt;0),(INT(Inputs!$B$35/IF(Inputs!$B$4="pvp",15,MAX(0.1,Skills!D13-IF(Skills!E13=TRUE,Inputs!$B$31,0))))+1),0)</f>
        <v/>
      </c>
      <c r="S13">
        <f>IFERROR(O13/N13,0)</f>
        <v/>
      </c>
    </row>
    <row r="14">
      <c r="A14">
        <f>Skills!A14</f>
        <v/>
      </c>
      <c r="B14">
        <f>Skills!B14</f>
        <v/>
      </c>
      <c r="C14">
        <f>Inputs!$B$3&gt;=125</f>
        <v/>
      </c>
      <c r="D14">
        <f>IF(Skills!C14=1,60+Inputs!$B$24+Inputs!$B$28,IF(Skills!C14=2,90+Inputs!$B$25+Inputs!$B$28,IF(Skills!C14=3,120+Inputs!$B$26+Inputs!$B$28,MAX(0,(Inputs!$B$3-100)*3)+Inputs!$B$27+Inputs!$B$28)))</f>
        <v/>
      </c>
      <c r="E14">
        <f>INDEX(FactorTable!$B$2:$Y$301, MATCH(ROUND(MIN(300,MAX(1,D14)),0), FactorTable!$A$2:$A$301,0), Skills!M14+1)</f>
        <v/>
      </c>
      <c r="F14">
        <f>IF(Skills!N14=TRUE,(Skills!L14/10)*(E14/1000),Skills!L14/10)+Skills!O14</f>
        <v/>
      </c>
      <c r="G14">
        <f>Skills!G14*IF(Skills!H14&gt;0,Skills!I14/Skills!H14,1)</f>
        <v/>
      </c>
      <c r="H14">
        <f>1-(1-Skills!J14/100)^Skills!K14</f>
        <v/>
      </c>
      <c r="I14" t="inlineStr">
        <is>
          <t>1</t>
        </is>
      </c>
      <c r="J14">
        <f>Summary!$B$50*(F14/100)</f>
        <v/>
      </c>
      <c r="K14">
        <f>J14*(1+Summary!$B$51/100)*(1+Inputs!$B$14/100)*(1+IF(Inputs!$B$4="pvp",0,(1-Summary!$B$55)*(Inputs!$B$19+Skills!P14+Summary!$B$59)+Summary!$B$55*(Inputs!$B$20+Skills!Q14+Summary!$B$59))/100)*(1+Inputs!$B$15/100)*(5000/(6000+Inputs!$B$7*(1-Inputs!$B$18/100)))*(1+(Inputs!$B$23+Summary!$B$65)/100)*(1+(IF(Skills!A14="EIGHT_LEGS_EASTON",Inputs!$B$16,Inputs!$B$17))/100)*(Summary!$B$57*I14)</f>
        <v/>
      </c>
      <c r="L14">
        <f>K14*(MIN(Inputs!$B$21,Inputs!$B$22)/100+Inputs!$B$22/100)/2</f>
        <v/>
      </c>
      <c r="M14">
        <f>L14*(1+(Inputs!$B$9+Summary!$B$64)/100)</f>
        <v/>
      </c>
      <c r="N14">
        <f>L14*(1-MIN((Inputs!$B$8+Summary!$B$58),100)/100)+M14*(MIN((Inputs!$B$8+Summary!$B$58),100)/100)</f>
        <v/>
      </c>
      <c r="O14">
        <f>IF(C14,H14*N14*(Summary!$B$63+IF(AND(Inputs!$B$4&lt;&gt;"pvp",Inputs!$B$35&gt;0),((Skills!G8*((R8-1)*IF(Skills!H8&gt;0,Skills!I8/Skills!H8,1)+IF(Skills!H8&gt;0,MIN(Skills!I8,MAX(0,Inputs!$B$35-((R8-1)*IF(Inputs!$B$4="pvp",15,MAX(0.1,Skills!D8-IF(Skills!E8=TRUE,Inputs!$B$31,0))))))/Skills!H8,1)))/Inputs!$B$35),G8*Q8)+IF(AND(Inputs!$B$4&lt;&gt;"pvp",Inputs!$B$35&gt;0),((Skills!G11*((R11-1)*IF(Skills!H11&gt;0,Skills!I11/Skills!H11,1)+IF(Skills!H11&gt;0,MIN(Skills!I11,MAX(0,Inputs!$B$35-((R11-1)*IF(Inputs!$B$4="pvp",15,MAX(0.1,Skills!D11-IF(Skills!E11=TRUE,Inputs!$B$31,0))))))/Skills!H11,1)))/Inputs!$B$35),G11*Q11))*IF(Inputs!$B$4="pvp",1,(1-Summary!$B$55)*(1)+Summary!$B$55*(MIN(Skills!R14,Inputs!$B$37))),0)</f>
        <v/>
      </c>
      <c r="P14">
        <f>IF(Summary!$B$3=0,0,O14/Summary!$B$3)</f>
        <v/>
      </c>
      <c r="Q14" t="n">
        <v>0</v>
      </c>
      <c r="R14" t="n">
        <v>0</v>
      </c>
      <c r="S14">
        <f>IFERROR(O14/N14,0)</f>
        <v/>
      </c>
    </row>
    <row r="15">
      <c r="A15">
        <f>Skills!A15</f>
        <v/>
      </c>
      <c r="B15">
        <f>Skills!B15</f>
        <v/>
      </c>
      <c r="C15">
        <f>Inputs!$B$3&gt;=100</f>
        <v/>
      </c>
      <c r="D15">
        <f>IF(Skills!C15=1,60+Inputs!$B$24+Inputs!$B$28,IF(Skills!C15=2,90+Inputs!$B$25+Inputs!$B$28,IF(Skills!C15=3,120+Inputs!$B$26+Inputs!$B$28,MAX(0,(Inputs!$B$3-100)*3)+Inputs!$B$27+Inputs!$B$28)))</f>
        <v/>
      </c>
      <c r="E15">
        <f>INDEX(FactorTable!$B$2:$Y$301, MATCH(ROUND(MIN(300,MAX(1,D15)),0), FactorTable!$A$2:$A$301,0), Skills!M15+1)</f>
        <v/>
      </c>
      <c r="F15">
        <f>IF(Skills!N15=TRUE,(Skills!L15/10)*(E15/1000),Skills!L15/10)+Skills!O15</f>
        <v/>
      </c>
      <c r="G15" t="inlineStr"/>
      <c r="H15" t="inlineStr"/>
      <c r="I15" t="inlineStr">
        <is>
          <t>1</t>
        </is>
      </c>
      <c r="J15" t="inlineStr"/>
      <c r="K15" t="inlineStr"/>
      <c r="L15" t="inlineStr"/>
      <c r="M15" t="inlineStr"/>
      <c r="N15" t="inlineStr"/>
      <c r="O15" t="inlineStr"/>
      <c r="P15" t="inlineStr"/>
      <c r="Q15" t="inlineStr"/>
      <c r="R15" t="inlineStr"/>
      <c r="S15" t="inlineStr"/>
    </row>
    <row r="16">
      <c r="A16">
        <f>Skills!A16</f>
        <v/>
      </c>
      <c r="B16">
        <f>Skills!B16</f>
        <v/>
      </c>
      <c r="C16">
        <f>Inputs!$B$3&gt;=120</f>
        <v/>
      </c>
      <c r="D16">
        <f>IF(Skills!C16=1,60+Inputs!$B$24+Inputs!$B$28,IF(Skills!C16=2,90+Inputs!$B$25+Inputs!$B$28,IF(Skills!C16=3,120+Inputs!$B$26+Inputs!$B$28,MAX(0,(Inputs!$B$3-100)*3)+Inputs!$B$27+Inputs!$B$28)))</f>
        <v/>
      </c>
      <c r="E16">
        <f>INDEX(FactorTable!$B$2:$Y$301, MATCH(ROUND(MIN(300,MAX(1,D16)),0), FactorTable!$A$2:$A$301,0), Skills!M16+1)</f>
        <v/>
      </c>
      <c r="F16">
        <f>IF(Skills!N16=TRUE,(Skills!L16/10)*(E16/1000),Skills!L16/10)+Skills!O16</f>
        <v/>
      </c>
      <c r="G16" t="inlineStr"/>
      <c r="H16" t="inlineStr"/>
      <c r="I16" t="inlineStr">
        <is>
          <t>1</t>
        </is>
      </c>
      <c r="J16" t="inlineStr"/>
      <c r="K16" t="inlineStr"/>
      <c r="L16" t="inlineStr"/>
      <c r="M16" t="inlineStr"/>
      <c r="N16" t="inlineStr"/>
      <c r="O16" t="inlineStr"/>
      <c r="P16" t="inlineStr"/>
      <c r="Q16" t="inlineStr"/>
      <c r="R16" t="inlineStr"/>
      <c r="S16" t="inlineStr"/>
    </row>
    <row r="17">
      <c r="A17">
        <f>Skills!A17</f>
        <v/>
      </c>
      <c r="B17">
        <f>Skills!B17</f>
        <v/>
      </c>
      <c r="C17">
        <f>Inputs!$B$3&gt;=66</f>
        <v/>
      </c>
      <c r="D17">
        <f>IF(Skills!C17=1,60+Inputs!$B$24+Inputs!$B$28,IF(Skills!C17=2,90+Inputs!$B$25+Inputs!$B$28,IF(Skills!C17=3,120+Inputs!$B$26+Inputs!$B$28,MAX(0,(Inputs!$B$3-100)*3)+Inputs!$B$27+Inputs!$B$28)))</f>
        <v/>
      </c>
      <c r="E17">
        <f>INDEX(FactorTable!$B$2:$Y$301, MATCH(ROUND(MIN(300,MAX(1,D17)),0), FactorTable!$A$2:$A$301,0), Skills!M17+1)</f>
        <v/>
      </c>
      <c r="F17">
        <f>IF(Skills!N17=TRUE,(Skills!L17/10)*(E17/1000),Skills!L17/10)+Skills!O17</f>
        <v/>
      </c>
      <c r="G17">
        <f>Skills!G17*IF(Skills!H17&gt;0,Skills!I17/Skills!H17,1)</f>
        <v/>
      </c>
      <c r="H17">
        <f>1-(1-Skills!J17/100)^Skills!K17</f>
        <v/>
      </c>
      <c r="I17" t="inlineStr">
        <is>
          <t>1</t>
        </is>
      </c>
      <c r="J17" t="inlineStr"/>
      <c r="K17" t="inlineStr"/>
      <c r="L17" t="inlineStr"/>
      <c r="M17" t="inlineStr"/>
      <c r="N17" t="inlineStr"/>
      <c r="O17" t="n">
        <v>0</v>
      </c>
      <c r="P17">
        <f>IF(Summary!$B$3=0,0,O17/Summary!$B$3)</f>
        <v/>
      </c>
      <c r="Q17" t="n">
        <v>0</v>
      </c>
      <c r="R17" t="n">
        <v>0</v>
      </c>
      <c r="S17">
        <f>IFERROR(O17/N17,0)</f>
        <v/>
      </c>
    </row>
    <row r="18">
      <c r="A18">
        <f>Skills!A18</f>
        <v/>
      </c>
      <c r="B18">
        <f>Skills!B18</f>
        <v/>
      </c>
      <c r="C18">
        <f>Inputs!$B$3&gt;=115</f>
        <v/>
      </c>
      <c r="D18">
        <f>IF(Skills!C18=1,60+Inputs!$B$24+Inputs!$B$28,IF(Skills!C18=2,90+Inputs!$B$25+Inputs!$B$28,IF(Skills!C18=3,120+Inputs!$B$26+Inputs!$B$28,MAX(0,(Inputs!$B$3-100)*3)+Inputs!$B$27+Inputs!$B$28)))</f>
        <v/>
      </c>
      <c r="E18">
        <f>INDEX(FactorTable!$B$2:$Y$301, MATCH(ROUND(MIN(300,MAX(1,D18)),0), FactorTable!$A$2:$A$301,0), Skills!M18+1)</f>
        <v/>
      </c>
      <c r="F18">
        <f>IF(Skills!N18=TRUE,(Skills!L18/10)*(E18/1000),Skills!L18/10)+Skills!O18</f>
        <v/>
      </c>
      <c r="G18">
        <f>Skills!G18*IF(Skills!H18&gt;0,Skills!I18/Skills!H18,1)</f>
        <v/>
      </c>
      <c r="H18">
        <f>1-(1-Skills!J18/100)^Skills!K18</f>
        <v/>
      </c>
      <c r="I18" t="inlineStr">
        <is>
          <t>1</t>
        </is>
      </c>
      <c r="J18" t="inlineStr"/>
      <c r="K18" t="inlineStr"/>
      <c r="L18" t="inlineStr"/>
      <c r="M18" t="inlineStr"/>
      <c r="N18" t="inlineStr"/>
      <c r="O18" t="n">
        <v>0</v>
      </c>
      <c r="P18">
        <f>IF(Summary!$B$3=0,0,O18/Summary!$B$3)</f>
        <v/>
      </c>
      <c r="Q18" t="n">
        <v>0</v>
      </c>
      <c r="R18" t="n">
        <v>0</v>
      </c>
      <c r="S18">
        <f>IFERROR(O18/N18,0)</f>
        <v/>
      </c>
    </row>
    <row r="19">
      <c r="A19">
        <f>Skills!A19</f>
        <v/>
      </c>
      <c r="B19">
        <f>Skills!B19</f>
        <v/>
      </c>
      <c r="C19">
        <f>Inputs!$B$3&gt;=15</f>
        <v/>
      </c>
      <c r="D19">
        <f>IF(Skills!C19=1,60+Inputs!$B$24+Inputs!$B$28,IF(Skills!C19=2,90+Inputs!$B$25+Inputs!$B$28,IF(Skills!C19=3,120+Inputs!$B$26+Inputs!$B$28,MAX(0,(Inputs!$B$3-100)*3)+Inputs!$B$27+Inputs!$B$28)))</f>
        <v/>
      </c>
      <c r="E19">
        <f>INDEX(FactorTable!$B$2:$Y$301, MATCH(ROUND(MIN(300,MAX(1,D19)),0), FactorTable!$A$2:$A$301,0), Skills!M19+1)</f>
        <v/>
      </c>
      <c r="F19">
        <f>IF(Skills!N19=TRUE,(Skills!L19/10)*(E19/1000),Skills!L19/10)+Skills!O19</f>
        <v/>
      </c>
      <c r="G19">
        <f>Skills!G19*IF(Skills!H19&gt;0,Skills!I19/Skills!H19,1)</f>
        <v/>
      </c>
      <c r="H19">
        <f>1-(1-Skills!J19/100)^Skills!K19</f>
        <v/>
      </c>
      <c r="I19" t="inlineStr">
        <is>
          <t>1</t>
        </is>
      </c>
      <c r="J19" t="inlineStr"/>
      <c r="K19" t="inlineStr"/>
      <c r="L19" t="inlineStr"/>
      <c r="M19" t="inlineStr"/>
      <c r="N19" t="inlineStr"/>
      <c r="O19" t="n">
        <v>0</v>
      </c>
      <c r="P19">
        <f>IF(Summary!$B$3=0,0,O19/Summary!$B$3)</f>
        <v/>
      </c>
      <c r="Q19" t="n">
        <v>0</v>
      </c>
      <c r="R19" t="n">
        <v>0</v>
      </c>
      <c r="S19">
        <f>IFERROR(O19/N19,0)</f>
        <v/>
      </c>
    </row>
    <row r="20">
      <c r="A20">
        <f>Skills!A20</f>
        <v/>
      </c>
      <c r="B20">
        <f>Skills!B20</f>
        <v/>
      </c>
      <c r="C20">
        <f>Inputs!$B$3&gt;=10</f>
        <v/>
      </c>
      <c r="D20">
        <f>IF(Skills!C20=1,60+Inputs!$B$24+Inputs!$B$28,IF(Skills!C20=2,90+Inputs!$B$25+Inputs!$B$28,IF(Skills!C20=3,120+Inputs!$B$26+Inputs!$B$28,MAX(0,(Inputs!$B$3-100)*3)+Inputs!$B$27+Inputs!$B$28)))</f>
        <v/>
      </c>
      <c r="E20">
        <f>INDEX(FactorTable!$B$2:$Y$301, MATCH(ROUND(MIN(300,MAX(1,D20)),0), FactorTable!$A$2:$A$301,0), Skills!M20+1)</f>
        <v/>
      </c>
      <c r="F20">
        <f>IF(Skills!N20=TRUE,(Skills!L20/10)*(E20/1000),Skills!L20/10)+Skills!O20</f>
        <v/>
      </c>
      <c r="G20">
        <f>Skills!G20*IF(Skills!H20&gt;0,Skills!I20/Skills!H20,1)</f>
        <v/>
      </c>
      <c r="H20">
        <f>1-(1-Skills!J20/100)^Skills!K20</f>
        <v/>
      </c>
      <c r="I20" t="inlineStr">
        <is>
          <t>1</t>
        </is>
      </c>
      <c r="J20" t="inlineStr"/>
      <c r="K20" t="inlineStr"/>
      <c r="L20" t="inlineStr"/>
      <c r="M20" t="inlineStr"/>
      <c r="N20" t="inlineStr"/>
      <c r="O20" t="n">
        <v>0</v>
      </c>
      <c r="P20">
        <f>IF(Summary!$B$3=0,0,O20/Summary!$B$3)</f>
        <v/>
      </c>
      <c r="Q20" t="n">
        <v>0</v>
      </c>
      <c r="R20" t="n">
        <v>0</v>
      </c>
      <c r="S20">
        <f>IFERROR(O20/N20,0)</f>
        <v/>
      </c>
    </row>
    <row r="21">
      <c r="A21">
        <f>Skills!A21</f>
        <v/>
      </c>
      <c r="B21">
        <f>Skills!B21</f>
        <v/>
      </c>
      <c r="C21">
        <f>Inputs!$B$3&gt;=33</f>
        <v/>
      </c>
      <c r="D21">
        <f>IF(Skills!C21=1,60+Inputs!$B$24+Inputs!$B$28,IF(Skills!C21=2,90+Inputs!$B$25+Inputs!$B$28,IF(Skills!C21=3,120+Inputs!$B$26+Inputs!$B$28,MAX(0,(Inputs!$B$3-100)*3)+Inputs!$B$27+Inputs!$B$28)))</f>
        <v/>
      </c>
      <c r="E21">
        <f>INDEX(FactorTable!$B$2:$Y$301, MATCH(ROUND(MIN(300,MAX(1,D21)),0), FactorTable!$A$2:$A$301,0), Skills!M21+1)</f>
        <v/>
      </c>
      <c r="F21">
        <f>IF(Skills!N21=TRUE,(Skills!L21/10)*(E21/1000),Skills!L21/10)+Skills!O21</f>
        <v/>
      </c>
      <c r="G21">
        <f>Skills!G21*IF(Skills!H21&gt;0,Skills!I21/Skills!H21,1)</f>
        <v/>
      </c>
      <c r="H21">
        <f>1-(1-Skills!J21/100)^Skills!K21</f>
        <v/>
      </c>
      <c r="I21" t="inlineStr">
        <is>
          <t>1</t>
        </is>
      </c>
      <c r="J21" t="inlineStr"/>
      <c r="K21" t="inlineStr"/>
      <c r="L21" t="inlineStr"/>
      <c r="M21" t="inlineStr"/>
      <c r="N21" t="inlineStr"/>
      <c r="O21" t="n">
        <v>0</v>
      </c>
      <c r="P21">
        <f>IF(Summary!$B$3=0,0,O21/Summary!$B$3)</f>
        <v/>
      </c>
      <c r="Q21" t="n">
        <v>0</v>
      </c>
      <c r="R21" t="n">
        <v>0</v>
      </c>
      <c r="S21">
        <f>IFERROR(O21/N21,0)</f>
        <v/>
      </c>
    </row>
    <row r="22">
      <c r="A22">
        <f>Skills!A22</f>
        <v/>
      </c>
      <c r="B22">
        <f>Skills!B22</f>
        <v/>
      </c>
      <c r="C22">
        <f>Inputs!$B$3&gt;=43</f>
        <v/>
      </c>
      <c r="D22">
        <f>IF(Skills!C22=1,60+Inputs!$B$24+Inputs!$B$28,IF(Skills!C22=2,90+Inputs!$B$25+Inputs!$B$28,IF(Skills!C22=3,120+Inputs!$B$26+Inputs!$B$28,MAX(0,(Inputs!$B$3-100)*3)+Inputs!$B$27+Inputs!$B$28)))</f>
        <v/>
      </c>
      <c r="E22">
        <f>INDEX(FactorTable!$B$2:$Y$301, MATCH(ROUND(MIN(300,MAX(1,D22)),0), FactorTable!$A$2:$A$301,0), Skills!M22+1)</f>
        <v/>
      </c>
      <c r="F22">
        <f>IF(Skills!N22=TRUE,(Skills!L22/10)*(E22/1000),Skills!L22/10)+Skills!O22</f>
        <v/>
      </c>
      <c r="G22">
        <f>Skills!G22*IF(Skills!H22&gt;0,Skills!I22/Skills!H22,1)</f>
        <v/>
      </c>
      <c r="H22">
        <f>1-(1-Skills!J22/100)^Skills!K22</f>
        <v/>
      </c>
      <c r="I22" t="inlineStr">
        <is>
          <t>1</t>
        </is>
      </c>
      <c r="J22" t="inlineStr"/>
      <c r="K22" t="inlineStr"/>
      <c r="L22" t="inlineStr"/>
      <c r="M22" t="inlineStr"/>
      <c r="N22" t="inlineStr"/>
      <c r="O22" t="n">
        <v>0</v>
      </c>
      <c r="P22">
        <f>IF(Summary!$B$3=0,0,O22/Summary!$B$3)</f>
        <v/>
      </c>
      <c r="Q22" t="n">
        <v>0</v>
      </c>
      <c r="R22" t="n">
        <v>0</v>
      </c>
      <c r="S22">
        <f>IFERROR(O22/N22,0)</f>
        <v/>
      </c>
    </row>
    <row r="23">
      <c r="A23">
        <f>Skills!A23</f>
        <v/>
      </c>
      <c r="B23">
        <f>Skills!B23</f>
        <v/>
      </c>
      <c r="C23">
        <f>Inputs!$B$3&gt;=38</f>
        <v/>
      </c>
      <c r="D23">
        <f>IF(Skills!C23=1,60+Inputs!$B$24+Inputs!$B$28,IF(Skills!C23=2,90+Inputs!$B$25+Inputs!$B$28,IF(Skills!C23=3,120+Inputs!$B$26+Inputs!$B$28,MAX(0,(Inputs!$B$3-100)*3)+Inputs!$B$27+Inputs!$B$28)))</f>
        <v/>
      </c>
      <c r="E23">
        <f>INDEX(FactorTable!$B$2:$Y$301, MATCH(ROUND(MIN(300,MAX(1,D23)),0), FactorTable!$A$2:$A$301,0), Skills!M23+1)</f>
        <v/>
      </c>
      <c r="F23">
        <f>IF(Skills!N23=TRUE,(Skills!L23/10)*(E23/1000),Skills!L23/10)+Skills!O23</f>
        <v/>
      </c>
      <c r="G23">
        <f>Skills!G23*IF(Skills!H23&gt;0,Skills!I23/Skills!H23,1)</f>
        <v/>
      </c>
      <c r="H23">
        <f>1-(1-Skills!J23/100)^Skills!K23</f>
        <v/>
      </c>
      <c r="I23" t="inlineStr">
        <is>
          <t>1</t>
        </is>
      </c>
      <c r="J23" t="inlineStr"/>
      <c r="K23" t="inlineStr"/>
      <c r="L23" t="inlineStr"/>
      <c r="M23" t="inlineStr"/>
      <c r="N23" t="inlineStr"/>
      <c r="O23" t="n">
        <v>0</v>
      </c>
      <c r="P23">
        <f>IF(Summary!$B$3=0,0,O23/Summary!$B$3)</f>
        <v/>
      </c>
      <c r="Q23" t="n">
        <v>0</v>
      </c>
      <c r="R23" t="n">
        <v>0</v>
      </c>
      <c r="S23">
        <f>IFERROR(O23/N23,0)</f>
        <v/>
      </c>
    </row>
    <row r="24">
      <c r="A24">
        <f>Skills!A24</f>
        <v/>
      </c>
      <c r="B24">
        <f>Skills!B24</f>
        <v/>
      </c>
      <c r="C24">
        <f>Inputs!$B$3&gt;=40</f>
        <v/>
      </c>
      <c r="D24">
        <f>IF(Skills!C24=1,60+Inputs!$B$24+Inputs!$B$28,IF(Skills!C24=2,90+Inputs!$B$25+Inputs!$B$28,IF(Skills!C24=3,120+Inputs!$B$26+Inputs!$B$28,MAX(0,(Inputs!$B$3-100)*3)+Inputs!$B$27+Inputs!$B$28)))</f>
        <v/>
      </c>
      <c r="E24">
        <f>INDEX(FactorTable!$B$2:$Y$301, MATCH(ROUND(MIN(300,MAX(1,D24)),0), FactorTable!$A$2:$A$301,0), Skills!M24+1)</f>
        <v/>
      </c>
      <c r="F24">
        <f>IF(Skills!N24=TRUE,(Skills!L24/10)*(E24/1000),Skills!L24/10)+Skills!O24</f>
        <v/>
      </c>
      <c r="G24">
        <f>Skills!G24*IF(Skills!H24&gt;0,Skills!I24/Skills!H24,1)</f>
        <v/>
      </c>
      <c r="H24">
        <f>1-(1-Skills!J24/100)^Skills!K24</f>
        <v/>
      </c>
      <c r="I24" t="inlineStr">
        <is>
          <t>1</t>
        </is>
      </c>
      <c r="J24" t="inlineStr"/>
      <c r="K24" t="inlineStr"/>
      <c r="L24" t="inlineStr"/>
      <c r="M24" t="inlineStr"/>
      <c r="N24" t="inlineStr"/>
      <c r="O24" t="n">
        <v>0</v>
      </c>
      <c r="P24">
        <f>IF(Summary!$B$3=0,0,O24/Summary!$B$3)</f>
        <v/>
      </c>
      <c r="Q24" t="n">
        <v>0</v>
      </c>
      <c r="R24" t="n">
        <v>0</v>
      </c>
      <c r="S24">
        <f>IFERROR(O24/N24,0)</f>
        <v/>
      </c>
    </row>
    <row r="25">
      <c r="A25">
        <f>Skills!A25</f>
        <v/>
      </c>
      <c r="B25">
        <f>Skills!B25</f>
        <v/>
      </c>
      <c r="C25">
        <f>Inputs!$B$3&gt;=72</f>
        <v/>
      </c>
      <c r="D25">
        <f>IF(Skills!C25=1,60+Inputs!$B$24+Inputs!$B$28,IF(Skills!C25=2,90+Inputs!$B$25+Inputs!$B$28,IF(Skills!C25=3,120+Inputs!$B$26+Inputs!$B$28,MAX(0,(Inputs!$B$3-100)*3)+Inputs!$B$27+Inputs!$B$28)))</f>
        <v/>
      </c>
      <c r="E25">
        <f>INDEX(FactorTable!$B$2:$Y$301, MATCH(ROUND(MIN(300,MAX(1,D25)),0), FactorTable!$A$2:$A$301,0), Skills!M25+1)</f>
        <v/>
      </c>
      <c r="F25">
        <f>IF(Skills!N25=TRUE,(Skills!L25/10)*(E25/1000),Skills!L25/10)+Skills!O25</f>
        <v/>
      </c>
      <c r="G25">
        <f>Skills!G25*IF(Skills!H25&gt;0,Skills!I25/Skills!H25,1)</f>
        <v/>
      </c>
      <c r="H25">
        <f>1-(1-Skills!J25/100)^Skills!K25</f>
        <v/>
      </c>
      <c r="I25" t="inlineStr">
        <is>
          <t>1</t>
        </is>
      </c>
      <c r="J25" t="inlineStr"/>
      <c r="K25" t="inlineStr"/>
      <c r="L25" t="inlineStr"/>
      <c r="M25" t="inlineStr"/>
      <c r="N25" t="inlineStr"/>
      <c r="O25" t="n">
        <v>0</v>
      </c>
      <c r="P25">
        <f>IF(Summary!$B$3=0,0,O25/Summary!$B$3)</f>
        <v/>
      </c>
      <c r="Q25" t="n">
        <v>0</v>
      </c>
      <c r="R25" t="n">
        <v>0</v>
      </c>
      <c r="S25">
        <f>IFERROR(O25/N25,0)</f>
        <v/>
      </c>
    </row>
    <row r="26">
      <c r="A26">
        <f>Skills!A26</f>
        <v/>
      </c>
      <c r="B26">
        <f>Skills!B26</f>
        <v/>
      </c>
      <c r="C26">
        <f>Inputs!$B$3&gt;=75</f>
        <v/>
      </c>
      <c r="D26">
        <f>IF(Skills!C26=1,60+Inputs!$B$24+Inputs!$B$28,IF(Skills!C26=2,90+Inputs!$B$25+Inputs!$B$28,IF(Skills!C26=3,120+Inputs!$B$26+Inputs!$B$28,MAX(0,(Inputs!$B$3-100)*3)+Inputs!$B$27+Inputs!$B$28)))</f>
        <v/>
      </c>
      <c r="E26">
        <f>INDEX(FactorTable!$B$2:$Y$301, MATCH(ROUND(MIN(300,MAX(1,D26)),0), FactorTable!$A$2:$A$301,0), Skills!M26+1)</f>
        <v/>
      </c>
      <c r="F26">
        <f>IF(Skills!N26=TRUE,(Skills!L26/10)*(E26/1000),Skills!L26/10)+Skills!O26</f>
        <v/>
      </c>
      <c r="G26">
        <f>Skills!G26*IF(Skills!H26&gt;0,Skills!I26/Skills!H26,1)</f>
        <v/>
      </c>
      <c r="H26">
        <f>1-(1-Skills!J26/100)^Skills!K26</f>
        <v/>
      </c>
      <c r="I26" t="inlineStr">
        <is>
          <t>1</t>
        </is>
      </c>
      <c r="J26" t="inlineStr"/>
      <c r="K26" t="inlineStr"/>
      <c r="L26" t="inlineStr"/>
      <c r="M26" t="inlineStr"/>
      <c r="N26" t="inlineStr"/>
      <c r="O26" t="n">
        <v>0</v>
      </c>
      <c r="P26">
        <f>IF(Summary!$B$3=0,0,O26/Summary!$B$3)</f>
        <v/>
      </c>
      <c r="Q26" t="n">
        <v>0</v>
      </c>
      <c r="R26" t="n">
        <v>0</v>
      </c>
      <c r="S26">
        <f>IFERROR(O26/N26,0)</f>
        <v/>
      </c>
    </row>
    <row r="27">
      <c r="A27">
        <f>Skills!A27</f>
        <v/>
      </c>
      <c r="B27">
        <f>Skills!B27</f>
        <v/>
      </c>
      <c r="C27">
        <f>Inputs!$B$3&gt;=117</f>
        <v/>
      </c>
      <c r="D27">
        <f>IF(Skills!C27=1,60+Inputs!$B$24+Inputs!$B$28,IF(Skills!C27=2,90+Inputs!$B$25+Inputs!$B$28,IF(Skills!C27=3,120+Inputs!$B$26+Inputs!$B$28,MAX(0,(Inputs!$B$3-100)*3)+Inputs!$B$27+Inputs!$B$28)))</f>
        <v/>
      </c>
      <c r="E27">
        <f>INDEX(FactorTable!$B$2:$Y$301, MATCH(ROUND(MIN(300,MAX(1,D27)),0), FactorTable!$A$2:$A$301,0), Skills!M27+1)</f>
        <v/>
      </c>
      <c r="F27">
        <f>IF(Skills!N27=TRUE,(Skills!L27/10)*(E27/1000),Skills!L27/10)+Skills!O27</f>
        <v/>
      </c>
      <c r="G27">
        <f>Skills!G27*IF(Skills!H27&gt;0,Skills!I27/Skills!H27,1)</f>
        <v/>
      </c>
      <c r="H27">
        <f>1-(1-Skills!J27/100)^Skills!K27</f>
        <v/>
      </c>
      <c r="I27" t="inlineStr">
        <is>
          <t>1</t>
        </is>
      </c>
      <c r="J27" t="inlineStr"/>
      <c r="K27" t="inlineStr"/>
      <c r="L27" t="inlineStr"/>
      <c r="M27" t="inlineStr"/>
      <c r="N27" t="inlineStr"/>
      <c r="O27" t="n">
        <v>0</v>
      </c>
      <c r="P27">
        <f>IF(Summary!$B$3=0,0,O27/Summary!$B$3)</f>
        <v/>
      </c>
      <c r="Q27" t="n">
        <v>0</v>
      </c>
      <c r="R27" t="n">
        <v>0</v>
      </c>
      <c r="S27">
        <f>IFERROR(O27/N27,0)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Buccaneer — DPS Summary</t>
        </is>
      </c>
    </row>
    <row r="3">
      <c r="A3" s="9" t="inlineStr">
        <is>
          <t>TOTAL DPS</t>
        </is>
      </c>
      <c r="B3" s="9">
        <f>SUM(Calc!O2:O27)</f>
        <v/>
      </c>
    </row>
    <row r="5">
      <c r="A5" s="7" t="inlineStr">
        <is>
          <t>Per-Skill DPS Breakdown</t>
        </is>
      </c>
    </row>
    <row r="6">
      <c r="A6" s="8" t="inlineStr">
        <is>
          <t>Skill</t>
        </is>
      </c>
      <c r="B6" s="8" t="inlineStr">
        <is>
          <t>DPS</t>
        </is>
      </c>
      <c r="C6" s="8" t="inlineStr">
        <is>
          <t>% of Total</t>
        </is>
      </c>
    </row>
    <row r="7">
      <c r="A7">
        <f>Calc!B2</f>
        <v/>
      </c>
      <c r="B7">
        <f>Calc!O2</f>
        <v/>
      </c>
      <c r="C7">
        <f>Calc!P2*100</f>
        <v/>
      </c>
    </row>
    <row r="8">
      <c r="A8">
        <f>Calc!B3</f>
        <v/>
      </c>
      <c r="B8">
        <f>Calc!O3</f>
        <v/>
      </c>
      <c r="C8">
        <f>Calc!P3*100</f>
        <v/>
      </c>
    </row>
    <row r="9">
      <c r="A9">
        <f>Calc!B4</f>
        <v/>
      </c>
      <c r="B9">
        <f>Calc!O4</f>
        <v/>
      </c>
      <c r="C9">
        <f>Calc!P4*100</f>
        <v/>
      </c>
    </row>
    <row r="10">
      <c r="A10">
        <f>Calc!B5</f>
        <v/>
      </c>
      <c r="B10">
        <f>Calc!O5</f>
        <v/>
      </c>
      <c r="C10">
        <f>Calc!P5*100</f>
        <v/>
      </c>
    </row>
    <row r="11">
      <c r="A11">
        <f>Calc!B6</f>
        <v/>
      </c>
      <c r="B11">
        <f>Calc!O6</f>
        <v/>
      </c>
      <c r="C11">
        <f>Calc!P6*100</f>
        <v/>
      </c>
    </row>
    <row r="12">
      <c r="A12">
        <f>Calc!B7</f>
        <v/>
      </c>
      <c r="B12">
        <f>Calc!O7</f>
        <v/>
      </c>
      <c r="C12">
        <f>Calc!P7*100</f>
        <v/>
      </c>
    </row>
    <row r="13">
      <c r="A13">
        <f>Calc!B8</f>
        <v/>
      </c>
      <c r="B13">
        <f>Calc!O8</f>
        <v/>
      </c>
      <c r="C13">
        <f>Calc!P8*100</f>
        <v/>
      </c>
    </row>
    <row r="14">
      <c r="A14">
        <f>Calc!B9</f>
        <v/>
      </c>
      <c r="B14">
        <f>Calc!O9</f>
        <v/>
      </c>
      <c r="C14">
        <f>Calc!P9*100</f>
        <v/>
      </c>
    </row>
    <row r="15">
      <c r="A15">
        <f>Calc!B10</f>
        <v/>
      </c>
      <c r="B15">
        <f>Calc!O10</f>
        <v/>
      </c>
      <c r="C15">
        <f>Calc!P10*100</f>
        <v/>
      </c>
    </row>
    <row r="16">
      <c r="A16">
        <f>Calc!B11</f>
        <v/>
      </c>
      <c r="B16">
        <f>Calc!O11</f>
        <v/>
      </c>
      <c r="C16">
        <f>Calc!P11*100</f>
        <v/>
      </c>
    </row>
    <row r="17">
      <c r="A17">
        <f>Calc!B12</f>
        <v/>
      </c>
      <c r="B17">
        <f>Calc!O12</f>
        <v/>
      </c>
      <c r="C17">
        <f>Calc!P12*100</f>
        <v/>
      </c>
    </row>
    <row r="18">
      <c r="A18">
        <f>Calc!B13</f>
        <v/>
      </c>
      <c r="B18">
        <f>Calc!O13</f>
        <v/>
      </c>
      <c r="C18">
        <f>Calc!P13*100</f>
        <v/>
      </c>
    </row>
    <row r="19">
      <c r="A19">
        <f>Calc!B14</f>
        <v/>
      </c>
      <c r="B19">
        <f>Calc!O14</f>
        <v/>
      </c>
      <c r="C19">
        <f>Calc!P14*100</f>
        <v/>
      </c>
    </row>
    <row r="20">
      <c r="A20" s="7" t="inlineStr">
        <is>
          <t>Marginal DPS &amp; Stat Value (see Sensitivity for full detail)</t>
        </is>
      </c>
    </row>
    <row r="22">
      <c r="A22" s="8" t="inlineStr">
        <is>
          <t>Stat</t>
        </is>
      </c>
      <c r="B22" s="8" t="inlineStr">
        <is>
          <t>DPS per +1</t>
        </is>
      </c>
      <c r="C22" s="8" t="inlineStr">
        <is>
          <t>Units per +1% DPS</t>
        </is>
      </c>
    </row>
    <row r="23">
      <c r="A23">
        <f>Sensitivity!A5</f>
        <v/>
      </c>
      <c r="B23">
        <f>Sensitivity!H5</f>
        <v/>
      </c>
      <c r="C23">
        <f>Sensitivity!B5</f>
        <v/>
      </c>
    </row>
    <row r="24">
      <c r="A24">
        <f>Sensitivity!A6</f>
        <v/>
      </c>
      <c r="B24">
        <f>Sensitivity!H6</f>
        <v/>
      </c>
      <c r="C24">
        <f>Sensitivity!B6</f>
        <v/>
      </c>
    </row>
    <row r="25">
      <c r="A25">
        <f>Sensitivity!A7</f>
        <v/>
      </c>
      <c r="B25">
        <f>Sensitivity!H7</f>
        <v/>
      </c>
      <c r="C25">
        <f>Sensitivity!B7</f>
        <v/>
      </c>
    </row>
    <row r="26">
      <c r="A26">
        <f>Sensitivity!A8</f>
        <v/>
      </c>
      <c r="B26">
        <f>Sensitivity!H8</f>
        <v/>
      </c>
      <c r="C26">
        <f>Sensitivity!B8</f>
        <v/>
      </c>
    </row>
    <row r="27">
      <c r="A27">
        <f>Sensitivity!A9</f>
        <v/>
      </c>
      <c r="B27">
        <f>Sensitivity!H9</f>
        <v/>
      </c>
      <c r="C27">
        <f>Sensitivity!B9</f>
        <v/>
      </c>
    </row>
    <row r="28">
      <c r="A28">
        <f>Sensitivity!A10</f>
        <v/>
      </c>
      <c r="B28">
        <f>Sensitivity!H10</f>
        <v/>
      </c>
      <c r="C28">
        <f>Sensitivity!B10</f>
        <v/>
      </c>
    </row>
    <row r="29">
      <c r="A29">
        <f>Sensitivity!A11</f>
        <v/>
      </c>
      <c r="B29">
        <f>Sensitivity!H11</f>
        <v/>
      </c>
      <c r="C29">
        <f>Sensitivity!B11</f>
        <v/>
      </c>
    </row>
    <row r="30">
      <c r="A30">
        <f>Sensitivity!A12</f>
        <v/>
      </c>
      <c r="B30">
        <f>Sensitivity!H12</f>
        <v/>
      </c>
      <c r="C30">
        <f>Sensitivity!B12</f>
        <v/>
      </c>
    </row>
    <row r="31">
      <c r="A31">
        <f>Sensitivity!A13</f>
        <v/>
      </c>
      <c r="B31">
        <f>Sensitivity!H13</f>
        <v/>
      </c>
      <c r="C31">
        <f>Sensitivity!B13</f>
        <v/>
      </c>
    </row>
    <row r="32">
      <c r="A32">
        <f>Sensitivity!A14</f>
        <v/>
      </c>
      <c r="B32">
        <f>Sensitivity!H14</f>
        <v/>
      </c>
      <c r="C32">
        <f>Sensitivity!B14</f>
        <v/>
      </c>
    </row>
    <row r="33">
      <c r="A33">
        <f>Sensitivity!A15</f>
        <v/>
      </c>
      <c r="B33">
        <f>Sensitivity!H15</f>
        <v/>
      </c>
      <c r="C33">
        <f>Sensitivity!B15</f>
        <v/>
      </c>
    </row>
    <row r="34">
      <c r="A34">
        <f>Sensitivity!A16</f>
        <v/>
      </c>
      <c r="B34">
        <f>Sensitivity!H16</f>
        <v/>
      </c>
      <c r="C34">
        <f>Sensitivity!B16</f>
        <v/>
      </c>
    </row>
    <row r="35">
      <c r="A35">
        <f>Sensitivity!A17</f>
        <v/>
      </c>
      <c r="B35">
        <f>Sensitivity!H17</f>
        <v/>
      </c>
      <c r="C35">
        <f>Sensitivity!B17</f>
        <v/>
      </c>
    </row>
    <row r="36">
      <c r="A36">
        <f>Sensitivity!A18</f>
        <v/>
      </c>
      <c r="B36">
        <f>Sensitivity!H18</f>
        <v/>
      </c>
      <c r="C36">
        <f>Sensitivity!B18</f>
        <v/>
      </c>
    </row>
    <row r="37">
      <c r="A37">
        <f>Sensitivity!A19</f>
        <v/>
      </c>
      <c r="B37">
        <f>Sensitivity!H19</f>
        <v/>
      </c>
      <c r="C37">
        <f>Sensitivity!B19</f>
        <v/>
      </c>
    </row>
    <row r="38">
      <c r="A38">
        <f>Sensitivity!A20</f>
        <v/>
      </c>
      <c r="B38">
        <f>Sensitivity!H20</f>
        <v/>
      </c>
      <c r="C38">
        <f>Sensitivity!B20</f>
        <v/>
      </c>
    </row>
    <row r="39">
      <c r="A39">
        <f>Sensitivity!A21</f>
        <v/>
      </c>
      <c r="B39">
        <f>Sensitivity!H21</f>
        <v/>
      </c>
      <c r="C39">
        <f>Sensitivity!B21</f>
        <v/>
      </c>
    </row>
    <row r="40">
      <c r="A40">
        <f>Sensitivity!A22</f>
        <v/>
      </c>
      <c r="B40">
        <f>Sensitivity!H22</f>
        <v/>
      </c>
      <c r="C40">
        <f>Sensitivity!B22</f>
        <v/>
      </c>
    </row>
    <row r="41">
      <c r="A41">
        <f>Sensitivity!A23</f>
        <v/>
      </c>
      <c r="B41">
        <f>Sensitivity!H23</f>
        <v/>
      </c>
      <c r="C41">
        <f>Sensitivity!B23</f>
        <v/>
      </c>
    </row>
    <row r="42">
      <c r="A42">
        <f>Sensitivity!A24</f>
        <v/>
      </c>
      <c r="B42">
        <f>Sensitivity!H24</f>
        <v/>
      </c>
      <c r="C42">
        <f>Sensitivity!B24</f>
        <v/>
      </c>
    </row>
    <row r="43">
      <c r="A43">
        <f>Sensitivity!A25</f>
        <v/>
      </c>
      <c r="B43">
        <f>Sensitivity!H25</f>
        <v/>
      </c>
      <c r="C43">
        <f>Sensitivity!B25</f>
        <v/>
      </c>
    </row>
    <row r="44">
      <c r="A44">
        <f>Sensitivity!A26</f>
        <v/>
      </c>
      <c r="B44">
        <f>Sensitivity!H26</f>
        <v/>
      </c>
      <c r="C44">
        <f>Sensitivity!B26</f>
        <v/>
      </c>
    </row>
    <row r="45">
      <c r="A45">
        <f>Sensitivity!A27</f>
        <v/>
      </c>
      <c r="B45">
        <f>Sensitivity!H27</f>
        <v/>
      </c>
      <c r="C45">
        <f>Sensitivity!B27</f>
        <v/>
      </c>
    </row>
    <row r="46">
      <c r="A46">
        <f>Sensitivity!A28</f>
        <v/>
      </c>
      <c r="B46">
        <f>Sensitivity!H28</f>
        <v/>
      </c>
      <c r="C46">
        <f>Sensitivity!B28</f>
        <v/>
      </c>
    </row>
    <row r="47">
      <c r="A47">
        <f>Sensitivity!A29</f>
        <v/>
      </c>
      <c r="B47">
        <f>Sensitivity!H29</f>
        <v/>
      </c>
      <c r="C47">
        <f>Sensitivity!B29</f>
        <v/>
      </c>
    </row>
    <row r="48">
      <c r="A48">
        <f>Sensitivity!A30</f>
        <v/>
      </c>
      <c r="B48">
        <f>Sensitivity!H30</f>
        <v/>
      </c>
      <c r="C48">
        <f>Sensitivity!B30</f>
        <v/>
      </c>
    </row>
    <row r="49">
      <c r="A49" s="7" t="inlineStr">
        <is>
          <t>Derived Values (read-only, computed from Inputs)</t>
        </is>
      </c>
    </row>
    <row r="50">
      <c r="A50" t="inlineStr">
        <is>
          <t>ATTACK (= Flat ATTACK x (1+ATTACK%/100))</t>
        </is>
      </c>
      <c r="B50">
        <f>Inputs!$B$5*(1+Inputs!$B$6/100)</f>
        <v/>
      </c>
    </row>
    <row r="51">
      <c r="A51" t="inlineStr">
        <is>
          <t>STAT_DAMAGE % (= 1% of total STR + 0.25% of DEX)</t>
        </is>
      </c>
      <c r="B51">
        <f>(Inputs!$B$11*(1+Inputs!$B$12/100))*0.01+Inputs!$B$13*0.0025</f>
        <v/>
      </c>
    </row>
    <row r="52">
      <c r="A52" t="inlineStr">
        <is>
          <t>Basic Attack (Eight-Legs Easton) Input Level (4th job formula)</t>
        </is>
      </c>
      <c r="B52">
        <f>MAX(0,(Inputs!$B$3-100)*3)+Inputs!$B$27+Inputs!$B$28</f>
        <v/>
      </c>
    </row>
    <row r="53">
      <c r="A53" t="inlineStr">
        <is>
          <t>Basic Attack Factor (factorIndex 21, universal 4th-job basic attack)</t>
        </is>
      </c>
      <c r="B53">
        <f>INDEX(FactorTable!$B$2:$Y$301, MATCH(ROUND(MIN(300,MAX(1,Summary!$B$52)),0), FactorTable!$A$2:$A$301,0), 22)</f>
        <v/>
      </c>
    </row>
    <row r="54">
      <c r="A54" t="inlineStr">
        <is>
          <t>SKILL_COEFFICIENT — Eight-Legs Easton base coefficient % (before bonuses)</t>
        </is>
      </c>
      <c r="B54">
        <f>290*Summary!$B$53/1000</f>
        <v/>
      </c>
    </row>
    <row r="55">
      <c r="A55" t="inlineStr">
        <is>
          <t>Normal-Monster Weight (= 0 for boss, 1 for normal, Breakthrough Normal Weight % for breakthrough, 0 for pvp)</t>
        </is>
      </c>
      <c r="B55">
        <f>IF(Inputs!$B$4="normal",1,IF(Inputs!$B$4="breakthrough",Inputs!$B$36/100,0))</f>
        <v/>
      </c>
    </row>
    <row r="57">
      <c r="A57" t="inlineStr">
        <is>
          <t>Attack%% Bucket Multiplier (Roll of the Dice's dice component only)</t>
        </is>
      </c>
      <c r="B57">
        <f>1+(((Calc!C17=TRUE)*Calc!F17))/100</f>
        <v/>
      </c>
    </row>
    <row r="58">
      <c r="A58" t="inlineStr">
        <is>
          <t>Global Crit Rate Bonus % (unused — no live Crit-Rate-buff source exists)</t>
        </is>
      </c>
      <c r="B58" t="n">
        <v>0</v>
      </c>
    </row>
    <row r="59">
      <c r="A59" t="inlineStr">
        <is>
          <t>Global Monster Damage-Taken Bonus % (unused — no live source exists in this kit)</t>
        </is>
      </c>
      <c r="B59" t="n">
        <v>0</v>
      </c>
    </row>
    <row r="60">
      <c r="A60" t="inlineStr">
        <is>
          <t>Attack Speed Buff Bonus % (unused — Corsair has no Nimble-Feet-style live AS buff, same as Buccaneer)</t>
        </is>
      </c>
      <c r="B60" t="n">
        <v>0</v>
      </c>
    </row>
    <row r="61">
      <c r="A61" t="inlineStr">
        <is>
          <t>Actions Per Second</t>
        </is>
      </c>
      <c r="B61">
        <f>1+MIN(150,150*(1-(1-Inputs!$B$10/150)*(1-B60/150)))/100</f>
        <v/>
      </c>
    </row>
    <row r="62">
      <c r="A62" t="inlineStr">
        <is>
          <t>Skill + Buff Cast Rate (subtracted from Eight-Legs Easton, 1/s)</t>
        </is>
      </c>
      <c r="B62">
        <f>IF(AND(Inputs!$B$4&lt;&gt;"pvp",Inputs!$B$35&gt;0),SUMPRODUCT((Skills!E2:E27=TRUE)*(Calc!C2:C27=TRUE)*Calc!R2:R27*Skills!F2:F27)/Inputs!$B$35,SUMPRODUCT((Skills!E2:E27=TRUE)*(Calc!C2:C27=TRUE)*Calc!Q2:Q27*Skills!F2:F27))</f>
        <v/>
      </c>
    </row>
    <row r="63">
      <c r="A63" t="inlineStr">
        <is>
          <t>Eight-Legs Easton (Basic Attack) Casts Per Second</t>
        </is>
      </c>
      <c r="B63">
        <f>MAX(0,B61-B62)</f>
        <v/>
      </c>
    </row>
    <row r="64">
      <c r="A64" t="inlineStr">
        <is>
          <t>Global Critical Damage Bonus % (unused — no live Crit-Damage-buff source exists)</t>
        </is>
      </c>
      <c r="B64" t="n">
        <v>0</v>
      </c>
    </row>
    <row r="65">
      <c r="A65" t="inlineStr">
        <is>
          <t>Global Final Damage Bonus % (Jolly Roger only)</t>
        </is>
      </c>
      <c r="B65">
        <f>((Calc!C18=TRUE)*Calc!F18)</f>
        <v/>
      </c>
    </row>
    <row r="66">
      <c r="A66" t="inlineStr">
        <is>
          <t>Eight-Legs Easton (Basic Attack) DPS</t>
        </is>
      </c>
      <c r="B66">
        <f>Calc!O2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1096"/>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8" t="inlineStr">
        <is>
          <t>Stat</t>
        </is>
      </c>
      <c r="B4" s="8" t="inlineStr">
        <is>
          <t>Units per +1% DPS</t>
        </is>
      </c>
      <c r="C4" s="8" t="inlineStr">
        <is>
          <t>Type</t>
        </is>
      </c>
      <c r="D4" s="8" t="inlineStr">
        <is>
          <t>Current Value</t>
        </is>
      </c>
      <c r="E4" s="8" t="inlineStr">
        <is>
          <t>New Value</t>
        </is>
      </c>
      <c r="F4" s="8" t="inlineStr">
        <is>
          <t>Baseline Total DPS</t>
        </is>
      </c>
      <c r="G4" s="8" t="inlineStr">
        <is>
          <t>New Total DPS</t>
        </is>
      </c>
      <c r="H4" s="8" t="inlineStr">
        <is>
          <t>DPS Gain</t>
        </is>
      </c>
      <c r="I4" s="8" t="inlineStr">
        <is>
          <t>% Gain</t>
        </is>
      </c>
    </row>
    <row r="5">
      <c r="A5" t="inlineStr">
        <is>
          <t>Flat DEX</t>
        </is>
      </c>
      <c r="B5">
        <f>IFERROR(1/(I5-100),"n/a")</f>
        <v/>
      </c>
      <c r="C5" t="inlineStr">
        <is>
          <t>flat</t>
        </is>
      </c>
      <c r="D5">
        <f>Inputs!$B$11</f>
        <v/>
      </c>
      <c r="E5">
        <f>(Inputs!$B$11+1)</f>
        <v/>
      </c>
      <c r="F5">
        <f>Summary!$B$3</f>
        <v/>
      </c>
      <c r="G5">
        <f>B71</f>
        <v/>
      </c>
      <c r="H5">
        <f>G5-F5</f>
        <v/>
      </c>
      <c r="I5">
        <f>IF(F5=0,0,G5/F5*100)</f>
        <v/>
      </c>
    </row>
    <row r="6">
      <c r="A6" t="inlineStr">
        <is>
          <t>DEX %</t>
        </is>
      </c>
      <c r="B6">
        <f>IFERROR(1/(I6-100),"n/a")</f>
        <v/>
      </c>
      <c r="C6" t="inlineStr">
        <is>
          <t>pct</t>
        </is>
      </c>
      <c r="D6">
        <f>Inputs!$B$12</f>
        <v/>
      </c>
      <c r="E6">
        <f>(Inputs!$B$12+1)</f>
        <v/>
      </c>
      <c r="F6">
        <f>Summary!$B$3</f>
        <v/>
      </c>
      <c r="G6">
        <f>B112</f>
        <v/>
      </c>
      <c r="H6">
        <f>G6-F6</f>
        <v/>
      </c>
      <c r="I6">
        <f>IF(F6=0,0,G6/F6*100)</f>
        <v/>
      </c>
    </row>
    <row r="7">
      <c r="A7" t="inlineStr">
        <is>
          <t>STR</t>
        </is>
      </c>
      <c r="B7">
        <f>IFERROR(1/(I7-100),"n/a")</f>
        <v/>
      </c>
      <c r="C7" t="inlineStr">
        <is>
          <t>flat</t>
        </is>
      </c>
      <c r="D7">
        <f>Inputs!$B$13</f>
        <v/>
      </c>
      <c r="E7">
        <f>(Inputs!$B$13+1)</f>
        <v/>
      </c>
      <c r="F7">
        <f>Summary!$B$3</f>
        <v/>
      </c>
      <c r="G7">
        <f>B153</f>
        <v/>
      </c>
      <c r="H7">
        <f>G7-F7</f>
        <v/>
      </c>
      <c r="I7">
        <f>IF(F7=0,0,G7/F7*100)</f>
        <v/>
      </c>
    </row>
    <row r="8">
      <c r="A8" t="inlineStr">
        <is>
          <t>DAMAGE %</t>
        </is>
      </c>
      <c r="B8">
        <f>IFERROR(1/(I8-100),"n/a")</f>
        <v/>
      </c>
      <c r="C8" t="inlineStr">
        <is>
          <t>pct</t>
        </is>
      </c>
      <c r="D8">
        <f>Inputs!$B$14</f>
        <v/>
      </c>
      <c r="E8">
        <f>(Inputs!$B$14+1)</f>
        <v/>
      </c>
      <c r="F8">
        <f>Summary!$B$3</f>
        <v/>
      </c>
      <c r="G8">
        <f>B194</f>
        <v/>
      </c>
      <c r="H8">
        <f>G8-F8</f>
        <v/>
      </c>
      <c r="I8">
        <f>IF(F8=0,0,G8/F8*100)</f>
        <v/>
      </c>
    </row>
    <row r="9">
      <c r="A9" t="inlineStr">
        <is>
          <t>DAMAGE_AMP %</t>
        </is>
      </c>
      <c r="B9">
        <f>IFERROR(1/(I9-100),"n/a")</f>
        <v/>
      </c>
      <c r="C9" t="inlineStr">
        <is>
          <t>pct</t>
        </is>
      </c>
      <c r="D9">
        <f>Inputs!$B$15</f>
        <v/>
      </c>
      <c r="E9">
        <f>(Inputs!$B$15+1)</f>
        <v/>
      </c>
      <c r="F9">
        <f>Summary!$B$3</f>
        <v/>
      </c>
      <c r="G9">
        <f>B235</f>
        <v/>
      </c>
      <c r="H9">
        <f>G9-F9</f>
        <v/>
      </c>
      <c r="I9">
        <f>IF(F9=0,0,G9/F9*100)</f>
        <v/>
      </c>
    </row>
    <row r="10">
      <c r="A10" t="inlineStr">
        <is>
          <t>BOSS_DAMAGE %</t>
        </is>
      </c>
      <c r="B10">
        <f>IFERROR(1/(I10-100),"n/a")</f>
        <v/>
      </c>
      <c r="C10" t="inlineStr">
        <is>
          <t>pct</t>
        </is>
      </c>
      <c r="D10">
        <f>Inputs!$B$19</f>
        <v/>
      </c>
      <c r="E10">
        <f>(Inputs!$B$19+1)</f>
        <v/>
      </c>
      <c r="F10">
        <f>Summary!$B$3</f>
        <v/>
      </c>
      <c r="G10">
        <f>B276</f>
        <v/>
      </c>
      <c r="H10">
        <f>G10-F10</f>
        <v/>
      </c>
      <c r="I10">
        <f>IF(F10=0,0,G10/F10*100)</f>
        <v/>
      </c>
    </row>
    <row r="11">
      <c r="A11" t="inlineStr">
        <is>
          <t>NORMAL_DAMAGE %</t>
        </is>
      </c>
      <c r="B11">
        <f>IFERROR(1/(I11-100),"n/a")</f>
        <v/>
      </c>
      <c r="C11" t="inlineStr">
        <is>
          <t>pct</t>
        </is>
      </c>
      <c r="D11">
        <f>Inputs!$B$20</f>
        <v/>
      </c>
      <c r="E11">
        <f>(Inputs!$B$20+1)</f>
        <v/>
      </c>
      <c r="F11">
        <f>Summary!$B$3</f>
        <v/>
      </c>
      <c r="G11">
        <f>B317</f>
        <v/>
      </c>
      <c r="H11">
        <f>G11-F11</f>
        <v/>
      </c>
      <c r="I11">
        <f>IF(F11=0,0,G11/F11*100)</f>
        <v/>
      </c>
    </row>
    <row r="12">
      <c r="A12" t="inlineStr">
        <is>
          <t>FINAL_DAMAGE % (multiplicative source)</t>
        </is>
      </c>
      <c r="B12">
        <f>IFERROR(1/(I12-100),"n/a")</f>
        <v/>
      </c>
      <c r="C12" t="inlineStr">
        <is>
          <t>mult</t>
        </is>
      </c>
      <c r="D12">
        <f>Inputs!$B$23</f>
        <v/>
      </c>
      <c r="E12">
        <f>((((1+Inputs!$B$23/100)*(1.01))-1)*100)</f>
        <v/>
      </c>
      <c r="F12">
        <f>Summary!$B$3</f>
        <v/>
      </c>
      <c r="G12">
        <f>B358</f>
        <v/>
      </c>
      <c r="H12">
        <f>G12-F12</f>
        <v/>
      </c>
      <c r="I12">
        <f>IF(F12=0,0,G12/F12*100)</f>
        <v/>
      </c>
    </row>
    <row r="13">
      <c r="A13" t="inlineStr">
        <is>
          <t>MIN_DAMAGE %</t>
        </is>
      </c>
      <c r="B13">
        <f>IFERROR(1/(I13-100),"n/a")</f>
        <v/>
      </c>
      <c r="C13" t="inlineStr">
        <is>
          <t>pct</t>
        </is>
      </c>
      <c r="D13">
        <f>Inputs!$B$21</f>
        <v/>
      </c>
      <c r="E13">
        <f>(Inputs!$B$21+1)</f>
        <v/>
      </c>
      <c r="F13">
        <f>Summary!$B$3</f>
        <v/>
      </c>
      <c r="G13">
        <f>B399</f>
        <v/>
      </c>
      <c r="H13">
        <f>G13-F13</f>
        <v/>
      </c>
      <c r="I13">
        <f>IF(F13=0,0,G13/F13*100)</f>
        <v/>
      </c>
    </row>
    <row r="14">
      <c r="A14" t="inlineStr">
        <is>
          <t>MAX_DAMAGE %</t>
        </is>
      </c>
      <c r="B14">
        <f>IFERROR(1/(I14-100),"n/a")</f>
        <v/>
      </c>
      <c r="C14" t="inlineStr">
        <is>
          <t>pct</t>
        </is>
      </c>
      <c r="D14">
        <f>Inputs!$B$22</f>
        <v/>
      </c>
      <c r="E14">
        <f>(Inputs!$B$22+1)</f>
        <v/>
      </c>
      <c r="F14">
        <f>Summary!$B$3</f>
        <v/>
      </c>
      <c r="G14">
        <f>B440</f>
        <v/>
      </c>
      <c r="H14">
        <f>G14-F14</f>
        <v/>
      </c>
      <c r="I14">
        <f>IF(F14=0,0,G14/F14*100)</f>
        <v/>
      </c>
    </row>
    <row r="15">
      <c r="A15" t="inlineStr">
        <is>
          <t>CRIT_RATE %</t>
        </is>
      </c>
      <c r="B15">
        <f>IFERROR(1/(I15-100),"n/a")</f>
        <v/>
      </c>
      <c r="C15" t="inlineStr">
        <is>
          <t>pct</t>
        </is>
      </c>
      <c r="D15">
        <f>Inputs!$B$8</f>
        <v/>
      </c>
      <c r="E15">
        <f>(Inputs!$B$8+1)</f>
        <v/>
      </c>
      <c r="F15">
        <f>Summary!$B$3</f>
        <v/>
      </c>
      <c r="G15">
        <f>B481</f>
        <v/>
      </c>
      <c r="H15">
        <f>G15-F15</f>
        <v/>
      </c>
      <c r="I15">
        <f>IF(F15=0,0,G15/F15*100)</f>
        <v/>
      </c>
    </row>
    <row r="16">
      <c r="A16" t="inlineStr">
        <is>
          <t>CRIT_DAMAGE %</t>
        </is>
      </c>
      <c r="B16">
        <f>IFERROR(1/(I16-100),"n/a")</f>
        <v/>
      </c>
      <c r="C16" t="inlineStr">
        <is>
          <t>pct</t>
        </is>
      </c>
      <c r="D16">
        <f>Inputs!$B$9</f>
        <v/>
      </c>
      <c r="E16">
        <f>(Inputs!$B$9+1)</f>
        <v/>
      </c>
      <c r="F16">
        <f>Summary!$B$3</f>
        <v/>
      </c>
      <c r="G16">
        <f>B522</f>
        <v/>
      </c>
      <c r="H16">
        <f>G16-F16</f>
        <v/>
      </c>
      <c r="I16">
        <f>IF(F16=0,0,G16/F16*100)</f>
        <v/>
      </c>
    </row>
    <row r="17">
      <c r="A17" t="inlineStr">
        <is>
          <t>ATTACK_SPEED % (diminishing returns, factor 150)</t>
        </is>
      </c>
      <c r="B17">
        <f>IFERROR(1/(I17-100),"n/a")</f>
        <v/>
      </c>
      <c r="C17" t="inlineStr">
        <is>
          <t>dr150</t>
        </is>
      </c>
      <c r="D17">
        <f>Inputs!$B$10</f>
        <v/>
      </c>
      <c r="E17">
        <f>((1-(1-Inputs!$B$10/150)*(1-1/150))*150)</f>
        <v/>
      </c>
      <c r="F17">
        <f>Summary!$B$3</f>
        <v/>
      </c>
      <c r="G17">
        <f>B563</f>
        <v/>
      </c>
      <c r="H17">
        <f>G17-F17</f>
        <v/>
      </c>
      <c r="I17">
        <f>IF(F17=0,0,G17/F17*100)</f>
        <v/>
      </c>
    </row>
    <row r="18">
      <c r="A18" t="inlineStr">
        <is>
          <t>DEF_PEN % (diminishing returns, factor 100)</t>
        </is>
      </c>
      <c r="B18">
        <f>IFERROR(1/(I18-100),"n/a")</f>
        <v/>
      </c>
      <c r="C18" t="inlineStr">
        <is>
          <t>dr100</t>
        </is>
      </c>
      <c r="D18">
        <f>Inputs!$B$18</f>
        <v/>
      </c>
      <c r="E18">
        <f>((1-(1-Inputs!$B$18/100)*(1-1/100))*100)</f>
        <v/>
      </c>
      <c r="F18">
        <f>Summary!$B$3</f>
        <v/>
      </c>
      <c r="G18">
        <f>B604</f>
        <v/>
      </c>
      <c r="H18">
        <f>G18-F18</f>
        <v/>
      </c>
      <c r="I18">
        <f>IF(F18=0,0,G18/F18*100)</f>
        <v/>
      </c>
    </row>
    <row r="19">
      <c r="A19" t="inlineStr">
        <is>
          <t>BASIC_ATTACK_DAMAGE %</t>
        </is>
      </c>
      <c r="B19">
        <f>IFERROR(1/(I19-100),"n/a")</f>
        <v/>
      </c>
      <c r="C19" t="inlineStr">
        <is>
          <t>pct</t>
        </is>
      </c>
      <c r="D19">
        <f>Inputs!$B$16</f>
        <v/>
      </c>
      <c r="E19">
        <f>(Inputs!$B$16+1)</f>
        <v/>
      </c>
      <c r="F19">
        <f>Summary!$B$3</f>
        <v/>
      </c>
      <c r="G19">
        <f>B645</f>
        <v/>
      </c>
      <c r="H19">
        <f>G19-F19</f>
        <v/>
      </c>
      <c r="I19">
        <f>IF(F19=0,0,G19/F19*100)</f>
        <v/>
      </c>
    </row>
    <row r="20">
      <c r="A20" t="inlineStr">
        <is>
          <t>SKILL_DAMAGE %</t>
        </is>
      </c>
      <c r="B20">
        <f>IFERROR(1/(I20-100),"n/a")</f>
        <v/>
      </c>
      <c r="C20" t="inlineStr">
        <is>
          <t>pct</t>
        </is>
      </c>
      <c r="D20">
        <f>Inputs!$B$17</f>
        <v/>
      </c>
      <c r="E20">
        <f>(Inputs!$B$17+1)</f>
        <v/>
      </c>
      <c r="F20">
        <f>Summary!$B$3</f>
        <v/>
      </c>
      <c r="G20">
        <f>B686</f>
        <v/>
      </c>
      <c r="H20">
        <f>G20-F20</f>
        <v/>
      </c>
      <c r="I20">
        <f>IF(F20=0,0,G20/F20*100)</f>
        <v/>
      </c>
    </row>
    <row r="21">
      <c r="A21" t="inlineStr">
        <is>
          <t>Skill Level Bonus — 1st Job</t>
        </is>
      </c>
      <c r="B21">
        <f>IFERROR(1/(I21-100),"n/a")</f>
        <v/>
      </c>
      <c r="C21" t="inlineStr">
        <is>
          <t>level</t>
        </is>
      </c>
      <c r="D21">
        <f>Inputs!$B$24</f>
        <v/>
      </c>
      <c r="E21">
        <f>(Inputs!$B$24+1)</f>
        <v/>
      </c>
      <c r="F21">
        <f>Summary!$B$3</f>
        <v/>
      </c>
      <c r="G21">
        <f>B727</f>
        <v/>
      </c>
      <c r="H21">
        <f>G21-F21</f>
        <v/>
      </c>
      <c r="I21">
        <f>IF(F21=0,0,G21/F21*100)</f>
        <v/>
      </c>
    </row>
    <row r="22">
      <c r="A22" t="inlineStr">
        <is>
          <t>Skill Level Bonus — 2nd Job</t>
        </is>
      </c>
      <c r="B22">
        <f>IFERROR(1/(I22-100),"n/a")</f>
        <v/>
      </c>
      <c r="C22" t="inlineStr">
        <is>
          <t>level</t>
        </is>
      </c>
      <c r="D22">
        <f>Inputs!$B$25</f>
        <v/>
      </c>
      <c r="E22">
        <f>(Inputs!$B$25+1)</f>
        <v/>
      </c>
      <c r="F22">
        <f>Summary!$B$3</f>
        <v/>
      </c>
      <c r="G22">
        <f>B768</f>
        <v/>
      </c>
      <c r="H22">
        <f>G22-F22</f>
        <v/>
      </c>
      <c r="I22">
        <f>IF(F22=0,0,G22/F22*100)</f>
        <v/>
      </c>
    </row>
    <row r="23">
      <c r="A23" t="inlineStr">
        <is>
          <t>Skill Level Bonus — 3rd Job</t>
        </is>
      </c>
      <c r="B23">
        <f>IFERROR(1/(I23-100),"n/a")</f>
        <v/>
      </c>
      <c r="C23" t="inlineStr">
        <is>
          <t>level</t>
        </is>
      </c>
      <c r="D23">
        <f>Inputs!$B$26</f>
        <v/>
      </c>
      <c r="E23">
        <f>(Inputs!$B$26+1)</f>
        <v/>
      </c>
      <c r="F23">
        <f>Summary!$B$3</f>
        <v/>
      </c>
      <c r="G23">
        <f>B809</f>
        <v/>
      </c>
      <c r="H23">
        <f>G23-F23</f>
        <v/>
      </c>
      <c r="I23">
        <f>IF(F23=0,0,G23/F23*100)</f>
        <v/>
      </c>
    </row>
    <row r="24">
      <c r="A24" t="inlineStr">
        <is>
          <t>Skill Level Bonus — 4th Job</t>
        </is>
      </c>
      <c r="B24">
        <f>IFERROR(1/(I24-100),"n/a")</f>
        <v/>
      </c>
      <c r="C24" t="inlineStr">
        <is>
          <t>level</t>
        </is>
      </c>
      <c r="D24">
        <f>Inputs!$B$27</f>
        <v/>
      </c>
      <c r="E24">
        <f>(Inputs!$B$27+1)</f>
        <v/>
      </c>
      <c r="F24">
        <f>Summary!$B$3</f>
        <v/>
      </c>
      <c r="G24">
        <f>B850</f>
        <v/>
      </c>
      <c r="H24">
        <f>G24-F24</f>
        <v/>
      </c>
      <c r="I24">
        <f>IF(F24=0,0,G24/F24*100)</f>
        <v/>
      </c>
    </row>
    <row r="25">
      <c r="A25" t="inlineStr">
        <is>
          <t>Skill Level Bonus — All Skills</t>
        </is>
      </c>
      <c r="B25">
        <f>IFERROR(1/(I25-100),"n/a")</f>
        <v/>
      </c>
      <c r="C25" t="inlineStr">
        <is>
          <t>level</t>
        </is>
      </c>
      <c r="D25">
        <f>Inputs!$B$28</f>
        <v/>
      </c>
      <c r="E25">
        <f>(Inputs!$B$28+1)</f>
        <v/>
      </c>
      <c r="F25">
        <f>Summary!$B$3</f>
        <v/>
      </c>
      <c r="G25">
        <f>B891</f>
        <v/>
      </c>
      <c r="H25">
        <f>G25-F25</f>
        <v/>
      </c>
      <c r="I25">
        <f>IF(F25=0,0,G25/F25*100)</f>
        <v/>
      </c>
    </row>
    <row r="26">
      <c r="A26" t="inlineStr">
        <is>
          <t>Flat ATTACK</t>
        </is>
      </c>
      <c r="B26">
        <f>IFERROR(1/(I26-100),"n/a")</f>
        <v/>
      </c>
      <c r="C26" t="inlineStr">
        <is>
          <t>flat</t>
        </is>
      </c>
      <c r="D26">
        <f>Inputs!$B$5</f>
        <v/>
      </c>
      <c r="E26">
        <f>(Inputs!$B$5+1)</f>
        <v/>
      </c>
      <c r="F26">
        <f>Summary!$B$3</f>
        <v/>
      </c>
      <c r="G26">
        <f>B932</f>
        <v/>
      </c>
      <c r="H26">
        <f>G26-F26</f>
        <v/>
      </c>
      <c r="I26">
        <f>IF(F26=0,0,G26/F26*100)</f>
        <v/>
      </c>
    </row>
    <row r="27">
      <c r="A27" t="inlineStr">
        <is>
          <t>ATTACK %</t>
        </is>
      </c>
      <c r="B27">
        <f>IFERROR(1/(I27-100),"n/a")</f>
        <v/>
      </c>
      <c r="C27" t="inlineStr">
        <is>
          <t>pct</t>
        </is>
      </c>
      <c r="D27">
        <f>Inputs!$B$6</f>
        <v/>
      </c>
      <c r="E27">
        <f>(Inputs!$B$6+1)</f>
        <v/>
      </c>
      <c r="F27">
        <f>Summary!$B$3</f>
        <v/>
      </c>
      <c r="G27">
        <f>B973</f>
        <v/>
      </c>
      <c r="H27">
        <f>G27-F27</f>
        <v/>
      </c>
      <c r="I27">
        <f>IF(F27=0,0,G27/F27*100)</f>
        <v/>
      </c>
    </row>
    <row r="28">
      <c r="A28" t="inlineStr">
        <is>
          <t>Skill Cooldown Decrease (seconds)</t>
        </is>
      </c>
      <c r="B28">
        <f>IFERROR(1/(I28-100),"n/a")</f>
        <v/>
      </c>
      <c r="C28" t="inlineStr">
        <is>
          <t>flat</t>
        </is>
      </c>
      <c r="D28">
        <f>Inputs!$B$31</f>
        <v/>
      </c>
      <c r="E28">
        <f>(Inputs!$B$31+1)</f>
        <v/>
      </c>
      <c r="F28">
        <f>Summary!$B$3</f>
        <v/>
      </c>
      <c r="G28">
        <f>B1014</f>
        <v/>
      </c>
      <c r="H28">
        <f>G28-F28</f>
        <v/>
      </c>
      <c r="I28">
        <f>IF(F28=0,0,G28/F28*100)</f>
        <v/>
      </c>
    </row>
    <row r="29">
      <c r="A29" t="inlineStr">
        <is>
          <t>Basic Attack Target Increase (flat)</t>
        </is>
      </c>
      <c r="B29">
        <f>IFERROR(1/(I29-100),"n/a")</f>
        <v/>
      </c>
      <c r="C29" t="inlineStr">
        <is>
          <t>flat</t>
        </is>
      </c>
      <c r="D29">
        <f>Inputs!$B$32</f>
        <v/>
      </c>
      <c r="E29">
        <f>(Inputs!$B$32+1)</f>
        <v/>
      </c>
      <c r="F29">
        <f>Summary!$B$3</f>
        <v/>
      </c>
      <c r="G29">
        <f>B1055</f>
        <v/>
      </c>
      <c r="H29">
        <f>G29-F29</f>
        <v/>
      </c>
      <c r="I29">
        <f>IF(F29=0,0,G29/F29*100)</f>
        <v/>
      </c>
    </row>
    <row r="30">
      <c r="A30" t="inlineStr">
        <is>
          <t>Buff Duration Increase %</t>
        </is>
      </c>
      <c r="B30">
        <f>IFERROR(1/(I30-100),"n/a")</f>
        <v/>
      </c>
      <c r="C30" t="inlineStr">
        <is>
          <t>pct</t>
        </is>
      </c>
      <c r="D30">
        <f>Inputs!$B$33</f>
        <v/>
      </c>
      <c r="E30">
        <f>(Inputs!$B$33+1)</f>
        <v/>
      </c>
      <c r="F30">
        <f>Summary!$B$3</f>
        <v/>
      </c>
      <c r="G30">
        <f>B1096</f>
        <v/>
      </c>
      <c r="H30">
        <f>G30-F30</f>
        <v/>
      </c>
      <c r="I30">
        <f>IF(F30=0,0,G30/F30*100)</f>
        <v/>
      </c>
    </row>
    <row r="33">
      <c r="A33" s="5" t="inlineStr">
        <is>
          <t>Stat: Flat DEX</t>
        </is>
      </c>
    </row>
    <row r="34">
      <c r="A34" s="8" t="inlineStr">
        <is>
          <t>Key</t>
        </is>
      </c>
      <c r="B34" s="8" t="inlineStr">
        <is>
          <t>Name</t>
        </is>
      </c>
      <c r="C34" s="8" t="inlineStr">
        <is>
          <t>Unlocked</t>
        </is>
      </c>
      <c r="D34" s="8" t="inlineStr">
        <is>
          <t>InputLevel</t>
        </is>
      </c>
      <c r="E34" s="8" t="inlineStr">
        <is>
          <t>Factor</t>
        </is>
      </c>
      <c r="F34" s="8" t="inlineStr">
        <is>
          <t>CoefficientPercent</t>
        </is>
      </c>
      <c r="G34" s="8" t="inlineStr">
        <is>
          <t>EffectiveHits</t>
        </is>
      </c>
      <c r="H34" s="8" t="inlineStr">
        <is>
          <t>ProcProbability</t>
        </is>
      </c>
      <c r="I34" s="8" t="inlineStr">
        <is>
          <t>MapleHeroMultiplier</t>
        </is>
      </c>
      <c r="J34" s="8" t="inlineStr">
        <is>
          <t>BaseDamage</t>
        </is>
      </c>
      <c r="K34" s="8" t="inlineStr">
        <is>
          <t>BaseHitDamage</t>
        </is>
      </c>
      <c r="L34" s="8" t="inlineStr">
        <is>
          <t>NonCritAvg</t>
        </is>
      </c>
      <c r="M34" s="8" t="inlineStr">
        <is>
          <t>CritAvg</t>
        </is>
      </c>
      <c r="N34" s="8" t="inlineStr">
        <is>
          <t>ExpectedDamage(perHit)</t>
        </is>
      </c>
      <c r="O34" s="8" t="inlineStr">
        <is>
          <t>DPS</t>
        </is>
      </c>
      <c r="P34" s="8" t="inlineStr">
        <is>
          <t>% of Total</t>
        </is>
      </c>
      <c r="Q34" s="8" t="inlineStr">
        <is>
          <t>InvCooldown</t>
        </is>
      </c>
      <c r="R34" s="8" t="inlineStr">
        <is>
          <t>CastsInFight</t>
        </is>
      </c>
      <c r="S34" s="8" t="inlineStr">
        <is>
          <t>HitRate(perSec)</t>
        </is>
      </c>
      <c r="U34" t="inlineStr">
        <is>
          <t>helpers</t>
        </is>
      </c>
    </row>
    <row r="35">
      <c r="A35">
        <f>Skills!A2</f>
        <v/>
      </c>
      <c r="B35">
        <f>Skills!B2</f>
        <v/>
      </c>
      <c r="C35">
        <f>Inputs!$B$3&gt;=100</f>
        <v/>
      </c>
      <c r="D35" t="inlineStr"/>
      <c r="E35" t="inlineStr"/>
      <c r="F35">
        <f>U37+Skills!O2</f>
        <v/>
      </c>
      <c r="G35">
        <f>Skills!G2*IF(Skills!H2&gt;0,Skills!I2/Skills!H2,1)</f>
        <v/>
      </c>
      <c r="H35">
        <f>1-(1-Skills!J2/100)^Skills!K2</f>
        <v/>
      </c>
      <c r="I35" t="inlineStr">
        <is>
          <t>1</t>
        </is>
      </c>
      <c r="J35">
        <f>(Inputs!$B$5*(1+Inputs!$B$6/100))*(F35/100)</f>
        <v/>
      </c>
      <c r="K35">
        <f>J35*(1+(((Inputs!$B$11+1)*(1+Inputs!$B$12/100))*0.01+Inputs!$B$13*0.0025)/100)*(1+Inputs!$B$14/100)*(1+IF(Inputs!$B$4="pvp",0,(1-Summary!$B$55)*(Inputs!$B$19+0+Skills!P2)+Summary!$B$55*(Inputs!$B$20+Skills!Q2))/100)*(1+Inputs!$B$15/100)*(5000/(6000+Inputs!$B$7*(1-(Inputs!$B$18+0)/100)))*(1+(Inputs!$B$23+((C59=TRUE)*(F59-Calc!F26))+B69)/100)*(1+(IF(Skills!A2="EIGHT_LEGS_EASTON",Inputs!$B$16+((C56=TRUE)*(F56-Calc!F23))+((C60=TRUE)*(F60-Calc!F27)),Inputs!$B$17+0))/100)*((1+(((C50=TRUE)*F50)+((C57=TRUE)*(F57-Calc!F24)))/100)*I35)</f>
        <v/>
      </c>
      <c r="L35">
        <f>K35*(MIN(Inputs!$B$21+((C55=TRUE)*(F55-Calc!F22)),Inputs!$B$22+0)/100+(Inputs!$B$22+0)/100)/2</f>
        <v/>
      </c>
      <c r="M35">
        <f>L35*(1+(Inputs!$B$9+((C58=TRUE)*(F58-Calc!F25))+B68)/100)</f>
        <v/>
      </c>
      <c r="N35">
        <f>L35*(1-MIN((Inputs!$B$8+((C52=TRUE)*(F52-Calc!F19))+B63),100)/100)+M35*(MIN((Inputs!$B$8+((C52=TRUE)*(F52-Calc!F19))+B63),100)/100)</f>
        <v/>
      </c>
      <c r="O35">
        <f>IF(C35,Skills!G2*N35*B67*IF(Inputs!$B$4="pvp",1,(1-Summary!$B$55)*(1)+Summary!$B$55*(MIN((6+Inputs!$B$32),Inputs!$B$37))),0)</f>
        <v/>
      </c>
      <c r="P35">
        <f>IF(B71=0,0,O35/B71)</f>
        <v/>
      </c>
      <c r="Q35" t="n">
        <v>0</v>
      </c>
      <c r="R35" t="n">
        <v>0</v>
      </c>
      <c r="S35">
        <f>IFERROR(O35/N35,0)</f>
        <v/>
      </c>
      <c r="U35">
        <f>MAX(0,(Inputs!$B$3-100)*3)+Inputs!$B$27+Inputs!$B$28</f>
        <v/>
      </c>
    </row>
    <row r="36">
      <c r="A36">
        <f>Skills!A3</f>
        <v/>
      </c>
      <c r="B36">
        <f>Skills!B3</f>
        <v/>
      </c>
      <c r="C36">
        <f>Inputs!$B$3&gt;=35</f>
        <v/>
      </c>
      <c r="D36">
        <f>IF(Skills!C3=1,60+Inputs!$B$24+Inputs!$B$28,IF(Skills!C3=2,90+Inputs!$B$25+Inputs!$B$28,IF(Skills!C3=3,120+Inputs!$B$26+Inputs!$B$28,MAX(0,(Inputs!$B$3-100)*3)+Inputs!$B$27+Inputs!$B$28)))</f>
        <v/>
      </c>
      <c r="E36">
        <f>INDEX(FactorTable!$B$2:$Y$301, MATCH(ROUND(MIN(300,MAX(1,D36)),0), FactorTable!$A$2:$A$301,0), Skills!M3+1)</f>
        <v/>
      </c>
      <c r="F36">
        <f>IF(Skills!N3=TRUE,(Skills!L3/10)*(E36/1000),Skills!L3/10)+Skills!O3</f>
        <v/>
      </c>
      <c r="G36">
        <f>Skills!G3*IF(Skills!H3&gt;0,Skills!I3/Skills!H3,1)</f>
        <v/>
      </c>
      <c r="H36">
        <f>1-(1-Skills!J3/100)^Skills!K3</f>
        <v/>
      </c>
      <c r="I36" t="inlineStr">
        <is>
          <t>1</t>
        </is>
      </c>
      <c r="J36">
        <f>(Inputs!$B$5*(1+Inputs!$B$6/100))*(F36/100)</f>
        <v/>
      </c>
      <c r="K36">
        <f>J36*(1+(((Inputs!$B$11+1)*(1+Inputs!$B$12/100))*0.01+Inputs!$B$13*0.0025)/100)*(1+Inputs!$B$14/100)*(1+IF(Inputs!$B$4="pvp",0,(1-Summary!$B$55)*(Inputs!$B$19+0+Skills!P3)+Summary!$B$55*(Inputs!$B$20+Skills!Q3))/100)*(1+Inputs!$B$15/100)*(5000/(6000+Inputs!$B$7*(1-(Inputs!$B$18+0)/100)))*(1+(Inputs!$B$23+((C59=TRUE)*(F59-Calc!F26))+B69)/100)*(1+4.0*IF(C48=TRUE,F48,0)/100)*(1+(IF(Skills!A3="EIGHT_LEGS_EASTON",Inputs!$B$16+((C56=TRUE)*(F56-Calc!F23))+((C60=TRUE)*(F60-Calc!F27)),Inputs!$B$17+0))/100)*((1+(((C50=TRUE)*F50)+((C57=TRUE)*(F57-Calc!F24)))/100)*I36)</f>
        <v/>
      </c>
      <c r="L36">
        <f>K36*(MIN(Inputs!$B$21+((C55=TRUE)*(F55-Calc!F22)),Inputs!$B$22+0)/100+(Inputs!$B$22+0)/100)/2</f>
        <v/>
      </c>
      <c r="M36">
        <f>L36*(1+(Inputs!$B$9+((C58=TRUE)*(F58-Calc!F25))+B68)/100)</f>
        <v/>
      </c>
      <c r="N36">
        <f>L36*(1-MIN((Inputs!$B$8+((C52=TRUE)*(F52-Calc!F19))+B63),100)/100)+M36*(MIN((Inputs!$B$8+((C52=TRUE)*(F52-Calc!F19))+B63),100)/100)</f>
        <v/>
      </c>
      <c r="O36">
        <f>IF(C36,H36*N36*IF(AND(Inputs!$B$4&lt;&gt;"pvp",Inputs!$B$35&gt;0),((Skills!G3*((R36-1)*IF(Skills!H3&gt;0,Skills!I3/Skills!H3,1)+IF(Skills!H3&gt;0,MIN(Skills!I3,MAX(0,Inputs!$B$35-((R36-1)*IF(Inputs!$B$4="pvp",15,MAX(0.1,Skills!D3-IF(Skills!E3=TRUE,Inputs!$B$31,0))))))/Skills!H3,1)))/Inputs!$B$35),G36*Q36)*IF(Inputs!$B$4="pvp",1,(1-Summary!$B$55)*(1)+Summary!$B$55*(MIN(Skills!R3,Inputs!$B$37))),0)</f>
        <v/>
      </c>
      <c r="P36">
        <f>IF(B71=0,0,O36/B71)</f>
        <v/>
      </c>
      <c r="Q36">
        <f>IFERROR(1/IF(Inputs!$B$4="pvp",15,MAX(0.1,Skills!D3-IF(Skills!E3=TRUE,Inputs!$B$31,0))),0)</f>
        <v/>
      </c>
      <c r="R36">
        <f>IF(AND(Inputs!$B$4&lt;&gt;"pvp",Inputs!$B$35&gt;0),(INT(Inputs!$B$35/IF(Inputs!$B$4="pvp",15,MAX(0.1,Skills!D3-IF(Skills!E3=TRUE,Inputs!$B$31,0))))+1),0)</f>
        <v/>
      </c>
      <c r="S36">
        <f>IFERROR(O36/N36,0)</f>
        <v/>
      </c>
      <c r="U36">
        <f>INDEX(FactorTable!$B$2:$Y$301, MATCH(ROUND(MIN(300,MAX(1,U35)),0), FactorTable!$A$2:$A$301,0), 22)</f>
        <v/>
      </c>
    </row>
    <row r="37">
      <c r="A37">
        <f>Skills!A4</f>
        <v/>
      </c>
      <c r="B37">
        <f>Skills!B4</f>
        <v/>
      </c>
      <c r="C37">
        <f>Inputs!$B$3&gt;=40</f>
        <v/>
      </c>
      <c r="D37">
        <f>IF(Skills!C4=1,60+Inputs!$B$24+Inputs!$B$28,IF(Skills!C4=2,90+Inputs!$B$25+Inputs!$B$28,IF(Skills!C4=3,120+Inputs!$B$26+Inputs!$B$28,MAX(0,(Inputs!$B$3-100)*3)+Inputs!$B$27+Inputs!$B$28)))</f>
        <v/>
      </c>
      <c r="E37">
        <f>INDEX(FactorTable!$B$2:$Y$301, MATCH(ROUND(MIN(300,MAX(1,D37)),0), FactorTable!$A$2:$A$301,0), Skills!M4+1)</f>
        <v/>
      </c>
      <c r="F37">
        <f>IF(Skills!N4=TRUE,(Skills!L4/10)*(E37/1000),Skills!L4/10)+Skills!O4</f>
        <v/>
      </c>
      <c r="G37">
        <f>Skills!G4*IF(Skills!H4&gt;0,Skills!I4/Skills!H4,1)</f>
        <v/>
      </c>
      <c r="H37">
        <f>1-(1-Skills!J4/100)^Skills!K4</f>
        <v/>
      </c>
      <c r="I37" t="inlineStr">
        <is>
          <t>1</t>
        </is>
      </c>
      <c r="J37">
        <f>(Inputs!$B$5*(1+Inputs!$B$6/100))*(F37/100)</f>
        <v/>
      </c>
      <c r="K37">
        <f>J37*(1+(((Inputs!$B$11+1)*(1+Inputs!$B$12/100))*0.01+Inputs!$B$13*0.0025)/100)*(1+Inputs!$B$14/100)*(1+IF(Inputs!$B$4="pvp",0,(1-Summary!$B$55)*(Inputs!$B$19+0+Skills!P4)+Summary!$B$55*(Inputs!$B$20+Skills!Q4))/100)*(1+Inputs!$B$15/100)*(5000/(6000+Inputs!$B$7*(1-(Inputs!$B$18+0)/100)))*(1+(Inputs!$B$23+((C59=TRUE)*(F59-Calc!F26))+B69)/100)*(1+1.0*IF(C49=TRUE,F49,0)/100)*(1+(IF(Skills!A4="EIGHT_LEGS_EASTON",Inputs!$B$16+((C56=TRUE)*(F56-Calc!F23))+((C60=TRUE)*(F60-Calc!F27)),Inputs!$B$17+0))/100)*((1+(((C50=TRUE)*F50)+((C57=TRUE)*(F57-Calc!F24)))/100)*I37)</f>
        <v/>
      </c>
      <c r="L37">
        <f>K37*(MIN(Inputs!$B$21+((C55=TRUE)*(F55-Calc!F22)),Inputs!$B$22+0)/100+(Inputs!$B$22+0)/100)/2</f>
        <v/>
      </c>
      <c r="M37">
        <f>L37*(1+(Inputs!$B$9+((C58=TRUE)*(F58-Calc!F25))+B68)/100)</f>
        <v/>
      </c>
      <c r="N37">
        <f>L37*(1-MIN((Inputs!$B$8+((C52=TRUE)*(F52-Calc!F19))+B63),100)/100)+M37*(MIN((Inputs!$B$8+((C52=TRUE)*(F52-Calc!F19))+B63),100)/100)</f>
        <v/>
      </c>
      <c r="O37">
        <f>IF(C37,H37*N37*IF(AND(Inputs!$B$4&lt;&gt;"pvp",Inputs!$B$35&gt;0),((Skills!G4*((R37-1)*IF(Skills!H4&gt;0,Skills!I4/Skills!H4,1)+IF(Skills!H4&gt;0,MIN(Skills!I4,MAX(0,Inputs!$B$35-((R37-1)*IF(Inputs!$B$4="pvp",15,MAX(0.1,Skills!D4-IF(Skills!E4=TRUE,Inputs!$B$31,0))))))/Skills!H4,1)))/Inputs!$B$35),G37*Q37)*IF(Inputs!$B$4="pvp",1,(1-Summary!$B$55)*(1)+Summary!$B$55*(MIN(Skills!R4,Inputs!$B$37))),0)</f>
        <v/>
      </c>
      <c r="P37">
        <f>IF(B71=0,0,O37/B71)</f>
        <v/>
      </c>
      <c r="Q37">
        <f>IFERROR(1/IF(Inputs!$B$4="pvp",15,MAX(0.1,Skills!D4-IF(Skills!E4=TRUE,Inputs!$B$31,0))),0)</f>
        <v/>
      </c>
      <c r="R37">
        <f>IF(AND(Inputs!$B$4&lt;&gt;"pvp",Inputs!$B$35&gt;0),(INT(Inputs!$B$35/IF(Inputs!$B$4="pvp",15,MAX(0.1,Skills!D4-IF(Skills!E4=TRUE,Inputs!$B$31,0))))+1),0)</f>
        <v/>
      </c>
      <c r="S37">
        <f>IFERROR(O37/N37,0)</f>
        <v/>
      </c>
      <c r="U37">
        <f>290*U36/1000</f>
        <v/>
      </c>
    </row>
    <row r="38">
      <c r="A38">
        <f>Skills!A5</f>
        <v/>
      </c>
      <c r="B38">
        <f>Skills!B5</f>
        <v/>
      </c>
      <c r="C38">
        <f>Inputs!$B$3&gt;=45</f>
        <v/>
      </c>
      <c r="D38">
        <f>IF(Skills!C5=1,60+Inputs!$B$24+Inputs!$B$28,IF(Skills!C5=2,90+Inputs!$B$25+Inputs!$B$28,IF(Skills!C5=3,120+Inputs!$B$26+Inputs!$B$28,MAX(0,(Inputs!$B$3-100)*3)+Inputs!$B$27+Inputs!$B$28)))</f>
        <v/>
      </c>
      <c r="E38">
        <f>INDEX(FactorTable!$B$2:$Y$301, MATCH(ROUND(MIN(300,MAX(1,D38)),0), FactorTable!$A$2:$A$301,0), Skills!M5+1)</f>
        <v/>
      </c>
      <c r="F38">
        <f>IF(Skills!N5=TRUE,(Skills!L5/10)*(E38/1000),Skills!L5/10)+Skills!O5</f>
        <v/>
      </c>
      <c r="G38">
        <f>Skills!G5*IF(Skills!H5&gt;0,Skills!I5/Skills!H5,1)</f>
        <v/>
      </c>
      <c r="H38">
        <f>1-(1-Skills!J5/100)^Skills!K5</f>
        <v/>
      </c>
      <c r="I38" t="inlineStr">
        <is>
          <t>1</t>
        </is>
      </c>
      <c r="J38">
        <f>(Inputs!$B$5*(1+Inputs!$B$6/100))*(F38/100)</f>
        <v/>
      </c>
      <c r="K38">
        <f>J38*(1+(((Inputs!$B$11+1)*(1+Inputs!$B$12/100))*0.01+Inputs!$B$13*0.0025)/100)*(1+Inputs!$B$14/100)*(1+IF(Inputs!$B$4="pvp",0,(1-Summary!$B$55)*(Inputs!$B$19+0+Skills!P5)+Summary!$B$55*(Inputs!$B$20+Skills!Q5))/100)*(1+Inputs!$B$15/100)*(5000/(6000+Inputs!$B$7*(1-(Inputs!$B$18+0)/100)))*(1+(Inputs!$B$23+((C59=TRUE)*(F59-Calc!F26))+B69)/100)*(1+0.4*IF(C49=TRUE,F49,0)/100)*(1+(IF(Skills!A5="EIGHT_LEGS_EASTON",Inputs!$B$16+((C56=TRUE)*(F56-Calc!F23))+((C60=TRUE)*(F60-Calc!F27)),Inputs!$B$17+0))/100)*((1+(((C50=TRUE)*F50)+((C57=TRUE)*(F57-Calc!F24)))/100)*I38)</f>
        <v/>
      </c>
      <c r="L38">
        <f>K38*(MIN(Inputs!$B$21+((C55=TRUE)*(F55-Calc!F22)),Inputs!$B$22+0)/100+(Inputs!$B$22+0)/100)/2</f>
        <v/>
      </c>
      <c r="M38">
        <f>L38*(1+(Inputs!$B$9+((C58=TRUE)*(F58-Calc!F25))+B68)/100)</f>
        <v/>
      </c>
      <c r="N38">
        <f>L38*(1-MIN((Inputs!$B$8+((C52=TRUE)*(F52-Calc!F19))+B63),100)/100)+M38*(MIN((Inputs!$B$8+((C52=TRUE)*(F52-Calc!F19))+B63),100)/100)</f>
        <v/>
      </c>
      <c r="O38">
        <f>IF(C38,H38*N38*IF(AND(Inputs!$B$4&lt;&gt;"pvp",Inputs!$B$35&gt;0),((Skills!G5*((R38-1)*IF(Skills!H5&gt;0,Skills!I5/Skills!H5,1)+IF(Skills!H5&gt;0,MIN(Skills!I5,MAX(0,Inputs!$B$35-((R38-1)*IF(Inputs!$B$4="pvp",15,MAX(0.1,Skills!D5-IF(Skills!E5=TRUE,Inputs!$B$31,0))))))/Skills!H5,1)))/Inputs!$B$35),G38*Q38)*IF(Inputs!$B$4="pvp",1,(1-Summary!$B$55)*(1)+Summary!$B$55*(MIN(Skills!R5,Inputs!$B$37))),0)</f>
        <v/>
      </c>
      <c r="P38">
        <f>IF(B71=0,0,O38/B71)</f>
        <v/>
      </c>
      <c r="Q38">
        <f>IFERROR(1/IF(Inputs!$B$4="pvp",15,MAX(0.1,Skills!D5-IF(Skills!E5=TRUE,Inputs!$B$31,0))),0)</f>
        <v/>
      </c>
      <c r="R38">
        <f>IF(AND(Inputs!$B$4&lt;&gt;"pvp",Inputs!$B$35&gt;0),(INT(Inputs!$B$35/IF(Inputs!$B$4="pvp",15,MAX(0.1,Skills!D5-IF(Skills!E5=TRUE,Inputs!$B$31,0))))+1),0)</f>
        <v/>
      </c>
      <c r="S38">
        <f>IFERROR(O38/N38,0)</f>
        <v/>
      </c>
    </row>
    <row r="39">
      <c r="A39">
        <f>Skills!A6</f>
        <v/>
      </c>
      <c r="B39">
        <f>Skills!B6</f>
        <v/>
      </c>
      <c r="C39">
        <f>Inputs!$B$3&gt;=63</f>
        <v/>
      </c>
      <c r="D39">
        <f>IF(Skills!C6=1,60+Inputs!$B$24+Inputs!$B$28,IF(Skills!C6=2,90+Inputs!$B$25+Inputs!$B$28,IF(Skills!C6=3,120+Inputs!$B$26+Inputs!$B$28,MAX(0,(Inputs!$B$3-100)*3)+Inputs!$B$27+Inputs!$B$28)))</f>
        <v/>
      </c>
      <c r="E39">
        <f>INDEX(FactorTable!$B$2:$Y$301, MATCH(ROUND(MIN(300,MAX(1,D39)),0), FactorTable!$A$2:$A$301,0), Skills!M6+1)</f>
        <v/>
      </c>
      <c r="F39">
        <f>IF(Skills!N6=TRUE,(Skills!L6/10)*(E39/1000),Skills!L6/10)+Skills!O6</f>
        <v/>
      </c>
      <c r="G39">
        <f>Skills!G6*IF(Skills!H6&gt;0,Skills!I6/Skills!H6,1)</f>
        <v/>
      </c>
      <c r="H39">
        <f>1-(1-Skills!J6/100)^Skills!K6</f>
        <v/>
      </c>
      <c r="I39" t="inlineStr">
        <is>
          <t>1</t>
        </is>
      </c>
      <c r="J39">
        <f>(Inputs!$B$5*(1+Inputs!$B$6/100))*(F39/100)</f>
        <v/>
      </c>
      <c r="K39">
        <f>J39*(1+(((Inputs!$B$11+1)*(1+Inputs!$B$12/100))*0.01+Inputs!$B$13*0.0025)/100)*(1+Inputs!$B$14/100)*(1+IF(Inputs!$B$4="pvp",0,(1-Summary!$B$55)*(Inputs!$B$19+0+Skills!P6)+Summary!$B$55*(Inputs!$B$20+Skills!Q6))/100)*(1+Inputs!$B$15/100)*(5000/(6000+Inputs!$B$7*(1-(Inputs!$B$18+0)/100)))*(1+(Inputs!$B$23+((C59=TRUE)*(F59-Calc!F26))+B69)/100)*(1+2.0*IF(C48=TRUE,F48,0)/100)*(1+(IF(Skills!A6="EIGHT_LEGS_EASTON",Inputs!$B$16+((C56=TRUE)*(F56-Calc!F23))+((C60=TRUE)*(F60-Calc!F27)),Inputs!$B$17+0))/100)*((1+(((C50=TRUE)*F50)+((C57=TRUE)*(F57-Calc!F24)))/100)*I39)</f>
        <v/>
      </c>
      <c r="L39">
        <f>K39*(MIN(Inputs!$B$21+((C55=TRUE)*(F55-Calc!F22)),Inputs!$B$22+0)/100+(Inputs!$B$22+0)/100)/2</f>
        <v/>
      </c>
      <c r="M39">
        <f>L39*(1+(Inputs!$B$9+((C58=TRUE)*(F58-Calc!F25))+B68)/100)</f>
        <v/>
      </c>
      <c r="N39">
        <f>L39*(1-MIN((Inputs!$B$8+((C52=TRUE)*(F52-Calc!F19))+B63),100)/100)+M39*(MIN((Inputs!$B$8+((C52=TRUE)*(F52-Calc!F19))+B63),100)/100)</f>
        <v/>
      </c>
      <c r="O39">
        <f>IF(C39,H39*N39*IF(AND(Inputs!$B$4&lt;&gt;"pvp",Inputs!$B$35&gt;0),((Skills!G6*((R39-1)*IF(Skills!H6&gt;0,Skills!I6/Skills!H6,1)+IF(Skills!H6&gt;0,MIN(Skills!I6,MAX(0,Inputs!$B$35-((R39-1)*IF(Inputs!$B$4="pvp",15,MAX(0.1,Skills!D6-IF(Skills!E6=TRUE,Inputs!$B$31,0))))))/Skills!H6,1)))/Inputs!$B$35),G39*Q39)*IF(Inputs!$B$4="pvp",1,(1-Summary!$B$55)*(1)+Summary!$B$55*(MIN(Skills!R6,Inputs!$B$37))),0)</f>
        <v/>
      </c>
      <c r="P39">
        <f>IF(B71=0,0,O39/B71)</f>
        <v/>
      </c>
      <c r="Q39">
        <f>IFERROR(1/IF(Inputs!$B$4="pvp",15,MAX(0.1,Skills!D6-IF(Skills!E6=TRUE,Inputs!$B$31,0))),0)</f>
        <v/>
      </c>
      <c r="R39">
        <f>IF(AND(Inputs!$B$4&lt;&gt;"pvp",Inputs!$B$35&gt;0),(INT(Inputs!$B$35/IF(Inputs!$B$4="pvp",15,MAX(0.1,Skills!D6-IF(Skills!E6=TRUE,Inputs!$B$31,0))))+1),0)</f>
        <v/>
      </c>
      <c r="S39">
        <f>IFERROR(O39/N39,0)</f>
        <v/>
      </c>
    </row>
    <row r="40">
      <c r="A40">
        <f>Skills!A7</f>
        <v/>
      </c>
      <c r="B40">
        <f>Skills!B7</f>
        <v/>
      </c>
      <c r="C40">
        <f>Inputs!$B$3&gt;=66</f>
        <v/>
      </c>
      <c r="D40">
        <f>IF(Skills!C7=1,60+Inputs!$B$24+Inputs!$B$28,IF(Skills!C7=2,90+Inputs!$B$25+Inputs!$B$28,IF(Skills!C7=3,120+Inputs!$B$26+Inputs!$B$28,MAX(0,(Inputs!$B$3-100)*3)+Inputs!$B$27+Inputs!$B$28)))</f>
        <v/>
      </c>
      <c r="E40">
        <f>INDEX(FactorTable!$B$2:$Y$301, MATCH(ROUND(MIN(300,MAX(1,D40)),0), FactorTable!$A$2:$A$301,0), Skills!M7+1)</f>
        <v/>
      </c>
      <c r="F40">
        <f>IF(Skills!N7=TRUE,(Skills!L7/10)*(E40/1000),Skills!L7/10)+Skills!O7</f>
        <v/>
      </c>
      <c r="G40">
        <f>Skills!G7*IF(Skills!H7&gt;0,Skills!I7/Skills!H7,1)</f>
        <v/>
      </c>
      <c r="H40">
        <f>1-(1-Skills!J7/100)^Skills!K7</f>
        <v/>
      </c>
      <c r="I40" t="inlineStr">
        <is>
          <t>1</t>
        </is>
      </c>
      <c r="J40">
        <f>(Inputs!$B$5*(1+Inputs!$B$6/100))*(F40/100)</f>
        <v/>
      </c>
      <c r="K40">
        <f>J40*(1+(((Inputs!$B$11+1)*(1+Inputs!$B$12/100))*0.01+Inputs!$B$13*0.0025)/100)*(1+Inputs!$B$14/100)*(1+IF(Inputs!$B$4="pvp",0,(1-Summary!$B$55)*(Inputs!$B$19+0+Skills!P7)+Summary!$B$55*(Inputs!$B$20+Skills!Q7))/100)*(1+Inputs!$B$15/100)*(5000/(6000+Inputs!$B$7*(1-(Inputs!$B$18+0)/100)))*(1+(Inputs!$B$23+((C59=TRUE)*(F59-Calc!F26))+B69)/100)*(1+1.0*IF(C48=TRUE,F48,0)/100)*(1+(IF(Skills!A7="EIGHT_LEGS_EASTON",Inputs!$B$16+((C56=TRUE)*(F56-Calc!F23))+((C60=TRUE)*(F60-Calc!F27)),Inputs!$B$17+0))/100)*((1+(((C50=TRUE)*F50)+((C57=TRUE)*(F57-Calc!F24)))/100)*I40)</f>
        <v/>
      </c>
      <c r="L40">
        <f>K40*(MIN(Inputs!$B$21+((C55=TRUE)*(F55-Calc!F22)),Inputs!$B$22+0)/100+(Inputs!$B$22+0)/100)/2</f>
        <v/>
      </c>
      <c r="M40">
        <f>L40*(1+(Inputs!$B$9+((C58=TRUE)*(F58-Calc!F25))+B68)/100)</f>
        <v/>
      </c>
      <c r="N40">
        <f>L40*(1-MIN((Inputs!$B$8+((C52=TRUE)*(F52-Calc!F19))+B63),100)/100)+M40*(MIN((Inputs!$B$8+((C52=TRUE)*(F52-Calc!F19))+B63),100)/100)</f>
        <v/>
      </c>
      <c r="O40">
        <f>IF(C40,H40*N40*IF(AND(Inputs!$B$4&lt;&gt;"pvp",Inputs!$B$35&gt;0),((Skills!G7*((R40-1)*IF(Skills!H7&gt;0,Skills!I7/Skills!H7,1)+IF(Skills!H7&gt;0,MIN(Skills!I7,MAX(0,Inputs!$B$35-((R40-1)*IF(Inputs!$B$4="pvp",15,MAX(0.1,Skills!D7-IF(Skills!E7=TRUE,Inputs!$B$31,0))))))/Skills!H7,1)))/Inputs!$B$35),G40*Q40)*IF(Inputs!$B$4="pvp",1,(1-Summary!$B$55)*(1)+Summary!$B$55*(MIN(Skills!R7,Inputs!$B$37))),0)</f>
        <v/>
      </c>
      <c r="P40">
        <f>IF(B71=0,0,O40/B71)</f>
        <v/>
      </c>
      <c r="Q40">
        <f>IFERROR(1/IF(Inputs!$B$4="pvp",15,MAX(0.1,Skills!D7-IF(Skills!E7=TRUE,Inputs!$B$31,0))),0)</f>
        <v/>
      </c>
      <c r="R40">
        <f>IF(AND(Inputs!$B$4&lt;&gt;"pvp",Inputs!$B$35&gt;0),(INT(Inputs!$B$35/IF(Inputs!$B$4="pvp",15,MAX(0.1,Skills!D7-IF(Skills!E7=TRUE,Inputs!$B$31,0))))+1),0)</f>
        <v/>
      </c>
      <c r="S40">
        <f>IFERROR(O40/N40,0)</f>
        <v/>
      </c>
    </row>
    <row r="41">
      <c r="A41">
        <f>Skills!A8</f>
        <v/>
      </c>
      <c r="B41">
        <f>Skills!B8</f>
        <v/>
      </c>
      <c r="C41">
        <f>Inputs!$B$3&gt;=100</f>
        <v/>
      </c>
      <c r="D41">
        <f>IF(Skills!C8=1,60+Inputs!$B$24+Inputs!$B$28,IF(Skills!C8=2,90+Inputs!$B$25+Inputs!$B$28,IF(Skills!C8=3,120+Inputs!$B$26+Inputs!$B$28,MAX(0,(Inputs!$B$3-100)*3)+Inputs!$B$27+Inputs!$B$28)))</f>
        <v/>
      </c>
      <c r="E41">
        <f>INDEX(FactorTable!$B$2:$Y$301, MATCH(ROUND(MIN(300,MAX(1,D41)),0), FactorTable!$A$2:$A$301,0), Skills!M8+1)</f>
        <v/>
      </c>
      <c r="F41">
        <f>IF(Skills!N8=TRUE,(Skills!L8/10)*(E41/1000),Skills!L8/10)+Skills!O8</f>
        <v/>
      </c>
      <c r="G41">
        <f>Skills!G8*IF(Skills!H8&gt;0,Skills!I8/Skills!H8,1)</f>
        <v/>
      </c>
      <c r="H41">
        <f>1-(1-Skills!J8/100)^Skills!K8</f>
        <v/>
      </c>
      <c r="I41" t="inlineStr">
        <is>
          <t>1</t>
        </is>
      </c>
      <c r="J41">
        <f>(Inputs!$B$5*(1+Inputs!$B$6/100))*(F41/100)</f>
        <v/>
      </c>
      <c r="K41">
        <f>J41*(1+(((Inputs!$B$11+1)*(1+Inputs!$B$12/100))*0.01+Inputs!$B$13*0.0025)/100)*(1+Inputs!$B$14/100)*(1+IF(Inputs!$B$4="pvp",0,(1-Summary!$B$55)*(Inputs!$B$19+0+Skills!P8)+Summary!$B$55*(Inputs!$B$20+Skills!Q8))/100)*(1+Inputs!$B$15/100)*(5000/(6000+Inputs!$B$7*(1-(Inputs!$B$18+0)/100)))*(1+(Inputs!$B$23+((C59=TRUE)*(F59-Calc!F26))+B69)/100)*(1+(IF(Skills!A8="EIGHT_LEGS_EASTON",Inputs!$B$16+((C56=TRUE)*(F56-Calc!F23))+((C60=TRUE)*(F60-Calc!F27)),Inputs!$B$17+0))/100)*((1+(((C50=TRUE)*F50)+((C57=TRUE)*(F57-Calc!F24)))/100)*I41)</f>
        <v/>
      </c>
      <c r="L41">
        <f>K41*(MIN(Inputs!$B$21+((C55=TRUE)*(F55-Calc!F22)),Inputs!$B$22+0)/100+(Inputs!$B$22+0)/100)/2</f>
        <v/>
      </c>
      <c r="M41">
        <f>L41*(1+(Inputs!$B$9+((C58=TRUE)*(F58-Calc!F25))+B68)/100)</f>
        <v/>
      </c>
      <c r="N41">
        <f>L41*(1-MIN((Inputs!$B$8+((C52=TRUE)*(F52-Calc!F19))+B63),100)/100)+M41*(MIN((Inputs!$B$8+((C52=TRUE)*(F52-Calc!F19))+B63),100)/100)</f>
        <v/>
      </c>
      <c r="O41">
        <f>IF(C41,H41*N41*IF(AND(Inputs!$B$4&lt;&gt;"pvp",Inputs!$B$35&gt;0),((Skills!G8*((R41-1)*IF(Skills!H8&gt;0,Skills!I8/Skills!H8,1)+IF(Skills!H8&gt;0,MIN(Skills!I8,MAX(0,Inputs!$B$35-((R41-1)*IF(Inputs!$B$4="pvp",15,MAX(0.1,Skills!D8-IF(Skills!E8=TRUE,Inputs!$B$31,0))))))/Skills!H8,1)))/Inputs!$B$35),G41*Q41)*IF(Inputs!$B$4="pvp",1,(1-Summary!$B$55)*(1)+Summary!$B$55*(MIN(Skills!R8,Inputs!$B$37))),0)</f>
        <v/>
      </c>
      <c r="P41">
        <f>IF(B71=0,0,O41/B71)</f>
        <v/>
      </c>
      <c r="Q41">
        <f>IFERROR(1/IF(Inputs!$B$4="pvp",15,MAX(0.1,Skills!D8-IF(Skills!E8=TRUE,Inputs!$B$31,0))),0)</f>
        <v/>
      </c>
      <c r="R41">
        <f>IF(AND(Inputs!$B$4&lt;&gt;"pvp",Inputs!$B$35&gt;0),(INT(Inputs!$B$35/IF(Inputs!$B$4="pvp",15,MAX(0.1,Skills!D8-IF(Skills!E8=TRUE,Inputs!$B$31,0))))+1),0)</f>
        <v/>
      </c>
      <c r="S41">
        <f>IFERROR(O41/N41,0)</f>
        <v/>
      </c>
    </row>
    <row r="42">
      <c r="A42">
        <f>Skills!A9</f>
        <v/>
      </c>
      <c r="B42">
        <f>Skills!B9</f>
        <v/>
      </c>
      <c r="C42">
        <f>Inputs!$B$3&gt;=103</f>
        <v/>
      </c>
      <c r="D42">
        <f>IF(Skills!C9=1,60+Inputs!$B$24+Inputs!$B$28,IF(Skills!C9=2,90+Inputs!$B$25+Inputs!$B$28,IF(Skills!C9=3,120+Inputs!$B$26+Inputs!$B$28,MAX(0,(Inputs!$B$3-100)*3)+Inputs!$B$27+Inputs!$B$28)))</f>
        <v/>
      </c>
      <c r="E42">
        <f>INDEX(FactorTable!$B$2:$Y$301, MATCH(ROUND(MIN(300,MAX(1,D42)),0), FactorTable!$A$2:$A$301,0), Skills!M9+1)</f>
        <v/>
      </c>
      <c r="F42">
        <f>IF(Skills!N9=TRUE,(Skills!L9/10)*(E42/1000),Skills!L9/10)+Skills!O9</f>
        <v/>
      </c>
      <c r="G42">
        <f>Skills!G9*IF(Skills!H9&gt;0,Skills!I9/Skills!H9,1)</f>
        <v/>
      </c>
      <c r="H42">
        <f>1-(1-Skills!J9/100)^Skills!K9</f>
        <v/>
      </c>
      <c r="I42" t="inlineStr">
        <is>
          <t>1</t>
        </is>
      </c>
      <c r="J42">
        <f>(Inputs!$B$5*(1+Inputs!$B$6/100))*(F42/100)</f>
        <v/>
      </c>
      <c r="K42">
        <f>J42*(1+(((Inputs!$B$11+1)*(1+Inputs!$B$12/100))*0.01+Inputs!$B$13*0.0025)/100)*(1+Inputs!$B$14/100)*(1+IF(Inputs!$B$4="pvp",0,(1-Summary!$B$55)*(Inputs!$B$19+0+Skills!P9)+Summary!$B$55*(Inputs!$B$20+Skills!Q9))/100)*(1+Inputs!$B$15/100)*(5000/(6000+Inputs!$B$7*(1-(Inputs!$B$18+0)/100)))*(1+(Inputs!$B$23+((C59=TRUE)*(F59-Calc!F26))+B69)/100)*(1+(IF(Skills!A9="EIGHT_LEGS_EASTON",Inputs!$B$16+((C56=TRUE)*(F56-Calc!F23))+((C60=TRUE)*(F60-Calc!F27)),Inputs!$B$17+0))/100)*((1+(((C50=TRUE)*F50)+((C57=TRUE)*(F57-Calc!F24)))/100)*I42)</f>
        <v/>
      </c>
      <c r="L42">
        <f>K42*(MIN(Inputs!$B$21+((C55=TRUE)*(F55-Calc!F22)),Inputs!$B$22+0)/100+(Inputs!$B$22+0)/100)/2</f>
        <v/>
      </c>
      <c r="M42">
        <f>L42*(1+(Inputs!$B$9+((C58=TRUE)*(F58-Calc!F25))+B68)/100)</f>
        <v/>
      </c>
      <c r="N42">
        <f>L42*(1-MIN((Inputs!$B$8+((C52=TRUE)*(F52-Calc!F19))+B63),100)/100)+M42*(MIN((Inputs!$B$8+((C52=TRUE)*(F52-Calc!F19))+B63),100)/100)</f>
        <v/>
      </c>
      <c r="O42">
        <f>IF(C42,H42*N42*IF(AND(Inputs!$B$4&lt;&gt;"pvp",Inputs!$B$35&gt;0),((Skills!G9*((R42-1)*IF(Skills!H9&gt;0,Skills!I9/Skills!H9,1)+IF(Skills!H9&gt;0,MIN(Skills!I9,MAX(0,Inputs!$B$35-((R42-1)*IF(Inputs!$B$4="pvp",15,MAX(0.1,Skills!D9-IF(Skills!E9=TRUE,Inputs!$B$31,0))))))/Skills!H9,1)))/Inputs!$B$35),G42*Q42)*IF(Inputs!$B$4="pvp",1,(1-Summary!$B$55)*(1)+Summary!$B$55*(MIN(Skills!R9,Inputs!$B$37))),0)</f>
        <v/>
      </c>
      <c r="P42">
        <f>IF(B71=0,0,O42/B71)</f>
        <v/>
      </c>
      <c r="Q42">
        <f>IFERROR(1/IF(Inputs!$B$4="pvp",15,MAX(0.1,Skills!D9-IF(Skills!E9=TRUE,Inputs!$B$31,0))),0)</f>
        <v/>
      </c>
      <c r="R42">
        <f>IF(AND(Inputs!$B$4&lt;&gt;"pvp",Inputs!$B$35&gt;0),(INT(Inputs!$B$35/IF(Inputs!$B$4="pvp",15,MAX(0.1,Skills!D9-IF(Skills!E9=TRUE,Inputs!$B$31,0))))+1),0)</f>
        <v/>
      </c>
      <c r="S42">
        <f>IFERROR(O42/N42,0)</f>
        <v/>
      </c>
    </row>
    <row r="43">
      <c r="A43">
        <f>Skills!A10</f>
        <v/>
      </c>
      <c r="B43">
        <f>Skills!B10</f>
        <v/>
      </c>
      <c r="C43">
        <f>Inputs!$B$3&gt;=113</f>
        <v/>
      </c>
      <c r="D43">
        <f>IF(Skills!C10=1,60+Inputs!$B$24+Inputs!$B$28,IF(Skills!C10=2,90+Inputs!$B$25+Inputs!$B$28,IF(Skills!C10=3,120+Inputs!$B$26+Inputs!$B$28,MAX(0,(Inputs!$B$3-100)*3)+Inputs!$B$27+Inputs!$B$28)))</f>
        <v/>
      </c>
      <c r="E43">
        <f>INDEX(FactorTable!$B$2:$Y$301, MATCH(ROUND(MIN(300,MAX(1,D43)),0), FactorTable!$A$2:$A$301,0), Skills!M10+1)</f>
        <v/>
      </c>
      <c r="F43">
        <f>IF(Skills!N10=TRUE,(Skills!L10/10)*(E43/1000),Skills!L10/10)+Skills!O10</f>
        <v/>
      </c>
      <c r="G43">
        <f>Skills!G10*IF(Skills!H10&gt;0,Skills!I10/Skills!H10,1)</f>
        <v/>
      </c>
      <c r="H43">
        <f>1-(1-Skills!J10/100)^Skills!K10</f>
        <v/>
      </c>
      <c r="I43" t="inlineStr">
        <is>
          <t>1</t>
        </is>
      </c>
      <c r="J43">
        <f>(Inputs!$B$5*(1+Inputs!$B$6/100))*(F43/100)</f>
        <v/>
      </c>
      <c r="K43">
        <f>J43*(1+(((Inputs!$B$11+1)*(1+Inputs!$B$12/100))*0.01+Inputs!$B$13*0.0025)/100)*(1+Inputs!$B$14/100)*(1+IF(Inputs!$B$4="pvp",0,(1-Summary!$B$55)*(Inputs!$B$19+0+Skills!P10)+Summary!$B$55*(Inputs!$B$20+Skills!Q10))/100)*(1+Inputs!$B$15/100)*(5000/(6000+Inputs!$B$7*(1-(Inputs!$B$18+0)/100)))*(1+(Inputs!$B$23+((C59=TRUE)*(F59-Calc!F26))+B69)/100)*(1+(IF(Skills!A10="EIGHT_LEGS_EASTON",Inputs!$B$16+((C56=TRUE)*(F56-Calc!F23))+((C60=TRUE)*(F60-Calc!F27)),Inputs!$B$17+0))/100)*((1+(((C50=TRUE)*F50)+((C57=TRUE)*(F57-Calc!F24)))/100)*I43)</f>
        <v/>
      </c>
      <c r="L43">
        <f>K43*(MIN(Inputs!$B$21+((C55=TRUE)*(F55-Calc!F22)),Inputs!$B$22+0)/100+(Inputs!$B$22+0)/100)/2</f>
        <v/>
      </c>
      <c r="M43">
        <f>L43*(1+(Inputs!$B$9+((C58=TRUE)*(F58-Calc!F25))+B68)/100)</f>
        <v/>
      </c>
      <c r="N43">
        <f>L43*(1-MIN((Inputs!$B$8+((C52=TRUE)*(F52-Calc!F19))+B63),100)/100)+M43*(MIN((Inputs!$B$8+((C52=TRUE)*(F52-Calc!F19))+B63),100)/100)</f>
        <v/>
      </c>
      <c r="O43">
        <f>IF(C43,H43*N43*IF(AND(Inputs!$B$4&lt;&gt;"pvp",Inputs!$B$35&gt;0),((Skills!G10*((R43-1)*IF(Skills!H10&gt;0,Skills!I10/Skills!H10,1)+IF(Skills!H10&gt;0,MIN(Skills!I10,MAX(0,Inputs!$B$35-((R43-1)*IF(Inputs!$B$4="pvp",15,MAX(0.1,Skills!D10-IF(Skills!E10=TRUE,Inputs!$B$31,0))))))/Skills!H10,1)))/Inputs!$B$35),G43*Q43)*IF(Inputs!$B$4="pvp",1,(1-Summary!$B$55)*(1)+Summary!$B$55*(MIN(Skills!R10,Inputs!$B$37))),0)</f>
        <v/>
      </c>
      <c r="P43">
        <f>IF(B71=0,0,O43/B71)</f>
        <v/>
      </c>
      <c r="Q43">
        <f>IFERROR(1/IF(Inputs!$B$4="pvp",15,MAX(0.1,Skills!D10-IF(Skills!E10=TRUE,Inputs!$B$31,0))),0)</f>
        <v/>
      </c>
      <c r="R43">
        <f>IF(AND(Inputs!$B$4&lt;&gt;"pvp",Inputs!$B$35&gt;0),(INT(Inputs!$B$35/IF(Inputs!$B$4="pvp",15,MAX(0.1,Skills!D10-IF(Skills!E10=TRUE,Inputs!$B$31,0))))+1),0)</f>
        <v/>
      </c>
      <c r="S43">
        <f>IFERROR(O43/N43,0)</f>
        <v/>
      </c>
    </row>
    <row r="44">
      <c r="A44">
        <f>Skills!A11</f>
        <v/>
      </c>
      <c r="B44">
        <f>Skills!B11</f>
        <v/>
      </c>
      <c r="C44">
        <f>Inputs!$B$3&gt;=107</f>
        <v/>
      </c>
      <c r="D44">
        <f>IF(Skills!C11=1,60+Inputs!$B$24+Inputs!$B$28,IF(Skills!C11=2,90+Inputs!$B$25+Inputs!$B$28,IF(Skills!C11=3,120+Inputs!$B$26+Inputs!$B$28,MAX(0,(Inputs!$B$3-100)*3)+Inputs!$B$27+Inputs!$B$28)))</f>
        <v/>
      </c>
      <c r="E44">
        <f>INDEX(FactorTable!$B$2:$Y$301, MATCH(ROUND(MIN(300,MAX(1,D44)),0), FactorTable!$A$2:$A$301,0), Skills!M11+1)</f>
        <v/>
      </c>
      <c r="F44">
        <f>IF(Skills!N11=TRUE,(Skills!L11/10)*(E44/1000),Skills!L11/10)+Skills!O11</f>
        <v/>
      </c>
      <c r="G44">
        <f>Skills!G11*IF(Skills!H11&gt;0,Skills!I11/Skills!H11,1)</f>
        <v/>
      </c>
      <c r="H44">
        <f>1-(1-Skills!J11/100)^Skills!K11</f>
        <v/>
      </c>
      <c r="I44" t="inlineStr">
        <is>
          <t>1</t>
        </is>
      </c>
      <c r="J44">
        <f>(Inputs!$B$5*(1+Inputs!$B$6/100))*(F44/100)</f>
        <v/>
      </c>
      <c r="K44">
        <f>J44*(1+(((Inputs!$B$11+1)*(1+Inputs!$B$12/100))*0.01+Inputs!$B$13*0.0025)/100)*(1+Inputs!$B$14/100)*(1+IF(Inputs!$B$4="pvp",0,(1-Summary!$B$55)*(Inputs!$B$19+0+Skills!P11)+Summary!$B$55*(Inputs!$B$20+Skills!Q11))/100)*(1+Inputs!$B$15/100)*(5000/(6000+Inputs!$B$7*(1-(Inputs!$B$18+0)/100)))*(1+(Inputs!$B$23+((C59=TRUE)*(F59-Calc!F26))+B69)/100)*(1+(IF(Skills!A11="EIGHT_LEGS_EASTON",Inputs!$B$16+((C56=TRUE)*(F56-Calc!F23))+((C60=TRUE)*(F60-Calc!F27)),Inputs!$B$17+0))/100)*((1+(((C50=TRUE)*F50)+((C57=TRUE)*(F57-Calc!F24)))/100)*I44)</f>
        <v/>
      </c>
      <c r="L44">
        <f>K44*(MIN(Inputs!$B$21+((C55=TRUE)*(F55-Calc!F22)),Inputs!$B$22+0)/100+(Inputs!$B$22+0)/100)/2</f>
        <v/>
      </c>
      <c r="M44">
        <f>L44*(1+(Inputs!$B$9+((C58=TRUE)*(F58-Calc!F25))+B68)/100)</f>
        <v/>
      </c>
      <c r="N44">
        <f>L44*(1-MIN((Inputs!$B$8+((C52=TRUE)*(F52-Calc!F19))+B63),100)/100)+M44*(MIN((Inputs!$B$8+((C52=TRUE)*(F52-Calc!F19))+B63),100)/100)</f>
        <v/>
      </c>
      <c r="O44">
        <f>IF(C44,H44*N44*IF(AND(Inputs!$B$4&lt;&gt;"pvp",Inputs!$B$35&gt;0),((Skills!G11*((R44-1)*IF(Skills!H11&gt;0,Skills!I11/Skills!H11,1)+IF(Skills!H11&gt;0,MIN(Skills!I11,MAX(0,Inputs!$B$35-((R44-1)*IF(Inputs!$B$4="pvp",15,MAX(0.1,Skills!D11-IF(Skills!E11=TRUE,Inputs!$B$31,0))))))/Skills!H11,1)))/Inputs!$B$35),G44*Q44)*IF(Inputs!$B$4="pvp",1,(1-Summary!$B$55)*(1)+Summary!$B$55*(MIN(Skills!R11,Inputs!$B$37))),0)</f>
        <v/>
      </c>
      <c r="P44">
        <f>IF(B71=0,0,O44/B71)</f>
        <v/>
      </c>
      <c r="Q44">
        <f>IFERROR(1/IF(Inputs!$B$4="pvp",15,MAX(0.1,Skills!D11-IF(Skills!E11=TRUE,Inputs!$B$31,0))),0)</f>
        <v/>
      </c>
      <c r="R44">
        <f>IF(AND(Inputs!$B$4&lt;&gt;"pvp",Inputs!$B$35&gt;0),(INT(Inputs!$B$35/IF(Inputs!$B$4="pvp",15,MAX(0.1,Skills!D11-IF(Skills!E11=TRUE,Inputs!$B$31,0))))+1),0)</f>
        <v/>
      </c>
      <c r="S44">
        <f>IFERROR(O44/N44,0)</f>
        <v/>
      </c>
    </row>
    <row r="45">
      <c r="A45">
        <f>Skills!A12</f>
        <v/>
      </c>
      <c r="B45">
        <f>Skills!B12</f>
        <v/>
      </c>
      <c r="C45">
        <f>Inputs!$B$3&gt;=110</f>
        <v/>
      </c>
      <c r="D45">
        <f>IF(Skills!C12=1,60+Inputs!$B$24+Inputs!$B$28,IF(Skills!C12=2,90+Inputs!$B$25+Inputs!$B$28,IF(Skills!C12=3,120+Inputs!$B$26+Inputs!$B$28,MAX(0,(Inputs!$B$3-100)*3)+Inputs!$B$27+Inputs!$B$28)))</f>
        <v/>
      </c>
      <c r="E45">
        <f>INDEX(FactorTable!$B$2:$Y$301, MATCH(ROUND(MIN(300,MAX(1,D45)),0), FactorTable!$A$2:$A$301,0), Skills!M12+1)</f>
        <v/>
      </c>
      <c r="F45">
        <f>IF(Skills!N12=TRUE,(Skills!L12/10)*(E45/1000),Skills!L12/10)+Skills!O12</f>
        <v/>
      </c>
      <c r="G45">
        <f>Skills!G12*IF(Skills!H12&gt;0,Skills!I12/Skills!H12,1)</f>
        <v/>
      </c>
      <c r="H45">
        <f>1-(1-Skills!J12/100)^Skills!K12</f>
        <v/>
      </c>
      <c r="I45" t="inlineStr">
        <is>
          <t>1</t>
        </is>
      </c>
      <c r="J45">
        <f>(Inputs!$B$5*(1+Inputs!$B$6/100))*(F45/100)</f>
        <v/>
      </c>
      <c r="K45">
        <f>J45*(1+(((Inputs!$B$11+1)*(1+Inputs!$B$12/100))*0.01+Inputs!$B$13*0.0025)/100)*(1+Inputs!$B$14/100)*(1+IF(Inputs!$B$4="pvp",0,(1-Summary!$B$55)*(Inputs!$B$19+0+Skills!P12)+Summary!$B$55*(Inputs!$B$20+Skills!Q12))/100)*(1+Inputs!$B$15/100)*(5000/(6000+Inputs!$B$7*(1-(Inputs!$B$18+0)/100)))*(1+(Inputs!$B$23+((C59=TRUE)*(F59-Calc!F26))+B69)/100)*(1+(IF(Skills!A12="EIGHT_LEGS_EASTON",Inputs!$B$16+((C56=TRUE)*(F56-Calc!F23))+((C60=TRUE)*(F60-Calc!F27)),Inputs!$B$17+0))/100)*((1+(((C50=TRUE)*F50)+((C57=TRUE)*(F57-Calc!F24)))/100)*I45)</f>
        <v/>
      </c>
      <c r="L45">
        <f>K45*(MIN(Inputs!$B$21+((C55=TRUE)*(F55-Calc!F22)),Inputs!$B$22+0)/100+(Inputs!$B$22+0)/100)/2</f>
        <v/>
      </c>
      <c r="M45">
        <f>L45*(1+(Inputs!$B$9+((C58=TRUE)*(F58-Calc!F25))+B68)/100)</f>
        <v/>
      </c>
      <c r="N45">
        <f>L45*(1-MIN((Inputs!$B$8+((C52=TRUE)*(F52-Calc!F19))+B63),100)/100)+M45*(MIN((Inputs!$B$8+((C52=TRUE)*(F52-Calc!F19))+B63),100)/100)</f>
        <v/>
      </c>
      <c r="O45">
        <f>IF(C45,H45*N45*IF(AND(Inputs!$B$4&lt;&gt;"pvp",Inputs!$B$35&gt;0),((Skills!G12*((R45-1)*IF(Skills!H12&gt;0,Skills!I12/Skills!H12,1)+IF(Skills!H12&gt;0,MIN(Skills!I12,MAX(0,Inputs!$B$35-((R45-1)*IF(Inputs!$B$4="pvp",15,MAX(0.1,Skills!D12-IF(Skills!E12=TRUE,Inputs!$B$31,0))))))/Skills!H12,1)))/Inputs!$B$35),G45*Q45)*IF(Inputs!$B$4="pvp",1,(1-Summary!$B$55)*(1)+Summary!$B$55*(MIN(Skills!R12,Inputs!$B$37))),0)</f>
        <v/>
      </c>
      <c r="P45">
        <f>IF(B71=0,0,O45/B71)</f>
        <v/>
      </c>
      <c r="Q45">
        <f>IFERROR(1/IF(Inputs!$B$4="pvp",15,MAX(0.1,Skills!D12-IF(Skills!E12=TRUE,Inputs!$B$31,0))),0)</f>
        <v/>
      </c>
      <c r="R45">
        <f>IF(AND(Inputs!$B$4&lt;&gt;"pvp",Inputs!$B$35&gt;0),(INT(Inputs!$B$35/IF(Inputs!$B$4="pvp",15,MAX(0.1,Skills!D12-IF(Skills!E12=TRUE,Inputs!$B$31,0))))+1),0)</f>
        <v/>
      </c>
      <c r="S45">
        <f>IFERROR(O45/N45,0)</f>
        <v/>
      </c>
    </row>
    <row r="46">
      <c r="A46">
        <f>Skills!A13</f>
        <v/>
      </c>
      <c r="B46">
        <f>Skills!B13</f>
        <v/>
      </c>
      <c r="C46">
        <f>Inputs!$B$3&gt;=110</f>
        <v/>
      </c>
      <c r="D46">
        <f>IF(Skills!C13=1,60+Inputs!$B$24+Inputs!$B$28,IF(Skills!C13=2,90+Inputs!$B$25+Inputs!$B$28,IF(Skills!C13=3,120+Inputs!$B$26+Inputs!$B$28,MAX(0,(Inputs!$B$3-100)*3)+Inputs!$B$27+Inputs!$B$28)))</f>
        <v/>
      </c>
      <c r="E46">
        <f>INDEX(FactorTable!$B$2:$Y$301, MATCH(ROUND(MIN(300,MAX(1,D46)),0), FactorTable!$A$2:$A$301,0), Skills!M13+1)</f>
        <v/>
      </c>
      <c r="F46">
        <f>IF(Skills!N13=TRUE,(Skills!L13/10)*(E46/1000),Skills!L13/10)+Skills!O13</f>
        <v/>
      </c>
      <c r="G46">
        <f>Skills!G13*IF(Skills!H13&gt;0,Skills!I13/Skills!H13,1)</f>
        <v/>
      </c>
      <c r="H46">
        <f>1-(1-Skills!J13/100)^Skills!K13</f>
        <v/>
      </c>
      <c r="I46" t="inlineStr">
        <is>
          <t>1</t>
        </is>
      </c>
      <c r="J46">
        <f>(Inputs!$B$5*(1+Inputs!$B$6/100))*(F46/100)</f>
        <v/>
      </c>
      <c r="K46">
        <f>J46*(1+(((Inputs!$B$11+1)*(1+Inputs!$B$12/100))*0.01+Inputs!$B$13*0.0025)/100)*(1+Inputs!$B$14/100)*(1+IF(Inputs!$B$4="pvp",0,(1-Summary!$B$55)*(Inputs!$B$19+0+Skills!P13)+Summary!$B$55*(Inputs!$B$20+Skills!Q13))/100)*(1+Inputs!$B$15/100)*(5000/(6000+Inputs!$B$7*(1-(Inputs!$B$18+0)/100)))*(1+(Inputs!$B$23+((C59=TRUE)*(F59-Calc!F26))+B69)/100)*(1+(IF(Skills!A13="EIGHT_LEGS_EASTON",Inputs!$B$16+((C56=TRUE)*(F56-Calc!F23))+((C60=TRUE)*(F60-Calc!F27)),Inputs!$B$17+0))/100)*((1+(((C50=TRUE)*F50)+((C57=TRUE)*(F57-Calc!F24)))/100)*I46)</f>
        <v/>
      </c>
      <c r="L46">
        <f>K46*(MIN(Inputs!$B$21+((C55=TRUE)*(F55-Calc!F22)),Inputs!$B$22+0)/100+(Inputs!$B$22+0)/100)/2</f>
        <v/>
      </c>
      <c r="M46">
        <f>L46*(1+(Inputs!$B$9+((C58=TRUE)*(F58-Calc!F25))+B68)/100)</f>
        <v/>
      </c>
      <c r="N46">
        <f>L46*(1-MIN((Inputs!$B$8+((C52=TRUE)*(F52-Calc!F19))+B63),100)/100)+M46*(MIN((Inputs!$B$8+((C52=TRUE)*(F52-Calc!F19))+B63),100)/100)</f>
        <v/>
      </c>
      <c r="O46">
        <f>IF(C46,H46*N46*IF(AND(Inputs!$B$4&lt;&gt;"pvp",Inputs!$B$35&gt;0),((Skills!G13*((R46-1)*IF(Skills!H13&gt;0,Skills!I13/Skills!H13,1)+IF(Skills!H13&gt;0,MIN(Skills!I13,MAX(0,Inputs!$B$35-((R46-1)*IF(Inputs!$B$4="pvp",15,MAX(0.1,Skills!D13-IF(Skills!E13=TRUE,Inputs!$B$31,0))))))/Skills!H13,1)))/Inputs!$B$35),G46*Q46)*IF(Inputs!$B$4="pvp",1,(1-Summary!$B$55)*(1)+Summary!$B$55*(MIN(Skills!R13,Inputs!$B$37))),0)</f>
        <v/>
      </c>
      <c r="P46">
        <f>IF(B71=0,0,O46/B71)</f>
        <v/>
      </c>
      <c r="Q46">
        <f>IFERROR(1/IF(Inputs!$B$4="pvp",15,MAX(0.1,Skills!D13-IF(Skills!E13=TRUE,Inputs!$B$31,0))),0)</f>
        <v/>
      </c>
      <c r="R46">
        <f>IF(AND(Inputs!$B$4&lt;&gt;"pvp",Inputs!$B$35&gt;0),(INT(Inputs!$B$35/IF(Inputs!$B$4="pvp",15,MAX(0.1,Skills!D13-IF(Skills!E13=TRUE,Inputs!$B$31,0))))+1),0)</f>
        <v/>
      </c>
      <c r="S46">
        <f>IFERROR(O46/N46,0)</f>
        <v/>
      </c>
    </row>
    <row r="47">
      <c r="A47">
        <f>Skills!A14</f>
        <v/>
      </c>
      <c r="B47">
        <f>Skills!B14</f>
        <v/>
      </c>
      <c r="C47">
        <f>Inputs!$B$3&gt;=125</f>
        <v/>
      </c>
      <c r="D47">
        <f>IF(Skills!C14=1,60+Inputs!$B$24+Inputs!$B$28,IF(Skills!C14=2,90+Inputs!$B$25+Inputs!$B$28,IF(Skills!C14=3,120+Inputs!$B$26+Inputs!$B$28,MAX(0,(Inputs!$B$3-100)*3)+Inputs!$B$27+Inputs!$B$28)))</f>
        <v/>
      </c>
      <c r="E47">
        <f>INDEX(FactorTable!$B$2:$Y$301, MATCH(ROUND(MIN(300,MAX(1,D47)),0), FactorTable!$A$2:$A$301,0), Skills!M14+1)</f>
        <v/>
      </c>
      <c r="F47">
        <f>IF(Skills!N14=TRUE,(Skills!L14/10)*(E47/1000),Skills!L14/10)+Skills!O14</f>
        <v/>
      </c>
      <c r="G47">
        <f>Skills!G14*IF(Skills!H14&gt;0,Skills!I14/Skills!H14,1)</f>
        <v/>
      </c>
      <c r="H47">
        <f>1-(1-Skills!J14/100)^Skills!K14</f>
        <v/>
      </c>
      <c r="I47" t="inlineStr">
        <is>
          <t>1</t>
        </is>
      </c>
      <c r="J47">
        <f>(Inputs!$B$5*(1+Inputs!$B$6/100))*(F47/100)</f>
        <v/>
      </c>
      <c r="K47">
        <f>J47*(1+(((Inputs!$B$11+1)*(1+Inputs!$B$12/100))*0.01+Inputs!$B$13*0.0025)/100)*(1+Inputs!$B$14/100)*(1+IF(Inputs!$B$4="pvp",0,(1-Summary!$B$55)*(Inputs!$B$19+0+Skills!P14)+Summary!$B$55*(Inputs!$B$20+Skills!Q14))/100)*(1+Inputs!$B$15/100)*(5000/(6000+Inputs!$B$7*(1-(Inputs!$B$18+0)/100)))*(1+(Inputs!$B$23+((C59=TRUE)*(F59-Calc!F26))+B69)/100)*(1+(IF(Skills!A14="EIGHT_LEGS_EASTON",Inputs!$B$16+((C56=TRUE)*(F56-Calc!F23))+((C60=TRUE)*(F60-Calc!F27)),Inputs!$B$17+0))/100)*((1+(((C50=TRUE)*F50)+((C57=TRUE)*(F57-Calc!F24)))/100)*I47)</f>
        <v/>
      </c>
      <c r="L47">
        <f>K47*(MIN(Inputs!$B$21+((C55=TRUE)*(F55-Calc!F22)),Inputs!$B$22+0)/100+(Inputs!$B$22+0)/100)/2</f>
        <v/>
      </c>
      <c r="M47">
        <f>L47*(1+(Inputs!$B$9+((C58=TRUE)*(F58-Calc!F25))+B68)/100)</f>
        <v/>
      </c>
      <c r="N47">
        <f>L47*(1-MIN((Inputs!$B$8+((C52=TRUE)*(F52-Calc!F19))+B63),100)/100)+M47*(MIN((Inputs!$B$8+((C52=TRUE)*(F52-Calc!F19))+B63),100)/100)</f>
        <v/>
      </c>
      <c r="O47">
        <f>IF(C47,H47*N47*(B67+IF(AND(Inputs!$B$4&lt;&gt;"pvp",Inputs!$B$35&gt;0),((Skills!G8*((R41-1)*IF(Skills!H8&gt;0,Skills!I8/Skills!H8,1)+IF(Skills!H8&gt;0,MIN(Skills!I8,MAX(0,Inputs!$B$35-((R41-1)*IF(Inputs!$B$4="pvp",15,MAX(0.1,Skills!D8-IF(Skills!E8=TRUE,Inputs!$B$31,0))))))/Skills!H8,1)))/Inputs!$B$35),G41*Q41)+IF(AND(Inputs!$B$4&lt;&gt;"pvp",Inputs!$B$35&gt;0),((Skills!G11*((R44-1)*IF(Skills!H11&gt;0,Skills!I11/Skills!H11,1)+IF(Skills!H11&gt;0,MIN(Skills!I11,MAX(0,Inputs!$B$35-((R44-1)*IF(Inputs!$B$4="pvp",15,MAX(0.1,Skills!D11-IF(Skills!E11=TRUE,Inputs!$B$31,0))))))/Skills!H11,1)))/Inputs!$B$35),G44*Q44))*IF(Inputs!$B$4="pvp",1,(1-Summary!$B$55)*(1)+Summary!$B$55*(MIN(Skills!R14,Inputs!$B$37))),0)</f>
        <v/>
      </c>
      <c r="P47">
        <f>IF(B71=0,0,O47/B71)</f>
        <v/>
      </c>
      <c r="Q47" t="n">
        <v>0</v>
      </c>
      <c r="R47" t="n">
        <v>0</v>
      </c>
      <c r="S47">
        <f>IFERROR(O47/N47,0)</f>
        <v/>
      </c>
    </row>
    <row r="48">
      <c r="A48">
        <f>Skills!A15</f>
        <v/>
      </c>
      <c r="B48">
        <f>Skills!B15</f>
        <v/>
      </c>
      <c r="C48">
        <f>Inputs!$B$3&gt;=100</f>
        <v/>
      </c>
      <c r="D48">
        <f>IF(Skills!C15=1,60+Inputs!$B$24+Inputs!$B$28,IF(Skills!C15=2,90+Inputs!$B$25+Inputs!$B$28,IF(Skills!C15=3,120+Inputs!$B$26+Inputs!$B$28,MAX(0,(Inputs!$B$3-100)*3)+Inputs!$B$27+Inputs!$B$28)))</f>
        <v/>
      </c>
      <c r="E48">
        <f>INDEX(FactorTable!$B$2:$Y$301, MATCH(ROUND(MIN(300,MAX(1,D48)),0), FactorTable!$A$2:$A$301,0), Skills!M15+1)</f>
        <v/>
      </c>
      <c r="F48">
        <f>IF(Skills!N15=TRUE,(Skills!L15/10)*(E48/1000),Skills!L15/10)+Skills!O15</f>
        <v/>
      </c>
      <c r="G48" t="inlineStr"/>
      <c r="H48" t="inlineStr"/>
      <c r="I48" t="inlineStr">
        <is>
          <t>1</t>
        </is>
      </c>
      <c r="J48" t="inlineStr"/>
      <c r="K48" t="inlineStr"/>
      <c r="L48" t="inlineStr"/>
      <c r="M48" t="inlineStr"/>
      <c r="N48" t="inlineStr"/>
      <c r="O48" t="inlineStr"/>
      <c r="P48" t="inlineStr"/>
      <c r="Q48" t="inlineStr"/>
      <c r="R48" t="inlineStr"/>
      <c r="S48" t="inlineStr"/>
    </row>
    <row r="49">
      <c r="A49">
        <f>Skills!A16</f>
        <v/>
      </c>
      <c r="B49">
        <f>Skills!B16</f>
        <v/>
      </c>
      <c r="C49">
        <f>Inputs!$B$3&gt;=120</f>
        <v/>
      </c>
      <c r="D49">
        <f>IF(Skills!C16=1,60+Inputs!$B$24+Inputs!$B$28,IF(Skills!C16=2,90+Inputs!$B$25+Inputs!$B$28,IF(Skills!C16=3,120+Inputs!$B$26+Inputs!$B$28,MAX(0,(Inputs!$B$3-100)*3)+Inputs!$B$27+Inputs!$B$28)))</f>
        <v/>
      </c>
      <c r="E49">
        <f>INDEX(FactorTable!$B$2:$Y$301, MATCH(ROUND(MIN(300,MAX(1,D49)),0), FactorTable!$A$2:$A$301,0), Skills!M16+1)</f>
        <v/>
      </c>
      <c r="F49">
        <f>IF(Skills!N16=TRUE,(Skills!L16/10)*(E49/1000),Skills!L16/10)+Skills!O16</f>
        <v/>
      </c>
      <c r="G49" t="inlineStr"/>
      <c r="H49" t="inlineStr"/>
      <c r="I49" t="inlineStr">
        <is>
          <t>1</t>
        </is>
      </c>
      <c r="J49" t="inlineStr"/>
      <c r="K49" t="inlineStr"/>
      <c r="L49" t="inlineStr"/>
      <c r="M49" t="inlineStr"/>
      <c r="N49" t="inlineStr"/>
      <c r="O49" t="inlineStr"/>
      <c r="P49" t="inlineStr"/>
      <c r="Q49" t="inlineStr"/>
      <c r="R49" t="inlineStr"/>
      <c r="S49" t="inlineStr"/>
    </row>
    <row r="50">
      <c r="A50">
        <f>Skills!A17</f>
        <v/>
      </c>
      <c r="B50">
        <f>Skills!B17</f>
        <v/>
      </c>
      <c r="C50">
        <f>Inputs!$B$3&gt;=66</f>
        <v/>
      </c>
      <c r="D50">
        <f>IF(Skills!C17=1,60+Inputs!$B$24+Inputs!$B$28,IF(Skills!C17=2,90+Inputs!$B$25+Inputs!$B$28,IF(Skills!C17=3,120+Inputs!$B$26+Inputs!$B$28,MAX(0,(Inputs!$B$3-100)*3)+Inputs!$B$27+Inputs!$B$28)))</f>
        <v/>
      </c>
      <c r="E50">
        <f>INDEX(FactorTable!$B$2:$Y$301, MATCH(ROUND(MIN(300,MAX(1,D50)),0), FactorTable!$A$2:$A$301,0), Skills!M17+1)</f>
        <v/>
      </c>
      <c r="F50">
        <f>IF(Skills!N17=TRUE,(Skills!L17/10)*(E50/1000),Skills!L17/10)+Skills!O17</f>
        <v/>
      </c>
      <c r="G50">
        <f>Skills!G17*IF(Skills!H17&gt;0,Skills!I17/Skills!H17,1)</f>
        <v/>
      </c>
      <c r="H50">
        <f>1-(1-Skills!J17/100)^Skills!K17</f>
        <v/>
      </c>
      <c r="I50" t="inlineStr">
        <is>
          <t>1</t>
        </is>
      </c>
      <c r="J50" t="inlineStr"/>
      <c r="K50" t="inlineStr"/>
      <c r="L50" t="inlineStr"/>
      <c r="M50" t="inlineStr"/>
      <c r="N50" t="inlineStr"/>
      <c r="O50" t="n">
        <v>0</v>
      </c>
      <c r="P50">
        <f>IF(B71=0,0,O50/B71)</f>
        <v/>
      </c>
      <c r="Q50" t="n">
        <v>0</v>
      </c>
      <c r="R50" t="n">
        <v>0</v>
      </c>
      <c r="S50">
        <f>IFERROR(O50/N50,0)</f>
        <v/>
      </c>
    </row>
    <row r="51">
      <c r="A51">
        <f>Skills!A18</f>
        <v/>
      </c>
      <c r="B51">
        <f>Skills!B18</f>
        <v/>
      </c>
      <c r="C51">
        <f>Inputs!$B$3&gt;=115</f>
        <v/>
      </c>
      <c r="D51">
        <f>IF(Skills!C18=1,60+Inputs!$B$24+Inputs!$B$28,IF(Skills!C18=2,90+Inputs!$B$25+Inputs!$B$28,IF(Skills!C18=3,120+Inputs!$B$26+Inputs!$B$28,MAX(0,(Inputs!$B$3-100)*3)+Inputs!$B$27+Inputs!$B$28)))</f>
        <v/>
      </c>
      <c r="E51">
        <f>INDEX(FactorTable!$B$2:$Y$301, MATCH(ROUND(MIN(300,MAX(1,D51)),0), FactorTable!$A$2:$A$301,0), Skills!M18+1)</f>
        <v/>
      </c>
      <c r="F51">
        <f>IF(Skills!N18=TRUE,(Skills!L18/10)*(E51/1000),Skills!L18/10)+Skills!O18</f>
        <v/>
      </c>
      <c r="G51">
        <f>Skills!G18*IF(Skills!H18&gt;0,Skills!I18/Skills!H18,1)</f>
        <v/>
      </c>
      <c r="H51">
        <f>1-(1-Skills!J18/100)^Skills!K18</f>
        <v/>
      </c>
      <c r="I51" t="inlineStr">
        <is>
          <t>1</t>
        </is>
      </c>
      <c r="J51" t="inlineStr"/>
      <c r="K51" t="inlineStr"/>
      <c r="L51" t="inlineStr"/>
      <c r="M51" t="inlineStr"/>
      <c r="N51" t="inlineStr"/>
      <c r="O51" t="n">
        <v>0</v>
      </c>
      <c r="P51">
        <f>IF(B71=0,0,O51/B71)</f>
        <v/>
      </c>
      <c r="Q51" t="n">
        <v>0</v>
      </c>
      <c r="R51" t="n">
        <v>0</v>
      </c>
      <c r="S51">
        <f>IFERROR(O51/N51,0)</f>
        <v/>
      </c>
    </row>
    <row r="52">
      <c r="A52">
        <f>Skills!A19</f>
        <v/>
      </c>
      <c r="B52">
        <f>Skills!B19</f>
        <v/>
      </c>
      <c r="C52">
        <f>Inputs!$B$3&gt;=15</f>
        <v/>
      </c>
      <c r="D52">
        <f>IF(Skills!C19=1,60+Inputs!$B$24+Inputs!$B$28,IF(Skills!C19=2,90+Inputs!$B$25+Inputs!$B$28,IF(Skills!C19=3,120+Inputs!$B$26+Inputs!$B$28,MAX(0,(Inputs!$B$3-100)*3)+Inputs!$B$27+Inputs!$B$28)))</f>
        <v/>
      </c>
      <c r="E52">
        <f>INDEX(FactorTable!$B$2:$Y$301, MATCH(ROUND(MIN(300,MAX(1,D52)),0), FactorTable!$A$2:$A$301,0), Skills!M19+1)</f>
        <v/>
      </c>
      <c r="F52">
        <f>IF(Skills!N19=TRUE,(Skills!L19/10)*(E52/1000),Skills!L19/10)+Skills!O19</f>
        <v/>
      </c>
      <c r="G52">
        <f>Skills!G19*IF(Skills!H19&gt;0,Skills!I19/Skills!H19,1)</f>
        <v/>
      </c>
      <c r="H52">
        <f>1-(1-Skills!J19/100)^Skills!K19</f>
        <v/>
      </c>
      <c r="I52" t="inlineStr">
        <is>
          <t>1</t>
        </is>
      </c>
      <c r="J52" t="inlineStr"/>
      <c r="K52" t="inlineStr"/>
      <c r="L52" t="inlineStr"/>
      <c r="M52" t="inlineStr"/>
      <c r="N52" t="inlineStr"/>
      <c r="O52" t="n">
        <v>0</v>
      </c>
      <c r="P52">
        <f>IF(B71=0,0,O52/B71)</f>
        <v/>
      </c>
      <c r="Q52" t="n">
        <v>0</v>
      </c>
      <c r="R52" t="n">
        <v>0</v>
      </c>
      <c r="S52">
        <f>IFERROR(O52/N52,0)</f>
        <v/>
      </c>
    </row>
    <row r="53">
      <c r="A53">
        <f>Skills!A20</f>
        <v/>
      </c>
      <c r="B53">
        <f>Skills!B20</f>
        <v/>
      </c>
      <c r="C53">
        <f>Inputs!$B$3&gt;=10</f>
        <v/>
      </c>
      <c r="D53">
        <f>IF(Skills!C20=1,60+Inputs!$B$24+Inputs!$B$28,IF(Skills!C20=2,90+Inputs!$B$25+Inputs!$B$28,IF(Skills!C20=3,120+Inputs!$B$26+Inputs!$B$28,MAX(0,(Inputs!$B$3-100)*3)+Inputs!$B$27+Inputs!$B$28)))</f>
        <v/>
      </c>
      <c r="E53">
        <f>INDEX(FactorTable!$B$2:$Y$301, MATCH(ROUND(MIN(300,MAX(1,D53)),0), FactorTable!$A$2:$A$301,0), Skills!M20+1)</f>
        <v/>
      </c>
      <c r="F53">
        <f>IF(Skills!N20=TRUE,(Skills!L20/10)*(E53/1000),Skills!L20/10)+Skills!O20</f>
        <v/>
      </c>
      <c r="G53">
        <f>Skills!G20*IF(Skills!H20&gt;0,Skills!I20/Skills!H20,1)</f>
        <v/>
      </c>
      <c r="H53">
        <f>1-(1-Skills!J20/100)^Skills!K20</f>
        <v/>
      </c>
      <c r="I53" t="inlineStr">
        <is>
          <t>1</t>
        </is>
      </c>
      <c r="J53" t="inlineStr"/>
      <c r="K53" t="inlineStr"/>
      <c r="L53" t="inlineStr"/>
      <c r="M53" t="inlineStr"/>
      <c r="N53" t="inlineStr"/>
      <c r="O53" t="n">
        <v>0</v>
      </c>
      <c r="P53">
        <f>IF(B71=0,0,O53/B71)</f>
        <v/>
      </c>
      <c r="Q53" t="n">
        <v>0</v>
      </c>
      <c r="R53" t="n">
        <v>0</v>
      </c>
      <c r="S53">
        <f>IFERROR(O53/N53,0)</f>
        <v/>
      </c>
    </row>
    <row r="54">
      <c r="A54">
        <f>Skills!A21</f>
        <v/>
      </c>
      <c r="B54">
        <f>Skills!B21</f>
        <v/>
      </c>
      <c r="C54">
        <f>Inputs!$B$3&gt;=33</f>
        <v/>
      </c>
      <c r="D54">
        <f>IF(Skills!C21=1,60+Inputs!$B$24+Inputs!$B$28,IF(Skills!C21=2,90+Inputs!$B$25+Inputs!$B$28,IF(Skills!C21=3,120+Inputs!$B$26+Inputs!$B$28,MAX(0,(Inputs!$B$3-100)*3)+Inputs!$B$27+Inputs!$B$28)))</f>
        <v/>
      </c>
      <c r="E54">
        <f>INDEX(FactorTable!$B$2:$Y$301, MATCH(ROUND(MIN(300,MAX(1,D54)),0), FactorTable!$A$2:$A$301,0), Skills!M21+1)</f>
        <v/>
      </c>
      <c r="F54">
        <f>IF(Skills!N21=TRUE,(Skills!L21/10)*(E54/1000),Skills!L21/10)+Skills!O21</f>
        <v/>
      </c>
      <c r="G54">
        <f>Skills!G21*IF(Skills!H21&gt;0,Skills!I21/Skills!H21,1)</f>
        <v/>
      </c>
      <c r="H54">
        <f>1-(1-Skills!J21/100)^Skills!K21</f>
        <v/>
      </c>
      <c r="I54" t="inlineStr">
        <is>
          <t>1</t>
        </is>
      </c>
      <c r="J54" t="inlineStr"/>
      <c r="K54" t="inlineStr"/>
      <c r="L54" t="inlineStr"/>
      <c r="M54" t="inlineStr"/>
      <c r="N54" t="inlineStr"/>
      <c r="O54" t="n">
        <v>0</v>
      </c>
      <c r="P54">
        <f>IF(B71=0,0,O54/B71)</f>
        <v/>
      </c>
      <c r="Q54" t="n">
        <v>0</v>
      </c>
      <c r="R54" t="n">
        <v>0</v>
      </c>
      <c r="S54">
        <f>IFERROR(O54/N54,0)</f>
        <v/>
      </c>
    </row>
    <row r="55">
      <c r="A55">
        <f>Skills!A22</f>
        <v/>
      </c>
      <c r="B55">
        <f>Skills!B22</f>
        <v/>
      </c>
      <c r="C55">
        <f>Inputs!$B$3&gt;=43</f>
        <v/>
      </c>
      <c r="D55">
        <f>IF(Skills!C22=1,60+Inputs!$B$24+Inputs!$B$28,IF(Skills!C22=2,90+Inputs!$B$25+Inputs!$B$28,IF(Skills!C22=3,120+Inputs!$B$26+Inputs!$B$28,MAX(0,(Inputs!$B$3-100)*3)+Inputs!$B$27+Inputs!$B$28)))</f>
        <v/>
      </c>
      <c r="E55">
        <f>INDEX(FactorTable!$B$2:$Y$301, MATCH(ROUND(MIN(300,MAX(1,D55)),0), FactorTable!$A$2:$A$301,0), Skills!M22+1)</f>
        <v/>
      </c>
      <c r="F55">
        <f>IF(Skills!N22=TRUE,(Skills!L22/10)*(E55/1000),Skills!L22/10)+Skills!O22</f>
        <v/>
      </c>
      <c r="G55">
        <f>Skills!G22*IF(Skills!H22&gt;0,Skills!I22/Skills!H22,1)</f>
        <v/>
      </c>
      <c r="H55">
        <f>1-(1-Skills!J22/100)^Skills!K22</f>
        <v/>
      </c>
      <c r="I55" t="inlineStr">
        <is>
          <t>1</t>
        </is>
      </c>
      <c r="J55" t="inlineStr"/>
      <c r="K55" t="inlineStr"/>
      <c r="L55" t="inlineStr"/>
      <c r="M55" t="inlineStr"/>
      <c r="N55" t="inlineStr"/>
      <c r="O55" t="n">
        <v>0</v>
      </c>
      <c r="P55">
        <f>IF(B71=0,0,O55/B71)</f>
        <v/>
      </c>
      <c r="Q55" t="n">
        <v>0</v>
      </c>
      <c r="R55" t="n">
        <v>0</v>
      </c>
      <c r="S55">
        <f>IFERROR(O55/N55,0)</f>
        <v/>
      </c>
    </row>
    <row r="56">
      <c r="A56">
        <f>Skills!A23</f>
        <v/>
      </c>
      <c r="B56">
        <f>Skills!B23</f>
        <v/>
      </c>
      <c r="C56">
        <f>Inputs!$B$3&gt;=38</f>
        <v/>
      </c>
      <c r="D56">
        <f>IF(Skills!C23=1,60+Inputs!$B$24+Inputs!$B$28,IF(Skills!C23=2,90+Inputs!$B$25+Inputs!$B$28,IF(Skills!C23=3,120+Inputs!$B$26+Inputs!$B$28,MAX(0,(Inputs!$B$3-100)*3)+Inputs!$B$27+Inputs!$B$28)))</f>
        <v/>
      </c>
      <c r="E56">
        <f>INDEX(FactorTable!$B$2:$Y$301, MATCH(ROUND(MIN(300,MAX(1,D56)),0), FactorTable!$A$2:$A$301,0), Skills!M23+1)</f>
        <v/>
      </c>
      <c r="F56">
        <f>IF(Skills!N23=TRUE,(Skills!L23/10)*(E56/1000),Skills!L23/10)+Skills!O23</f>
        <v/>
      </c>
      <c r="G56">
        <f>Skills!G23*IF(Skills!H23&gt;0,Skills!I23/Skills!H23,1)</f>
        <v/>
      </c>
      <c r="H56">
        <f>1-(1-Skills!J23/100)^Skills!K23</f>
        <v/>
      </c>
      <c r="I56" t="inlineStr">
        <is>
          <t>1</t>
        </is>
      </c>
      <c r="J56" t="inlineStr"/>
      <c r="K56" t="inlineStr"/>
      <c r="L56" t="inlineStr"/>
      <c r="M56" t="inlineStr"/>
      <c r="N56" t="inlineStr"/>
      <c r="O56" t="n">
        <v>0</v>
      </c>
      <c r="P56">
        <f>IF(B71=0,0,O56/B71)</f>
        <v/>
      </c>
      <c r="Q56" t="n">
        <v>0</v>
      </c>
      <c r="R56" t="n">
        <v>0</v>
      </c>
      <c r="S56">
        <f>IFERROR(O56/N56,0)</f>
        <v/>
      </c>
    </row>
    <row r="57">
      <c r="A57">
        <f>Skills!A24</f>
        <v/>
      </c>
      <c r="B57">
        <f>Skills!B24</f>
        <v/>
      </c>
      <c r="C57">
        <f>Inputs!$B$3&gt;=40</f>
        <v/>
      </c>
      <c r="D57">
        <f>IF(Skills!C24=1,60+Inputs!$B$24+Inputs!$B$28,IF(Skills!C24=2,90+Inputs!$B$25+Inputs!$B$28,IF(Skills!C24=3,120+Inputs!$B$26+Inputs!$B$28,MAX(0,(Inputs!$B$3-100)*3)+Inputs!$B$27+Inputs!$B$28)))</f>
        <v/>
      </c>
      <c r="E57">
        <f>INDEX(FactorTable!$B$2:$Y$301, MATCH(ROUND(MIN(300,MAX(1,D57)),0), FactorTable!$A$2:$A$301,0), Skills!M24+1)</f>
        <v/>
      </c>
      <c r="F57">
        <f>IF(Skills!N24=TRUE,(Skills!L24/10)*(E57/1000),Skills!L24/10)+Skills!O24</f>
        <v/>
      </c>
      <c r="G57">
        <f>Skills!G24*IF(Skills!H24&gt;0,Skills!I24/Skills!H24,1)</f>
        <v/>
      </c>
      <c r="H57">
        <f>1-(1-Skills!J24/100)^Skills!K24</f>
        <v/>
      </c>
      <c r="I57" t="inlineStr">
        <is>
          <t>1</t>
        </is>
      </c>
      <c r="J57" t="inlineStr"/>
      <c r="K57" t="inlineStr"/>
      <c r="L57" t="inlineStr"/>
      <c r="M57" t="inlineStr"/>
      <c r="N57" t="inlineStr"/>
      <c r="O57" t="n">
        <v>0</v>
      </c>
      <c r="P57">
        <f>IF(B71=0,0,O57/B71)</f>
        <v/>
      </c>
      <c r="Q57" t="n">
        <v>0</v>
      </c>
      <c r="R57" t="n">
        <v>0</v>
      </c>
      <c r="S57">
        <f>IFERROR(O57/N57,0)</f>
        <v/>
      </c>
    </row>
    <row r="58">
      <c r="A58">
        <f>Skills!A25</f>
        <v/>
      </c>
      <c r="B58">
        <f>Skills!B25</f>
        <v/>
      </c>
      <c r="C58">
        <f>Inputs!$B$3&gt;=72</f>
        <v/>
      </c>
      <c r="D58">
        <f>IF(Skills!C25=1,60+Inputs!$B$24+Inputs!$B$28,IF(Skills!C25=2,90+Inputs!$B$25+Inputs!$B$28,IF(Skills!C25=3,120+Inputs!$B$26+Inputs!$B$28,MAX(0,(Inputs!$B$3-100)*3)+Inputs!$B$27+Inputs!$B$28)))</f>
        <v/>
      </c>
      <c r="E58">
        <f>INDEX(FactorTable!$B$2:$Y$301, MATCH(ROUND(MIN(300,MAX(1,D58)),0), FactorTable!$A$2:$A$301,0), Skills!M25+1)</f>
        <v/>
      </c>
      <c r="F58">
        <f>IF(Skills!N25=TRUE,(Skills!L25/10)*(E58/1000),Skills!L25/10)+Skills!O25</f>
        <v/>
      </c>
      <c r="G58">
        <f>Skills!G25*IF(Skills!H25&gt;0,Skills!I25/Skills!H25,1)</f>
        <v/>
      </c>
      <c r="H58">
        <f>1-(1-Skills!J25/100)^Skills!K25</f>
        <v/>
      </c>
      <c r="I58" t="inlineStr">
        <is>
          <t>1</t>
        </is>
      </c>
      <c r="J58" t="inlineStr"/>
      <c r="K58" t="inlineStr"/>
      <c r="L58" t="inlineStr"/>
      <c r="M58" t="inlineStr"/>
      <c r="N58" t="inlineStr"/>
      <c r="O58" t="n">
        <v>0</v>
      </c>
      <c r="P58">
        <f>IF(B71=0,0,O58/B71)</f>
        <v/>
      </c>
      <c r="Q58" t="n">
        <v>0</v>
      </c>
      <c r="R58" t="n">
        <v>0</v>
      </c>
      <c r="S58">
        <f>IFERROR(O58/N58,0)</f>
        <v/>
      </c>
    </row>
    <row r="59">
      <c r="A59">
        <f>Skills!A26</f>
        <v/>
      </c>
      <c r="B59">
        <f>Skills!B26</f>
        <v/>
      </c>
      <c r="C59">
        <f>Inputs!$B$3&gt;=75</f>
        <v/>
      </c>
      <c r="D59">
        <f>IF(Skills!C26=1,60+Inputs!$B$24+Inputs!$B$28,IF(Skills!C26=2,90+Inputs!$B$25+Inputs!$B$28,IF(Skills!C26=3,120+Inputs!$B$26+Inputs!$B$28,MAX(0,(Inputs!$B$3-100)*3)+Inputs!$B$27+Inputs!$B$28)))</f>
        <v/>
      </c>
      <c r="E59">
        <f>INDEX(FactorTable!$B$2:$Y$301, MATCH(ROUND(MIN(300,MAX(1,D59)),0), FactorTable!$A$2:$A$301,0), Skills!M26+1)</f>
        <v/>
      </c>
      <c r="F59">
        <f>IF(Skills!N26=TRUE,(Skills!L26/10)*(E59/1000),Skills!L26/10)+Skills!O26</f>
        <v/>
      </c>
      <c r="G59">
        <f>Skills!G26*IF(Skills!H26&gt;0,Skills!I26/Skills!H26,1)</f>
        <v/>
      </c>
      <c r="H59">
        <f>1-(1-Skills!J26/100)^Skills!K26</f>
        <v/>
      </c>
      <c r="I59" t="inlineStr">
        <is>
          <t>1</t>
        </is>
      </c>
      <c r="J59" t="inlineStr"/>
      <c r="K59" t="inlineStr"/>
      <c r="L59" t="inlineStr"/>
      <c r="M59" t="inlineStr"/>
      <c r="N59" t="inlineStr"/>
      <c r="O59" t="n">
        <v>0</v>
      </c>
      <c r="P59">
        <f>IF(B71=0,0,O59/B71)</f>
        <v/>
      </c>
      <c r="Q59" t="n">
        <v>0</v>
      </c>
      <c r="R59" t="n">
        <v>0</v>
      </c>
      <c r="S59">
        <f>IFERROR(O59/N59,0)</f>
        <v/>
      </c>
    </row>
    <row r="60">
      <c r="A60">
        <f>Skills!A27</f>
        <v/>
      </c>
      <c r="B60">
        <f>Skills!B27</f>
        <v/>
      </c>
      <c r="C60">
        <f>Inputs!$B$3&gt;=117</f>
        <v/>
      </c>
      <c r="D60">
        <f>IF(Skills!C27=1,60+Inputs!$B$24+Inputs!$B$28,IF(Skills!C27=2,90+Inputs!$B$25+Inputs!$B$28,IF(Skills!C27=3,120+Inputs!$B$26+Inputs!$B$28,MAX(0,(Inputs!$B$3-100)*3)+Inputs!$B$27+Inputs!$B$28)))</f>
        <v/>
      </c>
      <c r="E60">
        <f>INDEX(FactorTable!$B$2:$Y$301, MATCH(ROUND(MIN(300,MAX(1,D60)),0), FactorTable!$A$2:$A$301,0), Skills!M27+1)</f>
        <v/>
      </c>
      <c r="F60">
        <f>IF(Skills!N27=TRUE,(Skills!L27/10)*(E60/1000),Skills!L27/10)+Skills!O27</f>
        <v/>
      </c>
      <c r="G60">
        <f>Skills!G27*IF(Skills!H27&gt;0,Skills!I27/Skills!H27,1)</f>
        <v/>
      </c>
      <c r="H60">
        <f>1-(1-Skills!J27/100)^Skills!K27</f>
        <v/>
      </c>
      <c r="I60" t="inlineStr">
        <is>
          <t>1</t>
        </is>
      </c>
      <c r="J60" t="inlineStr"/>
      <c r="K60" t="inlineStr"/>
      <c r="L60" t="inlineStr"/>
      <c r="M60" t="inlineStr"/>
      <c r="N60" t="inlineStr"/>
      <c r="O60" t="n">
        <v>0</v>
      </c>
      <c r="P60">
        <f>IF(B71=0,0,O60/B71)</f>
        <v/>
      </c>
      <c r="Q60" t="n">
        <v>0</v>
      </c>
      <c r="R60" t="n">
        <v>0</v>
      </c>
      <c r="S60">
        <f>IFERROR(O60/N60,0)</f>
        <v/>
      </c>
    </row>
    <row r="62">
      <c r="A62" t="inlineStr">
        <is>
          <t>Attack% Bucket Multiplier</t>
        </is>
      </c>
      <c r="B62">
        <f>(1+(((C50=TRUE)*F50)+((C57=TRUE)*(F57-Calc!F24)))/100)</f>
        <v/>
      </c>
    </row>
    <row r="63">
      <c r="A63" t="inlineStr">
        <is>
          <t>Global Crit Rate Bonus %</t>
        </is>
      </c>
      <c r="B63" t="n">
        <v>0</v>
      </c>
    </row>
    <row r="64">
      <c r="A64" t="inlineStr">
        <is>
          <t>Attack Speed Buff Bonus % (unused)</t>
        </is>
      </c>
      <c r="B64" t="n">
        <v>0</v>
      </c>
    </row>
    <row r="65">
      <c r="A65" t="inlineStr">
        <is>
          <t>Actions Per Second</t>
        </is>
      </c>
      <c r="B65">
        <f>1+MIN(150,150*(1-(1-(Inputs!$B$10+((C53=TRUE)*(F53-Calc!F20))+((C54=TRUE)*(F54-Calc!F21)))/150)*(1-B64/150)))/100</f>
        <v/>
      </c>
    </row>
    <row r="66">
      <c r="A66" t="inlineStr">
        <is>
          <t>Skill + Buff Cast Rate</t>
        </is>
      </c>
      <c r="B66">
        <f>IF(AND(Inputs!$B$4&lt;&gt;"pvp",Inputs!$B$35&gt;0),SUMPRODUCT((Skills!E2:E27=TRUE)*(C35:C60=TRUE)*R35:R60*Skills!F2:F27)/Inputs!$B$35,SUMPRODUCT((Skills!E2:E27=TRUE)*(C35:C60=TRUE)*Q35:Q60*Skills!F2:F27))</f>
        <v/>
      </c>
    </row>
    <row r="67">
      <c r="A67" t="inlineStr">
        <is>
          <t>Eight-Legs Easton Casts Per Second</t>
        </is>
      </c>
      <c r="B67">
        <f>MAX(0,B65-B66)</f>
        <v/>
      </c>
    </row>
    <row r="68">
      <c r="A68" t="inlineStr">
        <is>
          <t>Global Critical Damage Bonus % (unused)</t>
        </is>
      </c>
      <c r="B68" t="n">
        <v>0</v>
      </c>
    </row>
    <row r="69">
      <c r="A69" t="inlineStr">
        <is>
          <t>Global Final Damage Bonus % (Jolly Roger only)</t>
        </is>
      </c>
      <c r="B69">
        <f>((C51=TRUE)*F51)</f>
        <v/>
      </c>
    </row>
    <row r="71">
      <c r="A71" s="5" t="inlineStr">
        <is>
          <t>TOTAL DPS</t>
        </is>
      </c>
      <c r="B71" s="5">
        <f>SUM(O35:O60)</f>
        <v/>
      </c>
    </row>
    <row r="74">
      <c r="A74" s="5" t="inlineStr">
        <is>
          <t>Stat: DEX %</t>
        </is>
      </c>
    </row>
    <row r="75">
      <c r="A75" s="8" t="inlineStr">
        <is>
          <t>Key</t>
        </is>
      </c>
      <c r="B75" s="8" t="inlineStr">
        <is>
          <t>Name</t>
        </is>
      </c>
      <c r="C75" s="8" t="inlineStr">
        <is>
          <t>Unlocked</t>
        </is>
      </c>
      <c r="D75" s="8" t="inlineStr">
        <is>
          <t>InputLevel</t>
        </is>
      </c>
      <c r="E75" s="8" t="inlineStr">
        <is>
          <t>Factor</t>
        </is>
      </c>
      <c r="F75" s="8" t="inlineStr">
        <is>
          <t>CoefficientPercent</t>
        </is>
      </c>
      <c r="G75" s="8" t="inlineStr">
        <is>
          <t>EffectiveHits</t>
        </is>
      </c>
      <c r="H75" s="8" t="inlineStr">
        <is>
          <t>ProcProbability</t>
        </is>
      </c>
      <c r="I75" s="8" t="inlineStr">
        <is>
          <t>MapleHeroMultiplier</t>
        </is>
      </c>
      <c r="J75" s="8" t="inlineStr">
        <is>
          <t>BaseDamage</t>
        </is>
      </c>
      <c r="K75" s="8" t="inlineStr">
        <is>
          <t>BaseHitDamage</t>
        </is>
      </c>
      <c r="L75" s="8" t="inlineStr">
        <is>
          <t>NonCritAvg</t>
        </is>
      </c>
      <c r="M75" s="8" t="inlineStr">
        <is>
          <t>CritAvg</t>
        </is>
      </c>
      <c r="N75" s="8" t="inlineStr">
        <is>
          <t>ExpectedDamage(perHit)</t>
        </is>
      </c>
      <c r="O75" s="8" t="inlineStr">
        <is>
          <t>DPS</t>
        </is>
      </c>
      <c r="P75" s="8" t="inlineStr">
        <is>
          <t>% of Total</t>
        </is>
      </c>
      <c r="Q75" s="8" t="inlineStr">
        <is>
          <t>InvCooldown</t>
        </is>
      </c>
      <c r="R75" s="8" t="inlineStr">
        <is>
          <t>CastsInFight</t>
        </is>
      </c>
      <c r="S75" s="8" t="inlineStr">
        <is>
          <t>HitRate(perSec)</t>
        </is>
      </c>
      <c r="U75" t="inlineStr">
        <is>
          <t>helpers</t>
        </is>
      </c>
    </row>
    <row r="76">
      <c r="A76">
        <f>Skills!A2</f>
        <v/>
      </c>
      <c r="B76">
        <f>Skills!B2</f>
        <v/>
      </c>
      <c r="C76">
        <f>Inputs!$B$3&gt;=100</f>
        <v/>
      </c>
      <c r="D76" t="inlineStr"/>
      <c r="E76" t="inlineStr"/>
      <c r="F76">
        <f>U78+Skills!O2</f>
        <v/>
      </c>
      <c r="G76">
        <f>Skills!G2*IF(Skills!H2&gt;0,Skills!I2/Skills!H2,1)</f>
        <v/>
      </c>
      <c r="H76">
        <f>1-(1-Skills!J2/100)^Skills!K2</f>
        <v/>
      </c>
      <c r="I76" t="inlineStr">
        <is>
          <t>1</t>
        </is>
      </c>
      <c r="J76">
        <f>(Inputs!$B$5*(1+Inputs!$B$6/100))*(F76/100)</f>
        <v/>
      </c>
      <c r="K76">
        <f>J76*(1+((Inputs!$B$11*(1+(Inputs!$B$12+1)/100))*0.01+Inputs!$B$13*0.0025)/100)*(1+Inputs!$B$14/100)*(1+IF(Inputs!$B$4="pvp",0,(1-Summary!$B$55)*(Inputs!$B$19+0+Skills!P2)+Summary!$B$55*(Inputs!$B$20+Skills!Q2))/100)*(1+Inputs!$B$15/100)*(5000/(6000+Inputs!$B$7*(1-(Inputs!$B$18+0)/100)))*(1+(Inputs!$B$23+((C100=TRUE)*(F100-Calc!F26))+B110)/100)*(1+(IF(Skills!A2="EIGHT_LEGS_EASTON",Inputs!$B$16+((C97=TRUE)*(F97-Calc!F23))+((C101=TRUE)*(F101-Calc!F27)),Inputs!$B$17+0))/100)*((1+(((C91=TRUE)*F91)+((C98=TRUE)*(F98-Calc!F24)))/100)*I76)</f>
        <v/>
      </c>
      <c r="L76">
        <f>K76*(MIN(Inputs!$B$21+((C96=TRUE)*(F96-Calc!F22)),Inputs!$B$22+0)/100+(Inputs!$B$22+0)/100)/2</f>
        <v/>
      </c>
      <c r="M76">
        <f>L76*(1+(Inputs!$B$9+((C99=TRUE)*(F99-Calc!F25))+B109)/100)</f>
        <v/>
      </c>
      <c r="N76">
        <f>L76*(1-MIN((Inputs!$B$8+((C93=TRUE)*(F93-Calc!F19))+B104),100)/100)+M76*(MIN((Inputs!$B$8+((C93=TRUE)*(F93-Calc!F19))+B104),100)/100)</f>
        <v/>
      </c>
      <c r="O76">
        <f>IF(C76,Skills!G2*N76*B108*IF(Inputs!$B$4="pvp",1,(1-Summary!$B$55)*(1)+Summary!$B$55*(MIN((6+Inputs!$B$32),Inputs!$B$37))),0)</f>
        <v/>
      </c>
      <c r="P76">
        <f>IF(B112=0,0,O76/B112)</f>
        <v/>
      </c>
      <c r="Q76" t="n">
        <v>0</v>
      </c>
      <c r="R76" t="n">
        <v>0</v>
      </c>
      <c r="S76">
        <f>IFERROR(O76/N76,0)</f>
        <v/>
      </c>
      <c r="U76">
        <f>MAX(0,(Inputs!$B$3-100)*3)+Inputs!$B$27+Inputs!$B$28</f>
        <v/>
      </c>
    </row>
    <row r="77">
      <c r="A77">
        <f>Skills!A3</f>
        <v/>
      </c>
      <c r="B77">
        <f>Skills!B3</f>
        <v/>
      </c>
      <c r="C77">
        <f>Inputs!$B$3&gt;=35</f>
        <v/>
      </c>
      <c r="D77">
        <f>IF(Skills!C3=1,60+Inputs!$B$24+Inputs!$B$28,IF(Skills!C3=2,90+Inputs!$B$25+Inputs!$B$28,IF(Skills!C3=3,120+Inputs!$B$26+Inputs!$B$28,MAX(0,(Inputs!$B$3-100)*3)+Inputs!$B$27+Inputs!$B$28)))</f>
        <v/>
      </c>
      <c r="E77">
        <f>INDEX(FactorTable!$B$2:$Y$301, MATCH(ROUND(MIN(300,MAX(1,D77)),0), FactorTable!$A$2:$A$301,0), Skills!M3+1)</f>
        <v/>
      </c>
      <c r="F77">
        <f>IF(Skills!N3=TRUE,(Skills!L3/10)*(E77/1000),Skills!L3/10)+Skills!O3</f>
        <v/>
      </c>
      <c r="G77">
        <f>Skills!G3*IF(Skills!H3&gt;0,Skills!I3/Skills!H3,1)</f>
        <v/>
      </c>
      <c r="H77">
        <f>1-(1-Skills!J3/100)^Skills!K3</f>
        <v/>
      </c>
      <c r="I77" t="inlineStr">
        <is>
          <t>1</t>
        </is>
      </c>
      <c r="J77">
        <f>(Inputs!$B$5*(1+Inputs!$B$6/100))*(F77/100)</f>
        <v/>
      </c>
      <c r="K77">
        <f>J77*(1+((Inputs!$B$11*(1+(Inputs!$B$12+1)/100))*0.01+Inputs!$B$13*0.0025)/100)*(1+Inputs!$B$14/100)*(1+IF(Inputs!$B$4="pvp",0,(1-Summary!$B$55)*(Inputs!$B$19+0+Skills!P3)+Summary!$B$55*(Inputs!$B$20+Skills!Q3))/100)*(1+Inputs!$B$15/100)*(5000/(6000+Inputs!$B$7*(1-(Inputs!$B$18+0)/100)))*(1+(Inputs!$B$23+((C100=TRUE)*(F100-Calc!F26))+B110)/100)*(1+4.0*IF(C89=TRUE,F89,0)/100)*(1+(IF(Skills!A3="EIGHT_LEGS_EASTON",Inputs!$B$16+((C97=TRUE)*(F97-Calc!F23))+((C101=TRUE)*(F101-Calc!F27)),Inputs!$B$17+0))/100)*((1+(((C91=TRUE)*F91)+((C98=TRUE)*(F98-Calc!F24)))/100)*I77)</f>
        <v/>
      </c>
      <c r="L77">
        <f>K77*(MIN(Inputs!$B$21+((C96=TRUE)*(F96-Calc!F22)),Inputs!$B$22+0)/100+(Inputs!$B$22+0)/100)/2</f>
        <v/>
      </c>
      <c r="M77">
        <f>L77*(1+(Inputs!$B$9+((C99=TRUE)*(F99-Calc!F25))+B109)/100)</f>
        <v/>
      </c>
      <c r="N77">
        <f>L77*(1-MIN((Inputs!$B$8+((C93=TRUE)*(F93-Calc!F19))+B104),100)/100)+M77*(MIN((Inputs!$B$8+((C93=TRUE)*(F93-Calc!F19))+B104),100)/100)</f>
        <v/>
      </c>
      <c r="O77">
        <f>IF(C77,H77*N77*IF(AND(Inputs!$B$4&lt;&gt;"pvp",Inputs!$B$35&gt;0),((Skills!G3*((R77-1)*IF(Skills!H3&gt;0,Skills!I3/Skills!H3,1)+IF(Skills!H3&gt;0,MIN(Skills!I3,MAX(0,Inputs!$B$35-((R77-1)*IF(Inputs!$B$4="pvp",15,MAX(0.1,Skills!D3-IF(Skills!E3=TRUE,Inputs!$B$31,0))))))/Skills!H3,1)))/Inputs!$B$35),G77*Q77)*IF(Inputs!$B$4="pvp",1,(1-Summary!$B$55)*(1)+Summary!$B$55*(MIN(Skills!R3,Inputs!$B$37))),0)</f>
        <v/>
      </c>
      <c r="P77">
        <f>IF(B112=0,0,O77/B112)</f>
        <v/>
      </c>
      <c r="Q77">
        <f>IFERROR(1/IF(Inputs!$B$4="pvp",15,MAX(0.1,Skills!D3-IF(Skills!E3=TRUE,Inputs!$B$31,0))),0)</f>
        <v/>
      </c>
      <c r="R77">
        <f>IF(AND(Inputs!$B$4&lt;&gt;"pvp",Inputs!$B$35&gt;0),(INT(Inputs!$B$35/IF(Inputs!$B$4="pvp",15,MAX(0.1,Skills!D3-IF(Skills!E3=TRUE,Inputs!$B$31,0))))+1),0)</f>
        <v/>
      </c>
      <c r="S77">
        <f>IFERROR(O77/N77,0)</f>
        <v/>
      </c>
      <c r="U77">
        <f>INDEX(FactorTable!$B$2:$Y$301, MATCH(ROUND(MIN(300,MAX(1,U76)),0), FactorTable!$A$2:$A$301,0), 22)</f>
        <v/>
      </c>
    </row>
    <row r="78">
      <c r="A78">
        <f>Skills!A4</f>
        <v/>
      </c>
      <c r="B78">
        <f>Skills!B4</f>
        <v/>
      </c>
      <c r="C78">
        <f>Inputs!$B$3&gt;=40</f>
        <v/>
      </c>
      <c r="D78">
        <f>IF(Skills!C4=1,60+Inputs!$B$24+Inputs!$B$28,IF(Skills!C4=2,90+Inputs!$B$25+Inputs!$B$28,IF(Skills!C4=3,120+Inputs!$B$26+Inputs!$B$28,MAX(0,(Inputs!$B$3-100)*3)+Inputs!$B$27+Inputs!$B$28)))</f>
        <v/>
      </c>
      <c r="E78">
        <f>INDEX(FactorTable!$B$2:$Y$301, MATCH(ROUND(MIN(300,MAX(1,D78)),0), FactorTable!$A$2:$A$301,0), Skills!M4+1)</f>
        <v/>
      </c>
      <c r="F78">
        <f>IF(Skills!N4=TRUE,(Skills!L4/10)*(E78/1000),Skills!L4/10)+Skills!O4</f>
        <v/>
      </c>
      <c r="G78">
        <f>Skills!G4*IF(Skills!H4&gt;0,Skills!I4/Skills!H4,1)</f>
        <v/>
      </c>
      <c r="H78">
        <f>1-(1-Skills!J4/100)^Skills!K4</f>
        <v/>
      </c>
      <c r="I78" t="inlineStr">
        <is>
          <t>1</t>
        </is>
      </c>
      <c r="J78">
        <f>(Inputs!$B$5*(1+Inputs!$B$6/100))*(F78/100)</f>
        <v/>
      </c>
      <c r="K78">
        <f>J78*(1+((Inputs!$B$11*(1+(Inputs!$B$12+1)/100))*0.01+Inputs!$B$13*0.0025)/100)*(1+Inputs!$B$14/100)*(1+IF(Inputs!$B$4="pvp",0,(1-Summary!$B$55)*(Inputs!$B$19+0+Skills!P4)+Summary!$B$55*(Inputs!$B$20+Skills!Q4))/100)*(1+Inputs!$B$15/100)*(5000/(6000+Inputs!$B$7*(1-(Inputs!$B$18+0)/100)))*(1+(Inputs!$B$23+((C100=TRUE)*(F100-Calc!F26))+B110)/100)*(1+1.0*IF(C90=TRUE,F90,0)/100)*(1+(IF(Skills!A4="EIGHT_LEGS_EASTON",Inputs!$B$16+((C97=TRUE)*(F97-Calc!F23))+((C101=TRUE)*(F101-Calc!F27)),Inputs!$B$17+0))/100)*((1+(((C91=TRUE)*F91)+((C98=TRUE)*(F98-Calc!F24)))/100)*I78)</f>
        <v/>
      </c>
      <c r="L78">
        <f>K78*(MIN(Inputs!$B$21+((C96=TRUE)*(F96-Calc!F22)),Inputs!$B$22+0)/100+(Inputs!$B$22+0)/100)/2</f>
        <v/>
      </c>
      <c r="M78">
        <f>L78*(1+(Inputs!$B$9+((C99=TRUE)*(F99-Calc!F25))+B109)/100)</f>
        <v/>
      </c>
      <c r="N78">
        <f>L78*(1-MIN((Inputs!$B$8+((C93=TRUE)*(F93-Calc!F19))+B104),100)/100)+M78*(MIN((Inputs!$B$8+((C93=TRUE)*(F93-Calc!F19))+B104),100)/100)</f>
        <v/>
      </c>
      <c r="O78">
        <f>IF(C78,H78*N78*IF(AND(Inputs!$B$4&lt;&gt;"pvp",Inputs!$B$35&gt;0),((Skills!G4*((R78-1)*IF(Skills!H4&gt;0,Skills!I4/Skills!H4,1)+IF(Skills!H4&gt;0,MIN(Skills!I4,MAX(0,Inputs!$B$35-((R78-1)*IF(Inputs!$B$4="pvp",15,MAX(0.1,Skills!D4-IF(Skills!E4=TRUE,Inputs!$B$31,0))))))/Skills!H4,1)))/Inputs!$B$35),G78*Q78)*IF(Inputs!$B$4="pvp",1,(1-Summary!$B$55)*(1)+Summary!$B$55*(MIN(Skills!R4,Inputs!$B$37))),0)</f>
        <v/>
      </c>
      <c r="P78">
        <f>IF(B112=0,0,O78/B112)</f>
        <v/>
      </c>
      <c r="Q78">
        <f>IFERROR(1/IF(Inputs!$B$4="pvp",15,MAX(0.1,Skills!D4-IF(Skills!E4=TRUE,Inputs!$B$31,0))),0)</f>
        <v/>
      </c>
      <c r="R78">
        <f>IF(AND(Inputs!$B$4&lt;&gt;"pvp",Inputs!$B$35&gt;0),(INT(Inputs!$B$35/IF(Inputs!$B$4="pvp",15,MAX(0.1,Skills!D4-IF(Skills!E4=TRUE,Inputs!$B$31,0))))+1),0)</f>
        <v/>
      </c>
      <c r="S78">
        <f>IFERROR(O78/N78,0)</f>
        <v/>
      </c>
      <c r="U78">
        <f>290*U77/1000</f>
        <v/>
      </c>
    </row>
    <row r="79">
      <c r="A79">
        <f>Skills!A5</f>
        <v/>
      </c>
      <c r="B79">
        <f>Skills!B5</f>
        <v/>
      </c>
      <c r="C79">
        <f>Inputs!$B$3&gt;=45</f>
        <v/>
      </c>
      <c r="D79">
        <f>IF(Skills!C5=1,60+Inputs!$B$24+Inputs!$B$28,IF(Skills!C5=2,90+Inputs!$B$25+Inputs!$B$28,IF(Skills!C5=3,120+Inputs!$B$26+Inputs!$B$28,MAX(0,(Inputs!$B$3-100)*3)+Inputs!$B$27+Inputs!$B$28)))</f>
        <v/>
      </c>
      <c r="E79">
        <f>INDEX(FactorTable!$B$2:$Y$301, MATCH(ROUND(MIN(300,MAX(1,D79)),0), FactorTable!$A$2:$A$301,0), Skills!M5+1)</f>
        <v/>
      </c>
      <c r="F79">
        <f>IF(Skills!N5=TRUE,(Skills!L5/10)*(E79/1000),Skills!L5/10)+Skills!O5</f>
        <v/>
      </c>
      <c r="G79">
        <f>Skills!G5*IF(Skills!H5&gt;0,Skills!I5/Skills!H5,1)</f>
        <v/>
      </c>
      <c r="H79">
        <f>1-(1-Skills!J5/100)^Skills!K5</f>
        <v/>
      </c>
      <c r="I79" t="inlineStr">
        <is>
          <t>1</t>
        </is>
      </c>
      <c r="J79">
        <f>(Inputs!$B$5*(1+Inputs!$B$6/100))*(F79/100)</f>
        <v/>
      </c>
      <c r="K79">
        <f>J79*(1+((Inputs!$B$11*(1+(Inputs!$B$12+1)/100))*0.01+Inputs!$B$13*0.0025)/100)*(1+Inputs!$B$14/100)*(1+IF(Inputs!$B$4="pvp",0,(1-Summary!$B$55)*(Inputs!$B$19+0+Skills!P5)+Summary!$B$55*(Inputs!$B$20+Skills!Q5))/100)*(1+Inputs!$B$15/100)*(5000/(6000+Inputs!$B$7*(1-(Inputs!$B$18+0)/100)))*(1+(Inputs!$B$23+((C100=TRUE)*(F100-Calc!F26))+B110)/100)*(1+0.4*IF(C90=TRUE,F90,0)/100)*(1+(IF(Skills!A5="EIGHT_LEGS_EASTON",Inputs!$B$16+((C97=TRUE)*(F97-Calc!F23))+((C101=TRUE)*(F101-Calc!F27)),Inputs!$B$17+0))/100)*((1+(((C91=TRUE)*F91)+((C98=TRUE)*(F98-Calc!F24)))/100)*I79)</f>
        <v/>
      </c>
      <c r="L79">
        <f>K79*(MIN(Inputs!$B$21+((C96=TRUE)*(F96-Calc!F22)),Inputs!$B$22+0)/100+(Inputs!$B$22+0)/100)/2</f>
        <v/>
      </c>
      <c r="M79">
        <f>L79*(1+(Inputs!$B$9+((C99=TRUE)*(F99-Calc!F25))+B109)/100)</f>
        <v/>
      </c>
      <c r="N79">
        <f>L79*(1-MIN((Inputs!$B$8+((C93=TRUE)*(F93-Calc!F19))+B104),100)/100)+M79*(MIN((Inputs!$B$8+((C93=TRUE)*(F93-Calc!F19))+B104),100)/100)</f>
        <v/>
      </c>
      <c r="O79">
        <f>IF(C79,H79*N79*IF(AND(Inputs!$B$4&lt;&gt;"pvp",Inputs!$B$35&gt;0),((Skills!G5*((R79-1)*IF(Skills!H5&gt;0,Skills!I5/Skills!H5,1)+IF(Skills!H5&gt;0,MIN(Skills!I5,MAX(0,Inputs!$B$35-((R79-1)*IF(Inputs!$B$4="pvp",15,MAX(0.1,Skills!D5-IF(Skills!E5=TRUE,Inputs!$B$31,0))))))/Skills!H5,1)))/Inputs!$B$35),G79*Q79)*IF(Inputs!$B$4="pvp",1,(1-Summary!$B$55)*(1)+Summary!$B$55*(MIN(Skills!R5,Inputs!$B$37))),0)</f>
        <v/>
      </c>
      <c r="P79">
        <f>IF(B112=0,0,O79/B112)</f>
        <v/>
      </c>
      <c r="Q79">
        <f>IFERROR(1/IF(Inputs!$B$4="pvp",15,MAX(0.1,Skills!D5-IF(Skills!E5=TRUE,Inputs!$B$31,0))),0)</f>
        <v/>
      </c>
      <c r="R79">
        <f>IF(AND(Inputs!$B$4&lt;&gt;"pvp",Inputs!$B$35&gt;0),(INT(Inputs!$B$35/IF(Inputs!$B$4="pvp",15,MAX(0.1,Skills!D5-IF(Skills!E5=TRUE,Inputs!$B$31,0))))+1),0)</f>
        <v/>
      </c>
      <c r="S79">
        <f>IFERROR(O79/N79,0)</f>
        <v/>
      </c>
    </row>
    <row r="80">
      <c r="A80">
        <f>Skills!A6</f>
        <v/>
      </c>
      <c r="B80">
        <f>Skills!B6</f>
        <v/>
      </c>
      <c r="C80">
        <f>Inputs!$B$3&gt;=63</f>
        <v/>
      </c>
      <c r="D80">
        <f>IF(Skills!C6=1,60+Inputs!$B$24+Inputs!$B$28,IF(Skills!C6=2,90+Inputs!$B$25+Inputs!$B$28,IF(Skills!C6=3,120+Inputs!$B$26+Inputs!$B$28,MAX(0,(Inputs!$B$3-100)*3)+Inputs!$B$27+Inputs!$B$28)))</f>
        <v/>
      </c>
      <c r="E80">
        <f>INDEX(FactorTable!$B$2:$Y$301, MATCH(ROUND(MIN(300,MAX(1,D80)),0), FactorTable!$A$2:$A$301,0), Skills!M6+1)</f>
        <v/>
      </c>
      <c r="F80">
        <f>IF(Skills!N6=TRUE,(Skills!L6/10)*(E80/1000),Skills!L6/10)+Skills!O6</f>
        <v/>
      </c>
      <c r="G80">
        <f>Skills!G6*IF(Skills!H6&gt;0,Skills!I6/Skills!H6,1)</f>
        <v/>
      </c>
      <c r="H80">
        <f>1-(1-Skills!J6/100)^Skills!K6</f>
        <v/>
      </c>
      <c r="I80" t="inlineStr">
        <is>
          <t>1</t>
        </is>
      </c>
      <c r="J80">
        <f>(Inputs!$B$5*(1+Inputs!$B$6/100))*(F80/100)</f>
        <v/>
      </c>
      <c r="K80">
        <f>J80*(1+((Inputs!$B$11*(1+(Inputs!$B$12+1)/100))*0.01+Inputs!$B$13*0.0025)/100)*(1+Inputs!$B$14/100)*(1+IF(Inputs!$B$4="pvp",0,(1-Summary!$B$55)*(Inputs!$B$19+0+Skills!P6)+Summary!$B$55*(Inputs!$B$20+Skills!Q6))/100)*(1+Inputs!$B$15/100)*(5000/(6000+Inputs!$B$7*(1-(Inputs!$B$18+0)/100)))*(1+(Inputs!$B$23+((C100=TRUE)*(F100-Calc!F26))+B110)/100)*(1+2.0*IF(C89=TRUE,F89,0)/100)*(1+(IF(Skills!A6="EIGHT_LEGS_EASTON",Inputs!$B$16+((C97=TRUE)*(F97-Calc!F23))+((C101=TRUE)*(F101-Calc!F27)),Inputs!$B$17+0))/100)*((1+(((C91=TRUE)*F91)+((C98=TRUE)*(F98-Calc!F24)))/100)*I80)</f>
        <v/>
      </c>
      <c r="L80">
        <f>K80*(MIN(Inputs!$B$21+((C96=TRUE)*(F96-Calc!F22)),Inputs!$B$22+0)/100+(Inputs!$B$22+0)/100)/2</f>
        <v/>
      </c>
      <c r="M80">
        <f>L80*(1+(Inputs!$B$9+((C99=TRUE)*(F99-Calc!F25))+B109)/100)</f>
        <v/>
      </c>
      <c r="N80">
        <f>L80*(1-MIN((Inputs!$B$8+((C93=TRUE)*(F93-Calc!F19))+B104),100)/100)+M80*(MIN((Inputs!$B$8+((C93=TRUE)*(F93-Calc!F19))+B104),100)/100)</f>
        <v/>
      </c>
      <c r="O80">
        <f>IF(C80,H80*N80*IF(AND(Inputs!$B$4&lt;&gt;"pvp",Inputs!$B$35&gt;0),((Skills!G6*((R80-1)*IF(Skills!H6&gt;0,Skills!I6/Skills!H6,1)+IF(Skills!H6&gt;0,MIN(Skills!I6,MAX(0,Inputs!$B$35-((R80-1)*IF(Inputs!$B$4="pvp",15,MAX(0.1,Skills!D6-IF(Skills!E6=TRUE,Inputs!$B$31,0))))))/Skills!H6,1)))/Inputs!$B$35),G80*Q80)*IF(Inputs!$B$4="pvp",1,(1-Summary!$B$55)*(1)+Summary!$B$55*(MIN(Skills!R6,Inputs!$B$37))),0)</f>
        <v/>
      </c>
      <c r="P80">
        <f>IF(B112=0,0,O80/B112)</f>
        <v/>
      </c>
      <c r="Q80">
        <f>IFERROR(1/IF(Inputs!$B$4="pvp",15,MAX(0.1,Skills!D6-IF(Skills!E6=TRUE,Inputs!$B$31,0))),0)</f>
        <v/>
      </c>
      <c r="R80">
        <f>IF(AND(Inputs!$B$4&lt;&gt;"pvp",Inputs!$B$35&gt;0),(INT(Inputs!$B$35/IF(Inputs!$B$4="pvp",15,MAX(0.1,Skills!D6-IF(Skills!E6=TRUE,Inputs!$B$31,0))))+1),0)</f>
        <v/>
      </c>
      <c r="S80">
        <f>IFERROR(O80/N80,0)</f>
        <v/>
      </c>
    </row>
    <row r="81">
      <c r="A81">
        <f>Skills!A7</f>
        <v/>
      </c>
      <c r="B81">
        <f>Skills!B7</f>
        <v/>
      </c>
      <c r="C81">
        <f>Inputs!$B$3&gt;=66</f>
        <v/>
      </c>
      <c r="D81">
        <f>IF(Skills!C7=1,60+Inputs!$B$24+Inputs!$B$28,IF(Skills!C7=2,90+Inputs!$B$25+Inputs!$B$28,IF(Skills!C7=3,120+Inputs!$B$26+Inputs!$B$28,MAX(0,(Inputs!$B$3-100)*3)+Inputs!$B$27+Inputs!$B$28)))</f>
        <v/>
      </c>
      <c r="E81">
        <f>INDEX(FactorTable!$B$2:$Y$301, MATCH(ROUND(MIN(300,MAX(1,D81)),0), FactorTable!$A$2:$A$301,0), Skills!M7+1)</f>
        <v/>
      </c>
      <c r="F81">
        <f>IF(Skills!N7=TRUE,(Skills!L7/10)*(E81/1000),Skills!L7/10)+Skills!O7</f>
        <v/>
      </c>
      <c r="G81">
        <f>Skills!G7*IF(Skills!H7&gt;0,Skills!I7/Skills!H7,1)</f>
        <v/>
      </c>
      <c r="H81">
        <f>1-(1-Skills!J7/100)^Skills!K7</f>
        <v/>
      </c>
      <c r="I81" t="inlineStr">
        <is>
          <t>1</t>
        </is>
      </c>
      <c r="J81">
        <f>(Inputs!$B$5*(1+Inputs!$B$6/100))*(F81/100)</f>
        <v/>
      </c>
      <c r="K81">
        <f>J81*(1+((Inputs!$B$11*(1+(Inputs!$B$12+1)/100))*0.01+Inputs!$B$13*0.0025)/100)*(1+Inputs!$B$14/100)*(1+IF(Inputs!$B$4="pvp",0,(1-Summary!$B$55)*(Inputs!$B$19+0+Skills!P7)+Summary!$B$55*(Inputs!$B$20+Skills!Q7))/100)*(1+Inputs!$B$15/100)*(5000/(6000+Inputs!$B$7*(1-(Inputs!$B$18+0)/100)))*(1+(Inputs!$B$23+((C100=TRUE)*(F100-Calc!F26))+B110)/100)*(1+1.0*IF(C89=TRUE,F89,0)/100)*(1+(IF(Skills!A7="EIGHT_LEGS_EASTON",Inputs!$B$16+((C97=TRUE)*(F97-Calc!F23))+((C101=TRUE)*(F101-Calc!F27)),Inputs!$B$17+0))/100)*((1+(((C91=TRUE)*F91)+((C98=TRUE)*(F98-Calc!F24)))/100)*I81)</f>
        <v/>
      </c>
      <c r="L81">
        <f>K81*(MIN(Inputs!$B$21+((C96=TRUE)*(F96-Calc!F22)),Inputs!$B$22+0)/100+(Inputs!$B$22+0)/100)/2</f>
        <v/>
      </c>
      <c r="M81">
        <f>L81*(1+(Inputs!$B$9+((C99=TRUE)*(F99-Calc!F25))+B109)/100)</f>
        <v/>
      </c>
      <c r="N81">
        <f>L81*(1-MIN((Inputs!$B$8+((C93=TRUE)*(F93-Calc!F19))+B104),100)/100)+M81*(MIN((Inputs!$B$8+((C93=TRUE)*(F93-Calc!F19))+B104),100)/100)</f>
        <v/>
      </c>
      <c r="O81">
        <f>IF(C81,H81*N81*IF(AND(Inputs!$B$4&lt;&gt;"pvp",Inputs!$B$35&gt;0),((Skills!G7*((R81-1)*IF(Skills!H7&gt;0,Skills!I7/Skills!H7,1)+IF(Skills!H7&gt;0,MIN(Skills!I7,MAX(0,Inputs!$B$35-((R81-1)*IF(Inputs!$B$4="pvp",15,MAX(0.1,Skills!D7-IF(Skills!E7=TRUE,Inputs!$B$31,0))))))/Skills!H7,1)))/Inputs!$B$35),G81*Q81)*IF(Inputs!$B$4="pvp",1,(1-Summary!$B$55)*(1)+Summary!$B$55*(MIN(Skills!R7,Inputs!$B$37))),0)</f>
        <v/>
      </c>
      <c r="P81">
        <f>IF(B112=0,0,O81/B112)</f>
        <v/>
      </c>
      <c r="Q81">
        <f>IFERROR(1/IF(Inputs!$B$4="pvp",15,MAX(0.1,Skills!D7-IF(Skills!E7=TRUE,Inputs!$B$31,0))),0)</f>
        <v/>
      </c>
      <c r="R81">
        <f>IF(AND(Inputs!$B$4&lt;&gt;"pvp",Inputs!$B$35&gt;0),(INT(Inputs!$B$35/IF(Inputs!$B$4="pvp",15,MAX(0.1,Skills!D7-IF(Skills!E7=TRUE,Inputs!$B$31,0))))+1),0)</f>
        <v/>
      </c>
      <c r="S81">
        <f>IFERROR(O81/N81,0)</f>
        <v/>
      </c>
    </row>
    <row r="82">
      <c r="A82">
        <f>Skills!A8</f>
        <v/>
      </c>
      <c r="B82">
        <f>Skills!B8</f>
        <v/>
      </c>
      <c r="C82">
        <f>Inputs!$B$3&gt;=100</f>
        <v/>
      </c>
      <c r="D82">
        <f>IF(Skills!C8=1,60+Inputs!$B$24+Inputs!$B$28,IF(Skills!C8=2,90+Inputs!$B$25+Inputs!$B$28,IF(Skills!C8=3,120+Inputs!$B$26+Inputs!$B$28,MAX(0,(Inputs!$B$3-100)*3)+Inputs!$B$27+Inputs!$B$28)))</f>
        <v/>
      </c>
      <c r="E82">
        <f>INDEX(FactorTable!$B$2:$Y$301, MATCH(ROUND(MIN(300,MAX(1,D82)),0), FactorTable!$A$2:$A$301,0), Skills!M8+1)</f>
        <v/>
      </c>
      <c r="F82">
        <f>IF(Skills!N8=TRUE,(Skills!L8/10)*(E82/1000),Skills!L8/10)+Skills!O8</f>
        <v/>
      </c>
      <c r="G82">
        <f>Skills!G8*IF(Skills!H8&gt;0,Skills!I8/Skills!H8,1)</f>
        <v/>
      </c>
      <c r="H82">
        <f>1-(1-Skills!J8/100)^Skills!K8</f>
        <v/>
      </c>
      <c r="I82" t="inlineStr">
        <is>
          <t>1</t>
        </is>
      </c>
      <c r="J82">
        <f>(Inputs!$B$5*(1+Inputs!$B$6/100))*(F82/100)</f>
        <v/>
      </c>
      <c r="K82">
        <f>J82*(1+((Inputs!$B$11*(1+(Inputs!$B$12+1)/100))*0.01+Inputs!$B$13*0.0025)/100)*(1+Inputs!$B$14/100)*(1+IF(Inputs!$B$4="pvp",0,(1-Summary!$B$55)*(Inputs!$B$19+0+Skills!P8)+Summary!$B$55*(Inputs!$B$20+Skills!Q8))/100)*(1+Inputs!$B$15/100)*(5000/(6000+Inputs!$B$7*(1-(Inputs!$B$18+0)/100)))*(1+(Inputs!$B$23+((C100=TRUE)*(F100-Calc!F26))+B110)/100)*(1+(IF(Skills!A8="EIGHT_LEGS_EASTON",Inputs!$B$16+((C97=TRUE)*(F97-Calc!F23))+((C101=TRUE)*(F101-Calc!F27)),Inputs!$B$17+0))/100)*((1+(((C91=TRUE)*F91)+((C98=TRUE)*(F98-Calc!F24)))/100)*I82)</f>
        <v/>
      </c>
      <c r="L82">
        <f>K82*(MIN(Inputs!$B$21+((C96=TRUE)*(F96-Calc!F22)),Inputs!$B$22+0)/100+(Inputs!$B$22+0)/100)/2</f>
        <v/>
      </c>
      <c r="M82">
        <f>L82*(1+(Inputs!$B$9+((C99=TRUE)*(F99-Calc!F25))+B109)/100)</f>
        <v/>
      </c>
      <c r="N82">
        <f>L82*(1-MIN((Inputs!$B$8+((C93=TRUE)*(F93-Calc!F19))+B104),100)/100)+M82*(MIN((Inputs!$B$8+((C93=TRUE)*(F93-Calc!F19))+B104),100)/100)</f>
        <v/>
      </c>
      <c r="O82">
        <f>IF(C82,H82*N82*IF(AND(Inputs!$B$4&lt;&gt;"pvp",Inputs!$B$35&gt;0),((Skills!G8*((R82-1)*IF(Skills!H8&gt;0,Skills!I8/Skills!H8,1)+IF(Skills!H8&gt;0,MIN(Skills!I8,MAX(0,Inputs!$B$35-((R82-1)*IF(Inputs!$B$4="pvp",15,MAX(0.1,Skills!D8-IF(Skills!E8=TRUE,Inputs!$B$31,0))))))/Skills!H8,1)))/Inputs!$B$35),G82*Q82)*IF(Inputs!$B$4="pvp",1,(1-Summary!$B$55)*(1)+Summary!$B$55*(MIN(Skills!R8,Inputs!$B$37))),0)</f>
        <v/>
      </c>
      <c r="P82">
        <f>IF(B112=0,0,O82/B112)</f>
        <v/>
      </c>
      <c r="Q82">
        <f>IFERROR(1/IF(Inputs!$B$4="pvp",15,MAX(0.1,Skills!D8-IF(Skills!E8=TRUE,Inputs!$B$31,0))),0)</f>
        <v/>
      </c>
      <c r="R82">
        <f>IF(AND(Inputs!$B$4&lt;&gt;"pvp",Inputs!$B$35&gt;0),(INT(Inputs!$B$35/IF(Inputs!$B$4="pvp",15,MAX(0.1,Skills!D8-IF(Skills!E8=TRUE,Inputs!$B$31,0))))+1),0)</f>
        <v/>
      </c>
      <c r="S82">
        <f>IFERROR(O82/N82,0)</f>
        <v/>
      </c>
    </row>
    <row r="83">
      <c r="A83">
        <f>Skills!A9</f>
        <v/>
      </c>
      <c r="B83">
        <f>Skills!B9</f>
        <v/>
      </c>
      <c r="C83">
        <f>Inputs!$B$3&gt;=103</f>
        <v/>
      </c>
      <c r="D83">
        <f>IF(Skills!C9=1,60+Inputs!$B$24+Inputs!$B$28,IF(Skills!C9=2,90+Inputs!$B$25+Inputs!$B$28,IF(Skills!C9=3,120+Inputs!$B$26+Inputs!$B$28,MAX(0,(Inputs!$B$3-100)*3)+Inputs!$B$27+Inputs!$B$28)))</f>
        <v/>
      </c>
      <c r="E83">
        <f>INDEX(FactorTable!$B$2:$Y$301, MATCH(ROUND(MIN(300,MAX(1,D83)),0), FactorTable!$A$2:$A$301,0), Skills!M9+1)</f>
        <v/>
      </c>
      <c r="F83">
        <f>IF(Skills!N9=TRUE,(Skills!L9/10)*(E83/1000),Skills!L9/10)+Skills!O9</f>
        <v/>
      </c>
      <c r="G83">
        <f>Skills!G9*IF(Skills!H9&gt;0,Skills!I9/Skills!H9,1)</f>
        <v/>
      </c>
      <c r="H83">
        <f>1-(1-Skills!J9/100)^Skills!K9</f>
        <v/>
      </c>
      <c r="I83" t="inlineStr">
        <is>
          <t>1</t>
        </is>
      </c>
      <c r="J83">
        <f>(Inputs!$B$5*(1+Inputs!$B$6/100))*(F83/100)</f>
        <v/>
      </c>
      <c r="K83">
        <f>J83*(1+((Inputs!$B$11*(1+(Inputs!$B$12+1)/100))*0.01+Inputs!$B$13*0.0025)/100)*(1+Inputs!$B$14/100)*(1+IF(Inputs!$B$4="pvp",0,(1-Summary!$B$55)*(Inputs!$B$19+0+Skills!P9)+Summary!$B$55*(Inputs!$B$20+Skills!Q9))/100)*(1+Inputs!$B$15/100)*(5000/(6000+Inputs!$B$7*(1-(Inputs!$B$18+0)/100)))*(1+(Inputs!$B$23+((C100=TRUE)*(F100-Calc!F26))+B110)/100)*(1+(IF(Skills!A9="EIGHT_LEGS_EASTON",Inputs!$B$16+((C97=TRUE)*(F97-Calc!F23))+((C101=TRUE)*(F101-Calc!F27)),Inputs!$B$17+0))/100)*((1+(((C91=TRUE)*F91)+((C98=TRUE)*(F98-Calc!F24)))/100)*I83)</f>
        <v/>
      </c>
      <c r="L83">
        <f>K83*(MIN(Inputs!$B$21+((C96=TRUE)*(F96-Calc!F22)),Inputs!$B$22+0)/100+(Inputs!$B$22+0)/100)/2</f>
        <v/>
      </c>
      <c r="M83">
        <f>L83*(1+(Inputs!$B$9+((C99=TRUE)*(F99-Calc!F25))+B109)/100)</f>
        <v/>
      </c>
      <c r="N83">
        <f>L83*(1-MIN((Inputs!$B$8+((C93=TRUE)*(F93-Calc!F19))+B104),100)/100)+M83*(MIN((Inputs!$B$8+((C93=TRUE)*(F93-Calc!F19))+B104),100)/100)</f>
        <v/>
      </c>
      <c r="O83">
        <f>IF(C83,H83*N83*IF(AND(Inputs!$B$4&lt;&gt;"pvp",Inputs!$B$35&gt;0),((Skills!G9*((R83-1)*IF(Skills!H9&gt;0,Skills!I9/Skills!H9,1)+IF(Skills!H9&gt;0,MIN(Skills!I9,MAX(0,Inputs!$B$35-((R83-1)*IF(Inputs!$B$4="pvp",15,MAX(0.1,Skills!D9-IF(Skills!E9=TRUE,Inputs!$B$31,0))))))/Skills!H9,1)))/Inputs!$B$35),G83*Q83)*IF(Inputs!$B$4="pvp",1,(1-Summary!$B$55)*(1)+Summary!$B$55*(MIN(Skills!R9,Inputs!$B$37))),0)</f>
        <v/>
      </c>
      <c r="P83">
        <f>IF(B112=0,0,O83/B112)</f>
        <v/>
      </c>
      <c r="Q83">
        <f>IFERROR(1/IF(Inputs!$B$4="pvp",15,MAX(0.1,Skills!D9-IF(Skills!E9=TRUE,Inputs!$B$31,0))),0)</f>
        <v/>
      </c>
      <c r="R83">
        <f>IF(AND(Inputs!$B$4&lt;&gt;"pvp",Inputs!$B$35&gt;0),(INT(Inputs!$B$35/IF(Inputs!$B$4="pvp",15,MAX(0.1,Skills!D9-IF(Skills!E9=TRUE,Inputs!$B$31,0))))+1),0)</f>
        <v/>
      </c>
      <c r="S83">
        <f>IFERROR(O83/N83,0)</f>
        <v/>
      </c>
    </row>
    <row r="84">
      <c r="A84">
        <f>Skills!A10</f>
        <v/>
      </c>
      <c r="B84">
        <f>Skills!B10</f>
        <v/>
      </c>
      <c r="C84">
        <f>Inputs!$B$3&gt;=113</f>
        <v/>
      </c>
      <c r="D84">
        <f>IF(Skills!C10=1,60+Inputs!$B$24+Inputs!$B$28,IF(Skills!C10=2,90+Inputs!$B$25+Inputs!$B$28,IF(Skills!C10=3,120+Inputs!$B$26+Inputs!$B$28,MAX(0,(Inputs!$B$3-100)*3)+Inputs!$B$27+Inputs!$B$28)))</f>
        <v/>
      </c>
      <c r="E84">
        <f>INDEX(FactorTable!$B$2:$Y$301, MATCH(ROUND(MIN(300,MAX(1,D84)),0), FactorTable!$A$2:$A$301,0), Skills!M10+1)</f>
        <v/>
      </c>
      <c r="F84">
        <f>IF(Skills!N10=TRUE,(Skills!L10/10)*(E84/1000),Skills!L10/10)+Skills!O10</f>
        <v/>
      </c>
      <c r="G84">
        <f>Skills!G10*IF(Skills!H10&gt;0,Skills!I10/Skills!H10,1)</f>
        <v/>
      </c>
      <c r="H84">
        <f>1-(1-Skills!J10/100)^Skills!K10</f>
        <v/>
      </c>
      <c r="I84" t="inlineStr">
        <is>
          <t>1</t>
        </is>
      </c>
      <c r="J84">
        <f>(Inputs!$B$5*(1+Inputs!$B$6/100))*(F84/100)</f>
        <v/>
      </c>
      <c r="K84">
        <f>J84*(1+((Inputs!$B$11*(1+(Inputs!$B$12+1)/100))*0.01+Inputs!$B$13*0.0025)/100)*(1+Inputs!$B$14/100)*(1+IF(Inputs!$B$4="pvp",0,(1-Summary!$B$55)*(Inputs!$B$19+0+Skills!P10)+Summary!$B$55*(Inputs!$B$20+Skills!Q10))/100)*(1+Inputs!$B$15/100)*(5000/(6000+Inputs!$B$7*(1-(Inputs!$B$18+0)/100)))*(1+(Inputs!$B$23+((C100=TRUE)*(F100-Calc!F26))+B110)/100)*(1+(IF(Skills!A10="EIGHT_LEGS_EASTON",Inputs!$B$16+((C97=TRUE)*(F97-Calc!F23))+((C101=TRUE)*(F101-Calc!F27)),Inputs!$B$17+0))/100)*((1+(((C91=TRUE)*F91)+((C98=TRUE)*(F98-Calc!F24)))/100)*I84)</f>
        <v/>
      </c>
      <c r="L84">
        <f>K84*(MIN(Inputs!$B$21+((C96=TRUE)*(F96-Calc!F22)),Inputs!$B$22+0)/100+(Inputs!$B$22+0)/100)/2</f>
        <v/>
      </c>
      <c r="M84">
        <f>L84*(1+(Inputs!$B$9+((C99=TRUE)*(F99-Calc!F25))+B109)/100)</f>
        <v/>
      </c>
      <c r="N84">
        <f>L84*(1-MIN((Inputs!$B$8+((C93=TRUE)*(F93-Calc!F19))+B104),100)/100)+M84*(MIN((Inputs!$B$8+((C93=TRUE)*(F93-Calc!F19))+B104),100)/100)</f>
        <v/>
      </c>
      <c r="O84">
        <f>IF(C84,H84*N84*IF(AND(Inputs!$B$4&lt;&gt;"pvp",Inputs!$B$35&gt;0),((Skills!G10*((R84-1)*IF(Skills!H10&gt;0,Skills!I10/Skills!H10,1)+IF(Skills!H10&gt;0,MIN(Skills!I10,MAX(0,Inputs!$B$35-((R84-1)*IF(Inputs!$B$4="pvp",15,MAX(0.1,Skills!D10-IF(Skills!E10=TRUE,Inputs!$B$31,0))))))/Skills!H10,1)))/Inputs!$B$35),G84*Q84)*IF(Inputs!$B$4="pvp",1,(1-Summary!$B$55)*(1)+Summary!$B$55*(MIN(Skills!R10,Inputs!$B$37))),0)</f>
        <v/>
      </c>
      <c r="P84">
        <f>IF(B112=0,0,O84/B112)</f>
        <v/>
      </c>
      <c r="Q84">
        <f>IFERROR(1/IF(Inputs!$B$4="pvp",15,MAX(0.1,Skills!D10-IF(Skills!E10=TRUE,Inputs!$B$31,0))),0)</f>
        <v/>
      </c>
      <c r="R84">
        <f>IF(AND(Inputs!$B$4&lt;&gt;"pvp",Inputs!$B$35&gt;0),(INT(Inputs!$B$35/IF(Inputs!$B$4="pvp",15,MAX(0.1,Skills!D10-IF(Skills!E10=TRUE,Inputs!$B$31,0))))+1),0)</f>
        <v/>
      </c>
      <c r="S84">
        <f>IFERROR(O84/N84,0)</f>
        <v/>
      </c>
    </row>
    <row r="85">
      <c r="A85">
        <f>Skills!A11</f>
        <v/>
      </c>
      <c r="B85">
        <f>Skills!B11</f>
        <v/>
      </c>
      <c r="C85">
        <f>Inputs!$B$3&gt;=107</f>
        <v/>
      </c>
      <c r="D85">
        <f>IF(Skills!C11=1,60+Inputs!$B$24+Inputs!$B$28,IF(Skills!C11=2,90+Inputs!$B$25+Inputs!$B$28,IF(Skills!C11=3,120+Inputs!$B$26+Inputs!$B$28,MAX(0,(Inputs!$B$3-100)*3)+Inputs!$B$27+Inputs!$B$28)))</f>
        <v/>
      </c>
      <c r="E85">
        <f>INDEX(FactorTable!$B$2:$Y$301, MATCH(ROUND(MIN(300,MAX(1,D85)),0), FactorTable!$A$2:$A$301,0), Skills!M11+1)</f>
        <v/>
      </c>
      <c r="F85">
        <f>IF(Skills!N11=TRUE,(Skills!L11/10)*(E85/1000),Skills!L11/10)+Skills!O11</f>
        <v/>
      </c>
      <c r="G85">
        <f>Skills!G11*IF(Skills!H11&gt;0,Skills!I11/Skills!H11,1)</f>
        <v/>
      </c>
      <c r="H85">
        <f>1-(1-Skills!J11/100)^Skills!K11</f>
        <v/>
      </c>
      <c r="I85" t="inlineStr">
        <is>
          <t>1</t>
        </is>
      </c>
      <c r="J85">
        <f>(Inputs!$B$5*(1+Inputs!$B$6/100))*(F85/100)</f>
        <v/>
      </c>
      <c r="K85">
        <f>J85*(1+((Inputs!$B$11*(1+(Inputs!$B$12+1)/100))*0.01+Inputs!$B$13*0.0025)/100)*(1+Inputs!$B$14/100)*(1+IF(Inputs!$B$4="pvp",0,(1-Summary!$B$55)*(Inputs!$B$19+0+Skills!P11)+Summary!$B$55*(Inputs!$B$20+Skills!Q11))/100)*(1+Inputs!$B$15/100)*(5000/(6000+Inputs!$B$7*(1-(Inputs!$B$18+0)/100)))*(1+(Inputs!$B$23+((C100=TRUE)*(F100-Calc!F26))+B110)/100)*(1+(IF(Skills!A11="EIGHT_LEGS_EASTON",Inputs!$B$16+((C97=TRUE)*(F97-Calc!F23))+((C101=TRUE)*(F101-Calc!F27)),Inputs!$B$17+0))/100)*((1+(((C91=TRUE)*F91)+((C98=TRUE)*(F98-Calc!F24)))/100)*I85)</f>
        <v/>
      </c>
      <c r="L85">
        <f>K85*(MIN(Inputs!$B$21+((C96=TRUE)*(F96-Calc!F22)),Inputs!$B$22+0)/100+(Inputs!$B$22+0)/100)/2</f>
        <v/>
      </c>
      <c r="M85">
        <f>L85*(1+(Inputs!$B$9+((C99=TRUE)*(F99-Calc!F25))+B109)/100)</f>
        <v/>
      </c>
      <c r="N85">
        <f>L85*(1-MIN((Inputs!$B$8+((C93=TRUE)*(F93-Calc!F19))+B104),100)/100)+M85*(MIN((Inputs!$B$8+((C93=TRUE)*(F93-Calc!F19))+B104),100)/100)</f>
        <v/>
      </c>
      <c r="O85">
        <f>IF(C85,H85*N85*IF(AND(Inputs!$B$4&lt;&gt;"pvp",Inputs!$B$35&gt;0),((Skills!G11*((R85-1)*IF(Skills!H11&gt;0,Skills!I11/Skills!H11,1)+IF(Skills!H11&gt;0,MIN(Skills!I11,MAX(0,Inputs!$B$35-((R85-1)*IF(Inputs!$B$4="pvp",15,MAX(0.1,Skills!D11-IF(Skills!E11=TRUE,Inputs!$B$31,0))))))/Skills!H11,1)))/Inputs!$B$35),G85*Q85)*IF(Inputs!$B$4="pvp",1,(1-Summary!$B$55)*(1)+Summary!$B$55*(MIN(Skills!R11,Inputs!$B$37))),0)</f>
        <v/>
      </c>
      <c r="P85">
        <f>IF(B112=0,0,O85/B112)</f>
        <v/>
      </c>
      <c r="Q85">
        <f>IFERROR(1/IF(Inputs!$B$4="pvp",15,MAX(0.1,Skills!D11-IF(Skills!E11=TRUE,Inputs!$B$31,0))),0)</f>
        <v/>
      </c>
      <c r="R85">
        <f>IF(AND(Inputs!$B$4&lt;&gt;"pvp",Inputs!$B$35&gt;0),(INT(Inputs!$B$35/IF(Inputs!$B$4="pvp",15,MAX(0.1,Skills!D11-IF(Skills!E11=TRUE,Inputs!$B$31,0))))+1),0)</f>
        <v/>
      </c>
      <c r="S85">
        <f>IFERROR(O85/N85,0)</f>
        <v/>
      </c>
    </row>
    <row r="86">
      <c r="A86">
        <f>Skills!A12</f>
        <v/>
      </c>
      <c r="B86">
        <f>Skills!B12</f>
        <v/>
      </c>
      <c r="C86">
        <f>Inputs!$B$3&gt;=110</f>
        <v/>
      </c>
      <c r="D86">
        <f>IF(Skills!C12=1,60+Inputs!$B$24+Inputs!$B$28,IF(Skills!C12=2,90+Inputs!$B$25+Inputs!$B$28,IF(Skills!C12=3,120+Inputs!$B$26+Inputs!$B$28,MAX(0,(Inputs!$B$3-100)*3)+Inputs!$B$27+Inputs!$B$28)))</f>
        <v/>
      </c>
      <c r="E86">
        <f>INDEX(FactorTable!$B$2:$Y$301, MATCH(ROUND(MIN(300,MAX(1,D86)),0), FactorTable!$A$2:$A$301,0), Skills!M12+1)</f>
        <v/>
      </c>
      <c r="F86">
        <f>IF(Skills!N12=TRUE,(Skills!L12/10)*(E86/1000),Skills!L12/10)+Skills!O12</f>
        <v/>
      </c>
      <c r="G86">
        <f>Skills!G12*IF(Skills!H12&gt;0,Skills!I12/Skills!H12,1)</f>
        <v/>
      </c>
      <c r="H86">
        <f>1-(1-Skills!J12/100)^Skills!K12</f>
        <v/>
      </c>
      <c r="I86" t="inlineStr">
        <is>
          <t>1</t>
        </is>
      </c>
      <c r="J86">
        <f>(Inputs!$B$5*(1+Inputs!$B$6/100))*(F86/100)</f>
        <v/>
      </c>
      <c r="K86">
        <f>J86*(1+((Inputs!$B$11*(1+(Inputs!$B$12+1)/100))*0.01+Inputs!$B$13*0.0025)/100)*(1+Inputs!$B$14/100)*(1+IF(Inputs!$B$4="pvp",0,(1-Summary!$B$55)*(Inputs!$B$19+0+Skills!P12)+Summary!$B$55*(Inputs!$B$20+Skills!Q12))/100)*(1+Inputs!$B$15/100)*(5000/(6000+Inputs!$B$7*(1-(Inputs!$B$18+0)/100)))*(1+(Inputs!$B$23+((C100=TRUE)*(F100-Calc!F26))+B110)/100)*(1+(IF(Skills!A12="EIGHT_LEGS_EASTON",Inputs!$B$16+((C97=TRUE)*(F97-Calc!F23))+((C101=TRUE)*(F101-Calc!F27)),Inputs!$B$17+0))/100)*((1+(((C91=TRUE)*F91)+((C98=TRUE)*(F98-Calc!F24)))/100)*I86)</f>
        <v/>
      </c>
      <c r="L86">
        <f>K86*(MIN(Inputs!$B$21+((C96=TRUE)*(F96-Calc!F22)),Inputs!$B$22+0)/100+(Inputs!$B$22+0)/100)/2</f>
        <v/>
      </c>
      <c r="M86">
        <f>L86*(1+(Inputs!$B$9+((C99=TRUE)*(F99-Calc!F25))+B109)/100)</f>
        <v/>
      </c>
      <c r="N86">
        <f>L86*(1-MIN((Inputs!$B$8+((C93=TRUE)*(F93-Calc!F19))+B104),100)/100)+M86*(MIN((Inputs!$B$8+((C93=TRUE)*(F93-Calc!F19))+B104),100)/100)</f>
        <v/>
      </c>
      <c r="O86">
        <f>IF(C86,H86*N86*IF(AND(Inputs!$B$4&lt;&gt;"pvp",Inputs!$B$35&gt;0),((Skills!G12*((R86-1)*IF(Skills!H12&gt;0,Skills!I12/Skills!H12,1)+IF(Skills!H12&gt;0,MIN(Skills!I12,MAX(0,Inputs!$B$35-((R86-1)*IF(Inputs!$B$4="pvp",15,MAX(0.1,Skills!D12-IF(Skills!E12=TRUE,Inputs!$B$31,0))))))/Skills!H12,1)))/Inputs!$B$35),G86*Q86)*IF(Inputs!$B$4="pvp",1,(1-Summary!$B$55)*(1)+Summary!$B$55*(MIN(Skills!R12,Inputs!$B$37))),0)</f>
        <v/>
      </c>
      <c r="P86">
        <f>IF(B112=0,0,O86/B112)</f>
        <v/>
      </c>
      <c r="Q86">
        <f>IFERROR(1/IF(Inputs!$B$4="pvp",15,MAX(0.1,Skills!D12-IF(Skills!E12=TRUE,Inputs!$B$31,0))),0)</f>
        <v/>
      </c>
      <c r="R86">
        <f>IF(AND(Inputs!$B$4&lt;&gt;"pvp",Inputs!$B$35&gt;0),(INT(Inputs!$B$35/IF(Inputs!$B$4="pvp",15,MAX(0.1,Skills!D12-IF(Skills!E12=TRUE,Inputs!$B$31,0))))+1),0)</f>
        <v/>
      </c>
      <c r="S86">
        <f>IFERROR(O86/N86,0)</f>
        <v/>
      </c>
    </row>
    <row r="87">
      <c r="A87">
        <f>Skills!A13</f>
        <v/>
      </c>
      <c r="B87">
        <f>Skills!B13</f>
        <v/>
      </c>
      <c r="C87">
        <f>Inputs!$B$3&gt;=110</f>
        <v/>
      </c>
      <c r="D87">
        <f>IF(Skills!C13=1,60+Inputs!$B$24+Inputs!$B$28,IF(Skills!C13=2,90+Inputs!$B$25+Inputs!$B$28,IF(Skills!C13=3,120+Inputs!$B$26+Inputs!$B$28,MAX(0,(Inputs!$B$3-100)*3)+Inputs!$B$27+Inputs!$B$28)))</f>
        <v/>
      </c>
      <c r="E87">
        <f>INDEX(FactorTable!$B$2:$Y$301, MATCH(ROUND(MIN(300,MAX(1,D87)),0), FactorTable!$A$2:$A$301,0), Skills!M13+1)</f>
        <v/>
      </c>
      <c r="F87">
        <f>IF(Skills!N13=TRUE,(Skills!L13/10)*(E87/1000),Skills!L13/10)+Skills!O13</f>
        <v/>
      </c>
      <c r="G87">
        <f>Skills!G13*IF(Skills!H13&gt;0,Skills!I13/Skills!H13,1)</f>
        <v/>
      </c>
      <c r="H87">
        <f>1-(1-Skills!J13/100)^Skills!K13</f>
        <v/>
      </c>
      <c r="I87" t="inlineStr">
        <is>
          <t>1</t>
        </is>
      </c>
      <c r="J87">
        <f>(Inputs!$B$5*(1+Inputs!$B$6/100))*(F87/100)</f>
        <v/>
      </c>
      <c r="K87">
        <f>J87*(1+((Inputs!$B$11*(1+(Inputs!$B$12+1)/100))*0.01+Inputs!$B$13*0.0025)/100)*(1+Inputs!$B$14/100)*(1+IF(Inputs!$B$4="pvp",0,(1-Summary!$B$55)*(Inputs!$B$19+0+Skills!P13)+Summary!$B$55*(Inputs!$B$20+Skills!Q13))/100)*(1+Inputs!$B$15/100)*(5000/(6000+Inputs!$B$7*(1-(Inputs!$B$18+0)/100)))*(1+(Inputs!$B$23+((C100=TRUE)*(F100-Calc!F26))+B110)/100)*(1+(IF(Skills!A13="EIGHT_LEGS_EASTON",Inputs!$B$16+((C97=TRUE)*(F97-Calc!F23))+((C101=TRUE)*(F101-Calc!F27)),Inputs!$B$17+0))/100)*((1+(((C91=TRUE)*F91)+((C98=TRUE)*(F98-Calc!F24)))/100)*I87)</f>
        <v/>
      </c>
      <c r="L87">
        <f>K87*(MIN(Inputs!$B$21+((C96=TRUE)*(F96-Calc!F22)),Inputs!$B$22+0)/100+(Inputs!$B$22+0)/100)/2</f>
        <v/>
      </c>
      <c r="M87">
        <f>L87*(1+(Inputs!$B$9+((C99=TRUE)*(F99-Calc!F25))+B109)/100)</f>
        <v/>
      </c>
      <c r="N87">
        <f>L87*(1-MIN((Inputs!$B$8+((C93=TRUE)*(F93-Calc!F19))+B104),100)/100)+M87*(MIN((Inputs!$B$8+((C93=TRUE)*(F93-Calc!F19))+B104),100)/100)</f>
        <v/>
      </c>
      <c r="O87">
        <f>IF(C87,H87*N87*IF(AND(Inputs!$B$4&lt;&gt;"pvp",Inputs!$B$35&gt;0),((Skills!G13*((R87-1)*IF(Skills!H13&gt;0,Skills!I13/Skills!H13,1)+IF(Skills!H13&gt;0,MIN(Skills!I13,MAX(0,Inputs!$B$35-((R87-1)*IF(Inputs!$B$4="pvp",15,MAX(0.1,Skills!D13-IF(Skills!E13=TRUE,Inputs!$B$31,0))))))/Skills!H13,1)))/Inputs!$B$35),G87*Q87)*IF(Inputs!$B$4="pvp",1,(1-Summary!$B$55)*(1)+Summary!$B$55*(MIN(Skills!R13,Inputs!$B$37))),0)</f>
        <v/>
      </c>
      <c r="P87">
        <f>IF(B112=0,0,O87/B112)</f>
        <v/>
      </c>
      <c r="Q87">
        <f>IFERROR(1/IF(Inputs!$B$4="pvp",15,MAX(0.1,Skills!D13-IF(Skills!E13=TRUE,Inputs!$B$31,0))),0)</f>
        <v/>
      </c>
      <c r="R87">
        <f>IF(AND(Inputs!$B$4&lt;&gt;"pvp",Inputs!$B$35&gt;0),(INT(Inputs!$B$35/IF(Inputs!$B$4="pvp",15,MAX(0.1,Skills!D13-IF(Skills!E13=TRUE,Inputs!$B$31,0))))+1),0)</f>
        <v/>
      </c>
      <c r="S87">
        <f>IFERROR(O87/N87,0)</f>
        <v/>
      </c>
    </row>
    <row r="88">
      <c r="A88">
        <f>Skills!A14</f>
        <v/>
      </c>
      <c r="B88">
        <f>Skills!B14</f>
        <v/>
      </c>
      <c r="C88">
        <f>Inputs!$B$3&gt;=125</f>
        <v/>
      </c>
      <c r="D88">
        <f>IF(Skills!C14=1,60+Inputs!$B$24+Inputs!$B$28,IF(Skills!C14=2,90+Inputs!$B$25+Inputs!$B$28,IF(Skills!C14=3,120+Inputs!$B$26+Inputs!$B$28,MAX(0,(Inputs!$B$3-100)*3)+Inputs!$B$27+Inputs!$B$28)))</f>
        <v/>
      </c>
      <c r="E88">
        <f>INDEX(FactorTable!$B$2:$Y$301, MATCH(ROUND(MIN(300,MAX(1,D88)),0), FactorTable!$A$2:$A$301,0), Skills!M14+1)</f>
        <v/>
      </c>
      <c r="F88">
        <f>IF(Skills!N14=TRUE,(Skills!L14/10)*(E88/1000),Skills!L14/10)+Skills!O14</f>
        <v/>
      </c>
      <c r="G88">
        <f>Skills!G14*IF(Skills!H14&gt;0,Skills!I14/Skills!H14,1)</f>
        <v/>
      </c>
      <c r="H88">
        <f>1-(1-Skills!J14/100)^Skills!K14</f>
        <v/>
      </c>
      <c r="I88" t="inlineStr">
        <is>
          <t>1</t>
        </is>
      </c>
      <c r="J88">
        <f>(Inputs!$B$5*(1+Inputs!$B$6/100))*(F88/100)</f>
        <v/>
      </c>
      <c r="K88">
        <f>J88*(1+((Inputs!$B$11*(1+(Inputs!$B$12+1)/100))*0.01+Inputs!$B$13*0.0025)/100)*(1+Inputs!$B$14/100)*(1+IF(Inputs!$B$4="pvp",0,(1-Summary!$B$55)*(Inputs!$B$19+0+Skills!P14)+Summary!$B$55*(Inputs!$B$20+Skills!Q14))/100)*(1+Inputs!$B$15/100)*(5000/(6000+Inputs!$B$7*(1-(Inputs!$B$18+0)/100)))*(1+(Inputs!$B$23+((C100=TRUE)*(F100-Calc!F26))+B110)/100)*(1+(IF(Skills!A14="EIGHT_LEGS_EASTON",Inputs!$B$16+((C97=TRUE)*(F97-Calc!F23))+((C101=TRUE)*(F101-Calc!F27)),Inputs!$B$17+0))/100)*((1+(((C91=TRUE)*F91)+((C98=TRUE)*(F98-Calc!F24)))/100)*I88)</f>
        <v/>
      </c>
      <c r="L88">
        <f>K88*(MIN(Inputs!$B$21+((C96=TRUE)*(F96-Calc!F22)),Inputs!$B$22+0)/100+(Inputs!$B$22+0)/100)/2</f>
        <v/>
      </c>
      <c r="M88">
        <f>L88*(1+(Inputs!$B$9+((C99=TRUE)*(F99-Calc!F25))+B109)/100)</f>
        <v/>
      </c>
      <c r="N88">
        <f>L88*(1-MIN((Inputs!$B$8+((C93=TRUE)*(F93-Calc!F19))+B104),100)/100)+M88*(MIN((Inputs!$B$8+((C93=TRUE)*(F93-Calc!F19))+B104),100)/100)</f>
        <v/>
      </c>
      <c r="O88">
        <f>IF(C88,H88*N88*(B108+IF(AND(Inputs!$B$4&lt;&gt;"pvp",Inputs!$B$35&gt;0),((Skills!G8*((R82-1)*IF(Skills!H8&gt;0,Skills!I8/Skills!H8,1)+IF(Skills!H8&gt;0,MIN(Skills!I8,MAX(0,Inputs!$B$35-((R82-1)*IF(Inputs!$B$4="pvp",15,MAX(0.1,Skills!D8-IF(Skills!E8=TRUE,Inputs!$B$31,0))))))/Skills!H8,1)))/Inputs!$B$35),G82*Q82)+IF(AND(Inputs!$B$4&lt;&gt;"pvp",Inputs!$B$35&gt;0),((Skills!G11*((R85-1)*IF(Skills!H11&gt;0,Skills!I11/Skills!H11,1)+IF(Skills!H11&gt;0,MIN(Skills!I11,MAX(0,Inputs!$B$35-((R85-1)*IF(Inputs!$B$4="pvp",15,MAX(0.1,Skills!D11-IF(Skills!E11=TRUE,Inputs!$B$31,0))))))/Skills!H11,1)))/Inputs!$B$35),G85*Q85))*IF(Inputs!$B$4="pvp",1,(1-Summary!$B$55)*(1)+Summary!$B$55*(MIN(Skills!R14,Inputs!$B$37))),0)</f>
        <v/>
      </c>
      <c r="P88">
        <f>IF(B112=0,0,O88/B112)</f>
        <v/>
      </c>
      <c r="Q88" t="n">
        <v>0</v>
      </c>
      <c r="R88" t="n">
        <v>0</v>
      </c>
      <c r="S88">
        <f>IFERROR(O88/N88,0)</f>
        <v/>
      </c>
    </row>
    <row r="89">
      <c r="A89">
        <f>Skills!A15</f>
        <v/>
      </c>
      <c r="B89">
        <f>Skills!B15</f>
        <v/>
      </c>
      <c r="C89">
        <f>Inputs!$B$3&gt;=100</f>
        <v/>
      </c>
      <c r="D89">
        <f>IF(Skills!C15=1,60+Inputs!$B$24+Inputs!$B$28,IF(Skills!C15=2,90+Inputs!$B$25+Inputs!$B$28,IF(Skills!C15=3,120+Inputs!$B$26+Inputs!$B$28,MAX(0,(Inputs!$B$3-100)*3)+Inputs!$B$27+Inputs!$B$28)))</f>
        <v/>
      </c>
      <c r="E89">
        <f>INDEX(FactorTable!$B$2:$Y$301, MATCH(ROUND(MIN(300,MAX(1,D89)),0), FactorTable!$A$2:$A$301,0), Skills!M15+1)</f>
        <v/>
      </c>
      <c r="F89">
        <f>IF(Skills!N15=TRUE,(Skills!L15/10)*(E89/1000),Skills!L15/10)+Skills!O15</f>
        <v/>
      </c>
      <c r="G89" t="inlineStr"/>
      <c r="H89" t="inlineStr"/>
      <c r="I89" t="inlineStr">
        <is>
          <t>1</t>
        </is>
      </c>
      <c r="J89" t="inlineStr"/>
      <c r="K89" t="inlineStr"/>
      <c r="L89" t="inlineStr"/>
      <c r="M89" t="inlineStr"/>
      <c r="N89" t="inlineStr"/>
      <c r="O89" t="inlineStr"/>
      <c r="P89" t="inlineStr"/>
      <c r="Q89" t="inlineStr"/>
      <c r="R89" t="inlineStr"/>
      <c r="S89" t="inlineStr"/>
    </row>
    <row r="90">
      <c r="A90">
        <f>Skills!A16</f>
        <v/>
      </c>
      <c r="B90">
        <f>Skills!B16</f>
        <v/>
      </c>
      <c r="C90">
        <f>Inputs!$B$3&gt;=120</f>
        <v/>
      </c>
      <c r="D90">
        <f>IF(Skills!C16=1,60+Inputs!$B$24+Inputs!$B$28,IF(Skills!C16=2,90+Inputs!$B$25+Inputs!$B$28,IF(Skills!C16=3,120+Inputs!$B$26+Inputs!$B$28,MAX(0,(Inputs!$B$3-100)*3)+Inputs!$B$27+Inputs!$B$28)))</f>
        <v/>
      </c>
      <c r="E90">
        <f>INDEX(FactorTable!$B$2:$Y$301, MATCH(ROUND(MIN(300,MAX(1,D90)),0), FactorTable!$A$2:$A$301,0), Skills!M16+1)</f>
        <v/>
      </c>
      <c r="F90">
        <f>IF(Skills!N16=TRUE,(Skills!L16/10)*(E90/1000),Skills!L16/10)+Skills!O16</f>
        <v/>
      </c>
      <c r="G90" t="inlineStr"/>
      <c r="H90" t="inlineStr"/>
      <c r="I90" t="inlineStr">
        <is>
          <t>1</t>
        </is>
      </c>
      <c r="J90" t="inlineStr"/>
      <c r="K90" t="inlineStr"/>
      <c r="L90" t="inlineStr"/>
      <c r="M90" t="inlineStr"/>
      <c r="N90" t="inlineStr"/>
      <c r="O90" t="inlineStr"/>
      <c r="P90" t="inlineStr"/>
      <c r="Q90" t="inlineStr"/>
      <c r="R90" t="inlineStr"/>
      <c r="S90" t="inlineStr"/>
    </row>
    <row r="91">
      <c r="A91">
        <f>Skills!A17</f>
        <v/>
      </c>
      <c r="B91">
        <f>Skills!B17</f>
        <v/>
      </c>
      <c r="C91">
        <f>Inputs!$B$3&gt;=66</f>
        <v/>
      </c>
      <c r="D91">
        <f>IF(Skills!C17=1,60+Inputs!$B$24+Inputs!$B$28,IF(Skills!C17=2,90+Inputs!$B$25+Inputs!$B$28,IF(Skills!C17=3,120+Inputs!$B$26+Inputs!$B$28,MAX(0,(Inputs!$B$3-100)*3)+Inputs!$B$27+Inputs!$B$28)))</f>
        <v/>
      </c>
      <c r="E91">
        <f>INDEX(FactorTable!$B$2:$Y$301, MATCH(ROUND(MIN(300,MAX(1,D91)),0), FactorTable!$A$2:$A$301,0), Skills!M17+1)</f>
        <v/>
      </c>
      <c r="F91">
        <f>IF(Skills!N17=TRUE,(Skills!L17/10)*(E91/1000),Skills!L17/10)+Skills!O17</f>
        <v/>
      </c>
      <c r="G91">
        <f>Skills!G17*IF(Skills!H17&gt;0,Skills!I17/Skills!H17,1)</f>
        <v/>
      </c>
      <c r="H91">
        <f>1-(1-Skills!J17/100)^Skills!K17</f>
        <v/>
      </c>
      <c r="I91" t="inlineStr">
        <is>
          <t>1</t>
        </is>
      </c>
      <c r="J91" t="inlineStr"/>
      <c r="K91" t="inlineStr"/>
      <c r="L91" t="inlineStr"/>
      <c r="M91" t="inlineStr"/>
      <c r="N91" t="inlineStr"/>
      <c r="O91" t="n">
        <v>0</v>
      </c>
      <c r="P91">
        <f>IF(B112=0,0,O91/B112)</f>
        <v/>
      </c>
      <c r="Q91" t="n">
        <v>0</v>
      </c>
      <c r="R91" t="n">
        <v>0</v>
      </c>
      <c r="S91">
        <f>IFERROR(O91/N91,0)</f>
        <v/>
      </c>
    </row>
    <row r="92">
      <c r="A92">
        <f>Skills!A18</f>
        <v/>
      </c>
      <c r="B92">
        <f>Skills!B18</f>
        <v/>
      </c>
      <c r="C92">
        <f>Inputs!$B$3&gt;=115</f>
        <v/>
      </c>
      <c r="D92">
        <f>IF(Skills!C18=1,60+Inputs!$B$24+Inputs!$B$28,IF(Skills!C18=2,90+Inputs!$B$25+Inputs!$B$28,IF(Skills!C18=3,120+Inputs!$B$26+Inputs!$B$28,MAX(0,(Inputs!$B$3-100)*3)+Inputs!$B$27+Inputs!$B$28)))</f>
        <v/>
      </c>
      <c r="E92">
        <f>INDEX(FactorTable!$B$2:$Y$301, MATCH(ROUND(MIN(300,MAX(1,D92)),0), FactorTable!$A$2:$A$301,0), Skills!M18+1)</f>
        <v/>
      </c>
      <c r="F92">
        <f>IF(Skills!N18=TRUE,(Skills!L18/10)*(E92/1000),Skills!L18/10)+Skills!O18</f>
        <v/>
      </c>
      <c r="G92">
        <f>Skills!G18*IF(Skills!H18&gt;0,Skills!I18/Skills!H18,1)</f>
        <v/>
      </c>
      <c r="H92">
        <f>1-(1-Skills!J18/100)^Skills!K18</f>
        <v/>
      </c>
      <c r="I92" t="inlineStr">
        <is>
          <t>1</t>
        </is>
      </c>
      <c r="J92" t="inlineStr"/>
      <c r="K92" t="inlineStr"/>
      <c r="L92" t="inlineStr"/>
      <c r="M92" t="inlineStr"/>
      <c r="N92" t="inlineStr"/>
      <c r="O92" t="n">
        <v>0</v>
      </c>
      <c r="P92">
        <f>IF(B112=0,0,O92/B112)</f>
        <v/>
      </c>
      <c r="Q92" t="n">
        <v>0</v>
      </c>
      <c r="R92" t="n">
        <v>0</v>
      </c>
      <c r="S92">
        <f>IFERROR(O92/N92,0)</f>
        <v/>
      </c>
    </row>
    <row r="93">
      <c r="A93">
        <f>Skills!A19</f>
        <v/>
      </c>
      <c r="B93">
        <f>Skills!B19</f>
        <v/>
      </c>
      <c r="C93">
        <f>Inputs!$B$3&gt;=15</f>
        <v/>
      </c>
      <c r="D93">
        <f>IF(Skills!C19=1,60+Inputs!$B$24+Inputs!$B$28,IF(Skills!C19=2,90+Inputs!$B$25+Inputs!$B$28,IF(Skills!C19=3,120+Inputs!$B$26+Inputs!$B$28,MAX(0,(Inputs!$B$3-100)*3)+Inputs!$B$27+Inputs!$B$28)))</f>
        <v/>
      </c>
      <c r="E93">
        <f>INDEX(FactorTable!$B$2:$Y$301, MATCH(ROUND(MIN(300,MAX(1,D93)),0), FactorTable!$A$2:$A$301,0), Skills!M19+1)</f>
        <v/>
      </c>
      <c r="F93">
        <f>IF(Skills!N19=TRUE,(Skills!L19/10)*(E93/1000),Skills!L19/10)+Skills!O19</f>
        <v/>
      </c>
      <c r="G93">
        <f>Skills!G19*IF(Skills!H19&gt;0,Skills!I19/Skills!H19,1)</f>
        <v/>
      </c>
      <c r="H93">
        <f>1-(1-Skills!J19/100)^Skills!K19</f>
        <v/>
      </c>
      <c r="I93" t="inlineStr">
        <is>
          <t>1</t>
        </is>
      </c>
      <c r="J93" t="inlineStr"/>
      <c r="K93" t="inlineStr"/>
      <c r="L93" t="inlineStr"/>
      <c r="M93" t="inlineStr"/>
      <c r="N93" t="inlineStr"/>
      <c r="O93" t="n">
        <v>0</v>
      </c>
      <c r="P93">
        <f>IF(B112=0,0,O93/B112)</f>
        <v/>
      </c>
      <c r="Q93" t="n">
        <v>0</v>
      </c>
      <c r="R93" t="n">
        <v>0</v>
      </c>
      <c r="S93">
        <f>IFERROR(O93/N93,0)</f>
        <v/>
      </c>
    </row>
    <row r="94">
      <c r="A94">
        <f>Skills!A20</f>
        <v/>
      </c>
      <c r="B94">
        <f>Skills!B20</f>
        <v/>
      </c>
      <c r="C94">
        <f>Inputs!$B$3&gt;=10</f>
        <v/>
      </c>
      <c r="D94">
        <f>IF(Skills!C20=1,60+Inputs!$B$24+Inputs!$B$28,IF(Skills!C20=2,90+Inputs!$B$25+Inputs!$B$28,IF(Skills!C20=3,120+Inputs!$B$26+Inputs!$B$28,MAX(0,(Inputs!$B$3-100)*3)+Inputs!$B$27+Inputs!$B$28)))</f>
        <v/>
      </c>
      <c r="E94">
        <f>INDEX(FactorTable!$B$2:$Y$301, MATCH(ROUND(MIN(300,MAX(1,D94)),0), FactorTable!$A$2:$A$301,0), Skills!M20+1)</f>
        <v/>
      </c>
      <c r="F94">
        <f>IF(Skills!N20=TRUE,(Skills!L20/10)*(E94/1000),Skills!L20/10)+Skills!O20</f>
        <v/>
      </c>
      <c r="G94">
        <f>Skills!G20*IF(Skills!H20&gt;0,Skills!I20/Skills!H20,1)</f>
        <v/>
      </c>
      <c r="H94">
        <f>1-(1-Skills!J20/100)^Skills!K20</f>
        <v/>
      </c>
      <c r="I94" t="inlineStr">
        <is>
          <t>1</t>
        </is>
      </c>
      <c r="J94" t="inlineStr"/>
      <c r="K94" t="inlineStr"/>
      <c r="L94" t="inlineStr"/>
      <c r="M94" t="inlineStr"/>
      <c r="N94" t="inlineStr"/>
      <c r="O94" t="n">
        <v>0</v>
      </c>
      <c r="P94">
        <f>IF(B112=0,0,O94/B112)</f>
        <v/>
      </c>
      <c r="Q94" t="n">
        <v>0</v>
      </c>
      <c r="R94" t="n">
        <v>0</v>
      </c>
      <c r="S94">
        <f>IFERROR(O94/N94,0)</f>
        <v/>
      </c>
    </row>
    <row r="95">
      <c r="A95">
        <f>Skills!A21</f>
        <v/>
      </c>
      <c r="B95">
        <f>Skills!B21</f>
        <v/>
      </c>
      <c r="C95">
        <f>Inputs!$B$3&gt;=33</f>
        <v/>
      </c>
      <c r="D95">
        <f>IF(Skills!C21=1,60+Inputs!$B$24+Inputs!$B$28,IF(Skills!C21=2,90+Inputs!$B$25+Inputs!$B$28,IF(Skills!C21=3,120+Inputs!$B$26+Inputs!$B$28,MAX(0,(Inputs!$B$3-100)*3)+Inputs!$B$27+Inputs!$B$28)))</f>
        <v/>
      </c>
      <c r="E95">
        <f>INDEX(FactorTable!$B$2:$Y$301, MATCH(ROUND(MIN(300,MAX(1,D95)),0), FactorTable!$A$2:$A$301,0), Skills!M21+1)</f>
        <v/>
      </c>
      <c r="F95">
        <f>IF(Skills!N21=TRUE,(Skills!L21/10)*(E95/1000),Skills!L21/10)+Skills!O21</f>
        <v/>
      </c>
      <c r="G95">
        <f>Skills!G21*IF(Skills!H21&gt;0,Skills!I21/Skills!H21,1)</f>
        <v/>
      </c>
      <c r="H95">
        <f>1-(1-Skills!J21/100)^Skills!K21</f>
        <v/>
      </c>
      <c r="I95" t="inlineStr">
        <is>
          <t>1</t>
        </is>
      </c>
      <c r="J95" t="inlineStr"/>
      <c r="K95" t="inlineStr"/>
      <c r="L95" t="inlineStr"/>
      <c r="M95" t="inlineStr"/>
      <c r="N95" t="inlineStr"/>
      <c r="O95" t="n">
        <v>0</v>
      </c>
      <c r="P95">
        <f>IF(B112=0,0,O95/B112)</f>
        <v/>
      </c>
      <c r="Q95" t="n">
        <v>0</v>
      </c>
      <c r="R95" t="n">
        <v>0</v>
      </c>
      <c r="S95">
        <f>IFERROR(O95/N95,0)</f>
        <v/>
      </c>
    </row>
    <row r="96">
      <c r="A96">
        <f>Skills!A22</f>
        <v/>
      </c>
      <c r="B96">
        <f>Skills!B22</f>
        <v/>
      </c>
      <c r="C96">
        <f>Inputs!$B$3&gt;=43</f>
        <v/>
      </c>
      <c r="D96">
        <f>IF(Skills!C22=1,60+Inputs!$B$24+Inputs!$B$28,IF(Skills!C22=2,90+Inputs!$B$25+Inputs!$B$28,IF(Skills!C22=3,120+Inputs!$B$26+Inputs!$B$28,MAX(0,(Inputs!$B$3-100)*3)+Inputs!$B$27+Inputs!$B$28)))</f>
        <v/>
      </c>
      <c r="E96">
        <f>INDEX(FactorTable!$B$2:$Y$301, MATCH(ROUND(MIN(300,MAX(1,D96)),0), FactorTable!$A$2:$A$301,0), Skills!M22+1)</f>
        <v/>
      </c>
      <c r="F96">
        <f>IF(Skills!N22=TRUE,(Skills!L22/10)*(E96/1000),Skills!L22/10)+Skills!O22</f>
        <v/>
      </c>
      <c r="G96">
        <f>Skills!G22*IF(Skills!H22&gt;0,Skills!I22/Skills!H22,1)</f>
        <v/>
      </c>
      <c r="H96">
        <f>1-(1-Skills!J22/100)^Skills!K22</f>
        <v/>
      </c>
      <c r="I96" t="inlineStr">
        <is>
          <t>1</t>
        </is>
      </c>
      <c r="J96" t="inlineStr"/>
      <c r="K96" t="inlineStr"/>
      <c r="L96" t="inlineStr"/>
      <c r="M96" t="inlineStr"/>
      <c r="N96" t="inlineStr"/>
      <c r="O96" t="n">
        <v>0</v>
      </c>
      <c r="P96">
        <f>IF(B112=0,0,O96/B112)</f>
        <v/>
      </c>
      <c r="Q96" t="n">
        <v>0</v>
      </c>
      <c r="R96" t="n">
        <v>0</v>
      </c>
      <c r="S96">
        <f>IFERROR(O96/N96,0)</f>
        <v/>
      </c>
    </row>
    <row r="97">
      <c r="A97">
        <f>Skills!A23</f>
        <v/>
      </c>
      <c r="B97">
        <f>Skills!B23</f>
        <v/>
      </c>
      <c r="C97">
        <f>Inputs!$B$3&gt;=38</f>
        <v/>
      </c>
      <c r="D97">
        <f>IF(Skills!C23=1,60+Inputs!$B$24+Inputs!$B$28,IF(Skills!C23=2,90+Inputs!$B$25+Inputs!$B$28,IF(Skills!C23=3,120+Inputs!$B$26+Inputs!$B$28,MAX(0,(Inputs!$B$3-100)*3)+Inputs!$B$27+Inputs!$B$28)))</f>
        <v/>
      </c>
      <c r="E97">
        <f>INDEX(FactorTable!$B$2:$Y$301, MATCH(ROUND(MIN(300,MAX(1,D97)),0), FactorTable!$A$2:$A$301,0), Skills!M23+1)</f>
        <v/>
      </c>
      <c r="F97">
        <f>IF(Skills!N23=TRUE,(Skills!L23/10)*(E97/1000),Skills!L23/10)+Skills!O23</f>
        <v/>
      </c>
      <c r="G97">
        <f>Skills!G23*IF(Skills!H23&gt;0,Skills!I23/Skills!H23,1)</f>
        <v/>
      </c>
      <c r="H97">
        <f>1-(1-Skills!J23/100)^Skills!K23</f>
        <v/>
      </c>
      <c r="I97" t="inlineStr">
        <is>
          <t>1</t>
        </is>
      </c>
      <c r="J97" t="inlineStr"/>
      <c r="K97" t="inlineStr"/>
      <c r="L97" t="inlineStr"/>
      <c r="M97" t="inlineStr"/>
      <c r="N97" t="inlineStr"/>
      <c r="O97" t="n">
        <v>0</v>
      </c>
      <c r="P97">
        <f>IF(B112=0,0,O97/B112)</f>
        <v/>
      </c>
      <c r="Q97" t="n">
        <v>0</v>
      </c>
      <c r="R97" t="n">
        <v>0</v>
      </c>
      <c r="S97">
        <f>IFERROR(O97/N97,0)</f>
        <v/>
      </c>
    </row>
    <row r="98">
      <c r="A98">
        <f>Skills!A24</f>
        <v/>
      </c>
      <c r="B98">
        <f>Skills!B24</f>
        <v/>
      </c>
      <c r="C98">
        <f>Inputs!$B$3&gt;=40</f>
        <v/>
      </c>
      <c r="D98">
        <f>IF(Skills!C24=1,60+Inputs!$B$24+Inputs!$B$28,IF(Skills!C24=2,90+Inputs!$B$25+Inputs!$B$28,IF(Skills!C24=3,120+Inputs!$B$26+Inputs!$B$28,MAX(0,(Inputs!$B$3-100)*3)+Inputs!$B$27+Inputs!$B$28)))</f>
        <v/>
      </c>
      <c r="E98">
        <f>INDEX(FactorTable!$B$2:$Y$301, MATCH(ROUND(MIN(300,MAX(1,D98)),0), FactorTable!$A$2:$A$301,0), Skills!M24+1)</f>
        <v/>
      </c>
      <c r="F98">
        <f>IF(Skills!N24=TRUE,(Skills!L24/10)*(E98/1000),Skills!L24/10)+Skills!O24</f>
        <v/>
      </c>
      <c r="G98">
        <f>Skills!G24*IF(Skills!H24&gt;0,Skills!I24/Skills!H24,1)</f>
        <v/>
      </c>
      <c r="H98">
        <f>1-(1-Skills!J24/100)^Skills!K24</f>
        <v/>
      </c>
      <c r="I98" t="inlineStr">
        <is>
          <t>1</t>
        </is>
      </c>
      <c r="J98" t="inlineStr"/>
      <c r="K98" t="inlineStr"/>
      <c r="L98" t="inlineStr"/>
      <c r="M98" t="inlineStr"/>
      <c r="N98" t="inlineStr"/>
      <c r="O98" t="n">
        <v>0</v>
      </c>
      <c r="P98">
        <f>IF(B112=0,0,O98/B112)</f>
        <v/>
      </c>
      <c r="Q98" t="n">
        <v>0</v>
      </c>
      <c r="R98" t="n">
        <v>0</v>
      </c>
      <c r="S98">
        <f>IFERROR(O98/N98,0)</f>
        <v/>
      </c>
    </row>
    <row r="99">
      <c r="A99">
        <f>Skills!A25</f>
        <v/>
      </c>
      <c r="B99">
        <f>Skills!B25</f>
        <v/>
      </c>
      <c r="C99">
        <f>Inputs!$B$3&gt;=72</f>
        <v/>
      </c>
      <c r="D99">
        <f>IF(Skills!C25=1,60+Inputs!$B$24+Inputs!$B$28,IF(Skills!C25=2,90+Inputs!$B$25+Inputs!$B$28,IF(Skills!C25=3,120+Inputs!$B$26+Inputs!$B$28,MAX(0,(Inputs!$B$3-100)*3)+Inputs!$B$27+Inputs!$B$28)))</f>
        <v/>
      </c>
      <c r="E99">
        <f>INDEX(FactorTable!$B$2:$Y$301, MATCH(ROUND(MIN(300,MAX(1,D99)),0), FactorTable!$A$2:$A$301,0), Skills!M25+1)</f>
        <v/>
      </c>
      <c r="F99">
        <f>IF(Skills!N25=TRUE,(Skills!L25/10)*(E99/1000),Skills!L25/10)+Skills!O25</f>
        <v/>
      </c>
      <c r="G99">
        <f>Skills!G25*IF(Skills!H25&gt;0,Skills!I25/Skills!H25,1)</f>
        <v/>
      </c>
      <c r="H99">
        <f>1-(1-Skills!J25/100)^Skills!K25</f>
        <v/>
      </c>
      <c r="I99" t="inlineStr">
        <is>
          <t>1</t>
        </is>
      </c>
      <c r="J99" t="inlineStr"/>
      <c r="K99" t="inlineStr"/>
      <c r="L99" t="inlineStr"/>
      <c r="M99" t="inlineStr"/>
      <c r="N99" t="inlineStr"/>
      <c r="O99" t="n">
        <v>0</v>
      </c>
      <c r="P99">
        <f>IF(B112=0,0,O99/B112)</f>
        <v/>
      </c>
      <c r="Q99" t="n">
        <v>0</v>
      </c>
      <c r="R99" t="n">
        <v>0</v>
      </c>
      <c r="S99">
        <f>IFERROR(O99/N99,0)</f>
        <v/>
      </c>
    </row>
    <row r="100">
      <c r="A100">
        <f>Skills!A26</f>
        <v/>
      </c>
      <c r="B100">
        <f>Skills!B26</f>
        <v/>
      </c>
      <c r="C100">
        <f>Inputs!$B$3&gt;=75</f>
        <v/>
      </c>
      <c r="D100">
        <f>IF(Skills!C26=1,60+Inputs!$B$24+Inputs!$B$28,IF(Skills!C26=2,90+Inputs!$B$25+Inputs!$B$28,IF(Skills!C26=3,120+Inputs!$B$26+Inputs!$B$28,MAX(0,(Inputs!$B$3-100)*3)+Inputs!$B$27+Inputs!$B$28)))</f>
        <v/>
      </c>
      <c r="E100">
        <f>INDEX(FactorTable!$B$2:$Y$301, MATCH(ROUND(MIN(300,MAX(1,D100)),0), FactorTable!$A$2:$A$301,0), Skills!M26+1)</f>
        <v/>
      </c>
      <c r="F100">
        <f>IF(Skills!N26=TRUE,(Skills!L26/10)*(E100/1000),Skills!L26/10)+Skills!O26</f>
        <v/>
      </c>
      <c r="G100">
        <f>Skills!G26*IF(Skills!H26&gt;0,Skills!I26/Skills!H26,1)</f>
        <v/>
      </c>
      <c r="H100">
        <f>1-(1-Skills!J26/100)^Skills!K26</f>
        <v/>
      </c>
      <c r="I100" t="inlineStr">
        <is>
          <t>1</t>
        </is>
      </c>
      <c r="J100" t="inlineStr"/>
      <c r="K100" t="inlineStr"/>
      <c r="L100" t="inlineStr"/>
      <c r="M100" t="inlineStr"/>
      <c r="N100" t="inlineStr"/>
      <c r="O100" t="n">
        <v>0</v>
      </c>
      <c r="P100">
        <f>IF(B112=0,0,O100/B112)</f>
        <v/>
      </c>
      <c r="Q100" t="n">
        <v>0</v>
      </c>
      <c r="R100" t="n">
        <v>0</v>
      </c>
      <c r="S100">
        <f>IFERROR(O100/N100,0)</f>
        <v/>
      </c>
    </row>
    <row r="101">
      <c r="A101">
        <f>Skills!A27</f>
        <v/>
      </c>
      <c r="B101">
        <f>Skills!B27</f>
        <v/>
      </c>
      <c r="C101">
        <f>Inputs!$B$3&gt;=117</f>
        <v/>
      </c>
      <c r="D101">
        <f>IF(Skills!C27=1,60+Inputs!$B$24+Inputs!$B$28,IF(Skills!C27=2,90+Inputs!$B$25+Inputs!$B$28,IF(Skills!C27=3,120+Inputs!$B$26+Inputs!$B$28,MAX(0,(Inputs!$B$3-100)*3)+Inputs!$B$27+Inputs!$B$28)))</f>
        <v/>
      </c>
      <c r="E101">
        <f>INDEX(FactorTable!$B$2:$Y$301, MATCH(ROUND(MIN(300,MAX(1,D101)),0), FactorTable!$A$2:$A$301,0), Skills!M27+1)</f>
        <v/>
      </c>
      <c r="F101">
        <f>IF(Skills!N27=TRUE,(Skills!L27/10)*(E101/1000),Skills!L27/10)+Skills!O27</f>
        <v/>
      </c>
      <c r="G101">
        <f>Skills!G27*IF(Skills!H27&gt;0,Skills!I27/Skills!H27,1)</f>
        <v/>
      </c>
      <c r="H101">
        <f>1-(1-Skills!J27/100)^Skills!K27</f>
        <v/>
      </c>
      <c r="I101" t="inlineStr">
        <is>
          <t>1</t>
        </is>
      </c>
      <c r="J101" t="inlineStr"/>
      <c r="K101" t="inlineStr"/>
      <c r="L101" t="inlineStr"/>
      <c r="M101" t="inlineStr"/>
      <c r="N101" t="inlineStr"/>
      <c r="O101" t="n">
        <v>0</v>
      </c>
      <c r="P101">
        <f>IF(B112=0,0,O101/B112)</f>
        <v/>
      </c>
      <c r="Q101" t="n">
        <v>0</v>
      </c>
      <c r="R101" t="n">
        <v>0</v>
      </c>
      <c r="S101">
        <f>IFERROR(O101/N101,0)</f>
        <v/>
      </c>
    </row>
    <row r="103">
      <c r="A103" t="inlineStr">
        <is>
          <t>Attack% Bucket Multiplier</t>
        </is>
      </c>
      <c r="B103">
        <f>(1+(((C91=TRUE)*F91)+((C98=TRUE)*(F98-Calc!F24)))/100)</f>
        <v/>
      </c>
    </row>
    <row r="104">
      <c r="A104" t="inlineStr">
        <is>
          <t>Global Crit Rate Bonus %</t>
        </is>
      </c>
      <c r="B104" t="n">
        <v>0</v>
      </c>
    </row>
    <row r="105">
      <c r="A105" t="inlineStr">
        <is>
          <t>Attack Speed Buff Bonus % (unused)</t>
        </is>
      </c>
      <c r="B105" t="n">
        <v>0</v>
      </c>
    </row>
    <row r="106">
      <c r="A106" t="inlineStr">
        <is>
          <t>Actions Per Second</t>
        </is>
      </c>
      <c r="B106">
        <f>1+MIN(150,150*(1-(1-(Inputs!$B$10+((C94=TRUE)*(F94-Calc!F20))+((C95=TRUE)*(F95-Calc!F21)))/150)*(1-B105/150)))/100</f>
        <v/>
      </c>
    </row>
    <row r="107">
      <c r="A107" t="inlineStr">
        <is>
          <t>Skill + Buff Cast Rate</t>
        </is>
      </c>
      <c r="B107">
        <f>IF(AND(Inputs!$B$4&lt;&gt;"pvp",Inputs!$B$35&gt;0),SUMPRODUCT((Skills!E2:E27=TRUE)*(C76:C101=TRUE)*R76:R101*Skills!F2:F27)/Inputs!$B$35,SUMPRODUCT((Skills!E2:E27=TRUE)*(C76:C101=TRUE)*Q76:Q101*Skills!F2:F27))</f>
        <v/>
      </c>
    </row>
    <row r="108">
      <c r="A108" t="inlineStr">
        <is>
          <t>Eight-Legs Easton Casts Per Second</t>
        </is>
      </c>
      <c r="B108">
        <f>MAX(0,B106-B107)</f>
        <v/>
      </c>
    </row>
    <row r="109">
      <c r="A109" t="inlineStr">
        <is>
          <t>Global Critical Damage Bonus % (unused)</t>
        </is>
      </c>
      <c r="B109" t="n">
        <v>0</v>
      </c>
    </row>
    <row r="110">
      <c r="A110" t="inlineStr">
        <is>
          <t>Global Final Damage Bonus % (Jolly Roger only)</t>
        </is>
      </c>
      <c r="B110">
        <f>((C92=TRUE)*F92)</f>
        <v/>
      </c>
    </row>
    <row r="112">
      <c r="A112" s="5" t="inlineStr">
        <is>
          <t>TOTAL DPS</t>
        </is>
      </c>
      <c r="B112" s="5">
        <f>SUM(O76:O101)</f>
        <v/>
      </c>
    </row>
    <row r="115">
      <c r="A115" s="5" t="inlineStr">
        <is>
          <t>Stat: STR</t>
        </is>
      </c>
    </row>
    <row r="116">
      <c r="A116" s="8" t="inlineStr">
        <is>
          <t>Key</t>
        </is>
      </c>
      <c r="B116" s="8" t="inlineStr">
        <is>
          <t>Name</t>
        </is>
      </c>
      <c r="C116" s="8" t="inlineStr">
        <is>
          <t>Unlocked</t>
        </is>
      </c>
      <c r="D116" s="8" t="inlineStr">
        <is>
          <t>InputLevel</t>
        </is>
      </c>
      <c r="E116" s="8" t="inlineStr">
        <is>
          <t>Factor</t>
        </is>
      </c>
      <c r="F116" s="8" t="inlineStr">
        <is>
          <t>CoefficientPercent</t>
        </is>
      </c>
      <c r="G116" s="8" t="inlineStr">
        <is>
          <t>EffectiveHits</t>
        </is>
      </c>
      <c r="H116" s="8" t="inlineStr">
        <is>
          <t>ProcProbability</t>
        </is>
      </c>
      <c r="I116" s="8" t="inlineStr">
        <is>
          <t>MapleHeroMultiplier</t>
        </is>
      </c>
      <c r="J116" s="8" t="inlineStr">
        <is>
          <t>BaseDamage</t>
        </is>
      </c>
      <c r="K116" s="8" t="inlineStr">
        <is>
          <t>BaseHitDamage</t>
        </is>
      </c>
      <c r="L116" s="8" t="inlineStr">
        <is>
          <t>NonCritAvg</t>
        </is>
      </c>
      <c r="M116" s="8" t="inlineStr">
        <is>
          <t>CritAvg</t>
        </is>
      </c>
      <c r="N116" s="8" t="inlineStr">
        <is>
          <t>ExpectedDamage(perHit)</t>
        </is>
      </c>
      <c r="O116" s="8" t="inlineStr">
        <is>
          <t>DPS</t>
        </is>
      </c>
      <c r="P116" s="8" t="inlineStr">
        <is>
          <t>% of Total</t>
        </is>
      </c>
      <c r="Q116" s="8" t="inlineStr">
        <is>
          <t>InvCooldown</t>
        </is>
      </c>
      <c r="R116" s="8" t="inlineStr">
        <is>
          <t>CastsInFight</t>
        </is>
      </c>
      <c r="S116" s="8" t="inlineStr">
        <is>
          <t>HitRate(perSec)</t>
        </is>
      </c>
      <c r="U116" t="inlineStr">
        <is>
          <t>helpers</t>
        </is>
      </c>
    </row>
    <row r="117">
      <c r="A117">
        <f>Skills!A2</f>
        <v/>
      </c>
      <c r="B117">
        <f>Skills!B2</f>
        <v/>
      </c>
      <c r="C117">
        <f>Inputs!$B$3&gt;=100</f>
        <v/>
      </c>
      <c r="D117" t="inlineStr"/>
      <c r="E117" t="inlineStr"/>
      <c r="F117">
        <f>U119+Skills!O2</f>
        <v/>
      </c>
      <c r="G117">
        <f>Skills!G2*IF(Skills!H2&gt;0,Skills!I2/Skills!H2,1)</f>
        <v/>
      </c>
      <c r="H117">
        <f>1-(1-Skills!J2/100)^Skills!K2</f>
        <v/>
      </c>
      <c r="I117" t="inlineStr">
        <is>
          <t>1</t>
        </is>
      </c>
      <c r="J117">
        <f>(Inputs!$B$5*(1+Inputs!$B$6/100))*(F117/100)</f>
        <v/>
      </c>
      <c r="K117">
        <f>J117*(1+((Inputs!$B$11*(1+Inputs!$B$12/100))*0.01+(Inputs!$B$13+1)*0.0025)/100)*(1+Inputs!$B$14/100)*(1+IF(Inputs!$B$4="pvp",0,(1-Summary!$B$55)*(Inputs!$B$19+0+Skills!P2)+Summary!$B$55*(Inputs!$B$20+Skills!Q2))/100)*(1+Inputs!$B$15/100)*(5000/(6000+Inputs!$B$7*(1-(Inputs!$B$18+0)/100)))*(1+(Inputs!$B$23+((C141=TRUE)*(F141-Calc!F26))+B151)/100)*(1+(IF(Skills!A2="EIGHT_LEGS_EASTON",Inputs!$B$16+((C138=TRUE)*(F138-Calc!F23))+((C142=TRUE)*(F142-Calc!F27)),Inputs!$B$17+0))/100)*((1+(((C132=TRUE)*F132)+((C139=TRUE)*(F139-Calc!F24)))/100)*I117)</f>
        <v/>
      </c>
      <c r="L117">
        <f>K117*(MIN(Inputs!$B$21+((C137=TRUE)*(F137-Calc!F22)),Inputs!$B$22+0)/100+(Inputs!$B$22+0)/100)/2</f>
        <v/>
      </c>
      <c r="M117">
        <f>L117*(1+(Inputs!$B$9+((C140=TRUE)*(F140-Calc!F25))+B150)/100)</f>
        <v/>
      </c>
      <c r="N117">
        <f>L117*(1-MIN((Inputs!$B$8+((C134=TRUE)*(F134-Calc!F19))+B145),100)/100)+M117*(MIN((Inputs!$B$8+((C134=TRUE)*(F134-Calc!F19))+B145),100)/100)</f>
        <v/>
      </c>
      <c r="O117">
        <f>IF(C117,Skills!G2*N117*B149*IF(Inputs!$B$4="pvp",1,(1-Summary!$B$55)*(1)+Summary!$B$55*(MIN((6+Inputs!$B$32),Inputs!$B$37))),0)</f>
        <v/>
      </c>
      <c r="P117">
        <f>IF(B153=0,0,O117/B153)</f>
        <v/>
      </c>
      <c r="Q117" t="n">
        <v>0</v>
      </c>
      <c r="R117" t="n">
        <v>0</v>
      </c>
      <c r="S117">
        <f>IFERROR(O117/N117,0)</f>
        <v/>
      </c>
      <c r="U117">
        <f>MAX(0,(Inputs!$B$3-100)*3)+Inputs!$B$27+Inputs!$B$28</f>
        <v/>
      </c>
    </row>
    <row r="118">
      <c r="A118">
        <f>Skills!A3</f>
        <v/>
      </c>
      <c r="B118">
        <f>Skills!B3</f>
        <v/>
      </c>
      <c r="C118">
        <f>Inputs!$B$3&gt;=35</f>
        <v/>
      </c>
      <c r="D118">
        <f>IF(Skills!C3=1,60+Inputs!$B$24+Inputs!$B$28,IF(Skills!C3=2,90+Inputs!$B$25+Inputs!$B$28,IF(Skills!C3=3,120+Inputs!$B$26+Inputs!$B$28,MAX(0,(Inputs!$B$3-100)*3)+Inputs!$B$27+Inputs!$B$28)))</f>
        <v/>
      </c>
      <c r="E118">
        <f>INDEX(FactorTable!$B$2:$Y$301, MATCH(ROUND(MIN(300,MAX(1,D118)),0), FactorTable!$A$2:$A$301,0), Skills!M3+1)</f>
        <v/>
      </c>
      <c r="F118">
        <f>IF(Skills!N3=TRUE,(Skills!L3/10)*(E118/1000),Skills!L3/10)+Skills!O3</f>
        <v/>
      </c>
      <c r="G118">
        <f>Skills!G3*IF(Skills!H3&gt;0,Skills!I3/Skills!H3,1)</f>
        <v/>
      </c>
      <c r="H118">
        <f>1-(1-Skills!J3/100)^Skills!K3</f>
        <v/>
      </c>
      <c r="I118" t="inlineStr">
        <is>
          <t>1</t>
        </is>
      </c>
      <c r="J118">
        <f>(Inputs!$B$5*(1+Inputs!$B$6/100))*(F118/100)</f>
        <v/>
      </c>
      <c r="K118">
        <f>J118*(1+((Inputs!$B$11*(1+Inputs!$B$12/100))*0.01+(Inputs!$B$13+1)*0.0025)/100)*(1+Inputs!$B$14/100)*(1+IF(Inputs!$B$4="pvp",0,(1-Summary!$B$55)*(Inputs!$B$19+0+Skills!P3)+Summary!$B$55*(Inputs!$B$20+Skills!Q3))/100)*(1+Inputs!$B$15/100)*(5000/(6000+Inputs!$B$7*(1-(Inputs!$B$18+0)/100)))*(1+(Inputs!$B$23+((C141=TRUE)*(F141-Calc!F26))+B151)/100)*(1+4.0*IF(C130=TRUE,F130,0)/100)*(1+(IF(Skills!A3="EIGHT_LEGS_EASTON",Inputs!$B$16+((C138=TRUE)*(F138-Calc!F23))+((C142=TRUE)*(F142-Calc!F27)),Inputs!$B$17+0))/100)*((1+(((C132=TRUE)*F132)+((C139=TRUE)*(F139-Calc!F24)))/100)*I118)</f>
        <v/>
      </c>
      <c r="L118">
        <f>K118*(MIN(Inputs!$B$21+((C137=TRUE)*(F137-Calc!F22)),Inputs!$B$22+0)/100+(Inputs!$B$22+0)/100)/2</f>
        <v/>
      </c>
      <c r="M118">
        <f>L118*(1+(Inputs!$B$9+((C140=TRUE)*(F140-Calc!F25))+B150)/100)</f>
        <v/>
      </c>
      <c r="N118">
        <f>L118*(1-MIN((Inputs!$B$8+((C134=TRUE)*(F134-Calc!F19))+B145),100)/100)+M118*(MIN((Inputs!$B$8+((C134=TRUE)*(F134-Calc!F19))+B145),100)/100)</f>
        <v/>
      </c>
      <c r="O118">
        <f>IF(C118,H118*N118*IF(AND(Inputs!$B$4&lt;&gt;"pvp",Inputs!$B$35&gt;0),((Skills!G3*((R118-1)*IF(Skills!H3&gt;0,Skills!I3/Skills!H3,1)+IF(Skills!H3&gt;0,MIN(Skills!I3,MAX(0,Inputs!$B$35-((R118-1)*IF(Inputs!$B$4="pvp",15,MAX(0.1,Skills!D3-IF(Skills!E3=TRUE,Inputs!$B$31,0))))))/Skills!H3,1)))/Inputs!$B$35),G118*Q118)*IF(Inputs!$B$4="pvp",1,(1-Summary!$B$55)*(1)+Summary!$B$55*(MIN(Skills!R3,Inputs!$B$37))),0)</f>
        <v/>
      </c>
      <c r="P118">
        <f>IF(B153=0,0,O118/B153)</f>
        <v/>
      </c>
      <c r="Q118">
        <f>IFERROR(1/IF(Inputs!$B$4="pvp",15,MAX(0.1,Skills!D3-IF(Skills!E3=TRUE,Inputs!$B$31,0))),0)</f>
        <v/>
      </c>
      <c r="R118">
        <f>IF(AND(Inputs!$B$4&lt;&gt;"pvp",Inputs!$B$35&gt;0),(INT(Inputs!$B$35/IF(Inputs!$B$4="pvp",15,MAX(0.1,Skills!D3-IF(Skills!E3=TRUE,Inputs!$B$31,0))))+1),0)</f>
        <v/>
      </c>
      <c r="S118">
        <f>IFERROR(O118/N118,0)</f>
        <v/>
      </c>
      <c r="U118">
        <f>INDEX(FactorTable!$B$2:$Y$301, MATCH(ROUND(MIN(300,MAX(1,U117)),0), FactorTable!$A$2:$A$301,0), 22)</f>
        <v/>
      </c>
    </row>
    <row r="119">
      <c r="A119">
        <f>Skills!A4</f>
        <v/>
      </c>
      <c r="B119">
        <f>Skills!B4</f>
        <v/>
      </c>
      <c r="C119">
        <f>Inputs!$B$3&gt;=40</f>
        <v/>
      </c>
      <c r="D119">
        <f>IF(Skills!C4=1,60+Inputs!$B$24+Inputs!$B$28,IF(Skills!C4=2,90+Inputs!$B$25+Inputs!$B$28,IF(Skills!C4=3,120+Inputs!$B$26+Inputs!$B$28,MAX(0,(Inputs!$B$3-100)*3)+Inputs!$B$27+Inputs!$B$28)))</f>
        <v/>
      </c>
      <c r="E119">
        <f>INDEX(FactorTable!$B$2:$Y$301, MATCH(ROUND(MIN(300,MAX(1,D119)),0), FactorTable!$A$2:$A$301,0), Skills!M4+1)</f>
        <v/>
      </c>
      <c r="F119">
        <f>IF(Skills!N4=TRUE,(Skills!L4/10)*(E119/1000),Skills!L4/10)+Skills!O4</f>
        <v/>
      </c>
      <c r="G119">
        <f>Skills!G4*IF(Skills!H4&gt;0,Skills!I4/Skills!H4,1)</f>
        <v/>
      </c>
      <c r="H119">
        <f>1-(1-Skills!J4/100)^Skills!K4</f>
        <v/>
      </c>
      <c r="I119" t="inlineStr">
        <is>
          <t>1</t>
        </is>
      </c>
      <c r="J119">
        <f>(Inputs!$B$5*(1+Inputs!$B$6/100))*(F119/100)</f>
        <v/>
      </c>
      <c r="K119">
        <f>J119*(1+((Inputs!$B$11*(1+Inputs!$B$12/100))*0.01+(Inputs!$B$13+1)*0.0025)/100)*(1+Inputs!$B$14/100)*(1+IF(Inputs!$B$4="pvp",0,(1-Summary!$B$55)*(Inputs!$B$19+0+Skills!P4)+Summary!$B$55*(Inputs!$B$20+Skills!Q4))/100)*(1+Inputs!$B$15/100)*(5000/(6000+Inputs!$B$7*(1-(Inputs!$B$18+0)/100)))*(1+(Inputs!$B$23+((C141=TRUE)*(F141-Calc!F26))+B151)/100)*(1+1.0*IF(C131=TRUE,F131,0)/100)*(1+(IF(Skills!A4="EIGHT_LEGS_EASTON",Inputs!$B$16+((C138=TRUE)*(F138-Calc!F23))+((C142=TRUE)*(F142-Calc!F27)),Inputs!$B$17+0))/100)*((1+(((C132=TRUE)*F132)+((C139=TRUE)*(F139-Calc!F24)))/100)*I119)</f>
        <v/>
      </c>
      <c r="L119">
        <f>K119*(MIN(Inputs!$B$21+((C137=TRUE)*(F137-Calc!F22)),Inputs!$B$22+0)/100+(Inputs!$B$22+0)/100)/2</f>
        <v/>
      </c>
      <c r="M119">
        <f>L119*(1+(Inputs!$B$9+((C140=TRUE)*(F140-Calc!F25))+B150)/100)</f>
        <v/>
      </c>
      <c r="N119">
        <f>L119*(1-MIN((Inputs!$B$8+((C134=TRUE)*(F134-Calc!F19))+B145),100)/100)+M119*(MIN((Inputs!$B$8+((C134=TRUE)*(F134-Calc!F19))+B145),100)/100)</f>
        <v/>
      </c>
      <c r="O119">
        <f>IF(C119,H119*N119*IF(AND(Inputs!$B$4&lt;&gt;"pvp",Inputs!$B$35&gt;0),((Skills!G4*((R119-1)*IF(Skills!H4&gt;0,Skills!I4/Skills!H4,1)+IF(Skills!H4&gt;0,MIN(Skills!I4,MAX(0,Inputs!$B$35-((R119-1)*IF(Inputs!$B$4="pvp",15,MAX(0.1,Skills!D4-IF(Skills!E4=TRUE,Inputs!$B$31,0))))))/Skills!H4,1)))/Inputs!$B$35),G119*Q119)*IF(Inputs!$B$4="pvp",1,(1-Summary!$B$55)*(1)+Summary!$B$55*(MIN(Skills!R4,Inputs!$B$37))),0)</f>
        <v/>
      </c>
      <c r="P119">
        <f>IF(B153=0,0,O119/B153)</f>
        <v/>
      </c>
      <c r="Q119">
        <f>IFERROR(1/IF(Inputs!$B$4="pvp",15,MAX(0.1,Skills!D4-IF(Skills!E4=TRUE,Inputs!$B$31,0))),0)</f>
        <v/>
      </c>
      <c r="R119">
        <f>IF(AND(Inputs!$B$4&lt;&gt;"pvp",Inputs!$B$35&gt;0),(INT(Inputs!$B$35/IF(Inputs!$B$4="pvp",15,MAX(0.1,Skills!D4-IF(Skills!E4=TRUE,Inputs!$B$31,0))))+1),0)</f>
        <v/>
      </c>
      <c r="S119">
        <f>IFERROR(O119/N119,0)</f>
        <v/>
      </c>
      <c r="U119">
        <f>290*U118/1000</f>
        <v/>
      </c>
    </row>
    <row r="120">
      <c r="A120">
        <f>Skills!A5</f>
        <v/>
      </c>
      <c r="B120">
        <f>Skills!B5</f>
        <v/>
      </c>
      <c r="C120">
        <f>Inputs!$B$3&gt;=45</f>
        <v/>
      </c>
      <c r="D120">
        <f>IF(Skills!C5=1,60+Inputs!$B$24+Inputs!$B$28,IF(Skills!C5=2,90+Inputs!$B$25+Inputs!$B$28,IF(Skills!C5=3,120+Inputs!$B$26+Inputs!$B$28,MAX(0,(Inputs!$B$3-100)*3)+Inputs!$B$27+Inputs!$B$28)))</f>
        <v/>
      </c>
      <c r="E120">
        <f>INDEX(FactorTable!$B$2:$Y$301, MATCH(ROUND(MIN(300,MAX(1,D120)),0), FactorTable!$A$2:$A$301,0), Skills!M5+1)</f>
        <v/>
      </c>
      <c r="F120">
        <f>IF(Skills!N5=TRUE,(Skills!L5/10)*(E120/1000),Skills!L5/10)+Skills!O5</f>
        <v/>
      </c>
      <c r="G120">
        <f>Skills!G5*IF(Skills!H5&gt;0,Skills!I5/Skills!H5,1)</f>
        <v/>
      </c>
      <c r="H120">
        <f>1-(1-Skills!J5/100)^Skills!K5</f>
        <v/>
      </c>
      <c r="I120" t="inlineStr">
        <is>
          <t>1</t>
        </is>
      </c>
      <c r="J120">
        <f>(Inputs!$B$5*(1+Inputs!$B$6/100))*(F120/100)</f>
        <v/>
      </c>
      <c r="K120">
        <f>J120*(1+((Inputs!$B$11*(1+Inputs!$B$12/100))*0.01+(Inputs!$B$13+1)*0.0025)/100)*(1+Inputs!$B$14/100)*(1+IF(Inputs!$B$4="pvp",0,(1-Summary!$B$55)*(Inputs!$B$19+0+Skills!P5)+Summary!$B$55*(Inputs!$B$20+Skills!Q5))/100)*(1+Inputs!$B$15/100)*(5000/(6000+Inputs!$B$7*(1-(Inputs!$B$18+0)/100)))*(1+(Inputs!$B$23+((C141=TRUE)*(F141-Calc!F26))+B151)/100)*(1+0.4*IF(C131=TRUE,F131,0)/100)*(1+(IF(Skills!A5="EIGHT_LEGS_EASTON",Inputs!$B$16+((C138=TRUE)*(F138-Calc!F23))+((C142=TRUE)*(F142-Calc!F27)),Inputs!$B$17+0))/100)*((1+(((C132=TRUE)*F132)+((C139=TRUE)*(F139-Calc!F24)))/100)*I120)</f>
        <v/>
      </c>
      <c r="L120">
        <f>K120*(MIN(Inputs!$B$21+((C137=TRUE)*(F137-Calc!F22)),Inputs!$B$22+0)/100+(Inputs!$B$22+0)/100)/2</f>
        <v/>
      </c>
      <c r="M120">
        <f>L120*(1+(Inputs!$B$9+((C140=TRUE)*(F140-Calc!F25))+B150)/100)</f>
        <v/>
      </c>
      <c r="N120">
        <f>L120*(1-MIN((Inputs!$B$8+((C134=TRUE)*(F134-Calc!F19))+B145),100)/100)+M120*(MIN((Inputs!$B$8+((C134=TRUE)*(F134-Calc!F19))+B145),100)/100)</f>
        <v/>
      </c>
      <c r="O120">
        <f>IF(C120,H120*N120*IF(AND(Inputs!$B$4&lt;&gt;"pvp",Inputs!$B$35&gt;0),((Skills!G5*((R120-1)*IF(Skills!H5&gt;0,Skills!I5/Skills!H5,1)+IF(Skills!H5&gt;0,MIN(Skills!I5,MAX(0,Inputs!$B$35-((R120-1)*IF(Inputs!$B$4="pvp",15,MAX(0.1,Skills!D5-IF(Skills!E5=TRUE,Inputs!$B$31,0))))))/Skills!H5,1)))/Inputs!$B$35),G120*Q120)*IF(Inputs!$B$4="pvp",1,(1-Summary!$B$55)*(1)+Summary!$B$55*(MIN(Skills!R5,Inputs!$B$37))),0)</f>
        <v/>
      </c>
      <c r="P120">
        <f>IF(B153=0,0,O120/B153)</f>
        <v/>
      </c>
      <c r="Q120">
        <f>IFERROR(1/IF(Inputs!$B$4="pvp",15,MAX(0.1,Skills!D5-IF(Skills!E5=TRUE,Inputs!$B$31,0))),0)</f>
        <v/>
      </c>
      <c r="R120">
        <f>IF(AND(Inputs!$B$4&lt;&gt;"pvp",Inputs!$B$35&gt;0),(INT(Inputs!$B$35/IF(Inputs!$B$4="pvp",15,MAX(0.1,Skills!D5-IF(Skills!E5=TRUE,Inputs!$B$31,0))))+1),0)</f>
        <v/>
      </c>
      <c r="S120">
        <f>IFERROR(O120/N120,0)</f>
        <v/>
      </c>
    </row>
    <row r="121">
      <c r="A121">
        <f>Skills!A6</f>
        <v/>
      </c>
      <c r="B121">
        <f>Skills!B6</f>
        <v/>
      </c>
      <c r="C121">
        <f>Inputs!$B$3&gt;=63</f>
        <v/>
      </c>
      <c r="D121">
        <f>IF(Skills!C6=1,60+Inputs!$B$24+Inputs!$B$28,IF(Skills!C6=2,90+Inputs!$B$25+Inputs!$B$28,IF(Skills!C6=3,120+Inputs!$B$26+Inputs!$B$28,MAX(0,(Inputs!$B$3-100)*3)+Inputs!$B$27+Inputs!$B$28)))</f>
        <v/>
      </c>
      <c r="E121">
        <f>INDEX(FactorTable!$B$2:$Y$301, MATCH(ROUND(MIN(300,MAX(1,D121)),0), FactorTable!$A$2:$A$301,0), Skills!M6+1)</f>
        <v/>
      </c>
      <c r="F121">
        <f>IF(Skills!N6=TRUE,(Skills!L6/10)*(E121/1000),Skills!L6/10)+Skills!O6</f>
        <v/>
      </c>
      <c r="G121">
        <f>Skills!G6*IF(Skills!H6&gt;0,Skills!I6/Skills!H6,1)</f>
        <v/>
      </c>
      <c r="H121">
        <f>1-(1-Skills!J6/100)^Skills!K6</f>
        <v/>
      </c>
      <c r="I121" t="inlineStr">
        <is>
          <t>1</t>
        </is>
      </c>
      <c r="J121">
        <f>(Inputs!$B$5*(1+Inputs!$B$6/100))*(F121/100)</f>
        <v/>
      </c>
      <c r="K121">
        <f>J121*(1+((Inputs!$B$11*(1+Inputs!$B$12/100))*0.01+(Inputs!$B$13+1)*0.0025)/100)*(1+Inputs!$B$14/100)*(1+IF(Inputs!$B$4="pvp",0,(1-Summary!$B$55)*(Inputs!$B$19+0+Skills!P6)+Summary!$B$55*(Inputs!$B$20+Skills!Q6))/100)*(1+Inputs!$B$15/100)*(5000/(6000+Inputs!$B$7*(1-(Inputs!$B$18+0)/100)))*(1+(Inputs!$B$23+((C141=TRUE)*(F141-Calc!F26))+B151)/100)*(1+2.0*IF(C130=TRUE,F130,0)/100)*(1+(IF(Skills!A6="EIGHT_LEGS_EASTON",Inputs!$B$16+((C138=TRUE)*(F138-Calc!F23))+((C142=TRUE)*(F142-Calc!F27)),Inputs!$B$17+0))/100)*((1+(((C132=TRUE)*F132)+((C139=TRUE)*(F139-Calc!F24)))/100)*I121)</f>
        <v/>
      </c>
      <c r="L121">
        <f>K121*(MIN(Inputs!$B$21+((C137=TRUE)*(F137-Calc!F22)),Inputs!$B$22+0)/100+(Inputs!$B$22+0)/100)/2</f>
        <v/>
      </c>
      <c r="M121">
        <f>L121*(1+(Inputs!$B$9+((C140=TRUE)*(F140-Calc!F25))+B150)/100)</f>
        <v/>
      </c>
      <c r="N121">
        <f>L121*(1-MIN((Inputs!$B$8+((C134=TRUE)*(F134-Calc!F19))+B145),100)/100)+M121*(MIN((Inputs!$B$8+((C134=TRUE)*(F134-Calc!F19))+B145),100)/100)</f>
        <v/>
      </c>
      <c r="O121">
        <f>IF(C121,H121*N121*IF(AND(Inputs!$B$4&lt;&gt;"pvp",Inputs!$B$35&gt;0),((Skills!G6*((R121-1)*IF(Skills!H6&gt;0,Skills!I6/Skills!H6,1)+IF(Skills!H6&gt;0,MIN(Skills!I6,MAX(0,Inputs!$B$35-((R121-1)*IF(Inputs!$B$4="pvp",15,MAX(0.1,Skills!D6-IF(Skills!E6=TRUE,Inputs!$B$31,0))))))/Skills!H6,1)))/Inputs!$B$35),G121*Q121)*IF(Inputs!$B$4="pvp",1,(1-Summary!$B$55)*(1)+Summary!$B$55*(MIN(Skills!R6,Inputs!$B$37))),0)</f>
        <v/>
      </c>
      <c r="P121">
        <f>IF(B153=0,0,O121/B153)</f>
        <v/>
      </c>
      <c r="Q121">
        <f>IFERROR(1/IF(Inputs!$B$4="pvp",15,MAX(0.1,Skills!D6-IF(Skills!E6=TRUE,Inputs!$B$31,0))),0)</f>
        <v/>
      </c>
      <c r="R121">
        <f>IF(AND(Inputs!$B$4&lt;&gt;"pvp",Inputs!$B$35&gt;0),(INT(Inputs!$B$35/IF(Inputs!$B$4="pvp",15,MAX(0.1,Skills!D6-IF(Skills!E6=TRUE,Inputs!$B$31,0))))+1),0)</f>
        <v/>
      </c>
      <c r="S121">
        <f>IFERROR(O121/N121,0)</f>
        <v/>
      </c>
    </row>
    <row r="122">
      <c r="A122">
        <f>Skills!A7</f>
        <v/>
      </c>
      <c r="B122">
        <f>Skills!B7</f>
        <v/>
      </c>
      <c r="C122">
        <f>Inputs!$B$3&gt;=66</f>
        <v/>
      </c>
      <c r="D122">
        <f>IF(Skills!C7=1,60+Inputs!$B$24+Inputs!$B$28,IF(Skills!C7=2,90+Inputs!$B$25+Inputs!$B$28,IF(Skills!C7=3,120+Inputs!$B$26+Inputs!$B$28,MAX(0,(Inputs!$B$3-100)*3)+Inputs!$B$27+Inputs!$B$28)))</f>
        <v/>
      </c>
      <c r="E122">
        <f>INDEX(FactorTable!$B$2:$Y$301, MATCH(ROUND(MIN(300,MAX(1,D122)),0), FactorTable!$A$2:$A$301,0), Skills!M7+1)</f>
        <v/>
      </c>
      <c r="F122">
        <f>IF(Skills!N7=TRUE,(Skills!L7/10)*(E122/1000),Skills!L7/10)+Skills!O7</f>
        <v/>
      </c>
      <c r="G122">
        <f>Skills!G7*IF(Skills!H7&gt;0,Skills!I7/Skills!H7,1)</f>
        <v/>
      </c>
      <c r="H122">
        <f>1-(1-Skills!J7/100)^Skills!K7</f>
        <v/>
      </c>
      <c r="I122" t="inlineStr">
        <is>
          <t>1</t>
        </is>
      </c>
      <c r="J122">
        <f>(Inputs!$B$5*(1+Inputs!$B$6/100))*(F122/100)</f>
        <v/>
      </c>
      <c r="K122">
        <f>J122*(1+((Inputs!$B$11*(1+Inputs!$B$12/100))*0.01+(Inputs!$B$13+1)*0.0025)/100)*(1+Inputs!$B$14/100)*(1+IF(Inputs!$B$4="pvp",0,(1-Summary!$B$55)*(Inputs!$B$19+0+Skills!P7)+Summary!$B$55*(Inputs!$B$20+Skills!Q7))/100)*(1+Inputs!$B$15/100)*(5000/(6000+Inputs!$B$7*(1-(Inputs!$B$18+0)/100)))*(1+(Inputs!$B$23+((C141=TRUE)*(F141-Calc!F26))+B151)/100)*(1+1.0*IF(C130=TRUE,F130,0)/100)*(1+(IF(Skills!A7="EIGHT_LEGS_EASTON",Inputs!$B$16+((C138=TRUE)*(F138-Calc!F23))+((C142=TRUE)*(F142-Calc!F27)),Inputs!$B$17+0))/100)*((1+(((C132=TRUE)*F132)+((C139=TRUE)*(F139-Calc!F24)))/100)*I122)</f>
        <v/>
      </c>
      <c r="L122">
        <f>K122*(MIN(Inputs!$B$21+((C137=TRUE)*(F137-Calc!F22)),Inputs!$B$22+0)/100+(Inputs!$B$22+0)/100)/2</f>
        <v/>
      </c>
      <c r="M122">
        <f>L122*(1+(Inputs!$B$9+((C140=TRUE)*(F140-Calc!F25))+B150)/100)</f>
        <v/>
      </c>
      <c r="N122">
        <f>L122*(1-MIN((Inputs!$B$8+((C134=TRUE)*(F134-Calc!F19))+B145),100)/100)+M122*(MIN((Inputs!$B$8+((C134=TRUE)*(F134-Calc!F19))+B145),100)/100)</f>
        <v/>
      </c>
      <c r="O122">
        <f>IF(C122,H122*N122*IF(AND(Inputs!$B$4&lt;&gt;"pvp",Inputs!$B$35&gt;0),((Skills!G7*((R122-1)*IF(Skills!H7&gt;0,Skills!I7/Skills!H7,1)+IF(Skills!H7&gt;0,MIN(Skills!I7,MAX(0,Inputs!$B$35-((R122-1)*IF(Inputs!$B$4="pvp",15,MAX(0.1,Skills!D7-IF(Skills!E7=TRUE,Inputs!$B$31,0))))))/Skills!H7,1)))/Inputs!$B$35),G122*Q122)*IF(Inputs!$B$4="pvp",1,(1-Summary!$B$55)*(1)+Summary!$B$55*(MIN(Skills!R7,Inputs!$B$37))),0)</f>
        <v/>
      </c>
      <c r="P122">
        <f>IF(B153=0,0,O122/B153)</f>
        <v/>
      </c>
      <c r="Q122">
        <f>IFERROR(1/IF(Inputs!$B$4="pvp",15,MAX(0.1,Skills!D7-IF(Skills!E7=TRUE,Inputs!$B$31,0))),0)</f>
        <v/>
      </c>
      <c r="R122">
        <f>IF(AND(Inputs!$B$4&lt;&gt;"pvp",Inputs!$B$35&gt;0),(INT(Inputs!$B$35/IF(Inputs!$B$4="pvp",15,MAX(0.1,Skills!D7-IF(Skills!E7=TRUE,Inputs!$B$31,0))))+1),0)</f>
        <v/>
      </c>
      <c r="S122">
        <f>IFERROR(O122/N122,0)</f>
        <v/>
      </c>
    </row>
    <row r="123">
      <c r="A123">
        <f>Skills!A8</f>
        <v/>
      </c>
      <c r="B123">
        <f>Skills!B8</f>
        <v/>
      </c>
      <c r="C123">
        <f>Inputs!$B$3&gt;=100</f>
        <v/>
      </c>
      <c r="D123">
        <f>IF(Skills!C8=1,60+Inputs!$B$24+Inputs!$B$28,IF(Skills!C8=2,90+Inputs!$B$25+Inputs!$B$28,IF(Skills!C8=3,120+Inputs!$B$26+Inputs!$B$28,MAX(0,(Inputs!$B$3-100)*3)+Inputs!$B$27+Inputs!$B$28)))</f>
        <v/>
      </c>
      <c r="E123">
        <f>INDEX(FactorTable!$B$2:$Y$301, MATCH(ROUND(MIN(300,MAX(1,D123)),0), FactorTable!$A$2:$A$301,0), Skills!M8+1)</f>
        <v/>
      </c>
      <c r="F123">
        <f>IF(Skills!N8=TRUE,(Skills!L8/10)*(E123/1000),Skills!L8/10)+Skills!O8</f>
        <v/>
      </c>
      <c r="G123">
        <f>Skills!G8*IF(Skills!H8&gt;0,Skills!I8/Skills!H8,1)</f>
        <v/>
      </c>
      <c r="H123">
        <f>1-(1-Skills!J8/100)^Skills!K8</f>
        <v/>
      </c>
      <c r="I123" t="inlineStr">
        <is>
          <t>1</t>
        </is>
      </c>
      <c r="J123">
        <f>(Inputs!$B$5*(1+Inputs!$B$6/100))*(F123/100)</f>
        <v/>
      </c>
      <c r="K123">
        <f>J123*(1+((Inputs!$B$11*(1+Inputs!$B$12/100))*0.01+(Inputs!$B$13+1)*0.0025)/100)*(1+Inputs!$B$14/100)*(1+IF(Inputs!$B$4="pvp",0,(1-Summary!$B$55)*(Inputs!$B$19+0+Skills!P8)+Summary!$B$55*(Inputs!$B$20+Skills!Q8))/100)*(1+Inputs!$B$15/100)*(5000/(6000+Inputs!$B$7*(1-(Inputs!$B$18+0)/100)))*(1+(Inputs!$B$23+((C141=TRUE)*(F141-Calc!F26))+B151)/100)*(1+(IF(Skills!A8="EIGHT_LEGS_EASTON",Inputs!$B$16+((C138=TRUE)*(F138-Calc!F23))+((C142=TRUE)*(F142-Calc!F27)),Inputs!$B$17+0))/100)*((1+(((C132=TRUE)*F132)+((C139=TRUE)*(F139-Calc!F24)))/100)*I123)</f>
        <v/>
      </c>
      <c r="L123">
        <f>K123*(MIN(Inputs!$B$21+((C137=TRUE)*(F137-Calc!F22)),Inputs!$B$22+0)/100+(Inputs!$B$22+0)/100)/2</f>
        <v/>
      </c>
      <c r="M123">
        <f>L123*(1+(Inputs!$B$9+((C140=TRUE)*(F140-Calc!F25))+B150)/100)</f>
        <v/>
      </c>
      <c r="N123">
        <f>L123*(1-MIN((Inputs!$B$8+((C134=TRUE)*(F134-Calc!F19))+B145),100)/100)+M123*(MIN((Inputs!$B$8+((C134=TRUE)*(F134-Calc!F19))+B145),100)/100)</f>
        <v/>
      </c>
      <c r="O123">
        <f>IF(C123,H123*N123*IF(AND(Inputs!$B$4&lt;&gt;"pvp",Inputs!$B$35&gt;0),((Skills!G8*((R123-1)*IF(Skills!H8&gt;0,Skills!I8/Skills!H8,1)+IF(Skills!H8&gt;0,MIN(Skills!I8,MAX(0,Inputs!$B$35-((R123-1)*IF(Inputs!$B$4="pvp",15,MAX(0.1,Skills!D8-IF(Skills!E8=TRUE,Inputs!$B$31,0))))))/Skills!H8,1)))/Inputs!$B$35),G123*Q123)*IF(Inputs!$B$4="pvp",1,(1-Summary!$B$55)*(1)+Summary!$B$55*(MIN(Skills!R8,Inputs!$B$37))),0)</f>
        <v/>
      </c>
      <c r="P123">
        <f>IF(B153=0,0,O123/B153)</f>
        <v/>
      </c>
      <c r="Q123">
        <f>IFERROR(1/IF(Inputs!$B$4="pvp",15,MAX(0.1,Skills!D8-IF(Skills!E8=TRUE,Inputs!$B$31,0))),0)</f>
        <v/>
      </c>
      <c r="R123">
        <f>IF(AND(Inputs!$B$4&lt;&gt;"pvp",Inputs!$B$35&gt;0),(INT(Inputs!$B$35/IF(Inputs!$B$4="pvp",15,MAX(0.1,Skills!D8-IF(Skills!E8=TRUE,Inputs!$B$31,0))))+1),0)</f>
        <v/>
      </c>
      <c r="S123">
        <f>IFERROR(O123/N123,0)</f>
        <v/>
      </c>
    </row>
    <row r="124">
      <c r="A124">
        <f>Skills!A9</f>
        <v/>
      </c>
      <c r="B124">
        <f>Skills!B9</f>
        <v/>
      </c>
      <c r="C124">
        <f>Inputs!$B$3&gt;=103</f>
        <v/>
      </c>
      <c r="D124">
        <f>IF(Skills!C9=1,60+Inputs!$B$24+Inputs!$B$28,IF(Skills!C9=2,90+Inputs!$B$25+Inputs!$B$28,IF(Skills!C9=3,120+Inputs!$B$26+Inputs!$B$28,MAX(0,(Inputs!$B$3-100)*3)+Inputs!$B$27+Inputs!$B$28)))</f>
        <v/>
      </c>
      <c r="E124">
        <f>INDEX(FactorTable!$B$2:$Y$301, MATCH(ROUND(MIN(300,MAX(1,D124)),0), FactorTable!$A$2:$A$301,0), Skills!M9+1)</f>
        <v/>
      </c>
      <c r="F124">
        <f>IF(Skills!N9=TRUE,(Skills!L9/10)*(E124/1000),Skills!L9/10)+Skills!O9</f>
        <v/>
      </c>
      <c r="G124">
        <f>Skills!G9*IF(Skills!H9&gt;0,Skills!I9/Skills!H9,1)</f>
        <v/>
      </c>
      <c r="H124">
        <f>1-(1-Skills!J9/100)^Skills!K9</f>
        <v/>
      </c>
      <c r="I124" t="inlineStr">
        <is>
          <t>1</t>
        </is>
      </c>
      <c r="J124">
        <f>(Inputs!$B$5*(1+Inputs!$B$6/100))*(F124/100)</f>
        <v/>
      </c>
      <c r="K124">
        <f>J124*(1+((Inputs!$B$11*(1+Inputs!$B$12/100))*0.01+(Inputs!$B$13+1)*0.0025)/100)*(1+Inputs!$B$14/100)*(1+IF(Inputs!$B$4="pvp",0,(1-Summary!$B$55)*(Inputs!$B$19+0+Skills!P9)+Summary!$B$55*(Inputs!$B$20+Skills!Q9))/100)*(1+Inputs!$B$15/100)*(5000/(6000+Inputs!$B$7*(1-(Inputs!$B$18+0)/100)))*(1+(Inputs!$B$23+((C141=TRUE)*(F141-Calc!F26))+B151)/100)*(1+(IF(Skills!A9="EIGHT_LEGS_EASTON",Inputs!$B$16+((C138=TRUE)*(F138-Calc!F23))+((C142=TRUE)*(F142-Calc!F27)),Inputs!$B$17+0))/100)*((1+(((C132=TRUE)*F132)+((C139=TRUE)*(F139-Calc!F24)))/100)*I124)</f>
        <v/>
      </c>
      <c r="L124">
        <f>K124*(MIN(Inputs!$B$21+((C137=TRUE)*(F137-Calc!F22)),Inputs!$B$22+0)/100+(Inputs!$B$22+0)/100)/2</f>
        <v/>
      </c>
      <c r="M124">
        <f>L124*(1+(Inputs!$B$9+((C140=TRUE)*(F140-Calc!F25))+B150)/100)</f>
        <v/>
      </c>
      <c r="N124">
        <f>L124*(1-MIN((Inputs!$B$8+((C134=TRUE)*(F134-Calc!F19))+B145),100)/100)+M124*(MIN((Inputs!$B$8+((C134=TRUE)*(F134-Calc!F19))+B145),100)/100)</f>
        <v/>
      </c>
      <c r="O124">
        <f>IF(C124,H124*N124*IF(AND(Inputs!$B$4&lt;&gt;"pvp",Inputs!$B$35&gt;0),((Skills!G9*((R124-1)*IF(Skills!H9&gt;0,Skills!I9/Skills!H9,1)+IF(Skills!H9&gt;0,MIN(Skills!I9,MAX(0,Inputs!$B$35-((R124-1)*IF(Inputs!$B$4="pvp",15,MAX(0.1,Skills!D9-IF(Skills!E9=TRUE,Inputs!$B$31,0))))))/Skills!H9,1)))/Inputs!$B$35),G124*Q124)*IF(Inputs!$B$4="pvp",1,(1-Summary!$B$55)*(1)+Summary!$B$55*(MIN(Skills!R9,Inputs!$B$37))),0)</f>
        <v/>
      </c>
      <c r="P124">
        <f>IF(B153=0,0,O124/B153)</f>
        <v/>
      </c>
      <c r="Q124">
        <f>IFERROR(1/IF(Inputs!$B$4="pvp",15,MAX(0.1,Skills!D9-IF(Skills!E9=TRUE,Inputs!$B$31,0))),0)</f>
        <v/>
      </c>
      <c r="R124">
        <f>IF(AND(Inputs!$B$4&lt;&gt;"pvp",Inputs!$B$35&gt;0),(INT(Inputs!$B$35/IF(Inputs!$B$4="pvp",15,MAX(0.1,Skills!D9-IF(Skills!E9=TRUE,Inputs!$B$31,0))))+1),0)</f>
        <v/>
      </c>
      <c r="S124">
        <f>IFERROR(O124/N124,0)</f>
        <v/>
      </c>
    </row>
    <row r="125">
      <c r="A125">
        <f>Skills!A10</f>
        <v/>
      </c>
      <c r="B125">
        <f>Skills!B10</f>
        <v/>
      </c>
      <c r="C125">
        <f>Inputs!$B$3&gt;=113</f>
        <v/>
      </c>
      <c r="D125">
        <f>IF(Skills!C10=1,60+Inputs!$B$24+Inputs!$B$28,IF(Skills!C10=2,90+Inputs!$B$25+Inputs!$B$28,IF(Skills!C10=3,120+Inputs!$B$26+Inputs!$B$28,MAX(0,(Inputs!$B$3-100)*3)+Inputs!$B$27+Inputs!$B$28)))</f>
        <v/>
      </c>
      <c r="E125">
        <f>INDEX(FactorTable!$B$2:$Y$301, MATCH(ROUND(MIN(300,MAX(1,D125)),0), FactorTable!$A$2:$A$301,0), Skills!M10+1)</f>
        <v/>
      </c>
      <c r="F125">
        <f>IF(Skills!N10=TRUE,(Skills!L10/10)*(E125/1000),Skills!L10/10)+Skills!O10</f>
        <v/>
      </c>
      <c r="G125">
        <f>Skills!G10*IF(Skills!H10&gt;0,Skills!I10/Skills!H10,1)</f>
        <v/>
      </c>
      <c r="H125">
        <f>1-(1-Skills!J10/100)^Skills!K10</f>
        <v/>
      </c>
      <c r="I125" t="inlineStr">
        <is>
          <t>1</t>
        </is>
      </c>
      <c r="J125">
        <f>(Inputs!$B$5*(1+Inputs!$B$6/100))*(F125/100)</f>
        <v/>
      </c>
      <c r="K125">
        <f>J125*(1+((Inputs!$B$11*(1+Inputs!$B$12/100))*0.01+(Inputs!$B$13+1)*0.0025)/100)*(1+Inputs!$B$14/100)*(1+IF(Inputs!$B$4="pvp",0,(1-Summary!$B$55)*(Inputs!$B$19+0+Skills!P10)+Summary!$B$55*(Inputs!$B$20+Skills!Q10))/100)*(1+Inputs!$B$15/100)*(5000/(6000+Inputs!$B$7*(1-(Inputs!$B$18+0)/100)))*(1+(Inputs!$B$23+((C141=TRUE)*(F141-Calc!F26))+B151)/100)*(1+(IF(Skills!A10="EIGHT_LEGS_EASTON",Inputs!$B$16+((C138=TRUE)*(F138-Calc!F23))+((C142=TRUE)*(F142-Calc!F27)),Inputs!$B$17+0))/100)*((1+(((C132=TRUE)*F132)+((C139=TRUE)*(F139-Calc!F24)))/100)*I125)</f>
        <v/>
      </c>
      <c r="L125">
        <f>K125*(MIN(Inputs!$B$21+((C137=TRUE)*(F137-Calc!F22)),Inputs!$B$22+0)/100+(Inputs!$B$22+0)/100)/2</f>
        <v/>
      </c>
      <c r="M125">
        <f>L125*(1+(Inputs!$B$9+((C140=TRUE)*(F140-Calc!F25))+B150)/100)</f>
        <v/>
      </c>
      <c r="N125">
        <f>L125*(1-MIN((Inputs!$B$8+((C134=TRUE)*(F134-Calc!F19))+B145),100)/100)+M125*(MIN((Inputs!$B$8+((C134=TRUE)*(F134-Calc!F19))+B145),100)/100)</f>
        <v/>
      </c>
      <c r="O125">
        <f>IF(C125,H125*N125*IF(AND(Inputs!$B$4&lt;&gt;"pvp",Inputs!$B$35&gt;0),((Skills!G10*((R125-1)*IF(Skills!H10&gt;0,Skills!I10/Skills!H10,1)+IF(Skills!H10&gt;0,MIN(Skills!I10,MAX(0,Inputs!$B$35-((R125-1)*IF(Inputs!$B$4="pvp",15,MAX(0.1,Skills!D10-IF(Skills!E10=TRUE,Inputs!$B$31,0))))))/Skills!H10,1)))/Inputs!$B$35),G125*Q125)*IF(Inputs!$B$4="pvp",1,(1-Summary!$B$55)*(1)+Summary!$B$55*(MIN(Skills!R10,Inputs!$B$37))),0)</f>
        <v/>
      </c>
      <c r="P125">
        <f>IF(B153=0,0,O125/B153)</f>
        <v/>
      </c>
      <c r="Q125">
        <f>IFERROR(1/IF(Inputs!$B$4="pvp",15,MAX(0.1,Skills!D10-IF(Skills!E10=TRUE,Inputs!$B$31,0))),0)</f>
        <v/>
      </c>
      <c r="R125">
        <f>IF(AND(Inputs!$B$4&lt;&gt;"pvp",Inputs!$B$35&gt;0),(INT(Inputs!$B$35/IF(Inputs!$B$4="pvp",15,MAX(0.1,Skills!D10-IF(Skills!E10=TRUE,Inputs!$B$31,0))))+1),0)</f>
        <v/>
      </c>
      <c r="S125">
        <f>IFERROR(O125/N125,0)</f>
        <v/>
      </c>
    </row>
    <row r="126">
      <c r="A126">
        <f>Skills!A11</f>
        <v/>
      </c>
      <c r="B126">
        <f>Skills!B11</f>
        <v/>
      </c>
      <c r="C126">
        <f>Inputs!$B$3&gt;=107</f>
        <v/>
      </c>
      <c r="D126">
        <f>IF(Skills!C11=1,60+Inputs!$B$24+Inputs!$B$28,IF(Skills!C11=2,90+Inputs!$B$25+Inputs!$B$28,IF(Skills!C11=3,120+Inputs!$B$26+Inputs!$B$28,MAX(0,(Inputs!$B$3-100)*3)+Inputs!$B$27+Inputs!$B$28)))</f>
        <v/>
      </c>
      <c r="E126">
        <f>INDEX(FactorTable!$B$2:$Y$301, MATCH(ROUND(MIN(300,MAX(1,D126)),0), FactorTable!$A$2:$A$301,0), Skills!M11+1)</f>
        <v/>
      </c>
      <c r="F126">
        <f>IF(Skills!N11=TRUE,(Skills!L11/10)*(E126/1000),Skills!L11/10)+Skills!O11</f>
        <v/>
      </c>
      <c r="G126">
        <f>Skills!G11*IF(Skills!H11&gt;0,Skills!I11/Skills!H11,1)</f>
        <v/>
      </c>
      <c r="H126">
        <f>1-(1-Skills!J11/100)^Skills!K11</f>
        <v/>
      </c>
      <c r="I126" t="inlineStr">
        <is>
          <t>1</t>
        </is>
      </c>
      <c r="J126">
        <f>(Inputs!$B$5*(1+Inputs!$B$6/100))*(F126/100)</f>
        <v/>
      </c>
      <c r="K126">
        <f>J126*(1+((Inputs!$B$11*(1+Inputs!$B$12/100))*0.01+(Inputs!$B$13+1)*0.0025)/100)*(1+Inputs!$B$14/100)*(1+IF(Inputs!$B$4="pvp",0,(1-Summary!$B$55)*(Inputs!$B$19+0+Skills!P11)+Summary!$B$55*(Inputs!$B$20+Skills!Q11))/100)*(1+Inputs!$B$15/100)*(5000/(6000+Inputs!$B$7*(1-(Inputs!$B$18+0)/100)))*(1+(Inputs!$B$23+((C141=TRUE)*(F141-Calc!F26))+B151)/100)*(1+(IF(Skills!A11="EIGHT_LEGS_EASTON",Inputs!$B$16+((C138=TRUE)*(F138-Calc!F23))+((C142=TRUE)*(F142-Calc!F27)),Inputs!$B$17+0))/100)*((1+(((C132=TRUE)*F132)+((C139=TRUE)*(F139-Calc!F24)))/100)*I126)</f>
        <v/>
      </c>
      <c r="L126">
        <f>K126*(MIN(Inputs!$B$21+((C137=TRUE)*(F137-Calc!F22)),Inputs!$B$22+0)/100+(Inputs!$B$22+0)/100)/2</f>
        <v/>
      </c>
      <c r="M126">
        <f>L126*(1+(Inputs!$B$9+((C140=TRUE)*(F140-Calc!F25))+B150)/100)</f>
        <v/>
      </c>
      <c r="N126">
        <f>L126*(1-MIN((Inputs!$B$8+((C134=TRUE)*(F134-Calc!F19))+B145),100)/100)+M126*(MIN((Inputs!$B$8+((C134=TRUE)*(F134-Calc!F19))+B145),100)/100)</f>
        <v/>
      </c>
      <c r="O126">
        <f>IF(C126,H126*N126*IF(AND(Inputs!$B$4&lt;&gt;"pvp",Inputs!$B$35&gt;0),((Skills!G11*((R126-1)*IF(Skills!H11&gt;0,Skills!I11/Skills!H11,1)+IF(Skills!H11&gt;0,MIN(Skills!I11,MAX(0,Inputs!$B$35-((R126-1)*IF(Inputs!$B$4="pvp",15,MAX(0.1,Skills!D11-IF(Skills!E11=TRUE,Inputs!$B$31,0))))))/Skills!H11,1)))/Inputs!$B$35),G126*Q126)*IF(Inputs!$B$4="pvp",1,(1-Summary!$B$55)*(1)+Summary!$B$55*(MIN(Skills!R11,Inputs!$B$37))),0)</f>
        <v/>
      </c>
      <c r="P126">
        <f>IF(B153=0,0,O126/B153)</f>
        <v/>
      </c>
      <c r="Q126">
        <f>IFERROR(1/IF(Inputs!$B$4="pvp",15,MAX(0.1,Skills!D11-IF(Skills!E11=TRUE,Inputs!$B$31,0))),0)</f>
        <v/>
      </c>
      <c r="R126">
        <f>IF(AND(Inputs!$B$4&lt;&gt;"pvp",Inputs!$B$35&gt;0),(INT(Inputs!$B$35/IF(Inputs!$B$4="pvp",15,MAX(0.1,Skills!D11-IF(Skills!E11=TRUE,Inputs!$B$31,0))))+1),0)</f>
        <v/>
      </c>
      <c r="S126">
        <f>IFERROR(O126/N126,0)</f>
        <v/>
      </c>
    </row>
    <row r="127">
      <c r="A127">
        <f>Skills!A12</f>
        <v/>
      </c>
      <c r="B127">
        <f>Skills!B12</f>
        <v/>
      </c>
      <c r="C127">
        <f>Inputs!$B$3&gt;=110</f>
        <v/>
      </c>
      <c r="D127">
        <f>IF(Skills!C12=1,60+Inputs!$B$24+Inputs!$B$28,IF(Skills!C12=2,90+Inputs!$B$25+Inputs!$B$28,IF(Skills!C12=3,120+Inputs!$B$26+Inputs!$B$28,MAX(0,(Inputs!$B$3-100)*3)+Inputs!$B$27+Inputs!$B$28)))</f>
        <v/>
      </c>
      <c r="E127">
        <f>INDEX(FactorTable!$B$2:$Y$301, MATCH(ROUND(MIN(300,MAX(1,D127)),0), FactorTable!$A$2:$A$301,0), Skills!M12+1)</f>
        <v/>
      </c>
      <c r="F127">
        <f>IF(Skills!N12=TRUE,(Skills!L12/10)*(E127/1000),Skills!L12/10)+Skills!O12</f>
        <v/>
      </c>
      <c r="G127">
        <f>Skills!G12*IF(Skills!H12&gt;0,Skills!I12/Skills!H12,1)</f>
        <v/>
      </c>
      <c r="H127">
        <f>1-(1-Skills!J12/100)^Skills!K12</f>
        <v/>
      </c>
      <c r="I127" t="inlineStr">
        <is>
          <t>1</t>
        </is>
      </c>
      <c r="J127">
        <f>(Inputs!$B$5*(1+Inputs!$B$6/100))*(F127/100)</f>
        <v/>
      </c>
      <c r="K127">
        <f>J127*(1+((Inputs!$B$11*(1+Inputs!$B$12/100))*0.01+(Inputs!$B$13+1)*0.0025)/100)*(1+Inputs!$B$14/100)*(1+IF(Inputs!$B$4="pvp",0,(1-Summary!$B$55)*(Inputs!$B$19+0+Skills!P12)+Summary!$B$55*(Inputs!$B$20+Skills!Q12))/100)*(1+Inputs!$B$15/100)*(5000/(6000+Inputs!$B$7*(1-(Inputs!$B$18+0)/100)))*(1+(Inputs!$B$23+((C141=TRUE)*(F141-Calc!F26))+B151)/100)*(1+(IF(Skills!A12="EIGHT_LEGS_EASTON",Inputs!$B$16+((C138=TRUE)*(F138-Calc!F23))+((C142=TRUE)*(F142-Calc!F27)),Inputs!$B$17+0))/100)*((1+(((C132=TRUE)*F132)+((C139=TRUE)*(F139-Calc!F24)))/100)*I127)</f>
        <v/>
      </c>
      <c r="L127">
        <f>K127*(MIN(Inputs!$B$21+((C137=TRUE)*(F137-Calc!F22)),Inputs!$B$22+0)/100+(Inputs!$B$22+0)/100)/2</f>
        <v/>
      </c>
      <c r="M127">
        <f>L127*(1+(Inputs!$B$9+((C140=TRUE)*(F140-Calc!F25))+B150)/100)</f>
        <v/>
      </c>
      <c r="N127">
        <f>L127*(1-MIN((Inputs!$B$8+((C134=TRUE)*(F134-Calc!F19))+B145),100)/100)+M127*(MIN((Inputs!$B$8+((C134=TRUE)*(F134-Calc!F19))+B145),100)/100)</f>
        <v/>
      </c>
      <c r="O127">
        <f>IF(C127,H127*N127*IF(AND(Inputs!$B$4&lt;&gt;"pvp",Inputs!$B$35&gt;0),((Skills!G12*((R127-1)*IF(Skills!H12&gt;0,Skills!I12/Skills!H12,1)+IF(Skills!H12&gt;0,MIN(Skills!I12,MAX(0,Inputs!$B$35-((R127-1)*IF(Inputs!$B$4="pvp",15,MAX(0.1,Skills!D12-IF(Skills!E12=TRUE,Inputs!$B$31,0))))))/Skills!H12,1)))/Inputs!$B$35),G127*Q127)*IF(Inputs!$B$4="pvp",1,(1-Summary!$B$55)*(1)+Summary!$B$55*(MIN(Skills!R12,Inputs!$B$37))),0)</f>
        <v/>
      </c>
      <c r="P127">
        <f>IF(B153=0,0,O127/B153)</f>
        <v/>
      </c>
      <c r="Q127">
        <f>IFERROR(1/IF(Inputs!$B$4="pvp",15,MAX(0.1,Skills!D12-IF(Skills!E12=TRUE,Inputs!$B$31,0))),0)</f>
        <v/>
      </c>
      <c r="R127">
        <f>IF(AND(Inputs!$B$4&lt;&gt;"pvp",Inputs!$B$35&gt;0),(INT(Inputs!$B$35/IF(Inputs!$B$4="pvp",15,MAX(0.1,Skills!D12-IF(Skills!E12=TRUE,Inputs!$B$31,0))))+1),0)</f>
        <v/>
      </c>
      <c r="S127">
        <f>IFERROR(O127/N127,0)</f>
        <v/>
      </c>
    </row>
    <row r="128">
      <c r="A128">
        <f>Skills!A13</f>
        <v/>
      </c>
      <c r="B128">
        <f>Skills!B13</f>
        <v/>
      </c>
      <c r="C128">
        <f>Inputs!$B$3&gt;=110</f>
        <v/>
      </c>
      <c r="D128">
        <f>IF(Skills!C13=1,60+Inputs!$B$24+Inputs!$B$28,IF(Skills!C13=2,90+Inputs!$B$25+Inputs!$B$28,IF(Skills!C13=3,120+Inputs!$B$26+Inputs!$B$28,MAX(0,(Inputs!$B$3-100)*3)+Inputs!$B$27+Inputs!$B$28)))</f>
        <v/>
      </c>
      <c r="E128">
        <f>INDEX(FactorTable!$B$2:$Y$301, MATCH(ROUND(MIN(300,MAX(1,D128)),0), FactorTable!$A$2:$A$301,0), Skills!M13+1)</f>
        <v/>
      </c>
      <c r="F128">
        <f>IF(Skills!N13=TRUE,(Skills!L13/10)*(E128/1000),Skills!L13/10)+Skills!O13</f>
        <v/>
      </c>
      <c r="G128">
        <f>Skills!G13*IF(Skills!H13&gt;0,Skills!I13/Skills!H13,1)</f>
        <v/>
      </c>
      <c r="H128">
        <f>1-(1-Skills!J13/100)^Skills!K13</f>
        <v/>
      </c>
      <c r="I128" t="inlineStr">
        <is>
          <t>1</t>
        </is>
      </c>
      <c r="J128">
        <f>(Inputs!$B$5*(1+Inputs!$B$6/100))*(F128/100)</f>
        <v/>
      </c>
      <c r="K128">
        <f>J128*(1+((Inputs!$B$11*(1+Inputs!$B$12/100))*0.01+(Inputs!$B$13+1)*0.0025)/100)*(1+Inputs!$B$14/100)*(1+IF(Inputs!$B$4="pvp",0,(1-Summary!$B$55)*(Inputs!$B$19+0+Skills!P13)+Summary!$B$55*(Inputs!$B$20+Skills!Q13))/100)*(1+Inputs!$B$15/100)*(5000/(6000+Inputs!$B$7*(1-(Inputs!$B$18+0)/100)))*(1+(Inputs!$B$23+((C141=TRUE)*(F141-Calc!F26))+B151)/100)*(1+(IF(Skills!A13="EIGHT_LEGS_EASTON",Inputs!$B$16+((C138=TRUE)*(F138-Calc!F23))+((C142=TRUE)*(F142-Calc!F27)),Inputs!$B$17+0))/100)*((1+(((C132=TRUE)*F132)+((C139=TRUE)*(F139-Calc!F24)))/100)*I128)</f>
        <v/>
      </c>
      <c r="L128">
        <f>K128*(MIN(Inputs!$B$21+((C137=TRUE)*(F137-Calc!F22)),Inputs!$B$22+0)/100+(Inputs!$B$22+0)/100)/2</f>
        <v/>
      </c>
      <c r="M128">
        <f>L128*(1+(Inputs!$B$9+((C140=TRUE)*(F140-Calc!F25))+B150)/100)</f>
        <v/>
      </c>
      <c r="N128">
        <f>L128*(1-MIN((Inputs!$B$8+((C134=TRUE)*(F134-Calc!F19))+B145),100)/100)+M128*(MIN((Inputs!$B$8+((C134=TRUE)*(F134-Calc!F19))+B145),100)/100)</f>
        <v/>
      </c>
      <c r="O128">
        <f>IF(C128,H128*N128*IF(AND(Inputs!$B$4&lt;&gt;"pvp",Inputs!$B$35&gt;0),((Skills!G13*((R128-1)*IF(Skills!H13&gt;0,Skills!I13/Skills!H13,1)+IF(Skills!H13&gt;0,MIN(Skills!I13,MAX(0,Inputs!$B$35-((R128-1)*IF(Inputs!$B$4="pvp",15,MAX(0.1,Skills!D13-IF(Skills!E13=TRUE,Inputs!$B$31,0))))))/Skills!H13,1)))/Inputs!$B$35),G128*Q128)*IF(Inputs!$B$4="pvp",1,(1-Summary!$B$55)*(1)+Summary!$B$55*(MIN(Skills!R13,Inputs!$B$37))),0)</f>
        <v/>
      </c>
      <c r="P128">
        <f>IF(B153=0,0,O128/B153)</f>
        <v/>
      </c>
      <c r="Q128">
        <f>IFERROR(1/IF(Inputs!$B$4="pvp",15,MAX(0.1,Skills!D13-IF(Skills!E13=TRUE,Inputs!$B$31,0))),0)</f>
        <v/>
      </c>
      <c r="R128">
        <f>IF(AND(Inputs!$B$4&lt;&gt;"pvp",Inputs!$B$35&gt;0),(INT(Inputs!$B$35/IF(Inputs!$B$4="pvp",15,MAX(0.1,Skills!D13-IF(Skills!E13=TRUE,Inputs!$B$31,0))))+1),0)</f>
        <v/>
      </c>
      <c r="S128">
        <f>IFERROR(O128/N128,0)</f>
        <v/>
      </c>
    </row>
    <row r="129">
      <c r="A129">
        <f>Skills!A14</f>
        <v/>
      </c>
      <c r="B129">
        <f>Skills!B14</f>
        <v/>
      </c>
      <c r="C129">
        <f>Inputs!$B$3&gt;=125</f>
        <v/>
      </c>
      <c r="D129">
        <f>IF(Skills!C14=1,60+Inputs!$B$24+Inputs!$B$28,IF(Skills!C14=2,90+Inputs!$B$25+Inputs!$B$28,IF(Skills!C14=3,120+Inputs!$B$26+Inputs!$B$28,MAX(0,(Inputs!$B$3-100)*3)+Inputs!$B$27+Inputs!$B$28)))</f>
        <v/>
      </c>
      <c r="E129">
        <f>INDEX(FactorTable!$B$2:$Y$301, MATCH(ROUND(MIN(300,MAX(1,D129)),0), FactorTable!$A$2:$A$301,0), Skills!M14+1)</f>
        <v/>
      </c>
      <c r="F129">
        <f>IF(Skills!N14=TRUE,(Skills!L14/10)*(E129/1000),Skills!L14/10)+Skills!O14</f>
        <v/>
      </c>
      <c r="G129">
        <f>Skills!G14*IF(Skills!H14&gt;0,Skills!I14/Skills!H14,1)</f>
        <v/>
      </c>
      <c r="H129">
        <f>1-(1-Skills!J14/100)^Skills!K14</f>
        <v/>
      </c>
      <c r="I129" t="inlineStr">
        <is>
          <t>1</t>
        </is>
      </c>
      <c r="J129">
        <f>(Inputs!$B$5*(1+Inputs!$B$6/100))*(F129/100)</f>
        <v/>
      </c>
      <c r="K129">
        <f>J129*(1+((Inputs!$B$11*(1+Inputs!$B$12/100))*0.01+(Inputs!$B$13+1)*0.0025)/100)*(1+Inputs!$B$14/100)*(1+IF(Inputs!$B$4="pvp",0,(1-Summary!$B$55)*(Inputs!$B$19+0+Skills!P14)+Summary!$B$55*(Inputs!$B$20+Skills!Q14))/100)*(1+Inputs!$B$15/100)*(5000/(6000+Inputs!$B$7*(1-(Inputs!$B$18+0)/100)))*(1+(Inputs!$B$23+((C141=TRUE)*(F141-Calc!F26))+B151)/100)*(1+(IF(Skills!A14="EIGHT_LEGS_EASTON",Inputs!$B$16+((C138=TRUE)*(F138-Calc!F23))+((C142=TRUE)*(F142-Calc!F27)),Inputs!$B$17+0))/100)*((1+(((C132=TRUE)*F132)+((C139=TRUE)*(F139-Calc!F24)))/100)*I129)</f>
        <v/>
      </c>
      <c r="L129">
        <f>K129*(MIN(Inputs!$B$21+((C137=TRUE)*(F137-Calc!F22)),Inputs!$B$22+0)/100+(Inputs!$B$22+0)/100)/2</f>
        <v/>
      </c>
      <c r="M129">
        <f>L129*(1+(Inputs!$B$9+((C140=TRUE)*(F140-Calc!F25))+B150)/100)</f>
        <v/>
      </c>
      <c r="N129">
        <f>L129*(1-MIN((Inputs!$B$8+((C134=TRUE)*(F134-Calc!F19))+B145),100)/100)+M129*(MIN((Inputs!$B$8+((C134=TRUE)*(F134-Calc!F19))+B145),100)/100)</f>
        <v/>
      </c>
      <c r="O129">
        <f>IF(C129,H129*N129*(B149+IF(AND(Inputs!$B$4&lt;&gt;"pvp",Inputs!$B$35&gt;0),((Skills!G8*((R123-1)*IF(Skills!H8&gt;0,Skills!I8/Skills!H8,1)+IF(Skills!H8&gt;0,MIN(Skills!I8,MAX(0,Inputs!$B$35-((R123-1)*IF(Inputs!$B$4="pvp",15,MAX(0.1,Skills!D8-IF(Skills!E8=TRUE,Inputs!$B$31,0))))))/Skills!H8,1)))/Inputs!$B$35),G123*Q123)+IF(AND(Inputs!$B$4&lt;&gt;"pvp",Inputs!$B$35&gt;0),((Skills!G11*((R126-1)*IF(Skills!H11&gt;0,Skills!I11/Skills!H11,1)+IF(Skills!H11&gt;0,MIN(Skills!I11,MAX(0,Inputs!$B$35-((R126-1)*IF(Inputs!$B$4="pvp",15,MAX(0.1,Skills!D11-IF(Skills!E11=TRUE,Inputs!$B$31,0))))))/Skills!H11,1)))/Inputs!$B$35),G126*Q126))*IF(Inputs!$B$4="pvp",1,(1-Summary!$B$55)*(1)+Summary!$B$55*(MIN(Skills!R14,Inputs!$B$37))),0)</f>
        <v/>
      </c>
      <c r="P129">
        <f>IF(B153=0,0,O129/B153)</f>
        <v/>
      </c>
      <c r="Q129" t="n">
        <v>0</v>
      </c>
      <c r="R129" t="n">
        <v>0</v>
      </c>
      <c r="S129">
        <f>IFERROR(O129/N129,0)</f>
        <v/>
      </c>
    </row>
    <row r="130">
      <c r="A130">
        <f>Skills!A15</f>
        <v/>
      </c>
      <c r="B130">
        <f>Skills!B15</f>
        <v/>
      </c>
      <c r="C130">
        <f>Inputs!$B$3&gt;=100</f>
        <v/>
      </c>
      <c r="D130">
        <f>IF(Skills!C15=1,60+Inputs!$B$24+Inputs!$B$28,IF(Skills!C15=2,90+Inputs!$B$25+Inputs!$B$28,IF(Skills!C15=3,120+Inputs!$B$26+Inputs!$B$28,MAX(0,(Inputs!$B$3-100)*3)+Inputs!$B$27+Inputs!$B$28)))</f>
        <v/>
      </c>
      <c r="E130">
        <f>INDEX(FactorTable!$B$2:$Y$301, MATCH(ROUND(MIN(300,MAX(1,D130)),0), FactorTable!$A$2:$A$301,0), Skills!M15+1)</f>
        <v/>
      </c>
      <c r="F130">
        <f>IF(Skills!N15=TRUE,(Skills!L15/10)*(E130/1000),Skills!L15/10)+Skills!O15</f>
        <v/>
      </c>
      <c r="G130" t="inlineStr"/>
      <c r="H130" t="inlineStr"/>
      <c r="I130" t="inlineStr">
        <is>
          <t>1</t>
        </is>
      </c>
      <c r="J130" t="inlineStr"/>
      <c r="K130" t="inlineStr"/>
      <c r="L130" t="inlineStr"/>
      <c r="M130" t="inlineStr"/>
      <c r="N130" t="inlineStr"/>
      <c r="O130" t="inlineStr"/>
      <c r="P130" t="inlineStr"/>
      <c r="Q130" t="inlineStr"/>
      <c r="R130" t="inlineStr"/>
      <c r="S130" t="inlineStr"/>
    </row>
    <row r="131">
      <c r="A131">
        <f>Skills!A16</f>
        <v/>
      </c>
      <c r="B131">
        <f>Skills!B16</f>
        <v/>
      </c>
      <c r="C131">
        <f>Inputs!$B$3&gt;=120</f>
        <v/>
      </c>
      <c r="D131">
        <f>IF(Skills!C16=1,60+Inputs!$B$24+Inputs!$B$28,IF(Skills!C16=2,90+Inputs!$B$25+Inputs!$B$28,IF(Skills!C16=3,120+Inputs!$B$26+Inputs!$B$28,MAX(0,(Inputs!$B$3-100)*3)+Inputs!$B$27+Inputs!$B$28)))</f>
        <v/>
      </c>
      <c r="E131">
        <f>INDEX(FactorTable!$B$2:$Y$301, MATCH(ROUND(MIN(300,MAX(1,D131)),0), FactorTable!$A$2:$A$301,0), Skills!M16+1)</f>
        <v/>
      </c>
      <c r="F131">
        <f>IF(Skills!N16=TRUE,(Skills!L16/10)*(E131/1000),Skills!L16/10)+Skills!O16</f>
        <v/>
      </c>
      <c r="G131" t="inlineStr"/>
      <c r="H131" t="inlineStr"/>
      <c r="I131" t="inlineStr">
        <is>
          <t>1</t>
        </is>
      </c>
      <c r="J131" t="inlineStr"/>
      <c r="K131" t="inlineStr"/>
      <c r="L131" t="inlineStr"/>
      <c r="M131" t="inlineStr"/>
      <c r="N131" t="inlineStr"/>
      <c r="O131" t="inlineStr"/>
      <c r="P131" t="inlineStr"/>
      <c r="Q131" t="inlineStr"/>
      <c r="R131" t="inlineStr"/>
      <c r="S131" t="inlineStr"/>
    </row>
    <row r="132">
      <c r="A132">
        <f>Skills!A17</f>
        <v/>
      </c>
      <c r="B132">
        <f>Skills!B17</f>
        <v/>
      </c>
      <c r="C132">
        <f>Inputs!$B$3&gt;=66</f>
        <v/>
      </c>
      <c r="D132">
        <f>IF(Skills!C17=1,60+Inputs!$B$24+Inputs!$B$28,IF(Skills!C17=2,90+Inputs!$B$25+Inputs!$B$28,IF(Skills!C17=3,120+Inputs!$B$26+Inputs!$B$28,MAX(0,(Inputs!$B$3-100)*3)+Inputs!$B$27+Inputs!$B$28)))</f>
        <v/>
      </c>
      <c r="E132">
        <f>INDEX(FactorTable!$B$2:$Y$301, MATCH(ROUND(MIN(300,MAX(1,D132)),0), FactorTable!$A$2:$A$301,0), Skills!M17+1)</f>
        <v/>
      </c>
      <c r="F132">
        <f>IF(Skills!N17=TRUE,(Skills!L17/10)*(E132/1000),Skills!L17/10)+Skills!O17</f>
        <v/>
      </c>
      <c r="G132">
        <f>Skills!G17*IF(Skills!H17&gt;0,Skills!I17/Skills!H17,1)</f>
        <v/>
      </c>
      <c r="H132">
        <f>1-(1-Skills!J17/100)^Skills!K17</f>
        <v/>
      </c>
      <c r="I132" t="inlineStr">
        <is>
          <t>1</t>
        </is>
      </c>
      <c r="J132" t="inlineStr"/>
      <c r="K132" t="inlineStr"/>
      <c r="L132" t="inlineStr"/>
      <c r="M132" t="inlineStr"/>
      <c r="N132" t="inlineStr"/>
      <c r="O132" t="n">
        <v>0</v>
      </c>
      <c r="P132">
        <f>IF(B153=0,0,O132/B153)</f>
        <v/>
      </c>
      <c r="Q132" t="n">
        <v>0</v>
      </c>
      <c r="R132" t="n">
        <v>0</v>
      </c>
      <c r="S132">
        <f>IFERROR(O132/N132,0)</f>
        <v/>
      </c>
    </row>
    <row r="133">
      <c r="A133">
        <f>Skills!A18</f>
        <v/>
      </c>
      <c r="B133">
        <f>Skills!B18</f>
        <v/>
      </c>
      <c r="C133">
        <f>Inputs!$B$3&gt;=115</f>
        <v/>
      </c>
      <c r="D133">
        <f>IF(Skills!C18=1,60+Inputs!$B$24+Inputs!$B$28,IF(Skills!C18=2,90+Inputs!$B$25+Inputs!$B$28,IF(Skills!C18=3,120+Inputs!$B$26+Inputs!$B$28,MAX(0,(Inputs!$B$3-100)*3)+Inputs!$B$27+Inputs!$B$28)))</f>
        <v/>
      </c>
      <c r="E133">
        <f>INDEX(FactorTable!$B$2:$Y$301, MATCH(ROUND(MIN(300,MAX(1,D133)),0), FactorTable!$A$2:$A$301,0), Skills!M18+1)</f>
        <v/>
      </c>
      <c r="F133">
        <f>IF(Skills!N18=TRUE,(Skills!L18/10)*(E133/1000),Skills!L18/10)+Skills!O18</f>
        <v/>
      </c>
      <c r="G133">
        <f>Skills!G18*IF(Skills!H18&gt;0,Skills!I18/Skills!H18,1)</f>
        <v/>
      </c>
      <c r="H133">
        <f>1-(1-Skills!J18/100)^Skills!K18</f>
        <v/>
      </c>
      <c r="I133" t="inlineStr">
        <is>
          <t>1</t>
        </is>
      </c>
      <c r="J133" t="inlineStr"/>
      <c r="K133" t="inlineStr"/>
      <c r="L133" t="inlineStr"/>
      <c r="M133" t="inlineStr"/>
      <c r="N133" t="inlineStr"/>
      <c r="O133" t="n">
        <v>0</v>
      </c>
      <c r="P133">
        <f>IF(B153=0,0,O133/B153)</f>
        <v/>
      </c>
      <c r="Q133" t="n">
        <v>0</v>
      </c>
      <c r="R133" t="n">
        <v>0</v>
      </c>
      <c r="S133">
        <f>IFERROR(O133/N133,0)</f>
        <v/>
      </c>
    </row>
    <row r="134">
      <c r="A134">
        <f>Skills!A19</f>
        <v/>
      </c>
      <c r="B134">
        <f>Skills!B19</f>
        <v/>
      </c>
      <c r="C134">
        <f>Inputs!$B$3&gt;=15</f>
        <v/>
      </c>
      <c r="D134">
        <f>IF(Skills!C19=1,60+Inputs!$B$24+Inputs!$B$28,IF(Skills!C19=2,90+Inputs!$B$25+Inputs!$B$28,IF(Skills!C19=3,120+Inputs!$B$26+Inputs!$B$28,MAX(0,(Inputs!$B$3-100)*3)+Inputs!$B$27+Inputs!$B$28)))</f>
        <v/>
      </c>
      <c r="E134">
        <f>INDEX(FactorTable!$B$2:$Y$301, MATCH(ROUND(MIN(300,MAX(1,D134)),0), FactorTable!$A$2:$A$301,0), Skills!M19+1)</f>
        <v/>
      </c>
      <c r="F134">
        <f>IF(Skills!N19=TRUE,(Skills!L19/10)*(E134/1000),Skills!L19/10)+Skills!O19</f>
        <v/>
      </c>
      <c r="G134">
        <f>Skills!G19*IF(Skills!H19&gt;0,Skills!I19/Skills!H19,1)</f>
        <v/>
      </c>
      <c r="H134">
        <f>1-(1-Skills!J19/100)^Skills!K19</f>
        <v/>
      </c>
      <c r="I134" t="inlineStr">
        <is>
          <t>1</t>
        </is>
      </c>
      <c r="J134" t="inlineStr"/>
      <c r="K134" t="inlineStr"/>
      <c r="L134" t="inlineStr"/>
      <c r="M134" t="inlineStr"/>
      <c r="N134" t="inlineStr"/>
      <c r="O134" t="n">
        <v>0</v>
      </c>
      <c r="P134">
        <f>IF(B153=0,0,O134/B153)</f>
        <v/>
      </c>
      <c r="Q134" t="n">
        <v>0</v>
      </c>
      <c r="R134" t="n">
        <v>0</v>
      </c>
      <c r="S134">
        <f>IFERROR(O134/N134,0)</f>
        <v/>
      </c>
    </row>
    <row r="135">
      <c r="A135">
        <f>Skills!A20</f>
        <v/>
      </c>
      <c r="B135">
        <f>Skills!B20</f>
        <v/>
      </c>
      <c r="C135">
        <f>Inputs!$B$3&gt;=10</f>
        <v/>
      </c>
      <c r="D135">
        <f>IF(Skills!C20=1,60+Inputs!$B$24+Inputs!$B$28,IF(Skills!C20=2,90+Inputs!$B$25+Inputs!$B$28,IF(Skills!C20=3,120+Inputs!$B$26+Inputs!$B$28,MAX(0,(Inputs!$B$3-100)*3)+Inputs!$B$27+Inputs!$B$28)))</f>
        <v/>
      </c>
      <c r="E135">
        <f>INDEX(FactorTable!$B$2:$Y$301, MATCH(ROUND(MIN(300,MAX(1,D135)),0), FactorTable!$A$2:$A$301,0), Skills!M20+1)</f>
        <v/>
      </c>
      <c r="F135">
        <f>IF(Skills!N20=TRUE,(Skills!L20/10)*(E135/1000),Skills!L20/10)+Skills!O20</f>
        <v/>
      </c>
      <c r="G135">
        <f>Skills!G20*IF(Skills!H20&gt;0,Skills!I20/Skills!H20,1)</f>
        <v/>
      </c>
      <c r="H135">
        <f>1-(1-Skills!J20/100)^Skills!K20</f>
        <v/>
      </c>
      <c r="I135" t="inlineStr">
        <is>
          <t>1</t>
        </is>
      </c>
      <c r="J135" t="inlineStr"/>
      <c r="K135" t="inlineStr"/>
      <c r="L135" t="inlineStr"/>
      <c r="M135" t="inlineStr"/>
      <c r="N135" t="inlineStr"/>
      <c r="O135" t="n">
        <v>0</v>
      </c>
      <c r="P135">
        <f>IF(B153=0,0,O135/B153)</f>
        <v/>
      </c>
      <c r="Q135" t="n">
        <v>0</v>
      </c>
      <c r="R135" t="n">
        <v>0</v>
      </c>
      <c r="S135">
        <f>IFERROR(O135/N135,0)</f>
        <v/>
      </c>
    </row>
    <row r="136">
      <c r="A136">
        <f>Skills!A21</f>
        <v/>
      </c>
      <c r="B136">
        <f>Skills!B21</f>
        <v/>
      </c>
      <c r="C136">
        <f>Inputs!$B$3&gt;=33</f>
        <v/>
      </c>
      <c r="D136">
        <f>IF(Skills!C21=1,60+Inputs!$B$24+Inputs!$B$28,IF(Skills!C21=2,90+Inputs!$B$25+Inputs!$B$28,IF(Skills!C21=3,120+Inputs!$B$26+Inputs!$B$28,MAX(0,(Inputs!$B$3-100)*3)+Inputs!$B$27+Inputs!$B$28)))</f>
        <v/>
      </c>
      <c r="E136">
        <f>INDEX(FactorTable!$B$2:$Y$301, MATCH(ROUND(MIN(300,MAX(1,D136)),0), FactorTable!$A$2:$A$301,0), Skills!M21+1)</f>
        <v/>
      </c>
      <c r="F136">
        <f>IF(Skills!N21=TRUE,(Skills!L21/10)*(E136/1000),Skills!L21/10)+Skills!O21</f>
        <v/>
      </c>
      <c r="G136">
        <f>Skills!G21*IF(Skills!H21&gt;0,Skills!I21/Skills!H21,1)</f>
        <v/>
      </c>
      <c r="H136">
        <f>1-(1-Skills!J21/100)^Skills!K21</f>
        <v/>
      </c>
      <c r="I136" t="inlineStr">
        <is>
          <t>1</t>
        </is>
      </c>
      <c r="J136" t="inlineStr"/>
      <c r="K136" t="inlineStr"/>
      <c r="L136" t="inlineStr"/>
      <c r="M136" t="inlineStr"/>
      <c r="N136" t="inlineStr"/>
      <c r="O136" t="n">
        <v>0</v>
      </c>
      <c r="P136">
        <f>IF(B153=0,0,O136/B153)</f>
        <v/>
      </c>
      <c r="Q136" t="n">
        <v>0</v>
      </c>
      <c r="R136" t="n">
        <v>0</v>
      </c>
      <c r="S136">
        <f>IFERROR(O136/N136,0)</f>
        <v/>
      </c>
    </row>
    <row r="137">
      <c r="A137">
        <f>Skills!A22</f>
        <v/>
      </c>
      <c r="B137">
        <f>Skills!B22</f>
        <v/>
      </c>
      <c r="C137">
        <f>Inputs!$B$3&gt;=43</f>
        <v/>
      </c>
      <c r="D137">
        <f>IF(Skills!C22=1,60+Inputs!$B$24+Inputs!$B$28,IF(Skills!C22=2,90+Inputs!$B$25+Inputs!$B$28,IF(Skills!C22=3,120+Inputs!$B$26+Inputs!$B$28,MAX(0,(Inputs!$B$3-100)*3)+Inputs!$B$27+Inputs!$B$28)))</f>
        <v/>
      </c>
      <c r="E137">
        <f>INDEX(FactorTable!$B$2:$Y$301, MATCH(ROUND(MIN(300,MAX(1,D137)),0), FactorTable!$A$2:$A$301,0), Skills!M22+1)</f>
        <v/>
      </c>
      <c r="F137">
        <f>IF(Skills!N22=TRUE,(Skills!L22/10)*(E137/1000),Skills!L22/10)+Skills!O22</f>
        <v/>
      </c>
      <c r="G137">
        <f>Skills!G22*IF(Skills!H22&gt;0,Skills!I22/Skills!H22,1)</f>
        <v/>
      </c>
      <c r="H137">
        <f>1-(1-Skills!J22/100)^Skills!K22</f>
        <v/>
      </c>
      <c r="I137" t="inlineStr">
        <is>
          <t>1</t>
        </is>
      </c>
      <c r="J137" t="inlineStr"/>
      <c r="K137" t="inlineStr"/>
      <c r="L137" t="inlineStr"/>
      <c r="M137" t="inlineStr"/>
      <c r="N137" t="inlineStr"/>
      <c r="O137" t="n">
        <v>0</v>
      </c>
      <c r="P137">
        <f>IF(B153=0,0,O137/B153)</f>
        <v/>
      </c>
      <c r="Q137" t="n">
        <v>0</v>
      </c>
      <c r="R137" t="n">
        <v>0</v>
      </c>
      <c r="S137">
        <f>IFERROR(O137/N137,0)</f>
        <v/>
      </c>
    </row>
    <row r="138">
      <c r="A138">
        <f>Skills!A23</f>
        <v/>
      </c>
      <c r="B138">
        <f>Skills!B23</f>
        <v/>
      </c>
      <c r="C138">
        <f>Inputs!$B$3&gt;=38</f>
        <v/>
      </c>
      <c r="D138">
        <f>IF(Skills!C23=1,60+Inputs!$B$24+Inputs!$B$28,IF(Skills!C23=2,90+Inputs!$B$25+Inputs!$B$28,IF(Skills!C23=3,120+Inputs!$B$26+Inputs!$B$28,MAX(0,(Inputs!$B$3-100)*3)+Inputs!$B$27+Inputs!$B$28)))</f>
        <v/>
      </c>
      <c r="E138">
        <f>INDEX(FactorTable!$B$2:$Y$301, MATCH(ROUND(MIN(300,MAX(1,D138)),0), FactorTable!$A$2:$A$301,0), Skills!M23+1)</f>
        <v/>
      </c>
      <c r="F138">
        <f>IF(Skills!N23=TRUE,(Skills!L23/10)*(E138/1000),Skills!L23/10)+Skills!O23</f>
        <v/>
      </c>
      <c r="G138">
        <f>Skills!G23*IF(Skills!H23&gt;0,Skills!I23/Skills!H23,1)</f>
        <v/>
      </c>
      <c r="H138">
        <f>1-(1-Skills!J23/100)^Skills!K23</f>
        <v/>
      </c>
      <c r="I138" t="inlineStr">
        <is>
          <t>1</t>
        </is>
      </c>
      <c r="J138" t="inlineStr"/>
      <c r="K138" t="inlineStr"/>
      <c r="L138" t="inlineStr"/>
      <c r="M138" t="inlineStr"/>
      <c r="N138" t="inlineStr"/>
      <c r="O138" t="n">
        <v>0</v>
      </c>
      <c r="P138">
        <f>IF(B153=0,0,O138/B153)</f>
        <v/>
      </c>
      <c r="Q138" t="n">
        <v>0</v>
      </c>
      <c r="R138" t="n">
        <v>0</v>
      </c>
      <c r="S138">
        <f>IFERROR(O138/N138,0)</f>
        <v/>
      </c>
    </row>
    <row r="139">
      <c r="A139">
        <f>Skills!A24</f>
        <v/>
      </c>
      <c r="B139">
        <f>Skills!B24</f>
        <v/>
      </c>
      <c r="C139">
        <f>Inputs!$B$3&gt;=40</f>
        <v/>
      </c>
      <c r="D139">
        <f>IF(Skills!C24=1,60+Inputs!$B$24+Inputs!$B$28,IF(Skills!C24=2,90+Inputs!$B$25+Inputs!$B$28,IF(Skills!C24=3,120+Inputs!$B$26+Inputs!$B$28,MAX(0,(Inputs!$B$3-100)*3)+Inputs!$B$27+Inputs!$B$28)))</f>
        <v/>
      </c>
      <c r="E139">
        <f>INDEX(FactorTable!$B$2:$Y$301, MATCH(ROUND(MIN(300,MAX(1,D139)),0), FactorTable!$A$2:$A$301,0), Skills!M24+1)</f>
        <v/>
      </c>
      <c r="F139">
        <f>IF(Skills!N24=TRUE,(Skills!L24/10)*(E139/1000),Skills!L24/10)+Skills!O24</f>
        <v/>
      </c>
      <c r="G139">
        <f>Skills!G24*IF(Skills!H24&gt;0,Skills!I24/Skills!H24,1)</f>
        <v/>
      </c>
      <c r="H139">
        <f>1-(1-Skills!J24/100)^Skills!K24</f>
        <v/>
      </c>
      <c r="I139" t="inlineStr">
        <is>
          <t>1</t>
        </is>
      </c>
      <c r="J139" t="inlineStr"/>
      <c r="K139" t="inlineStr"/>
      <c r="L139" t="inlineStr"/>
      <c r="M139" t="inlineStr"/>
      <c r="N139" t="inlineStr"/>
      <c r="O139" t="n">
        <v>0</v>
      </c>
      <c r="P139">
        <f>IF(B153=0,0,O139/B153)</f>
        <v/>
      </c>
      <c r="Q139" t="n">
        <v>0</v>
      </c>
      <c r="R139" t="n">
        <v>0</v>
      </c>
      <c r="S139">
        <f>IFERROR(O139/N139,0)</f>
        <v/>
      </c>
    </row>
    <row r="140">
      <c r="A140">
        <f>Skills!A25</f>
        <v/>
      </c>
      <c r="B140">
        <f>Skills!B25</f>
        <v/>
      </c>
      <c r="C140">
        <f>Inputs!$B$3&gt;=72</f>
        <v/>
      </c>
      <c r="D140">
        <f>IF(Skills!C25=1,60+Inputs!$B$24+Inputs!$B$28,IF(Skills!C25=2,90+Inputs!$B$25+Inputs!$B$28,IF(Skills!C25=3,120+Inputs!$B$26+Inputs!$B$28,MAX(0,(Inputs!$B$3-100)*3)+Inputs!$B$27+Inputs!$B$28)))</f>
        <v/>
      </c>
      <c r="E140">
        <f>INDEX(FactorTable!$B$2:$Y$301, MATCH(ROUND(MIN(300,MAX(1,D140)),0), FactorTable!$A$2:$A$301,0), Skills!M25+1)</f>
        <v/>
      </c>
      <c r="F140">
        <f>IF(Skills!N25=TRUE,(Skills!L25/10)*(E140/1000),Skills!L25/10)+Skills!O25</f>
        <v/>
      </c>
      <c r="G140">
        <f>Skills!G25*IF(Skills!H25&gt;0,Skills!I25/Skills!H25,1)</f>
        <v/>
      </c>
      <c r="H140">
        <f>1-(1-Skills!J25/100)^Skills!K25</f>
        <v/>
      </c>
      <c r="I140" t="inlineStr">
        <is>
          <t>1</t>
        </is>
      </c>
      <c r="J140" t="inlineStr"/>
      <c r="K140" t="inlineStr"/>
      <c r="L140" t="inlineStr"/>
      <c r="M140" t="inlineStr"/>
      <c r="N140" t="inlineStr"/>
      <c r="O140" t="n">
        <v>0</v>
      </c>
      <c r="P140">
        <f>IF(B153=0,0,O140/B153)</f>
        <v/>
      </c>
      <c r="Q140" t="n">
        <v>0</v>
      </c>
      <c r="R140" t="n">
        <v>0</v>
      </c>
      <c r="S140">
        <f>IFERROR(O140/N140,0)</f>
        <v/>
      </c>
    </row>
    <row r="141">
      <c r="A141">
        <f>Skills!A26</f>
        <v/>
      </c>
      <c r="B141">
        <f>Skills!B26</f>
        <v/>
      </c>
      <c r="C141">
        <f>Inputs!$B$3&gt;=75</f>
        <v/>
      </c>
      <c r="D141">
        <f>IF(Skills!C26=1,60+Inputs!$B$24+Inputs!$B$28,IF(Skills!C26=2,90+Inputs!$B$25+Inputs!$B$28,IF(Skills!C26=3,120+Inputs!$B$26+Inputs!$B$28,MAX(0,(Inputs!$B$3-100)*3)+Inputs!$B$27+Inputs!$B$28)))</f>
        <v/>
      </c>
      <c r="E141">
        <f>INDEX(FactorTable!$B$2:$Y$301, MATCH(ROUND(MIN(300,MAX(1,D141)),0), FactorTable!$A$2:$A$301,0), Skills!M26+1)</f>
        <v/>
      </c>
      <c r="F141">
        <f>IF(Skills!N26=TRUE,(Skills!L26/10)*(E141/1000),Skills!L26/10)+Skills!O26</f>
        <v/>
      </c>
      <c r="G141">
        <f>Skills!G26*IF(Skills!H26&gt;0,Skills!I26/Skills!H26,1)</f>
        <v/>
      </c>
      <c r="H141">
        <f>1-(1-Skills!J26/100)^Skills!K26</f>
        <v/>
      </c>
      <c r="I141" t="inlineStr">
        <is>
          <t>1</t>
        </is>
      </c>
      <c r="J141" t="inlineStr"/>
      <c r="K141" t="inlineStr"/>
      <c r="L141" t="inlineStr"/>
      <c r="M141" t="inlineStr"/>
      <c r="N141" t="inlineStr"/>
      <c r="O141" t="n">
        <v>0</v>
      </c>
      <c r="P141">
        <f>IF(B153=0,0,O141/B153)</f>
        <v/>
      </c>
      <c r="Q141" t="n">
        <v>0</v>
      </c>
      <c r="R141" t="n">
        <v>0</v>
      </c>
      <c r="S141">
        <f>IFERROR(O141/N141,0)</f>
        <v/>
      </c>
    </row>
    <row r="142">
      <c r="A142">
        <f>Skills!A27</f>
        <v/>
      </c>
      <c r="B142">
        <f>Skills!B27</f>
        <v/>
      </c>
      <c r="C142">
        <f>Inputs!$B$3&gt;=117</f>
        <v/>
      </c>
      <c r="D142">
        <f>IF(Skills!C27=1,60+Inputs!$B$24+Inputs!$B$28,IF(Skills!C27=2,90+Inputs!$B$25+Inputs!$B$28,IF(Skills!C27=3,120+Inputs!$B$26+Inputs!$B$28,MAX(0,(Inputs!$B$3-100)*3)+Inputs!$B$27+Inputs!$B$28)))</f>
        <v/>
      </c>
      <c r="E142">
        <f>INDEX(FactorTable!$B$2:$Y$301, MATCH(ROUND(MIN(300,MAX(1,D142)),0), FactorTable!$A$2:$A$301,0), Skills!M27+1)</f>
        <v/>
      </c>
      <c r="F142">
        <f>IF(Skills!N27=TRUE,(Skills!L27/10)*(E142/1000),Skills!L27/10)+Skills!O27</f>
        <v/>
      </c>
      <c r="G142">
        <f>Skills!G27*IF(Skills!H27&gt;0,Skills!I27/Skills!H27,1)</f>
        <v/>
      </c>
      <c r="H142">
        <f>1-(1-Skills!J27/100)^Skills!K27</f>
        <v/>
      </c>
      <c r="I142" t="inlineStr">
        <is>
          <t>1</t>
        </is>
      </c>
      <c r="J142" t="inlineStr"/>
      <c r="K142" t="inlineStr"/>
      <c r="L142" t="inlineStr"/>
      <c r="M142" t="inlineStr"/>
      <c r="N142" t="inlineStr"/>
      <c r="O142" t="n">
        <v>0</v>
      </c>
      <c r="P142">
        <f>IF(B153=0,0,O142/B153)</f>
        <v/>
      </c>
      <c r="Q142" t="n">
        <v>0</v>
      </c>
      <c r="R142" t="n">
        <v>0</v>
      </c>
      <c r="S142">
        <f>IFERROR(O142/N142,0)</f>
        <v/>
      </c>
    </row>
    <row r="144">
      <c r="A144" t="inlineStr">
        <is>
          <t>Attack% Bucket Multiplier</t>
        </is>
      </c>
      <c r="B144">
        <f>(1+(((C132=TRUE)*F132)+((C139=TRUE)*(F139-Calc!F24)))/100)</f>
        <v/>
      </c>
    </row>
    <row r="145">
      <c r="A145" t="inlineStr">
        <is>
          <t>Global Crit Rate Bonus %</t>
        </is>
      </c>
      <c r="B145" t="n">
        <v>0</v>
      </c>
    </row>
    <row r="146">
      <c r="A146" t="inlineStr">
        <is>
          <t>Attack Speed Buff Bonus % (unused)</t>
        </is>
      </c>
      <c r="B146" t="n">
        <v>0</v>
      </c>
    </row>
    <row r="147">
      <c r="A147" t="inlineStr">
        <is>
          <t>Actions Per Second</t>
        </is>
      </c>
      <c r="B147">
        <f>1+MIN(150,150*(1-(1-(Inputs!$B$10+((C135=TRUE)*(F135-Calc!F20))+((C136=TRUE)*(F136-Calc!F21)))/150)*(1-B146/150)))/100</f>
        <v/>
      </c>
    </row>
    <row r="148">
      <c r="A148" t="inlineStr">
        <is>
          <t>Skill + Buff Cast Rate</t>
        </is>
      </c>
      <c r="B148">
        <f>IF(AND(Inputs!$B$4&lt;&gt;"pvp",Inputs!$B$35&gt;0),SUMPRODUCT((Skills!E2:E27=TRUE)*(C117:C142=TRUE)*R117:R142*Skills!F2:F27)/Inputs!$B$35,SUMPRODUCT((Skills!E2:E27=TRUE)*(C117:C142=TRUE)*Q117:Q142*Skills!F2:F27))</f>
        <v/>
      </c>
    </row>
    <row r="149">
      <c r="A149" t="inlineStr">
        <is>
          <t>Eight-Legs Easton Casts Per Second</t>
        </is>
      </c>
      <c r="B149">
        <f>MAX(0,B147-B148)</f>
        <v/>
      </c>
    </row>
    <row r="150">
      <c r="A150" t="inlineStr">
        <is>
          <t>Global Critical Damage Bonus % (unused)</t>
        </is>
      </c>
      <c r="B150" t="n">
        <v>0</v>
      </c>
    </row>
    <row r="151">
      <c r="A151" t="inlineStr">
        <is>
          <t>Global Final Damage Bonus % (Jolly Roger only)</t>
        </is>
      </c>
      <c r="B151">
        <f>((C133=TRUE)*F133)</f>
        <v/>
      </c>
    </row>
    <row r="153">
      <c r="A153" s="5" t="inlineStr">
        <is>
          <t>TOTAL DPS</t>
        </is>
      </c>
      <c r="B153" s="5">
        <f>SUM(O117:O142)</f>
        <v/>
      </c>
    </row>
    <row r="156">
      <c r="A156" s="5" t="inlineStr">
        <is>
          <t>Stat: DAMAGE %</t>
        </is>
      </c>
    </row>
    <row r="157">
      <c r="A157" s="8" t="inlineStr">
        <is>
          <t>Key</t>
        </is>
      </c>
      <c r="B157" s="8" t="inlineStr">
        <is>
          <t>Name</t>
        </is>
      </c>
      <c r="C157" s="8" t="inlineStr">
        <is>
          <t>Unlocked</t>
        </is>
      </c>
      <c r="D157" s="8" t="inlineStr">
        <is>
          <t>InputLevel</t>
        </is>
      </c>
      <c r="E157" s="8" t="inlineStr">
        <is>
          <t>Factor</t>
        </is>
      </c>
      <c r="F157" s="8" t="inlineStr">
        <is>
          <t>CoefficientPercent</t>
        </is>
      </c>
      <c r="G157" s="8" t="inlineStr">
        <is>
          <t>EffectiveHits</t>
        </is>
      </c>
      <c r="H157" s="8" t="inlineStr">
        <is>
          <t>ProcProbability</t>
        </is>
      </c>
      <c r="I157" s="8" t="inlineStr">
        <is>
          <t>MapleHeroMultiplier</t>
        </is>
      </c>
      <c r="J157" s="8" t="inlineStr">
        <is>
          <t>BaseDamage</t>
        </is>
      </c>
      <c r="K157" s="8" t="inlineStr">
        <is>
          <t>BaseHitDamage</t>
        </is>
      </c>
      <c r="L157" s="8" t="inlineStr">
        <is>
          <t>NonCritAvg</t>
        </is>
      </c>
      <c r="M157" s="8" t="inlineStr">
        <is>
          <t>CritAvg</t>
        </is>
      </c>
      <c r="N157" s="8" t="inlineStr">
        <is>
          <t>ExpectedDamage(perHit)</t>
        </is>
      </c>
      <c r="O157" s="8" t="inlineStr">
        <is>
          <t>DPS</t>
        </is>
      </c>
      <c r="P157" s="8" t="inlineStr">
        <is>
          <t>% of Total</t>
        </is>
      </c>
      <c r="Q157" s="8" t="inlineStr">
        <is>
          <t>InvCooldown</t>
        </is>
      </c>
      <c r="R157" s="8" t="inlineStr">
        <is>
          <t>CastsInFight</t>
        </is>
      </c>
      <c r="S157" s="8" t="inlineStr">
        <is>
          <t>HitRate(perSec)</t>
        </is>
      </c>
      <c r="U157" t="inlineStr">
        <is>
          <t>helpers</t>
        </is>
      </c>
    </row>
    <row r="158">
      <c r="A158">
        <f>Skills!A2</f>
        <v/>
      </c>
      <c r="B158">
        <f>Skills!B2</f>
        <v/>
      </c>
      <c r="C158">
        <f>Inputs!$B$3&gt;=100</f>
        <v/>
      </c>
      <c r="D158" t="inlineStr"/>
      <c r="E158" t="inlineStr"/>
      <c r="F158">
        <f>U160+Skills!O2</f>
        <v/>
      </c>
      <c r="G158">
        <f>Skills!G2*IF(Skills!H2&gt;0,Skills!I2/Skills!H2,1)</f>
        <v/>
      </c>
      <c r="H158">
        <f>1-(1-Skills!J2/100)^Skills!K2</f>
        <v/>
      </c>
      <c r="I158" t="inlineStr">
        <is>
          <t>1</t>
        </is>
      </c>
      <c r="J158">
        <f>(Inputs!$B$5*(1+Inputs!$B$6/100))*(F158/100)</f>
        <v/>
      </c>
      <c r="K158">
        <f>J158*(1+((Inputs!$B$11*(1+Inputs!$B$12/100))*0.01+Inputs!$B$13*0.0025)/100)*(1+(Inputs!$B$14+1)/100)*(1+IF(Inputs!$B$4="pvp",0,(1-Summary!$B$55)*(Inputs!$B$19+0+Skills!P2)+Summary!$B$55*(Inputs!$B$20+Skills!Q2))/100)*(1+Inputs!$B$15/100)*(5000/(6000+Inputs!$B$7*(1-(Inputs!$B$18+0)/100)))*(1+(Inputs!$B$23+((C182=TRUE)*(F182-Calc!F26))+B192)/100)*(1+(IF(Skills!A2="EIGHT_LEGS_EASTON",Inputs!$B$16+((C179=TRUE)*(F179-Calc!F23))+((C183=TRUE)*(F183-Calc!F27)),Inputs!$B$17+0))/100)*((1+(((C173=TRUE)*F173)+((C180=TRUE)*(F180-Calc!F24)))/100)*I158)</f>
        <v/>
      </c>
      <c r="L158">
        <f>K158*(MIN(Inputs!$B$21+((C178=TRUE)*(F178-Calc!F22)),Inputs!$B$22+0)/100+(Inputs!$B$22+0)/100)/2</f>
        <v/>
      </c>
      <c r="M158">
        <f>L158*(1+(Inputs!$B$9+((C181=TRUE)*(F181-Calc!F25))+B191)/100)</f>
        <v/>
      </c>
      <c r="N158">
        <f>L158*(1-MIN((Inputs!$B$8+((C175=TRUE)*(F175-Calc!F19))+B186),100)/100)+M158*(MIN((Inputs!$B$8+((C175=TRUE)*(F175-Calc!F19))+B186),100)/100)</f>
        <v/>
      </c>
      <c r="O158">
        <f>IF(C158,Skills!G2*N158*B190*IF(Inputs!$B$4="pvp",1,(1-Summary!$B$55)*(1)+Summary!$B$55*(MIN((6+Inputs!$B$32),Inputs!$B$37))),0)</f>
        <v/>
      </c>
      <c r="P158">
        <f>IF(B194=0,0,O158/B194)</f>
        <v/>
      </c>
      <c r="Q158" t="n">
        <v>0</v>
      </c>
      <c r="R158" t="n">
        <v>0</v>
      </c>
      <c r="S158">
        <f>IFERROR(O158/N158,0)</f>
        <v/>
      </c>
      <c r="U158">
        <f>MAX(0,(Inputs!$B$3-100)*3)+Inputs!$B$27+Inputs!$B$28</f>
        <v/>
      </c>
    </row>
    <row r="159">
      <c r="A159">
        <f>Skills!A3</f>
        <v/>
      </c>
      <c r="B159">
        <f>Skills!B3</f>
        <v/>
      </c>
      <c r="C159">
        <f>Inputs!$B$3&gt;=35</f>
        <v/>
      </c>
      <c r="D159">
        <f>IF(Skills!C3=1,60+Inputs!$B$24+Inputs!$B$28,IF(Skills!C3=2,90+Inputs!$B$25+Inputs!$B$28,IF(Skills!C3=3,120+Inputs!$B$26+Inputs!$B$28,MAX(0,(Inputs!$B$3-100)*3)+Inputs!$B$27+Inputs!$B$28)))</f>
        <v/>
      </c>
      <c r="E159">
        <f>INDEX(FactorTable!$B$2:$Y$301, MATCH(ROUND(MIN(300,MAX(1,D159)),0), FactorTable!$A$2:$A$301,0), Skills!M3+1)</f>
        <v/>
      </c>
      <c r="F159">
        <f>IF(Skills!N3=TRUE,(Skills!L3/10)*(E159/1000),Skills!L3/10)+Skills!O3</f>
        <v/>
      </c>
      <c r="G159">
        <f>Skills!G3*IF(Skills!H3&gt;0,Skills!I3/Skills!H3,1)</f>
        <v/>
      </c>
      <c r="H159">
        <f>1-(1-Skills!J3/100)^Skills!K3</f>
        <v/>
      </c>
      <c r="I159" t="inlineStr">
        <is>
          <t>1</t>
        </is>
      </c>
      <c r="J159">
        <f>(Inputs!$B$5*(1+Inputs!$B$6/100))*(F159/100)</f>
        <v/>
      </c>
      <c r="K159">
        <f>J159*(1+((Inputs!$B$11*(1+Inputs!$B$12/100))*0.01+Inputs!$B$13*0.0025)/100)*(1+(Inputs!$B$14+1)/100)*(1+IF(Inputs!$B$4="pvp",0,(1-Summary!$B$55)*(Inputs!$B$19+0+Skills!P3)+Summary!$B$55*(Inputs!$B$20+Skills!Q3))/100)*(1+Inputs!$B$15/100)*(5000/(6000+Inputs!$B$7*(1-(Inputs!$B$18+0)/100)))*(1+(Inputs!$B$23+((C182=TRUE)*(F182-Calc!F26))+B192)/100)*(1+4.0*IF(C171=TRUE,F171,0)/100)*(1+(IF(Skills!A3="EIGHT_LEGS_EASTON",Inputs!$B$16+((C179=TRUE)*(F179-Calc!F23))+((C183=TRUE)*(F183-Calc!F27)),Inputs!$B$17+0))/100)*((1+(((C173=TRUE)*F173)+((C180=TRUE)*(F180-Calc!F24)))/100)*I159)</f>
        <v/>
      </c>
      <c r="L159">
        <f>K159*(MIN(Inputs!$B$21+((C178=TRUE)*(F178-Calc!F22)),Inputs!$B$22+0)/100+(Inputs!$B$22+0)/100)/2</f>
        <v/>
      </c>
      <c r="M159">
        <f>L159*(1+(Inputs!$B$9+((C181=TRUE)*(F181-Calc!F25))+B191)/100)</f>
        <v/>
      </c>
      <c r="N159">
        <f>L159*(1-MIN((Inputs!$B$8+((C175=TRUE)*(F175-Calc!F19))+B186),100)/100)+M159*(MIN((Inputs!$B$8+((C175=TRUE)*(F175-Calc!F19))+B186),100)/100)</f>
        <v/>
      </c>
      <c r="O159">
        <f>IF(C159,H159*N159*IF(AND(Inputs!$B$4&lt;&gt;"pvp",Inputs!$B$35&gt;0),((Skills!G3*((R159-1)*IF(Skills!H3&gt;0,Skills!I3/Skills!H3,1)+IF(Skills!H3&gt;0,MIN(Skills!I3,MAX(0,Inputs!$B$35-((R159-1)*IF(Inputs!$B$4="pvp",15,MAX(0.1,Skills!D3-IF(Skills!E3=TRUE,Inputs!$B$31,0))))))/Skills!H3,1)))/Inputs!$B$35),G159*Q159)*IF(Inputs!$B$4="pvp",1,(1-Summary!$B$55)*(1)+Summary!$B$55*(MIN(Skills!R3,Inputs!$B$37))),0)</f>
        <v/>
      </c>
      <c r="P159">
        <f>IF(B194=0,0,O159/B194)</f>
        <v/>
      </c>
      <c r="Q159">
        <f>IFERROR(1/IF(Inputs!$B$4="pvp",15,MAX(0.1,Skills!D3-IF(Skills!E3=TRUE,Inputs!$B$31,0))),0)</f>
        <v/>
      </c>
      <c r="R159">
        <f>IF(AND(Inputs!$B$4&lt;&gt;"pvp",Inputs!$B$35&gt;0),(INT(Inputs!$B$35/IF(Inputs!$B$4="pvp",15,MAX(0.1,Skills!D3-IF(Skills!E3=TRUE,Inputs!$B$31,0))))+1),0)</f>
        <v/>
      </c>
      <c r="S159">
        <f>IFERROR(O159/N159,0)</f>
        <v/>
      </c>
      <c r="U159">
        <f>INDEX(FactorTable!$B$2:$Y$301, MATCH(ROUND(MIN(300,MAX(1,U158)),0), FactorTable!$A$2:$A$301,0), 22)</f>
        <v/>
      </c>
    </row>
    <row r="160">
      <c r="A160">
        <f>Skills!A4</f>
        <v/>
      </c>
      <c r="B160">
        <f>Skills!B4</f>
        <v/>
      </c>
      <c r="C160">
        <f>Inputs!$B$3&gt;=40</f>
        <v/>
      </c>
      <c r="D160">
        <f>IF(Skills!C4=1,60+Inputs!$B$24+Inputs!$B$28,IF(Skills!C4=2,90+Inputs!$B$25+Inputs!$B$28,IF(Skills!C4=3,120+Inputs!$B$26+Inputs!$B$28,MAX(0,(Inputs!$B$3-100)*3)+Inputs!$B$27+Inputs!$B$28)))</f>
        <v/>
      </c>
      <c r="E160">
        <f>INDEX(FactorTable!$B$2:$Y$301, MATCH(ROUND(MIN(300,MAX(1,D160)),0), FactorTable!$A$2:$A$301,0), Skills!M4+1)</f>
        <v/>
      </c>
      <c r="F160">
        <f>IF(Skills!N4=TRUE,(Skills!L4/10)*(E160/1000),Skills!L4/10)+Skills!O4</f>
        <v/>
      </c>
      <c r="G160">
        <f>Skills!G4*IF(Skills!H4&gt;0,Skills!I4/Skills!H4,1)</f>
        <v/>
      </c>
      <c r="H160">
        <f>1-(1-Skills!J4/100)^Skills!K4</f>
        <v/>
      </c>
      <c r="I160" t="inlineStr">
        <is>
          <t>1</t>
        </is>
      </c>
      <c r="J160">
        <f>(Inputs!$B$5*(1+Inputs!$B$6/100))*(F160/100)</f>
        <v/>
      </c>
      <c r="K160">
        <f>J160*(1+((Inputs!$B$11*(1+Inputs!$B$12/100))*0.01+Inputs!$B$13*0.0025)/100)*(1+(Inputs!$B$14+1)/100)*(1+IF(Inputs!$B$4="pvp",0,(1-Summary!$B$55)*(Inputs!$B$19+0+Skills!P4)+Summary!$B$55*(Inputs!$B$20+Skills!Q4))/100)*(1+Inputs!$B$15/100)*(5000/(6000+Inputs!$B$7*(1-(Inputs!$B$18+0)/100)))*(1+(Inputs!$B$23+((C182=TRUE)*(F182-Calc!F26))+B192)/100)*(1+1.0*IF(C172=TRUE,F172,0)/100)*(1+(IF(Skills!A4="EIGHT_LEGS_EASTON",Inputs!$B$16+((C179=TRUE)*(F179-Calc!F23))+((C183=TRUE)*(F183-Calc!F27)),Inputs!$B$17+0))/100)*((1+(((C173=TRUE)*F173)+((C180=TRUE)*(F180-Calc!F24)))/100)*I160)</f>
        <v/>
      </c>
      <c r="L160">
        <f>K160*(MIN(Inputs!$B$21+((C178=TRUE)*(F178-Calc!F22)),Inputs!$B$22+0)/100+(Inputs!$B$22+0)/100)/2</f>
        <v/>
      </c>
      <c r="M160">
        <f>L160*(1+(Inputs!$B$9+((C181=TRUE)*(F181-Calc!F25))+B191)/100)</f>
        <v/>
      </c>
      <c r="N160">
        <f>L160*(1-MIN((Inputs!$B$8+((C175=TRUE)*(F175-Calc!F19))+B186),100)/100)+M160*(MIN((Inputs!$B$8+((C175=TRUE)*(F175-Calc!F19))+B186),100)/100)</f>
        <v/>
      </c>
      <c r="O160">
        <f>IF(C160,H160*N160*IF(AND(Inputs!$B$4&lt;&gt;"pvp",Inputs!$B$35&gt;0),((Skills!G4*((R160-1)*IF(Skills!H4&gt;0,Skills!I4/Skills!H4,1)+IF(Skills!H4&gt;0,MIN(Skills!I4,MAX(0,Inputs!$B$35-((R160-1)*IF(Inputs!$B$4="pvp",15,MAX(0.1,Skills!D4-IF(Skills!E4=TRUE,Inputs!$B$31,0))))))/Skills!H4,1)))/Inputs!$B$35),G160*Q160)*IF(Inputs!$B$4="pvp",1,(1-Summary!$B$55)*(1)+Summary!$B$55*(MIN(Skills!R4,Inputs!$B$37))),0)</f>
        <v/>
      </c>
      <c r="P160">
        <f>IF(B194=0,0,O160/B194)</f>
        <v/>
      </c>
      <c r="Q160">
        <f>IFERROR(1/IF(Inputs!$B$4="pvp",15,MAX(0.1,Skills!D4-IF(Skills!E4=TRUE,Inputs!$B$31,0))),0)</f>
        <v/>
      </c>
      <c r="R160">
        <f>IF(AND(Inputs!$B$4&lt;&gt;"pvp",Inputs!$B$35&gt;0),(INT(Inputs!$B$35/IF(Inputs!$B$4="pvp",15,MAX(0.1,Skills!D4-IF(Skills!E4=TRUE,Inputs!$B$31,0))))+1),0)</f>
        <v/>
      </c>
      <c r="S160">
        <f>IFERROR(O160/N160,0)</f>
        <v/>
      </c>
      <c r="U160">
        <f>290*U159/1000</f>
        <v/>
      </c>
    </row>
    <row r="161">
      <c r="A161">
        <f>Skills!A5</f>
        <v/>
      </c>
      <c r="B161">
        <f>Skills!B5</f>
        <v/>
      </c>
      <c r="C161">
        <f>Inputs!$B$3&gt;=45</f>
        <v/>
      </c>
      <c r="D161">
        <f>IF(Skills!C5=1,60+Inputs!$B$24+Inputs!$B$28,IF(Skills!C5=2,90+Inputs!$B$25+Inputs!$B$28,IF(Skills!C5=3,120+Inputs!$B$26+Inputs!$B$28,MAX(0,(Inputs!$B$3-100)*3)+Inputs!$B$27+Inputs!$B$28)))</f>
        <v/>
      </c>
      <c r="E161">
        <f>INDEX(FactorTable!$B$2:$Y$301, MATCH(ROUND(MIN(300,MAX(1,D161)),0), FactorTable!$A$2:$A$301,0), Skills!M5+1)</f>
        <v/>
      </c>
      <c r="F161">
        <f>IF(Skills!N5=TRUE,(Skills!L5/10)*(E161/1000),Skills!L5/10)+Skills!O5</f>
        <v/>
      </c>
      <c r="G161">
        <f>Skills!G5*IF(Skills!H5&gt;0,Skills!I5/Skills!H5,1)</f>
        <v/>
      </c>
      <c r="H161">
        <f>1-(1-Skills!J5/100)^Skills!K5</f>
        <v/>
      </c>
      <c r="I161" t="inlineStr">
        <is>
          <t>1</t>
        </is>
      </c>
      <c r="J161">
        <f>(Inputs!$B$5*(1+Inputs!$B$6/100))*(F161/100)</f>
        <v/>
      </c>
      <c r="K161">
        <f>J161*(1+((Inputs!$B$11*(1+Inputs!$B$12/100))*0.01+Inputs!$B$13*0.0025)/100)*(1+(Inputs!$B$14+1)/100)*(1+IF(Inputs!$B$4="pvp",0,(1-Summary!$B$55)*(Inputs!$B$19+0+Skills!P5)+Summary!$B$55*(Inputs!$B$20+Skills!Q5))/100)*(1+Inputs!$B$15/100)*(5000/(6000+Inputs!$B$7*(1-(Inputs!$B$18+0)/100)))*(1+(Inputs!$B$23+((C182=TRUE)*(F182-Calc!F26))+B192)/100)*(1+0.4*IF(C172=TRUE,F172,0)/100)*(1+(IF(Skills!A5="EIGHT_LEGS_EASTON",Inputs!$B$16+((C179=TRUE)*(F179-Calc!F23))+((C183=TRUE)*(F183-Calc!F27)),Inputs!$B$17+0))/100)*((1+(((C173=TRUE)*F173)+((C180=TRUE)*(F180-Calc!F24)))/100)*I161)</f>
        <v/>
      </c>
      <c r="L161">
        <f>K161*(MIN(Inputs!$B$21+((C178=TRUE)*(F178-Calc!F22)),Inputs!$B$22+0)/100+(Inputs!$B$22+0)/100)/2</f>
        <v/>
      </c>
      <c r="M161">
        <f>L161*(1+(Inputs!$B$9+((C181=TRUE)*(F181-Calc!F25))+B191)/100)</f>
        <v/>
      </c>
      <c r="N161">
        <f>L161*(1-MIN((Inputs!$B$8+((C175=TRUE)*(F175-Calc!F19))+B186),100)/100)+M161*(MIN((Inputs!$B$8+((C175=TRUE)*(F175-Calc!F19))+B186),100)/100)</f>
        <v/>
      </c>
      <c r="O161">
        <f>IF(C161,H161*N161*IF(AND(Inputs!$B$4&lt;&gt;"pvp",Inputs!$B$35&gt;0),((Skills!G5*((R161-1)*IF(Skills!H5&gt;0,Skills!I5/Skills!H5,1)+IF(Skills!H5&gt;0,MIN(Skills!I5,MAX(0,Inputs!$B$35-((R161-1)*IF(Inputs!$B$4="pvp",15,MAX(0.1,Skills!D5-IF(Skills!E5=TRUE,Inputs!$B$31,0))))))/Skills!H5,1)))/Inputs!$B$35),G161*Q161)*IF(Inputs!$B$4="pvp",1,(1-Summary!$B$55)*(1)+Summary!$B$55*(MIN(Skills!R5,Inputs!$B$37))),0)</f>
        <v/>
      </c>
      <c r="P161">
        <f>IF(B194=0,0,O161/B194)</f>
        <v/>
      </c>
      <c r="Q161">
        <f>IFERROR(1/IF(Inputs!$B$4="pvp",15,MAX(0.1,Skills!D5-IF(Skills!E5=TRUE,Inputs!$B$31,0))),0)</f>
        <v/>
      </c>
      <c r="R161">
        <f>IF(AND(Inputs!$B$4&lt;&gt;"pvp",Inputs!$B$35&gt;0),(INT(Inputs!$B$35/IF(Inputs!$B$4="pvp",15,MAX(0.1,Skills!D5-IF(Skills!E5=TRUE,Inputs!$B$31,0))))+1),0)</f>
        <v/>
      </c>
      <c r="S161">
        <f>IFERROR(O161/N161,0)</f>
        <v/>
      </c>
    </row>
    <row r="162">
      <c r="A162">
        <f>Skills!A6</f>
        <v/>
      </c>
      <c r="B162">
        <f>Skills!B6</f>
        <v/>
      </c>
      <c r="C162">
        <f>Inputs!$B$3&gt;=63</f>
        <v/>
      </c>
      <c r="D162">
        <f>IF(Skills!C6=1,60+Inputs!$B$24+Inputs!$B$28,IF(Skills!C6=2,90+Inputs!$B$25+Inputs!$B$28,IF(Skills!C6=3,120+Inputs!$B$26+Inputs!$B$28,MAX(0,(Inputs!$B$3-100)*3)+Inputs!$B$27+Inputs!$B$28)))</f>
        <v/>
      </c>
      <c r="E162">
        <f>INDEX(FactorTable!$B$2:$Y$301, MATCH(ROUND(MIN(300,MAX(1,D162)),0), FactorTable!$A$2:$A$301,0), Skills!M6+1)</f>
        <v/>
      </c>
      <c r="F162">
        <f>IF(Skills!N6=TRUE,(Skills!L6/10)*(E162/1000),Skills!L6/10)+Skills!O6</f>
        <v/>
      </c>
      <c r="G162">
        <f>Skills!G6*IF(Skills!H6&gt;0,Skills!I6/Skills!H6,1)</f>
        <v/>
      </c>
      <c r="H162">
        <f>1-(1-Skills!J6/100)^Skills!K6</f>
        <v/>
      </c>
      <c r="I162" t="inlineStr">
        <is>
          <t>1</t>
        </is>
      </c>
      <c r="J162">
        <f>(Inputs!$B$5*(1+Inputs!$B$6/100))*(F162/100)</f>
        <v/>
      </c>
      <c r="K162">
        <f>J162*(1+((Inputs!$B$11*(1+Inputs!$B$12/100))*0.01+Inputs!$B$13*0.0025)/100)*(1+(Inputs!$B$14+1)/100)*(1+IF(Inputs!$B$4="pvp",0,(1-Summary!$B$55)*(Inputs!$B$19+0+Skills!P6)+Summary!$B$55*(Inputs!$B$20+Skills!Q6))/100)*(1+Inputs!$B$15/100)*(5000/(6000+Inputs!$B$7*(1-(Inputs!$B$18+0)/100)))*(1+(Inputs!$B$23+((C182=TRUE)*(F182-Calc!F26))+B192)/100)*(1+2.0*IF(C171=TRUE,F171,0)/100)*(1+(IF(Skills!A6="EIGHT_LEGS_EASTON",Inputs!$B$16+((C179=TRUE)*(F179-Calc!F23))+((C183=TRUE)*(F183-Calc!F27)),Inputs!$B$17+0))/100)*((1+(((C173=TRUE)*F173)+((C180=TRUE)*(F180-Calc!F24)))/100)*I162)</f>
        <v/>
      </c>
      <c r="L162">
        <f>K162*(MIN(Inputs!$B$21+((C178=TRUE)*(F178-Calc!F22)),Inputs!$B$22+0)/100+(Inputs!$B$22+0)/100)/2</f>
        <v/>
      </c>
      <c r="M162">
        <f>L162*(1+(Inputs!$B$9+((C181=TRUE)*(F181-Calc!F25))+B191)/100)</f>
        <v/>
      </c>
      <c r="N162">
        <f>L162*(1-MIN((Inputs!$B$8+((C175=TRUE)*(F175-Calc!F19))+B186),100)/100)+M162*(MIN((Inputs!$B$8+((C175=TRUE)*(F175-Calc!F19))+B186),100)/100)</f>
        <v/>
      </c>
      <c r="O162">
        <f>IF(C162,H162*N162*IF(AND(Inputs!$B$4&lt;&gt;"pvp",Inputs!$B$35&gt;0),((Skills!G6*((R162-1)*IF(Skills!H6&gt;0,Skills!I6/Skills!H6,1)+IF(Skills!H6&gt;0,MIN(Skills!I6,MAX(0,Inputs!$B$35-((R162-1)*IF(Inputs!$B$4="pvp",15,MAX(0.1,Skills!D6-IF(Skills!E6=TRUE,Inputs!$B$31,0))))))/Skills!H6,1)))/Inputs!$B$35),G162*Q162)*IF(Inputs!$B$4="pvp",1,(1-Summary!$B$55)*(1)+Summary!$B$55*(MIN(Skills!R6,Inputs!$B$37))),0)</f>
        <v/>
      </c>
      <c r="P162">
        <f>IF(B194=0,0,O162/B194)</f>
        <v/>
      </c>
      <c r="Q162">
        <f>IFERROR(1/IF(Inputs!$B$4="pvp",15,MAX(0.1,Skills!D6-IF(Skills!E6=TRUE,Inputs!$B$31,0))),0)</f>
        <v/>
      </c>
      <c r="R162">
        <f>IF(AND(Inputs!$B$4&lt;&gt;"pvp",Inputs!$B$35&gt;0),(INT(Inputs!$B$35/IF(Inputs!$B$4="pvp",15,MAX(0.1,Skills!D6-IF(Skills!E6=TRUE,Inputs!$B$31,0))))+1),0)</f>
        <v/>
      </c>
      <c r="S162">
        <f>IFERROR(O162/N162,0)</f>
        <v/>
      </c>
    </row>
    <row r="163">
      <c r="A163">
        <f>Skills!A7</f>
        <v/>
      </c>
      <c r="B163">
        <f>Skills!B7</f>
        <v/>
      </c>
      <c r="C163">
        <f>Inputs!$B$3&gt;=66</f>
        <v/>
      </c>
      <c r="D163">
        <f>IF(Skills!C7=1,60+Inputs!$B$24+Inputs!$B$28,IF(Skills!C7=2,90+Inputs!$B$25+Inputs!$B$28,IF(Skills!C7=3,120+Inputs!$B$26+Inputs!$B$28,MAX(0,(Inputs!$B$3-100)*3)+Inputs!$B$27+Inputs!$B$28)))</f>
        <v/>
      </c>
      <c r="E163">
        <f>INDEX(FactorTable!$B$2:$Y$301, MATCH(ROUND(MIN(300,MAX(1,D163)),0), FactorTable!$A$2:$A$301,0), Skills!M7+1)</f>
        <v/>
      </c>
      <c r="F163">
        <f>IF(Skills!N7=TRUE,(Skills!L7/10)*(E163/1000),Skills!L7/10)+Skills!O7</f>
        <v/>
      </c>
      <c r="G163">
        <f>Skills!G7*IF(Skills!H7&gt;0,Skills!I7/Skills!H7,1)</f>
        <v/>
      </c>
      <c r="H163">
        <f>1-(1-Skills!J7/100)^Skills!K7</f>
        <v/>
      </c>
      <c r="I163" t="inlineStr">
        <is>
          <t>1</t>
        </is>
      </c>
      <c r="J163">
        <f>(Inputs!$B$5*(1+Inputs!$B$6/100))*(F163/100)</f>
        <v/>
      </c>
      <c r="K163">
        <f>J163*(1+((Inputs!$B$11*(1+Inputs!$B$12/100))*0.01+Inputs!$B$13*0.0025)/100)*(1+(Inputs!$B$14+1)/100)*(1+IF(Inputs!$B$4="pvp",0,(1-Summary!$B$55)*(Inputs!$B$19+0+Skills!P7)+Summary!$B$55*(Inputs!$B$20+Skills!Q7))/100)*(1+Inputs!$B$15/100)*(5000/(6000+Inputs!$B$7*(1-(Inputs!$B$18+0)/100)))*(1+(Inputs!$B$23+((C182=TRUE)*(F182-Calc!F26))+B192)/100)*(1+1.0*IF(C171=TRUE,F171,0)/100)*(1+(IF(Skills!A7="EIGHT_LEGS_EASTON",Inputs!$B$16+((C179=TRUE)*(F179-Calc!F23))+((C183=TRUE)*(F183-Calc!F27)),Inputs!$B$17+0))/100)*((1+(((C173=TRUE)*F173)+((C180=TRUE)*(F180-Calc!F24)))/100)*I163)</f>
        <v/>
      </c>
      <c r="L163">
        <f>K163*(MIN(Inputs!$B$21+((C178=TRUE)*(F178-Calc!F22)),Inputs!$B$22+0)/100+(Inputs!$B$22+0)/100)/2</f>
        <v/>
      </c>
      <c r="M163">
        <f>L163*(1+(Inputs!$B$9+((C181=TRUE)*(F181-Calc!F25))+B191)/100)</f>
        <v/>
      </c>
      <c r="N163">
        <f>L163*(1-MIN((Inputs!$B$8+((C175=TRUE)*(F175-Calc!F19))+B186),100)/100)+M163*(MIN((Inputs!$B$8+((C175=TRUE)*(F175-Calc!F19))+B186),100)/100)</f>
        <v/>
      </c>
      <c r="O163">
        <f>IF(C163,H163*N163*IF(AND(Inputs!$B$4&lt;&gt;"pvp",Inputs!$B$35&gt;0),((Skills!G7*((R163-1)*IF(Skills!H7&gt;0,Skills!I7/Skills!H7,1)+IF(Skills!H7&gt;0,MIN(Skills!I7,MAX(0,Inputs!$B$35-((R163-1)*IF(Inputs!$B$4="pvp",15,MAX(0.1,Skills!D7-IF(Skills!E7=TRUE,Inputs!$B$31,0))))))/Skills!H7,1)))/Inputs!$B$35),G163*Q163)*IF(Inputs!$B$4="pvp",1,(1-Summary!$B$55)*(1)+Summary!$B$55*(MIN(Skills!R7,Inputs!$B$37))),0)</f>
        <v/>
      </c>
      <c r="P163">
        <f>IF(B194=0,0,O163/B194)</f>
        <v/>
      </c>
      <c r="Q163">
        <f>IFERROR(1/IF(Inputs!$B$4="pvp",15,MAX(0.1,Skills!D7-IF(Skills!E7=TRUE,Inputs!$B$31,0))),0)</f>
        <v/>
      </c>
      <c r="R163">
        <f>IF(AND(Inputs!$B$4&lt;&gt;"pvp",Inputs!$B$35&gt;0),(INT(Inputs!$B$35/IF(Inputs!$B$4="pvp",15,MAX(0.1,Skills!D7-IF(Skills!E7=TRUE,Inputs!$B$31,0))))+1),0)</f>
        <v/>
      </c>
      <c r="S163">
        <f>IFERROR(O163/N163,0)</f>
        <v/>
      </c>
    </row>
    <row r="164">
      <c r="A164">
        <f>Skills!A8</f>
        <v/>
      </c>
      <c r="B164">
        <f>Skills!B8</f>
        <v/>
      </c>
      <c r="C164">
        <f>Inputs!$B$3&gt;=100</f>
        <v/>
      </c>
      <c r="D164">
        <f>IF(Skills!C8=1,60+Inputs!$B$24+Inputs!$B$28,IF(Skills!C8=2,90+Inputs!$B$25+Inputs!$B$28,IF(Skills!C8=3,120+Inputs!$B$26+Inputs!$B$28,MAX(0,(Inputs!$B$3-100)*3)+Inputs!$B$27+Inputs!$B$28)))</f>
        <v/>
      </c>
      <c r="E164">
        <f>INDEX(FactorTable!$B$2:$Y$301, MATCH(ROUND(MIN(300,MAX(1,D164)),0), FactorTable!$A$2:$A$301,0), Skills!M8+1)</f>
        <v/>
      </c>
      <c r="F164">
        <f>IF(Skills!N8=TRUE,(Skills!L8/10)*(E164/1000),Skills!L8/10)+Skills!O8</f>
        <v/>
      </c>
      <c r="G164">
        <f>Skills!G8*IF(Skills!H8&gt;0,Skills!I8/Skills!H8,1)</f>
        <v/>
      </c>
      <c r="H164">
        <f>1-(1-Skills!J8/100)^Skills!K8</f>
        <v/>
      </c>
      <c r="I164" t="inlineStr">
        <is>
          <t>1</t>
        </is>
      </c>
      <c r="J164">
        <f>(Inputs!$B$5*(1+Inputs!$B$6/100))*(F164/100)</f>
        <v/>
      </c>
      <c r="K164">
        <f>J164*(1+((Inputs!$B$11*(1+Inputs!$B$12/100))*0.01+Inputs!$B$13*0.0025)/100)*(1+(Inputs!$B$14+1)/100)*(1+IF(Inputs!$B$4="pvp",0,(1-Summary!$B$55)*(Inputs!$B$19+0+Skills!P8)+Summary!$B$55*(Inputs!$B$20+Skills!Q8))/100)*(1+Inputs!$B$15/100)*(5000/(6000+Inputs!$B$7*(1-(Inputs!$B$18+0)/100)))*(1+(Inputs!$B$23+((C182=TRUE)*(F182-Calc!F26))+B192)/100)*(1+(IF(Skills!A8="EIGHT_LEGS_EASTON",Inputs!$B$16+((C179=TRUE)*(F179-Calc!F23))+((C183=TRUE)*(F183-Calc!F27)),Inputs!$B$17+0))/100)*((1+(((C173=TRUE)*F173)+((C180=TRUE)*(F180-Calc!F24)))/100)*I164)</f>
        <v/>
      </c>
      <c r="L164">
        <f>K164*(MIN(Inputs!$B$21+((C178=TRUE)*(F178-Calc!F22)),Inputs!$B$22+0)/100+(Inputs!$B$22+0)/100)/2</f>
        <v/>
      </c>
      <c r="M164">
        <f>L164*(1+(Inputs!$B$9+((C181=TRUE)*(F181-Calc!F25))+B191)/100)</f>
        <v/>
      </c>
      <c r="N164">
        <f>L164*(1-MIN((Inputs!$B$8+((C175=TRUE)*(F175-Calc!F19))+B186),100)/100)+M164*(MIN((Inputs!$B$8+((C175=TRUE)*(F175-Calc!F19))+B186),100)/100)</f>
        <v/>
      </c>
      <c r="O164">
        <f>IF(C164,H164*N164*IF(AND(Inputs!$B$4&lt;&gt;"pvp",Inputs!$B$35&gt;0),((Skills!G8*((R164-1)*IF(Skills!H8&gt;0,Skills!I8/Skills!H8,1)+IF(Skills!H8&gt;0,MIN(Skills!I8,MAX(0,Inputs!$B$35-((R164-1)*IF(Inputs!$B$4="pvp",15,MAX(0.1,Skills!D8-IF(Skills!E8=TRUE,Inputs!$B$31,0))))))/Skills!H8,1)))/Inputs!$B$35),G164*Q164)*IF(Inputs!$B$4="pvp",1,(1-Summary!$B$55)*(1)+Summary!$B$55*(MIN(Skills!R8,Inputs!$B$37))),0)</f>
        <v/>
      </c>
      <c r="P164">
        <f>IF(B194=0,0,O164/B194)</f>
        <v/>
      </c>
      <c r="Q164">
        <f>IFERROR(1/IF(Inputs!$B$4="pvp",15,MAX(0.1,Skills!D8-IF(Skills!E8=TRUE,Inputs!$B$31,0))),0)</f>
        <v/>
      </c>
      <c r="R164">
        <f>IF(AND(Inputs!$B$4&lt;&gt;"pvp",Inputs!$B$35&gt;0),(INT(Inputs!$B$35/IF(Inputs!$B$4="pvp",15,MAX(0.1,Skills!D8-IF(Skills!E8=TRUE,Inputs!$B$31,0))))+1),0)</f>
        <v/>
      </c>
      <c r="S164">
        <f>IFERROR(O164/N164,0)</f>
        <v/>
      </c>
    </row>
    <row r="165">
      <c r="A165">
        <f>Skills!A9</f>
        <v/>
      </c>
      <c r="B165">
        <f>Skills!B9</f>
        <v/>
      </c>
      <c r="C165">
        <f>Inputs!$B$3&gt;=103</f>
        <v/>
      </c>
      <c r="D165">
        <f>IF(Skills!C9=1,60+Inputs!$B$24+Inputs!$B$28,IF(Skills!C9=2,90+Inputs!$B$25+Inputs!$B$28,IF(Skills!C9=3,120+Inputs!$B$26+Inputs!$B$28,MAX(0,(Inputs!$B$3-100)*3)+Inputs!$B$27+Inputs!$B$28)))</f>
        <v/>
      </c>
      <c r="E165">
        <f>INDEX(FactorTable!$B$2:$Y$301, MATCH(ROUND(MIN(300,MAX(1,D165)),0), FactorTable!$A$2:$A$301,0), Skills!M9+1)</f>
        <v/>
      </c>
      <c r="F165">
        <f>IF(Skills!N9=TRUE,(Skills!L9/10)*(E165/1000),Skills!L9/10)+Skills!O9</f>
        <v/>
      </c>
      <c r="G165">
        <f>Skills!G9*IF(Skills!H9&gt;0,Skills!I9/Skills!H9,1)</f>
        <v/>
      </c>
      <c r="H165">
        <f>1-(1-Skills!J9/100)^Skills!K9</f>
        <v/>
      </c>
      <c r="I165" t="inlineStr">
        <is>
          <t>1</t>
        </is>
      </c>
      <c r="J165">
        <f>(Inputs!$B$5*(1+Inputs!$B$6/100))*(F165/100)</f>
        <v/>
      </c>
      <c r="K165">
        <f>J165*(1+((Inputs!$B$11*(1+Inputs!$B$12/100))*0.01+Inputs!$B$13*0.0025)/100)*(1+(Inputs!$B$14+1)/100)*(1+IF(Inputs!$B$4="pvp",0,(1-Summary!$B$55)*(Inputs!$B$19+0+Skills!P9)+Summary!$B$55*(Inputs!$B$20+Skills!Q9))/100)*(1+Inputs!$B$15/100)*(5000/(6000+Inputs!$B$7*(1-(Inputs!$B$18+0)/100)))*(1+(Inputs!$B$23+((C182=TRUE)*(F182-Calc!F26))+B192)/100)*(1+(IF(Skills!A9="EIGHT_LEGS_EASTON",Inputs!$B$16+((C179=TRUE)*(F179-Calc!F23))+((C183=TRUE)*(F183-Calc!F27)),Inputs!$B$17+0))/100)*((1+(((C173=TRUE)*F173)+((C180=TRUE)*(F180-Calc!F24)))/100)*I165)</f>
        <v/>
      </c>
      <c r="L165">
        <f>K165*(MIN(Inputs!$B$21+((C178=TRUE)*(F178-Calc!F22)),Inputs!$B$22+0)/100+(Inputs!$B$22+0)/100)/2</f>
        <v/>
      </c>
      <c r="M165">
        <f>L165*(1+(Inputs!$B$9+((C181=TRUE)*(F181-Calc!F25))+B191)/100)</f>
        <v/>
      </c>
      <c r="N165">
        <f>L165*(1-MIN((Inputs!$B$8+((C175=TRUE)*(F175-Calc!F19))+B186),100)/100)+M165*(MIN((Inputs!$B$8+((C175=TRUE)*(F175-Calc!F19))+B186),100)/100)</f>
        <v/>
      </c>
      <c r="O165">
        <f>IF(C165,H165*N165*IF(AND(Inputs!$B$4&lt;&gt;"pvp",Inputs!$B$35&gt;0),((Skills!G9*((R165-1)*IF(Skills!H9&gt;0,Skills!I9/Skills!H9,1)+IF(Skills!H9&gt;0,MIN(Skills!I9,MAX(0,Inputs!$B$35-((R165-1)*IF(Inputs!$B$4="pvp",15,MAX(0.1,Skills!D9-IF(Skills!E9=TRUE,Inputs!$B$31,0))))))/Skills!H9,1)))/Inputs!$B$35),G165*Q165)*IF(Inputs!$B$4="pvp",1,(1-Summary!$B$55)*(1)+Summary!$B$55*(MIN(Skills!R9,Inputs!$B$37))),0)</f>
        <v/>
      </c>
      <c r="P165">
        <f>IF(B194=0,0,O165/B194)</f>
        <v/>
      </c>
      <c r="Q165">
        <f>IFERROR(1/IF(Inputs!$B$4="pvp",15,MAX(0.1,Skills!D9-IF(Skills!E9=TRUE,Inputs!$B$31,0))),0)</f>
        <v/>
      </c>
      <c r="R165">
        <f>IF(AND(Inputs!$B$4&lt;&gt;"pvp",Inputs!$B$35&gt;0),(INT(Inputs!$B$35/IF(Inputs!$B$4="pvp",15,MAX(0.1,Skills!D9-IF(Skills!E9=TRUE,Inputs!$B$31,0))))+1),0)</f>
        <v/>
      </c>
      <c r="S165">
        <f>IFERROR(O165/N165,0)</f>
        <v/>
      </c>
    </row>
    <row r="166">
      <c r="A166">
        <f>Skills!A10</f>
        <v/>
      </c>
      <c r="B166">
        <f>Skills!B10</f>
        <v/>
      </c>
      <c r="C166">
        <f>Inputs!$B$3&gt;=113</f>
        <v/>
      </c>
      <c r="D166">
        <f>IF(Skills!C10=1,60+Inputs!$B$24+Inputs!$B$28,IF(Skills!C10=2,90+Inputs!$B$25+Inputs!$B$28,IF(Skills!C10=3,120+Inputs!$B$26+Inputs!$B$28,MAX(0,(Inputs!$B$3-100)*3)+Inputs!$B$27+Inputs!$B$28)))</f>
        <v/>
      </c>
      <c r="E166">
        <f>INDEX(FactorTable!$B$2:$Y$301, MATCH(ROUND(MIN(300,MAX(1,D166)),0), FactorTable!$A$2:$A$301,0), Skills!M10+1)</f>
        <v/>
      </c>
      <c r="F166">
        <f>IF(Skills!N10=TRUE,(Skills!L10/10)*(E166/1000),Skills!L10/10)+Skills!O10</f>
        <v/>
      </c>
      <c r="G166">
        <f>Skills!G10*IF(Skills!H10&gt;0,Skills!I10/Skills!H10,1)</f>
        <v/>
      </c>
      <c r="H166">
        <f>1-(1-Skills!J10/100)^Skills!K10</f>
        <v/>
      </c>
      <c r="I166" t="inlineStr">
        <is>
          <t>1</t>
        </is>
      </c>
      <c r="J166">
        <f>(Inputs!$B$5*(1+Inputs!$B$6/100))*(F166/100)</f>
        <v/>
      </c>
      <c r="K166">
        <f>J166*(1+((Inputs!$B$11*(1+Inputs!$B$12/100))*0.01+Inputs!$B$13*0.0025)/100)*(1+(Inputs!$B$14+1)/100)*(1+IF(Inputs!$B$4="pvp",0,(1-Summary!$B$55)*(Inputs!$B$19+0+Skills!P10)+Summary!$B$55*(Inputs!$B$20+Skills!Q10))/100)*(1+Inputs!$B$15/100)*(5000/(6000+Inputs!$B$7*(1-(Inputs!$B$18+0)/100)))*(1+(Inputs!$B$23+((C182=TRUE)*(F182-Calc!F26))+B192)/100)*(1+(IF(Skills!A10="EIGHT_LEGS_EASTON",Inputs!$B$16+((C179=TRUE)*(F179-Calc!F23))+((C183=TRUE)*(F183-Calc!F27)),Inputs!$B$17+0))/100)*((1+(((C173=TRUE)*F173)+((C180=TRUE)*(F180-Calc!F24)))/100)*I166)</f>
        <v/>
      </c>
      <c r="L166">
        <f>K166*(MIN(Inputs!$B$21+((C178=TRUE)*(F178-Calc!F22)),Inputs!$B$22+0)/100+(Inputs!$B$22+0)/100)/2</f>
        <v/>
      </c>
      <c r="M166">
        <f>L166*(1+(Inputs!$B$9+((C181=TRUE)*(F181-Calc!F25))+B191)/100)</f>
        <v/>
      </c>
      <c r="N166">
        <f>L166*(1-MIN((Inputs!$B$8+((C175=TRUE)*(F175-Calc!F19))+B186),100)/100)+M166*(MIN((Inputs!$B$8+((C175=TRUE)*(F175-Calc!F19))+B186),100)/100)</f>
        <v/>
      </c>
      <c r="O166">
        <f>IF(C166,H166*N166*IF(AND(Inputs!$B$4&lt;&gt;"pvp",Inputs!$B$35&gt;0),((Skills!G10*((R166-1)*IF(Skills!H10&gt;0,Skills!I10/Skills!H10,1)+IF(Skills!H10&gt;0,MIN(Skills!I10,MAX(0,Inputs!$B$35-((R166-1)*IF(Inputs!$B$4="pvp",15,MAX(0.1,Skills!D10-IF(Skills!E10=TRUE,Inputs!$B$31,0))))))/Skills!H10,1)))/Inputs!$B$35),G166*Q166)*IF(Inputs!$B$4="pvp",1,(1-Summary!$B$55)*(1)+Summary!$B$55*(MIN(Skills!R10,Inputs!$B$37))),0)</f>
        <v/>
      </c>
      <c r="P166">
        <f>IF(B194=0,0,O166/B194)</f>
        <v/>
      </c>
      <c r="Q166">
        <f>IFERROR(1/IF(Inputs!$B$4="pvp",15,MAX(0.1,Skills!D10-IF(Skills!E10=TRUE,Inputs!$B$31,0))),0)</f>
        <v/>
      </c>
      <c r="R166">
        <f>IF(AND(Inputs!$B$4&lt;&gt;"pvp",Inputs!$B$35&gt;0),(INT(Inputs!$B$35/IF(Inputs!$B$4="pvp",15,MAX(0.1,Skills!D10-IF(Skills!E10=TRUE,Inputs!$B$31,0))))+1),0)</f>
        <v/>
      </c>
      <c r="S166">
        <f>IFERROR(O166/N166,0)</f>
        <v/>
      </c>
    </row>
    <row r="167">
      <c r="A167">
        <f>Skills!A11</f>
        <v/>
      </c>
      <c r="B167">
        <f>Skills!B11</f>
        <v/>
      </c>
      <c r="C167">
        <f>Inputs!$B$3&gt;=107</f>
        <v/>
      </c>
      <c r="D167">
        <f>IF(Skills!C11=1,60+Inputs!$B$24+Inputs!$B$28,IF(Skills!C11=2,90+Inputs!$B$25+Inputs!$B$28,IF(Skills!C11=3,120+Inputs!$B$26+Inputs!$B$28,MAX(0,(Inputs!$B$3-100)*3)+Inputs!$B$27+Inputs!$B$28)))</f>
        <v/>
      </c>
      <c r="E167">
        <f>INDEX(FactorTable!$B$2:$Y$301, MATCH(ROUND(MIN(300,MAX(1,D167)),0), FactorTable!$A$2:$A$301,0), Skills!M11+1)</f>
        <v/>
      </c>
      <c r="F167">
        <f>IF(Skills!N11=TRUE,(Skills!L11/10)*(E167/1000),Skills!L11/10)+Skills!O11</f>
        <v/>
      </c>
      <c r="G167">
        <f>Skills!G11*IF(Skills!H11&gt;0,Skills!I11/Skills!H11,1)</f>
        <v/>
      </c>
      <c r="H167">
        <f>1-(1-Skills!J11/100)^Skills!K11</f>
        <v/>
      </c>
      <c r="I167" t="inlineStr">
        <is>
          <t>1</t>
        </is>
      </c>
      <c r="J167">
        <f>(Inputs!$B$5*(1+Inputs!$B$6/100))*(F167/100)</f>
        <v/>
      </c>
      <c r="K167">
        <f>J167*(1+((Inputs!$B$11*(1+Inputs!$B$12/100))*0.01+Inputs!$B$13*0.0025)/100)*(1+(Inputs!$B$14+1)/100)*(1+IF(Inputs!$B$4="pvp",0,(1-Summary!$B$55)*(Inputs!$B$19+0+Skills!P11)+Summary!$B$55*(Inputs!$B$20+Skills!Q11))/100)*(1+Inputs!$B$15/100)*(5000/(6000+Inputs!$B$7*(1-(Inputs!$B$18+0)/100)))*(1+(Inputs!$B$23+((C182=TRUE)*(F182-Calc!F26))+B192)/100)*(1+(IF(Skills!A11="EIGHT_LEGS_EASTON",Inputs!$B$16+((C179=TRUE)*(F179-Calc!F23))+((C183=TRUE)*(F183-Calc!F27)),Inputs!$B$17+0))/100)*((1+(((C173=TRUE)*F173)+((C180=TRUE)*(F180-Calc!F24)))/100)*I167)</f>
        <v/>
      </c>
      <c r="L167">
        <f>K167*(MIN(Inputs!$B$21+((C178=TRUE)*(F178-Calc!F22)),Inputs!$B$22+0)/100+(Inputs!$B$22+0)/100)/2</f>
        <v/>
      </c>
      <c r="M167">
        <f>L167*(1+(Inputs!$B$9+((C181=TRUE)*(F181-Calc!F25))+B191)/100)</f>
        <v/>
      </c>
      <c r="N167">
        <f>L167*(1-MIN((Inputs!$B$8+((C175=TRUE)*(F175-Calc!F19))+B186),100)/100)+M167*(MIN((Inputs!$B$8+((C175=TRUE)*(F175-Calc!F19))+B186),100)/100)</f>
        <v/>
      </c>
      <c r="O167">
        <f>IF(C167,H167*N167*IF(AND(Inputs!$B$4&lt;&gt;"pvp",Inputs!$B$35&gt;0),((Skills!G11*((R167-1)*IF(Skills!H11&gt;0,Skills!I11/Skills!H11,1)+IF(Skills!H11&gt;0,MIN(Skills!I11,MAX(0,Inputs!$B$35-((R167-1)*IF(Inputs!$B$4="pvp",15,MAX(0.1,Skills!D11-IF(Skills!E11=TRUE,Inputs!$B$31,0))))))/Skills!H11,1)))/Inputs!$B$35),G167*Q167)*IF(Inputs!$B$4="pvp",1,(1-Summary!$B$55)*(1)+Summary!$B$55*(MIN(Skills!R11,Inputs!$B$37))),0)</f>
        <v/>
      </c>
      <c r="P167">
        <f>IF(B194=0,0,O167/B194)</f>
        <v/>
      </c>
      <c r="Q167">
        <f>IFERROR(1/IF(Inputs!$B$4="pvp",15,MAX(0.1,Skills!D11-IF(Skills!E11=TRUE,Inputs!$B$31,0))),0)</f>
        <v/>
      </c>
      <c r="R167">
        <f>IF(AND(Inputs!$B$4&lt;&gt;"pvp",Inputs!$B$35&gt;0),(INT(Inputs!$B$35/IF(Inputs!$B$4="pvp",15,MAX(0.1,Skills!D11-IF(Skills!E11=TRUE,Inputs!$B$31,0))))+1),0)</f>
        <v/>
      </c>
      <c r="S167">
        <f>IFERROR(O167/N167,0)</f>
        <v/>
      </c>
    </row>
    <row r="168">
      <c r="A168">
        <f>Skills!A12</f>
        <v/>
      </c>
      <c r="B168">
        <f>Skills!B12</f>
        <v/>
      </c>
      <c r="C168">
        <f>Inputs!$B$3&gt;=110</f>
        <v/>
      </c>
      <c r="D168">
        <f>IF(Skills!C12=1,60+Inputs!$B$24+Inputs!$B$28,IF(Skills!C12=2,90+Inputs!$B$25+Inputs!$B$28,IF(Skills!C12=3,120+Inputs!$B$26+Inputs!$B$28,MAX(0,(Inputs!$B$3-100)*3)+Inputs!$B$27+Inputs!$B$28)))</f>
        <v/>
      </c>
      <c r="E168">
        <f>INDEX(FactorTable!$B$2:$Y$301, MATCH(ROUND(MIN(300,MAX(1,D168)),0), FactorTable!$A$2:$A$301,0), Skills!M12+1)</f>
        <v/>
      </c>
      <c r="F168">
        <f>IF(Skills!N12=TRUE,(Skills!L12/10)*(E168/1000),Skills!L12/10)+Skills!O12</f>
        <v/>
      </c>
      <c r="G168">
        <f>Skills!G12*IF(Skills!H12&gt;0,Skills!I12/Skills!H12,1)</f>
        <v/>
      </c>
      <c r="H168">
        <f>1-(1-Skills!J12/100)^Skills!K12</f>
        <v/>
      </c>
      <c r="I168" t="inlineStr">
        <is>
          <t>1</t>
        </is>
      </c>
      <c r="J168">
        <f>(Inputs!$B$5*(1+Inputs!$B$6/100))*(F168/100)</f>
        <v/>
      </c>
      <c r="K168">
        <f>J168*(1+((Inputs!$B$11*(1+Inputs!$B$12/100))*0.01+Inputs!$B$13*0.0025)/100)*(1+(Inputs!$B$14+1)/100)*(1+IF(Inputs!$B$4="pvp",0,(1-Summary!$B$55)*(Inputs!$B$19+0+Skills!P12)+Summary!$B$55*(Inputs!$B$20+Skills!Q12))/100)*(1+Inputs!$B$15/100)*(5000/(6000+Inputs!$B$7*(1-(Inputs!$B$18+0)/100)))*(1+(Inputs!$B$23+((C182=TRUE)*(F182-Calc!F26))+B192)/100)*(1+(IF(Skills!A12="EIGHT_LEGS_EASTON",Inputs!$B$16+((C179=TRUE)*(F179-Calc!F23))+((C183=TRUE)*(F183-Calc!F27)),Inputs!$B$17+0))/100)*((1+(((C173=TRUE)*F173)+((C180=TRUE)*(F180-Calc!F24)))/100)*I168)</f>
        <v/>
      </c>
      <c r="L168">
        <f>K168*(MIN(Inputs!$B$21+((C178=TRUE)*(F178-Calc!F22)),Inputs!$B$22+0)/100+(Inputs!$B$22+0)/100)/2</f>
        <v/>
      </c>
      <c r="M168">
        <f>L168*(1+(Inputs!$B$9+((C181=TRUE)*(F181-Calc!F25))+B191)/100)</f>
        <v/>
      </c>
      <c r="N168">
        <f>L168*(1-MIN((Inputs!$B$8+((C175=TRUE)*(F175-Calc!F19))+B186),100)/100)+M168*(MIN((Inputs!$B$8+((C175=TRUE)*(F175-Calc!F19))+B186),100)/100)</f>
        <v/>
      </c>
      <c r="O168">
        <f>IF(C168,H168*N168*IF(AND(Inputs!$B$4&lt;&gt;"pvp",Inputs!$B$35&gt;0),((Skills!G12*((R168-1)*IF(Skills!H12&gt;0,Skills!I12/Skills!H12,1)+IF(Skills!H12&gt;0,MIN(Skills!I12,MAX(0,Inputs!$B$35-((R168-1)*IF(Inputs!$B$4="pvp",15,MAX(0.1,Skills!D12-IF(Skills!E12=TRUE,Inputs!$B$31,0))))))/Skills!H12,1)))/Inputs!$B$35),G168*Q168)*IF(Inputs!$B$4="pvp",1,(1-Summary!$B$55)*(1)+Summary!$B$55*(MIN(Skills!R12,Inputs!$B$37))),0)</f>
        <v/>
      </c>
      <c r="P168">
        <f>IF(B194=0,0,O168/B194)</f>
        <v/>
      </c>
      <c r="Q168">
        <f>IFERROR(1/IF(Inputs!$B$4="pvp",15,MAX(0.1,Skills!D12-IF(Skills!E12=TRUE,Inputs!$B$31,0))),0)</f>
        <v/>
      </c>
      <c r="R168">
        <f>IF(AND(Inputs!$B$4&lt;&gt;"pvp",Inputs!$B$35&gt;0),(INT(Inputs!$B$35/IF(Inputs!$B$4="pvp",15,MAX(0.1,Skills!D12-IF(Skills!E12=TRUE,Inputs!$B$31,0))))+1),0)</f>
        <v/>
      </c>
      <c r="S168">
        <f>IFERROR(O168/N168,0)</f>
        <v/>
      </c>
    </row>
    <row r="169">
      <c r="A169">
        <f>Skills!A13</f>
        <v/>
      </c>
      <c r="B169">
        <f>Skills!B13</f>
        <v/>
      </c>
      <c r="C169">
        <f>Inputs!$B$3&gt;=110</f>
        <v/>
      </c>
      <c r="D169">
        <f>IF(Skills!C13=1,60+Inputs!$B$24+Inputs!$B$28,IF(Skills!C13=2,90+Inputs!$B$25+Inputs!$B$28,IF(Skills!C13=3,120+Inputs!$B$26+Inputs!$B$28,MAX(0,(Inputs!$B$3-100)*3)+Inputs!$B$27+Inputs!$B$28)))</f>
        <v/>
      </c>
      <c r="E169">
        <f>INDEX(FactorTable!$B$2:$Y$301, MATCH(ROUND(MIN(300,MAX(1,D169)),0), FactorTable!$A$2:$A$301,0), Skills!M13+1)</f>
        <v/>
      </c>
      <c r="F169">
        <f>IF(Skills!N13=TRUE,(Skills!L13/10)*(E169/1000),Skills!L13/10)+Skills!O13</f>
        <v/>
      </c>
      <c r="G169">
        <f>Skills!G13*IF(Skills!H13&gt;0,Skills!I13/Skills!H13,1)</f>
        <v/>
      </c>
      <c r="H169">
        <f>1-(1-Skills!J13/100)^Skills!K13</f>
        <v/>
      </c>
      <c r="I169" t="inlineStr">
        <is>
          <t>1</t>
        </is>
      </c>
      <c r="J169">
        <f>(Inputs!$B$5*(1+Inputs!$B$6/100))*(F169/100)</f>
        <v/>
      </c>
      <c r="K169">
        <f>J169*(1+((Inputs!$B$11*(1+Inputs!$B$12/100))*0.01+Inputs!$B$13*0.0025)/100)*(1+(Inputs!$B$14+1)/100)*(1+IF(Inputs!$B$4="pvp",0,(1-Summary!$B$55)*(Inputs!$B$19+0+Skills!P13)+Summary!$B$55*(Inputs!$B$20+Skills!Q13))/100)*(1+Inputs!$B$15/100)*(5000/(6000+Inputs!$B$7*(1-(Inputs!$B$18+0)/100)))*(1+(Inputs!$B$23+((C182=TRUE)*(F182-Calc!F26))+B192)/100)*(1+(IF(Skills!A13="EIGHT_LEGS_EASTON",Inputs!$B$16+((C179=TRUE)*(F179-Calc!F23))+((C183=TRUE)*(F183-Calc!F27)),Inputs!$B$17+0))/100)*((1+(((C173=TRUE)*F173)+((C180=TRUE)*(F180-Calc!F24)))/100)*I169)</f>
        <v/>
      </c>
      <c r="L169">
        <f>K169*(MIN(Inputs!$B$21+((C178=TRUE)*(F178-Calc!F22)),Inputs!$B$22+0)/100+(Inputs!$B$22+0)/100)/2</f>
        <v/>
      </c>
      <c r="M169">
        <f>L169*(1+(Inputs!$B$9+((C181=TRUE)*(F181-Calc!F25))+B191)/100)</f>
        <v/>
      </c>
      <c r="N169">
        <f>L169*(1-MIN((Inputs!$B$8+((C175=TRUE)*(F175-Calc!F19))+B186),100)/100)+M169*(MIN((Inputs!$B$8+((C175=TRUE)*(F175-Calc!F19))+B186),100)/100)</f>
        <v/>
      </c>
      <c r="O169">
        <f>IF(C169,H169*N169*IF(AND(Inputs!$B$4&lt;&gt;"pvp",Inputs!$B$35&gt;0),((Skills!G13*((R169-1)*IF(Skills!H13&gt;0,Skills!I13/Skills!H13,1)+IF(Skills!H13&gt;0,MIN(Skills!I13,MAX(0,Inputs!$B$35-((R169-1)*IF(Inputs!$B$4="pvp",15,MAX(0.1,Skills!D13-IF(Skills!E13=TRUE,Inputs!$B$31,0))))))/Skills!H13,1)))/Inputs!$B$35),G169*Q169)*IF(Inputs!$B$4="pvp",1,(1-Summary!$B$55)*(1)+Summary!$B$55*(MIN(Skills!R13,Inputs!$B$37))),0)</f>
        <v/>
      </c>
      <c r="P169">
        <f>IF(B194=0,0,O169/B194)</f>
        <v/>
      </c>
      <c r="Q169">
        <f>IFERROR(1/IF(Inputs!$B$4="pvp",15,MAX(0.1,Skills!D13-IF(Skills!E13=TRUE,Inputs!$B$31,0))),0)</f>
        <v/>
      </c>
      <c r="R169">
        <f>IF(AND(Inputs!$B$4&lt;&gt;"pvp",Inputs!$B$35&gt;0),(INT(Inputs!$B$35/IF(Inputs!$B$4="pvp",15,MAX(0.1,Skills!D13-IF(Skills!E13=TRUE,Inputs!$B$31,0))))+1),0)</f>
        <v/>
      </c>
      <c r="S169">
        <f>IFERROR(O169/N169,0)</f>
        <v/>
      </c>
    </row>
    <row r="170">
      <c r="A170">
        <f>Skills!A14</f>
        <v/>
      </c>
      <c r="B170">
        <f>Skills!B14</f>
        <v/>
      </c>
      <c r="C170">
        <f>Inputs!$B$3&gt;=125</f>
        <v/>
      </c>
      <c r="D170">
        <f>IF(Skills!C14=1,60+Inputs!$B$24+Inputs!$B$28,IF(Skills!C14=2,90+Inputs!$B$25+Inputs!$B$28,IF(Skills!C14=3,120+Inputs!$B$26+Inputs!$B$28,MAX(0,(Inputs!$B$3-100)*3)+Inputs!$B$27+Inputs!$B$28)))</f>
        <v/>
      </c>
      <c r="E170">
        <f>INDEX(FactorTable!$B$2:$Y$301, MATCH(ROUND(MIN(300,MAX(1,D170)),0), FactorTable!$A$2:$A$301,0), Skills!M14+1)</f>
        <v/>
      </c>
      <c r="F170">
        <f>IF(Skills!N14=TRUE,(Skills!L14/10)*(E170/1000),Skills!L14/10)+Skills!O14</f>
        <v/>
      </c>
      <c r="G170">
        <f>Skills!G14*IF(Skills!H14&gt;0,Skills!I14/Skills!H14,1)</f>
        <v/>
      </c>
      <c r="H170">
        <f>1-(1-Skills!J14/100)^Skills!K14</f>
        <v/>
      </c>
      <c r="I170" t="inlineStr">
        <is>
          <t>1</t>
        </is>
      </c>
      <c r="J170">
        <f>(Inputs!$B$5*(1+Inputs!$B$6/100))*(F170/100)</f>
        <v/>
      </c>
      <c r="K170">
        <f>J170*(1+((Inputs!$B$11*(1+Inputs!$B$12/100))*0.01+Inputs!$B$13*0.0025)/100)*(1+(Inputs!$B$14+1)/100)*(1+IF(Inputs!$B$4="pvp",0,(1-Summary!$B$55)*(Inputs!$B$19+0+Skills!P14)+Summary!$B$55*(Inputs!$B$20+Skills!Q14))/100)*(1+Inputs!$B$15/100)*(5000/(6000+Inputs!$B$7*(1-(Inputs!$B$18+0)/100)))*(1+(Inputs!$B$23+((C182=TRUE)*(F182-Calc!F26))+B192)/100)*(1+(IF(Skills!A14="EIGHT_LEGS_EASTON",Inputs!$B$16+((C179=TRUE)*(F179-Calc!F23))+((C183=TRUE)*(F183-Calc!F27)),Inputs!$B$17+0))/100)*((1+(((C173=TRUE)*F173)+((C180=TRUE)*(F180-Calc!F24)))/100)*I170)</f>
        <v/>
      </c>
      <c r="L170">
        <f>K170*(MIN(Inputs!$B$21+((C178=TRUE)*(F178-Calc!F22)),Inputs!$B$22+0)/100+(Inputs!$B$22+0)/100)/2</f>
        <v/>
      </c>
      <c r="M170">
        <f>L170*(1+(Inputs!$B$9+((C181=TRUE)*(F181-Calc!F25))+B191)/100)</f>
        <v/>
      </c>
      <c r="N170">
        <f>L170*(1-MIN((Inputs!$B$8+((C175=TRUE)*(F175-Calc!F19))+B186),100)/100)+M170*(MIN((Inputs!$B$8+((C175=TRUE)*(F175-Calc!F19))+B186),100)/100)</f>
        <v/>
      </c>
      <c r="O170">
        <f>IF(C170,H170*N170*(B190+IF(AND(Inputs!$B$4&lt;&gt;"pvp",Inputs!$B$35&gt;0),((Skills!G8*((R164-1)*IF(Skills!H8&gt;0,Skills!I8/Skills!H8,1)+IF(Skills!H8&gt;0,MIN(Skills!I8,MAX(0,Inputs!$B$35-((R164-1)*IF(Inputs!$B$4="pvp",15,MAX(0.1,Skills!D8-IF(Skills!E8=TRUE,Inputs!$B$31,0))))))/Skills!H8,1)))/Inputs!$B$35),G164*Q164)+IF(AND(Inputs!$B$4&lt;&gt;"pvp",Inputs!$B$35&gt;0),((Skills!G11*((R167-1)*IF(Skills!H11&gt;0,Skills!I11/Skills!H11,1)+IF(Skills!H11&gt;0,MIN(Skills!I11,MAX(0,Inputs!$B$35-((R167-1)*IF(Inputs!$B$4="pvp",15,MAX(0.1,Skills!D11-IF(Skills!E11=TRUE,Inputs!$B$31,0))))))/Skills!H11,1)))/Inputs!$B$35),G167*Q167))*IF(Inputs!$B$4="pvp",1,(1-Summary!$B$55)*(1)+Summary!$B$55*(MIN(Skills!R14,Inputs!$B$37))),0)</f>
        <v/>
      </c>
      <c r="P170">
        <f>IF(B194=0,0,O170/B194)</f>
        <v/>
      </c>
      <c r="Q170" t="n">
        <v>0</v>
      </c>
      <c r="R170" t="n">
        <v>0</v>
      </c>
      <c r="S170">
        <f>IFERROR(O170/N170,0)</f>
        <v/>
      </c>
    </row>
    <row r="171">
      <c r="A171">
        <f>Skills!A15</f>
        <v/>
      </c>
      <c r="B171">
        <f>Skills!B15</f>
        <v/>
      </c>
      <c r="C171">
        <f>Inputs!$B$3&gt;=100</f>
        <v/>
      </c>
      <c r="D171">
        <f>IF(Skills!C15=1,60+Inputs!$B$24+Inputs!$B$28,IF(Skills!C15=2,90+Inputs!$B$25+Inputs!$B$28,IF(Skills!C15=3,120+Inputs!$B$26+Inputs!$B$28,MAX(0,(Inputs!$B$3-100)*3)+Inputs!$B$27+Inputs!$B$28)))</f>
        <v/>
      </c>
      <c r="E171">
        <f>INDEX(FactorTable!$B$2:$Y$301, MATCH(ROUND(MIN(300,MAX(1,D171)),0), FactorTable!$A$2:$A$301,0), Skills!M15+1)</f>
        <v/>
      </c>
      <c r="F171">
        <f>IF(Skills!N15=TRUE,(Skills!L15/10)*(E171/1000),Skills!L15/10)+Skills!O15</f>
        <v/>
      </c>
      <c r="G171" t="inlineStr"/>
      <c r="H171" t="inlineStr"/>
      <c r="I171" t="inlineStr">
        <is>
          <t>1</t>
        </is>
      </c>
      <c r="J171" t="inlineStr"/>
      <c r="K171" t="inlineStr"/>
      <c r="L171" t="inlineStr"/>
      <c r="M171" t="inlineStr"/>
      <c r="N171" t="inlineStr"/>
      <c r="O171" t="inlineStr"/>
      <c r="P171" t="inlineStr"/>
      <c r="Q171" t="inlineStr"/>
      <c r="R171" t="inlineStr"/>
      <c r="S171" t="inlineStr"/>
    </row>
    <row r="172">
      <c r="A172">
        <f>Skills!A16</f>
        <v/>
      </c>
      <c r="B172">
        <f>Skills!B16</f>
        <v/>
      </c>
      <c r="C172">
        <f>Inputs!$B$3&gt;=120</f>
        <v/>
      </c>
      <c r="D172">
        <f>IF(Skills!C16=1,60+Inputs!$B$24+Inputs!$B$28,IF(Skills!C16=2,90+Inputs!$B$25+Inputs!$B$28,IF(Skills!C16=3,120+Inputs!$B$26+Inputs!$B$28,MAX(0,(Inputs!$B$3-100)*3)+Inputs!$B$27+Inputs!$B$28)))</f>
        <v/>
      </c>
      <c r="E172">
        <f>INDEX(FactorTable!$B$2:$Y$301, MATCH(ROUND(MIN(300,MAX(1,D172)),0), FactorTable!$A$2:$A$301,0), Skills!M16+1)</f>
        <v/>
      </c>
      <c r="F172">
        <f>IF(Skills!N16=TRUE,(Skills!L16/10)*(E172/1000),Skills!L16/10)+Skills!O16</f>
        <v/>
      </c>
      <c r="G172" t="inlineStr"/>
      <c r="H172" t="inlineStr"/>
      <c r="I172" t="inlineStr">
        <is>
          <t>1</t>
        </is>
      </c>
      <c r="J172" t="inlineStr"/>
      <c r="K172" t="inlineStr"/>
      <c r="L172" t="inlineStr"/>
      <c r="M172" t="inlineStr"/>
      <c r="N172" t="inlineStr"/>
      <c r="O172" t="inlineStr"/>
      <c r="P172" t="inlineStr"/>
      <c r="Q172" t="inlineStr"/>
      <c r="R172" t="inlineStr"/>
      <c r="S172" t="inlineStr"/>
    </row>
    <row r="173">
      <c r="A173">
        <f>Skills!A17</f>
        <v/>
      </c>
      <c r="B173">
        <f>Skills!B17</f>
        <v/>
      </c>
      <c r="C173">
        <f>Inputs!$B$3&gt;=66</f>
        <v/>
      </c>
      <c r="D173">
        <f>IF(Skills!C17=1,60+Inputs!$B$24+Inputs!$B$28,IF(Skills!C17=2,90+Inputs!$B$25+Inputs!$B$28,IF(Skills!C17=3,120+Inputs!$B$26+Inputs!$B$28,MAX(0,(Inputs!$B$3-100)*3)+Inputs!$B$27+Inputs!$B$28)))</f>
        <v/>
      </c>
      <c r="E173">
        <f>INDEX(FactorTable!$B$2:$Y$301, MATCH(ROUND(MIN(300,MAX(1,D173)),0), FactorTable!$A$2:$A$301,0), Skills!M17+1)</f>
        <v/>
      </c>
      <c r="F173">
        <f>IF(Skills!N17=TRUE,(Skills!L17/10)*(E173/1000),Skills!L17/10)+Skills!O17</f>
        <v/>
      </c>
      <c r="G173">
        <f>Skills!G17*IF(Skills!H17&gt;0,Skills!I17/Skills!H17,1)</f>
        <v/>
      </c>
      <c r="H173">
        <f>1-(1-Skills!J17/100)^Skills!K17</f>
        <v/>
      </c>
      <c r="I173" t="inlineStr">
        <is>
          <t>1</t>
        </is>
      </c>
      <c r="J173" t="inlineStr"/>
      <c r="K173" t="inlineStr"/>
      <c r="L173" t="inlineStr"/>
      <c r="M173" t="inlineStr"/>
      <c r="N173" t="inlineStr"/>
      <c r="O173" t="n">
        <v>0</v>
      </c>
      <c r="P173">
        <f>IF(B194=0,0,O173/B194)</f>
        <v/>
      </c>
      <c r="Q173" t="n">
        <v>0</v>
      </c>
      <c r="R173" t="n">
        <v>0</v>
      </c>
      <c r="S173">
        <f>IFERROR(O173/N173,0)</f>
        <v/>
      </c>
    </row>
    <row r="174">
      <c r="A174">
        <f>Skills!A18</f>
        <v/>
      </c>
      <c r="B174">
        <f>Skills!B18</f>
        <v/>
      </c>
      <c r="C174">
        <f>Inputs!$B$3&gt;=115</f>
        <v/>
      </c>
      <c r="D174">
        <f>IF(Skills!C18=1,60+Inputs!$B$24+Inputs!$B$28,IF(Skills!C18=2,90+Inputs!$B$25+Inputs!$B$28,IF(Skills!C18=3,120+Inputs!$B$26+Inputs!$B$28,MAX(0,(Inputs!$B$3-100)*3)+Inputs!$B$27+Inputs!$B$28)))</f>
        <v/>
      </c>
      <c r="E174">
        <f>INDEX(FactorTable!$B$2:$Y$301, MATCH(ROUND(MIN(300,MAX(1,D174)),0), FactorTable!$A$2:$A$301,0), Skills!M18+1)</f>
        <v/>
      </c>
      <c r="F174">
        <f>IF(Skills!N18=TRUE,(Skills!L18/10)*(E174/1000),Skills!L18/10)+Skills!O18</f>
        <v/>
      </c>
      <c r="G174">
        <f>Skills!G18*IF(Skills!H18&gt;0,Skills!I18/Skills!H18,1)</f>
        <v/>
      </c>
      <c r="H174">
        <f>1-(1-Skills!J18/100)^Skills!K18</f>
        <v/>
      </c>
      <c r="I174" t="inlineStr">
        <is>
          <t>1</t>
        </is>
      </c>
      <c r="J174" t="inlineStr"/>
      <c r="K174" t="inlineStr"/>
      <c r="L174" t="inlineStr"/>
      <c r="M174" t="inlineStr"/>
      <c r="N174" t="inlineStr"/>
      <c r="O174" t="n">
        <v>0</v>
      </c>
      <c r="P174">
        <f>IF(B194=0,0,O174/B194)</f>
        <v/>
      </c>
      <c r="Q174" t="n">
        <v>0</v>
      </c>
      <c r="R174" t="n">
        <v>0</v>
      </c>
      <c r="S174">
        <f>IFERROR(O174/N174,0)</f>
        <v/>
      </c>
    </row>
    <row r="175">
      <c r="A175">
        <f>Skills!A19</f>
        <v/>
      </c>
      <c r="B175">
        <f>Skills!B19</f>
        <v/>
      </c>
      <c r="C175">
        <f>Inputs!$B$3&gt;=15</f>
        <v/>
      </c>
      <c r="D175">
        <f>IF(Skills!C19=1,60+Inputs!$B$24+Inputs!$B$28,IF(Skills!C19=2,90+Inputs!$B$25+Inputs!$B$28,IF(Skills!C19=3,120+Inputs!$B$26+Inputs!$B$28,MAX(0,(Inputs!$B$3-100)*3)+Inputs!$B$27+Inputs!$B$28)))</f>
        <v/>
      </c>
      <c r="E175">
        <f>INDEX(FactorTable!$B$2:$Y$301, MATCH(ROUND(MIN(300,MAX(1,D175)),0), FactorTable!$A$2:$A$301,0), Skills!M19+1)</f>
        <v/>
      </c>
      <c r="F175">
        <f>IF(Skills!N19=TRUE,(Skills!L19/10)*(E175/1000),Skills!L19/10)+Skills!O19</f>
        <v/>
      </c>
      <c r="G175">
        <f>Skills!G19*IF(Skills!H19&gt;0,Skills!I19/Skills!H19,1)</f>
        <v/>
      </c>
      <c r="H175">
        <f>1-(1-Skills!J19/100)^Skills!K19</f>
        <v/>
      </c>
      <c r="I175" t="inlineStr">
        <is>
          <t>1</t>
        </is>
      </c>
      <c r="J175" t="inlineStr"/>
      <c r="K175" t="inlineStr"/>
      <c r="L175" t="inlineStr"/>
      <c r="M175" t="inlineStr"/>
      <c r="N175" t="inlineStr"/>
      <c r="O175" t="n">
        <v>0</v>
      </c>
      <c r="P175">
        <f>IF(B194=0,0,O175/B194)</f>
        <v/>
      </c>
      <c r="Q175" t="n">
        <v>0</v>
      </c>
      <c r="R175" t="n">
        <v>0</v>
      </c>
      <c r="S175">
        <f>IFERROR(O175/N175,0)</f>
        <v/>
      </c>
    </row>
    <row r="176">
      <c r="A176">
        <f>Skills!A20</f>
        <v/>
      </c>
      <c r="B176">
        <f>Skills!B20</f>
        <v/>
      </c>
      <c r="C176">
        <f>Inputs!$B$3&gt;=10</f>
        <v/>
      </c>
      <c r="D176">
        <f>IF(Skills!C20=1,60+Inputs!$B$24+Inputs!$B$28,IF(Skills!C20=2,90+Inputs!$B$25+Inputs!$B$28,IF(Skills!C20=3,120+Inputs!$B$26+Inputs!$B$28,MAX(0,(Inputs!$B$3-100)*3)+Inputs!$B$27+Inputs!$B$28)))</f>
        <v/>
      </c>
      <c r="E176">
        <f>INDEX(FactorTable!$B$2:$Y$301, MATCH(ROUND(MIN(300,MAX(1,D176)),0), FactorTable!$A$2:$A$301,0), Skills!M20+1)</f>
        <v/>
      </c>
      <c r="F176">
        <f>IF(Skills!N20=TRUE,(Skills!L20/10)*(E176/1000),Skills!L20/10)+Skills!O20</f>
        <v/>
      </c>
      <c r="G176">
        <f>Skills!G20*IF(Skills!H20&gt;0,Skills!I20/Skills!H20,1)</f>
        <v/>
      </c>
      <c r="H176">
        <f>1-(1-Skills!J20/100)^Skills!K20</f>
        <v/>
      </c>
      <c r="I176" t="inlineStr">
        <is>
          <t>1</t>
        </is>
      </c>
      <c r="J176" t="inlineStr"/>
      <c r="K176" t="inlineStr"/>
      <c r="L176" t="inlineStr"/>
      <c r="M176" t="inlineStr"/>
      <c r="N176" t="inlineStr"/>
      <c r="O176" t="n">
        <v>0</v>
      </c>
      <c r="P176">
        <f>IF(B194=0,0,O176/B194)</f>
        <v/>
      </c>
      <c r="Q176" t="n">
        <v>0</v>
      </c>
      <c r="R176" t="n">
        <v>0</v>
      </c>
      <c r="S176">
        <f>IFERROR(O176/N176,0)</f>
        <v/>
      </c>
    </row>
    <row r="177">
      <c r="A177">
        <f>Skills!A21</f>
        <v/>
      </c>
      <c r="B177">
        <f>Skills!B21</f>
        <v/>
      </c>
      <c r="C177">
        <f>Inputs!$B$3&gt;=33</f>
        <v/>
      </c>
      <c r="D177">
        <f>IF(Skills!C21=1,60+Inputs!$B$24+Inputs!$B$28,IF(Skills!C21=2,90+Inputs!$B$25+Inputs!$B$28,IF(Skills!C21=3,120+Inputs!$B$26+Inputs!$B$28,MAX(0,(Inputs!$B$3-100)*3)+Inputs!$B$27+Inputs!$B$28)))</f>
        <v/>
      </c>
      <c r="E177">
        <f>INDEX(FactorTable!$B$2:$Y$301, MATCH(ROUND(MIN(300,MAX(1,D177)),0), FactorTable!$A$2:$A$301,0), Skills!M21+1)</f>
        <v/>
      </c>
      <c r="F177">
        <f>IF(Skills!N21=TRUE,(Skills!L21/10)*(E177/1000),Skills!L21/10)+Skills!O21</f>
        <v/>
      </c>
      <c r="G177">
        <f>Skills!G21*IF(Skills!H21&gt;0,Skills!I21/Skills!H21,1)</f>
        <v/>
      </c>
      <c r="H177">
        <f>1-(1-Skills!J21/100)^Skills!K21</f>
        <v/>
      </c>
      <c r="I177" t="inlineStr">
        <is>
          <t>1</t>
        </is>
      </c>
      <c r="J177" t="inlineStr"/>
      <c r="K177" t="inlineStr"/>
      <c r="L177" t="inlineStr"/>
      <c r="M177" t="inlineStr"/>
      <c r="N177" t="inlineStr"/>
      <c r="O177" t="n">
        <v>0</v>
      </c>
      <c r="P177">
        <f>IF(B194=0,0,O177/B194)</f>
        <v/>
      </c>
      <c r="Q177" t="n">
        <v>0</v>
      </c>
      <c r="R177" t="n">
        <v>0</v>
      </c>
      <c r="S177">
        <f>IFERROR(O177/N177,0)</f>
        <v/>
      </c>
    </row>
    <row r="178">
      <c r="A178">
        <f>Skills!A22</f>
        <v/>
      </c>
      <c r="B178">
        <f>Skills!B22</f>
        <v/>
      </c>
      <c r="C178">
        <f>Inputs!$B$3&gt;=43</f>
        <v/>
      </c>
      <c r="D178">
        <f>IF(Skills!C22=1,60+Inputs!$B$24+Inputs!$B$28,IF(Skills!C22=2,90+Inputs!$B$25+Inputs!$B$28,IF(Skills!C22=3,120+Inputs!$B$26+Inputs!$B$28,MAX(0,(Inputs!$B$3-100)*3)+Inputs!$B$27+Inputs!$B$28)))</f>
        <v/>
      </c>
      <c r="E178">
        <f>INDEX(FactorTable!$B$2:$Y$301, MATCH(ROUND(MIN(300,MAX(1,D178)),0), FactorTable!$A$2:$A$301,0), Skills!M22+1)</f>
        <v/>
      </c>
      <c r="F178">
        <f>IF(Skills!N22=TRUE,(Skills!L22/10)*(E178/1000),Skills!L22/10)+Skills!O22</f>
        <v/>
      </c>
      <c r="G178">
        <f>Skills!G22*IF(Skills!H22&gt;0,Skills!I22/Skills!H22,1)</f>
        <v/>
      </c>
      <c r="H178">
        <f>1-(1-Skills!J22/100)^Skills!K22</f>
        <v/>
      </c>
      <c r="I178" t="inlineStr">
        <is>
          <t>1</t>
        </is>
      </c>
      <c r="J178" t="inlineStr"/>
      <c r="K178" t="inlineStr"/>
      <c r="L178" t="inlineStr"/>
      <c r="M178" t="inlineStr"/>
      <c r="N178" t="inlineStr"/>
      <c r="O178" t="n">
        <v>0</v>
      </c>
      <c r="P178">
        <f>IF(B194=0,0,O178/B194)</f>
        <v/>
      </c>
      <c r="Q178" t="n">
        <v>0</v>
      </c>
      <c r="R178" t="n">
        <v>0</v>
      </c>
      <c r="S178">
        <f>IFERROR(O178/N178,0)</f>
        <v/>
      </c>
    </row>
    <row r="179">
      <c r="A179">
        <f>Skills!A23</f>
        <v/>
      </c>
      <c r="B179">
        <f>Skills!B23</f>
        <v/>
      </c>
      <c r="C179">
        <f>Inputs!$B$3&gt;=38</f>
        <v/>
      </c>
      <c r="D179">
        <f>IF(Skills!C23=1,60+Inputs!$B$24+Inputs!$B$28,IF(Skills!C23=2,90+Inputs!$B$25+Inputs!$B$28,IF(Skills!C23=3,120+Inputs!$B$26+Inputs!$B$28,MAX(0,(Inputs!$B$3-100)*3)+Inputs!$B$27+Inputs!$B$28)))</f>
        <v/>
      </c>
      <c r="E179">
        <f>INDEX(FactorTable!$B$2:$Y$301, MATCH(ROUND(MIN(300,MAX(1,D179)),0), FactorTable!$A$2:$A$301,0), Skills!M23+1)</f>
        <v/>
      </c>
      <c r="F179">
        <f>IF(Skills!N23=TRUE,(Skills!L23/10)*(E179/1000),Skills!L23/10)+Skills!O23</f>
        <v/>
      </c>
      <c r="G179">
        <f>Skills!G23*IF(Skills!H23&gt;0,Skills!I23/Skills!H23,1)</f>
        <v/>
      </c>
      <c r="H179">
        <f>1-(1-Skills!J23/100)^Skills!K23</f>
        <v/>
      </c>
      <c r="I179" t="inlineStr">
        <is>
          <t>1</t>
        </is>
      </c>
      <c r="J179" t="inlineStr"/>
      <c r="K179" t="inlineStr"/>
      <c r="L179" t="inlineStr"/>
      <c r="M179" t="inlineStr"/>
      <c r="N179" t="inlineStr"/>
      <c r="O179" t="n">
        <v>0</v>
      </c>
      <c r="P179">
        <f>IF(B194=0,0,O179/B194)</f>
        <v/>
      </c>
      <c r="Q179" t="n">
        <v>0</v>
      </c>
      <c r="R179" t="n">
        <v>0</v>
      </c>
      <c r="S179">
        <f>IFERROR(O179/N179,0)</f>
        <v/>
      </c>
    </row>
    <row r="180">
      <c r="A180">
        <f>Skills!A24</f>
        <v/>
      </c>
      <c r="B180">
        <f>Skills!B24</f>
        <v/>
      </c>
      <c r="C180">
        <f>Inputs!$B$3&gt;=40</f>
        <v/>
      </c>
      <c r="D180">
        <f>IF(Skills!C24=1,60+Inputs!$B$24+Inputs!$B$28,IF(Skills!C24=2,90+Inputs!$B$25+Inputs!$B$28,IF(Skills!C24=3,120+Inputs!$B$26+Inputs!$B$28,MAX(0,(Inputs!$B$3-100)*3)+Inputs!$B$27+Inputs!$B$28)))</f>
        <v/>
      </c>
      <c r="E180">
        <f>INDEX(FactorTable!$B$2:$Y$301, MATCH(ROUND(MIN(300,MAX(1,D180)),0), FactorTable!$A$2:$A$301,0), Skills!M24+1)</f>
        <v/>
      </c>
      <c r="F180">
        <f>IF(Skills!N24=TRUE,(Skills!L24/10)*(E180/1000),Skills!L24/10)+Skills!O24</f>
        <v/>
      </c>
      <c r="G180">
        <f>Skills!G24*IF(Skills!H24&gt;0,Skills!I24/Skills!H24,1)</f>
        <v/>
      </c>
      <c r="H180">
        <f>1-(1-Skills!J24/100)^Skills!K24</f>
        <v/>
      </c>
      <c r="I180" t="inlineStr">
        <is>
          <t>1</t>
        </is>
      </c>
      <c r="J180" t="inlineStr"/>
      <c r="K180" t="inlineStr"/>
      <c r="L180" t="inlineStr"/>
      <c r="M180" t="inlineStr"/>
      <c r="N180" t="inlineStr"/>
      <c r="O180" t="n">
        <v>0</v>
      </c>
      <c r="P180">
        <f>IF(B194=0,0,O180/B194)</f>
        <v/>
      </c>
      <c r="Q180" t="n">
        <v>0</v>
      </c>
      <c r="R180" t="n">
        <v>0</v>
      </c>
      <c r="S180">
        <f>IFERROR(O180/N180,0)</f>
        <v/>
      </c>
    </row>
    <row r="181">
      <c r="A181">
        <f>Skills!A25</f>
        <v/>
      </c>
      <c r="B181">
        <f>Skills!B25</f>
        <v/>
      </c>
      <c r="C181">
        <f>Inputs!$B$3&gt;=72</f>
        <v/>
      </c>
      <c r="D181">
        <f>IF(Skills!C25=1,60+Inputs!$B$24+Inputs!$B$28,IF(Skills!C25=2,90+Inputs!$B$25+Inputs!$B$28,IF(Skills!C25=3,120+Inputs!$B$26+Inputs!$B$28,MAX(0,(Inputs!$B$3-100)*3)+Inputs!$B$27+Inputs!$B$28)))</f>
        <v/>
      </c>
      <c r="E181">
        <f>INDEX(FactorTable!$B$2:$Y$301, MATCH(ROUND(MIN(300,MAX(1,D181)),0), FactorTable!$A$2:$A$301,0), Skills!M25+1)</f>
        <v/>
      </c>
      <c r="F181">
        <f>IF(Skills!N25=TRUE,(Skills!L25/10)*(E181/1000),Skills!L25/10)+Skills!O25</f>
        <v/>
      </c>
      <c r="G181">
        <f>Skills!G25*IF(Skills!H25&gt;0,Skills!I25/Skills!H25,1)</f>
        <v/>
      </c>
      <c r="H181">
        <f>1-(1-Skills!J25/100)^Skills!K25</f>
        <v/>
      </c>
      <c r="I181" t="inlineStr">
        <is>
          <t>1</t>
        </is>
      </c>
      <c r="J181" t="inlineStr"/>
      <c r="K181" t="inlineStr"/>
      <c r="L181" t="inlineStr"/>
      <c r="M181" t="inlineStr"/>
      <c r="N181" t="inlineStr"/>
      <c r="O181" t="n">
        <v>0</v>
      </c>
      <c r="P181">
        <f>IF(B194=0,0,O181/B194)</f>
        <v/>
      </c>
      <c r="Q181" t="n">
        <v>0</v>
      </c>
      <c r="R181" t="n">
        <v>0</v>
      </c>
      <c r="S181">
        <f>IFERROR(O181/N181,0)</f>
        <v/>
      </c>
    </row>
    <row r="182">
      <c r="A182">
        <f>Skills!A26</f>
        <v/>
      </c>
      <c r="B182">
        <f>Skills!B26</f>
        <v/>
      </c>
      <c r="C182">
        <f>Inputs!$B$3&gt;=75</f>
        <v/>
      </c>
      <c r="D182">
        <f>IF(Skills!C26=1,60+Inputs!$B$24+Inputs!$B$28,IF(Skills!C26=2,90+Inputs!$B$25+Inputs!$B$28,IF(Skills!C26=3,120+Inputs!$B$26+Inputs!$B$28,MAX(0,(Inputs!$B$3-100)*3)+Inputs!$B$27+Inputs!$B$28)))</f>
        <v/>
      </c>
      <c r="E182">
        <f>INDEX(FactorTable!$B$2:$Y$301, MATCH(ROUND(MIN(300,MAX(1,D182)),0), FactorTable!$A$2:$A$301,0), Skills!M26+1)</f>
        <v/>
      </c>
      <c r="F182">
        <f>IF(Skills!N26=TRUE,(Skills!L26/10)*(E182/1000),Skills!L26/10)+Skills!O26</f>
        <v/>
      </c>
      <c r="G182">
        <f>Skills!G26*IF(Skills!H26&gt;0,Skills!I26/Skills!H26,1)</f>
        <v/>
      </c>
      <c r="H182">
        <f>1-(1-Skills!J26/100)^Skills!K26</f>
        <v/>
      </c>
      <c r="I182" t="inlineStr">
        <is>
          <t>1</t>
        </is>
      </c>
      <c r="J182" t="inlineStr"/>
      <c r="K182" t="inlineStr"/>
      <c r="L182" t="inlineStr"/>
      <c r="M182" t="inlineStr"/>
      <c r="N182" t="inlineStr"/>
      <c r="O182" t="n">
        <v>0</v>
      </c>
      <c r="P182">
        <f>IF(B194=0,0,O182/B194)</f>
        <v/>
      </c>
      <c r="Q182" t="n">
        <v>0</v>
      </c>
      <c r="R182" t="n">
        <v>0</v>
      </c>
      <c r="S182">
        <f>IFERROR(O182/N182,0)</f>
        <v/>
      </c>
    </row>
    <row r="183">
      <c r="A183">
        <f>Skills!A27</f>
        <v/>
      </c>
      <c r="B183">
        <f>Skills!B27</f>
        <v/>
      </c>
      <c r="C183">
        <f>Inputs!$B$3&gt;=117</f>
        <v/>
      </c>
      <c r="D183">
        <f>IF(Skills!C27=1,60+Inputs!$B$24+Inputs!$B$28,IF(Skills!C27=2,90+Inputs!$B$25+Inputs!$B$28,IF(Skills!C27=3,120+Inputs!$B$26+Inputs!$B$28,MAX(0,(Inputs!$B$3-100)*3)+Inputs!$B$27+Inputs!$B$28)))</f>
        <v/>
      </c>
      <c r="E183">
        <f>INDEX(FactorTable!$B$2:$Y$301, MATCH(ROUND(MIN(300,MAX(1,D183)),0), FactorTable!$A$2:$A$301,0), Skills!M27+1)</f>
        <v/>
      </c>
      <c r="F183">
        <f>IF(Skills!N27=TRUE,(Skills!L27/10)*(E183/1000),Skills!L27/10)+Skills!O27</f>
        <v/>
      </c>
      <c r="G183">
        <f>Skills!G27*IF(Skills!H27&gt;0,Skills!I27/Skills!H27,1)</f>
        <v/>
      </c>
      <c r="H183">
        <f>1-(1-Skills!J27/100)^Skills!K27</f>
        <v/>
      </c>
      <c r="I183" t="inlineStr">
        <is>
          <t>1</t>
        </is>
      </c>
      <c r="J183" t="inlineStr"/>
      <c r="K183" t="inlineStr"/>
      <c r="L183" t="inlineStr"/>
      <c r="M183" t="inlineStr"/>
      <c r="N183" t="inlineStr"/>
      <c r="O183" t="n">
        <v>0</v>
      </c>
      <c r="P183">
        <f>IF(B194=0,0,O183/B194)</f>
        <v/>
      </c>
      <c r="Q183" t="n">
        <v>0</v>
      </c>
      <c r="R183" t="n">
        <v>0</v>
      </c>
      <c r="S183">
        <f>IFERROR(O183/N183,0)</f>
        <v/>
      </c>
    </row>
    <row r="185">
      <c r="A185" t="inlineStr">
        <is>
          <t>Attack% Bucket Multiplier</t>
        </is>
      </c>
      <c r="B185">
        <f>(1+(((C173=TRUE)*F173)+((C180=TRUE)*(F180-Calc!F24)))/100)</f>
        <v/>
      </c>
    </row>
    <row r="186">
      <c r="A186" t="inlineStr">
        <is>
          <t>Global Crit Rate Bonus %</t>
        </is>
      </c>
      <c r="B186" t="n">
        <v>0</v>
      </c>
    </row>
    <row r="187">
      <c r="A187" t="inlineStr">
        <is>
          <t>Attack Speed Buff Bonus % (unused)</t>
        </is>
      </c>
      <c r="B187" t="n">
        <v>0</v>
      </c>
    </row>
    <row r="188">
      <c r="A188" t="inlineStr">
        <is>
          <t>Actions Per Second</t>
        </is>
      </c>
      <c r="B188">
        <f>1+MIN(150,150*(1-(1-(Inputs!$B$10+((C176=TRUE)*(F176-Calc!F20))+((C177=TRUE)*(F177-Calc!F21)))/150)*(1-B187/150)))/100</f>
        <v/>
      </c>
    </row>
    <row r="189">
      <c r="A189" t="inlineStr">
        <is>
          <t>Skill + Buff Cast Rate</t>
        </is>
      </c>
      <c r="B189">
        <f>IF(AND(Inputs!$B$4&lt;&gt;"pvp",Inputs!$B$35&gt;0),SUMPRODUCT((Skills!E2:E27=TRUE)*(C158:C183=TRUE)*R158:R183*Skills!F2:F27)/Inputs!$B$35,SUMPRODUCT((Skills!E2:E27=TRUE)*(C158:C183=TRUE)*Q158:Q183*Skills!F2:F27))</f>
        <v/>
      </c>
    </row>
    <row r="190">
      <c r="A190" t="inlineStr">
        <is>
          <t>Eight-Legs Easton Casts Per Second</t>
        </is>
      </c>
      <c r="B190">
        <f>MAX(0,B188-B189)</f>
        <v/>
      </c>
    </row>
    <row r="191">
      <c r="A191" t="inlineStr">
        <is>
          <t>Global Critical Damage Bonus % (unused)</t>
        </is>
      </c>
      <c r="B191" t="n">
        <v>0</v>
      </c>
    </row>
    <row r="192">
      <c r="A192" t="inlineStr">
        <is>
          <t>Global Final Damage Bonus % (Jolly Roger only)</t>
        </is>
      </c>
      <c r="B192">
        <f>((C174=TRUE)*F174)</f>
        <v/>
      </c>
    </row>
    <row r="194">
      <c r="A194" s="5" t="inlineStr">
        <is>
          <t>TOTAL DPS</t>
        </is>
      </c>
      <c r="B194" s="5">
        <f>SUM(O158:O183)</f>
        <v/>
      </c>
    </row>
    <row r="197">
      <c r="A197" s="5" t="inlineStr">
        <is>
          <t>Stat: DAMAGE_AMP %</t>
        </is>
      </c>
    </row>
    <row r="198">
      <c r="A198" s="8" t="inlineStr">
        <is>
          <t>Key</t>
        </is>
      </c>
      <c r="B198" s="8" t="inlineStr">
        <is>
          <t>Name</t>
        </is>
      </c>
      <c r="C198" s="8" t="inlineStr">
        <is>
          <t>Unlocked</t>
        </is>
      </c>
      <c r="D198" s="8" t="inlineStr">
        <is>
          <t>InputLevel</t>
        </is>
      </c>
      <c r="E198" s="8" t="inlineStr">
        <is>
          <t>Factor</t>
        </is>
      </c>
      <c r="F198" s="8" t="inlineStr">
        <is>
          <t>CoefficientPercent</t>
        </is>
      </c>
      <c r="G198" s="8" t="inlineStr">
        <is>
          <t>EffectiveHits</t>
        </is>
      </c>
      <c r="H198" s="8" t="inlineStr">
        <is>
          <t>ProcProbability</t>
        </is>
      </c>
      <c r="I198" s="8" t="inlineStr">
        <is>
          <t>MapleHeroMultiplier</t>
        </is>
      </c>
      <c r="J198" s="8" t="inlineStr">
        <is>
          <t>BaseDamage</t>
        </is>
      </c>
      <c r="K198" s="8" t="inlineStr">
        <is>
          <t>BaseHitDamage</t>
        </is>
      </c>
      <c r="L198" s="8" t="inlineStr">
        <is>
          <t>NonCritAvg</t>
        </is>
      </c>
      <c r="M198" s="8" t="inlineStr">
        <is>
          <t>CritAvg</t>
        </is>
      </c>
      <c r="N198" s="8" t="inlineStr">
        <is>
          <t>ExpectedDamage(perHit)</t>
        </is>
      </c>
      <c r="O198" s="8" t="inlineStr">
        <is>
          <t>DPS</t>
        </is>
      </c>
      <c r="P198" s="8" t="inlineStr">
        <is>
          <t>% of Total</t>
        </is>
      </c>
      <c r="Q198" s="8" t="inlineStr">
        <is>
          <t>InvCooldown</t>
        </is>
      </c>
      <c r="R198" s="8" t="inlineStr">
        <is>
          <t>CastsInFight</t>
        </is>
      </c>
      <c r="S198" s="8" t="inlineStr">
        <is>
          <t>HitRate(perSec)</t>
        </is>
      </c>
      <c r="U198" t="inlineStr">
        <is>
          <t>helpers</t>
        </is>
      </c>
    </row>
    <row r="199">
      <c r="A199">
        <f>Skills!A2</f>
        <v/>
      </c>
      <c r="B199">
        <f>Skills!B2</f>
        <v/>
      </c>
      <c r="C199">
        <f>Inputs!$B$3&gt;=100</f>
        <v/>
      </c>
      <c r="D199" t="inlineStr"/>
      <c r="E199" t="inlineStr"/>
      <c r="F199">
        <f>U201+Skills!O2</f>
        <v/>
      </c>
      <c r="G199">
        <f>Skills!G2*IF(Skills!H2&gt;0,Skills!I2/Skills!H2,1)</f>
        <v/>
      </c>
      <c r="H199">
        <f>1-(1-Skills!J2/100)^Skills!K2</f>
        <v/>
      </c>
      <c r="I199" t="inlineStr">
        <is>
          <t>1</t>
        </is>
      </c>
      <c r="J199">
        <f>(Inputs!$B$5*(1+Inputs!$B$6/100))*(F199/100)</f>
        <v/>
      </c>
      <c r="K199">
        <f>J199*(1+((Inputs!$B$11*(1+Inputs!$B$12/100))*0.01+Inputs!$B$13*0.0025)/100)*(1+Inputs!$B$14/100)*(1+IF(Inputs!$B$4="pvp",0,(1-Summary!$B$55)*(Inputs!$B$19+0+Skills!P2)+Summary!$B$55*(Inputs!$B$20+Skills!Q2))/100)*(1+(Inputs!$B$15+1)/100)*(5000/(6000+Inputs!$B$7*(1-(Inputs!$B$18+0)/100)))*(1+(Inputs!$B$23+((C223=TRUE)*(F223-Calc!F26))+B233)/100)*(1+(IF(Skills!A2="EIGHT_LEGS_EASTON",Inputs!$B$16+((C220=TRUE)*(F220-Calc!F23))+((C224=TRUE)*(F224-Calc!F27)),Inputs!$B$17+0))/100)*((1+(((C214=TRUE)*F214)+((C221=TRUE)*(F221-Calc!F24)))/100)*I199)</f>
        <v/>
      </c>
      <c r="L199">
        <f>K199*(MIN(Inputs!$B$21+((C219=TRUE)*(F219-Calc!F22)),Inputs!$B$22+0)/100+(Inputs!$B$22+0)/100)/2</f>
        <v/>
      </c>
      <c r="M199">
        <f>L199*(1+(Inputs!$B$9+((C222=TRUE)*(F222-Calc!F25))+B232)/100)</f>
        <v/>
      </c>
      <c r="N199">
        <f>L199*(1-MIN((Inputs!$B$8+((C216=TRUE)*(F216-Calc!F19))+B227),100)/100)+M199*(MIN((Inputs!$B$8+((C216=TRUE)*(F216-Calc!F19))+B227),100)/100)</f>
        <v/>
      </c>
      <c r="O199">
        <f>IF(C199,Skills!G2*N199*B231*IF(Inputs!$B$4="pvp",1,(1-Summary!$B$55)*(1)+Summary!$B$55*(MIN((6+Inputs!$B$32),Inputs!$B$37))),0)</f>
        <v/>
      </c>
      <c r="P199">
        <f>IF(B235=0,0,O199/B235)</f>
        <v/>
      </c>
      <c r="Q199" t="n">
        <v>0</v>
      </c>
      <c r="R199" t="n">
        <v>0</v>
      </c>
      <c r="S199">
        <f>IFERROR(O199/N199,0)</f>
        <v/>
      </c>
      <c r="U199">
        <f>MAX(0,(Inputs!$B$3-100)*3)+Inputs!$B$27+Inputs!$B$28</f>
        <v/>
      </c>
    </row>
    <row r="200">
      <c r="A200">
        <f>Skills!A3</f>
        <v/>
      </c>
      <c r="B200">
        <f>Skills!B3</f>
        <v/>
      </c>
      <c r="C200">
        <f>Inputs!$B$3&gt;=35</f>
        <v/>
      </c>
      <c r="D200">
        <f>IF(Skills!C3=1,60+Inputs!$B$24+Inputs!$B$28,IF(Skills!C3=2,90+Inputs!$B$25+Inputs!$B$28,IF(Skills!C3=3,120+Inputs!$B$26+Inputs!$B$28,MAX(0,(Inputs!$B$3-100)*3)+Inputs!$B$27+Inputs!$B$28)))</f>
        <v/>
      </c>
      <c r="E200">
        <f>INDEX(FactorTable!$B$2:$Y$301, MATCH(ROUND(MIN(300,MAX(1,D200)),0), FactorTable!$A$2:$A$301,0), Skills!M3+1)</f>
        <v/>
      </c>
      <c r="F200">
        <f>IF(Skills!N3=TRUE,(Skills!L3/10)*(E200/1000),Skills!L3/10)+Skills!O3</f>
        <v/>
      </c>
      <c r="G200">
        <f>Skills!G3*IF(Skills!H3&gt;0,Skills!I3/Skills!H3,1)</f>
        <v/>
      </c>
      <c r="H200">
        <f>1-(1-Skills!J3/100)^Skills!K3</f>
        <v/>
      </c>
      <c r="I200" t="inlineStr">
        <is>
          <t>1</t>
        </is>
      </c>
      <c r="J200">
        <f>(Inputs!$B$5*(1+Inputs!$B$6/100))*(F200/100)</f>
        <v/>
      </c>
      <c r="K200">
        <f>J200*(1+((Inputs!$B$11*(1+Inputs!$B$12/100))*0.01+Inputs!$B$13*0.0025)/100)*(1+Inputs!$B$14/100)*(1+IF(Inputs!$B$4="pvp",0,(1-Summary!$B$55)*(Inputs!$B$19+0+Skills!P3)+Summary!$B$55*(Inputs!$B$20+Skills!Q3))/100)*(1+(Inputs!$B$15+1)/100)*(5000/(6000+Inputs!$B$7*(1-(Inputs!$B$18+0)/100)))*(1+(Inputs!$B$23+((C223=TRUE)*(F223-Calc!F26))+B233)/100)*(1+4.0*IF(C212=TRUE,F212,0)/100)*(1+(IF(Skills!A3="EIGHT_LEGS_EASTON",Inputs!$B$16+((C220=TRUE)*(F220-Calc!F23))+((C224=TRUE)*(F224-Calc!F27)),Inputs!$B$17+0))/100)*((1+(((C214=TRUE)*F214)+((C221=TRUE)*(F221-Calc!F24)))/100)*I200)</f>
        <v/>
      </c>
      <c r="L200">
        <f>K200*(MIN(Inputs!$B$21+((C219=TRUE)*(F219-Calc!F22)),Inputs!$B$22+0)/100+(Inputs!$B$22+0)/100)/2</f>
        <v/>
      </c>
      <c r="M200">
        <f>L200*(1+(Inputs!$B$9+((C222=TRUE)*(F222-Calc!F25))+B232)/100)</f>
        <v/>
      </c>
      <c r="N200">
        <f>L200*(1-MIN((Inputs!$B$8+((C216=TRUE)*(F216-Calc!F19))+B227),100)/100)+M200*(MIN((Inputs!$B$8+((C216=TRUE)*(F216-Calc!F19))+B227),100)/100)</f>
        <v/>
      </c>
      <c r="O200">
        <f>IF(C200,H200*N200*IF(AND(Inputs!$B$4&lt;&gt;"pvp",Inputs!$B$35&gt;0),((Skills!G3*((R200-1)*IF(Skills!H3&gt;0,Skills!I3/Skills!H3,1)+IF(Skills!H3&gt;0,MIN(Skills!I3,MAX(0,Inputs!$B$35-((R200-1)*IF(Inputs!$B$4="pvp",15,MAX(0.1,Skills!D3-IF(Skills!E3=TRUE,Inputs!$B$31,0))))))/Skills!H3,1)))/Inputs!$B$35),G200*Q200)*IF(Inputs!$B$4="pvp",1,(1-Summary!$B$55)*(1)+Summary!$B$55*(MIN(Skills!R3,Inputs!$B$37))),0)</f>
        <v/>
      </c>
      <c r="P200">
        <f>IF(B235=0,0,O200/B235)</f>
        <v/>
      </c>
      <c r="Q200">
        <f>IFERROR(1/IF(Inputs!$B$4="pvp",15,MAX(0.1,Skills!D3-IF(Skills!E3=TRUE,Inputs!$B$31,0))),0)</f>
        <v/>
      </c>
      <c r="R200">
        <f>IF(AND(Inputs!$B$4&lt;&gt;"pvp",Inputs!$B$35&gt;0),(INT(Inputs!$B$35/IF(Inputs!$B$4="pvp",15,MAX(0.1,Skills!D3-IF(Skills!E3=TRUE,Inputs!$B$31,0))))+1),0)</f>
        <v/>
      </c>
      <c r="S200">
        <f>IFERROR(O200/N200,0)</f>
        <v/>
      </c>
      <c r="U200">
        <f>INDEX(FactorTable!$B$2:$Y$301, MATCH(ROUND(MIN(300,MAX(1,U199)),0), FactorTable!$A$2:$A$301,0), 22)</f>
        <v/>
      </c>
    </row>
    <row r="201">
      <c r="A201">
        <f>Skills!A4</f>
        <v/>
      </c>
      <c r="B201">
        <f>Skills!B4</f>
        <v/>
      </c>
      <c r="C201">
        <f>Inputs!$B$3&gt;=40</f>
        <v/>
      </c>
      <c r="D201">
        <f>IF(Skills!C4=1,60+Inputs!$B$24+Inputs!$B$28,IF(Skills!C4=2,90+Inputs!$B$25+Inputs!$B$28,IF(Skills!C4=3,120+Inputs!$B$26+Inputs!$B$28,MAX(0,(Inputs!$B$3-100)*3)+Inputs!$B$27+Inputs!$B$28)))</f>
        <v/>
      </c>
      <c r="E201">
        <f>INDEX(FactorTable!$B$2:$Y$301, MATCH(ROUND(MIN(300,MAX(1,D201)),0), FactorTable!$A$2:$A$301,0), Skills!M4+1)</f>
        <v/>
      </c>
      <c r="F201">
        <f>IF(Skills!N4=TRUE,(Skills!L4/10)*(E201/1000),Skills!L4/10)+Skills!O4</f>
        <v/>
      </c>
      <c r="G201">
        <f>Skills!G4*IF(Skills!H4&gt;0,Skills!I4/Skills!H4,1)</f>
        <v/>
      </c>
      <c r="H201">
        <f>1-(1-Skills!J4/100)^Skills!K4</f>
        <v/>
      </c>
      <c r="I201" t="inlineStr">
        <is>
          <t>1</t>
        </is>
      </c>
      <c r="J201">
        <f>(Inputs!$B$5*(1+Inputs!$B$6/100))*(F201/100)</f>
        <v/>
      </c>
      <c r="K201">
        <f>J201*(1+((Inputs!$B$11*(1+Inputs!$B$12/100))*0.01+Inputs!$B$13*0.0025)/100)*(1+Inputs!$B$14/100)*(1+IF(Inputs!$B$4="pvp",0,(1-Summary!$B$55)*(Inputs!$B$19+0+Skills!P4)+Summary!$B$55*(Inputs!$B$20+Skills!Q4))/100)*(1+(Inputs!$B$15+1)/100)*(5000/(6000+Inputs!$B$7*(1-(Inputs!$B$18+0)/100)))*(1+(Inputs!$B$23+((C223=TRUE)*(F223-Calc!F26))+B233)/100)*(1+1.0*IF(C213=TRUE,F213,0)/100)*(1+(IF(Skills!A4="EIGHT_LEGS_EASTON",Inputs!$B$16+((C220=TRUE)*(F220-Calc!F23))+((C224=TRUE)*(F224-Calc!F27)),Inputs!$B$17+0))/100)*((1+(((C214=TRUE)*F214)+((C221=TRUE)*(F221-Calc!F24)))/100)*I201)</f>
        <v/>
      </c>
      <c r="L201">
        <f>K201*(MIN(Inputs!$B$21+((C219=TRUE)*(F219-Calc!F22)),Inputs!$B$22+0)/100+(Inputs!$B$22+0)/100)/2</f>
        <v/>
      </c>
      <c r="M201">
        <f>L201*(1+(Inputs!$B$9+((C222=TRUE)*(F222-Calc!F25))+B232)/100)</f>
        <v/>
      </c>
      <c r="N201">
        <f>L201*(1-MIN((Inputs!$B$8+((C216=TRUE)*(F216-Calc!F19))+B227),100)/100)+M201*(MIN((Inputs!$B$8+((C216=TRUE)*(F216-Calc!F19))+B227),100)/100)</f>
        <v/>
      </c>
      <c r="O201">
        <f>IF(C201,H201*N201*IF(AND(Inputs!$B$4&lt;&gt;"pvp",Inputs!$B$35&gt;0),((Skills!G4*((R201-1)*IF(Skills!H4&gt;0,Skills!I4/Skills!H4,1)+IF(Skills!H4&gt;0,MIN(Skills!I4,MAX(0,Inputs!$B$35-((R201-1)*IF(Inputs!$B$4="pvp",15,MAX(0.1,Skills!D4-IF(Skills!E4=TRUE,Inputs!$B$31,0))))))/Skills!H4,1)))/Inputs!$B$35),G201*Q201)*IF(Inputs!$B$4="pvp",1,(1-Summary!$B$55)*(1)+Summary!$B$55*(MIN(Skills!R4,Inputs!$B$37))),0)</f>
        <v/>
      </c>
      <c r="P201">
        <f>IF(B235=0,0,O201/B235)</f>
        <v/>
      </c>
      <c r="Q201">
        <f>IFERROR(1/IF(Inputs!$B$4="pvp",15,MAX(0.1,Skills!D4-IF(Skills!E4=TRUE,Inputs!$B$31,0))),0)</f>
        <v/>
      </c>
      <c r="R201">
        <f>IF(AND(Inputs!$B$4&lt;&gt;"pvp",Inputs!$B$35&gt;0),(INT(Inputs!$B$35/IF(Inputs!$B$4="pvp",15,MAX(0.1,Skills!D4-IF(Skills!E4=TRUE,Inputs!$B$31,0))))+1),0)</f>
        <v/>
      </c>
      <c r="S201">
        <f>IFERROR(O201/N201,0)</f>
        <v/>
      </c>
      <c r="U201">
        <f>290*U200/1000</f>
        <v/>
      </c>
    </row>
    <row r="202">
      <c r="A202">
        <f>Skills!A5</f>
        <v/>
      </c>
      <c r="B202">
        <f>Skills!B5</f>
        <v/>
      </c>
      <c r="C202">
        <f>Inputs!$B$3&gt;=45</f>
        <v/>
      </c>
      <c r="D202">
        <f>IF(Skills!C5=1,60+Inputs!$B$24+Inputs!$B$28,IF(Skills!C5=2,90+Inputs!$B$25+Inputs!$B$28,IF(Skills!C5=3,120+Inputs!$B$26+Inputs!$B$28,MAX(0,(Inputs!$B$3-100)*3)+Inputs!$B$27+Inputs!$B$28)))</f>
        <v/>
      </c>
      <c r="E202">
        <f>INDEX(FactorTable!$B$2:$Y$301, MATCH(ROUND(MIN(300,MAX(1,D202)),0), FactorTable!$A$2:$A$301,0), Skills!M5+1)</f>
        <v/>
      </c>
      <c r="F202">
        <f>IF(Skills!N5=TRUE,(Skills!L5/10)*(E202/1000),Skills!L5/10)+Skills!O5</f>
        <v/>
      </c>
      <c r="G202">
        <f>Skills!G5*IF(Skills!H5&gt;0,Skills!I5/Skills!H5,1)</f>
        <v/>
      </c>
      <c r="H202">
        <f>1-(1-Skills!J5/100)^Skills!K5</f>
        <v/>
      </c>
      <c r="I202" t="inlineStr">
        <is>
          <t>1</t>
        </is>
      </c>
      <c r="J202">
        <f>(Inputs!$B$5*(1+Inputs!$B$6/100))*(F202/100)</f>
        <v/>
      </c>
      <c r="K202">
        <f>J202*(1+((Inputs!$B$11*(1+Inputs!$B$12/100))*0.01+Inputs!$B$13*0.0025)/100)*(1+Inputs!$B$14/100)*(1+IF(Inputs!$B$4="pvp",0,(1-Summary!$B$55)*(Inputs!$B$19+0+Skills!P5)+Summary!$B$55*(Inputs!$B$20+Skills!Q5))/100)*(1+(Inputs!$B$15+1)/100)*(5000/(6000+Inputs!$B$7*(1-(Inputs!$B$18+0)/100)))*(1+(Inputs!$B$23+((C223=TRUE)*(F223-Calc!F26))+B233)/100)*(1+0.4*IF(C213=TRUE,F213,0)/100)*(1+(IF(Skills!A5="EIGHT_LEGS_EASTON",Inputs!$B$16+((C220=TRUE)*(F220-Calc!F23))+((C224=TRUE)*(F224-Calc!F27)),Inputs!$B$17+0))/100)*((1+(((C214=TRUE)*F214)+((C221=TRUE)*(F221-Calc!F24)))/100)*I202)</f>
        <v/>
      </c>
      <c r="L202">
        <f>K202*(MIN(Inputs!$B$21+((C219=TRUE)*(F219-Calc!F22)),Inputs!$B$22+0)/100+(Inputs!$B$22+0)/100)/2</f>
        <v/>
      </c>
      <c r="M202">
        <f>L202*(1+(Inputs!$B$9+((C222=TRUE)*(F222-Calc!F25))+B232)/100)</f>
        <v/>
      </c>
      <c r="N202">
        <f>L202*(1-MIN((Inputs!$B$8+((C216=TRUE)*(F216-Calc!F19))+B227),100)/100)+M202*(MIN((Inputs!$B$8+((C216=TRUE)*(F216-Calc!F19))+B227),100)/100)</f>
        <v/>
      </c>
      <c r="O202">
        <f>IF(C202,H202*N202*IF(AND(Inputs!$B$4&lt;&gt;"pvp",Inputs!$B$35&gt;0),((Skills!G5*((R202-1)*IF(Skills!H5&gt;0,Skills!I5/Skills!H5,1)+IF(Skills!H5&gt;0,MIN(Skills!I5,MAX(0,Inputs!$B$35-((R202-1)*IF(Inputs!$B$4="pvp",15,MAX(0.1,Skills!D5-IF(Skills!E5=TRUE,Inputs!$B$31,0))))))/Skills!H5,1)))/Inputs!$B$35),G202*Q202)*IF(Inputs!$B$4="pvp",1,(1-Summary!$B$55)*(1)+Summary!$B$55*(MIN(Skills!R5,Inputs!$B$37))),0)</f>
        <v/>
      </c>
      <c r="P202">
        <f>IF(B235=0,0,O202/B235)</f>
        <v/>
      </c>
      <c r="Q202">
        <f>IFERROR(1/IF(Inputs!$B$4="pvp",15,MAX(0.1,Skills!D5-IF(Skills!E5=TRUE,Inputs!$B$31,0))),0)</f>
        <v/>
      </c>
      <c r="R202">
        <f>IF(AND(Inputs!$B$4&lt;&gt;"pvp",Inputs!$B$35&gt;0),(INT(Inputs!$B$35/IF(Inputs!$B$4="pvp",15,MAX(0.1,Skills!D5-IF(Skills!E5=TRUE,Inputs!$B$31,0))))+1),0)</f>
        <v/>
      </c>
      <c r="S202">
        <f>IFERROR(O202/N202,0)</f>
        <v/>
      </c>
    </row>
    <row r="203">
      <c r="A203">
        <f>Skills!A6</f>
        <v/>
      </c>
      <c r="B203">
        <f>Skills!B6</f>
        <v/>
      </c>
      <c r="C203">
        <f>Inputs!$B$3&gt;=63</f>
        <v/>
      </c>
      <c r="D203">
        <f>IF(Skills!C6=1,60+Inputs!$B$24+Inputs!$B$28,IF(Skills!C6=2,90+Inputs!$B$25+Inputs!$B$28,IF(Skills!C6=3,120+Inputs!$B$26+Inputs!$B$28,MAX(0,(Inputs!$B$3-100)*3)+Inputs!$B$27+Inputs!$B$28)))</f>
        <v/>
      </c>
      <c r="E203">
        <f>INDEX(FactorTable!$B$2:$Y$301, MATCH(ROUND(MIN(300,MAX(1,D203)),0), FactorTable!$A$2:$A$301,0), Skills!M6+1)</f>
        <v/>
      </c>
      <c r="F203">
        <f>IF(Skills!N6=TRUE,(Skills!L6/10)*(E203/1000),Skills!L6/10)+Skills!O6</f>
        <v/>
      </c>
      <c r="G203">
        <f>Skills!G6*IF(Skills!H6&gt;0,Skills!I6/Skills!H6,1)</f>
        <v/>
      </c>
      <c r="H203">
        <f>1-(1-Skills!J6/100)^Skills!K6</f>
        <v/>
      </c>
      <c r="I203" t="inlineStr">
        <is>
          <t>1</t>
        </is>
      </c>
      <c r="J203">
        <f>(Inputs!$B$5*(1+Inputs!$B$6/100))*(F203/100)</f>
        <v/>
      </c>
      <c r="K203">
        <f>J203*(1+((Inputs!$B$11*(1+Inputs!$B$12/100))*0.01+Inputs!$B$13*0.0025)/100)*(1+Inputs!$B$14/100)*(1+IF(Inputs!$B$4="pvp",0,(1-Summary!$B$55)*(Inputs!$B$19+0+Skills!P6)+Summary!$B$55*(Inputs!$B$20+Skills!Q6))/100)*(1+(Inputs!$B$15+1)/100)*(5000/(6000+Inputs!$B$7*(1-(Inputs!$B$18+0)/100)))*(1+(Inputs!$B$23+((C223=TRUE)*(F223-Calc!F26))+B233)/100)*(1+2.0*IF(C212=TRUE,F212,0)/100)*(1+(IF(Skills!A6="EIGHT_LEGS_EASTON",Inputs!$B$16+((C220=TRUE)*(F220-Calc!F23))+((C224=TRUE)*(F224-Calc!F27)),Inputs!$B$17+0))/100)*((1+(((C214=TRUE)*F214)+((C221=TRUE)*(F221-Calc!F24)))/100)*I203)</f>
        <v/>
      </c>
      <c r="L203">
        <f>K203*(MIN(Inputs!$B$21+((C219=TRUE)*(F219-Calc!F22)),Inputs!$B$22+0)/100+(Inputs!$B$22+0)/100)/2</f>
        <v/>
      </c>
      <c r="M203">
        <f>L203*(1+(Inputs!$B$9+((C222=TRUE)*(F222-Calc!F25))+B232)/100)</f>
        <v/>
      </c>
      <c r="N203">
        <f>L203*(1-MIN((Inputs!$B$8+((C216=TRUE)*(F216-Calc!F19))+B227),100)/100)+M203*(MIN((Inputs!$B$8+((C216=TRUE)*(F216-Calc!F19))+B227),100)/100)</f>
        <v/>
      </c>
      <c r="O203">
        <f>IF(C203,H203*N203*IF(AND(Inputs!$B$4&lt;&gt;"pvp",Inputs!$B$35&gt;0),((Skills!G6*((R203-1)*IF(Skills!H6&gt;0,Skills!I6/Skills!H6,1)+IF(Skills!H6&gt;0,MIN(Skills!I6,MAX(0,Inputs!$B$35-((R203-1)*IF(Inputs!$B$4="pvp",15,MAX(0.1,Skills!D6-IF(Skills!E6=TRUE,Inputs!$B$31,0))))))/Skills!H6,1)))/Inputs!$B$35),G203*Q203)*IF(Inputs!$B$4="pvp",1,(1-Summary!$B$55)*(1)+Summary!$B$55*(MIN(Skills!R6,Inputs!$B$37))),0)</f>
        <v/>
      </c>
      <c r="P203">
        <f>IF(B235=0,0,O203/B235)</f>
        <v/>
      </c>
      <c r="Q203">
        <f>IFERROR(1/IF(Inputs!$B$4="pvp",15,MAX(0.1,Skills!D6-IF(Skills!E6=TRUE,Inputs!$B$31,0))),0)</f>
        <v/>
      </c>
      <c r="R203">
        <f>IF(AND(Inputs!$B$4&lt;&gt;"pvp",Inputs!$B$35&gt;0),(INT(Inputs!$B$35/IF(Inputs!$B$4="pvp",15,MAX(0.1,Skills!D6-IF(Skills!E6=TRUE,Inputs!$B$31,0))))+1),0)</f>
        <v/>
      </c>
      <c r="S203">
        <f>IFERROR(O203/N203,0)</f>
        <v/>
      </c>
    </row>
    <row r="204">
      <c r="A204">
        <f>Skills!A7</f>
        <v/>
      </c>
      <c r="B204">
        <f>Skills!B7</f>
        <v/>
      </c>
      <c r="C204">
        <f>Inputs!$B$3&gt;=66</f>
        <v/>
      </c>
      <c r="D204">
        <f>IF(Skills!C7=1,60+Inputs!$B$24+Inputs!$B$28,IF(Skills!C7=2,90+Inputs!$B$25+Inputs!$B$28,IF(Skills!C7=3,120+Inputs!$B$26+Inputs!$B$28,MAX(0,(Inputs!$B$3-100)*3)+Inputs!$B$27+Inputs!$B$28)))</f>
        <v/>
      </c>
      <c r="E204">
        <f>INDEX(FactorTable!$B$2:$Y$301, MATCH(ROUND(MIN(300,MAX(1,D204)),0), FactorTable!$A$2:$A$301,0), Skills!M7+1)</f>
        <v/>
      </c>
      <c r="F204">
        <f>IF(Skills!N7=TRUE,(Skills!L7/10)*(E204/1000),Skills!L7/10)+Skills!O7</f>
        <v/>
      </c>
      <c r="G204">
        <f>Skills!G7*IF(Skills!H7&gt;0,Skills!I7/Skills!H7,1)</f>
        <v/>
      </c>
      <c r="H204">
        <f>1-(1-Skills!J7/100)^Skills!K7</f>
        <v/>
      </c>
      <c r="I204" t="inlineStr">
        <is>
          <t>1</t>
        </is>
      </c>
      <c r="J204">
        <f>(Inputs!$B$5*(1+Inputs!$B$6/100))*(F204/100)</f>
        <v/>
      </c>
      <c r="K204">
        <f>J204*(1+((Inputs!$B$11*(1+Inputs!$B$12/100))*0.01+Inputs!$B$13*0.0025)/100)*(1+Inputs!$B$14/100)*(1+IF(Inputs!$B$4="pvp",0,(1-Summary!$B$55)*(Inputs!$B$19+0+Skills!P7)+Summary!$B$55*(Inputs!$B$20+Skills!Q7))/100)*(1+(Inputs!$B$15+1)/100)*(5000/(6000+Inputs!$B$7*(1-(Inputs!$B$18+0)/100)))*(1+(Inputs!$B$23+((C223=TRUE)*(F223-Calc!F26))+B233)/100)*(1+1.0*IF(C212=TRUE,F212,0)/100)*(1+(IF(Skills!A7="EIGHT_LEGS_EASTON",Inputs!$B$16+((C220=TRUE)*(F220-Calc!F23))+((C224=TRUE)*(F224-Calc!F27)),Inputs!$B$17+0))/100)*((1+(((C214=TRUE)*F214)+((C221=TRUE)*(F221-Calc!F24)))/100)*I204)</f>
        <v/>
      </c>
      <c r="L204">
        <f>K204*(MIN(Inputs!$B$21+((C219=TRUE)*(F219-Calc!F22)),Inputs!$B$22+0)/100+(Inputs!$B$22+0)/100)/2</f>
        <v/>
      </c>
      <c r="M204">
        <f>L204*(1+(Inputs!$B$9+((C222=TRUE)*(F222-Calc!F25))+B232)/100)</f>
        <v/>
      </c>
      <c r="N204">
        <f>L204*(1-MIN((Inputs!$B$8+((C216=TRUE)*(F216-Calc!F19))+B227),100)/100)+M204*(MIN((Inputs!$B$8+((C216=TRUE)*(F216-Calc!F19))+B227),100)/100)</f>
        <v/>
      </c>
      <c r="O204">
        <f>IF(C204,H204*N204*IF(AND(Inputs!$B$4&lt;&gt;"pvp",Inputs!$B$35&gt;0),((Skills!G7*((R204-1)*IF(Skills!H7&gt;0,Skills!I7/Skills!H7,1)+IF(Skills!H7&gt;0,MIN(Skills!I7,MAX(0,Inputs!$B$35-((R204-1)*IF(Inputs!$B$4="pvp",15,MAX(0.1,Skills!D7-IF(Skills!E7=TRUE,Inputs!$B$31,0))))))/Skills!H7,1)))/Inputs!$B$35),G204*Q204)*IF(Inputs!$B$4="pvp",1,(1-Summary!$B$55)*(1)+Summary!$B$55*(MIN(Skills!R7,Inputs!$B$37))),0)</f>
        <v/>
      </c>
      <c r="P204">
        <f>IF(B235=0,0,O204/B235)</f>
        <v/>
      </c>
      <c r="Q204">
        <f>IFERROR(1/IF(Inputs!$B$4="pvp",15,MAX(0.1,Skills!D7-IF(Skills!E7=TRUE,Inputs!$B$31,0))),0)</f>
        <v/>
      </c>
      <c r="R204">
        <f>IF(AND(Inputs!$B$4&lt;&gt;"pvp",Inputs!$B$35&gt;0),(INT(Inputs!$B$35/IF(Inputs!$B$4="pvp",15,MAX(0.1,Skills!D7-IF(Skills!E7=TRUE,Inputs!$B$31,0))))+1),0)</f>
        <v/>
      </c>
      <c r="S204">
        <f>IFERROR(O204/N204,0)</f>
        <v/>
      </c>
    </row>
    <row r="205">
      <c r="A205">
        <f>Skills!A8</f>
        <v/>
      </c>
      <c r="B205">
        <f>Skills!B8</f>
        <v/>
      </c>
      <c r="C205">
        <f>Inputs!$B$3&gt;=100</f>
        <v/>
      </c>
      <c r="D205">
        <f>IF(Skills!C8=1,60+Inputs!$B$24+Inputs!$B$28,IF(Skills!C8=2,90+Inputs!$B$25+Inputs!$B$28,IF(Skills!C8=3,120+Inputs!$B$26+Inputs!$B$28,MAX(0,(Inputs!$B$3-100)*3)+Inputs!$B$27+Inputs!$B$28)))</f>
        <v/>
      </c>
      <c r="E205">
        <f>INDEX(FactorTable!$B$2:$Y$301, MATCH(ROUND(MIN(300,MAX(1,D205)),0), FactorTable!$A$2:$A$301,0), Skills!M8+1)</f>
        <v/>
      </c>
      <c r="F205">
        <f>IF(Skills!N8=TRUE,(Skills!L8/10)*(E205/1000),Skills!L8/10)+Skills!O8</f>
        <v/>
      </c>
      <c r="G205">
        <f>Skills!G8*IF(Skills!H8&gt;0,Skills!I8/Skills!H8,1)</f>
        <v/>
      </c>
      <c r="H205">
        <f>1-(1-Skills!J8/100)^Skills!K8</f>
        <v/>
      </c>
      <c r="I205" t="inlineStr">
        <is>
          <t>1</t>
        </is>
      </c>
      <c r="J205">
        <f>(Inputs!$B$5*(1+Inputs!$B$6/100))*(F205/100)</f>
        <v/>
      </c>
      <c r="K205">
        <f>J205*(1+((Inputs!$B$11*(1+Inputs!$B$12/100))*0.01+Inputs!$B$13*0.0025)/100)*(1+Inputs!$B$14/100)*(1+IF(Inputs!$B$4="pvp",0,(1-Summary!$B$55)*(Inputs!$B$19+0+Skills!P8)+Summary!$B$55*(Inputs!$B$20+Skills!Q8))/100)*(1+(Inputs!$B$15+1)/100)*(5000/(6000+Inputs!$B$7*(1-(Inputs!$B$18+0)/100)))*(1+(Inputs!$B$23+((C223=TRUE)*(F223-Calc!F26))+B233)/100)*(1+(IF(Skills!A8="EIGHT_LEGS_EASTON",Inputs!$B$16+((C220=TRUE)*(F220-Calc!F23))+((C224=TRUE)*(F224-Calc!F27)),Inputs!$B$17+0))/100)*((1+(((C214=TRUE)*F214)+((C221=TRUE)*(F221-Calc!F24)))/100)*I205)</f>
        <v/>
      </c>
      <c r="L205">
        <f>K205*(MIN(Inputs!$B$21+((C219=TRUE)*(F219-Calc!F22)),Inputs!$B$22+0)/100+(Inputs!$B$22+0)/100)/2</f>
        <v/>
      </c>
      <c r="M205">
        <f>L205*(1+(Inputs!$B$9+((C222=TRUE)*(F222-Calc!F25))+B232)/100)</f>
        <v/>
      </c>
      <c r="N205">
        <f>L205*(1-MIN((Inputs!$B$8+((C216=TRUE)*(F216-Calc!F19))+B227),100)/100)+M205*(MIN((Inputs!$B$8+((C216=TRUE)*(F216-Calc!F19))+B227),100)/100)</f>
        <v/>
      </c>
      <c r="O205">
        <f>IF(C205,H205*N205*IF(AND(Inputs!$B$4&lt;&gt;"pvp",Inputs!$B$35&gt;0),((Skills!G8*((R205-1)*IF(Skills!H8&gt;0,Skills!I8/Skills!H8,1)+IF(Skills!H8&gt;0,MIN(Skills!I8,MAX(0,Inputs!$B$35-((R205-1)*IF(Inputs!$B$4="pvp",15,MAX(0.1,Skills!D8-IF(Skills!E8=TRUE,Inputs!$B$31,0))))))/Skills!H8,1)))/Inputs!$B$35),G205*Q205)*IF(Inputs!$B$4="pvp",1,(1-Summary!$B$55)*(1)+Summary!$B$55*(MIN(Skills!R8,Inputs!$B$37))),0)</f>
        <v/>
      </c>
      <c r="P205">
        <f>IF(B235=0,0,O205/B235)</f>
        <v/>
      </c>
      <c r="Q205">
        <f>IFERROR(1/IF(Inputs!$B$4="pvp",15,MAX(0.1,Skills!D8-IF(Skills!E8=TRUE,Inputs!$B$31,0))),0)</f>
        <v/>
      </c>
      <c r="R205">
        <f>IF(AND(Inputs!$B$4&lt;&gt;"pvp",Inputs!$B$35&gt;0),(INT(Inputs!$B$35/IF(Inputs!$B$4="pvp",15,MAX(0.1,Skills!D8-IF(Skills!E8=TRUE,Inputs!$B$31,0))))+1),0)</f>
        <v/>
      </c>
      <c r="S205">
        <f>IFERROR(O205/N205,0)</f>
        <v/>
      </c>
    </row>
    <row r="206">
      <c r="A206">
        <f>Skills!A9</f>
        <v/>
      </c>
      <c r="B206">
        <f>Skills!B9</f>
        <v/>
      </c>
      <c r="C206">
        <f>Inputs!$B$3&gt;=103</f>
        <v/>
      </c>
      <c r="D206">
        <f>IF(Skills!C9=1,60+Inputs!$B$24+Inputs!$B$28,IF(Skills!C9=2,90+Inputs!$B$25+Inputs!$B$28,IF(Skills!C9=3,120+Inputs!$B$26+Inputs!$B$28,MAX(0,(Inputs!$B$3-100)*3)+Inputs!$B$27+Inputs!$B$28)))</f>
        <v/>
      </c>
      <c r="E206">
        <f>INDEX(FactorTable!$B$2:$Y$301, MATCH(ROUND(MIN(300,MAX(1,D206)),0), FactorTable!$A$2:$A$301,0), Skills!M9+1)</f>
        <v/>
      </c>
      <c r="F206">
        <f>IF(Skills!N9=TRUE,(Skills!L9/10)*(E206/1000),Skills!L9/10)+Skills!O9</f>
        <v/>
      </c>
      <c r="G206">
        <f>Skills!G9*IF(Skills!H9&gt;0,Skills!I9/Skills!H9,1)</f>
        <v/>
      </c>
      <c r="H206">
        <f>1-(1-Skills!J9/100)^Skills!K9</f>
        <v/>
      </c>
      <c r="I206" t="inlineStr">
        <is>
          <t>1</t>
        </is>
      </c>
      <c r="J206">
        <f>(Inputs!$B$5*(1+Inputs!$B$6/100))*(F206/100)</f>
        <v/>
      </c>
      <c r="K206">
        <f>J206*(1+((Inputs!$B$11*(1+Inputs!$B$12/100))*0.01+Inputs!$B$13*0.0025)/100)*(1+Inputs!$B$14/100)*(1+IF(Inputs!$B$4="pvp",0,(1-Summary!$B$55)*(Inputs!$B$19+0+Skills!P9)+Summary!$B$55*(Inputs!$B$20+Skills!Q9))/100)*(1+(Inputs!$B$15+1)/100)*(5000/(6000+Inputs!$B$7*(1-(Inputs!$B$18+0)/100)))*(1+(Inputs!$B$23+((C223=TRUE)*(F223-Calc!F26))+B233)/100)*(1+(IF(Skills!A9="EIGHT_LEGS_EASTON",Inputs!$B$16+((C220=TRUE)*(F220-Calc!F23))+((C224=TRUE)*(F224-Calc!F27)),Inputs!$B$17+0))/100)*((1+(((C214=TRUE)*F214)+((C221=TRUE)*(F221-Calc!F24)))/100)*I206)</f>
        <v/>
      </c>
      <c r="L206">
        <f>K206*(MIN(Inputs!$B$21+((C219=TRUE)*(F219-Calc!F22)),Inputs!$B$22+0)/100+(Inputs!$B$22+0)/100)/2</f>
        <v/>
      </c>
      <c r="M206">
        <f>L206*(1+(Inputs!$B$9+((C222=TRUE)*(F222-Calc!F25))+B232)/100)</f>
        <v/>
      </c>
      <c r="N206">
        <f>L206*(1-MIN((Inputs!$B$8+((C216=TRUE)*(F216-Calc!F19))+B227),100)/100)+M206*(MIN((Inputs!$B$8+((C216=TRUE)*(F216-Calc!F19))+B227),100)/100)</f>
        <v/>
      </c>
      <c r="O206">
        <f>IF(C206,H206*N206*IF(AND(Inputs!$B$4&lt;&gt;"pvp",Inputs!$B$35&gt;0),((Skills!G9*((R206-1)*IF(Skills!H9&gt;0,Skills!I9/Skills!H9,1)+IF(Skills!H9&gt;0,MIN(Skills!I9,MAX(0,Inputs!$B$35-((R206-1)*IF(Inputs!$B$4="pvp",15,MAX(0.1,Skills!D9-IF(Skills!E9=TRUE,Inputs!$B$31,0))))))/Skills!H9,1)))/Inputs!$B$35),G206*Q206)*IF(Inputs!$B$4="pvp",1,(1-Summary!$B$55)*(1)+Summary!$B$55*(MIN(Skills!R9,Inputs!$B$37))),0)</f>
        <v/>
      </c>
      <c r="P206">
        <f>IF(B235=0,0,O206/B235)</f>
        <v/>
      </c>
      <c r="Q206">
        <f>IFERROR(1/IF(Inputs!$B$4="pvp",15,MAX(0.1,Skills!D9-IF(Skills!E9=TRUE,Inputs!$B$31,0))),0)</f>
        <v/>
      </c>
      <c r="R206">
        <f>IF(AND(Inputs!$B$4&lt;&gt;"pvp",Inputs!$B$35&gt;0),(INT(Inputs!$B$35/IF(Inputs!$B$4="pvp",15,MAX(0.1,Skills!D9-IF(Skills!E9=TRUE,Inputs!$B$31,0))))+1),0)</f>
        <v/>
      </c>
      <c r="S206">
        <f>IFERROR(O206/N206,0)</f>
        <v/>
      </c>
    </row>
    <row r="207">
      <c r="A207">
        <f>Skills!A10</f>
        <v/>
      </c>
      <c r="B207">
        <f>Skills!B10</f>
        <v/>
      </c>
      <c r="C207">
        <f>Inputs!$B$3&gt;=113</f>
        <v/>
      </c>
      <c r="D207">
        <f>IF(Skills!C10=1,60+Inputs!$B$24+Inputs!$B$28,IF(Skills!C10=2,90+Inputs!$B$25+Inputs!$B$28,IF(Skills!C10=3,120+Inputs!$B$26+Inputs!$B$28,MAX(0,(Inputs!$B$3-100)*3)+Inputs!$B$27+Inputs!$B$28)))</f>
        <v/>
      </c>
      <c r="E207">
        <f>INDEX(FactorTable!$B$2:$Y$301, MATCH(ROUND(MIN(300,MAX(1,D207)),0), FactorTable!$A$2:$A$301,0), Skills!M10+1)</f>
        <v/>
      </c>
      <c r="F207">
        <f>IF(Skills!N10=TRUE,(Skills!L10/10)*(E207/1000),Skills!L10/10)+Skills!O10</f>
        <v/>
      </c>
      <c r="G207">
        <f>Skills!G10*IF(Skills!H10&gt;0,Skills!I10/Skills!H10,1)</f>
        <v/>
      </c>
      <c r="H207">
        <f>1-(1-Skills!J10/100)^Skills!K10</f>
        <v/>
      </c>
      <c r="I207" t="inlineStr">
        <is>
          <t>1</t>
        </is>
      </c>
      <c r="J207">
        <f>(Inputs!$B$5*(1+Inputs!$B$6/100))*(F207/100)</f>
        <v/>
      </c>
      <c r="K207">
        <f>J207*(1+((Inputs!$B$11*(1+Inputs!$B$12/100))*0.01+Inputs!$B$13*0.0025)/100)*(1+Inputs!$B$14/100)*(1+IF(Inputs!$B$4="pvp",0,(1-Summary!$B$55)*(Inputs!$B$19+0+Skills!P10)+Summary!$B$55*(Inputs!$B$20+Skills!Q10))/100)*(1+(Inputs!$B$15+1)/100)*(5000/(6000+Inputs!$B$7*(1-(Inputs!$B$18+0)/100)))*(1+(Inputs!$B$23+((C223=TRUE)*(F223-Calc!F26))+B233)/100)*(1+(IF(Skills!A10="EIGHT_LEGS_EASTON",Inputs!$B$16+((C220=TRUE)*(F220-Calc!F23))+((C224=TRUE)*(F224-Calc!F27)),Inputs!$B$17+0))/100)*((1+(((C214=TRUE)*F214)+((C221=TRUE)*(F221-Calc!F24)))/100)*I207)</f>
        <v/>
      </c>
      <c r="L207">
        <f>K207*(MIN(Inputs!$B$21+((C219=TRUE)*(F219-Calc!F22)),Inputs!$B$22+0)/100+(Inputs!$B$22+0)/100)/2</f>
        <v/>
      </c>
      <c r="M207">
        <f>L207*(1+(Inputs!$B$9+((C222=TRUE)*(F222-Calc!F25))+B232)/100)</f>
        <v/>
      </c>
      <c r="N207">
        <f>L207*(1-MIN((Inputs!$B$8+((C216=TRUE)*(F216-Calc!F19))+B227),100)/100)+M207*(MIN((Inputs!$B$8+((C216=TRUE)*(F216-Calc!F19))+B227),100)/100)</f>
        <v/>
      </c>
      <c r="O207">
        <f>IF(C207,H207*N207*IF(AND(Inputs!$B$4&lt;&gt;"pvp",Inputs!$B$35&gt;0),((Skills!G10*((R207-1)*IF(Skills!H10&gt;0,Skills!I10/Skills!H10,1)+IF(Skills!H10&gt;0,MIN(Skills!I10,MAX(0,Inputs!$B$35-((R207-1)*IF(Inputs!$B$4="pvp",15,MAX(0.1,Skills!D10-IF(Skills!E10=TRUE,Inputs!$B$31,0))))))/Skills!H10,1)))/Inputs!$B$35),G207*Q207)*IF(Inputs!$B$4="pvp",1,(1-Summary!$B$55)*(1)+Summary!$B$55*(MIN(Skills!R10,Inputs!$B$37))),0)</f>
        <v/>
      </c>
      <c r="P207">
        <f>IF(B235=0,0,O207/B235)</f>
        <v/>
      </c>
      <c r="Q207">
        <f>IFERROR(1/IF(Inputs!$B$4="pvp",15,MAX(0.1,Skills!D10-IF(Skills!E10=TRUE,Inputs!$B$31,0))),0)</f>
        <v/>
      </c>
      <c r="R207">
        <f>IF(AND(Inputs!$B$4&lt;&gt;"pvp",Inputs!$B$35&gt;0),(INT(Inputs!$B$35/IF(Inputs!$B$4="pvp",15,MAX(0.1,Skills!D10-IF(Skills!E10=TRUE,Inputs!$B$31,0))))+1),0)</f>
        <v/>
      </c>
      <c r="S207">
        <f>IFERROR(O207/N207,0)</f>
        <v/>
      </c>
    </row>
    <row r="208">
      <c r="A208">
        <f>Skills!A11</f>
        <v/>
      </c>
      <c r="B208">
        <f>Skills!B11</f>
        <v/>
      </c>
      <c r="C208">
        <f>Inputs!$B$3&gt;=107</f>
        <v/>
      </c>
      <c r="D208">
        <f>IF(Skills!C11=1,60+Inputs!$B$24+Inputs!$B$28,IF(Skills!C11=2,90+Inputs!$B$25+Inputs!$B$28,IF(Skills!C11=3,120+Inputs!$B$26+Inputs!$B$28,MAX(0,(Inputs!$B$3-100)*3)+Inputs!$B$27+Inputs!$B$28)))</f>
        <v/>
      </c>
      <c r="E208">
        <f>INDEX(FactorTable!$B$2:$Y$301, MATCH(ROUND(MIN(300,MAX(1,D208)),0), FactorTable!$A$2:$A$301,0), Skills!M11+1)</f>
        <v/>
      </c>
      <c r="F208">
        <f>IF(Skills!N11=TRUE,(Skills!L11/10)*(E208/1000),Skills!L11/10)+Skills!O11</f>
        <v/>
      </c>
      <c r="G208">
        <f>Skills!G11*IF(Skills!H11&gt;0,Skills!I11/Skills!H11,1)</f>
        <v/>
      </c>
      <c r="H208">
        <f>1-(1-Skills!J11/100)^Skills!K11</f>
        <v/>
      </c>
      <c r="I208" t="inlineStr">
        <is>
          <t>1</t>
        </is>
      </c>
      <c r="J208">
        <f>(Inputs!$B$5*(1+Inputs!$B$6/100))*(F208/100)</f>
        <v/>
      </c>
      <c r="K208">
        <f>J208*(1+((Inputs!$B$11*(1+Inputs!$B$12/100))*0.01+Inputs!$B$13*0.0025)/100)*(1+Inputs!$B$14/100)*(1+IF(Inputs!$B$4="pvp",0,(1-Summary!$B$55)*(Inputs!$B$19+0+Skills!P11)+Summary!$B$55*(Inputs!$B$20+Skills!Q11))/100)*(1+(Inputs!$B$15+1)/100)*(5000/(6000+Inputs!$B$7*(1-(Inputs!$B$18+0)/100)))*(1+(Inputs!$B$23+((C223=TRUE)*(F223-Calc!F26))+B233)/100)*(1+(IF(Skills!A11="EIGHT_LEGS_EASTON",Inputs!$B$16+((C220=TRUE)*(F220-Calc!F23))+((C224=TRUE)*(F224-Calc!F27)),Inputs!$B$17+0))/100)*((1+(((C214=TRUE)*F214)+((C221=TRUE)*(F221-Calc!F24)))/100)*I208)</f>
        <v/>
      </c>
      <c r="L208">
        <f>K208*(MIN(Inputs!$B$21+((C219=TRUE)*(F219-Calc!F22)),Inputs!$B$22+0)/100+(Inputs!$B$22+0)/100)/2</f>
        <v/>
      </c>
      <c r="M208">
        <f>L208*(1+(Inputs!$B$9+((C222=TRUE)*(F222-Calc!F25))+B232)/100)</f>
        <v/>
      </c>
      <c r="N208">
        <f>L208*(1-MIN((Inputs!$B$8+((C216=TRUE)*(F216-Calc!F19))+B227),100)/100)+M208*(MIN((Inputs!$B$8+((C216=TRUE)*(F216-Calc!F19))+B227),100)/100)</f>
        <v/>
      </c>
      <c r="O208">
        <f>IF(C208,H208*N208*IF(AND(Inputs!$B$4&lt;&gt;"pvp",Inputs!$B$35&gt;0),((Skills!G11*((R208-1)*IF(Skills!H11&gt;0,Skills!I11/Skills!H11,1)+IF(Skills!H11&gt;0,MIN(Skills!I11,MAX(0,Inputs!$B$35-((R208-1)*IF(Inputs!$B$4="pvp",15,MAX(0.1,Skills!D11-IF(Skills!E11=TRUE,Inputs!$B$31,0))))))/Skills!H11,1)))/Inputs!$B$35),G208*Q208)*IF(Inputs!$B$4="pvp",1,(1-Summary!$B$55)*(1)+Summary!$B$55*(MIN(Skills!R11,Inputs!$B$37))),0)</f>
        <v/>
      </c>
      <c r="P208">
        <f>IF(B235=0,0,O208/B235)</f>
        <v/>
      </c>
      <c r="Q208">
        <f>IFERROR(1/IF(Inputs!$B$4="pvp",15,MAX(0.1,Skills!D11-IF(Skills!E11=TRUE,Inputs!$B$31,0))),0)</f>
        <v/>
      </c>
      <c r="R208">
        <f>IF(AND(Inputs!$B$4&lt;&gt;"pvp",Inputs!$B$35&gt;0),(INT(Inputs!$B$35/IF(Inputs!$B$4="pvp",15,MAX(0.1,Skills!D11-IF(Skills!E11=TRUE,Inputs!$B$31,0))))+1),0)</f>
        <v/>
      </c>
      <c r="S208">
        <f>IFERROR(O208/N208,0)</f>
        <v/>
      </c>
    </row>
    <row r="209">
      <c r="A209">
        <f>Skills!A12</f>
        <v/>
      </c>
      <c r="B209">
        <f>Skills!B12</f>
        <v/>
      </c>
      <c r="C209">
        <f>Inputs!$B$3&gt;=110</f>
        <v/>
      </c>
      <c r="D209">
        <f>IF(Skills!C12=1,60+Inputs!$B$24+Inputs!$B$28,IF(Skills!C12=2,90+Inputs!$B$25+Inputs!$B$28,IF(Skills!C12=3,120+Inputs!$B$26+Inputs!$B$28,MAX(0,(Inputs!$B$3-100)*3)+Inputs!$B$27+Inputs!$B$28)))</f>
        <v/>
      </c>
      <c r="E209">
        <f>INDEX(FactorTable!$B$2:$Y$301, MATCH(ROUND(MIN(300,MAX(1,D209)),0), FactorTable!$A$2:$A$301,0), Skills!M12+1)</f>
        <v/>
      </c>
      <c r="F209">
        <f>IF(Skills!N12=TRUE,(Skills!L12/10)*(E209/1000),Skills!L12/10)+Skills!O12</f>
        <v/>
      </c>
      <c r="G209">
        <f>Skills!G12*IF(Skills!H12&gt;0,Skills!I12/Skills!H12,1)</f>
        <v/>
      </c>
      <c r="H209">
        <f>1-(1-Skills!J12/100)^Skills!K12</f>
        <v/>
      </c>
      <c r="I209" t="inlineStr">
        <is>
          <t>1</t>
        </is>
      </c>
      <c r="J209">
        <f>(Inputs!$B$5*(1+Inputs!$B$6/100))*(F209/100)</f>
        <v/>
      </c>
      <c r="K209">
        <f>J209*(1+((Inputs!$B$11*(1+Inputs!$B$12/100))*0.01+Inputs!$B$13*0.0025)/100)*(1+Inputs!$B$14/100)*(1+IF(Inputs!$B$4="pvp",0,(1-Summary!$B$55)*(Inputs!$B$19+0+Skills!P12)+Summary!$B$55*(Inputs!$B$20+Skills!Q12))/100)*(1+(Inputs!$B$15+1)/100)*(5000/(6000+Inputs!$B$7*(1-(Inputs!$B$18+0)/100)))*(1+(Inputs!$B$23+((C223=TRUE)*(F223-Calc!F26))+B233)/100)*(1+(IF(Skills!A12="EIGHT_LEGS_EASTON",Inputs!$B$16+((C220=TRUE)*(F220-Calc!F23))+((C224=TRUE)*(F224-Calc!F27)),Inputs!$B$17+0))/100)*((1+(((C214=TRUE)*F214)+((C221=TRUE)*(F221-Calc!F24)))/100)*I209)</f>
        <v/>
      </c>
      <c r="L209">
        <f>K209*(MIN(Inputs!$B$21+((C219=TRUE)*(F219-Calc!F22)),Inputs!$B$22+0)/100+(Inputs!$B$22+0)/100)/2</f>
        <v/>
      </c>
      <c r="M209">
        <f>L209*(1+(Inputs!$B$9+((C222=TRUE)*(F222-Calc!F25))+B232)/100)</f>
        <v/>
      </c>
      <c r="N209">
        <f>L209*(1-MIN((Inputs!$B$8+((C216=TRUE)*(F216-Calc!F19))+B227),100)/100)+M209*(MIN((Inputs!$B$8+((C216=TRUE)*(F216-Calc!F19))+B227),100)/100)</f>
        <v/>
      </c>
      <c r="O209">
        <f>IF(C209,H209*N209*IF(AND(Inputs!$B$4&lt;&gt;"pvp",Inputs!$B$35&gt;0),((Skills!G12*((R209-1)*IF(Skills!H12&gt;0,Skills!I12/Skills!H12,1)+IF(Skills!H12&gt;0,MIN(Skills!I12,MAX(0,Inputs!$B$35-((R209-1)*IF(Inputs!$B$4="pvp",15,MAX(0.1,Skills!D12-IF(Skills!E12=TRUE,Inputs!$B$31,0))))))/Skills!H12,1)))/Inputs!$B$35),G209*Q209)*IF(Inputs!$B$4="pvp",1,(1-Summary!$B$55)*(1)+Summary!$B$55*(MIN(Skills!R12,Inputs!$B$37))),0)</f>
        <v/>
      </c>
      <c r="P209">
        <f>IF(B235=0,0,O209/B235)</f>
        <v/>
      </c>
      <c r="Q209">
        <f>IFERROR(1/IF(Inputs!$B$4="pvp",15,MAX(0.1,Skills!D12-IF(Skills!E12=TRUE,Inputs!$B$31,0))),0)</f>
        <v/>
      </c>
      <c r="R209">
        <f>IF(AND(Inputs!$B$4&lt;&gt;"pvp",Inputs!$B$35&gt;0),(INT(Inputs!$B$35/IF(Inputs!$B$4="pvp",15,MAX(0.1,Skills!D12-IF(Skills!E12=TRUE,Inputs!$B$31,0))))+1),0)</f>
        <v/>
      </c>
      <c r="S209">
        <f>IFERROR(O209/N209,0)</f>
        <v/>
      </c>
    </row>
    <row r="210">
      <c r="A210">
        <f>Skills!A13</f>
        <v/>
      </c>
      <c r="B210">
        <f>Skills!B13</f>
        <v/>
      </c>
      <c r="C210">
        <f>Inputs!$B$3&gt;=110</f>
        <v/>
      </c>
      <c r="D210">
        <f>IF(Skills!C13=1,60+Inputs!$B$24+Inputs!$B$28,IF(Skills!C13=2,90+Inputs!$B$25+Inputs!$B$28,IF(Skills!C13=3,120+Inputs!$B$26+Inputs!$B$28,MAX(0,(Inputs!$B$3-100)*3)+Inputs!$B$27+Inputs!$B$28)))</f>
        <v/>
      </c>
      <c r="E210">
        <f>INDEX(FactorTable!$B$2:$Y$301, MATCH(ROUND(MIN(300,MAX(1,D210)),0), FactorTable!$A$2:$A$301,0), Skills!M13+1)</f>
        <v/>
      </c>
      <c r="F210">
        <f>IF(Skills!N13=TRUE,(Skills!L13/10)*(E210/1000),Skills!L13/10)+Skills!O13</f>
        <v/>
      </c>
      <c r="G210">
        <f>Skills!G13*IF(Skills!H13&gt;0,Skills!I13/Skills!H13,1)</f>
        <v/>
      </c>
      <c r="H210">
        <f>1-(1-Skills!J13/100)^Skills!K13</f>
        <v/>
      </c>
      <c r="I210" t="inlineStr">
        <is>
          <t>1</t>
        </is>
      </c>
      <c r="J210">
        <f>(Inputs!$B$5*(1+Inputs!$B$6/100))*(F210/100)</f>
        <v/>
      </c>
      <c r="K210">
        <f>J210*(1+((Inputs!$B$11*(1+Inputs!$B$12/100))*0.01+Inputs!$B$13*0.0025)/100)*(1+Inputs!$B$14/100)*(1+IF(Inputs!$B$4="pvp",0,(1-Summary!$B$55)*(Inputs!$B$19+0+Skills!P13)+Summary!$B$55*(Inputs!$B$20+Skills!Q13))/100)*(1+(Inputs!$B$15+1)/100)*(5000/(6000+Inputs!$B$7*(1-(Inputs!$B$18+0)/100)))*(1+(Inputs!$B$23+((C223=TRUE)*(F223-Calc!F26))+B233)/100)*(1+(IF(Skills!A13="EIGHT_LEGS_EASTON",Inputs!$B$16+((C220=TRUE)*(F220-Calc!F23))+((C224=TRUE)*(F224-Calc!F27)),Inputs!$B$17+0))/100)*((1+(((C214=TRUE)*F214)+((C221=TRUE)*(F221-Calc!F24)))/100)*I210)</f>
        <v/>
      </c>
      <c r="L210">
        <f>K210*(MIN(Inputs!$B$21+((C219=TRUE)*(F219-Calc!F22)),Inputs!$B$22+0)/100+(Inputs!$B$22+0)/100)/2</f>
        <v/>
      </c>
      <c r="M210">
        <f>L210*(1+(Inputs!$B$9+((C222=TRUE)*(F222-Calc!F25))+B232)/100)</f>
        <v/>
      </c>
      <c r="N210">
        <f>L210*(1-MIN((Inputs!$B$8+((C216=TRUE)*(F216-Calc!F19))+B227),100)/100)+M210*(MIN((Inputs!$B$8+((C216=TRUE)*(F216-Calc!F19))+B227),100)/100)</f>
        <v/>
      </c>
      <c r="O210">
        <f>IF(C210,H210*N210*IF(AND(Inputs!$B$4&lt;&gt;"pvp",Inputs!$B$35&gt;0),((Skills!G13*((R210-1)*IF(Skills!H13&gt;0,Skills!I13/Skills!H13,1)+IF(Skills!H13&gt;0,MIN(Skills!I13,MAX(0,Inputs!$B$35-((R210-1)*IF(Inputs!$B$4="pvp",15,MAX(0.1,Skills!D13-IF(Skills!E13=TRUE,Inputs!$B$31,0))))))/Skills!H13,1)))/Inputs!$B$35),G210*Q210)*IF(Inputs!$B$4="pvp",1,(1-Summary!$B$55)*(1)+Summary!$B$55*(MIN(Skills!R13,Inputs!$B$37))),0)</f>
        <v/>
      </c>
      <c r="P210">
        <f>IF(B235=0,0,O210/B235)</f>
        <v/>
      </c>
      <c r="Q210">
        <f>IFERROR(1/IF(Inputs!$B$4="pvp",15,MAX(0.1,Skills!D13-IF(Skills!E13=TRUE,Inputs!$B$31,0))),0)</f>
        <v/>
      </c>
      <c r="R210">
        <f>IF(AND(Inputs!$B$4&lt;&gt;"pvp",Inputs!$B$35&gt;0),(INT(Inputs!$B$35/IF(Inputs!$B$4="pvp",15,MAX(0.1,Skills!D13-IF(Skills!E13=TRUE,Inputs!$B$31,0))))+1),0)</f>
        <v/>
      </c>
      <c r="S210">
        <f>IFERROR(O210/N210,0)</f>
        <v/>
      </c>
    </row>
    <row r="211">
      <c r="A211">
        <f>Skills!A14</f>
        <v/>
      </c>
      <c r="B211">
        <f>Skills!B14</f>
        <v/>
      </c>
      <c r="C211">
        <f>Inputs!$B$3&gt;=125</f>
        <v/>
      </c>
      <c r="D211">
        <f>IF(Skills!C14=1,60+Inputs!$B$24+Inputs!$B$28,IF(Skills!C14=2,90+Inputs!$B$25+Inputs!$B$28,IF(Skills!C14=3,120+Inputs!$B$26+Inputs!$B$28,MAX(0,(Inputs!$B$3-100)*3)+Inputs!$B$27+Inputs!$B$28)))</f>
        <v/>
      </c>
      <c r="E211">
        <f>INDEX(FactorTable!$B$2:$Y$301, MATCH(ROUND(MIN(300,MAX(1,D211)),0), FactorTable!$A$2:$A$301,0), Skills!M14+1)</f>
        <v/>
      </c>
      <c r="F211">
        <f>IF(Skills!N14=TRUE,(Skills!L14/10)*(E211/1000),Skills!L14/10)+Skills!O14</f>
        <v/>
      </c>
      <c r="G211">
        <f>Skills!G14*IF(Skills!H14&gt;0,Skills!I14/Skills!H14,1)</f>
        <v/>
      </c>
      <c r="H211">
        <f>1-(1-Skills!J14/100)^Skills!K14</f>
        <v/>
      </c>
      <c r="I211" t="inlineStr">
        <is>
          <t>1</t>
        </is>
      </c>
      <c r="J211">
        <f>(Inputs!$B$5*(1+Inputs!$B$6/100))*(F211/100)</f>
        <v/>
      </c>
      <c r="K211">
        <f>J211*(1+((Inputs!$B$11*(1+Inputs!$B$12/100))*0.01+Inputs!$B$13*0.0025)/100)*(1+Inputs!$B$14/100)*(1+IF(Inputs!$B$4="pvp",0,(1-Summary!$B$55)*(Inputs!$B$19+0+Skills!P14)+Summary!$B$55*(Inputs!$B$20+Skills!Q14))/100)*(1+(Inputs!$B$15+1)/100)*(5000/(6000+Inputs!$B$7*(1-(Inputs!$B$18+0)/100)))*(1+(Inputs!$B$23+((C223=TRUE)*(F223-Calc!F26))+B233)/100)*(1+(IF(Skills!A14="EIGHT_LEGS_EASTON",Inputs!$B$16+((C220=TRUE)*(F220-Calc!F23))+((C224=TRUE)*(F224-Calc!F27)),Inputs!$B$17+0))/100)*((1+(((C214=TRUE)*F214)+((C221=TRUE)*(F221-Calc!F24)))/100)*I211)</f>
        <v/>
      </c>
      <c r="L211">
        <f>K211*(MIN(Inputs!$B$21+((C219=TRUE)*(F219-Calc!F22)),Inputs!$B$22+0)/100+(Inputs!$B$22+0)/100)/2</f>
        <v/>
      </c>
      <c r="M211">
        <f>L211*(1+(Inputs!$B$9+((C222=TRUE)*(F222-Calc!F25))+B232)/100)</f>
        <v/>
      </c>
      <c r="N211">
        <f>L211*(1-MIN((Inputs!$B$8+((C216=TRUE)*(F216-Calc!F19))+B227),100)/100)+M211*(MIN((Inputs!$B$8+((C216=TRUE)*(F216-Calc!F19))+B227),100)/100)</f>
        <v/>
      </c>
      <c r="O211">
        <f>IF(C211,H211*N211*(B231+IF(AND(Inputs!$B$4&lt;&gt;"pvp",Inputs!$B$35&gt;0),((Skills!G8*((R205-1)*IF(Skills!H8&gt;0,Skills!I8/Skills!H8,1)+IF(Skills!H8&gt;0,MIN(Skills!I8,MAX(0,Inputs!$B$35-((R205-1)*IF(Inputs!$B$4="pvp",15,MAX(0.1,Skills!D8-IF(Skills!E8=TRUE,Inputs!$B$31,0))))))/Skills!H8,1)))/Inputs!$B$35),G205*Q205)+IF(AND(Inputs!$B$4&lt;&gt;"pvp",Inputs!$B$35&gt;0),((Skills!G11*((R208-1)*IF(Skills!H11&gt;0,Skills!I11/Skills!H11,1)+IF(Skills!H11&gt;0,MIN(Skills!I11,MAX(0,Inputs!$B$35-((R208-1)*IF(Inputs!$B$4="pvp",15,MAX(0.1,Skills!D11-IF(Skills!E11=TRUE,Inputs!$B$31,0))))))/Skills!H11,1)))/Inputs!$B$35),G208*Q208))*IF(Inputs!$B$4="pvp",1,(1-Summary!$B$55)*(1)+Summary!$B$55*(MIN(Skills!R14,Inputs!$B$37))),0)</f>
        <v/>
      </c>
      <c r="P211">
        <f>IF(B235=0,0,O211/B235)</f>
        <v/>
      </c>
      <c r="Q211" t="n">
        <v>0</v>
      </c>
      <c r="R211" t="n">
        <v>0</v>
      </c>
      <c r="S211">
        <f>IFERROR(O211/N211,0)</f>
        <v/>
      </c>
    </row>
    <row r="212">
      <c r="A212">
        <f>Skills!A15</f>
        <v/>
      </c>
      <c r="B212">
        <f>Skills!B15</f>
        <v/>
      </c>
      <c r="C212">
        <f>Inputs!$B$3&gt;=100</f>
        <v/>
      </c>
      <c r="D212">
        <f>IF(Skills!C15=1,60+Inputs!$B$24+Inputs!$B$28,IF(Skills!C15=2,90+Inputs!$B$25+Inputs!$B$28,IF(Skills!C15=3,120+Inputs!$B$26+Inputs!$B$28,MAX(0,(Inputs!$B$3-100)*3)+Inputs!$B$27+Inputs!$B$28)))</f>
        <v/>
      </c>
      <c r="E212">
        <f>INDEX(FactorTable!$B$2:$Y$301, MATCH(ROUND(MIN(300,MAX(1,D212)),0), FactorTable!$A$2:$A$301,0), Skills!M15+1)</f>
        <v/>
      </c>
      <c r="F212">
        <f>IF(Skills!N15=TRUE,(Skills!L15/10)*(E212/1000),Skills!L15/10)+Skills!O15</f>
        <v/>
      </c>
      <c r="G212" t="inlineStr"/>
      <c r="H212" t="inlineStr"/>
      <c r="I212" t="inlineStr">
        <is>
          <t>1</t>
        </is>
      </c>
      <c r="J212" t="inlineStr"/>
      <c r="K212" t="inlineStr"/>
      <c r="L212" t="inlineStr"/>
      <c r="M212" t="inlineStr"/>
      <c r="N212" t="inlineStr"/>
      <c r="O212" t="inlineStr"/>
      <c r="P212" t="inlineStr"/>
      <c r="Q212" t="inlineStr"/>
      <c r="R212" t="inlineStr"/>
      <c r="S212" t="inlineStr"/>
    </row>
    <row r="213">
      <c r="A213">
        <f>Skills!A16</f>
        <v/>
      </c>
      <c r="B213">
        <f>Skills!B16</f>
        <v/>
      </c>
      <c r="C213">
        <f>Inputs!$B$3&gt;=120</f>
        <v/>
      </c>
      <c r="D213">
        <f>IF(Skills!C16=1,60+Inputs!$B$24+Inputs!$B$28,IF(Skills!C16=2,90+Inputs!$B$25+Inputs!$B$28,IF(Skills!C16=3,120+Inputs!$B$26+Inputs!$B$28,MAX(0,(Inputs!$B$3-100)*3)+Inputs!$B$27+Inputs!$B$28)))</f>
        <v/>
      </c>
      <c r="E213">
        <f>INDEX(FactorTable!$B$2:$Y$301, MATCH(ROUND(MIN(300,MAX(1,D213)),0), FactorTable!$A$2:$A$301,0), Skills!M16+1)</f>
        <v/>
      </c>
      <c r="F213">
        <f>IF(Skills!N16=TRUE,(Skills!L16/10)*(E213/1000),Skills!L16/10)+Skills!O16</f>
        <v/>
      </c>
      <c r="G213" t="inlineStr"/>
      <c r="H213" t="inlineStr"/>
      <c r="I213" t="inlineStr">
        <is>
          <t>1</t>
        </is>
      </c>
      <c r="J213" t="inlineStr"/>
      <c r="K213" t="inlineStr"/>
      <c r="L213" t="inlineStr"/>
      <c r="M213" t="inlineStr"/>
      <c r="N213" t="inlineStr"/>
      <c r="O213" t="inlineStr"/>
      <c r="P213" t="inlineStr"/>
      <c r="Q213" t="inlineStr"/>
      <c r="R213" t="inlineStr"/>
      <c r="S213" t="inlineStr"/>
    </row>
    <row r="214">
      <c r="A214">
        <f>Skills!A17</f>
        <v/>
      </c>
      <c r="B214">
        <f>Skills!B17</f>
        <v/>
      </c>
      <c r="C214">
        <f>Inputs!$B$3&gt;=66</f>
        <v/>
      </c>
      <c r="D214">
        <f>IF(Skills!C17=1,60+Inputs!$B$24+Inputs!$B$28,IF(Skills!C17=2,90+Inputs!$B$25+Inputs!$B$28,IF(Skills!C17=3,120+Inputs!$B$26+Inputs!$B$28,MAX(0,(Inputs!$B$3-100)*3)+Inputs!$B$27+Inputs!$B$28)))</f>
        <v/>
      </c>
      <c r="E214">
        <f>INDEX(FactorTable!$B$2:$Y$301, MATCH(ROUND(MIN(300,MAX(1,D214)),0), FactorTable!$A$2:$A$301,0), Skills!M17+1)</f>
        <v/>
      </c>
      <c r="F214">
        <f>IF(Skills!N17=TRUE,(Skills!L17/10)*(E214/1000),Skills!L17/10)+Skills!O17</f>
        <v/>
      </c>
      <c r="G214">
        <f>Skills!G17*IF(Skills!H17&gt;0,Skills!I17/Skills!H17,1)</f>
        <v/>
      </c>
      <c r="H214">
        <f>1-(1-Skills!J17/100)^Skills!K17</f>
        <v/>
      </c>
      <c r="I214" t="inlineStr">
        <is>
          <t>1</t>
        </is>
      </c>
      <c r="J214" t="inlineStr"/>
      <c r="K214" t="inlineStr"/>
      <c r="L214" t="inlineStr"/>
      <c r="M214" t="inlineStr"/>
      <c r="N214" t="inlineStr"/>
      <c r="O214" t="n">
        <v>0</v>
      </c>
      <c r="P214">
        <f>IF(B235=0,0,O214/B235)</f>
        <v/>
      </c>
      <c r="Q214" t="n">
        <v>0</v>
      </c>
      <c r="R214" t="n">
        <v>0</v>
      </c>
      <c r="S214">
        <f>IFERROR(O214/N214,0)</f>
        <v/>
      </c>
    </row>
    <row r="215">
      <c r="A215">
        <f>Skills!A18</f>
        <v/>
      </c>
      <c r="B215">
        <f>Skills!B18</f>
        <v/>
      </c>
      <c r="C215">
        <f>Inputs!$B$3&gt;=115</f>
        <v/>
      </c>
      <c r="D215">
        <f>IF(Skills!C18=1,60+Inputs!$B$24+Inputs!$B$28,IF(Skills!C18=2,90+Inputs!$B$25+Inputs!$B$28,IF(Skills!C18=3,120+Inputs!$B$26+Inputs!$B$28,MAX(0,(Inputs!$B$3-100)*3)+Inputs!$B$27+Inputs!$B$28)))</f>
        <v/>
      </c>
      <c r="E215">
        <f>INDEX(FactorTable!$B$2:$Y$301, MATCH(ROUND(MIN(300,MAX(1,D215)),0), FactorTable!$A$2:$A$301,0), Skills!M18+1)</f>
        <v/>
      </c>
      <c r="F215">
        <f>IF(Skills!N18=TRUE,(Skills!L18/10)*(E215/1000),Skills!L18/10)+Skills!O18</f>
        <v/>
      </c>
      <c r="G215">
        <f>Skills!G18*IF(Skills!H18&gt;0,Skills!I18/Skills!H18,1)</f>
        <v/>
      </c>
      <c r="H215">
        <f>1-(1-Skills!J18/100)^Skills!K18</f>
        <v/>
      </c>
      <c r="I215" t="inlineStr">
        <is>
          <t>1</t>
        </is>
      </c>
      <c r="J215" t="inlineStr"/>
      <c r="K215" t="inlineStr"/>
      <c r="L215" t="inlineStr"/>
      <c r="M215" t="inlineStr"/>
      <c r="N215" t="inlineStr"/>
      <c r="O215" t="n">
        <v>0</v>
      </c>
      <c r="P215">
        <f>IF(B235=0,0,O215/B235)</f>
        <v/>
      </c>
      <c r="Q215" t="n">
        <v>0</v>
      </c>
      <c r="R215" t="n">
        <v>0</v>
      </c>
      <c r="S215">
        <f>IFERROR(O215/N215,0)</f>
        <v/>
      </c>
    </row>
    <row r="216">
      <c r="A216">
        <f>Skills!A19</f>
        <v/>
      </c>
      <c r="B216">
        <f>Skills!B19</f>
        <v/>
      </c>
      <c r="C216">
        <f>Inputs!$B$3&gt;=15</f>
        <v/>
      </c>
      <c r="D216">
        <f>IF(Skills!C19=1,60+Inputs!$B$24+Inputs!$B$28,IF(Skills!C19=2,90+Inputs!$B$25+Inputs!$B$28,IF(Skills!C19=3,120+Inputs!$B$26+Inputs!$B$28,MAX(0,(Inputs!$B$3-100)*3)+Inputs!$B$27+Inputs!$B$28)))</f>
        <v/>
      </c>
      <c r="E216">
        <f>INDEX(FactorTable!$B$2:$Y$301, MATCH(ROUND(MIN(300,MAX(1,D216)),0), FactorTable!$A$2:$A$301,0), Skills!M19+1)</f>
        <v/>
      </c>
      <c r="F216">
        <f>IF(Skills!N19=TRUE,(Skills!L19/10)*(E216/1000),Skills!L19/10)+Skills!O19</f>
        <v/>
      </c>
      <c r="G216">
        <f>Skills!G19*IF(Skills!H19&gt;0,Skills!I19/Skills!H19,1)</f>
        <v/>
      </c>
      <c r="H216">
        <f>1-(1-Skills!J19/100)^Skills!K19</f>
        <v/>
      </c>
      <c r="I216" t="inlineStr">
        <is>
          <t>1</t>
        </is>
      </c>
      <c r="J216" t="inlineStr"/>
      <c r="K216" t="inlineStr"/>
      <c r="L216" t="inlineStr"/>
      <c r="M216" t="inlineStr"/>
      <c r="N216" t="inlineStr"/>
      <c r="O216" t="n">
        <v>0</v>
      </c>
      <c r="P216">
        <f>IF(B235=0,0,O216/B235)</f>
        <v/>
      </c>
      <c r="Q216" t="n">
        <v>0</v>
      </c>
      <c r="R216" t="n">
        <v>0</v>
      </c>
      <c r="S216">
        <f>IFERROR(O216/N216,0)</f>
        <v/>
      </c>
    </row>
    <row r="217">
      <c r="A217">
        <f>Skills!A20</f>
        <v/>
      </c>
      <c r="B217">
        <f>Skills!B20</f>
        <v/>
      </c>
      <c r="C217">
        <f>Inputs!$B$3&gt;=10</f>
        <v/>
      </c>
      <c r="D217">
        <f>IF(Skills!C20=1,60+Inputs!$B$24+Inputs!$B$28,IF(Skills!C20=2,90+Inputs!$B$25+Inputs!$B$28,IF(Skills!C20=3,120+Inputs!$B$26+Inputs!$B$28,MAX(0,(Inputs!$B$3-100)*3)+Inputs!$B$27+Inputs!$B$28)))</f>
        <v/>
      </c>
      <c r="E217">
        <f>INDEX(FactorTable!$B$2:$Y$301, MATCH(ROUND(MIN(300,MAX(1,D217)),0), FactorTable!$A$2:$A$301,0), Skills!M20+1)</f>
        <v/>
      </c>
      <c r="F217">
        <f>IF(Skills!N20=TRUE,(Skills!L20/10)*(E217/1000),Skills!L20/10)+Skills!O20</f>
        <v/>
      </c>
      <c r="G217">
        <f>Skills!G20*IF(Skills!H20&gt;0,Skills!I20/Skills!H20,1)</f>
        <v/>
      </c>
      <c r="H217">
        <f>1-(1-Skills!J20/100)^Skills!K20</f>
        <v/>
      </c>
      <c r="I217" t="inlineStr">
        <is>
          <t>1</t>
        </is>
      </c>
      <c r="J217" t="inlineStr"/>
      <c r="K217" t="inlineStr"/>
      <c r="L217" t="inlineStr"/>
      <c r="M217" t="inlineStr"/>
      <c r="N217" t="inlineStr"/>
      <c r="O217" t="n">
        <v>0</v>
      </c>
      <c r="P217">
        <f>IF(B235=0,0,O217/B235)</f>
        <v/>
      </c>
      <c r="Q217" t="n">
        <v>0</v>
      </c>
      <c r="R217" t="n">
        <v>0</v>
      </c>
      <c r="S217">
        <f>IFERROR(O217/N217,0)</f>
        <v/>
      </c>
    </row>
    <row r="218">
      <c r="A218">
        <f>Skills!A21</f>
        <v/>
      </c>
      <c r="B218">
        <f>Skills!B21</f>
        <v/>
      </c>
      <c r="C218">
        <f>Inputs!$B$3&gt;=33</f>
        <v/>
      </c>
      <c r="D218">
        <f>IF(Skills!C21=1,60+Inputs!$B$24+Inputs!$B$28,IF(Skills!C21=2,90+Inputs!$B$25+Inputs!$B$28,IF(Skills!C21=3,120+Inputs!$B$26+Inputs!$B$28,MAX(0,(Inputs!$B$3-100)*3)+Inputs!$B$27+Inputs!$B$28)))</f>
        <v/>
      </c>
      <c r="E218">
        <f>INDEX(FactorTable!$B$2:$Y$301, MATCH(ROUND(MIN(300,MAX(1,D218)),0), FactorTable!$A$2:$A$301,0), Skills!M21+1)</f>
        <v/>
      </c>
      <c r="F218">
        <f>IF(Skills!N21=TRUE,(Skills!L21/10)*(E218/1000),Skills!L21/10)+Skills!O21</f>
        <v/>
      </c>
      <c r="G218">
        <f>Skills!G21*IF(Skills!H21&gt;0,Skills!I21/Skills!H21,1)</f>
        <v/>
      </c>
      <c r="H218">
        <f>1-(1-Skills!J21/100)^Skills!K21</f>
        <v/>
      </c>
      <c r="I218" t="inlineStr">
        <is>
          <t>1</t>
        </is>
      </c>
      <c r="J218" t="inlineStr"/>
      <c r="K218" t="inlineStr"/>
      <c r="L218" t="inlineStr"/>
      <c r="M218" t="inlineStr"/>
      <c r="N218" t="inlineStr"/>
      <c r="O218" t="n">
        <v>0</v>
      </c>
      <c r="P218">
        <f>IF(B235=0,0,O218/B235)</f>
        <v/>
      </c>
      <c r="Q218" t="n">
        <v>0</v>
      </c>
      <c r="R218" t="n">
        <v>0</v>
      </c>
      <c r="S218">
        <f>IFERROR(O218/N218,0)</f>
        <v/>
      </c>
    </row>
    <row r="219">
      <c r="A219">
        <f>Skills!A22</f>
        <v/>
      </c>
      <c r="B219">
        <f>Skills!B22</f>
        <v/>
      </c>
      <c r="C219">
        <f>Inputs!$B$3&gt;=43</f>
        <v/>
      </c>
      <c r="D219">
        <f>IF(Skills!C22=1,60+Inputs!$B$24+Inputs!$B$28,IF(Skills!C22=2,90+Inputs!$B$25+Inputs!$B$28,IF(Skills!C22=3,120+Inputs!$B$26+Inputs!$B$28,MAX(0,(Inputs!$B$3-100)*3)+Inputs!$B$27+Inputs!$B$28)))</f>
        <v/>
      </c>
      <c r="E219">
        <f>INDEX(FactorTable!$B$2:$Y$301, MATCH(ROUND(MIN(300,MAX(1,D219)),0), FactorTable!$A$2:$A$301,0), Skills!M22+1)</f>
        <v/>
      </c>
      <c r="F219">
        <f>IF(Skills!N22=TRUE,(Skills!L22/10)*(E219/1000),Skills!L22/10)+Skills!O22</f>
        <v/>
      </c>
      <c r="G219">
        <f>Skills!G22*IF(Skills!H22&gt;0,Skills!I22/Skills!H22,1)</f>
        <v/>
      </c>
      <c r="H219">
        <f>1-(1-Skills!J22/100)^Skills!K22</f>
        <v/>
      </c>
      <c r="I219" t="inlineStr">
        <is>
          <t>1</t>
        </is>
      </c>
      <c r="J219" t="inlineStr"/>
      <c r="K219" t="inlineStr"/>
      <c r="L219" t="inlineStr"/>
      <c r="M219" t="inlineStr"/>
      <c r="N219" t="inlineStr"/>
      <c r="O219" t="n">
        <v>0</v>
      </c>
      <c r="P219">
        <f>IF(B235=0,0,O219/B235)</f>
        <v/>
      </c>
      <c r="Q219" t="n">
        <v>0</v>
      </c>
      <c r="R219" t="n">
        <v>0</v>
      </c>
      <c r="S219">
        <f>IFERROR(O219/N219,0)</f>
        <v/>
      </c>
    </row>
    <row r="220">
      <c r="A220">
        <f>Skills!A23</f>
        <v/>
      </c>
      <c r="B220">
        <f>Skills!B23</f>
        <v/>
      </c>
      <c r="C220">
        <f>Inputs!$B$3&gt;=38</f>
        <v/>
      </c>
      <c r="D220">
        <f>IF(Skills!C23=1,60+Inputs!$B$24+Inputs!$B$28,IF(Skills!C23=2,90+Inputs!$B$25+Inputs!$B$28,IF(Skills!C23=3,120+Inputs!$B$26+Inputs!$B$28,MAX(0,(Inputs!$B$3-100)*3)+Inputs!$B$27+Inputs!$B$28)))</f>
        <v/>
      </c>
      <c r="E220">
        <f>INDEX(FactorTable!$B$2:$Y$301, MATCH(ROUND(MIN(300,MAX(1,D220)),0), FactorTable!$A$2:$A$301,0), Skills!M23+1)</f>
        <v/>
      </c>
      <c r="F220">
        <f>IF(Skills!N23=TRUE,(Skills!L23/10)*(E220/1000),Skills!L23/10)+Skills!O23</f>
        <v/>
      </c>
      <c r="G220">
        <f>Skills!G23*IF(Skills!H23&gt;0,Skills!I23/Skills!H23,1)</f>
        <v/>
      </c>
      <c r="H220">
        <f>1-(1-Skills!J23/100)^Skills!K23</f>
        <v/>
      </c>
      <c r="I220" t="inlineStr">
        <is>
          <t>1</t>
        </is>
      </c>
      <c r="J220" t="inlineStr"/>
      <c r="K220" t="inlineStr"/>
      <c r="L220" t="inlineStr"/>
      <c r="M220" t="inlineStr"/>
      <c r="N220" t="inlineStr"/>
      <c r="O220" t="n">
        <v>0</v>
      </c>
      <c r="P220">
        <f>IF(B235=0,0,O220/B235)</f>
        <v/>
      </c>
      <c r="Q220" t="n">
        <v>0</v>
      </c>
      <c r="R220" t="n">
        <v>0</v>
      </c>
      <c r="S220">
        <f>IFERROR(O220/N220,0)</f>
        <v/>
      </c>
    </row>
    <row r="221">
      <c r="A221">
        <f>Skills!A24</f>
        <v/>
      </c>
      <c r="B221">
        <f>Skills!B24</f>
        <v/>
      </c>
      <c r="C221">
        <f>Inputs!$B$3&gt;=40</f>
        <v/>
      </c>
      <c r="D221">
        <f>IF(Skills!C24=1,60+Inputs!$B$24+Inputs!$B$28,IF(Skills!C24=2,90+Inputs!$B$25+Inputs!$B$28,IF(Skills!C24=3,120+Inputs!$B$26+Inputs!$B$28,MAX(0,(Inputs!$B$3-100)*3)+Inputs!$B$27+Inputs!$B$28)))</f>
        <v/>
      </c>
      <c r="E221">
        <f>INDEX(FactorTable!$B$2:$Y$301, MATCH(ROUND(MIN(300,MAX(1,D221)),0), FactorTable!$A$2:$A$301,0), Skills!M24+1)</f>
        <v/>
      </c>
      <c r="F221">
        <f>IF(Skills!N24=TRUE,(Skills!L24/10)*(E221/1000),Skills!L24/10)+Skills!O24</f>
        <v/>
      </c>
      <c r="G221">
        <f>Skills!G24*IF(Skills!H24&gt;0,Skills!I24/Skills!H24,1)</f>
        <v/>
      </c>
      <c r="H221">
        <f>1-(1-Skills!J24/100)^Skills!K24</f>
        <v/>
      </c>
      <c r="I221" t="inlineStr">
        <is>
          <t>1</t>
        </is>
      </c>
      <c r="J221" t="inlineStr"/>
      <c r="K221" t="inlineStr"/>
      <c r="L221" t="inlineStr"/>
      <c r="M221" t="inlineStr"/>
      <c r="N221" t="inlineStr"/>
      <c r="O221" t="n">
        <v>0</v>
      </c>
      <c r="P221">
        <f>IF(B235=0,0,O221/B235)</f>
        <v/>
      </c>
      <c r="Q221" t="n">
        <v>0</v>
      </c>
      <c r="R221" t="n">
        <v>0</v>
      </c>
      <c r="S221">
        <f>IFERROR(O221/N221,0)</f>
        <v/>
      </c>
    </row>
    <row r="222">
      <c r="A222">
        <f>Skills!A25</f>
        <v/>
      </c>
      <c r="B222">
        <f>Skills!B25</f>
        <v/>
      </c>
      <c r="C222">
        <f>Inputs!$B$3&gt;=72</f>
        <v/>
      </c>
      <c r="D222">
        <f>IF(Skills!C25=1,60+Inputs!$B$24+Inputs!$B$28,IF(Skills!C25=2,90+Inputs!$B$25+Inputs!$B$28,IF(Skills!C25=3,120+Inputs!$B$26+Inputs!$B$28,MAX(0,(Inputs!$B$3-100)*3)+Inputs!$B$27+Inputs!$B$28)))</f>
        <v/>
      </c>
      <c r="E222">
        <f>INDEX(FactorTable!$B$2:$Y$301, MATCH(ROUND(MIN(300,MAX(1,D222)),0), FactorTable!$A$2:$A$301,0), Skills!M25+1)</f>
        <v/>
      </c>
      <c r="F222">
        <f>IF(Skills!N25=TRUE,(Skills!L25/10)*(E222/1000),Skills!L25/10)+Skills!O25</f>
        <v/>
      </c>
      <c r="G222">
        <f>Skills!G25*IF(Skills!H25&gt;0,Skills!I25/Skills!H25,1)</f>
        <v/>
      </c>
      <c r="H222">
        <f>1-(1-Skills!J25/100)^Skills!K25</f>
        <v/>
      </c>
      <c r="I222" t="inlineStr">
        <is>
          <t>1</t>
        </is>
      </c>
      <c r="J222" t="inlineStr"/>
      <c r="K222" t="inlineStr"/>
      <c r="L222" t="inlineStr"/>
      <c r="M222" t="inlineStr"/>
      <c r="N222" t="inlineStr"/>
      <c r="O222" t="n">
        <v>0</v>
      </c>
      <c r="P222">
        <f>IF(B235=0,0,O222/B235)</f>
        <v/>
      </c>
      <c r="Q222" t="n">
        <v>0</v>
      </c>
      <c r="R222" t="n">
        <v>0</v>
      </c>
      <c r="S222">
        <f>IFERROR(O222/N222,0)</f>
        <v/>
      </c>
    </row>
    <row r="223">
      <c r="A223">
        <f>Skills!A26</f>
        <v/>
      </c>
      <c r="B223">
        <f>Skills!B26</f>
        <v/>
      </c>
      <c r="C223">
        <f>Inputs!$B$3&gt;=75</f>
        <v/>
      </c>
      <c r="D223">
        <f>IF(Skills!C26=1,60+Inputs!$B$24+Inputs!$B$28,IF(Skills!C26=2,90+Inputs!$B$25+Inputs!$B$28,IF(Skills!C26=3,120+Inputs!$B$26+Inputs!$B$28,MAX(0,(Inputs!$B$3-100)*3)+Inputs!$B$27+Inputs!$B$28)))</f>
        <v/>
      </c>
      <c r="E223">
        <f>INDEX(FactorTable!$B$2:$Y$301, MATCH(ROUND(MIN(300,MAX(1,D223)),0), FactorTable!$A$2:$A$301,0), Skills!M26+1)</f>
        <v/>
      </c>
      <c r="F223">
        <f>IF(Skills!N26=TRUE,(Skills!L26/10)*(E223/1000),Skills!L26/10)+Skills!O26</f>
        <v/>
      </c>
      <c r="G223">
        <f>Skills!G26*IF(Skills!H26&gt;0,Skills!I26/Skills!H26,1)</f>
        <v/>
      </c>
      <c r="H223">
        <f>1-(1-Skills!J26/100)^Skills!K26</f>
        <v/>
      </c>
      <c r="I223" t="inlineStr">
        <is>
          <t>1</t>
        </is>
      </c>
      <c r="J223" t="inlineStr"/>
      <c r="K223" t="inlineStr"/>
      <c r="L223" t="inlineStr"/>
      <c r="M223" t="inlineStr"/>
      <c r="N223" t="inlineStr"/>
      <c r="O223" t="n">
        <v>0</v>
      </c>
      <c r="P223">
        <f>IF(B235=0,0,O223/B235)</f>
        <v/>
      </c>
      <c r="Q223" t="n">
        <v>0</v>
      </c>
      <c r="R223" t="n">
        <v>0</v>
      </c>
      <c r="S223">
        <f>IFERROR(O223/N223,0)</f>
        <v/>
      </c>
    </row>
    <row r="224">
      <c r="A224">
        <f>Skills!A27</f>
        <v/>
      </c>
      <c r="B224">
        <f>Skills!B27</f>
        <v/>
      </c>
      <c r="C224">
        <f>Inputs!$B$3&gt;=117</f>
        <v/>
      </c>
      <c r="D224">
        <f>IF(Skills!C27=1,60+Inputs!$B$24+Inputs!$B$28,IF(Skills!C27=2,90+Inputs!$B$25+Inputs!$B$28,IF(Skills!C27=3,120+Inputs!$B$26+Inputs!$B$28,MAX(0,(Inputs!$B$3-100)*3)+Inputs!$B$27+Inputs!$B$28)))</f>
        <v/>
      </c>
      <c r="E224">
        <f>INDEX(FactorTable!$B$2:$Y$301, MATCH(ROUND(MIN(300,MAX(1,D224)),0), FactorTable!$A$2:$A$301,0), Skills!M27+1)</f>
        <v/>
      </c>
      <c r="F224">
        <f>IF(Skills!N27=TRUE,(Skills!L27/10)*(E224/1000),Skills!L27/10)+Skills!O27</f>
        <v/>
      </c>
      <c r="G224">
        <f>Skills!G27*IF(Skills!H27&gt;0,Skills!I27/Skills!H27,1)</f>
        <v/>
      </c>
      <c r="H224">
        <f>1-(1-Skills!J27/100)^Skills!K27</f>
        <v/>
      </c>
      <c r="I224" t="inlineStr">
        <is>
          <t>1</t>
        </is>
      </c>
      <c r="J224" t="inlineStr"/>
      <c r="K224" t="inlineStr"/>
      <c r="L224" t="inlineStr"/>
      <c r="M224" t="inlineStr"/>
      <c r="N224" t="inlineStr"/>
      <c r="O224" t="n">
        <v>0</v>
      </c>
      <c r="P224">
        <f>IF(B235=0,0,O224/B235)</f>
        <v/>
      </c>
      <c r="Q224" t="n">
        <v>0</v>
      </c>
      <c r="R224" t="n">
        <v>0</v>
      </c>
      <c r="S224">
        <f>IFERROR(O224/N224,0)</f>
        <v/>
      </c>
    </row>
    <row r="226">
      <c r="A226" t="inlineStr">
        <is>
          <t>Attack% Bucket Multiplier</t>
        </is>
      </c>
      <c r="B226">
        <f>(1+(((C214=TRUE)*F214)+((C221=TRUE)*(F221-Calc!F24)))/100)</f>
        <v/>
      </c>
    </row>
    <row r="227">
      <c r="A227" t="inlineStr">
        <is>
          <t>Global Crit Rate Bonus %</t>
        </is>
      </c>
      <c r="B227" t="n">
        <v>0</v>
      </c>
    </row>
    <row r="228">
      <c r="A228" t="inlineStr">
        <is>
          <t>Attack Speed Buff Bonus % (unused)</t>
        </is>
      </c>
      <c r="B228" t="n">
        <v>0</v>
      </c>
    </row>
    <row r="229">
      <c r="A229" t="inlineStr">
        <is>
          <t>Actions Per Second</t>
        </is>
      </c>
      <c r="B229">
        <f>1+MIN(150,150*(1-(1-(Inputs!$B$10+((C217=TRUE)*(F217-Calc!F20))+((C218=TRUE)*(F218-Calc!F21)))/150)*(1-B228/150)))/100</f>
        <v/>
      </c>
    </row>
    <row r="230">
      <c r="A230" t="inlineStr">
        <is>
          <t>Skill + Buff Cast Rate</t>
        </is>
      </c>
      <c r="B230">
        <f>IF(AND(Inputs!$B$4&lt;&gt;"pvp",Inputs!$B$35&gt;0),SUMPRODUCT((Skills!E2:E27=TRUE)*(C199:C224=TRUE)*R199:R224*Skills!F2:F27)/Inputs!$B$35,SUMPRODUCT((Skills!E2:E27=TRUE)*(C199:C224=TRUE)*Q199:Q224*Skills!F2:F27))</f>
        <v/>
      </c>
    </row>
    <row r="231">
      <c r="A231" t="inlineStr">
        <is>
          <t>Eight-Legs Easton Casts Per Second</t>
        </is>
      </c>
      <c r="B231">
        <f>MAX(0,B229-B230)</f>
        <v/>
      </c>
    </row>
    <row r="232">
      <c r="A232" t="inlineStr">
        <is>
          <t>Global Critical Damage Bonus % (unused)</t>
        </is>
      </c>
      <c r="B232" t="n">
        <v>0</v>
      </c>
    </row>
    <row r="233">
      <c r="A233" t="inlineStr">
        <is>
          <t>Global Final Damage Bonus % (Jolly Roger only)</t>
        </is>
      </c>
      <c r="B233">
        <f>((C215=TRUE)*F215)</f>
        <v/>
      </c>
    </row>
    <row r="235">
      <c r="A235" s="5" t="inlineStr">
        <is>
          <t>TOTAL DPS</t>
        </is>
      </c>
      <c r="B235" s="5">
        <f>SUM(O199:O224)</f>
        <v/>
      </c>
    </row>
    <row r="238">
      <c r="A238" s="5" t="inlineStr">
        <is>
          <t>Stat: BOSS_DAMAGE %</t>
        </is>
      </c>
    </row>
    <row r="239">
      <c r="A239" s="8" t="inlineStr">
        <is>
          <t>Key</t>
        </is>
      </c>
      <c r="B239" s="8" t="inlineStr">
        <is>
          <t>Name</t>
        </is>
      </c>
      <c r="C239" s="8" t="inlineStr">
        <is>
          <t>Unlocked</t>
        </is>
      </c>
      <c r="D239" s="8" t="inlineStr">
        <is>
          <t>InputLevel</t>
        </is>
      </c>
      <c r="E239" s="8" t="inlineStr">
        <is>
          <t>Factor</t>
        </is>
      </c>
      <c r="F239" s="8" t="inlineStr">
        <is>
          <t>CoefficientPercent</t>
        </is>
      </c>
      <c r="G239" s="8" t="inlineStr">
        <is>
          <t>EffectiveHits</t>
        </is>
      </c>
      <c r="H239" s="8" t="inlineStr">
        <is>
          <t>ProcProbability</t>
        </is>
      </c>
      <c r="I239" s="8" t="inlineStr">
        <is>
          <t>MapleHeroMultiplier</t>
        </is>
      </c>
      <c r="J239" s="8" t="inlineStr">
        <is>
          <t>BaseDamage</t>
        </is>
      </c>
      <c r="K239" s="8" t="inlineStr">
        <is>
          <t>BaseHitDamage</t>
        </is>
      </c>
      <c r="L239" s="8" t="inlineStr">
        <is>
          <t>NonCritAvg</t>
        </is>
      </c>
      <c r="M239" s="8" t="inlineStr">
        <is>
          <t>CritAvg</t>
        </is>
      </c>
      <c r="N239" s="8" t="inlineStr">
        <is>
          <t>ExpectedDamage(perHit)</t>
        </is>
      </c>
      <c r="O239" s="8" t="inlineStr">
        <is>
          <t>DPS</t>
        </is>
      </c>
      <c r="P239" s="8" t="inlineStr">
        <is>
          <t>% of Total</t>
        </is>
      </c>
      <c r="Q239" s="8" t="inlineStr">
        <is>
          <t>InvCooldown</t>
        </is>
      </c>
      <c r="R239" s="8" t="inlineStr">
        <is>
          <t>CastsInFight</t>
        </is>
      </c>
      <c r="S239" s="8" t="inlineStr">
        <is>
          <t>HitRate(perSec)</t>
        </is>
      </c>
      <c r="U239" t="inlineStr">
        <is>
          <t>helpers</t>
        </is>
      </c>
    </row>
    <row r="240">
      <c r="A240">
        <f>Skills!A2</f>
        <v/>
      </c>
      <c r="B240">
        <f>Skills!B2</f>
        <v/>
      </c>
      <c r="C240">
        <f>Inputs!$B$3&gt;=100</f>
        <v/>
      </c>
      <c r="D240" t="inlineStr"/>
      <c r="E240" t="inlineStr"/>
      <c r="F240">
        <f>U242+Skills!O2</f>
        <v/>
      </c>
      <c r="G240">
        <f>Skills!G2*IF(Skills!H2&gt;0,Skills!I2/Skills!H2,1)</f>
        <v/>
      </c>
      <c r="H240">
        <f>1-(1-Skills!J2/100)^Skills!K2</f>
        <v/>
      </c>
      <c r="I240" t="inlineStr">
        <is>
          <t>1</t>
        </is>
      </c>
      <c r="J240">
        <f>(Inputs!$B$5*(1+Inputs!$B$6/100))*(F240/100)</f>
        <v/>
      </c>
      <c r="K240">
        <f>J240*(1+((Inputs!$B$11*(1+Inputs!$B$12/100))*0.01+Inputs!$B$13*0.0025)/100)*(1+Inputs!$B$14/100)*(1+IF(Inputs!$B$4="pvp",0,(1-Summary!$B$55)*((Inputs!$B$19+1)+0+Skills!P2)+Summary!$B$55*(Inputs!$B$20+Skills!Q2))/100)*(1+Inputs!$B$15/100)*(5000/(6000+Inputs!$B$7*(1-(Inputs!$B$18+0)/100)))*(1+(Inputs!$B$23+((C264=TRUE)*(F264-Calc!F26))+B274)/100)*(1+(IF(Skills!A2="EIGHT_LEGS_EASTON",Inputs!$B$16+((C261=TRUE)*(F261-Calc!F23))+((C265=TRUE)*(F265-Calc!F27)),Inputs!$B$17+0))/100)*((1+(((C255=TRUE)*F255)+((C262=TRUE)*(F262-Calc!F24)))/100)*I240)</f>
        <v/>
      </c>
      <c r="L240">
        <f>K240*(MIN(Inputs!$B$21+((C260=TRUE)*(F260-Calc!F22)),Inputs!$B$22+0)/100+(Inputs!$B$22+0)/100)/2</f>
        <v/>
      </c>
      <c r="M240">
        <f>L240*(1+(Inputs!$B$9+((C263=TRUE)*(F263-Calc!F25))+B273)/100)</f>
        <v/>
      </c>
      <c r="N240">
        <f>L240*(1-MIN((Inputs!$B$8+((C257=TRUE)*(F257-Calc!F19))+B268),100)/100)+M240*(MIN((Inputs!$B$8+((C257=TRUE)*(F257-Calc!F19))+B268),100)/100)</f>
        <v/>
      </c>
      <c r="O240">
        <f>IF(C240,Skills!G2*N240*B272*IF(Inputs!$B$4="pvp",1,(1-Summary!$B$55)*(1)+Summary!$B$55*(MIN((6+Inputs!$B$32),Inputs!$B$37))),0)</f>
        <v/>
      </c>
      <c r="P240">
        <f>IF(B276=0,0,O240/B276)</f>
        <v/>
      </c>
      <c r="Q240" t="n">
        <v>0</v>
      </c>
      <c r="R240" t="n">
        <v>0</v>
      </c>
      <c r="S240">
        <f>IFERROR(O240/N240,0)</f>
        <v/>
      </c>
      <c r="U240">
        <f>MAX(0,(Inputs!$B$3-100)*3)+Inputs!$B$27+Inputs!$B$28</f>
        <v/>
      </c>
    </row>
    <row r="241">
      <c r="A241">
        <f>Skills!A3</f>
        <v/>
      </c>
      <c r="B241">
        <f>Skills!B3</f>
        <v/>
      </c>
      <c r="C241">
        <f>Inputs!$B$3&gt;=35</f>
        <v/>
      </c>
      <c r="D241">
        <f>IF(Skills!C3=1,60+Inputs!$B$24+Inputs!$B$28,IF(Skills!C3=2,90+Inputs!$B$25+Inputs!$B$28,IF(Skills!C3=3,120+Inputs!$B$26+Inputs!$B$28,MAX(0,(Inputs!$B$3-100)*3)+Inputs!$B$27+Inputs!$B$28)))</f>
        <v/>
      </c>
      <c r="E241">
        <f>INDEX(FactorTable!$B$2:$Y$301, MATCH(ROUND(MIN(300,MAX(1,D241)),0), FactorTable!$A$2:$A$301,0), Skills!M3+1)</f>
        <v/>
      </c>
      <c r="F241">
        <f>IF(Skills!N3=TRUE,(Skills!L3/10)*(E241/1000),Skills!L3/10)+Skills!O3</f>
        <v/>
      </c>
      <c r="G241">
        <f>Skills!G3*IF(Skills!H3&gt;0,Skills!I3/Skills!H3,1)</f>
        <v/>
      </c>
      <c r="H241">
        <f>1-(1-Skills!J3/100)^Skills!K3</f>
        <v/>
      </c>
      <c r="I241" t="inlineStr">
        <is>
          <t>1</t>
        </is>
      </c>
      <c r="J241">
        <f>(Inputs!$B$5*(1+Inputs!$B$6/100))*(F241/100)</f>
        <v/>
      </c>
      <c r="K241">
        <f>J241*(1+((Inputs!$B$11*(1+Inputs!$B$12/100))*0.01+Inputs!$B$13*0.0025)/100)*(1+Inputs!$B$14/100)*(1+IF(Inputs!$B$4="pvp",0,(1-Summary!$B$55)*((Inputs!$B$19+1)+0+Skills!P3)+Summary!$B$55*(Inputs!$B$20+Skills!Q3))/100)*(1+Inputs!$B$15/100)*(5000/(6000+Inputs!$B$7*(1-(Inputs!$B$18+0)/100)))*(1+(Inputs!$B$23+((C264=TRUE)*(F264-Calc!F26))+B274)/100)*(1+4.0*IF(C253=TRUE,F253,0)/100)*(1+(IF(Skills!A3="EIGHT_LEGS_EASTON",Inputs!$B$16+((C261=TRUE)*(F261-Calc!F23))+((C265=TRUE)*(F265-Calc!F27)),Inputs!$B$17+0))/100)*((1+(((C255=TRUE)*F255)+((C262=TRUE)*(F262-Calc!F24)))/100)*I241)</f>
        <v/>
      </c>
      <c r="L241">
        <f>K241*(MIN(Inputs!$B$21+((C260=TRUE)*(F260-Calc!F22)),Inputs!$B$22+0)/100+(Inputs!$B$22+0)/100)/2</f>
        <v/>
      </c>
      <c r="M241">
        <f>L241*(1+(Inputs!$B$9+((C263=TRUE)*(F263-Calc!F25))+B273)/100)</f>
        <v/>
      </c>
      <c r="N241">
        <f>L241*(1-MIN((Inputs!$B$8+((C257=TRUE)*(F257-Calc!F19))+B268),100)/100)+M241*(MIN((Inputs!$B$8+((C257=TRUE)*(F257-Calc!F19))+B268),100)/100)</f>
        <v/>
      </c>
      <c r="O241">
        <f>IF(C241,H241*N241*IF(AND(Inputs!$B$4&lt;&gt;"pvp",Inputs!$B$35&gt;0),((Skills!G3*((R241-1)*IF(Skills!H3&gt;0,Skills!I3/Skills!H3,1)+IF(Skills!H3&gt;0,MIN(Skills!I3,MAX(0,Inputs!$B$35-((R241-1)*IF(Inputs!$B$4="pvp",15,MAX(0.1,Skills!D3-IF(Skills!E3=TRUE,Inputs!$B$31,0))))))/Skills!H3,1)))/Inputs!$B$35),G241*Q241)*IF(Inputs!$B$4="pvp",1,(1-Summary!$B$55)*(1)+Summary!$B$55*(MIN(Skills!R3,Inputs!$B$37))),0)</f>
        <v/>
      </c>
      <c r="P241">
        <f>IF(B276=0,0,O241/B276)</f>
        <v/>
      </c>
      <c r="Q241">
        <f>IFERROR(1/IF(Inputs!$B$4="pvp",15,MAX(0.1,Skills!D3-IF(Skills!E3=TRUE,Inputs!$B$31,0))),0)</f>
        <v/>
      </c>
      <c r="R241">
        <f>IF(AND(Inputs!$B$4&lt;&gt;"pvp",Inputs!$B$35&gt;0),(INT(Inputs!$B$35/IF(Inputs!$B$4="pvp",15,MAX(0.1,Skills!D3-IF(Skills!E3=TRUE,Inputs!$B$31,0))))+1),0)</f>
        <v/>
      </c>
      <c r="S241">
        <f>IFERROR(O241/N241,0)</f>
        <v/>
      </c>
      <c r="U241">
        <f>INDEX(FactorTable!$B$2:$Y$301, MATCH(ROUND(MIN(300,MAX(1,U240)),0), FactorTable!$A$2:$A$301,0), 22)</f>
        <v/>
      </c>
    </row>
    <row r="242">
      <c r="A242">
        <f>Skills!A4</f>
        <v/>
      </c>
      <c r="B242">
        <f>Skills!B4</f>
        <v/>
      </c>
      <c r="C242">
        <f>Inputs!$B$3&gt;=40</f>
        <v/>
      </c>
      <c r="D242">
        <f>IF(Skills!C4=1,60+Inputs!$B$24+Inputs!$B$28,IF(Skills!C4=2,90+Inputs!$B$25+Inputs!$B$28,IF(Skills!C4=3,120+Inputs!$B$26+Inputs!$B$28,MAX(0,(Inputs!$B$3-100)*3)+Inputs!$B$27+Inputs!$B$28)))</f>
        <v/>
      </c>
      <c r="E242">
        <f>INDEX(FactorTable!$B$2:$Y$301, MATCH(ROUND(MIN(300,MAX(1,D242)),0), FactorTable!$A$2:$A$301,0), Skills!M4+1)</f>
        <v/>
      </c>
      <c r="F242">
        <f>IF(Skills!N4=TRUE,(Skills!L4/10)*(E242/1000),Skills!L4/10)+Skills!O4</f>
        <v/>
      </c>
      <c r="G242">
        <f>Skills!G4*IF(Skills!H4&gt;0,Skills!I4/Skills!H4,1)</f>
        <v/>
      </c>
      <c r="H242">
        <f>1-(1-Skills!J4/100)^Skills!K4</f>
        <v/>
      </c>
      <c r="I242" t="inlineStr">
        <is>
          <t>1</t>
        </is>
      </c>
      <c r="J242">
        <f>(Inputs!$B$5*(1+Inputs!$B$6/100))*(F242/100)</f>
        <v/>
      </c>
      <c r="K242">
        <f>J242*(1+((Inputs!$B$11*(1+Inputs!$B$12/100))*0.01+Inputs!$B$13*0.0025)/100)*(1+Inputs!$B$14/100)*(1+IF(Inputs!$B$4="pvp",0,(1-Summary!$B$55)*((Inputs!$B$19+1)+0+Skills!P4)+Summary!$B$55*(Inputs!$B$20+Skills!Q4))/100)*(1+Inputs!$B$15/100)*(5000/(6000+Inputs!$B$7*(1-(Inputs!$B$18+0)/100)))*(1+(Inputs!$B$23+((C264=TRUE)*(F264-Calc!F26))+B274)/100)*(1+1.0*IF(C254=TRUE,F254,0)/100)*(1+(IF(Skills!A4="EIGHT_LEGS_EASTON",Inputs!$B$16+((C261=TRUE)*(F261-Calc!F23))+((C265=TRUE)*(F265-Calc!F27)),Inputs!$B$17+0))/100)*((1+(((C255=TRUE)*F255)+((C262=TRUE)*(F262-Calc!F24)))/100)*I242)</f>
        <v/>
      </c>
      <c r="L242">
        <f>K242*(MIN(Inputs!$B$21+((C260=TRUE)*(F260-Calc!F22)),Inputs!$B$22+0)/100+(Inputs!$B$22+0)/100)/2</f>
        <v/>
      </c>
      <c r="M242">
        <f>L242*(1+(Inputs!$B$9+((C263=TRUE)*(F263-Calc!F25))+B273)/100)</f>
        <v/>
      </c>
      <c r="N242">
        <f>L242*(1-MIN((Inputs!$B$8+((C257=TRUE)*(F257-Calc!F19))+B268),100)/100)+M242*(MIN((Inputs!$B$8+((C257=TRUE)*(F257-Calc!F19))+B268),100)/100)</f>
        <v/>
      </c>
      <c r="O242">
        <f>IF(C242,H242*N242*IF(AND(Inputs!$B$4&lt;&gt;"pvp",Inputs!$B$35&gt;0),((Skills!G4*((R242-1)*IF(Skills!H4&gt;0,Skills!I4/Skills!H4,1)+IF(Skills!H4&gt;0,MIN(Skills!I4,MAX(0,Inputs!$B$35-((R242-1)*IF(Inputs!$B$4="pvp",15,MAX(0.1,Skills!D4-IF(Skills!E4=TRUE,Inputs!$B$31,0))))))/Skills!H4,1)))/Inputs!$B$35),G242*Q242)*IF(Inputs!$B$4="pvp",1,(1-Summary!$B$55)*(1)+Summary!$B$55*(MIN(Skills!R4,Inputs!$B$37))),0)</f>
        <v/>
      </c>
      <c r="P242">
        <f>IF(B276=0,0,O242/B276)</f>
        <v/>
      </c>
      <c r="Q242">
        <f>IFERROR(1/IF(Inputs!$B$4="pvp",15,MAX(0.1,Skills!D4-IF(Skills!E4=TRUE,Inputs!$B$31,0))),0)</f>
        <v/>
      </c>
      <c r="R242">
        <f>IF(AND(Inputs!$B$4&lt;&gt;"pvp",Inputs!$B$35&gt;0),(INT(Inputs!$B$35/IF(Inputs!$B$4="pvp",15,MAX(0.1,Skills!D4-IF(Skills!E4=TRUE,Inputs!$B$31,0))))+1),0)</f>
        <v/>
      </c>
      <c r="S242">
        <f>IFERROR(O242/N242,0)</f>
        <v/>
      </c>
      <c r="U242">
        <f>290*U241/1000</f>
        <v/>
      </c>
    </row>
    <row r="243">
      <c r="A243">
        <f>Skills!A5</f>
        <v/>
      </c>
      <c r="B243">
        <f>Skills!B5</f>
        <v/>
      </c>
      <c r="C243">
        <f>Inputs!$B$3&gt;=45</f>
        <v/>
      </c>
      <c r="D243">
        <f>IF(Skills!C5=1,60+Inputs!$B$24+Inputs!$B$28,IF(Skills!C5=2,90+Inputs!$B$25+Inputs!$B$28,IF(Skills!C5=3,120+Inputs!$B$26+Inputs!$B$28,MAX(0,(Inputs!$B$3-100)*3)+Inputs!$B$27+Inputs!$B$28)))</f>
        <v/>
      </c>
      <c r="E243">
        <f>INDEX(FactorTable!$B$2:$Y$301, MATCH(ROUND(MIN(300,MAX(1,D243)),0), FactorTable!$A$2:$A$301,0), Skills!M5+1)</f>
        <v/>
      </c>
      <c r="F243">
        <f>IF(Skills!N5=TRUE,(Skills!L5/10)*(E243/1000),Skills!L5/10)+Skills!O5</f>
        <v/>
      </c>
      <c r="G243">
        <f>Skills!G5*IF(Skills!H5&gt;0,Skills!I5/Skills!H5,1)</f>
        <v/>
      </c>
      <c r="H243">
        <f>1-(1-Skills!J5/100)^Skills!K5</f>
        <v/>
      </c>
      <c r="I243" t="inlineStr">
        <is>
          <t>1</t>
        </is>
      </c>
      <c r="J243">
        <f>(Inputs!$B$5*(1+Inputs!$B$6/100))*(F243/100)</f>
        <v/>
      </c>
      <c r="K243">
        <f>J243*(1+((Inputs!$B$11*(1+Inputs!$B$12/100))*0.01+Inputs!$B$13*0.0025)/100)*(1+Inputs!$B$14/100)*(1+IF(Inputs!$B$4="pvp",0,(1-Summary!$B$55)*((Inputs!$B$19+1)+0+Skills!P5)+Summary!$B$55*(Inputs!$B$20+Skills!Q5))/100)*(1+Inputs!$B$15/100)*(5000/(6000+Inputs!$B$7*(1-(Inputs!$B$18+0)/100)))*(1+(Inputs!$B$23+((C264=TRUE)*(F264-Calc!F26))+B274)/100)*(1+0.4*IF(C254=TRUE,F254,0)/100)*(1+(IF(Skills!A5="EIGHT_LEGS_EASTON",Inputs!$B$16+((C261=TRUE)*(F261-Calc!F23))+((C265=TRUE)*(F265-Calc!F27)),Inputs!$B$17+0))/100)*((1+(((C255=TRUE)*F255)+((C262=TRUE)*(F262-Calc!F24)))/100)*I243)</f>
        <v/>
      </c>
      <c r="L243">
        <f>K243*(MIN(Inputs!$B$21+((C260=TRUE)*(F260-Calc!F22)),Inputs!$B$22+0)/100+(Inputs!$B$22+0)/100)/2</f>
        <v/>
      </c>
      <c r="M243">
        <f>L243*(1+(Inputs!$B$9+((C263=TRUE)*(F263-Calc!F25))+B273)/100)</f>
        <v/>
      </c>
      <c r="N243">
        <f>L243*(1-MIN((Inputs!$B$8+((C257=TRUE)*(F257-Calc!F19))+B268),100)/100)+M243*(MIN((Inputs!$B$8+((C257=TRUE)*(F257-Calc!F19))+B268),100)/100)</f>
        <v/>
      </c>
      <c r="O243">
        <f>IF(C243,H243*N243*IF(AND(Inputs!$B$4&lt;&gt;"pvp",Inputs!$B$35&gt;0),((Skills!G5*((R243-1)*IF(Skills!H5&gt;0,Skills!I5/Skills!H5,1)+IF(Skills!H5&gt;0,MIN(Skills!I5,MAX(0,Inputs!$B$35-((R243-1)*IF(Inputs!$B$4="pvp",15,MAX(0.1,Skills!D5-IF(Skills!E5=TRUE,Inputs!$B$31,0))))))/Skills!H5,1)))/Inputs!$B$35),G243*Q243)*IF(Inputs!$B$4="pvp",1,(1-Summary!$B$55)*(1)+Summary!$B$55*(MIN(Skills!R5,Inputs!$B$37))),0)</f>
        <v/>
      </c>
      <c r="P243">
        <f>IF(B276=0,0,O243/B276)</f>
        <v/>
      </c>
      <c r="Q243">
        <f>IFERROR(1/IF(Inputs!$B$4="pvp",15,MAX(0.1,Skills!D5-IF(Skills!E5=TRUE,Inputs!$B$31,0))),0)</f>
        <v/>
      </c>
      <c r="R243">
        <f>IF(AND(Inputs!$B$4&lt;&gt;"pvp",Inputs!$B$35&gt;0),(INT(Inputs!$B$35/IF(Inputs!$B$4="pvp",15,MAX(0.1,Skills!D5-IF(Skills!E5=TRUE,Inputs!$B$31,0))))+1),0)</f>
        <v/>
      </c>
      <c r="S243">
        <f>IFERROR(O243/N243,0)</f>
        <v/>
      </c>
    </row>
    <row r="244">
      <c r="A244">
        <f>Skills!A6</f>
        <v/>
      </c>
      <c r="B244">
        <f>Skills!B6</f>
        <v/>
      </c>
      <c r="C244">
        <f>Inputs!$B$3&gt;=63</f>
        <v/>
      </c>
      <c r="D244">
        <f>IF(Skills!C6=1,60+Inputs!$B$24+Inputs!$B$28,IF(Skills!C6=2,90+Inputs!$B$25+Inputs!$B$28,IF(Skills!C6=3,120+Inputs!$B$26+Inputs!$B$28,MAX(0,(Inputs!$B$3-100)*3)+Inputs!$B$27+Inputs!$B$28)))</f>
        <v/>
      </c>
      <c r="E244">
        <f>INDEX(FactorTable!$B$2:$Y$301, MATCH(ROUND(MIN(300,MAX(1,D244)),0), FactorTable!$A$2:$A$301,0), Skills!M6+1)</f>
        <v/>
      </c>
      <c r="F244">
        <f>IF(Skills!N6=TRUE,(Skills!L6/10)*(E244/1000),Skills!L6/10)+Skills!O6</f>
        <v/>
      </c>
      <c r="G244">
        <f>Skills!G6*IF(Skills!H6&gt;0,Skills!I6/Skills!H6,1)</f>
        <v/>
      </c>
      <c r="H244">
        <f>1-(1-Skills!J6/100)^Skills!K6</f>
        <v/>
      </c>
      <c r="I244" t="inlineStr">
        <is>
          <t>1</t>
        </is>
      </c>
      <c r="J244">
        <f>(Inputs!$B$5*(1+Inputs!$B$6/100))*(F244/100)</f>
        <v/>
      </c>
      <c r="K244">
        <f>J244*(1+((Inputs!$B$11*(1+Inputs!$B$12/100))*0.01+Inputs!$B$13*0.0025)/100)*(1+Inputs!$B$14/100)*(1+IF(Inputs!$B$4="pvp",0,(1-Summary!$B$55)*((Inputs!$B$19+1)+0+Skills!P6)+Summary!$B$55*(Inputs!$B$20+Skills!Q6))/100)*(1+Inputs!$B$15/100)*(5000/(6000+Inputs!$B$7*(1-(Inputs!$B$18+0)/100)))*(1+(Inputs!$B$23+((C264=TRUE)*(F264-Calc!F26))+B274)/100)*(1+2.0*IF(C253=TRUE,F253,0)/100)*(1+(IF(Skills!A6="EIGHT_LEGS_EASTON",Inputs!$B$16+((C261=TRUE)*(F261-Calc!F23))+((C265=TRUE)*(F265-Calc!F27)),Inputs!$B$17+0))/100)*((1+(((C255=TRUE)*F255)+((C262=TRUE)*(F262-Calc!F24)))/100)*I244)</f>
        <v/>
      </c>
      <c r="L244">
        <f>K244*(MIN(Inputs!$B$21+((C260=TRUE)*(F260-Calc!F22)),Inputs!$B$22+0)/100+(Inputs!$B$22+0)/100)/2</f>
        <v/>
      </c>
      <c r="M244">
        <f>L244*(1+(Inputs!$B$9+((C263=TRUE)*(F263-Calc!F25))+B273)/100)</f>
        <v/>
      </c>
      <c r="N244">
        <f>L244*(1-MIN((Inputs!$B$8+((C257=TRUE)*(F257-Calc!F19))+B268),100)/100)+M244*(MIN((Inputs!$B$8+((C257=TRUE)*(F257-Calc!F19))+B268),100)/100)</f>
        <v/>
      </c>
      <c r="O244">
        <f>IF(C244,H244*N244*IF(AND(Inputs!$B$4&lt;&gt;"pvp",Inputs!$B$35&gt;0),((Skills!G6*((R244-1)*IF(Skills!H6&gt;0,Skills!I6/Skills!H6,1)+IF(Skills!H6&gt;0,MIN(Skills!I6,MAX(0,Inputs!$B$35-((R244-1)*IF(Inputs!$B$4="pvp",15,MAX(0.1,Skills!D6-IF(Skills!E6=TRUE,Inputs!$B$31,0))))))/Skills!H6,1)))/Inputs!$B$35),G244*Q244)*IF(Inputs!$B$4="pvp",1,(1-Summary!$B$55)*(1)+Summary!$B$55*(MIN(Skills!R6,Inputs!$B$37))),0)</f>
        <v/>
      </c>
      <c r="P244">
        <f>IF(B276=0,0,O244/B276)</f>
        <v/>
      </c>
      <c r="Q244">
        <f>IFERROR(1/IF(Inputs!$B$4="pvp",15,MAX(0.1,Skills!D6-IF(Skills!E6=TRUE,Inputs!$B$31,0))),0)</f>
        <v/>
      </c>
      <c r="R244">
        <f>IF(AND(Inputs!$B$4&lt;&gt;"pvp",Inputs!$B$35&gt;0),(INT(Inputs!$B$35/IF(Inputs!$B$4="pvp",15,MAX(0.1,Skills!D6-IF(Skills!E6=TRUE,Inputs!$B$31,0))))+1),0)</f>
        <v/>
      </c>
      <c r="S244">
        <f>IFERROR(O244/N244,0)</f>
        <v/>
      </c>
    </row>
    <row r="245">
      <c r="A245">
        <f>Skills!A7</f>
        <v/>
      </c>
      <c r="B245">
        <f>Skills!B7</f>
        <v/>
      </c>
      <c r="C245">
        <f>Inputs!$B$3&gt;=66</f>
        <v/>
      </c>
      <c r="D245">
        <f>IF(Skills!C7=1,60+Inputs!$B$24+Inputs!$B$28,IF(Skills!C7=2,90+Inputs!$B$25+Inputs!$B$28,IF(Skills!C7=3,120+Inputs!$B$26+Inputs!$B$28,MAX(0,(Inputs!$B$3-100)*3)+Inputs!$B$27+Inputs!$B$28)))</f>
        <v/>
      </c>
      <c r="E245">
        <f>INDEX(FactorTable!$B$2:$Y$301, MATCH(ROUND(MIN(300,MAX(1,D245)),0), FactorTable!$A$2:$A$301,0), Skills!M7+1)</f>
        <v/>
      </c>
      <c r="F245">
        <f>IF(Skills!N7=TRUE,(Skills!L7/10)*(E245/1000),Skills!L7/10)+Skills!O7</f>
        <v/>
      </c>
      <c r="G245">
        <f>Skills!G7*IF(Skills!H7&gt;0,Skills!I7/Skills!H7,1)</f>
        <v/>
      </c>
      <c r="H245">
        <f>1-(1-Skills!J7/100)^Skills!K7</f>
        <v/>
      </c>
      <c r="I245" t="inlineStr">
        <is>
          <t>1</t>
        </is>
      </c>
      <c r="J245">
        <f>(Inputs!$B$5*(1+Inputs!$B$6/100))*(F245/100)</f>
        <v/>
      </c>
      <c r="K245">
        <f>J245*(1+((Inputs!$B$11*(1+Inputs!$B$12/100))*0.01+Inputs!$B$13*0.0025)/100)*(1+Inputs!$B$14/100)*(1+IF(Inputs!$B$4="pvp",0,(1-Summary!$B$55)*((Inputs!$B$19+1)+0+Skills!P7)+Summary!$B$55*(Inputs!$B$20+Skills!Q7))/100)*(1+Inputs!$B$15/100)*(5000/(6000+Inputs!$B$7*(1-(Inputs!$B$18+0)/100)))*(1+(Inputs!$B$23+((C264=TRUE)*(F264-Calc!F26))+B274)/100)*(1+1.0*IF(C253=TRUE,F253,0)/100)*(1+(IF(Skills!A7="EIGHT_LEGS_EASTON",Inputs!$B$16+((C261=TRUE)*(F261-Calc!F23))+((C265=TRUE)*(F265-Calc!F27)),Inputs!$B$17+0))/100)*((1+(((C255=TRUE)*F255)+((C262=TRUE)*(F262-Calc!F24)))/100)*I245)</f>
        <v/>
      </c>
      <c r="L245">
        <f>K245*(MIN(Inputs!$B$21+((C260=TRUE)*(F260-Calc!F22)),Inputs!$B$22+0)/100+(Inputs!$B$22+0)/100)/2</f>
        <v/>
      </c>
      <c r="M245">
        <f>L245*(1+(Inputs!$B$9+((C263=TRUE)*(F263-Calc!F25))+B273)/100)</f>
        <v/>
      </c>
      <c r="N245">
        <f>L245*(1-MIN((Inputs!$B$8+((C257=TRUE)*(F257-Calc!F19))+B268),100)/100)+M245*(MIN((Inputs!$B$8+((C257=TRUE)*(F257-Calc!F19))+B268),100)/100)</f>
        <v/>
      </c>
      <c r="O245">
        <f>IF(C245,H245*N245*IF(AND(Inputs!$B$4&lt;&gt;"pvp",Inputs!$B$35&gt;0),((Skills!G7*((R245-1)*IF(Skills!H7&gt;0,Skills!I7/Skills!H7,1)+IF(Skills!H7&gt;0,MIN(Skills!I7,MAX(0,Inputs!$B$35-((R245-1)*IF(Inputs!$B$4="pvp",15,MAX(0.1,Skills!D7-IF(Skills!E7=TRUE,Inputs!$B$31,0))))))/Skills!H7,1)))/Inputs!$B$35),G245*Q245)*IF(Inputs!$B$4="pvp",1,(1-Summary!$B$55)*(1)+Summary!$B$55*(MIN(Skills!R7,Inputs!$B$37))),0)</f>
        <v/>
      </c>
      <c r="P245">
        <f>IF(B276=0,0,O245/B276)</f>
        <v/>
      </c>
      <c r="Q245">
        <f>IFERROR(1/IF(Inputs!$B$4="pvp",15,MAX(0.1,Skills!D7-IF(Skills!E7=TRUE,Inputs!$B$31,0))),0)</f>
        <v/>
      </c>
      <c r="R245">
        <f>IF(AND(Inputs!$B$4&lt;&gt;"pvp",Inputs!$B$35&gt;0),(INT(Inputs!$B$35/IF(Inputs!$B$4="pvp",15,MAX(0.1,Skills!D7-IF(Skills!E7=TRUE,Inputs!$B$31,0))))+1),0)</f>
        <v/>
      </c>
      <c r="S245">
        <f>IFERROR(O245/N245,0)</f>
        <v/>
      </c>
    </row>
    <row r="246">
      <c r="A246">
        <f>Skills!A8</f>
        <v/>
      </c>
      <c r="B246">
        <f>Skills!B8</f>
        <v/>
      </c>
      <c r="C246">
        <f>Inputs!$B$3&gt;=100</f>
        <v/>
      </c>
      <c r="D246">
        <f>IF(Skills!C8=1,60+Inputs!$B$24+Inputs!$B$28,IF(Skills!C8=2,90+Inputs!$B$25+Inputs!$B$28,IF(Skills!C8=3,120+Inputs!$B$26+Inputs!$B$28,MAX(0,(Inputs!$B$3-100)*3)+Inputs!$B$27+Inputs!$B$28)))</f>
        <v/>
      </c>
      <c r="E246">
        <f>INDEX(FactorTable!$B$2:$Y$301, MATCH(ROUND(MIN(300,MAX(1,D246)),0), FactorTable!$A$2:$A$301,0), Skills!M8+1)</f>
        <v/>
      </c>
      <c r="F246">
        <f>IF(Skills!N8=TRUE,(Skills!L8/10)*(E246/1000),Skills!L8/10)+Skills!O8</f>
        <v/>
      </c>
      <c r="G246">
        <f>Skills!G8*IF(Skills!H8&gt;0,Skills!I8/Skills!H8,1)</f>
        <v/>
      </c>
      <c r="H246">
        <f>1-(1-Skills!J8/100)^Skills!K8</f>
        <v/>
      </c>
      <c r="I246" t="inlineStr">
        <is>
          <t>1</t>
        </is>
      </c>
      <c r="J246">
        <f>(Inputs!$B$5*(1+Inputs!$B$6/100))*(F246/100)</f>
        <v/>
      </c>
      <c r="K246">
        <f>J246*(1+((Inputs!$B$11*(1+Inputs!$B$12/100))*0.01+Inputs!$B$13*0.0025)/100)*(1+Inputs!$B$14/100)*(1+IF(Inputs!$B$4="pvp",0,(1-Summary!$B$55)*((Inputs!$B$19+1)+0+Skills!P8)+Summary!$B$55*(Inputs!$B$20+Skills!Q8))/100)*(1+Inputs!$B$15/100)*(5000/(6000+Inputs!$B$7*(1-(Inputs!$B$18+0)/100)))*(1+(Inputs!$B$23+((C264=TRUE)*(F264-Calc!F26))+B274)/100)*(1+(IF(Skills!A8="EIGHT_LEGS_EASTON",Inputs!$B$16+((C261=TRUE)*(F261-Calc!F23))+((C265=TRUE)*(F265-Calc!F27)),Inputs!$B$17+0))/100)*((1+(((C255=TRUE)*F255)+((C262=TRUE)*(F262-Calc!F24)))/100)*I246)</f>
        <v/>
      </c>
      <c r="L246">
        <f>K246*(MIN(Inputs!$B$21+((C260=TRUE)*(F260-Calc!F22)),Inputs!$B$22+0)/100+(Inputs!$B$22+0)/100)/2</f>
        <v/>
      </c>
      <c r="M246">
        <f>L246*(1+(Inputs!$B$9+((C263=TRUE)*(F263-Calc!F25))+B273)/100)</f>
        <v/>
      </c>
      <c r="N246">
        <f>L246*(1-MIN((Inputs!$B$8+((C257=TRUE)*(F257-Calc!F19))+B268),100)/100)+M246*(MIN((Inputs!$B$8+((C257=TRUE)*(F257-Calc!F19))+B268),100)/100)</f>
        <v/>
      </c>
      <c r="O246">
        <f>IF(C246,H246*N246*IF(AND(Inputs!$B$4&lt;&gt;"pvp",Inputs!$B$35&gt;0),((Skills!G8*((R246-1)*IF(Skills!H8&gt;0,Skills!I8/Skills!H8,1)+IF(Skills!H8&gt;0,MIN(Skills!I8,MAX(0,Inputs!$B$35-((R246-1)*IF(Inputs!$B$4="pvp",15,MAX(0.1,Skills!D8-IF(Skills!E8=TRUE,Inputs!$B$31,0))))))/Skills!H8,1)))/Inputs!$B$35),G246*Q246)*IF(Inputs!$B$4="pvp",1,(1-Summary!$B$55)*(1)+Summary!$B$55*(MIN(Skills!R8,Inputs!$B$37))),0)</f>
        <v/>
      </c>
      <c r="P246">
        <f>IF(B276=0,0,O246/B276)</f>
        <v/>
      </c>
      <c r="Q246">
        <f>IFERROR(1/IF(Inputs!$B$4="pvp",15,MAX(0.1,Skills!D8-IF(Skills!E8=TRUE,Inputs!$B$31,0))),0)</f>
        <v/>
      </c>
      <c r="R246">
        <f>IF(AND(Inputs!$B$4&lt;&gt;"pvp",Inputs!$B$35&gt;0),(INT(Inputs!$B$35/IF(Inputs!$B$4="pvp",15,MAX(0.1,Skills!D8-IF(Skills!E8=TRUE,Inputs!$B$31,0))))+1),0)</f>
        <v/>
      </c>
      <c r="S246">
        <f>IFERROR(O246/N246,0)</f>
        <v/>
      </c>
    </row>
    <row r="247">
      <c r="A247">
        <f>Skills!A9</f>
        <v/>
      </c>
      <c r="B247">
        <f>Skills!B9</f>
        <v/>
      </c>
      <c r="C247">
        <f>Inputs!$B$3&gt;=103</f>
        <v/>
      </c>
      <c r="D247">
        <f>IF(Skills!C9=1,60+Inputs!$B$24+Inputs!$B$28,IF(Skills!C9=2,90+Inputs!$B$25+Inputs!$B$28,IF(Skills!C9=3,120+Inputs!$B$26+Inputs!$B$28,MAX(0,(Inputs!$B$3-100)*3)+Inputs!$B$27+Inputs!$B$28)))</f>
        <v/>
      </c>
      <c r="E247">
        <f>INDEX(FactorTable!$B$2:$Y$301, MATCH(ROUND(MIN(300,MAX(1,D247)),0), FactorTable!$A$2:$A$301,0), Skills!M9+1)</f>
        <v/>
      </c>
      <c r="F247">
        <f>IF(Skills!N9=TRUE,(Skills!L9/10)*(E247/1000),Skills!L9/10)+Skills!O9</f>
        <v/>
      </c>
      <c r="G247">
        <f>Skills!G9*IF(Skills!H9&gt;0,Skills!I9/Skills!H9,1)</f>
        <v/>
      </c>
      <c r="H247">
        <f>1-(1-Skills!J9/100)^Skills!K9</f>
        <v/>
      </c>
      <c r="I247" t="inlineStr">
        <is>
          <t>1</t>
        </is>
      </c>
      <c r="J247">
        <f>(Inputs!$B$5*(1+Inputs!$B$6/100))*(F247/100)</f>
        <v/>
      </c>
      <c r="K247">
        <f>J247*(1+((Inputs!$B$11*(1+Inputs!$B$12/100))*0.01+Inputs!$B$13*0.0025)/100)*(1+Inputs!$B$14/100)*(1+IF(Inputs!$B$4="pvp",0,(1-Summary!$B$55)*((Inputs!$B$19+1)+0+Skills!P9)+Summary!$B$55*(Inputs!$B$20+Skills!Q9))/100)*(1+Inputs!$B$15/100)*(5000/(6000+Inputs!$B$7*(1-(Inputs!$B$18+0)/100)))*(1+(Inputs!$B$23+((C264=TRUE)*(F264-Calc!F26))+B274)/100)*(1+(IF(Skills!A9="EIGHT_LEGS_EASTON",Inputs!$B$16+((C261=TRUE)*(F261-Calc!F23))+((C265=TRUE)*(F265-Calc!F27)),Inputs!$B$17+0))/100)*((1+(((C255=TRUE)*F255)+((C262=TRUE)*(F262-Calc!F24)))/100)*I247)</f>
        <v/>
      </c>
      <c r="L247">
        <f>K247*(MIN(Inputs!$B$21+((C260=TRUE)*(F260-Calc!F22)),Inputs!$B$22+0)/100+(Inputs!$B$22+0)/100)/2</f>
        <v/>
      </c>
      <c r="M247">
        <f>L247*(1+(Inputs!$B$9+((C263=TRUE)*(F263-Calc!F25))+B273)/100)</f>
        <v/>
      </c>
      <c r="N247">
        <f>L247*(1-MIN((Inputs!$B$8+((C257=TRUE)*(F257-Calc!F19))+B268),100)/100)+M247*(MIN((Inputs!$B$8+((C257=TRUE)*(F257-Calc!F19))+B268),100)/100)</f>
        <v/>
      </c>
      <c r="O247">
        <f>IF(C247,H247*N247*IF(AND(Inputs!$B$4&lt;&gt;"pvp",Inputs!$B$35&gt;0),((Skills!G9*((R247-1)*IF(Skills!H9&gt;0,Skills!I9/Skills!H9,1)+IF(Skills!H9&gt;0,MIN(Skills!I9,MAX(0,Inputs!$B$35-((R247-1)*IF(Inputs!$B$4="pvp",15,MAX(0.1,Skills!D9-IF(Skills!E9=TRUE,Inputs!$B$31,0))))))/Skills!H9,1)))/Inputs!$B$35),G247*Q247)*IF(Inputs!$B$4="pvp",1,(1-Summary!$B$55)*(1)+Summary!$B$55*(MIN(Skills!R9,Inputs!$B$37))),0)</f>
        <v/>
      </c>
      <c r="P247">
        <f>IF(B276=0,0,O247/B276)</f>
        <v/>
      </c>
      <c r="Q247">
        <f>IFERROR(1/IF(Inputs!$B$4="pvp",15,MAX(0.1,Skills!D9-IF(Skills!E9=TRUE,Inputs!$B$31,0))),0)</f>
        <v/>
      </c>
      <c r="R247">
        <f>IF(AND(Inputs!$B$4&lt;&gt;"pvp",Inputs!$B$35&gt;0),(INT(Inputs!$B$35/IF(Inputs!$B$4="pvp",15,MAX(0.1,Skills!D9-IF(Skills!E9=TRUE,Inputs!$B$31,0))))+1),0)</f>
        <v/>
      </c>
      <c r="S247">
        <f>IFERROR(O247/N247,0)</f>
        <v/>
      </c>
    </row>
    <row r="248">
      <c r="A248">
        <f>Skills!A10</f>
        <v/>
      </c>
      <c r="B248">
        <f>Skills!B10</f>
        <v/>
      </c>
      <c r="C248">
        <f>Inputs!$B$3&gt;=113</f>
        <v/>
      </c>
      <c r="D248">
        <f>IF(Skills!C10=1,60+Inputs!$B$24+Inputs!$B$28,IF(Skills!C10=2,90+Inputs!$B$25+Inputs!$B$28,IF(Skills!C10=3,120+Inputs!$B$26+Inputs!$B$28,MAX(0,(Inputs!$B$3-100)*3)+Inputs!$B$27+Inputs!$B$28)))</f>
        <v/>
      </c>
      <c r="E248">
        <f>INDEX(FactorTable!$B$2:$Y$301, MATCH(ROUND(MIN(300,MAX(1,D248)),0), FactorTable!$A$2:$A$301,0), Skills!M10+1)</f>
        <v/>
      </c>
      <c r="F248">
        <f>IF(Skills!N10=TRUE,(Skills!L10/10)*(E248/1000),Skills!L10/10)+Skills!O10</f>
        <v/>
      </c>
      <c r="G248">
        <f>Skills!G10*IF(Skills!H10&gt;0,Skills!I10/Skills!H10,1)</f>
        <v/>
      </c>
      <c r="H248">
        <f>1-(1-Skills!J10/100)^Skills!K10</f>
        <v/>
      </c>
      <c r="I248" t="inlineStr">
        <is>
          <t>1</t>
        </is>
      </c>
      <c r="J248">
        <f>(Inputs!$B$5*(1+Inputs!$B$6/100))*(F248/100)</f>
        <v/>
      </c>
      <c r="K248">
        <f>J248*(1+((Inputs!$B$11*(1+Inputs!$B$12/100))*0.01+Inputs!$B$13*0.0025)/100)*(1+Inputs!$B$14/100)*(1+IF(Inputs!$B$4="pvp",0,(1-Summary!$B$55)*((Inputs!$B$19+1)+0+Skills!P10)+Summary!$B$55*(Inputs!$B$20+Skills!Q10))/100)*(1+Inputs!$B$15/100)*(5000/(6000+Inputs!$B$7*(1-(Inputs!$B$18+0)/100)))*(1+(Inputs!$B$23+((C264=TRUE)*(F264-Calc!F26))+B274)/100)*(1+(IF(Skills!A10="EIGHT_LEGS_EASTON",Inputs!$B$16+((C261=TRUE)*(F261-Calc!F23))+((C265=TRUE)*(F265-Calc!F27)),Inputs!$B$17+0))/100)*((1+(((C255=TRUE)*F255)+((C262=TRUE)*(F262-Calc!F24)))/100)*I248)</f>
        <v/>
      </c>
      <c r="L248">
        <f>K248*(MIN(Inputs!$B$21+((C260=TRUE)*(F260-Calc!F22)),Inputs!$B$22+0)/100+(Inputs!$B$22+0)/100)/2</f>
        <v/>
      </c>
      <c r="M248">
        <f>L248*(1+(Inputs!$B$9+((C263=TRUE)*(F263-Calc!F25))+B273)/100)</f>
        <v/>
      </c>
      <c r="N248">
        <f>L248*(1-MIN((Inputs!$B$8+((C257=TRUE)*(F257-Calc!F19))+B268),100)/100)+M248*(MIN((Inputs!$B$8+((C257=TRUE)*(F257-Calc!F19))+B268),100)/100)</f>
        <v/>
      </c>
      <c r="O248">
        <f>IF(C248,H248*N248*IF(AND(Inputs!$B$4&lt;&gt;"pvp",Inputs!$B$35&gt;0),((Skills!G10*((R248-1)*IF(Skills!H10&gt;0,Skills!I10/Skills!H10,1)+IF(Skills!H10&gt;0,MIN(Skills!I10,MAX(0,Inputs!$B$35-((R248-1)*IF(Inputs!$B$4="pvp",15,MAX(0.1,Skills!D10-IF(Skills!E10=TRUE,Inputs!$B$31,0))))))/Skills!H10,1)))/Inputs!$B$35),G248*Q248)*IF(Inputs!$B$4="pvp",1,(1-Summary!$B$55)*(1)+Summary!$B$55*(MIN(Skills!R10,Inputs!$B$37))),0)</f>
        <v/>
      </c>
      <c r="P248">
        <f>IF(B276=0,0,O248/B276)</f>
        <v/>
      </c>
      <c r="Q248">
        <f>IFERROR(1/IF(Inputs!$B$4="pvp",15,MAX(0.1,Skills!D10-IF(Skills!E10=TRUE,Inputs!$B$31,0))),0)</f>
        <v/>
      </c>
      <c r="R248">
        <f>IF(AND(Inputs!$B$4&lt;&gt;"pvp",Inputs!$B$35&gt;0),(INT(Inputs!$B$35/IF(Inputs!$B$4="pvp",15,MAX(0.1,Skills!D10-IF(Skills!E10=TRUE,Inputs!$B$31,0))))+1),0)</f>
        <v/>
      </c>
      <c r="S248">
        <f>IFERROR(O248/N248,0)</f>
        <v/>
      </c>
    </row>
    <row r="249">
      <c r="A249">
        <f>Skills!A11</f>
        <v/>
      </c>
      <c r="B249">
        <f>Skills!B11</f>
        <v/>
      </c>
      <c r="C249">
        <f>Inputs!$B$3&gt;=107</f>
        <v/>
      </c>
      <c r="D249">
        <f>IF(Skills!C11=1,60+Inputs!$B$24+Inputs!$B$28,IF(Skills!C11=2,90+Inputs!$B$25+Inputs!$B$28,IF(Skills!C11=3,120+Inputs!$B$26+Inputs!$B$28,MAX(0,(Inputs!$B$3-100)*3)+Inputs!$B$27+Inputs!$B$28)))</f>
        <v/>
      </c>
      <c r="E249">
        <f>INDEX(FactorTable!$B$2:$Y$301, MATCH(ROUND(MIN(300,MAX(1,D249)),0), FactorTable!$A$2:$A$301,0), Skills!M11+1)</f>
        <v/>
      </c>
      <c r="F249">
        <f>IF(Skills!N11=TRUE,(Skills!L11/10)*(E249/1000),Skills!L11/10)+Skills!O11</f>
        <v/>
      </c>
      <c r="G249">
        <f>Skills!G11*IF(Skills!H11&gt;0,Skills!I11/Skills!H11,1)</f>
        <v/>
      </c>
      <c r="H249">
        <f>1-(1-Skills!J11/100)^Skills!K11</f>
        <v/>
      </c>
      <c r="I249" t="inlineStr">
        <is>
          <t>1</t>
        </is>
      </c>
      <c r="J249">
        <f>(Inputs!$B$5*(1+Inputs!$B$6/100))*(F249/100)</f>
        <v/>
      </c>
      <c r="K249">
        <f>J249*(1+((Inputs!$B$11*(1+Inputs!$B$12/100))*0.01+Inputs!$B$13*0.0025)/100)*(1+Inputs!$B$14/100)*(1+IF(Inputs!$B$4="pvp",0,(1-Summary!$B$55)*((Inputs!$B$19+1)+0+Skills!P11)+Summary!$B$55*(Inputs!$B$20+Skills!Q11))/100)*(1+Inputs!$B$15/100)*(5000/(6000+Inputs!$B$7*(1-(Inputs!$B$18+0)/100)))*(1+(Inputs!$B$23+((C264=TRUE)*(F264-Calc!F26))+B274)/100)*(1+(IF(Skills!A11="EIGHT_LEGS_EASTON",Inputs!$B$16+((C261=TRUE)*(F261-Calc!F23))+((C265=TRUE)*(F265-Calc!F27)),Inputs!$B$17+0))/100)*((1+(((C255=TRUE)*F255)+((C262=TRUE)*(F262-Calc!F24)))/100)*I249)</f>
        <v/>
      </c>
      <c r="L249">
        <f>K249*(MIN(Inputs!$B$21+((C260=TRUE)*(F260-Calc!F22)),Inputs!$B$22+0)/100+(Inputs!$B$22+0)/100)/2</f>
        <v/>
      </c>
      <c r="M249">
        <f>L249*(1+(Inputs!$B$9+((C263=TRUE)*(F263-Calc!F25))+B273)/100)</f>
        <v/>
      </c>
      <c r="N249">
        <f>L249*(1-MIN((Inputs!$B$8+((C257=TRUE)*(F257-Calc!F19))+B268),100)/100)+M249*(MIN((Inputs!$B$8+((C257=TRUE)*(F257-Calc!F19))+B268),100)/100)</f>
        <v/>
      </c>
      <c r="O249">
        <f>IF(C249,H249*N249*IF(AND(Inputs!$B$4&lt;&gt;"pvp",Inputs!$B$35&gt;0),((Skills!G11*((R249-1)*IF(Skills!H11&gt;0,Skills!I11/Skills!H11,1)+IF(Skills!H11&gt;0,MIN(Skills!I11,MAX(0,Inputs!$B$35-((R249-1)*IF(Inputs!$B$4="pvp",15,MAX(0.1,Skills!D11-IF(Skills!E11=TRUE,Inputs!$B$31,0))))))/Skills!H11,1)))/Inputs!$B$35),G249*Q249)*IF(Inputs!$B$4="pvp",1,(1-Summary!$B$55)*(1)+Summary!$B$55*(MIN(Skills!R11,Inputs!$B$37))),0)</f>
        <v/>
      </c>
      <c r="P249">
        <f>IF(B276=0,0,O249/B276)</f>
        <v/>
      </c>
      <c r="Q249">
        <f>IFERROR(1/IF(Inputs!$B$4="pvp",15,MAX(0.1,Skills!D11-IF(Skills!E11=TRUE,Inputs!$B$31,0))),0)</f>
        <v/>
      </c>
      <c r="R249">
        <f>IF(AND(Inputs!$B$4&lt;&gt;"pvp",Inputs!$B$35&gt;0),(INT(Inputs!$B$35/IF(Inputs!$B$4="pvp",15,MAX(0.1,Skills!D11-IF(Skills!E11=TRUE,Inputs!$B$31,0))))+1),0)</f>
        <v/>
      </c>
      <c r="S249">
        <f>IFERROR(O249/N249,0)</f>
        <v/>
      </c>
    </row>
    <row r="250">
      <c r="A250">
        <f>Skills!A12</f>
        <v/>
      </c>
      <c r="B250">
        <f>Skills!B12</f>
        <v/>
      </c>
      <c r="C250">
        <f>Inputs!$B$3&gt;=110</f>
        <v/>
      </c>
      <c r="D250">
        <f>IF(Skills!C12=1,60+Inputs!$B$24+Inputs!$B$28,IF(Skills!C12=2,90+Inputs!$B$25+Inputs!$B$28,IF(Skills!C12=3,120+Inputs!$B$26+Inputs!$B$28,MAX(0,(Inputs!$B$3-100)*3)+Inputs!$B$27+Inputs!$B$28)))</f>
        <v/>
      </c>
      <c r="E250">
        <f>INDEX(FactorTable!$B$2:$Y$301, MATCH(ROUND(MIN(300,MAX(1,D250)),0), FactorTable!$A$2:$A$301,0), Skills!M12+1)</f>
        <v/>
      </c>
      <c r="F250">
        <f>IF(Skills!N12=TRUE,(Skills!L12/10)*(E250/1000),Skills!L12/10)+Skills!O12</f>
        <v/>
      </c>
      <c r="G250">
        <f>Skills!G12*IF(Skills!H12&gt;0,Skills!I12/Skills!H12,1)</f>
        <v/>
      </c>
      <c r="H250">
        <f>1-(1-Skills!J12/100)^Skills!K12</f>
        <v/>
      </c>
      <c r="I250" t="inlineStr">
        <is>
          <t>1</t>
        </is>
      </c>
      <c r="J250">
        <f>(Inputs!$B$5*(1+Inputs!$B$6/100))*(F250/100)</f>
        <v/>
      </c>
      <c r="K250">
        <f>J250*(1+((Inputs!$B$11*(1+Inputs!$B$12/100))*0.01+Inputs!$B$13*0.0025)/100)*(1+Inputs!$B$14/100)*(1+IF(Inputs!$B$4="pvp",0,(1-Summary!$B$55)*((Inputs!$B$19+1)+0+Skills!P12)+Summary!$B$55*(Inputs!$B$20+Skills!Q12))/100)*(1+Inputs!$B$15/100)*(5000/(6000+Inputs!$B$7*(1-(Inputs!$B$18+0)/100)))*(1+(Inputs!$B$23+((C264=TRUE)*(F264-Calc!F26))+B274)/100)*(1+(IF(Skills!A12="EIGHT_LEGS_EASTON",Inputs!$B$16+((C261=TRUE)*(F261-Calc!F23))+((C265=TRUE)*(F265-Calc!F27)),Inputs!$B$17+0))/100)*((1+(((C255=TRUE)*F255)+((C262=TRUE)*(F262-Calc!F24)))/100)*I250)</f>
        <v/>
      </c>
      <c r="L250">
        <f>K250*(MIN(Inputs!$B$21+((C260=TRUE)*(F260-Calc!F22)),Inputs!$B$22+0)/100+(Inputs!$B$22+0)/100)/2</f>
        <v/>
      </c>
      <c r="M250">
        <f>L250*(1+(Inputs!$B$9+((C263=TRUE)*(F263-Calc!F25))+B273)/100)</f>
        <v/>
      </c>
      <c r="N250">
        <f>L250*(1-MIN((Inputs!$B$8+((C257=TRUE)*(F257-Calc!F19))+B268),100)/100)+M250*(MIN((Inputs!$B$8+((C257=TRUE)*(F257-Calc!F19))+B268),100)/100)</f>
        <v/>
      </c>
      <c r="O250">
        <f>IF(C250,H250*N250*IF(AND(Inputs!$B$4&lt;&gt;"pvp",Inputs!$B$35&gt;0),((Skills!G12*((R250-1)*IF(Skills!H12&gt;0,Skills!I12/Skills!H12,1)+IF(Skills!H12&gt;0,MIN(Skills!I12,MAX(0,Inputs!$B$35-((R250-1)*IF(Inputs!$B$4="pvp",15,MAX(0.1,Skills!D12-IF(Skills!E12=TRUE,Inputs!$B$31,0))))))/Skills!H12,1)))/Inputs!$B$35),G250*Q250)*IF(Inputs!$B$4="pvp",1,(1-Summary!$B$55)*(1)+Summary!$B$55*(MIN(Skills!R12,Inputs!$B$37))),0)</f>
        <v/>
      </c>
      <c r="P250">
        <f>IF(B276=0,0,O250/B276)</f>
        <v/>
      </c>
      <c r="Q250">
        <f>IFERROR(1/IF(Inputs!$B$4="pvp",15,MAX(0.1,Skills!D12-IF(Skills!E12=TRUE,Inputs!$B$31,0))),0)</f>
        <v/>
      </c>
      <c r="R250">
        <f>IF(AND(Inputs!$B$4&lt;&gt;"pvp",Inputs!$B$35&gt;0),(INT(Inputs!$B$35/IF(Inputs!$B$4="pvp",15,MAX(0.1,Skills!D12-IF(Skills!E12=TRUE,Inputs!$B$31,0))))+1),0)</f>
        <v/>
      </c>
      <c r="S250">
        <f>IFERROR(O250/N250,0)</f>
        <v/>
      </c>
    </row>
    <row r="251">
      <c r="A251">
        <f>Skills!A13</f>
        <v/>
      </c>
      <c r="B251">
        <f>Skills!B13</f>
        <v/>
      </c>
      <c r="C251">
        <f>Inputs!$B$3&gt;=110</f>
        <v/>
      </c>
      <c r="D251">
        <f>IF(Skills!C13=1,60+Inputs!$B$24+Inputs!$B$28,IF(Skills!C13=2,90+Inputs!$B$25+Inputs!$B$28,IF(Skills!C13=3,120+Inputs!$B$26+Inputs!$B$28,MAX(0,(Inputs!$B$3-100)*3)+Inputs!$B$27+Inputs!$B$28)))</f>
        <v/>
      </c>
      <c r="E251">
        <f>INDEX(FactorTable!$B$2:$Y$301, MATCH(ROUND(MIN(300,MAX(1,D251)),0), FactorTable!$A$2:$A$301,0), Skills!M13+1)</f>
        <v/>
      </c>
      <c r="F251">
        <f>IF(Skills!N13=TRUE,(Skills!L13/10)*(E251/1000),Skills!L13/10)+Skills!O13</f>
        <v/>
      </c>
      <c r="G251">
        <f>Skills!G13*IF(Skills!H13&gt;0,Skills!I13/Skills!H13,1)</f>
        <v/>
      </c>
      <c r="H251">
        <f>1-(1-Skills!J13/100)^Skills!K13</f>
        <v/>
      </c>
      <c r="I251" t="inlineStr">
        <is>
          <t>1</t>
        </is>
      </c>
      <c r="J251">
        <f>(Inputs!$B$5*(1+Inputs!$B$6/100))*(F251/100)</f>
        <v/>
      </c>
      <c r="K251">
        <f>J251*(1+((Inputs!$B$11*(1+Inputs!$B$12/100))*0.01+Inputs!$B$13*0.0025)/100)*(1+Inputs!$B$14/100)*(1+IF(Inputs!$B$4="pvp",0,(1-Summary!$B$55)*((Inputs!$B$19+1)+0+Skills!P13)+Summary!$B$55*(Inputs!$B$20+Skills!Q13))/100)*(1+Inputs!$B$15/100)*(5000/(6000+Inputs!$B$7*(1-(Inputs!$B$18+0)/100)))*(1+(Inputs!$B$23+((C264=TRUE)*(F264-Calc!F26))+B274)/100)*(1+(IF(Skills!A13="EIGHT_LEGS_EASTON",Inputs!$B$16+((C261=TRUE)*(F261-Calc!F23))+((C265=TRUE)*(F265-Calc!F27)),Inputs!$B$17+0))/100)*((1+(((C255=TRUE)*F255)+((C262=TRUE)*(F262-Calc!F24)))/100)*I251)</f>
        <v/>
      </c>
      <c r="L251">
        <f>K251*(MIN(Inputs!$B$21+((C260=TRUE)*(F260-Calc!F22)),Inputs!$B$22+0)/100+(Inputs!$B$22+0)/100)/2</f>
        <v/>
      </c>
      <c r="M251">
        <f>L251*(1+(Inputs!$B$9+((C263=TRUE)*(F263-Calc!F25))+B273)/100)</f>
        <v/>
      </c>
      <c r="N251">
        <f>L251*(1-MIN((Inputs!$B$8+((C257=TRUE)*(F257-Calc!F19))+B268),100)/100)+M251*(MIN((Inputs!$B$8+((C257=TRUE)*(F257-Calc!F19))+B268),100)/100)</f>
        <v/>
      </c>
      <c r="O251">
        <f>IF(C251,H251*N251*IF(AND(Inputs!$B$4&lt;&gt;"pvp",Inputs!$B$35&gt;0),((Skills!G13*((R251-1)*IF(Skills!H13&gt;0,Skills!I13/Skills!H13,1)+IF(Skills!H13&gt;0,MIN(Skills!I13,MAX(0,Inputs!$B$35-((R251-1)*IF(Inputs!$B$4="pvp",15,MAX(0.1,Skills!D13-IF(Skills!E13=TRUE,Inputs!$B$31,0))))))/Skills!H13,1)))/Inputs!$B$35),G251*Q251)*IF(Inputs!$B$4="pvp",1,(1-Summary!$B$55)*(1)+Summary!$B$55*(MIN(Skills!R13,Inputs!$B$37))),0)</f>
        <v/>
      </c>
      <c r="P251">
        <f>IF(B276=0,0,O251/B276)</f>
        <v/>
      </c>
      <c r="Q251">
        <f>IFERROR(1/IF(Inputs!$B$4="pvp",15,MAX(0.1,Skills!D13-IF(Skills!E13=TRUE,Inputs!$B$31,0))),0)</f>
        <v/>
      </c>
      <c r="R251">
        <f>IF(AND(Inputs!$B$4&lt;&gt;"pvp",Inputs!$B$35&gt;0),(INT(Inputs!$B$35/IF(Inputs!$B$4="pvp",15,MAX(0.1,Skills!D13-IF(Skills!E13=TRUE,Inputs!$B$31,0))))+1),0)</f>
        <v/>
      </c>
      <c r="S251">
        <f>IFERROR(O251/N251,0)</f>
        <v/>
      </c>
    </row>
    <row r="252">
      <c r="A252">
        <f>Skills!A14</f>
        <v/>
      </c>
      <c r="B252">
        <f>Skills!B14</f>
        <v/>
      </c>
      <c r="C252">
        <f>Inputs!$B$3&gt;=125</f>
        <v/>
      </c>
      <c r="D252">
        <f>IF(Skills!C14=1,60+Inputs!$B$24+Inputs!$B$28,IF(Skills!C14=2,90+Inputs!$B$25+Inputs!$B$28,IF(Skills!C14=3,120+Inputs!$B$26+Inputs!$B$28,MAX(0,(Inputs!$B$3-100)*3)+Inputs!$B$27+Inputs!$B$28)))</f>
        <v/>
      </c>
      <c r="E252">
        <f>INDEX(FactorTable!$B$2:$Y$301, MATCH(ROUND(MIN(300,MAX(1,D252)),0), FactorTable!$A$2:$A$301,0), Skills!M14+1)</f>
        <v/>
      </c>
      <c r="F252">
        <f>IF(Skills!N14=TRUE,(Skills!L14/10)*(E252/1000),Skills!L14/10)+Skills!O14</f>
        <v/>
      </c>
      <c r="G252">
        <f>Skills!G14*IF(Skills!H14&gt;0,Skills!I14/Skills!H14,1)</f>
        <v/>
      </c>
      <c r="H252">
        <f>1-(1-Skills!J14/100)^Skills!K14</f>
        <v/>
      </c>
      <c r="I252" t="inlineStr">
        <is>
          <t>1</t>
        </is>
      </c>
      <c r="J252">
        <f>(Inputs!$B$5*(1+Inputs!$B$6/100))*(F252/100)</f>
        <v/>
      </c>
      <c r="K252">
        <f>J252*(1+((Inputs!$B$11*(1+Inputs!$B$12/100))*0.01+Inputs!$B$13*0.0025)/100)*(1+Inputs!$B$14/100)*(1+IF(Inputs!$B$4="pvp",0,(1-Summary!$B$55)*((Inputs!$B$19+1)+0+Skills!P14)+Summary!$B$55*(Inputs!$B$20+Skills!Q14))/100)*(1+Inputs!$B$15/100)*(5000/(6000+Inputs!$B$7*(1-(Inputs!$B$18+0)/100)))*(1+(Inputs!$B$23+((C264=TRUE)*(F264-Calc!F26))+B274)/100)*(1+(IF(Skills!A14="EIGHT_LEGS_EASTON",Inputs!$B$16+((C261=TRUE)*(F261-Calc!F23))+((C265=TRUE)*(F265-Calc!F27)),Inputs!$B$17+0))/100)*((1+(((C255=TRUE)*F255)+((C262=TRUE)*(F262-Calc!F24)))/100)*I252)</f>
        <v/>
      </c>
      <c r="L252">
        <f>K252*(MIN(Inputs!$B$21+((C260=TRUE)*(F260-Calc!F22)),Inputs!$B$22+0)/100+(Inputs!$B$22+0)/100)/2</f>
        <v/>
      </c>
      <c r="M252">
        <f>L252*(1+(Inputs!$B$9+((C263=TRUE)*(F263-Calc!F25))+B273)/100)</f>
        <v/>
      </c>
      <c r="N252">
        <f>L252*(1-MIN((Inputs!$B$8+((C257=TRUE)*(F257-Calc!F19))+B268),100)/100)+M252*(MIN((Inputs!$B$8+((C257=TRUE)*(F257-Calc!F19))+B268),100)/100)</f>
        <v/>
      </c>
      <c r="O252">
        <f>IF(C252,H252*N252*(B272+IF(AND(Inputs!$B$4&lt;&gt;"pvp",Inputs!$B$35&gt;0),((Skills!G8*((R246-1)*IF(Skills!H8&gt;0,Skills!I8/Skills!H8,1)+IF(Skills!H8&gt;0,MIN(Skills!I8,MAX(0,Inputs!$B$35-((R246-1)*IF(Inputs!$B$4="pvp",15,MAX(0.1,Skills!D8-IF(Skills!E8=TRUE,Inputs!$B$31,0))))))/Skills!H8,1)))/Inputs!$B$35),G246*Q246)+IF(AND(Inputs!$B$4&lt;&gt;"pvp",Inputs!$B$35&gt;0),((Skills!G11*((R249-1)*IF(Skills!H11&gt;0,Skills!I11/Skills!H11,1)+IF(Skills!H11&gt;0,MIN(Skills!I11,MAX(0,Inputs!$B$35-((R249-1)*IF(Inputs!$B$4="pvp",15,MAX(0.1,Skills!D11-IF(Skills!E11=TRUE,Inputs!$B$31,0))))))/Skills!H11,1)))/Inputs!$B$35),G249*Q249))*IF(Inputs!$B$4="pvp",1,(1-Summary!$B$55)*(1)+Summary!$B$55*(MIN(Skills!R14,Inputs!$B$37))),0)</f>
        <v/>
      </c>
      <c r="P252">
        <f>IF(B276=0,0,O252/B276)</f>
        <v/>
      </c>
      <c r="Q252" t="n">
        <v>0</v>
      </c>
      <c r="R252" t="n">
        <v>0</v>
      </c>
      <c r="S252">
        <f>IFERROR(O252/N252,0)</f>
        <v/>
      </c>
    </row>
    <row r="253">
      <c r="A253">
        <f>Skills!A15</f>
        <v/>
      </c>
      <c r="B253">
        <f>Skills!B15</f>
        <v/>
      </c>
      <c r="C253">
        <f>Inputs!$B$3&gt;=100</f>
        <v/>
      </c>
      <c r="D253">
        <f>IF(Skills!C15=1,60+Inputs!$B$24+Inputs!$B$28,IF(Skills!C15=2,90+Inputs!$B$25+Inputs!$B$28,IF(Skills!C15=3,120+Inputs!$B$26+Inputs!$B$28,MAX(0,(Inputs!$B$3-100)*3)+Inputs!$B$27+Inputs!$B$28)))</f>
        <v/>
      </c>
      <c r="E253">
        <f>INDEX(FactorTable!$B$2:$Y$301, MATCH(ROUND(MIN(300,MAX(1,D253)),0), FactorTable!$A$2:$A$301,0), Skills!M15+1)</f>
        <v/>
      </c>
      <c r="F253">
        <f>IF(Skills!N15=TRUE,(Skills!L15/10)*(E253/1000),Skills!L15/10)+Skills!O15</f>
        <v/>
      </c>
      <c r="G253" t="inlineStr"/>
      <c r="H253" t="inlineStr"/>
      <c r="I253" t="inlineStr">
        <is>
          <t>1</t>
        </is>
      </c>
      <c r="J253" t="inlineStr"/>
      <c r="K253" t="inlineStr"/>
      <c r="L253" t="inlineStr"/>
      <c r="M253" t="inlineStr"/>
      <c r="N253" t="inlineStr"/>
      <c r="O253" t="inlineStr"/>
      <c r="P253" t="inlineStr"/>
      <c r="Q253" t="inlineStr"/>
      <c r="R253" t="inlineStr"/>
      <c r="S253" t="inlineStr"/>
    </row>
    <row r="254">
      <c r="A254">
        <f>Skills!A16</f>
        <v/>
      </c>
      <c r="B254">
        <f>Skills!B16</f>
        <v/>
      </c>
      <c r="C254">
        <f>Inputs!$B$3&gt;=120</f>
        <v/>
      </c>
      <c r="D254">
        <f>IF(Skills!C16=1,60+Inputs!$B$24+Inputs!$B$28,IF(Skills!C16=2,90+Inputs!$B$25+Inputs!$B$28,IF(Skills!C16=3,120+Inputs!$B$26+Inputs!$B$28,MAX(0,(Inputs!$B$3-100)*3)+Inputs!$B$27+Inputs!$B$28)))</f>
        <v/>
      </c>
      <c r="E254">
        <f>INDEX(FactorTable!$B$2:$Y$301, MATCH(ROUND(MIN(300,MAX(1,D254)),0), FactorTable!$A$2:$A$301,0), Skills!M16+1)</f>
        <v/>
      </c>
      <c r="F254">
        <f>IF(Skills!N16=TRUE,(Skills!L16/10)*(E254/1000),Skills!L16/10)+Skills!O16</f>
        <v/>
      </c>
      <c r="G254" t="inlineStr"/>
      <c r="H254" t="inlineStr"/>
      <c r="I254" t="inlineStr">
        <is>
          <t>1</t>
        </is>
      </c>
      <c r="J254" t="inlineStr"/>
      <c r="K254" t="inlineStr"/>
      <c r="L254" t="inlineStr"/>
      <c r="M254" t="inlineStr"/>
      <c r="N254" t="inlineStr"/>
      <c r="O254" t="inlineStr"/>
      <c r="P254" t="inlineStr"/>
      <c r="Q254" t="inlineStr"/>
      <c r="R254" t="inlineStr"/>
      <c r="S254" t="inlineStr"/>
    </row>
    <row r="255">
      <c r="A255">
        <f>Skills!A17</f>
        <v/>
      </c>
      <c r="B255">
        <f>Skills!B17</f>
        <v/>
      </c>
      <c r="C255">
        <f>Inputs!$B$3&gt;=66</f>
        <v/>
      </c>
      <c r="D255">
        <f>IF(Skills!C17=1,60+Inputs!$B$24+Inputs!$B$28,IF(Skills!C17=2,90+Inputs!$B$25+Inputs!$B$28,IF(Skills!C17=3,120+Inputs!$B$26+Inputs!$B$28,MAX(0,(Inputs!$B$3-100)*3)+Inputs!$B$27+Inputs!$B$28)))</f>
        <v/>
      </c>
      <c r="E255">
        <f>INDEX(FactorTable!$B$2:$Y$301, MATCH(ROUND(MIN(300,MAX(1,D255)),0), FactorTable!$A$2:$A$301,0), Skills!M17+1)</f>
        <v/>
      </c>
      <c r="F255">
        <f>IF(Skills!N17=TRUE,(Skills!L17/10)*(E255/1000),Skills!L17/10)+Skills!O17</f>
        <v/>
      </c>
      <c r="G255">
        <f>Skills!G17*IF(Skills!H17&gt;0,Skills!I17/Skills!H17,1)</f>
        <v/>
      </c>
      <c r="H255">
        <f>1-(1-Skills!J17/100)^Skills!K17</f>
        <v/>
      </c>
      <c r="I255" t="inlineStr">
        <is>
          <t>1</t>
        </is>
      </c>
      <c r="J255" t="inlineStr"/>
      <c r="K255" t="inlineStr"/>
      <c r="L255" t="inlineStr"/>
      <c r="M255" t="inlineStr"/>
      <c r="N255" t="inlineStr"/>
      <c r="O255" t="n">
        <v>0</v>
      </c>
      <c r="P255">
        <f>IF(B276=0,0,O255/B276)</f>
        <v/>
      </c>
      <c r="Q255" t="n">
        <v>0</v>
      </c>
      <c r="R255" t="n">
        <v>0</v>
      </c>
      <c r="S255">
        <f>IFERROR(O255/N255,0)</f>
        <v/>
      </c>
    </row>
    <row r="256">
      <c r="A256">
        <f>Skills!A18</f>
        <v/>
      </c>
      <c r="B256">
        <f>Skills!B18</f>
        <v/>
      </c>
      <c r="C256">
        <f>Inputs!$B$3&gt;=115</f>
        <v/>
      </c>
      <c r="D256">
        <f>IF(Skills!C18=1,60+Inputs!$B$24+Inputs!$B$28,IF(Skills!C18=2,90+Inputs!$B$25+Inputs!$B$28,IF(Skills!C18=3,120+Inputs!$B$26+Inputs!$B$28,MAX(0,(Inputs!$B$3-100)*3)+Inputs!$B$27+Inputs!$B$28)))</f>
        <v/>
      </c>
      <c r="E256">
        <f>INDEX(FactorTable!$B$2:$Y$301, MATCH(ROUND(MIN(300,MAX(1,D256)),0), FactorTable!$A$2:$A$301,0), Skills!M18+1)</f>
        <v/>
      </c>
      <c r="F256">
        <f>IF(Skills!N18=TRUE,(Skills!L18/10)*(E256/1000),Skills!L18/10)+Skills!O18</f>
        <v/>
      </c>
      <c r="G256">
        <f>Skills!G18*IF(Skills!H18&gt;0,Skills!I18/Skills!H18,1)</f>
        <v/>
      </c>
      <c r="H256">
        <f>1-(1-Skills!J18/100)^Skills!K18</f>
        <v/>
      </c>
      <c r="I256" t="inlineStr">
        <is>
          <t>1</t>
        </is>
      </c>
      <c r="J256" t="inlineStr"/>
      <c r="K256" t="inlineStr"/>
      <c r="L256" t="inlineStr"/>
      <c r="M256" t="inlineStr"/>
      <c r="N256" t="inlineStr"/>
      <c r="O256" t="n">
        <v>0</v>
      </c>
      <c r="P256">
        <f>IF(B276=0,0,O256/B276)</f>
        <v/>
      </c>
      <c r="Q256" t="n">
        <v>0</v>
      </c>
      <c r="R256" t="n">
        <v>0</v>
      </c>
      <c r="S256">
        <f>IFERROR(O256/N256,0)</f>
        <v/>
      </c>
    </row>
    <row r="257">
      <c r="A257">
        <f>Skills!A19</f>
        <v/>
      </c>
      <c r="B257">
        <f>Skills!B19</f>
        <v/>
      </c>
      <c r="C257">
        <f>Inputs!$B$3&gt;=15</f>
        <v/>
      </c>
      <c r="D257">
        <f>IF(Skills!C19=1,60+Inputs!$B$24+Inputs!$B$28,IF(Skills!C19=2,90+Inputs!$B$25+Inputs!$B$28,IF(Skills!C19=3,120+Inputs!$B$26+Inputs!$B$28,MAX(0,(Inputs!$B$3-100)*3)+Inputs!$B$27+Inputs!$B$28)))</f>
        <v/>
      </c>
      <c r="E257">
        <f>INDEX(FactorTable!$B$2:$Y$301, MATCH(ROUND(MIN(300,MAX(1,D257)),0), FactorTable!$A$2:$A$301,0), Skills!M19+1)</f>
        <v/>
      </c>
      <c r="F257">
        <f>IF(Skills!N19=TRUE,(Skills!L19/10)*(E257/1000),Skills!L19/10)+Skills!O19</f>
        <v/>
      </c>
      <c r="G257">
        <f>Skills!G19*IF(Skills!H19&gt;0,Skills!I19/Skills!H19,1)</f>
        <v/>
      </c>
      <c r="H257">
        <f>1-(1-Skills!J19/100)^Skills!K19</f>
        <v/>
      </c>
      <c r="I257" t="inlineStr">
        <is>
          <t>1</t>
        </is>
      </c>
      <c r="J257" t="inlineStr"/>
      <c r="K257" t="inlineStr"/>
      <c r="L257" t="inlineStr"/>
      <c r="M257" t="inlineStr"/>
      <c r="N257" t="inlineStr"/>
      <c r="O257" t="n">
        <v>0</v>
      </c>
      <c r="P257">
        <f>IF(B276=0,0,O257/B276)</f>
        <v/>
      </c>
      <c r="Q257" t="n">
        <v>0</v>
      </c>
      <c r="R257" t="n">
        <v>0</v>
      </c>
      <c r="S257">
        <f>IFERROR(O257/N257,0)</f>
        <v/>
      </c>
    </row>
    <row r="258">
      <c r="A258">
        <f>Skills!A20</f>
        <v/>
      </c>
      <c r="B258">
        <f>Skills!B20</f>
        <v/>
      </c>
      <c r="C258">
        <f>Inputs!$B$3&gt;=10</f>
        <v/>
      </c>
      <c r="D258">
        <f>IF(Skills!C20=1,60+Inputs!$B$24+Inputs!$B$28,IF(Skills!C20=2,90+Inputs!$B$25+Inputs!$B$28,IF(Skills!C20=3,120+Inputs!$B$26+Inputs!$B$28,MAX(0,(Inputs!$B$3-100)*3)+Inputs!$B$27+Inputs!$B$28)))</f>
        <v/>
      </c>
      <c r="E258">
        <f>INDEX(FactorTable!$B$2:$Y$301, MATCH(ROUND(MIN(300,MAX(1,D258)),0), FactorTable!$A$2:$A$301,0), Skills!M20+1)</f>
        <v/>
      </c>
      <c r="F258">
        <f>IF(Skills!N20=TRUE,(Skills!L20/10)*(E258/1000),Skills!L20/10)+Skills!O20</f>
        <v/>
      </c>
      <c r="G258">
        <f>Skills!G20*IF(Skills!H20&gt;0,Skills!I20/Skills!H20,1)</f>
        <v/>
      </c>
      <c r="H258">
        <f>1-(1-Skills!J20/100)^Skills!K20</f>
        <v/>
      </c>
      <c r="I258" t="inlineStr">
        <is>
          <t>1</t>
        </is>
      </c>
      <c r="J258" t="inlineStr"/>
      <c r="K258" t="inlineStr"/>
      <c r="L258" t="inlineStr"/>
      <c r="M258" t="inlineStr"/>
      <c r="N258" t="inlineStr"/>
      <c r="O258" t="n">
        <v>0</v>
      </c>
      <c r="P258">
        <f>IF(B276=0,0,O258/B276)</f>
        <v/>
      </c>
      <c r="Q258" t="n">
        <v>0</v>
      </c>
      <c r="R258" t="n">
        <v>0</v>
      </c>
      <c r="S258">
        <f>IFERROR(O258/N258,0)</f>
        <v/>
      </c>
    </row>
    <row r="259">
      <c r="A259">
        <f>Skills!A21</f>
        <v/>
      </c>
      <c r="B259">
        <f>Skills!B21</f>
        <v/>
      </c>
      <c r="C259">
        <f>Inputs!$B$3&gt;=33</f>
        <v/>
      </c>
      <c r="D259">
        <f>IF(Skills!C21=1,60+Inputs!$B$24+Inputs!$B$28,IF(Skills!C21=2,90+Inputs!$B$25+Inputs!$B$28,IF(Skills!C21=3,120+Inputs!$B$26+Inputs!$B$28,MAX(0,(Inputs!$B$3-100)*3)+Inputs!$B$27+Inputs!$B$28)))</f>
        <v/>
      </c>
      <c r="E259">
        <f>INDEX(FactorTable!$B$2:$Y$301, MATCH(ROUND(MIN(300,MAX(1,D259)),0), FactorTable!$A$2:$A$301,0), Skills!M21+1)</f>
        <v/>
      </c>
      <c r="F259">
        <f>IF(Skills!N21=TRUE,(Skills!L21/10)*(E259/1000),Skills!L21/10)+Skills!O21</f>
        <v/>
      </c>
      <c r="G259">
        <f>Skills!G21*IF(Skills!H21&gt;0,Skills!I21/Skills!H21,1)</f>
        <v/>
      </c>
      <c r="H259">
        <f>1-(1-Skills!J21/100)^Skills!K21</f>
        <v/>
      </c>
      <c r="I259" t="inlineStr">
        <is>
          <t>1</t>
        </is>
      </c>
      <c r="J259" t="inlineStr"/>
      <c r="K259" t="inlineStr"/>
      <c r="L259" t="inlineStr"/>
      <c r="M259" t="inlineStr"/>
      <c r="N259" t="inlineStr"/>
      <c r="O259" t="n">
        <v>0</v>
      </c>
      <c r="P259">
        <f>IF(B276=0,0,O259/B276)</f>
        <v/>
      </c>
      <c r="Q259" t="n">
        <v>0</v>
      </c>
      <c r="R259" t="n">
        <v>0</v>
      </c>
      <c r="S259">
        <f>IFERROR(O259/N259,0)</f>
        <v/>
      </c>
    </row>
    <row r="260">
      <c r="A260">
        <f>Skills!A22</f>
        <v/>
      </c>
      <c r="B260">
        <f>Skills!B22</f>
        <v/>
      </c>
      <c r="C260">
        <f>Inputs!$B$3&gt;=43</f>
        <v/>
      </c>
      <c r="D260">
        <f>IF(Skills!C22=1,60+Inputs!$B$24+Inputs!$B$28,IF(Skills!C22=2,90+Inputs!$B$25+Inputs!$B$28,IF(Skills!C22=3,120+Inputs!$B$26+Inputs!$B$28,MAX(0,(Inputs!$B$3-100)*3)+Inputs!$B$27+Inputs!$B$28)))</f>
        <v/>
      </c>
      <c r="E260">
        <f>INDEX(FactorTable!$B$2:$Y$301, MATCH(ROUND(MIN(300,MAX(1,D260)),0), FactorTable!$A$2:$A$301,0), Skills!M22+1)</f>
        <v/>
      </c>
      <c r="F260">
        <f>IF(Skills!N22=TRUE,(Skills!L22/10)*(E260/1000),Skills!L22/10)+Skills!O22</f>
        <v/>
      </c>
      <c r="G260">
        <f>Skills!G22*IF(Skills!H22&gt;0,Skills!I22/Skills!H22,1)</f>
        <v/>
      </c>
      <c r="H260">
        <f>1-(1-Skills!J22/100)^Skills!K22</f>
        <v/>
      </c>
      <c r="I260" t="inlineStr">
        <is>
          <t>1</t>
        </is>
      </c>
      <c r="J260" t="inlineStr"/>
      <c r="K260" t="inlineStr"/>
      <c r="L260" t="inlineStr"/>
      <c r="M260" t="inlineStr"/>
      <c r="N260" t="inlineStr"/>
      <c r="O260" t="n">
        <v>0</v>
      </c>
      <c r="P260">
        <f>IF(B276=0,0,O260/B276)</f>
        <v/>
      </c>
      <c r="Q260" t="n">
        <v>0</v>
      </c>
      <c r="R260" t="n">
        <v>0</v>
      </c>
      <c r="S260">
        <f>IFERROR(O260/N260,0)</f>
        <v/>
      </c>
    </row>
    <row r="261">
      <c r="A261">
        <f>Skills!A23</f>
        <v/>
      </c>
      <c r="B261">
        <f>Skills!B23</f>
        <v/>
      </c>
      <c r="C261">
        <f>Inputs!$B$3&gt;=38</f>
        <v/>
      </c>
      <c r="D261">
        <f>IF(Skills!C23=1,60+Inputs!$B$24+Inputs!$B$28,IF(Skills!C23=2,90+Inputs!$B$25+Inputs!$B$28,IF(Skills!C23=3,120+Inputs!$B$26+Inputs!$B$28,MAX(0,(Inputs!$B$3-100)*3)+Inputs!$B$27+Inputs!$B$28)))</f>
        <v/>
      </c>
      <c r="E261">
        <f>INDEX(FactorTable!$B$2:$Y$301, MATCH(ROUND(MIN(300,MAX(1,D261)),0), FactorTable!$A$2:$A$301,0), Skills!M23+1)</f>
        <v/>
      </c>
      <c r="F261">
        <f>IF(Skills!N23=TRUE,(Skills!L23/10)*(E261/1000),Skills!L23/10)+Skills!O23</f>
        <v/>
      </c>
      <c r="G261">
        <f>Skills!G23*IF(Skills!H23&gt;0,Skills!I23/Skills!H23,1)</f>
        <v/>
      </c>
      <c r="H261">
        <f>1-(1-Skills!J23/100)^Skills!K23</f>
        <v/>
      </c>
      <c r="I261" t="inlineStr">
        <is>
          <t>1</t>
        </is>
      </c>
      <c r="J261" t="inlineStr"/>
      <c r="K261" t="inlineStr"/>
      <c r="L261" t="inlineStr"/>
      <c r="M261" t="inlineStr"/>
      <c r="N261" t="inlineStr"/>
      <c r="O261" t="n">
        <v>0</v>
      </c>
      <c r="P261">
        <f>IF(B276=0,0,O261/B276)</f>
        <v/>
      </c>
      <c r="Q261" t="n">
        <v>0</v>
      </c>
      <c r="R261" t="n">
        <v>0</v>
      </c>
      <c r="S261">
        <f>IFERROR(O261/N261,0)</f>
        <v/>
      </c>
    </row>
    <row r="262">
      <c r="A262">
        <f>Skills!A24</f>
        <v/>
      </c>
      <c r="B262">
        <f>Skills!B24</f>
        <v/>
      </c>
      <c r="C262">
        <f>Inputs!$B$3&gt;=40</f>
        <v/>
      </c>
      <c r="D262">
        <f>IF(Skills!C24=1,60+Inputs!$B$24+Inputs!$B$28,IF(Skills!C24=2,90+Inputs!$B$25+Inputs!$B$28,IF(Skills!C24=3,120+Inputs!$B$26+Inputs!$B$28,MAX(0,(Inputs!$B$3-100)*3)+Inputs!$B$27+Inputs!$B$28)))</f>
        <v/>
      </c>
      <c r="E262">
        <f>INDEX(FactorTable!$B$2:$Y$301, MATCH(ROUND(MIN(300,MAX(1,D262)),0), FactorTable!$A$2:$A$301,0), Skills!M24+1)</f>
        <v/>
      </c>
      <c r="F262">
        <f>IF(Skills!N24=TRUE,(Skills!L24/10)*(E262/1000),Skills!L24/10)+Skills!O24</f>
        <v/>
      </c>
      <c r="G262">
        <f>Skills!G24*IF(Skills!H24&gt;0,Skills!I24/Skills!H24,1)</f>
        <v/>
      </c>
      <c r="H262">
        <f>1-(1-Skills!J24/100)^Skills!K24</f>
        <v/>
      </c>
      <c r="I262" t="inlineStr">
        <is>
          <t>1</t>
        </is>
      </c>
      <c r="J262" t="inlineStr"/>
      <c r="K262" t="inlineStr"/>
      <c r="L262" t="inlineStr"/>
      <c r="M262" t="inlineStr"/>
      <c r="N262" t="inlineStr"/>
      <c r="O262" t="n">
        <v>0</v>
      </c>
      <c r="P262">
        <f>IF(B276=0,0,O262/B276)</f>
        <v/>
      </c>
      <c r="Q262" t="n">
        <v>0</v>
      </c>
      <c r="R262" t="n">
        <v>0</v>
      </c>
      <c r="S262">
        <f>IFERROR(O262/N262,0)</f>
        <v/>
      </c>
    </row>
    <row r="263">
      <c r="A263">
        <f>Skills!A25</f>
        <v/>
      </c>
      <c r="B263">
        <f>Skills!B25</f>
        <v/>
      </c>
      <c r="C263">
        <f>Inputs!$B$3&gt;=72</f>
        <v/>
      </c>
      <c r="D263">
        <f>IF(Skills!C25=1,60+Inputs!$B$24+Inputs!$B$28,IF(Skills!C25=2,90+Inputs!$B$25+Inputs!$B$28,IF(Skills!C25=3,120+Inputs!$B$26+Inputs!$B$28,MAX(0,(Inputs!$B$3-100)*3)+Inputs!$B$27+Inputs!$B$28)))</f>
        <v/>
      </c>
      <c r="E263">
        <f>INDEX(FactorTable!$B$2:$Y$301, MATCH(ROUND(MIN(300,MAX(1,D263)),0), FactorTable!$A$2:$A$301,0), Skills!M25+1)</f>
        <v/>
      </c>
      <c r="F263">
        <f>IF(Skills!N25=TRUE,(Skills!L25/10)*(E263/1000),Skills!L25/10)+Skills!O25</f>
        <v/>
      </c>
      <c r="G263">
        <f>Skills!G25*IF(Skills!H25&gt;0,Skills!I25/Skills!H25,1)</f>
        <v/>
      </c>
      <c r="H263">
        <f>1-(1-Skills!J25/100)^Skills!K25</f>
        <v/>
      </c>
      <c r="I263" t="inlineStr">
        <is>
          <t>1</t>
        </is>
      </c>
      <c r="J263" t="inlineStr"/>
      <c r="K263" t="inlineStr"/>
      <c r="L263" t="inlineStr"/>
      <c r="M263" t="inlineStr"/>
      <c r="N263" t="inlineStr"/>
      <c r="O263" t="n">
        <v>0</v>
      </c>
      <c r="P263">
        <f>IF(B276=0,0,O263/B276)</f>
        <v/>
      </c>
      <c r="Q263" t="n">
        <v>0</v>
      </c>
      <c r="R263" t="n">
        <v>0</v>
      </c>
      <c r="S263">
        <f>IFERROR(O263/N263,0)</f>
        <v/>
      </c>
    </row>
    <row r="264">
      <c r="A264">
        <f>Skills!A26</f>
        <v/>
      </c>
      <c r="B264">
        <f>Skills!B26</f>
        <v/>
      </c>
      <c r="C264">
        <f>Inputs!$B$3&gt;=75</f>
        <v/>
      </c>
      <c r="D264">
        <f>IF(Skills!C26=1,60+Inputs!$B$24+Inputs!$B$28,IF(Skills!C26=2,90+Inputs!$B$25+Inputs!$B$28,IF(Skills!C26=3,120+Inputs!$B$26+Inputs!$B$28,MAX(0,(Inputs!$B$3-100)*3)+Inputs!$B$27+Inputs!$B$28)))</f>
        <v/>
      </c>
      <c r="E264">
        <f>INDEX(FactorTable!$B$2:$Y$301, MATCH(ROUND(MIN(300,MAX(1,D264)),0), FactorTable!$A$2:$A$301,0), Skills!M26+1)</f>
        <v/>
      </c>
      <c r="F264">
        <f>IF(Skills!N26=TRUE,(Skills!L26/10)*(E264/1000),Skills!L26/10)+Skills!O26</f>
        <v/>
      </c>
      <c r="G264">
        <f>Skills!G26*IF(Skills!H26&gt;0,Skills!I26/Skills!H26,1)</f>
        <v/>
      </c>
      <c r="H264">
        <f>1-(1-Skills!J26/100)^Skills!K26</f>
        <v/>
      </c>
      <c r="I264" t="inlineStr">
        <is>
          <t>1</t>
        </is>
      </c>
      <c r="J264" t="inlineStr"/>
      <c r="K264" t="inlineStr"/>
      <c r="L264" t="inlineStr"/>
      <c r="M264" t="inlineStr"/>
      <c r="N264" t="inlineStr"/>
      <c r="O264" t="n">
        <v>0</v>
      </c>
      <c r="P264">
        <f>IF(B276=0,0,O264/B276)</f>
        <v/>
      </c>
      <c r="Q264" t="n">
        <v>0</v>
      </c>
      <c r="R264" t="n">
        <v>0</v>
      </c>
      <c r="S264">
        <f>IFERROR(O264/N264,0)</f>
        <v/>
      </c>
    </row>
    <row r="265">
      <c r="A265">
        <f>Skills!A27</f>
        <v/>
      </c>
      <c r="B265">
        <f>Skills!B27</f>
        <v/>
      </c>
      <c r="C265">
        <f>Inputs!$B$3&gt;=117</f>
        <v/>
      </c>
      <c r="D265">
        <f>IF(Skills!C27=1,60+Inputs!$B$24+Inputs!$B$28,IF(Skills!C27=2,90+Inputs!$B$25+Inputs!$B$28,IF(Skills!C27=3,120+Inputs!$B$26+Inputs!$B$28,MAX(0,(Inputs!$B$3-100)*3)+Inputs!$B$27+Inputs!$B$28)))</f>
        <v/>
      </c>
      <c r="E265">
        <f>INDEX(FactorTable!$B$2:$Y$301, MATCH(ROUND(MIN(300,MAX(1,D265)),0), FactorTable!$A$2:$A$301,0), Skills!M27+1)</f>
        <v/>
      </c>
      <c r="F265">
        <f>IF(Skills!N27=TRUE,(Skills!L27/10)*(E265/1000),Skills!L27/10)+Skills!O27</f>
        <v/>
      </c>
      <c r="G265">
        <f>Skills!G27*IF(Skills!H27&gt;0,Skills!I27/Skills!H27,1)</f>
        <v/>
      </c>
      <c r="H265">
        <f>1-(1-Skills!J27/100)^Skills!K27</f>
        <v/>
      </c>
      <c r="I265" t="inlineStr">
        <is>
          <t>1</t>
        </is>
      </c>
      <c r="J265" t="inlineStr"/>
      <c r="K265" t="inlineStr"/>
      <c r="L265" t="inlineStr"/>
      <c r="M265" t="inlineStr"/>
      <c r="N265" t="inlineStr"/>
      <c r="O265" t="n">
        <v>0</v>
      </c>
      <c r="P265">
        <f>IF(B276=0,0,O265/B276)</f>
        <v/>
      </c>
      <c r="Q265" t="n">
        <v>0</v>
      </c>
      <c r="R265" t="n">
        <v>0</v>
      </c>
      <c r="S265">
        <f>IFERROR(O265/N265,0)</f>
        <v/>
      </c>
    </row>
    <row r="267">
      <c r="A267" t="inlineStr">
        <is>
          <t>Attack% Bucket Multiplier</t>
        </is>
      </c>
      <c r="B267">
        <f>(1+(((C255=TRUE)*F255)+((C262=TRUE)*(F262-Calc!F24)))/100)</f>
        <v/>
      </c>
    </row>
    <row r="268">
      <c r="A268" t="inlineStr">
        <is>
          <t>Global Crit Rate Bonus %</t>
        </is>
      </c>
      <c r="B268" t="n">
        <v>0</v>
      </c>
    </row>
    <row r="269">
      <c r="A269" t="inlineStr">
        <is>
          <t>Attack Speed Buff Bonus % (unused)</t>
        </is>
      </c>
      <c r="B269" t="n">
        <v>0</v>
      </c>
    </row>
    <row r="270">
      <c r="A270" t="inlineStr">
        <is>
          <t>Actions Per Second</t>
        </is>
      </c>
      <c r="B270">
        <f>1+MIN(150,150*(1-(1-(Inputs!$B$10+((C258=TRUE)*(F258-Calc!F20))+((C259=TRUE)*(F259-Calc!F21)))/150)*(1-B269/150)))/100</f>
        <v/>
      </c>
    </row>
    <row r="271">
      <c r="A271" t="inlineStr">
        <is>
          <t>Skill + Buff Cast Rate</t>
        </is>
      </c>
      <c r="B271">
        <f>IF(AND(Inputs!$B$4&lt;&gt;"pvp",Inputs!$B$35&gt;0),SUMPRODUCT((Skills!E2:E27=TRUE)*(C240:C265=TRUE)*R240:R265*Skills!F2:F27)/Inputs!$B$35,SUMPRODUCT((Skills!E2:E27=TRUE)*(C240:C265=TRUE)*Q240:Q265*Skills!F2:F27))</f>
        <v/>
      </c>
    </row>
    <row r="272">
      <c r="A272" t="inlineStr">
        <is>
          <t>Eight-Legs Easton Casts Per Second</t>
        </is>
      </c>
      <c r="B272">
        <f>MAX(0,B270-B271)</f>
        <v/>
      </c>
    </row>
    <row r="273">
      <c r="A273" t="inlineStr">
        <is>
          <t>Global Critical Damage Bonus % (unused)</t>
        </is>
      </c>
      <c r="B273" t="n">
        <v>0</v>
      </c>
    </row>
    <row r="274">
      <c r="A274" t="inlineStr">
        <is>
          <t>Global Final Damage Bonus % (Jolly Roger only)</t>
        </is>
      </c>
      <c r="B274">
        <f>((C256=TRUE)*F256)</f>
        <v/>
      </c>
    </row>
    <row r="276">
      <c r="A276" s="5" t="inlineStr">
        <is>
          <t>TOTAL DPS</t>
        </is>
      </c>
      <c r="B276" s="5">
        <f>SUM(O240:O265)</f>
        <v/>
      </c>
    </row>
    <row r="279">
      <c r="A279" s="5" t="inlineStr">
        <is>
          <t>Stat: NORMAL_DAMAGE %</t>
        </is>
      </c>
    </row>
    <row r="280">
      <c r="A280" s="8" t="inlineStr">
        <is>
          <t>Key</t>
        </is>
      </c>
      <c r="B280" s="8" t="inlineStr">
        <is>
          <t>Name</t>
        </is>
      </c>
      <c r="C280" s="8" t="inlineStr">
        <is>
          <t>Unlocked</t>
        </is>
      </c>
      <c r="D280" s="8" t="inlineStr">
        <is>
          <t>InputLevel</t>
        </is>
      </c>
      <c r="E280" s="8" t="inlineStr">
        <is>
          <t>Factor</t>
        </is>
      </c>
      <c r="F280" s="8" t="inlineStr">
        <is>
          <t>CoefficientPercent</t>
        </is>
      </c>
      <c r="G280" s="8" t="inlineStr">
        <is>
          <t>EffectiveHits</t>
        </is>
      </c>
      <c r="H280" s="8" t="inlineStr">
        <is>
          <t>ProcProbability</t>
        </is>
      </c>
      <c r="I280" s="8" t="inlineStr">
        <is>
          <t>MapleHeroMultiplier</t>
        </is>
      </c>
      <c r="J280" s="8" t="inlineStr">
        <is>
          <t>BaseDamage</t>
        </is>
      </c>
      <c r="K280" s="8" t="inlineStr">
        <is>
          <t>BaseHitDamage</t>
        </is>
      </c>
      <c r="L280" s="8" t="inlineStr">
        <is>
          <t>NonCritAvg</t>
        </is>
      </c>
      <c r="M280" s="8" t="inlineStr">
        <is>
          <t>CritAvg</t>
        </is>
      </c>
      <c r="N280" s="8" t="inlineStr">
        <is>
          <t>ExpectedDamage(perHit)</t>
        </is>
      </c>
      <c r="O280" s="8" t="inlineStr">
        <is>
          <t>DPS</t>
        </is>
      </c>
      <c r="P280" s="8" t="inlineStr">
        <is>
          <t>% of Total</t>
        </is>
      </c>
      <c r="Q280" s="8" t="inlineStr">
        <is>
          <t>InvCooldown</t>
        </is>
      </c>
      <c r="R280" s="8" t="inlineStr">
        <is>
          <t>CastsInFight</t>
        </is>
      </c>
      <c r="S280" s="8" t="inlineStr">
        <is>
          <t>HitRate(perSec)</t>
        </is>
      </c>
      <c r="U280" t="inlineStr">
        <is>
          <t>helpers</t>
        </is>
      </c>
    </row>
    <row r="281">
      <c r="A281">
        <f>Skills!A2</f>
        <v/>
      </c>
      <c r="B281">
        <f>Skills!B2</f>
        <v/>
      </c>
      <c r="C281">
        <f>Inputs!$B$3&gt;=100</f>
        <v/>
      </c>
      <c r="D281" t="inlineStr"/>
      <c r="E281" t="inlineStr"/>
      <c r="F281">
        <f>U283+Skills!O2</f>
        <v/>
      </c>
      <c r="G281">
        <f>Skills!G2*IF(Skills!H2&gt;0,Skills!I2/Skills!H2,1)</f>
        <v/>
      </c>
      <c r="H281">
        <f>1-(1-Skills!J2/100)^Skills!K2</f>
        <v/>
      </c>
      <c r="I281" t="inlineStr">
        <is>
          <t>1</t>
        </is>
      </c>
      <c r="J281">
        <f>(Inputs!$B$5*(1+Inputs!$B$6/100))*(F281/100)</f>
        <v/>
      </c>
      <c r="K281">
        <f>J281*(1+((Inputs!$B$11*(1+Inputs!$B$12/100))*0.01+Inputs!$B$13*0.0025)/100)*(1+Inputs!$B$14/100)*(1+IF(Inputs!$B$4="pvp",0,(1-Summary!$B$55)*(Inputs!$B$19+0+Skills!P2)+Summary!$B$55*((Inputs!$B$20+1)+Skills!Q2))/100)*(1+Inputs!$B$15/100)*(5000/(6000+Inputs!$B$7*(1-(Inputs!$B$18+0)/100)))*(1+(Inputs!$B$23+((C305=TRUE)*(F305-Calc!F26))+B315)/100)*(1+(IF(Skills!A2="EIGHT_LEGS_EASTON",Inputs!$B$16+((C302=TRUE)*(F302-Calc!F23))+((C306=TRUE)*(F306-Calc!F27)),Inputs!$B$17+0))/100)*((1+(((C296=TRUE)*F296)+((C303=TRUE)*(F303-Calc!F24)))/100)*I281)</f>
        <v/>
      </c>
      <c r="L281">
        <f>K281*(MIN(Inputs!$B$21+((C301=TRUE)*(F301-Calc!F22)),Inputs!$B$22+0)/100+(Inputs!$B$22+0)/100)/2</f>
        <v/>
      </c>
      <c r="M281">
        <f>L281*(1+(Inputs!$B$9+((C304=TRUE)*(F304-Calc!F25))+B314)/100)</f>
        <v/>
      </c>
      <c r="N281">
        <f>L281*(1-MIN((Inputs!$B$8+((C298=TRUE)*(F298-Calc!F19))+B309),100)/100)+M281*(MIN((Inputs!$B$8+((C298=TRUE)*(F298-Calc!F19))+B309),100)/100)</f>
        <v/>
      </c>
      <c r="O281">
        <f>IF(C281,Skills!G2*N281*B313*IF(Inputs!$B$4="pvp",1,(1-Summary!$B$55)*(1)+Summary!$B$55*(MIN((6+Inputs!$B$32),Inputs!$B$37))),0)</f>
        <v/>
      </c>
      <c r="P281">
        <f>IF(B317=0,0,O281/B317)</f>
        <v/>
      </c>
      <c r="Q281" t="n">
        <v>0</v>
      </c>
      <c r="R281" t="n">
        <v>0</v>
      </c>
      <c r="S281">
        <f>IFERROR(O281/N281,0)</f>
        <v/>
      </c>
      <c r="U281">
        <f>MAX(0,(Inputs!$B$3-100)*3)+Inputs!$B$27+Inputs!$B$28</f>
        <v/>
      </c>
    </row>
    <row r="282">
      <c r="A282">
        <f>Skills!A3</f>
        <v/>
      </c>
      <c r="B282">
        <f>Skills!B3</f>
        <v/>
      </c>
      <c r="C282">
        <f>Inputs!$B$3&gt;=35</f>
        <v/>
      </c>
      <c r="D282">
        <f>IF(Skills!C3=1,60+Inputs!$B$24+Inputs!$B$28,IF(Skills!C3=2,90+Inputs!$B$25+Inputs!$B$28,IF(Skills!C3=3,120+Inputs!$B$26+Inputs!$B$28,MAX(0,(Inputs!$B$3-100)*3)+Inputs!$B$27+Inputs!$B$28)))</f>
        <v/>
      </c>
      <c r="E282">
        <f>INDEX(FactorTable!$B$2:$Y$301, MATCH(ROUND(MIN(300,MAX(1,D282)),0), FactorTable!$A$2:$A$301,0), Skills!M3+1)</f>
        <v/>
      </c>
      <c r="F282">
        <f>IF(Skills!N3=TRUE,(Skills!L3/10)*(E282/1000),Skills!L3/10)+Skills!O3</f>
        <v/>
      </c>
      <c r="G282">
        <f>Skills!G3*IF(Skills!H3&gt;0,Skills!I3/Skills!H3,1)</f>
        <v/>
      </c>
      <c r="H282">
        <f>1-(1-Skills!J3/100)^Skills!K3</f>
        <v/>
      </c>
      <c r="I282" t="inlineStr">
        <is>
          <t>1</t>
        </is>
      </c>
      <c r="J282">
        <f>(Inputs!$B$5*(1+Inputs!$B$6/100))*(F282/100)</f>
        <v/>
      </c>
      <c r="K282">
        <f>J282*(1+((Inputs!$B$11*(1+Inputs!$B$12/100))*0.01+Inputs!$B$13*0.0025)/100)*(1+Inputs!$B$14/100)*(1+IF(Inputs!$B$4="pvp",0,(1-Summary!$B$55)*(Inputs!$B$19+0+Skills!P3)+Summary!$B$55*((Inputs!$B$20+1)+Skills!Q3))/100)*(1+Inputs!$B$15/100)*(5000/(6000+Inputs!$B$7*(1-(Inputs!$B$18+0)/100)))*(1+(Inputs!$B$23+((C305=TRUE)*(F305-Calc!F26))+B315)/100)*(1+4.0*IF(C294=TRUE,F294,0)/100)*(1+(IF(Skills!A3="EIGHT_LEGS_EASTON",Inputs!$B$16+((C302=TRUE)*(F302-Calc!F23))+((C306=TRUE)*(F306-Calc!F27)),Inputs!$B$17+0))/100)*((1+(((C296=TRUE)*F296)+((C303=TRUE)*(F303-Calc!F24)))/100)*I282)</f>
        <v/>
      </c>
      <c r="L282">
        <f>K282*(MIN(Inputs!$B$21+((C301=TRUE)*(F301-Calc!F22)),Inputs!$B$22+0)/100+(Inputs!$B$22+0)/100)/2</f>
        <v/>
      </c>
      <c r="M282">
        <f>L282*(1+(Inputs!$B$9+((C304=TRUE)*(F304-Calc!F25))+B314)/100)</f>
        <v/>
      </c>
      <c r="N282">
        <f>L282*(1-MIN((Inputs!$B$8+((C298=TRUE)*(F298-Calc!F19))+B309),100)/100)+M282*(MIN((Inputs!$B$8+((C298=TRUE)*(F298-Calc!F19))+B309),100)/100)</f>
        <v/>
      </c>
      <c r="O282">
        <f>IF(C282,H282*N282*IF(AND(Inputs!$B$4&lt;&gt;"pvp",Inputs!$B$35&gt;0),((Skills!G3*((R282-1)*IF(Skills!H3&gt;0,Skills!I3/Skills!H3,1)+IF(Skills!H3&gt;0,MIN(Skills!I3,MAX(0,Inputs!$B$35-((R282-1)*IF(Inputs!$B$4="pvp",15,MAX(0.1,Skills!D3-IF(Skills!E3=TRUE,Inputs!$B$31,0))))))/Skills!H3,1)))/Inputs!$B$35),G282*Q282)*IF(Inputs!$B$4="pvp",1,(1-Summary!$B$55)*(1)+Summary!$B$55*(MIN(Skills!R3,Inputs!$B$37))),0)</f>
        <v/>
      </c>
      <c r="P282">
        <f>IF(B317=0,0,O282/B317)</f>
        <v/>
      </c>
      <c r="Q282">
        <f>IFERROR(1/IF(Inputs!$B$4="pvp",15,MAX(0.1,Skills!D3-IF(Skills!E3=TRUE,Inputs!$B$31,0))),0)</f>
        <v/>
      </c>
      <c r="R282">
        <f>IF(AND(Inputs!$B$4&lt;&gt;"pvp",Inputs!$B$35&gt;0),(INT(Inputs!$B$35/IF(Inputs!$B$4="pvp",15,MAX(0.1,Skills!D3-IF(Skills!E3=TRUE,Inputs!$B$31,0))))+1),0)</f>
        <v/>
      </c>
      <c r="S282">
        <f>IFERROR(O282/N282,0)</f>
        <v/>
      </c>
      <c r="U282">
        <f>INDEX(FactorTable!$B$2:$Y$301, MATCH(ROUND(MIN(300,MAX(1,U281)),0), FactorTable!$A$2:$A$301,0), 22)</f>
        <v/>
      </c>
    </row>
    <row r="283">
      <c r="A283">
        <f>Skills!A4</f>
        <v/>
      </c>
      <c r="B283">
        <f>Skills!B4</f>
        <v/>
      </c>
      <c r="C283">
        <f>Inputs!$B$3&gt;=40</f>
        <v/>
      </c>
      <c r="D283">
        <f>IF(Skills!C4=1,60+Inputs!$B$24+Inputs!$B$28,IF(Skills!C4=2,90+Inputs!$B$25+Inputs!$B$28,IF(Skills!C4=3,120+Inputs!$B$26+Inputs!$B$28,MAX(0,(Inputs!$B$3-100)*3)+Inputs!$B$27+Inputs!$B$28)))</f>
        <v/>
      </c>
      <c r="E283">
        <f>INDEX(FactorTable!$B$2:$Y$301, MATCH(ROUND(MIN(300,MAX(1,D283)),0), FactorTable!$A$2:$A$301,0), Skills!M4+1)</f>
        <v/>
      </c>
      <c r="F283">
        <f>IF(Skills!N4=TRUE,(Skills!L4/10)*(E283/1000),Skills!L4/10)+Skills!O4</f>
        <v/>
      </c>
      <c r="G283">
        <f>Skills!G4*IF(Skills!H4&gt;0,Skills!I4/Skills!H4,1)</f>
        <v/>
      </c>
      <c r="H283">
        <f>1-(1-Skills!J4/100)^Skills!K4</f>
        <v/>
      </c>
      <c r="I283" t="inlineStr">
        <is>
          <t>1</t>
        </is>
      </c>
      <c r="J283">
        <f>(Inputs!$B$5*(1+Inputs!$B$6/100))*(F283/100)</f>
        <v/>
      </c>
      <c r="K283">
        <f>J283*(1+((Inputs!$B$11*(1+Inputs!$B$12/100))*0.01+Inputs!$B$13*0.0025)/100)*(1+Inputs!$B$14/100)*(1+IF(Inputs!$B$4="pvp",0,(1-Summary!$B$55)*(Inputs!$B$19+0+Skills!P4)+Summary!$B$55*((Inputs!$B$20+1)+Skills!Q4))/100)*(1+Inputs!$B$15/100)*(5000/(6000+Inputs!$B$7*(1-(Inputs!$B$18+0)/100)))*(1+(Inputs!$B$23+((C305=TRUE)*(F305-Calc!F26))+B315)/100)*(1+1.0*IF(C295=TRUE,F295,0)/100)*(1+(IF(Skills!A4="EIGHT_LEGS_EASTON",Inputs!$B$16+((C302=TRUE)*(F302-Calc!F23))+((C306=TRUE)*(F306-Calc!F27)),Inputs!$B$17+0))/100)*((1+(((C296=TRUE)*F296)+((C303=TRUE)*(F303-Calc!F24)))/100)*I283)</f>
        <v/>
      </c>
      <c r="L283">
        <f>K283*(MIN(Inputs!$B$21+((C301=TRUE)*(F301-Calc!F22)),Inputs!$B$22+0)/100+(Inputs!$B$22+0)/100)/2</f>
        <v/>
      </c>
      <c r="M283">
        <f>L283*(1+(Inputs!$B$9+((C304=TRUE)*(F304-Calc!F25))+B314)/100)</f>
        <v/>
      </c>
      <c r="N283">
        <f>L283*(1-MIN((Inputs!$B$8+((C298=TRUE)*(F298-Calc!F19))+B309),100)/100)+M283*(MIN((Inputs!$B$8+((C298=TRUE)*(F298-Calc!F19))+B309),100)/100)</f>
        <v/>
      </c>
      <c r="O283">
        <f>IF(C283,H283*N283*IF(AND(Inputs!$B$4&lt;&gt;"pvp",Inputs!$B$35&gt;0),((Skills!G4*((R283-1)*IF(Skills!H4&gt;0,Skills!I4/Skills!H4,1)+IF(Skills!H4&gt;0,MIN(Skills!I4,MAX(0,Inputs!$B$35-((R283-1)*IF(Inputs!$B$4="pvp",15,MAX(0.1,Skills!D4-IF(Skills!E4=TRUE,Inputs!$B$31,0))))))/Skills!H4,1)))/Inputs!$B$35),G283*Q283)*IF(Inputs!$B$4="pvp",1,(1-Summary!$B$55)*(1)+Summary!$B$55*(MIN(Skills!R4,Inputs!$B$37))),0)</f>
        <v/>
      </c>
      <c r="P283">
        <f>IF(B317=0,0,O283/B317)</f>
        <v/>
      </c>
      <c r="Q283">
        <f>IFERROR(1/IF(Inputs!$B$4="pvp",15,MAX(0.1,Skills!D4-IF(Skills!E4=TRUE,Inputs!$B$31,0))),0)</f>
        <v/>
      </c>
      <c r="R283">
        <f>IF(AND(Inputs!$B$4&lt;&gt;"pvp",Inputs!$B$35&gt;0),(INT(Inputs!$B$35/IF(Inputs!$B$4="pvp",15,MAX(0.1,Skills!D4-IF(Skills!E4=TRUE,Inputs!$B$31,0))))+1),0)</f>
        <v/>
      </c>
      <c r="S283">
        <f>IFERROR(O283/N283,0)</f>
        <v/>
      </c>
      <c r="U283">
        <f>290*U282/1000</f>
        <v/>
      </c>
    </row>
    <row r="284">
      <c r="A284">
        <f>Skills!A5</f>
        <v/>
      </c>
      <c r="B284">
        <f>Skills!B5</f>
        <v/>
      </c>
      <c r="C284">
        <f>Inputs!$B$3&gt;=45</f>
        <v/>
      </c>
      <c r="D284">
        <f>IF(Skills!C5=1,60+Inputs!$B$24+Inputs!$B$28,IF(Skills!C5=2,90+Inputs!$B$25+Inputs!$B$28,IF(Skills!C5=3,120+Inputs!$B$26+Inputs!$B$28,MAX(0,(Inputs!$B$3-100)*3)+Inputs!$B$27+Inputs!$B$28)))</f>
        <v/>
      </c>
      <c r="E284">
        <f>INDEX(FactorTable!$B$2:$Y$301, MATCH(ROUND(MIN(300,MAX(1,D284)),0), FactorTable!$A$2:$A$301,0), Skills!M5+1)</f>
        <v/>
      </c>
      <c r="F284">
        <f>IF(Skills!N5=TRUE,(Skills!L5/10)*(E284/1000),Skills!L5/10)+Skills!O5</f>
        <v/>
      </c>
      <c r="G284">
        <f>Skills!G5*IF(Skills!H5&gt;0,Skills!I5/Skills!H5,1)</f>
        <v/>
      </c>
      <c r="H284">
        <f>1-(1-Skills!J5/100)^Skills!K5</f>
        <v/>
      </c>
      <c r="I284" t="inlineStr">
        <is>
          <t>1</t>
        </is>
      </c>
      <c r="J284">
        <f>(Inputs!$B$5*(1+Inputs!$B$6/100))*(F284/100)</f>
        <v/>
      </c>
      <c r="K284">
        <f>J284*(1+((Inputs!$B$11*(1+Inputs!$B$12/100))*0.01+Inputs!$B$13*0.0025)/100)*(1+Inputs!$B$14/100)*(1+IF(Inputs!$B$4="pvp",0,(1-Summary!$B$55)*(Inputs!$B$19+0+Skills!P5)+Summary!$B$55*((Inputs!$B$20+1)+Skills!Q5))/100)*(1+Inputs!$B$15/100)*(5000/(6000+Inputs!$B$7*(1-(Inputs!$B$18+0)/100)))*(1+(Inputs!$B$23+((C305=TRUE)*(F305-Calc!F26))+B315)/100)*(1+0.4*IF(C295=TRUE,F295,0)/100)*(1+(IF(Skills!A5="EIGHT_LEGS_EASTON",Inputs!$B$16+((C302=TRUE)*(F302-Calc!F23))+((C306=TRUE)*(F306-Calc!F27)),Inputs!$B$17+0))/100)*((1+(((C296=TRUE)*F296)+((C303=TRUE)*(F303-Calc!F24)))/100)*I284)</f>
        <v/>
      </c>
      <c r="L284">
        <f>K284*(MIN(Inputs!$B$21+((C301=TRUE)*(F301-Calc!F22)),Inputs!$B$22+0)/100+(Inputs!$B$22+0)/100)/2</f>
        <v/>
      </c>
      <c r="M284">
        <f>L284*(1+(Inputs!$B$9+((C304=TRUE)*(F304-Calc!F25))+B314)/100)</f>
        <v/>
      </c>
      <c r="N284">
        <f>L284*(1-MIN((Inputs!$B$8+((C298=TRUE)*(F298-Calc!F19))+B309),100)/100)+M284*(MIN((Inputs!$B$8+((C298=TRUE)*(F298-Calc!F19))+B309),100)/100)</f>
        <v/>
      </c>
      <c r="O284">
        <f>IF(C284,H284*N284*IF(AND(Inputs!$B$4&lt;&gt;"pvp",Inputs!$B$35&gt;0),((Skills!G5*((R284-1)*IF(Skills!H5&gt;0,Skills!I5/Skills!H5,1)+IF(Skills!H5&gt;0,MIN(Skills!I5,MAX(0,Inputs!$B$35-((R284-1)*IF(Inputs!$B$4="pvp",15,MAX(0.1,Skills!D5-IF(Skills!E5=TRUE,Inputs!$B$31,0))))))/Skills!H5,1)))/Inputs!$B$35),G284*Q284)*IF(Inputs!$B$4="pvp",1,(1-Summary!$B$55)*(1)+Summary!$B$55*(MIN(Skills!R5,Inputs!$B$37))),0)</f>
        <v/>
      </c>
      <c r="P284">
        <f>IF(B317=0,0,O284/B317)</f>
        <v/>
      </c>
      <c r="Q284">
        <f>IFERROR(1/IF(Inputs!$B$4="pvp",15,MAX(0.1,Skills!D5-IF(Skills!E5=TRUE,Inputs!$B$31,0))),0)</f>
        <v/>
      </c>
      <c r="R284">
        <f>IF(AND(Inputs!$B$4&lt;&gt;"pvp",Inputs!$B$35&gt;0),(INT(Inputs!$B$35/IF(Inputs!$B$4="pvp",15,MAX(0.1,Skills!D5-IF(Skills!E5=TRUE,Inputs!$B$31,0))))+1),0)</f>
        <v/>
      </c>
      <c r="S284">
        <f>IFERROR(O284/N284,0)</f>
        <v/>
      </c>
    </row>
    <row r="285">
      <c r="A285">
        <f>Skills!A6</f>
        <v/>
      </c>
      <c r="B285">
        <f>Skills!B6</f>
        <v/>
      </c>
      <c r="C285">
        <f>Inputs!$B$3&gt;=63</f>
        <v/>
      </c>
      <c r="D285">
        <f>IF(Skills!C6=1,60+Inputs!$B$24+Inputs!$B$28,IF(Skills!C6=2,90+Inputs!$B$25+Inputs!$B$28,IF(Skills!C6=3,120+Inputs!$B$26+Inputs!$B$28,MAX(0,(Inputs!$B$3-100)*3)+Inputs!$B$27+Inputs!$B$28)))</f>
        <v/>
      </c>
      <c r="E285">
        <f>INDEX(FactorTable!$B$2:$Y$301, MATCH(ROUND(MIN(300,MAX(1,D285)),0), FactorTable!$A$2:$A$301,0), Skills!M6+1)</f>
        <v/>
      </c>
      <c r="F285">
        <f>IF(Skills!N6=TRUE,(Skills!L6/10)*(E285/1000),Skills!L6/10)+Skills!O6</f>
        <v/>
      </c>
      <c r="G285">
        <f>Skills!G6*IF(Skills!H6&gt;0,Skills!I6/Skills!H6,1)</f>
        <v/>
      </c>
      <c r="H285">
        <f>1-(1-Skills!J6/100)^Skills!K6</f>
        <v/>
      </c>
      <c r="I285" t="inlineStr">
        <is>
          <t>1</t>
        </is>
      </c>
      <c r="J285">
        <f>(Inputs!$B$5*(1+Inputs!$B$6/100))*(F285/100)</f>
        <v/>
      </c>
      <c r="K285">
        <f>J285*(1+((Inputs!$B$11*(1+Inputs!$B$12/100))*0.01+Inputs!$B$13*0.0025)/100)*(1+Inputs!$B$14/100)*(1+IF(Inputs!$B$4="pvp",0,(1-Summary!$B$55)*(Inputs!$B$19+0+Skills!P6)+Summary!$B$55*((Inputs!$B$20+1)+Skills!Q6))/100)*(1+Inputs!$B$15/100)*(5000/(6000+Inputs!$B$7*(1-(Inputs!$B$18+0)/100)))*(1+(Inputs!$B$23+((C305=TRUE)*(F305-Calc!F26))+B315)/100)*(1+2.0*IF(C294=TRUE,F294,0)/100)*(1+(IF(Skills!A6="EIGHT_LEGS_EASTON",Inputs!$B$16+((C302=TRUE)*(F302-Calc!F23))+((C306=TRUE)*(F306-Calc!F27)),Inputs!$B$17+0))/100)*((1+(((C296=TRUE)*F296)+((C303=TRUE)*(F303-Calc!F24)))/100)*I285)</f>
        <v/>
      </c>
      <c r="L285">
        <f>K285*(MIN(Inputs!$B$21+((C301=TRUE)*(F301-Calc!F22)),Inputs!$B$22+0)/100+(Inputs!$B$22+0)/100)/2</f>
        <v/>
      </c>
      <c r="M285">
        <f>L285*(1+(Inputs!$B$9+((C304=TRUE)*(F304-Calc!F25))+B314)/100)</f>
        <v/>
      </c>
      <c r="N285">
        <f>L285*(1-MIN((Inputs!$B$8+((C298=TRUE)*(F298-Calc!F19))+B309),100)/100)+M285*(MIN((Inputs!$B$8+((C298=TRUE)*(F298-Calc!F19))+B309),100)/100)</f>
        <v/>
      </c>
      <c r="O285">
        <f>IF(C285,H285*N285*IF(AND(Inputs!$B$4&lt;&gt;"pvp",Inputs!$B$35&gt;0),((Skills!G6*((R285-1)*IF(Skills!H6&gt;0,Skills!I6/Skills!H6,1)+IF(Skills!H6&gt;0,MIN(Skills!I6,MAX(0,Inputs!$B$35-((R285-1)*IF(Inputs!$B$4="pvp",15,MAX(0.1,Skills!D6-IF(Skills!E6=TRUE,Inputs!$B$31,0))))))/Skills!H6,1)))/Inputs!$B$35),G285*Q285)*IF(Inputs!$B$4="pvp",1,(1-Summary!$B$55)*(1)+Summary!$B$55*(MIN(Skills!R6,Inputs!$B$37))),0)</f>
        <v/>
      </c>
      <c r="P285">
        <f>IF(B317=0,0,O285/B317)</f>
        <v/>
      </c>
      <c r="Q285">
        <f>IFERROR(1/IF(Inputs!$B$4="pvp",15,MAX(0.1,Skills!D6-IF(Skills!E6=TRUE,Inputs!$B$31,0))),0)</f>
        <v/>
      </c>
      <c r="R285">
        <f>IF(AND(Inputs!$B$4&lt;&gt;"pvp",Inputs!$B$35&gt;0),(INT(Inputs!$B$35/IF(Inputs!$B$4="pvp",15,MAX(0.1,Skills!D6-IF(Skills!E6=TRUE,Inputs!$B$31,0))))+1),0)</f>
        <v/>
      </c>
      <c r="S285">
        <f>IFERROR(O285/N285,0)</f>
        <v/>
      </c>
    </row>
    <row r="286">
      <c r="A286">
        <f>Skills!A7</f>
        <v/>
      </c>
      <c r="B286">
        <f>Skills!B7</f>
        <v/>
      </c>
      <c r="C286">
        <f>Inputs!$B$3&gt;=66</f>
        <v/>
      </c>
      <c r="D286">
        <f>IF(Skills!C7=1,60+Inputs!$B$24+Inputs!$B$28,IF(Skills!C7=2,90+Inputs!$B$25+Inputs!$B$28,IF(Skills!C7=3,120+Inputs!$B$26+Inputs!$B$28,MAX(0,(Inputs!$B$3-100)*3)+Inputs!$B$27+Inputs!$B$28)))</f>
        <v/>
      </c>
      <c r="E286">
        <f>INDEX(FactorTable!$B$2:$Y$301, MATCH(ROUND(MIN(300,MAX(1,D286)),0), FactorTable!$A$2:$A$301,0), Skills!M7+1)</f>
        <v/>
      </c>
      <c r="F286">
        <f>IF(Skills!N7=TRUE,(Skills!L7/10)*(E286/1000),Skills!L7/10)+Skills!O7</f>
        <v/>
      </c>
      <c r="G286">
        <f>Skills!G7*IF(Skills!H7&gt;0,Skills!I7/Skills!H7,1)</f>
        <v/>
      </c>
      <c r="H286">
        <f>1-(1-Skills!J7/100)^Skills!K7</f>
        <v/>
      </c>
      <c r="I286" t="inlineStr">
        <is>
          <t>1</t>
        </is>
      </c>
      <c r="J286">
        <f>(Inputs!$B$5*(1+Inputs!$B$6/100))*(F286/100)</f>
        <v/>
      </c>
      <c r="K286">
        <f>J286*(1+((Inputs!$B$11*(1+Inputs!$B$12/100))*0.01+Inputs!$B$13*0.0025)/100)*(1+Inputs!$B$14/100)*(1+IF(Inputs!$B$4="pvp",0,(1-Summary!$B$55)*(Inputs!$B$19+0+Skills!P7)+Summary!$B$55*((Inputs!$B$20+1)+Skills!Q7))/100)*(1+Inputs!$B$15/100)*(5000/(6000+Inputs!$B$7*(1-(Inputs!$B$18+0)/100)))*(1+(Inputs!$B$23+((C305=TRUE)*(F305-Calc!F26))+B315)/100)*(1+1.0*IF(C294=TRUE,F294,0)/100)*(1+(IF(Skills!A7="EIGHT_LEGS_EASTON",Inputs!$B$16+((C302=TRUE)*(F302-Calc!F23))+((C306=TRUE)*(F306-Calc!F27)),Inputs!$B$17+0))/100)*((1+(((C296=TRUE)*F296)+((C303=TRUE)*(F303-Calc!F24)))/100)*I286)</f>
        <v/>
      </c>
      <c r="L286">
        <f>K286*(MIN(Inputs!$B$21+((C301=TRUE)*(F301-Calc!F22)),Inputs!$B$22+0)/100+(Inputs!$B$22+0)/100)/2</f>
        <v/>
      </c>
      <c r="M286">
        <f>L286*(1+(Inputs!$B$9+((C304=TRUE)*(F304-Calc!F25))+B314)/100)</f>
        <v/>
      </c>
      <c r="N286">
        <f>L286*(1-MIN((Inputs!$B$8+((C298=TRUE)*(F298-Calc!F19))+B309),100)/100)+M286*(MIN((Inputs!$B$8+((C298=TRUE)*(F298-Calc!F19))+B309),100)/100)</f>
        <v/>
      </c>
      <c r="O286">
        <f>IF(C286,H286*N286*IF(AND(Inputs!$B$4&lt;&gt;"pvp",Inputs!$B$35&gt;0),((Skills!G7*((R286-1)*IF(Skills!H7&gt;0,Skills!I7/Skills!H7,1)+IF(Skills!H7&gt;0,MIN(Skills!I7,MAX(0,Inputs!$B$35-((R286-1)*IF(Inputs!$B$4="pvp",15,MAX(0.1,Skills!D7-IF(Skills!E7=TRUE,Inputs!$B$31,0))))))/Skills!H7,1)))/Inputs!$B$35),G286*Q286)*IF(Inputs!$B$4="pvp",1,(1-Summary!$B$55)*(1)+Summary!$B$55*(MIN(Skills!R7,Inputs!$B$37))),0)</f>
        <v/>
      </c>
      <c r="P286">
        <f>IF(B317=0,0,O286/B317)</f>
        <v/>
      </c>
      <c r="Q286">
        <f>IFERROR(1/IF(Inputs!$B$4="pvp",15,MAX(0.1,Skills!D7-IF(Skills!E7=TRUE,Inputs!$B$31,0))),0)</f>
        <v/>
      </c>
      <c r="R286">
        <f>IF(AND(Inputs!$B$4&lt;&gt;"pvp",Inputs!$B$35&gt;0),(INT(Inputs!$B$35/IF(Inputs!$B$4="pvp",15,MAX(0.1,Skills!D7-IF(Skills!E7=TRUE,Inputs!$B$31,0))))+1),0)</f>
        <v/>
      </c>
      <c r="S286">
        <f>IFERROR(O286/N286,0)</f>
        <v/>
      </c>
    </row>
    <row r="287">
      <c r="A287">
        <f>Skills!A8</f>
        <v/>
      </c>
      <c r="B287">
        <f>Skills!B8</f>
        <v/>
      </c>
      <c r="C287">
        <f>Inputs!$B$3&gt;=100</f>
        <v/>
      </c>
      <c r="D287">
        <f>IF(Skills!C8=1,60+Inputs!$B$24+Inputs!$B$28,IF(Skills!C8=2,90+Inputs!$B$25+Inputs!$B$28,IF(Skills!C8=3,120+Inputs!$B$26+Inputs!$B$28,MAX(0,(Inputs!$B$3-100)*3)+Inputs!$B$27+Inputs!$B$28)))</f>
        <v/>
      </c>
      <c r="E287">
        <f>INDEX(FactorTable!$B$2:$Y$301, MATCH(ROUND(MIN(300,MAX(1,D287)),0), FactorTable!$A$2:$A$301,0), Skills!M8+1)</f>
        <v/>
      </c>
      <c r="F287">
        <f>IF(Skills!N8=TRUE,(Skills!L8/10)*(E287/1000),Skills!L8/10)+Skills!O8</f>
        <v/>
      </c>
      <c r="G287">
        <f>Skills!G8*IF(Skills!H8&gt;0,Skills!I8/Skills!H8,1)</f>
        <v/>
      </c>
      <c r="H287">
        <f>1-(1-Skills!J8/100)^Skills!K8</f>
        <v/>
      </c>
      <c r="I287" t="inlineStr">
        <is>
          <t>1</t>
        </is>
      </c>
      <c r="J287">
        <f>(Inputs!$B$5*(1+Inputs!$B$6/100))*(F287/100)</f>
        <v/>
      </c>
      <c r="K287">
        <f>J287*(1+((Inputs!$B$11*(1+Inputs!$B$12/100))*0.01+Inputs!$B$13*0.0025)/100)*(1+Inputs!$B$14/100)*(1+IF(Inputs!$B$4="pvp",0,(1-Summary!$B$55)*(Inputs!$B$19+0+Skills!P8)+Summary!$B$55*((Inputs!$B$20+1)+Skills!Q8))/100)*(1+Inputs!$B$15/100)*(5000/(6000+Inputs!$B$7*(1-(Inputs!$B$18+0)/100)))*(1+(Inputs!$B$23+((C305=TRUE)*(F305-Calc!F26))+B315)/100)*(1+(IF(Skills!A8="EIGHT_LEGS_EASTON",Inputs!$B$16+((C302=TRUE)*(F302-Calc!F23))+((C306=TRUE)*(F306-Calc!F27)),Inputs!$B$17+0))/100)*((1+(((C296=TRUE)*F296)+((C303=TRUE)*(F303-Calc!F24)))/100)*I287)</f>
        <v/>
      </c>
      <c r="L287">
        <f>K287*(MIN(Inputs!$B$21+((C301=TRUE)*(F301-Calc!F22)),Inputs!$B$22+0)/100+(Inputs!$B$22+0)/100)/2</f>
        <v/>
      </c>
      <c r="M287">
        <f>L287*(1+(Inputs!$B$9+((C304=TRUE)*(F304-Calc!F25))+B314)/100)</f>
        <v/>
      </c>
      <c r="N287">
        <f>L287*(1-MIN((Inputs!$B$8+((C298=TRUE)*(F298-Calc!F19))+B309),100)/100)+M287*(MIN((Inputs!$B$8+((C298=TRUE)*(F298-Calc!F19))+B309),100)/100)</f>
        <v/>
      </c>
      <c r="O287">
        <f>IF(C287,H287*N287*IF(AND(Inputs!$B$4&lt;&gt;"pvp",Inputs!$B$35&gt;0),((Skills!G8*((R287-1)*IF(Skills!H8&gt;0,Skills!I8/Skills!H8,1)+IF(Skills!H8&gt;0,MIN(Skills!I8,MAX(0,Inputs!$B$35-((R287-1)*IF(Inputs!$B$4="pvp",15,MAX(0.1,Skills!D8-IF(Skills!E8=TRUE,Inputs!$B$31,0))))))/Skills!H8,1)))/Inputs!$B$35),G287*Q287)*IF(Inputs!$B$4="pvp",1,(1-Summary!$B$55)*(1)+Summary!$B$55*(MIN(Skills!R8,Inputs!$B$37))),0)</f>
        <v/>
      </c>
      <c r="P287">
        <f>IF(B317=0,0,O287/B317)</f>
        <v/>
      </c>
      <c r="Q287">
        <f>IFERROR(1/IF(Inputs!$B$4="pvp",15,MAX(0.1,Skills!D8-IF(Skills!E8=TRUE,Inputs!$B$31,0))),0)</f>
        <v/>
      </c>
      <c r="R287">
        <f>IF(AND(Inputs!$B$4&lt;&gt;"pvp",Inputs!$B$35&gt;0),(INT(Inputs!$B$35/IF(Inputs!$B$4="pvp",15,MAX(0.1,Skills!D8-IF(Skills!E8=TRUE,Inputs!$B$31,0))))+1),0)</f>
        <v/>
      </c>
      <c r="S287">
        <f>IFERROR(O287/N287,0)</f>
        <v/>
      </c>
    </row>
    <row r="288">
      <c r="A288">
        <f>Skills!A9</f>
        <v/>
      </c>
      <c r="B288">
        <f>Skills!B9</f>
        <v/>
      </c>
      <c r="C288">
        <f>Inputs!$B$3&gt;=103</f>
        <v/>
      </c>
      <c r="D288">
        <f>IF(Skills!C9=1,60+Inputs!$B$24+Inputs!$B$28,IF(Skills!C9=2,90+Inputs!$B$25+Inputs!$B$28,IF(Skills!C9=3,120+Inputs!$B$26+Inputs!$B$28,MAX(0,(Inputs!$B$3-100)*3)+Inputs!$B$27+Inputs!$B$28)))</f>
        <v/>
      </c>
      <c r="E288">
        <f>INDEX(FactorTable!$B$2:$Y$301, MATCH(ROUND(MIN(300,MAX(1,D288)),0), FactorTable!$A$2:$A$301,0), Skills!M9+1)</f>
        <v/>
      </c>
      <c r="F288">
        <f>IF(Skills!N9=TRUE,(Skills!L9/10)*(E288/1000),Skills!L9/10)+Skills!O9</f>
        <v/>
      </c>
      <c r="G288">
        <f>Skills!G9*IF(Skills!H9&gt;0,Skills!I9/Skills!H9,1)</f>
        <v/>
      </c>
      <c r="H288">
        <f>1-(1-Skills!J9/100)^Skills!K9</f>
        <v/>
      </c>
      <c r="I288" t="inlineStr">
        <is>
          <t>1</t>
        </is>
      </c>
      <c r="J288">
        <f>(Inputs!$B$5*(1+Inputs!$B$6/100))*(F288/100)</f>
        <v/>
      </c>
      <c r="K288">
        <f>J288*(1+((Inputs!$B$11*(1+Inputs!$B$12/100))*0.01+Inputs!$B$13*0.0025)/100)*(1+Inputs!$B$14/100)*(1+IF(Inputs!$B$4="pvp",0,(1-Summary!$B$55)*(Inputs!$B$19+0+Skills!P9)+Summary!$B$55*((Inputs!$B$20+1)+Skills!Q9))/100)*(1+Inputs!$B$15/100)*(5000/(6000+Inputs!$B$7*(1-(Inputs!$B$18+0)/100)))*(1+(Inputs!$B$23+((C305=TRUE)*(F305-Calc!F26))+B315)/100)*(1+(IF(Skills!A9="EIGHT_LEGS_EASTON",Inputs!$B$16+((C302=TRUE)*(F302-Calc!F23))+((C306=TRUE)*(F306-Calc!F27)),Inputs!$B$17+0))/100)*((1+(((C296=TRUE)*F296)+((C303=TRUE)*(F303-Calc!F24)))/100)*I288)</f>
        <v/>
      </c>
      <c r="L288">
        <f>K288*(MIN(Inputs!$B$21+((C301=TRUE)*(F301-Calc!F22)),Inputs!$B$22+0)/100+(Inputs!$B$22+0)/100)/2</f>
        <v/>
      </c>
      <c r="M288">
        <f>L288*(1+(Inputs!$B$9+((C304=TRUE)*(F304-Calc!F25))+B314)/100)</f>
        <v/>
      </c>
      <c r="N288">
        <f>L288*(1-MIN((Inputs!$B$8+((C298=TRUE)*(F298-Calc!F19))+B309),100)/100)+M288*(MIN((Inputs!$B$8+((C298=TRUE)*(F298-Calc!F19))+B309),100)/100)</f>
        <v/>
      </c>
      <c r="O288">
        <f>IF(C288,H288*N288*IF(AND(Inputs!$B$4&lt;&gt;"pvp",Inputs!$B$35&gt;0),((Skills!G9*((R288-1)*IF(Skills!H9&gt;0,Skills!I9/Skills!H9,1)+IF(Skills!H9&gt;0,MIN(Skills!I9,MAX(0,Inputs!$B$35-((R288-1)*IF(Inputs!$B$4="pvp",15,MAX(0.1,Skills!D9-IF(Skills!E9=TRUE,Inputs!$B$31,0))))))/Skills!H9,1)))/Inputs!$B$35),G288*Q288)*IF(Inputs!$B$4="pvp",1,(1-Summary!$B$55)*(1)+Summary!$B$55*(MIN(Skills!R9,Inputs!$B$37))),0)</f>
        <v/>
      </c>
      <c r="P288">
        <f>IF(B317=0,0,O288/B317)</f>
        <v/>
      </c>
      <c r="Q288">
        <f>IFERROR(1/IF(Inputs!$B$4="pvp",15,MAX(0.1,Skills!D9-IF(Skills!E9=TRUE,Inputs!$B$31,0))),0)</f>
        <v/>
      </c>
      <c r="R288">
        <f>IF(AND(Inputs!$B$4&lt;&gt;"pvp",Inputs!$B$35&gt;0),(INT(Inputs!$B$35/IF(Inputs!$B$4="pvp",15,MAX(0.1,Skills!D9-IF(Skills!E9=TRUE,Inputs!$B$31,0))))+1),0)</f>
        <v/>
      </c>
      <c r="S288">
        <f>IFERROR(O288/N288,0)</f>
        <v/>
      </c>
    </row>
    <row r="289">
      <c r="A289">
        <f>Skills!A10</f>
        <v/>
      </c>
      <c r="B289">
        <f>Skills!B10</f>
        <v/>
      </c>
      <c r="C289">
        <f>Inputs!$B$3&gt;=113</f>
        <v/>
      </c>
      <c r="D289">
        <f>IF(Skills!C10=1,60+Inputs!$B$24+Inputs!$B$28,IF(Skills!C10=2,90+Inputs!$B$25+Inputs!$B$28,IF(Skills!C10=3,120+Inputs!$B$26+Inputs!$B$28,MAX(0,(Inputs!$B$3-100)*3)+Inputs!$B$27+Inputs!$B$28)))</f>
        <v/>
      </c>
      <c r="E289">
        <f>INDEX(FactorTable!$B$2:$Y$301, MATCH(ROUND(MIN(300,MAX(1,D289)),0), FactorTable!$A$2:$A$301,0), Skills!M10+1)</f>
        <v/>
      </c>
      <c r="F289">
        <f>IF(Skills!N10=TRUE,(Skills!L10/10)*(E289/1000),Skills!L10/10)+Skills!O10</f>
        <v/>
      </c>
      <c r="G289">
        <f>Skills!G10*IF(Skills!H10&gt;0,Skills!I10/Skills!H10,1)</f>
        <v/>
      </c>
      <c r="H289">
        <f>1-(1-Skills!J10/100)^Skills!K10</f>
        <v/>
      </c>
      <c r="I289" t="inlineStr">
        <is>
          <t>1</t>
        </is>
      </c>
      <c r="J289">
        <f>(Inputs!$B$5*(1+Inputs!$B$6/100))*(F289/100)</f>
        <v/>
      </c>
      <c r="K289">
        <f>J289*(1+((Inputs!$B$11*(1+Inputs!$B$12/100))*0.01+Inputs!$B$13*0.0025)/100)*(1+Inputs!$B$14/100)*(1+IF(Inputs!$B$4="pvp",0,(1-Summary!$B$55)*(Inputs!$B$19+0+Skills!P10)+Summary!$B$55*((Inputs!$B$20+1)+Skills!Q10))/100)*(1+Inputs!$B$15/100)*(5000/(6000+Inputs!$B$7*(1-(Inputs!$B$18+0)/100)))*(1+(Inputs!$B$23+((C305=TRUE)*(F305-Calc!F26))+B315)/100)*(1+(IF(Skills!A10="EIGHT_LEGS_EASTON",Inputs!$B$16+((C302=TRUE)*(F302-Calc!F23))+((C306=TRUE)*(F306-Calc!F27)),Inputs!$B$17+0))/100)*((1+(((C296=TRUE)*F296)+((C303=TRUE)*(F303-Calc!F24)))/100)*I289)</f>
        <v/>
      </c>
      <c r="L289">
        <f>K289*(MIN(Inputs!$B$21+((C301=TRUE)*(F301-Calc!F22)),Inputs!$B$22+0)/100+(Inputs!$B$22+0)/100)/2</f>
        <v/>
      </c>
      <c r="M289">
        <f>L289*(1+(Inputs!$B$9+((C304=TRUE)*(F304-Calc!F25))+B314)/100)</f>
        <v/>
      </c>
      <c r="N289">
        <f>L289*(1-MIN((Inputs!$B$8+((C298=TRUE)*(F298-Calc!F19))+B309),100)/100)+M289*(MIN((Inputs!$B$8+((C298=TRUE)*(F298-Calc!F19))+B309),100)/100)</f>
        <v/>
      </c>
      <c r="O289">
        <f>IF(C289,H289*N289*IF(AND(Inputs!$B$4&lt;&gt;"pvp",Inputs!$B$35&gt;0),((Skills!G10*((R289-1)*IF(Skills!H10&gt;0,Skills!I10/Skills!H10,1)+IF(Skills!H10&gt;0,MIN(Skills!I10,MAX(0,Inputs!$B$35-((R289-1)*IF(Inputs!$B$4="pvp",15,MAX(0.1,Skills!D10-IF(Skills!E10=TRUE,Inputs!$B$31,0))))))/Skills!H10,1)))/Inputs!$B$35),G289*Q289)*IF(Inputs!$B$4="pvp",1,(1-Summary!$B$55)*(1)+Summary!$B$55*(MIN(Skills!R10,Inputs!$B$37))),0)</f>
        <v/>
      </c>
      <c r="P289">
        <f>IF(B317=0,0,O289/B317)</f>
        <v/>
      </c>
      <c r="Q289">
        <f>IFERROR(1/IF(Inputs!$B$4="pvp",15,MAX(0.1,Skills!D10-IF(Skills!E10=TRUE,Inputs!$B$31,0))),0)</f>
        <v/>
      </c>
      <c r="R289">
        <f>IF(AND(Inputs!$B$4&lt;&gt;"pvp",Inputs!$B$35&gt;0),(INT(Inputs!$B$35/IF(Inputs!$B$4="pvp",15,MAX(0.1,Skills!D10-IF(Skills!E10=TRUE,Inputs!$B$31,0))))+1),0)</f>
        <v/>
      </c>
      <c r="S289">
        <f>IFERROR(O289/N289,0)</f>
        <v/>
      </c>
    </row>
    <row r="290">
      <c r="A290">
        <f>Skills!A11</f>
        <v/>
      </c>
      <c r="B290">
        <f>Skills!B11</f>
        <v/>
      </c>
      <c r="C290">
        <f>Inputs!$B$3&gt;=107</f>
        <v/>
      </c>
      <c r="D290">
        <f>IF(Skills!C11=1,60+Inputs!$B$24+Inputs!$B$28,IF(Skills!C11=2,90+Inputs!$B$25+Inputs!$B$28,IF(Skills!C11=3,120+Inputs!$B$26+Inputs!$B$28,MAX(0,(Inputs!$B$3-100)*3)+Inputs!$B$27+Inputs!$B$28)))</f>
        <v/>
      </c>
      <c r="E290">
        <f>INDEX(FactorTable!$B$2:$Y$301, MATCH(ROUND(MIN(300,MAX(1,D290)),0), FactorTable!$A$2:$A$301,0), Skills!M11+1)</f>
        <v/>
      </c>
      <c r="F290">
        <f>IF(Skills!N11=TRUE,(Skills!L11/10)*(E290/1000),Skills!L11/10)+Skills!O11</f>
        <v/>
      </c>
      <c r="G290">
        <f>Skills!G11*IF(Skills!H11&gt;0,Skills!I11/Skills!H11,1)</f>
        <v/>
      </c>
      <c r="H290">
        <f>1-(1-Skills!J11/100)^Skills!K11</f>
        <v/>
      </c>
      <c r="I290" t="inlineStr">
        <is>
          <t>1</t>
        </is>
      </c>
      <c r="J290">
        <f>(Inputs!$B$5*(1+Inputs!$B$6/100))*(F290/100)</f>
        <v/>
      </c>
      <c r="K290">
        <f>J290*(1+((Inputs!$B$11*(1+Inputs!$B$12/100))*0.01+Inputs!$B$13*0.0025)/100)*(1+Inputs!$B$14/100)*(1+IF(Inputs!$B$4="pvp",0,(1-Summary!$B$55)*(Inputs!$B$19+0+Skills!P11)+Summary!$B$55*((Inputs!$B$20+1)+Skills!Q11))/100)*(1+Inputs!$B$15/100)*(5000/(6000+Inputs!$B$7*(1-(Inputs!$B$18+0)/100)))*(1+(Inputs!$B$23+((C305=TRUE)*(F305-Calc!F26))+B315)/100)*(1+(IF(Skills!A11="EIGHT_LEGS_EASTON",Inputs!$B$16+((C302=TRUE)*(F302-Calc!F23))+((C306=TRUE)*(F306-Calc!F27)),Inputs!$B$17+0))/100)*((1+(((C296=TRUE)*F296)+((C303=TRUE)*(F303-Calc!F24)))/100)*I290)</f>
        <v/>
      </c>
      <c r="L290">
        <f>K290*(MIN(Inputs!$B$21+((C301=TRUE)*(F301-Calc!F22)),Inputs!$B$22+0)/100+(Inputs!$B$22+0)/100)/2</f>
        <v/>
      </c>
      <c r="M290">
        <f>L290*(1+(Inputs!$B$9+((C304=TRUE)*(F304-Calc!F25))+B314)/100)</f>
        <v/>
      </c>
      <c r="N290">
        <f>L290*(1-MIN((Inputs!$B$8+((C298=TRUE)*(F298-Calc!F19))+B309),100)/100)+M290*(MIN((Inputs!$B$8+((C298=TRUE)*(F298-Calc!F19))+B309),100)/100)</f>
        <v/>
      </c>
      <c r="O290">
        <f>IF(C290,H290*N290*IF(AND(Inputs!$B$4&lt;&gt;"pvp",Inputs!$B$35&gt;0),((Skills!G11*((R290-1)*IF(Skills!H11&gt;0,Skills!I11/Skills!H11,1)+IF(Skills!H11&gt;0,MIN(Skills!I11,MAX(0,Inputs!$B$35-((R290-1)*IF(Inputs!$B$4="pvp",15,MAX(0.1,Skills!D11-IF(Skills!E11=TRUE,Inputs!$B$31,0))))))/Skills!H11,1)))/Inputs!$B$35),G290*Q290)*IF(Inputs!$B$4="pvp",1,(1-Summary!$B$55)*(1)+Summary!$B$55*(MIN(Skills!R11,Inputs!$B$37))),0)</f>
        <v/>
      </c>
      <c r="P290">
        <f>IF(B317=0,0,O290/B317)</f>
        <v/>
      </c>
      <c r="Q290">
        <f>IFERROR(1/IF(Inputs!$B$4="pvp",15,MAX(0.1,Skills!D11-IF(Skills!E11=TRUE,Inputs!$B$31,0))),0)</f>
        <v/>
      </c>
      <c r="R290">
        <f>IF(AND(Inputs!$B$4&lt;&gt;"pvp",Inputs!$B$35&gt;0),(INT(Inputs!$B$35/IF(Inputs!$B$4="pvp",15,MAX(0.1,Skills!D11-IF(Skills!E11=TRUE,Inputs!$B$31,0))))+1),0)</f>
        <v/>
      </c>
      <c r="S290">
        <f>IFERROR(O290/N290,0)</f>
        <v/>
      </c>
    </row>
    <row r="291">
      <c r="A291">
        <f>Skills!A12</f>
        <v/>
      </c>
      <c r="B291">
        <f>Skills!B12</f>
        <v/>
      </c>
      <c r="C291">
        <f>Inputs!$B$3&gt;=110</f>
        <v/>
      </c>
      <c r="D291">
        <f>IF(Skills!C12=1,60+Inputs!$B$24+Inputs!$B$28,IF(Skills!C12=2,90+Inputs!$B$25+Inputs!$B$28,IF(Skills!C12=3,120+Inputs!$B$26+Inputs!$B$28,MAX(0,(Inputs!$B$3-100)*3)+Inputs!$B$27+Inputs!$B$28)))</f>
        <v/>
      </c>
      <c r="E291">
        <f>INDEX(FactorTable!$B$2:$Y$301, MATCH(ROUND(MIN(300,MAX(1,D291)),0), FactorTable!$A$2:$A$301,0), Skills!M12+1)</f>
        <v/>
      </c>
      <c r="F291">
        <f>IF(Skills!N12=TRUE,(Skills!L12/10)*(E291/1000),Skills!L12/10)+Skills!O12</f>
        <v/>
      </c>
      <c r="G291">
        <f>Skills!G12*IF(Skills!H12&gt;0,Skills!I12/Skills!H12,1)</f>
        <v/>
      </c>
      <c r="H291">
        <f>1-(1-Skills!J12/100)^Skills!K12</f>
        <v/>
      </c>
      <c r="I291" t="inlineStr">
        <is>
          <t>1</t>
        </is>
      </c>
      <c r="J291">
        <f>(Inputs!$B$5*(1+Inputs!$B$6/100))*(F291/100)</f>
        <v/>
      </c>
      <c r="K291">
        <f>J291*(1+((Inputs!$B$11*(1+Inputs!$B$12/100))*0.01+Inputs!$B$13*0.0025)/100)*(1+Inputs!$B$14/100)*(1+IF(Inputs!$B$4="pvp",0,(1-Summary!$B$55)*(Inputs!$B$19+0+Skills!P12)+Summary!$B$55*((Inputs!$B$20+1)+Skills!Q12))/100)*(1+Inputs!$B$15/100)*(5000/(6000+Inputs!$B$7*(1-(Inputs!$B$18+0)/100)))*(1+(Inputs!$B$23+((C305=TRUE)*(F305-Calc!F26))+B315)/100)*(1+(IF(Skills!A12="EIGHT_LEGS_EASTON",Inputs!$B$16+((C302=TRUE)*(F302-Calc!F23))+((C306=TRUE)*(F306-Calc!F27)),Inputs!$B$17+0))/100)*((1+(((C296=TRUE)*F296)+((C303=TRUE)*(F303-Calc!F24)))/100)*I291)</f>
        <v/>
      </c>
      <c r="L291">
        <f>K291*(MIN(Inputs!$B$21+((C301=TRUE)*(F301-Calc!F22)),Inputs!$B$22+0)/100+(Inputs!$B$22+0)/100)/2</f>
        <v/>
      </c>
      <c r="M291">
        <f>L291*(1+(Inputs!$B$9+((C304=TRUE)*(F304-Calc!F25))+B314)/100)</f>
        <v/>
      </c>
      <c r="N291">
        <f>L291*(1-MIN((Inputs!$B$8+((C298=TRUE)*(F298-Calc!F19))+B309),100)/100)+M291*(MIN((Inputs!$B$8+((C298=TRUE)*(F298-Calc!F19))+B309),100)/100)</f>
        <v/>
      </c>
      <c r="O291">
        <f>IF(C291,H291*N291*IF(AND(Inputs!$B$4&lt;&gt;"pvp",Inputs!$B$35&gt;0),((Skills!G12*((R291-1)*IF(Skills!H12&gt;0,Skills!I12/Skills!H12,1)+IF(Skills!H12&gt;0,MIN(Skills!I12,MAX(0,Inputs!$B$35-((R291-1)*IF(Inputs!$B$4="pvp",15,MAX(0.1,Skills!D12-IF(Skills!E12=TRUE,Inputs!$B$31,0))))))/Skills!H12,1)))/Inputs!$B$35),G291*Q291)*IF(Inputs!$B$4="pvp",1,(1-Summary!$B$55)*(1)+Summary!$B$55*(MIN(Skills!R12,Inputs!$B$37))),0)</f>
        <v/>
      </c>
      <c r="P291">
        <f>IF(B317=0,0,O291/B317)</f>
        <v/>
      </c>
      <c r="Q291">
        <f>IFERROR(1/IF(Inputs!$B$4="pvp",15,MAX(0.1,Skills!D12-IF(Skills!E12=TRUE,Inputs!$B$31,0))),0)</f>
        <v/>
      </c>
      <c r="R291">
        <f>IF(AND(Inputs!$B$4&lt;&gt;"pvp",Inputs!$B$35&gt;0),(INT(Inputs!$B$35/IF(Inputs!$B$4="pvp",15,MAX(0.1,Skills!D12-IF(Skills!E12=TRUE,Inputs!$B$31,0))))+1),0)</f>
        <v/>
      </c>
      <c r="S291">
        <f>IFERROR(O291/N291,0)</f>
        <v/>
      </c>
    </row>
    <row r="292">
      <c r="A292">
        <f>Skills!A13</f>
        <v/>
      </c>
      <c r="B292">
        <f>Skills!B13</f>
        <v/>
      </c>
      <c r="C292">
        <f>Inputs!$B$3&gt;=110</f>
        <v/>
      </c>
      <c r="D292">
        <f>IF(Skills!C13=1,60+Inputs!$B$24+Inputs!$B$28,IF(Skills!C13=2,90+Inputs!$B$25+Inputs!$B$28,IF(Skills!C13=3,120+Inputs!$B$26+Inputs!$B$28,MAX(0,(Inputs!$B$3-100)*3)+Inputs!$B$27+Inputs!$B$28)))</f>
        <v/>
      </c>
      <c r="E292">
        <f>INDEX(FactorTable!$B$2:$Y$301, MATCH(ROUND(MIN(300,MAX(1,D292)),0), FactorTable!$A$2:$A$301,0), Skills!M13+1)</f>
        <v/>
      </c>
      <c r="F292">
        <f>IF(Skills!N13=TRUE,(Skills!L13/10)*(E292/1000),Skills!L13/10)+Skills!O13</f>
        <v/>
      </c>
      <c r="G292">
        <f>Skills!G13*IF(Skills!H13&gt;0,Skills!I13/Skills!H13,1)</f>
        <v/>
      </c>
      <c r="H292">
        <f>1-(1-Skills!J13/100)^Skills!K13</f>
        <v/>
      </c>
      <c r="I292" t="inlineStr">
        <is>
          <t>1</t>
        </is>
      </c>
      <c r="J292">
        <f>(Inputs!$B$5*(1+Inputs!$B$6/100))*(F292/100)</f>
        <v/>
      </c>
      <c r="K292">
        <f>J292*(1+((Inputs!$B$11*(1+Inputs!$B$12/100))*0.01+Inputs!$B$13*0.0025)/100)*(1+Inputs!$B$14/100)*(1+IF(Inputs!$B$4="pvp",0,(1-Summary!$B$55)*(Inputs!$B$19+0+Skills!P13)+Summary!$B$55*((Inputs!$B$20+1)+Skills!Q13))/100)*(1+Inputs!$B$15/100)*(5000/(6000+Inputs!$B$7*(1-(Inputs!$B$18+0)/100)))*(1+(Inputs!$B$23+((C305=TRUE)*(F305-Calc!F26))+B315)/100)*(1+(IF(Skills!A13="EIGHT_LEGS_EASTON",Inputs!$B$16+((C302=TRUE)*(F302-Calc!F23))+((C306=TRUE)*(F306-Calc!F27)),Inputs!$B$17+0))/100)*((1+(((C296=TRUE)*F296)+((C303=TRUE)*(F303-Calc!F24)))/100)*I292)</f>
        <v/>
      </c>
      <c r="L292">
        <f>K292*(MIN(Inputs!$B$21+((C301=TRUE)*(F301-Calc!F22)),Inputs!$B$22+0)/100+(Inputs!$B$22+0)/100)/2</f>
        <v/>
      </c>
      <c r="M292">
        <f>L292*(1+(Inputs!$B$9+((C304=TRUE)*(F304-Calc!F25))+B314)/100)</f>
        <v/>
      </c>
      <c r="N292">
        <f>L292*(1-MIN((Inputs!$B$8+((C298=TRUE)*(F298-Calc!F19))+B309),100)/100)+M292*(MIN((Inputs!$B$8+((C298=TRUE)*(F298-Calc!F19))+B309),100)/100)</f>
        <v/>
      </c>
      <c r="O292">
        <f>IF(C292,H292*N292*IF(AND(Inputs!$B$4&lt;&gt;"pvp",Inputs!$B$35&gt;0),((Skills!G13*((R292-1)*IF(Skills!H13&gt;0,Skills!I13/Skills!H13,1)+IF(Skills!H13&gt;0,MIN(Skills!I13,MAX(0,Inputs!$B$35-((R292-1)*IF(Inputs!$B$4="pvp",15,MAX(0.1,Skills!D13-IF(Skills!E13=TRUE,Inputs!$B$31,0))))))/Skills!H13,1)))/Inputs!$B$35),G292*Q292)*IF(Inputs!$B$4="pvp",1,(1-Summary!$B$55)*(1)+Summary!$B$55*(MIN(Skills!R13,Inputs!$B$37))),0)</f>
        <v/>
      </c>
      <c r="P292">
        <f>IF(B317=0,0,O292/B317)</f>
        <v/>
      </c>
      <c r="Q292">
        <f>IFERROR(1/IF(Inputs!$B$4="pvp",15,MAX(0.1,Skills!D13-IF(Skills!E13=TRUE,Inputs!$B$31,0))),0)</f>
        <v/>
      </c>
      <c r="R292">
        <f>IF(AND(Inputs!$B$4&lt;&gt;"pvp",Inputs!$B$35&gt;0),(INT(Inputs!$B$35/IF(Inputs!$B$4="pvp",15,MAX(0.1,Skills!D13-IF(Skills!E13=TRUE,Inputs!$B$31,0))))+1),0)</f>
        <v/>
      </c>
      <c r="S292">
        <f>IFERROR(O292/N292,0)</f>
        <v/>
      </c>
    </row>
    <row r="293">
      <c r="A293">
        <f>Skills!A14</f>
        <v/>
      </c>
      <c r="B293">
        <f>Skills!B14</f>
        <v/>
      </c>
      <c r="C293">
        <f>Inputs!$B$3&gt;=125</f>
        <v/>
      </c>
      <c r="D293">
        <f>IF(Skills!C14=1,60+Inputs!$B$24+Inputs!$B$28,IF(Skills!C14=2,90+Inputs!$B$25+Inputs!$B$28,IF(Skills!C14=3,120+Inputs!$B$26+Inputs!$B$28,MAX(0,(Inputs!$B$3-100)*3)+Inputs!$B$27+Inputs!$B$28)))</f>
        <v/>
      </c>
      <c r="E293">
        <f>INDEX(FactorTable!$B$2:$Y$301, MATCH(ROUND(MIN(300,MAX(1,D293)),0), FactorTable!$A$2:$A$301,0), Skills!M14+1)</f>
        <v/>
      </c>
      <c r="F293">
        <f>IF(Skills!N14=TRUE,(Skills!L14/10)*(E293/1000),Skills!L14/10)+Skills!O14</f>
        <v/>
      </c>
      <c r="G293">
        <f>Skills!G14*IF(Skills!H14&gt;0,Skills!I14/Skills!H14,1)</f>
        <v/>
      </c>
      <c r="H293">
        <f>1-(1-Skills!J14/100)^Skills!K14</f>
        <v/>
      </c>
      <c r="I293" t="inlineStr">
        <is>
          <t>1</t>
        </is>
      </c>
      <c r="J293">
        <f>(Inputs!$B$5*(1+Inputs!$B$6/100))*(F293/100)</f>
        <v/>
      </c>
      <c r="K293">
        <f>J293*(1+((Inputs!$B$11*(1+Inputs!$B$12/100))*0.01+Inputs!$B$13*0.0025)/100)*(1+Inputs!$B$14/100)*(1+IF(Inputs!$B$4="pvp",0,(1-Summary!$B$55)*(Inputs!$B$19+0+Skills!P14)+Summary!$B$55*((Inputs!$B$20+1)+Skills!Q14))/100)*(1+Inputs!$B$15/100)*(5000/(6000+Inputs!$B$7*(1-(Inputs!$B$18+0)/100)))*(1+(Inputs!$B$23+((C305=TRUE)*(F305-Calc!F26))+B315)/100)*(1+(IF(Skills!A14="EIGHT_LEGS_EASTON",Inputs!$B$16+((C302=TRUE)*(F302-Calc!F23))+((C306=TRUE)*(F306-Calc!F27)),Inputs!$B$17+0))/100)*((1+(((C296=TRUE)*F296)+((C303=TRUE)*(F303-Calc!F24)))/100)*I293)</f>
        <v/>
      </c>
      <c r="L293">
        <f>K293*(MIN(Inputs!$B$21+((C301=TRUE)*(F301-Calc!F22)),Inputs!$B$22+0)/100+(Inputs!$B$22+0)/100)/2</f>
        <v/>
      </c>
      <c r="M293">
        <f>L293*(1+(Inputs!$B$9+((C304=TRUE)*(F304-Calc!F25))+B314)/100)</f>
        <v/>
      </c>
      <c r="N293">
        <f>L293*(1-MIN((Inputs!$B$8+((C298=TRUE)*(F298-Calc!F19))+B309),100)/100)+M293*(MIN((Inputs!$B$8+((C298=TRUE)*(F298-Calc!F19))+B309),100)/100)</f>
        <v/>
      </c>
      <c r="O293">
        <f>IF(C293,H293*N293*(B313+IF(AND(Inputs!$B$4&lt;&gt;"pvp",Inputs!$B$35&gt;0),((Skills!G8*((R287-1)*IF(Skills!H8&gt;0,Skills!I8/Skills!H8,1)+IF(Skills!H8&gt;0,MIN(Skills!I8,MAX(0,Inputs!$B$35-((R287-1)*IF(Inputs!$B$4="pvp",15,MAX(0.1,Skills!D8-IF(Skills!E8=TRUE,Inputs!$B$31,0))))))/Skills!H8,1)))/Inputs!$B$35),G287*Q287)+IF(AND(Inputs!$B$4&lt;&gt;"pvp",Inputs!$B$35&gt;0),((Skills!G11*((R290-1)*IF(Skills!H11&gt;0,Skills!I11/Skills!H11,1)+IF(Skills!H11&gt;0,MIN(Skills!I11,MAX(0,Inputs!$B$35-((R290-1)*IF(Inputs!$B$4="pvp",15,MAX(0.1,Skills!D11-IF(Skills!E11=TRUE,Inputs!$B$31,0))))))/Skills!H11,1)))/Inputs!$B$35),G290*Q290))*IF(Inputs!$B$4="pvp",1,(1-Summary!$B$55)*(1)+Summary!$B$55*(MIN(Skills!R14,Inputs!$B$37))),0)</f>
        <v/>
      </c>
      <c r="P293">
        <f>IF(B317=0,0,O293/B317)</f>
        <v/>
      </c>
      <c r="Q293" t="n">
        <v>0</v>
      </c>
      <c r="R293" t="n">
        <v>0</v>
      </c>
      <c r="S293">
        <f>IFERROR(O293/N293,0)</f>
        <v/>
      </c>
    </row>
    <row r="294">
      <c r="A294">
        <f>Skills!A15</f>
        <v/>
      </c>
      <c r="B294">
        <f>Skills!B15</f>
        <v/>
      </c>
      <c r="C294">
        <f>Inputs!$B$3&gt;=100</f>
        <v/>
      </c>
      <c r="D294">
        <f>IF(Skills!C15=1,60+Inputs!$B$24+Inputs!$B$28,IF(Skills!C15=2,90+Inputs!$B$25+Inputs!$B$28,IF(Skills!C15=3,120+Inputs!$B$26+Inputs!$B$28,MAX(0,(Inputs!$B$3-100)*3)+Inputs!$B$27+Inputs!$B$28)))</f>
        <v/>
      </c>
      <c r="E294">
        <f>INDEX(FactorTable!$B$2:$Y$301, MATCH(ROUND(MIN(300,MAX(1,D294)),0), FactorTable!$A$2:$A$301,0), Skills!M15+1)</f>
        <v/>
      </c>
      <c r="F294">
        <f>IF(Skills!N15=TRUE,(Skills!L15/10)*(E294/1000),Skills!L15/10)+Skills!O15</f>
        <v/>
      </c>
      <c r="G294" t="inlineStr"/>
      <c r="H294" t="inlineStr"/>
      <c r="I294" t="inlineStr">
        <is>
          <t>1</t>
        </is>
      </c>
      <c r="J294" t="inlineStr"/>
      <c r="K294" t="inlineStr"/>
      <c r="L294" t="inlineStr"/>
      <c r="M294" t="inlineStr"/>
      <c r="N294" t="inlineStr"/>
      <c r="O294" t="inlineStr"/>
      <c r="P294" t="inlineStr"/>
      <c r="Q294" t="inlineStr"/>
      <c r="R294" t="inlineStr"/>
      <c r="S294" t="inlineStr"/>
    </row>
    <row r="295">
      <c r="A295">
        <f>Skills!A16</f>
        <v/>
      </c>
      <c r="B295">
        <f>Skills!B16</f>
        <v/>
      </c>
      <c r="C295">
        <f>Inputs!$B$3&gt;=120</f>
        <v/>
      </c>
      <c r="D295">
        <f>IF(Skills!C16=1,60+Inputs!$B$24+Inputs!$B$28,IF(Skills!C16=2,90+Inputs!$B$25+Inputs!$B$28,IF(Skills!C16=3,120+Inputs!$B$26+Inputs!$B$28,MAX(0,(Inputs!$B$3-100)*3)+Inputs!$B$27+Inputs!$B$28)))</f>
        <v/>
      </c>
      <c r="E295">
        <f>INDEX(FactorTable!$B$2:$Y$301, MATCH(ROUND(MIN(300,MAX(1,D295)),0), FactorTable!$A$2:$A$301,0), Skills!M16+1)</f>
        <v/>
      </c>
      <c r="F295">
        <f>IF(Skills!N16=TRUE,(Skills!L16/10)*(E295/1000),Skills!L16/10)+Skills!O16</f>
        <v/>
      </c>
      <c r="G295" t="inlineStr"/>
      <c r="H295" t="inlineStr"/>
      <c r="I295" t="inlineStr">
        <is>
          <t>1</t>
        </is>
      </c>
      <c r="J295" t="inlineStr"/>
      <c r="K295" t="inlineStr"/>
      <c r="L295" t="inlineStr"/>
      <c r="M295" t="inlineStr"/>
      <c r="N295" t="inlineStr"/>
      <c r="O295" t="inlineStr"/>
      <c r="P295" t="inlineStr"/>
      <c r="Q295" t="inlineStr"/>
      <c r="R295" t="inlineStr"/>
      <c r="S295" t="inlineStr"/>
    </row>
    <row r="296">
      <c r="A296">
        <f>Skills!A17</f>
        <v/>
      </c>
      <c r="B296">
        <f>Skills!B17</f>
        <v/>
      </c>
      <c r="C296">
        <f>Inputs!$B$3&gt;=66</f>
        <v/>
      </c>
      <c r="D296">
        <f>IF(Skills!C17=1,60+Inputs!$B$24+Inputs!$B$28,IF(Skills!C17=2,90+Inputs!$B$25+Inputs!$B$28,IF(Skills!C17=3,120+Inputs!$B$26+Inputs!$B$28,MAX(0,(Inputs!$B$3-100)*3)+Inputs!$B$27+Inputs!$B$28)))</f>
        <v/>
      </c>
      <c r="E296">
        <f>INDEX(FactorTable!$B$2:$Y$301, MATCH(ROUND(MIN(300,MAX(1,D296)),0), FactorTable!$A$2:$A$301,0), Skills!M17+1)</f>
        <v/>
      </c>
      <c r="F296">
        <f>IF(Skills!N17=TRUE,(Skills!L17/10)*(E296/1000),Skills!L17/10)+Skills!O17</f>
        <v/>
      </c>
      <c r="G296">
        <f>Skills!G17*IF(Skills!H17&gt;0,Skills!I17/Skills!H17,1)</f>
        <v/>
      </c>
      <c r="H296">
        <f>1-(1-Skills!J17/100)^Skills!K17</f>
        <v/>
      </c>
      <c r="I296" t="inlineStr">
        <is>
          <t>1</t>
        </is>
      </c>
      <c r="J296" t="inlineStr"/>
      <c r="K296" t="inlineStr"/>
      <c r="L296" t="inlineStr"/>
      <c r="M296" t="inlineStr"/>
      <c r="N296" t="inlineStr"/>
      <c r="O296" t="n">
        <v>0</v>
      </c>
      <c r="P296">
        <f>IF(B317=0,0,O296/B317)</f>
        <v/>
      </c>
      <c r="Q296" t="n">
        <v>0</v>
      </c>
      <c r="R296" t="n">
        <v>0</v>
      </c>
      <c r="S296">
        <f>IFERROR(O296/N296,0)</f>
        <v/>
      </c>
    </row>
    <row r="297">
      <c r="A297">
        <f>Skills!A18</f>
        <v/>
      </c>
      <c r="B297">
        <f>Skills!B18</f>
        <v/>
      </c>
      <c r="C297">
        <f>Inputs!$B$3&gt;=115</f>
        <v/>
      </c>
      <c r="D297">
        <f>IF(Skills!C18=1,60+Inputs!$B$24+Inputs!$B$28,IF(Skills!C18=2,90+Inputs!$B$25+Inputs!$B$28,IF(Skills!C18=3,120+Inputs!$B$26+Inputs!$B$28,MAX(0,(Inputs!$B$3-100)*3)+Inputs!$B$27+Inputs!$B$28)))</f>
        <v/>
      </c>
      <c r="E297">
        <f>INDEX(FactorTable!$B$2:$Y$301, MATCH(ROUND(MIN(300,MAX(1,D297)),0), FactorTable!$A$2:$A$301,0), Skills!M18+1)</f>
        <v/>
      </c>
      <c r="F297">
        <f>IF(Skills!N18=TRUE,(Skills!L18/10)*(E297/1000),Skills!L18/10)+Skills!O18</f>
        <v/>
      </c>
      <c r="G297">
        <f>Skills!G18*IF(Skills!H18&gt;0,Skills!I18/Skills!H18,1)</f>
        <v/>
      </c>
      <c r="H297">
        <f>1-(1-Skills!J18/100)^Skills!K18</f>
        <v/>
      </c>
      <c r="I297" t="inlineStr">
        <is>
          <t>1</t>
        </is>
      </c>
      <c r="J297" t="inlineStr"/>
      <c r="K297" t="inlineStr"/>
      <c r="L297" t="inlineStr"/>
      <c r="M297" t="inlineStr"/>
      <c r="N297" t="inlineStr"/>
      <c r="O297" t="n">
        <v>0</v>
      </c>
      <c r="P297">
        <f>IF(B317=0,0,O297/B317)</f>
        <v/>
      </c>
      <c r="Q297" t="n">
        <v>0</v>
      </c>
      <c r="R297" t="n">
        <v>0</v>
      </c>
      <c r="S297">
        <f>IFERROR(O297/N297,0)</f>
        <v/>
      </c>
    </row>
    <row r="298">
      <c r="A298">
        <f>Skills!A19</f>
        <v/>
      </c>
      <c r="B298">
        <f>Skills!B19</f>
        <v/>
      </c>
      <c r="C298">
        <f>Inputs!$B$3&gt;=15</f>
        <v/>
      </c>
      <c r="D298">
        <f>IF(Skills!C19=1,60+Inputs!$B$24+Inputs!$B$28,IF(Skills!C19=2,90+Inputs!$B$25+Inputs!$B$28,IF(Skills!C19=3,120+Inputs!$B$26+Inputs!$B$28,MAX(0,(Inputs!$B$3-100)*3)+Inputs!$B$27+Inputs!$B$28)))</f>
        <v/>
      </c>
      <c r="E298">
        <f>INDEX(FactorTable!$B$2:$Y$301, MATCH(ROUND(MIN(300,MAX(1,D298)),0), FactorTable!$A$2:$A$301,0), Skills!M19+1)</f>
        <v/>
      </c>
      <c r="F298">
        <f>IF(Skills!N19=TRUE,(Skills!L19/10)*(E298/1000),Skills!L19/10)+Skills!O19</f>
        <v/>
      </c>
      <c r="G298">
        <f>Skills!G19*IF(Skills!H19&gt;0,Skills!I19/Skills!H19,1)</f>
        <v/>
      </c>
      <c r="H298">
        <f>1-(1-Skills!J19/100)^Skills!K19</f>
        <v/>
      </c>
      <c r="I298" t="inlineStr">
        <is>
          <t>1</t>
        </is>
      </c>
      <c r="J298" t="inlineStr"/>
      <c r="K298" t="inlineStr"/>
      <c r="L298" t="inlineStr"/>
      <c r="M298" t="inlineStr"/>
      <c r="N298" t="inlineStr"/>
      <c r="O298" t="n">
        <v>0</v>
      </c>
      <c r="P298">
        <f>IF(B317=0,0,O298/B317)</f>
        <v/>
      </c>
      <c r="Q298" t="n">
        <v>0</v>
      </c>
      <c r="R298" t="n">
        <v>0</v>
      </c>
      <c r="S298">
        <f>IFERROR(O298/N298,0)</f>
        <v/>
      </c>
    </row>
    <row r="299">
      <c r="A299">
        <f>Skills!A20</f>
        <v/>
      </c>
      <c r="B299">
        <f>Skills!B20</f>
        <v/>
      </c>
      <c r="C299">
        <f>Inputs!$B$3&gt;=10</f>
        <v/>
      </c>
      <c r="D299">
        <f>IF(Skills!C20=1,60+Inputs!$B$24+Inputs!$B$28,IF(Skills!C20=2,90+Inputs!$B$25+Inputs!$B$28,IF(Skills!C20=3,120+Inputs!$B$26+Inputs!$B$28,MAX(0,(Inputs!$B$3-100)*3)+Inputs!$B$27+Inputs!$B$28)))</f>
        <v/>
      </c>
      <c r="E299">
        <f>INDEX(FactorTable!$B$2:$Y$301, MATCH(ROUND(MIN(300,MAX(1,D299)),0), FactorTable!$A$2:$A$301,0), Skills!M20+1)</f>
        <v/>
      </c>
      <c r="F299">
        <f>IF(Skills!N20=TRUE,(Skills!L20/10)*(E299/1000),Skills!L20/10)+Skills!O20</f>
        <v/>
      </c>
      <c r="G299">
        <f>Skills!G20*IF(Skills!H20&gt;0,Skills!I20/Skills!H20,1)</f>
        <v/>
      </c>
      <c r="H299">
        <f>1-(1-Skills!J20/100)^Skills!K20</f>
        <v/>
      </c>
      <c r="I299" t="inlineStr">
        <is>
          <t>1</t>
        </is>
      </c>
      <c r="J299" t="inlineStr"/>
      <c r="K299" t="inlineStr"/>
      <c r="L299" t="inlineStr"/>
      <c r="M299" t="inlineStr"/>
      <c r="N299" t="inlineStr"/>
      <c r="O299" t="n">
        <v>0</v>
      </c>
      <c r="P299">
        <f>IF(B317=0,0,O299/B317)</f>
        <v/>
      </c>
      <c r="Q299" t="n">
        <v>0</v>
      </c>
      <c r="R299" t="n">
        <v>0</v>
      </c>
      <c r="S299">
        <f>IFERROR(O299/N299,0)</f>
        <v/>
      </c>
    </row>
    <row r="300">
      <c r="A300">
        <f>Skills!A21</f>
        <v/>
      </c>
      <c r="B300">
        <f>Skills!B21</f>
        <v/>
      </c>
      <c r="C300">
        <f>Inputs!$B$3&gt;=33</f>
        <v/>
      </c>
      <c r="D300">
        <f>IF(Skills!C21=1,60+Inputs!$B$24+Inputs!$B$28,IF(Skills!C21=2,90+Inputs!$B$25+Inputs!$B$28,IF(Skills!C21=3,120+Inputs!$B$26+Inputs!$B$28,MAX(0,(Inputs!$B$3-100)*3)+Inputs!$B$27+Inputs!$B$28)))</f>
        <v/>
      </c>
      <c r="E300">
        <f>INDEX(FactorTable!$B$2:$Y$301, MATCH(ROUND(MIN(300,MAX(1,D300)),0), FactorTable!$A$2:$A$301,0), Skills!M21+1)</f>
        <v/>
      </c>
      <c r="F300">
        <f>IF(Skills!N21=TRUE,(Skills!L21/10)*(E300/1000),Skills!L21/10)+Skills!O21</f>
        <v/>
      </c>
      <c r="G300">
        <f>Skills!G21*IF(Skills!H21&gt;0,Skills!I21/Skills!H21,1)</f>
        <v/>
      </c>
      <c r="H300">
        <f>1-(1-Skills!J21/100)^Skills!K21</f>
        <v/>
      </c>
      <c r="I300" t="inlineStr">
        <is>
          <t>1</t>
        </is>
      </c>
      <c r="J300" t="inlineStr"/>
      <c r="K300" t="inlineStr"/>
      <c r="L300" t="inlineStr"/>
      <c r="M300" t="inlineStr"/>
      <c r="N300" t="inlineStr"/>
      <c r="O300" t="n">
        <v>0</v>
      </c>
      <c r="P300">
        <f>IF(B317=0,0,O300/B317)</f>
        <v/>
      </c>
      <c r="Q300" t="n">
        <v>0</v>
      </c>
      <c r="R300" t="n">
        <v>0</v>
      </c>
      <c r="S300">
        <f>IFERROR(O300/N300,0)</f>
        <v/>
      </c>
    </row>
    <row r="301">
      <c r="A301">
        <f>Skills!A22</f>
        <v/>
      </c>
      <c r="B301">
        <f>Skills!B22</f>
        <v/>
      </c>
      <c r="C301">
        <f>Inputs!$B$3&gt;=43</f>
        <v/>
      </c>
      <c r="D301">
        <f>IF(Skills!C22=1,60+Inputs!$B$24+Inputs!$B$28,IF(Skills!C22=2,90+Inputs!$B$25+Inputs!$B$28,IF(Skills!C22=3,120+Inputs!$B$26+Inputs!$B$28,MAX(0,(Inputs!$B$3-100)*3)+Inputs!$B$27+Inputs!$B$28)))</f>
        <v/>
      </c>
      <c r="E301">
        <f>INDEX(FactorTable!$B$2:$Y$301, MATCH(ROUND(MIN(300,MAX(1,D301)),0), FactorTable!$A$2:$A$301,0), Skills!M22+1)</f>
        <v/>
      </c>
      <c r="F301">
        <f>IF(Skills!N22=TRUE,(Skills!L22/10)*(E301/1000),Skills!L22/10)+Skills!O22</f>
        <v/>
      </c>
      <c r="G301">
        <f>Skills!G22*IF(Skills!H22&gt;0,Skills!I22/Skills!H22,1)</f>
        <v/>
      </c>
      <c r="H301">
        <f>1-(1-Skills!J22/100)^Skills!K22</f>
        <v/>
      </c>
      <c r="I301" t="inlineStr">
        <is>
          <t>1</t>
        </is>
      </c>
      <c r="J301" t="inlineStr"/>
      <c r="K301" t="inlineStr"/>
      <c r="L301" t="inlineStr"/>
      <c r="M301" t="inlineStr"/>
      <c r="N301" t="inlineStr"/>
      <c r="O301" t="n">
        <v>0</v>
      </c>
      <c r="P301">
        <f>IF(B317=0,0,O301/B317)</f>
        <v/>
      </c>
      <c r="Q301" t="n">
        <v>0</v>
      </c>
      <c r="R301" t="n">
        <v>0</v>
      </c>
      <c r="S301">
        <f>IFERROR(O301/N301,0)</f>
        <v/>
      </c>
    </row>
    <row r="302">
      <c r="A302">
        <f>Skills!A23</f>
        <v/>
      </c>
      <c r="B302">
        <f>Skills!B23</f>
        <v/>
      </c>
      <c r="C302">
        <f>Inputs!$B$3&gt;=38</f>
        <v/>
      </c>
      <c r="D302">
        <f>IF(Skills!C23=1,60+Inputs!$B$24+Inputs!$B$28,IF(Skills!C23=2,90+Inputs!$B$25+Inputs!$B$28,IF(Skills!C23=3,120+Inputs!$B$26+Inputs!$B$28,MAX(0,(Inputs!$B$3-100)*3)+Inputs!$B$27+Inputs!$B$28)))</f>
        <v/>
      </c>
      <c r="E302">
        <f>INDEX(FactorTable!$B$2:$Y$301, MATCH(ROUND(MIN(300,MAX(1,D302)),0), FactorTable!$A$2:$A$301,0), Skills!M23+1)</f>
        <v/>
      </c>
      <c r="F302">
        <f>IF(Skills!N23=TRUE,(Skills!L23/10)*(E302/1000),Skills!L23/10)+Skills!O23</f>
        <v/>
      </c>
      <c r="G302">
        <f>Skills!G23*IF(Skills!H23&gt;0,Skills!I23/Skills!H23,1)</f>
        <v/>
      </c>
      <c r="H302">
        <f>1-(1-Skills!J23/100)^Skills!K23</f>
        <v/>
      </c>
      <c r="I302" t="inlineStr">
        <is>
          <t>1</t>
        </is>
      </c>
      <c r="J302" t="inlineStr"/>
      <c r="K302" t="inlineStr"/>
      <c r="L302" t="inlineStr"/>
      <c r="M302" t="inlineStr"/>
      <c r="N302" t="inlineStr"/>
      <c r="O302" t="n">
        <v>0</v>
      </c>
      <c r="P302">
        <f>IF(B317=0,0,O302/B317)</f>
        <v/>
      </c>
      <c r="Q302" t="n">
        <v>0</v>
      </c>
      <c r="R302" t="n">
        <v>0</v>
      </c>
      <c r="S302">
        <f>IFERROR(O302/N302,0)</f>
        <v/>
      </c>
    </row>
    <row r="303">
      <c r="A303">
        <f>Skills!A24</f>
        <v/>
      </c>
      <c r="B303">
        <f>Skills!B24</f>
        <v/>
      </c>
      <c r="C303">
        <f>Inputs!$B$3&gt;=40</f>
        <v/>
      </c>
      <c r="D303">
        <f>IF(Skills!C24=1,60+Inputs!$B$24+Inputs!$B$28,IF(Skills!C24=2,90+Inputs!$B$25+Inputs!$B$28,IF(Skills!C24=3,120+Inputs!$B$26+Inputs!$B$28,MAX(0,(Inputs!$B$3-100)*3)+Inputs!$B$27+Inputs!$B$28)))</f>
        <v/>
      </c>
      <c r="E303">
        <f>INDEX(FactorTable!$B$2:$Y$301, MATCH(ROUND(MIN(300,MAX(1,D303)),0), FactorTable!$A$2:$A$301,0), Skills!M24+1)</f>
        <v/>
      </c>
      <c r="F303">
        <f>IF(Skills!N24=TRUE,(Skills!L24/10)*(E303/1000),Skills!L24/10)+Skills!O24</f>
        <v/>
      </c>
      <c r="G303">
        <f>Skills!G24*IF(Skills!H24&gt;0,Skills!I24/Skills!H24,1)</f>
        <v/>
      </c>
      <c r="H303">
        <f>1-(1-Skills!J24/100)^Skills!K24</f>
        <v/>
      </c>
      <c r="I303" t="inlineStr">
        <is>
          <t>1</t>
        </is>
      </c>
      <c r="J303" t="inlineStr"/>
      <c r="K303" t="inlineStr"/>
      <c r="L303" t="inlineStr"/>
      <c r="M303" t="inlineStr"/>
      <c r="N303" t="inlineStr"/>
      <c r="O303" t="n">
        <v>0</v>
      </c>
      <c r="P303">
        <f>IF(B317=0,0,O303/B317)</f>
        <v/>
      </c>
      <c r="Q303" t="n">
        <v>0</v>
      </c>
      <c r="R303" t="n">
        <v>0</v>
      </c>
      <c r="S303">
        <f>IFERROR(O303/N303,0)</f>
        <v/>
      </c>
    </row>
    <row r="304">
      <c r="A304">
        <f>Skills!A25</f>
        <v/>
      </c>
      <c r="B304">
        <f>Skills!B25</f>
        <v/>
      </c>
      <c r="C304">
        <f>Inputs!$B$3&gt;=72</f>
        <v/>
      </c>
      <c r="D304">
        <f>IF(Skills!C25=1,60+Inputs!$B$24+Inputs!$B$28,IF(Skills!C25=2,90+Inputs!$B$25+Inputs!$B$28,IF(Skills!C25=3,120+Inputs!$B$26+Inputs!$B$28,MAX(0,(Inputs!$B$3-100)*3)+Inputs!$B$27+Inputs!$B$28)))</f>
        <v/>
      </c>
      <c r="E304">
        <f>INDEX(FactorTable!$B$2:$Y$301, MATCH(ROUND(MIN(300,MAX(1,D304)),0), FactorTable!$A$2:$A$301,0), Skills!M25+1)</f>
        <v/>
      </c>
      <c r="F304">
        <f>IF(Skills!N25=TRUE,(Skills!L25/10)*(E304/1000),Skills!L25/10)+Skills!O25</f>
        <v/>
      </c>
      <c r="G304">
        <f>Skills!G25*IF(Skills!H25&gt;0,Skills!I25/Skills!H25,1)</f>
        <v/>
      </c>
      <c r="H304">
        <f>1-(1-Skills!J25/100)^Skills!K25</f>
        <v/>
      </c>
      <c r="I304" t="inlineStr">
        <is>
          <t>1</t>
        </is>
      </c>
      <c r="J304" t="inlineStr"/>
      <c r="K304" t="inlineStr"/>
      <c r="L304" t="inlineStr"/>
      <c r="M304" t="inlineStr"/>
      <c r="N304" t="inlineStr"/>
      <c r="O304" t="n">
        <v>0</v>
      </c>
      <c r="P304">
        <f>IF(B317=0,0,O304/B317)</f>
        <v/>
      </c>
      <c r="Q304" t="n">
        <v>0</v>
      </c>
      <c r="R304" t="n">
        <v>0</v>
      </c>
      <c r="S304">
        <f>IFERROR(O304/N304,0)</f>
        <v/>
      </c>
    </row>
    <row r="305">
      <c r="A305">
        <f>Skills!A26</f>
        <v/>
      </c>
      <c r="B305">
        <f>Skills!B26</f>
        <v/>
      </c>
      <c r="C305">
        <f>Inputs!$B$3&gt;=75</f>
        <v/>
      </c>
      <c r="D305">
        <f>IF(Skills!C26=1,60+Inputs!$B$24+Inputs!$B$28,IF(Skills!C26=2,90+Inputs!$B$25+Inputs!$B$28,IF(Skills!C26=3,120+Inputs!$B$26+Inputs!$B$28,MAX(0,(Inputs!$B$3-100)*3)+Inputs!$B$27+Inputs!$B$28)))</f>
        <v/>
      </c>
      <c r="E305">
        <f>INDEX(FactorTable!$B$2:$Y$301, MATCH(ROUND(MIN(300,MAX(1,D305)),0), FactorTable!$A$2:$A$301,0), Skills!M26+1)</f>
        <v/>
      </c>
      <c r="F305">
        <f>IF(Skills!N26=TRUE,(Skills!L26/10)*(E305/1000),Skills!L26/10)+Skills!O26</f>
        <v/>
      </c>
      <c r="G305">
        <f>Skills!G26*IF(Skills!H26&gt;0,Skills!I26/Skills!H26,1)</f>
        <v/>
      </c>
      <c r="H305">
        <f>1-(1-Skills!J26/100)^Skills!K26</f>
        <v/>
      </c>
      <c r="I305" t="inlineStr">
        <is>
          <t>1</t>
        </is>
      </c>
      <c r="J305" t="inlineStr"/>
      <c r="K305" t="inlineStr"/>
      <c r="L305" t="inlineStr"/>
      <c r="M305" t="inlineStr"/>
      <c r="N305" t="inlineStr"/>
      <c r="O305" t="n">
        <v>0</v>
      </c>
      <c r="P305">
        <f>IF(B317=0,0,O305/B317)</f>
        <v/>
      </c>
      <c r="Q305" t="n">
        <v>0</v>
      </c>
      <c r="R305" t="n">
        <v>0</v>
      </c>
      <c r="S305">
        <f>IFERROR(O305/N305,0)</f>
        <v/>
      </c>
    </row>
    <row r="306">
      <c r="A306">
        <f>Skills!A27</f>
        <v/>
      </c>
      <c r="B306">
        <f>Skills!B27</f>
        <v/>
      </c>
      <c r="C306">
        <f>Inputs!$B$3&gt;=117</f>
        <v/>
      </c>
      <c r="D306">
        <f>IF(Skills!C27=1,60+Inputs!$B$24+Inputs!$B$28,IF(Skills!C27=2,90+Inputs!$B$25+Inputs!$B$28,IF(Skills!C27=3,120+Inputs!$B$26+Inputs!$B$28,MAX(0,(Inputs!$B$3-100)*3)+Inputs!$B$27+Inputs!$B$28)))</f>
        <v/>
      </c>
      <c r="E306">
        <f>INDEX(FactorTable!$B$2:$Y$301, MATCH(ROUND(MIN(300,MAX(1,D306)),0), FactorTable!$A$2:$A$301,0), Skills!M27+1)</f>
        <v/>
      </c>
      <c r="F306">
        <f>IF(Skills!N27=TRUE,(Skills!L27/10)*(E306/1000),Skills!L27/10)+Skills!O27</f>
        <v/>
      </c>
      <c r="G306">
        <f>Skills!G27*IF(Skills!H27&gt;0,Skills!I27/Skills!H27,1)</f>
        <v/>
      </c>
      <c r="H306">
        <f>1-(1-Skills!J27/100)^Skills!K27</f>
        <v/>
      </c>
      <c r="I306" t="inlineStr">
        <is>
          <t>1</t>
        </is>
      </c>
      <c r="J306" t="inlineStr"/>
      <c r="K306" t="inlineStr"/>
      <c r="L306" t="inlineStr"/>
      <c r="M306" t="inlineStr"/>
      <c r="N306" t="inlineStr"/>
      <c r="O306" t="n">
        <v>0</v>
      </c>
      <c r="P306">
        <f>IF(B317=0,0,O306/B317)</f>
        <v/>
      </c>
      <c r="Q306" t="n">
        <v>0</v>
      </c>
      <c r="R306" t="n">
        <v>0</v>
      </c>
      <c r="S306">
        <f>IFERROR(O306/N306,0)</f>
        <v/>
      </c>
    </row>
    <row r="308">
      <c r="A308" t="inlineStr">
        <is>
          <t>Attack% Bucket Multiplier</t>
        </is>
      </c>
      <c r="B308">
        <f>(1+(((C296=TRUE)*F296)+((C303=TRUE)*(F303-Calc!F24)))/100)</f>
        <v/>
      </c>
    </row>
    <row r="309">
      <c r="A309" t="inlineStr">
        <is>
          <t>Global Crit Rate Bonus %</t>
        </is>
      </c>
      <c r="B309" t="n">
        <v>0</v>
      </c>
    </row>
    <row r="310">
      <c r="A310" t="inlineStr">
        <is>
          <t>Attack Speed Buff Bonus % (unused)</t>
        </is>
      </c>
      <c r="B310" t="n">
        <v>0</v>
      </c>
    </row>
    <row r="311">
      <c r="A311" t="inlineStr">
        <is>
          <t>Actions Per Second</t>
        </is>
      </c>
      <c r="B311">
        <f>1+MIN(150,150*(1-(1-(Inputs!$B$10+((C299=TRUE)*(F299-Calc!F20))+((C300=TRUE)*(F300-Calc!F21)))/150)*(1-B310/150)))/100</f>
        <v/>
      </c>
    </row>
    <row r="312">
      <c r="A312" t="inlineStr">
        <is>
          <t>Skill + Buff Cast Rate</t>
        </is>
      </c>
      <c r="B312">
        <f>IF(AND(Inputs!$B$4&lt;&gt;"pvp",Inputs!$B$35&gt;0),SUMPRODUCT((Skills!E2:E27=TRUE)*(C281:C306=TRUE)*R281:R306*Skills!F2:F27)/Inputs!$B$35,SUMPRODUCT((Skills!E2:E27=TRUE)*(C281:C306=TRUE)*Q281:Q306*Skills!F2:F27))</f>
        <v/>
      </c>
    </row>
    <row r="313">
      <c r="A313" t="inlineStr">
        <is>
          <t>Eight-Legs Easton Casts Per Second</t>
        </is>
      </c>
      <c r="B313">
        <f>MAX(0,B311-B312)</f>
        <v/>
      </c>
    </row>
    <row r="314">
      <c r="A314" t="inlineStr">
        <is>
          <t>Global Critical Damage Bonus % (unused)</t>
        </is>
      </c>
      <c r="B314" t="n">
        <v>0</v>
      </c>
    </row>
    <row r="315">
      <c r="A315" t="inlineStr">
        <is>
          <t>Global Final Damage Bonus % (Jolly Roger only)</t>
        </is>
      </c>
      <c r="B315">
        <f>((C297=TRUE)*F297)</f>
        <v/>
      </c>
    </row>
    <row r="317">
      <c r="A317" s="5" t="inlineStr">
        <is>
          <t>TOTAL DPS</t>
        </is>
      </c>
      <c r="B317" s="5">
        <f>SUM(O281:O306)</f>
        <v/>
      </c>
    </row>
    <row r="320">
      <c r="A320" s="5" t="inlineStr">
        <is>
          <t>Stat: FINAL_DAMAGE % (multiplicative source)</t>
        </is>
      </c>
    </row>
    <row r="321">
      <c r="A321" s="8" t="inlineStr">
        <is>
          <t>Key</t>
        </is>
      </c>
      <c r="B321" s="8" t="inlineStr">
        <is>
          <t>Name</t>
        </is>
      </c>
      <c r="C321" s="8" t="inlineStr">
        <is>
          <t>Unlocked</t>
        </is>
      </c>
      <c r="D321" s="8" t="inlineStr">
        <is>
          <t>InputLevel</t>
        </is>
      </c>
      <c r="E321" s="8" t="inlineStr">
        <is>
          <t>Factor</t>
        </is>
      </c>
      <c r="F321" s="8" t="inlineStr">
        <is>
          <t>CoefficientPercent</t>
        </is>
      </c>
      <c r="G321" s="8" t="inlineStr">
        <is>
          <t>EffectiveHits</t>
        </is>
      </c>
      <c r="H321" s="8" t="inlineStr">
        <is>
          <t>ProcProbability</t>
        </is>
      </c>
      <c r="I321" s="8" t="inlineStr">
        <is>
          <t>MapleHeroMultiplier</t>
        </is>
      </c>
      <c r="J321" s="8" t="inlineStr">
        <is>
          <t>BaseDamage</t>
        </is>
      </c>
      <c r="K321" s="8" t="inlineStr">
        <is>
          <t>BaseHitDamage</t>
        </is>
      </c>
      <c r="L321" s="8" t="inlineStr">
        <is>
          <t>NonCritAvg</t>
        </is>
      </c>
      <c r="M321" s="8" t="inlineStr">
        <is>
          <t>CritAvg</t>
        </is>
      </c>
      <c r="N321" s="8" t="inlineStr">
        <is>
          <t>ExpectedDamage(perHit)</t>
        </is>
      </c>
      <c r="O321" s="8" t="inlineStr">
        <is>
          <t>DPS</t>
        </is>
      </c>
      <c r="P321" s="8" t="inlineStr">
        <is>
          <t>% of Total</t>
        </is>
      </c>
      <c r="Q321" s="8" t="inlineStr">
        <is>
          <t>InvCooldown</t>
        </is>
      </c>
      <c r="R321" s="8" t="inlineStr">
        <is>
          <t>CastsInFight</t>
        </is>
      </c>
      <c r="S321" s="8" t="inlineStr">
        <is>
          <t>HitRate(perSec)</t>
        </is>
      </c>
      <c r="U321" t="inlineStr">
        <is>
          <t>helpers</t>
        </is>
      </c>
    </row>
    <row r="322">
      <c r="A322">
        <f>Skills!A2</f>
        <v/>
      </c>
      <c r="B322">
        <f>Skills!B2</f>
        <v/>
      </c>
      <c r="C322">
        <f>Inputs!$B$3&gt;=100</f>
        <v/>
      </c>
      <c r="D322" t="inlineStr"/>
      <c r="E322" t="inlineStr"/>
      <c r="F322">
        <f>U324+Skills!O2</f>
        <v/>
      </c>
      <c r="G322">
        <f>Skills!G2*IF(Skills!H2&gt;0,Skills!I2/Skills!H2,1)</f>
        <v/>
      </c>
      <c r="H322">
        <f>1-(1-Skills!J2/100)^Skills!K2</f>
        <v/>
      </c>
      <c r="I322" t="inlineStr">
        <is>
          <t>1</t>
        </is>
      </c>
      <c r="J322">
        <f>(Inputs!$B$5*(1+Inputs!$B$6/100))*(F322/100)</f>
        <v/>
      </c>
      <c r="K322">
        <f>J322*(1+((Inputs!$B$11*(1+Inputs!$B$12/100))*0.01+Inputs!$B$13*0.0025)/100)*(1+Inputs!$B$14/100)*(1+IF(Inputs!$B$4="pvp",0,(1-Summary!$B$55)*(Inputs!$B$19+0+Skills!P2)+Summary!$B$55*(Inputs!$B$20+Skills!Q2))/100)*(1+Inputs!$B$15/100)*(5000/(6000+Inputs!$B$7*(1-(Inputs!$B$18+0)/100)))*(1+(((((1+Inputs!$B$23/100)*(1.01))-1)*100)+((C346=TRUE)*(F346-Calc!F26))+B356)/100)*(1+(IF(Skills!A2="EIGHT_LEGS_EASTON",Inputs!$B$16+((C343=TRUE)*(F343-Calc!F23))+((C347=TRUE)*(F347-Calc!F27)),Inputs!$B$17+0))/100)*((1+(((C337=TRUE)*F337)+((C344=TRUE)*(F344-Calc!F24)))/100)*I322)</f>
        <v/>
      </c>
      <c r="L322">
        <f>K322*(MIN(Inputs!$B$21+((C342=TRUE)*(F342-Calc!F22)),Inputs!$B$22+0)/100+(Inputs!$B$22+0)/100)/2</f>
        <v/>
      </c>
      <c r="M322">
        <f>L322*(1+(Inputs!$B$9+((C345=TRUE)*(F345-Calc!F25))+B355)/100)</f>
        <v/>
      </c>
      <c r="N322">
        <f>L322*(1-MIN((Inputs!$B$8+((C339=TRUE)*(F339-Calc!F19))+B350),100)/100)+M322*(MIN((Inputs!$B$8+((C339=TRUE)*(F339-Calc!F19))+B350),100)/100)</f>
        <v/>
      </c>
      <c r="O322">
        <f>IF(C322,Skills!G2*N322*B354*IF(Inputs!$B$4="pvp",1,(1-Summary!$B$55)*(1)+Summary!$B$55*(MIN((6+Inputs!$B$32),Inputs!$B$37))),0)</f>
        <v/>
      </c>
      <c r="P322">
        <f>IF(B358=0,0,O322/B358)</f>
        <v/>
      </c>
      <c r="Q322" t="n">
        <v>0</v>
      </c>
      <c r="R322" t="n">
        <v>0</v>
      </c>
      <c r="S322">
        <f>IFERROR(O322/N322,0)</f>
        <v/>
      </c>
      <c r="U322">
        <f>MAX(0,(Inputs!$B$3-100)*3)+Inputs!$B$27+Inputs!$B$28</f>
        <v/>
      </c>
    </row>
    <row r="323">
      <c r="A323">
        <f>Skills!A3</f>
        <v/>
      </c>
      <c r="B323">
        <f>Skills!B3</f>
        <v/>
      </c>
      <c r="C323">
        <f>Inputs!$B$3&gt;=35</f>
        <v/>
      </c>
      <c r="D323">
        <f>IF(Skills!C3=1,60+Inputs!$B$24+Inputs!$B$28,IF(Skills!C3=2,90+Inputs!$B$25+Inputs!$B$28,IF(Skills!C3=3,120+Inputs!$B$26+Inputs!$B$28,MAX(0,(Inputs!$B$3-100)*3)+Inputs!$B$27+Inputs!$B$28)))</f>
        <v/>
      </c>
      <c r="E323">
        <f>INDEX(FactorTable!$B$2:$Y$301, MATCH(ROUND(MIN(300,MAX(1,D323)),0), FactorTable!$A$2:$A$301,0), Skills!M3+1)</f>
        <v/>
      </c>
      <c r="F323">
        <f>IF(Skills!N3=TRUE,(Skills!L3/10)*(E323/1000),Skills!L3/10)+Skills!O3</f>
        <v/>
      </c>
      <c r="G323">
        <f>Skills!G3*IF(Skills!H3&gt;0,Skills!I3/Skills!H3,1)</f>
        <v/>
      </c>
      <c r="H323">
        <f>1-(1-Skills!J3/100)^Skills!K3</f>
        <v/>
      </c>
      <c r="I323" t="inlineStr">
        <is>
          <t>1</t>
        </is>
      </c>
      <c r="J323">
        <f>(Inputs!$B$5*(1+Inputs!$B$6/100))*(F323/100)</f>
        <v/>
      </c>
      <c r="K323">
        <f>J323*(1+((Inputs!$B$11*(1+Inputs!$B$12/100))*0.01+Inputs!$B$13*0.0025)/100)*(1+Inputs!$B$14/100)*(1+IF(Inputs!$B$4="pvp",0,(1-Summary!$B$55)*(Inputs!$B$19+0+Skills!P3)+Summary!$B$55*(Inputs!$B$20+Skills!Q3))/100)*(1+Inputs!$B$15/100)*(5000/(6000+Inputs!$B$7*(1-(Inputs!$B$18+0)/100)))*(1+(((((1+Inputs!$B$23/100)*(1.01))-1)*100)+((C346=TRUE)*(F346-Calc!F26))+B356)/100)*(1+4.0*IF(C335=TRUE,F335,0)/100)*(1+(IF(Skills!A3="EIGHT_LEGS_EASTON",Inputs!$B$16+((C343=TRUE)*(F343-Calc!F23))+((C347=TRUE)*(F347-Calc!F27)),Inputs!$B$17+0))/100)*((1+(((C337=TRUE)*F337)+((C344=TRUE)*(F344-Calc!F24)))/100)*I323)</f>
        <v/>
      </c>
      <c r="L323">
        <f>K323*(MIN(Inputs!$B$21+((C342=TRUE)*(F342-Calc!F22)),Inputs!$B$22+0)/100+(Inputs!$B$22+0)/100)/2</f>
        <v/>
      </c>
      <c r="M323">
        <f>L323*(1+(Inputs!$B$9+((C345=TRUE)*(F345-Calc!F25))+B355)/100)</f>
        <v/>
      </c>
      <c r="N323">
        <f>L323*(1-MIN((Inputs!$B$8+((C339=TRUE)*(F339-Calc!F19))+B350),100)/100)+M323*(MIN((Inputs!$B$8+((C339=TRUE)*(F339-Calc!F19))+B350),100)/100)</f>
        <v/>
      </c>
      <c r="O323">
        <f>IF(C323,H323*N323*IF(AND(Inputs!$B$4&lt;&gt;"pvp",Inputs!$B$35&gt;0),((Skills!G3*((R323-1)*IF(Skills!H3&gt;0,Skills!I3/Skills!H3,1)+IF(Skills!H3&gt;0,MIN(Skills!I3,MAX(0,Inputs!$B$35-((R323-1)*IF(Inputs!$B$4="pvp",15,MAX(0.1,Skills!D3-IF(Skills!E3=TRUE,Inputs!$B$31,0))))))/Skills!H3,1)))/Inputs!$B$35),G323*Q323)*IF(Inputs!$B$4="pvp",1,(1-Summary!$B$55)*(1)+Summary!$B$55*(MIN(Skills!R3,Inputs!$B$37))),0)</f>
        <v/>
      </c>
      <c r="P323">
        <f>IF(B358=0,0,O323/B358)</f>
        <v/>
      </c>
      <c r="Q323">
        <f>IFERROR(1/IF(Inputs!$B$4="pvp",15,MAX(0.1,Skills!D3-IF(Skills!E3=TRUE,Inputs!$B$31,0))),0)</f>
        <v/>
      </c>
      <c r="R323">
        <f>IF(AND(Inputs!$B$4&lt;&gt;"pvp",Inputs!$B$35&gt;0),(INT(Inputs!$B$35/IF(Inputs!$B$4="pvp",15,MAX(0.1,Skills!D3-IF(Skills!E3=TRUE,Inputs!$B$31,0))))+1),0)</f>
        <v/>
      </c>
      <c r="S323">
        <f>IFERROR(O323/N323,0)</f>
        <v/>
      </c>
      <c r="U323">
        <f>INDEX(FactorTable!$B$2:$Y$301, MATCH(ROUND(MIN(300,MAX(1,U322)),0), FactorTable!$A$2:$A$301,0), 22)</f>
        <v/>
      </c>
    </row>
    <row r="324">
      <c r="A324">
        <f>Skills!A4</f>
        <v/>
      </c>
      <c r="B324">
        <f>Skills!B4</f>
        <v/>
      </c>
      <c r="C324">
        <f>Inputs!$B$3&gt;=40</f>
        <v/>
      </c>
      <c r="D324">
        <f>IF(Skills!C4=1,60+Inputs!$B$24+Inputs!$B$28,IF(Skills!C4=2,90+Inputs!$B$25+Inputs!$B$28,IF(Skills!C4=3,120+Inputs!$B$26+Inputs!$B$28,MAX(0,(Inputs!$B$3-100)*3)+Inputs!$B$27+Inputs!$B$28)))</f>
        <v/>
      </c>
      <c r="E324">
        <f>INDEX(FactorTable!$B$2:$Y$301, MATCH(ROUND(MIN(300,MAX(1,D324)),0), FactorTable!$A$2:$A$301,0), Skills!M4+1)</f>
        <v/>
      </c>
      <c r="F324">
        <f>IF(Skills!N4=TRUE,(Skills!L4/10)*(E324/1000),Skills!L4/10)+Skills!O4</f>
        <v/>
      </c>
      <c r="G324">
        <f>Skills!G4*IF(Skills!H4&gt;0,Skills!I4/Skills!H4,1)</f>
        <v/>
      </c>
      <c r="H324">
        <f>1-(1-Skills!J4/100)^Skills!K4</f>
        <v/>
      </c>
      <c r="I324" t="inlineStr">
        <is>
          <t>1</t>
        </is>
      </c>
      <c r="J324">
        <f>(Inputs!$B$5*(1+Inputs!$B$6/100))*(F324/100)</f>
        <v/>
      </c>
      <c r="K324">
        <f>J324*(1+((Inputs!$B$11*(1+Inputs!$B$12/100))*0.01+Inputs!$B$13*0.0025)/100)*(1+Inputs!$B$14/100)*(1+IF(Inputs!$B$4="pvp",0,(1-Summary!$B$55)*(Inputs!$B$19+0+Skills!P4)+Summary!$B$55*(Inputs!$B$20+Skills!Q4))/100)*(1+Inputs!$B$15/100)*(5000/(6000+Inputs!$B$7*(1-(Inputs!$B$18+0)/100)))*(1+(((((1+Inputs!$B$23/100)*(1.01))-1)*100)+((C346=TRUE)*(F346-Calc!F26))+B356)/100)*(1+1.0*IF(C336=TRUE,F336,0)/100)*(1+(IF(Skills!A4="EIGHT_LEGS_EASTON",Inputs!$B$16+((C343=TRUE)*(F343-Calc!F23))+((C347=TRUE)*(F347-Calc!F27)),Inputs!$B$17+0))/100)*((1+(((C337=TRUE)*F337)+((C344=TRUE)*(F344-Calc!F24)))/100)*I324)</f>
        <v/>
      </c>
      <c r="L324">
        <f>K324*(MIN(Inputs!$B$21+((C342=TRUE)*(F342-Calc!F22)),Inputs!$B$22+0)/100+(Inputs!$B$22+0)/100)/2</f>
        <v/>
      </c>
      <c r="M324">
        <f>L324*(1+(Inputs!$B$9+((C345=TRUE)*(F345-Calc!F25))+B355)/100)</f>
        <v/>
      </c>
      <c r="N324">
        <f>L324*(1-MIN((Inputs!$B$8+((C339=TRUE)*(F339-Calc!F19))+B350),100)/100)+M324*(MIN((Inputs!$B$8+((C339=TRUE)*(F339-Calc!F19))+B350),100)/100)</f>
        <v/>
      </c>
      <c r="O324">
        <f>IF(C324,H324*N324*IF(AND(Inputs!$B$4&lt;&gt;"pvp",Inputs!$B$35&gt;0),((Skills!G4*((R324-1)*IF(Skills!H4&gt;0,Skills!I4/Skills!H4,1)+IF(Skills!H4&gt;0,MIN(Skills!I4,MAX(0,Inputs!$B$35-((R324-1)*IF(Inputs!$B$4="pvp",15,MAX(0.1,Skills!D4-IF(Skills!E4=TRUE,Inputs!$B$31,0))))))/Skills!H4,1)))/Inputs!$B$35),G324*Q324)*IF(Inputs!$B$4="pvp",1,(1-Summary!$B$55)*(1)+Summary!$B$55*(MIN(Skills!R4,Inputs!$B$37))),0)</f>
        <v/>
      </c>
      <c r="P324">
        <f>IF(B358=0,0,O324/B358)</f>
        <v/>
      </c>
      <c r="Q324">
        <f>IFERROR(1/IF(Inputs!$B$4="pvp",15,MAX(0.1,Skills!D4-IF(Skills!E4=TRUE,Inputs!$B$31,0))),0)</f>
        <v/>
      </c>
      <c r="R324">
        <f>IF(AND(Inputs!$B$4&lt;&gt;"pvp",Inputs!$B$35&gt;0),(INT(Inputs!$B$35/IF(Inputs!$B$4="pvp",15,MAX(0.1,Skills!D4-IF(Skills!E4=TRUE,Inputs!$B$31,0))))+1),0)</f>
        <v/>
      </c>
      <c r="S324">
        <f>IFERROR(O324/N324,0)</f>
        <v/>
      </c>
      <c r="U324">
        <f>290*U323/1000</f>
        <v/>
      </c>
    </row>
    <row r="325">
      <c r="A325">
        <f>Skills!A5</f>
        <v/>
      </c>
      <c r="B325">
        <f>Skills!B5</f>
        <v/>
      </c>
      <c r="C325">
        <f>Inputs!$B$3&gt;=45</f>
        <v/>
      </c>
      <c r="D325">
        <f>IF(Skills!C5=1,60+Inputs!$B$24+Inputs!$B$28,IF(Skills!C5=2,90+Inputs!$B$25+Inputs!$B$28,IF(Skills!C5=3,120+Inputs!$B$26+Inputs!$B$28,MAX(0,(Inputs!$B$3-100)*3)+Inputs!$B$27+Inputs!$B$28)))</f>
        <v/>
      </c>
      <c r="E325">
        <f>INDEX(FactorTable!$B$2:$Y$301, MATCH(ROUND(MIN(300,MAX(1,D325)),0), FactorTable!$A$2:$A$301,0), Skills!M5+1)</f>
        <v/>
      </c>
      <c r="F325">
        <f>IF(Skills!N5=TRUE,(Skills!L5/10)*(E325/1000),Skills!L5/10)+Skills!O5</f>
        <v/>
      </c>
      <c r="G325">
        <f>Skills!G5*IF(Skills!H5&gt;0,Skills!I5/Skills!H5,1)</f>
        <v/>
      </c>
      <c r="H325">
        <f>1-(1-Skills!J5/100)^Skills!K5</f>
        <v/>
      </c>
      <c r="I325" t="inlineStr">
        <is>
          <t>1</t>
        </is>
      </c>
      <c r="J325">
        <f>(Inputs!$B$5*(1+Inputs!$B$6/100))*(F325/100)</f>
        <v/>
      </c>
      <c r="K325">
        <f>J325*(1+((Inputs!$B$11*(1+Inputs!$B$12/100))*0.01+Inputs!$B$13*0.0025)/100)*(1+Inputs!$B$14/100)*(1+IF(Inputs!$B$4="pvp",0,(1-Summary!$B$55)*(Inputs!$B$19+0+Skills!P5)+Summary!$B$55*(Inputs!$B$20+Skills!Q5))/100)*(1+Inputs!$B$15/100)*(5000/(6000+Inputs!$B$7*(1-(Inputs!$B$18+0)/100)))*(1+(((((1+Inputs!$B$23/100)*(1.01))-1)*100)+((C346=TRUE)*(F346-Calc!F26))+B356)/100)*(1+0.4*IF(C336=TRUE,F336,0)/100)*(1+(IF(Skills!A5="EIGHT_LEGS_EASTON",Inputs!$B$16+((C343=TRUE)*(F343-Calc!F23))+((C347=TRUE)*(F347-Calc!F27)),Inputs!$B$17+0))/100)*((1+(((C337=TRUE)*F337)+((C344=TRUE)*(F344-Calc!F24)))/100)*I325)</f>
        <v/>
      </c>
      <c r="L325">
        <f>K325*(MIN(Inputs!$B$21+((C342=TRUE)*(F342-Calc!F22)),Inputs!$B$22+0)/100+(Inputs!$B$22+0)/100)/2</f>
        <v/>
      </c>
      <c r="M325">
        <f>L325*(1+(Inputs!$B$9+((C345=TRUE)*(F345-Calc!F25))+B355)/100)</f>
        <v/>
      </c>
      <c r="N325">
        <f>L325*(1-MIN((Inputs!$B$8+((C339=TRUE)*(F339-Calc!F19))+B350),100)/100)+M325*(MIN((Inputs!$B$8+((C339=TRUE)*(F339-Calc!F19))+B350),100)/100)</f>
        <v/>
      </c>
      <c r="O325">
        <f>IF(C325,H325*N325*IF(AND(Inputs!$B$4&lt;&gt;"pvp",Inputs!$B$35&gt;0),((Skills!G5*((R325-1)*IF(Skills!H5&gt;0,Skills!I5/Skills!H5,1)+IF(Skills!H5&gt;0,MIN(Skills!I5,MAX(0,Inputs!$B$35-((R325-1)*IF(Inputs!$B$4="pvp",15,MAX(0.1,Skills!D5-IF(Skills!E5=TRUE,Inputs!$B$31,0))))))/Skills!H5,1)))/Inputs!$B$35),G325*Q325)*IF(Inputs!$B$4="pvp",1,(1-Summary!$B$55)*(1)+Summary!$B$55*(MIN(Skills!R5,Inputs!$B$37))),0)</f>
        <v/>
      </c>
      <c r="P325">
        <f>IF(B358=0,0,O325/B358)</f>
        <v/>
      </c>
      <c r="Q325">
        <f>IFERROR(1/IF(Inputs!$B$4="pvp",15,MAX(0.1,Skills!D5-IF(Skills!E5=TRUE,Inputs!$B$31,0))),0)</f>
        <v/>
      </c>
      <c r="R325">
        <f>IF(AND(Inputs!$B$4&lt;&gt;"pvp",Inputs!$B$35&gt;0),(INT(Inputs!$B$35/IF(Inputs!$B$4="pvp",15,MAX(0.1,Skills!D5-IF(Skills!E5=TRUE,Inputs!$B$31,0))))+1),0)</f>
        <v/>
      </c>
      <c r="S325">
        <f>IFERROR(O325/N325,0)</f>
        <v/>
      </c>
    </row>
    <row r="326">
      <c r="A326">
        <f>Skills!A6</f>
        <v/>
      </c>
      <c r="B326">
        <f>Skills!B6</f>
        <v/>
      </c>
      <c r="C326">
        <f>Inputs!$B$3&gt;=63</f>
        <v/>
      </c>
      <c r="D326">
        <f>IF(Skills!C6=1,60+Inputs!$B$24+Inputs!$B$28,IF(Skills!C6=2,90+Inputs!$B$25+Inputs!$B$28,IF(Skills!C6=3,120+Inputs!$B$26+Inputs!$B$28,MAX(0,(Inputs!$B$3-100)*3)+Inputs!$B$27+Inputs!$B$28)))</f>
        <v/>
      </c>
      <c r="E326">
        <f>INDEX(FactorTable!$B$2:$Y$301, MATCH(ROUND(MIN(300,MAX(1,D326)),0), FactorTable!$A$2:$A$301,0), Skills!M6+1)</f>
        <v/>
      </c>
      <c r="F326">
        <f>IF(Skills!N6=TRUE,(Skills!L6/10)*(E326/1000),Skills!L6/10)+Skills!O6</f>
        <v/>
      </c>
      <c r="G326">
        <f>Skills!G6*IF(Skills!H6&gt;0,Skills!I6/Skills!H6,1)</f>
        <v/>
      </c>
      <c r="H326">
        <f>1-(1-Skills!J6/100)^Skills!K6</f>
        <v/>
      </c>
      <c r="I326" t="inlineStr">
        <is>
          <t>1</t>
        </is>
      </c>
      <c r="J326">
        <f>(Inputs!$B$5*(1+Inputs!$B$6/100))*(F326/100)</f>
        <v/>
      </c>
      <c r="K326">
        <f>J326*(1+((Inputs!$B$11*(1+Inputs!$B$12/100))*0.01+Inputs!$B$13*0.0025)/100)*(1+Inputs!$B$14/100)*(1+IF(Inputs!$B$4="pvp",0,(1-Summary!$B$55)*(Inputs!$B$19+0+Skills!P6)+Summary!$B$55*(Inputs!$B$20+Skills!Q6))/100)*(1+Inputs!$B$15/100)*(5000/(6000+Inputs!$B$7*(1-(Inputs!$B$18+0)/100)))*(1+(((((1+Inputs!$B$23/100)*(1.01))-1)*100)+((C346=TRUE)*(F346-Calc!F26))+B356)/100)*(1+2.0*IF(C335=TRUE,F335,0)/100)*(1+(IF(Skills!A6="EIGHT_LEGS_EASTON",Inputs!$B$16+((C343=TRUE)*(F343-Calc!F23))+((C347=TRUE)*(F347-Calc!F27)),Inputs!$B$17+0))/100)*((1+(((C337=TRUE)*F337)+((C344=TRUE)*(F344-Calc!F24)))/100)*I326)</f>
        <v/>
      </c>
      <c r="L326">
        <f>K326*(MIN(Inputs!$B$21+((C342=TRUE)*(F342-Calc!F22)),Inputs!$B$22+0)/100+(Inputs!$B$22+0)/100)/2</f>
        <v/>
      </c>
      <c r="M326">
        <f>L326*(1+(Inputs!$B$9+((C345=TRUE)*(F345-Calc!F25))+B355)/100)</f>
        <v/>
      </c>
      <c r="N326">
        <f>L326*(1-MIN((Inputs!$B$8+((C339=TRUE)*(F339-Calc!F19))+B350),100)/100)+M326*(MIN((Inputs!$B$8+((C339=TRUE)*(F339-Calc!F19))+B350),100)/100)</f>
        <v/>
      </c>
      <c r="O326">
        <f>IF(C326,H326*N326*IF(AND(Inputs!$B$4&lt;&gt;"pvp",Inputs!$B$35&gt;0),((Skills!G6*((R326-1)*IF(Skills!H6&gt;0,Skills!I6/Skills!H6,1)+IF(Skills!H6&gt;0,MIN(Skills!I6,MAX(0,Inputs!$B$35-((R326-1)*IF(Inputs!$B$4="pvp",15,MAX(0.1,Skills!D6-IF(Skills!E6=TRUE,Inputs!$B$31,0))))))/Skills!H6,1)))/Inputs!$B$35),G326*Q326)*IF(Inputs!$B$4="pvp",1,(1-Summary!$B$55)*(1)+Summary!$B$55*(MIN(Skills!R6,Inputs!$B$37))),0)</f>
        <v/>
      </c>
      <c r="P326">
        <f>IF(B358=0,0,O326/B358)</f>
        <v/>
      </c>
      <c r="Q326">
        <f>IFERROR(1/IF(Inputs!$B$4="pvp",15,MAX(0.1,Skills!D6-IF(Skills!E6=TRUE,Inputs!$B$31,0))),0)</f>
        <v/>
      </c>
      <c r="R326">
        <f>IF(AND(Inputs!$B$4&lt;&gt;"pvp",Inputs!$B$35&gt;0),(INT(Inputs!$B$35/IF(Inputs!$B$4="pvp",15,MAX(0.1,Skills!D6-IF(Skills!E6=TRUE,Inputs!$B$31,0))))+1),0)</f>
        <v/>
      </c>
      <c r="S326">
        <f>IFERROR(O326/N326,0)</f>
        <v/>
      </c>
    </row>
    <row r="327">
      <c r="A327">
        <f>Skills!A7</f>
        <v/>
      </c>
      <c r="B327">
        <f>Skills!B7</f>
        <v/>
      </c>
      <c r="C327">
        <f>Inputs!$B$3&gt;=66</f>
        <v/>
      </c>
      <c r="D327">
        <f>IF(Skills!C7=1,60+Inputs!$B$24+Inputs!$B$28,IF(Skills!C7=2,90+Inputs!$B$25+Inputs!$B$28,IF(Skills!C7=3,120+Inputs!$B$26+Inputs!$B$28,MAX(0,(Inputs!$B$3-100)*3)+Inputs!$B$27+Inputs!$B$28)))</f>
        <v/>
      </c>
      <c r="E327">
        <f>INDEX(FactorTable!$B$2:$Y$301, MATCH(ROUND(MIN(300,MAX(1,D327)),0), FactorTable!$A$2:$A$301,0), Skills!M7+1)</f>
        <v/>
      </c>
      <c r="F327">
        <f>IF(Skills!N7=TRUE,(Skills!L7/10)*(E327/1000),Skills!L7/10)+Skills!O7</f>
        <v/>
      </c>
      <c r="G327">
        <f>Skills!G7*IF(Skills!H7&gt;0,Skills!I7/Skills!H7,1)</f>
        <v/>
      </c>
      <c r="H327">
        <f>1-(1-Skills!J7/100)^Skills!K7</f>
        <v/>
      </c>
      <c r="I327" t="inlineStr">
        <is>
          <t>1</t>
        </is>
      </c>
      <c r="J327">
        <f>(Inputs!$B$5*(1+Inputs!$B$6/100))*(F327/100)</f>
        <v/>
      </c>
      <c r="K327">
        <f>J327*(1+((Inputs!$B$11*(1+Inputs!$B$12/100))*0.01+Inputs!$B$13*0.0025)/100)*(1+Inputs!$B$14/100)*(1+IF(Inputs!$B$4="pvp",0,(1-Summary!$B$55)*(Inputs!$B$19+0+Skills!P7)+Summary!$B$55*(Inputs!$B$20+Skills!Q7))/100)*(1+Inputs!$B$15/100)*(5000/(6000+Inputs!$B$7*(1-(Inputs!$B$18+0)/100)))*(1+(((((1+Inputs!$B$23/100)*(1.01))-1)*100)+((C346=TRUE)*(F346-Calc!F26))+B356)/100)*(1+1.0*IF(C335=TRUE,F335,0)/100)*(1+(IF(Skills!A7="EIGHT_LEGS_EASTON",Inputs!$B$16+((C343=TRUE)*(F343-Calc!F23))+((C347=TRUE)*(F347-Calc!F27)),Inputs!$B$17+0))/100)*((1+(((C337=TRUE)*F337)+((C344=TRUE)*(F344-Calc!F24)))/100)*I327)</f>
        <v/>
      </c>
      <c r="L327">
        <f>K327*(MIN(Inputs!$B$21+((C342=TRUE)*(F342-Calc!F22)),Inputs!$B$22+0)/100+(Inputs!$B$22+0)/100)/2</f>
        <v/>
      </c>
      <c r="M327">
        <f>L327*(1+(Inputs!$B$9+((C345=TRUE)*(F345-Calc!F25))+B355)/100)</f>
        <v/>
      </c>
      <c r="N327">
        <f>L327*(1-MIN((Inputs!$B$8+((C339=TRUE)*(F339-Calc!F19))+B350),100)/100)+M327*(MIN((Inputs!$B$8+((C339=TRUE)*(F339-Calc!F19))+B350),100)/100)</f>
        <v/>
      </c>
      <c r="O327">
        <f>IF(C327,H327*N327*IF(AND(Inputs!$B$4&lt;&gt;"pvp",Inputs!$B$35&gt;0),((Skills!G7*((R327-1)*IF(Skills!H7&gt;0,Skills!I7/Skills!H7,1)+IF(Skills!H7&gt;0,MIN(Skills!I7,MAX(0,Inputs!$B$35-((R327-1)*IF(Inputs!$B$4="pvp",15,MAX(0.1,Skills!D7-IF(Skills!E7=TRUE,Inputs!$B$31,0))))))/Skills!H7,1)))/Inputs!$B$35),G327*Q327)*IF(Inputs!$B$4="pvp",1,(1-Summary!$B$55)*(1)+Summary!$B$55*(MIN(Skills!R7,Inputs!$B$37))),0)</f>
        <v/>
      </c>
      <c r="P327">
        <f>IF(B358=0,0,O327/B358)</f>
        <v/>
      </c>
      <c r="Q327">
        <f>IFERROR(1/IF(Inputs!$B$4="pvp",15,MAX(0.1,Skills!D7-IF(Skills!E7=TRUE,Inputs!$B$31,0))),0)</f>
        <v/>
      </c>
      <c r="R327">
        <f>IF(AND(Inputs!$B$4&lt;&gt;"pvp",Inputs!$B$35&gt;0),(INT(Inputs!$B$35/IF(Inputs!$B$4="pvp",15,MAX(0.1,Skills!D7-IF(Skills!E7=TRUE,Inputs!$B$31,0))))+1),0)</f>
        <v/>
      </c>
      <c r="S327">
        <f>IFERROR(O327/N327,0)</f>
        <v/>
      </c>
    </row>
    <row r="328">
      <c r="A328">
        <f>Skills!A8</f>
        <v/>
      </c>
      <c r="B328">
        <f>Skills!B8</f>
        <v/>
      </c>
      <c r="C328">
        <f>Inputs!$B$3&gt;=100</f>
        <v/>
      </c>
      <c r="D328">
        <f>IF(Skills!C8=1,60+Inputs!$B$24+Inputs!$B$28,IF(Skills!C8=2,90+Inputs!$B$25+Inputs!$B$28,IF(Skills!C8=3,120+Inputs!$B$26+Inputs!$B$28,MAX(0,(Inputs!$B$3-100)*3)+Inputs!$B$27+Inputs!$B$28)))</f>
        <v/>
      </c>
      <c r="E328">
        <f>INDEX(FactorTable!$B$2:$Y$301, MATCH(ROUND(MIN(300,MAX(1,D328)),0), FactorTable!$A$2:$A$301,0), Skills!M8+1)</f>
        <v/>
      </c>
      <c r="F328">
        <f>IF(Skills!N8=TRUE,(Skills!L8/10)*(E328/1000),Skills!L8/10)+Skills!O8</f>
        <v/>
      </c>
      <c r="G328">
        <f>Skills!G8*IF(Skills!H8&gt;0,Skills!I8/Skills!H8,1)</f>
        <v/>
      </c>
      <c r="H328">
        <f>1-(1-Skills!J8/100)^Skills!K8</f>
        <v/>
      </c>
      <c r="I328" t="inlineStr">
        <is>
          <t>1</t>
        </is>
      </c>
      <c r="J328">
        <f>(Inputs!$B$5*(1+Inputs!$B$6/100))*(F328/100)</f>
        <v/>
      </c>
      <c r="K328">
        <f>J328*(1+((Inputs!$B$11*(1+Inputs!$B$12/100))*0.01+Inputs!$B$13*0.0025)/100)*(1+Inputs!$B$14/100)*(1+IF(Inputs!$B$4="pvp",0,(1-Summary!$B$55)*(Inputs!$B$19+0+Skills!P8)+Summary!$B$55*(Inputs!$B$20+Skills!Q8))/100)*(1+Inputs!$B$15/100)*(5000/(6000+Inputs!$B$7*(1-(Inputs!$B$18+0)/100)))*(1+(((((1+Inputs!$B$23/100)*(1.01))-1)*100)+((C346=TRUE)*(F346-Calc!F26))+B356)/100)*(1+(IF(Skills!A8="EIGHT_LEGS_EASTON",Inputs!$B$16+((C343=TRUE)*(F343-Calc!F23))+((C347=TRUE)*(F347-Calc!F27)),Inputs!$B$17+0))/100)*((1+(((C337=TRUE)*F337)+((C344=TRUE)*(F344-Calc!F24)))/100)*I328)</f>
        <v/>
      </c>
      <c r="L328">
        <f>K328*(MIN(Inputs!$B$21+((C342=TRUE)*(F342-Calc!F22)),Inputs!$B$22+0)/100+(Inputs!$B$22+0)/100)/2</f>
        <v/>
      </c>
      <c r="M328">
        <f>L328*(1+(Inputs!$B$9+((C345=TRUE)*(F345-Calc!F25))+B355)/100)</f>
        <v/>
      </c>
      <c r="N328">
        <f>L328*(1-MIN((Inputs!$B$8+((C339=TRUE)*(F339-Calc!F19))+B350),100)/100)+M328*(MIN((Inputs!$B$8+((C339=TRUE)*(F339-Calc!F19))+B350),100)/100)</f>
        <v/>
      </c>
      <c r="O328">
        <f>IF(C328,H328*N328*IF(AND(Inputs!$B$4&lt;&gt;"pvp",Inputs!$B$35&gt;0),((Skills!G8*((R328-1)*IF(Skills!H8&gt;0,Skills!I8/Skills!H8,1)+IF(Skills!H8&gt;0,MIN(Skills!I8,MAX(0,Inputs!$B$35-((R328-1)*IF(Inputs!$B$4="pvp",15,MAX(0.1,Skills!D8-IF(Skills!E8=TRUE,Inputs!$B$31,0))))))/Skills!H8,1)))/Inputs!$B$35),G328*Q328)*IF(Inputs!$B$4="pvp",1,(1-Summary!$B$55)*(1)+Summary!$B$55*(MIN(Skills!R8,Inputs!$B$37))),0)</f>
        <v/>
      </c>
      <c r="P328">
        <f>IF(B358=0,0,O328/B358)</f>
        <v/>
      </c>
      <c r="Q328">
        <f>IFERROR(1/IF(Inputs!$B$4="pvp",15,MAX(0.1,Skills!D8-IF(Skills!E8=TRUE,Inputs!$B$31,0))),0)</f>
        <v/>
      </c>
      <c r="R328">
        <f>IF(AND(Inputs!$B$4&lt;&gt;"pvp",Inputs!$B$35&gt;0),(INT(Inputs!$B$35/IF(Inputs!$B$4="pvp",15,MAX(0.1,Skills!D8-IF(Skills!E8=TRUE,Inputs!$B$31,0))))+1),0)</f>
        <v/>
      </c>
      <c r="S328">
        <f>IFERROR(O328/N328,0)</f>
        <v/>
      </c>
    </row>
    <row r="329">
      <c r="A329">
        <f>Skills!A9</f>
        <v/>
      </c>
      <c r="B329">
        <f>Skills!B9</f>
        <v/>
      </c>
      <c r="C329">
        <f>Inputs!$B$3&gt;=103</f>
        <v/>
      </c>
      <c r="D329">
        <f>IF(Skills!C9=1,60+Inputs!$B$24+Inputs!$B$28,IF(Skills!C9=2,90+Inputs!$B$25+Inputs!$B$28,IF(Skills!C9=3,120+Inputs!$B$26+Inputs!$B$28,MAX(0,(Inputs!$B$3-100)*3)+Inputs!$B$27+Inputs!$B$28)))</f>
        <v/>
      </c>
      <c r="E329">
        <f>INDEX(FactorTable!$B$2:$Y$301, MATCH(ROUND(MIN(300,MAX(1,D329)),0), FactorTable!$A$2:$A$301,0), Skills!M9+1)</f>
        <v/>
      </c>
      <c r="F329">
        <f>IF(Skills!N9=TRUE,(Skills!L9/10)*(E329/1000),Skills!L9/10)+Skills!O9</f>
        <v/>
      </c>
      <c r="G329">
        <f>Skills!G9*IF(Skills!H9&gt;0,Skills!I9/Skills!H9,1)</f>
        <v/>
      </c>
      <c r="H329">
        <f>1-(1-Skills!J9/100)^Skills!K9</f>
        <v/>
      </c>
      <c r="I329" t="inlineStr">
        <is>
          <t>1</t>
        </is>
      </c>
      <c r="J329">
        <f>(Inputs!$B$5*(1+Inputs!$B$6/100))*(F329/100)</f>
        <v/>
      </c>
      <c r="K329">
        <f>J329*(1+((Inputs!$B$11*(1+Inputs!$B$12/100))*0.01+Inputs!$B$13*0.0025)/100)*(1+Inputs!$B$14/100)*(1+IF(Inputs!$B$4="pvp",0,(1-Summary!$B$55)*(Inputs!$B$19+0+Skills!P9)+Summary!$B$55*(Inputs!$B$20+Skills!Q9))/100)*(1+Inputs!$B$15/100)*(5000/(6000+Inputs!$B$7*(1-(Inputs!$B$18+0)/100)))*(1+(((((1+Inputs!$B$23/100)*(1.01))-1)*100)+((C346=TRUE)*(F346-Calc!F26))+B356)/100)*(1+(IF(Skills!A9="EIGHT_LEGS_EASTON",Inputs!$B$16+((C343=TRUE)*(F343-Calc!F23))+((C347=TRUE)*(F347-Calc!F27)),Inputs!$B$17+0))/100)*((1+(((C337=TRUE)*F337)+((C344=TRUE)*(F344-Calc!F24)))/100)*I329)</f>
        <v/>
      </c>
      <c r="L329">
        <f>K329*(MIN(Inputs!$B$21+((C342=TRUE)*(F342-Calc!F22)),Inputs!$B$22+0)/100+(Inputs!$B$22+0)/100)/2</f>
        <v/>
      </c>
      <c r="M329">
        <f>L329*(1+(Inputs!$B$9+((C345=TRUE)*(F345-Calc!F25))+B355)/100)</f>
        <v/>
      </c>
      <c r="N329">
        <f>L329*(1-MIN((Inputs!$B$8+((C339=TRUE)*(F339-Calc!F19))+B350),100)/100)+M329*(MIN((Inputs!$B$8+((C339=TRUE)*(F339-Calc!F19))+B350),100)/100)</f>
        <v/>
      </c>
      <c r="O329">
        <f>IF(C329,H329*N329*IF(AND(Inputs!$B$4&lt;&gt;"pvp",Inputs!$B$35&gt;0),((Skills!G9*((R329-1)*IF(Skills!H9&gt;0,Skills!I9/Skills!H9,1)+IF(Skills!H9&gt;0,MIN(Skills!I9,MAX(0,Inputs!$B$35-((R329-1)*IF(Inputs!$B$4="pvp",15,MAX(0.1,Skills!D9-IF(Skills!E9=TRUE,Inputs!$B$31,0))))))/Skills!H9,1)))/Inputs!$B$35),G329*Q329)*IF(Inputs!$B$4="pvp",1,(1-Summary!$B$55)*(1)+Summary!$B$55*(MIN(Skills!R9,Inputs!$B$37))),0)</f>
        <v/>
      </c>
      <c r="P329">
        <f>IF(B358=0,0,O329/B358)</f>
        <v/>
      </c>
      <c r="Q329">
        <f>IFERROR(1/IF(Inputs!$B$4="pvp",15,MAX(0.1,Skills!D9-IF(Skills!E9=TRUE,Inputs!$B$31,0))),0)</f>
        <v/>
      </c>
      <c r="R329">
        <f>IF(AND(Inputs!$B$4&lt;&gt;"pvp",Inputs!$B$35&gt;0),(INT(Inputs!$B$35/IF(Inputs!$B$4="pvp",15,MAX(0.1,Skills!D9-IF(Skills!E9=TRUE,Inputs!$B$31,0))))+1),0)</f>
        <v/>
      </c>
      <c r="S329">
        <f>IFERROR(O329/N329,0)</f>
        <v/>
      </c>
    </row>
    <row r="330">
      <c r="A330">
        <f>Skills!A10</f>
        <v/>
      </c>
      <c r="B330">
        <f>Skills!B10</f>
        <v/>
      </c>
      <c r="C330">
        <f>Inputs!$B$3&gt;=113</f>
        <v/>
      </c>
      <c r="D330">
        <f>IF(Skills!C10=1,60+Inputs!$B$24+Inputs!$B$28,IF(Skills!C10=2,90+Inputs!$B$25+Inputs!$B$28,IF(Skills!C10=3,120+Inputs!$B$26+Inputs!$B$28,MAX(0,(Inputs!$B$3-100)*3)+Inputs!$B$27+Inputs!$B$28)))</f>
        <v/>
      </c>
      <c r="E330">
        <f>INDEX(FactorTable!$B$2:$Y$301, MATCH(ROUND(MIN(300,MAX(1,D330)),0), FactorTable!$A$2:$A$301,0), Skills!M10+1)</f>
        <v/>
      </c>
      <c r="F330">
        <f>IF(Skills!N10=TRUE,(Skills!L10/10)*(E330/1000),Skills!L10/10)+Skills!O10</f>
        <v/>
      </c>
      <c r="G330">
        <f>Skills!G10*IF(Skills!H10&gt;0,Skills!I10/Skills!H10,1)</f>
        <v/>
      </c>
      <c r="H330">
        <f>1-(1-Skills!J10/100)^Skills!K10</f>
        <v/>
      </c>
      <c r="I330" t="inlineStr">
        <is>
          <t>1</t>
        </is>
      </c>
      <c r="J330">
        <f>(Inputs!$B$5*(1+Inputs!$B$6/100))*(F330/100)</f>
        <v/>
      </c>
      <c r="K330">
        <f>J330*(1+((Inputs!$B$11*(1+Inputs!$B$12/100))*0.01+Inputs!$B$13*0.0025)/100)*(1+Inputs!$B$14/100)*(1+IF(Inputs!$B$4="pvp",0,(1-Summary!$B$55)*(Inputs!$B$19+0+Skills!P10)+Summary!$B$55*(Inputs!$B$20+Skills!Q10))/100)*(1+Inputs!$B$15/100)*(5000/(6000+Inputs!$B$7*(1-(Inputs!$B$18+0)/100)))*(1+(((((1+Inputs!$B$23/100)*(1.01))-1)*100)+((C346=TRUE)*(F346-Calc!F26))+B356)/100)*(1+(IF(Skills!A10="EIGHT_LEGS_EASTON",Inputs!$B$16+((C343=TRUE)*(F343-Calc!F23))+((C347=TRUE)*(F347-Calc!F27)),Inputs!$B$17+0))/100)*((1+(((C337=TRUE)*F337)+((C344=TRUE)*(F344-Calc!F24)))/100)*I330)</f>
        <v/>
      </c>
      <c r="L330">
        <f>K330*(MIN(Inputs!$B$21+((C342=TRUE)*(F342-Calc!F22)),Inputs!$B$22+0)/100+(Inputs!$B$22+0)/100)/2</f>
        <v/>
      </c>
      <c r="M330">
        <f>L330*(1+(Inputs!$B$9+((C345=TRUE)*(F345-Calc!F25))+B355)/100)</f>
        <v/>
      </c>
      <c r="N330">
        <f>L330*(1-MIN((Inputs!$B$8+((C339=TRUE)*(F339-Calc!F19))+B350),100)/100)+M330*(MIN((Inputs!$B$8+((C339=TRUE)*(F339-Calc!F19))+B350),100)/100)</f>
        <v/>
      </c>
      <c r="O330">
        <f>IF(C330,H330*N330*IF(AND(Inputs!$B$4&lt;&gt;"pvp",Inputs!$B$35&gt;0),((Skills!G10*((R330-1)*IF(Skills!H10&gt;0,Skills!I10/Skills!H10,1)+IF(Skills!H10&gt;0,MIN(Skills!I10,MAX(0,Inputs!$B$35-((R330-1)*IF(Inputs!$B$4="pvp",15,MAX(0.1,Skills!D10-IF(Skills!E10=TRUE,Inputs!$B$31,0))))))/Skills!H10,1)))/Inputs!$B$35),G330*Q330)*IF(Inputs!$B$4="pvp",1,(1-Summary!$B$55)*(1)+Summary!$B$55*(MIN(Skills!R10,Inputs!$B$37))),0)</f>
        <v/>
      </c>
      <c r="P330">
        <f>IF(B358=0,0,O330/B358)</f>
        <v/>
      </c>
      <c r="Q330">
        <f>IFERROR(1/IF(Inputs!$B$4="pvp",15,MAX(0.1,Skills!D10-IF(Skills!E10=TRUE,Inputs!$B$31,0))),0)</f>
        <v/>
      </c>
      <c r="R330">
        <f>IF(AND(Inputs!$B$4&lt;&gt;"pvp",Inputs!$B$35&gt;0),(INT(Inputs!$B$35/IF(Inputs!$B$4="pvp",15,MAX(0.1,Skills!D10-IF(Skills!E10=TRUE,Inputs!$B$31,0))))+1),0)</f>
        <v/>
      </c>
      <c r="S330">
        <f>IFERROR(O330/N330,0)</f>
        <v/>
      </c>
    </row>
    <row r="331">
      <c r="A331">
        <f>Skills!A11</f>
        <v/>
      </c>
      <c r="B331">
        <f>Skills!B11</f>
        <v/>
      </c>
      <c r="C331">
        <f>Inputs!$B$3&gt;=107</f>
        <v/>
      </c>
      <c r="D331">
        <f>IF(Skills!C11=1,60+Inputs!$B$24+Inputs!$B$28,IF(Skills!C11=2,90+Inputs!$B$25+Inputs!$B$28,IF(Skills!C11=3,120+Inputs!$B$26+Inputs!$B$28,MAX(0,(Inputs!$B$3-100)*3)+Inputs!$B$27+Inputs!$B$28)))</f>
        <v/>
      </c>
      <c r="E331">
        <f>INDEX(FactorTable!$B$2:$Y$301, MATCH(ROUND(MIN(300,MAX(1,D331)),0), FactorTable!$A$2:$A$301,0), Skills!M11+1)</f>
        <v/>
      </c>
      <c r="F331">
        <f>IF(Skills!N11=TRUE,(Skills!L11/10)*(E331/1000),Skills!L11/10)+Skills!O11</f>
        <v/>
      </c>
      <c r="G331">
        <f>Skills!G11*IF(Skills!H11&gt;0,Skills!I11/Skills!H11,1)</f>
        <v/>
      </c>
      <c r="H331">
        <f>1-(1-Skills!J11/100)^Skills!K11</f>
        <v/>
      </c>
      <c r="I331" t="inlineStr">
        <is>
          <t>1</t>
        </is>
      </c>
      <c r="J331">
        <f>(Inputs!$B$5*(1+Inputs!$B$6/100))*(F331/100)</f>
        <v/>
      </c>
      <c r="K331">
        <f>J331*(1+((Inputs!$B$11*(1+Inputs!$B$12/100))*0.01+Inputs!$B$13*0.0025)/100)*(1+Inputs!$B$14/100)*(1+IF(Inputs!$B$4="pvp",0,(1-Summary!$B$55)*(Inputs!$B$19+0+Skills!P11)+Summary!$B$55*(Inputs!$B$20+Skills!Q11))/100)*(1+Inputs!$B$15/100)*(5000/(6000+Inputs!$B$7*(1-(Inputs!$B$18+0)/100)))*(1+(((((1+Inputs!$B$23/100)*(1.01))-1)*100)+((C346=TRUE)*(F346-Calc!F26))+B356)/100)*(1+(IF(Skills!A11="EIGHT_LEGS_EASTON",Inputs!$B$16+((C343=TRUE)*(F343-Calc!F23))+((C347=TRUE)*(F347-Calc!F27)),Inputs!$B$17+0))/100)*((1+(((C337=TRUE)*F337)+((C344=TRUE)*(F344-Calc!F24)))/100)*I331)</f>
        <v/>
      </c>
      <c r="L331">
        <f>K331*(MIN(Inputs!$B$21+((C342=TRUE)*(F342-Calc!F22)),Inputs!$B$22+0)/100+(Inputs!$B$22+0)/100)/2</f>
        <v/>
      </c>
      <c r="M331">
        <f>L331*(1+(Inputs!$B$9+((C345=TRUE)*(F345-Calc!F25))+B355)/100)</f>
        <v/>
      </c>
      <c r="N331">
        <f>L331*(1-MIN((Inputs!$B$8+((C339=TRUE)*(F339-Calc!F19))+B350),100)/100)+M331*(MIN((Inputs!$B$8+((C339=TRUE)*(F339-Calc!F19))+B350),100)/100)</f>
        <v/>
      </c>
      <c r="O331">
        <f>IF(C331,H331*N331*IF(AND(Inputs!$B$4&lt;&gt;"pvp",Inputs!$B$35&gt;0),((Skills!G11*((R331-1)*IF(Skills!H11&gt;0,Skills!I11/Skills!H11,1)+IF(Skills!H11&gt;0,MIN(Skills!I11,MAX(0,Inputs!$B$35-((R331-1)*IF(Inputs!$B$4="pvp",15,MAX(0.1,Skills!D11-IF(Skills!E11=TRUE,Inputs!$B$31,0))))))/Skills!H11,1)))/Inputs!$B$35),G331*Q331)*IF(Inputs!$B$4="pvp",1,(1-Summary!$B$55)*(1)+Summary!$B$55*(MIN(Skills!R11,Inputs!$B$37))),0)</f>
        <v/>
      </c>
      <c r="P331">
        <f>IF(B358=0,0,O331/B358)</f>
        <v/>
      </c>
      <c r="Q331">
        <f>IFERROR(1/IF(Inputs!$B$4="pvp",15,MAX(0.1,Skills!D11-IF(Skills!E11=TRUE,Inputs!$B$31,0))),0)</f>
        <v/>
      </c>
      <c r="R331">
        <f>IF(AND(Inputs!$B$4&lt;&gt;"pvp",Inputs!$B$35&gt;0),(INT(Inputs!$B$35/IF(Inputs!$B$4="pvp",15,MAX(0.1,Skills!D11-IF(Skills!E11=TRUE,Inputs!$B$31,0))))+1),0)</f>
        <v/>
      </c>
      <c r="S331">
        <f>IFERROR(O331/N331,0)</f>
        <v/>
      </c>
    </row>
    <row r="332">
      <c r="A332">
        <f>Skills!A12</f>
        <v/>
      </c>
      <c r="B332">
        <f>Skills!B12</f>
        <v/>
      </c>
      <c r="C332">
        <f>Inputs!$B$3&gt;=110</f>
        <v/>
      </c>
      <c r="D332">
        <f>IF(Skills!C12=1,60+Inputs!$B$24+Inputs!$B$28,IF(Skills!C12=2,90+Inputs!$B$25+Inputs!$B$28,IF(Skills!C12=3,120+Inputs!$B$26+Inputs!$B$28,MAX(0,(Inputs!$B$3-100)*3)+Inputs!$B$27+Inputs!$B$28)))</f>
        <v/>
      </c>
      <c r="E332">
        <f>INDEX(FactorTable!$B$2:$Y$301, MATCH(ROUND(MIN(300,MAX(1,D332)),0), FactorTable!$A$2:$A$301,0), Skills!M12+1)</f>
        <v/>
      </c>
      <c r="F332">
        <f>IF(Skills!N12=TRUE,(Skills!L12/10)*(E332/1000),Skills!L12/10)+Skills!O12</f>
        <v/>
      </c>
      <c r="G332">
        <f>Skills!G12*IF(Skills!H12&gt;0,Skills!I12/Skills!H12,1)</f>
        <v/>
      </c>
      <c r="H332">
        <f>1-(1-Skills!J12/100)^Skills!K12</f>
        <v/>
      </c>
      <c r="I332" t="inlineStr">
        <is>
          <t>1</t>
        </is>
      </c>
      <c r="J332">
        <f>(Inputs!$B$5*(1+Inputs!$B$6/100))*(F332/100)</f>
        <v/>
      </c>
      <c r="K332">
        <f>J332*(1+((Inputs!$B$11*(1+Inputs!$B$12/100))*0.01+Inputs!$B$13*0.0025)/100)*(1+Inputs!$B$14/100)*(1+IF(Inputs!$B$4="pvp",0,(1-Summary!$B$55)*(Inputs!$B$19+0+Skills!P12)+Summary!$B$55*(Inputs!$B$20+Skills!Q12))/100)*(1+Inputs!$B$15/100)*(5000/(6000+Inputs!$B$7*(1-(Inputs!$B$18+0)/100)))*(1+(((((1+Inputs!$B$23/100)*(1.01))-1)*100)+((C346=TRUE)*(F346-Calc!F26))+B356)/100)*(1+(IF(Skills!A12="EIGHT_LEGS_EASTON",Inputs!$B$16+((C343=TRUE)*(F343-Calc!F23))+((C347=TRUE)*(F347-Calc!F27)),Inputs!$B$17+0))/100)*((1+(((C337=TRUE)*F337)+((C344=TRUE)*(F344-Calc!F24)))/100)*I332)</f>
        <v/>
      </c>
      <c r="L332">
        <f>K332*(MIN(Inputs!$B$21+((C342=TRUE)*(F342-Calc!F22)),Inputs!$B$22+0)/100+(Inputs!$B$22+0)/100)/2</f>
        <v/>
      </c>
      <c r="M332">
        <f>L332*(1+(Inputs!$B$9+((C345=TRUE)*(F345-Calc!F25))+B355)/100)</f>
        <v/>
      </c>
      <c r="N332">
        <f>L332*(1-MIN((Inputs!$B$8+((C339=TRUE)*(F339-Calc!F19))+B350),100)/100)+M332*(MIN((Inputs!$B$8+((C339=TRUE)*(F339-Calc!F19))+B350),100)/100)</f>
        <v/>
      </c>
      <c r="O332">
        <f>IF(C332,H332*N332*IF(AND(Inputs!$B$4&lt;&gt;"pvp",Inputs!$B$35&gt;0),((Skills!G12*((R332-1)*IF(Skills!H12&gt;0,Skills!I12/Skills!H12,1)+IF(Skills!H12&gt;0,MIN(Skills!I12,MAX(0,Inputs!$B$35-((R332-1)*IF(Inputs!$B$4="pvp",15,MAX(0.1,Skills!D12-IF(Skills!E12=TRUE,Inputs!$B$31,0))))))/Skills!H12,1)))/Inputs!$B$35),G332*Q332)*IF(Inputs!$B$4="pvp",1,(1-Summary!$B$55)*(1)+Summary!$B$55*(MIN(Skills!R12,Inputs!$B$37))),0)</f>
        <v/>
      </c>
      <c r="P332">
        <f>IF(B358=0,0,O332/B358)</f>
        <v/>
      </c>
      <c r="Q332">
        <f>IFERROR(1/IF(Inputs!$B$4="pvp",15,MAX(0.1,Skills!D12-IF(Skills!E12=TRUE,Inputs!$B$31,0))),0)</f>
        <v/>
      </c>
      <c r="R332">
        <f>IF(AND(Inputs!$B$4&lt;&gt;"pvp",Inputs!$B$35&gt;0),(INT(Inputs!$B$35/IF(Inputs!$B$4="pvp",15,MAX(0.1,Skills!D12-IF(Skills!E12=TRUE,Inputs!$B$31,0))))+1),0)</f>
        <v/>
      </c>
      <c r="S332">
        <f>IFERROR(O332/N332,0)</f>
        <v/>
      </c>
    </row>
    <row r="333">
      <c r="A333">
        <f>Skills!A13</f>
        <v/>
      </c>
      <c r="B333">
        <f>Skills!B13</f>
        <v/>
      </c>
      <c r="C333">
        <f>Inputs!$B$3&gt;=110</f>
        <v/>
      </c>
      <c r="D333">
        <f>IF(Skills!C13=1,60+Inputs!$B$24+Inputs!$B$28,IF(Skills!C13=2,90+Inputs!$B$25+Inputs!$B$28,IF(Skills!C13=3,120+Inputs!$B$26+Inputs!$B$28,MAX(0,(Inputs!$B$3-100)*3)+Inputs!$B$27+Inputs!$B$28)))</f>
        <v/>
      </c>
      <c r="E333">
        <f>INDEX(FactorTable!$B$2:$Y$301, MATCH(ROUND(MIN(300,MAX(1,D333)),0), FactorTable!$A$2:$A$301,0), Skills!M13+1)</f>
        <v/>
      </c>
      <c r="F333">
        <f>IF(Skills!N13=TRUE,(Skills!L13/10)*(E333/1000),Skills!L13/10)+Skills!O13</f>
        <v/>
      </c>
      <c r="G333">
        <f>Skills!G13*IF(Skills!H13&gt;0,Skills!I13/Skills!H13,1)</f>
        <v/>
      </c>
      <c r="H333">
        <f>1-(1-Skills!J13/100)^Skills!K13</f>
        <v/>
      </c>
      <c r="I333" t="inlineStr">
        <is>
          <t>1</t>
        </is>
      </c>
      <c r="J333">
        <f>(Inputs!$B$5*(1+Inputs!$B$6/100))*(F333/100)</f>
        <v/>
      </c>
      <c r="K333">
        <f>J333*(1+((Inputs!$B$11*(1+Inputs!$B$12/100))*0.01+Inputs!$B$13*0.0025)/100)*(1+Inputs!$B$14/100)*(1+IF(Inputs!$B$4="pvp",0,(1-Summary!$B$55)*(Inputs!$B$19+0+Skills!P13)+Summary!$B$55*(Inputs!$B$20+Skills!Q13))/100)*(1+Inputs!$B$15/100)*(5000/(6000+Inputs!$B$7*(1-(Inputs!$B$18+0)/100)))*(1+(((((1+Inputs!$B$23/100)*(1.01))-1)*100)+((C346=TRUE)*(F346-Calc!F26))+B356)/100)*(1+(IF(Skills!A13="EIGHT_LEGS_EASTON",Inputs!$B$16+((C343=TRUE)*(F343-Calc!F23))+((C347=TRUE)*(F347-Calc!F27)),Inputs!$B$17+0))/100)*((1+(((C337=TRUE)*F337)+((C344=TRUE)*(F344-Calc!F24)))/100)*I333)</f>
        <v/>
      </c>
      <c r="L333">
        <f>K333*(MIN(Inputs!$B$21+((C342=TRUE)*(F342-Calc!F22)),Inputs!$B$22+0)/100+(Inputs!$B$22+0)/100)/2</f>
        <v/>
      </c>
      <c r="M333">
        <f>L333*(1+(Inputs!$B$9+((C345=TRUE)*(F345-Calc!F25))+B355)/100)</f>
        <v/>
      </c>
      <c r="N333">
        <f>L333*(1-MIN((Inputs!$B$8+((C339=TRUE)*(F339-Calc!F19))+B350),100)/100)+M333*(MIN((Inputs!$B$8+((C339=TRUE)*(F339-Calc!F19))+B350),100)/100)</f>
        <v/>
      </c>
      <c r="O333">
        <f>IF(C333,H333*N333*IF(AND(Inputs!$B$4&lt;&gt;"pvp",Inputs!$B$35&gt;0),((Skills!G13*((R333-1)*IF(Skills!H13&gt;0,Skills!I13/Skills!H13,1)+IF(Skills!H13&gt;0,MIN(Skills!I13,MAX(0,Inputs!$B$35-((R333-1)*IF(Inputs!$B$4="pvp",15,MAX(0.1,Skills!D13-IF(Skills!E13=TRUE,Inputs!$B$31,0))))))/Skills!H13,1)))/Inputs!$B$35),G333*Q333)*IF(Inputs!$B$4="pvp",1,(1-Summary!$B$55)*(1)+Summary!$B$55*(MIN(Skills!R13,Inputs!$B$37))),0)</f>
        <v/>
      </c>
      <c r="P333">
        <f>IF(B358=0,0,O333/B358)</f>
        <v/>
      </c>
      <c r="Q333">
        <f>IFERROR(1/IF(Inputs!$B$4="pvp",15,MAX(0.1,Skills!D13-IF(Skills!E13=TRUE,Inputs!$B$31,0))),0)</f>
        <v/>
      </c>
      <c r="R333">
        <f>IF(AND(Inputs!$B$4&lt;&gt;"pvp",Inputs!$B$35&gt;0),(INT(Inputs!$B$35/IF(Inputs!$B$4="pvp",15,MAX(0.1,Skills!D13-IF(Skills!E13=TRUE,Inputs!$B$31,0))))+1),0)</f>
        <v/>
      </c>
      <c r="S333">
        <f>IFERROR(O333/N333,0)</f>
        <v/>
      </c>
    </row>
    <row r="334">
      <c r="A334">
        <f>Skills!A14</f>
        <v/>
      </c>
      <c r="B334">
        <f>Skills!B14</f>
        <v/>
      </c>
      <c r="C334">
        <f>Inputs!$B$3&gt;=125</f>
        <v/>
      </c>
      <c r="D334">
        <f>IF(Skills!C14=1,60+Inputs!$B$24+Inputs!$B$28,IF(Skills!C14=2,90+Inputs!$B$25+Inputs!$B$28,IF(Skills!C14=3,120+Inputs!$B$26+Inputs!$B$28,MAX(0,(Inputs!$B$3-100)*3)+Inputs!$B$27+Inputs!$B$28)))</f>
        <v/>
      </c>
      <c r="E334">
        <f>INDEX(FactorTable!$B$2:$Y$301, MATCH(ROUND(MIN(300,MAX(1,D334)),0), FactorTable!$A$2:$A$301,0), Skills!M14+1)</f>
        <v/>
      </c>
      <c r="F334">
        <f>IF(Skills!N14=TRUE,(Skills!L14/10)*(E334/1000),Skills!L14/10)+Skills!O14</f>
        <v/>
      </c>
      <c r="G334">
        <f>Skills!G14*IF(Skills!H14&gt;0,Skills!I14/Skills!H14,1)</f>
        <v/>
      </c>
      <c r="H334">
        <f>1-(1-Skills!J14/100)^Skills!K14</f>
        <v/>
      </c>
      <c r="I334" t="inlineStr">
        <is>
          <t>1</t>
        </is>
      </c>
      <c r="J334">
        <f>(Inputs!$B$5*(1+Inputs!$B$6/100))*(F334/100)</f>
        <v/>
      </c>
      <c r="K334">
        <f>J334*(1+((Inputs!$B$11*(1+Inputs!$B$12/100))*0.01+Inputs!$B$13*0.0025)/100)*(1+Inputs!$B$14/100)*(1+IF(Inputs!$B$4="pvp",0,(1-Summary!$B$55)*(Inputs!$B$19+0+Skills!P14)+Summary!$B$55*(Inputs!$B$20+Skills!Q14))/100)*(1+Inputs!$B$15/100)*(5000/(6000+Inputs!$B$7*(1-(Inputs!$B$18+0)/100)))*(1+(((((1+Inputs!$B$23/100)*(1.01))-1)*100)+((C346=TRUE)*(F346-Calc!F26))+B356)/100)*(1+(IF(Skills!A14="EIGHT_LEGS_EASTON",Inputs!$B$16+((C343=TRUE)*(F343-Calc!F23))+((C347=TRUE)*(F347-Calc!F27)),Inputs!$B$17+0))/100)*((1+(((C337=TRUE)*F337)+((C344=TRUE)*(F344-Calc!F24)))/100)*I334)</f>
        <v/>
      </c>
      <c r="L334">
        <f>K334*(MIN(Inputs!$B$21+((C342=TRUE)*(F342-Calc!F22)),Inputs!$B$22+0)/100+(Inputs!$B$22+0)/100)/2</f>
        <v/>
      </c>
      <c r="M334">
        <f>L334*(1+(Inputs!$B$9+((C345=TRUE)*(F345-Calc!F25))+B355)/100)</f>
        <v/>
      </c>
      <c r="N334">
        <f>L334*(1-MIN((Inputs!$B$8+((C339=TRUE)*(F339-Calc!F19))+B350),100)/100)+M334*(MIN((Inputs!$B$8+((C339=TRUE)*(F339-Calc!F19))+B350),100)/100)</f>
        <v/>
      </c>
      <c r="O334">
        <f>IF(C334,H334*N334*(B354+IF(AND(Inputs!$B$4&lt;&gt;"pvp",Inputs!$B$35&gt;0),((Skills!G8*((R328-1)*IF(Skills!H8&gt;0,Skills!I8/Skills!H8,1)+IF(Skills!H8&gt;0,MIN(Skills!I8,MAX(0,Inputs!$B$35-((R328-1)*IF(Inputs!$B$4="pvp",15,MAX(0.1,Skills!D8-IF(Skills!E8=TRUE,Inputs!$B$31,0))))))/Skills!H8,1)))/Inputs!$B$35),G328*Q328)+IF(AND(Inputs!$B$4&lt;&gt;"pvp",Inputs!$B$35&gt;0),((Skills!G11*((R331-1)*IF(Skills!H11&gt;0,Skills!I11/Skills!H11,1)+IF(Skills!H11&gt;0,MIN(Skills!I11,MAX(0,Inputs!$B$35-((R331-1)*IF(Inputs!$B$4="pvp",15,MAX(0.1,Skills!D11-IF(Skills!E11=TRUE,Inputs!$B$31,0))))))/Skills!H11,1)))/Inputs!$B$35),G331*Q331))*IF(Inputs!$B$4="pvp",1,(1-Summary!$B$55)*(1)+Summary!$B$55*(MIN(Skills!R14,Inputs!$B$37))),0)</f>
        <v/>
      </c>
      <c r="P334">
        <f>IF(B358=0,0,O334/B358)</f>
        <v/>
      </c>
      <c r="Q334" t="n">
        <v>0</v>
      </c>
      <c r="R334" t="n">
        <v>0</v>
      </c>
      <c r="S334">
        <f>IFERROR(O334/N334,0)</f>
        <v/>
      </c>
    </row>
    <row r="335">
      <c r="A335">
        <f>Skills!A15</f>
        <v/>
      </c>
      <c r="B335">
        <f>Skills!B15</f>
        <v/>
      </c>
      <c r="C335">
        <f>Inputs!$B$3&gt;=100</f>
        <v/>
      </c>
      <c r="D335">
        <f>IF(Skills!C15=1,60+Inputs!$B$24+Inputs!$B$28,IF(Skills!C15=2,90+Inputs!$B$25+Inputs!$B$28,IF(Skills!C15=3,120+Inputs!$B$26+Inputs!$B$28,MAX(0,(Inputs!$B$3-100)*3)+Inputs!$B$27+Inputs!$B$28)))</f>
        <v/>
      </c>
      <c r="E335">
        <f>INDEX(FactorTable!$B$2:$Y$301, MATCH(ROUND(MIN(300,MAX(1,D335)),0), FactorTable!$A$2:$A$301,0), Skills!M15+1)</f>
        <v/>
      </c>
      <c r="F335">
        <f>IF(Skills!N15=TRUE,(Skills!L15/10)*(E335/1000),Skills!L15/10)+Skills!O15</f>
        <v/>
      </c>
      <c r="G335" t="inlineStr"/>
      <c r="H335" t="inlineStr"/>
      <c r="I335" t="inlineStr">
        <is>
          <t>1</t>
        </is>
      </c>
      <c r="J335" t="inlineStr"/>
      <c r="K335" t="inlineStr"/>
      <c r="L335" t="inlineStr"/>
      <c r="M335" t="inlineStr"/>
      <c r="N335" t="inlineStr"/>
      <c r="O335" t="inlineStr"/>
      <c r="P335" t="inlineStr"/>
      <c r="Q335" t="inlineStr"/>
      <c r="R335" t="inlineStr"/>
      <c r="S335" t="inlineStr"/>
    </row>
    <row r="336">
      <c r="A336">
        <f>Skills!A16</f>
        <v/>
      </c>
      <c r="B336">
        <f>Skills!B16</f>
        <v/>
      </c>
      <c r="C336">
        <f>Inputs!$B$3&gt;=120</f>
        <v/>
      </c>
      <c r="D336">
        <f>IF(Skills!C16=1,60+Inputs!$B$24+Inputs!$B$28,IF(Skills!C16=2,90+Inputs!$B$25+Inputs!$B$28,IF(Skills!C16=3,120+Inputs!$B$26+Inputs!$B$28,MAX(0,(Inputs!$B$3-100)*3)+Inputs!$B$27+Inputs!$B$28)))</f>
        <v/>
      </c>
      <c r="E336">
        <f>INDEX(FactorTable!$B$2:$Y$301, MATCH(ROUND(MIN(300,MAX(1,D336)),0), FactorTable!$A$2:$A$301,0), Skills!M16+1)</f>
        <v/>
      </c>
      <c r="F336">
        <f>IF(Skills!N16=TRUE,(Skills!L16/10)*(E336/1000),Skills!L16/10)+Skills!O16</f>
        <v/>
      </c>
      <c r="G336" t="inlineStr"/>
      <c r="H336" t="inlineStr"/>
      <c r="I336" t="inlineStr">
        <is>
          <t>1</t>
        </is>
      </c>
      <c r="J336" t="inlineStr"/>
      <c r="K336" t="inlineStr"/>
      <c r="L336" t="inlineStr"/>
      <c r="M336" t="inlineStr"/>
      <c r="N336" t="inlineStr"/>
      <c r="O336" t="inlineStr"/>
      <c r="P336" t="inlineStr"/>
      <c r="Q336" t="inlineStr"/>
      <c r="R336" t="inlineStr"/>
      <c r="S336" t="inlineStr"/>
    </row>
    <row r="337">
      <c r="A337">
        <f>Skills!A17</f>
        <v/>
      </c>
      <c r="B337">
        <f>Skills!B17</f>
        <v/>
      </c>
      <c r="C337">
        <f>Inputs!$B$3&gt;=66</f>
        <v/>
      </c>
      <c r="D337">
        <f>IF(Skills!C17=1,60+Inputs!$B$24+Inputs!$B$28,IF(Skills!C17=2,90+Inputs!$B$25+Inputs!$B$28,IF(Skills!C17=3,120+Inputs!$B$26+Inputs!$B$28,MAX(0,(Inputs!$B$3-100)*3)+Inputs!$B$27+Inputs!$B$28)))</f>
        <v/>
      </c>
      <c r="E337">
        <f>INDEX(FactorTable!$B$2:$Y$301, MATCH(ROUND(MIN(300,MAX(1,D337)),0), FactorTable!$A$2:$A$301,0), Skills!M17+1)</f>
        <v/>
      </c>
      <c r="F337">
        <f>IF(Skills!N17=TRUE,(Skills!L17/10)*(E337/1000),Skills!L17/10)+Skills!O17</f>
        <v/>
      </c>
      <c r="G337">
        <f>Skills!G17*IF(Skills!H17&gt;0,Skills!I17/Skills!H17,1)</f>
        <v/>
      </c>
      <c r="H337">
        <f>1-(1-Skills!J17/100)^Skills!K17</f>
        <v/>
      </c>
      <c r="I337" t="inlineStr">
        <is>
          <t>1</t>
        </is>
      </c>
      <c r="J337" t="inlineStr"/>
      <c r="K337" t="inlineStr"/>
      <c r="L337" t="inlineStr"/>
      <c r="M337" t="inlineStr"/>
      <c r="N337" t="inlineStr"/>
      <c r="O337" t="n">
        <v>0</v>
      </c>
      <c r="P337">
        <f>IF(B358=0,0,O337/B358)</f>
        <v/>
      </c>
      <c r="Q337" t="n">
        <v>0</v>
      </c>
      <c r="R337" t="n">
        <v>0</v>
      </c>
      <c r="S337">
        <f>IFERROR(O337/N337,0)</f>
        <v/>
      </c>
    </row>
    <row r="338">
      <c r="A338">
        <f>Skills!A18</f>
        <v/>
      </c>
      <c r="B338">
        <f>Skills!B18</f>
        <v/>
      </c>
      <c r="C338">
        <f>Inputs!$B$3&gt;=115</f>
        <v/>
      </c>
      <c r="D338">
        <f>IF(Skills!C18=1,60+Inputs!$B$24+Inputs!$B$28,IF(Skills!C18=2,90+Inputs!$B$25+Inputs!$B$28,IF(Skills!C18=3,120+Inputs!$B$26+Inputs!$B$28,MAX(0,(Inputs!$B$3-100)*3)+Inputs!$B$27+Inputs!$B$28)))</f>
        <v/>
      </c>
      <c r="E338">
        <f>INDEX(FactorTable!$B$2:$Y$301, MATCH(ROUND(MIN(300,MAX(1,D338)),0), FactorTable!$A$2:$A$301,0), Skills!M18+1)</f>
        <v/>
      </c>
      <c r="F338">
        <f>IF(Skills!N18=TRUE,(Skills!L18/10)*(E338/1000),Skills!L18/10)+Skills!O18</f>
        <v/>
      </c>
      <c r="G338">
        <f>Skills!G18*IF(Skills!H18&gt;0,Skills!I18/Skills!H18,1)</f>
        <v/>
      </c>
      <c r="H338">
        <f>1-(1-Skills!J18/100)^Skills!K18</f>
        <v/>
      </c>
      <c r="I338" t="inlineStr">
        <is>
          <t>1</t>
        </is>
      </c>
      <c r="J338" t="inlineStr"/>
      <c r="K338" t="inlineStr"/>
      <c r="L338" t="inlineStr"/>
      <c r="M338" t="inlineStr"/>
      <c r="N338" t="inlineStr"/>
      <c r="O338" t="n">
        <v>0</v>
      </c>
      <c r="P338">
        <f>IF(B358=0,0,O338/B358)</f>
        <v/>
      </c>
      <c r="Q338" t="n">
        <v>0</v>
      </c>
      <c r="R338" t="n">
        <v>0</v>
      </c>
      <c r="S338">
        <f>IFERROR(O338/N338,0)</f>
        <v/>
      </c>
    </row>
    <row r="339">
      <c r="A339">
        <f>Skills!A19</f>
        <v/>
      </c>
      <c r="B339">
        <f>Skills!B19</f>
        <v/>
      </c>
      <c r="C339">
        <f>Inputs!$B$3&gt;=15</f>
        <v/>
      </c>
      <c r="D339">
        <f>IF(Skills!C19=1,60+Inputs!$B$24+Inputs!$B$28,IF(Skills!C19=2,90+Inputs!$B$25+Inputs!$B$28,IF(Skills!C19=3,120+Inputs!$B$26+Inputs!$B$28,MAX(0,(Inputs!$B$3-100)*3)+Inputs!$B$27+Inputs!$B$28)))</f>
        <v/>
      </c>
      <c r="E339">
        <f>INDEX(FactorTable!$B$2:$Y$301, MATCH(ROUND(MIN(300,MAX(1,D339)),0), FactorTable!$A$2:$A$301,0), Skills!M19+1)</f>
        <v/>
      </c>
      <c r="F339">
        <f>IF(Skills!N19=TRUE,(Skills!L19/10)*(E339/1000),Skills!L19/10)+Skills!O19</f>
        <v/>
      </c>
      <c r="G339">
        <f>Skills!G19*IF(Skills!H19&gt;0,Skills!I19/Skills!H19,1)</f>
        <v/>
      </c>
      <c r="H339">
        <f>1-(1-Skills!J19/100)^Skills!K19</f>
        <v/>
      </c>
      <c r="I339" t="inlineStr">
        <is>
          <t>1</t>
        </is>
      </c>
      <c r="J339" t="inlineStr"/>
      <c r="K339" t="inlineStr"/>
      <c r="L339" t="inlineStr"/>
      <c r="M339" t="inlineStr"/>
      <c r="N339" t="inlineStr"/>
      <c r="O339" t="n">
        <v>0</v>
      </c>
      <c r="P339">
        <f>IF(B358=0,0,O339/B358)</f>
        <v/>
      </c>
      <c r="Q339" t="n">
        <v>0</v>
      </c>
      <c r="R339" t="n">
        <v>0</v>
      </c>
      <c r="S339">
        <f>IFERROR(O339/N339,0)</f>
        <v/>
      </c>
    </row>
    <row r="340">
      <c r="A340">
        <f>Skills!A20</f>
        <v/>
      </c>
      <c r="B340">
        <f>Skills!B20</f>
        <v/>
      </c>
      <c r="C340">
        <f>Inputs!$B$3&gt;=10</f>
        <v/>
      </c>
      <c r="D340">
        <f>IF(Skills!C20=1,60+Inputs!$B$24+Inputs!$B$28,IF(Skills!C20=2,90+Inputs!$B$25+Inputs!$B$28,IF(Skills!C20=3,120+Inputs!$B$26+Inputs!$B$28,MAX(0,(Inputs!$B$3-100)*3)+Inputs!$B$27+Inputs!$B$28)))</f>
        <v/>
      </c>
      <c r="E340">
        <f>INDEX(FactorTable!$B$2:$Y$301, MATCH(ROUND(MIN(300,MAX(1,D340)),0), FactorTable!$A$2:$A$301,0), Skills!M20+1)</f>
        <v/>
      </c>
      <c r="F340">
        <f>IF(Skills!N20=TRUE,(Skills!L20/10)*(E340/1000),Skills!L20/10)+Skills!O20</f>
        <v/>
      </c>
      <c r="G340">
        <f>Skills!G20*IF(Skills!H20&gt;0,Skills!I20/Skills!H20,1)</f>
        <v/>
      </c>
      <c r="H340">
        <f>1-(1-Skills!J20/100)^Skills!K20</f>
        <v/>
      </c>
      <c r="I340" t="inlineStr">
        <is>
          <t>1</t>
        </is>
      </c>
      <c r="J340" t="inlineStr"/>
      <c r="K340" t="inlineStr"/>
      <c r="L340" t="inlineStr"/>
      <c r="M340" t="inlineStr"/>
      <c r="N340" t="inlineStr"/>
      <c r="O340" t="n">
        <v>0</v>
      </c>
      <c r="P340">
        <f>IF(B358=0,0,O340/B358)</f>
        <v/>
      </c>
      <c r="Q340" t="n">
        <v>0</v>
      </c>
      <c r="R340" t="n">
        <v>0</v>
      </c>
      <c r="S340">
        <f>IFERROR(O340/N340,0)</f>
        <v/>
      </c>
    </row>
    <row r="341">
      <c r="A341">
        <f>Skills!A21</f>
        <v/>
      </c>
      <c r="B341">
        <f>Skills!B21</f>
        <v/>
      </c>
      <c r="C341">
        <f>Inputs!$B$3&gt;=33</f>
        <v/>
      </c>
      <c r="D341">
        <f>IF(Skills!C21=1,60+Inputs!$B$24+Inputs!$B$28,IF(Skills!C21=2,90+Inputs!$B$25+Inputs!$B$28,IF(Skills!C21=3,120+Inputs!$B$26+Inputs!$B$28,MAX(0,(Inputs!$B$3-100)*3)+Inputs!$B$27+Inputs!$B$28)))</f>
        <v/>
      </c>
      <c r="E341">
        <f>INDEX(FactorTable!$B$2:$Y$301, MATCH(ROUND(MIN(300,MAX(1,D341)),0), FactorTable!$A$2:$A$301,0), Skills!M21+1)</f>
        <v/>
      </c>
      <c r="F341">
        <f>IF(Skills!N21=TRUE,(Skills!L21/10)*(E341/1000),Skills!L21/10)+Skills!O21</f>
        <v/>
      </c>
      <c r="G341">
        <f>Skills!G21*IF(Skills!H21&gt;0,Skills!I21/Skills!H21,1)</f>
        <v/>
      </c>
      <c r="H341">
        <f>1-(1-Skills!J21/100)^Skills!K21</f>
        <v/>
      </c>
      <c r="I341" t="inlineStr">
        <is>
          <t>1</t>
        </is>
      </c>
      <c r="J341" t="inlineStr"/>
      <c r="K341" t="inlineStr"/>
      <c r="L341" t="inlineStr"/>
      <c r="M341" t="inlineStr"/>
      <c r="N341" t="inlineStr"/>
      <c r="O341" t="n">
        <v>0</v>
      </c>
      <c r="P341">
        <f>IF(B358=0,0,O341/B358)</f>
        <v/>
      </c>
      <c r="Q341" t="n">
        <v>0</v>
      </c>
      <c r="R341" t="n">
        <v>0</v>
      </c>
      <c r="S341">
        <f>IFERROR(O341/N341,0)</f>
        <v/>
      </c>
    </row>
    <row r="342">
      <c r="A342">
        <f>Skills!A22</f>
        <v/>
      </c>
      <c r="B342">
        <f>Skills!B22</f>
        <v/>
      </c>
      <c r="C342">
        <f>Inputs!$B$3&gt;=43</f>
        <v/>
      </c>
      <c r="D342">
        <f>IF(Skills!C22=1,60+Inputs!$B$24+Inputs!$B$28,IF(Skills!C22=2,90+Inputs!$B$25+Inputs!$B$28,IF(Skills!C22=3,120+Inputs!$B$26+Inputs!$B$28,MAX(0,(Inputs!$B$3-100)*3)+Inputs!$B$27+Inputs!$B$28)))</f>
        <v/>
      </c>
      <c r="E342">
        <f>INDEX(FactorTable!$B$2:$Y$301, MATCH(ROUND(MIN(300,MAX(1,D342)),0), FactorTable!$A$2:$A$301,0), Skills!M22+1)</f>
        <v/>
      </c>
      <c r="F342">
        <f>IF(Skills!N22=TRUE,(Skills!L22/10)*(E342/1000),Skills!L22/10)+Skills!O22</f>
        <v/>
      </c>
      <c r="G342">
        <f>Skills!G22*IF(Skills!H22&gt;0,Skills!I22/Skills!H22,1)</f>
        <v/>
      </c>
      <c r="H342">
        <f>1-(1-Skills!J22/100)^Skills!K22</f>
        <v/>
      </c>
      <c r="I342" t="inlineStr">
        <is>
          <t>1</t>
        </is>
      </c>
      <c r="J342" t="inlineStr"/>
      <c r="K342" t="inlineStr"/>
      <c r="L342" t="inlineStr"/>
      <c r="M342" t="inlineStr"/>
      <c r="N342" t="inlineStr"/>
      <c r="O342" t="n">
        <v>0</v>
      </c>
      <c r="P342">
        <f>IF(B358=0,0,O342/B358)</f>
        <v/>
      </c>
      <c r="Q342" t="n">
        <v>0</v>
      </c>
      <c r="R342" t="n">
        <v>0</v>
      </c>
      <c r="S342">
        <f>IFERROR(O342/N342,0)</f>
        <v/>
      </c>
    </row>
    <row r="343">
      <c r="A343">
        <f>Skills!A23</f>
        <v/>
      </c>
      <c r="B343">
        <f>Skills!B23</f>
        <v/>
      </c>
      <c r="C343">
        <f>Inputs!$B$3&gt;=38</f>
        <v/>
      </c>
      <c r="D343">
        <f>IF(Skills!C23=1,60+Inputs!$B$24+Inputs!$B$28,IF(Skills!C23=2,90+Inputs!$B$25+Inputs!$B$28,IF(Skills!C23=3,120+Inputs!$B$26+Inputs!$B$28,MAX(0,(Inputs!$B$3-100)*3)+Inputs!$B$27+Inputs!$B$28)))</f>
        <v/>
      </c>
      <c r="E343">
        <f>INDEX(FactorTable!$B$2:$Y$301, MATCH(ROUND(MIN(300,MAX(1,D343)),0), FactorTable!$A$2:$A$301,0), Skills!M23+1)</f>
        <v/>
      </c>
      <c r="F343">
        <f>IF(Skills!N23=TRUE,(Skills!L23/10)*(E343/1000),Skills!L23/10)+Skills!O23</f>
        <v/>
      </c>
      <c r="G343">
        <f>Skills!G23*IF(Skills!H23&gt;0,Skills!I23/Skills!H23,1)</f>
        <v/>
      </c>
      <c r="H343">
        <f>1-(1-Skills!J23/100)^Skills!K23</f>
        <v/>
      </c>
      <c r="I343" t="inlineStr">
        <is>
          <t>1</t>
        </is>
      </c>
      <c r="J343" t="inlineStr"/>
      <c r="K343" t="inlineStr"/>
      <c r="L343" t="inlineStr"/>
      <c r="M343" t="inlineStr"/>
      <c r="N343" t="inlineStr"/>
      <c r="O343" t="n">
        <v>0</v>
      </c>
      <c r="P343">
        <f>IF(B358=0,0,O343/B358)</f>
        <v/>
      </c>
      <c r="Q343" t="n">
        <v>0</v>
      </c>
      <c r="R343" t="n">
        <v>0</v>
      </c>
      <c r="S343">
        <f>IFERROR(O343/N343,0)</f>
        <v/>
      </c>
    </row>
    <row r="344">
      <c r="A344">
        <f>Skills!A24</f>
        <v/>
      </c>
      <c r="B344">
        <f>Skills!B24</f>
        <v/>
      </c>
      <c r="C344">
        <f>Inputs!$B$3&gt;=40</f>
        <v/>
      </c>
      <c r="D344">
        <f>IF(Skills!C24=1,60+Inputs!$B$24+Inputs!$B$28,IF(Skills!C24=2,90+Inputs!$B$25+Inputs!$B$28,IF(Skills!C24=3,120+Inputs!$B$26+Inputs!$B$28,MAX(0,(Inputs!$B$3-100)*3)+Inputs!$B$27+Inputs!$B$28)))</f>
        <v/>
      </c>
      <c r="E344">
        <f>INDEX(FactorTable!$B$2:$Y$301, MATCH(ROUND(MIN(300,MAX(1,D344)),0), FactorTable!$A$2:$A$301,0), Skills!M24+1)</f>
        <v/>
      </c>
      <c r="F344">
        <f>IF(Skills!N24=TRUE,(Skills!L24/10)*(E344/1000),Skills!L24/10)+Skills!O24</f>
        <v/>
      </c>
      <c r="G344">
        <f>Skills!G24*IF(Skills!H24&gt;0,Skills!I24/Skills!H24,1)</f>
        <v/>
      </c>
      <c r="H344">
        <f>1-(1-Skills!J24/100)^Skills!K24</f>
        <v/>
      </c>
      <c r="I344" t="inlineStr">
        <is>
          <t>1</t>
        </is>
      </c>
      <c r="J344" t="inlineStr"/>
      <c r="K344" t="inlineStr"/>
      <c r="L344" t="inlineStr"/>
      <c r="M344" t="inlineStr"/>
      <c r="N344" t="inlineStr"/>
      <c r="O344" t="n">
        <v>0</v>
      </c>
      <c r="P344">
        <f>IF(B358=0,0,O344/B358)</f>
        <v/>
      </c>
      <c r="Q344" t="n">
        <v>0</v>
      </c>
      <c r="R344" t="n">
        <v>0</v>
      </c>
      <c r="S344">
        <f>IFERROR(O344/N344,0)</f>
        <v/>
      </c>
    </row>
    <row r="345">
      <c r="A345">
        <f>Skills!A25</f>
        <v/>
      </c>
      <c r="B345">
        <f>Skills!B25</f>
        <v/>
      </c>
      <c r="C345">
        <f>Inputs!$B$3&gt;=72</f>
        <v/>
      </c>
      <c r="D345">
        <f>IF(Skills!C25=1,60+Inputs!$B$24+Inputs!$B$28,IF(Skills!C25=2,90+Inputs!$B$25+Inputs!$B$28,IF(Skills!C25=3,120+Inputs!$B$26+Inputs!$B$28,MAX(0,(Inputs!$B$3-100)*3)+Inputs!$B$27+Inputs!$B$28)))</f>
        <v/>
      </c>
      <c r="E345">
        <f>INDEX(FactorTable!$B$2:$Y$301, MATCH(ROUND(MIN(300,MAX(1,D345)),0), FactorTable!$A$2:$A$301,0), Skills!M25+1)</f>
        <v/>
      </c>
      <c r="F345">
        <f>IF(Skills!N25=TRUE,(Skills!L25/10)*(E345/1000),Skills!L25/10)+Skills!O25</f>
        <v/>
      </c>
      <c r="G345">
        <f>Skills!G25*IF(Skills!H25&gt;0,Skills!I25/Skills!H25,1)</f>
        <v/>
      </c>
      <c r="H345">
        <f>1-(1-Skills!J25/100)^Skills!K25</f>
        <v/>
      </c>
      <c r="I345" t="inlineStr">
        <is>
          <t>1</t>
        </is>
      </c>
      <c r="J345" t="inlineStr"/>
      <c r="K345" t="inlineStr"/>
      <c r="L345" t="inlineStr"/>
      <c r="M345" t="inlineStr"/>
      <c r="N345" t="inlineStr"/>
      <c r="O345" t="n">
        <v>0</v>
      </c>
      <c r="P345">
        <f>IF(B358=0,0,O345/B358)</f>
        <v/>
      </c>
      <c r="Q345" t="n">
        <v>0</v>
      </c>
      <c r="R345" t="n">
        <v>0</v>
      </c>
      <c r="S345">
        <f>IFERROR(O345/N345,0)</f>
        <v/>
      </c>
    </row>
    <row r="346">
      <c r="A346">
        <f>Skills!A26</f>
        <v/>
      </c>
      <c r="B346">
        <f>Skills!B26</f>
        <v/>
      </c>
      <c r="C346">
        <f>Inputs!$B$3&gt;=75</f>
        <v/>
      </c>
      <c r="D346">
        <f>IF(Skills!C26=1,60+Inputs!$B$24+Inputs!$B$28,IF(Skills!C26=2,90+Inputs!$B$25+Inputs!$B$28,IF(Skills!C26=3,120+Inputs!$B$26+Inputs!$B$28,MAX(0,(Inputs!$B$3-100)*3)+Inputs!$B$27+Inputs!$B$28)))</f>
        <v/>
      </c>
      <c r="E346">
        <f>INDEX(FactorTable!$B$2:$Y$301, MATCH(ROUND(MIN(300,MAX(1,D346)),0), FactorTable!$A$2:$A$301,0), Skills!M26+1)</f>
        <v/>
      </c>
      <c r="F346">
        <f>IF(Skills!N26=TRUE,(Skills!L26/10)*(E346/1000),Skills!L26/10)+Skills!O26</f>
        <v/>
      </c>
      <c r="G346">
        <f>Skills!G26*IF(Skills!H26&gt;0,Skills!I26/Skills!H26,1)</f>
        <v/>
      </c>
      <c r="H346">
        <f>1-(1-Skills!J26/100)^Skills!K26</f>
        <v/>
      </c>
      <c r="I346" t="inlineStr">
        <is>
          <t>1</t>
        </is>
      </c>
      <c r="J346" t="inlineStr"/>
      <c r="K346" t="inlineStr"/>
      <c r="L346" t="inlineStr"/>
      <c r="M346" t="inlineStr"/>
      <c r="N346" t="inlineStr"/>
      <c r="O346" t="n">
        <v>0</v>
      </c>
      <c r="P346">
        <f>IF(B358=0,0,O346/B358)</f>
        <v/>
      </c>
      <c r="Q346" t="n">
        <v>0</v>
      </c>
      <c r="R346" t="n">
        <v>0</v>
      </c>
      <c r="S346">
        <f>IFERROR(O346/N346,0)</f>
        <v/>
      </c>
    </row>
    <row r="347">
      <c r="A347">
        <f>Skills!A27</f>
        <v/>
      </c>
      <c r="B347">
        <f>Skills!B27</f>
        <v/>
      </c>
      <c r="C347">
        <f>Inputs!$B$3&gt;=117</f>
        <v/>
      </c>
      <c r="D347">
        <f>IF(Skills!C27=1,60+Inputs!$B$24+Inputs!$B$28,IF(Skills!C27=2,90+Inputs!$B$25+Inputs!$B$28,IF(Skills!C27=3,120+Inputs!$B$26+Inputs!$B$28,MAX(0,(Inputs!$B$3-100)*3)+Inputs!$B$27+Inputs!$B$28)))</f>
        <v/>
      </c>
      <c r="E347">
        <f>INDEX(FactorTable!$B$2:$Y$301, MATCH(ROUND(MIN(300,MAX(1,D347)),0), FactorTable!$A$2:$A$301,0), Skills!M27+1)</f>
        <v/>
      </c>
      <c r="F347">
        <f>IF(Skills!N27=TRUE,(Skills!L27/10)*(E347/1000),Skills!L27/10)+Skills!O27</f>
        <v/>
      </c>
      <c r="G347">
        <f>Skills!G27*IF(Skills!H27&gt;0,Skills!I27/Skills!H27,1)</f>
        <v/>
      </c>
      <c r="H347">
        <f>1-(1-Skills!J27/100)^Skills!K27</f>
        <v/>
      </c>
      <c r="I347" t="inlineStr">
        <is>
          <t>1</t>
        </is>
      </c>
      <c r="J347" t="inlineStr"/>
      <c r="K347" t="inlineStr"/>
      <c r="L347" t="inlineStr"/>
      <c r="M347" t="inlineStr"/>
      <c r="N347" t="inlineStr"/>
      <c r="O347" t="n">
        <v>0</v>
      </c>
      <c r="P347">
        <f>IF(B358=0,0,O347/B358)</f>
        <v/>
      </c>
      <c r="Q347" t="n">
        <v>0</v>
      </c>
      <c r="R347" t="n">
        <v>0</v>
      </c>
      <c r="S347">
        <f>IFERROR(O347/N347,0)</f>
        <v/>
      </c>
    </row>
    <row r="349">
      <c r="A349" t="inlineStr">
        <is>
          <t>Attack% Bucket Multiplier</t>
        </is>
      </c>
      <c r="B349">
        <f>(1+(((C337=TRUE)*F337)+((C344=TRUE)*(F344-Calc!F24)))/100)</f>
        <v/>
      </c>
    </row>
    <row r="350">
      <c r="A350" t="inlineStr">
        <is>
          <t>Global Crit Rate Bonus %</t>
        </is>
      </c>
      <c r="B350" t="n">
        <v>0</v>
      </c>
    </row>
    <row r="351">
      <c r="A351" t="inlineStr">
        <is>
          <t>Attack Speed Buff Bonus % (unused)</t>
        </is>
      </c>
      <c r="B351" t="n">
        <v>0</v>
      </c>
    </row>
    <row r="352">
      <c r="A352" t="inlineStr">
        <is>
          <t>Actions Per Second</t>
        </is>
      </c>
      <c r="B352">
        <f>1+MIN(150,150*(1-(1-(Inputs!$B$10+((C340=TRUE)*(F340-Calc!F20))+((C341=TRUE)*(F341-Calc!F21)))/150)*(1-B351/150)))/100</f>
        <v/>
      </c>
    </row>
    <row r="353">
      <c r="A353" t="inlineStr">
        <is>
          <t>Skill + Buff Cast Rate</t>
        </is>
      </c>
      <c r="B353">
        <f>IF(AND(Inputs!$B$4&lt;&gt;"pvp",Inputs!$B$35&gt;0),SUMPRODUCT((Skills!E2:E27=TRUE)*(C322:C347=TRUE)*R322:R347*Skills!F2:F27)/Inputs!$B$35,SUMPRODUCT((Skills!E2:E27=TRUE)*(C322:C347=TRUE)*Q322:Q347*Skills!F2:F27))</f>
        <v/>
      </c>
    </row>
    <row r="354">
      <c r="A354" t="inlineStr">
        <is>
          <t>Eight-Legs Easton Casts Per Second</t>
        </is>
      </c>
      <c r="B354">
        <f>MAX(0,B352-B353)</f>
        <v/>
      </c>
    </row>
    <row r="355">
      <c r="A355" t="inlineStr">
        <is>
          <t>Global Critical Damage Bonus % (unused)</t>
        </is>
      </c>
      <c r="B355" t="n">
        <v>0</v>
      </c>
    </row>
    <row r="356">
      <c r="A356" t="inlineStr">
        <is>
          <t>Global Final Damage Bonus % (Jolly Roger only)</t>
        </is>
      </c>
      <c r="B356">
        <f>((C338=TRUE)*F338)</f>
        <v/>
      </c>
    </row>
    <row r="358">
      <c r="A358" s="5" t="inlineStr">
        <is>
          <t>TOTAL DPS</t>
        </is>
      </c>
      <c r="B358" s="5">
        <f>SUM(O322:O347)</f>
        <v/>
      </c>
    </row>
    <row r="361">
      <c r="A361" s="5" t="inlineStr">
        <is>
          <t>Stat: MIN_DAMAGE %</t>
        </is>
      </c>
    </row>
    <row r="362">
      <c r="A362" s="8" t="inlineStr">
        <is>
          <t>Key</t>
        </is>
      </c>
      <c r="B362" s="8" t="inlineStr">
        <is>
          <t>Name</t>
        </is>
      </c>
      <c r="C362" s="8" t="inlineStr">
        <is>
          <t>Unlocked</t>
        </is>
      </c>
      <c r="D362" s="8" t="inlineStr">
        <is>
          <t>InputLevel</t>
        </is>
      </c>
      <c r="E362" s="8" t="inlineStr">
        <is>
          <t>Factor</t>
        </is>
      </c>
      <c r="F362" s="8" t="inlineStr">
        <is>
          <t>CoefficientPercent</t>
        </is>
      </c>
      <c r="G362" s="8" t="inlineStr">
        <is>
          <t>EffectiveHits</t>
        </is>
      </c>
      <c r="H362" s="8" t="inlineStr">
        <is>
          <t>ProcProbability</t>
        </is>
      </c>
      <c r="I362" s="8" t="inlineStr">
        <is>
          <t>MapleHeroMultiplier</t>
        </is>
      </c>
      <c r="J362" s="8" t="inlineStr">
        <is>
          <t>BaseDamage</t>
        </is>
      </c>
      <c r="K362" s="8" t="inlineStr">
        <is>
          <t>BaseHitDamage</t>
        </is>
      </c>
      <c r="L362" s="8" t="inlineStr">
        <is>
          <t>NonCritAvg</t>
        </is>
      </c>
      <c r="M362" s="8" t="inlineStr">
        <is>
          <t>CritAvg</t>
        </is>
      </c>
      <c r="N362" s="8" t="inlineStr">
        <is>
          <t>ExpectedDamage(perHit)</t>
        </is>
      </c>
      <c r="O362" s="8" t="inlineStr">
        <is>
          <t>DPS</t>
        </is>
      </c>
      <c r="P362" s="8" t="inlineStr">
        <is>
          <t>% of Total</t>
        </is>
      </c>
      <c r="Q362" s="8" t="inlineStr">
        <is>
          <t>InvCooldown</t>
        </is>
      </c>
      <c r="R362" s="8" t="inlineStr">
        <is>
          <t>CastsInFight</t>
        </is>
      </c>
      <c r="S362" s="8" t="inlineStr">
        <is>
          <t>HitRate(perSec)</t>
        </is>
      </c>
      <c r="U362" t="inlineStr">
        <is>
          <t>helpers</t>
        </is>
      </c>
    </row>
    <row r="363">
      <c r="A363">
        <f>Skills!A2</f>
        <v/>
      </c>
      <c r="B363">
        <f>Skills!B2</f>
        <v/>
      </c>
      <c r="C363">
        <f>Inputs!$B$3&gt;=100</f>
        <v/>
      </c>
      <c r="D363" t="inlineStr"/>
      <c r="E363" t="inlineStr"/>
      <c r="F363">
        <f>U365+Skills!O2</f>
        <v/>
      </c>
      <c r="G363">
        <f>Skills!G2*IF(Skills!H2&gt;0,Skills!I2/Skills!H2,1)</f>
        <v/>
      </c>
      <c r="H363">
        <f>1-(1-Skills!J2/100)^Skills!K2</f>
        <v/>
      </c>
      <c r="I363" t="inlineStr">
        <is>
          <t>1</t>
        </is>
      </c>
      <c r="J363">
        <f>(Inputs!$B$5*(1+Inputs!$B$6/100))*(F363/100)</f>
        <v/>
      </c>
      <c r="K363">
        <f>J363*(1+((Inputs!$B$11*(1+Inputs!$B$12/100))*0.01+Inputs!$B$13*0.0025)/100)*(1+Inputs!$B$14/100)*(1+IF(Inputs!$B$4="pvp",0,(1-Summary!$B$55)*(Inputs!$B$19+0+Skills!P2)+Summary!$B$55*(Inputs!$B$20+Skills!Q2))/100)*(1+Inputs!$B$15/100)*(5000/(6000+Inputs!$B$7*(1-(Inputs!$B$18+0)/100)))*(1+(Inputs!$B$23+((C387=TRUE)*(F387-Calc!F26))+B397)/100)*(1+(IF(Skills!A2="EIGHT_LEGS_EASTON",Inputs!$B$16+((C384=TRUE)*(F384-Calc!F23))+((C388=TRUE)*(F388-Calc!F27)),Inputs!$B$17+0))/100)*((1+(((C378=TRUE)*F378)+((C385=TRUE)*(F385-Calc!F24)))/100)*I363)</f>
        <v/>
      </c>
      <c r="L363">
        <f>K363*(MIN((Inputs!$B$21+1)+((C383=TRUE)*(F383-Calc!F22)),Inputs!$B$22+0)/100+(Inputs!$B$22+0)/100)/2</f>
        <v/>
      </c>
      <c r="M363">
        <f>L363*(1+(Inputs!$B$9+((C386=TRUE)*(F386-Calc!F25))+B396)/100)</f>
        <v/>
      </c>
      <c r="N363">
        <f>L363*(1-MIN((Inputs!$B$8+((C380=TRUE)*(F380-Calc!F19))+B391),100)/100)+M363*(MIN((Inputs!$B$8+((C380=TRUE)*(F380-Calc!F19))+B391),100)/100)</f>
        <v/>
      </c>
      <c r="O363">
        <f>IF(C363,Skills!G2*N363*B395*IF(Inputs!$B$4="pvp",1,(1-Summary!$B$55)*(1)+Summary!$B$55*(MIN((6+Inputs!$B$32),Inputs!$B$37))),0)</f>
        <v/>
      </c>
      <c r="P363">
        <f>IF(B399=0,0,O363/B399)</f>
        <v/>
      </c>
      <c r="Q363" t="n">
        <v>0</v>
      </c>
      <c r="R363" t="n">
        <v>0</v>
      </c>
      <c r="S363">
        <f>IFERROR(O363/N363,0)</f>
        <v/>
      </c>
      <c r="U363">
        <f>MAX(0,(Inputs!$B$3-100)*3)+Inputs!$B$27+Inputs!$B$28</f>
        <v/>
      </c>
    </row>
    <row r="364">
      <c r="A364">
        <f>Skills!A3</f>
        <v/>
      </c>
      <c r="B364">
        <f>Skills!B3</f>
        <v/>
      </c>
      <c r="C364">
        <f>Inputs!$B$3&gt;=35</f>
        <v/>
      </c>
      <c r="D364">
        <f>IF(Skills!C3=1,60+Inputs!$B$24+Inputs!$B$28,IF(Skills!C3=2,90+Inputs!$B$25+Inputs!$B$28,IF(Skills!C3=3,120+Inputs!$B$26+Inputs!$B$28,MAX(0,(Inputs!$B$3-100)*3)+Inputs!$B$27+Inputs!$B$28)))</f>
        <v/>
      </c>
      <c r="E364">
        <f>INDEX(FactorTable!$B$2:$Y$301, MATCH(ROUND(MIN(300,MAX(1,D364)),0), FactorTable!$A$2:$A$301,0), Skills!M3+1)</f>
        <v/>
      </c>
      <c r="F364">
        <f>IF(Skills!N3=TRUE,(Skills!L3/10)*(E364/1000),Skills!L3/10)+Skills!O3</f>
        <v/>
      </c>
      <c r="G364">
        <f>Skills!G3*IF(Skills!H3&gt;0,Skills!I3/Skills!H3,1)</f>
        <v/>
      </c>
      <c r="H364">
        <f>1-(1-Skills!J3/100)^Skills!K3</f>
        <v/>
      </c>
      <c r="I364" t="inlineStr">
        <is>
          <t>1</t>
        </is>
      </c>
      <c r="J364">
        <f>(Inputs!$B$5*(1+Inputs!$B$6/100))*(F364/100)</f>
        <v/>
      </c>
      <c r="K364">
        <f>J364*(1+((Inputs!$B$11*(1+Inputs!$B$12/100))*0.01+Inputs!$B$13*0.0025)/100)*(1+Inputs!$B$14/100)*(1+IF(Inputs!$B$4="pvp",0,(1-Summary!$B$55)*(Inputs!$B$19+0+Skills!P3)+Summary!$B$55*(Inputs!$B$20+Skills!Q3))/100)*(1+Inputs!$B$15/100)*(5000/(6000+Inputs!$B$7*(1-(Inputs!$B$18+0)/100)))*(1+(Inputs!$B$23+((C387=TRUE)*(F387-Calc!F26))+B397)/100)*(1+4.0*IF(C376=TRUE,F376,0)/100)*(1+(IF(Skills!A3="EIGHT_LEGS_EASTON",Inputs!$B$16+((C384=TRUE)*(F384-Calc!F23))+((C388=TRUE)*(F388-Calc!F27)),Inputs!$B$17+0))/100)*((1+(((C378=TRUE)*F378)+((C385=TRUE)*(F385-Calc!F24)))/100)*I364)</f>
        <v/>
      </c>
      <c r="L364">
        <f>K364*(MIN((Inputs!$B$21+1)+((C383=TRUE)*(F383-Calc!F22)),Inputs!$B$22+0)/100+(Inputs!$B$22+0)/100)/2</f>
        <v/>
      </c>
      <c r="M364">
        <f>L364*(1+(Inputs!$B$9+((C386=TRUE)*(F386-Calc!F25))+B396)/100)</f>
        <v/>
      </c>
      <c r="N364">
        <f>L364*(1-MIN((Inputs!$B$8+((C380=TRUE)*(F380-Calc!F19))+B391),100)/100)+M364*(MIN((Inputs!$B$8+((C380=TRUE)*(F380-Calc!F19))+B391),100)/100)</f>
        <v/>
      </c>
      <c r="O364">
        <f>IF(C364,H364*N364*IF(AND(Inputs!$B$4&lt;&gt;"pvp",Inputs!$B$35&gt;0),((Skills!G3*((R364-1)*IF(Skills!H3&gt;0,Skills!I3/Skills!H3,1)+IF(Skills!H3&gt;0,MIN(Skills!I3,MAX(0,Inputs!$B$35-((R364-1)*IF(Inputs!$B$4="pvp",15,MAX(0.1,Skills!D3-IF(Skills!E3=TRUE,Inputs!$B$31,0))))))/Skills!H3,1)))/Inputs!$B$35),G364*Q364)*IF(Inputs!$B$4="pvp",1,(1-Summary!$B$55)*(1)+Summary!$B$55*(MIN(Skills!R3,Inputs!$B$37))),0)</f>
        <v/>
      </c>
      <c r="P364">
        <f>IF(B399=0,0,O364/B399)</f>
        <v/>
      </c>
      <c r="Q364">
        <f>IFERROR(1/IF(Inputs!$B$4="pvp",15,MAX(0.1,Skills!D3-IF(Skills!E3=TRUE,Inputs!$B$31,0))),0)</f>
        <v/>
      </c>
      <c r="R364">
        <f>IF(AND(Inputs!$B$4&lt;&gt;"pvp",Inputs!$B$35&gt;0),(INT(Inputs!$B$35/IF(Inputs!$B$4="pvp",15,MAX(0.1,Skills!D3-IF(Skills!E3=TRUE,Inputs!$B$31,0))))+1),0)</f>
        <v/>
      </c>
      <c r="S364">
        <f>IFERROR(O364/N364,0)</f>
        <v/>
      </c>
      <c r="U364">
        <f>INDEX(FactorTable!$B$2:$Y$301, MATCH(ROUND(MIN(300,MAX(1,U363)),0), FactorTable!$A$2:$A$301,0), 22)</f>
        <v/>
      </c>
    </row>
    <row r="365">
      <c r="A365">
        <f>Skills!A4</f>
        <v/>
      </c>
      <c r="B365">
        <f>Skills!B4</f>
        <v/>
      </c>
      <c r="C365">
        <f>Inputs!$B$3&gt;=40</f>
        <v/>
      </c>
      <c r="D365">
        <f>IF(Skills!C4=1,60+Inputs!$B$24+Inputs!$B$28,IF(Skills!C4=2,90+Inputs!$B$25+Inputs!$B$28,IF(Skills!C4=3,120+Inputs!$B$26+Inputs!$B$28,MAX(0,(Inputs!$B$3-100)*3)+Inputs!$B$27+Inputs!$B$28)))</f>
        <v/>
      </c>
      <c r="E365">
        <f>INDEX(FactorTable!$B$2:$Y$301, MATCH(ROUND(MIN(300,MAX(1,D365)),0), FactorTable!$A$2:$A$301,0), Skills!M4+1)</f>
        <v/>
      </c>
      <c r="F365">
        <f>IF(Skills!N4=TRUE,(Skills!L4/10)*(E365/1000),Skills!L4/10)+Skills!O4</f>
        <v/>
      </c>
      <c r="G365">
        <f>Skills!G4*IF(Skills!H4&gt;0,Skills!I4/Skills!H4,1)</f>
        <v/>
      </c>
      <c r="H365">
        <f>1-(1-Skills!J4/100)^Skills!K4</f>
        <v/>
      </c>
      <c r="I365" t="inlineStr">
        <is>
          <t>1</t>
        </is>
      </c>
      <c r="J365">
        <f>(Inputs!$B$5*(1+Inputs!$B$6/100))*(F365/100)</f>
        <v/>
      </c>
      <c r="K365">
        <f>J365*(1+((Inputs!$B$11*(1+Inputs!$B$12/100))*0.01+Inputs!$B$13*0.0025)/100)*(1+Inputs!$B$14/100)*(1+IF(Inputs!$B$4="pvp",0,(1-Summary!$B$55)*(Inputs!$B$19+0+Skills!P4)+Summary!$B$55*(Inputs!$B$20+Skills!Q4))/100)*(1+Inputs!$B$15/100)*(5000/(6000+Inputs!$B$7*(1-(Inputs!$B$18+0)/100)))*(1+(Inputs!$B$23+((C387=TRUE)*(F387-Calc!F26))+B397)/100)*(1+1.0*IF(C377=TRUE,F377,0)/100)*(1+(IF(Skills!A4="EIGHT_LEGS_EASTON",Inputs!$B$16+((C384=TRUE)*(F384-Calc!F23))+((C388=TRUE)*(F388-Calc!F27)),Inputs!$B$17+0))/100)*((1+(((C378=TRUE)*F378)+((C385=TRUE)*(F385-Calc!F24)))/100)*I365)</f>
        <v/>
      </c>
      <c r="L365">
        <f>K365*(MIN((Inputs!$B$21+1)+((C383=TRUE)*(F383-Calc!F22)),Inputs!$B$22+0)/100+(Inputs!$B$22+0)/100)/2</f>
        <v/>
      </c>
      <c r="M365">
        <f>L365*(1+(Inputs!$B$9+((C386=TRUE)*(F386-Calc!F25))+B396)/100)</f>
        <v/>
      </c>
      <c r="N365">
        <f>L365*(1-MIN((Inputs!$B$8+((C380=TRUE)*(F380-Calc!F19))+B391),100)/100)+M365*(MIN((Inputs!$B$8+((C380=TRUE)*(F380-Calc!F19))+B391),100)/100)</f>
        <v/>
      </c>
      <c r="O365">
        <f>IF(C365,H365*N365*IF(AND(Inputs!$B$4&lt;&gt;"pvp",Inputs!$B$35&gt;0),((Skills!G4*((R365-1)*IF(Skills!H4&gt;0,Skills!I4/Skills!H4,1)+IF(Skills!H4&gt;0,MIN(Skills!I4,MAX(0,Inputs!$B$35-((R365-1)*IF(Inputs!$B$4="pvp",15,MAX(0.1,Skills!D4-IF(Skills!E4=TRUE,Inputs!$B$31,0))))))/Skills!H4,1)))/Inputs!$B$35),G365*Q365)*IF(Inputs!$B$4="pvp",1,(1-Summary!$B$55)*(1)+Summary!$B$55*(MIN(Skills!R4,Inputs!$B$37))),0)</f>
        <v/>
      </c>
      <c r="P365">
        <f>IF(B399=0,0,O365/B399)</f>
        <v/>
      </c>
      <c r="Q365">
        <f>IFERROR(1/IF(Inputs!$B$4="pvp",15,MAX(0.1,Skills!D4-IF(Skills!E4=TRUE,Inputs!$B$31,0))),0)</f>
        <v/>
      </c>
      <c r="R365">
        <f>IF(AND(Inputs!$B$4&lt;&gt;"pvp",Inputs!$B$35&gt;0),(INT(Inputs!$B$35/IF(Inputs!$B$4="pvp",15,MAX(0.1,Skills!D4-IF(Skills!E4=TRUE,Inputs!$B$31,0))))+1),0)</f>
        <v/>
      </c>
      <c r="S365">
        <f>IFERROR(O365/N365,0)</f>
        <v/>
      </c>
      <c r="U365">
        <f>290*U364/1000</f>
        <v/>
      </c>
    </row>
    <row r="366">
      <c r="A366">
        <f>Skills!A5</f>
        <v/>
      </c>
      <c r="B366">
        <f>Skills!B5</f>
        <v/>
      </c>
      <c r="C366">
        <f>Inputs!$B$3&gt;=45</f>
        <v/>
      </c>
      <c r="D366">
        <f>IF(Skills!C5=1,60+Inputs!$B$24+Inputs!$B$28,IF(Skills!C5=2,90+Inputs!$B$25+Inputs!$B$28,IF(Skills!C5=3,120+Inputs!$B$26+Inputs!$B$28,MAX(0,(Inputs!$B$3-100)*3)+Inputs!$B$27+Inputs!$B$28)))</f>
        <v/>
      </c>
      <c r="E366">
        <f>INDEX(FactorTable!$B$2:$Y$301, MATCH(ROUND(MIN(300,MAX(1,D366)),0), FactorTable!$A$2:$A$301,0), Skills!M5+1)</f>
        <v/>
      </c>
      <c r="F366">
        <f>IF(Skills!N5=TRUE,(Skills!L5/10)*(E366/1000),Skills!L5/10)+Skills!O5</f>
        <v/>
      </c>
      <c r="G366">
        <f>Skills!G5*IF(Skills!H5&gt;0,Skills!I5/Skills!H5,1)</f>
        <v/>
      </c>
      <c r="H366">
        <f>1-(1-Skills!J5/100)^Skills!K5</f>
        <v/>
      </c>
      <c r="I366" t="inlineStr">
        <is>
          <t>1</t>
        </is>
      </c>
      <c r="J366">
        <f>(Inputs!$B$5*(1+Inputs!$B$6/100))*(F366/100)</f>
        <v/>
      </c>
      <c r="K366">
        <f>J366*(1+((Inputs!$B$11*(1+Inputs!$B$12/100))*0.01+Inputs!$B$13*0.0025)/100)*(1+Inputs!$B$14/100)*(1+IF(Inputs!$B$4="pvp",0,(1-Summary!$B$55)*(Inputs!$B$19+0+Skills!P5)+Summary!$B$55*(Inputs!$B$20+Skills!Q5))/100)*(1+Inputs!$B$15/100)*(5000/(6000+Inputs!$B$7*(1-(Inputs!$B$18+0)/100)))*(1+(Inputs!$B$23+((C387=TRUE)*(F387-Calc!F26))+B397)/100)*(1+0.4*IF(C377=TRUE,F377,0)/100)*(1+(IF(Skills!A5="EIGHT_LEGS_EASTON",Inputs!$B$16+((C384=TRUE)*(F384-Calc!F23))+((C388=TRUE)*(F388-Calc!F27)),Inputs!$B$17+0))/100)*((1+(((C378=TRUE)*F378)+((C385=TRUE)*(F385-Calc!F24)))/100)*I366)</f>
        <v/>
      </c>
      <c r="L366">
        <f>K366*(MIN((Inputs!$B$21+1)+((C383=TRUE)*(F383-Calc!F22)),Inputs!$B$22+0)/100+(Inputs!$B$22+0)/100)/2</f>
        <v/>
      </c>
      <c r="M366">
        <f>L366*(1+(Inputs!$B$9+((C386=TRUE)*(F386-Calc!F25))+B396)/100)</f>
        <v/>
      </c>
      <c r="N366">
        <f>L366*(1-MIN((Inputs!$B$8+((C380=TRUE)*(F380-Calc!F19))+B391),100)/100)+M366*(MIN((Inputs!$B$8+((C380=TRUE)*(F380-Calc!F19))+B391),100)/100)</f>
        <v/>
      </c>
      <c r="O366">
        <f>IF(C366,H366*N366*IF(AND(Inputs!$B$4&lt;&gt;"pvp",Inputs!$B$35&gt;0),((Skills!G5*((R366-1)*IF(Skills!H5&gt;0,Skills!I5/Skills!H5,1)+IF(Skills!H5&gt;0,MIN(Skills!I5,MAX(0,Inputs!$B$35-((R366-1)*IF(Inputs!$B$4="pvp",15,MAX(0.1,Skills!D5-IF(Skills!E5=TRUE,Inputs!$B$31,0))))))/Skills!H5,1)))/Inputs!$B$35),G366*Q366)*IF(Inputs!$B$4="pvp",1,(1-Summary!$B$55)*(1)+Summary!$B$55*(MIN(Skills!R5,Inputs!$B$37))),0)</f>
        <v/>
      </c>
      <c r="P366">
        <f>IF(B399=0,0,O366/B399)</f>
        <v/>
      </c>
      <c r="Q366">
        <f>IFERROR(1/IF(Inputs!$B$4="pvp",15,MAX(0.1,Skills!D5-IF(Skills!E5=TRUE,Inputs!$B$31,0))),0)</f>
        <v/>
      </c>
      <c r="R366">
        <f>IF(AND(Inputs!$B$4&lt;&gt;"pvp",Inputs!$B$35&gt;0),(INT(Inputs!$B$35/IF(Inputs!$B$4="pvp",15,MAX(0.1,Skills!D5-IF(Skills!E5=TRUE,Inputs!$B$31,0))))+1),0)</f>
        <v/>
      </c>
      <c r="S366">
        <f>IFERROR(O366/N366,0)</f>
        <v/>
      </c>
    </row>
    <row r="367">
      <c r="A367">
        <f>Skills!A6</f>
        <v/>
      </c>
      <c r="B367">
        <f>Skills!B6</f>
        <v/>
      </c>
      <c r="C367">
        <f>Inputs!$B$3&gt;=63</f>
        <v/>
      </c>
      <c r="D367">
        <f>IF(Skills!C6=1,60+Inputs!$B$24+Inputs!$B$28,IF(Skills!C6=2,90+Inputs!$B$25+Inputs!$B$28,IF(Skills!C6=3,120+Inputs!$B$26+Inputs!$B$28,MAX(0,(Inputs!$B$3-100)*3)+Inputs!$B$27+Inputs!$B$28)))</f>
        <v/>
      </c>
      <c r="E367">
        <f>INDEX(FactorTable!$B$2:$Y$301, MATCH(ROUND(MIN(300,MAX(1,D367)),0), FactorTable!$A$2:$A$301,0), Skills!M6+1)</f>
        <v/>
      </c>
      <c r="F367">
        <f>IF(Skills!N6=TRUE,(Skills!L6/10)*(E367/1000),Skills!L6/10)+Skills!O6</f>
        <v/>
      </c>
      <c r="G367">
        <f>Skills!G6*IF(Skills!H6&gt;0,Skills!I6/Skills!H6,1)</f>
        <v/>
      </c>
      <c r="H367">
        <f>1-(1-Skills!J6/100)^Skills!K6</f>
        <v/>
      </c>
      <c r="I367" t="inlineStr">
        <is>
          <t>1</t>
        </is>
      </c>
      <c r="J367">
        <f>(Inputs!$B$5*(1+Inputs!$B$6/100))*(F367/100)</f>
        <v/>
      </c>
      <c r="K367">
        <f>J367*(1+((Inputs!$B$11*(1+Inputs!$B$12/100))*0.01+Inputs!$B$13*0.0025)/100)*(1+Inputs!$B$14/100)*(1+IF(Inputs!$B$4="pvp",0,(1-Summary!$B$55)*(Inputs!$B$19+0+Skills!P6)+Summary!$B$55*(Inputs!$B$20+Skills!Q6))/100)*(1+Inputs!$B$15/100)*(5000/(6000+Inputs!$B$7*(1-(Inputs!$B$18+0)/100)))*(1+(Inputs!$B$23+((C387=TRUE)*(F387-Calc!F26))+B397)/100)*(1+2.0*IF(C376=TRUE,F376,0)/100)*(1+(IF(Skills!A6="EIGHT_LEGS_EASTON",Inputs!$B$16+((C384=TRUE)*(F384-Calc!F23))+((C388=TRUE)*(F388-Calc!F27)),Inputs!$B$17+0))/100)*((1+(((C378=TRUE)*F378)+((C385=TRUE)*(F385-Calc!F24)))/100)*I367)</f>
        <v/>
      </c>
      <c r="L367">
        <f>K367*(MIN((Inputs!$B$21+1)+((C383=TRUE)*(F383-Calc!F22)),Inputs!$B$22+0)/100+(Inputs!$B$22+0)/100)/2</f>
        <v/>
      </c>
      <c r="M367">
        <f>L367*(1+(Inputs!$B$9+((C386=TRUE)*(F386-Calc!F25))+B396)/100)</f>
        <v/>
      </c>
      <c r="N367">
        <f>L367*(1-MIN((Inputs!$B$8+((C380=TRUE)*(F380-Calc!F19))+B391),100)/100)+M367*(MIN((Inputs!$B$8+((C380=TRUE)*(F380-Calc!F19))+B391),100)/100)</f>
        <v/>
      </c>
      <c r="O367">
        <f>IF(C367,H367*N367*IF(AND(Inputs!$B$4&lt;&gt;"pvp",Inputs!$B$35&gt;0),((Skills!G6*((R367-1)*IF(Skills!H6&gt;0,Skills!I6/Skills!H6,1)+IF(Skills!H6&gt;0,MIN(Skills!I6,MAX(0,Inputs!$B$35-((R367-1)*IF(Inputs!$B$4="pvp",15,MAX(0.1,Skills!D6-IF(Skills!E6=TRUE,Inputs!$B$31,0))))))/Skills!H6,1)))/Inputs!$B$35),G367*Q367)*IF(Inputs!$B$4="pvp",1,(1-Summary!$B$55)*(1)+Summary!$B$55*(MIN(Skills!R6,Inputs!$B$37))),0)</f>
        <v/>
      </c>
      <c r="P367">
        <f>IF(B399=0,0,O367/B399)</f>
        <v/>
      </c>
      <c r="Q367">
        <f>IFERROR(1/IF(Inputs!$B$4="pvp",15,MAX(0.1,Skills!D6-IF(Skills!E6=TRUE,Inputs!$B$31,0))),0)</f>
        <v/>
      </c>
      <c r="R367">
        <f>IF(AND(Inputs!$B$4&lt;&gt;"pvp",Inputs!$B$35&gt;0),(INT(Inputs!$B$35/IF(Inputs!$B$4="pvp",15,MAX(0.1,Skills!D6-IF(Skills!E6=TRUE,Inputs!$B$31,0))))+1),0)</f>
        <v/>
      </c>
      <c r="S367">
        <f>IFERROR(O367/N367,0)</f>
        <v/>
      </c>
    </row>
    <row r="368">
      <c r="A368">
        <f>Skills!A7</f>
        <v/>
      </c>
      <c r="B368">
        <f>Skills!B7</f>
        <v/>
      </c>
      <c r="C368">
        <f>Inputs!$B$3&gt;=66</f>
        <v/>
      </c>
      <c r="D368">
        <f>IF(Skills!C7=1,60+Inputs!$B$24+Inputs!$B$28,IF(Skills!C7=2,90+Inputs!$B$25+Inputs!$B$28,IF(Skills!C7=3,120+Inputs!$B$26+Inputs!$B$28,MAX(0,(Inputs!$B$3-100)*3)+Inputs!$B$27+Inputs!$B$28)))</f>
        <v/>
      </c>
      <c r="E368">
        <f>INDEX(FactorTable!$B$2:$Y$301, MATCH(ROUND(MIN(300,MAX(1,D368)),0), FactorTable!$A$2:$A$301,0), Skills!M7+1)</f>
        <v/>
      </c>
      <c r="F368">
        <f>IF(Skills!N7=TRUE,(Skills!L7/10)*(E368/1000),Skills!L7/10)+Skills!O7</f>
        <v/>
      </c>
      <c r="G368">
        <f>Skills!G7*IF(Skills!H7&gt;0,Skills!I7/Skills!H7,1)</f>
        <v/>
      </c>
      <c r="H368">
        <f>1-(1-Skills!J7/100)^Skills!K7</f>
        <v/>
      </c>
      <c r="I368" t="inlineStr">
        <is>
          <t>1</t>
        </is>
      </c>
      <c r="J368">
        <f>(Inputs!$B$5*(1+Inputs!$B$6/100))*(F368/100)</f>
        <v/>
      </c>
      <c r="K368">
        <f>J368*(1+((Inputs!$B$11*(1+Inputs!$B$12/100))*0.01+Inputs!$B$13*0.0025)/100)*(1+Inputs!$B$14/100)*(1+IF(Inputs!$B$4="pvp",0,(1-Summary!$B$55)*(Inputs!$B$19+0+Skills!P7)+Summary!$B$55*(Inputs!$B$20+Skills!Q7))/100)*(1+Inputs!$B$15/100)*(5000/(6000+Inputs!$B$7*(1-(Inputs!$B$18+0)/100)))*(1+(Inputs!$B$23+((C387=TRUE)*(F387-Calc!F26))+B397)/100)*(1+1.0*IF(C376=TRUE,F376,0)/100)*(1+(IF(Skills!A7="EIGHT_LEGS_EASTON",Inputs!$B$16+((C384=TRUE)*(F384-Calc!F23))+((C388=TRUE)*(F388-Calc!F27)),Inputs!$B$17+0))/100)*((1+(((C378=TRUE)*F378)+((C385=TRUE)*(F385-Calc!F24)))/100)*I368)</f>
        <v/>
      </c>
      <c r="L368">
        <f>K368*(MIN((Inputs!$B$21+1)+((C383=TRUE)*(F383-Calc!F22)),Inputs!$B$22+0)/100+(Inputs!$B$22+0)/100)/2</f>
        <v/>
      </c>
      <c r="M368">
        <f>L368*(1+(Inputs!$B$9+((C386=TRUE)*(F386-Calc!F25))+B396)/100)</f>
        <v/>
      </c>
      <c r="N368">
        <f>L368*(1-MIN((Inputs!$B$8+((C380=TRUE)*(F380-Calc!F19))+B391),100)/100)+M368*(MIN((Inputs!$B$8+((C380=TRUE)*(F380-Calc!F19))+B391),100)/100)</f>
        <v/>
      </c>
      <c r="O368">
        <f>IF(C368,H368*N368*IF(AND(Inputs!$B$4&lt;&gt;"pvp",Inputs!$B$35&gt;0),((Skills!G7*((R368-1)*IF(Skills!H7&gt;0,Skills!I7/Skills!H7,1)+IF(Skills!H7&gt;0,MIN(Skills!I7,MAX(0,Inputs!$B$35-((R368-1)*IF(Inputs!$B$4="pvp",15,MAX(0.1,Skills!D7-IF(Skills!E7=TRUE,Inputs!$B$31,0))))))/Skills!H7,1)))/Inputs!$B$35),G368*Q368)*IF(Inputs!$B$4="pvp",1,(1-Summary!$B$55)*(1)+Summary!$B$55*(MIN(Skills!R7,Inputs!$B$37))),0)</f>
        <v/>
      </c>
      <c r="P368">
        <f>IF(B399=0,0,O368/B399)</f>
        <v/>
      </c>
      <c r="Q368">
        <f>IFERROR(1/IF(Inputs!$B$4="pvp",15,MAX(0.1,Skills!D7-IF(Skills!E7=TRUE,Inputs!$B$31,0))),0)</f>
        <v/>
      </c>
      <c r="R368">
        <f>IF(AND(Inputs!$B$4&lt;&gt;"pvp",Inputs!$B$35&gt;0),(INT(Inputs!$B$35/IF(Inputs!$B$4="pvp",15,MAX(0.1,Skills!D7-IF(Skills!E7=TRUE,Inputs!$B$31,0))))+1),0)</f>
        <v/>
      </c>
      <c r="S368">
        <f>IFERROR(O368/N368,0)</f>
        <v/>
      </c>
    </row>
    <row r="369">
      <c r="A369">
        <f>Skills!A8</f>
        <v/>
      </c>
      <c r="B369">
        <f>Skills!B8</f>
        <v/>
      </c>
      <c r="C369">
        <f>Inputs!$B$3&gt;=100</f>
        <v/>
      </c>
      <c r="D369">
        <f>IF(Skills!C8=1,60+Inputs!$B$24+Inputs!$B$28,IF(Skills!C8=2,90+Inputs!$B$25+Inputs!$B$28,IF(Skills!C8=3,120+Inputs!$B$26+Inputs!$B$28,MAX(0,(Inputs!$B$3-100)*3)+Inputs!$B$27+Inputs!$B$28)))</f>
        <v/>
      </c>
      <c r="E369">
        <f>INDEX(FactorTable!$B$2:$Y$301, MATCH(ROUND(MIN(300,MAX(1,D369)),0), FactorTable!$A$2:$A$301,0), Skills!M8+1)</f>
        <v/>
      </c>
      <c r="F369">
        <f>IF(Skills!N8=TRUE,(Skills!L8/10)*(E369/1000),Skills!L8/10)+Skills!O8</f>
        <v/>
      </c>
      <c r="G369">
        <f>Skills!G8*IF(Skills!H8&gt;0,Skills!I8/Skills!H8,1)</f>
        <v/>
      </c>
      <c r="H369">
        <f>1-(1-Skills!J8/100)^Skills!K8</f>
        <v/>
      </c>
      <c r="I369" t="inlineStr">
        <is>
          <t>1</t>
        </is>
      </c>
      <c r="J369">
        <f>(Inputs!$B$5*(1+Inputs!$B$6/100))*(F369/100)</f>
        <v/>
      </c>
      <c r="K369">
        <f>J369*(1+((Inputs!$B$11*(1+Inputs!$B$12/100))*0.01+Inputs!$B$13*0.0025)/100)*(1+Inputs!$B$14/100)*(1+IF(Inputs!$B$4="pvp",0,(1-Summary!$B$55)*(Inputs!$B$19+0+Skills!P8)+Summary!$B$55*(Inputs!$B$20+Skills!Q8))/100)*(1+Inputs!$B$15/100)*(5000/(6000+Inputs!$B$7*(1-(Inputs!$B$18+0)/100)))*(1+(Inputs!$B$23+((C387=TRUE)*(F387-Calc!F26))+B397)/100)*(1+(IF(Skills!A8="EIGHT_LEGS_EASTON",Inputs!$B$16+((C384=TRUE)*(F384-Calc!F23))+((C388=TRUE)*(F388-Calc!F27)),Inputs!$B$17+0))/100)*((1+(((C378=TRUE)*F378)+((C385=TRUE)*(F385-Calc!F24)))/100)*I369)</f>
        <v/>
      </c>
      <c r="L369">
        <f>K369*(MIN((Inputs!$B$21+1)+((C383=TRUE)*(F383-Calc!F22)),Inputs!$B$22+0)/100+(Inputs!$B$22+0)/100)/2</f>
        <v/>
      </c>
      <c r="M369">
        <f>L369*(1+(Inputs!$B$9+((C386=TRUE)*(F386-Calc!F25))+B396)/100)</f>
        <v/>
      </c>
      <c r="N369">
        <f>L369*(1-MIN((Inputs!$B$8+((C380=TRUE)*(F380-Calc!F19))+B391),100)/100)+M369*(MIN((Inputs!$B$8+((C380=TRUE)*(F380-Calc!F19))+B391),100)/100)</f>
        <v/>
      </c>
      <c r="O369">
        <f>IF(C369,H369*N369*IF(AND(Inputs!$B$4&lt;&gt;"pvp",Inputs!$B$35&gt;0),((Skills!G8*((R369-1)*IF(Skills!H8&gt;0,Skills!I8/Skills!H8,1)+IF(Skills!H8&gt;0,MIN(Skills!I8,MAX(0,Inputs!$B$35-((R369-1)*IF(Inputs!$B$4="pvp",15,MAX(0.1,Skills!D8-IF(Skills!E8=TRUE,Inputs!$B$31,0))))))/Skills!H8,1)))/Inputs!$B$35),G369*Q369)*IF(Inputs!$B$4="pvp",1,(1-Summary!$B$55)*(1)+Summary!$B$55*(MIN(Skills!R8,Inputs!$B$37))),0)</f>
        <v/>
      </c>
      <c r="P369">
        <f>IF(B399=0,0,O369/B399)</f>
        <v/>
      </c>
      <c r="Q369">
        <f>IFERROR(1/IF(Inputs!$B$4="pvp",15,MAX(0.1,Skills!D8-IF(Skills!E8=TRUE,Inputs!$B$31,0))),0)</f>
        <v/>
      </c>
      <c r="R369">
        <f>IF(AND(Inputs!$B$4&lt;&gt;"pvp",Inputs!$B$35&gt;0),(INT(Inputs!$B$35/IF(Inputs!$B$4="pvp",15,MAX(0.1,Skills!D8-IF(Skills!E8=TRUE,Inputs!$B$31,0))))+1),0)</f>
        <v/>
      </c>
      <c r="S369">
        <f>IFERROR(O369/N369,0)</f>
        <v/>
      </c>
    </row>
    <row r="370">
      <c r="A370">
        <f>Skills!A9</f>
        <v/>
      </c>
      <c r="B370">
        <f>Skills!B9</f>
        <v/>
      </c>
      <c r="C370">
        <f>Inputs!$B$3&gt;=103</f>
        <v/>
      </c>
      <c r="D370">
        <f>IF(Skills!C9=1,60+Inputs!$B$24+Inputs!$B$28,IF(Skills!C9=2,90+Inputs!$B$25+Inputs!$B$28,IF(Skills!C9=3,120+Inputs!$B$26+Inputs!$B$28,MAX(0,(Inputs!$B$3-100)*3)+Inputs!$B$27+Inputs!$B$28)))</f>
        <v/>
      </c>
      <c r="E370">
        <f>INDEX(FactorTable!$B$2:$Y$301, MATCH(ROUND(MIN(300,MAX(1,D370)),0), FactorTable!$A$2:$A$301,0), Skills!M9+1)</f>
        <v/>
      </c>
      <c r="F370">
        <f>IF(Skills!N9=TRUE,(Skills!L9/10)*(E370/1000),Skills!L9/10)+Skills!O9</f>
        <v/>
      </c>
      <c r="G370">
        <f>Skills!G9*IF(Skills!H9&gt;0,Skills!I9/Skills!H9,1)</f>
        <v/>
      </c>
      <c r="H370">
        <f>1-(1-Skills!J9/100)^Skills!K9</f>
        <v/>
      </c>
      <c r="I370" t="inlineStr">
        <is>
          <t>1</t>
        </is>
      </c>
      <c r="J370">
        <f>(Inputs!$B$5*(1+Inputs!$B$6/100))*(F370/100)</f>
        <v/>
      </c>
      <c r="K370">
        <f>J370*(1+((Inputs!$B$11*(1+Inputs!$B$12/100))*0.01+Inputs!$B$13*0.0025)/100)*(1+Inputs!$B$14/100)*(1+IF(Inputs!$B$4="pvp",0,(1-Summary!$B$55)*(Inputs!$B$19+0+Skills!P9)+Summary!$B$55*(Inputs!$B$20+Skills!Q9))/100)*(1+Inputs!$B$15/100)*(5000/(6000+Inputs!$B$7*(1-(Inputs!$B$18+0)/100)))*(1+(Inputs!$B$23+((C387=TRUE)*(F387-Calc!F26))+B397)/100)*(1+(IF(Skills!A9="EIGHT_LEGS_EASTON",Inputs!$B$16+((C384=TRUE)*(F384-Calc!F23))+((C388=TRUE)*(F388-Calc!F27)),Inputs!$B$17+0))/100)*((1+(((C378=TRUE)*F378)+((C385=TRUE)*(F385-Calc!F24)))/100)*I370)</f>
        <v/>
      </c>
      <c r="L370">
        <f>K370*(MIN((Inputs!$B$21+1)+((C383=TRUE)*(F383-Calc!F22)),Inputs!$B$22+0)/100+(Inputs!$B$22+0)/100)/2</f>
        <v/>
      </c>
      <c r="M370">
        <f>L370*(1+(Inputs!$B$9+((C386=TRUE)*(F386-Calc!F25))+B396)/100)</f>
        <v/>
      </c>
      <c r="N370">
        <f>L370*(1-MIN((Inputs!$B$8+((C380=TRUE)*(F380-Calc!F19))+B391),100)/100)+M370*(MIN((Inputs!$B$8+((C380=TRUE)*(F380-Calc!F19))+B391),100)/100)</f>
        <v/>
      </c>
      <c r="O370">
        <f>IF(C370,H370*N370*IF(AND(Inputs!$B$4&lt;&gt;"pvp",Inputs!$B$35&gt;0),((Skills!G9*((R370-1)*IF(Skills!H9&gt;0,Skills!I9/Skills!H9,1)+IF(Skills!H9&gt;0,MIN(Skills!I9,MAX(0,Inputs!$B$35-((R370-1)*IF(Inputs!$B$4="pvp",15,MAX(0.1,Skills!D9-IF(Skills!E9=TRUE,Inputs!$B$31,0))))))/Skills!H9,1)))/Inputs!$B$35),G370*Q370)*IF(Inputs!$B$4="pvp",1,(1-Summary!$B$55)*(1)+Summary!$B$55*(MIN(Skills!R9,Inputs!$B$37))),0)</f>
        <v/>
      </c>
      <c r="P370">
        <f>IF(B399=0,0,O370/B399)</f>
        <v/>
      </c>
      <c r="Q370">
        <f>IFERROR(1/IF(Inputs!$B$4="pvp",15,MAX(0.1,Skills!D9-IF(Skills!E9=TRUE,Inputs!$B$31,0))),0)</f>
        <v/>
      </c>
      <c r="R370">
        <f>IF(AND(Inputs!$B$4&lt;&gt;"pvp",Inputs!$B$35&gt;0),(INT(Inputs!$B$35/IF(Inputs!$B$4="pvp",15,MAX(0.1,Skills!D9-IF(Skills!E9=TRUE,Inputs!$B$31,0))))+1),0)</f>
        <v/>
      </c>
      <c r="S370">
        <f>IFERROR(O370/N370,0)</f>
        <v/>
      </c>
    </row>
    <row r="371">
      <c r="A371">
        <f>Skills!A10</f>
        <v/>
      </c>
      <c r="B371">
        <f>Skills!B10</f>
        <v/>
      </c>
      <c r="C371">
        <f>Inputs!$B$3&gt;=113</f>
        <v/>
      </c>
      <c r="D371">
        <f>IF(Skills!C10=1,60+Inputs!$B$24+Inputs!$B$28,IF(Skills!C10=2,90+Inputs!$B$25+Inputs!$B$28,IF(Skills!C10=3,120+Inputs!$B$26+Inputs!$B$28,MAX(0,(Inputs!$B$3-100)*3)+Inputs!$B$27+Inputs!$B$28)))</f>
        <v/>
      </c>
      <c r="E371">
        <f>INDEX(FactorTable!$B$2:$Y$301, MATCH(ROUND(MIN(300,MAX(1,D371)),0), FactorTable!$A$2:$A$301,0), Skills!M10+1)</f>
        <v/>
      </c>
      <c r="F371">
        <f>IF(Skills!N10=TRUE,(Skills!L10/10)*(E371/1000),Skills!L10/10)+Skills!O10</f>
        <v/>
      </c>
      <c r="G371">
        <f>Skills!G10*IF(Skills!H10&gt;0,Skills!I10/Skills!H10,1)</f>
        <v/>
      </c>
      <c r="H371">
        <f>1-(1-Skills!J10/100)^Skills!K10</f>
        <v/>
      </c>
      <c r="I371" t="inlineStr">
        <is>
          <t>1</t>
        </is>
      </c>
      <c r="J371">
        <f>(Inputs!$B$5*(1+Inputs!$B$6/100))*(F371/100)</f>
        <v/>
      </c>
      <c r="K371">
        <f>J371*(1+((Inputs!$B$11*(1+Inputs!$B$12/100))*0.01+Inputs!$B$13*0.0025)/100)*(1+Inputs!$B$14/100)*(1+IF(Inputs!$B$4="pvp",0,(1-Summary!$B$55)*(Inputs!$B$19+0+Skills!P10)+Summary!$B$55*(Inputs!$B$20+Skills!Q10))/100)*(1+Inputs!$B$15/100)*(5000/(6000+Inputs!$B$7*(1-(Inputs!$B$18+0)/100)))*(1+(Inputs!$B$23+((C387=TRUE)*(F387-Calc!F26))+B397)/100)*(1+(IF(Skills!A10="EIGHT_LEGS_EASTON",Inputs!$B$16+((C384=TRUE)*(F384-Calc!F23))+((C388=TRUE)*(F388-Calc!F27)),Inputs!$B$17+0))/100)*((1+(((C378=TRUE)*F378)+((C385=TRUE)*(F385-Calc!F24)))/100)*I371)</f>
        <v/>
      </c>
      <c r="L371">
        <f>K371*(MIN((Inputs!$B$21+1)+((C383=TRUE)*(F383-Calc!F22)),Inputs!$B$22+0)/100+(Inputs!$B$22+0)/100)/2</f>
        <v/>
      </c>
      <c r="M371">
        <f>L371*(1+(Inputs!$B$9+((C386=TRUE)*(F386-Calc!F25))+B396)/100)</f>
        <v/>
      </c>
      <c r="N371">
        <f>L371*(1-MIN((Inputs!$B$8+((C380=TRUE)*(F380-Calc!F19))+B391),100)/100)+M371*(MIN((Inputs!$B$8+((C380=TRUE)*(F380-Calc!F19))+B391),100)/100)</f>
        <v/>
      </c>
      <c r="O371">
        <f>IF(C371,H371*N371*IF(AND(Inputs!$B$4&lt;&gt;"pvp",Inputs!$B$35&gt;0),((Skills!G10*((R371-1)*IF(Skills!H10&gt;0,Skills!I10/Skills!H10,1)+IF(Skills!H10&gt;0,MIN(Skills!I10,MAX(0,Inputs!$B$35-((R371-1)*IF(Inputs!$B$4="pvp",15,MAX(0.1,Skills!D10-IF(Skills!E10=TRUE,Inputs!$B$31,0))))))/Skills!H10,1)))/Inputs!$B$35),G371*Q371)*IF(Inputs!$B$4="pvp",1,(1-Summary!$B$55)*(1)+Summary!$B$55*(MIN(Skills!R10,Inputs!$B$37))),0)</f>
        <v/>
      </c>
      <c r="P371">
        <f>IF(B399=0,0,O371/B399)</f>
        <v/>
      </c>
      <c r="Q371">
        <f>IFERROR(1/IF(Inputs!$B$4="pvp",15,MAX(0.1,Skills!D10-IF(Skills!E10=TRUE,Inputs!$B$31,0))),0)</f>
        <v/>
      </c>
      <c r="R371">
        <f>IF(AND(Inputs!$B$4&lt;&gt;"pvp",Inputs!$B$35&gt;0),(INT(Inputs!$B$35/IF(Inputs!$B$4="pvp",15,MAX(0.1,Skills!D10-IF(Skills!E10=TRUE,Inputs!$B$31,0))))+1),0)</f>
        <v/>
      </c>
      <c r="S371">
        <f>IFERROR(O371/N371,0)</f>
        <v/>
      </c>
    </row>
    <row r="372">
      <c r="A372">
        <f>Skills!A11</f>
        <v/>
      </c>
      <c r="B372">
        <f>Skills!B11</f>
        <v/>
      </c>
      <c r="C372">
        <f>Inputs!$B$3&gt;=107</f>
        <v/>
      </c>
      <c r="D372">
        <f>IF(Skills!C11=1,60+Inputs!$B$24+Inputs!$B$28,IF(Skills!C11=2,90+Inputs!$B$25+Inputs!$B$28,IF(Skills!C11=3,120+Inputs!$B$26+Inputs!$B$28,MAX(0,(Inputs!$B$3-100)*3)+Inputs!$B$27+Inputs!$B$28)))</f>
        <v/>
      </c>
      <c r="E372">
        <f>INDEX(FactorTable!$B$2:$Y$301, MATCH(ROUND(MIN(300,MAX(1,D372)),0), FactorTable!$A$2:$A$301,0), Skills!M11+1)</f>
        <v/>
      </c>
      <c r="F372">
        <f>IF(Skills!N11=TRUE,(Skills!L11/10)*(E372/1000),Skills!L11/10)+Skills!O11</f>
        <v/>
      </c>
      <c r="G372">
        <f>Skills!G11*IF(Skills!H11&gt;0,Skills!I11/Skills!H11,1)</f>
        <v/>
      </c>
      <c r="H372">
        <f>1-(1-Skills!J11/100)^Skills!K11</f>
        <v/>
      </c>
      <c r="I372" t="inlineStr">
        <is>
          <t>1</t>
        </is>
      </c>
      <c r="J372">
        <f>(Inputs!$B$5*(1+Inputs!$B$6/100))*(F372/100)</f>
        <v/>
      </c>
      <c r="K372">
        <f>J372*(1+((Inputs!$B$11*(1+Inputs!$B$12/100))*0.01+Inputs!$B$13*0.0025)/100)*(1+Inputs!$B$14/100)*(1+IF(Inputs!$B$4="pvp",0,(1-Summary!$B$55)*(Inputs!$B$19+0+Skills!P11)+Summary!$B$55*(Inputs!$B$20+Skills!Q11))/100)*(1+Inputs!$B$15/100)*(5000/(6000+Inputs!$B$7*(1-(Inputs!$B$18+0)/100)))*(1+(Inputs!$B$23+((C387=TRUE)*(F387-Calc!F26))+B397)/100)*(1+(IF(Skills!A11="EIGHT_LEGS_EASTON",Inputs!$B$16+((C384=TRUE)*(F384-Calc!F23))+((C388=TRUE)*(F388-Calc!F27)),Inputs!$B$17+0))/100)*((1+(((C378=TRUE)*F378)+((C385=TRUE)*(F385-Calc!F24)))/100)*I372)</f>
        <v/>
      </c>
      <c r="L372">
        <f>K372*(MIN((Inputs!$B$21+1)+((C383=TRUE)*(F383-Calc!F22)),Inputs!$B$22+0)/100+(Inputs!$B$22+0)/100)/2</f>
        <v/>
      </c>
      <c r="M372">
        <f>L372*(1+(Inputs!$B$9+((C386=TRUE)*(F386-Calc!F25))+B396)/100)</f>
        <v/>
      </c>
      <c r="N372">
        <f>L372*(1-MIN((Inputs!$B$8+((C380=TRUE)*(F380-Calc!F19))+B391),100)/100)+M372*(MIN((Inputs!$B$8+((C380=TRUE)*(F380-Calc!F19))+B391),100)/100)</f>
        <v/>
      </c>
      <c r="O372">
        <f>IF(C372,H372*N372*IF(AND(Inputs!$B$4&lt;&gt;"pvp",Inputs!$B$35&gt;0),((Skills!G11*((R372-1)*IF(Skills!H11&gt;0,Skills!I11/Skills!H11,1)+IF(Skills!H11&gt;0,MIN(Skills!I11,MAX(0,Inputs!$B$35-((R372-1)*IF(Inputs!$B$4="pvp",15,MAX(0.1,Skills!D11-IF(Skills!E11=TRUE,Inputs!$B$31,0))))))/Skills!H11,1)))/Inputs!$B$35),G372*Q372)*IF(Inputs!$B$4="pvp",1,(1-Summary!$B$55)*(1)+Summary!$B$55*(MIN(Skills!R11,Inputs!$B$37))),0)</f>
        <v/>
      </c>
      <c r="P372">
        <f>IF(B399=0,0,O372/B399)</f>
        <v/>
      </c>
      <c r="Q372">
        <f>IFERROR(1/IF(Inputs!$B$4="pvp",15,MAX(0.1,Skills!D11-IF(Skills!E11=TRUE,Inputs!$B$31,0))),0)</f>
        <v/>
      </c>
      <c r="R372">
        <f>IF(AND(Inputs!$B$4&lt;&gt;"pvp",Inputs!$B$35&gt;0),(INT(Inputs!$B$35/IF(Inputs!$B$4="pvp",15,MAX(0.1,Skills!D11-IF(Skills!E11=TRUE,Inputs!$B$31,0))))+1),0)</f>
        <v/>
      </c>
      <c r="S372">
        <f>IFERROR(O372/N372,0)</f>
        <v/>
      </c>
    </row>
    <row r="373">
      <c r="A373">
        <f>Skills!A12</f>
        <v/>
      </c>
      <c r="B373">
        <f>Skills!B12</f>
        <v/>
      </c>
      <c r="C373">
        <f>Inputs!$B$3&gt;=110</f>
        <v/>
      </c>
      <c r="D373">
        <f>IF(Skills!C12=1,60+Inputs!$B$24+Inputs!$B$28,IF(Skills!C12=2,90+Inputs!$B$25+Inputs!$B$28,IF(Skills!C12=3,120+Inputs!$B$26+Inputs!$B$28,MAX(0,(Inputs!$B$3-100)*3)+Inputs!$B$27+Inputs!$B$28)))</f>
        <v/>
      </c>
      <c r="E373">
        <f>INDEX(FactorTable!$B$2:$Y$301, MATCH(ROUND(MIN(300,MAX(1,D373)),0), FactorTable!$A$2:$A$301,0), Skills!M12+1)</f>
        <v/>
      </c>
      <c r="F373">
        <f>IF(Skills!N12=TRUE,(Skills!L12/10)*(E373/1000),Skills!L12/10)+Skills!O12</f>
        <v/>
      </c>
      <c r="G373">
        <f>Skills!G12*IF(Skills!H12&gt;0,Skills!I12/Skills!H12,1)</f>
        <v/>
      </c>
      <c r="H373">
        <f>1-(1-Skills!J12/100)^Skills!K12</f>
        <v/>
      </c>
      <c r="I373" t="inlineStr">
        <is>
          <t>1</t>
        </is>
      </c>
      <c r="J373">
        <f>(Inputs!$B$5*(1+Inputs!$B$6/100))*(F373/100)</f>
        <v/>
      </c>
      <c r="K373">
        <f>J373*(1+((Inputs!$B$11*(1+Inputs!$B$12/100))*0.01+Inputs!$B$13*0.0025)/100)*(1+Inputs!$B$14/100)*(1+IF(Inputs!$B$4="pvp",0,(1-Summary!$B$55)*(Inputs!$B$19+0+Skills!P12)+Summary!$B$55*(Inputs!$B$20+Skills!Q12))/100)*(1+Inputs!$B$15/100)*(5000/(6000+Inputs!$B$7*(1-(Inputs!$B$18+0)/100)))*(1+(Inputs!$B$23+((C387=TRUE)*(F387-Calc!F26))+B397)/100)*(1+(IF(Skills!A12="EIGHT_LEGS_EASTON",Inputs!$B$16+((C384=TRUE)*(F384-Calc!F23))+((C388=TRUE)*(F388-Calc!F27)),Inputs!$B$17+0))/100)*((1+(((C378=TRUE)*F378)+((C385=TRUE)*(F385-Calc!F24)))/100)*I373)</f>
        <v/>
      </c>
      <c r="L373">
        <f>K373*(MIN((Inputs!$B$21+1)+((C383=TRUE)*(F383-Calc!F22)),Inputs!$B$22+0)/100+(Inputs!$B$22+0)/100)/2</f>
        <v/>
      </c>
      <c r="M373">
        <f>L373*(1+(Inputs!$B$9+((C386=TRUE)*(F386-Calc!F25))+B396)/100)</f>
        <v/>
      </c>
      <c r="N373">
        <f>L373*(1-MIN((Inputs!$B$8+((C380=TRUE)*(F380-Calc!F19))+B391),100)/100)+M373*(MIN((Inputs!$B$8+((C380=TRUE)*(F380-Calc!F19))+B391),100)/100)</f>
        <v/>
      </c>
      <c r="O373">
        <f>IF(C373,H373*N373*IF(AND(Inputs!$B$4&lt;&gt;"pvp",Inputs!$B$35&gt;0),((Skills!G12*((R373-1)*IF(Skills!H12&gt;0,Skills!I12/Skills!H12,1)+IF(Skills!H12&gt;0,MIN(Skills!I12,MAX(0,Inputs!$B$35-((R373-1)*IF(Inputs!$B$4="pvp",15,MAX(0.1,Skills!D12-IF(Skills!E12=TRUE,Inputs!$B$31,0))))))/Skills!H12,1)))/Inputs!$B$35),G373*Q373)*IF(Inputs!$B$4="pvp",1,(1-Summary!$B$55)*(1)+Summary!$B$55*(MIN(Skills!R12,Inputs!$B$37))),0)</f>
        <v/>
      </c>
      <c r="P373">
        <f>IF(B399=0,0,O373/B399)</f>
        <v/>
      </c>
      <c r="Q373">
        <f>IFERROR(1/IF(Inputs!$B$4="pvp",15,MAX(0.1,Skills!D12-IF(Skills!E12=TRUE,Inputs!$B$31,0))),0)</f>
        <v/>
      </c>
      <c r="R373">
        <f>IF(AND(Inputs!$B$4&lt;&gt;"pvp",Inputs!$B$35&gt;0),(INT(Inputs!$B$35/IF(Inputs!$B$4="pvp",15,MAX(0.1,Skills!D12-IF(Skills!E12=TRUE,Inputs!$B$31,0))))+1),0)</f>
        <v/>
      </c>
      <c r="S373">
        <f>IFERROR(O373/N373,0)</f>
        <v/>
      </c>
    </row>
    <row r="374">
      <c r="A374">
        <f>Skills!A13</f>
        <v/>
      </c>
      <c r="B374">
        <f>Skills!B13</f>
        <v/>
      </c>
      <c r="C374">
        <f>Inputs!$B$3&gt;=110</f>
        <v/>
      </c>
      <c r="D374">
        <f>IF(Skills!C13=1,60+Inputs!$B$24+Inputs!$B$28,IF(Skills!C13=2,90+Inputs!$B$25+Inputs!$B$28,IF(Skills!C13=3,120+Inputs!$B$26+Inputs!$B$28,MAX(0,(Inputs!$B$3-100)*3)+Inputs!$B$27+Inputs!$B$28)))</f>
        <v/>
      </c>
      <c r="E374">
        <f>INDEX(FactorTable!$B$2:$Y$301, MATCH(ROUND(MIN(300,MAX(1,D374)),0), FactorTable!$A$2:$A$301,0), Skills!M13+1)</f>
        <v/>
      </c>
      <c r="F374">
        <f>IF(Skills!N13=TRUE,(Skills!L13/10)*(E374/1000),Skills!L13/10)+Skills!O13</f>
        <v/>
      </c>
      <c r="G374">
        <f>Skills!G13*IF(Skills!H13&gt;0,Skills!I13/Skills!H13,1)</f>
        <v/>
      </c>
      <c r="H374">
        <f>1-(1-Skills!J13/100)^Skills!K13</f>
        <v/>
      </c>
      <c r="I374" t="inlineStr">
        <is>
          <t>1</t>
        </is>
      </c>
      <c r="J374">
        <f>(Inputs!$B$5*(1+Inputs!$B$6/100))*(F374/100)</f>
        <v/>
      </c>
      <c r="K374">
        <f>J374*(1+((Inputs!$B$11*(1+Inputs!$B$12/100))*0.01+Inputs!$B$13*0.0025)/100)*(1+Inputs!$B$14/100)*(1+IF(Inputs!$B$4="pvp",0,(1-Summary!$B$55)*(Inputs!$B$19+0+Skills!P13)+Summary!$B$55*(Inputs!$B$20+Skills!Q13))/100)*(1+Inputs!$B$15/100)*(5000/(6000+Inputs!$B$7*(1-(Inputs!$B$18+0)/100)))*(1+(Inputs!$B$23+((C387=TRUE)*(F387-Calc!F26))+B397)/100)*(1+(IF(Skills!A13="EIGHT_LEGS_EASTON",Inputs!$B$16+((C384=TRUE)*(F384-Calc!F23))+((C388=TRUE)*(F388-Calc!F27)),Inputs!$B$17+0))/100)*((1+(((C378=TRUE)*F378)+((C385=TRUE)*(F385-Calc!F24)))/100)*I374)</f>
        <v/>
      </c>
      <c r="L374">
        <f>K374*(MIN((Inputs!$B$21+1)+((C383=TRUE)*(F383-Calc!F22)),Inputs!$B$22+0)/100+(Inputs!$B$22+0)/100)/2</f>
        <v/>
      </c>
      <c r="M374">
        <f>L374*(1+(Inputs!$B$9+((C386=TRUE)*(F386-Calc!F25))+B396)/100)</f>
        <v/>
      </c>
      <c r="N374">
        <f>L374*(1-MIN((Inputs!$B$8+((C380=TRUE)*(F380-Calc!F19))+B391),100)/100)+M374*(MIN((Inputs!$B$8+((C380=TRUE)*(F380-Calc!F19))+B391),100)/100)</f>
        <v/>
      </c>
      <c r="O374">
        <f>IF(C374,H374*N374*IF(AND(Inputs!$B$4&lt;&gt;"pvp",Inputs!$B$35&gt;0),((Skills!G13*((R374-1)*IF(Skills!H13&gt;0,Skills!I13/Skills!H13,1)+IF(Skills!H13&gt;0,MIN(Skills!I13,MAX(0,Inputs!$B$35-((R374-1)*IF(Inputs!$B$4="pvp",15,MAX(0.1,Skills!D13-IF(Skills!E13=TRUE,Inputs!$B$31,0))))))/Skills!H13,1)))/Inputs!$B$35),G374*Q374)*IF(Inputs!$B$4="pvp",1,(1-Summary!$B$55)*(1)+Summary!$B$55*(MIN(Skills!R13,Inputs!$B$37))),0)</f>
        <v/>
      </c>
      <c r="P374">
        <f>IF(B399=0,0,O374/B399)</f>
        <v/>
      </c>
      <c r="Q374">
        <f>IFERROR(1/IF(Inputs!$B$4="pvp",15,MAX(0.1,Skills!D13-IF(Skills!E13=TRUE,Inputs!$B$31,0))),0)</f>
        <v/>
      </c>
      <c r="R374">
        <f>IF(AND(Inputs!$B$4&lt;&gt;"pvp",Inputs!$B$35&gt;0),(INT(Inputs!$B$35/IF(Inputs!$B$4="pvp",15,MAX(0.1,Skills!D13-IF(Skills!E13=TRUE,Inputs!$B$31,0))))+1),0)</f>
        <v/>
      </c>
      <c r="S374">
        <f>IFERROR(O374/N374,0)</f>
        <v/>
      </c>
    </row>
    <row r="375">
      <c r="A375">
        <f>Skills!A14</f>
        <v/>
      </c>
      <c r="B375">
        <f>Skills!B14</f>
        <v/>
      </c>
      <c r="C375">
        <f>Inputs!$B$3&gt;=125</f>
        <v/>
      </c>
      <c r="D375">
        <f>IF(Skills!C14=1,60+Inputs!$B$24+Inputs!$B$28,IF(Skills!C14=2,90+Inputs!$B$25+Inputs!$B$28,IF(Skills!C14=3,120+Inputs!$B$26+Inputs!$B$28,MAX(0,(Inputs!$B$3-100)*3)+Inputs!$B$27+Inputs!$B$28)))</f>
        <v/>
      </c>
      <c r="E375">
        <f>INDEX(FactorTable!$B$2:$Y$301, MATCH(ROUND(MIN(300,MAX(1,D375)),0), FactorTable!$A$2:$A$301,0), Skills!M14+1)</f>
        <v/>
      </c>
      <c r="F375">
        <f>IF(Skills!N14=TRUE,(Skills!L14/10)*(E375/1000),Skills!L14/10)+Skills!O14</f>
        <v/>
      </c>
      <c r="G375">
        <f>Skills!G14*IF(Skills!H14&gt;0,Skills!I14/Skills!H14,1)</f>
        <v/>
      </c>
      <c r="H375">
        <f>1-(1-Skills!J14/100)^Skills!K14</f>
        <v/>
      </c>
      <c r="I375" t="inlineStr">
        <is>
          <t>1</t>
        </is>
      </c>
      <c r="J375">
        <f>(Inputs!$B$5*(1+Inputs!$B$6/100))*(F375/100)</f>
        <v/>
      </c>
      <c r="K375">
        <f>J375*(1+((Inputs!$B$11*(1+Inputs!$B$12/100))*0.01+Inputs!$B$13*0.0025)/100)*(1+Inputs!$B$14/100)*(1+IF(Inputs!$B$4="pvp",0,(1-Summary!$B$55)*(Inputs!$B$19+0+Skills!P14)+Summary!$B$55*(Inputs!$B$20+Skills!Q14))/100)*(1+Inputs!$B$15/100)*(5000/(6000+Inputs!$B$7*(1-(Inputs!$B$18+0)/100)))*(1+(Inputs!$B$23+((C387=TRUE)*(F387-Calc!F26))+B397)/100)*(1+(IF(Skills!A14="EIGHT_LEGS_EASTON",Inputs!$B$16+((C384=TRUE)*(F384-Calc!F23))+((C388=TRUE)*(F388-Calc!F27)),Inputs!$B$17+0))/100)*((1+(((C378=TRUE)*F378)+((C385=TRUE)*(F385-Calc!F24)))/100)*I375)</f>
        <v/>
      </c>
      <c r="L375">
        <f>K375*(MIN((Inputs!$B$21+1)+((C383=TRUE)*(F383-Calc!F22)),Inputs!$B$22+0)/100+(Inputs!$B$22+0)/100)/2</f>
        <v/>
      </c>
      <c r="M375">
        <f>L375*(1+(Inputs!$B$9+((C386=TRUE)*(F386-Calc!F25))+B396)/100)</f>
        <v/>
      </c>
      <c r="N375">
        <f>L375*(1-MIN((Inputs!$B$8+((C380=TRUE)*(F380-Calc!F19))+B391),100)/100)+M375*(MIN((Inputs!$B$8+((C380=TRUE)*(F380-Calc!F19))+B391),100)/100)</f>
        <v/>
      </c>
      <c r="O375">
        <f>IF(C375,H375*N375*(B395+IF(AND(Inputs!$B$4&lt;&gt;"pvp",Inputs!$B$35&gt;0),((Skills!G8*((R369-1)*IF(Skills!H8&gt;0,Skills!I8/Skills!H8,1)+IF(Skills!H8&gt;0,MIN(Skills!I8,MAX(0,Inputs!$B$35-((R369-1)*IF(Inputs!$B$4="pvp",15,MAX(0.1,Skills!D8-IF(Skills!E8=TRUE,Inputs!$B$31,0))))))/Skills!H8,1)))/Inputs!$B$35),G369*Q369)+IF(AND(Inputs!$B$4&lt;&gt;"pvp",Inputs!$B$35&gt;0),((Skills!G11*((R372-1)*IF(Skills!H11&gt;0,Skills!I11/Skills!H11,1)+IF(Skills!H11&gt;0,MIN(Skills!I11,MAX(0,Inputs!$B$35-((R372-1)*IF(Inputs!$B$4="pvp",15,MAX(0.1,Skills!D11-IF(Skills!E11=TRUE,Inputs!$B$31,0))))))/Skills!H11,1)))/Inputs!$B$35),G372*Q372))*IF(Inputs!$B$4="pvp",1,(1-Summary!$B$55)*(1)+Summary!$B$55*(MIN(Skills!R14,Inputs!$B$37))),0)</f>
        <v/>
      </c>
      <c r="P375">
        <f>IF(B399=0,0,O375/B399)</f>
        <v/>
      </c>
      <c r="Q375" t="n">
        <v>0</v>
      </c>
      <c r="R375" t="n">
        <v>0</v>
      </c>
      <c r="S375">
        <f>IFERROR(O375/N375,0)</f>
        <v/>
      </c>
    </row>
    <row r="376">
      <c r="A376">
        <f>Skills!A15</f>
        <v/>
      </c>
      <c r="B376">
        <f>Skills!B15</f>
        <v/>
      </c>
      <c r="C376">
        <f>Inputs!$B$3&gt;=100</f>
        <v/>
      </c>
      <c r="D376">
        <f>IF(Skills!C15=1,60+Inputs!$B$24+Inputs!$B$28,IF(Skills!C15=2,90+Inputs!$B$25+Inputs!$B$28,IF(Skills!C15=3,120+Inputs!$B$26+Inputs!$B$28,MAX(0,(Inputs!$B$3-100)*3)+Inputs!$B$27+Inputs!$B$28)))</f>
        <v/>
      </c>
      <c r="E376">
        <f>INDEX(FactorTable!$B$2:$Y$301, MATCH(ROUND(MIN(300,MAX(1,D376)),0), FactorTable!$A$2:$A$301,0), Skills!M15+1)</f>
        <v/>
      </c>
      <c r="F376">
        <f>IF(Skills!N15=TRUE,(Skills!L15/10)*(E376/1000),Skills!L15/10)+Skills!O15</f>
        <v/>
      </c>
      <c r="G376" t="inlineStr"/>
      <c r="H376" t="inlineStr"/>
      <c r="I376" t="inlineStr">
        <is>
          <t>1</t>
        </is>
      </c>
      <c r="J376" t="inlineStr"/>
      <c r="K376" t="inlineStr"/>
      <c r="L376" t="inlineStr"/>
      <c r="M376" t="inlineStr"/>
      <c r="N376" t="inlineStr"/>
      <c r="O376" t="inlineStr"/>
      <c r="P376" t="inlineStr"/>
      <c r="Q376" t="inlineStr"/>
      <c r="R376" t="inlineStr"/>
      <c r="S376" t="inlineStr"/>
    </row>
    <row r="377">
      <c r="A377">
        <f>Skills!A16</f>
        <v/>
      </c>
      <c r="B377">
        <f>Skills!B16</f>
        <v/>
      </c>
      <c r="C377">
        <f>Inputs!$B$3&gt;=120</f>
        <v/>
      </c>
      <c r="D377">
        <f>IF(Skills!C16=1,60+Inputs!$B$24+Inputs!$B$28,IF(Skills!C16=2,90+Inputs!$B$25+Inputs!$B$28,IF(Skills!C16=3,120+Inputs!$B$26+Inputs!$B$28,MAX(0,(Inputs!$B$3-100)*3)+Inputs!$B$27+Inputs!$B$28)))</f>
        <v/>
      </c>
      <c r="E377">
        <f>INDEX(FactorTable!$B$2:$Y$301, MATCH(ROUND(MIN(300,MAX(1,D377)),0), FactorTable!$A$2:$A$301,0), Skills!M16+1)</f>
        <v/>
      </c>
      <c r="F377">
        <f>IF(Skills!N16=TRUE,(Skills!L16/10)*(E377/1000),Skills!L16/10)+Skills!O16</f>
        <v/>
      </c>
      <c r="G377" t="inlineStr"/>
      <c r="H377" t="inlineStr"/>
      <c r="I377" t="inlineStr">
        <is>
          <t>1</t>
        </is>
      </c>
      <c r="J377" t="inlineStr"/>
      <c r="K377" t="inlineStr"/>
      <c r="L377" t="inlineStr"/>
      <c r="M377" t="inlineStr"/>
      <c r="N377" t="inlineStr"/>
      <c r="O377" t="inlineStr"/>
      <c r="P377" t="inlineStr"/>
      <c r="Q377" t="inlineStr"/>
      <c r="R377" t="inlineStr"/>
      <c r="S377" t="inlineStr"/>
    </row>
    <row r="378">
      <c r="A378">
        <f>Skills!A17</f>
        <v/>
      </c>
      <c r="B378">
        <f>Skills!B17</f>
        <v/>
      </c>
      <c r="C378">
        <f>Inputs!$B$3&gt;=66</f>
        <v/>
      </c>
      <c r="D378">
        <f>IF(Skills!C17=1,60+Inputs!$B$24+Inputs!$B$28,IF(Skills!C17=2,90+Inputs!$B$25+Inputs!$B$28,IF(Skills!C17=3,120+Inputs!$B$26+Inputs!$B$28,MAX(0,(Inputs!$B$3-100)*3)+Inputs!$B$27+Inputs!$B$28)))</f>
        <v/>
      </c>
      <c r="E378">
        <f>INDEX(FactorTable!$B$2:$Y$301, MATCH(ROUND(MIN(300,MAX(1,D378)),0), FactorTable!$A$2:$A$301,0), Skills!M17+1)</f>
        <v/>
      </c>
      <c r="F378">
        <f>IF(Skills!N17=TRUE,(Skills!L17/10)*(E378/1000),Skills!L17/10)+Skills!O17</f>
        <v/>
      </c>
      <c r="G378">
        <f>Skills!G17*IF(Skills!H17&gt;0,Skills!I17/Skills!H17,1)</f>
        <v/>
      </c>
      <c r="H378">
        <f>1-(1-Skills!J17/100)^Skills!K17</f>
        <v/>
      </c>
      <c r="I378" t="inlineStr">
        <is>
          <t>1</t>
        </is>
      </c>
      <c r="J378" t="inlineStr"/>
      <c r="K378" t="inlineStr"/>
      <c r="L378" t="inlineStr"/>
      <c r="M378" t="inlineStr"/>
      <c r="N378" t="inlineStr"/>
      <c r="O378" t="n">
        <v>0</v>
      </c>
      <c r="P378">
        <f>IF(B399=0,0,O378/B399)</f>
        <v/>
      </c>
      <c r="Q378" t="n">
        <v>0</v>
      </c>
      <c r="R378" t="n">
        <v>0</v>
      </c>
      <c r="S378">
        <f>IFERROR(O378/N378,0)</f>
        <v/>
      </c>
    </row>
    <row r="379">
      <c r="A379">
        <f>Skills!A18</f>
        <v/>
      </c>
      <c r="B379">
        <f>Skills!B18</f>
        <v/>
      </c>
      <c r="C379">
        <f>Inputs!$B$3&gt;=115</f>
        <v/>
      </c>
      <c r="D379">
        <f>IF(Skills!C18=1,60+Inputs!$B$24+Inputs!$B$28,IF(Skills!C18=2,90+Inputs!$B$25+Inputs!$B$28,IF(Skills!C18=3,120+Inputs!$B$26+Inputs!$B$28,MAX(0,(Inputs!$B$3-100)*3)+Inputs!$B$27+Inputs!$B$28)))</f>
        <v/>
      </c>
      <c r="E379">
        <f>INDEX(FactorTable!$B$2:$Y$301, MATCH(ROUND(MIN(300,MAX(1,D379)),0), FactorTable!$A$2:$A$301,0), Skills!M18+1)</f>
        <v/>
      </c>
      <c r="F379">
        <f>IF(Skills!N18=TRUE,(Skills!L18/10)*(E379/1000),Skills!L18/10)+Skills!O18</f>
        <v/>
      </c>
      <c r="G379">
        <f>Skills!G18*IF(Skills!H18&gt;0,Skills!I18/Skills!H18,1)</f>
        <v/>
      </c>
      <c r="H379">
        <f>1-(1-Skills!J18/100)^Skills!K18</f>
        <v/>
      </c>
      <c r="I379" t="inlineStr">
        <is>
          <t>1</t>
        </is>
      </c>
      <c r="J379" t="inlineStr"/>
      <c r="K379" t="inlineStr"/>
      <c r="L379" t="inlineStr"/>
      <c r="M379" t="inlineStr"/>
      <c r="N379" t="inlineStr"/>
      <c r="O379" t="n">
        <v>0</v>
      </c>
      <c r="P379">
        <f>IF(B399=0,0,O379/B399)</f>
        <v/>
      </c>
      <c r="Q379" t="n">
        <v>0</v>
      </c>
      <c r="R379" t="n">
        <v>0</v>
      </c>
      <c r="S379">
        <f>IFERROR(O379/N379,0)</f>
        <v/>
      </c>
    </row>
    <row r="380">
      <c r="A380">
        <f>Skills!A19</f>
        <v/>
      </c>
      <c r="B380">
        <f>Skills!B19</f>
        <v/>
      </c>
      <c r="C380">
        <f>Inputs!$B$3&gt;=15</f>
        <v/>
      </c>
      <c r="D380">
        <f>IF(Skills!C19=1,60+Inputs!$B$24+Inputs!$B$28,IF(Skills!C19=2,90+Inputs!$B$25+Inputs!$B$28,IF(Skills!C19=3,120+Inputs!$B$26+Inputs!$B$28,MAX(0,(Inputs!$B$3-100)*3)+Inputs!$B$27+Inputs!$B$28)))</f>
        <v/>
      </c>
      <c r="E380">
        <f>INDEX(FactorTable!$B$2:$Y$301, MATCH(ROUND(MIN(300,MAX(1,D380)),0), FactorTable!$A$2:$A$301,0), Skills!M19+1)</f>
        <v/>
      </c>
      <c r="F380">
        <f>IF(Skills!N19=TRUE,(Skills!L19/10)*(E380/1000),Skills!L19/10)+Skills!O19</f>
        <v/>
      </c>
      <c r="G380">
        <f>Skills!G19*IF(Skills!H19&gt;0,Skills!I19/Skills!H19,1)</f>
        <v/>
      </c>
      <c r="H380">
        <f>1-(1-Skills!J19/100)^Skills!K19</f>
        <v/>
      </c>
      <c r="I380" t="inlineStr">
        <is>
          <t>1</t>
        </is>
      </c>
      <c r="J380" t="inlineStr"/>
      <c r="K380" t="inlineStr"/>
      <c r="L380" t="inlineStr"/>
      <c r="M380" t="inlineStr"/>
      <c r="N380" t="inlineStr"/>
      <c r="O380" t="n">
        <v>0</v>
      </c>
      <c r="P380">
        <f>IF(B399=0,0,O380/B399)</f>
        <v/>
      </c>
      <c r="Q380" t="n">
        <v>0</v>
      </c>
      <c r="R380" t="n">
        <v>0</v>
      </c>
      <c r="S380">
        <f>IFERROR(O380/N380,0)</f>
        <v/>
      </c>
    </row>
    <row r="381">
      <c r="A381">
        <f>Skills!A20</f>
        <v/>
      </c>
      <c r="B381">
        <f>Skills!B20</f>
        <v/>
      </c>
      <c r="C381">
        <f>Inputs!$B$3&gt;=10</f>
        <v/>
      </c>
      <c r="D381">
        <f>IF(Skills!C20=1,60+Inputs!$B$24+Inputs!$B$28,IF(Skills!C20=2,90+Inputs!$B$25+Inputs!$B$28,IF(Skills!C20=3,120+Inputs!$B$26+Inputs!$B$28,MAX(0,(Inputs!$B$3-100)*3)+Inputs!$B$27+Inputs!$B$28)))</f>
        <v/>
      </c>
      <c r="E381">
        <f>INDEX(FactorTable!$B$2:$Y$301, MATCH(ROUND(MIN(300,MAX(1,D381)),0), FactorTable!$A$2:$A$301,0), Skills!M20+1)</f>
        <v/>
      </c>
      <c r="F381">
        <f>IF(Skills!N20=TRUE,(Skills!L20/10)*(E381/1000),Skills!L20/10)+Skills!O20</f>
        <v/>
      </c>
      <c r="G381">
        <f>Skills!G20*IF(Skills!H20&gt;0,Skills!I20/Skills!H20,1)</f>
        <v/>
      </c>
      <c r="H381">
        <f>1-(1-Skills!J20/100)^Skills!K20</f>
        <v/>
      </c>
      <c r="I381" t="inlineStr">
        <is>
          <t>1</t>
        </is>
      </c>
      <c r="J381" t="inlineStr"/>
      <c r="K381" t="inlineStr"/>
      <c r="L381" t="inlineStr"/>
      <c r="M381" t="inlineStr"/>
      <c r="N381" t="inlineStr"/>
      <c r="O381" t="n">
        <v>0</v>
      </c>
      <c r="P381">
        <f>IF(B399=0,0,O381/B399)</f>
        <v/>
      </c>
      <c r="Q381" t="n">
        <v>0</v>
      </c>
      <c r="R381" t="n">
        <v>0</v>
      </c>
      <c r="S381">
        <f>IFERROR(O381/N381,0)</f>
        <v/>
      </c>
    </row>
    <row r="382">
      <c r="A382">
        <f>Skills!A21</f>
        <v/>
      </c>
      <c r="B382">
        <f>Skills!B21</f>
        <v/>
      </c>
      <c r="C382">
        <f>Inputs!$B$3&gt;=33</f>
        <v/>
      </c>
      <c r="D382">
        <f>IF(Skills!C21=1,60+Inputs!$B$24+Inputs!$B$28,IF(Skills!C21=2,90+Inputs!$B$25+Inputs!$B$28,IF(Skills!C21=3,120+Inputs!$B$26+Inputs!$B$28,MAX(0,(Inputs!$B$3-100)*3)+Inputs!$B$27+Inputs!$B$28)))</f>
        <v/>
      </c>
      <c r="E382">
        <f>INDEX(FactorTable!$B$2:$Y$301, MATCH(ROUND(MIN(300,MAX(1,D382)),0), FactorTable!$A$2:$A$301,0), Skills!M21+1)</f>
        <v/>
      </c>
      <c r="F382">
        <f>IF(Skills!N21=TRUE,(Skills!L21/10)*(E382/1000),Skills!L21/10)+Skills!O21</f>
        <v/>
      </c>
      <c r="G382">
        <f>Skills!G21*IF(Skills!H21&gt;0,Skills!I21/Skills!H21,1)</f>
        <v/>
      </c>
      <c r="H382">
        <f>1-(1-Skills!J21/100)^Skills!K21</f>
        <v/>
      </c>
      <c r="I382" t="inlineStr">
        <is>
          <t>1</t>
        </is>
      </c>
      <c r="J382" t="inlineStr"/>
      <c r="K382" t="inlineStr"/>
      <c r="L382" t="inlineStr"/>
      <c r="M382" t="inlineStr"/>
      <c r="N382" t="inlineStr"/>
      <c r="O382" t="n">
        <v>0</v>
      </c>
      <c r="P382">
        <f>IF(B399=0,0,O382/B399)</f>
        <v/>
      </c>
      <c r="Q382" t="n">
        <v>0</v>
      </c>
      <c r="R382" t="n">
        <v>0</v>
      </c>
      <c r="S382">
        <f>IFERROR(O382/N382,0)</f>
        <v/>
      </c>
    </row>
    <row r="383">
      <c r="A383">
        <f>Skills!A22</f>
        <v/>
      </c>
      <c r="B383">
        <f>Skills!B22</f>
        <v/>
      </c>
      <c r="C383">
        <f>Inputs!$B$3&gt;=43</f>
        <v/>
      </c>
      <c r="D383">
        <f>IF(Skills!C22=1,60+Inputs!$B$24+Inputs!$B$28,IF(Skills!C22=2,90+Inputs!$B$25+Inputs!$B$28,IF(Skills!C22=3,120+Inputs!$B$26+Inputs!$B$28,MAX(0,(Inputs!$B$3-100)*3)+Inputs!$B$27+Inputs!$B$28)))</f>
        <v/>
      </c>
      <c r="E383">
        <f>INDEX(FactorTable!$B$2:$Y$301, MATCH(ROUND(MIN(300,MAX(1,D383)),0), FactorTable!$A$2:$A$301,0), Skills!M22+1)</f>
        <v/>
      </c>
      <c r="F383">
        <f>IF(Skills!N22=TRUE,(Skills!L22/10)*(E383/1000),Skills!L22/10)+Skills!O22</f>
        <v/>
      </c>
      <c r="G383">
        <f>Skills!G22*IF(Skills!H22&gt;0,Skills!I22/Skills!H22,1)</f>
        <v/>
      </c>
      <c r="H383">
        <f>1-(1-Skills!J22/100)^Skills!K22</f>
        <v/>
      </c>
      <c r="I383" t="inlineStr">
        <is>
          <t>1</t>
        </is>
      </c>
      <c r="J383" t="inlineStr"/>
      <c r="K383" t="inlineStr"/>
      <c r="L383" t="inlineStr"/>
      <c r="M383" t="inlineStr"/>
      <c r="N383" t="inlineStr"/>
      <c r="O383" t="n">
        <v>0</v>
      </c>
      <c r="P383">
        <f>IF(B399=0,0,O383/B399)</f>
        <v/>
      </c>
      <c r="Q383" t="n">
        <v>0</v>
      </c>
      <c r="R383" t="n">
        <v>0</v>
      </c>
      <c r="S383">
        <f>IFERROR(O383/N383,0)</f>
        <v/>
      </c>
    </row>
    <row r="384">
      <c r="A384">
        <f>Skills!A23</f>
        <v/>
      </c>
      <c r="B384">
        <f>Skills!B23</f>
        <v/>
      </c>
      <c r="C384">
        <f>Inputs!$B$3&gt;=38</f>
        <v/>
      </c>
      <c r="D384">
        <f>IF(Skills!C23=1,60+Inputs!$B$24+Inputs!$B$28,IF(Skills!C23=2,90+Inputs!$B$25+Inputs!$B$28,IF(Skills!C23=3,120+Inputs!$B$26+Inputs!$B$28,MAX(0,(Inputs!$B$3-100)*3)+Inputs!$B$27+Inputs!$B$28)))</f>
        <v/>
      </c>
      <c r="E384">
        <f>INDEX(FactorTable!$B$2:$Y$301, MATCH(ROUND(MIN(300,MAX(1,D384)),0), FactorTable!$A$2:$A$301,0), Skills!M23+1)</f>
        <v/>
      </c>
      <c r="F384">
        <f>IF(Skills!N23=TRUE,(Skills!L23/10)*(E384/1000),Skills!L23/10)+Skills!O23</f>
        <v/>
      </c>
      <c r="G384">
        <f>Skills!G23*IF(Skills!H23&gt;0,Skills!I23/Skills!H23,1)</f>
        <v/>
      </c>
      <c r="H384">
        <f>1-(1-Skills!J23/100)^Skills!K23</f>
        <v/>
      </c>
      <c r="I384" t="inlineStr">
        <is>
          <t>1</t>
        </is>
      </c>
      <c r="J384" t="inlineStr"/>
      <c r="K384" t="inlineStr"/>
      <c r="L384" t="inlineStr"/>
      <c r="M384" t="inlineStr"/>
      <c r="N384" t="inlineStr"/>
      <c r="O384" t="n">
        <v>0</v>
      </c>
      <c r="P384">
        <f>IF(B399=0,0,O384/B399)</f>
        <v/>
      </c>
      <c r="Q384" t="n">
        <v>0</v>
      </c>
      <c r="R384" t="n">
        <v>0</v>
      </c>
      <c r="S384">
        <f>IFERROR(O384/N384,0)</f>
        <v/>
      </c>
    </row>
    <row r="385">
      <c r="A385">
        <f>Skills!A24</f>
        <v/>
      </c>
      <c r="B385">
        <f>Skills!B24</f>
        <v/>
      </c>
      <c r="C385">
        <f>Inputs!$B$3&gt;=40</f>
        <v/>
      </c>
      <c r="D385">
        <f>IF(Skills!C24=1,60+Inputs!$B$24+Inputs!$B$28,IF(Skills!C24=2,90+Inputs!$B$25+Inputs!$B$28,IF(Skills!C24=3,120+Inputs!$B$26+Inputs!$B$28,MAX(0,(Inputs!$B$3-100)*3)+Inputs!$B$27+Inputs!$B$28)))</f>
        <v/>
      </c>
      <c r="E385">
        <f>INDEX(FactorTable!$B$2:$Y$301, MATCH(ROUND(MIN(300,MAX(1,D385)),0), FactorTable!$A$2:$A$301,0), Skills!M24+1)</f>
        <v/>
      </c>
      <c r="F385">
        <f>IF(Skills!N24=TRUE,(Skills!L24/10)*(E385/1000),Skills!L24/10)+Skills!O24</f>
        <v/>
      </c>
      <c r="G385">
        <f>Skills!G24*IF(Skills!H24&gt;0,Skills!I24/Skills!H24,1)</f>
        <v/>
      </c>
      <c r="H385">
        <f>1-(1-Skills!J24/100)^Skills!K24</f>
        <v/>
      </c>
      <c r="I385" t="inlineStr">
        <is>
          <t>1</t>
        </is>
      </c>
      <c r="J385" t="inlineStr"/>
      <c r="K385" t="inlineStr"/>
      <c r="L385" t="inlineStr"/>
      <c r="M385" t="inlineStr"/>
      <c r="N385" t="inlineStr"/>
      <c r="O385" t="n">
        <v>0</v>
      </c>
      <c r="P385">
        <f>IF(B399=0,0,O385/B399)</f>
        <v/>
      </c>
      <c r="Q385" t="n">
        <v>0</v>
      </c>
      <c r="R385" t="n">
        <v>0</v>
      </c>
      <c r="S385">
        <f>IFERROR(O385/N385,0)</f>
        <v/>
      </c>
    </row>
    <row r="386">
      <c r="A386">
        <f>Skills!A25</f>
        <v/>
      </c>
      <c r="B386">
        <f>Skills!B25</f>
        <v/>
      </c>
      <c r="C386">
        <f>Inputs!$B$3&gt;=72</f>
        <v/>
      </c>
      <c r="D386">
        <f>IF(Skills!C25=1,60+Inputs!$B$24+Inputs!$B$28,IF(Skills!C25=2,90+Inputs!$B$25+Inputs!$B$28,IF(Skills!C25=3,120+Inputs!$B$26+Inputs!$B$28,MAX(0,(Inputs!$B$3-100)*3)+Inputs!$B$27+Inputs!$B$28)))</f>
        <v/>
      </c>
      <c r="E386">
        <f>INDEX(FactorTable!$B$2:$Y$301, MATCH(ROUND(MIN(300,MAX(1,D386)),0), FactorTable!$A$2:$A$301,0), Skills!M25+1)</f>
        <v/>
      </c>
      <c r="F386">
        <f>IF(Skills!N25=TRUE,(Skills!L25/10)*(E386/1000),Skills!L25/10)+Skills!O25</f>
        <v/>
      </c>
      <c r="G386">
        <f>Skills!G25*IF(Skills!H25&gt;0,Skills!I25/Skills!H25,1)</f>
        <v/>
      </c>
      <c r="H386">
        <f>1-(1-Skills!J25/100)^Skills!K25</f>
        <v/>
      </c>
      <c r="I386" t="inlineStr">
        <is>
          <t>1</t>
        </is>
      </c>
      <c r="J386" t="inlineStr"/>
      <c r="K386" t="inlineStr"/>
      <c r="L386" t="inlineStr"/>
      <c r="M386" t="inlineStr"/>
      <c r="N386" t="inlineStr"/>
      <c r="O386" t="n">
        <v>0</v>
      </c>
      <c r="P386">
        <f>IF(B399=0,0,O386/B399)</f>
        <v/>
      </c>
      <c r="Q386" t="n">
        <v>0</v>
      </c>
      <c r="R386" t="n">
        <v>0</v>
      </c>
      <c r="S386">
        <f>IFERROR(O386/N386,0)</f>
        <v/>
      </c>
    </row>
    <row r="387">
      <c r="A387">
        <f>Skills!A26</f>
        <v/>
      </c>
      <c r="B387">
        <f>Skills!B26</f>
        <v/>
      </c>
      <c r="C387">
        <f>Inputs!$B$3&gt;=75</f>
        <v/>
      </c>
      <c r="D387">
        <f>IF(Skills!C26=1,60+Inputs!$B$24+Inputs!$B$28,IF(Skills!C26=2,90+Inputs!$B$25+Inputs!$B$28,IF(Skills!C26=3,120+Inputs!$B$26+Inputs!$B$28,MAX(0,(Inputs!$B$3-100)*3)+Inputs!$B$27+Inputs!$B$28)))</f>
        <v/>
      </c>
      <c r="E387">
        <f>INDEX(FactorTable!$B$2:$Y$301, MATCH(ROUND(MIN(300,MAX(1,D387)),0), FactorTable!$A$2:$A$301,0), Skills!M26+1)</f>
        <v/>
      </c>
      <c r="F387">
        <f>IF(Skills!N26=TRUE,(Skills!L26/10)*(E387/1000),Skills!L26/10)+Skills!O26</f>
        <v/>
      </c>
      <c r="G387">
        <f>Skills!G26*IF(Skills!H26&gt;0,Skills!I26/Skills!H26,1)</f>
        <v/>
      </c>
      <c r="H387">
        <f>1-(1-Skills!J26/100)^Skills!K26</f>
        <v/>
      </c>
      <c r="I387" t="inlineStr">
        <is>
          <t>1</t>
        </is>
      </c>
      <c r="J387" t="inlineStr"/>
      <c r="K387" t="inlineStr"/>
      <c r="L387" t="inlineStr"/>
      <c r="M387" t="inlineStr"/>
      <c r="N387" t="inlineStr"/>
      <c r="O387" t="n">
        <v>0</v>
      </c>
      <c r="P387">
        <f>IF(B399=0,0,O387/B399)</f>
        <v/>
      </c>
      <c r="Q387" t="n">
        <v>0</v>
      </c>
      <c r="R387" t="n">
        <v>0</v>
      </c>
      <c r="S387">
        <f>IFERROR(O387/N387,0)</f>
        <v/>
      </c>
    </row>
    <row r="388">
      <c r="A388">
        <f>Skills!A27</f>
        <v/>
      </c>
      <c r="B388">
        <f>Skills!B27</f>
        <v/>
      </c>
      <c r="C388">
        <f>Inputs!$B$3&gt;=117</f>
        <v/>
      </c>
      <c r="D388">
        <f>IF(Skills!C27=1,60+Inputs!$B$24+Inputs!$B$28,IF(Skills!C27=2,90+Inputs!$B$25+Inputs!$B$28,IF(Skills!C27=3,120+Inputs!$B$26+Inputs!$B$28,MAX(0,(Inputs!$B$3-100)*3)+Inputs!$B$27+Inputs!$B$28)))</f>
        <v/>
      </c>
      <c r="E388">
        <f>INDEX(FactorTable!$B$2:$Y$301, MATCH(ROUND(MIN(300,MAX(1,D388)),0), FactorTable!$A$2:$A$301,0), Skills!M27+1)</f>
        <v/>
      </c>
      <c r="F388">
        <f>IF(Skills!N27=TRUE,(Skills!L27/10)*(E388/1000),Skills!L27/10)+Skills!O27</f>
        <v/>
      </c>
      <c r="G388">
        <f>Skills!G27*IF(Skills!H27&gt;0,Skills!I27/Skills!H27,1)</f>
        <v/>
      </c>
      <c r="H388">
        <f>1-(1-Skills!J27/100)^Skills!K27</f>
        <v/>
      </c>
      <c r="I388" t="inlineStr">
        <is>
          <t>1</t>
        </is>
      </c>
      <c r="J388" t="inlineStr"/>
      <c r="K388" t="inlineStr"/>
      <c r="L388" t="inlineStr"/>
      <c r="M388" t="inlineStr"/>
      <c r="N388" t="inlineStr"/>
      <c r="O388" t="n">
        <v>0</v>
      </c>
      <c r="P388">
        <f>IF(B399=0,0,O388/B399)</f>
        <v/>
      </c>
      <c r="Q388" t="n">
        <v>0</v>
      </c>
      <c r="R388" t="n">
        <v>0</v>
      </c>
      <c r="S388">
        <f>IFERROR(O388/N388,0)</f>
        <v/>
      </c>
    </row>
    <row r="390">
      <c r="A390" t="inlineStr">
        <is>
          <t>Attack% Bucket Multiplier</t>
        </is>
      </c>
      <c r="B390">
        <f>(1+(((C378=TRUE)*F378)+((C385=TRUE)*(F385-Calc!F24)))/100)</f>
        <v/>
      </c>
    </row>
    <row r="391">
      <c r="A391" t="inlineStr">
        <is>
          <t>Global Crit Rate Bonus %</t>
        </is>
      </c>
      <c r="B391" t="n">
        <v>0</v>
      </c>
    </row>
    <row r="392">
      <c r="A392" t="inlineStr">
        <is>
          <t>Attack Speed Buff Bonus % (unused)</t>
        </is>
      </c>
      <c r="B392" t="n">
        <v>0</v>
      </c>
    </row>
    <row r="393">
      <c r="A393" t="inlineStr">
        <is>
          <t>Actions Per Second</t>
        </is>
      </c>
      <c r="B393">
        <f>1+MIN(150,150*(1-(1-(Inputs!$B$10+((C381=TRUE)*(F381-Calc!F20))+((C382=TRUE)*(F382-Calc!F21)))/150)*(1-B392/150)))/100</f>
        <v/>
      </c>
    </row>
    <row r="394">
      <c r="A394" t="inlineStr">
        <is>
          <t>Skill + Buff Cast Rate</t>
        </is>
      </c>
      <c r="B394">
        <f>IF(AND(Inputs!$B$4&lt;&gt;"pvp",Inputs!$B$35&gt;0),SUMPRODUCT((Skills!E2:E27=TRUE)*(C363:C388=TRUE)*R363:R388*Skills!F2:F27)/Inputs!$B$35,SUMPRODUCT((Skills!E2:E27=TRUE)*(C363:C388=TRUE)*Q363:Q388*Skills!F2:F27))</f>
        <v/>
      </c>
    </row>
    <row r="395">
      <c r="A395" t="inlineStr">
        <is>
          <t>Eight-Legs Easton Casts Per Second</t>
        </is>
      </c>
      <c r="B395">
        <f>MAX(0,B393-B394)</f>
        <v/>
      </c>
    </row>
    <row r="396">
      <c r="A396" t="inlineStr">
        <is>
          <t>Global Critical Damage Bonus % (unused)</t>
        </is>
      </c>
      <c r="B396" t="n">
        <v>0</v>
      </c>
    </row>
    <row r="397">
      <c r="A397" t="inlineStr">
        <is>
          <t>Global Final Damage Bonus % (Jolly Roger only)</t>
        </is>
      </c>
      <c r="B397">
        <f>((C379=TRUE)*F379)</f>
        <v/>
      </c>
    </row>
    <row r="399">
      <c r="A399" s="5" t="inlineStr">
        <is>
          <t>TOTAL DPS</t>
        </is>
      </c>
      <c r="B399" s="5">
        <f>SUM(O363:O388)</f>
        <v/>
      </c>
    </row>
    <row r="402">
      <c r="A402" s="5" t="inlineStr">
        <is>
          <t>Stat: MAX_DAMAGE %</t>
        </is>
      </c>
    </row>
    <row r="403">
      <c r="A403" s="8" t="inlineStr">
        <is>
          <t>Key</t>
        </is>
      </c>
      <c r="B403" s="8" t="inlineStr">
        <is>
          <t>Name</t>
        </is>
      </c>
      <c r="C403" s="8" t="inlineStr">
        <is>
          <t>Unlocked</t>
        </is>
      </c>
      <c r="D403" s="8" t="inlineStr">
        <is>
          <t>InputLevel</t>
        </is>
      </c>
      <c r="E403" s="8" t="inlineStr">
        <is>
          <t>Factor</t>
        </is>
      </c>
      <c r="F403" s="8" t="inlineStr">
        <is>
          <t>CoefficientPercent</t>
        </is>
      </c>
      <c r="G403" s="8" t="inlineStr">
        <is>
          <t>EffectiveHits</t>
        </is>
      </c>
      <c r="H403" s="8" t="inlineStr">
        <is>
          <t>ProcProbability</t>
        </is>
      </c>
      <c r="I403" s="8" t="inlineStr">
        <is>
          <t>MapleHeroMultiplier</t>
        </is>
      </c>
      <c r="J403" s="8" t="inlineStr">
        <is>
          <t>BaseDamage</t>
        </is>
      </c>
      <c r="K403" s="8" t="inlineStr">
        <is>
          <t>BaseHitDamage</t>
        </is>
      </c>
      <c r="L403" s="8" t="inlineStr">
        <is>
          <t>NonCritAvg</t>
        </is>
      </c>
      <c r="M403" s="8" t="inlineStr">
        <is>
          <t>CritAvg</t>
        </is>
      </c>
      <c r="N403" s="8" t="inlineStr">
        <is>
          <t>ExpectedDamage(perHit)</t>
        </is>
      </c>
      <c r="O403" s="8" t="inlineStr">
        <is>
          <t>DPS</t>
        </is>
      </c>
      <c r="P403" s="8" t="inlineStr">
        <is>
          <t>% of Total</t>
        </is>
      </c>
      <c r="Q403" s="8" t="inlineStr">
        <is>
          <t>InvCooldown</t>
        </is>
      </c>
      <c r="R403" s="8" t="inlineStr">
        <is>
          <t>CastsInFight</t>
        </is>
      </c>
      <c r="S403" s="8" t="inlineStr">
        <is>
          <t>HitRate(perSec)</t>
        </is>
      </c>
      <c r="U403" t="inlineStr">
        <is>
          <t>helpers</t>
        </is>
      </c>
    </row>
    <row r="404">
      <c r="A404">
        <f>Skills!A2</f>
        <v/>
      </c>
      <c r="B404">
        <f>Skills!B2</f>
        <v/>
      </c>
      <c r="C404">
        <f>Inputs!$B$3&gt;=100</f>
        <v/>
      </c>
      <c r="D404" t="inlineStr"/>
      <c r="E404" t="inlineStr"/>
      <c r="F404">
        <f>U406+Skills!O2</f>
        <v/>
      </c>
      <c r="G404">
        <f>Skills!G2*IF(Skills!H2&gt;0,Skills!I2/Skills!H2,1)</f>
        <v/>
      </c>
      <c r="H404">
        <f>1-(1-Skills!J2/100)^Skills!K2</f>
        <v/>
      </c>
      <c r="I404" t="inlineStr">
        <is>
          <t>1</t>
        </is>
      </c>
      <c r="J404">
        <f>(Inputs!$B$5*(1+Inputs!$B$6/100))*(F404/100)</f>
        <v/>
      </c>
      <c r="K404">
        <f>J404*(1+((Inputs!$B$11*(1+Inputs!$B$12/100))*0.01+Inputs!$B$13*0.0025)/100)*(1+Inputs!$B$14/100)*(1+IF(Inputs!$B$4="pvp",0,(1-Summary!$B$55)*(Inputs!$B$19+0+Skills!P2)+Summary!$B$55*(Inputs!$B$20+Skills!Q2))/100)*(1+Inputs!$B$15/100)*(5000/(6000+Inputs!$B$7*(1-(Inputs!$B$18+0)/100)))*(1+(Inputs!$B$23+((C428=TRUE)*(F428-Calc!F26))+B438)/100)*(1+(IF(Skills!A2="EIGHT_LEGS_EASTON",Inputs!$B$16+((C425=TRUE)*(F425-Calc!F23))+((C429=TRUE)*(F429-Calc!F27)),Inputs!$B$17+0))/100)*((1+(((C419=TRUE)*F419)+((C426=TRUE)*(F426-Calc!F24)))/100)*I404)</f>
        <v/>
      </c>
      <c r="L404">
        <f>K404*(MIN(Inputs!$B$21+((C424=TRUE)*(F424-Calc!F22)),(Inputs!$B$22+1)+0)/100+((Inputs!$B$22+1)+0)/100)/2</f>
        <v/>
      </c>
      <c r="M404">
        <f>L404*(1+(Inputs!$B$9+((C427=TRUE)*(F427-Calc!F25))+B437)/100)</f>
        <v/>
      </c>
      <c r="N404">
        <f>L404*(1-MIN((Inputs!$B$8+((C421=TRUE)*(F421-Calc!F19))+B432),100)/100)+M404*(MIN((Inputs!$B$8+((C421=TRUE)*(F421-Calc!F19))+B432),100)/100)</f>
        <v/>
      </c>
      <c r="O404">
        <f>IF(C404,Skills!G2*N404*B436*IF(Inputs!$B$4="pvp",1,(1-Summary!$B$55)*(1)+Summary!$B$55*(MIN((6+Inputs!$B$32),Inputs!$B$37))),0)</f>
        <v/>
      </c>
      <c r="P404">
        <f>IF(B440=0,0,O404/B440)</f>
        <v/>
      </c>
      <c r="Q404" t="n">
        <v>0</v>
      </c>
      <c r="R404" t="n">
        <v>0</v>
      </c>
      <c r="S404">
        <f>IFERROR(O404/N404,0)</f>
        <v/>
      </c>
      <c r="U404">
        <f>MAX(0,(Inputs!$B$3-100)*3)+Inputs!$B$27+Inputs!$B$28</f>
        <v/>
      </c>
    </row>
    <row r="405">
      <c r="A405">
        <f>Skills!A3</f>
        <v/>
      </c>
      <c r="B405">
        <f>Skills!B3</f>
        <v/>
      </c>
      <c r="C405">
        <f>Inputs!$B$3&gt;=35</f>
        <v/>
      </c>
      <c r="D405">
        <f>IF(Skills!C3=1,60+Inputs!$B$24+Inputs!$B$28,IF(Skills!C3=2,90+Inputs!$B$25+Inputs!$B$28,IF(Skills!C3=3,120+Inputs!$B$26+Inputs!$B$28,MAX(0,(Inputs!$B$3-100)*3)+Inputs!$B$27+Inputs!$B$28)))</f>
        <v/>
      </c>
      <c r="E405">
        <f>INDEX(FactorTable!$B$2:$Y$301, MATCH(ROUND(MIN(300,MAX(1,D405)),0), FactorTable!$A$2:$A$301,0), Skills!M3+1)</f>
        <v/>
      </c>
      <c r="F405">
        <f>IF(Skills!N3=TRUE,(Skills!L3/10)*(E405/1000),Skills!L3/10)+Skills!O3</f>
        <v/>
      </c>
      <c r="G405">
        <f>Skills!G3*IF(Skills!H3&gt;0,Skills!I3/Skills!H3,1)</f>
        <v/>
      </c>
      <c r="H405">
        <f>1-(1-Skills!J3/100)^Skills!K3</f>
        <v/>
      </c>
      <c r="I405" t="inlineStr">
        <is>
          <t>1</t>
        </is>
      </c>
      <c r="J405">
        <f>(Inputs!$B$5*(1+Inputs!$B$6/100))*(F405/100)</f>
        <v/>
      </c>
      <c r="K405">
        <f>J405*(1+((Inputs!$B$11*(1+Inputs!$B$12/100))*0.01+Inputs!$B$13*0.0025)/100)*(1+Inputs!$B$14/100)*(1+IF(Inputs!$B$4="pvp",0,(1-Summary!$B$55)*(Inputs!$B$19+0+Skills!P3)+Summary!$B$55*(Inputs!$B$20+Skills!Q3))/100)*(1+Inputs!$B$15/100)*(5000/(6000+Inputs!$B$7*(1-(Inputs!$B$18+0)/100)))*(1+(Inputs!$B$23+((C428=TRUE)*(F428-Calc!F26))+B438)/100)*(1+4.0*IF(C417=TRUE,F417,0)/100)*(1+(IF(Skills!A3="EIGHT_LEGS_EASTON",Inputs!$B$16+((C425=TRUE)*(F425-Calc!F23))+((C429=TRUE)*(F429-Calc!F27)),Inputs!$B$17+0))/100)*((1+(((C419=TRUE)*F419)+((C426=TRUE)*(F426-Calc!F24)))/100)*I405)</f>
        <v/>
      </c>
      <c r="L405">
        <f>K405*(MIN(Inputs!$B$21+((C424=TRUE)*(F424-Calc!F22)),(Inputs!$B$22+1)+0)/100+((Inputs!$B$22+1)+0)/100)/2</f>
        <v/>
      </c>
      <c r="M405">
        <f>L405*(1+(Inputs!$B$9+((C427=TRUE)*(F427-Calc!F25))+B437)/100)</f>
        <v/>
      </c>
      <c r="N405">
        <f>L405*(1-MIN((Inputs!$B$8+((C421=TRUE)*(F421-Calc!F19))+B432),100)/100)+M405*(MIN((Inputs!$B$8+((C421=TRUE)*(F421-Calc!F19))+B432),100)/100)</f>
        <v/>
      </c>
      <c r="O405">
        <f>IF(C405,H405*N405*IF(AND(Inputs!$B$4&lt;&gt;"pvp",Inputs!$B$35&gt;0),((Skills!G3*((R405-1)*IF(Skills!H3&gt;0,Skills!I3/Skills!H3,1)+IF(Skills!H3&gt;0,MIN(Skills!I3,MAX(0,Inputs!$B$35-((R405-1)*IF(Inputs!$B$4="pvp",15,MAX(0.1,Skills!D3-IF(Skills!E3=TRUE,Inputs!$B$31,0))))))/Skills!H3,1)))/Inputs!$B$35),G405*Q405)*IF(Inputs!$B$4="pvp",1,(1-Summary!$B$55)*(1)+Summary!$B$55*(MIN(Skills!R3,Inputs!$B$37))),0)</f>
        <v/>
      </c>
      <c r="P405">
        <f>IF(B440=0,0,O405/B440)</f>
        <v/>
      </c>
      <c r="Q405">
        <f>IFERROR(1/IF(Inputs!$B$4="pvp",15,MAX(0.1,Skills!D3-IF(Skills!E3=TRUE,Inputs!$B$31,0))),0)</f>
        <v/>
      </c>
      <c r="R405">
        <f>IF(AND(Inputs!$B$4&lt;&gt;"pvp",Inputs!$B$35&gt;0),(INT(Inputs!$B$35/IF(Inputs!$B$4="pvp",15,MAX(0.1,Skills!D3-IF(Skills!E3=TRUE,Inputs!$B$31,0))))+1),0)</f>
        <v/>
      </c>
      <c r="S405">
        <f>IFERROR(O405/N405,0)</f>
        <v/>
      </c>
      <c r="U405">
        <f>INDEX(FactorTable!$B$2:$Y$301, MATCH(ROUND(MIN(300,MAX(1,U404)),0), FactorTable!$A$2:$A$301,0), 22)</f>
        <v/>
      </c>
    </row>
    <row r="406">
      <c r="A406">
        <f>Skills!A4</f>
        <v/>
      </c>
      <c r="B406">
        <f>Skills!B4</f>
        <v/>
      </c>
      <c r="C406">
        <f>Inputs!$B$3&gt;=40</f>
        <v/>
      </c>
      <c r="D406">
        <f>IF(Skills!C4=1,60+Inputs!$B$24+Inputs!$B$28,IF(Skills!C4=2,90+Inputs!$B$25+Inputs!$B$28,IF(Skills!C4=3,120+Inputs!$B$26+Inputs!$B$28,MAX(0,(Inputs!$B$3-100)*3)+Inputs!$B$27+Inputs!$B$28)))</f>
        <v/>
      </c>
      <c r="E406">
        <f>INDEX(FactorTable!$B$2:$Y$301, MATCH(ROUND(MIN(300,MAX(1,D406)),0), FactorTable!$A$2:$A$301,0), Skills!M4+1)</f>
        <v/>
      </c>
      <c r="F406">
        <f>IF(Skills!N4=TRUE,(Skills!L4/10)*(E406/1000),Skills!L4/10)+Skills!O4</f>
        <v/>
      </c>
      <c r="G406">
        <f>Skills!G4*IF(Skills!H4&gt;0,Skills!I4/Skills!H4,1)</f>
        <v/>
      </c>
      <c r="H406">
        <f>1-(1-Skills!J4/100)^Skills!K4</f>
        <v/>
      </c>
      <c r="I406" t="inlineStr">
        <is>
          <t>1</t>
        </is>
      </c>
      <c r="J406">
        <f>(Inputs!$B$5*(1+Inputs!$B$6/100))*(F406/100)</f>
        <v/>
      </c>
      <c r="K406">
        <f>J406*(1+((Inputs!$B$11*(1+Inputs!$B$12/100))*0.01+Inputs!$B$13*0.0025)/100)*(1+Inputs!$B$14/100)*(1+IF(Inputs!$B$4="pvp",0,(1-Summary!$B$55)*(Inputs!$B$19+0+Skills!P4)+Summary!$B$55*(Inputs!$B$20+Skills!Q4))/100)*(1+Inputs!$B$15/100)*(5000/(6000+Inputs!$B$7*(1-(Inputs!$B$18+0)/100)))*(1+(Inputs!$B$23+((C428=TRUE)*(F428-Calc!F26))+B438)/100)*(1+1.0*IF(C418=TRUE,F418,0)/100)*(1+(IF(Skills!A4="EIGHT_LEGS_EASTON",Inputs!$B$16+((C425=TRUE)*(F425-Calc!F23))+((C429=TRUE)*(F429-Calc!F27)),Inputs!$B$17+0))/100)*((1+(((C419=TRUE)*F419)+((C426=TRUE)*(F426-Calc!F24)))/100)*I406)</f>
        <v/>
      </c>
      <c r="L406">
        <f>K406*(MIN(Inputs!$B$21+((C424=TRUE)*(F424-Calc!F22)),(Inputs!$B$22+1)+0)/100+((Inputs!$B$22+1)+0)/100)/2</f>
        <v/>
      </c>
      <c r="M406">
        <f>L406*(1+(Inputs!$B$9+((C427=TRUE)*(F427-Calc!F25))+B437)/100)</f>
        <v/>
      </c>
      <c r="N406">
        <f>L406*(1-MIN((Inputs!$B$8+((C421=TRUE)*(F421-Calc!F19))+B432),100)/100)+M406*(MIN((Inputs!$B$8+((C421=TRUE)*(F421-Calc!F19))+B432),100)/100)</f>
        <v/>
      </c>
      <c r="O406">
        <f>IF(C406,H406*N406*IF(AND(Inputs!$B$4&lt;&gt;"pvp",Inputs!$B$35&gt;0),((Skills!G4*((R406-1)*IF(Skills!H4&gt;0,Skills!I4/Skills!H4,1)+IF(Skills!H4&gt;0,MIN(Skills!I4,MAX(0,Inputs!$B$35-((R406-1)*IF(Inputs!$B$4="pvp",15,MAX(0.1,Skills!D4-IF(Skills!E4=TRUE,Inputs!$B$31,0))))))/Skills!H4,1)))/Inputs!$B$35),G406*Q406)*IF(Inputs!$B$4="pvp",1,(1-Summary!$B$55)*(1)+Summary!$B$55*(MIN(Skills!R4,Inputs!$B$37))),0)</f>
        <v/>
      </c>
      <c r="P406">
        <f>IF(B440=0,0,O406/B440)</f>
        <v/>
      </c>
      <c r="Q406">
        <f>IFERROR(1/IF(Inputs!$B$4="pvp",15,MAX(0.1,Skills!D4-IF(Skills!E4=TRUE,Inputs!$B$31,0))),0)</f>
        <v/>
      </c>
      <c r="R406">
        <f>IF(AND(Inputs!$B$4&lt;&gt;"pvp",Inputs!$B$35&gt;0),(INT(Inputs!$B$35/IF(Inputs!$B$4="pvp",15,MAX(0.1,Skills!D4-IF(Skills!E4=TRUE,Inputs!$B$31,0))))+1),0)</f>
        <v/>
      </c>
      <c r="S406">
        <f>IFERROR(O406/N406,0)</f>
        <v/>
      </c>
      <c r="U406">
        <f>290*U405/1000</f>
        <v/>
      </c>
    </row>
    <row r="407">
      <c r="A407">
        <f>Skills!A5</f>
        <v/>
      </c>
      <c r="B407">
        <f>Skills!B5</f>
        <v/>
      </c>
      <c r="C407">
        <f>Inputs!$B$3&gt;=45</f>
        <v/>
      </c>
      <c r="D407">
        <f>IF(Skills!C5=1,60+Inputs!$B$24+Inputs!$B$28,IF(Skills!C5=2,90+Inputs!$B$25+Inputs!$B$28,IF(Skills!C5=3,120+Inputs!$B$26+Inputs!$B$28,MAX(0,(Inputs!$B$3-100)*3)+Inputs!$B$27+Inputs!$B$28)))</f>
        <v/>
      </c>
      <c r="E407">
        <f>INDEX(FactorTable!$B$2:$Y$301, MATCH(ROUND(MIN(300,MAX(1,D407)),0), FactorTable!$A$2:$A$301,0), Skills!M5+1)</f>
        <v/>
      </c>
      <c r="F407">
        <f>IF(Skills!N5=TRUE,(Skills!L5/10)*(E407/1000),Skills!L5/10)+Skills!O5</f>
        <v/>
      </c>
      <c r="G407">
        <f>Skills!G5*IF(Skills!H5&gt;0,Skills!I5/Skills!H5,1)</f>
        <v/>
      </c>
      <c r="H407">
        <f>1-(1-Skills!J5/100)^Skills!K5</f>
        <v/>
      </c>
      <c r="I407" t="inlineStr">
        <is>
          <t>1</t>
        </is>
      </c>
      <c r="J407">
        <f>(Inputs!$B$5*(1+Inputs!$B$6/100))*(F407/100)</f>
        <v/>
      </c>
      <c r="K407">
        <f>J407*(1+((Inputs!$B$11*(1+Inputs!$B$12/100))*0.01+Inputs!$B$13*0.0025)/100)*(1+Inputs!$B$14/100)*(1+IF(Inputs!$B$4="pvp",0,(1-Summary!$B$55)*(Inputs!$B$19+0+Skills!P5)+Summary!$B$55*(Inputs!$B$20+Skills!Q5))/100)*(1+Inputs!$B$15/100)*(5000/(6000+Inputs!$B$7*(1-(Inputs!$B$18+0)/100)))*(1+(Inputs!$B$23+((C428=TRUE)*(F428-Calc!F26))+B438)/100)*(1+0.4*IF(C418=TRUE,F418,0)/100)*(1+(IF(Skills!A5="EIGHT_LEGS_EASTON",Inputs!$B$16+((C425=TRUE)*(F425-Calc!F23))+((C429=TRUE)*(F429-Calc!F27)),Inputs!$B$17+0))/100)*((1+(((C419=TRUE)*F419)+((C426=TRUE)*(F426-Calc!F24)))/100)*I407)</f>
        <v/>
      </c>
      <c r="L407">
        <f>K407*(MIN(Inputs!$B$21+((C424=TRUE)*(F424-Calc!F22)),(Inputs!$B$22+1)+0)/100+((Inputs!$B$22+1)+0)/100)/2</f>
        <v/>
      </c>
      <c r="M407">
        <f>L407*(1+(Inputs!$B$9+((C427=TRUE)*(F427-Calc!F25))+B437)/100)</f>
        <v/>
      </c>
      <c r="N407">
        <f>L407*(1-MIN((Inputs!$B$8+((C421=TRUE)*(F421-Calc!F19))+B432),100)/100)+M407*(MIN((Inputs!$B$8+((C421=TRUE)*(F421-Calc!F19))+B432),100)/100)</f>
        <v/>
      </c>
      <c r="O407">
        <f>IF(C407,H407*N407*IF(AND(Inputs!$B$4&lt;&gt;"pvp",Inputs!$B$35&gt;0),((Skills!G5*((R407-1)*IF(Skills!H5&gt;0,Skills!I5/Skills!H5,1)+IF(Skills!H5&gt;0,MIN(Skills!I5,MAX(0,Inputs!$B$35-((R407-1)*IF(Inputs!$B$4="pvp",15,MAX(0.1,Skills!D5-IF(Skills!E5=TRUE,Inputs!$B$31,0))))))/Skills!H5,1)))/Inputs!$B$35),G407*Q407)*IF(Inputs!$B$4="pvp",1,(1-Summary!$B$55)*(1)+Summary!$B$55*(MIN(Skills!R5,Inputs!$B$37))),0)</f>
        <v/>
      </c>
      <c r="P407">
        <f>IF(B440=0,0,O407/B440)</f>
        <v/>
      </c>
      <c r="Q407">
        <f>IFERROR(1/IF(Inputs!$B$4="pvp",15,MAX(0.1,Skills!D5-IF(Skills!E5=TRUE,Inputs!$B$31,0))),0)</f>
        <v/>
      </c>
      <c r="R407">
        <f>IF(AND(Inputs!$B$4&lt;&gt;"pvp",Inputs!$B$35&gt;0),(INT(Inputs!$B$35/IF(Inputs!$B$4="pvp",15,MAX(0.1,Skills!D5-IF(Skills!E5=TRUE,Inputs!$B$31,0))))+1),0)</f>
        <v/>
      </c>
      <c r="S407">
        <f>IFERROR(O407/N407,0)</f>
        <v/>
      </c>
    </row>
    <row r="408">
      <c r="A408">
        <f>Skills!A6</f>
        <v/>
      </c>
      <c r="B408">
        <f>Skills!B6</f>
        <v/>
      </c>
      <c r="C408">
        <f>Inputs!$B$3&gt;=63</f>
        <v/>
      </c>
      <c r="D408">
        <f>IF(Skills!C6=1,60+Inputs!$B$24+Inputs!$B$28,IF(Skills!C6=2,90+Inputs!$B$25+Inputs!$B$28,IF(Skills!C6=3,120+Inputs!$B$26+Inputs!$B$28,MAX(0,(Inputs!$B$3-100)*3)+Inputs!$B$27+Inputs!$B$28)))</f>
        <v/>
      </c>
      <c r="E408">
        <f>INDEX(FactorTable!$B$2:$Y$301, MATCH(ROUND(MIN(300,MAX(1,D408)),0), FactorTable!$A$2:$A$301,0), Skills!M6+1)</f>
        <v/>
      </c>
      <c r="F408">
        <f>IF(Skills!N6=TRUE,(Skills!L6/10)*(E408/1000),Skills!L6/10)+Skills!O6</f>
        <v/>
      </c>
      <c r="G408">
        <f>Skills!G6*IF(Skills!H6&gt;0,Skills!I6/Skills!H6,1)</f>
        <v/>
      </c>
      <c r="H408">
        <f>1-(1-Skills!J6/100)^Skills!K6</f>
        <v/>
      </c>
      <c r="I408" t="inlineStr">
        <is>
          <t>1</t>
        </is>
      </c>
      <c r="J408">
        <f>(Inputs!$B$5*(1+Inputs!$B$6/100))*(F408/100)</f>
        <v/>
      </c>
      <c r="K408">
        <f>J408*(1+((Inputs!$B$11*(1+Inputs!$B$12/100))*0.01+Inputs!$B$13*0.0025)/100)*(1+Inputs!$B$14/100)*(1+IF(Inputs!$B$4="pvp",0,(1-Summary!$B$55)*(Inputs!$B$19+0+Skills!P6)+Summary!$B$55*(Inputs!$B$20+Skills!Q6))/100)*(1+Inputs!$B$15/100)*(5000/(6000+Inputs!$B$7*(1-(Inputs!$B$18+0)/100)))*(1+(Inputs!$B$23+((C428=TRUE)*(F428-Calc!F26))+B438)/100)*(1+2.0*IF(C417=TRUE,F417,0)/100)*(1+(IF(Skills!A6="EIGHT_LEGS_EASTON",Inputs!$B$16+((C425=TRUE)*(F425-Calc!F23))+((C429=TRUE)*(F429-Calc!F27)),Inputs!$B$17+0))/100)*((1+(((C419=TRUE)*F419)+((C426=TRUE)*(F426-Calc!F24)))/100)*I408)</f>
        <v/>
      </c>
      <c r="L408">
        <f>K408*(MIN(Inputs!$B$21+((C424=TRUE)*(F424-Calc!F22)),(Inputs!$B$22+1)+0)/100+((Inputs!$B$22+1)+0)/100)/2</f>
        <v/>
      </c>
      <c r="M408">
        <f>L408*(1+(Inputs!$B$9+((C427=TRUE)*(F427-Calc!F25))+B437)/100)</f>
        <v/>
      </c>
      <c r="N408">
        <f>L408*(1-MIN((Inputs!$B$8+((C421=TRUE)*(F421-Calc!F19))+B432),100)/100)+M408*(MIN((Inputs!$B$8+((C421=TRUE)*(F421-Calc!F19))+B432),100)/100)</f>
        <v/>
      </c>
      <c r="O408">
        <f>IF(C408,H408*N408*IF(AND(Inputs!$B$4&lt;&gt;"pvp",Inputs!$B$35&gt;0),((Skills!G6*((R408-1)*IF(Skills!H6&gt;0,Skills!I6/Skills!H6,1)+IF(Skills!H6&gt;0,MIN(Skills!I6,MAX(0,Inputs!$B$35-((R408-1)*IF(Inputs!$B$4="pvp",15,MAX(0.1,Skills!D6-IF(Skills!E6=TRUE,Inputs!$B$31,0))))))/Skills!H6,1)))/Inputs!$B$35),G408*Q408)*IF(Inputs!$B$4="pvp",1,(1-Summary!$B$55)*(1)+Summary!$B$55*(MIN(Skills!R6,Inputs!$B$37))),0)</f>
        <v/>
      </c>
      <c r="P408">
        <f>IF(B440=0,0,O408/B440)</f>
        <v/>
      </c>
      <c r="Q408">
        <f>IFERROR(1/IF(Inputs!$B$4="pvp",15,MAX(0.1,Skills!D6-IF(Skills!E6=TRUE,Inputs!$B$31,0))),0)</f>
        <v/>
      </c>
      <c r="R408">
        <f>IF(AND(Inputs!$B$4&lt;&gt;"pvp",Inputs!$B$35&gt;0),(INT(Inputs!$B$35/IF(Inputs!$B$4="pvp",15,MAX(0.1,Skills!D6-IF(Skills!E6=TRUE,Inputs!$B$31,0))))+1),0)</f>
        <v/>
      </c>
      <c r="S408">
        <f>IFERROR(O408/N408,0)</f>
        <v/>
      </c>
    </row>
    <row r="409">
      <c r="A409">
        <f>Skills!A7</f>
        <v/>
      </c>
      <c r="B409">
        <f>Skills!B7</f>
        <v/>
      </c>
      <c r="C409">
        <f>Inputs!$B$3&gt;=66</f>
        <v/>
      </c>
      <c r="D409">
        <f>IF(Skills!C7=1,60+Inputs!$B$24+Inputs!$B$28,IF(Skills!C7=2,90+Inputs!$B$25+Inputs!$B$28,IF(Skills!C7=3,120+Inputs!$B$26+Inputs!$B$28,MAX(0,(Inputs!$B$3-100)*3)+Inputs!$B$27+Inputs!$B$28)))</f>
        <v/>
      </c>
      <c r="E409">
        <f>INDEX(FactorTable!$B$2:$Y$301, MATCH(ROUND(MIN(300,MAX(1,D409)),0), FactorTable!$A$2:$A$301,0), Skills!M7+1)</f>
        <v/>
      </c>
      <c r="F409">
        <f>IF(Skills!N7=TRUE,(Skills!L7/10)*(E409/1000),Skills!L7/10)+Skills!O7</f>
        <v/>
      </c>
      <c r="G409">
        <f>Skills!G7*IF(Skills!H7&gt;0,Skills!I7/Skills!H7,1)</f>
        <v/>
      </c>
      <c r="H409">
        <f>1-(1-Skills!J7/100)^Skills!K7</f>
        <v/>
      </c>
      <c r="I409" t="inlineStr">
        <is>
          <t>1</t>
        </is>
      </c>
      <c r="J409">
        <f>(Inputs!$B$5*(1+Inputs!$B$6/100))*(F409/100)</f>
        <v/>
      </c>
      <c r="K409">
        <f>J409*(1+((Inputs!$B$11*(1+Inputs!$B$12/100))*0.01+Inputs!$B$13*0.0025)/100)*(1+Inputs!$B$14/100)*(1+IF(Inputs!$B$4="pvp",0,(1-Summary!$B$55)*(Inputs!$B$19+0+Skills!P7)+Summary!$B$55*(Inputs!$B$20+Skills!Q7))/100)*(1+Inputs!$B$15/100)*(5000/(6000+Inputs!$B$7*(1-(Inputs!$B$18+0)/100)))*(1+(Inputs!$B$23+((C428=TRUE)*(F428-Calc!F26))+B438)/100)*(1+1.0*IF(C417=TRUE,F417,0)/100)*(1+(IF(Skills!A7="EIGHT_LEGS_EASTON",Inputs!$B$16+((C425=TRUE)*(F425-Calc!F23))+((C429=TRUE)*(F429-Calc!F27)),Inputs!$B$17+0))/100)*((1+(((C419=TRUE)*F419)+((C426=TRUE)*(F426-Calc!F24)))/100)*I409)</f>
        <v/>
      </c>
      <c r="L409">
        <f>K409*(MIN(Inputs!$B$21+((C424=TRUE)*(F424-Calc!F22)),(Inputs!$B$22+1)+0)/100+((Inputs!$B$22+1)+0)/100)/2</f>
        <v/>
      </c>
      <c r="M409">
        <f>L409*(1+(Inputs!$B$9+((C427=TRUE)*(F427-Calc!F25))+B437)/100)</f>
        <v/>
      </c>
      <c r="N409">
        <f>L409*(1-MIN((Inputs!$B$8+((C421=TRUE)*(F421-Calc!F19))+B432),100)/100)+M409*(MIN((Inputs!$B$8+((C421=TRUE)*(F421-Calc!F19))+B432),100)/100)</f>
        <v/>
      </c>
      <c r="O409">
        <f>IF(C409,H409*N409*IF(AND(Inputs!$B$4&lt;&gt;"pvp",Inputs!$B$35&gt;0),((Skills!G7*((R409-1)*IF(Skills!H7&gt;0,Skills!I7/Skills!H7,1)+IF(Skills!H7&gt;0,MIN(Skills!I7,MAX(0,Inputs!$B$35-((R409-1)*IF(Inputs!$B$4="pvp",15,MAX(0.1,Skills!D7-IF(Skills!E7=TRUE,Inputs!$B$31,0))))))/Skills!H7,1)))/Inputs!$B$35),G409*Q409)*IF(Inputs!$B$4="pvp",1,(1-Summary!$B$55)*(1)+Summary!$B$55*(MIN(Skills!R7,Inputs!$B$37))),0)</f>
        <v/>
      </c>
      <c r="P409">
        <f>IF(B440=0,0,O409/B440)</f>
        <v/>
      </c>
      <c r="Q409">
        <f>IFERROR(1/IF(Inputs!$B$4="pvp",15,MAX(0.1,Skills!D7-IF(Skills!E7=TRUE,Inputs!$B$31,0))),0)</f>
        <v/>
      </c>
      <c r="R409">
        <f>IF(AND(Inputs!$B$4&lt;&gt;"pvp",Inputs!$B$35&gt;0),(INT(Inputs!$B$35/IF(Inputs!$B$4="pvp",15,MAX(0.1,Skills!D7-IF(Skills!E7=TRUE,Inputs!$B$31,0))))+1),0)</f>
        <v/>
      </c>
      <c r="S409">
        <f>IFERROR(O409/N409,0)</f>
        <v/>
      </c>
    </row>
    <row r="410">
      <c r="A410">
        <f>Skills!A8</f>
        <v/>
      </c>
      <c r="B410">
        <f>Skills!B8</f>
        <v/>
      </c>
      <c r="C410">
        <f>Inputs!$B$3&gt;=100</f>
        <v/>
      </c>
      <c r="D410">
        <f>IF(Skills!C8=1,60+Inputs!$B$24+Inputs!$B$28,IF(Skills!C8=2,90+Inputs!$B$25+Inputs!$B$28,IF(Skills!C8=3,120+Inputs!$B$26+Inputs!$B$28,MAX(0,(Inputs!$B$3-100)*3)+Inputs!$B$27+Inputs!$B$28)))</f>
        <v/>
      </c>
      <c r="E410">
        <f>INDEX(FactorTable!$B$2:$Y$301, MATCH(ROUND(MIN(300,MAX(1,D410)),0), FactorTable!$A$2:$A$301,0), Skills!M8+1)</f>
        <v/>
      </c>
      <c r="F410">
        <f>IF(Skills!N8=TRUE,(Skills!L8/10)*(E410/1000),Skills!L8/10)+Skills!O8</f>
        <v/>
      </c>
      <c r="G410">
        <f>Skills!G8*IF(Skills!H8&gt;0,Skills!I8/Skills!H8,1)</f>
        <v/>
      </c>
      <c r="H410">
        <f>1-(1-Skills!J8/100)^Skills!K8</f>
        <v/>
      </c>
      <c r="I410" t="inlineStr">
        <is>
          <t>1</t>
        </is>
      </c>
      <c r="J410">
        <f>(Inputs!$B$5*(1+Inputs!$B$6/100))*(F410/100)</f>
        <v/>
      </c>
      <c r="K410">
        <f>J410*(1+((Inputs!$B$11*(1+Inputs!$B$12/100))*0.01+Inputs!$B$13*0.0025)/100)*(1+Inputs!$B$14/100)*(1+IF(Inputs!$B$4="pvp",0,(1-Summary!$B$55)*(Inputs!$B$19+0+Skills!P8)+Summary!$B$55*(Inputs!$B$20+Skills!Q8))/100)*(1+Inputs!$B$15/100)*(5000/(6000+Inputs!$B$7*(1-(Inputs!$B$18+0)/100)))*(1+(Inputs!$B$23+((C428=TRUE)*(F428-Calc!F26))+B438)/100)*(1+(IF(Skills!A8="EIGHT_LEGS_EASTON",Inputs!$B$16+((C425=TRUE)*(F425-Calc!F23))+((C429=TRUE)*(F429-Calc!F27)),Inputs!$B$17+0))/100)*((1+(((C419=TRUE)*F419)+((C426=TRUE)*(F426-Calc!F24)))/100)*I410)</f>
        <v/>
      </c>
      <c r="L410">
        <f>K410*(MIN(Inputs!$B$21+((C424=TRUE)*(F424-Calc!F22)),(Inputs!$B$22+1)+0)/100+((Inputs!$B$22+1)+0)/100)/2</f>
        <v/>
      </c>
      <c r="M410">
        <f>L410*(1+(Inputs!$B$9+((C427=TRUE)*(F427-Calc!F25))+B437)/100)</f>
        <v/>
      </c>
      <c r="N410">
        <f>L410*(1-MIN((Inputs!$B$8+((C421=TRUE)*(F421-Calc!F19))+B432),100)/100)+M410*(MIN((Inputs!$B$8+((C421=TRUE)*(F421-Calc!F19))+B432),100)/100)</f>
        <v/>
      </c>
      <c r="O410">
        <f>IF(C410,H410*N410*IF(AND(Inputs!$B$4&lt;&gt;"pvp",Inputs!$B$35&gt;0),((Skills!G8*((R410-1)*IF(Skills!H8&gt;0,Skills!I8/Skills!H8,1)+IF(Skills!H8&gt;0,MIN(Skills!I8,MAX(0,Inputs!$B$35-((R410-1)*IF(Inputs!$B$4="pvp",15,MAX(0.1,Skills!D8-IF(Skills!E8=TRUE,Inputs!$B$31,0))))))/Skills!H8,1)))/Inputs!$B$35),G410*Q410)*IF(Inputs!$B$4="pvp",1,(1-Summary!$B$55)*(1)+Summary!$B$55*(MIN(Skills!R8,Inputs!$B$37))),0)</f>
        <v/>
      </c>
      <c r="P410">
        <f>IF(B440=0,0,O410/B440)</f>
        <v/>
      </c>
      <c r="Q410">
        <f>IFERROR(1/IF(Inputs!$B$4="pvp",15,MAX(0.1,Skills!D8-IF(Skills!E8=TRUE,Inputs!$B$31,0))),0)</f>
        <v/>
      </c>
      <c r="R410">
        <f>IF(AND(Inputs!$B$4&lt;&gt;"pvp",Inputs!$B$35&gt;0),(INT(Inputs!$B$35/IF(Inputs!$B$4="pvp",15,MAX(0.1,Skills!D8-IF(Skills!E8=TRUE,Inputs!$B$31,0))))+1),0)</f>
        <v/>
      </c>
      <c r="S410">
        <f>IFERROR(O410/N410,0)</f>
        <v/>
      </c>
    </row>
    <row r="411">
      <c r="A411">
        <f>Skills!A9</f>
        <v/>
      </c>
      <c r="B411">
        <f>Skills!B9</f>
        <v/>
      </c>
      <c r="C411">
        <f>Inputs!$B$3&gt;=103</f>
        <v/>
      </c>
      <c r="D411">
        <f>IF(Skills!C9=1,60+Inputs!$B$24+Inputs!$B$28,IF(Skills!C9=2,90+Inputs!$B$25+Inputs!$B$28,IF(Skills!C9=3,120+Inputs!$B$26+Inputs!$B$28,MAX(0,(Inputs!$B$3-100)*3)+Inputs!$B$27+Inputs!$B$28)))</f>
        <v/>
      </c>
      <c r="E411">
        <f>INDEX(FactorTable!$B$2:$Y$301, MATCH(ROUND(MIN(300,MAX(1,D411)),0), FactorTable!$A$2:$A$301,0), Skills!M9+1)</f>
        <v/>
      </c>
      <c r="F411">
        <f>IF(Skills!N9=TRUE,(Skills!L9/10)*(E411/1000),Skills!L9/10)+Skills!O9</f>
        <v/>
      </c>
      <c r="G411">
        <f>Skills!G9*IF(Skills!H9&gt;0,Skills!I9/Skills!H9,1)</f>
        <v/>
      </c>
      <c r="H411">
        <f>1-(1-Skills!J9/100)^Skills!K9</f>
        <v/>
      </c>
      <c r="I411" t="inlineStr">
        <is>
          <t>1</t>
        </is>
      </c>
      <c r="J411">
        <f>(Inputs!$B$5*(1+Inputs!$B$6/100))*(F411/100)</f>
        <v/>
      </c>
      <c r="K411">
        <f>J411*(1+((Inputs!$B$11*(1+Inputs!$B$12/100))*0.01+Inputs!$B$13*0.0025)/100)*(1+Inputs!$B$14/100)*(1+IF(Inputs!$B$4="pvp",0,(1-Summary!$B$55)*(Inputs!$B$19+0+Skills!P9)+Summary!$B$55*(Inputs!$B$20+Skills!Q9))/100)*(1+Inputs!$B$15/100)*(5000/(6000+Inputs!$B$7*(1-(Inputs!$B$18+0)/100)))*(1+(Inputs!$B$23+((C428=TRUE)*(F428-Calc!F26))+B438)/100)*(1+(IF(Skills!A9="EIGHT_LEGS_EASTON",Inputs!$B$16+((C425=TRUE)*(F425-Calc!F23))+((C429=TRUE)*(F429-Calc!F27)),Inputs!$B$17+0))/100)*((1+(((C419=TRUE)*F419)+((C426=TRUE)*(F426-Calc!F24)))/100)*I411)</f>
        <v/>
      </c>
      <c r="L411">
        <f>K411*(MIN(Inputs!$B$21+((C424=TRUE)*(F424-Calc!F22)),(Inputs!$B$22+1)+0)/100+((Inputs!$B$22+1)+0)/100)/2</f>
        <v/>
      </c>
      <c r="M411">
        <f>L411*(1+(Inputs!$B$9+((C427=TRUE)*(F427-Calc!F25))+B437)/100)</f>
        <v/>
      </c>
      <c r="N411">
        <f>L411*(1-MIN((Inputs!$B$8+((C421=TRUE)*(F421-Calc!F19))+B432),100)/100)+M411*(MIN((Inputs!$B$8+((C421=TRUE)*(F421-Calc!F19))+B432),100)/100)</f>
        <v/>
      </c>
      <c r="O411">
        <f>IF(C411,H411*N411*IF(AND(Inputs!$B$4&lt;&gt;"pvp",Inputs!$B$35&gt;0),((Skills!G9*((R411-1)*IF(Skills!H9&gt;0,Skills!I9/Skills!H9,1)+IF(Skills!H9&gt;0,MIN(Skills!I9,MAX(0,Inputs!$B$35-((R411-1)*IF(Inputs!$B$4="pvp",15,MAX(0.1,Skills!D9-IF(Skills!E9=TRUE,Inputs!$B$31,0))))))/Skills!H9,1)))/Inputs!$B$35),G411*Q411)*IF(Inputs!$B$4="pvp",1,(1-Summary!$B$55)*(1)+Summary!$B$55*(MIN(Skills!R9,Inputs!$B$37))),0)</f>
        <v/>
      </c>
      <c r="P411">
        <f>IF(B440=0,0,O411/B440)</f>
        <v/>
      </c>
      <c r="Q411">
        <f>IFERROR(1/IF(Inputs!$B$4="pvp",15,MAX(0.1,Skills!D9-IF(Skills!E9=TRUE,Inputs!$B$31,0))),0)</f>
        <v/>
      </c>
      <c r="R411">
        <f>IF(AND(Inputs!$B$4&lt;&gt;"pvp",Inputs!$B$35&gt;0),(INT(Inputs!$B$35/IF(Inputs!$B$4="pvp",15,MAX(0.1,Skills!D9-IF(Skills!E9=TRUE,Inputs!$B$31,0))))+1),0)</f>
        <v/>
      </c>
      <c r="S411">
        <f>IFERROR(O411/N411,0)</f>
        <v/>
      </c>
    </row>
    <row r="412">
      <c r="A412">
        <f>Skills!A10</f>
        <v/>
      </c>
      <c r="B412">
        <f>Skills!B10</f>
        <v/>
      </c>
      <c r="C412">
        <f>Inputs!$B$3&gt;=113</f>
        <v/>
      </c>
      <c r="D412">
        <f>IF(Skills!C10=1,60+Inputs!$B$24+Inputs!$B$28,IF(Skills!C10=2,90+Inputs!$B$25+Inputs!$B$28,IF(Skills!C10=3,120+Inputs!$B$26+Inputs!$B$28,MAX(0,(Inputs!$B$3-100)*3)+Inputs!$B$27+Inputs!$B$28)))</f>
        <v/>
      </c>
      <c r="E412">
        <f>INDEX(FactorTable!$B$2:$Y$301, MATCH(ROUND(MIN(300,MAX(1,D412)),0), FactorTable!$A$2:$A$301,0), Skills!M10+1)</f>
        <v/>
      </c>
      <c r="F412">
        <f>IF(Skills!N10=TRUE,(Skills!L10/10)*(E412/1000),Skills!L10/10)+Skills!O10</f>
        <v/>
      </c>
      <c r="G412">
        <f>Skills!G10*IF(Skills!H10&gt;0,Skills!I10/Skills!H10,1)</f>
        <v/>
      </c>
      <c r="H412">
        <f>1-(1-Skills!J10/100)^Skills!K10</f>
        <v/>
      </c>
      <c r="I412" t="inlineStr">
        <is>
          <t>1</t>
        </is>
      </c>
      <c r="J412">
        <f>(Inputs!$B$5*(1+Inputs!$B$6/100))*(F412/100)</f>
        <v/>
      </c>
      <c r="K412">
        <f>J412*(1+((Inputs!$B$11*(1+Inputs!$B$12/100))*0.01+Inputs!$B$13*0.0025)/100)*(1+Inputs!$B$14/100)*(1+IF(Inputs!$B$4="pvp",0,(1-Summary!$B$55)*(Inputs!$B$19+0+Skills!P10)+Summary!$B$55*(Inputs!$B$20+Skills!Q10))/100)*(1+Inputs!$B$15/100)*(5000/(6000+Inputs!$B$7*(1-(Inputs!$B$18+0)/100)))*(1+(Inputs!$B$23+((C428=TRUE)*(F428-Calc!F26))+B438)/100)*(1+(IF(Skills!A10="EIGHT_LEGS_EASTON",Inputs!$B$16+((C425=TRUE)*(F425-Calc!F23))+((C429=TRUE)*(F429-Calc!F27)),Inputs!$B$17+0))/100)*((1+(((C419=TRUE)*F419)+((C426=TRUE)*(F426-Calc!F24)))/100)*I412)</f>
        <v/>
      </c>
      <c r="L412">
        <f>K412*(MIN(Inputs!$B$21+((C424=TRUE)*(F424-Calc!F22)),(Inputs!$B$22+1)+0)/100+((Inputs!$B$22+1)+0)/100)/2</f>
        <v/>
      </c>
      <c r="M412">
        <f>L412*(1+(Inputs!$B$9+((C427=TRUE)*(F427-Calc!F25))+B437)/100)</f>
        <v/>
      </c>
      <c r="N412">
        <f>L412*(1-MIN((Inputs!$B$8+((C421=TRUE)*(F421-Calc!F19))+B432),100)/100)+M412*(MIN((Inputs!$B$8+((C421=TRUE)*(F421-Calc!F19))+B432),100)/100)</f>
        <v/>
      </c>
      <c r="O412">
        <f>IF(C412,H412*N412*IF(AND(Inputs!$B$4&lt;&gt;"pvp",Inputs!$B$35&gt;0),((Skills!G10*((R412-1)*IF(Skills!H10&gt;0,Skills!I10/Skills!H10,1)+IF(Skills!H10&gt;0,MIN(Skills!I10,MAX(0,Inputs!$B$35-((R412-1)*IF(Inputs!$B$4="pvp",15,MAX(0.1,Skills!D10-IF(Skills!E10=TRUE,Inputs!$B$31,0))))))/Skills!H10,1)))/Inputs!$B$35),G412*Q412)*IF(Inputs!$B$4="pvp",1,(1-Summary!$B$55)*(1)+Summary!$B$55*(MIN(Skills!R10,Inputs!$B$37))),0)</f>
        <v/>
      </c>
      <c r="P412">
        <f>IF(B440=0,0,O412/B440)</f>
        <v/>
      </c>
      <c r="Q412">
        <f>IFERROR(1/IF(Inputs!$B$4="pvp",15,MAX(0.1,Skills!D10-IF(Skills!E10=TRUE,Inputs!$B$31,0))),0)</f>
        <v/>
      </c>
      <c r="R412">
        <f>IF(AND(Inputs!$B$4&lt;&gt;"pvp",Inputs!$B$35&gt;0),(INT(Inputs!$B$35/IF(Inputs!$B$4="pvp",15,MAX(0.1,Skills!D10-IF(Skills!E10=TRUE,Inputs!$B$31,0))))+1),0)</f>
        <v/>
      </c>
      <c r="S412">
        <f>IFERROR(O412/N412,0)</f>
        <v/>
      </c>
    </row>
    <row r="413">
      <c r="A413">
        <f>Skills!A11</f>
        <v/>
      </c>
      <c r="B413">
        <f>Skills!B11</f>
        <v/>
      </c>
      <c r="C413">
        <f>Inputs!$B$3&gt;=107</f>
        <v/>
      </c>
      <c r="D413">
        <f>IF(Skills!C11=1,60+Inputs!$B$24+Inputs!$B$28,IF(Skills!C11=2,90+Inputs!$B$25+Inputs!$B$28,IF(Skills!C11=3,120+Inputs!$B$26+Inputs!$B$28,MAX(0,(Inputs!$B$3-100)*3)+Inputs!$B$27+Inputs!$B$28)))</f>
        <v/>
      </c>
      <c r="E413">
        <f>INDEX(FactorTable!$B$2:$Y$301, MATCH(ROUND(MIN(300,MAX(1,D413)),0), FactorTable!$A$2:$A$301,0), Skills!M11+1)</f>
        <v/>
      </c>
      <c r="F413">
        <f>IF(Skills!N11=TRUE,(Skills!L11/10)*(E413/1000),Skills!L11/10)+Skills!O11</f>
        <v/>
      </c>
      <c r="G413">
        <f>Skills!G11*IF(Skills!H11&gt;0,Skills!I11/Skills!H11,1)</f>
        <v/>
      </c>
      <c r="H413">
        <f>1-(1-Skills!J11/100)^Skills!K11</f>
        <v/>
      </c>
      <c r="I413" t="inlineStr">
        <is>
          <t>1</t>
        </is>
      </c>
      <c r="J413">
        <f>(Inputs!$B$5*(1+Inputs!$B$6/100))*(F413/100)</f>
        <v/>
      </c>
      <c r="K413">
        <f>J413*(1+((Inputs!$B$11*(1+Inputs!$B$12/100))*0.01+Inputs!$B$13*0.0025)/100)*(1+Inputs!$B$14/100)*(1+IF(Inputs!$B$4="pvp",0,(1-Summary!$B$55)*(Inputs!$B$19+0+Skills!P11)+Summary!$B$55*(Inputs!$B$20+Skills!Q11))/100)*(1+Inputs!$B$15/100)*(5000/(6000+Inputs!$B$7*(1-(Inputs!$B$18+0)/100)))*(1+(Inputs!$B$23+((C428=TRUE)*(F428-Calc!F26))+B438)/100)*(1+(IF(Skills!A11="EIGHT_LEGS_EASTON",Inputs!$B$16+((C425=TRUE)*(F425-Calc!F23))+((C429=TRUE)*(F429-Calc!F27)),Inputs!$B$17+0))/100)*((1+(((C419=TRUE)*F419)+((C426=TRUE)*(F426-Calc!F24)))/100)*I413)</f>
        <v/>
      </c>
      <c r="L413">
        <f>K413*(MIN(Inputs!$B$21+((C424=TRUE)*(F424-Calc!F22)),(Inputs!$B$22+1)+0)/100+((Inputs!$B$22+1)+0)/100)/2</f>
        <v/>
      </c>
      <c r="M413">
        <f>L413*(1+(Inputs!$B$9+((C427=TRUE)*(F427-Calc!F25))+B437)/100)</f>
        <v/>
      </c>
      <c r="N413">
        <f>L413*(1-MIN((Inputs!$B$8+((C421=TRUE)*(F421-Calc!F19))+B432),100)/100)+M413*(MIN((Inputs!$B$8+((C421=TRUE)*(F421-Calc!F19))+B432),100)/100)</f>
        <v/>
      </c>
      <c r="O413">
        <f>IF(C413,H413*N413*IF(AND(Inputs!$B$4&lt;&gt;"pvp",Inputs!$B$35&gt;0),((Skills!G11*((R413-1)*IF(Skills!H11&gt;0,Skills!I11/Skills!H11,1)+IF(Skills!H11&gt;0,MIN(Skills!I11,MAX(0,Inputs!$B$35-((R413-1)*IF(Inputs!$B$4="pvp",15,MAX(0.1,Skills!D11-IF(Skills!E11=TRUE,Inputs!$B$31,0))))))/Skills!H11,1)))/Inputs!$B$35),G413*Q413)*IF(Inputs!$B$4="pvp",1,(1-Summary!$B$55)*(1)+Summary!$B$55*(MIN(Skills!R11,Inputs!$B$37))),0)</f>
        <v/>
      </c>
      <c r="P413">
        <f>IF(B440=0,0,O413/B440)</f>
        <v/>
      </c>
      <c r="Q413">
        <f>IFERROR(1/IF(Inputs!$B$4="pvp",15,MAX(0.1,Skills!D11-IF(Skills!E11=TRUE,Inputs!$B$31,0))),0)</f>
        <v/>
      </c>
      <c r="R413">
        <f>IF(AND(Inputs!$B$4&lt;&gt;"pvp",Inputs!$B$35&gt;0),(INT(Inputs!$B$35/IF(Inputs!$B$4="pvp",15,MAX(0.1,Skills!D11-IF(Skills!E11=TRUE,Inputs!$B$31,0))))+1),0)</f>
        <v/>
      </c>
      <c r="S413">
        <f>IFERROR(O413/N413,0)</f>
        <v/>
      </c>
    </row>
    <row r="414">
      <c r="A414">
        <f>Skills!A12</f>
        <v/>
      </c>
      <c r="B414">
        <f>Skills!B12</f>
        <v/>
      </c>
      <c r="C414">
        <f>Inputs!$B$3&gt;=110</f>
        <v/>
      </c>
      <c r="D414">
        <f>IF(Skills!C12=1,60+Inputs!$B$24+Inputs!$B$28,IF(Skills!C12=2,90+Inputs!$B$25+Inputs!$B$28,IF(Skills!C12=3,120+Inputs!$B$26+Inputs!$B$28,MAX(0,(Inputs!$B$3-100)*3)+Inputs!$B$27+Inputs!$B$28)))</f>
        <v/>
      </c>
      <c r="E414">
        <f>INDEX(FactorTable!$B$2:$Y$301, MATCH(ROUND(MIN(300,MAX(1,D414)),0), FactorTable!$A$2:$A$301,0), Skills!M12+1)</f>
        <v/>
      </c>
      <c r="F414">
        <f>IF(Skills!N12=TRUE,(Skills!L12/10)*(E414/1000),Skills!L12/10)+Skills!O12</f>
        <v/>
      </c>
      <c r="G414">
        <f>Skills!G12*IF(Skills!H12&gt;0,Skills!I12/Skills!H12,1)</f>
        <v/>
      </c>
      <c r="H414">
        <f>1-(1-Skills!J12/100)^Skills!K12</f>
        <v/>
      </c>
      <c r="I414" t="inlineStr">
        <is>
          <t>1</t>
        </is>
      </c>
      <c r="J414">
        <f>(Inputs!$B$5*(1+Inputs!$B$6/100))*(F414/100)</f>
        <v/>
      </c>
      <c r="K414">
        <f>J414*(1+((Inputs!$B$11*(1+Inputs!$B$12/100))*0.01+Inputs!$B$13*0.0025)/100)*(1+Inputs!$B$14/100)*(1+IF(Inputs!$B$4="pvp",0,(1-Summary!$B$55)*(Inputs!$B$19+0+Skills!P12)+Summary!$B$55*(Inputs!$B$20+Skills!Q12))/100)*(1+Inputs!$B$15/100)*(5000/(6000+Inputs!$B$7*(1-(Inputs!$B$18+0)/100)))*(1+(Inputs!$B$23+((C428=TRUE)*(F428-Calc!F26))+B438)/100)*(1+(IF(Skills!A12="EIGHT_LEGS_EASTON",Inputs!$B$16+((C425=TRUE)*(F425-Calc!F23))+((C429=TRUE)*(F429-Calc!F27)),Inputs!$B$17+0))/100)*((1+(((C419=TRUE)*F419)+((C426=TRUE)*(F426-Calc!F24)))/100)*I414)</f>
        <v/>
      </c>
      <c r="L414">
        <f>K414*(MIN(Inputs!$B$21+((C424=TRUE)*(F424-Calc!F22)),(Inputs!$B$22+1)+0)/100+((Inputs!$B$22+1)+0)/100)/2</f>
        <v/>
      </c>
      <c r="M414">
        <f>L414*(1+(Inputs!$B$9+((C427=TRUE)*(F427-Calc!F25))+B437)/100)</f>
        <v/>
      </c>
      <c r="N414">
        <f>L414*(1-MIN((Inputs!$B$8+((C421=TRUE)*(F421-Calc!F19))+B432),100)/100)+M414*(MIN((Inputs!$B$8+((C421=TRUE)*(F421-Calc!F19))+B432),100)/100)</f>
        <v/>
      </c>
      <c r="O414">
        <f>IF(C414,H414*N414*IF(AND(Inputs!$B$4&lt;&gt;"pvp",Inputs!$B$35&gt;0),((Skills!G12*((R414-1)*IF(Skills!H12&gt;0,Skills!I12/Skills!H12,1)+IF(Skills!H12&gt;0,MIN(Skills!I12,MAX(0,Inputs!$B$35-((R414-1)*IF(Inputs!$B$4="pvp",15,MAX(0.1,Skills!D12-IF(Skills!E12=TRUE,Inputs!$B$31,0))))))/Skills!H12,1)))/Inputs!$B$35),G414*Q414)*IF(Inputs!$B$4="pvp",1,(1-Summary!$B$55)*(1)+Summary!$B$55*(MIN(Skills!R12,Inputs!$B$37))),0)</f>
        <v/>
      </c>
      <c r="P414">
        <f>IF(B440=0,0,O414/B440)</f>
        <v/>
      </c>
      <c r="Q414">
        <f>IFERROR(1/IF(Inputs!$B$4="pvp",15,MAX(0.1,Skills!D12-IF(Skills!E12=TRUE,Inputs!$B$31,0))),0)</f>
        <v/>
      </c>
      <c r="R414">
        <f>IF(AND(Inputs!$B$4&lt;&gt;"pvp",Inputs!$B$35&gt;0),(INT(Inputs!$B$35/IF(Inputs!$B$4="pvp",15,MAX(0.1,Skills!D12-IF(Skills!E12=TRUE,Inputs!$B$31,0))))+1),0)</f>
        <v/>
      </c>
      <c r="S414">
        <f>IFERROR(O414/N414,0)</f>
        <v/>
      </c>
    </row>
    <row r="415">
      <c r="A415">
        <f>Skills!A13</f>
        <v/>
      </c>
      <c r="B415">
        <f>Skills!B13</f>
        <v/>
      </c>
      <c r="C415">
        <f>Inputs!$B$3&gt;=110</f>
        <v/>
      </c>
      <c r="D415">
        <f>IF(Skills!C13=1,60+Inputs!$B$24+Inputs!$B$28,IF(Skills!C13=2,90+Inputs!$B$25+Inputs!$B$28,IF(Skills!C13=3,120+Inputs!$B$26+Inputs!$B$28,MAX(0,(Inputs!$B$3-100)*3)+Inputs!$B$27+Inputs!$B$28)))</f>
        <v/>
      </c>
      <c r="E415">
        <f>INDEX(FactorTable!$B$2:$Y$301, MATCH(ROUND(MIN(300,MAX(1,D415)),0), FactorTable!$A$2:$A$301,0), Skills!M13+1)</f>
        <v/>
      </c>
      <c r="F415">
        <f>IF(Skills!N13=TRUE,(Skills!L13/10)*(E415/1000),Skills!L13/10)+Skills!O13</f>
        <v/>
      </c>
      <c r="G415">
        <f>Skills!G13*IF(Skills!H13&gt;0,Skills!I13/Skills!H13,1)</f>
        <v/>
      </c>
      <c r="H415">
        <f>1-(1-Skills!J13/100)^Skills!K13</f>
        <v/>
      </c>
      <c r="I415" t="inlineStr">
        <is>
          <t>1</t>
        </is>
      </c>
      <c r="J415">
        <f>(Inputs!$B$5*(1+Inputs!$B$6/100))*(F415/100)</f>
        <v/>
      </c>
      <c r="K415">
        <f>J415*(1+((Inputs!$B$11*(1+Inputs!$B$12/100))*0.01+Inputs!$B$13*0.0025)/100)*(1+Inputs!$B$14/100)*(1+IF(Inputs!$B$4="pvp",0,(1-Summary!$B$55)*(Inputs!$B$19+0+Skills!P13)+Summary!$B$55*(Inputs!$B$20+Skills!Q13))/100)*(1+Inputs!$B$15/100)*(5000/(6000+Inputs!$B$7*(1-(Inputs!$B$18+0)/100)))*(1+(Inputs!$B$23+((C428=TRUE)*(F428-Calc!F26))+B438)/100)*(1+(IF(Skills!A13="EIGHT_LEGS_EASTON",Inputs!$B$16+((C425=TRUE)*(F425-Calc!F23))+((C429=TRUE)*(F429-Calc!F27)),Inputs!$B$17+0))/100)*((1+(((C419=TRUE)*F419)+((C426=TRUE)*(F426-Calc!F24)))/100)*I415)</f>
        <v/>
      </c>
      <c r="L415">
        <f>K415*(MIN(Inputs!$B$21+((C424=TRUE)*(F424-Calc!F22)),(Inputs!$B$22+1)+0)/100+((Inputs!$B$22+1)+0)/100)/2</f>
        <v/>
      </c>
      <c r="M415">
        <f>L415*(1+(Inputs!$B$9+((C427=TRUE)*(F427-Calc!F25))+B437)/100)</f>
        <v/>
      </c>
      <c r="N415">
        <f>L415*(1-MIN((Inputs!$B$8+((C421=TRUE)*(F421-Calc!F19))+B432),100)/100)+M415*(MIN((Inputs!$B$8+((C421=TRUE)*(F421-Calc!F19))+B432),100)/100)</f>
        <v/>
      </c>
      <c r="O415">
        <f>IF(C415,H415*N415*IF(AND(Inputs!$B$4&lt;&gt;"pvp",Inputs!$B$35&gt;0),((Skills!G13*((R415-1)*IF(Skills!H13&gt;0,Skills!I13/Skills!H13,1)+IF(Skills!H13&gt;0,MIN(Skills!I13,MAX(0,Inputs!$B$35-((R415-1)*IF(Inputs!$B$4="pvp",15,MAX(0.1,Skills!D13-IF(Skills!E13=TRUE,Inputs!$B$31,0))))))/Skills!H13,1)))/Inputs!$B$35),G415*Q415)*IF(Inputs!$B$4="pvp",1,(1-Summary!$B$55)*(1)+Summary!$B$55*(MIN(Skills!R13,Inputs!$B$37))),0)</f>
        <v/>
      </c>
      <c r="P415">
        <f>IF(B440=0,0,O415/B440)</f>
        <v/>
      </c>
      <c r="Q415">
        <f>IFERROR(1/IF(Inputs!$B$4="pvp",15,MAX(0.1,Skills!D13-IF(Skills!E13=TRUE,Inputs!$B$31,0))),0)</f>
        <v/>
      </c>
      <c r="R415">
        <f>IF(AND(Inputs!$B$4&lt;&gt;"pvp",Inputs!$B$35&gt;0),(INT(Inputs!$B$35/IF(Inputs!$B$4="pvp",15,MAX(0.1,Skills!D13-IF(Skills!E13=TRUE,Inputs!$B$31,0))))+1),0)</f>
        <v/>
      </c>
      <c r="S415">
        <f>IFERROR(O415/N415,0)</f>
        <v/>
      </c>
    </row>
    <row r="416">
      <c r="A416">
        <f>Skills!A14</f>
        <v/>
      </c>
      <c r="B416">
        <f>Skills!B14</f>
        <v/>
      </c>
      <c r="C416">
        <f>Inputs!$B$3&gt;=125</f>
        <v/>
      </c>
      <c r="D416">
        <f>IF(Skills!C14=1,60+Inputs!$B$24+Inputs!$B$28,IF(Skills!C14=2,90+Inputs!$B$25+Inputs!$B$28,IF(Skills!C14=3,120+Inputs!$B$26+Inputs!$B$28,MAX(0,(Inputs!$B$3-100)*3)+Inputs!$B$27+Inputs!$B$28)))</f>
        <v/>
      </c>
      <c r="E416">
        <f>INDEX(FactorTable!$B$2:$Y$301, MATCH(ROUND(MIN(300,MAX(1,D416)),0), FactorTable!$A$2:$A$301,0), Skills!M14+1)</f>
        <v/>
      </c>
      <c r="F416">
        <f>IF(Skills!N14=TRUE,(Skills!L14/10)*(E416/1000),Skills!L14/10)+Skills!O14</f>
        <v/>
      </c>
      <c r="G416">
        <f>Skills!G14*IF(Skills!H14&gt;0,Skills!I14/Skills!H14,1)</f>
        <v/>
      </c>
      <c r="H416">
        <f>1-(1-Skills!J14/100)^Skills!K14</f>
        <v/>
      </c>
      <c r="I416" t="inlineStr">
        <is>
          <t>1</t>
        </is>
      </c>
      <c r="J416">
        <f>(Inputs!$B$5*(1+Inputs!$B$6/100))*(F416/100)</f>
        <v/>
      </c>
      <c r="K416">
        <f>J416*(1+((Inputs!$B$11*(1+Inputs!$B$12/100))*0.01+Inputs!$B$13*0.0025)/100)*(1+Inputs!$B$14/100)*(1+IF(Inputs!$B$4="pvp",0,(1-Summary!$B$55)*(Inputs!$B$19+0+Skills!P14)+Summary!$B$55*(Inputs!$B$20+Skills!Q14))/100)*(1+Inputs!$B$15/100)*(5000/(6000+Inputs!$B$7*(1-(Inputs!$B$18+0)/100)))*(1+(Inputs!$B$23+((C428=TRUE)*(F428-Calc!F26))+B438)/100)*(1+(IF(Skills!A14="EIGHT_LEGS_EASTON",Inputs!$B$16+((C425=TRUE)*(F425-Calc!F23))+((C429=TRUE)*(F429-Calc!F27)),Inputs!$B$17+0))/100)*((1+(((C419=TRUE)*F419)+((C426=TRUE)*(F426-Calc!F24)))/100)*I416)</f>
        <v/>
      </c>
      <c r="L416">
        <f>K416*(MIN(Inputs!$B$21+((C424=TRUE)*(F424-Calc!F22)),(Inputs!$B$22+1)+0)/100+((Inputs!$B$22+1)+0)/100)/2</f>
        <v/>
      </c>
      <c r="M416">
        <f>L416*(1+(Inputs!$B$9+((C427=TRUE)*(F427-Calc!F25))+B437)/100)</f>
        <v/>
      </c>
      <c r="N416">
        <f>L416*(1-MIN((Inputs!$B$8+((C421=TRUE)*(F421-Calc!F19))+B432),100)/100)+M416*(MIN((Inputs!$B$8+((C421=TRUE)*(F421-Calc!F19))+B432),100)/100)</f>
        <v/>
      </c>
      <c r="O416">
        <f>IF(C416,H416*N416*(B436+IF(AND(Inputs!$B$4&lt;&gt;"pvp",Inputs!$B$35&gt;0),((Skills!G8*((R410-1)*IF(Skills!H8&gt;0,Skills!I8/Skills!H8,1)+IF(Skills!H8&gt;0,MIN(Skills!I8,MAX(0,Inputs!$B$35-((R410-1)*IF(Inputs!$B$4="pvp",15,MAX(0.1,Skills!D8-IF(Skills!E8=TRUE,Inputs!$B$31,0))))))/Skills!H8,1)))/Inputs!$B$35),G410*Q410)+IF(AND(Inputs!$B$4&lt;&gt;"pvp",Inputs!$B$35&gt;0),((Skills!G11*((R413-1)*IF(Skills!H11&gt;0,Skills!I11/Skills!H11,1)+IF(Skills!H11&gt;0,MIN(Skills!I11,MAX(0,Inputs!$B$35-((R413-1)*IF(Inputs!$B$4="pvp",15,MAX(0.1,Skills!D11-IF(Skills!E11=TRUE,Inputs!$B$31,0))))))/Skills!H11,1)))/Inputs!$B$35),G413*Q413))*IF(Inputs!$B$4="pvp",1,(1-Summary!$B$55)*(1)+Summary!$B$55*(MIN(Skills!R14,Inputs!$B$37))),0)</f>
        <v/>
      </c>
      <c r="P416">
        <f>IF(B440=0,0,O416/B440)</f>
        <v/>
      </c>
      <c r="Q416" t="n">
        <v>0</v>
      </c>
      <c r="R416" t="n">
        <v>0</v>
      </c>
      <c r="S416">
        <f>IFERROR(O416/N416,0)</f>
        <v/>
      </c>
    </row>
    <row r="417">
      <c r="A417">
        <f>Skills!A15</f>
        <v/>
      </c>
      <c r="B417">
        <f>Skills!B15</f>
        <v/>
      </c>
      <c r="C417">
        <f>Inputs!$B$3&gt;=100</f>
        <v/>
      </c>
      <c r="D417">
        <f>IF(Skills!C15=1,60+Inputs!$B$24+Inputs!$B$28,IF(Skills!C15=2,90+Inputs!$B$25+Inputs!$B$28,IF(Skills!C15=3,120+Inputs!$B$26+Inputs!$B$28,MAX(0,(Inputs!$B$3-100)*3)+Inputs!$B$27+Inputs!$B$28)))</f>
        <v/>
      </c>
      <c r="E417">
        <f>INDEX(FactorTable!$B$2:$Y$301, MATCH(ROUND(MIN(300,MAX(1,D417)),0), FactorTable!$A$2:$A$301,0), Skills!M15+1)</f>
        <v/>
      </c>
      <c r="F417">
        <f>IF(Skills!N15=TRUE,(Skills!L15/10)*(E417/1000),Skills!L15/10)+Skills!O15</f>
        <v/>
      </c>
      <c r="G417" t="inlineStr"/>
      <c r="H417" t="inlineStr"/>
      <c r="I417" t="inlineStr">
        <is>
          <t>1</t>
        </is>
      </c>
      <c r="J417" t="inlineStr"/>
      <c r="K417" t="inlineStr"/>
      <c r="L417" t="inlineStr"/>
      <c r="M417" t="inlineStr"/>
      <c r="N417" t="inlineStr"/>
      <c r="O417" t="inlineStr"/>
      <c r="P417" t="inlineStr"/>
      <c r="Q417" t="inlineStr"/>
      <c r="R417" t="inlineStr"/>
      <c r="S417" t="inlineStr"/>
    </row>
    <row r="418">
      <c r="A418">
        <f>Skills!A16</f>
        <v/>
      </c>
      <c r="B418">
        <f>Skills!B16</f>
        <v/>
      </c>
      <c r="C418">
        <f>Inputs!$B$3&gt;=120</f>
        <v/>
      </c>
      <c r="D418">
        <f>IF(Skills!C16=1,60+Inputs!$B$24+Inputs!$B$28,IF(Skills!C16=2,90+Inputs!$B$25+Inputs!$B$28,IF(Skills!C16=3,120+Inputs!$B$26+Inputs!$B$28,MAX(0,(Inputs!$B$3-100)*3)+Inputs!$B$27+Inputs!$B$28)))</f>
        <v/>
      </c>
      <c r="E418">
        <f>INDEX(FactorTable!$B$2:$Y$301, MATCH(ROUND(MIN(300,MAX(1,D418)),0), FactorTable!$A$2:$A$301,0), Skills!M16+1)</f>
        <v/>
      </c>
      <c r="F418">
        <f>IF(Skills!N16=TRUE,(Skills!L16/10)*(E418/1000),Skills!L16/10)+Skills!O16</f>
        <v/>
      </c>
      <c r="G418" t="inlineStr"/>
      <c r="H418" t="inlineStr"/>
      <c r="I418" t="inlineStr">
        <is>
          <t>1</t>
        </is>
      </c>
      <c r="J418" t="inlineStr"/>
      <c r="K418" t="inlineStr"/>
      <c r="L418" t="inlineStr"/>
      <c r="M418" t="inlineStr"/>
      <c r="N418" t="inlineStr"/>
      <c r="O418" t="inlineStr"/>
      <c r="P418" t="inlineStr"/>
      <c r="Q418" t="inlineStr"/>
      <c r="R418" t="inlineStr"/>
      <c r="S418" t="inlineStr"/>
    </row>
    <row r="419">
      <c r="A419">
        <f>Skills!A17</f>
        <v/>
      </c>
      <c r="B419">
        <f>Skills!B17</f>
        <v/>
      </c>
      <c r="C419">
        <f>Inputs!$B$3&gt;=66</f>
        <v/>
      </c>
      <c r="D419">
        <f>IF(Skills!C17=1,60+Inputs!$B$24+Inputs!$B$28,IF(Skills!C17=2,90+Inputs!$B$25+Inputs!$B$28,IF(Skills!C17=3,120+Inputs!$B$26+Inputs!$B$28,MAX(0,(Inputs!$B$3-100)*3)+Inputs!$B$27+Inputs!$B$28)))</f>
        <v/>
      </c>
      <c r="E419">
        <f>INDEX(FactorTable!$B$2:$Y$301, MATCH(ROUND(MIN(300,MAX(1,D419)),0), FactorTable!$A$2:$A$301,0), Skills!M17+1)</f>
        <v/>
      </c>
      <c r="F419">
        <f>IF(Skills!N17=TRUE,(Skills!L17/10)*(E419/1000),Skills!L17/10)+Skills!O17</f>
        <v/>
      </c>
      <c r="G419">
        <f>Skills!G17*IF(Skills!H17&gt;0,Skills!I17/Skills!H17,1)</f>
        <v/>
      </c>
      <c r="H419">
        <f>1-(1-Skills!J17/100)^Skills!K17</f>
        <v/>
      </c>
      <c r="I419" t="inlineStr">
        <is>
          <t>1</t>
        </is>
      </c>
      <c r="J419" t="inlineStr"/>
      <c r="K419" t="inlineStr"/>
      <c r="L419" t="inlineStr"/>
      <c r="M419" t="inlineStr"/>
      <c r="N419" t="inlineStr"/>
      <c r="O419" t="n">
        <v>0</v>
      </c>
      <c r="P419">
        <f>IF(B440=0,0,O419/B440)</f>
        <v/>
      </c>
      <c r="Q419" t="n">
        <v>0</v>
      </c>
      <c r="R419" t="n">
        <v>0</v>
      </c>
      <c r="S419">
        <f>IFERROR(O419/N419,0)</f>
        <v/>
      </c>
    </row>
    <row r="420">
      <c r="A420">
        <f>Skills!A18</f>
        <v/>
      </c>
      <c r="B420">
        <f>Skills!B18</f>
        <v/>
      </c>
      <c r="C420">
        <f>Inputs!$B$3&gt;=115</f>
        <v/>
      </c>
      <c r="D420">
        <f>IF(Skills!C18=1,60+Inputs!$B$24+Inputs!$B$28,IF(Skills!C18=2,90+Inputs!$B$25+Inputs!$B$28,IF(Skills!C18=3,120+Inputs!$B$26+Inputs!$B$28,MAX(0,(Inputs!$B$3-100)*3)+Inputs!$B$27+Inputs!$B$28)))</f>
        <v/>
      </c>
      <c r="E420">
        <f>INDEX(FactorTable!$B$2:$Y$301, MATCH(ROUND(MIN(300,MAX(1,D420)),0), FactorTable!$A$2:$A$301,0), Skills!M18+1)</f>
        <v/>
      </c>
      <c r="F420">
        <f>IF(Skills!N18=TRUE,(Skills!L18/10)*(E420/1000),Skills!L18/10)+Skills!O18</f>
        <v/>
      </c>
      <c r="G420">
        <f>Skills!G18*IF(Skills!H18&gt;0,Skills!I18/Skills!H18,1)</f>
        <v/>
      </c>
      <c r="H420">
        <f>1-(1-Skills!J18/100)^Skills!K18</f>
        <v/>
      </c>
      <c r="I420" t="inlineStr">
        <is>
          <t>1</t>
        </is>
      </c>
      <c r="J420" t="inlineStr"/>
      <c r="K420" t="inlineStr"/>
      <c r="L420" t="inlineStr"/>
      <c r="M420" t="inlineStr"/>
      <c r="N420" t="inlineStr"/>
      <c r="O420" t="n">
        <v>0</v>
      </c>
      <c r="P420">
        <f>IF(B440=0,0,O420/B440)</f>
        <v/>
      </c>
      <c r="Q420" t="n">
        <v>0</v>
      </c>
      <c r="R420" t="n">
        <v>0</v>
      </c>
      <c r="S420">
        <f>IFERROR(O420/N420,0)</f>
        <v/>
      </c>
    </row>
    <row r="421">
      <c r="A421">
        <f>Skills!A19</f>
        <v/>
      </c>
      <c r="B421">
        <f>Skills!B19</f>
        <v/>
      </c>
      <c r="C421">
        <f>Inputs!$B$3&gt;=15</f>
        <v/>
      </c>
      <c r="D421">
        <f>IF(Skills!C19=1,60+Inputs!$B$24+Inputs!$B$28,IF(Skills!C19=2,90+Inputs!$B$25+Inputs!$B$28,IF(Skills!C19=3,120+Inputs!$B$26+Inputs!$B$28,MAX(0,(Inputs!$B$3-100)*3)+Inputs!$B$27+Inputs!$B$28)))</f>
        <v/>
      </c>
      <c r="E421">
        <f>INDEX(FactorTable!$B$2:$Y$301, MATCH(ROUND(MIN(300,MAX(1,D421)),0), FactorTable!$A$2:$A$301,0), Skills!M19+1)</f>
        <v/>
      </c>
      <c r="F421">
        <f>IF(Skills!N19=TRUE,(Skills!L19/10)*(E421/1000),Skills!L19/10)+Skills!O19</f>
        <v/>
      </c>
      <c r="G421">
        <f>Skills!G19*IF(Skills!H19&gt;0,Skills!I19/Skills!H19,1)</f>
        <v/>
      </c>
      <c r="H421">
        <f>1-(1-Skills!J19/100)^Skills!K19</f>
        <v/>
      </c>
      <c r="I421" t="inlineStr">
        <is>
          <t>1</t>
        </is>
      </c>
      <c r="J421" t="inlineStr"/>
      <c r="K421" t="inlineStr"/>
      <c r="L421" t="inlineStr"/>
      <c r="M421" t="inlineStr"/>
      <c r="N421" t="inlineStr"/>
      <c r="O421" t="n">
        <v>0</v>
      </c>
      <c r="P421">
        <f>IF(B440=0,0,O421/B440)</f>
        <v/>
      </c>
      <c r="Q421" t="n">
        <v>0</v>
      </c>
      <c r="R421" t="n">
        <v>0</v>
      </c>
      <c r="S421">
        <f>IFERROR(O421/N421,0)</f>
        <v/>
      </c>
    </row>
    <row r="422">
      <c r="A422">
        <f>Skills!A20</f>
        <v/>
      </c>
      <c r="B422">
        <f>Skills!B20</f>
        <v/>
      </c>
      <c r="C422">
        <f>Inputs!$B$3&gt;=10</f>
        <v/>
      </c>
      <c r="D422">
        <f>IF(Skills!C20=1,60+Inputs!$B$24+Inputs!$B$28,IF(Skills!C20=2,90+Inputs!$B$25+Inputs!$B$28,IF(Skills!C20=3,120+Inputs!$B$26+Inputs!$B$28,MAX(0,(Inputs!$B$3-100)*3)+Inputs!$B$27+Inputs!$B$28)))</f>
        <v/>
      </c>
      <c r="E422">
        <f>INDEX(FactorTable!$B$2:$Y$301, MATCH(ROUND(MIN(300,MAX(1,D422)),0), FactorTable!$A$2:$A$301,0), Skills!M20+1)</f>
        <v/>
      </c>
      <c r="F422">
        <f>IF(Skills!N20=TRUE,(Skills!L20/10)*(E422/1000),Skills!L20/10)+Skills!O20</f>
        <v/>
      </c>
      <c r="G422">
        <f>Skills!G20*IF(Skills!H20&gt;0,Skills!I20/Skills!H20,1)</f>
        <v/>
      </c>
      <c r="H422">
        <f>1-(1-Skills!J20/100)^Skills!K20</f>
        <v/>
      </c>
      <c r="I422" t="inlineStr">
        <is>
          <t>1</t>
        </is>
      </c>
      <c r="J422" t="inlineStr"/>
      <c r="K422" t="inlineStr"/>
      <c r="L422" t="inlineStr"/>
      <c r="M422" t="inlineStr"/>
      <c r="N422" t="inlineStr"/>
      <c r="O422" t="n">
        <v>0</v>
      </c>
      <c r="P422">
        <f>IF(B440=0,0,O422/B440)</f>
        <v/>
      </c>
      <c r="Q422" t="n">
        <v>0</v>
      </c>
      <c r="R422" t="n">
        <v>0</v>
      </c>
      <c r="S422">
        <f>IFERROR(O422/N422,0)</f>
        <v/>
      </c>
    </row>
    <row r="423">
      <c r="A423">
        <f>Skills!A21</f>
        <v/>
      </c>
      <c r="B423">
        <f>Skills!B21</f>
        <v/>
      </c>
      <c r="C423">
        <f>Inputs!$B$3&gt;=33</f>
        <v/>
      </c>
      <c r="D423">
        <f>IF(Skills!C21=1,60+Inputs!$B$24+Inputs!$B$28,IF(Skills!C21=2,90+Inputs!$B$25+Inputs!$B$28,IF(Skills!C21=3,120+Inputs!$B$26+Inputs!$B$28,MAX(0,(Inputs!$B$3-100)*3)+Inputs!$B$27+Inputs!$B$28)))</f>
        <v/>
      </c>
      <c r="E423">
        <f>INDEX(FactorTable!$B$2:$Y$301, MATCH(ROUND(MIN(300,MAX(1,D423)),0), FactorTable!$A$2:$A$301,0), Skills!M21+1)</f>
        <v/>
      </c>
      <c r="F423">
        <f>IF(Skills!N21=TRUE,(Skills!L21/10)*(E423/1000),Skills!L21/10)+Skills!O21</f>
        <v/>
      </c>
      <c r="G423">
        <f>Skills!G21*IF(Skills!H21&gt;0,Skills!I21/Skills!H21,1)</f>
        <v/>
      </c>
      <c r="H423">
        <f>1-(1-Skills!J21/100)^Skills!K21</f>
        <v/>
      </c>
      <c r="I423" t="inlineStr">
        <is>
          <t>1</t>
        </is>
      </c>
      <c r="J423" t="inlineStr"/>
      <c r="K423" t="inlineStr"/>
      <c r="L423" t="inlineStr"/>
      <c r="M423" t="inlineStr"/>
      <c r="N423" t="inlineStr"/>
      <c r="O423" t="n">
        <v>0</v>
      </c>
      <c r="P423">
        <f>IF(B440=0,0,O423/B440)</f>
        <v/>
      </c>
      <c r="Q423" t="n">
        <v>0</v>
      </c>
      <c r="R423" t="n">
        <v>0</v>
      </c>
      <c r="S423">
        <f>IFERROR(O423/N423,0)</f>
        <v/>
      </c>
    </row>
    <row r="424">
      <c r="A424">
        <f>Skills!A22</f>
        <v/>
      </c>
      <c r="B424">
        <f>Skills!B22</f>
        <v/>
      </c>
      <c r="C424">
        <f>Inputs!$B$3&gt;=43</f>
        <v/>
      </c>
      <c r="D424">
        <f>IF(Skills!C22=1,60+Inputs!$B$24+Inputs!$B$28,IF(Skills!C22=2,90+Inputs!$B$25+Inputs!$B$28,IF(Skills!C22=3,120+Inputs!$B$26+Inputs!$B$28,MAX(0,(Inputs!$B$3-100)*3)+Inputs!$B$27+Inputs!$B$28)))</f>
        <v/>
      </c>
      <c r="E424">
        <f>INDEX(FactorTable!$B$2:$Y$301, MATCH(ROUND(MIN(300,MAX(1,D424)),0), FactorTable!$A$2:$A$301,0), Skills!M22+1)</f>
        <v/>
      </c>
      <c r="F424">
        <f>IF(Skills!N22=TRUE,(Skills!L22/10)*(E424/1000),Skills!L22/10)+Skills!O22</f>
        <v/>
      </c>
      <c r="G424">
        <f>Skills!G22*IF(Skills!H22&gt;0,Skills!I22/Skills!H22,1)</f>
        <v/>
      </c>
      <c r="H424">
        <f>1-(1-Skills!J22/100)^Skills!K22</f>
        <v/>
      </c>
      <c r="I424" t="inlineStr">
        <is>
          <t>1</t>
        </is>
      </c>
      <c r="J424" t="inlineStr"/>
      <c r="K424" t="inlineStr"/>
      <c r="L424" t="inlineStr"/>
      <c r="M424" t="inlineStr"/>
      <c r="N424" t="inlineStr"/>
      <c r="O424" t="n">
        <v>0</v>
      </c>
      <c r="P424">
        <f>IF(B440=0,0,O424/B440)</f>
        <v/>
      </c>
      <c r="Q424" t="n">
        <v>0</v>
      </c>
      <c r="R424" t="n">
        <v>0</v>
      </c>
      <c r="S424">
        <f>IFERROR(O424/N424,0)</f>
        <v/>
      </c>
    </row>
    <row r="425">
      <c r="A425">
        <f>Skills!A23</f>
        <v/>
      </c>
      <c r="B425">
        <f>Skills!B23</f>
        <v/>
      </c>
      <c r="C425">
        <f>Inputs!$B$3&gt;=38</f>
        <v/>
      </c>
      <c r="D425">
        <f>IF(Skills!C23=1,60+Inputs!$B$24+Inputs!$B$28,IF(Skills!C23=2,90+Inputs!$B$25+Inputs!$B$28,IF(Skills!C23=3,120+Inputs!$B$26+Inputs!$B$28,MAX(0,(Inputs!$B$3-100)*3)+Inputs!$B$27+Inputs!$B$28)))</f>
        <v/>
      </c>
      <c r="E425">
        <f>INDEX(FactorTable!$B$2:$Y$301, MATCH(ROUND(MIN(300,MAX(1,D425)),0), FactorTable!$A$2:$A$301,0), Skills!M23+1)</f>
        <v/>
      </c>
      <c r="F425">
        <f>IF(Skills!N23=TRUE,(Skills!L23/10)*(E425/1000),Skills!L23/10)+Skills!O23</f>
        <v/>
      </c>
      <c r="G425">
        <f>Skills!G23*IF(Skills!H23&gt;0,Skills!I23/Skills!H23,1)</f>
        <v/>
      </c>
      <c r="H425">
        <f>1-(1-Skills!J23/100)^Skills!K23</f>
        <v/>
      </c>
      <c r="I425" t="inlineStr">
        <is>
          <t>1</t>
        </is>
      </c>
      <c r="J425" t="inlineStr"/>
      <c r="K425" t="inlineStr"/>
      <c r="L425" t="inlineStr"/>
      <c r="M425" t="inlineStr"/>
      <c r="N425" t="inlineStr"/>
      <c r="O425" t="n">
        <v>0</v>
      </c>
      <c r="P425">
        <f>IF(B440=0,0,O425/B440)</f>
        <v/>
      </c>
      <c r="Q425" t="n">
        <v>0</v>
      </c>
      <c r="R425" t="n">
        <v>0</v>
      </c>
      <c r="S425">
        <f>IFERROR(O425/N425,0)</f>
        <v/>
      </c>
    </row>
    <row r="426">
      <c r="A426">
        <f>Skills!A24</f>
        <v/>
      </c>
      <c r="B426">
        <f>Skills!B24</f>
        <v/>
      </c>
      <c r="C426">
        <f>Inputs!$B$3&gt;=40</f>
        <v/>
      </c>
      <c r="D426">
        <f>IF(Skills!C24=1,60+Inputs!$B$24+Inputs!$B$28,IF(Skills!C24=2,90+Inputs!$B$25+Inputs!$B$28,IF(Skills!C24=3,120+Inputs!$B$26+Inputs!$B$28,MAX(0,(Inputs!$B$3-100)*3)+Inputs!$B$27+Inputs!$B$28)))</f>
        <v/>
      </c>
      <c r="E426">
        <f>INDEX(FactorTable!$B$2:$Y$301, MATCH(ROUND(MIN(300,MAX(1,D426)),0), FactorTable!$A$2:$A$301,0), Skills!M24+1)</f>
        <v/>
      </c>
      <c r="F426">
        <f>IF(Skills!N24=TRUE,(Skills!L24/10)*(E426/1000),Skills!L24/10)+Skills!O24</f>
        <v/>
      </c>
      <c r="G426">
        <f>Skills!G24*IF(Skills!H24&gt;0,Skills!I24/Skills!H24,1)</f>
        <v/>
      </c>
      <c r="H426">
        <f>1-(1-Skills!J24/100)^Skills!K24</f>
        <v/>
      </c>
      <c r="I426" t="inlineStr">
        <is>
          <t>1</t>
        </is>
      </c>
      <c r="J426" t="inlineStr"/>
      <c r="K426" t="inlineStr"/>
      <c r="L426" t="inlineStr"/>
      <c r="M426" t="inlineStr"/>
      <c r="N426" t="inlineStr"/>
      <c r="O426" t="n">
        <v>0</v>
      </c>
      <c r="P426">
        <f>IF(B440=0,0,O426/B440)</f>
        <v/>
      </c>
      <c r="Q426" t="n">
        <v>0</v>
      </c>
      <c r="R426" t="n">
        <v>0</v>
      </c>
      <c r="S426">
        <f>IFERROR(O426/N426,0)</f>
        <v/>
      </c>
    </row>
    <row r="427">
      <c r="A427">
        <f>Skills!A25</f>
        <v/>
      </c>
      <c r="B427">
        <f>Skills!B25</f>
        <v/>
      </c>
      <c r="C427">
        <f>Inputs!$B$3&gt;=72</f>
        <v/>
      </c>
      <c r="D427">
        <f>IF(Skills!C25=1,60+Inputs!$B$24+Inputs!$B$28,IF(Skills!C25=2,90+Inputs!$B$25+Inputs!$B$28,IF(Skills!C25=3,120+Inputs!$B$26+Inputs!$B$28,MAX(0,(Inputs!$B$3-100)*3)+Inputs!$B$27+Inputs!$B$28)))</f>
        <v/>
      </c>
      <c r="E427">
        <f>INDEX(FactorTable!$B$2:$Y$301, MATCH(ROUND(MIN(300,MAX(1,D427)),0), FactorTable!$A$2:$A$301,0), Skills!M25+1)</f>
        <v/>
      </c>
      <c r="F427">
        <f>IF(Skills!N25=TRUE,(Skills!L25/10)*(E427/1000),Skills!L25/10)+Skills!O25</f>
        <v/>
      </c>
      <c r="G427">
        <f>Skills!G25*IF(Skills!H25&gt;0,Skills!I25/Skills!H25,1)</f>
        <v/>
      </c>
      <c r="H427">
        <f>1-(1-Skills!J25/100)^Skills!K25</f>
        <v/>
      </c>
      <c r="I427" t="inlineStr">
        <is>
          <t>1</t>
        </is>
      </c>
      <c r="J427" t="inlineStr"/>
      <c r="K427" t="inlineStr"/>
      <c r="L427" t="inlineStr"/>
      <c r="M427" t="inlineStr"/>
      <c r="N427" t="inlineStr"/>
      <c r="O427" t="n">
        <v>0</v>
      </c>
      <c r="P427">
        <f>IF(B440=0,0,O427/B440)</f>
        <v/>
      </c>
      <c r="Q427" t="n">
        <v>0</v>
      </c>
      <c r="R427" t="n">
        <v>0</v>
      </c>
      <c r="S427">
        <f>IFERROR(O427/N427,0)</f>
        <v/>
      </c>
    </row>
    <row r="428">
      <c r="A428">
        <f>Skills!A26</f>
        <v/>
      </c>
      <c r="B428">
        <f>Skills!B26</f>
        <v/>
      </c>
      <c r="C428">
        <f>Inputs!$B$3&gt;=75</f>
        <v/>
      </c>
      <c r="D428">
        <f>IF(Skills!C26=1,60+Inputs!$B$24+Inputs!$B$28,IF(Skills!C26=2,90+Inputs!$B$25+Inputs!$B$28,IF(Skills!C26=3,120+Inputs!$B$26+Inputs!$B$28,MAX(0,(Inputs!$B$3-100)*3)+Inputs!$B$27+Inputs!$B$28)))</f>
        <v/>
      </c>
      <c r="E428">
        <f>INDEX(FactorTable!$B$2:$Y$301, MATCH(ROUND(MIN(300,MAX(1,D428)),0), FactorTable!$A$2:$A$301,0), Skills!M26+1)</f>
        <v/>
      </c>
      <c r="F428">
        <f>IF(Skills!N26=TRUE,(Skills!L26/10)*(E428/1000),Skills!L26/10)+Skills!O26</f>
        <v/>
      </c>
      <c r="G428">
        <f>Skills!G26*IF(Skills!H26&gt;0,Skills!I26/Skills!H26,1)</f>
        <v/>
      </c>
      <c r="H428">
        <f>1-(1-Skills!J26/100)^Skills!K26</f>
        <v/>
      </c>
      <c r="I428" t="inlineStr">
        <is>
          <t>1</t>
        </is>
      </c>
      <c r="J428" t="inlineStr"/>
      <c r="K428" t="inlineStr"/>
      <c r="L428" t="inlineStr"/>
      <c r="M428" t="inlineStr"/>
      <c r="N428" t="inlineStr"/>
      <c r="O428" t="n">
        <v>0</v>
      </c>
      <c r="P428">
        <f>IF(B440=0,0,O428/B440)</f>
        <v/>
      </c>
      <c r="Q428" t="n">
        <v>0</v>
      </c>
      <c r="R428" t="n">
        <v>0</v>
      </c>
      <c r="S428">
        <f>IFERROR(O428/N428,0)</f>
        <v/>
      </c>
    </row>
    <row r="429">
      <c r="A429">
        <f>Skills!A27</f>
        <v/>
      </c>
      <c r="B429">
        <f>Skills!B27</f>
        <v/>
      </c>
      <c r="C429">
        <f>Inputs!$B$3&gt;=117</f>
        <v/>
      </c>
      <c r="D429">
        <f>IF(Skills!C27=1,60+Inputs!$B$24+Inputs!$B$28,IF(Skills!C27=2,90+Inputs!$B$25+Inputs!$B$28,IF(Skills!C27=3,120+Inputs!$B$26+Inputs!$B$28,MAX(0,(Inputs!$B$3-100)*3)+Inputs!$B$27+Inputs!$B$28)))</f>
        <v/>
      </c>
      <c r="E429">
        <f>INDEX(FactorTable!$B$2:$Y$301, MATCH(ROUND(MIN(300,MAX(1,D429)),0), FactorTable!$A$2:$A$301,0), Skills!M27+1)</f>
        <v/>
      </c>
      <c r="F429">
        <f>IF(Skills!N27=TRUE,(Skills!L27/10)*(E429/1000),Skills!L27/10)+Skills!O27</f>
        <v/>
      </c>
      <c r="G429">
        <f>Skills!G27*IF(Skills!H27&gt;0,Skills!I27/Skills!H27,1)</f>
        <v/>
      </c>
      <c r="H429">
        <f>1-(1-Skills!J27/100)^Skills!K27</f>
        <v/>
      </c>
      <c r="I429" t="inlineStr">
        <is>
          <t>1</t>
        </is>
      </c>
      <c r="J429" t="inlineStr"/>
      <c r="K429" t="inlineStr"/>
      <c r="L429" t="inlineStr"/>
      <c r="M429" t="inlineStr"/>
      <c r="N429" t="inlineStr"/>
      <c r="O429" t="n">
        <v>0</v>
      </c>
      <c r="P429">
        <f>IF(B440=0,0,O429/B440)</f>
        <v/>
      </c>
      <c r="Q429" t="n">
        <v>0</v>
      </c>
      <c r="R429" t="n">
        <v>0</v>
      </c>
      <c r="S429">
        <f>IFERROR(O429/N429,0)</f>
        <v/>
      </c>
    </row>
    <row r="431">
      <c r="A431" t="inlineStr">
        <is>
          <t>Attack% Bucket Multiplier</t>
        </is>
      </c>
      <c r="B431">
        <f>(1+(((C419=TRUE)*F419)+((C426=TRUE)*(F426-Calc!F24)))/100)</f>
        <v/>
      </c>
    </row>
    <row r="432">
      <c r="A432" t="inlineStr">
        <is>
          <t>Global Crit Rate Bonus %</t>
        </is>
      </c>
      <c r="B432" t="n">
        <v>0</v>
      </c>
    </row>
    <row r="433">
      <c r="A433" t="inlineStr">
        <is>
          <t>Attack Speed Buff Bonus % (unused)</t>
        </is>
      </c>
      <c r="B433" t="n">
        <v>0</v>
      </c>
    </row>
    <row r="434">
      <c r="A434" t="inlineStr">
        <is>
          <t>Actions Per Second</t>
        </is>
      </c>
      <c r="B434">
        <f>1+MIN(150,150*(1-(1-(Inputs!$B$10+((C422=TRUE)*(F422-Calc!F20))+((C423=TRUE)*(F423-Calc!F21)))/150)*(1-B433/150)))/100</f>
        <v/>
      </c>
    </row>
    <row r="435">
      <c r="A435" t="inlineStr">
        <is>
          <t>Skill + Buff Cast Rate</t>
        </is>
      </c>
      <c r="B435">
        <f>IF(AND(Inputs!$B$4&lt;&gt;"pvp",Inputs!$B$35&gt;0),SUMPRODUCT((Skills!E2:E27=TRUE)*(C404:C429=TRUE)*R404:R429*Skills!F2:F27)/Inputs!$B$35,SUMPRODUCT((Skills!E2:E27=TRUE)*(C404:C429=TRUE)*Q404:Q429*Skills!F2:F27))</f>
        <v/>
      </c>
    </row>
    <row r="436">
      <c r="A436" t="inlineStr">
        <is>
          <t>Eight-Legs Easton Casts Per Second</t>
        </is>
      </c>
      <c r="B436">
        <f>MAX(0,B434-B435)</f>
        <v/>
      </c>
    </row>
    <row r="437">
      <c r="A437" t="inlineStr">
        <is>
          <t>Global Critical Damage Bonus % (unused)</t>
        </is>
      </c>
      <c r="B437" t="n">
        <v>0</v>
      </c>
    </row>
    <row r="438">
      <c r="A438" t="inlineStr">
        <is>
          <t>Global Final Damage Bonus % (Jolly Roger only)</t>
        </is>
      </c>
      <c r="B438">
        <f>((C420=TRUE)*F420)</f>
        <v/>
      </c>
    </row>
    <row r="440">
      <c r="A440" s="5" t="inlineStr">
        <is>
          <t>TOTAL DPS</t>
        </is>
      </c>
      <c r="B440" s="5">
        <f>SUM(O404:O429)</f>
        <v/>
      </c>
    </row>
    <row r="443">
      <c r="A443" s="5" t="inlineStr">
        <is>
          <t>Stat: CRIT_RATE %</t>
        </is>
      </c>
    </row>
    <row r="444">
      <c r="A444" s="8" t="inlineStr">
        <is>
          <t>Key</t>
        </is>
      </c>
      <c r="B444" s="8" t="inlineStr">
        <is>
          <t>Name</t>
        </is>
      </c>
      <c r="C444" s="8" t="inlineStr">
        <is>
          <t>Unlocked</t>
        </is>
      </c>
      <c r="D444" s="8" t="inlineStr">
        <is>
          <t>InputLevel</t>
        </is>
      </c>
      <c r="E444" s="8" t="inlineStr">
        <is>
          <t>Factor</t>
        </is>
      </c>
      <c r="F444" s="8" t="inlineStr">
        <is>
          <t>CoefficientPercent</t>
        </is>
      </c>
      <c r="G444" s="8" t="inlineStr">
        <is>
          <t>EffectiveHits</t>
        </is>
      </c>
      <c r="H444" s="8" t="inlineStr">
        <is>
          <t>ProcProbability</t>
        </is>
      </c>
      <c r="I444" s="8" t="inlineStr">
        <is>
          <t>MapleHeroMultiplier</t>
        </is>
      </c>
      <c r="J444" s="8" t="inlineStr">
        <is>
          <t>BaseDamage</t>
        </is>
      </c>
      <c r="K444" s="8" t="inlineStr">
        <is>
          <t>BaseHitDamage</t>
        </is>
      </c>
      <c r="L444" s="8" t="inlineStr">
        <is>
          <t>NonCritAvg</t>
        </is>
      </c>
      <c r="M444" s="8" t="inlineStr">
        <is>
          <t>CritAvg</t>
        </is>
      </c>
      <c r="N444" s="8" t="inlineStr">
        <is>
          <t>ExpectedDamage(perHit)</t>
        </is>
      </c>
      <c r="O444" s="8" t="inlineStr">
        <is>
          <t>DPS</t>
        </is>
      </c>
      <c r="P444" s="8" t="inlineStr">
        <is>
          <t>% of Total</t>
        </is>
      </c>
      <c r="Q444" s="8" t="inlineStr">
        <is>
          <t>InvCooldown</t>
        </is>
      </c>
      <c r="R444" s="8" t="inlineStr">
        <is>
          <t>CastsInFight</t>
        </is>
      </c>
      <c r="S444" s="8" t="inlineStr">
        <is>
          <t>HitRate(perSec)</t>
        </is>
      </c>
      <c r="U444" t="inlineStr">
        <is>
          <t>helpers</t>
        </is>
      </c>
    </row>
    <row r="445">
      <c r="A445">
        <f>Skills!A2</f>
        <v/>
      </c>
      <c r="B445">
        <f>Skills!B2</f>
        <v/>
      </c>
      <c r="C445">
        <f>Inputs!$B$3&gt;=100</f>
        <v/>
      </c>
      <c r="D445" t="inlineStr"/>
      <c r="E445" t="inlineStr"/>
      <c r="F445">
        <f>U447+Skills!O2</f>
        <v/>
      </c>
      <c r="G445">
        <f>Skills!G2*IF(Skills!H2&gt;0,Skills!I2/Skills!H2,1)</f>
        <v/>
      </c>
      <c r="H445">
        <f>1-(1-Skills!J2/100)^Skills!K2</f>
        <v/>
      </c>
      <c r="I445" t="inlineStr">
        <is>
          <t>1</t>
        </is>
      </c>
      <c r="J445">
        <f>(Inputs!$B$5*(1+Inputs!$B$6/100))*(F445/100)</f>
        <v/>
      </c>
      <c r="K445">
        <f>J445*(1+((Inputs!$B$11*(1+Inputs!$B$12/100))*0.01+Inputs!$B$13*0.0025)/100)*(1+Inputs!$B$14/100)*(1+IF(Inputs!$B$4="pvp",0,(1-Summary!$B$55)*(Inputs!$B$19+0+Skills!P2)+Summary!$B$55*(Inputs!$B$20+Skills!Q2))/100)*(1+Inputs!$B$15/100)*(5000/(6000+Inputs!$B$7*(1-(Inputs!$B$18+0)/100)))*(1+(Inputs!$B$23+((C469=TRUE)*(F469-Calc!F26))+B479)/100)*(1+(IF(Skills!A2="EIGHT_LEGS_EASTON",Inputs!$B$16+((C466=TRUE)*(F466-Calc!F23))+((C470=TRUE)*(F470-Calc!F27)),Inputs!$B$17+0))/100)*((1+(((C460=TRUE)*F460)+((C467=TRUE)*(F467-Calc!F24)))/100)*I445)</f>
        <v/>
      </c>
      <c r="L445">
        <f>K445*(MIN(Inputs!$B$21+((C465=TRUE)*(F465-Calc!F22)),Inputs!$B$22+0)/100+(Inputs!$B$22+0)/100)/2</f>
        <v/>
      </c>
      <c r="M445">
        <f>L445*(1+(Inputs!$B$9+((C468=TRUE)*(F468-Calc!F25))+B478)/100)</f>
        <v/>
      </c>
      <c r="N445">
        <f>L445*(1-MIN(((Inputs!$B$8+1)+((C462=TRUE)*(F462-Calc!F19))+B473),100)/100)+M445*(MIN(((Inputs!$B$8+1)+((C462=TRUE)*(F462-Calc!F19))+B473),100)/100)</f>
        <v/>
      </c>
      <c r="O445">
        <f>IF(C445,Skills!G2*N445*B477*IF(Inputs!$B$4="pvp",1,(1-Summary!$B$55)*(1)+Summary!$B$55*(MIN((6+Inputs!$B$32),Inputs!$B$37))),0)</f>
        <v/>
      </c>
      <c r="P445">
        <f>IF(B481=0,0,O445/B481)</f>
        <v/>
      </c>
      <c r="Q445" t="n">
        <v>0</v>
      </c>
      <c r="R445" t="n">
        <v>0</v>
      </c>
      <c r="S445">
        <f>IFERROR(O445/N445,0)</f>
        <v/>
      </c>
      <c r="U445">
        <f>MAX(0,(Inputs!$B$3-100)*3)+Inputs!$B$27+Inputs!$B$28</f>
        <v/>
      </c>
    </row>
    <row r="446">
      <c r="A446">
        <f>Skills!A3</f>
        <v/>
      </c>
      <c r="B446">
        <f>Skills!B3</f>
        <v/>
      </c>
      <c r="C446">
        <f>Inputs!$B$3&gt;=35</f>
        <v/>
      </c>
      <c r="D446">
        <f>IF(Skills!C3=1,60+Inputs!$B$24+Inputs!$B$28,IF(Skills!C3=2,90+Inputs!$B$25+Inputs!$B$28,IF(Skills!C3=3,120+Inputs!$B$26+Inputs!$B$28,MAX(0,(Inputs!$B$3-100)*3)+Inputs!$B$27+Inputs!$B$28)))</f>
        <v/>
      </c>
      <c r="E446">
        <f>INDEX(FactorTable!$B$2:$Y$301, MATCH(ROUND(MIN(300,MAX(1,D446)),0), FactorTable!$A$2:$A$301,0), Skills!M3+1)</f>
        <v/>
      </c>
      <c r="F446">
        <f>IF(Skills!N3=TRUE,(Skills!L3/10)*(E446/1000),Skills!L3/10)+Skills!O3</f>
        <v/>
      </c>
      <c r="G446">
        <f>Skills!G3*IF(Skills!H3&gt;0,Skills!I3/Skills!H3,1)</f>
        <v/>
      </c>
      <c r="H446">
        <f>1-(1-Skills!J3/100)^Skills!K3</f>
        <v/>
      </c>
      <c r="I446" t="inlineStr">
        <is>
          <t>1</t>
        </is>
      </c>
      <c r="J446">
        <f>(Inputs!$B$5*(1+Inputs!$B$6/100))*(F446/100)</f>
        <v/>
      </c>
      <c r="K446">
        <f>J446*(1+((Inputs!$B$11*(1+Inputs!$B$12/100))*0.01+Inputs!$B$13*0.0025)/100)*(1+Inputs!$B$14/100)*(1+IF(Inputs!$B$4="pvp",0,(1-Summary!$B$55)*(Inputs!$B$19+0+Skills!P3)+Summary!$B$55*(Inputs!$B$20+Skills!Q3))/100)*(1+Inputs!$B$15/100)*(5000/(6000+Inputs!$B$7*(1-(Inputs!$B$18+0)/100)))*(1+(Inputs!$B$23+((C469=TRUE)*(F469-Calc!F26))+B479)/100)*(1+4.0*IF(C458=TRUE,F458,0)/100)*(1+(IF(Skills!A3="EIGHT_LEGS_EASTON",Inputs!$B$16+((C466=TRUE)*(F466-Calc!F23))+((C470=TRUE)*(F470-Calc!F27)),Inputs!$B$17+0))/100)*((1+(((C460=TRUE)*F460)+((C467=TRUE)*(F467-Calc!F24)))/100)*I446)</f>
        <v/>
      </c>
      <c r="L446">
        <f>K446*(MIN(Inputs!$B$21+((C465=TRUE)*(F465-Calc!F22)),Inputs!$B$22+0)/100+(Inputs!$B$22+0)/100)/2</f>
        <v/>
      </c>
      <c r="M446">
        <f>L446*(1+(Inputs!$B$9+((C468=TRUE)*(F468-Calc!F25))+B478)/100)</f>
        <v/>
      </c>
      <c r="N446">
        <f>L446*(1-MIN(((Inputs!$B$8+1)+((C462=TRUE)*(F462-Calc!F19))+B473),100)/100)+M446*(MIN(((Inputs!$B$8+1)+((C462=TRUE)*(F462-Calc!F19))+B473),100)/100)</f>
        <v/>
      </c>
      <c r="O446">
        <f>IF(C446,H446*N446*IF(AND(Inputs!$B$4&lt;&gt;"pvp",Inputs!$B$35&gt;0),((Skills!G3*((R446-1)*IF(Skills!H3&gt;0,Skills!I3/Skills!H3,1)+IF(Skills!H3&gt;0,MIN(Skills!I3,MAX(0,Inputs!$B$35-((R446-1)*IF(Inputs!$B$4="pvp",15,MAX(0.1,Skills!D3-IF(Skills!E3=TRUE,Inputs!$B$31,0))))))/Skills!H3,1)))/Inputs!$B$35),G446*Q446)*IF(Inputs!$B$4="pvp",1,(1-Summary!$B$55)*(1)+Summary!$B$55*(MIN(Skills!R3,Inputs!$B$37))),0)</f>
        <v/>
      </c>
      <c r="P446">
        <f>IF(B481=0,0,O446/B481)</f>
        <v/>
      </c>
      <c r="Q446">
        <f>IFERROR(1/IF(Inputs!$B$4="pvp",15,MAX(0.1,Skills!D3-IF(Skills!E3=TRUE,Inputs!$B$31,0))),0)</f>
        <v/>
      </c>
      <c r="R446">
        <f>IF(AND(Inputs!$B$4&lt;&gt;"pvp",Inputs!$B$35&gt;0),(INT(Inputs!$B$35/IF(Inputs!$B$4="pvp",15,MAX(0.1,Skills!D3-IF(Skills!E3=TRUE,Inputs!$B$31,0))))+1),0)</f>
        <v/>
      </c>
      <c r="S446">
        <f>IFERROR(O446/N446,0)</f>
        <v/>
      </c>
      <c r="U446">
        <f>INDEX(FactorTable!$B$2:$Y$301, MATCH(ROUND(MIN(300,MAX(1,U445)),0), FactorTable!$A$2:$A$301,0), 22)</f>
        <v/>
      </c>
    </row>
    <row r="447">
      <c r="A447">
        <f>Skills!A4</f>
        <v/>
      </c>
      <c r="B447">
        <f>Skills!B4</f>
        <v/>
      </c>
      <c r="C447">
        <f>Inputs!$B$3&gt;=40</f>
        <v/>
      </c>
      <c r="D447">
        <f>IF(Skills!C4=1,60+Inputs!$B$24+Inputs!$B$28,IF(Skills!C4=2,90+Inputs!$B$25+Inputs!$B$28,IF(Skills!C4=3,120+Inputs!$B$26+Inputs!$B$28,MAX(0,(Inputs!$B$3-100)*3)+Inputs!$B$27+Inputs!$B$28)))</f>
        <v/>
      </c>
      <c r="E447">
        <f>INDEX(FactorTable!$B$2:$Y$301, MATCH(ROUND(MIN(300,MAX(1,D447)),0), FactorTable!$A$2:$A$301,0), Skills!M4+1)</f>
        <v/>
      </c>
      <c r="F447">
        <f>IF(Skills!N4=TRUE,(Skills!L4/10)*(E447/1000),Skills!L4/10)+Skills!O4</f>
        <v/>
      </c>
      <c r="G447">
        <f>Skills!G4*IF(Skills!H4&gt;0,Skills!I4/Skills!H4,1)</f>
        <v/>
      </c>
      <c r="H447">
        <f>1-(1-Skills!J4/100)^Skills!K4</f>
        <v/>
      </c>
      <c r="I447" t="inlineStr">
        <is>
          <t>1</t>
        </is>
      </c>
      <c r="J447">
        <f>(Inputs!$B$5*(1+Inputs!$B$6/100))*(F447/100)</f>
        <v/>
      </c>
      <c r="K447">
        <f>J447*(1+((Inputs!$B$11*(1+Inputs!$B$12/100))*0.01+Inputs!$B$13*0.0025)/100)*(1+Inputs!$B$14/100)*(1+IF(Inputs!$B$4="pvp",0,(1-Summary!$B$55)*(Inputs!$B$19+0+Skills!P4)+Summary!$B$55*(Inputs!$B$20+Skills!Q4))/100)*(1+Inputs!$B$15/100)*(5000/(6000+Inputs!$B$7*(1-(Inputs!$B$18+0)/100)))*(1+(Inputs!$B$23+((C469=TRUE)*(F469-Calc!F26))+B479)/100)*(1+1.0*IF(C459=TRUE,F459,0)/100)*(1+(IF(Skills!A4="EIGHT_LEGS_EASTON",Inputs!$B$16+((C466=TRUE)*(F466-Calc!F23))+((C470=TRUE)*(F470-Calc!F27)),Inputs!$B$17+0))/100)*((1+(((C460=TRUE)*F460)+((C467=TRUE)*(F467-Calc!F24)))/100)*I447)</f>
        <v/>
      </c>
      <c r="L447">
        <f>K447*(MIN(Inputs!$B$21+((C465=TRUE)*(F465-Calc!F22)),Inputs!$B$22+0)/100+(Inputs!$B$22+0)/100)/2</f>
        <v/>
      </c>
      <c r="M447">
        <f>L447*(1+(Inputs!$B$9+((C468=TRUE)*(F468-Calc!F25))+B478)/100)</f>
        <v/>
      </c>
      <c r="N447">
        <f>L447*(1-MIN(((Inputs!$B$8+1)+((C462=TRUE)*(F462-Calc!F19))+B473),100)/100)+M447*(MIN(((Inputs!$B$8+1)+((C462=TRUE)*(F462-Calc!F19))+B473),100)/100)</f>
        <v/>
      </c>
      <c r="O447">
        <f>IF(C447,H447*N447*IF(AND(Inputs!$B$4&lt;&gt;"pvp",Inputs!$B$35&gt;0),((Skills!G4*((R447-1)*IF(Skills!H4&gt;0,Skills!I4/Skills!H4,1)+IF(Skills!H4&gt;0,MIN(Skills!I4,MAX(0,Inputs!$B$35-((R447-1)*IF(Inputs!$B$4="pvp",15,MAX(0.1,Skills!D4-IF(Skills!E4=TRUE,Inputs!$B$31,0))))))/Skills!H4,1)))/Inputs!$B$35),G447*Q447)*IF(Inputs!$B$4="pvp",1,(1-Summary!$B$55)*(1)+Summary!$B$55*(MIN(Skills!R4,Inputs!$B$37))),0)</f>
        <v/>
      </c>
      <c r="P447">
        <f>IF(B481=0,0,O447/B481)</f>
        <v/>
      </c>
      <c r="Q447">
        <f>IFERROR(1/IF(Inputs!$B$4="pvp",15,MAX(0.1,Skills!D4-IF(Skills!E4=TRUE,Inputs!$B$31,0))),0)</f>
        <v/>
      </c>
      <c r="R447">
        <f>IF(AND(Inputs!$B$4&lt;&gt;"pvp",Inputs!$B$35&gt;0),(INT(Inputs!$B$35/IF(Inputs!$B$4="pvp",15,MAX(0.1,Skills!D4-IF(Skills!E4=TRUE,Inputs!$B$31,0))))+1),0)</f>
        <v/>
      </c>
      <c r="S447">
        <f>IFERROR(O447/N447,0)</f>
        <v/>
      </c>
      <c r="U447">
        <f>290*U446/1000</f>
        <v/>
      </c>
    </row>
    <row r="448">
      <c r="A448">
        <f>Skills!A5</f>
        <v/>
      </c>
      <c r="B448">
        <f>Skills!B5</f>
        <v/>
      </c>
      <c r="C448">
        <f>Inputs!$B$3&gt;=45</f>
        <v/>
      </c>
      <c r="D448">
        <f>IF(Skills!C5=1,60+Inputs!$B$24+Inputs!$B$28,IF(Skills!C5=2,90+Inputs!$B$25+Inputs!$B$28,IF(Skills!C5=3,120+Inputs!$B$26+Inputs!$B$28,MAX(0,(Inputs!$B$3-100)*3)+Inputs!$B$27+Inputs!$B$28)))</f>
        <v/>
      </c>
      <c r="E448">
        <f>INDEX(FactorTable!$B$2:$Y$301, MATCH(ROUND(MIN(300,MAX(1,D448)),0), FactorTable!$A$2:$A$301,0), Skills!M5+1)</f>
        <v/>
      </c>
      <c r="F448">
        <f>IF(Skills!N5=TRUE,(Skills!L5/10)*(E448/1000),Skills!L5/10)+Skills!O5</f>
        <v/>
      </c>
      <c r="G448">
        <f>Skills!G5*IF(Skills!H5&gt;0,Skills!I5/Skills!H5,1)</f>
        <v/>
      </c>
      <c r="H448">
        <f>1-(1-Skills!J5/100)^Skills!K5</f>
        <v/>
      </c>
      <c r="I448" t="inlineStr">
        <is>
          <t>1</t>
        </is>
      </c>
      <c r="J448">
        <f>(Inputs!$B$5*(1+Inputs!$B$6/100))*(F448/100)</f>
        <v/>
      </c>
      <c r="K448">
        <f>J448*(1+((Inputs!$B$11*(1+Inputs!$B$12/100))*0.01+Inputs!$B$13*0.0025)/100)*(1+Inputs!$B$14/100)*(1+IF(Inputs!$B$4="pvp",0,(1-Summary!$B$55)*(Inputs!$B$19+0+Skills!P5)+Summary!$B$55*(Inputs!$B$20+Skills!Q5))/100)*(1+Inputs!$B$15/100)*(5000/(6000+Inputs!$B$7*(1-(Inputs!$B$18+0)/100)))*(1+(Inputs!$B$23+((C469=TRUE)*(F469-Calc!F26))+B479)/100)*(1+0.4*IF(C459=TRUE,F459,0)/100)*(1+(IF(Skills!A5="EIGHT_LEGS_EASTON",Inputs!$B$16+((C466=TRUE)*(F466-Calc!F23))+((C470=TRUE)*(F470-Calc!F27)),Inputs!$B$17+0))/100)*((1+(((C460=TRUE)*F460)+((C467=TRUE)*(F467-Calc!F24)))/100)*I448)</f>
        <v/>
      </c>
      <c r="L448">
        <f>K448*(MIN(Inputs!$B$21+((C465=TRUE)*(F465-Calc!F22)),Inputs!$B$22+0)/100+(Inputs!$B$22+0)/100)/2</f>
        <v/>
      </c>
      <c r="M448">
        <f>L448*(1+(Inputs!$B$9+((C468=TRUE)*(F468-Calc!F25))+B478)/100)</f>
        <v/>
      </c>
      <c r="N448">
        <f>L448*(1-MIN(((Inputs!$B$8+1)+((C462=TRUE)*(F462-Calc!F19))+B473),100)/100)+M448*(MIN(((Inputs!$B$8+1)+((C462=TRUE)*(F462-Calc!F19))+B473),100)/100)</f>
        <v/>
      </c>
      <c r="O448">
        <f>IF(C448,H448*N448*IF(AND(Inputs!$B$4&lt;&gt;"pvp",Inputs!$B$35&gt;0),((Skills!G5*((R448-1)*IF(Skills!H5&gt;0,Skills!I5/Skills!H5,1)+IF(Skills!H5&gt;0,MIN(Skills!I5,MAX(0,Inputs!$B$35-((R448-1)*IF(Inputs!$B$4="pvp",15,MAX(0.1,Skills!D5-IF(Skills!E5=TRUE,Inputs!$B$31,0))))))/Skills!H5,1)))/Inputs!$B$35),G448*Q448)*IF(Inputs!$B$4="pvp",1,(1-Summary!$B$55)*(1)+Summary!$B$55*(MIN(Skills!R5,Inputs!$B$37))),0)</f>
        <v/>
      </c>
      <c r="P448">
        <f>IF(B481=0,0,O448/B481)</f>
        <v/>
      </c>
      <c r="Q448">
        <f>IFERROR(1/IF(Inputs!$B$4="pvp",15,MAX(0.1,Skills!D5-IF(Skills!E5=TRUE,Inputs!$B$31,0))),0)</f>
        <v/>
      </c>
      <c r="R448">
        <f>IF(AND(Inputs!$B$4&lt;&gt;"pvp",Inputs!$B$35&gt;0),(INT(Inputs!$B$35/IF(Inputs!$B$4="pvp",15,MAX(0.1,Skills!D5-IF(Skills!E5=TRUE,Inputs!$B$31,0))))+1),0)</f>
        <v/>
      </c>
      <c r="S448">
        <f>IFERROR(O448/N448,0)</f>
        <v/>
      </c>
    </row>
    <row r="449">
      <c r="A449">
        <f>Skills!A6</f>
        <v/>
      </c>
      <c r="B449">
        <f>Skills!B6</f>
        <v/>
      </c>
      <c r="C449">
        <f>Inputs!$B$3&gt;=63</f>
        <v/>
      </c>
      <c r="D449">
        <f>IF(Skills!C6=1,60+Inputs!$B$24+Inputs!$B$28,IF(Skills!C6=2,90+Inputs!$B$25+Inputs!$B$28,IF(Skills!C6=3,120+Inputs!$B$26+Inputs!$B$28,MAX(0,(Inputs!$B$3-100)*3)+Inputs!$B$27+Inputs!$B$28)))</f>
        <v/>
      </c>
      <c r="E449">
        <f>INDEX(FactorTable!$B$2:$Y$301, MATCH(ROUND(MIN(300,MAX(1,D449)),0), FactorTable!$A$2:$A$301,0), Skills!M6+1)</f>
        <v/>
      </c>
      <c r="F449">
        <f>IF(Skills!N6=TRUE,(Skills!L6/10)*(E449/1000),Skills!L6/10)+Skills!O6</f>
        <v/>
      </c>
      <c r="G449">
        <f>Skills!G6*IF(Skills!H6&gt;0,Skills!I6/Skills!H6,1)</f>
        <v/>
      </c>
      <c r="H449">
        <f>1-(1-Skills!J6/100)^Skills!K6</f>
        <v/>
      </c>
      <c r="I449" t="inlineStr">
        <is>
          <t>1</t>
        </is>
      </c>
      <c r="J449">
        <f>(Inputs!$B$5*(1+Inputs!$B$6/100))*(F449/100)</f>
        <v/>
      </c>
      <c r="K449">
        <f>J449*(1+((Inputs!$B$11*(1+Inputs!$B$12/100))*0.01+Inputs!$B$13*0.0025)/100)*(1+Inputs!$B$14/100)*(1+IF(Inputs!$B$4="pvp",0,(1-Summary!$B$55)*(Inputs!$B$19+0+Skills!P6)+Summary!$B$55*(Inputs!$B$20+Skills!Q6))/100)*(1+Inputs!$B$15/100)*(5000/(6000+Inputs!$B$7*(1-(Inputs!$B$18+0)/100)))*(1+(Inputs!$B$23+((C469=TRUE)*(F469-Calc!F26))+B479)/100)*(1+2.0*IF(C458=TRUE,F458,0)/100)*(1+(IF(Skills!A6="EIGHT_LEGS_EASTON",Inputs!$B$16+((C466=TRUE)*(F466-Calc!F23))+((C470=TRUE)*(F470-Calc!F27)),Inputs!$B$17+0))/100)*((1+(((C460=TRUE)*F460)+((C467=TRUE)*(F467-Calc!F24)))/100)*I449)</f>
        <v/>
      </c>
      <c r="L449">
        <f>K449*(MIN(Inputs!$B$21+((C465=TRUE)*(F465-Calc!F22)),Inputs!$B$22+0)/100+(Inputs!$B$22+0)/100)/2</f>
        <v/>
      </c>
      <c r="M449">
        <f>L449*(1+(Inputs!$B$9+((C468=TRUE)*(F468-Calc!F25))+B478)/100)</f>
        <v/>
      </c>
      <c r="N449">
        <f>L449*(1-MIN(((Inputs!$B$8+1)+((C462=TRUE)*(F462-Calc!F19))+B473),100)/100)+M449*(MIN(((Inputs!$B$8+1)+((C462=TRUE)*(F462-Calc!F19))+B473),100)/100)</f>
        <v/>
      </c>
      <c r="O449">
        <f>IF(C449,H449*N449*IF(AND(Inputs!$B$4&lt;&gt;"pvp",Inputs!$B$35&gt;0),((Skills!G6*((R449-1)*IF(Skills!H6&gt;0,Skills!I6/Skills!H6,1)+IF(Skills!H6&gt;0,MIN(Skills!I6,MAX(0,Inputs!$B$35-((R449-1)*IF(Inputs!$B$4="pvp",15,MAX(0.1,Skills!D6-IF(Skills!E6=TRUE,Inputs!$B$31,0))))))/Skills!H6,1)))/Inputs!$B$35),G449*Q449)*IF(Inputs!$B$4="pvp",1,(1-Summary!$B$55)*(1)+Summary!$B$55*(MIN(Skills!R6,Inputs!$B$37))),0)</f>
        <v/>
      </c>
      <c r="P449">
        <f>IF(B481=0,0,O449/B481)</f>
        <v/>
      </c>
      <c r="Q449">
        <f>IFERROR(1/IF(Inputs!$B$4="pvp",15,MAX(0.1,Skills!D6-IF(Skills!E6=TRUE,Inputs!$B$31,0))),0)</f>
        <v/>
      </c>
      <c r="R449">
        <f>IF(AND(Inputs!$B$4&lt;&gt;"pvp",Inputs!$B$35&gt;0),(INT(Inputs!$B$35/IF(Inputs!$B$4="pvp",15,MAX(0.1,Skills!D6-IF(Skills!E6=TRUE,Inputs!$B$31,0))))+1),0)</f>
        <v/>
      </c>
      <c r="S449">
        <f>IFERROR(O449/N449,0)</f>
        <v/>
      </c>
    </row>
    <row r="450">
      <c r="A450">
        <f>Skills!A7</f>
        <v/>
      </c>
      <c r="B450">
        <f>Skills!B7</f>
        <v/>
      </c>
      <c r="C450">
        <f>Inputs!$B$3&gt;=66</f>
        <v/>
      </c>
      <c r="D450">
        <f>IF(Skills!C7=1,60+Inputs!$B$24+Inputs!$B$28,IF(Skills!C7=2,90+Inputs!$B$25+Inputs!$B$28,IF(Skills!C7=3,120+Inputs!$B$26+Inputs!$B$28,MAX(0,(Inputs!$B$3-100)*3)+Inputs!$B$27+Inputs!$B$28)))</f>
        <v/>
      </c>
      <c r="E450">
        <f>INDEX(FactorTable!$B$2:$Y$301, MATCH(ROUND(MIN(300,MAX(1,D450)),0), FactorTable!$A$2:$A$301,0), Skills!M7+1)</f>
        <v/>
      </c>
      <c r="F450">
        <f>IF(Skills!N7=TRUE,(Skills!L7/10)*(E450/1000),Skills!L7/10)+Skills!O7</f>
        <v/>
      </c>
      <c r="G450">
        <f>Skills!G7*IF(Skills!H7&gt;0,Skills!I7/Skills!H7,1)</f>
        <v/>
      </c>
      <c r="H450">
        <f>1-(1-Skills!J7/100)^Skills!K7</f>
        <v/>
      </c>
      <c r="I450" t="inlineStr">
        <is>
          <t>1</t>
        </is>
      </c>
      <c r="J450">
        <f>(Inputs!$B$5*(1+Inputs!$B$6/100))*(F450/100)</f>
        <v/>
      </c>
      <c r="K450">
        <f>J450*(1+((Inputs!$B$11*(1+Inputs!$B$12/100))*0.01+Inputs!$B$13*0.0025)/100)*(1+Inputs!$B$14/100)*(1+IF(Inputs!$B$4="pvp",0,(1-Summary!$B$55)*(Inputs!$B$19+0+Skills!P7)+Summary!$B$55*(Inputs!$B$20+Skills!Q7))/100)*(1+Inputs!$B$15/100)*(5000/(6000+Inputs!$B$7*(1-(Inputs!$B$18+0)/100)))*(1+(Inputs!$B$23+((C469=TRUE)*(F469-Calc!F26))+B479)/100)*(1+1.0*IF(C458=TRUE,F458,0)/100)*(1+(IF(Skills!A7="EIGHT_LEGS_EASTON",Inputs!$B$16+((C466=TRUE)*(F466-Calc!F23))+((C470=TRUE)*(F470-Calc!F27)),Inputs!$B$17+0))/100)*((1+(((C460=TRUE)*F460)+((C467=TRUE)*(F467-Calc!F24)))/100)*I450)</f>
        <v/>
      </c>
      <c r="L450">
        <f>K450*(MIN(Inputs!$B$21+((C465=TRUE)*(F465-Calc!F22)),Inputs!$B$22+0)/100+(Inputs!$B$22+0)/100)/2</f>
        <v/>
      </c>
      <c r="M450">
        <f>L450*(1+(Inputs!$B$9+((C468=TRUE)*(F468-Calc!F25))+B478)/100)</f>
        <v/>
      </c>
      <c r="N450">
        <f>L450*(1-MIN(((Inputs!$B$8+1)+((C462=TRUE)*(F462-Calc!F19))+B473),100)/100)+M450*(MIN(((Inputs!$B$8+1)+((C462=TRUE)*(F462-Calc!F19))+B473),100)/100)</f>
        <v/>
      </c>
      <c r="O450">
        <f>IF(C450,H450*N450*IF(AND(Inputs!$B$4&lt;&gt;"pvp",Inputs!$B$35&gt;0),((Skills!G7*((R450-1)*IF(Skills!H7&gt;0,Skills!I7/Skills!H7,1)+IF(Skills!H7&gt;0,MIN(Skills!I7,MAX(0,Inputs!$B$35-((R450-1)*IF(Inputs!$B$4="pvp",15,MAX(0.1,Skills!D7-IF(Skills!E7=TRUE,Inputs!$B$31,0))))))/Skills!H7,1)))/Inputs!$B$35),G450*Q450)*IF(Inputs!$B$4="pvp",1,(1-Summary!$B$55)*(1)+Summary!$B$55*(MIN(Skills!R7,Inputs!$B$37))),0)</f>
        <v/>
      </c>
      <c r="P450">
        <f>IF(B481=0,0,O450/B481)</f>
        <v/>
      </c>
      <c r="Q450">
        <f>IFERROR(1/IF(Inputs!$B$4="pvp",15,MAX(0.1,Skills!D7-IF(Skills!E7=TRUE,Inputs!$B$31,0))),0)</f>
        <v/>
      </c>
      <c r="R450">
        <f>IF(AND(Inputs!$B$4&lt;&gt;"pvp",Inputs!$B$35&gt;0),(INT(Inputs!$B$35/IF(Inputs!$B$4="pvp",15,MAX(0.1,Skills!D7-IF(Skills!E7=TRUE,Inputs!$B$31,0))))+1),0)</f>
        <v/>
      </c>
      <c r="S450">
        <f>IFERROR(O450/N450,0)</f>
        <v/>
      </c>
    </row>
    <row r="451">
      <c r="A451">
        <f>Skills!A8</f>
        <v/>
      </c>
      <c r="B451">
        <f>Skills!B8</f>
        <v/>
      </c>
      <c r="C451">
        <f>Inputs!$B$3&gt;=100</f>
        <v/>
      </c>
      <c r="D451">
        <f>IF(Skills!C8=1,60+Inputs!$B$24+Inputs!$B$28,IF(Skills!C8=2,90+Inputs!$B$25+Inputs!$B$28,IF(Skills!C8=3,120+Inputs!$B$26+Inputs!$B$28,MAX(0,(Inputs!$B$3-100)*3)+Inputs!$B$27+Inputs!$B$28)))</f>
        <v/>
      </c>
      <c r="E451">
        <f>INDEX(FactorTable!$B$2:$Y$301, MATCH(ROUND(MIN(300,MAX(1,D451)),0), FactorTable!$A$2:$A$301,0), Skills!M8+1)</f>
        <v/>
      </c>
      <c r="F451">
        <f>IF(Skills!N8=TRUE,(Skills!L8/10)*(E451/1000),Skills!L8/10)+Skills!O8</f>
        <v/>
      </c>
      <c r="G451">
        <f>Skills!G8*IF(Skills!H8&gt;0,Skills!I8/Skills!H8,1)</f>
        <v/>
      </c>
      <c r="H451">
        <f>1-(1-Skills!J8/100)^Skills!K8</f>
        <v/>
      </c>
      <c r="I451" t="inlineStr">
        <is>
          <t>1</t>
        </is>
      </c>
      <c r="J451">
        <f>(Inputs!$B$5*(1+Inputs!$B$6/100))*(F451/100)</f>
        <v/>
      </c>
      <c r="K451">
        <f>J451*(1+((Inputs!$B$11*(1+Inputs!$B$12/100))*0.01+Inputs!$B$13*0.0025)/100)*(1+Inputs!$B$14/100)*(1+IF(Inputs!$B$4="pvp",0,(1-Summary!$B$55)*(Inputs!$B$19+0+Skills!P8)+Summary!$B$55*(Inputs!$B$20+Skills!Q8))/100)*(1+Inputs!$B$15/100)*(5000/(6000+Inputs!$B$7*(1-(Inputs!$B$18+0)/100)))*(1+(Inputs!$B$23+((C469=TRUE)*(F469-Calc!F26))+B479)/100)*(1+(IF(Skills!A8="EIGHT_LEGS_EASTON",Inputs!$B$16+((C466=TRUE)*(F466-Calc!F23))+((C470=TRUE)*(F470-Calc!F27)),Inputs!$B$17+0))/100)*((1+(((C460=TRUE)*F460)+((C467=TRUE)*(F467-Calc!F24)))/100)*I451)</f>
        <v/>
      </c>
      <c r="L451">
        <f>K451*(MIN(Inputs!$B$21+((C465=TRUE)*(F465-Calc!F22)),Inputs!$B$22+0)/100+(Inputs!$B$22+0)/100)/2</f>
        <v/>
      </c>
      <c r="M451">
        <f>L451*(1+(Inputs!$B$9+((C468=TRUE)*(F468-Calc!F25))+B478)/100)</f>
        <v/>
      </c>
      <c r="N451">
        <f>L451*(1-MIN(((Inputs!$B$8+1)+((C462=TRUE)*(F462-Calc!F19))+B473),100)/100)+M451*(MIN(((Inputs!$B$8+1)+((C462=TRUE)*(F462-Calc!F19))+B473),100)/100)</f>
        <v/>
      </c>
      <c r="O451">
        <f>IF(C451,H451*N451*IF(AND(Inputs!$B$4&lt;&gt;"pvp",Inputs!$B$35&gt;0),((Skills!G8*((R451-1)*IF(Skills!H8&gt;0,Skills!I8/Skills!H8,1)+IF(Skills!H8&gt;0,MIN(Skills!I8,MAX(0,Inputs!$B$35-((R451-1)*IF(Inputs!$B$4="pvp",15,MAX(0.1,Skills!D8-IF(Skills!E8=TRUE,Inputs!$B$31,0))))))/Skills!H8,1)))/Inputs!$B$35),G451*Q451)*IF(Inputs!$B$4="pvp",1,(1-Summary!$B$55)*(1)+Summary!$B$55*(MIN(Skills!R8,Inputs!$B$37))),0)</f>
        <v/>
      </c>
      <c r="P451">
        <f>IF(B481=0,0,O451/B481)</f>
        <v/>
      </c>
      <c r="Q451">
        <f>IFERROR(1/IF(Inputs!$B$4="pvp",15,MAX(0.1,Skills!D8-IF(Skills!E8=TRUE,Inputs!$B$31,0))),0)</f>
        <v/>
      </c>
      <c r="R451">
        <f>IF(AND(Inputs!$B$4&lt;&gt;"pvp",Inputs!$B$35&gt;0),(INT(Inputs!$B$35/IF(Inputs!$B$4="pvp",15,MAX(0.1,Skills!D8-IF(Skills!E8=TRUE,Inputs!$B$31,0))))+1),0)</f>
        <v/>
      </c>
      <c r="S451">
        <f>IFERROR(O451/N451,0)</f>
        <v/>
      </c>
    </row>
    <row r="452">
      <c r="A452">
        <f>Skills!A9</f>
        <v/>
      </c>
      <c r="B452">
        <f>Skills!B9</f>
        <v/>
      </c>
      <c r="C452">
        <f>Inputs!$B$3&gt;=103</f>
        <v/>
      </c>
      <c r="D452">
        <f>IF(Skills!C9=1,60+Inputs!$B$24+Inputs!$B$28,IF(Skills!C9=2,90+Inputs!$B$25+Inputs!$B$28,IF(Skills!C9=3,120+Inputs!$B$26+Inputs!$B$28,MAX(0,(Inputs!$B$3-100)*3)+Inputs!$B$27+Inputs!$B$28)))</f>
        <v/>
      </c>
      <c r="E452">
        <f>INDEX(FactorTable!$B$2:$Y$301, MATCH(ROUND(MIN(300,MAX(1,D452)),0), FactorTable!$A$2:$A$301,0), Skills!M9+1)</f>
        <v/>
      </c>
      <c r="F452">
        <f>IF(Skills!N9=TRUE,(Skills!L9/10)*(E452/1000),Skills!L9/10)+Skills!O9</f>
        <v/>
      </c>
      <c r="G452">
        <f>Skills!G9*IF(Skills!H9&gt;0,Skills!I9/Skills!H9,1)</f>
        <v/>
      </c>
      <c r="H452">
        <f>1-(1-Skills!J9/100)^Skills!K9</f>
        <v/>
      </c>
      <c r="I452" t="inlineStr">
        <is>
          <t>1</t>
        </is>
      </c>
      <c r="J452">
        <f>(Inputs!$B$5*(1+Inputs!$B$6/100))*(F452/100)</f>
        <v/>
      </c>
      <c r="K452">
        <f>J452*(1+((Inputs!$B$11*(1+Inputs!$B$12/100))*0.01+Inputs!$B$13*0.0025)/100)*(1+Inputs!$B$14/100)*(1+IF(Inputs!$B$4="pvp",0,(1-Summary!$B$55)*(Inputs!$B$19+0+Skills!P9)+Summary!$B$55*(Inputs!$B$20+Skills!Q9))/100)*(1+Inputs!$B$15/100)*(5000/(6000+Inputs!$B$7*(1-(Inputs!$B$18+0)/100)))*(1+(Inputs!$B$23+((C469=TRUE)*(F469-Calc!F26))+B479)/100)*(1+(IF(Skills!A9="EIGHT_LEGS_EASTON",Inputs!$B$16+((C466=TRUE)*(F466-Calc!F23))+((C470=TRUE)*(F470-Calc!F27)),Inputs!$B$17+0))/100)*((1+(((C460=TRUE)*F460)+((C467=TRUE)*(F467-Calc!F24)))/100)*I452)</f>
        <v/>
      </c>
      <c r="L452">
        <f>K452*(MIN(Inputs!$B$21+((C465=TRUE)*(F465-Calc!F22)),Inputs!$B$22+0)/100+(Inputs!$B$22+0)/100)/2</f>
        <v/>
      </c>
      <c r="M452">
        <f>L452*(1+(Inputs!$B$9+((C468=TRUE)*(F468-Calc!F25))+B478)/100)</f>
        <v/>
      </c>
      <c r="N452">
        <f>L452*(1-MIN(((Inputs!$B$8+1)+((C462=TRUE)*(F462-Calc!F19))+B473),100)/100)+M452*(MIN(((Inputs!$B$8+1)+((C462=TRUE)*(F462-Calc!F19))+B473),100)/100)</f>
        <v/>
      </c>
      <c r="O452">
        <f>IF(C452,H452*N452*IF(AND(Inputs!$B$4&lt;&gt;"pvp",Inputs!$B$35&gt;0),((Skills!G9*((R452-1)*IF(Skills!H9&gt;0,Skills!I9/Skills!H9,1)+IF(Skills!H9&gt;0,MIN(Skills!I9,MAX(0,Inputs!$B$35-((R452-1)*IF(Inputs!$B$4="pvp",15,MAX(0.1,Skills!D9-IF(Skills!E9=TRUE,Inputs!$B$31,0))))))/Skills!H9,1)))/Inputs!$B$35),G452*Q452)*IF(Inputs!$B$4="pvp",1,(1-Summary!$B$55)*(1)+Summary!$B$55*(MIN(Skills!R9,Inputs!$B$37))),0)</f>
        <v/>
      </c>
      <c r="P452">
        <f>IF(B481=0,0,O452/B481)</f>
        <v/>
      </c>
      <c r="Q452">
        <f>IFERROR(1/IF(Inputs!$B$4="pvp",15,MAX(0.1,Skills!D9-IF(Skills!E9=TRUE,Inputs!$B$31,0))),0)</f>
        <v/>
      </c>
      <c r="R452">
        <f>IF(AND(Inputs!$B$4&lt;&gt;"pvp",Inputs!$B$35&gt;0),(INT(Inputs!$B$35/IF(Inputs!$B$4="pvp",15,MAX(0.1,Skills!D9-IF(Skills!E9=TRUE,Inputs!$B$31,0))))+1),0)</f>
        <v/>
      </c>
      <c r="S452">
        <f>IFERROR(O452/N452,0)</f>
        <v/>
      </c>
    </row>
    <row r="453">
      <c r="A453">
        <f>Skills!A10</f>
        <v/>
      </c>
      <c r="B453">
        <f>Skills!B10</f>
        <v/>
      </c>
      <c r="C453">
        <f>Inputs!$B$3&gt;=113</f>
        <v/>
      </c>
      <c r="D453">
        <f>IF(Skills!C10=1,60+Inputs!$B$24+Inputs!$B$28,IF(Skills!C10=2,90+Inputs!$B$25+Inputs!$B$28,IF(Skills!C10=3,120+Inputs!$B$26+Inputs!$B$28,MAX(0,(Inputs!$B$3-100)*3)+Inputs!$B$27+Inputs!$B$28)))</f>
        <v/>
      </c>
      <c r="E453">
        <f>INDEX(FactorTable!$B$2:$Y$301, MATCH(ROUND(MIN(300,MAX(1,D453)),0), FactorTable!$A$2:$A$301,0), Skills!M10+1)</f>
        <v/>
      </c>
      <c r="F453">
        <f>IF(Skills!N10=TRUE,(Skills!L10/10)*(E453/1000),Skills!L10/10)+Skills!O10</f>
        <v/>
      </c>
      <c r="G453">
        <f>Skills!G10*IF(Skills!H10&gt;0,Skills!I10/Skills!H10,1)</f>
        <v/>
      </c>
      <c r="H453">
        <f>1-(1-Skills!J10/100)^Skills!K10</f>
        <v/>
      </c>
      <c r="I453" t="inlineStr">
        <is>
          <t>1</t>
        </is>
      </c>
      <c r="J453">
        <f>(Inputs!$B$5*(1+Inputs!$B$6/100))*(F453/100)</f>
        <v/>
      </c>
      <c r="K453">
        <f>J453*(1+((Inputs!$B$11*(1+Inputs!$B$12/100))*0.01+Inputs!$B$13*0.0025)/100)*(1+Inputs!$B$14/100)*(1+IF(Inputs!$B$4="pvp",0,(1-Summary!$B$55)*(Inputs!$B$19+0+Skills!P10)+Summary!$B$55*(Inputs!$B$20+Skills!Q10))/100)*(1+Inputs!$B$15/100)*(5000/(6000+Inputs!$B$7*(1-(Inputs!$B$18+0)/100)))*(1+(Inputs!$B$23+((C469=TRUE)*(F469-Calc!F26))+B479)/100)*(1+(IF(Skills!A10="EIGHT_LEGS_EASTON",Inputs!$B$16+((C466=TRUE)*(F466-Calc!F23))+((C470=TRUE)*(F470-Calc!F27)),Inputs!$B$17+0))/100)*((1+(((C460=TRUE)*F460)+((C467=TRUE)*(F467-Calc!F24)))/100)*I453)</f>
        <v/>
      </c>
      <c r="L453">
        <f>K453*(MIN(Inputs!$B$21+((C465=TRUE)*(F465-Calc!F22)),Inputs!$B$22+0)/100+(Inputs!$B$22+0)/100)/2</f>
        <v/>
      </c>
      <c r="M453">
        <f>L453*(1+(Inputs!$B$9+((C468=TRUE)*(F468-Calc!F25))+B478)/100)</f>
        <v/>
      </c>
      <c r="N453">
        <f>L453*(1-MIN(((Inputs!$B$8+1)+((C462=TRUE)*(F462-Calc!F19))+B473),100)/100)+M453*(MIN(((Inputs!$B$8+1)+((C462=TRUE)*(F462-Calc!F19))+B473),100)/100)</f>
        <v/>
      </c>
      <c r="O453">
        <f>IF(C453,H453*N453*IF(AND(Inputs!$B$4&lt;&gt;"pvp",Inputs!$B$35&gt;0),((Skills!G10*((R453-1)*IF(Skills!H10&gt;0,Skills!I10/Skills!H10,1)+IF(Skills!H10&gt;0,MIN(Skills!I10,MAX(0,Inputs!$B$35-((R453-1)*IF(Inputs!$B$4="pvp",15,MAX(0.1,Skills!D10-IF(Skills!E10=TRUE,Inputs!$B$31,0))))))/Skills!H10,1)))/Inputs!$B$35),G453*Q453)*IF(Inputs!$B$4="pvp",1,(1-Summary!$B$55)*(1)+Summary!$B$55*(MIN(Skills!R10,Inputs!$B$37))),0)</f>
        <v/>
      </c>
      <c r="P453">
        <f>IF(B481=0,0,O453/B481)</f>
        <v/>
      </c>
      <c r="Q453">
        <f>IFERROR(1/IF(Inputs!$B$4="pvp",15,MAX(0.1,Skills!D10-IF(Skills!E10=TRUE,Inputs!$B$31,0))),0)</f>
        <v/>
      </c>
      <c r="R453">
        <f>IF(AND(Inputs!$B$4&lt;&gt;"pvp",Inputs!$B$35&gt;0),(INT(Inputs!$B$35/IF(Inputs!$B$4="pvp",15,MAX(0.1,Skills!D10-IF(Skills!E10=TRUE,Inputs!$B$31,0))))+1),0)</f>
        <v/>
      </c>
      <c r="S453">
        <f>IFERROR(O453/N453,0)</f>
        <v/>
      </c>
    </row>
    <row r="454">
      <c r="A454">
        <f>Skills!A11</f>
        <v/>
      </c>
      <c r="B454">
        <f>Skills!B11</f>
        <v/>
      </c>
      <c r="C454">
        <f>Inputs!$B$3&gt;=107</f>
        <v/>
      </c>
      <c r="D454">
        <f>IF(Skills!C11=1,60+Inputs!$B$24+Inputs!$B$28,IF(Skills!C11=2,90+Inputs!$B$25+Inputs!$B$28,IF(Skills!C11=3,120+Inputs!$B$26+Inputs!$B$28,MAX(0,(Inputs!$B$3-100)*3)+Inputs!$B$27+Inputs!$B$28)))</f>
        <v/>
      </c>
      <c r="E454">
        <f>INDEX(FactorTable!$B$2:$Y$301, MATCH(ROUND(MIN(300,MAX(1,D454)),0), FactorTable!$A$2:$A$301,0), Skills!M11+1)</f>
        <v/>
      </c>
      <c r="F454">
        <f>IF(Skills!N11=TRUE,(Skills!L11/10)*(E454/1000),Skills!L11/10)+Skills!O11</f>
        <v/>
      </c>
      <c r="G454">
        <f>Skills!G11*IF(Skills!H11&gt;0,Skills!I11/Skills!H11,1)</f>
        <v/>
      </c>
      <c r="H454">
        <f>1-(1-Skills!J11/100)^Skills!K11</f>
        <v/>
      </c>
      <c r="I454" t="inlineStr">
        <is>
          <t>1</t>
        </is>
      </c>
      <c r="J454">
        <f>(Inputs!$B$5*(1+Inputs!$B$6/100))*(F454/100)</f>
        <v/>
      </c>
      <c r="K454">
        <f>J454*(1+((Inputs!$B$11*(1+Inputs!$B$12/100))*0.01+Inputs!$B$13*0.0025)/100)*(1+Inputs!$B$14/100)*(1+IF(Inputs!$B$4="pvp",0,(1-Summary!$B$55)*(Inputs!$B$19+0+Skills!P11)+Summary!$B$55*(Inputs!$B$20+Skills!Q11))/100)*(1+Inputs!$B$15/100)*(5000/(6000+Inputs!$B$7*(1-(Inputs!$B$18+0)/100)))*(1+(Inputs!$B$23+((C469=TRUE)*(F469-Calc!F26))+B479)/100)*(1+(IF(Skills!A11="EIGHT_LEGS_EASTON",Inputs!$B$16+((C466=TRUE)*(F466-Calc!F23))+((C470=TRUE)*(F470-Calc!F27)),Inputs!$B$17+0))/100)*((1+(((C460=TRUE)*F460)+((C467=TRUE)*(F467-Calc!F24)))/100)*I454)</f>
        <v/>
      </c>
      <c r="L454">
        <f>K454*(MIN(Inputs!$B$21+((C465=TRUE)*(F465-Calc!F22)),Inputs!$B$22+0)/100+(Inputs!$B$22+0)/100)/2</f>
        <v/>
      </c>
      <c r="M454">
        <f>L454*(1+(Inputs!$B$9+((C468=TRUE)*(F468-Calc!F25))+B478)/100)</f>
        <v/>
      </c>
      <c r="N454">
        <f>L454*(1-MIN(((Inputs!$B$8+1)+((C462=TRUE)*(F462-Calc!F19))+B473),100)/100)+M454*(MIN(((Inputs!$B$8+1)+((C462=TRUE)*(F462-Calc!F19))+B473),100)/100)</f>
        <v/>
      </c>
      <c r="O454">
        <f>IF(C454,H454*N454*IF(AND(Inputs!$B$4&lt;&gt;"pvp",Inputs!$B$35&gt;0),((Skills!G11*((R454-1)*IF(Skills!H11&gt;0,Skills!I11/Skills!H11,1)+IF(Skills!H11&gt;0,MIN(Skills!I11,MAX(0,Inputs!$B$35-((R454-1)*IF(Inputs!$B$4="pvp",15,MAX(0.1,Skills!D11-IF(Skills!E11=TRUE,Inputs!$B$31,0))))))/Skills!H11,1)))/Inputs!$B$35),G454*Q454)*IF(Inputs!$B$4="pvp",1,(1-Summary!$B$55)*(1)+Summary!$B$55*(MIN(Skills!R11,Inputs!$B$37))),0)</f>
        <v/>
      </c>
      <c r="P454">
        <f>IF(B481=0,0,O454/B481)</f>
        <v/>
      </c>
      <c r="Q454">
        <f>IFERROR(1/IF(Inputs!$B$4="pvp",15,MAX(0.1,Skills!D11-IF(Skills!E11=TRUE,Inputs!$B$31,0))),0)</f>
        <v/>
      </c>
      <c r="R454">
        <f>IF(AND(Inputs!$B$4&lt;&gt;"pvp",Inputs!$B$35&gt;0),(INT(Inputs!$B$35/IF(Inputs!$B$4="pvp",15,MAX(0.1,Skills!D11-IF(Skills!E11=TRUE,Inputs!$B$31,0))))+1),0)</f>
        <v/>
      </c>
      <c r="S454">
        <f>IFERROR(O454/N454,0)</f>
        <v/>
      </c>
    </row>
    <row r="455">
      <c r="A455">
        <f>Skills!A12</f>
        <v/>
      </c>
      <c r="B455">
        <f>Skills!B12</f>
        <v/>
      </c>
      <c r="C455">
        <f>Inputs!$B$3&gt;=110</f>
        <v/>
      </c>
      <c r="D455">
        <f>IF(Skills!C12=1,60+Inputs!$B$24+Inputs!$B$28,IF(Skills!C12=2,90+Inputs!$B$25+Inputs!$B$28,IF(Skills!C12=3,120+Inputs!$B$26+Inputs!$B$28,MAX(0,(Inputs!$B$3-100)*3)+Inputs!$B$27+Inputs!$B$28)))</f>
        <v/>
      </c>
      <c r="E455">
        <f>INDEX(FactorTable!$B$2:$Y$301, MATCH(ROUND(MIN(300,MAX(1,D455)),0), FactorTable!$A$2:$A$301,0), Skills!M12+1)</f>
        <v/>
      </c>
      <c r="F455">
        <f>IF(Skills!N12=TRUE,(Skills!L12/10)*(E455/1000),Skills!L12/10)+Skills!O12</f>
        <v/>
      </c>
      <c r="G455">
        <f>Skills!G12*IF(Skills!H12&gt;0,Skills!I12/Skills!H12,1)</f>
        <v/>
      </c>
      <c r="H455">
        <f>1-(1-Skills!J12/100)^Skills!K12</f>
        <v/>
      </c>
      <c r="I455" t="inlineStr">
        <is>
          <t>1</t>
        </is>
      </c>
      <c r="J455">
        <f>(Inputs!$B$5*(1+Inputs!$B$6/100))*(F455/100)</f>
        <v/>
      </c>
      <c r="K455">
        <f>J455*(1+((Inputs!$B$11*(1+Inputs!$B$12/100))*0.01+Inputs!$B$13*0.0025)/100)*(1+Inputs!$B$14/100)*(1+IF(Inputs!$B$4="pvp",0,(1-Summary!$B$55)*(Inputs!$B$19+0+Skills!P12)+Summary!$B$55*(Inputs!$B$20+Skills!Q12))/100)*(1+Inputs!$B$15/100)*(5000/(6000+Inputs!$B$7*(1-(Inputs!$B$18+0)/100)))*(1+(Inputs!$B$23+((C469=TRUE)*(F469-Calc!F26))+B479)/100)*(1+(IF(Skills!A12="EIGHT_LEGS_EASTON",Inputs!$B$16+((C466=TRUE)*(F466-Calc!F23))+((C470=TRUE)*(F470-Calc!F27)),Inputs!$B$17+0))/100)*((1+(((C460=TRUE)*F460)+((C467=TRUE)*(F467-Calc!F24)))/100)*I455)</f>
        <v/>
      </c>
      <c r="L455">
        <f>K455*(MIN(Inputs!$B$21+((C465=TRUE)*(F465-Calc!F22)),Inputs!$B$22+0)/100+(Inputs!$B$22+0)/100)/2</f>
        <v/>
      </c>
      <c r="M455">
        <f>L455*(1+(Inputs!$B$9+((C468=TRUE)*(F468-Calc!F25))+B478)/100)</f>
        <v/>
      </c>
      <c r="N455">
        <f>L455*(1-MIN(((Inputs!$B$8+1)+((C462=TRUE)*(F462-Calc!F19))+B473),100)/100)+M455*(MIN(((Inputs!$B$8+1)+((C462=TRUE)*(F462-Calc!F19))+B473),100)/100)</f>
        <v/>
      </c>
      <c r="O455">
        <f>IF(C455,H455*N455*IF(AND(Inputs!$B$4&lt;&gt;"pvp",Inputs!$B$35&gt;0),((Skills!G12*((R455-1)*IF(Skills!H12&gt;0,Skills!I12/Skills!H12,1)+IF(Skills!H12&gt;0,MIN(Skills!I12,MAX(0,Inputs!$B$35-((R455-1)*IF(Inputs!$B$4="pvp",15,MAX(0.1,Skills!D12-IF(Skills!E12=TRUE,Inputs!$B$31,0))))))/Skills!H12,1)))/Inputs!$B$35),G455*Q455)*IF(Inputs!$B$4="pvp",1,(1-Summary!$B$55)*(1)+Summary!$B$55*(MIN(Skills!R12,Inputs!$B$37))),0)</f>
        <v/>
      </c>
      <c r="P455">
        <f>IF(B481=0,0,O455/B481)</f>
        <v/>
      </c>
      <c r="Q455">
        <f>IFERROR(1/IF(Inputs!$B$4="pvp",15,MAX(0.1,Skills!D12-IF(Skills!E12=TRUE,Inputs!$B$31,0))),0)</f>
        <v/>
      </c>
      <c r="R455">
        <f>IF(AND(Inputs!$B$4&lt;&gt;"pvp",Inputs!$B$35&gt;0),(INT(Inputs!$B$35/IF(Inputs!$B$4="pvp",15,MAX(0.1,Skills!D12-IF(Skills!E12=TRUE,Inputs!$B$31,0))))+1),0)</f>
        <v/>
      </c>
      <c r="S455">
        <f>IFERROR(O455/N455,0)</f>
        <v/>
      </c>
    </row>
    <row r="456">
      <c r="A456">
        <f>Skills!A13</f>
        <v/>
      </c>
      <c r="B456">
        <f>Skills!B13</f>
        <v/>
      </c>
      <c r="C456">
        <f>Inputs!$B$3&gt;=110</f>
        <v/>
      </c>
      <c r="D456">
        <f>IF(Skills!C13=1,60+Inputs!$B$24+Inputs!$B$28,IF(Skills!C13=2,90+Inputs!$B$25+Inputs!$B$28,IF(Skills!C13=3,120+Inputs!$B$26+Inputs!$B$28,MAX(0,(Inputs!$B$3-100)*3)+Inputs!$B$27+Inputs!$B$28)))</f>
        <v/>
      </c>
      <c r="E456">
        <f>INDEX(FactorTable!$B$2:$Y$301, MATCH(ROUND(MIN(300,MAX(1,D456)),0), FactorTable!$A$2:$A$301,0), Skills!M13+1)</f>
        <v/>
      </c>
      <c r="F456">
        <f>IF(Skills!N13=TRUE,(Skills!L13/10)*(E456/1000),Skills!L13/10)+Skills!O13</f>
        <v/>
      </c>
      <c r="G456">
        <f>Skills!G13*IF(Skills!H13&gt;0,Skills!I13/Skills!H13,1)</f>
        <v/>
      </c>
      <c r="H456">
        <f>1-(1-Skills!J13/100)^Skills!K13</f>
        <v/>
      </c>
      <c r="I456" t="inlineStr">
        <is>
          <t>1</t>
        </is>
      </c>
      <c r="J456">
        <f>(Inputs!$B$5*(1+Inputs!$B$6/100))*(F456/100)</f>
        <v/>
      </c>
      <c r="K456">
        <f>J456*(1+((Inputs!$B$11*(1+Inputs!$B$12/100))*0.01+Inputs!$B$13*0.0025)/100)*(1+Inputs!$B$14/100)*(1+IF(Inputs!$B$4="pvp",0,(1-Summary!$B$55)*(Inputs!$B$19+0+Skills!P13)+Summary!$B$55*(Inputs!$B$20+Skills!Q13))/100)*(1+Inputs!$B$15/100)*(5000/(6000+Inputs!$B$7*(1-(Inputs!$B$18+0)/100)))*(1+(Inputs!$B$23+((C469=TRUE)*(F469-Calc!F26))+B479)/100)*(1+(IF(Skills!A13="EIGHT_LEGS_EASTON",Inputs!$B$16+((C466=TRUE)*(F466-Calc!F23))+((C470=TRUE)*(F470-Calc!F27)),Inputs!$B$17+0))/100)*((1+(((C460=TRUE)*F460)+((C467=TRUE)*(F467-Calc!F24)))/100)*I456)</f>
        <v/>
      </c>
      <c r="L456">
        <f>K456*(MIN(Inputs!$B$21+((C465=TRUE)*(F465-Calc!F22)),Inputs!$B$22+0)/100+(Inputs!$B$22+0)/100)/2</f>
        <v/>
      </c>
      <c r="M456">
        <f>L456*(1+(Inputs!$B$9+((C468=TRUE)*(F468-Calc!F25))+B478)/100)</f>
        <v/>
      </c>
      <c r="N456">
        <f>L456*(1-MIN(((Inputs!$B$8+1)+((C462=TRUE)*(F462-Calc!F19))+B473),100)/100)+M456*(MIN(((Inputs!$B$8+1)+((C462=TRUE)*(F462-Calc!F19))+B473),100)/100)</f>
        <v/>
      </c>
      <c r="O456">
        <f>IF(C456,H456*N456*IF(AND(Inputs!$B$4&lt;&gt;"pvp",Inputs!$B$35&gt;0),((Skills!G13*((R456-1)*IF(Skills!H13&gt;0,Skills!I13/Skills!H13,1)+IF(Skills!H13&gt;0,MIN(Skills!I13,MAX(0,Inputs!$B$35-((R456-1)*IF(Inputs!$B$4="pvp",15,MAX(0.1,Skills!D13-IF(Skills!E13=TRUE,Inputs!$B$31,0))))))/Skills!H13,1)))/Inputs!$B$35),G456*Q456)*IF(Inputs!$B$4="pvp",1,(1-Summary!$B$55)*(1)+Summary!$B$55*(MIN(Skills!R13,Inputs!$B$37))),0)</f>
        <v/>
      </c>
      <c r="P456">
        <f>IF(B481=0,0,O456/B481)</f>
        <v/>
      </c>
      <c r="Q456">
        <f>IFERROR(1/IF(Inputs!$B$4="pvp",15,MAX(0.1,Skills!D13-IF(Skills!E13=TRUE,Inputs!$B$31,0))),0)</f>
        <v/>
      </c>
      <c r="R456">
        <f>IF(AND(Inputs!$B$4&lt;&gt;"pvp",Inputs!$B$35&gt;0),(INT(Inputs!$B$35/IF(Inputs!$B$4="pvp",15,MAX(0.1,Skills!D13-IF(Skills!E13=TRUE,Inputs!$B$31,0))))+1),0)</f>
        <v/>
      </c>
      <c r="S456">
        <f>IFERROR(O456/N456,0)</f>
        <v/>
      </c>
    </row>
    <row r="457">
      <c r="A457">
        <f>Skills!A14</f>
        <v/>
      </c>
      <c r="B457">
        <f>Skills!B14</f>
        <v/>
      </c>
      <c r="C457">
        <f>Inputs!$B$3&gt;=125</f>
        <v/>
      </c>
      <c r="D457">
        <f>IF(Skills!C14=1,60+Inputs!$B$24+Inputs!$B$28,IF(Skills!C14=2,90+Inputs!$B$25+Inputs!$B$28,IF(Skills!C14=3,120+Inputs!$B$26+Inputs!$B$28,MAX(0,(Inputs!$B$3-100)*3)+Inputs!$B$27+Inputs!$B$28)))</f>
        <v/>
      </c>
      <c r="E457">
        <f>INDEX(FactorTable!$B$2:$Y$301, MATCH(ROUND(MIN(300,MAX(1,D457)),0), FactorTable!$A$2:$A$301,0), Skills!M14+1)</f>
        <v/>
      </c>
      <c r="F457">
        <f>IF(Skills!N14=TRUE,(Skills!L14/10)*(E457/1000),Skills!L14/10)+Skills!O14</f>
        <v/>
      </c>
      <c r="G457">
        <f>Skills!G14*IF(Skills!H14&gt;0,Skills!I14/Skills!H14,1)</f>
        <v/>
      </c>
      <c r="H457">
        <f>1-(1-Skills!J14/100)^Skills!K14</f>
        <v/>
      </c>
      <c r="I457" t="inlineStr">
        <is>
          <t>1</t>
        </is>
      </c>
      <c r="J457">
        <f>(Inputs!$B$5*(1+Inputs!$B$6/100))*(F457/100)</f>
        <v/>
      </c>
      <c r="K457">
        <f>J457*(1+((Inputs!$B$11*(1+Inputs!$B$12/100))*0.01+Inputs!$B$13*0.0025)/100)*(1+Inputs!$B$14/100)*(1+IF(Inputs!$B$4="pvp",0,(1-Summary!$B$55)*(Inputs!$B$19+0+Skills!P14)+Summary!$B$55*(Inputs!$B$20+Skills!Q14))/100)*(1+Inputs!$B$15/100)*(5000/(6000+Inputs!$B$7*(1-(Inputs!$B$18+0)/100)))*(1+(Inputs!$B$23+((C469=TRUE)*(F469-Calc!F26))+B479)/100)*(1+(IF(Skills!A14="EIGHT_LEGS_EASTON",Inputs!$B$16+((C466=TRUE)*(F466-Calc!F23))+((C470=TRUE)*(F470-Calc!F27)),Inputs!$B$17+0))/100)*((1+(((C460=TRUE)*F460)+((C467=TRUE)*(F467-Calc!F24)))/100)*I457)</f>
        <v/>
      </c>
      <c r="L457">
        <f>K457*(MIN(Inputs!$B$21+((C465=TRUE)*(F465-Calc!F22)),Inputs!$B$22+0)/100+(Inputs!$B$22+0)/100)/2</f>
        <v/>
      </c>
      <c r="M457">
        <f>L457*(1+(Inputs!$B$9+((C468=TRUE)*(F468-Calc!F25))+B478)/100)</f>
        <v/>
      </c>
      <c r="N457">
        <f>L457*(1-MIN(((Inputs!$B$8+1)+((C462=TRUE)*(F462-Calc!F19))+B473),100)/100)+M457*(MIN(((Inputs!$B$8+1)+((C462=TRUE)*(F462-Calc!F19))+B473),100)/100)</f>
        <v/>
      </c>
      <c r="O457">
        <f>IF(C457,H457*N457*(B477+IF(AND(Inputs!$B$4&lt;&gt;"pvp",Inputs!$B$35&gt;0),((Skills!G8*((R451-1)*IF(Skills!H8&gt;0,Skills!I8/Skills!H8,1)+IF(Skills!H8&gt;0,MIN(Skills!I8,MAX(0,Inputs!$B$35-((R451-1)*IF(Inputs!$B$4="pvp",15,MAX(0.1,Skills!D8-IF(Skills!E8=TRUE,Inputs!$B$31,0))))))/Skills!H8,1)))/Inputs!$B$35),G451*Q451)+IF(AND(Inputs!$B$4&lt;&gt;"pvp",Inputs!$B$35&gt;0),((Skills!G11*((R454-1)*IF(Skills!H11&gt;0,Skills!I11/Skills!H11,1)+IF(Skills!H11&gt;0,MIN(Skills!I11,MAX(0,Inputs!$B$35-((R454-1)*IF(Inputs!$B$4="pvp",15,MAX(0.1,Skills!D11-IF(Skills!E11=TRUE,Inputs!$B$31,0))))))/Skills!H11,1)))/Inputs!$B$35),G454*Q454))*IF(Inputs!$B$4="pvp",1,(1-Summary!$B$55)*(1)+Summary!$B$55*(MIN(Skills!R14,Inputs!$B$37))),0)</f>
        <v/>
      </c>
      <c r="P457">
        <f>IF(B481=0,0,O457/B481)</f>
        <v/>
      </c>
      <c r="Q457" t="n">
        <v>0</v>
      </c>
      <c r="R457" t="n">
        <v>0</v>
      </c>
      <c r="S457">
        <f>IFERROR(O457/N457,0)</f>
        <v/>
      </c>
    </row>
    <row r="458">
      <c r="A458">
        <f>Skills!A15</f>
        <v/>
      </c>
      <c r="B458">
        <f>Skills!B15</f>
        <v/>
      </c>
      <c r="C458">
        <f>Inputs!$B$3&gt;=100</f>
        <v/>
      </c>
      <c r="D458">
        <f>IF(Skills!C15=1,60+Inputs!$B$24+Inputs!$B$28,IF(Skills!C15=2,90+Inputs!$B$25+Inputs!$B$28,IF(Skills!C15=3,120+Inputs!$B$26+Inputs!$B$28,MAX(0,(Inputs!$B$3-100)*3)+Inputs!$B$27+Inputs!$B$28)))</f>
        <v/>
      </c>
      <c r="E458">
        <f>INDEX(FactorTable!$B$2:$Y$301, MATCH(ROUND(MIN(300,MAX(1,D458)),0), FactorTable!$A$2:$A$301,0), Skills!M15+1)</f>
        <v/>
      </c>
      <c r="F458">
        <f>IF(Skills!N15=TRUE,(Skills!L15/10)*(E458/1000),Skills!L15/10)+Skills!O15</f>
        <v/>
      </c>
      <c r="G458" t="inlineStr"/>
      <c r="H458" t="inlineStr"/>
      <c r="I458" t="inlineStr">
        <is>
          <t>1</t>
        </is>
      </c>
      <c r="J458" t="inlineStr"/>
      <c r="K458" t="inlineStr"/>
      <c r="L458" t="inlineStr"/>
      <c r="M458" t="inlineStr"/>
      <c r="N458" t="inlineStr"/>
      <c r="O458" t="inlineStr"/>
      <c r="P458" t="inlineStr"/>
      <c r="Q458" t="inlineStr"/>
      <c r="R458" t="inlineStr"/>
      <c r="S458" t="inlineStr"/>
    </row>
    <row r="459">
      <c r="A459">
        <f>Skills!A16</f>
        <v/>
      </c>
      <c r="B459">
        <f>Skills!B16</f>
        <v/>
      </c>
      <c r="C459">
        <f>Inputs!$B$3&gt;=120</f>
        <v/>
      </c>
      <c r="D459">
        <f>IF(Skills!C16=1,60+Inputs!$B$24+Inputs!$B$28,IF(Skills!C16=2,90+Inputs!$B$25+Inputs!$B$28,IF(Skills!C16=3,120+Inputs!$B$26+Inputs!$B$28,MAX(0,(Inputs!$B$3-100)*3)+Inputs!$B$27+Inputs!$B$28)))</f>
        <v/>
      </c>
      <c r="E459">
        <f>INDEX(FactorTable!$B$2:$Y$301, MATCH(ROUND(MIN(300,MAX(1,D459)),0), FactorTable!$A$2:$A$301,0), Skills!M16+1)</f>
        <v/>
      </c>
      <c r="F459">
        <f>IF(Skills!N16=TRUE,(Skills!L16/10)*(E459/1000),Skills!L16/10)+Skills!O16</f>
        <v/>
      </c>
      <c r="G459" t="inlineStr"/>
      <c r="H459" t="inlineStr"/>
      <c r="I459" t="inlineStr">
        <is>
          <t>1</t>
        </is>
      </c>
      <c r="J459" t="inlineStr"/>
      <c r="K459" t="inlineStr"/>
      <c r="L459" t="inlineStr"/>
      <c r="M459" t="inlineStr"/>
      <c r="N459" t="inlineStr"/>
      <c r="O459" t="inlineStr"/>
      <c r="P459" t="inlineStr"/>
      <c r="Q459" t="inlineStr"/>
      <c r="R459" t="inlineStr"/>
      <c r="S459" t="inlineStr"/>
    </row>
    <row r="460">
      <c r="A460">
        <f>Skills!A17</f>
        <v/>
      </c>
      <c r="B460">
        <f>Skills!B17</f>
        <v/>
      </c>
      <c r="C460">
        <f>Inputs!$B$3&gt;=66</f>
        <v/>
      </c>
      <c r="D460">
        <f>IF(Skills!C17=1,60+Inputs!$B$24+Inputs!$B$28,IF(Skills!C17=2,90+Inputs!$B$25+Inputs!$B$28,IF(Skills!C17=3,120+Inputs!$B$26+Inputs!$B$28,MAX(0,(Inputs!$B$3-100)*3)+Inputs!$B$27+Inputs!$B$28)))</f>
        <v/>
      </c>
      <c r="E460">
        <f>INDEX(FactorTable!$B$2:$Y$301, MATCH(ROUND(MIN(300,MAX(1,D460)),0), FactorTable!$A$2:$A$301,0), Skills!M17+1)</f>
        <v/>
      </c>
      <c r="F460">
        <f>IF(Skills!N17=TRUE,(Skills!L17/10)*(E460/1000),Skills!L17/10)+Skills!O17</f>
        <v/>
      </c>
      <c r="G460">
        <f>Skills!G17*IF(Skills!H17&gt;0,Skills!I17/Skills!H17,1)</f>
        <v/>
      </c>
      <c r="H460">
        <f>1-(1-Skills!J17/100)^Skills!K17</f>
        <v/>
      </c>
      <c r="I460" t="inlineStr">
        <is>
          <t>1</t>
        </is>
      </c>
      <c r="J460" t="inlineStr"/>
      <c r="K460" t="inlineStr"/>
      <c r="L460" t="inlineStr"/>
      <c r="M460" t="inlineStr"/>
      <c r="N460" t="inlineStr"/>
      <c r="O460" t="n">
        <v>0</v>
      </c>
      <c r="P460">
        <f>IF(B481=0,0,O460/B481)</f>
        <v/>
      </c>
      <c r="Q460" t="n">
        <v>0</v>
      </c>
      <c r="R460" t="n">
        <v>0</v>
      </c>
      <c r="S460">
        <f>IFERROR(O460/N460,0)</f>
        <v/>
      </c>
    </row>
    <row r="461">
      <c r="A461">
        <f>Skills!A18</f>
        <v/>
      </c>
      <c r="B461">
        <f>Skills!B18</f>
        <v/>
      </c>
      <c r="C461">
        <f>Inputs!$B$3&gt;=115</f>
        <v/>
      </c>
      <c r="D461">
        <f>IF(Skills!C18=1,60+Inputs!$B$24+Inputs!$B$28,IF(Skills!C18=2,90+Inputs!$B$25+Inputs!$B$28,IF(Skills!C18=3,120+Inputs!$B$26+Inputs!$B$28,MAX(0,(Inputs!$B$3-100)*3)+Inputs!$B$27+Inputs!$B$28)))</f>
        <v/>
      </c>
      <c r="E461">
        <f>INDEX(FactorTable!$B$2:$Y$301, MATCH(ROUND(MIN(300,MAX(1,D461)),0), FactorTable!$A$2:$A$301,0), Skills!M18+1)</f>
        <v/>
      </c>
      <c r="F461">
        <f>IF(Skills!N18=TRUE,(Skills!L18/10)*(E461/1000),Skills!L18/10)+Skills!O18</f>
        <v/>
      </c>
      <c r="G461">
        <f>Skills!G18*IF(Skills!H18&gt;0,Skills!I18/Skills!H18,1)</f>
        <v/>
      </c>
      <c r="H461">
        <f>1-(1-Skills!J18/100)^Skills!K18</f>
        <v/>
      </c>
      <c r="I461" t="inlineStr">
        <is>
          <t>1</t>
        </is>
      </c>
      <c r="J461" t="inlineStr"/>
      <c r="K461" t="inlineStr"/>
      <c r="L461" t="inlineStr"/>
      <c r="M461" t="inlineStr"/>
      <c r="N461" t="inlineStr"/>
      <c r="O461" t="n">
        <v>0</v>
      </c>
      <c r="P461">
        <f>IF(B481=0,0,O461/B481)</f>
        <v/>
      </c>
      <c r="Q461" t="n">
        <v>0</v>
      </c>
      <c r="R461" t="n">
        <v>0</v>
      </c>
      <c r="S461">
        <f>IFERROR(O461/N461,0)</f>
        <v/>
      </c>
    </row>
    <row r="462">
      <c r="A462">
        <f>Skills!A19</f>
        <v/>
      </c>
      <c r="B462">
        <f>Skills!B19</f>
        <v/>
      </c>
      <c r="C462">
        <f>Inputs!$B$3&gt;=15</f>
        <v/>
      </c>
      <c r="D462">
        <f>IF(Skills!C19=1,60+Inputs!$B$24+Inputs!$B$28,IF(Skills!C19=2,90+Inputs!$B$25+Inputs!$B$28,IF(Skills!C19=3,120+Inputs!$B$26+Inputs!$B$28,MAX(0,(Inputs!$B$3-100)*3)+Inputs!$B$27+Inputs!$B$28)))</f>
        <v/>
      </c>
      <c r="E462">
        <f>INDEX(FactorTable!$B$2:$Y$301, MATCH(ROUND(MIN(300,MAX(1,D462)),0), FactorTable!$A$2:$A$301,0), Skills!M19+1)</f>
        <v/>
      </c>
      <c r="F462">
        <f>IF(Skills!N19=TRUE,(Skills!L19/10)*(E462/1000),Skills!L19/10)+Skills!O19</f>
        <v/>
      </c>
      <c r="G462">
        <f>Skills!G19*IF(Skills!H19&gt;0,Skills!I19/Skills!H19,1)</f>
        <v/>
      </c>
      <c r="H462">
        <f>1-(1-Skills!J19/100)^Skills!K19</f>
        <v/>
      </c>
      <c r="I462" t="inlineStr">
        <is>
          <t>1</t>
        </is>
      </c>
      <c r="J462" t="inlineStr"/>
      <c r="K462" t="inlineStr"/>
      <c r="L462" t="inlineStr"/>
      <c r="M462" t="inlineStr"/>
      <c r="N462" t="inlineStr"/>
      <c r="O462" t="n">
        <v>0</v>
      </c>
      <c r="P462">
        <f>IF(B481=0,0,O462/B481)</f>
        <v/>
      </c>
      <c r="Q462" t="n">
        <v>0</v>
      </c>
      <c r="R462" t="n">
        <v>0</v>
      </c>
      <c r="S462">
        <f>IFERROR(O462/N462,0)</f>
        <v/>
      </c>
    </row>
    <row r="463">
      <c r="A463">
        <f>Skills!A20</f>
        <v/>
      </c>
      <c r="B463">
        <f>Skills!B20</f>
        <v/>
      </c>
      <c r="C463">
        <f>Inputs!$B$3&gt;=10</f>
        <v/>
      </c>
      <c r="D463">
        <f>IF(Skills!C20=1,60+Inputs!$B$24+Inputs!$B$28,IF(Skills!C20=2,90+Inputs!$B$25+Inputs!$B$28,IF(Skills!C20=3,120+Inputs!$B$26+Inputs!$B$28,MAX(0,(Inputs!$B$3-100)*3)+Inputs!$B$27+Inputs!$B$28)))</f>
        <v/>
      </c>
      <c r="E463">
        <f>INDEX(FactorTable!$B$2:$Y$301, MATCH(ROUND(MIN(300,MAX(1,D463)),0), FactorTable!$A$2:$A$301,0), Skills!M20+1)</f>
        <v/>
      </c>
      <c r="F463">
        <f>IF(Skills!N20=TRUE,(Skills!L20/10)*(E463/1000),Skills!L20/10)+Skills!O20</f>
        <v/>
      </c>
      <c r="G463">
        <f>Skills!G20*IF(Skills!H20&gt;0,Skills!I20/Skills!H20,1)</f>
        <v/>
      </c>
      <c r="H463">
        <f>1-(1-Skills!J20/100)^Skills!K20</f>
        <v/>
      </c>
      <c r="I463" t="inlineStr">
        <is>
          <t>1</t>
        </is>
      </c>
      <c r="J463" t="inlineStr"/>
      <c r="K463" t="inlineStr"/>
      <c r="L463" t="inlineStr"/>
      <c r="M463" t="inlineStr"/>
      <c r="N463" t="inlineStr"/>
      <c r="O463" t="n">
        <v>0</v>
      </c>
      <c r="P463">
        <f>IF(B481=0,0,O463/B481)</f>
        <v/>
      </c>
      <c r="Q463" t="n">
        <v>0</v>
      </c>
      <c r="R463" t="n">
        <v>0</v>
      </c>
      <c r="S463">
        <f>IFERROR(O463/N463,0)</f>
        <v/>
      </c>
    </row>
    <row r="464">
      <c r="A464">
        <f>Skills!A21</f>
        <v/>
      </c>
      <c r="B464">
        <f>Skills!B21</f>
        <v/>
      </c>
      <c r="C464">
        <f>Inputs!$B$3&gt;=33</f>
        <v/>
      </c>
      <c r="D464">
        <f>IF(Skills!C21=1,60+Inputs!$B$24+Inputs!$B$28,IF(Skills!C21=2,90+Inputs!$B$25+Inputs!$B$28,IF(Skills!C21=3,120+Inputs!$B$26+Inputs!$B$28,MAX(0,(Inputs!$B$3-100)*3)+Inputs!$B$27+Inputs!$B$28)))</f>
        <v/>
      </c>
      <c r="E464">
        <f>INDEX(FactorTable!$B$2:$Y$301, MATCH(ROUND(MIN(300,MAX(1,D464)),0), FactorTable!$A$2:$A$301,0), Skills!M21+1)</f>
        <v/>
      </c>
      <c r="F464">
        <f>IF(Skills!N21=TRUE,(Skills!L21/10)*(E464/1000),Skills!L21/10)+Skills!O21</f>
        <v/>
      </c>
      <c r="G464">
        <f>Skills!G21*IF(Skills!H21&gt;0,Skills!I21/Skills!H21,1)</f>
        <v/>
      </c>
      <c r="H464">
        <f>1-(1-Skills!J21/100)^Skills!K21</f>
        <v/>
      </c>
      <c r="I464" t="inlineStr">
        <is>
          <t>1</t>
        </is>
      </c>
      <c r="J464" t="inlineStr"/>
      <c r="K464" t="inlineStr"/>
      <c r="L464" t="inlineStr"/>
      <c r="M464" t="inlineStr"/>
      <c r="N464" t="inlineStr"/>
      <c r="O464" t="n">
        <v>0</v>
      </c>
      <c r="P464">
        <f>IF(B481=0,0,O464/B481)</f>
        <v/>
      </c>
      <c r="Q464" t="n">
        <v>0</v>
      </c>
      <c r="R464" t="n">
        <v>0</v>
      </c>
      <c r="S464">
        <f>IFERROR(O464/N464,0)</f>
        <v/>
      </c>
    </row>
    <row r="465">
      <c r="A465">
        <f>Skills!A22</f>
        <v/>
      </c>
      <c r="B465">
        <f>Skills!B22</f>
        <v/>
      </c>
      <c r="C465">
        <f>Inputs!$B$3&gt;=43</f>
        <v/>
      </c>
      <c r="D465">
        <f>IF(Skills!C22=1,60+Inputs!$B$24+Inputs!$B$28,IF(Skills!C22=2,90+Inputs!$B$25+Inputs!$B$28,IF(Skills!C22=3,120+Inputs!$B$26+Inputs!$B$28,MAX(0,(Inputs!$B$3-100)*3)+Inputs!$B$27+Inputs!$B$28)))</f>
        <v/>
      </c>
      <c r="E465">
        <f>INDEX(FactorTable!$B$2:$Y$301, MATCH(ROUND(MIN(300,MAX(1,D465)),0), FactorTable!$A$2:$A$301,0), Skills!M22+1)</f>
        <v/>
      </c>
      <c r="F465">
        <f>IF(Skills!N22=TRUE,(Skills!L22/10)*(E465/1000),Skills!L22/10)+Skills!O22</f>
        <v/>
      </c>
      <c r="G465">
        <f>Skills!G22*IF(Skills!H22&gt;0,Skills!I22/Skills!H22,1)</f>
        <v/>
      </c>
      <c r="H465">
        <f>1-(1-Skills!J22/100)^Skills!K22</f>
        <v/>
      </c>
      <c r="I465" t="inlineStr">
        <is>
          <t>1</t>
        </is>
      </c>
      <c r="J465" t="inlineStr"/>
      <c r="K465" t="inlineStr"/>
      <c r="L465" t="inlineStr"/>
      <c r="M465" t="inlineStr"/>
      <c r="N465" t="inlineStr"/>
      <c r="O465" t="n">
        <v>0</v>
      </c>
      <c r="P465">
        <f>IF(B481=0,0,O465/B481)</f>
        <v/>
      </c>
      <c r="Q465" t="n">
        <v>0</v>
      </c>
      <c r="R465" t="n">
        <v>0</v>
      </c>
      <c r="S465">
        <f>IFERROR(O465/N465,0)</f>
        <v/>
      </c>
    </row>
    <row r="466">
      <c r="A466">
        <f>Skills!A23</f>
        <v/>
      </c>
      <c r="B466">
        <f>Skills!B23</f>
        <v/>
      </c>
      <c r="C466">
        <f>Inputs!$B$3&gt;=38</f>
        <v/>
      </c>
      <c r="D466">
        <f>IF(Skills!C23=1,60+Inputs!$B$24+Inputs!$B$28,IF(Skills!C23=2,90+Inputs!$B$25+Inputs!$B$28,IF(Skills!C23=3,120+Inputs!$B$26+Inputs!$B$28,MAX(0,(Inputs!$B$3-100)*3)+Inputs!$B$27+Inputs!$B$28)))</f>
        <v/>
      </c>
      <c r="E466">
        <f>INDEX(FactorTable!$B$2:$Y$301, MATCH(ROUND(MIN(300,MAX(1,D466)),0), FactorTable!$A$2:$A$301,0), Skills!M23+1)</f>
        <v/>
      </c>
      <c r="F466">
        <f>IF(Skills!N23=TRUE,(Skills!L23/10)*(E466/1000),Skills!L23/10)+Skills!O23</f>
        <v/>
      </c>
      <c r="G466">
        <f>Skills!G23*IF(Skills!H23&gt;0,Skills!I23/Skills!H23,1)</f>
        <v/>
      </c>
      <c r="H466">
        <f>1-(1-Skills!J23/100)^Skills!K23</f>
        <v/>
      </c>
      <c r="I466" t="inlineStr">
        <is>
          <t>1</t>
        </is>
      </c>
      <c r="J466" t="inlineStr"/>
      <c r="K466" t="inlineStr"/>
      <c r="L466" t="inlineStr"/>
      <c r="M466" t="inlineStr"/>
      <c r="N466" t="inlineStr"/>
      <c r="O466" t="n">
        <v>0</v>
      </c>
      <c r="P466">
        <f>IF(B481=0,0,O466/B481)</f>
        <v/>
      </c>
      <c r="Q466" t="n">
        <v>0</v>
      </c>
      <c r="R466" t="n">
        <v>0</v>
      </c>
      <c r="S466">
        <f>IFERROR(O466/N466,0)</f>
        <v/>
      </c>
    </row>
    <row r="467">
      <c r="A467">
        <f>Skills!A24</f>
        <v/>
      </c>
      <c r="B467">
        <f>Skills!B24</f>
        <v/>
      </c>
      <c r="C467">
        <f>Inputs!$B$3&gt;=40</f>
        <v/>
      </c>
      <c r="D467">
        <f>IF(Skills!C24=1,60+Inputs!$B$24+Inputs!$B$28,IF(Skills!C24=2,90+Inputs!$B$25+Inputs!$B$28,IF(Skills!C24=3,120+Inputs!$B$26+Inputs!$B$28,MAX(0,(Inputs!$B$3-100)*3)+Inputs!$B$27+Inputs!$B$28)))</f>
        <v/>
      </c>
      <c r="E467">
        <f>INDEX(FactorTable!$B$2:$Y$301, MATCH(ROUND(MIN(300,MAX(1,D467)),0), FactorTable!$A$2:$A$301,0), Skills!M24+1)</f>
        <v/>
      </c>
      <c r="F467">
        <f>IF(Skills!N24=TRUE,(Skills!L24/10)*(E467/1000),Skills!L24/10)+Skills!O24</f>
        <v/>
      </c>
      <c r="G467">
        <f>Skills!G24*IF(Skills!H24&gt;0,Skills!I24/Skills!H24,1)</f>
        <v/>
      </c>
      <c r="H467">
        <f>1-(1-Skills!J24/100)^Skills!K24</f>
        <v/>
      </c>
      <c r="I467" t="inlineStr">
        <is>
          <t>1</t>
        </is>
      </c>
      <c r="J467" t="inlineStr"/>
      <c r="K467" t="inlineStr"/>
      <c r="L467" t="inlineStr"/>
      <c r="M467" t="inlineStr"/>
      <c r="N467" t="inlineStr"/>
      <c r="O467" t="n">
        <v>0</v>
      </c>
      <c r="P467">
        <f>IF(B481=0,0,O467/B481)</f>
        <v/>
      </c>
      <c r="Q467" t="n">
        <v>0</v>
      </c>
      <c r="R467" t="n">
        <v>0</v>
      </c>
      <c r="S467">
        <f>IFERROR(O467/N467,0)</f>
        <v/>
      </c>
    </row>
    <row r="468">
      <c r="A468">
        <f>Skills!A25</f>
        <v/>
      </c>
      <c r="B468">
        <f>Skills!B25</f>
        <v/>
      </c>
      <c r="C468">
        <f>Inputs!$B$3&gt;=72</f>
        <v/>
      </c>
      <c r="D468">
        <f>IF(Skills!C25=1,60+Inputs!$B$24+Inputs!$B$28,IF(Skills!C25=2,90+Inputs!$B$25+Inputs!$B$28,IF(Skills!C25=3,120+Inputs!$B$26+Inputs!$B$28,MAX(0,(Inputs!$B$3-100)*3)+Inputs!$B$27+Inputs!$B$28)))</f>
        <v/>
      </c>
      <c r="E468">
        <f>INDEX(FactorTable!$B$2:$Y$301, MATCH(ROUND(MIN(300,MAX(1,D468)),0), FactorTable!$A$2:$A$301,0), Skills!M25+1)</f>
        <v/>
      </c>
      <c r="F468">
        <f>IF(Skills!N25=TRUE,(Skills!L25/10)*(E468/1000),Skills!L25/10)+Skills!O25</f>
        <v/>
      </c>
      <c r="G468">
        <f>Skills!G25*IF(Skills!H25&gt;0,Skills!I25/Skills!H25,1)</f>
        <v/>
      </c>
      <c r="H468">
        <f>1-(1-Skills!J25/100)^Skills!K25</f>
        <v/>
      </c>
      <c r="I468" t="inlineStr">
        <is>
          <t>1</t>
        </is>
      </c>
      <c r="J468" t="inlineStr"/>
      <c r="K468" t="inlineStr"/>
      <c r="L468" t="inlineStr"/>
      <c r="M468" t="inlineStr"/>
      <c r="N468" t="inlineStr"/>
      <c r="O468" t="n">
        <v>0</v>
      </c>
      <c r="P468">
        <f>IF(B481=0,0,O468/B481)</f>
        <v/>
      </c>
      <c r="Q468" t="n">
        <v>0</v>
      </c>
      <c r="R468" t="n">
        <v>0</v>
      </c>
      <c r="S468">
        <f>IFERROR(O468/N468,0)</f>
        <v/>
      </c>
    </row>
    <row r="469">
      <c r="A469">
        <f>Skills!A26</f>
        <v/>
      </c>
      <c r="B469">
        <f>Skills!B26</f>
        <v/>
      </c>
      <c r="C469">
        <f>Inputs!$B$3&gt;=75</f>
        <v/>
      </c>
      <c r="D469">
        <f>IF(Skills!C26=1,60+Inputs!$B$24+Inputs!$B$28,IF(Skills!C26=2,90+Inputs!$B$25+Inputs!$B$28,IF(Skills!C26=3,120+Inputs!$B$26+Inputs!$B$28,MAX(0,(Inputs!$B$3-100)*3)+Inputs!$B$27+Inputs!$B$28)))</f>
        <v/>
      </c>
      <c r="E469">
        <f>INDEX(FactorTable!$B$2:$Y$301, MATCH(ROUND(MIN(300,MAX(1,D469)),0), FactorTable!$A$2:$A$301,0), Skills!M26+1)</f>
        <v/>
      </c>
      <c r="F469">
        <f>IF(Skills!N26=TRUE,(Skills!L26/10)*(E469/1000),Skills!L26/10)+Skills!O26</f>
        <v/>
      </c>
      <c r="G469">
        <f>Skills!G26*IF(Skills!H26&gt;0,Skills!I26/Skills!H26,1)</f>
        <v/>
      </c>
      <c r="H469">
        <f>1-(1-Skills!J26/100)^Skills!K26</f>
        <v/>
      </c>
      <c r="I469" t="inlineStr">
        <is>
          <t>1</t>
        </is>
      </c>
      <c r="J469" t="inlineStr"/>
      <c r="K469" t="inlineStr"/>
      <c r="L469" t="inlineStr"/>
      <c r="M469" t="inlineStr"/>
      <c r="N469" t="inlineStr"/>
      <c r="O469" t="n">
        <v>0</v>
      </c>
      <c r="P469">
        <f>IF(B481=0,0,O469/B481)</f>
        <v/>
      </c>
      <c r="Q469" t="n">
        <v>0</v>
      </c>
      <c r="R469" t="n">
        <v>0</v>
      </c>
      <c r="S469">
        <f>IFERROR(O469/N469,0)</f>
        <v/>
      </c>
    </row>
    <row r="470">
      <c r="A470">
        <f>Skills!A27</f>
        <v/>
      </c>
      <c r="B470">
        <f>Skills!B27</f>
        <v/>
      </c>
      <c r="C470">
        <f>Inputs!$B$3&gt;=117</f>
        <v/>
      </c>
      <c r="D470">
        <f>IF(Skills!C27=1,60+Inputs!$B$24+Inputs!$B$28,IF(Skills!C27=2,90+Inputs!$B$25+Inputs!$B$28,IF(Skills!C27=3,120+Inputs!$B$26+Inputs!$B$28,MAX(0,(Inputs!$B$3-100)*3)+Inputs!$B$27+Inputs!$B$28)))</f>
        <v/>
      </c>
      <c r="E470">
        <f>INDEX(FactorTable!$B$2:$Y$301, MATCH(ROUND(MIN(300,MAX(1,D470)),0), FactorTable!$A$2:$A$301,0), Skills!M27+1)</f>
        <v/>
      </c>
      <c r="F470">
        <f>IF(Skills!N27=TRUE,(Skills!L27/10)*(E470/1000),Skills!L27/10)+Skills!O27</f>
        <v/>
      </c>
      <c r="G470">
        <f>Skills!G27*IF(Skills!H27&gt;0,Skills!I27/Skills!H27,1)</f>
        <v/>
      </c>
      <c r="H470">
        <f>1-(1-Skills!J27/100)^Skills!K27</f>
        <v/>
      </c>
      <c r="I470" t="inlineStr">
        <is>
          <t>1</t>
        </is>
      </c>
      <c r="J470" t="inlineStr"/>
      <c r="K470" t="inlineStr"/>
      <c r="L470" t="inlineStr"/>
      <c r="M470" t="inlineStr"/>
      <c r="N470" t="inlineStr"/>
      <c r="O470" t="n">
        <v>0</v>
      </c>
      <c r="P470">
        <f>IF(B481=0,0,O470/B481)</f>
        <v/>
      </c>
      <c r="Q470" t="n">
        <v>0</v>
      </c>
      <c r="R470" t="n">
        <v>0</v>
      </c>
      <c r="S470">
        <f>IFERROR(O470/N470,0)</f>
        <v/>
      </c>
    </row>
    <row r="472">
      <c r="A472" t="inlineStr">
        <is>
          <t>Attack% Bucket Multiplier</t>
        </is>
      </c>
      <c r="B472">
        <f>(1+(((C460=TRUE)*F460)+((C467=TRUE)*(F467-Calc!F24)))/100)</f>
        <v/>
      </c>
    </row>
    <row r="473">
      <c r="A473" t="inlineStr">
        <is>
          <t>Global Crit Rate Bonus %</t>
        </is>
      </c>
      <c r="B473" t="n">
        <v>0</v>
      </c>
    </row>
    <row r="474">
      <c r="A474" t="inlineStr">
        <is>
          <t>Attack Speed Buff Bonus % (unused)</t>
        </is>
      </c>
      <c r="B474" t="n">
        <v>0</v>
      </c>
    </row>
    <row r="475">
      <c r="A475" t="inlineStr">
        <is>
          <t>Actions Per Second</t>
        </is>
      </c>
      <c r="B475">
        <f>1+MIN(150,150*(1-(1-(Inputs!$B$10+((C463=TRUE)*(F463-Calc!F20))+((C464=TRUE)*(F464-Calc!F21)))/150)*(1-B474/150)))/100</f>
        <v/>
      </c>
    </row>
    <row r="476">
      <c r="A476" t="inlineStr">
        <is>
          <t>Skill + Buff Cast Rate</t>
        </is>
      </c>
      <c r="B476">
        <f>IF(AND(Inputs!$B$4&lt;&gt;"pvp",Inputs!$B$35&gt;0),SUMPRODUCT((Skills!E2:E27=TRUE)*(C445:C470=TRUE)*R445:R470*Skills!F2:F27)/Inputs!$B$35,SUMPRODUCT((Skills!E2:E27=TRUE)*(C445:C470=TRUE)*Q445:Q470*Skills!F2:F27))</f>
        <v/>
      </c>
    </row>
    <row r="477">
      <c r="A477" t="inlineStr">
        <is>
          <t>Eight-Legs Easton Casts Per Second</t>
        </is>
      </c>
      <c r="B477">
        <f>MAX(0,B475-B476)</f>
        <v/>
      </c>
    </row>
    <row r="478">
      <c r="A478" t="inlineStr">
        <is>
          <t>Global Critical Damage Bonus % (unused)</t>
        </is>
      </c>
      <c r="B478" t="n">
        <v>0</v>
      </c>
    </row>
    <row r="479">
      <c r="A479" t="inlineStr">
        <is>
          <t>Global Final Damage Bonus % (Jolly Roger only)</t>
        </is>
      </c>
      <c r="B479">
        <f>((C461=TRUE)*F461)</f>
        <v/>
      </c>
    </row>
    <row r="481">
      <c r="A481" s="5" t="inlineStr">
        <is>
          <t>TOTAL DPS</t>
        </is>
      </c>
      <c r="B481" s="5">
        <f>SUM(O445:O470)</f>
        <v/>
      </c>
    </row>
    <row r="484">
      <c r="A484" s="5" t="inlineStr">
        <is>
          <t>Stat: CRIT_DAMAGE %</t>
        </is>
      </c>
    </row>
    <row r="485">
      <c r="A485" s="8" t="inlineStr">
        <is>
          <t>Key</t>
        </is>
      </c>
      <c r="B485" s="8" t="inlineStr">
        <is>
          <t>Name</t>
        </is>
      </c>
      <c r="C485" s="8" t="inlineStr">
        <is>
          <t>Unlocked</t>
        </is>
      </c>
      <c r="D485" s="8" t="inlineStr">
        <is>
          <t>InputLevel</t>
        </is>
      </c>
      <c r="E485" s="8" t="inlineStr">
        <is>
          <t>Factor</t>
        </is>
      </c>
      <c r="F485" s="8" t="inlineStr">
        <is>
          <t>CoefficientPercent</t>
        </is>
      </c>
      <c r="G485" s="8" t="inlineStr">
        <is>
          <t>EffectiveHits</t>
        </is>
      </c>
      <c r="H485" s="8" t="inlineStr">
        <is>
          <t>ProcProbability</t>
        </is>
      </c>
      <c r="I485" s="8" t="inlineStr">
        <is>
          <t>MapleHeroMultiplier</t>
        </is>
      </c>
      <c r="J485" s="8" t="inlineStr">
        <is>
          <t>BaseDamage</t>
        </is>
      </c>
      <c r="K485" s="8" t="inlineStr">
        <is>
          <t>BaseHitDamage</t>
        </is>
      </c>
      <c r="L485" s="8" t="inlineStr">
        <is>
          <t>NonCritAvg</t>
        </is>
      </c>
      <c r="M485" s="8" t="inlineStr">
        <is>
          <t>CritAvg</t>
        </is>
      </c>
      <c r="N485" s="8" t="inlineStr">
        <is>
          <t>ExpectedDamage(perHit)</t>
        </is>
      </c>
      <c r="O485" s="8" t="inlineStr">
        <is>
          <t>DPS</t>
        </is>
      </c>
      <c r="P485" s="8" t="inlineStr">
        <is>
          <t>% of Total</t>
        </is>
      </c>
      <c r="Q485" s="8" t="inlineStr">
        <is>
          <t>InvCooldown</t>
        </is>
      </c>
      <c r="R485" s="8" t="inlineStr">
        <is>
          <t>CastsInFight</t>
        </is>
      </c>
      <c r="S485" s="8" t="inlineStr">
        <is>
          <t>HitRate(perSec)</t>
        </is>
      </c>
      <c r="U485" t="inlineStr">
        <is>
          <t>helpers</t>
        </is>
      </c>
    </row>
    <row r="486">
      <c r="A486">
        <f>Skills!A2</f>
        <v/>
      </c>
      <c r="B486">
        <f>Skills!B2</f>
        <v/>
      </c>
      <c r="C486">
        <f>Inputs!$B$3&gt;=100</f>
        <v/>
      </c>
      <c r="D486" t="inlineStr"/>
      <c r="E486" t="inlineStr"/>
      <c r="F486">
        <f>U488+Skills!O2</f>
        <v/>
      </c>
      <c r="G486">
        <f>Skills!G2*IF(Skills!H2&gt;0,Skills!I2/Skills!H2,1)</f>
        <v/>
      </c>
      <c r="H486">
        <f>1-(1-Skills!J2/100)^Skills!K2</f>
        <v/>
      </c>
      <c r="I486" t="inlineStr">
        <is>
          <t>1</t>
        </is>
      </c>
      <c r="J486">
        <f>(Inputs!$B$5*(1+Inputs!$B$6/100))*(F486/100)</f>
        <v/>
      </c>
      <c r="K486">
        <f>J486*(1+((Inputs!$B$11*(1+Inputs!$B$12/100))*0.01+Inputs!$B$13*0.0025)/100)*(1+Inputs!$B$14/100)*(1+IF(Inputs!$B$4="pvp",0,(1-Summary!$B$55)*(Inputs!$B$19+0+Skills!P2)+Summary!$B$55*(Inputs!$B$20+Skills!Q2))/100)*(1+Inputs!$B$15/100)*(5000/(6000+Inputs!$B$7*(1-(Inputs!$B$18+0)/100)))*(1+(Inputs!$B$23+((C510=TRUE)*(F510-Calc!F26))+B520)/100)*(1+(IF(Skills!A2="EIGHT_LEGS_EASTON",Inputs!$B$16+((C507=TRUE)*(F507-Calc!F23))+((C511=TRUE)*(F511-Calc!F27)),Inputs!$B$17+0))/100)*((1+(((C501=TRUE)*F501)+((C508=TRUE)*(F508-Calc!F24)))/100)*I486)</f>
        <v/>
      </c>
      <c r="L486">
        <f>K486*(MIN(Inputs!$B$21+((C506=TRUE)*(F506-Calc!F22)),Inputs!$B$22+0)/100+(Inputs!$B$22+0)/100)/2</f>
        <v/>
      </c>
      <c r="M486">
        <f>L486*(1+((Inputs!$B$9+1)+((C509=TRUE)*(F509-Calc!F25))+B519)/100)</f>
        <v/>
      </c>
      <c r="N486">
        <f>L486*(1-MIN((Inputs!$B$8+((C503=TRUE)*(F503-Calc!F19))+B514),100)/100)+M486*(MIN((Inputs!$B$8+((C503=TRUE)*(F503-Calc!F19))+B514),100)/100)</f>
        <v/>
      </c>
      <c r="O486">
        <f>IF(C486,Skills!G2*N486*B518*IF(Inputs!$B$4="pvp",1,(1-Summary!$B$55)*(1)+Summary!$B$55*(MIN((6+Inputs!$B$32),Inputs!$B$37))),0)</f>
        <v/>
      </c>
      <c r="P486">
        <f>IF(B522=0,0,O486/B522)</f>
        <v/>
      </c>
      <c r="Q486" t="n">
        <v>0</v>
      </c>
      <c r="R486" t="n">
        <v>0</v>
      </c>
      <c r="S486">
        <f>IFERROR(O486/N486,0)</f>
        <v/>
      </c>
      <c r="U486">
        <f>MAX(0,(Inputs!$B$3-100)*3)+Inputs!$B$27+Inputs!$B$28</f>
        <v/>
      </c>
    </row>
    <row r="487">
      <c r="A487">
        <f>Skills!A3</f>
        <v/>
      </c>
      <c r="B487">
        <f>Skills!B3</f>
        <v/>
      </c>
      <c r="C487">
        <f>Inputs!$B$3&gt;=35</f>
        <v/>
      </c>
      <c r="D487">
        <f>IF(Skills!C3=1,60+Inputs!$B$24+Inputs!$B$28,IF(Skills!C3=2,90+Inputs!$B$25+Inputs!$B$28,IF(Skills!C3=3,120+Inputs!$B$26+Inputs!$B$28,MAX(0,(Inputs!$B$3-100)*3)+Inputs!$B$27+Inputs!$B$28)))</f>
        <v/>
      </c>
      <c r="E487">
        <f>INDEX(FactorTable!$B$2:$Y$301, MATCH(ROUND(MIN(300,MAX(1,D487)),0), FactorTable!$A$2:$A$301,0), Skills!M3+1)</f>
        <v/>
      </c>
      <c r="F487">
        <f>IF(Skills!N3=TRUE,(Skills!L3/10)*(E487/1000),Skills!L3/10)+Skills!O3</f>
        <v/>
      </c>
      <c r="G487">
        <f>Skills!G3*IF(Skills!H3&gt;0,Skills!I3/Skills!H3,1)</f>
        <v/>
      </c>
      <c r="H487">
        <f>1-(1-Skills!J3/100)^Skills!K3</f>
        <v/>
      </c>
      <c r="I487" t="inlineStr">
        <is>
          <t>1</t>
        </is>
      </c>
      <c r="J487">
        <f>(Inputs!$B$5*(1+Inputs!$B$6/100))*(F487/100)</f>
        <v/>
      </c>
      <c r="K487">
        <f>J487*(1+((Inputs!$B$11*(1+Inputs!$B$12/100))*0.01+Inputs!$B$13*0.0025)/100)*(1+Inputs!$B$14/100)*(1+IF(Inputs!$B$4="pvp",0,(1-Summary!$B$55)*(Inputs!$B$19+0+Skills!P3)+Summary!$B$55*(Inputs!$B$20+Skills!Q3))/100)*(1+Inputs!$B$15/100)*(5000/(6000+Inputs!$B$7*(1-(Inputs!$B$18+0)/100)))*(1+(Inputs!$B$23+((C510=TRUE)*(F510-Calc!F26))+B520)/100)*(1+4.0*IF(C499=TRUE,F499,0)/100)*(1+(IF(Skills!A3="EIGHT_LEGS_EASTON",Inputs!$B$16+((C507=TRUE)*(F507-Calc!F23))+((C511=TRUE)*(F511-Calc!F27)),Inputs!$B$17+0))/100)*((1+(((C501=TRUE)*F501)+((C508=TRUE)*(F508-Calc!F24)))/100)*I487)</f>
        <v/>
      </c>
      <c r="L487">
        <f>K487*(MIN(Inputs!$B$21+((C506=TRUE)*(F506-Calc!F22)),Inputs!$B$22+0)/100+(Inputs!$B$22+0)/100)/2</f>
        <v/>
      </c>
      <c r="M487">
        <f>L487*(1+((Inputs!$B$9+1)+((C509=TRUE)*(F509-Calc!F25))+B519)/100)</f>
        <v/>
      </c>
      <c r="N487">
        <f>L487*(1-MIN((Inputs!$B$8+((C503=TRUE)*(F503-Calc!F19))+B514),100)/100)+M487*(MIN((Inputs!$B$8+((C503=TRUE)*(F503-Calc!F19))+B514),100)/100)</f>
        <v/>
      </c>
      <c r="O487">
        <f>IF(C487,H487*N487*IF(AND(Inputs!$B$4&lt;&gt;"pvp",Inputs!$B$35&gt;0),((Skills!G3*((R487-1)*IF(Skills!H3&gt;0,Skills!I3/Skills!H3,1)+IF(Skills!H3&gt;0,MIN(Skills!I3,MAX(0,Inputs!$B$35-((R487-1)*IF(Inputs!$B$4="pvp",15,MAX(0.1,Skills!D3-IF(Skills!E3=TRUE,Inputs!$B$31,0))))))/Skills!H3,1)))/Inputs!$B$35),G487*Q487)*IF(Inputs!$B$4="pvp",1,(1-Summary!$B$55)*(1)+Summary!$B$55*(MIN(Skills!R3,Inputs!$B$37))),0)</f>
        <v/>
      </c>
      <c r="P487">
        <f>IF(B522=0,0,O487/B522)</f>
        <v/>
      </c>
      <c r="Q487">
        <f>IFERROR(1/IF(Inputs!$B$4="pvp",15,MAX(0.1,Skills!D3-IF(Skills!E3=TRUE,Inputs!$B$31,0))),0)</f>
        <v/>
      </c>
      <c r="R487">
        <f>IF(AND(Inputs!$B$4&lt;&gt;"pvp",Inputs!$B$35&gt;0),(INT(Inputs!$B$35/IF(Inputs!$B$4="pvp",15,MAX(0.1,Skills!D3-IF(Skills!E3=TRUE,Inputs!$B$31,0))))+1),0)</f>
        <v/>
      </c>
      <c r="S487">
        <f>IFERROR(O487/N487,0)</f>
        <v/>
      </c>
      <c r="U487">
        <f>INDEX(FactorTable!$B$2:$Y$301, MATCH(ROUND(MIN(300,MAX(1,U486)),0), FactorTable!$A$2:$A$301,0), 22)</f>
        <v/>
      </c>
    </row>
    <row r="488">
      <c r="A488">
        <f>Skills!A4</f>
        <v/>
      </c>
      <c r="B488">
        <f>Skills!B4</f>
        <v/>
      </c>
      <c r="C488">
        <f>Inputs!$B$3&gt;=40</f>
        <v/>
      </c>
      <c r="D488">
        <f>IF(Skills!C4=1,60+Inputs!$B$24+Inputs!$B$28,IF(Skills!C4=2,90+Inputs!$B$25+Inputs!$B$28,IF(Skills!C4=3,120+Inputs!$B$26+Inputs!$B$28,MAX(0,(Inputs!$B$3-100)*3)+Inputs!$B$27+Inputs!$B$28)))</f>
        <v/>
      </c>
      <c r="E488">
        <f>INDEX(FactorTable!$B$2:$Y$301, MATCH(ROUND(MIN(300,MAX(1,D488)),0), FactorTable!$A$2:$A$301,0), Skills!M4+1)</f>
        <v/>
      </c>
      <c r="F488">
        <f>IF(Skills!N4=TRUE,(Skills!L4/10)*(E488/1000),Skills!L4/10)+Skills!O4</f>
        <v/>
      </c>
      <c r="G488">
        <f>Skills!G4*IF(Skills!H4&gt;0,Skills!I4/Skills!H4,1)</f>
        <v/>
      </c>
      <c r="H488">
        <f>1-(1-Skills!J4/100)^Skills!K4</f>
        <v/>
      </c>
      <c r="I488" t="inlineStr">
        <is>
          <t>1</t>
        </is>
      </c>
      <c r="J488">
        <f>(Inputs!$B$5*(1+Inputs!$B$6/100))*(F488/100)</f>
        <v/>
      </c>
      <c r="K488">
        <f>J488*(1+((Inputs!$B$11*(1+Inputs!$B$12/100))*0.01+Inputs!$B$13*0.0025)/100)*(1+Inputs!$B$14/100)*(1+IF(Inputs!$B$4="pvp",0,(1-Summary!$B$55)*(Inputs!$B$19+0+Skills!P4)+Summary!$B$55*(Inputs!$B$20+Skills!Q4))/100)*(1+Inputs!$B$15/100)*(5000/(6000+Inputs!$B$7*(1-(Inputs!$B$18+0)/100)))*(1+(Inputs!$B$23+((C510=TRUE)*(F510-Calc!F26))+B520)/100)*(1+1.0*IF(C500=TRUE,F500,0)/100)*(1+(IF(Skills!A4="EIGHT_LEGS_EASTON",Inputs!$B$16+((C507=TRUE)*(F507-Calc!F23))+((C511=TRUE)*(F511-Calc!F27)),Inputs!$B$17+0))/100)*((1+(((C501=TRUE)*F501)+((C508=TRUE)*(F508-Calc!F24)))/100)*I488)</f>
        <v/>
      </c>
      <c r="L488">
        <f>K488*(MIN(Inputs!$B$21+((C506=TRUE)*(F506-Calc!F22)),Inputs!$B$22+0)/100+(Inputs!$B$22+0)/100)/2</f>
        <v/>
      </c>
      <c r="M488">
        <f>L488*(1+((Inputs!$B$9+1)+((C509=TRUE)*(F509-Calc!F25))+B519)/100)</f>
        <v/>
      </c>
      <c r="N488">
        <f>L488*(1-MIN((Inputs!$B$8+((C503=TRUE)*(F503-Calc!F19))+B514),100)/100)+M488*(MIN((Inputs!$B$8+((C503=TRUE)*(F503-Calc!F19))+B514),100)/100)</f>
        <v/>
      </c>
      <c r="O488">
        <f>IF(C488,H488*N488*IF(AND(Inputs!$B$4&lt;&gt;"pvp",Inputs!$B$35&gt;0),((Skills!G4*((R488-1)*IF(Skills!H4&gt;0,Skills!I4/Skills!H4,1)+IF(Skills!H4&gt;0,MIN(Skills!I4,MAX(0,Inputs!$B$35-((R488-1)*IF(Inputs!$B$4="pvp",15,MAX(0.1,Skills!D4-IF(Skills!E4=TRUE,Inputs!$B$31,0))))))/Skills!H4,1)))/Inputs!$B$35),G488*Q488)*IF(Inputs!$B$4="pvp",1,(1-Summary!$B$55)*(1)+Summary!$B$55*(MIN(Skills!R4,Inputs!$B$37))),0)</f>
        <v/>
      </c>
      <c r="P488">
        <f>IF(B522=0,0,O488/B522)</f>
        <v/>
      </c>
      <c r="Q488">
        <f>IFERROR(1/IF(Inputs!$B$4="pvp",15,MAX(0.1,Skills!D4-IF(Skills!E4=TRUE,Inputs!$B$31,0))),0)</f>
        <v/>
      </c>
      <c r="R488">
        <f>IF(AND(Inputs!$B$4&lt;&gt;"pvp",Inputs!$B$35&gt;0),(INT(Inputs!$B$35/IF(Inputs!$B$4="pvp",15,MAX(0.1,Skills!D4-IF(Skills!E4=TRUE,Inputs!$B$31,0))))+1),0)</f>
        <v/>
      </c>
      <c r="S488">
        <f>IFERROR(O488/N488,0)</f>
        <v/>
      </c>
      <c r="U488">
        <f>290*U487/1000</f>
        <v/>
      </c>
    </row>
    <row r="489">
      <c r="A489">
        <f>Skills!A5</f>
        <v/>
      </c>
      <c r="B489">
        <f>Skills!B5</f>
        <v/>
      </c>
      <c r="C489">
        <f>Inputs!$B$3&gt;=45</f>
        <v/>
      </c>
      <c r="D489">
        <f>IF(Skills!C5=1,60+Inputs!$B$24+Inputs!$B$28,IF(Skills!C5=2,90+Inputs!$B$25+Inputs!$B$28,IF(Skills!C5=3,120+Inputs!$B$26+Inputs!$B$28,MAX(0,(Inputs!$B$3-100)*3)+Inputs!$B$27+Inputs!$B$28)))</f>
        <v/>
      </c>
      <c r="E489">
        <f>INDEX(FactorTable!$B$2:$Y$301, MATCH(ROUND(MIN(300,MAX(1,D489)),0), FactorTable!$A$2:$A$301,0), Skills!M5+1)</f>
        <v/>
      </c>
      <c r="F489">
        <f>IF(Skills!N5=TRUE,(Skills!L5/10)*(E489/1000),Skills!L5/10)+Skills!O5</f>
        <v/>
      </c>
      <c r="G489">
        <f>Skills!G5*IF(Skills!H5&gt;0,Skills!I5/Skills!H5,1)</f>
        <v/>
      </c>
      <c r="H489">
        <f>1-(1-Skills!J5/100)^Skills!K5</f>
        <v/>
      </c>
      <c r="I489" t="inlineStr">
        <is>
          <t>1</t>
        </is>
      </c>
      <c r="J489">
        <f>(Inputs!$B$5*(1+Inputs!$B$6/100))*(F489/100)</f>
        <v/>
      </c>
      <c r="K489">
        <f>J489*(1+((Inputs!$B$11*(1+Inputs!$B$12/100))*0.01+Inputs!$B$13*0.0025)/100)*(1+Inputs!$B$14/100)*(1+IF(Inputs!$B$4="pvp",0,(1-Summary!$B$55)*(Inputs!$B$19+0+Skills!P5)+Summary!$B$55*(Inputs!$B$20+Skills!Q5))/100)*(1+Inputs!$B$15/100)*(5000/(6000+Inputs!$B$7*(1-(Inputs!$B$18+0)/100)))*(1+(Inputs!$B$23+((C510=TRUE)*(F510-Calc!F26))+B520)/100)*(1+0.4*IF(C500=TRUE,F500,0)/100)*(1+(IF(Skills!A5="EIGHT_LEGS_EASTON",Inputs!$B$16+((C507=TRUE)*(F507-Calc!F23))+((C511=TRUE)*(F511-Calc!F27)),Inputs!$B$17+0))/100)*((1+(((C501=TRUE)*F501)+((C508=TRUE)*(F508-Calc!F24)))/100)*I489)</f>
        <v/>
      </c>
      <c r="L489">
        <f>K489*(MIN(Inputs!$B$21+((C506=TRUE)*(F506-Calc!F22)),Inputs!$B$22+0)/100+(Inputs!$B$22+0)/100)/2</f>
        <v/>
      </c>
      <c r="M489">
        <f>L489*(1+((Inputs!$B$9+1)+((C509=TRUE)*(F509-Calc!F25))+B519)/100)</f>
        <v/>
      </c>
      <c r="N489">
        <f>L489*(1-MIN((Inputs!$B$8+((C503=TRUE)*(F503-Calc!F19))+B514),100)/100)+M489*(MIN((Inputs!$B$8+((C503=TRUE)*(F503-Calc!F19))+B514),100)/100)</f>
        <v/>
      </c>
      <c r="O489">
        <f>IF(C489,H489*N489*IF(AND(Inputs!$B$4&lt;&gt;"pvp",Inputs!$B$35&gt;0),((Skills!G5*((R489-1)*IF(Skills!H5&gt;0,Skills!I5/Skills!H5,1)+IF(Skills!H5&gt;0,MIN(Skills!I5,MAX(0,Inputs!$B$35-((R489-1)*IF(Inputs!$B$4="pvp",15,MAX(0.1,Skills!D5-IF(Skills!E5=TRUE,Inputs!$B$31,0))))))/Skills!H5,1)))/Inputs!$B$35),G489*Q489)*IF(Inputs!$B$4="pvp",1,(1-Summary!$B$55)*(1)+Summary!$B$55*(MIN(Skills!R5,Inputs!$B$37))),0)</f>
        <v/>
      </c>
      <c r="P489">
        <f>IF(B522=0,0,O489/B522)</f>
        <v/>
      </c>
      <c r="Q489">
        <f>IFERROR(1/IF(Inputs!$B$4="pvp",15,MAX(0.1,Skills!D5-IF(Skills!E5=TRUE,Inputs!$B$31,0))),0)</f>
        <v/>
      </c>
      <c r="R489">
        <f>IF(AND(Inputs!$B$4&lt;&gt;"pvp",Inputs!$B$35&gt;0),(INT(Inputs!$B$35/IF(Inputs!$B$4="pvp",15,MAX(0.1,Skills!D5-IF(Skills!E5=TRUE,Inputs!$B$31,0))))+1),0)</f>
        <v/>
      </c>
      <c r="S489">
        <f>IFERROR(O489/N489,0)</f>
        <v/>
      </c>
    </row>
    <row r="490">
      <c r="A490">
        <f>Skills!A6</f>
        <v/>
      </c>
      <c r="B490">
        <f>Skills!B6</f>
        <v/>
      </c>
      <c r="C490">
        <f>Inputs!$B$3&gt;=63</f>
        <v/>
      </c>
      <c r="D490">
        <f>IF(Skills!C6=1,60+Inputs!$B$24+Inputs!$B$28,IF(Skills!C6=2,90+Inputs!$B$25+Inputs!$B$28,IF(Skills!C6=3,120+Inputs!$B$26+Inputs!$B$28,MAX(0,(Inputs!$B$3-100)*3)+Inputs!$B$27+Inputs!$B$28)))</f>
        <v/>
      </c>
      <c r="E490">
        <f>INDEX(FactorTable!$B$2:$Y$301, MATCH(ROUND(MIN(300,MAX(1,D490)),0), FactorTable!$A$2:$A$301,0), Skills!M6+1)</f>
        <v/>
      </c>
      <c r="F490">
        <f>IF(Skills!N6=TRUE,(Skills!L6/10)*(E490/1000),Skills!L6/10)+Skills!O6</f>
        <v/>
      </c>
      <c r="G490">
        <f>Skills!G6*IF(Skills!H6&gt;0,Skills!I6/Skills!H6,1)</f>
        <v/>
      </c>
      <c r="H490">
        <f>1-(1-Skills!J6/100)^Skills!K6</f>
        <v/>
      </c>
      <c r="I490" t="inlineStr">
        <is>
          <t>1</t>
        </is>
      </c>
      <c r="J490">
        <f>(Inputs!$B$5*(1+Inputs!$B$6/100))*(F490/100)</f>
        <v/>
      </c>
      <c r="K490">
        <f>J490*(1+((Inputs!$B$11*(1+Inputs!$B$12/100))*0.01+Inputs!$B$13*0.0025)/100)*(1+Inputs!$B$14/100)*(1+IF(Inputs!$B$4="pvp",0,(1-Summary!$B$55)*(Inputs!$B$19+0+Skills!P6)+Summary!$B$55*(Inputs!$B$20+Skills!Q6))/100)*(1+Inputs!$B$15/100)*(5000/(6000+Inputs!$B$7*(1-(Inputs!$B$18+0)/100)))*(1+(Inputs!$B$23+((C510=TRUE)*(F510-Calc!F26))+B520)/100)*(1+2.0*IF(C499=TRUE,F499,0)/100)*(1+(IF(Skills!A6="EIGHT_LEGS_EASTON",Inputs!$B$16+((C507=TRUE)*(F507-Calc!F23))+((C511=TRUE)*(F511-Calc!F27)),Inputs!$B$17+0))/100)*((1+(((C501=TRUE)*F501)+((C508=TRUE)*(F508-Calc!F24)))/100)*I490)</f>
        <v/>
      </c>
      <c r="L490">
        <f>K490*(MIN(Inputs!$B$21+((C506=TRUE)*(F506-Calc!F22)),Inputs!$B$22+0)/100+(Inputs!$B$22+0)/100)/2</f>
        <v/>
      </c>
      <c r="M490">
        <f>L490*(1+((Inputs!$B$9+1)+((C509=TRUE)*(F509-Calc!F25))+B519)/100)</f>
        <v/>
      </c>
      <c r="N490">
        <f>L490*(1-MIN((Inputs!$B$8+((C503=TRUE)*(F503-Calc!F19))+B514),100)/100)+M490*(MIN((Inputs!$B$8+((C503=TRUE)*(F503-Calc!F19))+B514),100)/100)</f>
        <v/>
      </c>
      <c r="O490">
        <f>IF(C490,H490*N490*IF(AND(Inputs!$B$4&lt;&gt;"pvp",Inputs!$B$35&gt;0),((Skills!G6*((R490-1)*IF(Skills!H6&gt;0,Skills!I6/Skills!H6,1)+IF(Skills!H6&gt;0,MIN(Skills!I6,MAX(0,Inputs!$B$35-((R490-1)*IF(Inputs!$B$4="pvp",15,MAX(0.1,Skills!D6-IF(Skills!E6=TRUE,Inputs!$B$31,0))))))/Skills!H6,1)))/Inputs!$B$35),G490*Q490)*IF(Inputs!$B$4="pvp",1,(1-Summary!$B$55)*(1)+Summary!$B$55*(MIN(Skills!R6,Inputs!$B$37))),0)</f>
        <v/>
      </c>
      <c r="P490">
        <f>IF(B522=0,0,O490/B522)</f>
        <v/>
      </c>
      <c r="Q490">
        <f>IFERROR(1/IF(Inputs!$B$4="pvp",15,MAX(0.1,Skills!D6-IF(Skills!E6=TRUE,Inputs!$B$31,0))),0)</f>
        <v/>
      </c>
      <c r="R490">
        <f>IF(AND(Inputs!$B$4&lt;&gt;"pvp",Inputs!$B$35&gt;0),(INT(Inputs!$B$35/IF(Inputs!$B$4="pvp",15,MAX(0.1,Skills!D6-IF(Skills!E6=TRUE,Inputs!$B$31,0))))+1),0)</f>
        <v/>
      </c>
      <c r="S490">
        <f>IFERROR(O490/N490,0)</f>
        <v/>
      </c>
    </row>
    <row r="491">
      <c r="A491">
        <f>Skills!A7</f>
        <v/>
      </c>
      <c r="B491">
        <f>Skills!B7</f>
        <v/>
      </c>
      <c r="C491">
        <f>Inputs!$B$3&gt;=66</f>
        <v/>
      </c>
      <c r="D491">
        <f>IF(Skills!C7=1,60+Inputs!$B$24+Inputs!$B$28,IF(Skills!C7=2,90+Inputs!$B$25+Inputs!$B$28,IF(Skills!C7=3,120+Inputs!$B$26+Inputs!$B$28,MAX(0,(Inputs!$B$3-100)*3)+Inputs!$B$27+Inputs!$B$28)))</f>
        <v/>
      </c>
      <c r="E491">
        <f>INDEX(FactorTable!$B$2:$Y$301, MATCH(ROUND(MIN(300,MAX(1,D491)),0), FactorTable!$A$2:$A$301,0), Skills!M7+1)</f>
        <v/>
      </c>
      <c r="F491">
        <f>IF(Skills!N7=TRUE,(Skills!L7/10)*(E491/1000),Skills!L7/10)+Skills!O7</f>
        <v/>
      </c>
      <c r="G491">
        <f>Skills!G7*IF(Skills!H7&gt;0,Skills!I7/Skills!H7,1)</f>
        <v/>
      </c>
      <c r="H491">
        <f>1-(1-Skills!J7/100)^Skills!K7</f>
        <v/>
      </c>
      <c r="I491" t="inlineStr">
        <is>
          <t>1</t>
        </is>
      </c>
      <c r="J491">
        <f>(Inputs!$B$5*(1+Inputs!$B$6/100))*(F491/100)</f>
        <v/>
      </c>
      <c r="K491">
        <f>J491*(1+((Inputs!$B$11*(1+Inputs!$B$12/100))*0.01+Inputs!$B$13*0.0025)/100)*(1+Inputs!$B$14/100)*(1+IF(Inputs!$B$4="pvp",0,(1-Summary!$B$55)*(Inputs!$B$19+0+Skills!P7)+Summary!$B$55*(Inputs!$B$20+Skills!Q7))/100)*(1+Inputs!$B$15/100)*(5000/(6000+Inputs!$B$7*(1-(Inputs!$B$18+0)/100)))*(1+(Inputs!$B$23+((C510=TRUE)*(F510-Calc!F26))+B520)/100)*(1+1.0*IF(C499=TRUE,F499,0)/100)*(1+(IF(Skills!A7="EIGHT_LEGS_EASTON",Inputs!$B$16+((C507=TRUE)*(F507-Calc!F23))+((C511=TRUE)*(F511-Calc!F27)),Inputs!$B$17+0))/100)*((1+(((C501=TRUE)*F501)+((C508=TRUE)*(F508-Calc!F24)))/100)*I491)</f>
        <v/>
      </c>
      <c r="L491">
        <f>K491*(MIN(Inputs!$B$21+((C506=TRUE)*(F506-Calc!F22)),Inputs!$B$22+0)/100+(Inputs!$B$22+0)/100)/2</f>
        <v/>
      </c>
      <c r="M491">
        <f>L491*(1+((Inputs!$B$9+1)+((C509=TRUE)*(F509-Calc!F25))+B519)/100)</f>
        <v/>
      </c>
      <c r="N491">
        <f>L491*(1-MIN((Inputs!$B$8+((C503=TRUE)*(F503-Calc!F19))+B514),100)/100)+M491*(MIN((Inputs!$B$8+((C503=TRUE)*(F503-Calc!F19))+B514),100)/100)</f>
        <v/>
      </c>
      <c r="O491">
        <f>IF(C491,H491*N491*IF(AND(Inputs!$B$4&lt;&gt;"pvp",Inputs!$B$35&gt;0),((Skills!G7*((R491-1)*IF(Skills!H7&gt;0,Skills!I7/Skills!H7,1)+IF(Skills!H7&gt;0,MIN(Skills!I7,MAX(0,Inputs!$B$35-((R491-1)*IF(Inputs!$B$4="pvp",15,MAX(0.1,Skills!D7-IF(Skills!E7=TRUE,Inputs!$B$31,0))))))/Skills!H7,1)))/Inputs!$B$35),G491*Q491)*IF(Inputs!$B$4="pvp",1,(1-Summary!$B$55)*(1)+Summary!$B$55*(MIN(Skills!R7,Inputs!$B$37))),0)</f>
        <v/>
      </c>
      <c r="P491">
        <f>IF(B522=0,0,O491/B522)</f>
        <v/>
      </c>
      <c r="Q491">
        <f>IFERROR(1/IF(Inputs!$B$4="pvp",15,MAX(0.1,Skills!D7-IF(Skills!E7=TRUE,Inputs!$B$31,0))),0)</f>
        <v/>
      </c>
      <c r="R491">
        <f>IF(AND(Inputs!$B$4&lt;&gt;"pvp",Inputs!$B$35&gt;0),(INT(Inputs!$B$35/IF(Inputs!$B$4="pvp",15,MAX(0.1,Skills!D7-IF(Skills!E7=TRUE,Inputs!$B$31,0))))+1),0)</f>
        <v/>
      </c>
      <c r="S491">
        <f>IFERROR(O491/N491,0)</f>
        <v/>
      </c>
    </row>
    <row r="492">
      <c r="A492">
        <f>Skills!A8</f>
        <v/>
      </c>
      <c r="B492">
        <f>Skills!B8</f>
        <v/>
      </c>
      <c r="C492">
        <f>Inputs!$B$3&gt;=100</f>
        <v/>
      </c>
      <c r="D492">
        <f>IF(Skills!C8=1,60+Inputs!$B$24+Inputs!$B$28,IF(Skills!C8=2,90+Inputs!$B$25+Inputs!$B$28,IF(Skills!C8=3,120+Inputs!$B$26+Inputs!$B$28,MAX(0,(Inputs!$B$3-100)*3)+Inputs!$B$27+Inputs!$B$28)))</f>
        <v/>
      </c>
      <c r="E492">
        <f>INDEX(FactorTable!$B$2:$Y$301, MATCH(ROUND(MIN(300,MAX(1,D492)),0), FactorTable!$A$2:$A$301,0), Skills!M8+1)</f>
        <v/>
      </c>
      <c r="F492">
        <f>IF(Skills!N8=TRUE,(Skills!L8/10)*(E492/1000),Skills!L8/10)+Skills!O8</f>
        <v/>
      </c>
      <c r="G492">
        <f>Skills!G8*IF(Skills!H8&gt;0,Skills!I8/Skills!H8,1)</f>
        <v/>
      </c>
      <c r="H492">
        <f>1-(1-Skills!J8/100)^Skills!K8</f>
        <v/>
      </c>
      <c r="I492" t="inlineStr">
        <is>
          <t>1</t>
        </is>
      </c>
      <c r="J492">
        <f>(Inputs!$B$5*(1+Inputs!$B$6/100))*(F492/100)</f>
        <v/>
      </c>
      <c r="K492">
        <f>J492*(1+((Inputs!$B$11*(1+Inputs!$B$12/100))*0.01+Inputs!$B$13*0.0025)/100)*(1+Inputs!$B$14/100)*(1+IF(Inputs!$B$4="pvp",0,(1-Summary!$B$55)*(Inputs!$B$19+0+Skills!P8)+Summary!$B$55*(Inputs!$B$20+Skills!Q8))/100)*(1+Inputs!$B$15/100)*(5000/(6000+Inputs!$B$7*(1-(Inputs!$B$18+0)/100)))*(1+(Inputs!$B$23+((C510=TRUE)*(F510-Calc!F26))+B520)/100)*(1+(IF(Skills!A8="EIGHT_LEGS_EASTON",Inputs!$B$16+((C507=TRUE)*(F507-Calc!F23))+((C511=TRUE)*(F511-Calc!F27)),Inputs!$B$17+0))/100)*((1+(((C501=TRUE)*F501)+((C508=TRUE)*(F508-Calc!F24)))/100)*I492)</f>
        <v/>
      </c>
      <c r="L492">
        <f>K492*(MIN(Inputs!$B$21+((C506=TRUE)*(F506-Calc!F22)),Inputs!$B$22+0)/100+(Inputs!$B$22+0)/100)/2</f>
        <v/>
      </c>
      <c r="M492">
        <f>L492*(1+((Inputs!$B$9+1)+((C509=TRUE)*(F509-Calc!F25))+B519)/100)</f>
        <v/>
      </c>
      <c r="N492">
        <f>L492*(1-MIN((Inputs!$B$8+((C503=TRUE)*(F503-Calc!F19))+B514),100)/100)+M492*(MIN((Inputs!$B$8+((C503=TRUE)*(F503-Calc!F19))+B514),100)/100)</f>
        <v/>
      </c>
      <c r="O492">
        <f>IF(C492,H492*N492*IF(AND(Inputs!$B$4&lt;&gt;"pvp",Inputs!$B$35&gt;0),((Skills!G8*((R492-1)*IF(Skills!H8&gt;0,Skills!I8/Skills!H8,1)+IF(Skills!H8&gt;0,MIN(Skills!I8,MAX(0,Inputs!$B$35-((R492-1)*IF(Inputs!$B$4="pvp",15,MAX(0.1,Skills!D8-IF(Skills!E8=TRUE,Inputs!$B$31,0))))))/Skills!H8,1)))/Inputs!$B$35),G492*Q492)*IF(Inputs!$B$4="pvp",1,(1-Summary!$B$55)*(1)+Summary!$B$55*(MIN(Skills!R8,Inputs!$B$37))),0)</f>
        <v/>
      </c>
      <c r="P492">
        <f>IF(B522=0,0,O492/B522)</f>
        <v/>
      </c>
      <c r="Q492">
        <f>IFERROR(1/IF(Inputs!$B$4="pvp",15,MAX(0.1,Skills!D8-IF(Skills!E8=TRUE,Inputs!$B$31,0))),0)</f>
        <v/>
      </c>
      <c r="R492">
        <f>IF(AND(Inputs!$B$4&lt;&gt;"pvp",Inputs!$B$35&gt;0),(INT(Inputs!$B$35/IF(Inputs!$B$4="pvp",15,MAX(0.1,Skills!D8-IF(Skills!E8=TRUE,Inputs!$B$31,0))))+1),0)</f>
        <v/>
      </c>
      <c r="S492">
        <f>IFERROR(O492/N492,0)</f>
        <v/>
      </c>
    </row>
    <row r="493">
      <c r="A493">
        <f>Skills!A9</f>
        <v/>
      </c>
      <c r="B493">
        <f>Skills!B9</f>
        <v/>
      </c>
      <c r="C493">
        <f>Inputs!$B$3&gt;=103</f>
        <v/>
      </c>
      <c r="D493">
        <f>IF(Skills!C9=1,60+Inputs!$B$24+Inputs!$B$28,IF(Skills!C9=2,90+Inputs!$B$25+Inputs!$B$28,IF(Skills!C9=3,120+Inputs!$B$26+Inputs!$B$28,MAX(0,(Inputs!$B$3-100)*3)+Inputs!$B$27+Inputs!$B$28)))</f>
        <v/>
      </c>
      <c r="E493">
        <f>INDEX(FactorTable!$B$2:$Y$301, MATCH(ROUND(MIN(300,MAX(1,D493)),0), FactorTable!$A$2:$A$301,0), Skills!M9+1)</f>
        <v/>
      </c>
      <c r="F493">
        <f>IF(Skills!N9=TRUE,(Skills!L9/10)*(E493/1000),Skills!L9/10)+Skills!O9</f>
        <v/>
      </c>
      <c r="G493">
        <f>Skills!G9*IF(Skills!H9&gt;0,Skills!I9/Skills!H9,1)</f>
        <v/>
      </c>
      <c r="H493">
        <f>1-(1-Skills!J9/100)^Skills!K9</f>
        <v/>
      </c>
      <c r="I493" t="inlineStr">
        <is>
          <t>1</t>
        </is>
      </c>
      <c r="J493">
        <f>(Inputs!$B$5*(1+Inputs!$B$6/100))*(F493/100)</f>
        <v/>
      </c>
      <c r="K493">
        <f>J493*(1+((Inputs!$B$11*(1+Inputs!$B$12/100))*0.01+Inputs!$B$13*0.0025)/100)*(1+Inputs!$B$14/100)*(1+IF(Inputs!$B$4="pvp",0,(1-Summary!$B$55)*(Inputs!$B$19+0+Skills!P9)+Summary!$B$55*(Inputs!$B$20+Skills!Q9))/100)*(1+Inputs!$B$15/100)*(5000/(6000+Inputs!$B$7*(1-(Inputs!$B$18+0)/100)))*(1+(Inputs!$B$23+((C510=TRUE)*(F510-Calc!F26))+B520)/100)*(1+(IF(Skills!A9="EIGHT_LEGS_EASTON",Inputs!$B$16+((C507=TRUE)*(F507-Calc!F23))+((C511=TRUE)*(F511-Calc!F27)),Inputs!$B$17+0))/100)*((1+(((C501=TRUE)*F501)+((C508=TRUE)*(F508-Calc!F24)))/100)*I493)</f>
        <v/>
      </c>
      <c r="L493">
        <f>K493*(MIN(Inputs!$B$21+((C506=TRUE)*(F506-Calc!F22)),Inputs!$B$22+0)/100+(Inputs!$B$22+0)/100)/2</f>
        <v/>
      </c>
      <c r="M493">
        <f>L493*(1+((Inputs!$B$9+1)+((C509=TRUE)*(F509-Calc!F25))+B519)/100)</f>
        <v/>
      </c>
      <c r="N493">
        <f>L493*(1-MIN((Inputs!$B$8+((C503=TRUE)*(F503-Calc!F19))+B514),100)/100)+M493*(MIN((Inputs!$B$8+((C503=TRUE)*(F503-Calc!F19))+B514),100)/100)</f>
        <v/>
      </c>
      <c r="O493">
        <f>IF(C493,H493*N493*IF(AND(Inputs!$B$4&lt;&gt;"pvp",Inputs!$B$35&gt;0),((Skills!G9*((R493-1)*IF(Skills!H9&gt;0,Skills!I9/Skills!H9,1)+IF(Skills!H9&gt;0,MIN(Skills!I9,MAX(0,Inputs!$B$35-((R493-1)*IF(Inputs!$B$4="pvp",15,MAX(0.1,Skills!D9-IF(Skills!E9=TRUE,Inputs!$B$31,0))))))/Skills!H9,1)))/Inputs!$B$35),G493*Q493)*IF(Inputs!$B$4="pvp",1,(1-Summary!$B$55)*(1)+Summary!$B$55*(MIN(Skills!R9,Inputs!$B$37))),0)</f>
        <v/>
      </c>
      <c r="P493">
        <f>IF(B522=0,0,O493/B522)</f>
        <v/>
      </c>
      <c r="Q493">
        <f>IFERROR(1/IF(Inputs!$B$4="pvp",15,MAX(0.1,Skills!D9-IF(Skills!E9=TRUE,Inputs!$B$31,0))),0)</f>
        <v/>
      </c>
      <c r="R493">
        <f>IF(AND(Inputs!$B$4&lt;&gt;"pvp",Inputs!$B$35&gt;0),(INT(Inputs!$B$35/IF(Inputs!$B$4="pvp",15,MAX(0.1,Skills!D9-IF(Skills!E9=TRUE,Inputs!$B$31,0))))+1),0)</f>
        <v/>
      </c>
      <c r="S493">
        <f>IFERROR(O493/N493,0)</f>
        <v/>
      </c>
    </row>
    <row r="494">
      <c r="A494">
        <f>Skills!A10</f>
        <v/>
      </c>
      <c r="B494">
        <f>Skills!B10</f>
        <v/>
      </c>
      <c r="C494">
        <f>Inputs!$B$3&gt;=113</f>
        <v/>
      </c>
      <c r="D494">
        <f>IF(Skills!C10=1,60+Inputs!$B$24+Inputs!$B$28,IF(Skills!C10=2,90+Inputs!$B$25+Inputs!$B$28,IF(Skills!C10=3,120+Inputs!$B$26+Inputs!$B$28,MAX(0,(Inputs!$B$3-100)*3)+Inputs!$B$27+Inputs!$B$28)))</f>
        <v/>
      </c>
      <c r="E494">
        <f>INDEX(FactorTable!$B$2:$Y$301, MATCH(ROUND(MIN(300,MAX(1,D494)),0), FactorTable!$A$2:$A$301,0), Skills!M10+1)</f>
        <v/>
      </c>
      <c r="F494">
        <f>IF(Skills!N10=TRUE,(Skills!L10/10)*(E494/1000),Skills!L10/10)+Skills!O10</f>
        <v/>
      </c>
      <c r="G494">
        <f>Skills!G10*IF(Skills!H10&gt;0,Skills!I10/Skills!H10,1)</f>
        <v/>
      </c>
      <c r="H494">
        <f>1-(1-Skills!J10/100)^Skills!K10</f>
        <v/>
      </c>
      <c r="I494" t="inlineStr">
        <is>
          <t>1</t>
        </is>
      </c>
      <c r="J494">
        <f>(Inputs!$B$5*(1+Inputs!$B$6/100))*(F494/100)</f>
        <v/>
      </c>
      <c r="K494">
        <f>J494*(1+((Inputs!$B$11*(1+Inputs!$B$12/100))*0.01+Inputs!$B$13*0.0025)/100)*(1+Inputs!$B$14/100)*(1+IF(Inputs!$B$4="pvp",0,(1-Summary!$B$55)*(Inputs!$B$19+0+Skills!P10)+Summary!$B$55*(Inputs!$B$20+Skills!Q10))/100)*(1+Inputs!$B$15/100)*(5000/(6000+Inputs!$B$7*(1-(Inputs!$B$18+0)/100)))*(1+(Inputs!$B$23+((C510=TRUE)*(F510-Calc!F26))+B520)/100)*(1+(IF(Skills!A10="EIGHT_LEGS_EASTON",Inputs!$B$16+((C507=TRUE)*(F507-Calc!F23))+((C511=TRUE)*(F511-Calc!F27)),Inputs!$B$17+0))/100)*((1+(((C501=TRUE)*F501)+((C508=TRUE)*(F508-Calc!F24)))/100)*I494)</f>
        <v/>
      </c>
      <c r="L494">
        <f>K494*(MIN(Inputs!$B$21+((C506=TRUE)*(F506-Calc!F22)),Inputs!$B$22+0)/100+(Inputs!$B$22+0)/100)/2</f>
        <v/>
      </c>
      <c r="M494">
        <f>L494*(1+((Inputs!$B$9+1)+((C509=TRUE)*(F509-Calc!F25))+B519)/100)</f>
        <v/>
      </c>
      <c r="N494">
        <f>L494*(1-MIN((Inputs!$B$8+((C503=TRUE)*(F503-Calc!F19))+B514),100)/100)+M494*(MIN((Inputs!$B$8+((C503=TRUE)*(F503-Calc!F19))+B514),100)/100)</f>
        <v/>
      </c>
      <c r="O494">
        <f>IF(C494,H494*N494*IF(AND(Inputs!$B$4&lt;&gt;"pvp",Inputs!$B$35&gt;0),((Skills!G10*((R494-1)*IF(Skills!H10&gt;0,Skills!I10/Skills!H10,1)+IF(Skills!H10&gt;0,MIN(Skills!I10,MAX(0,Inputs!$B$35-((R494-1)*IF(Inputs!$B$4="pvp",15,MAX(0.1,Skills!D10-IF(Skills!E10=TRUE,Inputs!$B$31,0))))))/Skills!H10,1)))/Inputs!$B$35),G494*Q494)*IF(Inputs!$B$4="pvp",1,(1-Summary!$B$55)*(1)+Summary!$B$55*(MIN(Skills!R10,Inputs!$B$37))),0)</f>
        <v/>
      </c>
      <c r="P494">
        <f>IF(B522=0,0,O494/B522)</f>
        <v/>
      </c>
      <c r="Q494">
        <f>IFERROR(1/IF(Inputs!$B$4="pvp",15,MAX(0.1,Skills!D10-IF(Skills!E10=TRUE,Inputs!$B$31,0))),0)</f>
        <v/>
      </c>
      <c r="R494">
        <f>IF(AND(Inputs!$B$4&lt;&gt;"pvp",Inputs!$B$35&gt;0),(INT(Inputs!$B$35/IF(Inputs!$B$4="pvp",15,MAX(0.1,Skills!D10-IF(Skills!E10=TRUE,Inputs!$B$31,0))))+1),0)</f>
        <v/>
      </c>
      <c r="S494">
        <f>IFERROR(O494/N494,0)</f>
        <v/>
      </c>
    </row>
    <row r="495">
      <c r="A495">
        <f>Skills!A11</f>
        <v/>
      </c>
      <c r="B495">
        <f>Skills!B11</f>
        <v/>
      </c>
      <c r="C495">
        <f>Inputs!$B$3&gt;=107</f>
        <v/>
      </c>
      <c r="D495">
        <f>IF(Skills!C11=1,60+Inputs!$B$24+Inputs!$B$28,IF(Skills!C11=2,90+Inputs!$B$25+Inputs!$B$28,IF(Skills!C11=3,120+Inputs!$B$26+Inputs!$B$28,MAX(0,(Inputs!$B$3-100)*3)+Inputs!$B$27+Inputs!$B$28)))</f>
        <v/>
      </c>
      <c r="E495">
        <f>INDEX(FactorTable!$B$2:$Y$301, MATCH(ROUND(MIN(300,MAX(1,D495)),0), FactorTable!$A$2:$A$301,0), Skills!M11+1)</f>
        <v/>
      </c>
      <c r="F495">
        <f>IF(Skills!N11=TRUE,(Skills!L11/10)*(E495/1000),Skills!L11/10)+Skills!O11</f>
        <v/>
      </c>
      <c r="G495">
        <f>Skills!G11*IF(Skills!H11&gt;0,Skills!I11/Skills!H11,1)</f>
        <v/>
      </c>
      <c r="H495">
        <f>1-(1-Skills!J11/100)^Skills!K11</f>
        <v/>
      </c>
      <c r="I495" t="inlineStr">
        <is>
          <t>1</t>
        </is>
      </c>
      <c r="J495">
        <f>(Inputs!$B$5*(1+Inputs!$B$6/100))*(F495/100)</f>
        <v/>
      </c>
      <c r="K495">
        <f>J495*(1+((Inputs!$B$11*(1+Inputs!$B$12/100))*0.01+Inputs!$B$13*0.0025)/100)*(1+Inputs!$B$14/100)*(1+IF(Inputs!$B$4="pvp",0,(1-Summary!$B$55)*(Inputs!$B$19+0+Skills!P11)+Summary!$B$55*(Inputs!$B$20+Skills!Q11))/100)*(1+Inputs!$B$15/100)*(5000/(6000+Inputs!$B$7*(1-(Inputs!$B$18+0)/100)))*(1+(Inputs!$B$23+((C510=TRUE)*(F510-Calc!F26))+B520)/100)*(1+(IF(Skills!A11="EIGHT_LEGS_EASTON",Inputs!$B$16+((C507=TRUE)*(F507-Calc!F23))+((C511=TRUE)*(F511-Calc!F27)),Inputs!$B$17+0))/100)*((1+(((C501=TRUE)*F501)+((C508=TRUE)*(F508-Calc!F24)))/100)*I495)</f>
        <v/>
      </c>
      <c r="L495">
        <f>K495*(MIN(Inputs!$B$21+((C506=TRUE)*(F506-Calc!F22)),Inputs!$B$22+0)/100+(Inputs!$B$22+0)/100)/2</f>
        <v/>
      </c>
      <c r="M495">
        <f>L495*(1+((Inputs!$B$9+1)+((C509=TRUE)*(F509-Calc!F25))+B519)/100)</f>
        <v/>
      </c>
      <c r="N495">
        <f>L495*(1-MIN((Inputs!$B$8+((C503=TRUE)*(F503-Calc!F19))+B514),100)/100)+M495*(MIN((Inputs!$B$8+((C503=TRUE)*(F503-Calc!F19))+B514),100)/100)</f>
        <v/>
      </c>
      <c r="O495">
        <f>IF(C495,H495*N495*IF(AND(Inputs!$B$4&lt;&gt;"pvp",Inputs!$B$35&gt;0),((Skills!G11*((R495-1)*IF(Skills!H11&gt;0,Skills!I11/Skills!H11,1)+IF(Skills!H11&gt;0,MIN(Skills!I11,MAX(0,Inputs!$B$35-((R495-1)*IF(Inputs!$B$4="pvp",15,MAX(0.1,Skills!D11-IF(Skills!E11=TRUE,Inputs!$B$31,0))))))/Skills!H11,1)))/Inputs!$B$35),G495*Q495)*IF(Inputs!$B$4="pvp",1,(1-Summary!$B$55)*(1)+Summary!$B$55*(MIN(Skills!R11,Inputs!$B$37))),0)</f>
        <v/>
      </c>
      <c r="P495">
        <f>IF(B522=0,0,O495/B522)</f>
        <v/>
      </c>
      <c r="Q495">
        <f>IFERROR(1/IF(Inputs!$B$4="pvp",15,MAX(0.1,Skills!D11-IF(Skills!E11=TRUE,Inputs!$B$31,0))),0)</f>
        <v/>
      </c>
      <c r="R495">
        <f>IF(AND(Inputs!$B$4&lt;&gt;"pvp",Inputs!$B$35&gt;0),(INT(Inputs!$B$35/IF(Inputs!$B$4="pvp",15,MAX(0.1,Skills!D11-IF(Skills!E11=TRUE,Inputs!$B$31,0))))+1),0)</f>
        <v/>
      </c>
      <c r="S495">
        <f>IFERROR(O495/N495,0)</f>
        <v/>
      </c>
    </row>
    <row r="496">
      <c r="A496">
        <f>Skills!A12</f>
        <v/>
      </c>
      <c r="B496">
        <f>Skills!B12</f>
        <v/>
      </c>
      <c r="C496">
        <f>Inputs!$B$3&gt;=110</f>
        <v/>
      </c>
      <c r="D496">
        <f>IF(Skills!C12=1,60+Inputs!$B$24+Inputs!$B$28,IF(Skills!C12=2,90+Inputs!$B$25+Inputs!$B$28,IF(Skills!C12=3,120+Inputs!$B$26+Inputs!$B$28,MAX(0,(Inputs!$B$3-100)*3)+Inputs!$B$27+Inputs!$B$28)))</f>
        <v/>
      </c>
      <c r="E496">
        <f>INDEX(FactorTable!$B$2:$Y$301, MATCH(ROUND(MIN(300,MAX(1,D496)),0), FactorTable!$A$2:$A$301,0), Skills!M12+1)</f>
        <v/>
      </c>
      <c r="F496">
        <f>IF(Skills!N12=TRUE,(Skills!L12/10)*(E496/1000),Skills!L12/10)+Skills!O12</f>
        <v/>
      </c>
      <c r="G496">
        <f>Skills!G12*IF(Skills!H12&gt;0,Skills!I12/Skills!H12,1)</f>
        <v/>
      </c>
      <c r="H496">
        <f>1-(1-Skills!J12/100)^Skills!K12</f>
        <v/>
      </c>
      <c r="I496" t="inlineStr">
        <is>
          <t>1</t>
        </is>
      </c>
      <c r="J496">
        <f>(Inputs!$B$5*(1+Inputs!$B$6/100))*(F496/100)</f>
        <v/>
      </c>
      <c r="K496">
        <f>J496*(1+((Inputs!$B$11*(1+Inputs!$B$12/100))*0.01+Inputs!$B$13*0.0025)/100)*(1+Inputs!$B$14/100)*(1+IF(Inputs!$B$4="pvp",0,(1-Summary!$B$55)*(Inputs!$B$19+0+Skills!P12)+Summary!$B$55*(Inputs!$B$20+Skills!Q12))/100)*(1+Inputs!$B$15/100)*(5000/(6000+Inputs!$B$7*(1-(Inputs!$B$18+0)/100)))*(1+(Inputs!$B$23+((C510=TRUE)*(F510-Calc!F26))+B520)/100)*(1+(IF(Skills!A12="EIGHT_LEGS_EASTON",Inputs!$B$16+((C507=TRUE)*(F507-Calc!F23))+((C511=TRUE)*(F511-Calc!F27)),Inputs!$B$17+0))/100)*((1+(((C501=TRUE)*F501)+((C508=TRUE)*(F508-Calc!F24)))/100)*I496)</f>
        <v/>
      </c>
      <c r="L496">
        <f>K496*(MIN(Inputs!$B$21+((C506=TRUE)*(F506-Calc!F22)),Inputs!$B$22+0)/100+(Inputs!$B$22+0)/100)/2</f>
        <v/>
      </c>
      <c r="M496">
        <f>L496*(1+((Inputs!$B$9+1)+((C509=TRUE)*(F509-Calc!F25))+B519)/100)</f>
        <v/>
      </c>
      <c r="N496">
        <f>L496*(1-MIN((Inputs!$B$8+((C503=TRUE)*(F503-Calc!F19))+B514),100)/100)+M496*(MIN((Inputs!$B$8+((C503=TRUE)*(F503-Calc!F19))+B514),100)/100)</f>
        <v/>
      </c>
      <c r="O496">
        <f>IF(C496,H496*N496*IF(AND(Inputs!$B$4&lt;&gt;"pvp",Inputs!$B$35&gt;0),((Skills!G12*((R496-1)*IF(Skills!H12&gt;0,Skills!I12/Skills!H12,1)+IF(Skills!H12&gt;0,MIN(Skills!I12,MAX(0,Inputs!$B$35-((R496-1)*IF(Inputs!$B$4="pvp",15,MAX(0.1,Skills!D12-IF(Skills!E12=TRUE,Inputs!$B$31,0))))))/Skills!H12,1)))/Inputs!$B$35),G496*Q496)*IF(Inputs!$B$4="pvp",1,(1-Summary!$B$55)*(1)+Summary!$B$55*(MIN(Skills!R12,Inputs!$B$37))),0)</f>
        <v/>
      </c>
      <c r="P496">
        <f>IF(B522=0,0,O496/B522)</f>
        <v/>
      </c>
      <c r="Q496">
        <f>IFERROR(1/IF(Inputs!$B$4="pvp",15,MAX(0.1,Skills!D12-IF(Skills!E12=TRUE,Inputs!$B$31,0))),0)</f>
        <v/>
      </c>
      <c r="R496">
        <f>IF(AND(Inputs!$B$4&lt;&gt;"pvp",Inputs!$B$35&gt;0),(INT(Inputs!$B$35/IF(Inputs!$B$4="pvp",15,MAX(0.1,Skills!D12-IF(Skills!E12=TRUE,Inputs!$B$31,0))))+1),0)</f>
        <v/>
      </c>
      <c r="S496">
        <f>IFERROR(O496/N496,0)</f>
        <v/>
      </c>
    </row>
    <row r="497">
      <c r="A497">
        <f>Skills!A13</f>
        <v/>
      </c>
      <c r="B497">
        <f>Skills!B13</f>
        <v/>
      </c>
      <c r="C497">
        <f>Inputs!$B$3&gt;=110</f>
        <v/>
      </c>
      <c r="D497">
        <f>IF(Skills!C13=1,60+Inputs!$B$24+Inputs!$B$28,IF(Skills!C13=2,90+Inputs!$B$25+Inputs!$B$28,IF(Skills!C13=3,120+Inputs!$B$26+Inputs!$B$28,MAX(0,(Inputs!$B$3-100)*3)+Inputs!$B$27+Inputs!$B$28)))</f>
        <v/>
      </c>
      <c r="E497">
        <f>INDEX(FactorTable!$B$2:$Y$301, MATCH(ROUND(MIN(300,MAX(1,D497)),0), FactorTable!$A$2:$A$301,0), Skills!M13+1)</f>
        <v/>
      </c>
      <c r="F497">
        <f>IF(Skills!N13=TRUE,(Skills!L13/10)*(E497/1000),Skills!L13/10)+Skills!O13</f>
        <v/>
      </c>
      <c r="G497">
        <f>Skills!G13*IF(Skills!H13&gt;0,Skills!I13/Skills!H13,1)</f>
        <v/>
      </c>
      <c r="H497">
        <f>1-(1-Skills!J13/100)^Skills!K13</f>
        <v/>
      </c>
      <c r="I497" t="inlineStr">
        <is>
          <t>1</t>
        </is>
      </c>
      <c r="J497">
        <f>(Inputs!$B$5*(1+Inputs!$B$6/100))*(F497/100)</f>
        <v/>
      </c>
      <c r="K497">
        <f>J497*(1+((Inputs!$B$11*(1+Inputs!$B$12/100))*0.01+Inputs!$B$13*0.0025)/100)*(1+Inputs!$B$14/100)*(1+IF(Inputs!$B$4="pvp",0,(1-Summary!$B$55)*(Inputs!$B$19+0+Skills!P13)+Summary!$B$55*(Inputs!$B$20+Skills!Q13))/100)*(1+Inputs!$B$15/100)*(5000/(6000+Inputs!$B$7*(1-(Inputs!$B$18+0)/100)))*(1+(Inputs!$B$23+((C510=TRUE)*(F510-Calc!F26))+B520)/100)*(1+(IF(Skills!A13="EIGHT_LEGS_EASTON",Inputs!$B$16+((C507=TRUE)*(F507-Calc!F23))+((C511=TRUE)*(F511-Calc!F27)),Inputs!$B$17+0))/100)*((1+(((C501=TRUE)*F501)+((C508=TRUE)*(F508-Calc!F24)))/100)*I497)</f>
        <v/>
      </c>
      <c r="L497">
        <f>K497*(MIN(Inputs!$B$21+((C506=TRUE)*(F506-Calc!F22)),Inputs!$B$22+0)/100+(Inputs!$B$22+0)/100)/2</f>
        <v/>
      </c>
      <c r="M497">
        <f>L497*(1+((Inputs!$B$9+1)+((C509=TRUE)*(F509-Calc!F25))+B519)/100)</f>
        <v/>
      </c>
      <c r="N497">
        <f>L497*(1-MIN((Inputs!$B$8+((C503=TRUE)*(F503-Calc!F19))+B514),100)/100)+M497*(MIN((Inputs!$B$8+((C503=TRUE)*(F503-Calc!F19))+B514),100)/100)</f>
        <v/>
      </c>
      <c r="O497">
        <f>IF(C497,H497*N497*IF(AND(Inputs!$B$4&lt;&gt;"pvp",Inputs!$B$35&gt;0),((Skills!G13*((R497-1)*IF(Skills!H13&gt;0,Skills!I13/Skills!H13,1)+IF(Skills!H13&gt;0,MIN(Skills!I13,MAX(0,Inputs!$B$35-((R497-1)*IF(Inputs!$B$4="pvp",15,MAX(0.1,Skills!D13-IF(Skills!E13=TRUE,Inputs!$B$31,0))))))/Skills!H13,1)))/Inputs!$B$35),G497*Q497)*IF(Inputs!$B$4="pvp",1,(1-Summary!$B$55)*(1)+Summary!$B$55*(MIN(Skills!R13,Inputs!$B$37))),0)</f>
        <v/>
      </c>
      <c r="P497">
        <f>IF(B522=0,0,O497/B522)</f>
        <v/>
      </c>
      <c r="Q497">
        <f>IFERROR(1/IF(Inputs!$B$4="pvp",15,MAX(0.1,Skills!D13-IF(Skills!E13=TRUE,Inputs!$B$31,0))),0)</f>
        <v/>
      </c>
      <c r="R497">
        <f>IF(AND(Inputs!$B$4&lt;&gt;"pvp",Inputs!$B$35&gt;0),(INT(Inputs!$B$35/IF(Inputs!$B$4="pvp",15,MAX(0.1,Skills!D13-IF(Skills!E13=TRUE,Inputs!$B$31,0))))+1),0)</f>
        <v/>
      </c>
      <c r="S497">
        <f>IFERROR(O497/N497,0)</f>
        <v/>
      </c>
    </row>
    <row r="498">
      <c r="A498">
        <f>Skills!A14</f>
        <v/>
      </c>
      <c r="B498">
        <f>Skills!B14</f>
        <v/>
      </c>
      <c r="C498">
        <f>Inputs!$B$3&gt;=125</f>
        <v/>
      </c>
      <c r="D498">
        <f>IF(Skills!C14=1,60+Inputs!$B$24+Inputs!$B$28,IF(Skills!C14=2,90+Inputs!$B$25+Inputs!$B$28,IF(Skills!C14=3,120+Inputs!$B$26+Inputs!$B$28,MAX(0,(Inputs!$B$3-100)*3)+Inputs!$B$27+Inputs!$B$28)))</f>
        <v/>
      </c>
      <c r="E498">
        <f>INDEX(FactorTable!$B$2:$Y$301, MATCH(ROUND(MIN(300,MAX(1,D498)),0), FactorTable!$A$2:$A$301,0), Skills!M14+1)</f>
        <v/>
      </c>
      <c r="F498">
        <f>IF(Skills!N14=TRUE,(Skills!L14/10)*(E498/1000),Skills!L14/10)+Skills!O14</f>
        <v/>
      </c>
      <c r="G498">
        <f>Skills!G14*IF(Skills!H14&gt;0,Skills!I14/Skills!H14,1)</f>
        <v/>
      </c>
      <c r="H498">
        <f>1-(1-Skills!J14/100)^Skills!K14</f>
        <v/>
      </c>
      <c r="I498" t="inlineStr">
        <is>
          <t>1</t>
        </is>
      </c>
      <c r="J498">
        <f>(Inputs!$B$5*(1+Inputs!$B$6/100))*(F498/100)</f>
        <v/>
      </c>
      <c r="K498">
        <f>J498*(1+((Inputs!$B$11*(1+Inputs!$B$12/100))*0.01+Inputs!$B$13*0.0025)/100)*(1+Inputs!$B$14/100)*(1+IF(Inputs!$B$4="pvp",0,(1-Summary!$B$55)*(Inputs!$B$19+0+Skills!P14)+Summary!$B$55*(Inputs!$B$20+Skills!Q14))/100)*(1+Inputs!$B$15/100)*(5000/(6000+Inputs!$B$7*(1-(Inputs!$B$18+0)/100)))*(1+(Inputs!$B$23+((C510=TRUE)*(F510-Calc!F26))+B520)/100)*(1+(IF(Skills!A14="EIGHT_LEGS_EASTON",Inputs!$B$16+((C507=TRUE)*(F507-Calc!F23))+((C511=TRUE)*(F511-Calc!F27)),Inputs!$B$17+0))/100)*((1+(((C501=TRUE)*F501)+((C508=TRUE)*(F508-Calc!F24)))/100)*I498)</f>
        <v/>
      </c>
      <c r="L498">
        <f>K498*(MIN(Inputs!$B$21+((C506=TRUE)*(F506-Calc!F22)),Inputs!$B$22+0)/100+(Inputs!$B$22+0)/100)/2</f>
        <v/>
      </c>
      <c r="M498">
        <f>L498*(1+((Inputs!$B$9+1)+((C509=TRUE)*(F509-Calc!F25))+B519)/100)</f>
        <v/>
      </c>
      <c r="N498">
        <f>L498*(1-MIN((Inputs!$B$8+((C503=TRUE)*(F503-Calc!F19))+B514),100)/100)+M498*(MIN((Inputs!$B$8+((C503=TRUE)*(F503-Calc!F19))+B514),100)/100)</f>
        <v/>
      </c>
      <c r="O498">
        <f>IF(C498,H498*N498*(B518+IF(AND(Inputs!$B$4&lt;&gt;"pvp",Inputs!$B$35&gt;0),((Skills!G8*((R492-1)*IF(Skills!H8&gt;0,Skills!I8/Skills!H8,1)+IF(Skills!H8&gt;0,MIN(Skills!I8,MAX(0,Inputs!$B$35-((R492-1)*IF(Inputs!$B$4="pvp",15,MAX(0.1,Skills!D8-IF(Skills!E8=TRUE,Inputs!$B$31,0))))))/Skills!H8,1)))/Inputs!$B$35),G492*Q492)+IF(AND(Inputs!$B$4&lt;&gt;"pvp",Inputs!$B$35&gt;0),((Skills!G11*((R495-1)*IF(Skills!H11&gt;0,Skills!I11/Skills!H11,1)+IF(Skills!H11&gt;0,MIN(Skills!I11,MAX(0,Inputs!$B$35-((R495-1)*IF(Inputs!$B$4="pvp",15,MAX(0.1,Skills!D11-IF(Skills!E11=TRUE,Inputs!$B$31,0))))))/Skills!H11,1)))/Inputs!$B$35),G495*Q495))*IF(Inputs!$B$4="pvp",1,(1-Summary!$B$55)*(1)+Summary!$B$55*(MIN(Skills!R14,Inputs!$B$37))),0)</f>
        <v/>
      </c>
      <c r="P498">
        <f>IF(B522=0,0,O498/B522)</f>
        <v/>
      </c>
      <c r="Q498" t="n">
        <v>0</v>
      </c>
      <c r="R498" t="n">
        <v>0</v>
      </c>
      <c r="S498">
        <f>IFERROR(O498/N498,0)</f>
        <v/>
      </c>
    </row>
    <row r="499">
      <c r="A499">
        <f>Skills!A15</f>
        <v/>
      </c>
      <c r="B499">
        <f>Skills!B15</f>
        <v/>
      </c>
      <c r="C499">
        <f>Inputs!$B$3&gt;=100</f>
        <v/>
      </c>
      <c r="D499">
        <f>IF(Skills!C15=1,60+Inputs!$B$24+Inputs!$B$28,IF(Skills!C15=2,90+Inputs!$B$25+Inputs!$B$28,IF(Skills!C15=3,120+Inputs!$B$26+Inputs!$B$28,MAX(0,(Inputs!$B$3-100)*3)+Inputs!$B$27+Inputs!$B$28)))</f>
        <v/>
      </c>
      <c r="E499">
        <f>INDEX(FactorTable!$B$2:$Y$301, MATCH(ROUND(MIN(300,MAX(1,D499)),0), FactorTable!$A$2:$A$301,0), Skills!M15+1)</f>
        <v/>
      </c>
      <c r="F499">
        <f>IF(Skills!N15=TRUE,(Skills!L15/10)*(E499/1000),Skills!L15/10)+Skills!O15</f>
        <v/>
      </c>
      <c r="G499" t="inlineStr"/>
      <c r="H499" t="inlineStr"/>
      <c r="I499" t="inlineStr">
        <is>
          <t>1</t>
        </is>
      </c>
      <c r="J499" t="inlineStr"/>
      <c r="K499" t="inlineStr"/>
      <c r="L499" t="inlineStr"/>
      <c r="M499" t="inlineStr"/>
      <c r="N499" t="inlineStr"/>
      <c r="O499" t="inlineStr"/>
      <c r="P499" t="inlineStr"/>
      <c r="Q499" t="inlineStr"/>
      <c r="R499" t="inlineStr"/>
      <c r="S499" t="inlineStr"/>
    </row>
    <row r="500">
      <c r="A500">
        <f>Skills!A16</f>
        <v/>
      </c>
      <c r="B500">
        <f>Skills!B16</f>
        <v/>
      </c>
      <c r="C500">
        <f>Inputs!$B$3&gt;=120</f>
        <v/>
      </c>
      <c r="D500">
        <f>IF(Skills!C16=1,60+Inputs!$B$24+Inputs!$B$28,IF(Skills!C16=2,90+Inputs!$B$25+Inputs!$B$28,IF(Skills!C16=3,120+Inputs!$B$26+Inputs!$B$28,MAX(0,(Inputs!$B$3-100)*3)+Inputs!$B$27+Inputs!$B$28)))</f>
        <v/>
      </c>
      <c r="E500">
        <f>INDEX(FactorTable!$B$2:$Y$301, MATCH(ROUND(MIN(300,MAX(1,D500)),0), FactorTable!$A$2:$A$301,0), Skills!M16+1)</f>
        <v/>
      </c>
      <c r="F500">
        <f>IF(Skills!N16=TRUE,(Skills!L16/10)*(E500/1000),Skills!L16/10)+Skills!O16</f>
        <v/>
      </c>
      <c r="G500" t="inlineStr"/>
      <c r="H500" t="inlineStr"/>
      <c r="I500" t="inlineStr">
        <is>
          <t>1</t>
        </is>
      </c>
      <c r="J500" t="inlineStr"/>
      <c r="K500" t="inlineStr"/>
      <c r="L500" t="inlineStr"/>
      <c r="M500" t="inlineStr"/>
      <c r="N500" t="inlineStr"/>
      <c r="O500" t="inlineStr"/>
      <c r="P500" t="inlineStr"/>
      <c r="Q500" t="inlineStr"/>
      <c r="R500" t="inlineStr"/>
      <c r="S500" t="inlineStr"/>
    </row>
    <row r="501">
      <c r="A501">
        <f>Skills!A17</f>
        <v/>
      </c>
      <c r="B501">
        <f>Skills!B17</f>
        <v/>
      </c>
      <c r="C501">
        <f>Inputs!$B$3&gt;=66</f>
        <v/>
      </c>
      <c r="D501">
        <f>IF(Skills!C17=1,60+Inputs!$B$24+Inputs!$B$28,IF(Skills!C17=2,90+Inputs!$B$25+Inputs!$B$28,IF(Skills!C17=3,120+Inputs!$B$26+Inputs!$B$28,MAX(0,(Inputs!$B$3-100)*3)+Inputs!$B$27+Inputs!$B$28)))</f>
        <v/>
      </c>
      <c r="E501">
        <f>INDEX(FactorTable!$B$2:$Y$301, MATCH(ROUND(MIN(300,MAX(1,D501)),0), FactorTable!$A$2:$A$301,0), Skills!M17+1)</f>
        <v/>
      </c>
      <c r="F501">
        <f>IF(Skills!N17=TRUE,(Skills!L17/10)*(E501/1000),Skills!L17/10)+Skills!O17</f>
        <v/>
      </c>
      <c r="G501">
        <f>Skills!G17*IF(Skills!H17&gt;0,Skills!I17/Skills!H17,1)</f>
        <v/>
      </c>
      <c r="H501">
        <f>1-(1-Skills!J17/100)^Skills!K17</f>
        <v/>
      </c>
      <c r="I501" t="inlineStr">
        <is>
          <t>1</t>
        </is>
      </c>
      <c r="J501" t="inlineStr"/>
      <c r="K501" t="inlineStr"/>
      <c r="L501" t="inlineStr"/>
      <c r="M501" t="inlineStr"/>
      <c r="N501" t="inlineStr"/>
      <c r="O501" t="n">
        <v>0</v>
      </c>
      <c r="P501">
        <f>IF(B522=0,0,O501/B522)</f>
        <v/>
      </c>
      <c r="Q501" t="n">
        <v>0</v>
      </c>
      <c r="R501" t="n">
        <v>0</v>
      </c>
      <c r="S501">
        <f>IFERROR(O501/N501,0)</f>
        <v/>
      </c>
    </row>
    <row r="502">
      <c r="A502">
        <f>Skills!A18</f>
        <v/>
      </c>
      <c r="B502">
        <f>Skills!B18</f>
        <v/>
      </c>
      <c r="C502">
        <f>Inputs!$B$3&gt;=115</f>
        <v/>
      </c>
      <c r="D502">
        <f>IF(Skills!C18=1,60+Inputs!$B$24+Inputs!$B$28,IF(Skills!C18=2,90+Inputs!$B$25+Inputs!$B$28,IF(Skills!C18=3,120+Inputs!$B$26+Inputs!$B$28,MAX(0,(Inputs!$B$3-100)*3)+Inputs!$B$27+Inputs!$B$28)))</f>
        <v/>
      </c>
      <c r="E502">
        <f>INDEX(FactorTable!$B$2:$Y$301, MATCH(ROUND(MIN(300,MAX(1,D502)),0), FactorTable!$A$2:$A$301,0), Skills!M18+1)</f>
        <v/>
      </c>
      <c r="F502">
        <f>IF(Skills!N18=TRUE,(Skills!L18/10)*(E502/1000),Skills!L18/10)+Skills!O18</f>
        <v/>
      </c>
      <c r="G502">
        <f>Skills!G18*IF(Skills!H18&gt;0,Skills!I18/Skills!H18,1)</f>
        <v/>
      </c>
      <c r="H502">
        <f>1-(1-Skills!J18/100)^Skills!K18</f>
        <v/>
      </c>
      <c r="I502" t="inlineStr">
        <is>
          <t>1</t>
        </is>
      </c>
      <c r="J502" t="inlineStr"/>
      <c r="K502" t="inlineStr"/>
      <c r="L502" t="inlineStr"/>
      <c r="M502" t="inlineStr"/>
      <c r="N502" t="inlineStr"/>
      <c r="O502" t="n">
        <v>0</v>
      </c>
      <c r="P502">
        <f>IF(B522=0,0,O502/B522)</f>
        <v/>
      </c>
      <c r="Q502" t="n">
        <v>0</v>
      </c>
      <c r="R502" t="n">
        <v>0</v>
      </c>
      <c r="S502">
        <f>IFERROR(O502/N502,0)</f>
        <v/>
      </c>
    </row>
    <row r="503">
      <c r="A503">
        <f>Skills!A19</f>
        <v/>
      </c>
      <c r="B503">
        <f>Skills!B19</f>
        <v/>
      </c>
      <c r="C503">
        <f>Inputs!$B$3&gt;=15</f>
        <v/>
      </c>
      <c r="D503">
        <f>IF(Skills!C19=1,60+Inputs!$B$24+Inputs!$B$28,IF(Skills!C19=2,90+Inputs!$B$25+Inputs!$B$28,IF(Skills!C19=3,120+Inputs!$B$26+Inputs!$B$28,MAX(0,(Inputs!$B$3-100)*3)+Inputs!$B$27+Inputs!$B$28)))</f>
        <v/>
      </c>
      <c r="E503">
        <f>INDEX(FactorTable!$B$2:$Y$301, MATCH(ROUND(MIN(300,MAX(1,D503)),0), FactorTable!$A$2:$A$301,0), Skills!M19+1)</f>
        <v/>
      </c>
      <c r="F503">
        <f>IF(Skills!N19=TRUE,(Skills!L19/10)*(E503/1000),Skills!L19/10)+Skills!O19</f>
        <v/>
      </c>
      <c r="G503">
        <f>Skills!G19*IF(Skills!H19&gt;0,Skills!I19/Skills!H19,1)</f>
        <v/>
      </c>
      <c r="H503">
        <f>1-(1-Skills!J19/100)^Skills!K19</f>
        <v/>
      </c>
      <c r="I503" t="inlineStr">
        <is>
          <t>1</t>
        </is>
      </c>
      <c r="J503" t="inlineStr"/>
      <c r="K503" t="inlineStr"/>
      <c r="L503" t="inlineStr"/>
      <c r="M503" t="inlineStr"/>
      <c r="N503" t="inlineStr"/>
      <c r="O503" t="n">
        <v>0</v>
      </c>
      <c r="P503">
        <f>IF(B522=0,0,O503/B522)</f>
        <v/>
      </c>
      <c r="Q503" t="n">
        <v>0</v>
      </c>
      <c r="R503" t="n">
        <v>0</v>
      </c>
      <c r="S503">
        <f>IFERROR(O503/N503,0)</f>
        <v/>
      </c>
    </row>
    <row r="504">
      <c r="A504">
        <f>Skills!A20</f>
        <v/>
      </c>
      <c r="B504">
        <f>Skills!B20</f>
        <v/>
      </c>
      <c r="C504">
        <f>Inputs!$B$3&gt;=10</f>
        <v/>
      </c>
      <c r="D504">
        <f>IF(Skills!C20=1,60+Inputs!$B$24+Inputs!$B$28,IF(Skills!C20=2,90+Inputs!$B$25+Inputs!$B$28,IF(Skills!C20=3,120+Inputs!$B$26+Inputs!$B$28,MAX(0,(Inputs!$B$3-100)*3)+Inputs!$B$27+Inputs!$B$28)))</f>
        <v/>
      </c>
      <c r="E504">
        <f>INDEX(FactorTable!$B$2:$Y$301, MATCH(ROUND(MIN(300,MAX(1,D504)),0), FactorTable!$A$2:$A$301,0), Skills!M20+1)</f>
        <v/>
      </c>
      <c r="F504">
        <f>IF(Skills!N20=TRUE,(Skills!L20/10)*(E504/1000),Skills!L20/10)+Skills!O20</f>
        <v/>
      </c>
      <c r="G504">
        <f>Skills!G20*IF(Skills!H20&gt;0,Skills!I20/Skills!H20,1)</f>
        <v/>
      </c>
      <c r="H504">
        <f>1-(1-Skills!J20/100)^Skills!K20</f>
        <v/>
      </c>
      <c r="I504" t="inlineStr">
        <is>
          <t>1</t>
        </is>
      </c>
      <c r="J504" t="inlineStr"/>
      <c r="K504" t="inlineStr"/>
      <c r="L504" t="inlineStr"/>
      <c r="M504" t="inlineStr"/>
      <c r="N504" t="inlineStr"/>
      <c r="O504" t="n">
        <v>0</v>
      </c>
      <c r="P504">
        <f>IF(B522=0,0,O504/B522)</f>
        <v/>
      </c>
      <c r="Q504" t="n">
        <v>0</v>
      </c>
      <c r="R504" t="n">
        <v>0</v>
      </c>
      <c r="S504">
        <f>IFERROR(O504/N504,0)</f>
        <v/>
      </c>
    </row>
    <row r="505">
      <c r="A505">
        <f>Skills!A21</f>
        <v/>
      </c>
      <c r="B505">
        <f>Skills!B21</f>
        <v/>
      </c>
      <c r="C505">
        <f>Inputs!$B$3&gt;=33</f>
        <v/>
      </c>
      <c r="D505">
        <f>IF(Skills!C21=1,60+Inputs!$B$24+Inputs!$B$28,IF(Skills!C21=2,90+Inputs!$B$25+Inputs!$B$28,IF(Skills!C21=3,120+Inputs!$B$26+Inputs!$B$28,MAX(0,(Inputs!$B$3-100)*3)+Inputs!$B$27+Inputs!$B$28)))</f>
        <v/>
      </c>
      <c r="E505">
        <f>INDEX(FactorTable!$B$2:$Y$301, MATCH(ROUND(MIN(300,MAX(1,D505)),0), FactorTable!$A$2:$A$301,0), Skills!M21+1)</f>
        <v/>
      </c>
      <c r="F505">
        <f>IF(Skills!N21=TRUE,(Skills!L21/10)*(E505/1000),Skills!L21/10)+Skills!O21</f>
        <v/>
      </c>
      <c r="G505">
        <f>Skills!G21*IF(Skills!H21&gt;0,Skills!I21/Skills!H21,1)</f>
        <v/>
      </c>
      <c r="H505">
        <f>1-(1-Skills!J21/100)^Skills!K21</f>
        <v/>
      </c>
      <c r="I505" t="inlineStr">
        <is>
          <t>1</t>
        </is>
      </c>
      <c r="J505" t="inlineStr"/>
      <c r="K505" t="inlineStr"/>
      <c r="L505" t="inlineStr"/>
      <c r="M505" t="inlineStr"/>
      <c r="N505" t="inlineStr"/>
      <c r="O505" t="n">
        <v>0</v>
      </c>
      <c r="P505">
        <f>IF(B522=0,0,O505/B522)</f>
        <v/>
      </c>
      <c r="Q505" t="n">
        <v>0</v>
      </c>
      <c r="R505" t="n">
        <v>0</v>
      </c>
      <c r="S505">
        <f>IFERROR(O505/N505,0)</f>
        <v/>
      </c>
    </row>
    <row r="506">
      <c r="A506">
        <f>Skills!A22</f>
        <v/>
      </c>
      <c r="B506">
        <f>Skills!B22</f>
        <v/>
      </c>
      <c r="C506">
        <f>Inputs!$B$3&gt;=43</f>
        <v/>
      </c>
      <c r="D506">
        <f>IF(Skills!C22=1,60+Inputs!$B$24+Inputs!$B$28,IF(Skills!C22=2,90+Inputs!$B$25+Inputs!$B$28,IF(Skills!C22=3,120+Inputs!$B$26+Inputs!$B$28,MAX(0,(Inputs!$B$3-100)*3)+Inputs!$B$27+Inputs!$B$28)))</f>
        <v/>
      </c>
      <c r="E506">
        <f>INDEX(FactorTable!$B$2:$Y$301, MATCH(ROUND(MIN(300,MAX(1,D506)),0), FactorTable!$A$2:$A$301,0), Skills!M22+1)</f>
        <v/>
      </c>
      <c r="F506">
        <f>IF(Skills!N22=TRUE,(Skills!L22/10)*(E506/1000),Skills!L22/10)+Skills!O22</f>
        <v/>
      </c>
      <c r="G506">
        <f>Skills!G22*IF(Skills!H22&gt;0,Skills!I22/Skills!H22,1)</f>
        <v/>
      </c>
      <c r="H506">
        <f>1-(1-Skills!J22/100)^Skills!K22</f>
        <v/>
      </c>
      <c r="I506" t="inlineStr">
        <is>
          <t>1</t>
        </is>
      </c>
      <c r="J506" t="inlineStr"/>
      <c r="K506" t="inlineStr"/>
      <c r="L506" t="inlineStr"/>
      <c r="M506" t="inlineStr"/>
      <c r="N506" t="inlineStr"/>
      <c r="O506" t="n">
        <v>0</v>
      </c>
      <c r="P506">
        <f>IF(B522=0,0,O506/B522)</f>
        <v/>
      </c>
      <c r="Q506" t="n">
        <v>0</v>
      </c>
      <c r="R506" t="n">
        <v>0</v>
      </c>
      <c r="S506">
        <f>IFERROR(O506/N506,0)</f>
        <v/>
      </c>
    </row>
    <row r="507">
      <c r="A507">
        <f>Skills!A23</f>
        <v/>
      </c>
      <c r="B507">
        <f>Skills!B23</f>
        <v/>
      </c>
      <c r="C507">
        <f>Inputs!$B$3&gt;=38</f>
        <v/>
      </c>
      <c r="D507">
        <f>IF(Skills!C23=1,60+Inputs!$B$24+Inputs!$B$28,IF(Skills!C23=2,90+Inputs!$B$25+Inputs!$B$28,IF(Skills!C23=3,120+Inputs!$B$26+Inputs!$B$28,MAX(0,(Inputs!$B$3-100)*3)+Inputs!$B$27+Inputs!$B$28)))</f>
        <v/>
      </c>
      <c r="E507">
        <f>INDEX(FactorTable!$B$2:$Y$301, MATCH(ROUND(MIN(300,MAX(1,D507)),0), FactorTable!$A$2:$A$301,0), Skills!M23+1)</f>
        <v/>
      </c>
      <c r="F507">
        <f>IF(Skills!N23=TRUE,(Skills!L23/10)*(E507/1000),Skills!L23/10)+Skills!O23</f>
        <v/>
      </c>
      <c r="G507">
        <f>Skills!G23*IF(Skills!H23&gt;0,Skills!I23/Skills!H23,1)</f>
        <v/>
      </c>
      <c r="H507">
        <f>1-(1-Skills!J23/100)^Skills!K23</f>
        <v/>
      </c>
      <c r="I507" t="inlineStr">
        <is>
          <t>1</t>
        </is>
      </c>
      <c r="J507" t="inlineStr"/>
      <c r="K507" t="inlineStr"/>
      <c r="L507" t="inlineStr"/>
      <c r="M507" t="inlineStr"/>
      <c r="N507" t="inlineStr"/>
      <c r="O507" t="n">
        <v>0</v>
      </c>
      <c r="P507">
        <f>IF(B522=0,0,O507/B522)</f>
        <v/>
      </c>
      <c r="Q507" t="n">
        <v>0</v>
      </c>
      <c r="R507" t="n">
        <v>0</v>
      </c>
      <c r="S507">
        <f>IFERROR(O507/N507,0)</f>
        <v/>
      </c>
    </row>
    <row r="508">
      <c r="A508">
        <f>Skills!A24</f>
        <v/>
      </c>
      <c r="B508">
        <f>Skills!B24</f>
        <v/>
      </c>
      <c r="C508">
        <f>Inputs!$B$3&gt;=40</f>
        <v/>
      </c>
      <c r="D508">
        <f>IF(Skills!C24=1,60+Inputs!$B$24+Inputs!$B$28,IF(Skills!C24=2,90+Inputs!$B$25+Inputs!$B$28,IF(Skills!C24=3,120+Inputs!$B$26+Inputs!$B$28,MAX(0,(Inputs!$B$3-100)*3)+Inputs!$B$27+Inputs!$B$28)))</f>
        <v/>
      </c>
      <c r="E508">
        <f>INDEX(FactorTable!$B$2:$Y$301, MATCH(ROUND(MIN(300,MAX(1,D508)),0), FactorTable!$A$2:$A$301,0), Skills!M24+1)</f>
        <v/>
      </c>
      <c r="F508">
        <f>IF(Skills!N24=TRUE,(Skills!L24/10)*(E508/1000),Skills!L24/10)+Skills!O24</f>
        <v/>
      </c>
      <c r="G508">
        <f>Skills!G24*IF(Skills!H24&gt;0,Skills!I24/Skills!H24,1)</f>
        <v/>
      </c>
      <c r="H508">
        <f>1-(1-Skills!J24/100)^Skills!K24</f>
        <v/>
      </c>
      <c r="I508" t="inlineStr">
        <is>
          <t>1</t>
        </is>
      </c>
      <c r="J508" t="inlineStr"/>
      <c r="K508" t="inlineStr"/>
      <c r="L508" t="inlineStr"/>
      <c r="M508" t="inlineStr"/>
      <c r="N508" t="inlineStr"/>
      <c r="O508" t="n">
        <v>0</v>
      </c>
      <c r="P508">
        <f>IF(B522=0,0,O508/B522)</f>
        <v/>
      </c>
      <c r="Q508" t="n">
        <v>0</v>
      </c>
      <c r="R508" t="n">
        <v>0</v>
      </c>
      <c r="S508">
        <f>IFERROR(O508/N508,0)</f>
        <v/>
      </c>
    </row>
    <row r="509">
      <c r="A509">
        <f>Skills!A25</f>
        <v/>
      </c>
      <c r="B509">
        <f>Skills!B25</f>
        <v/>
      </c>
      <c r="C509">
        <f>Inputs!$B$3&gt;=72</f>
        <v/>
      </c>
      <c r="D509">
        <f>IF(Skills!C25=1,60+Inputs!$B$24+Inputs!$B$28,IF(Skills!C25=2,90+Inputs!$B$25+Inputs!$B$28,IF(Skills!C25=3,120+Inputs!$B$26+Inputs!$B$28,MAX(0,(Inputs!$B$3-100)*3)+Inputs!$B$27+Inputs!$B$28)))</f>
        <v/>
      </c>
      <c r="E509">
        <f>INDEX(FactorTable!$B$2:$Y$301, MATCH(ROUND(MIN(300,MAX(1,D509)),0), FactorTable!$A$2:$A$301,0), Skills!M25+1)</f>
        <v/>
      </c>
      <c r="F509">
        <f>IF(Skills!N25=TRUE,(Skills!L25/10)*(E509/1000),Skills!L25/10)+Skills!O25</f>
        <v/>
      </c>
      <c r="G509">
        <f>Skills!G25*IF(Skills!H25&gt;0,Skills!I25/Skills!H25,1)</f>
        <v/>
      </c>
      <c r="H509">
        <f>1-(1-Skills!J25/100)^Skills!K25</f>
        <v/>
      </c>
      <c r="I509" t="inlineStr">
        <is>
          <t>1</t>
        </is>
      </c>
      <c r="J509" t="inlineStr"/>
      <c r="K509" t="inlineStr"/>
      <c r="L509" t="inlineStr"/>
      <c r="M509" t="inlineStr"/>
      <c r="N509" t="inlineStr"/>
      <c r="O509" t="n">
        <v>0</v>
      </c>
      <c r="P509">
        <f>IF(B522=0,0,O509/B522)</f>
        <v/>
      </c>
      <c r="Q509" t="n">
        <v>0</v>
      </c>
      <c r="R509" t="n">
        <v>0</v>
      </c>
      <c r="S509">
        <f>IFERROR(O509/N509,0)</f>
        <v/>
      </c>
    </row>
    <row r="510">
      <c r="A510">
        <f>Skills!A26</f>
        <v/>
      </c>
      <c r="B510">
        <f>Skills!B26</f>
        <v/>
      </c>
      <c r="C510">
        <f>Inputs!$B$3&gt;=75</f>
        <v/>
      </c>
      <c r="D510">
        <f>IF(Skills!C26=1,60+Inputs!$B$24+Inputs!$B$28,IF(Skills!C26=2,90+Inputs!$B$25+Inputs!$B$28,IF(Skills!C26=3,120+Inputs!$B$26+Inputs!$B$28,MAX(0,(Inputs!$B$3-100)*3)+Inputs!$B$27+Inputs!$B$28)))</f>
        <v/>
      </c>
      <c r="E510">
        <f>INDEX(FactorTable!$B$2:$Y$301, MATCH(ROUND(MIN(300,MAX(1,D510)),0), FactorTable!$A$2:$A$301,0), Skills!M26+1)</f>
        <v/>
      </c>
      <c r="F510">
        <f>IF(Skills!N26=TRUE,(Skills!L26/10)*(E510/1000),Skills!L26/10)+Skills!O26</f>
        <v/>
      </c>
      <c r="G510">
        <f>Skills!G26*IF(Skills!H26&gt;0,Skills!I26/Skills!H26,1)</f>
        <v/>
      </c>
      <c r="H510">
        <f>1-(1-Skills!J26/100)^Skills!K26</f>
        <v/>
      </c>
      <c r="I510" t="inlineStr">
        <is>
          <t>1</t>
        </is>
      </c>
      <c r="J510" t="inlineStr"/>
      <c r="K510" t="inlineStr"/>
      <c r="L510" t="inlineStr"/>
      <c r="M510" t="inlineStr"/>
      <c r="N510" t="inlineStr"/>
      <c r="O510" t="n">
        <v>0</v>
      </c>
      <c r="P510">
        <f>IF(B522=0,0,O510/B522)</f>
        <v/>
      </c>
      <c r="Q510" t="n">
        <v>0</v>
      </c>
      <c r="R510" t="n">
        <v>0</v>
      </c>
      <c r="S510">
        <f>IFERROR(O510/N510,0)</f>
        <v/>
      </c>
    </row>
    <row r="511">
      <c r="A511">
        <f>Skills!A27</f>
        <v/>
      </c>
      <c r="B511">
        <f>Skills!B27</f>
        <v/>
      </c>
      <c r="C511">
        <f>Inputs!$B$3&gt;=117</f>
        <v/>
      </c>
      <c r="D511">
        <f>IF(Skills!C27=1,60+Inputs!$B$24+Inputs!$B$28,IF(Skills!C27=2,90+Inputs!$B$25+Inputs!$B$28,IF(Skills!C27=3,120+Inputs!$B$26+Inputs!$B$28,MAX(0,(Inputs!$B$3-100)*3)+Inputs!$B$27+Inputs!$B$28)))</f>
        <v/>
      </c>
      <c r="E511">
        <f>INDEX(FactorTable!$B$2:$Y$301, MATCH(ROUND(MIN(300,MAX(1,D511)),0), FactorTable!$A$2:$A$301,0), Skills!M27+1)</f>
        <v/>
      </c>
      <c r="F511">
        <f>IF(Skills!N27=TRUE,(Skills!L27/10)*(E511/1000),Skills!L27/10)+Skills!O27</f>
        <v/>
      </c>
      <c r="G511">
        <f>Skills!G27*IF(Skills!H27&gt;0,Skills!I27/Skills!H27,1)</f>
        <v/>
      </c>
      <c r="H511">
        <f>1-(1-Skills!J27/100)^Skills!K27</f>
        <v/>
      </c>
      <c r="I511" t="inlineStr">
        <is>
          <t>1</t>
        </is>
      </c>
      <c r="J511" t="inlineStr"/>
      <c r="K511" t="inlineStr"/>
      <c r="L511" t="inlineStr"/>
      <c r="M511" t="inlineStr"/>
      <c r="N511" t="inlineStr"/>
      <c r="O511" t="n">
        <v>0</v>
      </c>
      <c r="P511">
        <f>IF(B522=0,0,O511/B522)</f>
        <v/>
      </c>
      <c r="Q511" t="n">
        <v>0</v>
      </c>
      <c r="R511" t="n">
        <v>0</v>
      </c>
      <c r="S511">
        <f>IFERROR(O511/N511,0)</f>
        <v/>
      </c>
    </row>
    <row r="513">
      <c r="A513" t="inlineStr">
        <is>
          <t>Attack% Bucket Multiplier</t>
        </is>
      </c>
      <c r="B513">
        <f>(1+(((C501=TRUE)*F501)+((C508=TRUE)*(F508-Calc!F24)))/100)</f>
        <v/>
      </c>
    </row>
    <row r="514">
      <c r="A514" t="inlineStr">
        <is>
          <t>Global Crit Rate Bonus %</t>
        </is>
      </c>
      <c r="B514" t="n">
        <v>0</v>
      </c>
    </row>
    <row r="515">
      <c r="A515" t="inlineStr">
        <is>
          <t>Attack Speed Buff Bonus % (unused)</t>
        </is>
      </c>
      <c r="B515" t="n">
        <v>0</v>
      </c>
    </row>
    <row r="516">
      <c r="A516" t="inlineStr">
        <is>
          <t>Actions Per Second</t>
        </is>
      </c>
      <c r="B516">
        <f>1+MIN(150,150*(1-(1-(Inputs!$B$10+((C504=TRUE)*(F504-Calc!F20))+((C505=TRUE)*(F505-Calc!F21)))/150)*(1-B515/150)))/100</f>
        <v/>
      </c>
    </row>
    <row r="517">
      <c r="A517" t="inlineStr">
        <is>
          <t>Skill + Buff Cast Rate</t>
        </is>
      </c>
      <c r="B517">
        <f>IF(AND(Inputs!$B$4&lt;&gt;"pvp",Inputs!$B$35&gt;0),SUMPRODUCT((Skills!E2:E27=TRUE)*(C486:C511=TRUE)*R486:R511*Skills!F2:F27)/Inputs!$B$35,SUMPRODUCT((Skills!E2:E27=TRUE)*(C486:C511=TRUE)*Q486:Q511*Skills!F2:F27))</f>
        <v/>
      </c>
    </row>
    <row r="518">
      <c r="A518" t="inlineStr">
        <is>
          <t>Eight-Legs Easton Casts Per Second</t>
        </is>
      </c>
      <c r="B518">
        <f>MAX(0,B516-B517)</f>
        <v/>
      </c>
    </row>
    <row r="519">
      <c r="A519" t="inlineStr">
        <is>
          <t>Global Critical Damage Bonus % (unused)</t>
        </is>
      </c>
      <c r="B519" t="n">
        <v>0</v>
      </c>
    </row>
    <row r="520">
      <c r="A520" t="inlineStr">
        <is>
          <t>Global Final Damage Bonus % (Jolly Roger only)</t>
        </is>
      </c>
      <c r="B520">
        <f>((C502=TRUE)*F502)</f>
        <v/>
      </c>
    </row>
    <row r="522">
      <c r="A522" s="5" t="inlineStr">
        <is>
          <t>TOTAL DPS</t>
        </is>
      </c>
      <c r="B522" s="5">
        <f>SUM(O486:O511)</f>
        <v/>
      </c>
    </row>
    <row r="525">
      <c r="A525" s="5" t="inlineStr">
        <is>
          <t>Stat: ATTACK_SPEED % (diminishing returns, factor 150)</t>
        </is>
      </c>
    </row>
    <row r="526">
      <c r="A526" s="8" t="inlineStr">
        <is>
          <t>Key</t>
        </is>
      </c>
      <c r="B526" s="8" t="inlineStr">
        <is>
          <t>Name</t>
        </is>
      </c>
      <c r="C526" s="8" t="inlineStr">
        <is>
          <t>Unlocked</t>
        </is>
      </c>
      <c r="D526" s="8" t="inlineStr">
        <is>
          <t>InputLevel</t>
        </is>
      </c>
      <c r="E526" s="8" t="inlineStr">
        <is>
          <t>Factor</t>
        </is>
      </c>
      <c r="F526" s="8" t="inlineStr">
        <is>
          <t>CoefficientPercent</t>
        </is>
      </c>
      <c r="G526" s="8" t="inlineStr">
        <is>
          <t>EffectiveHits</t>
        </is>
      </c>
      <c r="H526" s="8" t="inlineStr">
        <is>
          <t>ProcProbability</t>
        </is>
      </c>
      <c r="I526" s="8" t="inlineStr">
        <is>
          <t>MapleHeroMultiplier</t>
        </is>
      </c>
      <c r="J526" s="8" t="inlineStr">
        <is>
          <t>BaseDamage</t>
        </is>
      </c>
      <c r="K526" s="8" t="inlineStr">
        <is>
          <t>BaseHitDamage</t>
        </is>
      </c>
      <c r="L526" s="8" t="inlineStr">
        <is>
          <t>NonCritAvg</t>
        </is>
      </c>
      <c r="M526" s="8" t="inlineStr">
        <is>
          <t>CritAvg</t>
        </is>
      </c>
      <c r="N526" s="8" t="inlineStr">
        <is>
          <t>ExpectedDamage(perHit)</t>
        </is>
      </c>
      <c r="O526" s="8" t="inlineStr">
        <is>
          <t>DPS</t>
        </is>
      </c>
      <c r="P526" s="8" t="inlineStr">
        <is>
          <t>% of Total</t>
        </is>
      </c>
      <c r="Q526" s="8" t="inlineStr">
        <is>
          <t>InvCooldown</t>
        </is>
      </c>
      <c r="R526" s="8" t="inlineStr">
        <is>
          <t>CastsInFight</t>
        </is>
      </c>
      <c r="S526" s="8" t="inlineStr">
        <is>
          <t>HitRate(perSec)</t>
        </is>
      </c>
      <c r="U526" t="inlineStr">
        <is>
          <t>helpers</t>
        </is>
      </c>
    </row>
    <row r="527">
      <c r="A527">
        <f>Skills!A2</f>
        <v/>
      </c>
      <c r="B527">
        <f>Skills!B2</f>
        <v/>
      </c>
      <c r="C527">
        <f>Inputs!$B$3&gt;=100</f>
        <v/>
      </c>
      <c r="D527" t="inlineStr"/>
      <c r="E527" t="inlineStr"/>
      <c r="F527">
        <f>U529+Skills!O2</f>
        <v/>
      </c>
      <c r="G527">
        <f>Skills!G2*IF(Skills!H2&gt;0,Skills!I2/Skills!H2,1)</f>
        <v/>
      </c>
      <c r="H527">
        <f>1-(1-Skills!J2/100)^Skills!K2</f>
        <v/>
      </c>
      <c r="I527" t="inlineStr">
        <is>
          <t>1</t>
        </is>
      </c>
      <c r="J527">
        <f>(Inputs!$B$5*(1+Inputs!$B$6/100))*(F527/100)</f>
        <v/>
      </c>
      <c r="K527">
        <f>J527*(1+((Inputs!$B$11*(1+Inputs!$B$12/100))*0.01+Inputs!$B$13*0.0025)/100)*(1+Inputs!$B$14/100)*(1+IF(Inputs!$B$4="pvp",0,(1-Summary!$B$55)*(Inputs!$B$19+0+Skills!P2)+Summary!$B$55*(Inputs!$B$20+Skills!Q2))/100)*(1+Inputs!$B$15/100)*(5000/(6000+Inputs!$B$7*(1-(Inputs!$B$18+0)/100)))*(1+(Inputs!$B$23+((C551=TRUE)*(F551-Calc!F26))+B561)/100)*(1+(IF(Skills!A2="EIGHT_LEGS_EASTON",Inputs!$B$16+((C548=TRUE)*(F548-Calc!F23))+((C552=TRUE)*(F552-Calc!F27)),Inputs!$B$17+0))/100)*((1+(((C542=TRUE)*F542)+((C549=TRUE)*(F549-Calc!F24)))/100)*I527)</f>
        <v/>
      </c>
      <c r="L527">
        <f>K527*(MIN(Inputs!$B$21+((C547=TRUE)*(F547-Calc!F22)),Inputs!$B$22+0)/100+(Inputs!$B$22+0)/100)/2</f>
        <v/>
      </c>
      <c r="M527">
        <f>L527*(1+(Inputs!$B$9+((C550=TRUE)*(F550-Calc!F25))+B560)/100)</f>
        <v/>
      </c>
      <c r="N527">
        <f>L527*(1-MIN((Inputs!$B$8+((C544=TRUE)*(F544-Calc!F19))+B555),100)/100)+M527*(MIN((Inputs!$B$8+((C544=TRUE)*(F544-Calc!F19))+B555),100)/100)</f>
        <v/>
      </c>
      <c r="O527">
        <f>IF(C527,Skills!G2*N527*B559*IF(Inputs!$B$4="pvp",1,(1-Summary!$B$55)*(1)+Summary!$B$55*(MIN((6+Inputs!$B$32),Inputs!$B$37))),0)</f>
        <v/>
      </c>
      <c r="P527">
        <f>IF(B563=0,0,O527/B563)</f>
        <v/>
      </c>
      <c r="Q527" t="n">
        <v>0</v>
      </c>
      <c r="R527" t="n">
        <v>0</v>
      </c>
      <c r="S527">
        <f>IFERROR(O527/N527,0)</f>
        <v/>
      </c>
      <c r="U527">
        <f>MAX(0,(Inputs!$B$3-100)*3)+Inputs!$B$27+Inputs!$B$28</f>
        <v/>
      </c>
    </row>
    <row r="528">
      <c r="A528">
        <f>Skills!A3</f>
        <v/>
      </c>
      <c r="B528">
        <f>Skills!B3</f>
        <v/>
      </c>
      <c r="C528">
        <f>Inputs!$B$3&gt;=35</f>
        <v/>
      </c>
      <c r="D528">
        <f>IF(Skills!C3=1,60+Inputs!$B$24+Inputs!$B$28,IF(Skills!C3=2,90+Inputs!$B$25+Inputs!$B$28,IF(Skills!C3=3,120+Inputs!$B$26+Inputs!$B$28,MAX(0,(Inputs!$B$3-100)*3)+Inputs!$B$27+Inputs!$B$28)))</f>
        <v/>
      </c>
      <c r="E528">
        <f>INDEX(FactorTable!$B$2:$Y$301, MATCH(ROUND(MIN(300,MAX(1,D528)),0), FactorTable!$A$2:$A$301,0), Skills!M3+1)</f>
        <v/>
      </c>
      <c r="F528">
        <f>IF(Skills!N3=TRUE,(Skills!L3/10)*(E528/1000),Skills!L3/10)+Skills!O3</f>
        <v/>
      </c>
      <c r="G528">
        <f>Skills!G3*IF(Skills!H3&gt;0,Skills!I3/Skills!H3,1)</f>
        <v/>
      </c>
      <c r="H528">
        <f>1-(1-Skills!J3/100)^Skills!K3</f>
        <v/>
      </c>
      <c r="I528" t="inlineStr">
        <is>
          <t>1</t>
        </is>
      </c>
      <c r="J528">
        <f>(Inputs!$B$5*(1+Inputs!$B$6/100))*(F528/100)</f>
        <v/>
      </c>
      <c r="K528">
        <f>J528*(1+((Inputs!$B$11*(1+Inputs!$B$12/100))*0.01+Inputs!$B$13*0.0025)/100)*(1+Inputs!$B$14/100)*(1+IF(Inputs!$B$4="pvp",0,(1-Summary!$B$55)*(Inputs!$B$19+0+Skills!P3)+Summary!$B$55*(Inputs!$B$20+Skills!Q3))/100)*(1+Inputs!$B$15/100)*(5000/(6000+Inputs!$B$7*(1-(Inputs!$B$18+0)/100)))*(1+(Inputs!$B$23+((C551=TRUE)*(F551-Calc!F26))+B561)/100)*(1+4.0*IF(C540=TRUE,F540,0)/100)*(1+(IF(Skills!A3="EIGHT_LEGS_EASTON",Inputs!$B$16+((C548=TRUE)*(F548-Calc!F23))+((C552=TRUE)*(F552-Calc!F27)),Inputs!$B$17+0))/100)*((1+(((C542=TRUE)*F542)+((C549=TRUE)*(F549-Calc!F24)))/100)*I528)</f>
        <v/>
      </c>
      <c r="L528">
        <f>K528*(MIN(Inputs!$B$21+((C547=TRUE)*(F547-Calc!F22)),Inputs!$B$22+0)/100+(Inputs!$B$22+0)/100)/2</f>
        <v/>
      </c>
      <c r="M528">
        <f>L528*(1+(Inputs!$B$9+((C550=TRUE)*(F550-Calc!F25))+B560)/100)</f>
        <v/>
      </c>
      <c r="N528">
        <f>L528*(1-MIN((Inputs!$B$8+((C544=TRUE)*(F544-Calc!F19))+B555),100)/100)+M528*(MIN((Inputs!$B$8+((C544=TRUE)*(F544-Calc!F19))+B555),100)/100)</f>
        <v/>
      </c>
      <c r="O528">
        <f>IF(C528,H528*N528*IF(AND(Inputs!$B$4&lt;&gt;"pvp",Inputs!$B$35&gt;0),((Skills!G3*((R528-1)*IF(Skills!H3&gt;0,Skills!I3/Skills!H3,1)+IF(Skills!H3&gt;0,MIN(Skills!I3,MAX(0,Inputs!$B$35-((R528-1)*IF(Inputs!$B$4="pvp",15,MAX(0.1,Skills!D3-IF(Skills!E3=TRUE,Inputs!$B$31,0))))))/Skills!H3,1)))/Inputs!$B$35),G528*Q528)*IF(Inputs!$B$4="pvp",1,(1-Summary!$B$55)*(1)+Summary!$B$55*(MIN(Skills!R3,Inputs!$B$37))),0)</f>
        <v/>
      </c>
      <c r="P528">
        <f>IF(B563=0,0,O528/B563)</f>
        <v/>
      </c>
      <c r="Q528">
        <f>IFERROR(1/IF(Inputs!$B$4="pvp",15,MAX(0.1,Skills!D3-IF(Skills!E3=TRUE,Inputs!$B$31,0))),0)</f>
        <v/>
      </c>
      <c r="R528">
        <f>IF(AND(Inputs!$B$4&lt;&gt;"pvp",Inputs!$B$35&gt;0),(INT(Inputs!$B$35/IF(Inputs!$B$4="pvp",15,MAX(0.1,Skills!D3-IF(Skills!E3=TRUE,Inputs!$B$31,0))))+1),0)</f>
        <v/>
      </c>
      <c r="S528">
        <f>IFERROR(O528/N528,0)</f>
        <v/>
      </c>
      <c r="U528">
        <f>INDEX(FactorTable!$B$2:$Y$301, MATCH(ROUND(MIN(300,MAX(1,U527)),0), FactorTable!$A$2:$A$301,0), 22)</f>
        <v/>
      </c>
    </row>
    <row r="529">
      <c r="A529">
        <f>Skills!A4</f>
        <v/>
      </c>
      <c r="B529">
        <f>Skills!B4</f>
        <v/>
      </c>
      <c r="C529">
        <f>Inputs!$B$3&gt;=40</f>
        <v/>
      </c>
      <c r="D529">
        <f>IF(Skills!C4=1,60+Inputs!$B$24+Inputs!$B$28,IF(Skills!C4=2,90+Inputs!$B$25+Inputs!$B$28,IF(Skills!C4=3,120+Inputs!$B$26+Inputs!$B$28,MAX(0,(Inputs!$B$3-100)*3)+Inputs!$B$27+Inputs!$B$28)))</f>
        <v/>
      </c>
      <c r="E529">
        <f>INDEX(FactorTable!$B$2:$Y$301, MATCH(ROUND(MIN(300,MAX(1,D529)),0), FactorTable!$A$2:$A$301,0), Skills!M4+1)</f>
        <v/>
      </c>
      <c r="F529">
        <f>IF(Skills!N4=TRUE,(Skills!L4/10)*(E529/1000),Skills!L4/10)+Skills!O4</f>
        <v/>
      </c>
      <c r="G529">
        <f>Skills!G4*IF(Skills!H4&gt;0,Skills!I4/Skills!H4,1)</f>
        <v/>
      </c>
      <c r="H529">
        <f>1-(1-Skills!J4/100)^Skills!K4</f>
        <v/>
      </c>
      <c r="I529" t="inlineStr">
        <is>
          <t>1</t>
        </is>
      </c>
      <c r="J529">
        <f>(Inputs!$B$5*(1+Inputs!$B$6/100))*(F529/100)</f>
        <v/>
      </c>
      <c r="K529">
        <f>J529*(1+((Inputs!$B$11*(1+Inputs!$B$12/100))*0.01+Inputs!$B$13*0.0025)/100)*(1+Inputs!$B$14/100)*(1+IF(Inputs!$B$4="pvp",0,(1-Summary!$B$55)*(Inputs!$B$19+0+Skills!P4)+Summary!$B$55*(Inputs!$B$20+Skills!Q4))/100)*(1+Inputs!$B$15/100)*(5000/(6000+Inputs!$B$7*(1-(Inputs!$B$18+0)/100)))*(1+(Inputs!$B$23+((C551=TRUE)*(F551-Calc!F26))+B561)/100)*(1+1.0*IF(C541=TRUE,F541,0)/100)*(1+(IF(Skills!A4="EIGHT_LEGS_EASTON",Inputs!$B$16+((C548=TRUE)*(F548-Calc!F23))+((C552=TRUE)*(F552-Calc!F27)),Inputs!$B$17+0))/100)*((1+(((C542=TRUE)*F542)+((C549=TRUE)*(F549-Calc!F24)))/100)*I529)</f>
        <v/>
      </c>
      <c r="L529">
        <f>K529*(MIN(Inputs!$B$21+((C547=TRUE)*(F547-Calc!F22)),Inputs!$B$22+0)/100+(Inputs!$B$22+0)/100)/2</f>
        <v/>
      </c>
      <c r="M529">
        <f>L529*(1+(Inputs!$B$9+((C550=TRUE)*(F550-Calc!F25))+B560)/100)</f>
        <v/>
      </c>
      <c r="N529">
        <f>L529*(1-MIN((Inputs!$B$8+((C544=TRUE)*(F544-Calc!F19))+B555),100)/100)+M529*(MIN((Inputs!$B$8+((C544=TRUE)*(F544-Calc!F19))+B555),100)/100)</f>
        <v/>
      </c>
      <c r="O529">
        <f>IF(C529,H529*N529*IF(AND(Inputs!$B$4&lt;&gt;"pvp",Inputs!$B$35&gt;0),((Skills!G4*((R529-1)*IF(Skills!H4&gt;0,Skills!I4/Skills!H4,1)+IF(Skills!H4&gt;0,MIN(Skills!I4,MAX(0,Inputs!$B$35-((R529-1)*IF(Inputs!$B$4="pvp",15,MAX(0.1,Skills!D4-IF(Skills!E4=TRUE,Inputs!$B$31,0))))))/Skills!H4,1)))/Inputs!$B$35),G529*Q529)*IF(Inputs!$B$4="pvp",1,(1-Summary!$B$55)*(1)+Summary!$B$55*(MIN(Skills!R4,Inputs!$B$37))),0)</f>
        <v/>
      </c>
      <c r="P529">
        <f>IF(B563=0,0,O529/B563)</f>
        <v/>
      </c>
      <c r="Q529">
        <f>IFERROR(1/IF(Inputs!$B$4="pvp",15,MAX(0.1,Skills!D4-IF(Skills!E4=TRUE,Inputs!$B$31,0))),0)</f>
        <v/>
      </c>
      <c r="R529">
        <f>IF(AND(Inputs!$B$4&lt;&gt;"pvp",Inputs!$B$35&gt;0),(INT(Inputs!$B$35/IF(Inputs!$B$4="pvp",15,MAX(0.1,Skills!D4-IF(Skills!E4=TRUE,Inputs!$B$31,0))))+1),0)</f>
        <v/>
      </c>
      <c r="S529">
        <f>IFERROR(O529/N529,0)</f>
        <v/>
      </c>
      <c r="U529">
        <f>290*U528/1000</f>
        <v/>
      </c>
    </row>
    <row r="530">
      <c r="A530">
        <f>Skills!A5</f>
        <v/>
      </c>
      <c r="B530">
        <f>Skills!B5</f>
        <v/>
      </c>
      <c r="C530">
        <f>Inputs!$B$3&gt;=45</f>
        <v/>
      </c>
      <c r="D530">
        <f>IF(Skills!C5=1,60+Inputs!$B$24+Inputs!$B$28,IF(Skills!C5=2,90+Inputs!$B$25+Inputs!$B$28,IF(Skills!C5=3,120+Inputs!$B$26+Inputs!$B$28,MAX(0,(Inputs!$B$3-100)*3)+Inputs!$B$27+Inputs!$B$28)))</f>
        <v/>
      </c>
      <c r="E530">
        <f>INDEX(FactorTable!$B$2:$Y$301, MATCH(ROUND(MIN(300,MAX(1,D530)),0), FactorTable!$A$2:$A$301,0), Skills!M5+1)</f>
        <v/>
      </c>
      <c r="F530">
        <f>IF(Skills!N5=TRUE,(Skills!L5/10)*(E530/1000),Skills!L5/10)+Skills!O5</f>
        <v/>
      </c>
      <c r="G530">
        <f>Skills!G5*IF(Skills!H5&gt;0,Skills!I5/Skills!H5,1)</f>
        <v/>
      </c>
      <c r="H530">
        <f>1-(1-Skills!J5/100)^Skills!K5</f>
        <v/>
      </c>
      <c r="I530" t="inlineStr">
        <is>
          <t>1</t>
        </is>
      </c>
      <c r="J530">
        <f>(Inputs!$B$5*(1+Inputs!$B$6/100))*(F530/100)</f>
        <v/>
      </c>
      <c r="K530">
        <f>J530*(1+((Inputs!$B$11*(1+Inputs!$B$12/100))*0.01+Inputs!$B$13*0.0025)/100)*(1+Inputs!$B$14/100)*(1+IF(Inputs!$B$4="pvp",0,(1-Summary!$B$55)*(Inputs!$B$19+0+Skills!P5)+Summary!$B$55*(Inputs!$B$20+Skills!Q5))/100)*(1+Inputs!$B$15/100)*(5000/(6000+Inputs!$B$7*(1-(Inputs!$B$18+0)/100)))*(1+(Inputs!$B$23+((C551=TRUE)*(F551-Calc!F26))+B561)/100)*(1+0.4*IF(C541=TRUE,F541,0)/100)*(1+(IF(Skills!A5="EIGHT_LEGS_EASTON",Inputs!$B$16+((C548=TRUE)*(F548-Calc!F23))+((C552=TRUE)*(F552-Calc!F27)),Inputs!$B$17+0))/100)*((1+(((C542=TRUE)*F542)+((C549=TRUE)*(F549-Calc!F24)))/100)*I530)</f>
        <v/>
      </c>
      <c r="L530">
        <f>K530*(MIN(Inputs!$B$21+((C547=TRUE)*(F547-Calc!F22)),Inputs!$B$22+0)/100+(Inputs!$B$22+0)/100)/2</f>
        <v/>
      </c>
      <c r="M530">
        <f>L530*(1+(Inputs!$B$9+((C550=TRUE)*(F550-Calc!F25))+B560)/100)</f>
        <v/>
      </c>
      <c r="N530">
        <f>L530*(1-MIN((Inputs!$B$8+((C544=TRUE)*(F544-Calc!F19))+B555),100)/100)+M530*(MIN((Inputs!$B$8+((C544=TRUE)*(F544-Calc!F19))+B555),100)/100)</f>
        <v/>
      </c>
      <c r="O530">
        <f>IF(C530,H530*N530*IF(AND(Inputs!$B$4&lt;&gt;"pvp",Inputs!$B$35&gt;0),((Skills!G5*((R530-1)*IF(Skills!H5&gt;0,Skills!I5/Skills!H5,1)+IF(Skills!H5&gt;0,MIN(Skills!I5,MAX(0,Inputs!$B$35-((R530-1)*IF(Inputs!$B$4="pvp",15,MAX(0.1,Skills!D5-IF(Skills!E5=TRUE,Inputs!$B$31,0))))))/Skills!H5,1)))/Inputs!$B$35),G530*Q530)*IF(Inputs!$B$4="pvp",1,(1-Summary!$B$55)*(1)+Summary!$B$55*(MIN(Skills!R5,Inputs!$B$37))),0)</f>
        <v/>
      </c>
      <c r="P530">
        <f>IF(B563=0,0,O530/B563)</f>
        <v/>
      </c>
      <c r="Q530">
        <f>IFERROR(1/IF(Inputs!$B$4="pvp",15,MAX(0.1,Skills!D5-IF(Skills!E5=TRUE,Inputs!$B$31,0))),0)</f>
        <v/>
      </c>
      <c r="R530">
        <f>IF(AND(Inputs!$B$4&lt;&gt;"pvp",Inputs!$B$35&gt;0),(INT(Inputs!$B$35/IF(Inputs!$B$4="pvp",15,MAX(0.1,Skills!D5-IF(Skills!E5=TRUE,Inputs!$B$31,0))))+1),0)</f>
        <v/>
      </c>
      <c r="S530">
        <f>IFERROR(O530/N530,0)</f>
        <v/>
      </c>
    </row>
    <row r="531">
      <c r="A531">
        <f>Skills!A6</f>
        <v/>
      </c>
      <c r="B531">
        <f>Skills!B6</f>
        <v/>
      </c>
      <c r="C531">
        <f>Inputs!$B$3&gt;=63</f>
        <v/>
      </c>
      <c r="D531">
        <f>IF(Skills!C6=1,60+Inputs!$B$24+Inputs!$B$28,IF(Skills!C6=2,90+Inputs!$B$25+Inputs!$B$28,IF(Skills!C6=3,120+Inputs!$B$26+Inputs!$B$28,MAX(0,(Inputs!$B$3-100)*3)+Inputs!$B$27+Inputs!$B$28)))</f>
        <v/>
      </c>
      <c r="E531">
        <f>INDEX(FactorTable!$B$2:$Y$301, MATCH(ROUND(MIN(300,MAX(1,D531)),0), FactorTable!$A$2:$A$301,0), Skills!M6+1)</f>
        <v/>
      </c>
      <c r="F531">
        <f>IF(Skills!N6=TRUE,(Skills!L6/10)*(E531/1000),Skills!L6/10)+Skills!O6</f>
        <v/>
      </c>
      <c r="G531">
        <f>Skills!G6*IF(Skills!H6&gt;0,Skills!I6/Skills!H6,1)</f>
        <v/>
      </c>
      <c r="H531">
        <f>1-(1-Skills!J6/100)^Skills!K6</f>
        <v/>
      </c>
      <c r="I531" t="inlineStr">
        <is>
          <t>1</t>
        </is>
      </c>
      <c r="J531">
        <f>(Inputs!$B$5*(1+Inputs!$B$6/100))*(F531/100)</f>
        <v/>
      </c>
      <c r="K531">
        <f>J531*(1+((Inputs!$B$11*(1+Inputs!$B$12/100))*0.01+Inputs!$B$13*0.0025)/100)*(1+Inputs!$B$14/100)*(1+IF(Inputs!$B$4="pvp",0,(1-Summary!$B$55)*(Inputs!$B$19+0+Skills!P6)+Summary!$B$55*(Inputs!$B$20+Skills!Q6))/100)*(1+Inputs!$B$15/100)*(5000/(6000+Inputs!$B$7*(1-(Inputs!$B$18+0)/100)))*(1+(Inputs!$B$23+((C551=TRUE)*(F551-Calc!F26))+B561)/100)*(1+2.0*IF(C540=TRUE,F540,0)/100)*(1+(IF(Skills!A6="EIGHT_LEGS_EASTON",Inputs!$B$16+((C548=TRUE)*(F548-Calc!F23))+((C552=TRUE)*(F552-Calc!F27)),Inputs!$B$17+0))/100)*((1+(((C542=TRUE)*F542)+((C549=TRUE)*(F549-Calc!F24)))/100)*I531)</f>
        <v/>
      </c>
      <c r="L531">
        <f>K531*(MIN(Inputs!$B$21+((C547=TRUE)*(F547-Calc!F22)),Inputs!$B$22+0)/100+(Inputs!$B$22+0)/100)/2</f>
        <v/>
      </c>
      <c r="M531">
        <f>L531*(1+(Inputs!$B$9+((C550=TRUE)*(F550-Calc!F25))+B560)/100)</f>
        <v/>
      </c>
      <c r="N531">
        <f>L531*(1-MIN((Inputs!$B$8+((C544=TRUE)*(F544-Calc!F19))+B555),100)/100)+M531*(MIN((Inputs!$B$8+((C544=TRUE)*(F544-Calc!F19))+B555),100)/100)</f>
        <v/>
      </c>
      <c r="O531">
        <f>IF(C531,H531*N531*IF(AND(Inputs!$B$4&lt;&gt;"pvp",Inputs!$B$35&gt;0),((Skills!G6*((R531-1)*IF(Skills!H6&gt;0,Skills!I6/Skills!H6,1)+IF(Skills!H6&gt;0,MIN(Skills!I6,MAX(0,Inputs!$B$35-((R531-1)*IF(Inputs!$B$4="pvp",15,MAX(0.1,Skills!D6-IF(Skills!E6=TRUE,Inputs!$B$31,0))))))/Skills!H6,1)))/Inputs!$B$35),G531*Q531)*IF(Inputs!$B$4="pvp",1,(1-Summary!$B$55)*(1)+Summary!$B$55*(MIN(Skills!R6,Inputs!$B$37))),0)</f>
        <v/>
      </c>
      <c r="P531">
        <f>IF(B563=0,0,O531/B563)</f>
        <v/>
      </c>
      <c r="Q531">
        <f>IFERROR(1/IF(Inputs!$B$4="pvp",15,MAX(0.1,Skills!D6-IF(Skills!E6=TRUE,Inputs!$B$31,0))),0)</f>
        <v/>
      </c>
      <c r="R531">
        <f>IF(AND(Inputs!$B$4&lt;&gt;"pvp",Inputs!$B$35&gt;0),(INT(Inputs!$B$35/IF(Inputs!$B$4="pvp",15,MAX(0.1,Skills!D6-IF(Skills!E6=TRUE,Inputs!$B$31,0))))+1),0)</f>
        <v/>
      </c>
      <c r="S531">
        <f>IFERROR(O531/N531,0)</f>
        <v/>
      </c>
    </row>
    <row r="532">
      <c r="A532">
        <f>Skills!A7</f>
        <v/>
      </c>
      <c r="B532">
        <f>Skills!B7</f>
        <v/>
      </c>
      <c r="C532">
        <f>Inputs!$B$3&gt;=66</f>
        <v/>
      </c>
      <c r="D532">
        <f>IF(Skills!C7=1,60+Inputs!$B$24+Inputs!$B$28,IF(Skills!C7=2,90+Inputs!$B$25+Inputs!$B$28,IF(Skills!C7=3,120+Inputs!$B$26+Inputs!$B$28,MAX(0,(Inputs!$B$3-100)*3)+Inputs!$B$27+Inputs!$B$28)))</f>
        <v/>
      </c>
      <c r="E532">
        <f>INDEX(FactorTable!$B$2:$Y$301, MATCH(ROUND(MIN(300,MAX(1,D532)),0), FactorTable!$A$2:$A$301,0), Skills!M7+1)</f>
        <v/>
      </c>
      <c r="F532">
        <f>IF(Skills!N7=TRUE,(Skills!L7/10)*(E532/1000),Skills!L7/10)+Skills!O7</f>
        <v/>
      </c>
      <c r="G532">
        <f>Skills!G7*IF(Skills!H7&gt;0,Skills!I7/Skills!H7,1)</f>
        <v/>
      </c>
      <c r="H532">
        <f>1-(1-Skills!J7/100)^Skills!K7</f>
        <v/>
      </c>
      <c r="I532" t="inlineStr">
        <is>
          <t>1</t>
        </is>
      </c>
      <c r="J532">
        <f>(Inputs!$B$5*(1+Inputs!$B$6/100))*(F532/100)</f>
        <v/>
      </c>
      <c r="K532">
        <f>J532*(1+((Inputs!$B$11*(1+Inputs!$B$12/100))*0.01+Inputs!$B$13*0.0025)/100)*(1+Inputs!$B$14/100)*(1+IF(Inputs!$B$4="pvp",0,(1-Summary!$B$55)*(Inputs!$B$19+0+Skills!P7)+Summary!$B$55*(Inputs!$B$20+Skills!Q7))/100)*(1+Inputs!$B$15/100)*(5000/(6000+Inputs!$B$7*(1-(Inputs!$B$18+0)/100)))*(1+(Inputs!$B$23+((C551=TRUE)*(F551-Calc!F26))+B561)/100)*(1+1.0*IF(C540=TRUE,F540,0)/100)*(1+(IF(Skills!A7="EIGHT_LEGS_EASTON",Inputs!$B$16+((C548=TRUE)*(F548-Calc!F23))+((C552=TRUE)*(F552-Calc!F27)),Inputs!$B$17+0))/100)*((1+(((C542=TRUE)*F542)+((C549=TRUE)*(F549-Calc!F24)))/100)*I532)</f>
        <v/>
      </c>
      <c r="L532">
        <f>K532*(MIN(Inputs!$B$21+((C547=TRUE)*(F547-Calc!F22)),Inputs!$B$22+0)/100+(Inputs!$B$22+0)/100)/2</f>
        <v/>
      </c>
      <c r="M532">
        <f>L532*(1+(Inputs!$B$9+((C550=TRUE)*(F550-Calc!F25))+B560)/100)</f>
        <v/>
      </c>
      <c r="N532">
        <f>L532*(1-MIN((Inputs!$B$8+((C544=TRUE)*(F544-Calc!F19))+B555),100)/100)+M532*(MIN((Inputs!$B$8+((C544=TRUE)*(F544-Calc!F19))+B555),100)/100)</f>
        <v/>
      </c>
      <c r="O532">
        <f>IF(C532,H532*N532*IF(AND(Inputs!$B$4&lt;&gt;"pvp",Inputs!$B$35&gt;0),((Skills!G7*((R532-1)*IF(Skills!H7&gt;0,Skills!I7/Skills!H7,1)+IF(Skills!H7&gt;0,MIN(Skills!I7,MAX(0,Inputs!$B$35-((R532-1)*IF(Inputs!$B$4="pvp",15,MAX(0.1,Skills!D7-IF(Skills!E7=TRUE,Inputs!$B$31,0))))))/Skills!H7,1)))/Inputs!$B$35),G532*Q532)*IF(Inputs!$B$4="pvp",1,(1-Summary!$B$55)*(1)+Summary!$B$55*(MIN(Skills!R7,Inputs!$B$37))),0)</f>
        <v/>
      </c>
      <c r="P532">
        <f>IF(B563=0,0,O532/B563)</f>
        <v/>
      </c>
      <c r="Q532">
        <f>IFERROR(1/IF(Inputs!$B$4="pvp",15,MAX(0.1,Skills!D7-IF(Skills!E7=TRUE,Inputs!$B$31,0))),0)</f>
        <v/>
      </c>
      <c r="R532">
        <f>IF(AND(Inputs!$B$4&lt;&gt;"pvp",Inputs!$B$35&gt;0),(INT(Inputs!$B$35/IF(Inputs!$B$4="pvp",15,MAX(0.1,Skills!D7-IF(Skills!E7=TRUE,Inputs!$B$31,0))))+1),0)</f>
        <v/>
      </c>
      <c r="S532">
        <f>IFERROR(O532/N532,0)</f>
        <v/>
      </c>
    </row>
    <row r="533">
      <c r="A533">
        <f>Skills!A8</f>
        <v/>
      </c>
      <c r="B533">
        <f>Skills!B8</f>
        <v/>
      </c>
      <c r="C533">
        <f>Inputs!$B$3&gt;=100</f>
        <v/>
      </c>
      <c r="D533">
        <f>IF(Skills!C8=1,60+Inputs!$B$24+Inputs!$B$28,IF(Skills!C8=2,90+Inputs!$B$25+Inputs!$B$28,IF(Skills!C8=3,120+Inputs!$B$26+Inputs!$B$28,MAX(0,(Inputs!$B$3-100)*3)+Inputs!$B$27+Inputs!$B$28)))</f>
        <v/>
      </c>
      <c r="E533">
        <f>INDEX(FactorTable!$B$2:$Y$301, MATCH(ROUND(MIN(300,MAX(1,D533)),0), FactorTable!$A$2:$A$301,0), Skills!M8+1)</f>
        <v/>
      </c>
      <c r="F533">
        <f>IF(Skills!N8=TRUE,(Skills!L8/10)*(E533/1000),Skills!L8/10)+Skills!O8</f>
        <v/>
      </c>
      <c r="G533">
        <f>Skills!G8*IF(Skills!H8&gt;0,Skills!I8/Skills!H8,1)</f>
        <v/>
      </c>
      <c r="H533">
        <f>1-(1-Skills!J8/100)^Skills!K8</f>
        <v/>
      </c>
      <c r="I533" t="inlineStr">
        <is>
          <t>1</t>
        </is>
      </c>
      <c r="J533">
        <f>(Inputs!$B$5*(1+Inputs!$B$6/100))*(F533/100)</f>
        <v/>
      </c>
      <c r="K533">
        <f>J533*(1+((Inputs!$B$11*(1+Inputs!$B$12/100))*0.01+Inputs!$B$13*0.0025)/100)*(1+Inputs!$B$14/100)*(1+IF(Inputs!$B$4="pvp",0,(1-Summary!$B$55)*(Inputs!$B$19+0+Skills!P8)+Summary!$B$55*(Inputs!$B$20+Skills!Q8))/100)*(1+Inputs!$B$15/100)*(5000/(6000+Inputs!$B$7*(1-(Inputs!$B$18+0)/100)))*(1+(Inputs!$B$23+((C551=TRUE)*(F551-Calc!F26))+B561)/100)*(1+(IF(Skills!A8="EIGHT_LEGS_EASTON",Inputs!$B$16+((C548=TRUE)*(F548-Calc!F23))+((C552=TRUE)*(F552-Calc!F27)),Inputs!$B$17+0))/100)*((1+(((C542=TRUE)*F542)+((C549=TRUE)*(F549-Calc!F24)))/100)*I533)</f>
        <v/>
      </c>
      <c r="L533">
        <f>K533*(MIN(Inputs!$B$21+((C547=TRUE)*(F547-Calc!F22)),Inputs!$B$22+0)/100+(Inputs!$B$22+0)/100)/2</f>
        <v/>
      </c>
      <c r="M533">
        <f>L533*(1+(Inputs!$B$9+((C550=TRUE)*(F550-Calc!F25))+B560)/100)</f>
        <v/>
      </c>
      <c r="N533">
        <f>L533*(1-MIN((Inputs!$B$8+((C544=TRUE)*(F544-Calc!F19))+B555),100)/100)+M533*(MIN((Inputs!$B$8+((C544=TRUE)*(F544-Calc!F19))+B555),100)/100)</f>
        <v/>
      </c>
      <c r="O533">
        <f>IF(C533,H533*N533*IF(AND(Inputs!$B$4&lt;&gt;"pvp",Inputs!$B$35&gt;0),((Skills!G8*((R533-1)*IF(Skills!H8&gt;0,Skills!I8/Skills!H8,1)+IF(Skills!H8&gt;0,MIN(Skills!I8,MAX(0,Inputs!$B$35-((R533-1)*IF(Inputs!$B$4="pvp",15,MAX(0.1,Skills!D8-IF(Skills!E8=TRUE,Inputs!$B$31,0))))))/Skills!H8,1)))/Inputs!$B$35),G533*Q533)*IF(Inputs!$B$4="pvp",1,(1-Summary!$B$55)*(1)+Summary!$B$55*(MIN(Skills!R8,Inputs!$B$37))),0)</f>
        <v/>
      </c>
      <c r="P533">
        <f>IF(B563=0,0,O533/B563)</f>
        <v/>
      </c>
      <c r="Q533">
        <f>IFERROR(1/IF(Inputs!$B$4="pvp",15,MAX(0.1,Skills!D8-IF(Skills!E8=TRUE,Inputs!$B$31,0))),0)</f>
        <v/>
      </c>
      <c r="R533">
        <f>IF(AND(Inputs!$B$4&lt;&gt;"pvp",Inputs!$B$35&gt;0),(INT(Inputs!$B$35/IF(Inputs!$B$4="pvp",15,MAX(0.1,Skills!D8-IF(Skills!E8=TRUE,Inputs!$B$31,0))))+1),0)</f>
        <v/>
      </c>
      <c r="S533">
        <f>IFERROR(O533/N533,0)</f>
        <v/>
      </c>
    </row>
    <row r="534">
      <c r="A534">
        <f>Skills!A9</f>
        <v/>
      </c>
      <c r="B534">
        <f>Skills!B9</f>
        <v/>
      </c>
      <c r="C534">
        <f>Inputs!$B$3&gt;=103</f>
        <v/>
      </c>
      <c r="D534">
        <f>IF(Skills!C9=1,60+Inputs!$B$24+Inputs!$B$28,IF(Skills!C9=2,90+Inputs!$B$25+Inputs!$B$28,IF(Skills!C9=3,120+Inputs!$B$26+Inputs!$B$28,MAX(0,(Inputs!$B$3-100)*3)+Inputs!$B$27+Inputs!$B$28)))</f>
        <v/>
      </c>
      <c r="E534">
        <f>INDEX(FactorTable!$B$2:$Y$301, MATCH(ROUND(MIN(300,MAX(1,D534)),0), FactorTable!$A$2:$A$301,0), Skills!M9+1)</f>
        <v/>
      </c>
      <c r="F534">
        <f>IF(Skills!N9=TRUE,(Skills!L9/10)*(E534/1000),Skills!L9/10)+Skills!O9</f>
        <v/>
      </c>
      <c r="G534">
        <f>Skills!G9*IF(Skills!H9&gt;0,Skills!I9/Skills!H9,1)</f>
        <v/>
      </c>
      <c r="H534">
        <f>1-(1-Skills!J9/100)^Skills!K9</f>
        <v/>
      </c>
      <c r="I534" t="inlineStr">
        <is>
          <t>1</t>
        </is>
      </c>
      <c r="J534">
        <f>(Inputs!$B$5*(1+Inputs!$B$6/100))*(F534/100)</f>
        <v/>
      </c>
      <c r="K534">
        <f>J534*(1+((Inputs!$B$11*(1+Inputs!$B$12/100))*0.01+Inputs!$B$13*0.0025)/100)*(1+Inputs!$B$14/100)*(1+IF(Inputs!$B$4="pvp",0,(1-Summary!$B$55)*(Inputs!$B$19+0+Skills!P9)+Summary!$B$55*(Inputs!$B$20+Skills!Q9))/100)*(1+Inputs!$B$15/100)*(5000/(6000+Inputs!$B$7*(1-(Inputs!$B$18+0)/100)))*(1+(Inputs!$B$23+((C551=TRUE)*(F551-Calc!F26))+B561)/100)*(1+(IF(Skills!A9="EIGHT_LEGS_EASTON",Inputs!$B$16+((C548=TRUE)*(F548-Calc!F23))+((C552=TRUE)*(F552-Calc!F27)),Inputs!$B$17+0))/100)*((1+(((C542=TRUE)*F542)+((C549=TRUE)*(F549-Calc!F24)))/100)*I534)</f>
        <v/>
      </c>
      <c r="L534">
        <f>K534*(MIN(Inputs!$B$21+((C547=TRUE)*(F547-Calc!F22)),Inputs!$B$22+0)/100+(Inputs!$B$22+0)/100)/2</f>
        <v/>
      </c>
      <c r="M534">
        <f>L534*(1+(Inputs!$B$9+((C550=TRUE)*(F550-Calc!F25))+B560)/100)</f>
        <v/>
      </c>
      <c r="N534">
        <f>L534*(1-MIN((Inputs!$B$8+((C544=TRUE)*(F544-Calc!F19))+B555),100)/100)+M534*(MIN((Inputs!$B$8+((C544=TRUE)*(F544-Calc!F19))+B555),100)/100)</f>
        <v/>
      </c>
      <c r="O534">
        <f>IF(C534,H534*N534*IF(AND(Inputs!$B$4&lt;&gt;"pvp",Inputs!$B$35&gt;0),((Skills!G9*((R534-1)*IF(Skills!H9&gt;0,Skills!I9/Skills!H9,1)+IF(Skills!H9&gt;0,MIN(Skills!I9,MAX(0,Inputs!$B$35-((R534-1)*IF(Inputs!$B$4="pvp",15,MAX(0.1,Skills!D9-IF(Skills!E9=TRUE,Inputs!$B$31,0))))))/Skills!H9,1)))/Inputs!$B$35),G534*Q534)*IF(Inputs!$B$4="pvp",1,(1-Summary!$B$55)*(1)+Summary!$B$55*(MIN(Skills!R9,Inputs!$B$37))),0)</f>
        <v/>
      </c>
      <c r="P534">
        <f>IF(B563=0,0,O534/B563)</f>
        <v/>
      </c>
      <c r="Q534">
        <f>IFERROR(1/IF(Inputs!$B$4="pvp",15,MAX(0.1,Skills!D9-IF(Skills!E9=TRUE,Inputs!$B$31,0))),0)</f>
        <v/>
      </c>
      <c r="R534">
        <f>IF(AND(Inputs!$B$4&lt;&gt;"pvp",Inputs!$B$35&gt;0),(INT(Inputs!$B$35/IF(Inputs!$B$4="pvp",15,MAX(0.1,Skills!D9-IF(Skills!E9=TRUE,Inputs!$B$31,0))))+1),0)</f>
        <v/>
      </c>
      <c r="S534">
        <f>IFERROR(O534/N534,0)</f>
        <v/>
      </c>
    </row>
    <row r="535">
      <c r="A535">
        <f>Skills!A10</f>
        <v/>
      </c>
      <c r="B535">
        <f>Skills!B10</f>
        <v/>
      </c>
      <c r="C535">
        <f>Inputs!$B$3&gt;=113</f>
        <v/>
      </c>
      <c r="D535">
        <f>IF(Skills!C10=1,60+Inputs!$B$24+Inputs!$B$28,IF(Skills!C10=2,90+Inputs!$B$25+Inputs!$B$28,IF(Skills!C10=3,120+Inputs!$B$26+Inputs!$B$28,MAX(0,(Inputs!$B$3-100)*3)+Inputs!$B$27+Inputs!$B$28)))</f>
        <v/>
      </c>
      <c r="E535">
        <f>INDEX(FactorTable!$B$2:$Y$301, MATCH(ROUND(MIN(300,MAX(1,D535)),0), FactorTable!$A$2:$A$301,0), Skills!M10+1)</f>
        <v/>
      </c>
      <c r="F535">
        <f>IF(Skills!N10=TRUE,(Skills!L10/10)*(E535/1000),Skills!L10/10)+Skills!O10</f>
        <v/>
      </c>
      <c r="G535">
        <f>Skills!G10*IF(Skills!H10&gt;0,Skills!I10/Skills!H10,1)</f>
        <v/>
      </c>
      <c r="H535">
        <f>1-(1-Skills!J10/100)^Skills!K10</f>
        <v/>
      </c>
      <c r="I535" t="inlineStr">
        <is>
          <t>1</t>
        </is>
      </c>
      <c r="J535">
        <f>(Inputs!$B$5*(1+Inputs!$B$6/100))*(F535/100)</f>
        <v/>
      </c>
      <c r="K535">
        <f>J535*(1+((Inputs!$B$11*(1+Inputs!$B$12/100))*0.01+Inputs!$B$13*0.0025)/100)*(1+Inputs!$B$14/100)*(1+IF(Inputs!$B$4="pvp",0,(1-Summary!$B$55)*(Inputs!$B$19+0+Skills!P10)+Summary!$B$55*(Inputs!$B$20+Skills!Q10))/100)*(1+Inputs!$B$15/100)*(5000/(6000+Inputs!$B$7*(1-(Inputs!$B$18+0)/100)))*(1+(Inputs!$B$23+((C551=TRUE)*(F551-Calc!F26))+B561)/100)*(1+(IF(Skills!A10="EIGHT_LEGS_EASTON",Inputs!$B$16+((C548=TRUE)*(F548-Calc!F23))+((C552=TRUE)*(F552-Calc!F27)),Inputs!$B$17+0))/100)*((1+(((C542=TRUE)*F542)+((C549=TRUE)*(F549-Calc!F24)))/100)*I535)</f>
        <v/>
      </c>
      <c r="L535">
        <f>K535*(MIN(Inputs!$B$21+((C547=TRUE)*(F547-Calc!F22)),Inputs!$B$22+0)/100+(Inputs!$B$22+0)/100)/2</f>
        <v/>
      </c>
      <c r="M535">
        <f>L535*(1+(Inputs!$B$9+((C550=TRUE)*(F550-Calc!F25))+B560)/100)</f>
        <v/>
      </c>
      <c r="N535">
        <f>L535*(1-MIN((Inputs!$B$8+((C544=TRUE)*(F544-Calc!F19))+B555),100)/100)+M535*(MIN((Inputs!$B$8+((C544=TRUE)*(F544-Calc!F19))+B555),100)/100)</f>
        <v/>
      </c>
      <c r="O535">
        <f>IF(C535,H535*N535*IF(AND(Inputs!$B$4&lt;&gt;"pvp",Inputs!$B$35&gt;0),((Skills!G10*((R535-1)*IF(Skills!H10&gt;0,Skills!I10/Skills!H10,1)+IF(Skills!H10&gt;0,MIN(Skills!I10,MAX(0,Inputs!$B$35-((R535-1)*IF(Inputs!$B$4="pvp",15,MAX(0.1,Skills!D10-IF(Skills!E10=TRUE,Inputs!$B$31,0))))))/Skills!H10,1)))/Inputs!$B$35),G535*Q535)*IF(Inputs!$B$4="pvp",1,(1-Summary!$B$55)*(1)+Summary!$B$55*(MIN(Skills!R10,Inputs!$B$37))),0)</f>
        <v/>
      </c>
      <c r="P535">
        <f>IF(B563=0,0,O535/B563)</f>
        <v/>
      </c>
      <c r="Q535">
        <f>IFERROR(1/IF(Inputs!$B$4="pvp",15,MAX(0.1,Skills!D10-IF(Skills!E10=TRUE,Inputs!$B$31,0))),0)</f>
        <v/>
      </c>
      <c r="R535">
        <f>IF(AND(Inputs!$B$4&lt;&gt;"pvp",Inputs!$B$35&gt;0),(INT(Inputs!$B$35/IF(Inputs!$B$4="pvp",15,MAX(0.1,Skills!D10-IF(Skills!E10=TRUE,Inputs!$B$31,0))))+1),0)</f>
        <v/>
      </c>
      <c r="S535">
        <f>IFERROR(O535/N535,0)</f>
        <v/>
      </c>
    </row>
    <row r="536">
      <c r="A536">
        <f>Skills!A11</f>
        <v/>
      </c>
      <c r="B536">
        <f>Skills!B11</f>
        <v/>
      </c>
      <c r="C536">
        <f>Inputs!$B$3&gt;=107</f>
        <v/>
      </c>
      <c r="D536">
        <f>IF(Skills!C11=1,60+Inputs!$B$24+Inputs!$B$28,IF(Skills!C11=2,90+Inputs!$B$25+Inputs!$B$28,IF(Skills!C11=3,120+Inputs!$B$26+Inputs!$B$28,MAX(0,(Inputs!$B$3-100)*3)+Inputs!$B$27+Inputs!$B$28)))</f>
        <v/>
      </c>
      <c r="E536">
        <f>INDEX(FactorTable!$B$2:$Y$301, MATCH(ROUND(MIN(300,MAX(1,D536)),0), FactorTable!$A$2:$A$301,0), Skills!M11+1)</f>
        <v/>
      </c>
      <c r="F536">
        <f>IF(Skills!N11=TRUE,(Skills!L11/10)*(E536/1000),Skills!L11/10)+Skills!O11</f>
        <v/>
      </c>
      <c r="G536">
        <f>Skills!G11*IF(Skills!H11&gt;0,Skills!I11/Skills!H11,1)</f>
        <v/>
      </c>
      <c r="H536">
        <f>1-(1-Skills!J11/100)^Skills!K11</f>
        <v/>
      </c>
      <c r="I536" t="inlineStr">
        <is>
          <t>1</t>
        </is>
      </c>
      <c r="J536">
        <f>(Inputs!$B$5*(1+Inputs!$B$6/100))*(F536/100)</f>
        <v/>
      </c>
      <c r="K536">
        <f>J536*(1+((Inputs!$B$11*(1+Inputs!$B$12/100))*0.01+Inputs!$B$13*0.0025)/100)*(1+Inputs!$B$14/100)*(1+IF(Inputs!$B$4="pvp",0,(1-Summary!$B$55)*(Inputs!$B$19+0+Skills!P11)+Summary!$B$55*(Inputs!$B$20+Skills!Q11))/100)*(1+Inputs!$B$15/100)*(5000/(6000+Inputs!$B$7*(1-(Inputs!$B$18+0)/100)))*(1+(Inputs!$B$23+((C551=TRUE)*(F551-Calc!F26))+B561)/100)*(1+(IF(Skills!A11="EIGHT_LEGS_EASTON",Inputs!$B$16+((C548=TRUE)*(F548-Calc!F23))+((C552=TRUE)*(F552-Calc!F27)),Inputs!$B$17+0))/100)*((1+(((C542=TRUE)*F542)+((C549=TRUE)*(F549-Calc!F24)))/100)*I536)</f>
        <v/>
      </c>
      <c r="L536">
        <f>K536*(MIN(Inputs!$B$21+((C547=TRUE)*(F547-Calc!F22)),Inputs!$B$22+0)/100+(Inputs!$B$22+0)/100)/2</f>
        <v/>
      </c>
      <c r="M536">
        <f>L536*(1+(Inputs!$B$9+((C550=TRUE)*(F550-Calc!F25))+B560)/100)</f>
        <v/>
      </c>
      <c r="N536">
        <f>L536*(1-MIN((Inputs!$B$8+((C544=TRUE)*(F544-Calc!F19))+B555),100)/100)+M536*(MIN((Inputs!$B$8+((C544=TRUE)*(F544-Calc!F19))+B555),100)/100)</f>
        <v/>
      </c>
      <c r="O536">
        <f>IF(C536,H536*N536*IF(AND(Inputs!$B$4&lt;&gt;"pvp",Inputs!$B$35&gt;0),((Skills!G11*((R536-1)*IF(Skills!H11&gt;0,Skills!I11/Skills!H11,1)+IF(Skills!H11&gt;0,MIN(Skills!I11,MAX(0,Inputs!$B$35-((R536-1)*IF(Inputs!$B$4="pvp",15,MAX(0.1,Skills!D11-IF(Skills!E11=TRUE,Inputs!$B$31,0))))))/Skills!H11,1)))/Inputs!$B$35),G536*Q536)*IF(Inputs!$B$4="pvp",1,(1-Summary!$B$55)*(1)+Summary!$B$55*(MIN(Skills!R11,Inputs!$B$37))),0)</f>
        <v/>
      </c>
      <c r="P536">
        <f>IF(B563=0,0,O536/B563)</f>
        <v/>
      </c>
      <c r="Q536">
        <f>IFERROR(1/IF(Inputs!$B$4="pvp",15,MAX(0.1,Skills!D11-IF(Skills!E11=TRUE,Inputs!$B$31,0))),0)</f>
        <v/>
      </c>
      <c r="R536">
        <f>IF(AND(Inputs!$B$4&lt;&gt;"pvp",Inputs!$B$35&gt;0),(INT(Inputs!$B$35/IF(Inputs!$B$4="pvp",15,MAX(0.1,Skills!D11-IF(Skills!E11=TRUE,Inputs!$B$31,0))))+1),0)</f>
        <v/>
      </c>
      <c r="S536">
        <f>IFERROR(O536/N536,0)</f>
        <v/>
      </c>
    </row>
    <row r="537">
      <c r="A537">
        <f>Skills!A12</f>
        <v/>
      </c>
      <c r="B537">
        <f>Skills!B12</f>
        <v/>
      </c>
      <c r="C537">
        <f>Inputs!$B$3&gt;=110</f>
        <v/>
      </c>
      <c r="D537">
        <f>IF(Skills!C12=1,60+Inputs!$B$24+Inputs!$B$28,IF(Skills!C12=2,90+Inputs!$B$25+Inputs!$B$28,IF(Skills!C12=3,120+Inputs!$B$26+Inputs!$B$28,MAX(0,(Inputs!$B$3-100)*3)+Inputs!$B$27+Inputs!$B$28)))</f>
        <v/>
      </c>
      <c r="E537">
        <f>INDEX(FactorTable!$B$2:$Y$301, MATCH(ROUND(MIN(300,MAX(1,D537)),0), FactorTable!$A$2:$A$301,0), Skills!M12+1)</f>
        <v/>
      </c>
      <c r="F537">
        <f>IF(Skills!N12=TRUE,(Skills!L12/10)*(E537/1000),Skills!L12/10)+Skills!O12</f>
        <v/>
      </c>
      <c r="G537">
        <f>Skills!G12*IF(Skills!H12&gt;0,Skills!I12/Skills!H12,1)</f>
        <v/>
      </c>
      <c r="H537">
        <f>1-(1-Skills!J12/100)^Skills!K12</f>
        <v/>
      </c>
      <c r="I537" t="inlineStr">
        <is>
          <t>1</t>
        </is>
      </c>
      <c r="J537">
        <f>(Inputs!$B$5*(1+Inputs!$B$6/100))*(F537/100)</f>
        <v/>
      </c>
      <c r="K537">
        <f>J537*(1+((Inputs!$B$11*(1+Inputs!$B$12/100))*0.01+Inputs!$B$13*0.0025)/100)*(1+Inputs!$B$14/100)*(1+IF(Inputs!$B$4="pvp",0,(1-Summary!$B$55)*(Inputs!$B$19+0+Skills!P12)+Summary!$B$55*(Inputs!$B$20+Skills!Q12))/100)*(1+Inputs!$B$15/100)*(5000/(6000+Inputs!$B$7*(1-(Inputs!$B$18+0)/100)))*(1+(Inputs!$B$23+((C551=TRUE)*(F551-Calc!F26))+B561)/100)*(1+(IF(Skills!A12="EIGHT_LEGS_EASTON",Inputs!$B$16+((C548=TRUE)*(F548-Calc!F23))+((C552=TRUE)*(F552-Calc!F27)),Inputs!$B$17+0))/100)*((1+(((C542=TRUE)*F542)+((C549=TRUE)*(F549-Calc!F24)))/100)*I537)</f>
        <v/>
      </c>
      <c r="L537">
        <f>K537*(MIN(Inputs!$B$21+((C547=TRUE)*(F547-Calc!F22)),Inputs!$B$22+0)/100+(Inputs!$B$22+0)/100)/2</f>
        <v/>
      </c>
      <c r="M537">
        <f>L537*(1+(Inputs!$B$9+((C550=TRUE)*(F550-Calc!F25))+B560)/100)</f>
        <v/>
      </c>
      <c r="N537">
        <f>L537*(1-MIN((Inputs!$B$8+((C544=TRUE)*(F544-Calc!F19))+B555),100)/100)+M537*(MIN((Inputs!$B$8+((C544=TRUE)*(F544-Calc!F19))+B555),100)/100)</f>
        <v/>
      </c>
      <c r="O537">
        <f>IF(C537,H537*N537*IF(AND(Inputs!$B$4&lt;&gt;"pvp",Inputs!$B$35&gt;0),((Skills!G12*((R537-1)*IF(Skills!H12&gt;0,Skills!I12/Skills!H12,1)+IF(Skills!H12&gt;0,MIN(Skills!I12,MAX(0,Inputs!$B$35-((R537-1)*IF(Inputs!$B$4="pvp",15,MAX(0.1,Skills!D12-IF(Skills!E12=TRUE,Inputs!$B$31,0))))))/Skills!H12,1)))/Inputs!$B$35),G537*Q537)*IF(Inputs!$B$4="pvp",1,(1-Summary!$B$55)*(1)+Summary!$B$55*(MIN(Skills!R12,Inputs!$B$37))),0)</f>
        <v/>
      </c>
      <c r="P537">
        <f>IF(B563=0,0,O537/B563)</f>
        <v/>
      </c>
      <c r="Q537">
        <f>IFERROR(1/IF(Inputs!$B$4="pvp",15,MAX(0.1,Skills!D12-IF(Skills!E12=TRUE,Inputs!$B$31,0))),0)</f>
        <v/>
      </c>
      <c r="R537">
        <f>IF(AND(Inputs!$B$4&lt;&gt;"pvp",Inputs!$B$35&gt;0),(INT(Inputs!$B$35/IF(Inputs!$B$4="pvp",15,MAX(0.1,Skills!D12-IF(Skills!E12=TRUE,Inputs!$B$31,0))))+1),0)</f>
        <v/>
      </c>
      <c r="S537">
        <f>IFERROR(O537/N537,0)</f>
        <v/>
      </c>
    </row>
    <row r="538">
      <c r="A538">
        <f>Skills!A13</f>
        <v/>
      </c>
      <c r="B538">
        <f>Skills!B13</f>
        <v/>
      </c>
      <c r="C538">
        <f>Inputs!$B$3&gt;=110</f>
        <v/>
      </c>
      <c r="D538">
        <f>IF(Skills!C13=1,60+Inputs!$B$24+Inputs!$B$28,IF(Skills!C13=2,90+Inputs!$B$25+Inputs!$B$28,IF(Skills!C13=3,120+Inputs!$B$26+Inputs!$B$28,MAX(0,(Inputs!$B$3-100)*3)+Inputs!$B$27+Inputs!$B$28)))</f>
        <v/>
      </c>
      <c r="E538">
        <f>INDEX(FactorTable!$B$2:$Y$301, MATCH(ROUND(MIN(300,MAX(1,D538)),0), FactorTable!$A$2:$A$301,0), Skills!M13+1)</f>
        <v/>
      </c>
      <c r="F538">
        <f>IF(Skills!N13=TRUE,(Skills!L13/10)*(E538/1000),Skills!L13/10)+Skills!O13</f>
        <v/>
      </c>
      <c r="G538">
        <f>Skills!G13*IF(Skills!H13&gt;0,Skills!I13/Skills!H13,1)</f>
        <v/>
      </c>
      <c r="H538">
        <f>1-(1-Skills!J13/100)^Skills!K13</f>
        <v/>
      </c>
      <c r="I538" t="inlineStr">
        <is>
          <t>1</t>
        </is>
      </c>
      <c r="J538">
        <f>(Inputs!$B$5*(1+Inputs!$B$6/100))*(F538/100)</f>
        <v/>
      </c>
      <c r="K538">
        <f>J538*(1+((Inputs!$B$11*(1+Inputs!$B$12/100))*0.01+Inputs!$B$13*0.0025)/100)*(1+Inputs!$B$14/100)*(1+IF(Inputs!$B$4="pvp",0,(1-Summary!$B$55)*(Inputs!$B$19+0+Skills!P13)+Summary!$B$55*(Inputs!$B$20+Skills!Q13))/100)*(1+Inputs!$B$15/100)*(5000/(6000+Inputs!$B$7*(1-(Inputs!$B$18+0)/100)))*(1+(Inputs!$B$23+((C551=TRUE)*(F551-Calc!F26))+B561)/100)*(1+(IF(Skills!A13="EIGHT_LEGS_EASTON",Inputs!$B$16+((C548=TRUE)*(F548-Calc!F23))+((C552=TRUE)*(F552-Calc!F27)),Inputs!$B$17+0))/100)*((1+(((C542=TRUE)*F542)+((C549=TRUE)*(F549-Calc!F24)))/100)*I538)</f>
        <v/>
      </c>
      <c r="L538">
        <f>K538*(MIN(Inputs!$B$21+((C547=TRUE)*(F547-Calc!F22)),Inputs!$B$22+0)/100+(Inputs!$B$22+0)/100)/2</f>
        <v/>
      </c>
      <c r="M538">
        <f>L538*(1+(Inputs!$B$9+((C550=TRUE)*(F550-Calc!F25))+B560)/100)</f>
        <v/>
      </c>
      <c r="N538">
        <f>L538*(1-MIN((Inputs!$B$8+((C544=TRUE)*(F544-Calc!F19))+B555),100)/100)+M538*(MIN((Inputs!$B$8+((C544=TRUE)*(F544-Calc!F19))+B555),100)/100)</f>
        <v/>
      </c>
      <c r="O538">
        <f>IF(C538,H538*N538*IF(AND(Inputs!$B$4&lt;&gt;"pvp",Inputs!$B$35&gt;0),((Skills!G13*((R538-1)*IF(Skills!H13&gt;0,Skills!I13/Skills!H13,1)+IF(Skills!H13&gt;0,MIN(Skills!I13,MAX(0,Inputs!$B$35-((R538-1)*IF(Inputs!$B$4="pvp",15,MAX(0.1,Skills!D13-IF(Skills!E13=TRUE,Inputs!$B$31,0))))))/Skills!H13,1)))/Inputs!$B$35),G538*Q538)*IF(Inputs!$B$4="pvp",1,(1-Summary!$B$55)*(1)+Summary!$B$55*(MIN(Skills!R13,Inputs!$B$37))),0)</f>
        <v/>
      </c>
      <c r="P538">
        <f>IF(B563=0,0,O538/B563)</f>
        <v/>
      </c>
      <c r="Q538">
        <f>IFERROR(1/IF(Inputs!$B$4="pvp",15,MAX(0.1,Skills!D13-IF(Skills!E13=TRUE,Inputs!$B$31,0))),0)</f>
        <v/>
      </c>
      <c r="R538">
        <f>IF(AND(Inputs!$B$4&lt;&gt;"pvp",Inputs!$B$35&gt;0),(INT(Inputs!$B$35/IF(Inputs!$B$4="pvp",15,MAX(0.1,Skills!D13-IF(Skills!E13=TRUE,Inputs!$B$31,0))))+1),0)</f>
        <v/>
      </c>
      <c r="S538">
        <f>IFERROR(O538/N538,0)</f>
        <v/>
      </c>
    </row>
    <row r="539">
      <c r="A539">
        <f>Skills!A14</f>
        <v/>
      </c>
      <c r="B539">
        <f>Skills!B14</f>
        <v/>
      </c>
      <c r="C539">
        <f>Inputs!$B$3&gt;=125</f>
        <v/>
      </c>
      <c r="D539">
        <f>IF(Skills!C14=1,60+Inputs!$B$24+Inputs!$B$28,IF(Skills!C14=2,90+Inputs!$B$25+Inputs!$B$28,IF(Skills!C14=3,120+Inputs!$B$26+Inputs!$B$28,MAX(0,(Inputs!$B$3-100)*3)+Inputs!$B$27+Inputs!$B$28)))</f>
        <v/>
      </c>
      <c r="E539">
        <f>INDEX(FactorTable!$B$2:$Y$301, MATCH(ROUND(MIN(300,MAX(1,D539)),0), FactorTable!$A$2:$A$301,0), Skills!M14+1)</f>
        <v/>
      </c>
      <c r="F539">
        <f>IF(Skills!N14=TRUE,(Skills!L14/10)*(E539/1000),Skills!L14/10)+Skills!O14</f>
        <v/>
      </c>
      <c r="G539">
        <f>Skills!G14*IF(Skills!H14&gt;0,Skills!I14/Skills!H14,1)</f>
        <v/>
      </c>
      <c r="H539">
        <f>1-(1-Skills!J14/100)^Skills!K14</f>
        <v/>
      </c>
      <c r="I539" t="inlineStr">
        <is>
          <t>1</t>
        </is>
      </c>
      <c r="J539">
        <f>(Inputs!$B$5*(1+Inputs!$B$6/100))*(F539/100)</f>
        <v/>
      </c>
      <c r="K539">
        <f>J539*(1+((Inputs!$B$11*(1+Inputs!$B$12/100))*0.01+Inputs!$B$13*0.0025)/100)*(1+Inputs!$B$14/100)*(1+IF(Inputs!$B$4="pvp",0,(1-Summary!$B$55)*(Inputs!$B$19+0+Skills!P14)+Summary!$B$55*(Inputs!$B$20+Skills!Q14))/100)*(1+Inputs!$B$15/100)*(5000/(6000+Inputs!$B$7*(1-(Inputs!$B$18+0)/100)))*(1+(Inputs!$B$23+((C551=TRUE)*(F551-Calc!F26))+B561)/100)*(1+(IF(Skills!A14="EIGHT_LEGS_EASTON",Inputs!$B$16+((C548=TRUE)*(F548-Calc!F23))+((C552=TRUE)*(F552-Calc!F27)),Inputs!$B$17+0))/100)*((1+(((C542=TRUE)*F542)+((C549=TRUE)*(F549-Calc!F24)))/100)*I539)</f>
        <v/>
      </c>
      <c r="L539">
        <f>K539*(MIN(Inputs!$B$21+((C547=TRUE)*(F547-Calc!F22)),Inputs!$B$22+0)/100+(Inputs!$B$22+0)/100)/2</f>
        <v/>
      </c>
      <c r="M539">
        <f>L539*(1+(Inputs!$B$9+((C550=TRUE)*(F550-Calc!F25))+B560)/100)</f>
        <v/>
      </c>
      <c r="N539">
        <f>L539*(1-MIN((Inputs!$B$8+((C544=TRUE)*(F544-Calc!F19))+B555),100)/100)+M539*(MIN((Inputs!$B$8+((C544=TRUE)*(F544-Calc!F19))+B555),100)/100)</f>
        <v/>
      </c>
      <c r="O539">
        <f>IF(C539,H539*N539*(B559+IF(AND(Inputs!$B$4&lt;&gt;"pvp",Inputs!$B$35&gt;0),((Skills!G8*((R533-1)*IF(Skills!H8&gt;0,Skills!I8/Skills!H8,1)+IF(Skills!H8&gt;0,MIN(Skills!I8,MAX(0,Inputs!$B$35-((R533-1)*IF(Inputs!$B$4="pvp",15,MAX(0.1,Skills!D8-IF(Skills!E8=TRUE,Inputs!$B$31,0))))))/Skills!H8,1)))/Inputs!$B$35),G533*Q533)+IF(AND(Inputs!$B$4&lt;&gt;"pvp",Inputs!$B$35&gt;0),((Skills!G11*((R536-1)*IF(Skills!H11&gt;0,Skills!I11/Skills!H11,1)+IF(Skills!H11&gt;0,MIN(Skills!I11,MAX(0,Inputs!$B$35-((R536-1)*IF(Inputs!$B$4="pvp",15,MAX(0.1,Skills!D11-IF(Skills!E11=TRUE,Inputs!$B$31,0))))))/Skills!H11,1)))/Inputs!$B$35),G536*Q536))*IF(Inputs!$B$4="pvp",1,(1-Summary!$B$55)*(1)+Summary!$B$55*(MIN(Skills!R14,Inputs!$B$37))),0)</f>
        <v/>
      </c>
      <c r="P539">
        <f>IF(B563=0,0,O539/B563)</f>
        <v/>
      </c>
      <c r="Q539" t="n">
        <v>0</v>
      </c>
      <c r="R539" t="n">
        <v>0</v>
      </c>
      <c r="S539">
        <f>IFERROR(O539/N539,0)</f>
        <v/>
      </c>
    </row>
    <row r="540">
      <c r="A540">
        <f>Skills!A15</f>
        <v/>
      </c>
      <c r="B540">
        <f>Skills!B15</f>
        <v/>
      </c>
      <c r="C540">
        <f>Inputs!$B$3&gt;=100</f>
        <v/>
      </c>
      <c r="D540">
        <f>IF(Skills!C15=1,60+Inputs!$B$24+Inputs!$B$28,IF(Skills!C15=2,90+Inputs!$B$25+Inputs!$B$28,IF(Skills!C15=3,120+Inputs!$B$26+Inputs!$B$28,MAX(0,(Inputs!$B$3-100)*3)+Inputs!$B$27+Inputs!$B$28)))</f>
        <v/>
      </c>
      <c r="E540">
        <f>INDEX(FactorTable!$B$2:$Y$301, MATCH(ROUND(MIN(300,MAX(1,D540)),0), FactorTable!$A$2:$A$301,0), Skills!M15+1)</f>
        <v/>
      </c>
      <c r="F540">
        <f>IF(Skills!N15=TRUE,(Skills!L15/10)*(E540/1000),Skills!L15/10)+Skills!O15</f>
        <v/>
      </c>
      <c r="G540" t="inlineStr"/>
      <c r="H540" t="inlineStr"/>
      <c r="I540" t="inlineStr">
        <is>
          <t>1</t>
        </is>
      </c>
      <c r="J540" t="inlineStr"/>
      <c r="K540" t="inlineStr"/>
      <c r="L540" t="inlineStr"/>
      <c r="M540" t="inlineStr"/>
      <c r="N540" t="inlineStr"/>
      <c r="O540" t="inlineStr"/>
      <c r="P540" t="inlineStr"/>
      <c r="Q540" t="inlineStr"/>
      <c r="R540" t="inlineStr"/>
      <c r="S540" t="inlineStr"/>
    </row>
    <row r="541">
      <c r="A541">
        <f>Skills!A16</f>
        <v/>
      </c>
      <c r="B541">
        <f>Skills!B16</f>
        <v/>
      </c>
      <c r="C541">
        <f>Inputs!$B$3&gt;=120</f>
        <v/>
      </c>
      <c r="D541">
        <f>IF(Skills!C16=1,60+Inputs!$B$24+Inputs!$B$28,IF(Skills!C16=2,90+Inputs!$B$25+Inputs!$B$28,IF(Skills!C16=3,120+Inputs!$B$26+Inputs!$B$28,MAX(0,(Inputs!$B$3-100)*3)+Inputs!$B$27+Inputs!$B$28)))</f>
        <v/>
      </c>
      <c r="E541">
        <f>INDEX(FactorTable!$B$2:$Y$301, MATCH(ROUND(MIN(300,MAX(1,D541)),0), FactorTable!$A$2:$A$301,0), Skills!M16+1)</f>
        <v/>
      </c>
      <c r="F541">
        <f>IF(Skills!N16=TRUE,(Skills!L16/10)*(E541/1000),Skills!L16/10)+Skills!O16</f>
        <v/>
      </c>
      <c r="G541" t="inlineStr"/>
      <c r="H541" t="inlineStr"/>
      <c r="I541" t="inlineStr">
        <is>
          <t>1</t>
        </is>
      </c>
      <c r="J541" t="inlineStr"/>
      <c r="K541" t="inlineStr"/>
      <c r="L541" t="inlineStr"/>
      <c r="M541" t="inlineStr"/>
      <c r="N541" t="inlineStr"/>
      <c r="O541" t="inlineStr"/>
      <c r="P541" t="inlineStr"/>
      <c r="Q541" t="inlineStr"/>
      <c r="R541" t="inlineStr"/>
      <c r="S541" t="inlineStr"/>
    </row>
    <row r="542">
      <c r="A542">
        <f>Skills!A17</f>
        <v/>
      </c>
      <c r="B542">
        <f>Skills!B17</f>
        <v/>
      </c>
      <c r="C542">
        <f>Inputs!$B$3&gt;=66</f>
        <v/>
      </c>
      <c r="D542">
        <f>IF(Skills!C17=1,60+Inputs!$B$24+Inputs!$B$28,IF(Skills!C17=2,90+Inputs!$B$25+Inputs!$B$28,IF(Skills!C17=3,120+Inputs!$B$26+Inputs!$B$28,MAX(0,(Inputs!$B$3-100)*3)+Inputs!$B$27+Inputs!$B$28)))</f>
        <v/>
      </c>
      <c r="E542">
        <f>INDEX(FactorTable!$B$2:$Y$301, MATCH(ROUND(MIN(300,MAX(1,D542)),0), FactorTable!$A$2:$A$301,0), Skills!M17+1)</f>
        <v/>
      </c>
      <c r="F542">
        <f>IF(Skills!N17=TRUE,(Skills!L17/10)*(E542/1000),Skills!L17/10)+Skills!O17</f>
        <v/>
      </c>
      <c r="G542">
        <f>Skills!G17*IF(Skills!H17&gt;0,Skills!I17/Skills!H17,1)</f>
        <v/>
      </c>
      <c r="H542">
        <f>1-(1-Skills!J17/100)^Skills!K17</f>
        <v/>
      </c>
      <c r="I542" t="inlineStr">
        <is>
          <t>1</t>
        </is>
      </c>
      <c r="J542" t="inlineStr"/>
      <c r="K542" t="inlineStr"/>
      <c r="L542" t="inlineStr"/>
      <c r="M542" t="inlineStr"/>
      <c r="N542" t="inlineStr"/>
      <c r="O542" t="n">
        <v>0</v>
      </c>
      <c r="P542">
        <f>IF(B563=0,0,O542/B563)</f>
        <v/>
      </c>
      <c r="Q542" t="n">
        <v>0</v>
      </c>
      <c r="R542" t="n">
        <v>0</v>
      </c>
      <c r="S542">
        <f>IFERROR(O542/N542,0)</f>
        <v/>
      </c>
    </row>
    <row r="543">
      <c r="A543">
        <f>Skills!A18</f>
        <v/>
      </c>
      <c r="B543">
        <f>Skills!B18</f>
        <v/>
      </c>
      <c r="C543">
        <f>Inputs!$B$3&gt;=115</f>
        <v/>
      </c>
      <c r="D543">
        <f>IF(Skills!C18=1,60+Inputs!$B$24+Inputs!$B$28,IF(Skills!C18=2,90+Inputs!$B$25+Inputs!$B$28,IF(Skills!C18=3,120+Inputs!$B$26+Inputs!$B$28,MAX(0,(Inputs!$B$3-100)*3)+Inputs!$B$27+Inputs!$B$28)))</f>
        <v/>
      </c>
      <c r="E543">
        <f>INDEX(FactorTable!$B$2:$Y$301, MATCH(ROUND(MIN(300,MAX(1,D543)),0), FactorTable!$A$2:$A$301,0), Skills!M18+1)</f>
        <v/>
      </c>
      <c r="F543">
        <f>IF(Skills!N18=TRUE,(Skills!L18/10)*(E543/1000),Skills!L18/10)+Skills!O18</f>
        <v/>
      </c>
      <c r="G543">
        <f>Skills!G18*IF(Skills!H18&gt;0,Skills!I18/Skills!H18,1)</f>
        <v/>
      </c>
      <c r="H543">
        <f>1-(1-Skills!J18/100)^Skills!K18</f>
        <v/>
      </c>
      <c r="I543" t="inlineStr">
        <is>
          <t>1</t>
        </is>
      </c>
      <c r="J543" t="inlineStr"/>
      <c r="K543" t="inlineStr"/>
      <c r="L543" t="inlineStr"/>
      <c r="M543" t="inlineStr"/>
      <c r="N543" t="inlineStr"/>
      <c r="O543" t="n">
        <v>0</v>
      </c>
      <c r="P543">
        <f>IF(B563=0,0,O543/B563)</f>
        <v/>
      </c>
      <c r="Q543" t="n">
        <v>0</v>
      </c>
      <c r="R543" t="n">
        <v>0</v>
      </c>
      <c r="S543">
        <f>IFERROR(O543/N543,0)</f>
        <v/>
      </c>
    </row>
    <row r="544">
      <c r="A544">
        <f>Skills!A19</f>
        <v/>
      </c>
      <c r="B544">
        <f>Skills!B19</f>
        <v/>
      </c>
      <c r="C544">
        <f>Inputs!$B$3&gt;=15</f>
        <v/>
      </c>
      <c r="D544">
        <f>IF(Skills!C19=1,60+Inputs!$B$24+Inputs!$B$28,IF(Skills!C19=2,90+Inputs!$B$25+Inputs!$B$28,IF(Skills!C19=3,120+Inputs!$B$26+Inputs!$B$28,MAX(0,(Inputs!$B$3-100)*3)+Inputs!$B$27+Inputs!$B$28)))</f>
        <v/>
      </c>
      <c r="E544">
        <f>INDEX(FactorTable!$B$2:$Y$301, MATCH(ROUND(MIN(300,MAX(1,D544)),0), FactorTable!$A$2:$A$301,0), Skills!M19+1)</f>
        <v/>
      </c>
      <c r="F544">
        <f>IF(Skills!N19=TRUE,(Skills!L19/10)*(E544/1000),Skills!L19/10)+Skills!O19</f>
        <v/>
      </c>
      <c r="G544">
        <f>Skills!G19*IF(Skills!H19&gt;0,Skills!I19/Skills!H19,1)</f>
        <v/>
      </c>
      <c r="H544">
        <f>1-(1-Skills!J19/100)^Skills!K19</f>
        <v/>
      </c>
      <c r="I544" t="inlineStr">
        <is>
          <t>1</t>
        </is>
      </c>
      <c r="J544" t="inlineStr"/>
      <c r="K544" t="inlineStr"/>
      <c r="L544" t="inlineStr"/>
      <c r="M544" t="inlineStr"/>
      <c r="N544" t="inlineStr"/>
      <c r="O544" t="n">
        <v>0</v>
      </c>
      <c r="P544">
        <f>IF(B563=0,0,O544/B563)</f>
        <v/>
      </c>
      <c r="Q544" t="n">
        <v>0</v>
      </c>
      <c r="R544" t="n">
        <v>0</v>
      </c>
      <c r="S544">
        <f>IFERROR(O544/N544,0)</f>
        <v/>
      </c>
    </row>
    <row r="545">
      <c r="A545">
        <f>Skills!A20</f>
        <v/>
      </c>
      <c r="B545">
        <f>Skills!B20</f>
        <v/>
      </c>
      <c r="C545">
        <f>Inputs!$B$3&gt;=10</f>
        <v/>
      </c>
      <c r="D545">
        <f>IF(Skills!C20=1,60+Inputs!$B$24+Inputs!$B$28,IF(Skills!C20=2,90+Inputs!$B$25+Inputs!$B$28,IF(Skills!C20=3,120+Inputs!$B$26+Inputs!$B$28,MAX(0,(Inputs!$B$3-100)*3)+Inputs!$B$27+Inputs!$B$28)))</f>
        <v/>
      </c>
      <c r="E545">
        <f>INDEX(FactorTable!$B$2:$Y$301, MATCH(ROUND(MIN(300,MAX(1,D545)),0), FactorTable!$A$2:$A$301,0), Skills!M20+1)</f>
        <v/>
      </c>
      <c r="F545">
        <f>IF(Skills!N20=TRUE,(Skills!L20/10)*(E545/1000),Skills!L20/10)+Skills!O20</f>
        <v/>
      </c>
      <c r="G545">
        <f>Skills!G20*IF(Skills!H20&gt;0,Skills!I20/Skills!H20,1)</f>
        <v/>
      </c>
      <c r="H545">
        <f>1-(1-Skills!J20/100)^Skills!K20</f>
        <v/>
      </c>
      <c r="I545" t="inlineStr">
        <is>
          <t>1</t>
        </is>
      </c>
      <c r="J545" t="inlineStr"/>
      <c r="K545" t="inlineStr"/>
      <c r="L545" t="inlineStr"/>
      <c r="M545" t="inlineStr"/>
      <c r="N545" t="inlineStr"/>
      <c r="O545" t="n">
        <v>0</v>
      </c>
      <c r="P545">
        <f>IF(B563=0,0,O545/B563)</f>
        <v/>
      </c>
      <c r="Q545" t="n">
        <v>0</v>
      </c>
      <c r="R545" t="n">
        <v>0</v>
      </c>
      <c r="S545">
        <f>IFERROR(O545/N545,0)</f>
        <v/>
      </c>
    </row>
    <row r="546">
      <c r="A546">
        <f>Skills!A21</f>
        <v/>
      </c>
      <c r="B546">
        <f>Skills!B21</f>
        <v/>
      </c>
      <c r="C546">
        <f>Inputs!$B$3&gt;=33</f>
        <v/>
      </c>
      <c r="D546">
        <f>IF(Skills!C21=1,60+Inputs!$B$24+Inputs!$B$28,IF(Skills!C21=2,90+Inputs!$B$25+Inputs!$B$28,IF(Skills!C21=3,120+Inputs!$B$26+Inputs!$B$28,MAX(0,(Inputs!$B$3-100)*3)+Inputs!$B$27+Inputs!$B$28)))</f>
        <v/>
      </c>
      <c r="E546">
        <f>INDEX(FactorTable!$B$2:$Y$301, MATCH(ROUND(MIN(300,MAX(1,D546)),0), FactorTable!$A$2:$A$301,0), Skills!M21+1)</f>
        <v/>
      </c>
      <c r="F546">
        <f>IF(Skills!N21=TRUE,(Skills!L21/10)*(E546/1000),Skills!L21/10)+Skills!O21</f>
        <v/>
      </c>
      <c r="G546">
        <f>Skills!G21*IF(Skills!H21&gt;0,Skills!I21/Skills!H21,1)</f>
        <v/>
      </c>
      <c r="H546">
        <f>1-(1-Skills!J21/100)^Skills!K21</f>
        <v/>
      </c>
      <c r="I546" t="inlineStr">
        <is>
          <t>1</t>
        </is>
      </c>
      <c r="J546" t="inlineStr"/>
      <c r="K546" t="inlineStr"/>
      <c r="L546" t="inlineStr"/>
      <c r="M546" t="inlineStr"/>
      <c r="N546" t="inlineStr"/>
      <c r="O546" t="n">
        <v>0</v>
      </c>
      <c r="P546">
        <f>IF(B563=0,0,O546/B563)</f>
        <v/>
      </c>
      <c r="Q546" t="n">
        <v>0</v>
      </c>
      <c r="R546" t="n">
        <v>0</v>
      </c>
      <c r="S546">
        <f>IFERROR(O546/N546,0)</f>
        <v/>
      </c>
    </row>
    <row r="547">
      <c r="A547">
        <f>Skills!A22</f>
        <v/>
      </c>
      <c r="B547">
        <f>Skills!B22</f>
        <v/>
      </c>
      <c r="C547">
        <f>Inputs!$B$3&gt;=43</f>
        <v/>
      </c>
      <c r="D547">
        <f>IF(Skills!C22=1,60+Inputs!$B$24+Inputs!$B$28,IF(Skills!C22=2,90+Inputs!$B$25+Inputs!$B$28,IF(Skills!C22=3,120+Inputs!$B$26+Inputs!$B$28,MAX(0,(Inputs!$B$3-100)*3)+Inputs!$B$27+Inputs!$B$28)))</f>
        <v/>
      </c>
      <c r="E547">
        <f>INDEX(FactorTable!$B$2:$Y$301, MATCH(ROUND(MIN(300,MAX(1,D547)),0), FactorTable!$A$2:$A$301,0), Skills!M22+1)</f>
        <v/>
      </c>
      <c r="F547">
        <f>IF(Skills!N22=TRUE,(Skills!L22/10)*(E547/1000),Skills!L22/10)+Skills!O22</f>
        <v/>
      </c>
      <c r="G547">
        <f>Skills!G22*IF(Skills!H22&gt;0,Skills!I22/Skills!H22,1)</f>
        <v/>
      </c>
      <c r="H547">
        <f>1-(1-Skills!J22/100)^Skills!K22</f>
        <v/>
      </c>
      <c r="I547" t="inlineStr">
        <is>
          <t>1</t>
        </is>
      </c>
      <c r="J547" t="inlineStr"/>
      <c r="K547" t="inlineStr"/>
      <c r="L547" t="inlineStr"/>
      <c r="M547" t="inlineStr"/>
      <c r="N547" t="inlineStr"/>
      <c r="O547" t="n">
        <v>0</v>
      </c>
      <c r="P547">
        <f>IF(B563=0,0,O547/B563)</f>
        <v/>
      </c>
      <c r="Q547" t="n">
        <v>0</v>
      </c>
      <c r="R547" t="n">
        <v>0</v>
      </c>
      <c r="S547">
        <f>IFERROR(O547/N547,0)</f>
        <v/>
      </c>
    </row>
    <row r="548">
      <c r="A548">
        <f>Skills!A23</f>
        <v/>
      </c>
      <c r="B548">
        <f>Skills!B23</f>
        <v/>
      </c>
      <c r="C548">
        <f>Inputs!$B$3&gt;=38</f>
        <v/>
      </c>
      <c r="D548">
        <f>IF(Skills!C23=1,60+Inputs!$B$24+Inputs!$B$28,IF(Skills!C23=2,90+Inputs!$B$25+Inputs!$B$28,IF(Skills!C23=3,120+Inputs!$B$26+Inputs!$B$28,MAX(0,(Inputs!$B$3-100)*3)+Inputs!$B$27+Inputs!$B$28)))</f>
        <v/>
      </c>
      <c r="E548">
        <f>INDEX(FactorTable!$B$2:$Y$301, MATCH(ROUND(MIN(300,MAX(1,D548)),0), FactorTable!$A$2:$A$301,0), Skills!M23+1)</f>
        <v/>
      </c>
      <c r="F548">
        <f>IF(Skills!N23=TRUE,(Skills!L23/10)*(E548/1000),Skills!L23/10)+Skills!O23</f>
        <v/>
      </c>
      <c r="G548">
        <f>Skills!G23*IF(Skills!H23&gt;0,Skills!I23/Skills!H23,1)</f>
        <v/>
      </c>
      <c r="H548">
        <f>1-(1-Skills!J23/100)^Skills!K23</f>
        <v/>
      </c>
      <c r="I548" t="inlineStr">
        <is>
          <t>1</t>
        </is>
      </c>
      <c r="J548" t="inlineStr"/>
      <c r="K548" t="inlineStr"/>
      <c r="L548" t="inlineStr"/>
      <c r="M548" t="inlineStr"/>
      <c r="N548" t="inlineStr"/>
      <c r="O548" t="n">
        <v>0</v>
      </c>
      <c r="P548">
        <f>IF(B563=0,0,O548/B563)</f>
        <v/>
      </c>
      <c r="Q548" t="n">
        <v>0</v>
      </c>
      <c r="R548" t="n">
        <v>0</v>
      </c>
      <c r="S548">
        <f>IFERROR(O548/N548,0)</f>
        <v/>
      </c>
    </row>
    <row r="549">
      <c r="A549">
        <f>Skills!A24</f>
        <v/>
      </c>
      <c r="B549">
        <f>Skills!B24</f>
        <v/>
      </c>
      <c r="C549">
        <f>Inputs!$B$3&gt;=40</f>
        <v/>
      </c>
      <c r="D549">
        <f>IF(Skills!C24=1,60+Inputs!$B$24+Inputs!$B$28,IF(Skills!C24=2,90+Inputs!$B$25+Inputs!$B$28,IF(Skills!C24=3,120+Inputs!$B$26+Inputs!$B$28,MAX(0,(Inputs!$B$3-100)*3)+Inputs!$B$27+Inputs!$B$28)))</f>
        <v/>
      </c>
      <c r="E549">
        <f>INDEX(FactorTable!$B$2:$Y$301, MATCH(ROUND(MIN(300,MAX(1,D549)),0), FactorTable!$A$2:$A$301,0), Skills!M24+1)</f>
        <v/>
      </c>
      <c r="F549">
        <f>IF(Skills!N24=TRUE,(Skills!L24/10)*(E549/1000),Skills!L24/10)+Skills!O24</f>
        <v/>
      </c>
      <c r="G549">
        <f>Skills!G24*IF(Skills!H24&gt;0,Skills!I24/Skills!H24,1)</f>
        <v/>
      </c>
      <c r="H549">
        <f>1-(1-Skills!J24/100)^Skills!K24</f>
        <v/>
      </c>
      <c r="I549" t="inlineStr">
        <is>
          <t>1</t>
        </is>
      </c>
      <c r="J549" t="inlineStr"/>
      <c r="K549" t="inlineStr"/>
      <c r="L549" t="inlineStr"/>
      <c r="M549" t="inlineStr"/>
      <c r="N549" t="inlineStr"/>
      <c r="O549" t="n">
        <v>0</v>
      </c>
      <c r="P549">
        <f>IF(B563=0,0,O549/B563)</f>
        <v/>
      </c>
      <c r="Q549" t="n">
        <v>0</v>
      </c>
      <c r="R549" t="n">
        <v>0</v>
      </c>
      <c r="S549">
        <f>IFERROR(O549/N549,0)</f>
        <v/>
      </c>
    </row>
    <row r="550">
      <c r="A550">
        <f>Skills!A25</f>
        <v/>
      </c>
      <c r="B550">
        <f>Skills!B25</f>
        <v/>
      </c>
      <c r="C550">
        <f>Inputs!$B$3&gt;=72</f>
        <v/>
      </c>
      <c r="D550">
        <f>IF(Skills!C25=1,60+Inputs!$B$24+Inputs!$B$28,IF(Skills!C25=2,90+Inputs!$B$25+Inputs!$B$28,IF(Skills!C25=3,120+Inputs!$B$26+Inputs!$B$28,MAX(0,(Inputs!$B$3-100)*3)+Inputs!$B$27+Inputs!$B$28)))</f>
        <v/>
      </c>
      <c r="E550">
        <f>INDEX(FactorTable!$B$2:$Y$301, MATCH(ROUND(MIN(300,MAX(1,D550)),0), FactorTable!$A$2:$A$301,0), Skills!M25+1)</f>
        <v/>
      </c>
      <c r="F550">
        <f>IF(Skills!N25=TRUE,(Skills!L25/10)*(E550/1000),Skills!L25/10)+Skills!O25</f>
        <v/>
      </c>
      <c r="G550">
        <f>Skills!G25*IF(Skills!H25&gt;0,Skills!I25/Skills!H25,1)</f>
        <v/>
      </c>
      <c r="H550">
        <f>1-(1-Skills!J25/100)^Skills!K25</f>
        <v/>
      </c>
      <c r="I550" t="inlineStr">
        <is>
          <t>1</t>
        </is>
      </c>
      <c r="J550" t="inlineStr"/>
      <c r="K550" t="inlineStr"/>
      <c r="L550" t="inlineStr"/>
      <c r="M550" t="inlineStr"/>
      <c r="N550" t="inlineStr"/>
      <c r="O550" t="n">
        <v>0</v>
      </c>
      <c r="P550">
        <f>IF(B563=0,0,O550/B563)</f>
        <v/>
      </c>
      <c r="Q550" t="n">
        <v>0</v>
      </c>
      <c r="R550" t="n">
        <v>0</v>
      </c>
      <c r="S550">
        <f>IFERROR(O550/N550,0)</f>
        <v/>
      </c>
    </row>
    <row r="551">
      <c r="A551">
        <f>Skills!A26</f>
        <v/>
      </c>
      <c r="B551">
        <f>Skills!B26</f>
        <v/>
      </c>
      <c r="C551">
        <f>Inputs!$B$3&gt;=75</f>
        <v/>
      </c>
      <c r="D551">
        <f>IF(Skills!C26=1,60+Inputs!$B$24+Inputs!$B$28,IF(Skills!C26=2,90+Inputs!$B$25+Inputs!$B$28,IF(Skills!C26=3,120+Inputs!$B$26+Inputs!$B$28,MAX(0,(Inputs!$B$3-100)*3)+Inputs!$B$27+Inputs!$B$28)))</f>
        <v/>
      </c>
      <c r="E551">
        <f>INDEX(FactorTable!$B$2:$Y$301, MATCH(ROUND(MIN(300,MAX(1,D551)),0), FactorTable!$A$2:$A$301,0), Skills!M26+1)</f>
        <v/>
      </c>
      <c r="F551">
        <f>IF(Skills!N26=TRUE,(Skills!L26/10)*(E551/1000),Skills!L26/10)+Skills!O26</f>
        <v/>
      </c>
      <c r="G551">
        <f>Skills!G26*IF(Skills!H26&gt;0,Skills!I26/Skills!H26,1)</f>
        <v/>
      </c>
      <c r="H551">
        <f>1-(1-Skills!J26/100)^Skills!K26</f>
        <v/>
      </c>
      <c r="I551" t="inlineStr">
        <is>
          <t>1</t>
        </is>
      </c>
      <c r="J551" t="inlineStr"/>
      <c r="K551" t="inlineStr"/>
      <c r="L551" t="inlineStr"/>
      <c r="M551" t="inlineStr"/>
      <c r="N551" t="inlineStr"/>
      <c r="O551" t="n">
        <v>0</v>
      </c>
      <c r="P551">
        <f>IF(B563=0,0,O551/B563)</f>
        <v/>
      </c>
      <c r="Q551" t="n">
        <v>0</v>
      </c>
      <c r="R551" t="n">
        <v>0</v>
      </c>
      <c r="S551">
        <f>IFERROR(O551/N551,0)</f>
        <v/>
      </c>
    </row>
    <row r="552">
      <c r="A552">
        <f>Skills!A27</f>
        <v/>
      </c>
      <c r="B552">
        <f>Skills!B27</f>
        <v/>
      </c>
      <c r="C552">
        <f>Inputs!$B$3&gt;=117</f>
        <v/>
      </c>
      <c r="D552">
        <f>IF(Skills!C27=1,60+Inputs!$B$24+Inputs!$B$28,IF(Skills!C27=2,90+Inputs!$B$25+Inputs!$B$28,IF(Skills!C27=3,120+Inputs!$B$26+Inputs!$B$28,MAX(0,(Inputs!$B$3-100)*3)+Inputs!$B$27+Inputs!$B$28)))</f>
        <v/>
      </c>
      <c r="E552">
        <f>INDEX(FactorTable!$B$2:$Y$301, MATCH(ROUND(MIN(300,MAX(1,D552)),0), FactorTable!$A$2:$A$301,0), Skills!M27+1)</f>
        <v/>
      </c>
      <c r="F552">
        <f>IF(Skills!N27=TRUE,(Skills!L27/10)*(E552/1000),Skills!L27/10)+Skills!O27</f>
        <v/>
      </c>
      <c r="G552">
        <f>Skills!G27*IF(Skills!H27&gt;0,Skills!I27/Skills!H27,1)</f>
        <v/>
      </c>
      <c r="H552">
        <f>1-(1-Skills!J27/100)^Skills!K27</f>
        <v/>
      </c>
      <c r="I552" t="inlineStr">
        <is>
          <t>1</t>
        </is>
      </c>
      <c r="J552" t="inlineStr"/>
      <c r="K552" t="inlineStr"/>
      <c r="L552" t="inlineStr"/>
      <c r="M552" t="inlineStr"/>
      <c r="N552" t="inlineStr"/>
      <c r="O552" t="n">
        <v>0</v>
      </c>
      <c r="P552">
        <f>IF(B563=0,0,O552/B563)</f>
        <v/>
      </c>
      <c r="Q552" t="n">
        <v>0</v>
      </c>
      <c r="R552" t="n">
        <v>0</v>
      </c>
      <c r="S552">
        <f>IFERROR(O552/N552,0)</f>
        <v/>
      </c>
    </row>
    <row r="554">
      <c r="A554" t="inlineStr">
        <is>
          <t>Attack% Bucket Multiplier</t>
        </is>
      </c>
      <c r="B554">
        <f>(1+(((C542=TRUE)*F542)+((C549=TRUE)*(F549-Calc!F24)))/100)</f>
        <v/>
      </c>
    </row>
    <row r="555">
      <c r="A555" t="inlineStr">
        <is>
          <t>Global Crit Rate Bonus %</t>
        </is>
      </c>
      <c r="B555" t="n">
        <v>0</v>
      </c>
    </row>
    <row r="556">
      <c r="A556" t="inlineStr">
        <is>
          <t>Attack Speed Buff Bonus % (unused)</t>
        </is>
      </c>
      <c r="B556" t="n">
        <v>0</v>
      </c>
    </row>
    <row r="557">
      <c r="A557" t="inlineStr">
        <is>
          <t>Actions Per Second</t>
        </is>
      </c>
      <c r="B557">
        <f>1+MIN(150,150*(1-(1-(((1-(1-Inputs!$B$10/150)*(1-1/150))*150)+((C545=TRUE)*(F545-Calc!F20))+((C546=TRUE)*(F546-Calc!F21)))/150)*(1-B556/150)))/100</f>
        <v/>
      </c>
    </row>
    <row r="558">
      <c r="A558" t="inlineStr">
        <is>
          <t>Skill + Buff Cast Rate</t>
        </is>
      </c>
      <c r="B558">
        <f>IF(AND(Inputs!$B$4&lt;&gt;"pvp",Inputs!$B$35&gt;0),SUMPRODUCT((Skills!E2:E27=TRUE)*(C527:C552=TRUE)*R527:R552*Skills!F2:F27)/Inputs!$B$35,SUMPRODUCT((Skills!E2:E27=TRUE)*(C527:C552=TRUE)*Q527:Q552*Skills!F2:F27))</f>
        <v/>
      </c>
    </row>
    <row r="559">
      <c r="A559" t="inlineStr">
        <is>
          <t>Eight-Legs Easton Casts Per Second</t>
        </is>
      </c>
      <c r="B559">
        <f>MAX(0,B557-B558)</f>
        <v/>
      </c>
    </row>
    <row r="560">
      <c r="A560" t="inlineStr">
        <is>
          <t>Global Critical Damage Bonus % (unused)</t>
        </is>
      </c>
      <c r="B560" t="n">
        <v>0</v>
      </c>
    </row>
    <row r="561">
      <c r="A561" t="inlineStr">
        <is>
          <t>Global Final Damage Bonus % (Jolly Roger only)</t>
        </is>
      </c>
      <c r="B561">
        <f>((C543=TRUE)*F543)</f>
        <v/>
      </c>
    </row>
    <row r="563">
      <c r="A563" s="5" t="inlineStr">
        <is>
          <t>TOTAL DPS</t>
        </is>
      </c>
      <c r="B563" s="5">
        <f>SUM(O527:O552)</f>
        <v/>
      </c>
    </row>
    <row r="566">
      <c r="A566" s="5" t="inlineStr">
        <is>
          <t>Stat: DEF_PEN % (diminishing returns, factor 100)</t>
        </is>
      </c>
    </row>
    <row r="567">
      <c r="A567" s="8" t="inlineStr">
        <is>
          <t>Key</t>
        </is>
      </c>
      <c r="B567" s="8" t="inlineStr">
        <is>
          <t>Name</t>
        </is>
      </c>
      <c r="C567" s="8" t="inlineStr">
        <is>
          <t>Unlocked</t>
        </is>
      </c>
      <c r="D567" s="8" t="inlineStr">
        <is>
          <t>InputLevel</t>
        </is>
      </c>
      <c r="E567" s="8" t="inlineStr">
        <is>
          <t>Factor</t>
        </is>
      </c>
      <c r="F567" s="8" t="inlineStr">
        <is>
          <t>CoefficientPercent</t>
        </is>
      </c>
      <c r="G567" s="8" t="inlineStr">
        <is>
          <t>EffectiveHits</t>
        </is>
      </c>
      <c r="H567" s="8" t="inlineStr">
        <is>
          <t>ProcProbability</t>
        </is>
      </c>
      <c r="I567" s="8" t="inlineStr">
        <is>
          <t>MapleHeroMultiplier</t>
        </is>
      </c>
      <c r="J567" s="8" t="inlineStr">
        <is>
          <t>BaseDamage</t>
        </is>
      </c>
      <c r="K567" s="8" t="inlineStr">
        <is>
          <t>BaseHitDamage</t>
        </is>
      </c>
      <c r="L567" s="8" t="inlineStr">
        <is>
          <t>NonCritAvg</t>
        </is>
      </c>
      <c r="M567" s="8" t="inlineStr">
        <is>
          <t>CritAvg</t>
        </is>
      </c>
      <c r="N567" s="8" t="inlineStr">
        <is>
          <t>ExpectedDamage(perHit)</t>
        </is>
      </c>
      <c r="O567" s="8" t="inlineStr">
        <is>
          <t>DPS</t>
        </is>
      </c>
      <c r="P567" s="8" t="inlineStr">
        <is>
          <t>% of Total</t>
        </is>
      </c>
      <c r="Q567" s="8" t="inlineStr">
        <is>
          <t>InvCooldown</t>
        </is>
      </c>
      <c r="R567" s="8" t="inlineStr">
        <is>
          <t>CastsInFight</t>
        </is>
      </c>
      <c r="S567" s="8" t="inlineStr">
        <is>
          <t>HitRate(perSec)</t>
        </is>
      </c>
      <c r="U567" t="inlineStr">
        <is>
          <t>helpers</t>
        </is>
      </c>
    </row>
    <row r="568">
      <c r="A568">
        <f>Skills!A2</f>
        <v/>
      </c>
      <c r="B568">
        <f>Skills!B2</f>
        <v/>
      </c>
      <c r="C568">
        <f>Inputs!$B$3&gt;=100</f>
        <v/>
      </c>
      <c r="D568" t="inlineStr"/>
      <c r="E568" t="inlineStr"/>
      <c r="F568">
        <f>U570+Skills!O2</f>
        <v/>
      </c>
      <c r="G568">
        <f>Skills!G2*IF(Skills!H2&gt;0,Skills!I2/Skills!H2,1)</f>
        <v/>
      </c>
      <c r="H568">
        <f>1-(1-Skills!J2/100)^Skills!K2</f>
        <v/>
      </c>
      <c r="I568" t="inlineStr">
        <is>
          <t>1</t>
        </is>
      </c>
      <c r="J568">
        <f>(Inputs!$B$5*(1+Inputs!$B$6/100))*(F568/100)</f>
        <v/>
      </c>
      <c r="K568">
        <f>J568*(1+((Inputs!$B$11*(1+Inputs!$B$12/100))*0.01+Inputs!$B$13*0.0025)/100)*(1+Inputs!$B$14/100)*(1+IF(Inputs!$B$4="pvp",0,(1-Summary!$B$55)*(Inputs!$B$19+0+Skills!P2)+Summary!$B$55*(Inputs!$B$20+Skills!Q2))/100)*(1+Inputs!$B$15/100)*(5000/(6000+Inputs!$B$7*(1-(((1-(1-Inputs!$B$18/100)*(1-1/100))*100)+0)/100)))*(1+(Inputs!$B$23+((C592=TRUE)*(F592-Calc!F26))+B602)/100)*(1+(IF(Skills!A2="EIGHT_LEGS_EASTON",Inputs!$B$16+((C589=TRUE)*(F589-Calc!F23))+((C593=TRUE)*(F593-Calc!F27)),Inputs!$B$17+0))/100)*((1+(((C583=TRUE)*F583)+((C590=TRUE)*(F590-Calc!F24)))/100)*I568)</f>
        <v/>
      </c>
      <c r="L568">
        <f>K568*(MIN(Inputs!$B$21+((C588=TRUE)*(F588-Calc!F22)),Inputs!$B$22+0)/100+(Inputs!$B$22+0)/100)/2</f>
        <v/>
      </c>
      <c r="M568">
        <f>L568*(1+(Inputs!$B$9+((C591=TRUE)*(F591-Calc!F25))+B601)/100)</f>
        <v/>
      </c>
      <c r="N568">
        <f>L568*(1-MIN((Inputs!$B$8+((C585=TRUE)*(F585-Calc!F19))+B596),100)/100)+M568*(MIN((Inputs!$B$8+((C585=TRUE)*(F585-Calc!F19))+B596),100)/100)</f>
        <v/>
      </c>
      <c r="O568">
        <f>IF(C568,Skills!G2*N568*B600*IF(Inputs!$B$4="pvp",1,(1-Summary!$B$55)*(1)+Summary!$B$55*(MIN((6+Inputs!$B$32),Inputs!$B$37))),0)</f>
        <v/>
      </c>
      <c r="P568">
        <f>IF(B604=0,0,O568/B604)</f>
        <v/>
      </c>
      <c r="Q568" t="n">
        <v>0</v>
      </c>
      <c r="R568" t="n">
        <v>0</v>
      </c>
      <c r="S568">
        <f>IFERROR(O568/N568,0)</f>
        <v/>
      </c>
      <c r="U568">
        <f>MAX(0,(Inputs!$B$3-100)*3)+Inputs!$B$27+Inputs!$B$28</f>
        <v/>
      </c>
    </row>
    <row r="569">
      <c r="A569">
        <f>Skills!A3</f>
        <v/>
      </c>
      <c r="B569">
        <f>Skills!B3</f>
        <v/>
      </c>
      <c r="C569">
        <f>Inputs!$B$3&gt;=35</f>
        <v/>
      </c>
      <c r="D569">
        <f>IF(Skills!C3=1,60+Inputs!$B$24+Inputs!$B$28,IF(Skills!C3=2,90+Inputs!$B$25+Inputs!$B$28,IF(Skills!C3=3,120+Inputs!$B$26+Inputs!$B$28,MAX(0,(Inputs!$B$3-100)*3)+Inputs!$B$27+Inputs!$B$28)))</f>
        <v/>
      </c>
      <c r="E569">
        <f>INDEX(FactorTable!$B$2:$Y$301, MATCH(ROUND(MIN(300,MAX(1,D569)),0), FactorTable!$A$2:$A$301,0), Skills!M3+1)</f>
        <v/>
      </c>
      <c r="F569">
        <f>IF(Skills!N3=TRUE,(Skills!L3/10)*(E569/1000),Skills!L3/10)+Skills!O3</f>
        <v/>
      </c>
      <c r="G569">
        <f>Skills!G3*IF(Skills!H3&gt;0,Skills!I3/Skills!H3,1)</f>
        <v/>
      </c>
      <c r="H569">
        <f>1-(1-Skills!J3/100)^Skills!K3</f>
        <v/>
      </c>
      <c r="I569" t="inlineStr">
        <is>
          <t>1</t>
        </is>
      </c>
      <c r="J569">
        <f>(Inputs!$B$5*(1+Inputs!$B$6/100))*(F569/100)</f>
        <v/>
      </c>
      <c r="K569">
        <f>J569*(1+((Inputs!$B$11*(1+Inputs!$B$12/100))*0.01+Inputs!$B$13*0.0025)/100)*(1+Inputs!$B$14/100)*(1+IF(Inputs!$B$4="pvp",0,(1-Summary!$B$55)*(Inputs!$B$19+0+Skills!P3)+Summary!$B$55*(Inputs!$B$20+Skills!Q3))/100)*(1+Inputs!$B$15/100)*(5000/(6000+Inputs!$B$7*(1-(((1-(1-Inputs!$B$18/100)*(1-1/100))*100)+0)/100)))*(1+(Inputs!$B$23+((C592=TRUE)*(F592-Calc!F26))+B602)/100)*(1+4.0*IF(C581=TRUE,F581,0)/100)*(1+(IF(Skills!A3="EIGHT_LEGS_EASTON",Inputs!$B$16+((C589=TRUE)*(F589-Calc!F23))+((C593=TRUE)*(F593-Calc!F27)),Inputs!$B$17+0))/100)*((1+(((C583=TRUE)*F583)+((C590=TRUE)*(F590-Calc!F24)))/100)*I569)</f>
        <v/>
      </c>
      <c r="L569">
        <f>K569*(MIN(Inputs!$B$21+((C588=TRUE)*(F588-Calc!F22)),Inputs!$B$22+0)/100+(Inputs!$B$22+0)/100)/2</f>
        <v/>
      </c>
      <c r="M569">
        <f>L569*(1+(Inputs!$B$9+((C591=TRUE)*(F591-Calc!F25))+B601)/100)</f>
        <v/>
      </c>
      <c r="N569">
        <f>L569*(1-MIN((Inputs!$B$8+((C585=TRUE)*(F585-Calc!F19))+B596),100)/100)+M569*(MIN((Inputs!$B$8+((C585=TRUE)*(F585-Calc!F19))+B596),100)/100)</f>
        <v/>
      </c>
      <c r="O569">
        <f>IF(C569,H569*N569*IF(AND(Inputs!$B$4&lt;&gt;"pvp",Inputs!$B$35&gt;0),((Skills!G3*((R569-1)*IF(Skills!H3&gt;0,Skills!I3/Skills!H3,1)+IF(Skills!H3&gt;0,MIN(Skills!I3,MAX(0,Inputs!$B$35-((R569-1)*IF(Inputs!$B$4="pvp",15,MAX(0.1,Skills!D3-IF(Skills!E3=TRUE,Inputs!$B$31,0))))))/Skills!H3,1)))/Inputs!$B$35),G569*Q569)*IF(Inputs!$B$4="pvp",1,(1-Summary!$B$55)*(1)+Summary!$B$55*(MIN(Skills!R3,Inputs!$B$37))),0)</f>
        <v/>
      </c>
      <c r="P569">
        <f>IF(B604=0,0,O569/B604)</f>
        <v/>
      </c>
      <c r="Q569">
        <f>IFERROR(1/IF(Inputs!$B$4="pvp",15,MAX(0.1,Skills!D3-IF(Skills!E3=TRUE,Inputs!$B$31,0))),0)</f>
        <v/>
      </c>
      <c r="R569">
        <f>IF(AND(Inputs!$B$4&lt;&gt;"pvp",Inputs!$B$35&gt;0),(INT(Inputs!$B$35/IF(Inputs!$B$4="pvp",15,MAX(0.1,Skills!D3-IF(Skills!E3=TRUE,Inputs!$B$31,0))))+1),0)</f>
        <v/>
      </c>
      <c r="S569">
        <f>IFERROR(O569/N569,0)</f>
        <v/>
      </c>
      <c r="U569">
        <f>INDEX(FactorTable!$B$2:$Y$301, MATCH(ROUND(MIN(300,MAX(1,U568)),0), FactorTable!$A$2:$A$301,0), 22)</f>
        <v/>
      </c>
    </row>
    <row r="570">
      <c r="A570">
        <f>Skills!A4</f>
        <v/>
      </c>
      <c r="B570">
        <f>Skills!B4</f>
        <v/>
      </c>
      <c r="C570">
        <f>Inputs!$B$3&gt;=40</f>
        <v/>
      </c>
      <c r="D570">
        <f>IF(Skills!C4=1,60+Inputs!$B$24+Inputs!$B$28,IF(Skills!C4=2,90+Inputs!$B$25+Inputs!$B$28,IF(Skills!C4=3,120+Inputs!$B$26+Inputs!$B$28,MAX(0,(Inputs!$B$3-100)*3)+Inputs!$B$27+Inputs!$B$28)))</f>
        <v/>
      </c>
      <c r="E570">
        <f>INDEX(FactorTable!$B$2:$Y$301, MATCH(ROUND(MIN(300,MAX(1,D570)),0), FactorTable!$A$2:$A$301,0), Skills!M4+1)</f>
        <v/>
      </c>
      <c r="F570">
        <f>IF(Skills!N4=TRUE,(Skills!L4/10)*(E570/1000),Skills!L4/10)+Skills!O4</f>
        <v/>
      </c>
      <c r="G570">
        <f>Skills!G4*IF(Skills!H4&gt;0,Skills!I4/Skills!H4,1)</f>
        <v/>
      </c>
      <c r="H570">
        <f>1-(1-Skills!J4/100)^Skills!K4</f>
        <v/>
      </c>
      <c r="I570" t="inlineStr">
        <is>
          <t>1</t>
        </is>
      </c>
      <c r="J570">
        <f>(Inputs!$B$5*(1+Inputs!$B$6/100))*(F570/100)</f>
        <v/>
      </c>
      <c r="K570">
        <f>J570*(1+((Inputs!$B$11*(1+Inputs!$B$12/100))*0.01+Inputs!$B$13*0.0025)/100)*(1+Inputs!$B$14/100)*(1+IF(Inputs!$B$4="pvp",0,(1-Summary!$B$55)*(Inputs!$B$19+0+Skills!P4)+Summary!$B$55*(Inputs!$B$20+Skills!Q4))/100)*(1+Inputs!$B$15/100)*(5000/(6000+Inputs!$B$7*(1-(((1-(1-Inputs!$B$18/100)*(1-1/100))*100)+0)/100)))*(1+(Inputs!$B$23+((C592=TRUE)*(F592-Calc!F26))+B602)/100)*(1+1.0*IF(C582=TRUE,F582,0)/100)*(1+(IF(Skills!A4="EIGHT_LEGS_EASTON",Inputs!$B$16+((C589=TRUE)*(F589-Calc!F23))+((C593=TRUE)*(F593-Calc!F27)),Inputs!$B$17+0))/100)*((1+(((C583=TRUE)*F583)+((C590=TRUE)*(F590-Calc!F24)))/100)*I570)</f>
        <v/>
      </c>
      <c r="L570">
        <f>K570*(MIN(Inputs!$B$21+((C588=TRUE)*(F588-Calc!F22)),Inputs!$B$22+0)/100+(Inputs!$B$22+0)/100)/2</f>
        <v/>
      </c>
      <c r="M570">
        <f>L570*(1+(Inputs!$B$9+((C591=TRUE)*(F591-Calc!F25))+B601)/100)</f>
        <v/>
      </c>
      <c r="N570">
        <f>L570*(1-MIN((Inputs!$B$8+((C585=TRUE)*(F585-Calc!F19))+B596),100)/100)+M570*(MIN((Inputs!$B$8+((C585=TRUE)*(F585-Calc!F19))+B596),100)/100)</f>
        <v/>
      </c>
      <c r="O570">
        <f>IF(C570,H570*N570*IF(AND(Inputs!$B$4&lt;&gt;"pvp",Inputs!$B$35&gt;0),((Skills!G4*((R570-1)*IF(Skills!H4&gt;0,Skills!I4/Skills!H4,1)+IF(Skills!H4&gt;0,MIN(Skills!I4,MAX(0,Inputs!$B$35-((R570-1)*IF(Inputs!$B$4="pvp",15,MAX(0.1,Skills!D4-IF(Skills!E4=TRUE,Inputs!$B$31,0))))))/Skills!H4,1)))/Inputs!$B$35),G570*Q570)*IF(Inputs!$B$4="pvp",1,(1-Summary!$B$55)*(1)+Summary!$B$55*(MIN(Skills!R4,Inputs!$B$37))),0)</f>
        <v/>
      </c>
      <c r="P570">
        <f>IF(B604=0,0,O570/B604)</f>
        <v/>
      </c>
      <c r="Q570">
        <f>IFERROR(1/IF(Inputs!$B$4="pvp",15,MAX(0.1,Skills!D4-IF(Skills!E4=TRUE,Inputs!$B$31,0))),0)</f>
        <v/>
      </c>
      <c r="R570">
        <f>IF(AND(Inputs!$B$4&lt;&gt;"pvp",Inputs!$B$35&gt;0),(INT(Inputs!$B$35/IF(Inputs!$B$4="pvp",15,MAX(0.1,Skills!D4-IF(Skills!E4=TRUE,Inputs!$B$31,0))))+1),0)</f>
        <v/>
      </c>
      <c r="S570">
        <f>IFERROR(O570/N570,0)</f>
        <v/>
      </c>
      <c r="U570">
        <f>290*U569/1000</f>
        <v/>
      </c>
    </row>
    <row r="571">
      <c r="A571">
        <f>Skills!A5</f>
        <v/>
      </c>
      <c r="B571">
        <f>Skills!B5</f>
        <v/>
      </c>
      <c r="C571">
        <f>Inputs!$B$3&gt;=45</f>
        <v/>
      </c>
      <c r="D571">
        <f>IF(Skills!C5=1,60+Inputs!$B$24+Inputs!$B$28,IF(Skills!C5=2,90+Inputs!$B$25+Inputs!$B$28,IF(Skills!C5=3,120+Inputs!$B$26+Inputs!$B$28,MAX(0,(Inputs!$B$3-100)*3)+Inputs!$B$27+Inputs!$B$28)))</f>
        <v/>
      </c>
      <c r="E571">
        <f>INDEX(FactorTable!$B$2:$Y$301, MATCH(ROUND(MIN(300,MAX(1,D571)),0), FactorTable!$A$2:$A$301,0), Skills!M5+1)</f>
        <v/>
      </c>
      <c r="F571">
        <f>IF(Skills!N5=TRUE,(Skills!L5/10)*(E571/1000),Skills!L5/10)+Skills!O5</f>
        <v/>
      </c>
      <c r="G571">
        <f>Skills!G5*IF(Skills!H5&gt;0,Skills!I5/Skills!H5,1)</f>
        <v/>
      </c>
      <c r="H571">
        <f>1-(1-Skills!J5/100)^Skills!K5</f>
        <v/>
      </c>
      <c r="I571" t="inlineStr">
        <is>
          <t>1</t>
        </is>
      </c>
      <c r="J571">
        <f>(Inputs!$B$5*(1+Inputs!$B$6/100))*(F571/100)</f>
        <v/>
      </c>
      <c r="K571">
        <f>J571*(1+((Inputs!$B$11*(1+Inputs!$B$12/100))*0.01+Inputs!$B$13*0.0025)/100)*(1+Inputs!$B$14/100)*(1+IF(Inputs!$B$4="pvp",0,(1-Summary!$B$55)*(Inputs!$B$19+0+Skills!P5)+Summary!$B$55*(Inputs!$B$20+Skills!Q5))/100)*(1+Inputs!$B$15/100)*(5000/(6000+Inputs!$B$7*(1-(((1-(1-Inputs!$B$18/100)*(1-1/100))*100)+0)/100)))*(1+(Inputs!$B$23+((C592=TRUE)*(F592-Calc!F26))+B602)/100)*(1+0.4*IF(C582=TRUE,F582,0)/100)*(1+(IF(Skills!A5="EIGHT_LEGS_EASTON",Inputs!$B$16+((C589=TRUE)*(F589-Calc!F23))+((C593=TRUE)*(F593-Calc!F27)),Inputs!$B$17+0))/100)*((1+(((C583=TRUE)*F583)+((C590=TRUE)*(F590-Calc!F24)))/100)*I571)</f>
        <v/>
      </c>
      <c r="L571">
        <f>K571*(MIN(Inputs!$B$21+((C588=TRUE)*(F588-Calc!F22)),Inputs!$B$22+0)/100+(Inputs!$B$22+0)/100)/2</f>
        <v/>
      </c>
      <c r="M571">
        <f>L571*(1+(Inputs!$B$9+((C591=TRUE)*(F591-Calc!F25))+B601)/100)</f>
        <v/>
      </c>
      <c r="N571">
        <f>L571*(1-MIN((Inputs!$B$8+((C585=TRUE)*(F585-Calc!F19))+B596),100)/100)+M571*(MIN((Inputs!$B$8+((C585=TRUE)*(F585-Calc!F19))+B596),100)/100)</f>
        <v/>
      </c>
      <c r="O571">
        <f>IF(C571,H571*N571*IF(AND(Inputs!$B$4&lt;&gt;"pvp",Inputs!$B$35&gt;0),((Skills!G5*((R571-1)*IF(Skills!H5&gt;0,Skills!I5/Skills!H5,1)+IF(Skills!H5&gt;0,MIN(Skills!I5,MAX(0,Inputs!$B$35-((R571-1)*IF(Inputs!$B$4="pvp",15,MAX(0.1,Skills!D5-IF(Skills!E5=TRUE,Inputs!$B$31,0))))))/Skills!H5,1)))/Inputs!$B$35),G571*Q571)*IF(Inputs!$B$4="pvp",1,(1-Summary!$B$55)*(1)+Summary!$B$55*(MIN(Skills!R5,Inputs!$B$37))),0)</f>
        <v/>
      </c>
      <c r="P571">
        <f>IF(B604=0,0,O571/B604)</f>
        <v/>
      </c>
      <c r="Q571">
        <f>IFERROR(1/IF(Inputs!$B$4="pvp",15,MAX(0.1,Skills!D5-IF(Skills!E5=TRUE,Inputs!$B$31,0))),0)</f>
        <v/>
      </c>
      <c r="R571">
        <f>IF(AND(Inputs!$B$4&lt;&gt;"pvp",Inputs!$B$35&gt;0),(INT(Inputs!$B$35/IF(Inputs!$B$4="pvp",15,MAX(0.1,Skills!D5-IF(Skills!E5=TRUE,Inputs!$B$31,0))))+1),0)</f>
        <v/>
      </c>
      <c r="S571">
        <f>IFERROR(O571/N571,0)</f>
        <v/>
      </c>
    </row>
    <row r="572">
      <c r="A572">
        <f>Skills!A6</f>
        <v/>
      </c>
      <c r="B572">
        <f>Skills!B6</f>
        <v/>
      </c>
      <c r="C572">
        <f>Inputs!$B$3&gt;=63</f>
        <v/>
      </c>
      <c r="D572">
        <f>IF(Skills!C6=1,60+Inputs!$B$24+Inputs!$B$28,IF(Skills!C6=2,90+Inputs!$B$25+Inputs!$B$28,IF(Skills!C6=3,120+Inputs!$B$26+Inputs!$B$28,MAX(0,(Inputs!$B$3-100)*3)+Inputs!$B$27+Inputs!$B$28)))</f>
        <v/>
      </c>
      <c r="E572">
        <f>INDEX(FactorTable!$B$2:$Y$301, MATCH(ROUND(MIN(300,MAX(1,D572)),0), FactorTable!$A$2:$A$301,0), Skills!M6+1)</f>
        <v/>
      </c>
      <c r="F572">
        <f>IF(Skills!N6=TRUE,(Skills!L6/10)*(E572/1000),Skills!L6/10)+Skills!O6</f>
        <v/>
      </c>
      <c r="G572">
        <f>Skills!G6*IF(Skills!H6&gt;0,Skills!I6/Skills!H6,1)</f>
        <v/>
      </c>
      <c r="H572">
        <f>1-(1-Skills!J6/100)^Skills!K6</f>
        <v/>
      </c>
      <c r="I572" t="inlineStr">
        <is>
          <t>1</t>
        </is>
      </c>
      <c r="J572">
        <f>(Inputs!$B$5*(1+Inputs!$B$6/100))*(F572/100)</f>
        <v/>
      </c>
      <c r="K572">
        <f>J572*(1+((Inputs!$B$11*(1+Inputs!$B$12/100))*0.01+Inputs!$B$13*0.0025)/100)*(1+Inputs!$B$14/100)*(1+IF(Inputs!$B$4="pvp",0,(1-Summary!$B$55)*(Inputs!$B$19+0+Skills!P6)+Summary!$B$55*(Inputs!$B$20+Skills!Q6))/100)*(1+Inputs!$B$15/100)*(5000/(6000+Inputs!$B$7*(1-(((1-(1-Inputs!$B$18/100)*(1-1/100))*100)+0)/100)))*(1+(Inputs!$B$23+((C592=TRUE)*(F592-Calc!F26))+B602)/100)*(1+2.0*IF(C581=TRUE,F581,0)/100)*(1+(IF(Skills!A6="EIGHT_LEGS_EASTON",Inputs!$B$16+((C589=TRUE)*(F589-Calc!F23))+((C593=TRUE)*(F593-Calc!F27)),Inputs!$B$17+0))/100)*((1+(((C583=TRUE)*F583)+((C590=TRUE)*(F590-Calc!F24)))/100)*I572)</f>
        <v/>
      </c>
      <c r="L572">
        <f>K572*(MIN(Inputs!$B$21+((C588=TRUE)*(F588-Calc!F22)),Inputs!$B$22+0)/100+(Inputs!$B$22+0)/100)/2</f>
        <v/>
      </c>
      <c r="M572">
        <f>L572*(1+(Inputs!$B$9+((C591=TRUE)*(F591-Calc!F25))+B601)/100)</f>
        <v/>
      </c>
      <c r="N572">
        <f>L572*(1-MIN((Inputs!$B$8+((C585=TRUE)*(F585-Calc!F19))+B596),100)/100)+M572*(MIN((Inputs!$B$8+((C585=TRUE)*(F585-Calc!F19))+B596),100)/100)</f>
        <v/>
      </c>
      <c r="O572">
        <f>IF(C572,H572*N572*IF(AND(Inputs!$B$4&lt;&gt;"pvp",Inputs!$B$35&gt;0),((Skills!G6*((R572-1)*IF(Skills!H6&gt;0,Skills!I6/Skills!H6,1)+IF(Skills!H6&gt;0,MIN(Skills!I6,MAX(0,Inputs!$B$35-((R572-1)*IF(Inputs!$B$4="pvp",15,MAX(0.1,Skills!D6-IF(Skills!E6=TRUE,Inputs!$B$31,0))))))/Skills!H6,1)))/Inputs!$B$35),G572*Q572)*IF(Inputs!$B$4="pvp",1,(1-Summary!$B$55)*(1)+Summary!$B$55*(MIN(Skills!R6,Inputs!$B$37))),0)</f>
        <v/>
      </c>
      <c r="P572">
        <f>IF(B604=0,0,O572/B604)</f>
        <v/>
      </c>
      <c r="Q572">
        <f>IFERROR(1/IF(Inputs!$B$4="pvp",15,MAX(0.1,Skills!D6-IF(Skills!E6=TRUE,Inputs!$B$31,0))),0)</f>
        <v/>
      </c>
      <c r="R572">
        <f>IF(AND(Inputs!$B$4&lt;&gt;"pvp",Inputs!$B$35&gt;0),(INT(Inputs!$B$35/IF(Inputs!$B$4="pvp",15,MAX(0.1,Skills!D6-IF(Skills!E6=TRUE,Inputs!$B$31,0))))+1),0)</f>
        <v/>
      </c>
      <c r="S572">
        <f>IFERROR(O572/N572,0)</f>
        <v/>
      </c>
    </row>
    <row r="573">
      <c r="A573">
        <f>Skills!A7</f>
        <v/>
      </c>
      <c r="B573">
        <f>Skills!B7</f>
        <v/>
      </c>
      <c r="C573">
        <f>Inputs!$B$3&gt;=66</f>
        <v/>
      </c>
      <c r="D573">
        <f>IF(Skills!C7=1,60+Inputs!$B$24+Inputs!$B$28,IF(Skills!C7=2,90+Inputs!$B$25+Inputs!$B$28,IF(Skills!C7=3,120+Inputs!$B$26+Inputs!$B$28,MAX(0,(Inputs!$B$3-100)*3)+Inputs!$B$27+Inputs!$B$28)))</f>
        <v/>
      </c>
      <c r="E573">
        <f>INDEX(FactorTable!$B$2:$Y$301, MATCH(ROUND(MIN(300,MAX(1,D573)),0), FactorTable!$A$2:$A$301,0), Skills!M7+1)</f>
        <v/>
      </c>
      <c r="F573">
        <f>IF(Skills!N7=TRUE,(Skills!L7/10)*(E573/1000),Skills!L7/10)+Skills!O7</f>
        <v/>
      </c>
      <c r="G573">
        <f>Skills!G7*IF(Skills!H7&gt;0,Skills!I7/Skills!H7,1)</f>
        <v/>
      </c>
      <c r="H573">
        <f>1-(1-Skills!J7/100)^Skills!K7</f>
        <v/>
      </c>
      <c r="I573" t="inlineStr">
        <is>
          <t>1</t>
        </is>
      </c>
      <c r="J573">
        <f>(Inputs!$B$5*(1+Inputs!$B$6/100))*(F573/100)</f>
        <v/>
      </c>
      <c r="K573">
        <f>J573*(1+((Inputs!$B$11*(1+Inputs!$B$12/100))*0.01+Inputs!$B$13*0.0025)/100)*(1+Inputs!$B$14/100)*(1+IF(Inputs!$B$4="pvp",0,(1-Summary!$B$55)*(Inputs!$B$19+0+Skills!P7)+Summary!$B$55*(Inputs!$B$20+Skills!Q7))/100)*(1+Inputs!$B$15/100)*(5000/(6000+Inputs!$B$7*(1-(((1-(1-Inputs!$B$18/100)*(1-1/100))*100)+0)/100)))*(1+(Inputs!$B$23+((C592=TRUE)*(F592-Calc!F26))+B602)/100)*(1+1.0*IF(C581=TRUE,F581,0)/100)*(1+(IF(Skills!A7="EIGHT_LEGS_EASTON",Inputs!$B$16+((C589=TRUE)*(F589-Calc!F23))+((C593=TRUE)*(F593-Calc!F27)),Inputs!$B$17+0))/100)*((1+(((C583=TRUE)*F583)+((C590=TRUE)*(F590-Calc!F24)))/100)*I573)</f>
        <v/>
      </c>
      <c r="L573">
        <f>K573*(MIN(Inputs!$B$21+((C588=TRUE)*(F588-Calc!F22)),Inputs!$B$22+0)/100+(Inputs!$B$22+0)/100)/2</f>
        <v/>
      </c>
      <c r="M573">
        <f>L573*(1+(Inputs!$B$9+((C591=TRUE)*(F591-Calc!F25))+B601)/100)</f>
        <v/>
      </c>
      <c r="N573">
        <f>L573*(1-MIN((Inputs!$B$8+((C585=TRUE)*(F585-Calc!F19))+B596),100)/100)+M573*(MIN((Inputs!$B$8+((C585=TRUE)*(F585-Calc!F19))+B596),100)/100)</f>
        <v/>
      </c>
      <c r="O573">
        <f>IF(C573,H573*N573*IF(AND(Inputs!$B$4&lt;&gt;"pvp",Inputs!$B$35&gt;0),((Skills!G7*((R573-1)*IF(Skills!H7&gt;0,Skills!I7/Skills!H7,1)+IF(Skills!H7&gt;0,MIN(Skills!I7,MAX(0,Inputs!$B$35-((R573-1)*IF(Inputs!$B$4="pvp",15,MAX(0.1,Skills!D7-IF(Skills!E7=TRUE,Inputs!$B$31,0))))))/Skills!H7,1)))/Inputs!$B$35),G573*Q573)*IF(Inputs!$B$4="pvp",1,(1-Summary!$B$55)*(1)+Summary!$B$55*(MIN(Skills!R7,Inputs!$B$37))),0)</f>
        <v/>
      </c>
      <c r="P573">
        <f>IF(B604=0,0,O573/B604)</f>
        <v/>
      </c>
      <c r="Q573">
        <f>IFERROR(1/IF(Inputs!$B$4="pvp",15,MAX(0.1,Skills!D7-IF(Skills!E7=TRUE,Inputs!$B$31,0))),0)</f>
        <v/>
      </c>
      <c r="R573">
        <f>IF(AND(Inputs!$B$4&lt;&gt;"pvp",Inputs!$B$35&gt;0),(INT(Inputs!$B$35/IF(Inputs!$B$4="pvp",15,MAX(0.1,Skills!D7-IF(Skills!E7=TRUE,Inputs!$B$31,0))))+1),0)</f>
        <v/>
      </c>
      <c r="S573">
        <f>IFERROR(O573/N573,0)</f>
        <v/>
      </c>
    </row>
    <row r="574">
      <c r="A574">
        <f>Skills!A8</f>
        <v/>
      </c>
      <c r="B574">
        <f>Skills!B8</f>
        <v/>
      </c>
      <c r="C574">
        <f>Inputs!$B$3&gt;=100</f>
        <v/>
      </c>
      <c r="D574">
        <f>IF(Skills!C8=1,60+Inputs!$B$24+Inputs!$B$28,IF(Skills!C8=2,90+Inputs!$B$25+Inputs!$B$28,IF(Skills!C8=3,120+Inputs!$B$26+Inputs!$B$28,MAX(0,(Inputs!$B$3-100)*3)+Inputs!$B$27+Inputs!$B$28)))</f>
        <v/>
      </c>
      <c r="E574">
        <f>INDEX(FactorTable!$B$2:$Y$301, MATCH(ROUND(MIN(300,MAX(1,D574)),0), FactorTable!$A$2:$A$301,0), Skills!M8+1)</f>
        <v/>
      </c>
      <c r="F574">
        <f>IF(Skills!N8=TRUE,(Skills!L8/10)*(E574/1000),Skills!L8/10)+Skills!O8</f>
        <v/>
      </c>
      <c r="G574">
        <f>Skills!G8*IF(Skills!H8&gt;0,Skills!I8/Skills!H8,1)</f>
        <v/>
      </c>
      <c r="H574">
        <f>1-(1-Skills!J8/100)^Skills!K8</f>
        <v/>
      </c>
      <c r="I574" t="inlineStr">
        <is>
          <t>1</t>
        </is>
      </c>
      <c r="J574">
        <f>(Inputs!$B$5*(1+Inputs!$B$6/100))*(F574/100)</f>
        <v/>
      </c>
      <c r="K574">
        <f>J574*(1+((Inputs!$B$11*(1+Inputs!$B$12/100))*0.01+Inputs!$B$13*0.0025)/100)*(1+Inputs!$B$14/100)*(1+IF(Inputs!$B$4="pvp",0,(1-Summary!$B$55)*(Inputs!$B$19+0+Skills!P8)+Summary!$B$55*(Inputs!$B$20+Skills!Q8))/100)*(1+Inputs!$B$15/100)*(5000/(6000+Inputs!$B$7*(1-(((1-(1-Inputs!$B$18/100)*(1-1/100))*100)+0)/100)))*(1+(Inputs!$B$23+((C592=TRUE)*(F592-Calc!F26))+B602)/100)*(1+(IF(Skills!A8="EIGHT_LEGS_EASTON",Inputs!$B$16+((C589=TRUE)*(F589-Calc!F23))+((C593=TRUE)*(F593-Calc!F27)),Inputs!$B$17+0))/100)*((1+(((C583=TRUE)*F583)+((C590=TRUE)*(F590-Calc!F24)))/100)*I574)</f>
        <v/>
      </c>
      <c r="L574">
        <f>K574*(MIN(Inputs!$B$21+((C588=TRUE)*(F588-Calc!F22)),Inputs!$B$22+0)/100+(Inputs!$B$22+0)/100)/2</f>
        <v/>
      </c>
      <c r="M574">
        <f>L574*(1+(Inputs!$B$9+((C591=TRUE)*(F591-Calc!F25))+B601)/100)</f>
        <v/>
      </c>
      <c r="N574">
        <f>L574*(1-MIN((Inputs!$B$8+((C585=TRUE)*(F585-Calc!F19))+B596),100)/100)+M574*(MIN((Inputs!$B$8+((C585=TRUE)*(F585-Calc!F19))+B596),100)/100)</f>
        <v/>
      </c>
      <c r="O574">
        <f>IF(C574,H574*N574*IF(AND(Inputs!$B$4&lt;&gt;"pvp",Inputs!$B$35&gt;0),((Skills!G8*((R574-1)*IF(Skills!H8&gt;0,Skills!I8/Skills!H8,1)+IF(Skills!H8&gt;0,MIN(Skills!I8,MAX(0,Inputs!$B$35-((R574-1)*IF(Inputs!$B$4="pvp",15,MAX(0.1,Skills!D8-IF(Skills!E8=TRUE,Inputs!$B$31,0))))))/Skills!H8,1)))/Inputs!$B$35),G574*Q574)*IF(Inputs!$B$4="pvp",1,(1-Summary!$B$55)*(1)+Summary!$B$55*(MIN(Skills!R8,Inputs!$B$37))),0)</f>
        <v/>
      </c>
      <c r="P574">
        <f>IF(B604=0,0,O574/B604)</f>
        <v/>
      </c>
      <c r="Q574">
        <f>IFERROR(1/IF(Inputs!$B$4="pvp",15,MAX(0.1,Skills!D8-IF(Skills!E8=TRUE,Inputs!$B$31,0))),0)</f>
        <v/>
      </c>
      <c r="R574">
        <f>IF(AND(Inputs!$B$4&lt;&gt;"pvp",Inputs!$B$35&gt;0),(INT(Inputs!$B$35/IF(Inputs!$B$4="pvp",15,MAX(0.1,Skills!D8-IF(Skills!E8=TRUE,Inputs!$B$31,0))))+1),0)</f>
        <v/>
      </c>
      <c r="S574">
        <f>IFERROR(O574/N574,0)</f>
        <v/>
      </c>
    </row>
    <row r="575">
      <c r="A575">
        <f>Skills!A9</f>
        <v/>
      </c>
      <c r="B575">
        <f>Skills!B9</f>
        <v/>
      </c>
      <c r="C575">
        <f>Inputs!$B$3&gt;=103</f>
        <v/>
      </c>
      <c r="D575">
        <f>IF(Skills!C9=1,60+Inputs!$B$24+Inputs!$B$28,IF(Skills!C9=2,90+Inputs!$B$25+Inputs!$B$28,IF(Skills!C9=3,120+Inputs!$B$26+Inputs!$B$28,MAX(0,(Inputs!$B$3-100)*3)+Inputs!$B$27+Inputs!$B$28)))</f>
        <v/>
      </c>
      <c r="E575">
        <f>INDEX(FactorTable!$B$2:$Y$301, MATCH(ROUND(MIN(300,MAX(1,D575)),0), FactorTable!$A$2:$A$301,0), Skills!M9+1)</f>
        <v/>
      </c>
      <c r="F575">
        <f>IF(Skills!N9=TRUE,(Skills!L9/10)*(E575/1000),Skills!L9/10)+Skills!O9</f>
        <v/>
      </c>
      <c r="G575">
        <f>Skills!G9*IF(Skills!H9&gt;0,Skills!I9/Skills!H9,1)</f>
        <v/>
      </c>
      <c r="H575">
        <f>1-(1-Skills!J9/100)^Skills!K9</f>
        <v/>
      </c>
      <c r="I575" t="inlineStr">
        <is>
          <t>1</t>
        </is>
      </c>
      <c r="J575">
        <f>(Inputs!$B$5*(1+Inputs!$B$6/100))*(F575/100)</f>
        <v/>
      </c>
      <c r="K575">
        <f>J575*(1+((Inputs!$B$11*(1+Inputs!$B$12/100))*0.01+Inputs!$B$13*0.0025)/100)*(1+Inputs!$B$14/100)*(1+IF(Inputs!$B$4="pvp",0,(1-Summary!$B$55)*(Inputs!$B$19+0+Skills!P9)+Summary!$B$55*(Inputs!$B$20+Skills!Q9))/100)*(1+Inputs!$B$15/100)*(5000/(6000+Inputs!$B$7*(1-(((1-(1-Inputs!$B$18/100)*(1-1/100))*100)+0)/100)))*(1+(Inputs!$B$23+((C592=TRUE)*(F592-Calc!F26))+B602)/100)*(1+(IF(Skills!A9="EIGHT_LEGS_EASTON",Inputs!$B$16+((C589=TRUE)*(F589-Calc!F23))+((C593=TRUE)*(F593-Calc!F27)),Inputs!$B$17+0))/100)*((1+(((C583=TRUE)*F583)+((C590=TRUE)*(F590-Calc!F24)))/100)*I575)</f>
        <v/>
      </c>
      <c r="L575">
        <f>K575*(MIN(Inputs!$B$21+((C588=TRUE)*(F588-Calc!F22)),Inputs!$B$22+0)/100+(Inputs!$B$22+0)/100)/2</f>
        <v/>
      </c>
      <c r="M575">
        <f>L575*(1+(Inputs!$B$9+((C591=TRUE)*(F591-Calc!F25))+B601)/100)</f>
        <v/>
      </c>
      <c r="N575">
        <f>L575*(1-MIN((Inputs!$B$8+((C585=TRUE)*(F585-Calc!F19))+B596),100)/100)+M575*(MIN((Inputs!$B$8+((C585=TRUE)*(F585-Calc!F19))+B596),100)/100)</f>
        <v/>
      </c>
      <c r="O575">
        <f>IF(C575,H575*N575*IF(AND(Inputs!$B$4&lt;&gt;"pvp",Inputs!$B$35&gt;0),((Skills!G9*((R575-1)*IF(Skills!H9&gt;0,Skills!I9/Skills!H9,1)+IF(Skills!H9&gt;0,MIN(Skills!I9,MAX(0,Inputs!$B$35-((R575-1)*IF(Inputs!$B$4="pvp",15,MAX(0.1,Skills!D9-IF(Skills!E9=TRUE,Inputs!$B$31,0))))))/Skills!H9,1)))/Inputs!$B$35),G575*Q575)*IF(Inputs!$B$4="pvp",1,(1-Summary!$B$55)*(1)+Summary!$B$55*(MIN(Skills!R9,Inputs!$B$37))),0)</f>
        <v/>
      </c>
      <c r="P575">
        <f>IF(B604=0,0,O575/B604)</f>
        <v/>
      </c>
      <c r="Q575">
        <f>IFERROR(1/IF(Inputs!$B$4="pvp",15,MAX(0.1,Skills!D9-IF(Skills!E9=TRUE,Inputs!$B$31,0))),0)</f>
        <v/>
      </c>
      <c r="R575">
        <f>IF(AND(Inputs!$B$4&lt;&gt;"pvp",Inputs!$B$35&gt;0),(INT(Inputs!$B$35/IF(Inputs!$B$4="pvp",15,MAX(0.1,Skills!D9-IF(Skills!E9=TRUE,Inputs!$B$31,0))))+1),0)</f>
        <v/>
      </c>
      <c r="S575">
        <f>IFERROR(O575/N575,0)</f>
        <v/>
      </c>
    </row>
    <row r="576">
      <c r="A576">
        <f>Skills!A10</f>
        <v/>
      </c>
      <c r="B576">
        <f>Skills!B10</f>
        <v/>
      </c>
      <c r="C576">
        <f>Inputs!$B$3&gt;=113</f>
        <v/>
      </c>
      <c r="D576">
        <f>IF(Skills!C10=1,60+Inputs!$B$24+Inputs!$B$28,IF(Skills!C10=2,90+Inputs!$B$25+Inputs!$B$28,IF(Skills!C10=3,120+Inputs!$B$26+Inputs!$B$28,MAX(0,(Inputs!$B$3-100)*3)+Inputs!$B$27+Inputs!$B$28)))</f>
        <v/>
      </c>
      <c r="E576">
        <f>INDEX(FactorTable!$B$2:$Y$301, MATCH(ROUND(MIN(300,MAX(1,D576)),0), FactorTable!$A$2:$A$301,0), Skills!M10+1)</f>
        <v/>
      </c>
      <c r="F576">
        <f>IF(Skills!N10=TRUE,(Skills!L10/10)*(E576/1000),Skills!L10/10)+Skills!O10</f>
        <v/>
      </c>
      <c r="G576">
        <f>Skills!G10*IF(Skills!H10&gt;0,Skills!I10/Skills!H10,1)</f>
        <v/>
      </c>
      <c r="H576">
        <f>1-(1-Skills!J10/100)^Skills!K10</f>
        <v/>
      </c>
      <c r="I576" t="inlineStr">
        <is>
          <t>1</t>
        </is>
      </c>
      <c r="J576">
        <f>(Inputs!$B$5*(1+Inputs!$B$6/100))*(F576/100)</f>
        <v/>
      </c>
      <c r="K576">
        <f>J576*(1+((Inputs!$B$11*(1+Inputs!$B$12/100))*0.01+Inputs!$B$13*0.0025)/100)*(1+Inputs!$B$14/100)*(1+IF(Inputs!$B$4="pvp",0,(1-Summary!$B$55)*(Inputs!$B$19+0+Skills!P10)+Summary!$B$55*(Inputs!$B$20+Skills!Q10))/100)*(1+Inputs!$B$15/100)*(5000/(6000+Inputs!$B$7*(1-(((1-(1-Inputs!$B$18/100)*(1-1/100))*100)+0)/100)))*(1+(Inputs!$B$23+((C592=TRUE)*(F592-Calc!F26))+B602)/100)*(1+(IF(Skills!A10="EIGHT_LEGS_EASTON",Inputs!$B$16+((C589=TRUE)*(F589-Calc!F23))+((C593=TRUE)*(F593-Calc!F27)),Inputs!$B$17+0))/100)*((1+(((C583=TRUE)*F583)+((C590=TRUE)*(F590-Calc!F24)))/100)*I576)</f>
        <v/>
      </c>
      <c r="L576">
        <f>K576*(MIN(Inputs!$B$21+((C588=TRUE)*(F588-Calc!F22)),Inputs!$B$22+0)/100+(Inputs!$B$22+0)/100)/2</f>
        <v/>
      </c>
      <c r="M576">
        <f>L576*(1+(Inputs!$B$9+((C591=TRUE)*(F591-Calc!F25))+B601)/100)</f>
        <v/>
      </c>
      <c r="N576">
        <f>L576*(1-MIN((Inputs!$B$8+((C585=TRUE)*(F585-Calc!F19))+B596),100)/100)+M576*(MIN((Inputs!$B$8+((C585=TRUE)*(F585-Calc!F19))+B596),100)/100)</f>
        <v/>
      </c>
      <c r="O576">
        <f>IF(C576,H576*N576*IF(AND(Inputs!$B$4&lt;&gt;"pvp",Inputs!$B$35&gt;0),((Skills!G10*((R576-1)*IF(Skills!H10&gt;0,Skills!I10/Skills!H10,1)+IF(Skills!H10&gt;0,MIN(Skills!I10,MAX(0,Inputs!$B$35-((R576-1)*IF(Inputs!$B$4="pvp",15,MAX(0.1,Skills!D10-IF(Skills!E10=TRUE,Inputs!$B$31,0))))))/Skills!H10,1)))/Inputs!$B$35),G576*Q576)*IF(Inputs!$B$4="pvp",1,(1-Summary!$B$55)*(1)+Summary!$B$55*(MIN(Skills!R10,Inputs!$B$37))),0)</f>
        <v/>
      </c>
      <c r="P576">
        <f>IF(B604=0,0,O576/B604)</f>
        <v/>
      </c>
      <c r="Q576">
        <f>IFERROR(1/IF(Inputs!$B$4="pvp",15,MAX(0.1,Skills!D10-IF(Skills!E10=TRUE,Inputs!$B$31,0))),0)</f>
        <v/>
      </c>
      <c r="R576">
        <f>IF(AND(Inputs!$B$4&lt;&gt;"pvp",Inputs!$B$35&gt;0),(INT(Inputs!$B$35/IF(Inputs!$B$4="pvp",15,MAX(0.1,Skills!D10-IF(Skills!E10=TRUE,Inputs!$B$31,0))))+1),0)</f>
        <v/>
      </c>
      <c r="S576">
        <f>IFERROR(O576/N576,0)</f>
        <v/>
      </c>
    </row>
    <row r="577">
      <c r="A577">
        <f>Skills!A11</f>
        <v/>
      </c>
      <c r="B577">
        <f>Skills!B11</f>
        <v/>
      </c>
      <c r="C577">
        <f>Inputs!$B$3&gt;=107</f>
        <v/>
      </c>
      <c r="D577">
        <f>IF(Skills!C11=1,60+Inputs!$B$24+Inputs!$B$28,IF(Skills!C11=2,90+Inputs!$B$25+Inputs!$B$28,IF(Skills!C11=3,120+Inputs!$B$26+Inputs!$B$28,MAX(0,(Inputs!$B$3-100)*3)+Inputs!$B$27+Inputs!$B$28)))</f>
        <v/>
      </c>
      <c r="E577">
        <f>INDEX(FactorTable!$B$2:$Y$301, MATCH(ROUND(MIN(300,MAX(1,D577)),0), FactorTable!$A$2:$A$301,0), Skills!M11+1)</f>
        <v/>
      </c>
      <c r="F577">
        <f>IF(Skills!N11=TRUE,(Skills!L11/10)*(E577/1000),Skills!L11/10)+Skills!O11</f>
        <v/>
      </c>
      <c r="G577">
        <f>Skills!G11*IF(Skills!H11&gt;0,Skills!I11/Skills!H11,1)</f>
        <v/>
      </c>
      <c r="H577">
        <f>1-(1-Skills!J11/100)^Skills!K11</f>
        <v/>
      </c>
      <c r="I577" t="inlineStr">
        <is>
          <t>1</t>
        </is>
      </c>
      <c r="J577">
        <f>(Inputs!$B$5*(1+Inputs!$B$6/100))*(F577/100)</f>
        <v/>
      </c>
      <c r="K577">
        <f>J577*(1+((Inputs!$B$11*(1+Inputs!$B$12/100))*0.01+Inputs!$B$13*0.0025)/100)*(1+Inputs!$B$14/100)*(1+IF(Inputs!$B$4="pvp",0,(1-Summary!$B$55)*(Inputs!$B$19+0+Skills!P11)+Summary!$B$55*(Inputs!$B$20+Skills!Q11))/100)*(1+Inputs!$B$15/100)*(5000/(6000+Inputs!$B$7*(1-(((1-(1-Inputs!$B$18/100)*(1-1/100))*100)+0)/100)))*(1+(Inputs!$B$23+((C592=TRUE)*(F592-Calc!F26))+B602)/100)*(1+(IF(Skills!A11="EIGHT_LEGS_EASTON",Inputs!$B$16+((C589=TRUE)*(F589-Calc!F23))+((C593=TRUE)*(F593-Calc!F27)),Inputs!$B$17+0))/100)*((1+(((C583=TRUE)*F583)+((C590=TRUE)*(F590-Calc!F24)))/100)*I577)</f>
        <v/>
      </c>
      <c r="L577">
        <f>K577*(MIN(Inputs!$B$21+((C588=TRUE)*(F588-Calc!F22)),Inputs!$B$22+0)/100+(Inputs!$B$22+0)/100)/2</f>
        <v/>
      </c>
      <c r="M577">
        <f>L577*(1+(Inputs!$B$9+((C591=TRUE)*(F591-Calc!F25))+B601)/100)</f>
        <v/>
      </c>
      <c r="N577">
        <f>L577*(1-MIN((Inputs!$B$8+((C585=TRUE)*(F585-Calc!F19))+B596),100)/100)+M577*(MIN((Inputs!$B$8+((C585=TRUE)*(F585-Calc!F19))+B596),100)/100)</f>
        <v/>
      </c>
      <c r="O577">
        <f>IF(C577,H577*N577*IF(AND(Inputs!$B$4&lt;&gt;"pvp",Inputs!$B$35&gt;0),((Skills!G11*((R577-1)*IF(Skills!H11&gt;0,Skills!I11/Skills!H11,1)+IF(Skills!H11&gt;0,MIN(Skills!I11,MAX(0,Inputs!$B$35-((R577-1)*IF(Inputs!$B$4="pvp",15,MAX(0.1,Skills!D11-IF(Skills!E11=TRUE,Inputs!$B$31,0))))))/Skills!H11,1)))/Inputs!$B$35),G577*Q577)*IF(Inputs!$B$4="pvp",1,(1-Summary!$B$55)*(1)+Summary!$B$55*(MIN(Skills!R11,Inputs!$B$37))),0)</f>
        <v/>
      </c>
      <c r="P577">
        <f>IF(B604=0,0,O577/B604)</f>
        <v/>
      </c>
      <c r="Q577">
        <f>IFERROR(1/IF(Inputs!$B$4="pvp",15,MAX(0.1,Skills!D11-IF(Skills!E11=TRUE,Inputs!$B$31,0))),0)</f>
        <v/>
      </c>
      <c r="R577">
        <f>IF(AND(Inputs!$B$4&lt;&gt;"pvp",Inputs!$B$35&gt;0),(INT(Inputs!$B$35/IF(Inputs!$B$4="pvp",15,MAX(0.1,Skills!D11-IF(Skills!E11=TRUE,Inputs!$B$31,0))))+1),0)</f>
        <v/>
      </c>
      <c r="S577">
        <f>IFERROR(O577/N577,0)</f>
        <v/>
      </c>
    </row>
    <row r="578">
      <c r="A578">
        <f>Skills!A12</f>
        <v/>
      </c>
      <c r="B578">
        <f>Skills!B12</f>
        <v/>
      </c>
      <c r="C578">
        <f>Inputs!$B$3&gt;=110</f>
        <v/>
      </c>
      <c r="D578">
        <f>IF(Skills!C12=1,60+Inputs!$B$24+Inputs!$B$28,IF(Skills!C12=2,90+Inputs!$B$25+Inputs!$B$28,IF(Skills!C12=3,120+Inputs!$B$26+Inputs!$B$28,MAX(0,(Inputs!$B$3-100)*3)+Inputs!$B$27+Inputs!$B$28)))</f>
        <v/>
      </c>
      <c r="E578">
        <f>INDEX(FactorTable!$B$2:$Y$301, MATCH(ROUND(MIN(300,MAX(1,D578)),0), FactorTable!$A$2:$A$301,0), Skills!M12+1)</f>
        <v/>
      </c>
      <c r="F578">
        <f>IF(Skills!N12=TRUE,(Skills!L12/10)*(E578/1000),Skills!L12/10)+Skills!O12</f>
        <v/>
      </c>
      <c r="G578">
        <f>Skills!G12*IF(Skills!H12&gt;0,Skills!I12/Skills!H12,1)</f>
        <v/>
      </c>
      <c r="H578">
        <f>1-(1-Skills!J12/100)^Skills!K12</f>
        <v/>
      </c>
      <c r="I578" t="inlineStr">
        <is>
          <t>1</t>
        </is>
      </c>
      <c r="J578">
        <f>(Inputs!$B$5*(1+Inputs!$B$6/100))*(F578/100)</f>
        <v/>
      </c>
      <c r="K578">
        <f>J578*(1+((Inputs!$B$11*(1+Inputs!$B$12/100))*0.01+Inputs!$B$13*0.0025)/100)*(1+Inputs!$B$14/100)*(1+IF(Inputs!$B$4="pvp",0,(1-Summary!$B$55)*(Inputs!$B$19+0+Skills!P12)+Summary!$B$55*(Inputs!$B$20+Skills!Q12))/100)*(1+Inputs!$B$15/100)*(5000/(6000+Inputs!$B$7*(1-(((1-(1-Inputs!$B$18/100)*(1-1/100))*100)+0)/100)))*(1+(Inputs!$B$23+((C592=TRUE)*(F592-Calc!F26))+B602)/100)*(1+(IF(Skills!A12="EIGHT_LEGS_EASTON",Inputs!$B$16+((C589=TRUE)*(F589-Calc!F23))+((C593=TRUE)*(F593-Calc!F27)),Inputs!$B$17+0))/100)*((1+(((C583=TRUE)*F583)+((C590=TRUE)*(F590-Calc!F24)))/100)*I578)</f>
        <v/>
      </c>
      <c r="L578">
        <f>K578*(MIN(Inputs!$B$21+((C588=TRUE)*(F588-Calc!F22)),Inputs!$B$22+0)/100+(Inputs!$B$22+0)/100)/2</f>
        <v/>
      </c>
      <c r="M578">
        <f>L578*(1+(Inputs!$B$9+((C591=TRUE)*(F591-Calc!F25))+B601)/100)</f>
        <v/>
      </c>
      <c r="N578">
        <f>L578*(1-MIN((Inputs!$B$8+((C585=TRUE)*(F585-Calc!F19))+B596),100)/100)+M578*(MIN((Inputs!$B$8+((C585=TRUE)*(F585-Calc!F19))+B596),100)/100)</f>
        <v/>
      </c>
      <c r="O578">
        <f>IF(C578,H578*N578*IF(AND(Inputs!$B$4&lt;&gt;"pvp",Inputs!$B$35&gt;0),((Skills!G12*((R578-1)*IF(Skills!H12&gt;0,Skills!I12/Skills!H12,1)+IF(Skills!H12&gt;0,MIN(Skills!I12,MAX(0,Inputs!$B$35-((R578-1)*IF(Inputs!$B$4="pvp",15,MAX(0.1,Skills!D12-IF(Skills!E12=TRUE,Inputs!$B$31,0))))))/Skills!H12,1)))/Inputs!$B$35),G578*Q578)*IF(Inputs!$B$4="pvp",1,(1-Summary!$B$55)*(1)+Summary!$B$55*(MIN(Skills!R12,Inputs!$B$37))),0)</f>
        <v/>
      </c>
      <c r="P578">
        <f>IF(B604=0,0,O578/B604)</f>
        <v/>
      </c>
      <c r="Q578">
        <f>IFERROR(1/IF(Inputs!$B$4="pvp",15,MAX(0.1,Skills!D12-IF(Skills!E12=TRUE,Inputs!$B$31,0))),0)</f>
        <v/>
      </c>
      <c r="R578">
        <f>IF(AND(Inputs!$B$4&lt;&gt;"pvp",Inputs!$B$35&gt;0),(INT(Inputs!$B$35/IF(Inputs!$B$4="pvp",15,MAX(0.1,Skills!D12-IF(Skills!E12=TRUE,Inputs!$B$31,0))))+1),0)</f>
        <v/>
      </c>
      <c r="S578">
        <f>IFERROR(O578/N578,0)</f>
        <v/>
      </c>
    </row>
    <row r="579">
      <c r="A579">
        <f>Skills!A13</f>
        <v/>
      </c>
      <c r="B579">
        <f>Skills!B13</f>
        <v/>
      </c>
      <c r="C579">
        <f>Inputs!$B$3&gt;=110</f>
        <v/>
      </c>
      <c r="D579">
        <f>IF(Skills!C13=1,60+Inputs!$B$24+Inputs!$B$28,IF(Skills!C13=2,90+Inputs!$B$25+Inputs!$B$28,IF(Skills!C13=3,120+Inputs!$B$26+Inputs!$B$28,MAX(0,(Inputs!$B$3-100)*3)+Inputs!$B$27+Inputs!$B$28)))</f>
        <v/>
      </c>
      <c r="E579">
        <f>INDEX(FactorTable!$B$2:$Y$301, MATCH(ROUND(MIN(300,MAX(1,D579)),0), FactorTable!$A$2:$A$301,0), Skills!M13+1)</f>
        <v/>
      </c>
      <c r="F579">
        <f>IF(Skills!N13=TRUE,(Skills!L13/10)*(E579/1000),Skills!L13/10)+Skills!O13</f>
        <v/>
      </c>
      <c r="G579">
        <f>Skills!G13*IF(Skills!H13&gt;0,Skills!I13/Skills!H13,1)</f>
        <v/>
      </c>
      <c r="H579">
        <f>1-(1-Skills!J13/100)^Skills!K13</f>
        <v/>
      </c>
      <c r="I579" t="inlineStr">
        <is>
          <t>1</t>
        </is>
      </c>
      <c r="J579">
        <f>(Inputs!$B$5*(1+Inputs!$B$6/100))*(F579/100)</f>
        <v/>
      </c>
      <c r="K579">
        <f>J579*(1+((Inputs!$B$11*(1+Inputs!$B$12/100))*0.01+Inputs!$B$13*0.0025)/100)*(1+Inputs!$B$14/100)*(1+IF(Inputs!$B$4="pvp",0,(1-Summary!$B$55)*(Inputs!$B$19+0+Skills!P13)+Summary!$B$55*(Inputs!$B$20+Skills!Q13))/100)*(1+Inputs!$B$15/100)*(5000/(6000+Inputs!$B$7*(1-(((1-(1-Inputs!$B$18/100)*(1-1/100))*100)+0)/100)))*(1+(Inputs!$B$23+((C592=TRUE)*(F592-Calc!F26))+B602)/100)*(1+(IF(Skills!A13="EIGHT_LEGS_EASTON",Inputs!$B$16+((C589=TRUE)*(F589-Calc!F23))+((C593=TRUE)*(F593-Calc!F27)),Inputs!$B$17+0))/100)*((1+(((C583=TRUE)*F583)+((C590=TRUE)*(F590-Calc!F24)))/100)*I579)</f>
        <v/>
      </c>
      <c r="L579">
        <f>K579*(MIN(Inputs!$B$21+((C588=TRUE)*(F588-Calc!F22)),Inputs!$B$22+0)/100+(Inputs!$B$22+0)/100)/2</f>
        <v/>
      </c>
      <c r="M579">
        <f>L579*(1+(Inputs!$B$9+((C591=TRUE)*(F591-Calc!F25))+B601)/100)</f>
        <v/>
      </c>
      <c r="N579">
        <f>L579*(1-MIN((Inputs!$B$8+((C585=TRUE)*(F585-Calc!F19))+B596),100)/100)+M579*(MIN((Inputs!$B$8+((C585=TRUE)*(F585-Calc!F19))+B596),100)/100)</f>
        <v/>
      </c>
      <c r="O579">
        <f>IF(C579,H579*N579*IF(AND(Inputs!$B$4&lt;&gt;"pvp",Inputs!$B$35&gt;0),((Skills!G13*((R579-1)*IF(Skills!H13&gt;0,Skills!I13/Skills!H13,1)+IF(Skills!H13&gt;0,MIN(Skills!I13,MAX(0,Inputs!$B$35-((R579-1)*IF(Inputs!$B$4="pvp",15,MAX(0.1,Skills!D13-IF(Skills!E13=TRUE,Inputs!$B$31,0))))))/Skills!H13,1)))/Inputs!$B$35),G579*Q579)*IF(Inputs!$B$4="pvp",1,(1-Summary!$B$55)*(1)+Summary!$B$55*(MIN(Skills!R13,Inputs!$B$37))),0)</f>
        <v/>
      </c>
      <c r="P579">
        <f>IF(B604=0,0,O579/B604)</f>
        <v/>
      </c>
      <c r="Q579">
        <f>IFERROR(1/IF(Inputs!$B$4="pvp",15,MAX(0.1,Skills!D13-IF(Skills!E13=TRUE,Inputs!$B$31,0))),0)</f>
        <v/>
      </c>
      <c r="R579">
        <f>IF(AND(Inputs!$B$4&lt;&gt;"pvp",Inputs!$B$35&gt;0),(INT(Inputs!$B$35/IF(Inputs!$B$4="pvp",15,MAX(0.1,Skills!D13-IF(Skills!E13=TRUE,Inputs!$B$31,0))))+1),0)</f>
        <v/>
      </c>
      <c r="S579">
        <f>IFERROR(O579/N579,0)</f>
        <v/>
      </c>
    </row>
    <row r="580">
      <c r="A580">
        <f>Skills!A14</f>
        <v/>
      </c>
      <c r="B580">
        <f>Skills!B14</f>
        <v/>
      </c>
      <c r="C580">
        <f>Inputs!$B$3&gt;=125</f>
        <v/>
      </c>
      <c r="D580">
        <f>IF(Skills!C14=1,60+Inputs!$B$24+Inputs!$B$28,IF(Skills!C14=2,90+Inputs!$B$25+Inputs!$B$28,IF(Skills!C14=3,120+Inputs!$B$26+Inputs!$B$28,MAX(0,(Inputs!$B$3-100)*3)+Inputs!$B$27+Inputs!$B$28)))</f>
        <v/>
      </c>
      <c r="E580">
        <f>INDEX(FactorTable!$B$2:$Y$301, MATCH(ROUND(MIN(300,MAX(1,D580)),0), FactorTable!$A$2:$A$301,0), Skills!M14+1)</f>
        <v/>
      </c>
      <c r="F580">
        <f>IF(Skills!N14=TRUE,(Skills!L14/10)*(E580/1000),Skills!L14/10)+Skills!O14</f>
        <v/>
      </c>
      <c r="G580">
        <f>Skills!G14*IF(Skills!H14&gt;0,Skills!I14/Skills!H14,1)</f>
        <v/>
      </c>
      <c r="H580">
        <f>1-(1-Skills!J14/100)^Skills!K14</f>
        <v/>
      </c>
      <c r="I580" t="inlineStr">
        <is>
          <t>1</t>
        </is>
      </c>
      <c r="J580">
        <f>(Inputs!$B$5*(1+Inputs!$B$6/100))*(F580/100)</f>
        <v/>
      </c>
      <c r="K580">
        <f>J580*(1+((Inputs!$B$11*(1+Inputs!$B$12/100))*0.01+Inputs!$B$13*0.0025)/100)*(1+Inputs!$B$14/100)*(1+IF(Inputs!$B$4="pvp",0,(1-Summary!$B$55)*(Inputs!$B$19+0+Skills!P14)+Summary!$B$55*(Inputs!$B$20+Skills!Q14))/100)*(1+Inputs!$B$15/100)*(5000/(6000+Inputs!$B$7*(1-(((1-(1-Inputs!$B$18/100)*(1-1/100))*100)+0)/100)))*(1+(Inputs!$B$23+((C592=TRUE)*(F592-Calc!F26))+B602)/100)*(1+(IF(Skills!A14="EIGHT_LEGS_EASTON",Inputs!$B$16+((C589=TRUE)*(F589-Calc!F23))+((C593=TRUE)*(F593-Calc!F27)),Inputs!$B$17+0))/100)*((1+(((C583=TRUE)*F583)+((C590=TRUE)*(F590-Calc!F24)))/100)*I580)</f>
        <v/>
      </c>
      <c r="L580">
        <f>K580*(MIN(Inputs!$B$21+((C588=TRUE)*(F588-Calc!F22)),Inputs!$B$22+0)/100+(Inputs!$B$22+0)/100)/2</f>
        <v/>
      </c>
      <c r="M580">
        <f>L580*(1+(Inputs!$B$9+((C591=TRUE)*(F591-Calc!F25))+B601)/100)</f>
        <v/>
      </c>
      <c r="N580">
        <f>L580*(1-MIN((Inputs!$B$8+((C585=TRUE)*(F585-Calc!F19))+B596),100)/100)+M580*(MIN((Inputs!$B$8+((C585=TRUE)*(F585-Calc!F19))+B596),100)/100)</f>
        <v/>
      </c>
      <c r="O580">
        <f>IF(C580,H580*N580*(B600+IF(AND(Inputs!$B$4&lt;&gt;"pvp",Inputs!$B$35&gt;0),((Skills!G8*((R574-1)*IF(Skills!H8&gt;0,Skills!I8/Skills!H8,1)+IF(Skills!H8&gt;0,MIN(Skills!I8,MAX(0,Inputs!$B$35-((R574-1)*IF(Inputs!$B$4="pvp",15,MAX(0.1,Skills!D8-IF(Skills!E8=TRUE,Inputs!$B$31,0))))))/Skills!H8,1)))/Inputs!$B$35),G574*Q574)+IF(AND(Inputs!$B$4&lt;&gt;"pvp",Inputs!$B$35&gt;0),((Skills!G11*((R577-1)*IF(Skills!H11&gt;0,Skills!I11/Skills!H11,1)+IF(Skills!H11&gt;0,MIN(Skills!I11,MAX(0,Inputs!$B$35-((R577-1)*IF(Inputs!$B$4="pvp",15,MAX(0.1,Skills!D11-IF(Skills!E11=TRUE,Inputs!$B$31,0))))))/Skills!H11,1)))/Inputs!$B$35),G577*Q577))*IF(Inputs!$B$4="pvp",1,(1-Summary!$B$55)*(1)+Summary!$B$55*(MIN(Skills!R14,Inputs!$B$37))),0)</f>
        <v/>
      </c>
      <c r="P580">
        <f>IF(B604=0,0,O580/B604)</f>
        <v/>
      </c>
      <c r="Q580" t="n">
        <v>0</v>
      </c>
      <c r="R580" t="n">
        <v>0</v>
      </c>
      <c r="S580">
        <f>IFERROR(O580/N580,0)</f>
        <v/>
      </c>
    </row>
    <row r="581">
      <c r="A581">
        <f>Skills!A15</f>
        <v/>
      </c>
      <c r="B581">
        <f>Skills!B15</f>
        <v/>
      </c>
      <c r="C581">
        <f>Inputs!$B$3&gt;=100</f>
        <v/>
      </c>
      <c r="D581">
        <f>IF(Skills!C15=1,60+Inputs!$B$24+Inputs!$B$28,IF(Skills!C15=2,90+Inputs!$B$25+Inputs!$B$28,IF(Skills!C15=3,120+Inputs!$B$26+Inputs!$B$28,MAX(0,(Inputs!$B$3-100)*3)+Inputs!$B$27+Inputs!$B$28)))</f>
        <v/>
      </c>
      <c r="E581">
        <f>INDEX(FactorTable!$B$2:$Y$301, MATCH(ROUND(MIN(300,MAX(1,D581)),0), FactorTable!$A$2:$A$301,0), Skills!M15+1)</f>
        <v/>
      </c>
      <c r="F581">
        <f>IF(Skills!N15=TRUE,(Skills!L15/10)*(E581/1000),Skills!L15/10)+Skills!O15</f>
        <v/>
      </c>
      <c r="G581" t="inlineStr"/>
      <c r="H581" t="inlineStr"/>
      <c r="I581" t="inlineStr">
        <is>
          <t>1</t>
        </is>
      </c>
      <c r="J581" t="inlineStr"/>
      <c r="K581" t="inlineStr"/>
      <c r="L581" t="inlineStr"/>
      <c r="M581" t="inlineStr"/>
      <c r="N581" t="inlineStr"/>
      <c r="O581" t="inlineStr"/>
      <c r="P581" t="inlineStr"/>
      <c r="Q581" t="inlineStr"/>
      <c r="R581" t="inlineStr"/>
      <c r="S581" t="inlineStr"/>
    </row>
    <row r="582">
      <c r="A582">
        <f>Skills!A16</f>
        <v/>
      </c>
      <c r="B582">
        <f>Skills!B16</f>
        <v/>
      </c>
      <c r="C582">
        <f>Inputs!$B$3&gt;=120</f>
        <v/>
      </c>
      <c r="D582">
        <f>IF(Skills!C16=1,60+Inputs!$B$24+Inputs!$B$28,IF(Skills!C16=2,90+Inputs!$B$25+Inputs!$B$28,IF(Skills!C16=3,120+Inputs!$B$26+Inputs!$B$28,MAX(0,(Inputs!$B$3-100)*3)+Inputs!$B$27+Inputs!$B$28)))</f>
        <v/>
      </c>
      <c r="E582">
        <f>INDEX(FactorTable!$B$2:$Y$301, MATCH(ROUND(MIN(300,MAX(1,D582)),0), FactorTable!$A$2:$A$301,0), Skills!M16+1)</f>
        <v/>
      </c>
      <c r="F582">
        <f>IF(Skills!N16=TRUE,(Skills!L16/10)*(E582/1000),Skills!L16/10)+Skills!O16</f>
        <v/>
      </c>
      <c r="G582" t="inlineStr"/>
      <c r="H582" t="inlineStr"/>
      <c r="I582" t="inlineStr">
        <is>
          <t>1</t>
        </is>
      </c>
      <c r="J582" t="inlineStr"/>
      <c r="K582" t="inlineStr"/>
      <c r="L582" t="inlineStr"/>
      <c r="M582" t="inlineStr"/>
      <c r="N582" t="inlineStr"/>
      <c r="O582" t="inlineStr"/>
      <c r="P582" t="inlineStr"/>
      <c r="Q582" t="inlineStr"/>
      <c r="R582" t="inlineStr"/>
      <c r="S582" t="inlineStr"/>
    </row>
    <row r="583">
      <c r="A583">
        <f>Skills!A17</f>
        <v/>
      </c>
      <c r="B583">
        <f>Skills!B17</f>
        <v/>
      </c>
      <c r="C583">
        <f>Inputs!$B$3&gt;=66</f>
        <v/>
      </c>
      <c r="D583">
        <f>IF(Skills!C17=1,60+Inputs!$B$24+Inputs!$B$28,IF(Skills!C17=2,90+Inputs!$B$25+Inputs!$B$28,IF(Skills!C17=3,120+Inputs!$B$26+Inputs!$B$28,MAX(0,(Inputs!$B$3-100)*3)+Inputs!$B$27+Inputs!$B$28)))</f>
        <v/>
      </c>
      <c r="E583">
        <f>INDEX(FactorTable!$B$2:$Y$301, MATCH(ROUND(MIN(300,MAX(1,D583)),0), FactorTable!$A$2:$A$301,0), Skills!M17+1)</f>
        <v/>
      </c>
      <c r="F583">
        <f>IF(Skills!N17=TRUE,(Skills!L17/10)*(E583/1000),Skills!L17/10)+Skills!O17</f>
        <v/>
      </c>
      <c r="G583">
        <f>Skills!G17*IF(Skills!H17&gt;0,Skills!I17/Skills!H17,1)</f>
        <v/>
      </c>
      <c r="H583">
        <f>1-(1-Skills!J17/100)^Skills!K17</f>
        <v/>
      </c>
      <c r="I583" t="inlineStr">
        <is>
          <t>1</t>
        </is>
      </c>
      <c r="J583" t="inlineStr"/>
      <c r="K583" t="inlineStr"/>
      <c r="L583" t="inlineStr"/>
      <c r="M583" t="inlineStr"/>
      <c r="N583" t="inlineStr"/>
      <c r="O583" t="n">
        <v>0</v>
      </c>
      <c r="P583">
        <f>IF(B604=0,0,O583/B604)</f>
        <v/>
      </c>
      <c r="Q583" t="n">
        <v>0</v>
      </c>
      <c r="R583" t="n">
        <v>0</v>
      </c>
      <c r="S583">
        <f>IFERROR(O583/N583,0)</f>
        <v/>
      </c>
    </row>
    <row r="584">
      <c r="A584">
        <f>Skills!A18</f>
        <v/>
      </c>
      <c r="B584">
        <f>Skills!B18</f>
        <v/>
      </c>
      <c r="C584">
        <f>Inputs!$B$3&gt;=115</f>
        <v/>
      </c>
      <c r="D584">
        <f>IF(Skills!C18=1,60+Inputs!$B$24+Inputs!$B$28,IF(Skills!C18=2,90+Inputs!$B$25+Inputs!$B$28,IF(Skills!C18=3,120+Inputs!$B$26+Inputs!$B$28,MAX(0,(Inputs!$B$3-100)*3)+Inputs!$B$27+Inputs!$B$28)))</f>
        <v/>
      </c>
      <c r="E584">
        <f>INDEX(FactorTable!$B$2:$Y$301, MATCH(ROUND(MIN(300,MAX(1,D584)),0), FactorTable!$A$2:$A$301,0), Skills!M18+1)</f>
        <v/>
      </c>
      <c r="F584">
        <f>IF(Skills!N18=TRUE,(Skills!L18/10)*(E584/1000),Skills!L18/10)+Skills!O18</f>
        <v/>
      </c>
      <c r="G584">
        <f>Skills!G18*IF(Skills!H18&gt;0,Skills!I18/Skills!H18,1)</f>
        <v/>
      </c>
      <c r="H584">
        <f>1-(1-Skills!J18/100)^Skills!K18</f>
        <v/>
      </c>
      <c r="I584" t="inlineStr">
        <is>
          <t>1</t>
        </is>
      </c>
      <c r="J584" t="inlineStr"/>
      <c r="K584" t="inlineStr"/>
      <c r="L584" t="inlineStr"/>
      <c r="M584" t="inlineStr"/>
      <c r="N584" t="inlineStr"/>
      <c r="O584" t="n">
        <v>0</v>
      </c>
      <c r="P584">
        <f>IF(B604=0,0,O584/B604)</f>
        <v/>
      </c>
      <c r="Q584" t="n">
        <v>0</v>
      </c>
      <c r="R584" t="n">
        <v>0</v>
      </c>
      <c r="S584">
        <f>IFERROR(O584/N584,0)</f>
        <v/>
      </c>
    </row>
    <row r="585">
      <c r="A585">
        <f>Skills!A19</f>
        <v/>
      </c>
      <c r="B585">
        <f>Skills!B19</f>
        <v/>
      </c>
      <c r="C585">
        <f>Inputs!$B$3&gt;=15</f>
        <v/>
      </c>
      <c r="D585">
        <f>IF(Skills!C19=1,60+Inputs!$B$24+Inputs!$B$28,IF(Skills!C19=2,90+Inputs!$B$25+Inputs!$B$28,IF(Skills!C19=3,120+Inputs!$B$26+Inputs!$B$28,MAX(0,(Inputs!$B$3-100)*3)+Inputs!$B$27+Inputs!$B$28)))</f>
        <v/>
      </c>
      <c r="E585">
        <f>INDEX(FactorTable!$B$2:$Y$301, MATCH(ROUND(MIN(300,MAX(1,D585)),0), FactorTable!$A$2:$A$301,0), Skills!M19+1)</f>
        <v/>
      </c>
      <c r="F585">
        <f>IF(Skills!N19=TRUE,(Skills!L19/10)*(E585/1000),Skills!L19/10)+Skills!O19</f>
        <v/>
      </c>
      <c r="G585">
        <f>Skills!G19*IF(Skills!H19&gt;0,Skills!I19/Skills!H19,1)</f>
        <v/>
      </c>
      <c r="H585">
        <f>1-(1-Skills!J19/100)^Skills!K19</f>
        <v/>
      </c>
      <c r="I585" t="inlineStr">
        <is>
          <t>1</t>
        </is>
      </c>
      <c r="J585" t="inlineStr"/>
      <c r="K585" t="inlineStr"/>
      <c r="L585" t="inlineStr"/>
      <c r="M585" t="inlineStr"/>
      <c r="N585" t="inlineStr"/>
      <c r="O585" t="n">
        <v>0</v>
      </c>
      <c r="P585">
        <f>IF(B604=0,0,O585/B604)</f>
        <v/>
      </c>
      <c r="Q585" t="n">
        <v>0</v>
      </c>
      <c r="R585" t="n">
        <v>0</v>
      </c>
      <c r="S585">
        <f>IFERROR(O585/N585,0)</f>
        <v/>
      </c>
    </row>
    <row r="586">
      <c r="A586">
        <f>Skills!A20</f>
        <v/>
      </c>
      <c r="B586">
        <f>Skills!B20</f>
        <v/>
      </c>
      <c r="C586">
        <f>Inputs!$B$3&gt;=10</f>
        <v/>
      </c>
      <c r="D586">
        <f>IF(Skills!C20=1,60+Inputs!$B$24+Inputs!$B$28,IF(Skills!C20=2,90+Inputs!$B$25+Inputs!$B$28,IF(Skills!C20=3,120+Inputs!$B$26+Inputs!$B$28,MAX(0,(Inputs!$B$3-100)*3)+Inputs!$B$27+Inputs!$B$28)))</f>
        <v/>
      </c>
      <c r="E586">
        <f>INDEX(FactorTable!$B$2:$Y$301, MATCH(ROUND(MIN(300,MAX(1,D586)),0), FactorTable!$A$2:$A$301,0), Skills!M20+1)</f>
        <v/>
      </c>
      <c r="F586">
        <f>IF(Skills!N20=TRUE,(Skills!L20/10)*(E586/1000),Skills!L20/10)+Skills!O20</f>
        <v/>
      </c>
      <c r="G586">
        <f>Skills!G20*IF(Skills!H20&gt;0,Skills!I20/Skills!H20,1)</f>
        <v/>
      </c>
      <c r="H586">
        <f>1-(1-Skills!J20/100)^Skills!K20</f>
        <v/>
      </c>
      <c r="I586" t="inlineStr">
        <is>
          <t>1</t>
        </is>
      </c>
      <c r="J586" t="inlineStr"/>
      <c r="K586" t="inlineStr"/>
      <c r="L586" t="inlineStr"/>
      <c r="M586" t="inlineStr"/>
      <c r="N586" t="inlineStr"/>
      <c r="O586" t="n">
        <v>0</v>
      </c>
      <c r="P586">
        <f>IF(B604=0,0,O586/B604)</f>
        <v/>
      </c>
      <c r="Q586" t="n">
        <v>0</v>
      </c>
      <c r="R586" t="n">
        <v>0</v>
      </c>
      <c r="S586">
        <f>IFERROR(O586/N586,0)</f>
        <v/>
      </c>
    </row>
    <row r="587">
      <c r="A587">
        <f>Skills!A21</f>
        <v/>
      </c>
      <c r="B587">
        <f>Skills!B21</f>
        <v/>
      </c>
      <c r="C587">
        <f>Inputs!$B$3&gt;=33</f>
        <v/>
      </c>
      <c r="D587">
        <f>IF(Skills!C21=1,60+Inputs!$B$24+Inputs!$B$28,IF(Skills!C21=2,90+Inputs!$B$25+Inputs!$B$28,IF(Skills!C21=3,120+Inputs!$B$26+Inputs!$B$28,MAX(0,(Inputs!$B$3-100)*3)+Inputs!$B$27+Inputs!$B$28)))</f>
        <v/>
      </c>
      <c r="E587">
        <f>INDEX(FactorTable!$B$2:$Y$301, MATCH(ROUND(MIN(300,MAX(1,D587)),0), FactorTable!$A$2:$A$301,0), Skills!M21+1)</f>
        <v/>
      </c>
      <c r="F587">
        <f>IF(Skills!N21=TRUE,(Skills!L21/10)*(E587/1000),Skills!L21/10)+Skills!O21</f>
        <v/>
      </c>
      <c r="G587">
        <f>Skills!G21*IF(Skills!H21&gt;0,Skills!I21/Skills!H21,1)</f>
        <v/>
      </c>
      <c r="H587">
        <f>1-(1-Skills!J21/100)^Skills!K21</f>
        <v/>
      </c>
      <c r="I587" t="inlineStr">
        <is>
          <t>1</t>
        </is>
      </c>
      <c r="J587" t="inlineStr"/>
      <c r="K587" t="inlineStr"/>
      <c r="L587" t="inlineStr"/>
      <c r="M587" t="inlineStr"/>
      <c r="N587" t="inlineStr"/>
      <c r="O587" t="n">
        <v>0</v>
      </c>
      <c r="P587">
        <f>IF(B604=0,0,O587/B604)</f>
        <v/>
      </c>
      <c r="Q587" t="n">
        <v>0</v>
      </c>
      <c r="R587" t="n">
        <v>0</v>
      </c>
      <c r="S587">
        <f>IFERROR(O587/N587,0)</f>
        <v/>
      </c>
    </row>
    <row r="588">
      <c r="A588">
        <f>Skills!A22</f>
        <v/>
      </c>
      <c r="B588">
        <f>Skills!B22</f>
        <v/>
      </c>
      <c r="C588">
        <f>Inputs!$B$3&gt;=43</f>
        <v/>
      </c>
      <c r="D588">
        <f>IF(Skills!C22=1,60+Inputs!$B$24+Inputs!$B$28,IF(Skills!C22=2,90+Inputs!$B$25+Inputs!$B$28,IF(Skills!C22=3,120+Inputs!$B$26+Inputs!$B$28,MAX(0,(Inputs!$B$3-100)*3)+Inputs!$B$27+Inputs!$B$28)))</f>
        <v/>
      </c>
      <c r="E588">
        <f>INDEX(FactorTable!$B$2:$Y$301, MATCH(ROUND(MIN(300,MAX(1,D588)),0), FactorTable!$A$2:$A$301,0), Skills!M22+1)</f>
        <v/>
      </c>
      <c r="F588">
        <f>IF(Skills!N22=TRUE,(Skills!L22/10)*(E588/1000),Skills!L22/10)+Skills!O22</f>
        <v/>
      </c>
      <c r="G588">
        <f>Skills!G22*IF(Skills!H22&gt;0,Skills!I22/Skills!H22,1)</f>
        <v/>
      </c>
      <c r="H588">
        <f>1-(1-Skills!J22/100)^Skills!K22</f>
        <v/>
      </c>
      <c r="I588" t="inlineStr">
        <is>
          <t>1</t>
        </is>
      </c>
      <c r="J588" t="inlineStr"/>
      <c r="K588" t="inlineStr"/>
      <c r="L588" t="inlineStr"/>
      <c r="M588" t="inlineStr"/>
      <c r="N588" t="inlineStr"/>
      <c r="O588" t="n">
        <v>0</v>
      </c>
      <c r="P588">
        <f>IF(B604=0,0,O588/B604)</f>
        <v/>
      </c>
      <c r="Q588" t="n">
        <v>0</v>
      </c>
      <c r="R588" t="n">
        <v>0</v>
      </c>
      <c r="S588">
        <f>IFERROR(O588/N588,0)</f>
        <v/>
      </c>
    </row>
    <row r="589">
      <c r="A589">
        <f>Skills!A23</f>
        <v/>
      </c>
      <c r="B589">
        <f>Skills!B23</f>
        <v/>
      </c>
      <c r="C589">
        <f>Inputs!$B$3&gt;=38</f>
        <v/>
      </c>
      <c r="D589">
        <f>IF(Skills!C23=1,60+Inputs!$B$24+Inputs!$B$28,IF(Skills!C23=2,90+Inputs!$B$25+Inputs!$B$28,IF(Skills!C23=3,120+Inputs!$B$26+Inputs!$B$28,MAX(0,(Inputs!$B$3-100)*3)+Inputs!$B$27+Inputs!$B$28)))</f>
        <v/>
      </c>
      <c r="E589">
        <f>INDEX(FactorTable!$B$2:$Y$301, MATCH(ROUND(MIN(300,MAX(1,D589)),0), FactorTable!$A$2:$A$301,0), Skills!M23+1)</f>
        <v/>
      </c>
      <c r="F589">
        <f>IF(Skills!N23=TRUE,(Skills!L23/10)*(E589/1000),Skills!L23/10)+Skills!O23</f>
        <v/>
      </c>
      <c r="G589">
        <f>Skills!G23*IF(Skills!H23&gt;0,Skills!I23/Skills!H23,1)</f>
        <v/>
      </c>
      <c r="H589">
        <f>1-(1-Skills!J23/100)^Skills!K23</f>
        <v/>
      </c>
      <c r="I589" t="inlineStr">
        <is>
          <t>1</t>
        </is>
      </c>
      <c r="J589" t="inlineStr"/>
      <c r="K589" t="inlineStr"/>
      <c r="L589" t="inlineStr"/>
      <c r="M589" t="inlineStr"/>
      <c r="N589" t="inlineStr"/>
      <c r="O589" t="n">
        <v>0</v>
      </c>
      <c r="P589">
        <f>IF(B604=0,0,O589/B604)</f>
        <v/>
      </c>
      <c r="Q589" t="n">
        <v>0</v>
      </c>
      <c r="R589" t="n">
        <v>0</v>
      </c>
      <c r="S589">
        <f>IFERROR(O589/N589,0)</f>
        <v/>
      </c>
    </row>
    <row r="590">
      <c r="A590">
        <f>Skills!A24</f>
        <v/>
      </c>
      <c r="B590">
        <f>Skills!B24</f>
        <v/>
      </c>
      <c r="C590">
        <f>Inputs!$B$3&gt;=40</f>
        <v/>
      </c>
      <c r="D590">
        <f>IF(Skills!C24=1,60+Inputs!$B$24+Inputs!$B$28,IF(Skills!C24=2,90+Inputs!$B$25+Inputs!$B$28,IF(Skills!C24=3,120+Inputs!$B$26+Inputs!$B$28,MAX(0,(Inputs!$B$3-100)*3)+Inputs!$B$27+Inputs!$B$28)))</f>
        <v/>
      </c>
      <c r="E590">
        <f>INDEX(FactorTable!$B$2:$Y$301, MATCH(ROUND(MIN(300,MAX(1,D590)),0), FactorTable!$A$2:$A$301,0), Skills!M24+1)</f>
        <v/>
      </c>
      <c r="F590">
        <f>IF(Skills!N24=TRUE,(Skills!L24/10)*(E590/1000),Skills!L24/10)+Skills!O24</f>
        <v/>
      </c>
      <c r="G590">
        <f>Skills!G24*IF(Skills!H24&gt;0,Skills!I24/Skills!H24,1)</f>
        <v/>
      </c>
      <c r="H590">
        <f>1-(1-Skills!J24/100)^Skills!K24</f>
        <v/>
      </c>
      <c r="I590" t="inlineStr">
        <is>
          <t>1</t>
        </is>
      </c>
      <c r="J590" t="inlineStr"/>
      <c r="K590" t="inlineStr"/>
      <c r="L590" t="inlineStr"/>
      <c r="M590" t="inlineStr"/>
      <c r="N590" t="inlineStr"/>
      <c r="O590" t="n">
        <v>0</v>
      </c>
      <c r="P590">
        <f>IF(B604=0,0,O590/B604)</f>
        <v/>
      </c>
      <c r="Q590" t="n">
        <v>0</v>
      </c>
      <c r="R590" t="n">
        <v>0</v>
      </c>
      <c r="S590">
        <f>IFERROR(O590/N590,0)</f>
        <v/>
      </c>
    </row>
    <row r="591">
      <c r="A591">
        <f>Skills!A25</f>
        <v/>
      </c>
      <c r="B591">
        <f>Skills!B25</f>
        <v/>
      </c>
      <c r="C591">
        <f>Inputs!$B$3&gt;=72</f>
        <v/>
      </c>
      <c r="D591">
        <f>IF(Skills!C25=1,60+Inputs!$B$24+Inputs!$B$28,IF(Skills!C25=2,90+Inputs!$B$25+Inputs!$B$28,IF(Skills!C25=3,120+Inputs!$B$26+Inputs!$B$28,MAX(0,(Inputs!$B$3-100)*3)+Inputs!$B$27+Inputs!$B$28)))</f>
        <v/>
      </c>
      <c r="E591">
        <f>INDEX(FactorTable!$B$2:$Y$301, MATCH(ROUND(MIN(300,MAX(1,D591)),0), FactorTable!$A$2:$A$301,0), Skills!M25+1)</f>
        <v/>
      </c>
      <c r="F591">
        <f>IF(Skills!N25=TRUE,(Skills!L25/10)*(E591/1000),Skills!L25/10)+Skills!O25</f>
        <v/>
      </c>
      <c r="G591">
        <f>Skills!G25*IF(Skills!H25&gt;0,Skills!I25/Skills!H25,1)</f>
        <v/>
      </c>
      <c r="H591">
        <f>1-(1-Skills!J25/100)^Skills!K25</f>
        <v/>
      </c>
      <c r="I591" t="inlineStr">
        <is>
          <t>1</t>
        </is>
      </c>
      <c r="J591" t="inlineStr"/>
      <c r="K591" t="inlineStr"/>
      <c r="L591" t="inlineStr"/>
      <c r="M591" t="inlineStr"/>
      <c r="N591" t="inlineStr"/>
      <c r="O591" t="n">
        <v>0</v>
      </c>
      <c r="P591">
        <f>IF(B604=0,0,O591/B604)</f>
        <v/>
      </c>
      <c r="Q591" t="n">
        <v>0</v>
      </c>
      <c r="R591" t="n">
        <v>0</v>
      </c>
      <c r="S591">
        <f>IFERROR(O591/N591,0)</f>
        <v/>
      </c>
    </row>
    <row r="592">
      <c r="A592">
        <f>Skills!A26</f>
        <v/>
      </c>
      <c r="B592">
        <f>Skills!B26</f>
        <v/>
      </c>
      <c r="C592">
        <f>Inputs!$B$3&gt;=75</f>
        <v/>
      </c>
      <c r="D592">
        <f>IF(Skills!C26=1,60+Inputs!$B$24+Inputs!$B$28,IF(Skills!C26=2,90+Inputs!$B$25+Inputs!$B$28,IF(Skills!C26=3,120+Inputs!$B$26+Inputs!$B$28,MAX(0,(Inputs!$B$3-100)*3)+Inputs!$B$27+Inputs!$B$28)))</f>
        <v/>
      </c>
      <c r="E592">
        <f>INDEX(FactorTable!$B$2:$Y$301, MATCH(ROUND(MIN(300,MAX(1,D592)),0), FactorTable!$A$2:$A$301,0), Skills!M26+1)</f>
        <v/>
      </c>
      <c r="F592">
        <f>IF(Skills!N26=TRUE,(Skills!L26/10)*(E592/1000),Skills!L26/10)+Skills!O26</f>
        <v/>
      </c>
      <c r="G592">
        <f>Skills!G26*IF(Skills!H26&gt;0,Skills!I26/Skills!H26,1)</f>
        <v/>
      </c>
      <c r="H592">
        <f>1-(1-Skills!J26/100)^Skills!K26</f>
        <v/>
      </c>
      <c r="I592" t="inlineStr">
        <is>
          <t>1</t>
        </is>
      </c>
      <c r="J592" t="inlineStr"/>
      <c r="K592" t="inlineStr"/>
      <c r="L592" t="inlineStr"/>
      <c r="M592" t="inlineStr"/>
      <c r="N592" t="inlineStr"/>
      <c r="O592" t="n">
        <v>0</v>
      </c>
      <c r="P592">
        <f>IF(B604=0,0,O592/B604)</f>
        <v/>
      </c>
      <c r="Q592" t="n">
        <v>0</v>
      </c>
      <c r="R592" t="n">
        <v>0</v>
      </c>
      <c r="S592">
        <f>IFERROR(O592/N592,0)</f>
        <v/>
      </c>
    </row>
    <row r="593">
      <c r="A593">
        <f>Skills!A27</f>
        <v/>
      </c>
      <c r="B593">
        <f>Skills!B27</f>
        <v/>
      </c>
      <c r="C593">
        <f>Inputs!$B$3&gt;=117</f>
        <v/>
      </c>
      <c r="D593">
        <f>IF(Skills!C27=1,60+Inputs!$B$24+Inputs!$B$28,IF(Skills!C27=2,90+Inputs!$B$25+Inputs!$B$28,IF(Skills!C27=3,120+Inputs!$B$26+Inputs!$B$28,MAX(0,(Inputs!$B$3-100)*3)+Inputs!$B$27+Inputs!$B$28)))</f>
        <v/>
      </c>
      <c r="E593">
        <f>INDEX(FactorTable!$B$2:$Y$301, MATCH(ROUND(MIN(300,MAX(1,D593)),0), FactorTable!$A$2:$A$301,0), Skills!M27+1)</f>
        <v/>
      </c>
      <c r="F593">
        <f>IF(Skills!N27=TRUE,(Skills!L27/10)*(E593/1000),Skills!L27/10)+Skills!O27</f>
        <v/>
      </c>
      <c r="G593">
        <f>Skills!G27*IF(Skills!H27&gt;0,Skills!I27/Skills!H27,1)</f>
        <v/>
      </c>
      <c r="H593">
        <f>1-(1-Skills!J27/100)^Skills!K27</f>
        <v/>
      </c>
      <c r="I593" t="inlineStr">
        <is>
          <t>1</t>
        </is>
      </c>
      <c r="J593" t="inlineStr"/>
      <c r="K593" t="inlineStr"/>
      <c r="L593" t="inlineStr"/>
      <c r="M593" t="inlineStr"/>
      <c r="N593" t="inlineStr"/>
      <c r="O593" t="n">
        <v>0</v>
      </c>
      <c r="P593">
        <f>IF(B604=0,0,O593/B604)</f>
        <v/>
      </c>
      <c r="Q593" t="n">
        <v>0</v>
      </c>
      <c r="R593" t="n">
        <v>0</v>
      </c>
      <c r="S593">
        <f>IFERROR(O593/N593,0)</f>
        <v/>
      </c>
    </row>
    <row r="595">
      <c r="A595" t="inlineStr">
        <is>
          <t>Attack% Bucket Multiplier</t>
        </is>
      </c>
      <c r="B595">
        <f>(1+(((C583=TRUE)*F583)+((C590=TRUE)*(F590-Calc!F24)))/100)</f>
        <v/>
      </c>
    </row>
    <row r="596">
      <c r="A596" t="inlineStr">
        <is>
          <t>Global Crit Rate Bonus %</t>
        </is>
      </c>
      <c r="B596" t="n">
        <v>0</v>
      </c>
    </row>
    <row r="597">
      <c r="A597" t="inlineStr">
        <is>
          <t>Attack Speed Buff Bonus % (unused)</t>
        </is>
      </c>
      <c r="B597" t="n">
        <v>0</v>
      </c>
    </row>
    <row r="598">
      <c r="A598" t="inlineStr">
        <is>
          <t>Actions Per Second</t>
        </is>
      </c>
      <c r="B598">
        <f>1+MIN(150,150*(1-(1-(Inputs!$B$10+((C586=TRUE)*(F586-Calc!F20))+((C587=TRUE)*(F587-Calc!F21)))/150)*(1-B597/150)))/100</f>
        <v/>
      </c>
    </row>
    <row r="599">
      <c r="A599" t="inlineStr">
        <is>
          <t>Skill + Buff Cast Rate</t>
        </is>
      </c>
      <c r="B599">
        <f>IF(AND(Inputs!$B$4&lt;&gt;"pvp",Inputs!$B$35&gt;0),SUMPRODUCT((Skills!E2:E27=TRUE)*(C568:C593=TRUE)*R568:R593*Skills!F2:F27)/Inputs!$B$35,SUMPRODUCT((Skills!E2:E27=TRUE)*(C568:C593=TRUE)*Q568:Q593*Skills!F2:F27))</f>
        <v/>
      </c>
    </row>
    <row r="600">
      <c r="A600" t="inlineStr">
        <is>
          <t>Eight-Legs Easton Casts Per Second</t>
        </is>
      </c>
      <c r="B600">
        <f>MAX(0,B598-B599)</f>
        <v/>
      </c>
    </row>
    <row r="601">
      <c r="A601" t="inlineStr">
        <is>
          <t>Global Critical Damage Bonus % (unused)</t>
        </is>
      </c>
      <c r="B601" t="n">
        <v>0</v>
      </c>
    </row>
    <row r="602">
      <c r="A602" t="inlineStr">
        <is>
          <t>Global Final Damage Bonus % (Jolly Roger only)</t>
        </is>
      </c>
      <c r="B602">
        <f>((C584=TRUE)*F584)</f>
        <v/>
      </c>
    </row>
    <row r="604">
      <c r="A604" s="5" t="inlineStr">
        <is>
          <t>TOTAL DPS</t>
        </is>
      </c>
      <c r="B604" s="5">
        <f>SUM(O568:O593)</f>
        <v/>
      </c>
    </row>
    <row r="607">
      <c r="A607" s="5" t="inlineStr">
        <is>
          <t>Stat: BASIC_ATTACK_DAMAGE %</t>
        </is>
      </c>
    </row>
    <row r="608">
      <c r="A608" s="8" t="inlineStr">
        <is>
          <t>Key</t>
        </is>
      </c>
      <c r="B608" s="8" t="inlineStr">
        <is>
          <t>Name</t>
        </is>
      </c>
      <c r="C608" s="8" t="inlineStr">
        <is>
          <t>Unlocked</t>
        </is>
      </c>
      <c r="D608" s="8" t="inlineStr">
        <is>
          <t>InputLevel</t>
        </is>
      </c>
      <c r="E608" s="8" t="inlineStr">
        <is>
          <t>Factor</t>
        </is>
      </c>
      <c r="F608" s="8" t="inlineStr">
        <is>
          <t>CoefficientPercent</t>
        </is>
      </c>
      <c r="G608" s="8" t="inlineStr">
        <is>
          <t>EffectiveHits</t>
        </is>
      </c>
      <c r="H608" s="8" t="inlineStr">
        <is>
          <t>ProcProbability</t>
        </is>
      </c>
      <c r="I608" s="8" t="inlineStr">
        <is>
          <t>MapleHeroMultiplier</t>
        </is>
      </c>
      <c r="J608" s="8" t="inlineStr">
        <is>
          <t>BaseDamage</t>
        </is>
      </c>
      <c r="K608" s="8" t="inlineStr">
        <is>
          <t>BaseHitDamage</t>
        </is>
      </c>
      <c r="L608" s="8" t="inlineStr">
        <is>
          <t>NonCritAvg</t>
        </is>
      </c>
      <c r="M608" s="8" t="inlineStr">
        <is>
          <t>CritAvg</t>
        </is>
      </c>
      <c r="N608" s="8" t="inlineStr">
        <is>
          <t>ExpectedDamage(perHit)</t>
        </is>
      </c>
      <c r="O608" s="8" t="inlineStr">
        <is>
          <t>DPS</t>
        </is>
      </c>
      <c r="P608" s="8" t="inlineStr">
        <is>
          <t>% of Total</t>
        </is>
      </c>
      <c r="Q608" s="8" t="inlineStr">
        <is>
          <t>InvCooldown</t>
        </is>
      </c>
      <c r="R608" s="8" t="inlineStr">
        <is>
          <t>CastsInFight</t>
        </is>
      </c>
      <c r="S608" s="8" t="inlineStr">
        <is>
          <t>HitRate(perSec)</t>
        </is>
      </c>
      <c r="U608" t="inlineStr">
        <is>
          <t>helpers</t>
        </is>
      </c>
    </row>
    <row r="609">
      <c r="A609">
        <f>Skills!A2</f>
        <v/>
      </c>
      <c r="B609">
        <f>Skills!B2</f>
        <v/>
      </c>
      <c r="C609">
        <f>Inputs!$B$3&gt;=100</f>
        <v/>
      </c>
      <c r="D609" t="inlineStr"/>
      <c r="E609" t="inlineStr"/>
      <c r="F609">
        <f>U611+Skills!O2</f>
        <v/>
      </c>
      <c r="G609">
        <f>Skills!G2*IF(Skills!H2&gt;0,Skills!I2/Skills!H2,1)</f>
        <v/>
      </c>
      <c r="H609">
        <f>1-(1-Skills!J2/100)^Skills!K2</f>
        <v/>
      </c>
      <c r="I609" t="inlineStr">
        <is>
          <t>1</t>
        </is>
      </c>
      <c r="J609">
        <f>(Inputs!$B$5*(1+Inputs!$B$6/100))*(F609/100)</f>
        <v/>
      </c>
      <c r="K609">
        <f>J609*(1+((Inputs!$B$11*(1+Inputs!$B$12/100))*0.01+Inputs!$B$13*0.0025)/100)*(1+Inputs!$B$14/100)*(1+IF(Inputs!$B$4="pvp",0,(1-Summary!$B$55)*(Inputs!$B$19+0+Skills!P2)+Summary!$B$55*(Inputs!$B$20+Skills!Q2))/100)*(1+Inputs!$B$15/100)*(5000/(6000+Inputs!$B$7*(1-(Inputs!$B$18+0)/100)))*(1+(Inputs!$B$23+((C633=TRUE)*(F633-Calc!F26))+B643)/100)*(1+(IF(Skills!A2="EIGHT_LEGS_EASTON",(Inputs!$B$16+1)+((C630=TRUE)*(F630-Calc!F23))+((C634=TRUE)*(F634-Calc!F27)),Inputs!$B$17+0))/100)*((1+(((C624=TRUE)*F624)+((C631=TRUE)*(F631-Calc!F24)))/100)*I609)</f>
        <v/>
      </c>
      <c r="L609">
        <f>K609*(MIN(Inputs!$B$21+((C629=TRUE)*(F629-Calc!F22)),Inputs!$B$22+0)/100+(Inputs!$B$22+0)/100)/2</f>
        <v/>
      </c>
      <c r="M609">
        <f>L609*(1+(Inputs!$B$9+((C632=TRUE)*(F632-Calc!F25))+B642)/100)</f>
        <v/>
      </c>
      <c r="N609">
        <f>L609*(1-MIN((Inputs!$B$8+((C626=TRUE)*(F626-Calc!F19))+B637),100)/100)+M609*(MIN((Inputs!$B$8+((C626=TRUE)*(F626-Calc!F19))+B637),100)/100)</f>
        <v/>
      </c>
      <c r="O609">
        <f>IF(C609,Skills!G2*N609*B641*IF(Inputs!$B$4="pvp",1,(1-Summary!$B$55)*(1)+Summary!$B$55*(MIN((6+Inputs!$B$32),Inputs!$B$37))),0)</f>
        <v/>
      </c>
      <c r="P609">
        <f>IF(B645=0,0,O609/B645)</f>
        <v/>
      </c>
      <c r="Q609" t="n">
        <v>0</v>
      </c>
      <c r="R609" t="n">
        <v>0</v>
      </c>
      <c r="S609">
        <f>IFERROR(O609/N609,0)</f>
        <v/>
      </c>
      <c r="U609">
        <f>MAX(0,(Inputs!$B$3-100)*3)+Inputs!$B$27+Inputs!$B$28</f>
        <v/>
      </c>
    </row>
    <row r="610">
      <c r="A610">
        <f>Skills!A3</f>
        <v/>
      </c>
      <c r="B610">
        <f>Skills!B3</f>
        <v/>
      </c>
      <c r="C610">
        <f>Inputs!$B$3&gt;=35</f>
        <v/>
      </c>
      <c r="D610">
        <f>IF(Skills!C3=1,60+Inputs!$B$24+Inputs!$B$28,IF(Skills!C3=2,90+Inputs!$B$25+Inputs!$B$28,IF(Skills!C3=3,120+Inputs!$B$26+Inputs!$B$28,MAX(0,(Inputs!$B$3-100)*3)+Inputs!$B$27+Inputs!$B$28)))</f>
        <v/>
      </c>
      <c r="E610">
        <f>INDEX(FactorTable!$B$2:$Y$301, MATCH(ROUND(MIN(300,MAX(1,D610)),0), FactorTable!$A$2:$A$301,0), Skills!M3+1)</f>
        <v/>
      </c>
      <c r="F610">
        <f>IF(Skills!N3=TRUE,(Skills!L3/10)*(E610/1000),Skills!L3/10)+Skills!O3</f>
        <v/>
      </c>
      <c r="G610">
        <f>Skills!G3*IF(Skills!H3&gt;0,Skills!I3/Skills!H3,1)</f>
        <v/>
      </c>
      <c r="H610">
        <f>1-(1-Skills!J3/100)^Skills!K3</f>
        <v/>
      </c>
      <c r="I610" t="inlineStr">
        <is>
          <t>1</t>
        </is>
      </c>
      <c r="J610">
        <f>(Inputs!$B$5*(1+Inputs!$B$6/100))*(F610/100)</f>
        <v/>
      </c>
      <c r="K610">
        <f>J610*(1+((Inputs!$B$11*(1+Inputs!$B$12/100))*0.01+Inputs!$B$13*0.0025)/100)*(1+Inputs!$B$14/100)*(1+IF(Inputs!$B$4="pvp",0,(1-Summary!$B$55)*(Inputs!$B$19+0+Skills!P3)+Summary!$B$55*(Inputs!$B$20+Skills!Q3))/100)*(1+Inputs!$B$15/100)*(5000/(6000+Inputs!$B$7*(1-(Inputs!$B$18+0)/100)))*(1+(Inputs!$B$23+((C633=TRUE)*(F633-Calc!F26))+B643)/100)*(1+4.0*IF(C622=TRUE,F622,0)/100)*(1+(IF(Skills!A3="EIGHT_LEGS_EASTON",(Inputs!$B$16+1)+((C630=TRUE)*(F630-Calc!F23))+((C634=TRUE)*(F634-Calc!F27)),Inputs!$B$17+0))/100)*((1+(((C624=TRUE)*F624)+((C631=TRUE)*(F631-Calc!F24)))/100)*I610)</f>
        <v/>
      </c>
      <c r="L610">
        <f>K610*(MIN(Inputs!$B$21+((C629=TRUE)*(F629-Calc!F22)),Inputs!$B$22+0)/100+(Inputs!$B$22+0)/100)/2</f>
        <v/>
      </c>
      <c r="M610">
        <f>L610*(1+(Inputs!$B$9+((C632=TRUE)*(F632-Calc!F25))+B642)/100)</f>
        <v/>
      </c>
      <c r="N610">
        <f>L610*(1-MIN((Inputs!$B$8+((C626=TRUE)*(F626-Calc!F19))+B637),100)/100)+M610*(MIN((Inputs!$B$8+((C626=TRUE)*(F626-Calc!F19))+B637),100)/100)</f>
        <v/>
      </c>
      <c r="O610">
        <f>IF(C610,H610*N610*IF(AND(Inputs!$B$4&lt;&gt;"pvp",Inputs!$B$35&gt;0),((Skills!G3*((R610-1)*IF(Skills!H3&gt;0,Skills!I3/Skills!H3,1)+IF(Skills!H3&gt;0,MIN(Skills!I3,MAX(0,Inputs!$B$35-((R610-1)*IF(Inputs!$B$4="pvp",15,MAX(0.1,Skills!D3-IF(Skills!E3=TRUE,Inputs!$B$31,0))))))/Skills!H3,1)))/Inputs!$B$35),G610*Q610)*IF(Inputs!$B$4="pvp",1,(1-Summary!$B$55)*(1)+Summary!$B$55*(MIN(Skills!R3,Inputs!$B$37))),0)</f>
        <v/>
      </c>
      <c r="P610">
        <f>IF(B645=0,0,O610/B645)</f>
        <v/>
      </c>
      <c r="Q610">
        <f>IFERROR(1/IF(Inputs!$B$4="pvp",15,MAX(0.1,Skills!D3-IF(Skills!E3=TRUE,Inputs!$B$31,0))),0)</f>
        <v/>
      </c>
      <c r="R610">
        <f>IF(AND(Inputs!$B$4&lt;&gt;"pvp",Inputs!$B$35&gt;0),(INT(Inputs!$B$35/IF(Inputs!$B$4="pvp",15,MAX(0.1,Skills!D3-IF(Skills!E3=TRUE,Inputs!$B$31,0))))+1),0)</f>
        <v/>
      </c>
      <c r="S610">
        <f>IFERROR(O610/N610,0)</f>
        <v/>
      </c>
      <c r="U610">
        <f>INDEX(FactorTable!$B$2:$Y$301, MATCH(ROUND(MIN(300,MAX(1,U609)),0), FactorTable!$A$2:$A$301,0), 22)</f>
        <v/>
      </c>
    </row>
    <row r="611">
      <c r="A611">
        <f>Skills!A4</f>
        <v/>
      </c>
      <c r="B611">
        <f>Skills!B4</f>
        <v/>
      </c>
      <c r="C611">
        <f>Inputs!$B$3&gt;=40</f>
        <v/>
      </c>
      <c r="D611">
        <f>IF(Skills!C4=1,60+Inputs!$B$24+Inputs!$B$28,IF(Skills!C4=2,90+Inputs!$B$25+Inputs!$B$28,IF(Skills!C4=3,120+Inputs!$B$26+Inputs!$B$28,MAX(0,(Inputs!$B$3-100)*3)+Inputs!$B$27+Inputs!$B$28)))</f>
        <v/>
      </c>
      <c r="E611">
        <f>INDEX(FactorTable!$B$2:$Y$301, MATCH(ROUND(MIN(300,MAX(1,D611)),0), FactorTable!$A$2:$A$301,0), Skills!M4+1)</f>
        <v/>
      </c>
      <c r="F611">
        <f>IF(Skills!N4=TRUE,(Skills!L4/10)*(E611/1000),Skills!L4/10)+Skills!O4</f>
        <v/>
      </c>
      <c r="G611">
        <f>Skills!G4*IF(Skills!H4&gt;0,Skills!I4/Skills!H4,1)</f>
        <v/>
      </c>
      <c r="H611">
        <f>1-(1-Skills!J4/100)^Skills!K4</f>
        <v/>
      </c>
      <c r="I611" t="inlineStr">
        <is>
          <t>1</t>
        </is>
      </c>
      <c r="J611">
        <f>(Inputs!$B$5*(1+Inputs!$B$6/100))*(F611/100)</f>
        <v/>
      </c>
      <c r="K611">
        <f>J611*(1+((Inputs!$B$11*(1+Inputs!$B$12/100))*0.01+Inputs!$B$13*0.0025)/100)*(1+Inputs!$B$14/100)*(1+IF(Inputs!$B$4="pvp",0,(1-Summary!$B$55)*(Inputs!$B$19+0+Skills!P4)+Summary!$B$55*(Inputs!$B$20+Skills!Q4))/100)*(1+Inputs!$B$15/100)*(5000/(6000+Inputs!$B$7*(1-(Inputs!$B$18+0)/100)))*(1+(Inputs!$B$23+((C633=TRUE)*(F633-Calc!F26))+B643)/100)*(1+1.0*IF(C623=TRUE,F623,0)/100)*(1+(IF(Skills!A4="EIGHT_LEGS_EASTON",(Inputs!$B$16+1)+((C630=TRUE)*(F630-Calc!F23))+((C634=TRUE)*(F634-Calc!F27)),Inputs!$B$17+0))/100)*((1+(((C624=TRUE)*F624)+((C631=TRUE)*(F631-Calc!F24)))/100)*I611)</f>
        <v/>
      </c>
      <c r="L611">
        <f>K611*(MIN(Inputs!$B$21+((C629=TRUE)*(F629-Calc!F22)),Inputs!$B$22+0)/100+(Inputs!$B$22+0)/100)/2</f>
        <v/>
      </c>
      <c r="M611">
        <f>L611*(1+(Inputs!$B$9+((C632=TRUE)*(F632-Calc!F25))+B642)/100)</f>
        <v/>
      </c>
      <c r="N611">
        <f>L611*(1-MIN((Inputs!$B$8+((C626=TRUE)*(F626-Calc!F19))+B637),100)/100)+M611*(MIN((Inputs!$B$8+((C626=TRUE)*(F626-Calc!F19))+B637),100)/100)</f>
        <v/>
      </c>
      <c r="O611">
        <f>IF(C611,H611*N611*IF(AND(Inputs!$B$4&lt;&gt;"pvp",Inputs!$B$35&gt;0),((Skills!G4*((R611-1)*IF(Skills!H4&gt;0,Skills!I4/Skills!H4,1)+IF(Skills!H4&gt;0,MIN(Skills!I4,MAX(0,Inputs!$B$35-((R611-1)*IF(Inputs!$B$4="pvp",15,MAX(0.1,Skills!D4-IF(Skills!E4=TRUE,Inputs!$B$31,0))))))/Skills!H4,1)))/Inputs!$B$35),G611*Q611)*IF(Inputs!$B$4="pvp",1,(1-Summary!$B$55)*(1)+Summary!$B$55*(MIN(Skills!R4,Inputs!$B$37))),0)</f>
        <v/>
      </c>
      <c r="P611">
        <f>IF(B645=0,0,O611/B645)</f>
        <v/>
      </c>
      <c r="Q611">
        <f>IFERROR(1/IF(Inputs!$B$4="pvp",15,MAX(0.1,Skills!D4-IF(Skills!E4=TRUE,Inputs!$B$31,0))),0)</f>
        <v/>
      </c>
      <c r="R611">
        <f>IF(AND(Inputs!$B$4&lt;&gt;"pvp",Inputs!$B$35&gt;0),(INT(Inputs!$B$35/IF(Inputs!$B$4="pvp",15,MAX(0.1,Skills!D4-IF(Skills!E4=TRUE,Inputs!$B$31,0))))+1),0)</f>
        <v/>
      </c>
      <c r="S611">
        <f>IFERROR(O611/N611,0)</f>
        <v/>
      </c>
      <c r="U611">
        <f>290*U610/1000</f>
        <v/>
      </c>
    </row>
    <row r="612">
      <c r="A612">
        <f>Skills!A5</f>
        <v/>
      </c>
      <c r="B612">
        <f>Skills!B5</f>
        <v/>
      </c>
      <c r="C612">
        <f>Inputs!$B$3&gt;=45</f>
        <v/>
      </c>
      <c r="D612">
        <f>IF(Skills!C5=1,60+Inputs!$B$24+Inputs!$B$28,IF(Skills!C5=2,90+Inputs!$B$25+Inputs!$B$28,IF(Skills!C5=3,120+Inputs!$B$26+Inputs!$B$28,MAX(0,(Inputs!$B$3-100)*3)+Inputs!$B$27+Inputs!$B$28)))</f>
        <v/>
      </c>
      <c r="E612">
        <f>INDEX(FactorTable!$B$2:$Y$301, MATCH(ROUND(MIN(300,MAX(1,D612)),0), FactorTable!$A$2:$A$301,0), Skills!M5+1)</f>
        <v/>
      </c>
      <c r="F612">
        <f>IF(Skills!N5=TRUE,(Skills!L5/10)*(E612/1000),Skills!L5/10)+Skills!O5</f>
        <v/>
      </c>
      <c r="G612">
        <f>Skills!G5*IF(Skills!H5&gt;0,Skills!I5/Skills!H5,1)</f>
        <v/>
      </c>
      <c r="H612">
        <f>1-(1-Skills!J5/100)^Skills!K5</f>
        <v/>
      </c>
      <c r="I612" t="inlineStr">
        <is>
          <t>1</t>
        </is>
      </c>
      <c r="J612">
        <f>(Inputs!$B$5*(1+Inputs!$B$6/100))*(F612/100)</f>
        <v/>
      </c>
      <c r="K612">
        <f>J612*(1+((Inputs!$B$11*(1+Inputs!$B$12/100))*0.01+Inputs!$B$13*0.0025)/100)*(1+Inputs!$B$14/100)*(1+IF(Inputs!$B$4="pvp",0,(1-Summary!$B$55)*(Inputs!$B$19+0+Skills!P5)+Summary!$B$55*(Inputs!$B$20+Skills!Q5))/100)*(1+Inputs!$B$15/100)*(5000/(6000+Inputs!$B$7*(1-(Inputs!$B$18+0)/100)))*(1+(Inputs!$B$23+((C633=TRUE)*(F633-Calc!F26))+B643)/100)*(1+0.4*IF(C623=TRUE,F623,0)/100)*(1+(IF(Skills!A5="EIGHT_LEGS_EASTON",(Inputs!$B$16+1)+((C630=TRUE)*(F630-Calc!F23))+((C634=TRUE)*(F634-Calc!F27)),Inputs!$B$17+0))/100)*((1+(((C624=TRUE)*F624)+((C631=TRUE)*(F631-Calc!F24)))/100)*I612)</f>
        <v/>
      </c>
      <c r="L612">
        <f>K612*(MIN(Inputs!$B$21+((C629=TRUE)*(F629-Calc!F22)),Inputs!$B$22+0)/100+(Inputs!$B$22+0)/100)/2</f>
        <v/>
      </c>
      <c r="M612">
        <f>L612*(1+(Inputs!$B$9+((C632=TRUE)*(F632-Calc!F25))+B642)/100)</f>
        <v/>
      </c>
      <c r="N612">
        <f>L612*(1-MIN((Inputs!$B$8+((C626=TRUE)*(F626-Calc!F19))+B637),100)/100)+M612*(MIN((Inputs!$B$8+((C626=TRUE)*(F626-Calc!F19))+B637),100)/100)</f>
        <v/>
      </c>
      <c r="O612">
        <f>IF(C612,H612*N612*IF(AND(Inputs!$B$4&lt;&gt;"pvp",Inputs!$B$35&gt;0),((Skills!G5*((R612-1)*IF(Skills!H5&gt;0,Skills!I5/Skills!H5,1)+IF(Skills!H5&gt;0,MIN(Skills!I5,MAX(0,Inputs!$B$35-((R612-1)*IF(Inputs!$B$4="pvp",15,MAX(0.1,Skills!D5-IF(Skills!E5=TRUE,Inputs!$B$31,0))))))/Skills!H5,1)))/Inputs!$B$35),G612*Q612)*IF(Inputs!$B$4="pvp",1,(1-Summary!$B$55)*(1)+Summary!$B$55*(MIN(Skills!R5,Inputs!$B$37))),0)</f>
        <v/>
      </c>
      <c r="P612">
        <f>IF(B645=0,0,O612/B645)</f>
        <v/>
      </c>
      <c r="Q612">
        <f>IFERROR(1/IF(Inputs!$B$4="pvp",15,MAX(0.1,Skills!D5-IF(Skills!E5=TRUE,Inputs!$B$31,0))),0)</f>
        <v/>
      </c>
      <c r="R612">
        <f>IF(AND(Inputs!$B$4&lt;&gt;"pvp",Inputs!$B$35&gt;0),(INT(Inputs!$B$35/IF(Inputs!$B$4="pvp",15,MAX(0.1,Skills!D5-IF(Skills!E5=TRUE,Inputs!$B$31,0))))+1),0)</f>
        <v/>
      </c>
      <c r="S612">
        <f>IFERROR(O612/N612,0)</f>
        <v/>
      </c>
    </row>
    <row r="613">
      <c r="A613">
        <f>Skills!A6</f>
        <v/>
      </c>
      <c r="B613">
        <f>Skills!B6</f>
        <v/>
      </c>
      <c r="C613">
        <f>Inputs!$B$3&gt;=63</f>
        <v/>
      </c>
      <c r="D613">
        <f>IF(Skills!C6=1,60+Inputs!$B$24+Inputs!$B$28,IF(Skills!C6=2,90+Inputs!$B$25+Inputs!$B$28,IF(Skills!C6=3,120+Inputs!$B$26+Inputs!$B$28,MAX(0,(Inputs!$B$3-100)*3)+Inputs!$B$27+Inputs!$B$28)))</f>
        <v/>
      </c>
      <c r="E613">
        <f>INDEX(FactorTable!$B$2:$Y$301, MATCH(ROUND(MIN(300,MAX(1,D613)),0), FactorTable!$A$2:$A$301,0), Skills!M6+1)</f>
        <v/>
      </c>
      <c r="F613">
        <f>IF(Skills!N6=TRUE,(Skills!L6/10)*(E613/1000),Skills!L6/10)+Skills!O6</f>
        <v/>
      </c>
      <c r="G613">
        <f>Skills!G6*IF(Skills!H6&gt;0,Skills!I6/Skills!H6,1)</f>
        <v/>
      </c>
      <c r="H613">
        <f>1-(1-Skills!J6/100)^Skills!K6</f>
        <v/>
      </c>
      <c r="I613" t="inlineStr">
        <is>
          <t>1</t>
        </is>
      </c>
      <c r="J613">
        <f>(Inputs!$B$5*(1+Inputs!$B$6/100))*(F613/100)</f>
        <v/>
      </c>
      <c r="K613">
        <f>J613*(1+((Inputs!$B$11*(1+Inputs!$B$12/100))*0.01+Inputs!$B$13*0.0025)/100)*(1+Inputs!$B$14/100)*(1+IF(Inputs!$B$4="pvp",0,(1-Summary!$B$55)*(Inputs!$B$19+0+Skills!P6)+Summary!$B$55*(Inputs!$B$20+Skills!Q6))/100)*(1+Inputs!$B$15/100)*(5000/(6000+Inputs!$B$7*(1-(Inputs!$B$18+0)/100)))*(1+(Inputs!$B$23+((C633=TRUE)*(F633-Calc!F26))+B643)/100)*(1+2.0*IF(C622=TRUE,F622,0)/100)*(1+(IF(Skills!A6="EIGHT_LEGS_EASTON",(Inputs!$B$16+1)+((C630=TRUE)*(F630-Calc!F23))+((C634=TRUE)*(F634-Calc!F27)),Inputs!$B$17+0))/100)*((1+(((C624=TRUE)*F624)+((C631=TRUE)*(F631-Calc!F24)))/100)*I613)</f>
        <v/>
      </c>
      <c r="L613">
        <f>K613*(MIN(Inputs!$B$21+((C629=TRUE)*(F629-Calc!F22)),Inputs!$B$22+0)/100+(Inputs!$B$22+0)/100)/2</f>
        <v/>
      </c>
      <c r="M613">
        <f>L613*(1+(Inputs!$B$9+((C632=TRUE)*(F632-Calc!F25))+B642)/100)</f>
        <v/>
      </c>
      <c r="N613">
        <f>L613*(1-MIN((Inputs!$B$8+((C626=TRUE)*(F626-Calc!F19))+B637),100)/100)+M613*(MIN((Inputs!$B$8+((C626=TRUE)*(F626-Calc!F19))+B637),100)/100)</f>
        <v/>
      </c>
      <c r="O613">
        <f>IF(C613,H613*N613*IF(AND(Inputs!$B$4&lt;&gt;"pvp",Inputs!$B$35&gt;0),((Skills!G6*((R613-1)*IF(Skills!H6&gt;0,Skills!I6/Skills!H6,1)+IF(Skills!H6&gt;0,MIN(Skills!I6,MAX(0,Inputs!$B$35-((R613-1)*IF(Inputs!$B$4="pvp",15,MAX(0.1,Skills!D6-IF(Skills!E6=TRUE,Inputs!$B$31,0))))))/Skills!H6,1)))/Inputs!$B$35),G613*Q613)*IF(Inputs!$B$4="pvp",1,(1-Summary!$B$55)*(1)+Summary!$B$55*(MIN(Skills!R6,Inputs!$B$37))),0)</f>
        <v/>
      </c>
      <c r="P613">
        <f>IF(B645=0,0,O613/B645)</f>
        <v/>
      </c>
      <c r="Q613">
        <f>IFERROR(1/IF(Inputs!$B$4="pvp",15,MAX(0.1,Skills!D6-IF(Skills!E6=TRUE,Inputs!$B$31,0))),0)</f>
        <v/>
      </c>
      <c r="R613">
        <f>IF(AND(Inputs!$B$4&lt;&gt;"pvp",Inputs!$B$35&gt;0),(INT(Inputs!$B$35/IF(Inputs!$B$4="pvp",15,MAX(0.1,Skills!D6-IF(Skills!E6=TRUE,Inputs!$B$31,0))))+1),0)</f>
        <v/>
      </c>
      <c r="S613">
        <f>IFERROR(O613/N613,0)</f>
        <v/>
      </c>
    </row>
    <row r="614">
      <c r="A614">
        <f>Skills!A7</f>
        <v/>
      </c>
      <c r="B614">
        <f>Skills!B7</f>
        <v/>
      </c>
      <c r="C614">
        <f>Inputs!$B$3&gt;=66</f>
        <v/>
      </c>
      <c r="D614">
        <f>IF(Skills!C7=1,60+Inputs!$B$24+Inputs!$B$28,IF(Skills!C7=2,90+Inputs!$B$25+Inputs!$B$28,IF(Skills!C7=3,120+Inputs!$B$26+Inputs!$B$28,MAX(0,(Inputs!$B$3-100)*3)+Inputs!$B$27+Inputs!$B$28)))</f>
        <v/>
      </c>
      <c r="E614">
        <f>INDEX(FactorTable!$B$2:$Y$301, MATCH(ROUND(MIN(300,MAX(1,D614)),0), FactorTable!$A$2:$A$301,0), Skills!M7+1)</f>
        <v/>
      </c>
      <c r="F614">
        <f>IF(Skills!N7=TRUE,(Skills!L7/10)*(E614/1000),Skills!L7/10)+Skills!O7</f>
        <v/>
      </c>
      <c r="G614">
        <f>Skills!G7*IF(Skills!H7&gt;0,Skills!I7/Skills!H7,1)</f>
        <v/>
      </c>
      <c r="H614">
        <f>1-(1-Skills!J7/100)^Skills!K7</f>
        <v/>
      </c>
      <c r="I614" t="inlineStr">
        <is>
          <t>1</t>
        </is>
      </c>
      <c r="J614">
        <f>(Inputs!$B$5*(1+Inputs!$B$6/100))*(F614/100)</f>
        <v/>
      </c>
      <c r="K614">
        <f>J614*(1+((Inputs!$B$11*(1+Inputs!$B$12/100))*0.01+Inputs!$B$13*0.0025)/100)*(1+Inputs!$B$14/100)*(1+IF(Inputs!$B$4="pvp",0,(1-Summary!$B$55)*(Inputs!$B$19+0+Skills!P7)+Summary!$B$55*(Inputs!$B$20+Skills!Q7))/100)*(1+Inputs!$B$15/100)*(5000/(6000+Inputs!$B$7*(1-(Inputs!$B$18+0)/100)))*(1+(Inputs!$B$23+((C633=TRUE)*(F633-Calc!F26))+B643)/100)*(1+1.0*IF(C622=TRUE,F622,0)/100)*(1+(IF(Skills!A7="EIGHT_LEGS_EASTON",(Inputs!$B$16+1)+((C630=TRUE)*(F630-Calc!F23))+((C634=TRUE)*(F634-Calc!F27)),Inputs!$B$17+0))/100)*((1+(((C624=TRUE)*F624)+((C631=TRUE)*(F631-Calc!F24)))/100)*I614)</f>
        <v/>
      </c>
      <c r="L614">
        <f>K614*(MIN(Inputs!$B$21+((C629=TRUE)*(F629-Calc!F22)),Inputs!$B$22+0)/100+(Inputs!$B$22+0)/100)/2</f>
        <v/>
      </c>
      <c r="M614">
        <f>L614*(1+(Inputs!$B$9+((C632=TRUE)*(F632-Calc!F25))+B642)/100)</f>
        <v/>
      </c>
      <c r="N614">
        <f>L614*(1-MIN((Inputs!$B$8+((C626=TRUE)*(F626-Calc!F19))+B637),100)/100)+M614*(MIN((Inputs!$B$8+((C626=TRUE)*(F626-Calc!F19))+B637),100)/100)</f>
        <v/>
      </c>
      <c r="O614">
        <f>IF(C614,H614*N614*IF(AND(Inputs!$B$4&lt;&gt;"pvp",Inputs!$B$35&gt;0),((Skills!G7*((R614-1)*IF(Skills!H7&gt;0,Skills!I7/Skills!H7,1)+IF(Skills!H7&gt;0,MIN(Skills!I7,MAX(0,Inputs!$B$35-((R614-1)*IF(Inputs!$B$4="pvp",15,MAX(0.1,Skills!D7-IF(Skills!E7=TRUE,Inputs!$B$31,0))))))/Skills!H7,1)))/Inputs!$B$35),G614*Q614)*IF(Inputs!$B$4="pvp",1,(1-Summary!$B$55)*(1)+Summary!$B$55*(MIN(Skills!R7,Inputs!$B$37))),0)</f>
        <v/>
      </c>
      <c r="P614">
        <f>IF(B645=0,0,O614/B645)</f>
        <v/>
      </c>
      <c r="Q614">
        <f>IFERROR(1/IF(Inputs!$B$4="pvp",15,MAX(0.1,Skills!D7-IF(Skills!E7=TRUE,Inputs!$B$31,0))),0)</f>
        <v/>
      </c>
      <c r="R614">
        <f>IF(AND(Inputs!$B$4&lt;&gt;"pvp",Inputs!$B$35&gt;0),(INT(Inputs!$B$35/IF(Inputs!$B$4="pvp",15,MAX(0.1,Skills!D7-IF(Skills!E7=TRUE,Inputs!$B$31,0))))+1),0)</f>
        <v/>
      </c>
      <c r="S614">
        <f>IFERROR(O614/N614,0)</f>
        <v/>
      </c>
    </row>
    <row r="615">
      <c r="A615">
        <f>Skills!A8</f>
        <v/>
      </c>
      <c r="B615">
        <f>Skills!B8</f>
        <v/>
      </c>
      <c r="C615">
        <f>Inputs!$B$3&gt;=100</f>
        <v/>
      </c>
      <c r="D615">
        <f>IF(Skills!C8=1,60+Inputs!$B$24+Inputs!$B$28,IF(Skills!C8=2,90+Inputs!$B$25+Inputs!$B$28,IF(Skills!C8=3,120+Inputs!$B$26+Inputs!$B$28,MAX(0,(Inputs!$B$3-100)*3)+Inputs!$B$27+Inputs!$B$28)))</f>
        <v/>
      </c>
      <c r="E615">
        <f>INDEX(FactorTable!$B$2:$Y$301, MATCH(ROUND(MIN(300,MAX(1,D615)),0), FactorTable!$A$2:$A$301,0), Skills!M8+1)</f>
        <v/>
      </c>
      <c r="F615">
        <f>IF(Skills!N8=TRUE,(Skills!L8/10)*(E615/1000),Skills!L8/10)+Skills!O8</f>
        <v/>
      </c>
      <c r="G615">
        <f>Skills!G8*IF(Skills!H8&gt;0,Skills!I8/Skills!H8,1)</f>
        <v/>
      </c>
      <c r="H615">
        <f>1-(1-Skills!J8/100)^Skills!K8</f>
        <v/>
      </c>
      <c r="I615" t="inlineStr">
        <is>
          <t>1</t>
        </is>
      </c>
      <c r="J615">
        <f>(Inputs!$B$5*(1+Inputs!$B$6/100))*(F615/100)</f>
        <v/>
      </c>
      <c r="K615">
        <f>J615*(1+((Inputs!$B$11*(1+Inputs!$B$12/100))*0.01+Inputs!$B$13*0.0025)/100)*(1+Inputs!$B$14/100)*(1+IF(Inputs!$B$4="pvp",0,(1-Summary!$B$55)*(Inputs!$B$19+0+Skills!P8)+Summary!$B$55*(Inputs!$B$20+Skills!Q8))/100)*(1+Inputs!$B$15/100)*(5000/(6000+Inputs!$B$7*(1-(Inputs!$B$18+0)/100)))*(1+(Inputs!$B$23+((C633=TRUE)*(F633-Calc!F26))+B643)/100)*(1+(IF(Skills!A8="EIGHT_LEGS_EASTON",(Inputs!$B$16+1)+((C630=TRUE)*(F630-Calc!F23))+((C634=TRUE)*(F634-Calc!F27)),Inputs!$B$17+0))/100)*((1+(((C624=TRUE)*F624)+((C631=TRUE)*(F631-Calc!F24)))/100)*I615)</f>
        <v/>
      </c>
      <c r="L615">
        <f>K615*(MIN(Inputs!$B$21+((C629=TRUE)*(F629-Calc!F22)),Inputs!$B$22+0)/100+(Inputs!$B$22+0)/100)/2</f>
        <v/>
      </c>
      <c r="M615">
        <f>L615*(1+(Inputs!$B$9+((C632=TRUE)*(F632-Calc!F25))+B642)/100)</f>
        <v/>
      </c>
      <c r="N615">
        <f>L615*(1-MIN((Inputs!$B$8+((C626=TRUE)*(F626-Calc!F19))+B637),100)/100)+M615*(MIN((Inputs!$B$8+((C626=TRUE)*(F626-Calc!F19))+B637),100)/100)</f>
        <v/>
      </c>
      <c r="O615">
        <f>IF(C615,H615*N615*IF(AND(Inputs!$B$4&lt;&gt;"pvp",Inputs!$B$35&gt;0),((Skills!G8*((R615-1)*IF(Skills!H8&gt;0,Skills!I8/Skills!H8,1)+IF(Skills!H8&gt;0,MIN(Skills!I8,MAX(0,Inputs!$B$35-((R615-1)*IF(Inputs!$B$4="pvp",15,MAX(0.1,Skills!D8-IF(Skills!E8=TRUE,Inputs!$B$31,0))))))/Skills!H8,1)))/Inputs!$B$35),G615*Q615)*IF(Inputs!$B$4="pvp",1,(1-Summary!$B$55)*(1)+Summary!$B$55*(MIN(Skills!R8,Inputs!$B$37))),0)</f>
        <v/>
      </c>
      <c r="P615">
        <f>IF(B645=0,0,O615/B645)</f>
        <v/>
      </c>
      <c r="Q615">
        <f>IFERROR(1/IF(Inputs!$B$4="pvp",15,MAX(0.1,Skills!D8-IF(Skills!E8=TRUE,Inputs!$B$31,0))),0)</f>
        <v/>
      </c>
      <c r="R615">
        <f>IF(AND(Inputs!$B$4&lt;&gt;"pvp",Inputs!$B$35&gt;0),(INT(Inputs!$B$35/IF(Inputs!$B$4="pvp",15,MAX(0.1,Skills!D8-IF(Skills!E8=TRUE,Inputs!$B$31,0))))+1),0)</f>
        <v/>
      </c>
      <c r="S615">
        <f>IFERROR(O615/N615,0)</f>
        <v/>
      </c>
    </row>
    <row r="616">
      <c r="A616">
        <f>Skills!A9</f>
        <v/>
      </c>
      <c r="B616">
        <f>Skills!B9</f>
        <v/>
      </c>
      <c r="C616">
        <f>Inputs!$B$3&gt;=103</f>
        <v/>
      </c>
      <c r="D616">
        <f>IF(Skills!C9=1,60+Inputs!$B$24+Inputs!$B$28,IF(Skills!C9=2,90+Inputs!$B$25+Inputs!$B$28,IF(Skills!C9=3,120+Inputs!$B$26+Inputs!$B$28,MAX(0,(Inputs!$B$3-100)*3)+Inputs!$B$27+Inputs!$B$28)))</f>
        <v/>
      </c>
      <c r="E616">
        <f>INDEX(FactorTable!$B$2:$Y$301, MATCH(ROUND(MIN(300,MAX(1,D616)),0), FactorTable!$A$2:$A$301,0), Skills!M9+1)</f>
        <v/>
      </c>
      <c r="F616">
        <f>IF(Skills!N9=TRUE,(Skills!L9/10)*(E616/1000),Skills!L9/10)+Skills!O9</f>
        <v/>
      </c>
      <c r="G616">
        <f>Skills!G9*IF(Skills!H9&gt;0,Skills!I9/Skills!H9,1)</f>
        <v/>
      </c>
      <c r="H616">
        <f>1-(1-Skills!J9/100)^Skills!K9</f>
        <v/>
      </c>
      <c r="I616" t="inlineStr">
        <is>
          <t>1</t>
        </is>
      </c>
      <c r="J616">
        <f>(Inputs!$B$5*(1+Inputs!$B$6/100))*(F616/100)</f>
        <v/>
      </c>
      <c r="K616">
        <f>J616*(1+((Inputs!$B$11*(1+Inputs!$B$12/100))*0.01+Inputs!$B$13*0.0025)/100)*(1+Inputs!$B$14/100)*(1+IF(Inputs!$B$4="pvp",0,(1-Summary!$B$55)*(Inputs!$B$19+0+Skills!P9)+Summary!$B$55*(Inputs!$B$20+Skills!Q9))/100)*(1+Inputs!$B$15/100)*(5000/(6000+Inputs!$B$7*(1-(Inputs!$B$18+0)/100)))*(1+(Inputs!$B$23+((C633=TRUE)*(F633-Calc!F26))+B643)/100)*(1+(IF(Skills!A9="EIGHT_LEGS_EASTON",(Inputs!$B$16+1)+((C630=TRUE)*(F630-Calc!F23))+((C634=TRUE)*(F634-Calc!F27)),Inputs!$B$17+0))/100)*((1+(((C624=TRUE)*F624)+((C631=TRUE)*(F631-Calc!F24)))/100)*I616)</f>
        <v/>
      </c>
      <c r="L616">
        <f>K616*(MIN(Inputs!$B$21+((C629=TRUE)*(F629-Calc!F22)),Inputs!$B$22+0)/100+(Inputs!$B$22+0)/100)/2</f>
        <v/>
      </c>
      <c r="M616">
        <f>L616*(1+(Inputs!$B$9+((C632=TRUE)*(F632-Calc!F25))+B642)/100)</f>
        <v/>
      </c>
      <c r="N616">
        <f>L616*(1-MIN((Inputs!$B$8+((C626=TRUE)*(F626-Calc!F19))+B637),100)/100)+M616*(MIN((Inputs!$B$8+((C626=TRUE)*(F626-Calc!F19))+B637),100)/100)</f>
        <v/>
      </c>
      <c r="O616">
        <f>IF(C616,H616*N616*IF(AND(Inputs!$B$4&lt;&gt;"pvp",Inputs!$B$35&gt;0),((Skills!G9*((R616-1)*IF(Skills!H9&gt;0,Skills!I9/Skills!H9,1)+IF(Skills!H9&gt;0,MIN(Skills!I9,MAX(0,Inputs!$B$35-((R616-1)*IF(Inputs!$B$4="pvp",15,MAX(0.1,Skills!D9-IF(Skills!E9=TRUE,Inputs!$B$31,0))))))/Skills!H9,1)))/Inputs!$B$35),G616*Q616)*IF(Inputs!$B$4="pvp",1,(1-Summary!$B$55)*(1)+Summary!$B$55*(MIN(Skills!R9,Inputs!$B$37))),0)</f>
        <v/>
      </c>
      <c r="P616">
        <f>IF(B645=0,0,O616/B645)</f>
        <v/>
      </c>
      <c r="Q616">
        <f>IFERROR(1/IF(Inputs!$B$4="pvp",15,MAX(0.1,Skills!D9-IF(Skills!E9=TRUE,Inputs!$B$31,0))),0)</f>
        <v/>
      </c>
      <c r="R616">
        <f>IF(AND(Inputs!$B$4&lt;&gt;"pvp",Inputs!$B$35&gt;0),(INT(Inputs!$B$35/IF(Inputs!$B$4="pvp",15,MAX(0.1,Skills!D9-IF(Skills!E9=TRUE,Inputs!$B$31,0))))+1),0)</f>
        <v/>
      </c>
      <c r="S616">
        <f>IFERROR(O616/N616,0)</f>
        <v/>
      </c>
    </row>
    <row r="617">
      <c r="A617">
        <f>Skills!A10</f>
        <v/>
      </c>
      <c r="B617">
        <f>Skills!B10</f>
        <v/>
      </c>
      <c r="C617">
        <f>Inputs!$B$3&gt;=113</f>
        <v/>
      </c>
      <c r="D617">
        <f>IF(Skills!C10=1,60+Inputs!$B$24+Inputs!$B$28,IF(Skills!C10=2,90+Inputs!$B$25+Inputs!$B$28,IF(Skills!C10=3,120+Inputs!$B$26+Inputs!$B$28,MAX(0,(Inputs!$B$3-100)*3)+Inputs!$B$27+Inputs!$B$28)))</f>
        <v/>
      </c>
      <c r="E617">
        <f>INDEX(FactorTable!$B$2:$Y$301, MATCH(ROUND(MIN(300,MAX(1,D617)),0), FactorTable!$A$2:$A$301,0), Skills!M10+1)</f>
        <v/>
      </c>
      <c r="F617">
        <f>IF(Skills!N10=TRUE,(Skills!L10/10)*(E617/1000),Skills!L10/10)+Skills!O10</f>
        <v/>
      </c>
      <c r="G617">
        <f>Skills!G10*IF(Skills!H10&gt;0,Skills!I10/Skills!H10,1)</f>
        <v/>
      </c>
      <c r="H617">
        <f>1-(1-Skills!J10/100)^Skills!K10</f>
        <v/>
      </c>
      <c r="I617" t="inlineStr">
        <is>
          <t>1</t>
        </is>
      </c>
      <c r="J617">
        <f>(Inputs!$B$5*(1+Inputs!$B$6/100))*(F617/100)</f>
        <v/>
      </c>
      <c r="K617">
        <f>J617*(1+((Inputs!$B$11*(1+Inputs!$B$12/100))*0.01+Inputs!$B$13*0.0025)/100)*(1+Inputs!$B$14/100)*(1+IF(Inputs!$B$4="pvp",0,(1-Summary!$B$55)*(Inputs!$B$19+0+Skills!P10)+Summary!$B$55*(Inputs!$B$20+Skills!Q10))/100)*(1+Inputs!$B$15/100)*(5000/(6000+Inputs!$B$7*(1-(Inputs!$B$18+0)/100)))*(1+(Inputs!$B$23+((C633=TRUE)*(F633-Calc!F26))+B643)/100)*(1+(IF(Skills!A10="EIGHT_LEGS_EASTON",(Inputs!$B$16+1)+((C630=TRUE)*(F630-Calc!F23))+((C634=TRUE)*(F634-Calc!F27)),Inputs!$B$17+0))/100)*((1+(((C624=TRUE)*F624)+((C631=TRUE)*(F631-Calc!F24)))/100)*I617)</f>
        <v/>
      </c>
      <c r="L617">
        <f>K617*(MIN(Inputs!$B$21+((C629=TRUE)*(F629-Calc!F22)),Inputs!$B$22+0)/100+(Inputs!$B$22+0)/100)/2</f>
        <v/>
      </c>
      <c r="M617">
        <f>L617*(1+(Inputs!$B$9+((C632=TRUE)*(F632-Calc!F25))+B642)/100)</f>
        <v/>
      </c>
      <c r="N617">
        <f>L617*(1-MIN((Inputs!$B$8+((C626=TRUE)*(F626-Calc!F19))+B637),100)/100)+M617*(MIN((Inputs!$B$8+((C626=TRUE)*(F626-Calc!F19))+B637),100)/100)</f>
        <v/>
      </c>
      <c r="O617">
        <f>IF(C617,H617*N617*IF(AND(Inputs!$B$4&lt;&gt;"pvp",Inputs!$B$35&gt;0),((Skills!G10*((R617-1)*IF(Skills!H10&gt;0,Skills!I10/Skills!H10,1)+IF(Skills!H10&gt;0,MIN(Skills!I10,MAX(0,Inputs!$B$35-((R617-1)*IF(Inputs!$B$4="pvp",15,MAX(0.1,Skills!D10-IF(Skills!E10=TRUE,Inputs!$B$31,0))))))/Skills!H10,1)))/Inputs!$B$35),G617*Q617)*IF(Inputs!$B$4="pvp",1,(1-Summary!$B$55)*(1)+Summary!$B$55*(MIN(Skills!R10,Inputs!$B$37))),0)</f>
        <v/>
      </c>
      <c r="P617">
        <f>IF(B645=0,0,O617/B645)</f>
        <v/>
      </c>
      <c r="Q617">
        <f>IFERROR(1/IF(Inputs!$B$4="pvp",15,MAX(0.1,Skills!D10-IF(Skills!E10=TRUE,Inputs!$B$31,0))),0)</f>
        <v/>
      </c>
      <c r="R617">
        <f>IF(AND(Inputs!$B$4&lt;&gt;"pvp",Inputs!$B$35&gt;0),(INT(Inputs!$B$35/IF(Inputs!$B$4="pvp",15,MAX(0.1,Skills!D10-IF(Skills!E10=TRUE,Inputs!$B$31,0))))+1),0)</f>
        <v/>
      </c>
      <c r="S617">
        <f>IFERROR(O617/N617,0)</f>
        <v/>
      </c>
    </row>
    <row r="618">
      <c r="A618">
        <f>Skills!A11</f>
        <v/>
      </c>
      <c r="B618">
        <f>Skills!B11</f>
        <v/>
      </c>
      <c r="C618">
        <f>Inputs!$B$3&gt;=107</f>
        <v/>
      </c>
      <c r="D618">
        <f>IF(Skills!C11=1,60+Inputs!$B$24+Inputs!$B$28,IF(Skills!C11=2,90+Inputs!$B$25+Inputs!$B$28,IF(Skills!C11=3,120+Inputs!$B$26+Inputs!$B$28,MAX(0,(Inputs!$B$3-100)*3)+Inputs!$B$27+Inputs!$B$28)))</f>
        <v/>
      </c>
      <c r="E618">
        <f>INDEX(FactorTable!$B$2:$Y$301, MATCH(ROUND(MIN(300,MAX(1,D618)),0), FactorTable!$A$2:$A$301,0), Skills!M11+1)</f>
        <v/>
      </c>
      <c r="F618">
        <f>IF(Skills!N11=TRUE,(Skills!L11/10)*(E618/1000),Skills!L11/10)+Skills!O11</f>
        <v/>
      </c>
      <c r="G618">
        <f>Skills!G11*IF(Skills!H11&gt;0,Skills!I11/Skills!H11,1)</f>
        <v/>
      </c>
      <c r="H618">
        <f>1-(1-Skills!J11/100)^Skills!K11</f>
        <v/>
      </c>
      <c r="I618" t="inlineStr">
        <is>
          <t>1</t>
        </is>
      </c>
      <c r="J618">
        <f>(Inputs!$B$5*(1+Inputs!$B$6/100))*(F618/100)</f>
        <v/>
      </c>
      <c r="K618">
        <f>J618*(1+((Inputs!$B$11*(1+Inputs!$B$12/100))*0.01+Inputs!$B$13*0.0025)/100)*(1+Inputs!$B$14/100)*(1+IF(Inputs!$B$4="pvp",0,(1-Summary!$B$55)*(Inputs!$B$19+0+Skills!P11)+Summary!$B$55*(Inputs!$B$20+Skills!Q11))/100)*(1+Inputs!$B$15/100)*(5000/(6000+Inputs!$B$7*(1-(Inputs!$B$18+0)/100)))*(1+(Inputs!$B$23+((C633=TRUE)*(F633-Calc!F26))+B643)/100)*(1+(IF(Skills!A11="EIGHT_LEGS_EASTON",(Inputs!$B$16+1)+((C630=TRUE)*(F630-Calc!F23))+((C634=TRUE)*(F634-Calc!F27)),Inputs!$B$17+0))/100)*((1+(((C624=TRUE)*F624)+((C631=TRUE)*(F631-Calc!F24)))/100)*I618)</f>
        <v/>
      </c>
      <c r="L618">
        <f>K618*(MIN(Inputs!$B$21+((C629=TRUE)*(F629-Calc!F22)),Inputs!$B$22+0)/100+(Inputs!$B$22+0)/100)/2</f>
        <v/>
      </c>
      <c r="M618">
        <f>L618*(1+(Inputs!$B$9+((C632=TRUE)*(F632-Calc!F25))+B642)/100)</f>
        <v/>
      </c>
      <c r="N618">
        <f>L618*(1-MIN((Inputs!$B$8+((C626=TRUE)*(F626-Calc!F19))+B637),100)/100)+M618*(MIN((Inputs!$B$8+((C626=TRUE)*(F626-Calc!F19))+B637),100)/100)</f>
        <v/>
      </c>
      <c r="O618">
        <f>IF(C618,H618*N618*IF(AND(Inputs!$B$4&lt;&gt;"pvp",Inputs!$B$35&gt;0),((Skills!G11*((R618-1)*IF(Skills!H11&gt;0,Skills!I11/Skills!H11,1)+IF(Skills!H11&gt;0,MIN(Skills!I11,MAX(0,Inputs!$B$35-((R618-1)*IF(Inputs!$B$4="pvp",15,MAX(0.1,Skills!D11-IF(Skills!E11=TRUE,Inputs!$B$31,0))))))/Skills!H11,1)))/Inputs!$B$35),G618*Q618)*IF(Inputs!$B$4="pvp",1,(1-Summary!$B$55)*(1)+Summary!$B$55*(MIN(Skills!R11,Inputs!$B$37))),0)</f>
        <v/>
      </c>
      <c r="P618">
        <f>IF(B645=0,0,O618/B645)</f>
        <v/>
      </c>
      <c r="Q618">
        <f>IFERROR(1/IF(Inputs!$B$4="pvp",15,MAX(0.1,Skills!D11-IF(Skills!E11=TRUE,Inputs!$B$31,0))),0)</f>
        <v/>
      </c>
      <c r="R618">
        <f>IF(AND(Inputs!$B$4&lt;&gt;"pvp",Inputs!$B$35&gt;0),(INT(Inputs!$B$35/IF(Inputs!$B$4="pvp",15,MAX(0.1,Skills!D11-IF(Skills!E11=TRUE,Inputs!$B$31,0))))+1),0)</f>
        <v/>
      </c>
      <c r="S618">
        <f>IFERROR(O618/N618,0)</f>
        <v/>
      </c>
    </row>
    <row r="619">
      <c r="A619">
        <f>Skills!A12</f>
        <v/>
      </c>
      <c r="B619">
        <f>Skills!B12</f>
        <v/>
      </c>
      <c r="C619">
        <f>Inputs!$B$3&gt;=110</f>
        <v/>
      </c>
      <c r="D619">
        <f>IF(Skills!C12=1,60+Inputs!$B$24+Inputs!$B$28,IF(Skills!C12=2,90+Inputs!$B$25+Inputs!$B$28,IF(Skills!C12=3,120+Inputs!$B$26+Inputs!$B$28,MAX(0,(Inputs!$B$3-100)*3)+Inputs!$B$27+Inputs!$B$28)))</f>
        <v/>
      </c>
      <c r="E619">
        <f>INDEX(FactorTable!$B$2:$Y$301, MATCH(ROUND(MIN(300,MAX(1,D619)),0), FactorTable!$A$2:$A$301,0), Skills!M12+1)</f>
        <v/>
      </c>
      <c r="F619">
        <f>IF(Skills!N12=TRUE,(Skills!L12/10)*(E619/1000),Skills!L12/10)+Skills!O12</f>
        <v/>
      </c>
      <c r="G619">
        <f>Skills!G12*IF(Skills!H12&gt;0,Skills!I12/Skills!H12,1)</f>
        <v/>
      </c>
      <c r="H619">
        <f>1-(1-Skills!J12/100)^Skills!K12</f>
        <v/>
      </c>
      <c r="I619" t="inlineStr">
        <is>
          <t>1</t>
        </is>
      </c>
      <c r="J619">
        <f>(Inputs!$B$5*(1+Inputs!$B$6/100))*(F619/100)</f>
        <v/>
      </c>
      <c r="K619">
        <f>J619*(1+((Inputs!$B$11*(1+Inputs!$B$12/100))*0.01+Inputs!$B$13*0.0025)/100)*(1+Inputs!$B$14/100)*(1+IF(Inputs!$B$4="pvp",0,(1-Summary!$B$55)*(Inputs!$B$19+0+Skills!P12)+Summary!$B$55*(Inputs!$B$20+Skills!Q12))/100)*(1+Inputs!$B$15/100)*(5000/(6000+Inputs!$B$7*(1-(Inputs!$B$18+0)/100)))*(1+(Inputs!$B$23+((C633=TRUE)*(F633-Calc!F26))+B643)/100)*(1+(IF(Skills!A12="EIGHT_LEGS_EASTON",(Inputs!$B$16+1)+((C630=TRUE)*(F630-Calc!F23))+((C634=TRUE)*(F634-Calc!F27)),Inputs!$B$17+0))/100)*((1+(((C624=TRUE)*F624)+((C631=TRUE)*(F631-Calc!F24)))/100)*I619)</f>
        <v/>
      </c>
      <c r="L619">
        <f>K619*(MIN(Inputs!$B$21+((C629=TRUE)*(F629-Calc!F22)),Inputs!$B$22+0)/100+(Inputs!$B$22+0)/100)/2</f>
        <v/>
      </c>
      <c r="M619">
        <f>L619*(1+(Inputs!$B$9+((C632=TRUE)*(F632-Calc!F25))+B642)/100)</f>
        <v/>
      </c>
      <c r="N619">
        <f>L619*(1-MIN((Inputs!$B$8+((C626=TRUE)*(F626-Calc!F19))+B637),100)/100)+M619*(MIN((Inputs!$B$8+((C626=TRUE)*(F626-Calc!F19))+B637),100)/100)</f>
        <v/>
      </c>
      <c r="O619">
        <f>IF(C619,H619*N619*IF(AND(Inputs!$B$4&lt;&gt;"pvp",Inputs!$B$35&gt;0),((Skills!G12*((R619-1)*IF(Skills!H12&gt;0,Skills!I12/Skills!H12,1)+IF(Skills!H12&gt;0,MIN(Skills!I12,MAX(0,Inputs!$B$35-((R619-1)*IF(Inputs!$B$4="pvp",15,MAX(0.1,Skills!D12-IF(Skills!E12=TRUE,Inputs!$B$31,0))))))/Skills!H12,1)))/Inputs!$B$35),G619*Q619)*IF(Inputs!$B$4="pvp",1,(1-Summary!$B$55)*(1)+Summary!$B$55*(MIN(Skills!R12,Inputs!$B$37))),0)</f>
        <v/>
      </c>
      <c r="P619">
        <f>IF(B645=0,0,O619/B645)</f>
        <v/>
      </c>
      <c r="Q619">
        <f>IFERROR(1/IF(Inputs!$B$4="pvp",15,MAX(0.1,Skills!D12-IF(Skills!E12=TRUE,Inputs!$B$31,0))),0)</f>
        <v/>
      </c>
      <c r="R619">
        <f>IF(AND(Inputs!$B$4&lt;&gt;"pvp",Inputs!$B$35&gt;0),(INT(Inputs!$B$35/IF(Inputs!$B$4="pvp",15,MAX(0.1,Skills!D12-IF(Skills!E12=TRUE,Inputs!$B$31,0))))+1),0)</f>
        <v/>
      </c>
      <c r="S619">
        <f>IFERROR(O619/N619,0)</f>
        <v/>
      </c>
    </row>
    <row r="620">
      <c r="A620">
        <f>Skills!A13</f>
        <v/>
      </c>
      <c r="B620">
        <f>Skills!B13</f>
        <v/>
      </c>
      <c r="C620">
        <f>Inputs!$B$3&gt;=110</f>
        <v/>
      </c>
      <c r="D620">
        <f>IF(Skills!C13=1,60+Inputs!$B$24+Inputs!$B$28,IF(Skills!C13=2,90+Inputs!$B$25+Inputs!$B$28,IF(Skills!C13=3,120+Inputs!$B$26+Inputs!$B$28,MAX(0,(Inputs!$B$3-100)*3)+Inputs!$B$27+Inputs!$B$28)))</f>
        <v/>
      </c>
      <c r="E620">
        <f>INDEX(FactorTable!$B$2:$Y$301, MATCH(ROUND(MIN(300,MAX(1,D620)),0), FactorTable!$A$2:$A$301,0), Skills!M13+1)</f>
        <v/>
      </c>
      <c r="F620">
        <f>IF(Skills!N13=TRUE,(Skills!L13/10)*(E620/1000),Skills!L13/10)+Skills!O13</f>
        <v/>
      </c>
      <c r="G620">
        <f>Skills!G13*IF(Skills!H13&gt;0,Skills!I13/Skills!H13,1)</f>
        <v/>
      </c>
      <c r="H620">
        <f>1-(1-Skills!J13/100)^Skills!K13</f>
        <v/>
      </c>
      <c r="I620" t="inlineStr">
        <is>
          <t>1</t>
        </is>
      </c>
      <c r="J620">
        <f>(Inputs!$B$5*(1+Inputs!$B$6/100))*(F620/100)</f>
        <v/>
      </c>
      <c r="K620">
        <f>J620*(1+((Inputs!$B$11*(1+Inputs!$B$12/100))*0.01+Inputs!$B$13*0.0025)/100)*(1+Inputs!$B$14/100)*(1+IF(Inputs!$B$4="pvp",0,(1-Summary!$B$55)*(Inputs!$B$19+0+Skills!P13)+Summary!$B$55*(Inputs!$B$20+Skills!Q13))/100)*(1+Inputs!$B$15/100)*(5000/(6000+Inputs!$B$7*(1-(Inputs!$B$18+0)/100)))*(1+(Inputs!$B$23+((C633=TRUE)*(F633-Calc!F26))+B643)/100)*(1+(IF(Skills!A13="EIGHT_LEGS_EASTON",(Inputs!$B$16+1)+((C630=TRUE)*(F630-Calc!F23))+((C634=TRUE)*(F634-Calc!F27)),Inputs!$B$17+0))/100)*((1+(((C624=TRUE)*F624)+((C631=TRUE)*(F631-Calc!F24)))/100)*I620)</f>
        <v/>
      </c>
      <c r="L620">
        <f>K620*(MIN(Inputs!$B$21+((C629=TRUE)*(F629-Calc!F22)),Inputs!$B$22+0)/100+(Inputs!$B$22+0)/100)/2</f>
        <v/>
      </c>
      <c r="M620">
        <f>L620*(1+(Inputs!$B$9+((C632=TRUE)*(F632-Calc!F25))+B642)/100)</f>
        <v/>
      </c>
      <c r="N620">
        <f>L620*(1-MIN((Inputs!$B$8+((C626=TRUE)*(F626-Calc!F19))+B637),100)/100)+M620*(MIN((Inputs!$B$8+((C626=TRUE)*(F626-Calc!F19))+B637),100)/100)</f>
        <v/>
      </c>
      <c r="O620">
        <f>IF(C620,H620*N620*IF(AND(Inputs!$B$4&lt;&gt;"pvp",Inputs!$B$35&gt;0),((Skills!G13*((R620-1)*IF(Skills!H13&gt;0,Skills!I13/Skills!H13,1)+IF(Skills!H13&gt;0,MIN(Skills!I13,MAX(0,Inputs!$B$35-((R620-1)*IF(Inputs!$B$4="pvp",15,MAX(0.1,Skills!D13-IF(Skills!E13=TRUE,Inputs!$B$31,0))))))/Skills!H13,1)))/Inputs!$B$35),G620*Q620)*IF(Inputs!$B$4="pvp",1,(1-Summary!$B$55)*(1)+Summary!$B$55*(MIN(Skills!R13,Inputs!$B$37))),0)</f>
        <v/>
      </c>
      <c r="P620">
        <f>IF(B645=0,0,O620/B645)</f>
        <v/>
      </c>
      <c r="Q620">
        <f>IFERROR(1/IF(Inputs!$B$4="pvp",15,MAX(0.1,Skills!D13-IF(Skills!E13=TRUE,Inputs!$B$31,0))),0)</f>
        <v/>
      </c>
      <c r="R620">
        <f>IF(AND(Inputs!$B$4&lt;&gt;"pvp",Inputs!$B$35&gt;0),(INT(Inputs!$B$35/IF(Inputs!$B$4="pvp",15,MAX(0.1,Skills!D13-IF(Skills!E13=TRUE,Inputs!$B$31,0))))+1),0)</f>
        <v/>
      </c>
      <c r="S620">
        <f>IFERROR(O620/N620,0)</f>
        <v/>
      </c>
    </row>
    <row r="621">
      <c r="A621">
        <f>Skills!A14</f>
        <v/>
      </c>
      <c r="B621">
        <f>Skills!B14</f>
        <v/>
      </c>
      <c r="C621">
        <f>Inputs!$B$3&gt;=125</f>
        <v/>
      </c>
      <c r="D621">
        <f>IF(Skills!C14=1,60+Inputs!$B$24+Inputs!$B$28,IF(Skills!C14=2,90+Inputs!$B$25+Inputs!$B$28,IF(Skills!C14=3,120+Inputs!$B$26+Inputs!$B$28,MAX(0,(Inputs!$B$3-100)*3)+Inputs!$B$27+Inputs!$B$28)))</f>
        <v/>
      </c>
      <c r="E621">
        <f>INDEX(FactorTable!$B$2:$Y$301, MATCH(ROUND(MIN(300,MAX(1,D621)),0), FactorTable!$A$2:$A$301,0), Skills!M14+1)</f>
        <v/>
      </c>
      <c r="F621">
        <f>IF(Skills!N14=TRUE,(Skills!L14/10)*(E621/1000),Skills!L14/10)+Skills!O14</f>
        <v/>
      </c>
      <c r="G621">
        <f>Skills!G14*IF(Skills!H14&gt;0,Skills!I14/Skills!H14,1)</f>
        <v/>
      </c>
      <c r="H621">
        <f>1-(1-Skills!J14/100)^Skills!K14</f>
        <v/>
      </c>
      <c r="I621" t="inlineStr">
        <is>
          <t>1</t>
        </is>
      </c>
      <c r="J621">
        <f>(Inputs!$B$5*(1+Inputs!$B$6/100))*(F621/100)</f>
        <v/>
      </c>
      <c r="K621">
        <f>J621*(1+((Inputs!$B$11*(1+Inputs!$B$12/100))*0.01+Inputs!$B$13*0.0025)/100)*(1+Inputs!$B$14/100)*(1+IF(Inputs!$B$4="pvp",0,(1-Summary!$B$55)*(Inputs!$B$19+0+Skills!P14)+Summary!$B$55*(Inputs!$B$20+Skills!Q14))/100)*(1+Inputs!$B$15/100)*(5000/(6000+Inputs!$B$7*(1-(Inputs!$B$18+0)/100)))*(1+(Inputs!$B$23+((C633=TRUE)*(F633-Calc!F26))+B643)/100)*(1+(IF(Skills!A14="EIGHT_LEGS_EASTON",(Inputs!$B$16+1)+((C630=TRUE)*(F630-Calc!F23))+((C634=TRUE)*(F634-Calc!F27)),Inputs!$B$17+0))/100)*((1+(((C624=TRUE)*F624)+((C631=TRUE)*(F631-Calc!F24)))/100)*I621)</f>
        <v/>
      </c>
      <c r="L621">
        <f>K621*(MIN(Inputs!$B$21+((C629=TRUE)*(F629-Calc!F22)),Inputs!$B$22+0)/100+(Inputs!$B$22+0)/100)/2</f>
        <v/>
      </c>
      <c r="M621">
        <f>L621*(1+(Inputs!$B$9+((C632=TRUE)*(F632-Calc!F25))+B642)/100)</f>
        <v/>
      </c>
      <c r="N621">
        <f>L621*(1-MIN((Inputs!$B$8+((C626=TRUE)*(F626-Calc!F19))+B637),100)/100)+M621*(MIN((Inputs!$B$8+((C626=TRUE)*(F626-Calc!F19))+B637),100)/100)</f>
        <v/>
      </c>
      <c r="O621">
        <f>IF(C621,H621*N621*(B641+IF(AND(Inputs!$B$4&lt;&gt;"pvp",Inputs!$B$35&gt;0),((Skills!G8*((R615-1)*IF(Skills!H8&gt;0,Skills!I8/Skills!H8,1)+IF(Skills!H8&gt;0,MIN(Skills!I8,MAX(0,Inputs!$B$35-((R615-1)*IF(Inputs!$B$4="pvp",15,MAX(0.1,Skills!D8-IF(Skills!E8=TRUE,Inputs!$B$31,0))))))/Skills!H8,1)))/Inputs!$B$35),G615*Q615)+IF(AND(Inputs!$B$4&lt;&gt;"pvp",Inputs!$B$35&gt;0),((Skills!G11*((R618-1)*IF(Skills!H11&gt;0,Skills!I11/Skills!H11,1)+IF(Skills!H11&gt;0,MIN(Skills!I11,MAX(0,Inputs!$B$35-((R618-1)*IF(Inputs!$B$4="pvp",15,MAX(0.1,Skills!D11-IF(Skills!E11=TRUE,Inputs!$B$31,0))))))/Skills!H11,1)))/Inputs!$B$35),G618*Q618))*IF(Inputs!$B$4="pvp",1,(1-Summary!$B$55)*(1)+Summary!$B$55*(MIN(Skills!R14,Inputs!$B$37))),0)</f>
        <v/>
      </c>
      <c r="P621">
        <f>IF(B645=0,0,O621/B645)</f>
        <v/>
      </c>
      <c r="Q621" t="n">
        <v>0</v>
      </c>
      <c r="R621" t="n">
        <v>0</v>
      </c>
      <c r="S621">
        <f>IFERROR(O621/N621,0)</f>
        <v/>
      </c>
    </row>
    <row r="622">
      <c r="A622">
        <f>Skills!A15</f>
        <v/>
      </c>
      <c r="B622">
        <f>Skills!B15</f>
        <v/>
      </c>
      <c r="C622">
        <f>Inputs!$B$3&gt;=100</f>
        <v/>
      </c>
      <c r="D622">
        <f>IF(Skills!C15=1,60+Inputs!$B$24+Inputs!$B$28,IF(Skills!C15=2,90+Inputs!$B$25+Inputs!$B$28,IF(Skills!C15=3,120+Inputs!$B$26+Inputs!$B$28,MAX(0,(Inputs!$B$3-100)*3)+Inputs!$B$27+Inputs!$B$28)))</f>
        <v/>
      </c>
      <c r="E622">
        <f>INDEX(FactorTable!$B$2:$Y$301, MATCH(ROUND(MIN(300,MAX(1,D622)),0), FactorTable!$A$2:$A$301,0), Skills!M15+1)</f>
        <v/>
      </c>
      <c r="F622">
        <f>IF(Skills!N15=TRUE,(Skills!L15/10)*(E622/1000),Skills!L15/10)+Skills!O15</f>
        <v/>
      </c>
      <c r="G622" t="inlineStr"/>
      <c r="H622" t="inlineStr"/>
      <c r="I622" t="inlineStr">
        <is>
          <t>1</t>
        </is>
      </c>
      <c r="J622" t="inlineStr"/>
      <c r="K622" t="inlineStr"/>
      <c r="L622" t="inlineStr"/>
      <c r="M622" t="inlineStr"/>
      <c r="N622" t="inlineStr"/>
      <c r="O622" t="inlineStr"/>
      <c r="P622" t="inlineStr"/>
      <c r="Q622" t="inlineStr"/>
      <c r="R622" t="inlineStr"/>
      <c r="S622" t="inlineStr"/>
    </row>
    <row r="623">
      <c r="A623">
        <f>Skills!A16</f>
        <v/>
      </c>
      <c r="B623">
        <f>Skills!B16</f>
        <v/>
      </c>
      <c r="C623">
        <f>Inputs!$B$3&gt;=120</f>
        <v/>
      </c>
      <c r="D623">
        <f>IF(Skills!C16=1,60+Inputs!$B$24+Inputs!$B$28,IF(Skills!C16=2,90+Inputs!$B$25+Inputs!$B$28,IF(Skills!C16=3,120+Inputs!$B$26+Inputs!$B$28,MAX(0,(Inputs!$B$3-100)*3)+Inputs!$B$27+Inputs!$B$28)))</f>
        <v/>
      </c>
      <c r="E623">
        <f>INDEX(FactorTable!$B$2:$Y$301, MATCH(ROUND(MIN(300,MAX(1,D623)),0), FactorTable!$A$2:$A$301,0), Skills!M16+1)</f>
        <v/>
      </c>
      <c r="F623">
        <f>IF(Skills!N16=TRUE,(Skills!L16/10)*(E623/1000),Skills!L16/10)+Skills!O16</f>
        <v/>
      </c>
      <c r="G623" t="inlineStr"/>
      <c r="H623" t="inlineStr"/>
      <c r="I623" t="inlineStr">
        <is>
          <t>1</t>
        </is>
      </c>
      <c r="J623" t="inlineStr"/>
      <c r="K623" t="inlineStr"/>
      <c r="L623" t="inlineStr"/>
      <c r="M623" t="inlineStr"/>
      <c r="N623" t="inlineStr"/>
      <c r="O623" t="inlineStr"/>
      <c r="P623" t="inlineStr"/>
      <c r="Q623" t="inlineStr"/>
      <c r="R623" t="inlineStr"/>
      <c r="S623" t="inlineStr"/>
    </row>
    <row r="624">
      <c r="A624">
        <f>Skills!A17</f>
        <v/>
      </c>
      <c r="B624">
        <f>Skills!B17</f>
        <v/>
      </c>
      <c r="C624">
        <f>Inputs!$B$3&gt;=66</f>
        <v/>
      </c>
      <c r="D624">
        <f>IF(Skills!C17=1,60+Inputs!$B$24+Inputs!$B$28,IF(Skills!C17=2,90+Inputs!$B$25+Inputs!$B$28,IF(Skills!C17=3,120+Inputs!$B$26+Inputs!$B$28,MAX(0,(Inputs!$B$3-100)*3)+Inputs!$B$27+Inputs!$B$28)))</f>
        <v/>
      </c>
      <c r="E624">
        <f>INDEX(FactorTable!$B$2:$Y$301, MATCH(ROUND(MIN(300,MAX(1,D624)),0), FactorTable!$A$2:$A$301,0), Skills!M17+1)</f>
        <v/>
      </c>
      <c r="F624">
        <f>IF(Skills!N17=TRUE,(Skills!L17/10)*(E624/1000),Skills!L17/10)+Skills!O17</f>
        <v/>
      </c>
      <c r="G624">
        <f>Skills!G17*IF(Skills!H17&gt;0,Skills!I17/Skills!H17,1)</f>
        <v/>
      </c>
      <c r="H624">
        <f>1-(1-Skills!J17/100)^Skills!K17</f>
        <v/>
      </c>
      <c r="I624" t="inlineStr">
        <is>
          <t>1</t>
        </is>
      </c>
      <c r="J624" t="inlineStr"/>
      <c r="K624" t="inlineStr"/>
      <c r="L624" t="inlineStr"/>
      <c r="M624" t="inlineStr"/>
      <c r="N624" t="inlineStr"/>
      <c r="O624" t="n">
        <v>0</v>
      </c>
      <c r="P624">
        <f>IF(B645=0,0,O624/B645)</f>
        <v/>
      </c>
      <c r="Q624" t="n">
        <v>0</v>
      </c>
      <c r="R624" t="n">
        <v>0</v>
      </c>
      <c r="S624">
        <f>IFERROR(O624/N624,0)</f>
        <v/>
      </c>
    </row>
    <row r="625">
      <c r="A625">
        <f>Skills!A18</f>
        <v/>
      </c>
      <c r="B625">
        <f>Skills!B18</f>
        <v/>
      </c>
      <c r="C625">
        <f>Inputs!$B$3&gt;=115</f>
        <v/>
      </c>
      <c r="D625">
        <f>IF(Skills!C18=1,60+Inputs!$B$24+Inputs!$B$28,IF(Skills!C18=2,90+Inputs!$B$25+Inputs!$B$28,IF(Skills!C18=3,120+Inputs!$B$26+Inputs!$B$28,MAX(0,(Inputs!$B$3-100)*3)+Inputs!$B$27+Inputs!$B$28)))</f>
        <v/>
      </c>
      <c r="E625">
        <f>INDEX(FactorTable!$B$2:$Y$301, MATCH(ROUND(MIN(300,MAX(1,D625)),0), FactorTable!$A$2:$A$301,0), Skills!M18+1)</f>
        <v/>
      </c>
      <c r="F625">
        <f>IF(Skills!N18=TRUE,(Skills!L18/10)*(E625/1000),Skills!L18/10)+Skills!O18</f>
        <v/>
      </c>
      <c r="G625">
        <f>Skills!G18*IF(Skills!H18&gt;0,Skills!I18/Skills!H18,1)</f>
        <v/>
      </c>
      <c r="H625">
        <f>1-(1-Skills!J18/100)^Skills!K18</f>
        <v/>
      </c>
      <c r="I625" t="inlineStr">
        <is>
          <t>1</t>
        </is>
      </c>
      <c r="J625" t="inlineStr"/>
      <c r="K625" t="inlineStr"/>
      <c r="L625" t="inlineStr"/>
      <c r="M625" t="inlineStr"/>
      <c r="N625" t="inlineStr"/>
      <c r="O625" t="n">
        <v>0</v>
      </c>
      <c r="P625">
        <f>IF(B645=0,0,O625/B645)</f>
        <v/>
      </c>
      <c r="Q625" t="n">
        <v>0</v>
      </c>
      <c r="R625" t="n">
        <v>0</v>
      </c>
      <c r="S625">
        <f>IFERROR(O625/N625,0)</f>
        <v/>
      </c>
    </row>
    <row r="626">
      <c r="A626">
        <f>Skills!A19</f>
        <v/>
      </c>
      <c r="B626">
        <f>Skills!B19</f>
        <v/>
      </c>
      <c r="C626">
        <f>Inputs!$B$3&gt;=15</f>
        <v/>
      </c>
      <c r="D626">
        <f>IF(Skills!C19=1,60+Inputs!$B$24+Inputs!$B$28,IF(Skills!C19=2,90+Inputs!$B$25+Inputs!$B$28,IF(Skills!C19=3,120+Inputs!$B$26+Inputs!$B$28,MAX(0,(Inputs!$B$3-100)*3)+Inputs!$B$27+Inputs!$B$28)))</f>
        <v/>
      </c>
      <c r="E626">
        <f>INDEX(FactorTable!$B$2:$Y$301, MATCH(ROUND(MIN(300,MAX(1,D626)),0), FactorTable!$A$2:$A$301,0), Skills!M19+1)</f>
        <v/>
      </c>
      <c r="F626">
        <f>IF(Skills!N19=TRUE,(Skills!L19/10)*(E626/1000),Skills!L19/10)+Skills!O19</f>
        <v/>
      </c>
      <c r="G626">
        <f>Skills!G19*IF(Skills!H19&gt;0,Skills!I19/Skills!H19,1)</f>
        <v/>
      </c>
      <c r="H626">
        <f>1-(1-Skills!J19/100)^Skills!K19</f>
        <v/>
      </c>
      <c r="I626" t="inlineStr">
        <is>
          <t>1</t>
        </is>
      </c>
      <c r="J626" t="inlineStr"/>
      <c r="K626" t="inlineStr"/>
      <c r="L626" t="inlineStr"/>
      <c r="M626" t="inlineStr"/>
      <c r="N626" t="inlineStr"/>
      <c r="O626" t="n">
        <v>0</v>
      </c>
      <c r="P626">
        <f>IF(B645=0,0,O626/B645)</f>
        <v/>
      </c>
      <c r="Q626" t="n">
        <v>0</v>
      </c>
      <c r="R626" t="n">
        <v>0</v>
      </c>
      <c r="S626">
        <f>IFERROR(O626/N626,0)</f>
        <v/>
      </c>
    </row>
    <row r="627">
      <c r="A627">
        <f>Skills!A20</f>
        <v/>
      </c>
      <c r="B627">
        <f>Skills!B20</f>
        <v/>
      </c>
      <c r="C627">
        <f>Inputs!$B$3&gt;=10</f>
        <v/>
      </c>
      <c r="D627">
        <f>IF(Skills!C20=1,60+Inputs!$B$24+Inputs!$B$28,IF(Skills!C20=2,90+Inputs!$B$25+Inputs!$B$28,IF(Skills!C20=3,120+Inputs!$B$26+Inputs!$B$28,MAX(0,(Inputs!$B$3-100)*3)+Inputs!$B$27+Inputs!$B$28)))</f>
        <v/>
      </c>
      <c r="E627">
        <f>INDEX(FactorTable!$B$2:$Y$301, MATCH(ROUND(MIN(300,MAX(1,D627)),0), FactorTable!$A$2:$A$301,0), Skills!M20+1)</f>
        <v/>
      </c>
      <c r="F627">
        <f>IF(Skills!N20=TRUE,(Skills!L20/10)*(E627/1000),Skills!L20/10)+Skills!O20</f>
        <v/>
      </c>
      <c r="G627">
        <f>Skills!G20*IF(Skills!H20&gt;0,Skills!I20/Skills!H20,1)</f>
        <v/>
      </c>
      <c r="H627">
        <f>1-(1-Skills!J20/100)^Skills!K20</f>
        <v/>
      </c>
      <c r="I627" t="inlineStr">
        <is>
          <t>1</t>
        </is>
      </c>
      <c r="J627" t="inlineStr"/>
      <c r="K627" t="inlineStr"/>
      <c r="L627" t="inlineStr"/>
      <c r="M627" t="inlineStr"/>
      <c r="N627" t="inlineStr"/>
      <c r="O627" t="n">
        <v>0</v>
      </c>
      <c r="P627">
        <f>IF(B645=0,0,O627/B645)</f>
        <v/>
      </c>
      <c r="Q627" t="n">
        <v>0</v>
      </c>
      <c r="R627" t="n">
        <v>0</v>
      </c>
      <c r="S627">
        <f>IFERROR(O627/N627,0)</f>
        <v/>
      </c>
    </row>
    <row r="628">
      <c r="A628">
        <f>Skills!A21</f>
        <v/>
      </c>
      <c r="B628">
        <f>Skills!B21</f>
        <v/>
      </c>
      <c r="C628">
        <f>Inputs!$B$3&gt;=33</f>
        <v/>
      </c>
      <c r="D628">
        <f>IF(Skills!C21=1,60+Inputs!$B$24+Inputs!$B$28,IF(Skills!C21=2,90+Inputs!$B$25+Inputs!$B$28,IF(Skills!C21=3,120+Inputs!$B$26+Inputs!$B$28,MAX(0,(Inputs!$B$3-100)*3)+Inputs!$B$27+Inputs!$B$28)))</f>
        <v/>
      </c>
      <c r="E628">
        <f>INDEX(FactorTable!$B$2:$Y$301, MATCH(ROUND(MIN(300,MAX(1,D628)),0), FactorTable!$A$2:$A$301,0), Skills!M21+1)</f>
        <v/>
      </c>
      <c r="F628">
        <f>IF(Skills!N21=TRUE,(Skills!L21/10)*(E628/1000),Skills!L21/10)+Skills!O21</f>
        <v/>
      </c>
      <c r="G628">
        <f>Skills!G21*IF(Skills!H21&gt;0,Skills!I21/Skills!H21,1)</f>
        <v/>
      </c>
      <c r="H628">
        <f>1-(1-Skills!J21/100)^Skills!K21</f>
        <v/>
      </c>
      <c r="I628" t="inlineStr">
        <is>
          <t>1</t>
        </is>
      </c>
      <c r="J628" t="inlineStr"/>
      <c r="K628" t="inlineStr"/>
      <c r="L628" t="inlineStr"/>
      <c r="M628" t="inlineStr"/>
      <c r="N628" t="inlineStr"/>
      <c r="O628" t="n">
        <v>0</v>
      </c>
      <c r="P628">
        <f>IF(B645=0,0,O628/B645)</f>
        <v/>
      </c>
      <c r="Q628" t="n">
        <v>0</v>
      </c>
      <c r="R628" t="n">
        <v>0</v>
      </c>
      <c r="S628">
        <f>IFERROR(O628/N628,0)</f>
        <v/>
      </c>
    </row>
    <row r="629">
      <c r="A629">
        <f>Skills!A22</f>
        <v/>
      </c>
      <c r="B629">
        <f>Skills!B22</f>
        <v/>
      </c>
      <c r="C629">
        <f>Inputs!$B$3&gt;=43</f>
        <v/>
      </c>
      <c r="D629">
        <f>IF(Skills!C22=1,60+Inputs!$B$24+Inputs!$B$28,IF(Skills!C22=2,90+Inputs!$B$25+Inputs!$B$28,IF(Skills!C22=3,120+Inputs!$B$26+Inputs!$B$28,MAX(0,(Inputs!$B$3-100)*3)+Inputs!$B$27+Inputs!$B$28)))</f>
        <v/>
      </c>
      <c r="E629">
        <f>INDEX(FactorTable!$B$2:$Y$301, MATCH(ROUND(MIN(300,MAX(1,D629)),0), FactorTable!$A$2:$A$301,0), Skills!M22+1)</f>
        <v/>
      </c>
      <c r="F629">
        <f>IF(Skills!N22=TRUE,(Skills!L22/10)*(E629/1000),Skills!L22/10)+Skills!O22</f>
        <v/>
      </c>
      <c r="G629">
        <f>Skills!G22*IF(Skills!H22&gt;0,Skills!I22/Skills!H22,1)</f>
        <v/>
      </c>
      <c r="H629">
        <f>1-(1-Skills!J22/100)^Skills!K22</f>
        <v/>
      </c>
      <c r="I629" t="inlineStr">
        <is>
          <t>1</t>
        </is>
      </c>
      <c r="J629" t="inlineStr"/>
      <c r="K629" t="inlineStr"/>
      <c r="L629" t="inlineStr"/>
      <c r="M629" t="inlineStr"/>
      <c r="N629" t="inlineStr"/>
      <c r="O629" t="n">
        <v>0</v>
      </c>
      <c r="P629">
        <f>IF(B645=0,0,O629/B645)</f>
        <v/>
      </c>
      <c r="Q629" t="n">
        <v>0</v>
      </c>
      <c r="R629" t="n">
        <v>0</v>
      </c>
      <c r="S629">
        <f>IFERROR(O629/N629,0)</f>
        <v/>
      </c>
    </row>
    <row r="630">
      <c r="A630">
        <f>Skills!A23</f>
        <v/>
      </c>
      <c r="B630">
        <f>Skills!B23</f>
        <v/>
      </c>
      <c r="C630">
        <f>Inputs!$B$3&gt;=38</f>
        <v/>
      </c>
      <c r="D630">
        <f>IF(Skills!C23=1,60+Inputs!$B$24+Inputs!$B$28,IF(Skills!C23=2,90+Inputs!$B$25+Inputs!$B$28,IF(Skills!C23=3,120+Inputs!$B$26+Inputs!$B$28,MAX(0,(Inputs!$B$3-100)*3)+Inputs!$B$27+Inputs!$B$28)))</f>
        <v/>
      </c>
      <c r="E630">
        <f>INDEX(FactorTable!$B$2:$Y$301, MATCH(ROUND(MIN(300,MAX(1,D630)),0), FactorTable!$A$2:$A$301,0), Skills!M23+1)</f>
        <v/>
      </c>
      <c r="F630">
        <f>IF(Skills!N23=TRUE,(Skills!L23/10)*(E630/1000),Skills!L23/10)+Skills!O23</f>
        <v/>
      </c>
      <c r="G630">
        <f>Skills!G23*IF(Skills!H23&gt;0,Skills!I23/Skills!H23,1)</f>
        <v/>
      </c>
      <c r="H630">
        <f>1-(1-Skills!J23/100)^Skills!K23</f>
        <v/>
      </c>
      <c r="I630" t="inlineStr">
        <is>
          <t>1</t>
        </is>
      </c>
      <c r="J630" t="inlineStr"/>
      <c r="K630" t="inlineStr"/>
      <c r="L630" t="inlineStr"/>
      <c r="M630" t="inlineStr"/>
      <c r="N630" t="inlineStr"/>
      <c r="O630" t="n">
        <v>0</v>
      </c>
      <c r="P630">
        <f>IF(B645=0,0,O630/B645)</f>
        <v/>
      </c>
      <c r="Q630" t="n">
        <v>0</v>
      </c>
      <c r="R630" t="n">
        <v>0</v>
      </c>
      <c r="S630">
        <f>IFERROR(O630/N630,0)</f>
        <v/>
      </c>
    </row>
    <row r="631">
      <c r="A631">
        <f>Skills!A24</f>
        <v/>
      </c>
      <c r="B631">
        <f>Skills!B24</f>
        <v/>
      </c>
      <c r="C631">
        <f>Inputs!$B$3&gt;=40</f>
        <v/>
      </c>
      <c r="D631">
        <f>IF(Skills!C24=1,60+Inputs!$B$24+Inputs!$B$28,IF(Skills!C24=2,90+Inputs!$B$25+Inputs!$B$28,IF(Skills!C24=3,120+Inputs!$B$26+Inputs!$B$28,MAX(0,(Inputs!$B$3-100)*3)+Inputs!$B$27+Inputs!$B$28)))</f>
        <v/>
      </c>
      <c r="E631">
        <f>INDEX(FactorTable!$B$2:$Y$301, MATCH(ROUND(MIN(300,MAX(1,D631)),0), FactorTable!$A$2:$A$301,0), Skills!M24+1)</f>
        <v/>
      </c>
      <c r="F631">
        <f>IF(Skills!N24=TRUE,(Skills!L24/10)*(E631/1000),Skills!L24/10)+Skills!O24</f>
        <v/>
      </c>
      <c r="G631">
        <f>Skills!G24*IF(Skills!H24&gt;0,Skills!I24/Skills!H24,1)</f>
        <v/>
      </c>
      <c r="H631">
        <f>1-(1-Skills!J24/100)^Skills!K24</f>
        <v/>
      </c>
      <c r="I631" t="inlineStr">
        <is>
          <t>1</t>
        </is>
      </c>
      <c r="J631" t="inlineStr"/>
      <c r="K631" t="inlineStr"/>
      <c r="L631" t="inlineStr"/>
      <c r="M631" t="inlineStr"/>
      <c r="N631" t="inlineStr"/>
      <c r="O631" t="n">
        <v>0</v>
      </c>
      <c r="P631">
        <f>IF(B645=0,0,O631/B645)</f>
        <v/>
      </c>
      <c r="Q631" t="n">
        <v>0</v>
      </c>
      <c r="R631" t="n">
        <v>0</v>
      </c>
      <c r="S631">
        <f>IFERROR(O631/N631,0)</f>
        <v/>
      </c>
    </row>
    <row r="632">
      <c r="A632">
        <f>Skills!A25</f>
        <v/>
      </c>
      <c r="B632">
        <f>Skills!B25</f>
        <v/>
      </c>
      <c r="C632">
        <f>Inputs!$B$3&gt;=72</f>
        <v/>
      </c>
      <c r="D632">
        <f>IF(Skills!C25=1,60+Inputs!$B$24+Inputs!$B$28,IF(Skills!C25=2,90+Inputs!$B$25+Inputs!$B$28,IF(Skills!C25=3,120+Inputs!$B$26+Inputs!$B$28,MAX(0,(Inputs!$B$3-100)*3)+Inputs!$B$27+Inputs!$B$28)))</f>
        <v/>
      </c>
      <c r="E632">
        <f>INDEX(FactorTable!$B$2:$Y$301, MATCH(ROUND(MIN(300,MAX(1,D632)),0), FactorTable!$A$2:$A$301,0), Skills!M25+1)</f>
        <v/>
      </c>
      <c r="F632">
        <f>IF(Skills!N25=TRUE,(Skills!L25/10)*(E632/1000),Skills!L25/10)+Skills!O25</f>
        <v/>
      </c>
      <c r="G632">
        <f>Skills!G25*IF(Skills!H25&gt;0,Skills!I25/Skills!H25,1)</f>
        <v/>
      </c>
      <c r="H632">
        <f>1-(1-Skills!J25/100)^Skills!K25</f>
        <v/>
      </c>
      <c r="I632" t="inlineStr">
        <is>
          <t>1</t>
        </is>
      </c>
      <c r="J632" t="inlineStr"/>
      <c r="K632" t="inlineStr"/>
      <c r="L632" t="inlineStr"/>
      <c r="M632" t="inlineStr"/>
      <c r="N632" t="inlineStr"/>
      <c r="O632" t="n">
        <v>0</v>
      </c>
      <c r="P632">
        <f>IF(B645=0,0,O632/B645)</f>
        <v/>
      </c>
      <c r="Q632" t="n">
        <v>0</v>
      </c>
      <c r="R632" t="n">
        <v>0</v>
      </c>
      <c r="S632">
        <f>IFERROR(O632/N632,0)</f>
        <v/>
      </c>
    </row>
    <row r="633">
      <c r="A633">
        <f>Skills!A26</f>
        <v/>
      </c>
      <c r="B633">
        <f>Skills!B26</f>
        <v/>
      </c>
      <c r="C633">
        <f>Inputs!$B$3&gt;=75</f>
        <v/>
      </c>
      <c r="D633">
        <f>IF(Skills!C26=1,60+Inputs!$B$24+Inputs!$B$28,IF(Skills!C26=2,90+Inputs!$B$25+Inputs!$B$28,IF(Skills!C26=3,120+Inputs!$B$26+Inputs!$B$28,MAX(0,(Inputs!$B$3-100)*3)+Inputs!$B$27+Inputs!$B$28)))</f>
        <v/>
      </c>
      <c r="E633">
        <f>INDEX(FactorTable!$B$2:$Y$301, MATCH(ROUND(MIN(300,MAX(1,D633)),0), FactorTable!$A$2:$A$301,0), Skills!M26+1)</f>
        <v/>
      </c>
      <c r="F633">
        <f>IF(Skills!N26=TRUE,(Skills!L26/10)*(E633/1000),Skills!L26/10)+Skills!O26</f>
        <v/>
      </c>
      <c r="G633">
        <f>Skills!G26*IF(Skills!H26&gt;0,Skills!I26/Skills!H26,1)</f>
        <v/>
      </c>
      <c r="H633">
        <f>1-(1-Skills!J26/100)^Skills!K26</f>
        <v/>
      </c>
      <c r="I633" t="inlineStr">
        <is>
          <t>1</t>
        </is>
      </c>
      <c r="J633" t="inlineStr"/>
      <c r="K633" t="inlineStr"/>
      <c r="L633" t="inlineStr"/>
      <c r="M633" t="inlineStr"/>
      <c r="N633" t="inlineStr"/>
      <c r="O633" t="n">
        <v>0</v>
      </c>
      <c r="P633">
        <f>IF(B645=0,0,O633/B645)</f>
        <v/>
      </c>
      <c r="Q633" t="n">
        <v>0</v>
      </c>
      <c r="R633" t="n">
        <v>0</v>
      </c>
      <c r="S633">
        <f>IFERROR(O633/N633,0)</f>
        <v/>
      </c>
    </row>
    <row r="634">
      <c r="A634">
        <f>Skills!A27</f>
        <v/>
      </c>
      <c r="B634">
        <f>Skills!B27</f>
        <v/>
      </c>
      <c r="C634">
        <f>Inputs!$B$3&gt;=117</f>
        <v/>
      </c>
      <c r="D634">
        <f>IF(Skills!C27=1,60+Inputs!$B$24+Inputs!$B$28,IF(Skills!C27=2,90+Inputs!$B$25+Inputs!$B$28,IF(Skills!C27=3,120+Inputs!$B$26+Inputs!$B$28,MAX(0,(Inputs!$B$3-100)*3)+Inputs!$B$27+Inputs!$B$28)))</f>
        <v/>
      </c>
      <c r="E634">
        <f>INDEX(FactorTable!$B$2:$Y$301, MATCH(ROUND(MIN(300,MAX(1,D634)),0), FactorTable!$A$2:$A$301,0), Skills!M27+1)</f>
        <v/>
      </c>
      <c r="F634">
        <f>IF(Skills!N27=TRUE,(Skills!L27/10)*(E634/1000),Skills!L27/10)+Skills!O27</f>
        <v/>
      </c>
      <c r="G634">
        <f>Skills!G27*IF(Skills!H27&gt;0,Skills!I27/Skills!H27,1)</f>
        <v/>
      </c>
      <c r="H634">
        <f>1-(1-Skills!J27/100)^Skills!K27</f>
        <v/>
      </c>
      <c r="I634" t="inlineStr">
        <is>
          <t>1</t>
        </is>
      </c>
      <c r="J634" t="inlineStr"/>
      <c r="K634" t="inlineStr"/>
      <c r="L634" t="inlineStr"/>
      <c r="M634" t="inlineStr"/>
      <c r="N634" t="inlineStr"/>
      <c r="O634" t="n">
        <v>0</v>
      </c>
      <c r="P634">
        <f>IF(B645=0,0,O634/B645)</f>
        <v/>
      </c>
      <c r="Q634" t="n">
        <v>0</v>
      </c>
      <c r="R634" t="n">
        <v>0</v>
      </c>
      <c r="S634">
        <f>IFERROR(O634/N634,0)</f>
        <v/>
      </c>
    </row>
    <row r="636">
      <c r="A636" t="inlineStr">
        <is>
          <t>Attack% Bucket Multiplier</t>
        </is>
      </c>
      <c r="B636">
        <f>(1+(((C624=TRUE)*F624)+((C631=TRUE)*(F631-Calc!F24)))/100)</f>
        <v/>
      </c>
    </row>
    <row r="637">
      <c r="A637" t="inlineStr">
        <is>
          <t>Global Crit Rate Bonus %</t>
        </is>
      </c>
      <c r="B637" t="n">
        <v>0</v>
      </c>
    </row>
    <row r="638">
      <c r="A638" t="inlineStr">
        <is>
          <t>Attack Speed Buff Bonus % (unused)</t>
        </is>
      </c>
      <c r="B638" t="n">
        <v>0</v>
      </c>
    </row>
    <row r="639">
      <c r="A639" t="inlineStr">
        <is>
          <t>Actions Per Second</t>
        </is>
      </c>
      <c r="B639">
        <f>1+MIN(150,150*(1-(1-(Inputs!$B$10+((C627=TRUE)*(F627-Calc!F20))+((C628=TRUE)*(F628-Calc!F21)))/150)*(1-B638/150)))/100</f>
        <v/>
      </c>
    </row>
    <row r="640">
      <c r="A640" t="inlineStr">
        <is>
          <t>Skill + Buff Cast Rate</t>
        </is>
      </c>
      <c r="B640">
        <f>IF(AND(Inputs!$B$4&lt;&gt;"pvp",Inputs!$B$35&gt;0),SUMPRODUCT((Skills!E2:E27=TRUE)*(C609:C634=TRUE)*R609:R634*Skills!F2:F27)/Inputs!$B$35,SUMPRODUCT((Skills!E2:E27=TRUE)*(C609:C634=TRUE)*Q609:Q634*Skills!F2:F27))</f>
        <v/>
      </c>
    </row>
    <row r="641">
      <c r="A641" t="inlineStr">
        <is>
          <t>Eight-Legs Easton Casts Per Second</t>
        </is>
      </c>
      <c r="B641">
        <f>MAX(0,B639-B640)</f>
        <v/>
      </c>
    </row>
    <row r="642">
      <c r="A642" t="inlineStr">
        <is>
          <t>Global Critical Damage Bonus % (unused)</t>
        </is>
      </c>
      <c r="B642" t="n">
        <v>0</v>
      </c>
    </row>
    <row r="643">
      <c r="A643" t="inlineStr">
        <is>
          <t>Global Final Damage Bonus % (Jolly Roger only)</t>
        </is>
      </c>
      <c r="B643">
        <f>((C625=TRUE)*F625)</f>
        <v/>
      </c>
    </row>
    <row r="645">
      <c r="A645" s="5" t="inlineStr">
        <is>
          <t>TOTAL DPS</t>
        </is>
      </c>
      <c r="B645" s="5">
        <f>SUM(O609:O634)</f>
        <v/>
      </c>
    </row>
    <row r="648">
      <c r="A648" s="5" t="inlineStr">
        <is>
          <t>Stat: SKILL_DAMAGE %</t>
        </is>
      </c>
    </row>
    <row r="649">
      <c r="A649" s="8" t="inlineStr">
        <is>
          <t>Key</t>
        </is>
      </c>
      <c r="B649" s="8" t="inlineStr">
        <is>
          <t>Name</t>
        </is>
      </c>
      <c r="C649" s="8" t="inlineStr">
        <is>
          <t>Unlocked</t>
        </is>
      </c>
      <c r="D649" s="8" t="inlineStr">
        <is>
          <t>InputLevel</t>
        </is>
      </c>
      <c r="E649" s="8" t="inlineStr">
        <is>
          <t>Factor</t>
        </is>
      </c>
      <c r="F649" s="8" t="inlineStr">
        <is>
          <t>CoefficientPercent</t>
        </is>
      </c>
      <c r="G649" s="8" t="inlineStr">
        <is>
          <t>EffectiveHits</t>
        </is>
      </c>
      <c r="H649" s="8" t="inlineStr">
        <is>
          <t>ProcProbability</t>
        </is>
      </c>
      <c r="I649" s="8" t="inlineStr">
        <is>
          <t>MapleHeroMultiplier</t>
        </is>
      </c>
      <c r="J649" s="8" t="inlineStr">
        <is>
          <t>BaseDamage</t>
        </is>
      </c>
      <c r="K649" s="8" t="inlineStr">
        <is>
          <t>BaseHitDamage</t>
        </is>
      </c>
      <c r="L649" s="8" t="inlineStr">
        <is>
          <t>NonCritAvg</t>
        </is>
      </c>
      <c r="M649" s="8" t="inlineStr">
        <is>
          <t>CritAvg</t>
        </is>
      </c>
      <c r="N649" s="8" t="inlineStr">
        <is>
          <t>ExpectedDamage(perHit)</t>
        </is>
      </c>
      <c r="O649" s="8" t="inlineStr">
        <is>
          <t>DPS</t>
        </is>
      </c>
      <c r="P649" s="8" t="inlineStr">
        <is>
          <t>% of Total</t>
        </is>
      </c>
      <c r="Q649" s="8" t="inlineStr">
        <is>
          <t>InvCooldown</t>
        </is>
      </c>
      <c r="R649" s="8" t="inlineStr">
        <is>
          <t>CastsInFight</t>
        </is>
      </c>
      <c r="S649" s="8" t="inlineStr">
        <is>
          <t>HitRate(perSec)</t>
        </is>
      </c>
      <c r="U649" t="inlineStr">
        <is>
          <t>helpers</t>
        </is>
      </c>
    </row>
    <row r="650">
      <c r="A650">
        <f>Skills!A2</f>
        <v/>
      </c>
      <c r="B650">
        <f>Skills!B2</f>
        <v/>
      </c>
      <c r="C650">
        <f>Inputs!$B$3&gt;=100</f>
        <v/>
      </c>
      <c r="D650" t="inlineStr"/>
      <c r="E650" t="inlineStr"/>
      <c r="F650">
        <f>U652+Skills!O2</f>
        <v/>
      </c>
      <c r="G650">
        <f>Skills!G2*IF(Skills!H2&gt;0,Skills!I2/Skills!H2,1)</f>
        <v/>
      </c>
      <c r="H650">
        <f>1-(1-Skills!J2/100)^Skills!K2</f>
        <v/>
      </c>
      <c r="I650" t="inlineStr">
        <is>
          <t>1</t>
        </is>
      </c>
      <c r="J650">
        <f>(Inputs!$B$5*(1+Inputs!$B$6/100))*(F650/100)</f>
        <v/>
      </c>
      <c r="K650">
        <f>J650*(1+((Inputs!$B$11*(1+Inputs!$B$12/100))*0.01+Inputs!$B$13*0.0025)/100)*(1+Inputs!$B$14/100)*(1+IF(Inputs!$B$4="pvp",0,(1-Summary!$B$55)*(Inputs!$B$19+0+Skills!P2)+Summary!$B$55*(Inputs!$B$20+Skills!Q2))/100)*(1+Inputs!$B$15/100)*(5000/(6000+Inputs!$B$7*(1-(Inputs!$B$18+0)/100)))*(1+(Inputs!$B$23+((C674=TRUE)*(F674-Calc!F26))+B684)/100)*(1+(IF(Skills!A2="EIGHT_LEGS_EASTON",Inputs!$B$16+((C671=TRUE)*(F671-Calc!F23))+((C675=TRUE)*(F675-Calc!F27)),(Inputs!$B$17+1)+0))/100)*((1+(((C665=TRUE)*F665)+((C672=TRUE)*(F672-Calc!F24)))/100)*I650)</f>
        <v/>
      </c>
      <c r="L650">
        <f>K650*(MIN(Inputs!$B$21+((C670=TRUE)*(F670-Calc!F22)),Inputs!$B$22+0)/100+(Inputs!$B$22+0)/100)/2</f>
        <v/>
      </c>
      <c r="M650">
        <f>L650*(1+(Inputs!$B$9+((C673=TRUE)*(F673-Calc!F25))+B683)/100)</f>
        <v/>
      </c>
      <c r="N650">
        <f>L650*(1-MIN((Inputs!$B$8+((C667=TRUE)*(F667-Calc!F19))+B678),100)/100)+M650*(MIN((Inputs!$B$8+((C667=TRUE)*(F667-Calc!F19))+B678),100)/100)</f>
        <v/>
      </c>
      <c r="O650">
        <f>IF(C650,Skills!G2*N650*B682*IF(Inputs!$B$4="pvp",1,(1-Summary!$B$55)*(1)+Summary!$B$55*(MIN((6+Inputs!$B$32),Inputs!$B$37))),0)</f>
        <v/>
      </c>
      <c r="P650">
        <f>IF(B686=0,0,O650/B686)</f>
        <v/>
      </c>
      <c r="Q650" t="n">
        <v>0</v>
      </c>
      <c r="R650" t="n">
        <v>0</v>
      </c>
      <c r="S650">
        <f>IFERROR(O650/N650,0)</f>
        <v/>
      </c>
      <c r="U650">
        <f>MAX(0,(Inputs!$B$3-100)*3)+Inputs!$B$27+Inputs!$B$28</f>
        <v/>
      </c>
    </row>
    <row r="651">
      <c r="A651">
        <f>Skills!A3</f>
        <v/>
      </c>
      <c r="B651">
        <f>Skills!B3</f>
        <v/>
      </c>
      <c r="C651">
        <f>Inputs!$B$3&gt;=35</f>
        <v/>
      </c>
      <c r="D651">
        <f>IF(Skills!C3=1,60+Inputs!$B$24+Inputs!$B$28,IF(Skills!C3=2,90+Inputs!$B$25+Inputs!$B$28,IF(Skills!C3=3,120+Inputs!$B$26+Inputs!$B$28,MAX(0,(Inputs!$B$3-100)*3)+Inputs!$B$27+Inputs!$B$28)))</f>
        <v/>
      </c>
      <c r="E651">
        <f>INDEX(FactorTable!$B$2:$Y$301, MATCH(ROUND(MIN(300,MAX(1,D651)),0), FactorTable!$A$2:$A$301,0), Skills!M3+1)</f>
        <v/>
      </c>
      <c r="F651">
        <f>IF(Skills!N3=TRUE,(Skills!L3/10)*(E651/1000),Skills!L3/10)+Skills!O3</f>
        <v/>
      </c>
      <c r="G651">
        <f>Skills!G3*IF(Skills!H3&gt;0,Skills!I3/Skills!H3,1)</f>
        <v/>
      </c>
      <c r="H651">
        <f>1-(1-Skills!J3/100)^Skills!K3</f>
        <v/>
      </c>
      <c r="I651" t="inlineStr">
        <is>
          <t>1</t>
        </is>
      </c>
      <c r="J651">
        <f>(Inputs!$B$5*(1+Inputs!$B$6/100))*(F651/100)</f>
        <v/>
      </c>
      <c r="K651">
        <f>J651*(1+((Inputs!$B$11*(1+Inputs!$B$12/100))*0.01+Inputs!$B$13*0.0025)/100)*(1+Inputs!$B$14/100)*(1+IF(Inputs!$B$4="pvp",0,(1-Summary!$B$55)*(Inputs!$B$19+0+Skills!P3)+Summary!$B$55*(Inputs!$B$20+Skills!Q3))/100)*(1+Inputs!$B$15/100)*(5000/(6000+Inputs!$B$7*(1-(Inputs!$B$18+0)/100)))*(1+(Inputs!$B$23+((C674=TRUE)*(F674-Calc!F26))+B684)/100)*(1+4.0*IF(C663=TRUE,F663,0)/100)*(1+(IF(Skills!A3="EIGHT_LEGS_EASTON",Inputs!$B$16+((C671=TRUE)*(F671-Calc!F23))+((C675=TRUE)*(F675-Calc!F27)),(Inputs!$B$17+1)+0))/100)*((1+(((C665=TRUE)*F665)+((C672=TRUE)*(F672-Calc!F24)))/100)*I651)</f>
        <v/>
      </c>
      <c r="L651">
        <f>K651*(MIN(Inputs!$B$21+((C670=TRUE)*(F670-Calc!F22)),Inputs!$B$22+0)/100+(Inputs!$B$22+0)/100)/2</f>
        <v/>
      </c>
      <c r="M651">
        <f>L651*(1+(Inputs!$B$9+((C673=TRUE)*(F673-Calc!F25))+B683)/100)</f>
        <v/>
      </c>
      <c r="N651">
        <f>L651*(1-MIN((Inputs!$B$8+((C667=TRUE)*(F667-Calc!F19))+B678),100)/100)+M651*(MIN((Inputs!$B$8+((C667=TRUE)*(F667-Calc!F19))+B678),100)/100)</f>
        <v/>
      </c>
      <c r="O651">
        <f>IF(C651,H651*N651*IF(AND(Inputs!$B$4&lt;&gt;"pvp",Inputs!$B$35&gt;0),((Skills!G3*((R651-1)*IF(Skills!H3&gt;0,Skills!I3/Skills!H3,1)+IF(Skills!H3&gt;0,MIN(Skills!I3,MAX(0,Inputs!$B$35-((R651-1)*IF(Inputs!$B$4="pvp",15,MAX(0.1,Skills!D3-IF(Skills!E3=TRUE,Inputs!$B$31,0))))))/Skills!H3,1)))/Inputs!$B$35),G651*Q651)*IF(Inputs!$B$4="pvp",1,(1-Summary!$B$55)*(1)+Summary!$B$55*(MIN(Skills!R3,Inputs!$B$37))),0)</f>
        <v/>
      </c>
      <c r="P651">
        <f>IF(B686=0,0,O651/B686)</f>
        <v/>
      </c>
      <c r="Q651">
        <f>IFERROR(1/IF(Inputs!$B$4="pvp",15,MAX(0.1,Skills!D3-IF(Skills!E3=TRUE,Inputs!$B$31,0))),0)</f>
        <v/>
      </c>
      <c r="R651">
        <f>IF(AND(Inputs!$B$4&lt;&gt;"pvp",Inputs!$B$35&gt;0),(INT(Inputs!$B$35/IF(Inputs!$B$4="pvp",15,MAX(0.1,Skills!D3-IF(Skills!E3=TRUE,Inputs!$B$31,0))))+1),0)</f>
        <v/>
      </c>
      <c r="S651">
        <f>IFERROR(O651/N651,0)</f>
        <v/>
      </c>
      <c r="U651">
        <f>INDEX(FactorTable!$B$2:$Y$301, MATCH(ROUND(MIN(300,MAX(1,U650)),0), FactorTable!$A$2:$A$301,0), 22)</f>
        <v/>
      </c>
    </row>
    <row r="652">
      <c r="A652">
        <f>Skills!A4</f>
        <v/>
      </c>
      <c r="B652">
        <f>Skills!B4</f>
        <v/>
      </c>
      <c r="C652">
        <f>Inputs!$B$3&gt;=40</f>
        <v/>
      </c>
      <c r="D652">
        <f>IF(Skills!C4=1,60+Inputs!$B$24+Inputs!$B$28,IF(Skills!C4=2,90+Inputs!$B$25+Inputs!$B$28,IF(Skills!C4=3,120+Inputs!$B$26+Inputs!$B$28,MAX(0,(Inputs!$B$3-100)*3)+Inputs!$B$27+Inputs!$B$28)))</f>
        <v/>
      </c>
      <c r="E652">
        <f>INDEX(FactorTable!$B$2:$Y$301, MATCH(ROUND(MIN(300,MAX(1,D652)),0), FactorTable!$A$2:$A$301,0), Skills!M4+1)</f>
        <v/>
      </c>
      <c r="F652">
        <f>IF(Skills!N4=TRUE,(Skills!L4/10)*(E652/1000),Skills!L4/10)+Skills!O4</f>
        <v/>
      </c>
      <c r="G652">
        <f>Skills!G4*IF(Skills!H4&gt;0,Skills!I4/Skills!H4,1)</f>
        <v/>
      </c>
      <c r="H652">
        <f>1-(1-Skills!J4/100)^Skills!K4</f>
        <v/>
      </c>
      <c r="I652" t="inlineStr">
        <is>
          <t>1</t>
        </is>
      </c>
      <c r="J652">
        <f>(Inputs!$B$5*(1+Inputs!$B$6/100))*(F652/100)</f>
        <v/>
      </c>
      <c r="K652">
        <f>J652*(1+((Inputs!$B$11*(1+Inputs!$B$12/100))*0.01+Inputs!$B$13*0.0025)/100)*(1+Inputs!$B$14/100)*(1+IF(Inputs!$B$4="pvp",0,(1-Summary!$B$55)*(Inputs!$B$19+0+Skills!P4)+Summary!$B$55*(Inputs!$B$20+Skills!Q4))/100)*(1+Inputs!$B$15/100)*(5000/(6000+Inputs!$B$7*(1-(Inputs!$B$18+0)/100)))*(1+(Inputs!$B$23+((C674=TRUE)*(F674-Calc!F26))+B684)/100)*(1+1.0*IF(C664=TRUE,F664,0)/100)*(1+(IF(Skills!A4="EIGHT_LEGS_EASTON",Inputs!$B$16+((C671=TRUE)*(F671-Calc!F23))+((C675=TRUE)*(F675-Calc!F27)),(Inputs!$B$17+1)+0))/100)*((1+(((C665=TRUE)*F665)+((C672=TRUE)*(F672-Calc!F24)))/100)*I652)</f>
        <v/>
      </c>
      <c r="L652">
        <f>K652*(MIN(Inputs!$B$21+((C670=TRUE)*(F670-Calc!F22)),Inputs!$B$22+0)/100+(Inputs!$B$22+0)/100)/2</f>
        <v/>
      </c>
      <c r="M652">
        <f>L652*(1+(Inputs!$B$9+((C673=TRUE)*(F673-Calc!F25))+B683)/100)</f>
        <v/>
      </c>
      <c r="N652">
        <f>L652*(1-MIN((Inputs!$B$8+((C667=TRUE)*(F667-Calc!F19))+B678),100)/100)+M652*(MIN((Inputs!$B$8+((C667=TRUE)*(F667-Calc!F19))+B678),100)/100)</f>
        <v/>
      </c>
      <c r="O652">
        <f>IF(C652,H652*N652*IF(AND(Inputs!$B$4&lt;&gt;"pvp",Inputs!$B$35&gt;0),((Skills!G4*((R652-1)*IF(Skills!H4&gt;0,Skills!I4/Skills!H4,1)+IF(Skills!H4&gt;0,MIN(Skills!I4,MAX(0,Inputs!$B$35-((R652-1)*IF(Inputs!$B$4="pvp",15,MAX(0.1,Skills!D4-IF(Skills!E4=TRUE,Inputs!$B$31,0))))))/Skills!H4,1)))/Inputs!$B$35),G652*Q652)*IF(Inputs!$B$4="pvp",1,(1-Summary!$B$55)*(1)+Summary!$B$55*(MIN(Skills!R4,Inputs!$B$37))),0)</f>
        <v/>
      </c>
      <c r="P652">
        <f>IF(B686=0,0,O652/B686)</f>
        <v/>
      </c>
      <c r="Q652">
        <f>IFERROR(1/IF(Inputs!$B$4="pvp",15,MAX(0.1,Skills!D4-IF(Skills!E4=TRUE,Inputs!$B$31,0))),0)</f>
        <v/>
      </c>
      <c r="R652">
        <f>IF(AND(Inputs!$B$4&lt;&gt;"pvp",Inputs!$B$35&gt;0),(INT(Inputs!$B$35/IF(Inputs!$B$4="pvp",15,MAX(0.1,Skills!D4-IF(Skills!E4=TRUE,Inputs!$B$31,0))))+1),0)</f>
        <v/>
      </c>
      <c r="S652">
        <f>IFERROR(O652/N652,0)</f>
        <v/>
      </c>
      <c r="U652">
        <f>290*U651/1000</f>
        <v/>
      </c>
    </row>
    <row r="653">
      <c r="A653">
        <f>Skills!A5</f>
        <v/>
      </c>
      <c r="B653">
        <f>Skills!B5</f>
        <v/>
      </c>
      <c r="C653">
        <f>Inputs!$B$3&gt;=45</f>
        <v/>
      </c>
      <c r="D653">
        <f>IF(Skills!C5=1,60+Inputs!$B$24+Inputs!$B$28,IF(Skills!C5=2,90+Inputs!$B$25+Inputs!$B$28,IF(Skills!C5=3,120+Inputs!$B$26+Inputs!$B$28,MAX(0,(Inputs!$B$3-100)*3)+Inputs!$B$27+Inputs!$B$28)))</f>
        <v/>
      </c>
      <c r="E653">
        <f>INDEX(FactorTable!$B$2:$Y$301, MATCH(ROUND(MIN(300,MAX(1,D653)),0), FactorTable!$A$2:$A$301,0), Skills!M5+1)</f>
        <v/>
      </c>
      <c r="F653">
        <f>IF(Skills!N5=TRUE,(Skills!L5/10)*(E653/1000),Skills!L5/10)+Skills!O5</f>
        <v/>
      </c>
      <c r="G653">
        <f>Skills!G5*IF(Skills!H5&gt;0,Skills!I5/Skills!H5,1)</f>
        <v/>
      </c>
      <c r="H653">
        <f>1-(1-Skills!J5/100)^Skills!K5</f>
        <v/>
      </c>
      <c r="I653" t="inlineStr">
        <is>
          <t>1</t>
        </is>
      </c>
      <c r="J653">
        <f>(Inputs!$B$5*(1+Inputs!$B$6/100))*(F653/100)</f>
        <v/>
      </c>
      <c r="K653">
        <f>J653*(1+((Inputs!$B$11*(1+Inputs!$B$12/100))*0.01+Inputs!$B$13*0.0025)/100)*(1+Inputs!$B$14/100)*(1+IF(Inputs!$B$4="pvp",0,(1-Summary!$B$55)*(Inputs!$B$19+0+Skills!P5)+Summary!$B$55*(Inputs!$B$20+Skills!Q5))/100)*(1+Inputs!$B$15/100)*(5000/(6000+Inputs!$B$7*(1-(Inputs!$B$18+0)/100)))*(1+(Inputs!$B$23+((C674=TRUE)*(F674-Calc!F26))+B684)/100)*(1+0.4*IF(C664=TRUE,F664,0)/100)*(1+(IF(Skills!A5="EIGHT_LEGS_EASTON",Inputs!$B$16+((C671=TRUE)*(F671-Calc!F23))+((C675=TRUE)*(F675-Calc!F27)),(Inputs!$B$17+1)+0))/100)*((1+(((C665=TRUE)*F665)+((C672=TRUE)*(F672-Calc!F24)))/100)*I653)</f>
        <v/>
      </c>
      <c r="L653">
        <f>K653*(MIN(Inputs!$B$21+((C670=TRUE)*(F670-Calc!F22)),Inputs!$B$22+0)/100+(Inputs!$B$22+0)/100)/2</f>
        <v/>
      </c>
      <c r="M653">
        <f>L653*(1+(Inputs!$B$9+((C673=TRUE)*(F673-Calc!F25))+B683)/100)</f>
        <v/>
      </c>
      <c r="N653">
        <f>L653*(1-MIN((Inputs!$B$8+((C667=TRUE)*(F667-Calc!F19))+B678),100)/100)+M653*(MIN((Inputs!$B$8+((C667=TRUE)*(F667-Calc!F19))+B678),100)/100)</f>
        <v/>
      </c>
      <c r="O653">
        <f>IF(C653,H653*N653*IF(AND(Inputs!$B$4&lt;&gt;"pvp",Inputs!$B$35&gt;0),((Skills!G5*((R653-1)*IF(Skills!H5&gt;0,Skills!I5/Skills!H5,1)+IF(Skills!H5&gt;0,MIN(Skills!I5,MAX(0,Inputs!$B$35-((R653-1)*IF(Inputs!$B$4="pvp",15,MAX(0.1,Skills!D5-IF(Skills!E5=TRUE,Inputs!$B$31,0))))))/Skills!H5,1)))/Inputs!$B$35),G653*Q653)*IF(Inputs!$B$4="pvp",1,(1-Summary!$B$55)*(1)+Summary!$B$55*(MIN(Skills!R5,Inputs!$B$37))),0)</f>
        <v/>
      </c>
      <c r="P653">
        <f>IF(B686=0,0,O653/B686)</f>
        <v/>
      </c>
      <c r="Q653">
        <f>IFERROR(1/IF(Inputs!$B$4="pvp",15,MAX(0.1,Skills!D5-IF(Skills!E5=TRUE,Inputs!$B$31,0))),0)</f>
        <v/>
      </c>
      <c r="R653">
        <f>IF(AND(Inputs!$B$4&lt;&gt;"pvp",Inputs!$B$35&gt;0),(INT(Inputs!$B$35/IF(Inputs!$B$4="pvp",15,MAX(0.1,Skills!D5-IF(Skills!E5=TRUE,Inputs!$B$31,0))))+1),0)</f>
        <v/>
      </c>
      <c r="S653">
        <f>IFERROR(O653/N653,0)</f>
        <v/>
      </c>
    </row>
    <row r="654">
      <c r="A654">
        <f>Skills!A6</f>
        <v/>
      </c>
      <c r="B654">
        <f>Skills!B6</f>
        <v/>
      </c>
      <c r="C654">
        <f>Inputs!$B$3&gt;=63</f>
        <v/>
      </c>
      <c r="D654">
        <f>IF(Skills!C6=1,60+Inputs!$B$24+Inputs!$B$28,IF(Skills!C6=2,90+Inputs!$B$25+Inputs!$B$28,IF(Skills!C6=3,120+Inputs!$B$26+Inputs!$B$28,MAX(0,(Inputs!$B$3-100)*3)+Inputs!$B$27+Inputs!$B$28)))</f>
        <v/>
      </c>
      <c r="E654">
        <f>INDEX(FactorTable!$B$2:$Y$301, MATCH(ROUND(MIN(300,MAX(1,D654)),0), FactorTable!$A$2:$A$301,0), Skills!M6+1)</f>
        <v/>
      </c>
      <c r="F654">
        <f>IF(Skills!N6=TRUE,(Skills!L6/10)*(E654/1000),Skills!L6/10)+Skills!O6</f>
        <v/>
      </c>
      <c r="G654">
        <f>Skills!G6*IF(Skills!H6&gt;0,Skills!I6/Skills!H6,1)</f>
        <v/>
      </c>
      <c r="H654">
        <f>1-(1-Skills!J6/100)^Skills!K6</f>
        <v/>
      </c>
      <c r="I654" t="inlineStr">
        <is>
          <t>1</t>
        </is>
      </c>
      <c r="J654">
        <f>(Inputs!$B$5*(1+Inputs!$B$6/100))*(F654/100)</f>
        <v/>
      </c>
      <c r="K654">
        <f>J654*(1+((Inputs!$B$11*(1+Inputs!$B$12/100))*0.01+Inputs!$B$13*0.0025)/100)*(1+Inputs!$B$14/100)*(1+IF(Inputs!$B$4="pvp",0,(1-Summary!$B$55)*(Inputs!$B$19+0+Skills!P6)+Summary!$B$55*(Inputs!$B$20+Skills!Q6))/100)*(1+Inputs!$B$15/100)*(5000/(6000+Inputs!$B$7*(1-(Inputs!$B$18+0)/100)))*(1+(Inputs!$B$23+((C674=TRUE)*(F674-Calc!F26))+B684)/100)*(1+2.0*IF(C663=TRUE,F663,0)/100)*(1+(IF(Skills!A6="EIGHT_LEGS_EASTON",Inputs!$B$16+((C671=TRUE)*(F671-Calc!F23))+((C675=TRUE)*(F675-Calc!F27)),(Inputs!$B$17+1)+0))/100)*((1+(((C665=TRUE)*F665)+((C672=TRUE)*(F672-Calc!F24)))/100)*I654)</f>
        <v/>
      </c>
      <c r="L654">
        <f>K654*(MIN(Inputs!$B$21+((C670=TRUE)*(F670-Calc!F22)),Inputs!$B$22+0)/100+(Inputs!$B$22+0)/100)/2</f>
        <v/>
      </c>
      <c r="M654">
        <f>L654*(1+(Inputs!$B$9+((C673=TRUE)*(F673-Calc!F25))+B683)/100)</f>
        <v/>
      </c>
      <c r="N654">
        <f>L654*(1-MIN((Inputs!$B$8+((C667=TRUE)*(F667-Calc!F19))+B678),100)/100)+M654*(MIN((Inputs!$B$8+((C667=TRUE)*(F667-Calc!F19))+B678),100)/100)</f>
        <v/>
      </c>
      <c r="O654">
        <f>IF(C654,H654*N654*IF(AND(Inputs!$B$4&lt;&gt;"pvp",Inputs!$B$35&gt;0),((Skills!G6*((R654-1)*IF(Skills!H6&gt;0,Skills!I6/Skills!H6,1)+IF(Skills!H6&gt;0,MIN(Skills!I6,MAX(0,Inputs!$B$35-((R654-1)*IF(Inputs!$B$4="pvp",15,MAX(0.1,Skills!D6-IF(Skills!E6=TRUE,Inputs!$B$31,0))))))/Skills!H6,1)))/Inputs!$B$35),G654*Q654)*IF(Inputs!$B$4="pvp",1,(1-Summary!$B$55)*(1)+Summary!$B$55*(MIN(Skills!R6,Inputs!$B$37))),0)</f>
        <v/>
      </c>
      <c r="P654">
        <f>IF(B686=0,0,O654/B686)</f>
        <v/>
      </c>
      <c r="Q654">
        <f>IFERROR(1/IF(Inputs!$B$4="pvp",15,MAX(0.1,Skills!D6-IF(Skills!E6=TRUE,Inputs!$B$31,0))),0)</f>
        <v/>
      </c>
      <c r="R654">
        <f>IF(AND(Inputs!$B$4&lt;&gt;"pvp",Inputs!$B$35&gt;0),(INT(Inputs!$B$35/IF(Inputs!$B$4="pvp",15,MAX(0.1,Skills!D6-IF(Skills!E6=TRUE,Inputs!$B$31,0))))+1),0)</f>
        <v/>
      </c>
      <c r="S654">
        <f>IFERROR(O654/N654,0)</f>
        <v/>
      </c>
    </row>
    <row r="655">
      <c r="A655">
        <f>Skills!A7</f>
        <v/>
      </c>
      <c r="B655">
        <f>Skills!B7</f>
        <v/>
      </c>
      <c r="C655">
        <f>Inputs!$B$3&gt;=66</f>
        <v/>
      </c>
      <c r="D655">
        <f>IF(Skills!C7=1,60+Inputs!$B$24+Inputs!$B$28,IF(Skills!C7=2,90+Inputs!$B$25+Inputs!$B$28,IF(Skills!C7=3,120+Inputs!$B$26+Inputs!$B$28,MAX(0,(Inputs!$B$3-100)*3)+Inputs!$B$27+Inputs!$B$28)))</f>
        <v/>
      </c>
      <c r="E655">
        <f>INDEX(FactorTable!$B$2:$Y$301, MATCH(ROUND(MIN(300,MAX(1,D655)),0), FactorTable!$A$2:$A$301,0), Skills!M7+1)</f>
        <v/>
      </c>
      <c r="F655">
        <f>IF(Skills!N7=TRUE,(Skills!L7/10)*(E655/1000),Skills!L7/10)+Skills!O7</f>
        <v/>
      </c>
      <c r="G655">
        <f>Skills!G7*IF(Skills!H7&gt;0,Skills!I7/Skills!H7,1)</f>
        <v/>
      </c>
      <c r="H655">
        <f>1-(1-Skills!J7/100)^Skills!K7</f>
        <v/>
      </c>
      <c r="I655" t="inlineStr">
        <is>
          <t>1</t>
        </is>
      </c>
      <c r="J655">
        <f>(Inputs!$B$5*(1+Inputs!$B$6/100))*(F655/100)</f>
        <v/>
      </c>
      <c r="K655">
        <f>J655*(1+((Inputs!$B$11*(1+Inputs!$B$12/100))*0.01+Inputs!$B$13*0.0025)/100)*(1+Inputs!$B$14/100)*(1+IF(Inputs!$B$4="pvp",0,(1-Summary!$B$55)*(Inputs!$B$19+0+Skills!P7)+Summary!$B$55*(Inputs!$B$20+Skills!Q7))/100)*(1+Inputs!$B$15/100)*(5000/(6000+Inputs!$B$7*(1-(Inputs!$B$18+0)/100)))*(1+(Inputs!$B$23+((C674=TRUE)*(F674-Calc!F26))+B684)/100)*(1+1.0*IF(C663=TRUE,F663,0)/100)*(1+(IF(Skills!A7="EIGHT_LEGS_EASTON",Inputs!$B$16+((C671=TRUE)*(F671-Calc!F23))+((C675=TRUE)*(F675-Calc!F27)),(Inputs!$B$17+1)+0))/100)*((1+(((C665=TRUE)*F665)+((C672=TRUE)*(F672-Calc!F24)))/100)*I655)</f>
        <v/>
      </c>
      <c r="L655">
        <f>K655*(MIN(Inputs!$B$21+((C670=TRUE)*(F670-Calc!F22)),Inputs!$B$22+0)/100+(Inputs!$B$22+0)/100)/2</f>
        <v/>
      </c>
      <c r="M655">
        <f>L655*(1+(Inputs!$B$9+((C673=TRUE)*(F673-Calc!F25))+B683)/100)</f>
        <v/>
      </c>
      <c r="N655">
        <f>L655*(1-MIN((Inputs!$B$8+((C667=TRUE)*(F667-Calc!F19))+B678),100)/100)+M655*(MIN((Inputs!$B$8+((C667=TRUE)*(F667-Calc!F19))+B678),100)/100)</f>
        <v/>
      </c>
      <c r="O655">
        <f>IF(C655,H655*N655*IF(AND(Inputs!$B$4&lt;&gt;"pvp",Inputs!$B$35&gt;0),((Skills!G7*((R655-1)*IF(Skills!H7&gt;0,Skills!I7/Skills!H7,1)+IF(Skills!H7&gt;0,MIN(Skills!I7,MAX(0,Inputs!$B$35-((R655-1)*IF(Inputs!$B$4="pvp",15,MAX(0.1,Skills!D7-IF(Skills!E7=TRUE,Inputs!$B$31,0))))))/Skills!H7,1)))/Inputs!$B$35),G655*Q655)*IF(Inputs!$B$4="pvp",1,(1-Summary!$B$55)*(1)+Summary!$B$55*(MIN(Skills!R7,Inputs!$B$37))),0)</f>
        <v/>
      </c>
      <c r="P655">
        <f>IF(B686=0,0,O655/B686)</f>
        <v/>
      </c>
      <c r="Q655">
        <f>IFERROR(1/IF(Inputs!$B$4="pvp",15,MAX(0.1,Skills!D7-IF(Skills!E7=TRUE,Inputs!$B$31,0))),0)</f>
        <v/>
      </c>
      <c r="R655">
        <f>IF(AND(Inputs!$B$4&lt;&gt;"pvp",Inputs!$B$35&gt;0),(INT(Inputs!$B$35/IF(Inputs!$B$4="pvp",15,MAX(0.1,Skills!D7-IF(Skills!E7=TRUE,Inputs!$B$31,0))))+1),0)</f>
        <v/>
      </c>
      <c r="S655">
        <f>IFERROR(O655/N655,0)</f>
        <v/>
      </c>
    </row>
    <row r="656">
      <c r="A656">
        <f>Skills!A8</f>
        <v/>
      </c>
      <c r="B656">
        <f>Skills!B8</f>
        <v/>
      </c>
      <c r="C656">
        <f>Inputs!$B$3&gt;=100</f>
        <v/>
      </c>
      <c r="D656">
        <f>IF(Skills!C8=1,60+Inputs!$B$24+Inputs!$B$28,IF(Skills!C8=2,90+Inputs!$B$25+Inputs!$B$28,IF(Skills!C8=3,120+Inputs!$B$26+Inputs!$B$28,MAX(0,(Inputs!$B$3-100)*3)+Inputs!$B$27+Inputs!$B$28)))</f>
        <v/>
      </c>
      <c r="E656">
        <f>INDEX(FactorTable!$B$2:$Y$301, MATCH(ROUND(MIN(300,MAX(1,D656)),0), FactorTable!$A$2:$A$301,0), Skills!M8+1)</f>
        <v/>
      </c>
      <c r="F656">
        <f>IF(Skills!N8=TRUE,(Skills!L8/10)*(E656/1000),Skills!L8/10)+Skills!O8</f>
        <v/>
      </c>
      <c r="G656">
        <f>Skills!G8*IF(Skills!H8&gt;0,Skills!I8/Skills!H8,1)</f>
        <v/>
      </c>
      <c r="H656">
        <f>1-(1-Skills!J8/100)^Skills!K8</f>
        <v/>
      </c>
      <c r="I656" t="inlineStr">
        <is>
          <t>1</t>
        </is>
      </c>
      <c r="J656">
        <f>(Inputs!$B$5*(1+Inputs!$B$6/100))*(F656/100)</f>
        <v/>
      </c>
      <c r="K656">
        <f>J656*(1+((Inputs!$B$11*(1+Inputs!$B$12/100))*0.01+Inputs!$B$13*0.0025)/100)*(1+Inputs!$B$14/100)*(1+IF(Inputs!$B$4="pvp",0,(1-Summary!$B$55)*(Inputs!$B$19+0+Skills!P8)+Summary!$B$55*(Inputs!$B$20+Skills!Q8))/100)*(1+Inputs!$B$15/100)*(5000/(6000+Inputs!$B$7*(1-(Inputs!$B$18+0)/100)))*(1+(Inputs!$B$23+((C674=TRUE)*(F674-Calc!F26))+B684)/100)*(1+(IF(Skills!A8="EIGHT_LEGS_EASTON",Inputs!$B$16+((C671=TRUE)*(F671-Calc!F23))+((C675=TRUE)*(F675-Calc!F27)),(Inputs!$B$17+1)+0))/100)*((1+(((C665=TRUE)*F665)+((C672=TRUE)*(F672-Calc!F24)))/100)*I656)</f>
        <v/>
      </c>
      <c r="L656">
        <f>K656*(MIN(Inputs!$B$21+((C670=TRUE)*(F670-Calc!F22)),Inputs!$B$22+0)/100+(Inputs!$B$22+0)/100)/2</f>
        <v/>
      </c>
      <c r="M656">
        <f>L656*(1+(Inputs!$B$9+((C673=TRUE)*(F673-Calc!F25))+B683)/100)</f>
        <v/>
      </c>
      <c r="N656">
        <f>L656*(1-MIN((Inputs!$B$8+((C667=TRUE)*(F667-Calc!F19))+B678),100)/100)+M656*(MIN((Inputs!$B$8+((C667=TRUE)*(F667-Calc!F19))+B678),100)/100)</f>
        <v/>
      </c>
      <c r="O656">
        <f>IF(C656,H656*N656*IF(AND(Inputs!$B$4&lt;&gt;"pvp",Inputs!$B$35&gt;0),((Skills!G8*((R656-1)*IF(Skills!H8&gt;0,Skills!I8/Skills!H8,1)+IF(Skills!H8&gt;0,MIN(Skills!I8,MAX(0,Inputs!$B$35-((R656-1)*IF(Inputs!$B$4="pvp",15,MAX(0.1,Skills!D8-IF(Skills!E8=TRUE,Inputs!$B$31,0))))))/Skills!H8,1)))/Inputs!$B$35),G656*Q656)*IF(Inputs!$B$4="pvp",1,(1-Summary!$B$55)*(1)+Summary!$B$55*(MIN(Skills!R8,Inputs!$B$37))),0)</f>
        <v/>
      </c>
      <c r="P656">
        <f>IF(B686=0,0,O656/B686)</f>
        <v/>
      </c>
      <c r="Q656">
        <f>IFERROR(1/IF(Inputs!$B$4="pvp",15,MAX(0.1,Skills!D8-IF(Skills!E8=TRUE,Inputs!$B$31,0))),0)</f>
        <v/>
      </c>
      <c r="R656">
        <f>IF(AND(Inputs!$B$4&lt;&gt;"pvp",Inputs!$B$35&gt;0),(INT(Inputs!$B$35/IF(Inputs!$B$4="pvp",15,MAX(0.1,Skills!D8-IF(Skills!E8=TRUE,Inputs!$B$31,0))))+1),0)</f>
        <v/>
      </c>
      <c r="S656">
        <f>IFERROR(O656/N656,0)</f>
        <v/>
      </c>
    </row>
    <row r="657">
      <c r="A657">
        <f>Skills!A9</f>
        <v/>
      </c>
      <c r="B657">
        <f>Skills!B9</f>
        <v/>
      </c>
      <c r="C657">
        <f>Inputs!$B$3&gt;=103</f>
        <v/>
      </c>
      <c r="D657">
        <f>IF(Skills!C9=1,60+Inputs!$B$24+Inputs!$B$28,IF(Skills!C9=2,90+Inputs!$B$25+Inputs!$B$28,IF(Skills!C9=3,120+Inputs!$B$26+Inputs!$B$28,MAX(0,(Inputs!$B$3-100)*3)+Inputs!$B$27+Inputs!$B$28)))</f>
        <v/>
      </c>
      <c r="E657">
        <f>INDEX(FactorTable!$B$2:$Y$301, MATCH(ROUND(MIN(300,MAX(1,D657)),0), FactorTable!$A$2:$A$301,0), Skills!M9+1)</f>
        <v/>
      </c>
      <c r="F657">
        <f>IF(Skills!N9=TRUE,(Skills!L9/10)*(E657/1000),Skills!L9/10)+Skills!O9</f>
        <v/>
      </c>
      <c r="G657">
        <f>Skills!G9*IF(Skills!H9&gt;0,Skills!I9/Skills!H9,1)</f>
        <v/>
      </c>
      <c r="H657">
        <f>1-(1-Skills!J9/100)^Skills!K9</f>
        <v/>
      </c>
      <c r="I657" t="inlineStr">
        <is>
          <t>1</t>
        </is>
      </c>
      <c r="J657">
        <f>(Inputs!$B$5*(1+Inputs!$B$6/100))*(F657/100)</f>
        <v/>
      </c>
      <c r="K657">
        <f>J657*(1+((Inputs!$B$11*(1+Inputs!$B$12/100))*0.01+Inputs!$B$13*0.0025)/100)*(1+Inputs!$B$14/100)*(1+IF(Inputs!$B$4="pvp",0,(1-Summary!$B$55)*(Inputs!$B$19+0+Skills!P9)+Summary!$B$55*(Inputs!$B$20+Skills!Q9))/100)*(1+Inputs!$B$15/100)*(5000/(6000+Inputs!$B$7*(1-(Inputs!$B$18+0)/100)))*(1+(Inputs!$B$23+((C674=TRUE)*(F674-Calc!F26))+B684)/100)*(1+(IF(Skills!A9="EIGHT_LEGS_EASTON",Inputs!$B$16+((C671=TRUE)*(F671-Calc!F23))+((C675=TRUE)*(F675-Calc!F27)),(Inputs!$B$17+1)+0))/100)*((1+(((C665=TRUE)*F665)+((C672=TRUE)*(F672-Calc!F24)))/100)*I657)</f>
        <v/>
      </c>
      <c r="L657">
        <f>K657*(MIN(Inputs!$B$21+((C670=TRUE)*(F670-Calc!F22)),Inputs!$B$22+0)/100+(Inputs!$B$22+0)/100)/2</f>
        <v/>
      </c>
      <c r="M657">
        <f>L657*(1+(Inputs!$B$9+((C673=TRUE)*(F673-Calc!F25))+B683)/100)</f>
        <v/>
      </c>
      <c r="N657">
        <f>L657*(1-MIN((Inputs!$B$8+((C667=TRUE)*(F667-Calc!F19))+B678),100)/100)+M657*(MIN((Inputs!$B$8+((C667=TRUE)*(F667-Calc!F19))+B678),100)/100)</f>
        <v/>
      </c>
      <c r="O657">
        <f>IF(C657,H657*N657*IF(AND(Inputs!$B$4&lt;&gt;"pvp",Inputs!$B$35&gt;0),((Skills!G9*((R657-1)*IF(Skills!H9&gt;0,Skills!I9/Skills!H9,1)+IF(Skills!H9&gt;0,MIN(Skills!I9,MAX(0,Inputs!$B$35-((R657-1)*IF(Inputs!$B$4="pvp",15,MAX(0.1,Skills!D9-IF(Skills!E9=TRUE,Inputs!$B$31,0))))))/Skills!H9,1)))/Inputs!$B$35),G657*Q657)*IF(Inputs!$B$4="pvp",1,(1-Summary!$B$55)*(1)+Summary!$B$55*(MIN(Skills!R9,Inputs!$B$37))),0)</f>
        <v/>
      </c>
      <c r="P657">
        <f>IF(B686=0,0,O657/B686)</f>
        <v/>
      </c>
      <c r="Q657">
        <f>IFERROR(1/IF(Inputs!$B$4="pvp",15,MAX(0.1,Skills!D9-IF(Skills!E9=TRUE,Inputs!$B$31,0))),0)</f>
        <v/>
      </c>
      <c r="R657">
        <f>IF(AND(Inputs!$B$4&lt;&gt;"pvp",Inputs!$B$35&gt;0),(INT(Inputs!$B$35/IF(Inputs!$B$4="pvp",15,MAX(0.1,Skills!D9-IF(Skills!E9=TRUE,Inputs!$B$31,0))))+1),0)</f>
        <v/>
      </c>
      <c r="S657">
        <f>IFERROR(O657/N657,0)</f>
        <v/>
      </c>
    </row>
    <row r="658">
      <c r="A658">
        <f>Skills!A10</f>
        <v/>
      </c>
      <c r="B658">
        <f>Skills!B10</f>
        <v/>
      </c>
      <c r="C658">
        <f>Inputs!$B$3&gt;=113</f>
        <v/>
      </c>
      <c r="D658">
        <f>IF(Skills!C10=1,60+Inputs!$B$24+Inputs!$B$28,IF(Skills!C10=2,90+Inputs!$B$25+Inputs!$B$28,IF(Skills!C10=3,120+Inputs!$B$26+Inputs!$B$28,MAX(0,(Inputs!$B$3-100)*3)+Inputs!$B$27+Inputs!$B$28)))</f>
        <v/>
      </c>
      <c r="E658">
        <f>INDEX(FactorTable!$B$2:$Y$301, MATCH(ROUND(MIN(300,MAX(1,D658)),0), FactorTable!$A$2:$A$301,0), Skills!M10+1)</f>
        <v/>
      </c>
      <c r="F658">
        <f>IF(Skills!N10=TRUE,(Skills!L10/10)*(E658/1000),Skills!L10/10)+Skills!O10</f>
        <v/>
      </c>
      <c r="G658">
        <f>Skills!G10*IF(Skills!H10&gt;0,Skills!I10/Skills!H10,1)</f>
        <v/>
      </c>
      <c r="H658">
        <f>1-(1-Skills!J10/100)^Skills!K10</f>
        <v/>
      </c>
      <c r="I658" t="inlineStr">
        <is>
          <t>1</t>
        </is>
      </c>
      <c r="J658">
        <f>(Inputs!$B$5*(1+Inputs!$B$6/100))*(F658/100)</f>
        <v/>
      </c>
      <c r="K658">
        <f>J658*(1+((Inputs!$B$11*(1+Inputs!$B$12/100))*0.01+Inputs!$B$13*0.0025)/100)*(1+Inputs!$B$14/100)*(1+IF(Inputs!$B$4="pvp",0,(1-Summary!$B$55)*(Inputs!$B$19+0+Skills!P10)+Summary!$B$55*(Inputs!$B$20+Skills!Q10))/100)*(1+Inputs!$B$15/100)*(5000/(6000+Inputs!$B$7*(1-(Inputs!$B$18+0)/100)))*(1+(Inputs!$B$23+((C674=TRUE)*(F674-Calc!F26))+B684)/100)*(1+(IF(Skills!A10="EIGHT_LEGS_EASTON",Inputs!$B$16+((C671=TRUE)*(F671-Calc!F23))+((C675=TRUE)*(F675-Calc!F27)),(Inputs!$B$17+1)+0))/100)*((1+(((C665=TRUE)*F665)+((C672=TRUE)*(F672-Calc!F24)))/100)*I658)</f>
        <v/>
      </c>
      <c r="L658">
        <f>K658*(MIN(Inputs!$B$21+((C670=TRUE)*(F670-Calc!F22)),Inputs!$B$22+0)/100+(Inputs!$B$22+0)/100)/2</f>
        <v/>
      </c>
      <c r="M658">
        <f>L658*(1+(Inputs!$B$9+((C673=TRUE)*(F673-Calc!F25))+B683)/100)</f>
        <v/>
      </c>
      <c r="N658">
        <f>L658*(1-MIN((Inputs!$B$8+((C667=TRUE)*(F667-Calc!F19))+B678),100)/100)+M658*(MIN((Inputs!$B$8+((C667=TRUE)*(F667-Calc!F19))+B678),100)/100)</f>
        <v/>
      </c>
      <c r="O658">
        <f>IF(C658,H658*N658*IF(AND(Inputs!$B$4&lt;&gt;"pvp",Inputs!$B$35&gt;0),((Skills!G10*((R658-1)*IF(Skills!H10&gt;0,Skills!I10/Skills!H10,1)+IF(Skills!H10&gt;0,MIN(Skills!I10,MAX(0,Inputs!$B$35-((R658-1)*IF(Inputs!$B$4="pvp",15,MAX(0.1,Skills!D10-IF(Skills!E10=TRUE,Inputs!$B$31,0))))))/Skills!H10,1)))/Inputs!$B$35),G658*Q658)*IF(Inputs!$B$4="pvp",1,(1-Summary!$B$55)*(1)+Summary!$B$55*(MIN(Skills!R10,Inputs!$B$37))),0)</f>
        <v/>
      </c>
      <c r="P658">
        <f>IF(B686=0,0,O658/B686)</f>
        <v/>
      </c>
      <c r="Q658">
        <f>IFERROR(1/IF(Inputs!$B$4="pvp",15,MAX(0.1,Skills!D10-IF(Skills!E10=TRUE,Inputs!$B$31,0))),0)</f>
        <v/>
      </c>
      <c r="R658">
        <f>IF(AND(Inputs!$B$4&lt;&gt;"pvp",Inputs!$B$35&gt;0),(INT(Inputs!$B$35/IF(Inputs!$B$4="pvp",15,MAX(0.1,Skills!D10-IF(Skills!E10=TRUE,Inputs!$B$31,0))))+1),0)</f>
        <v/>
      </c>
      <c r="S658">
        <f>IFERROR(O658/N658,0)</f>
        <v/>
      </c>
    </row>
    <row r="659">
      <c r="A659">
        <f>Skills!A11</f>
        <v/>
      </c>
      <c r="B659">
        <f>Skills!B11</f>
        <v/>
      </c>
      <c r="C659">
        <f>Inputs!$B$3&gt;=107</f>
        <v/>
      </c>
      <c r="D659">
        <f>IF(Skills!C11=1,60+Inputs!$B$24+Inputs!$B$28,IF(Skills!C11=2,90+Inputs!$B$25+Inputs!$B$28,IF(Skills!C11=3,120+Inputs!$B$26+Inputs!$B$28,MAX(0,(Inputs!$B$3-100)*3)+Inputs!$B$27+Inputs!$B$28)))</f>
        <v/>
      </c>
      <c r="E659">
        <f>INDEX(FactorTable!$B$2:$Y$301, MATCH(ROUND(MIN(300,MAX(1,D659)),0), FactorTable!$A$2:$A$301,0), Skills!M11+1)</f>
        <v/>
      </c>
      <c r="F659">
        <f>IF(Skills!N11=TRUE,(Skills!L11/10)*(E659/1000),Skills!L11/10)+Skills!O11</f>
        <v/>
      </c>
      <c r="G659">
        <f>Skills!G11*IF(Skills!H11&gt;0,Skills!I11/Skills!H11,1)</f>
        <v/>
      </c>
      <c r="H659">
        <f>1-(1-Skills!J11/100)^Skills!K11</f>
        <v/>
      </c>
      <c r="I659" t="inlineStr">
        <is>
          <t>1</t>
        </is>
      </c>
      <c r="J659">
        <f>(Inputs!$B$5*(1+Inputs!$B$6/100))*(F659/100)</f>
        <v/>
      </c>
      <c r="K659">
        <f>J659*(1+((Inputs!$B$11*(1+Inputs!$B$12/100))*0.01+Inputs!$B$13*0.0025)/100)*(1+Inputs!$B$14/100)*(1+IF(Inputs!$B$4="pvp",0,(1-Summary!$B$55)*(Inputs!$B$19+0+Skills!P11)+Summary!$B$55*(Inputs!$B$20+Skills!Q11))/100)*(1+Inputs!$B$15/100)*(5000/(6000+Inputs!$B$7*(1-(Inputs!$B$18+0)/100)))*(1+(Inputs!$B$23+((C674=TRUE)*(F674-Calc!F26))+B684)/100)*(1+(IF(Skills!A11="EIGHT_LEGS_EASTON",Inputs!$B$16+((C671=TRUE)*(F671-Calc!F23))+((C675=TRUE)*(F675-Calc!F27)),(Inputs!$B$17+1)+0))/100)*((1+(((C665=TRUE)*F665)+((C672=TRUE)*(F672-Calc!F24)))/100)*I659)</f>
        <v/>
      </c>
      <c r="L659">
        <f>K659*(MIN(Inputs!$B$21+((C670=TRUE)*(F670-Calc!F22)),Inputs!$B$22+0)/100+(Inputs!$B$22+0)/100)/2</f>
        <v/>
      </c>
      <c r="M659">
        <f>L659*(1+(Inputs!$B$9+((C673=TRUE)*(F673-Calc!F25))+B683)/100)</f>
        <v/>
      </c>
      <c r="N659">
        <f>L659*(1-MIN((Inputs!$B$8+((C667=TRUE)*(F667-Calc!F19))+B678),100)/100)+M659*(MIN((Inputs!$B$8+((C667=TRUE)*(F667-Calc!F19))+B678),100)/100)</f>
        <v/>
      </c>
      <c r="O659">
        <f>IF(C659,H659*N659*IF(AND(Inputs!$B$4&lt;&gt;"pvp",Inputs!$B$35&gt;0),((Skills!G11*((R659-1)*IF(Skills!H11&gt;0,Skills!I11/Skills!H11,1)+IF(Skills!H11&gt;0,MIN(Skills!I11,MAX(0,Inputs!$B$35-((R659-1)*IF(Inputs!$B$4="pvp",15,MAX(0.1,Skills!D11-IF(Skills!E11=TRUE,Inputs!$B$31,0))))))/Skills!H11,1)))/Inputs!$B$35),G659*Q659)*IF(Inputs!$B$4="pvp",1,(1-Summary!$B$55)*(1)+Summary!$B$55*(MIN(Skills!R11,Inputs!$B$37))),0)</f>
        <v/>
      </c>
      <c r="P659">
        <f>IF(B686=0,0,O659/B686)</f>
        <v/>
      </c>
      <c r="Q659">
        <f>IFERROR(1/IF(Inputs!$B$4="pvp",15,MAX(0.1,Skills!D11-IF(Skills!E11=TRUE,Inputs!$B$31,0))),0)</f>
        <v/>
      </c>
      <c r="R659">
        <f>IF(AND(Inputs!$B$4&lt;&gt;"pvp",Inputs!$B$35&gt;0),(INT(Inputs!$B$35/IF(Inputs!$B$4="pvp",15,MAX(0.1,Skills!D11-IF(Skills!E11=TRUE,Inputs!$B$31,0))))+1),0)</f>
        <v/>
      </c>
      <c r="S659">
        <f>IFERROR(O659/N659,0)</f>
        <v/>
      </c>
    </row>
    <row r="660">
      <c r="A660">
        <f>Skills!A12</f>
        <v/>
      </c>
      <c r="B660">
        <f>Skills!B12</f>
        <v/>
      </c>
      <c r="C660">
        <f>Inputs!$B$3&gt;=110</f>
        <v/>
      </c>
      <c r="D660">
        <f>IF(Skills!C12=1,60+Inputs!$B$24+Inputs!$B$28,IF(Skills!C12=2,90+Inputs!$B$25+Inputs!$B$28,IF(Skills!C12=3,120+Inputs!$B$26+Inputs!$B$28,MAX(0,(Inputs!$B$3-100)*3)+Inputs!$B$27+Inputs!$B$28)))</f>
        <v/>
      </c>
      <c r="E660">
        <f>INDEX(FactorTable!$B$2:$Y$301, MATCH(ROUND(MIN(300,MAX(1,D660)),0), FactorTable!$A$2:$A$301,0), Skills!M12+1)</f>
        <v/>
      </c>
      <c r="F660">
        <f>IF(Skills!N12=TRUE,(Skills!L12/10)*(E660/1000),Skills!L12/10)+Skills!O12</f>
        <v/>
      </c>
      <c r="G660">
        <f>Skills!G12*IF(Skills!H12&gt;0,Skills!I12/Skills!H12,1)</f>
        <v/>
      </c>
      <c r="H660">
        <f>1-(1-Skills!J12/100)^Skills!K12</f>
        <v/>
      </c>
      <c r="I660" t="inlineStr">
        <is>
          <t>1</t>
        </is>
      </c>
      <c r="J660">
        <f>(Inputs!$B$5*(1+Inputs!$B$6/100))*(F660/100)</f>
        <v/>
      </c>
      <c r="K660">
        <f>J660*(1+((Inputs!$B$11*(1+Inputs!$B$12/100))*0.01+Inputs!$B$13*0.0025)/100)*(1+Inputs!$B$14/100)*(1+IF(Inputs!$B$4="pvp",0,(1-Summary!$B$55)*(Inputs!$B$19+0+Skills!P12)+Summary!$B$55*(Inputs!$B$20+Skills!Q12))/100)*(1+Inputs!$B$15/100)*(5000/(6000+Inputs!$B$7*(1-(Inputs!$B$18+0)/100)))*(1+(Inputs!$B$23+((C674=TRUE)*(F674-Calc!F26))+B684)/100)*(1+(IF(Skills!A12="EIGHT_LEGS_EASTON",Inputs!$B$16+((C671=TRUE)*(F671-Calc!F23))+((C675=TRUE)*(F675-Calc!F27)),(Inputs!$B$17+1)+0))/100)*((1+(((C665=TRUE)*F665)+((C672=TRUE)*(F672-Calc!F24)))/100)*I660)</f>
        <v/>
      </c>
      <c r="L660">
        <f>K660*(MIN(Inputs!$B$21+((C670=TRUE)*(F670-Calc!F22)),Inputs!$B$22+0)/100+(Inputs!$B$22+0)/100)/2</f>
        <v/>
      </c>
      <c r="M660">
        <f>L660*(1+(Inputs!$B$9+((C673=TRUE)*(F673-Calc!F25))+B683)/100)</f>
        <v/>
      </c>
      <c r="N660">
        <f>L660*(1-MIN((Inputs!$B$8+((C667=TRUE)*(F667-Calc!F19))+B678),100)/100)+M660*(MIN((Inputs!$B$8+((C667=TRUE)*(F667-Calc!F19))+B678),100)/100)</f>
        <v/>
      </c>
      <c r="O660">
        <f>IF(C660,H660*N660*IF(AND(Inputs!$B$4&lt;&gt;"pvp",Inputs!$B$35&gt;0),((Skills!G12*((R660-1)*IF(Skills!H12&gt;0,Skills!I12/Skills!H12,1)+IF(Skills!H12&gt;0,MIN(Skills!I12,MAX(0,Inputs!$B$35-((R660-1)*IF(Inputs!$B$4="pvp",15,MAX(0.1,Skills!D12-IF(Skills!E12=TRUE,Inputs!$B$31,0))))))/Skills!H12,1)))/Inputs!$B$35),G660*Q660)*IF(Inputs!$B$4="pvp",1,(1-Summary!$B$55)*(1)+Summary!$B$55*(MIN(Skills!R12,Inputs!$B$37))),0)</f>
        <v/>
      </c>
      <c r="P660">
        <f>IF(B686=0,0,O660/B686)</f>
        <v/>
      </c>
      <c r="Q660">
        <f>IFERROR(1/IF(Inputs!$B$4="pvp",15,MAX(0.1,Skills!D12-IF(Skills!E12=TRUE,Inputs!$B$31,0))),0)</f>
        <v/>
      </c>
      <c r="R660">
        <f>IF(AND(Inputs!$B$4&lt;&gt;"pvp",Inputs!$B$35&gt;0),(INT(Inputs!$B$35/IF(Inputs!$B$4="pvp",15,MAX(0.1,Skills!D12-IF(Skills!E12=TRUE,Inputs!$B$31,0))))+1),0)</f>
        <v/>
      </c>
      <c r="S660">
        <f>IFERROR(O660/N660,0)</f>
        <v/>
      </c>
    </row>
    <row r="661">
      <c r="A661">
        <f>Skills!A13</f>
        <v/>
      </c>
      <c r="B661">
        <f>Skills!B13</f>
        <v/>
      </c>
      <c r="C661">
        <f>Inputs!$B$3&gt;=110</f>
        <v/>
      </c>
      <c r="D661">
        <f>IF(Skills!C13=1,60+Inputs!$B$24+Inputs!$B$28,IF(Skills!C13=2,90+Inputs!$B$25+Inputs!$B$28,IF(Skills!C13=3,120+Inputs!$B$26+Inputs!$B$28,MAX(0,(Inputs!$B$3-100)*3)+Inputs!$B$27+Inputs!$B$28)))</f>
        <v/>
      </c>
      <c r="E661">
        <f>INDEX(FactorTable!$B$2:$Y$301, MATCH(ROUND(MIN(300,MAX(1,D661)),0), FactorTable!$A$2:$A$301,0), Skills!M13+1)</f>
        <v/>
      </c>
      <c r="F661">
        <f>IF(Skills!N13=TRUE,(Skills!L13/10)*(E661/1000),Skills!L13/10)+Skills!O13</f>
        <v/>
      </c>
      <c r="G661">
        <f>Skills!G13*IF(Skills!H13&gt;0,Skills!I13/Skills!H13,1)</f>
        <v/>
      </c>
      <c r="H661">
        <f>1-(1-Skills!J13/100)^Skills!K13</f>
        <v/>
      </c>
      <c r="I661" t="inlineStr">
        <is>
          <t>1</t>
        </is>
      </c>
      <c r="J661">
        <f>(Inputs!$B$5*(1+Inputs!$B$6/100))*(F661/100)</f>
        <v/>
      </c>
      <c r="K661">
        <f>J661*(1+((Inputs!$B$11*(1+Inputs!$B$12/100))*0.01+Inputs!$B$13*0.0025)/100)*(1+Inputs!$B$14/100)*(1+IF(Inputs!$B$4="pvp",0,(1-Summary!$B$55)*(Inputs!$B$19+0+Skills!P13)+Summary!$B$55*(Inputs!$B$20+Skills!Q13))/100)*(1+Inputs!$B$15/100)*(5000/(6000+Inputs!$B$7*(1-(Inputs!$B$18+0)/100)))*(1+(Inputs!$B$23+((C674=TRUE)*(F674-Calc!F26))+B684)/100)*(1+(IF(Skills!A13="EIGHT_LEGS_EASTON",Inputs!$B$16+((C671=TRUE)*(F671-Calc!F23))+((C675=TRUE)*(F675-Calc!F27)),(Inputs!$B$17+1)+0))/100)*((1+(((C665=TRUE)*F665)+((C672=TRUE)*(F672-Calc!F24)))/100)*I661)</f>
        <v/>
      </c>
      <c r="L661">
        <f>K661*(MIN(Inputs!$B$21+((C670=TRUE)*(F670-Calc!F22)),Inputs!$B$22+0)/100+(Inputs!$B$22+0)/100)/2</f>
        <v/>
      </c>
      <c r="M661">
        <f>L661*(1+(Inputs!$B$9+((C673=TRUE)*(F673-Calc!F25))+B683)/100)</f>
        <v/>
      </c>
      <c r="N661">
        <f>L661*(1-MIN((Inputs!$B$8+((C667=TRUE)*(F667-Calc!F19))+B678),100)/100)+M661*(MIN((Inputs!$B$8+((C667=TRUE)*(F667-Calc!F19))+B678),100)/100)</f>
        <v/>
      </c>
      <c r="O661">
        <f>IF(C661,H661*N661*IF(AND(Inputs!$B$4&lt;&gt;"pvp",Inputs!$B$35&gt;0),((Skills!G13*((R661-1)*IF(Skills!H13&gt;0,Skills!I13/Skills!H13,1)+IF(Skills!H13&gt;0,MIN(Skills!I13,MAX(0,Inputs!$B$35-((R661-1)*IF(Inputs!$B$4="pvp",15,MAX(0.1,Skills!D13-IF(Skills!E13=TRUE,Inputs!$B$31,0))))))/Skills!H13,1)))/Inputs!$B$35),G661*Q661)*IF(Inputs!$B$4="pvp",1,(1-Summary!$B$55)*(1)+Summary!$B$55*(MIN(Skills!R13,Inputs!$B$37))),0)</f>
        <v/>
      </c>
      <c r="P661">
        <f>IF(B686=0,0,O661/B686)</f>
        <v/>
      </c>
      <c r="Q661">
        <f>IFERROR(1/IF(Inputs!$B$4="pvp",15,MAX(0.1,Skills!D13-IF(Skills!E13=TRUE,Inputs!$B$31,0))),0)</f>
        <v/>
      </c>
      <c r="R661">
        <f>IF(AND(Inputs!$B$4&lt;&gt;"pvp",Inputs!$B$35&gt;0),(INT(Inputs!$B$35/IF(Inputs!$B$4="pvp",15,MAX(0.1,Skills!D13-IF(Skills!E13=TRUE,Inputs!$B$31,0))))+1),0)</f>
        <v/>
      </c>
      <c r="S661">
        <f>IFERROR(O661/N661,0)</f>
        <v/>
      </c>
    </row>
    <row r="662">
      <c r="A662">
        <f>Skills!A14</f>
        <v/>
      </c>
      <c r="B662">
        <f>Skills!B14</f>
        <v/>
      </c>
      <c r="C662">
        <f>Inputs!$B$3&gt;=125</f>
        <v/>
      </c>
      <c r="D662">
        <f>IF(Skills!C14=1,60+Inputs!$B$24+Inputs!$B$28,IF(Skills!C14=2,90+Inputs!$B$25+Inputs!$B$28,IF(Skills!C14=3,120+Inputs!$B$26+Inputs!$B$28,MAX(0,(Inputs!$B$3-100)*3)+Inputs!$B$27+Inputs!$B$28)))</f>
        <v/>
      </c>
      <c r="E662">
        <f>INDEX(FactorTable!$B$2:$Y$301, MATCH(ROUND(MIN(300,MAX(1,D662)),0), FactorTable!$A$2:$A$301,0), Skills!M14+1)</f>
        <v/>
      </c>
      <c r="F662">
        <f>IF(Skills!N14=TRUE,(Skills!L14/10)*(E662/1000),Skills!L14/10)+Skills!O14</f>
        <v/>
      </c>
      <c r="G662">
        <f>Skills!G14*IF(Skills!H14&gt;0,Skills!I14/Skills!H14,1)</f>
        <v/>
      </c>
      <c r="H662">
        <f>1-(1-Skills!J14/100)^Skills!K14</f>
        <v/>
      </c>
      <c r="I662" t="inlineStr">
        <is>
          <t>1</t>
        </is>
      </c>
      <c r="J662">
        <f>(Inputs!$B$5*(1+Inputs!$B$6/100))*(F662/100)</f>
        <v/>
      </c>
      <c r="K662">
        <f>J662*(1+((Inputs!$B$11*(1+Inputs!$B$12/100))*0.01+Inputs!$B$13*0.0025)/100)*(1+Inputs!$B$14/100)*(1+IF(Inputs!$B$4="pvp",0,(1-Summary!$B$55)*(Inputs!$B$19+0+Skills!P14)+Summary!$B$55*(Inputs!$B$20+Skills!Q14))/100)*(1+Inputs!$B$15/100)*(5000/(6000+Inputs!$B$7*(1-(Inputs!$B$18+0)/100)))*(1+(Inputs!$B$23+((C674=TRUE)*(F674-Calc!F26))+B684)/100)*(1+(IF(Skills!A14="EIGHT_LEGS_EASTON",Inputs!$B$16+((C671=TRUE)*(F671-Calc!F23))+((C675=TRUE)*(F675-Calc!F27)),(Inputs!$B$17+1)+0))/100)*((1+(((C665=TRUE)*F665)+((C672=TRUE)*(F672-Calc!F24)))/100)*I662)</f>
        <v/>
      </c>
      <c r="L662">
        <f>K662*(MIN(Inputs!$B$21+((C670=TRUE)*(F670-Calc!F22)),Inputs!$B$22+0)/100+(Inputs!$B$22+0)/100)/2</f>
        <v/>
      </c>
      <c r="M662">
        <f>L662*(1+(Inputs!$B$9+((C673=TRUE)*(F673-Calc!F25))+B683)/100)</f>
        <v/>
      </c>
      <c r="N662">
        <f>L662*(1-MIN((Inputs!$B$8+((C667=TRUE)*(F667-Calc!F19))+B678),100)/100)+M662*(MIN((Inputs!$B$8+((C667=TRUE)*(F667-Calc!F19))+B678),100)/100)</f>
        <v/>
      </c>
      <c r="O662">
        <f>IF(C662,H662*N662*(B682+IF(AND(Inputs!$B$4&lt;&gt;"pvp",Inputs!$B$35&gt;0),((Skills!G8*((R656-1)*IF(Skills!H8&gt;0,Skills!I8/Skills!H8,1)+IF(Skills!H8&gt;0,MIN(Skills!I8,MAX(0,Inputs!$B$35-((R656-1)*IF(Inputs!$B$4="pvp",15,MAX(0.1,Skills!D8-IF(Skills!E8=TRUE,Inputs!$B$31,0))))))/Skills!H8,1)))/Inputs!$B$35),G656*Q656)+IF(AND(Inputs!$B$4&lt;&gt;"pvp",Inputs!$B$35&gt;0),((Skills!G11*((R659-1)*IF(Skills!H11&gt;0,Skills!I11/Skills!H11,1)+IF(Skills!H11&gt;0,MIN(Skills!I11,MAX(0,Inputs!$B$35-((R659-1)*IF(Inputs!$B$4="pvp",15,MAX(0.1,Skills!D11-IF(Skills!E11=TRUE,Inputs!$B$31,0))))))/Skills!H11,1)))/Inputs!$B$35),G659*Q659))*IF(Inputs!$B$4="pvp",1,(1-Summary!$B$55)*(1)+Summary!$B$55*(MIN(Skills!R14,Inputs!$B$37))),0)</f>
        <v/>
      </c>
      <c r="P662">
        <f>IF(B686=0,0,O662/B686)</f>
        <v/>
      </c>
      <c r="Q662" t="n">
        <v>0</v>
      </c>
      <c r="R662" t="n">
        <v>0</v>
      </c>
      <c r="S662">
        <f>IFERROR(O662/N662,0)</f>
        <v/>
      </c>
    </row>
    <row r="663">
      <c r="A663">
        <f>Skills!A15</f>
        <v/>
      </c>
      <c r="B663">
        <f>Skills!B15</f>
        <v/>
      </c>
      <c r="C663">
        <f>Inputs!$B$3&gt;=100</f>
        <v/>
      </c>
      <c r="D663">
        <f>IF(Skills!C15=1,60+Inputs!$B$24+Inputs!$B$28,IF(Skills!C15=2,90+Inputs!$B$25+Inputs!$B$28,IF(Skills!C15=3,120+Inputs!$B$26+Inputs!$B$28,MAX(0,(Inputs!$B$3-100)*3)+Inputs!$B$27+Inputs!$B$28)))</f>
        <v/>
      </c>
      <c r="E663">
        <f>INDEX(FactorTable!$B$2:$Y$301, MATCH(ROUND(MIN(300,MAX(1,D663)),0), FactorTable!$A$2:$A$301,0), Skills!M15+1)</f>
        <v/>
      </c>
      <c r="F663">
        <f>IF(Skills!N15=TRUE,(Skills!L15/10)*(E663/1000),Skills!L15/10)+Skills!O15</f>
        <v/>
      </c>
      <c r="G663" t="inlineStr"/>
      <c r="H663" t="inlineStr"/>
      <c r="I663" t="inlineStr">
        <is>
          <t>1</t>
        </is>
      </c>
      <c r="J663" t="inlineStr"/>
      <c r="K663" t="inlineStr"/>
      <c r="L663" t="inlineStr"/>
      <c r="M663" t="inlineStr"/>
      <c r="N663" t="inlineStr"/>
      <c r="O663" t="inlineStr"/>
      <c r="P663" t="inlineStr"/>
      <c r="Q663" t="inlineStr"/>
      <c r="R663" t="inlineStr"/>
      <c r="S663" t="inlineStr"/>
    </row>
    <row r="664">
      <c r="A664">
        <f>Skills!A16</f>
        <v/>
      </c>
      <c r="B664">
        <f>Skills!B16</f>
        <v/>
      </c>
      <c r="C664">
        <f>Inputs!$B$3&gt;=120</f>
        <v/>
      </c>
      <c r="D664">
        <f>IF(Skills!C16=1,60+Inputs!$B$24+Inputs!$B$28,IF(Skills!C16=2,90+Inputs!$B$25+Inputs!$B$28,IF(Skills!C16=3,120+Inputs!$B$26+Inputs!$B$28,MAX(0,(Inputs!$B$3-100)*3)+Inputs!$B$27+Inputs!$B$28)))</f>
        <v/>
      </c>
      <c r="E664">
        <f>INDEX(FactorTable!$B$2:$Y$301, MATCH(ROUND(MIN(300,MAX(1,D664)),0), FactorTable!$A$2:$A$301,0), Skills!M16+1)</f>
        <v/>
      </c>
      <c r="F664">
        <f>IF(Skills!N16=TRUE,(Skills!L16/10)*(E664/1000),Skills!L16/10)+Skills!O16</f>
        <v/>
      </c>
      <c r="G664" t="inlineStr"/>
      <c r="H664" t="inlineStr"/>
      <c r="I664" t="inlineStr">
        <is>
          <t>1</t>
        </is>
      </c>
      <c r="J664" t="inlineStr"/>
      <c r="K664" t="inlineStr"/>
      <c r="L664" t="inlineStr"/>
      <c r="M664" t="inlineStr"/>
      <c r="N664" t="inlineStr"/>
      <c r="O664" t="inlineStr"/>
      <c r="P664" t="inlineStr"/>
      <c r="Q664" t="inlineStr"/>
      <c r="R664" t="inlineStr"/>
      <c r="S664" t="inlineStr"/>
    </row>
    <row r="665">
      <c r="A665">
        <f>Skills!A17</f>
        <v/>
      </c>
      <c r="B665">
        <f>Skills!B17</f>
        <v/>
      </c>
      <c r="C665">
        <f>Inputs!$B$3&gt;=66</f>
        <v/>
      </c>
      <c r="D665">
        <f>IF(Skills!C17=1,60+Inputs!$B$24+Inputs!$B$28,IF(Skills!C17=2,90+Inputs!$B$25+Inputs!$B$28,IF(Skills!C17=3,120+Inputs!$B$26+Inputs!$B$28,MAX(0,(Inputs!$B$3-100)*3)+Inputs!$B$27+Inputs!$B$28)))</f>
        <v/>
      </c>
      <c r="E665">
        <f>INDEX(FactorTable!$B$2:$Y$301, MATCH(ROUND(MIN(300,MAX(1,D665)),0), FactorTable!$A$2:$A$301,0), Skills!M17+1)</f>
        <v/>
      </c>
      <c r="F665">
        <f>IF(Skills!N17=TRUE,(Skills!L17/10)*(E665/1000),Skills!L17/10)+Skills!O17</f>
        <v/>
      </c>
      <c r="G665">
        <f>Skills!G17*IF(Skills!H17&gt;0,Skills!I17/Skills!H17,1)</f>
        <v/>
      </c>
      <c r="H665">
        <f>1-(1-Skills!J17/100)^Skills!K17</f>
        <v/>
      </c>
      <c r="I665" t="inlineStr">
        <is>
          <t>1</t>
        </is>
      </c>
      <c r="J665" t="inlineStr"/>
      <c r="K665" t="inlineStr"/>
      <c r="L665" t="inlineStr"/>
      <c r="M665" t="inlineStr"/>
      <c r="N665" t="inlineStr"/>
      <c r="O665" t="n">
        <v>0</v>
      </c>
      <c r="P665">
        <f>IF(B686=0,0,O665/B686)</f>
        <v/>
      </c>
      <c r="Q665" t="n">
        <v>0</v>
      </c>
      <c r="R665" t="n">
        <v>0</v>
      </c>
      <c r="S665">
        <f>IFERROR(O665/N665,0)</f>
        <v/>
      </c>
    </row>
    <row r="666">
      <c r="A666">
        <f>Skills!A18</f>
        <v/>
      </c>
      <c r="B666">
        <f>Skills!B18</f>
        <v/>
      </c>
      <c r="C666">
        <f>Inputs!$B$3&gt;=115</f>
        <v/>
      </c>
      <c r="D666">
        <f>IF(Skills!C18=1,60+Inputs!$B$24+Inputs!$B$28,IF(Skills!C18=2,90+Inputs!$B$25+Inputs!$B$28,IF(Skills!C18=3,120+Inputs!$B$26+Inputs!$B$28,MAX(0,(Inputs!$B$3-100)*3)+Inputs!$B$27+Inputs!$B$28)))</f>
        <v/>
      </c>
      <c r="E666">
        <f>INDEX(FactorTable!$B$2:$Y$301, MATCH(ROUND(MIN(300,MAX(1,D666)),0), FactorTable!$A$2:$A$301,0), Skills!M18+1)</f>
        <v/>
      </c>
      <c r="F666">
        <f>IF(Skills!N18=TRUE,(Skills!L18/10)*(E666/1000),Skills!L18/10)+Skills!O18</f>
        <v/>
      </c>
      <c r="G666">
        <f>Skills!G18*IF(Skills!H18&gt;0,Skills!I18/Skills!H18,1)</f>
        <v/>
      </c>
      <c r="H666">
        <f>1-(1-Skills!J18/100)^Skills!K18</f>
        <v/>
      </c>
      <c r="I666" t="inlineStr">
        <is>
          <t>1</t>
        </is>
      </c>
      <c r="J666" t="inlineStr"/>
      <c r="K666" t="inlineStr"/>
      <c r="L666" t="inlineStr"/>
      <c r="M666" t="inlineStr"/>
      <c r="N666" t="inlineStr"/>
      <c r="O666" t="n">
        <v>0</v>
      </c>
      <c r="P666">
        <f>IF(B686=0,0,O666/B686)</f>
        <v/>
      </c>
      <c r="Q666" t="n">
        <v>0</v>
      </c>
      <c r="R666" t="n">
        <v>0</v>
      </c>
      <c r="S666">
        <f>IFERROR(O666/N666,0)</f>
        <v/>
      </c>
    </row>
    <row r="667">
      <c r="A667">
        <f>Skills!A19</f>
        <v/>
      </c>
      <c r="B667">
        <f>Skills!B19</f>
        <v/>
      </c>
      <c r="C667">
        <f>Inputs!$B$3&gt;=15</f>
        <v/>
      </c>
      <c r="D667">
        <f>IF(Skills!C19=1,60+Inputs!$B$24+Inputs!$B$28,IF(Skills!C19=2,90+Inputs!$B$25+Inputs!$B$28,IF(Skills!C19=3,120+Inputs!$B$26+Inputs!$B$28,MAX(0,(Inputs!$B$3-100)*3)+Inputs!$B$27+Inputs!$B$28)))</f>
        <v/>
      </c>
      <c r="E667">
        <f>INDEX(FactorTable!$B$2:$Y$301, MATCH(ROUND(MIN(300,MAX(1,D667)),0), FactorTable!$A$2:$A$301,0), Skills!M19+1)</f>
        <v/>
      </c>
      <c r="F667">
        <f>IF(Skills!N19=TRUE,(Skills!L19/10)*(E667/1000),Skills!L19/10)+Skills!O19</f>
        <v/>
      </c>
      <c r="G667">
        <f>Skills!G19*IF(Skills!H19&gt;0,Skills!I19/Skills!H19,1)</f>
        <v/>
      </c>
      <c r="H667">
        <f>1-(1-Skills!J19/100)^Skills!K19</f>
        <v/>
      </c>
      <c r="I667" t="inlineStr">
        <is>
          <t>1</t>
        </is>
      </c>
      <c r="J667" t="inlineStr"/>
      <c r="K667" t="inlineStr"/>
      <c r="L667" t="inlineStr"/>
      <c r="M667" t="inlineStr"/>
      <c r="N667" t="inlineStr"/>
      <c r="O667" t="n">
        <v>0</v>
      </c>
      <c r="P667">
        <f>IF(B686=0,0,O667/B686)</f>
        <v/>
      </c>
      <c r="Q667" t="n">
        <v>0</v>
      </c>
      <c r="R667" t="n">
        <v>0</v>
      </c>
      <c r="S667">
        <f>IFERROR(O667/N667,0)</f>
        <v/>
      </c>
    </row>
    <row r="668">
      <c r="A668">
        <f>Skills!A20</f>
        <v/>
      </c>
      <c r="B668">
        <f>Skills!B20</f>
        <v/>
      </c>
      <c r="C668">
        <f>Inputs!$B$3&gt;=10</f>
        <v/>
      </c>
      <c r="D668">
        <f>IF(Skills!C20=1,60+Inputs!$B$24+Inputs!$B$28,IF(Skills!C20=2,90+Inputs!$B$25+Inputs!$B$28,IF(Skills!C20=3,120+Inputs!$B$26+Inputs!$B$28,MAX(0,(Inputs!$B$3-100)*3)+Inputs!$B$27+Inputs!$B$28)))</f>
        <v/>
      </c>
      <c r="E668">
        <f>INDEX(FactorTable!$B$2:$Y$301, MATCH(ROUND(MIN(300,MAX(1,D668)),0), FactorTable!$A$2:$A$301,0), Skills!M20+1)</f>
        <v/>
      </c>
      <c r="F668">
        <f>IF(Skills!N20=TRUE,(Skills!L20/10)*(E668/1000),Skills!L20/10)+Skills!O20</f>
        <v/>
      </c>
      <c r="G668">
        <f>Skills!G20*IF(Skills!H20&gt;0,Skills!I20/Skills!H20,1)</f>
        <v/>
      </c>
      <c r="H668">
        <f>1-(1-Skills!J20/100)^Skills!K20</f>
        <v/>
      </c>
      <c r="I668" t="inlineStr">
        <is>
          <t>1</t>
        </is>
      </c>
      <c r="J668" t="inlineStr"/>
      <c r="K668" t="inlineStr"/>
      <c r="L668" t="inlineStr"/>
      <c r="M668" t="inlineStr"/>
      <c r="N668" t="inlineStr"/>
      <c r="O668" t="n">
        <v>0</v>
      </c>
      <c r="P668">
        <f>IF(B686=0,0,O668/B686)</f>
        <v/>
      </c>
      <c r="Q668" t="n">
        <v>0</v>
      </c>
      <c r="R668" t="n">
        <v>0</v>
      </c>
      <c r="S668">
        <f>IFERROR(O668/N668,0)</f>
        <v/>
      </c>
    </row>
    <row r="669">
      <c r="A669">
        <f>Skills!A21</f>
        <v/>
      </c>
      <c r="B669">
        <f>Skills!B21</f>
        <v/>
      </c>
      <c r="C669">
        <f>Inputs!$B$3&gt;=33</f>
        <v/>
      </c>
      <c r="D669">
        <f>IF(Skills!C21=1,60+Inputs!$B$24+Inputs!$B$28,IF(Skills!C21=2,90+Inputs!$B$25+Inputs!$B$28,IF(Skills!C21=3,120+Inputs!$B$26+Inputs!$B$28,MAX(0,(Inputs!$B$3-100)*3)+Inputs!$B$27+Inputs!$B$28)))</f>
        <v/>
      </c>
      <c r="E669">
        <f>INDEX(FactorTable!$B$2:$Y$301, MATCH(ROUND(MIN(300,MAX(1,D669)),0), FactorTable!$A$2:$A$301,0), Skills!M21+1)</f>
        <v/>
      </c>
      <c r="F669">
        <f>IF(Skills!N21=TRUE,(Skills!L21/10)*(E669/1000),Skills!L21/10)+Skills!O21</f>
        <v/>
      </c>
      <c r="G669">
        <f>Skills!G21*IF(Skills!H21&gt;0,Skills!I21/Skills!H21,1)</f>
        <v/>
      </c>
      <c r="H669">
        <f>1-(1-Skills!J21/100)^Skills!K21</f>
        <v/>
      </c>
      <c r="I669" t="inlineStr">
        <is>
          <t>1</t>
        </is>
      </c>
      <c r="J669" t="inlineStr"/>
      <c r="K669" t="inlineStr"/>
      <c r="L669" t="inlineStr"/>
      <c r="M669" t="inlineStr"/>
      <c r="N669" t="inlineStr"/>
      <c r="O669" t="n">
        <v>0</v>
      </c>
      <c r="P669">
        <f>IF(B686=0,0,O669/B686)</f>
        <v/>
      </c>
      <c r="Q669" t="n">
        <v>0</v>
      </c>
      <c r="R669" t="n">
        <v>0</v>
      </c>
      <c r="S669">
        <f>IFERROR(O669/N669,0)</f>
        <v/>
      </c>
    </row>
    <row r="670">
      <c r="A670">
        <f>Skills!A22</f>
        <v/>
      </c>
      <c r="B670">
        <f>Skills!B22</f>
        <v/>
      </c>
      <c r="C670">
        <f>Inputs!$B$3&gt;=43</f>
        <v/>
      </c>
      <c r="D670">
        <f>IF(Skills!C22=1,60+Inputs!$B$24+Inputs!$B$28,IF(Skills!C22=2,90+Inputs!$B$25+Inputs!$B$28,IF(Skills!C22=3,120+Inputs!$B$26+Inputs!$B$28,MAX(0,(Inputs!$B$3-100)*3)+Inputs!$B$27+Inputs!$B$28)))</f>
        <v/>
      </c>
      <c r="E670">
        <f>INDEX(FactorTable!$B$2:$Y$301, MATCH(ROUND(MIN(300,MAX(1,D670)),0), FactorTable!$A$2:$A$301,0), Skills!M22+1)</f>
        <v/>
      </c>
      <c r="F670">
        <f>IF(Skills!N22=TRUE,(Skills!L22/10)*(E670/1000),Skills!L22/10)+Skills!O22</f>
        <v/>
      </c>
      <c r="G670">
        <f>Skills!G22*IF(Skills!H22&gt;0,Skills!I22/Skills!H22,1)</f>
        <v/>
      </c>
      <c r="H670">
        <f>1-(1-Skills!J22/100)^Skills!K22</f>
        <v/>
      </c>
      <c r="I670" t="inlineStr">
        <is>
          <t>1</t>
        </is>
      </c>
      <c r="J670" t="inlineStr"/>
      <c r="K670" t="inlineStr"/>
      <c r="L670" t="inlineStr"/>
      <c r="M670" t="inlineStr"/>
      <c r="N670" t="inlineStr"/>
      <c r="O670" t="n">
        <v>0</v>
      </c>
      <c r="P670">
        <f>IF(B686=0,0,O670/B686)</f>
        <v/>
      </c>
      <c r="Q670" t="n">
        <v>0</v>
      </c>
      <c r="R670" t="n">
        <v>0</v>
      </c>
      <c r="S670">
        <f>IFERROR(O670/N670,0)</f>
        <v/>
      </c>
    </row>
    <row r="671">
      <c r="A671">
        <f>Skills!A23</f>
        <v/>
      </c>
      <c r="B671">
        <f>Skills!B23</f>
        <v/>
      </c>
      <c r="C671">
        <f>Inputs!$B$3&gt;=38</f>
        <v/>
      </c>
      <c r="D671">
        <f>IF(Skills!C23=1,60+Inputs!$B$24+Inputs!$B$28,IF(Skills!C23=2,90+Inputs!$B$25+Inputs!$B$28,IF(Skills!C23=3,120+Inputs!$B$26+Inputs!$B$28,MAX(0,(Inputs!$B$3-100)*3)+Inputs!$B$27+Inputs!$B$28)))</f>
        <v/>
      </c>
      <c r="E671">
        <f>INDEX(FactorTable!$B$2:$Y$301, MATCH(ROUND(MIN(300,MAX(1,D671)),0), FactorTable!$A$2:$A$301,0), Skills!M23+1)</f>
        <v/>
      </c>
      <c r="F671">
        <f>IF(Skills!N23=TRUE,(Skills!L23/10)*(E671/1000),Skills!L23/10)+Skills!O23</f>
        <v/>
      </c>
      <c r="G671">
        <f>Skills!G23*IF(Skills!H23&gt;0,Skills!I23/Skills!H23,1)</f>
        <v/>
      </c>
      <c r="H671">
        <f>1-(1-Skills!J23/100)^Skills!K23</f>
        <v/>
      </c>
      <c r="I671" t="inlineStr">
        <is>
          <t>1</t>
        </is>
      </c>
      <c r="J671" t="inlineStr"/>
      <c r="K671" t="inlineStr"/>
      <c r="L671" t="inlineStr"/>
      <c r="M671" t="inlineStr"/>
      <c r="N671" t="inlineStr"/>
      <c r="O671" t="n">
        <v>0</v>
      </c>
      <c r="P671">
        <f>IF(B686=0,0,O671/B686)</f>
        <v/>
      </c>
      <c r="Q671" t="n">
        <v>0</v>
      </c>
      <c r="R671" t="n">
        <v>0</v>
      </c>
      <c r="S671">
        <f>IFERROR(O671/N671,0)</f>
        <v/>
      </c>
    </row>
    <row r="672">
      <c r="A672">
        <f>Skills!A24</f>
        <v/>
      </c>
      <c r="B672">
        <f>Skills!B24</f>
        <v/>
      </c>
      <c r="C672">
        <f>Inputs!$B$3&gt;=40</f>
        <v/>
      </c>
      <c r="D672">
        <f>IF(Skills!C24=1,60+Inputs!$B$24+Inputs!$B$28,IF(Skills!C24=2,90+Inputs!$B$25+Inputs!$B$28,IF(Skills!C24=3,120+Inputs!$B$26+Inputs!$B$28,MAX(0,(Inputs!$B$3-100)*3)+Inputs!$B$27+Inputs!$B$28)))</f>
        <v/>
      </c>
      <c r="E672">
        <f>INDEX(FactorTable!$B$2:$Y$301, MATCH(ROUND(MIN(300,MAX(1,D672)),0), FactorTable!$A$2:$A$301,0), Skills!M24+1)</f>
        <v/>
      </c>
      <c r="F672">
        <f>IF(Skills!N24=TRUE,(Skills!L24/10)*(E672/1000),Skills!L24/10)+Skills!O24</f>
        <v/>
      </c>
      <c r="G672">
        <f>Skills!G24*IF(Skills!H24&gt;0,Skills!I24/Skills!H24,1)</f>
        <v/>
      </c>
      <c r="H672">
        <f>1-(1-Skills!J24/100)^Skills!K24</f>
        <v/>
      </c>
      <c r="I672" t="inlineStr">
        <is>
          <t>1</t>
        </is>
      </c>
      <c r="J672" t="inlineStr"/>
      <c r="K672" t="inlineStr"/>
      <c r="L672" t="inlineStr"/>
      <c r="M672" t="inlineStr"/>
      <c r="N672" t="inlineStr"/>
      <c r="O672" t="n">
        <v>0</v>
      </c>
      <c r="P672">
        <f>IF(B686=0,0,O672/B686)</f>
        <v/>
      </c>
      <c r="Q672" t="n">
        <v>0</v>
      </c>
      <c r="R672" t="n">
        <v>0</v>
      </c>
      <c r="S672">
        <f>IFERROR(O672/N672,0)</f>
        <v/>
      </c>
    </row>
    <row r="673">
      <c r="A673">
        <f>Skills!A25</f>
        <v/>
      </c>
      <c r="B673">
        <f>Skills!B25</f>
        <v/>
      </c>
      <c r="C673">
        <f>Inputs!$B$3&gt;=72</f>
        <v/>
      </c>
      <c r="D673">
        <f>IF(Skills!C25=1,60+Inputs!$B$24+Inputs!$B$28,IF(Skills!C25=2,90+Inputs!$B$25+Inputs!$B$28,IF(Skills!C25=3,120+Inputs!$B$26+Inputs!$B$28,MAX(0,(Inputs!$B$3-100)*3)+Inputs!$B$27+Inputs!$B$28)))</f>
        <v/>
      </c>
      <c r="E673">
        <f>INDEX(FactorTable!$B$2:$Y$301, MATCH(ROUND(MIN(300,MAX(1,D673)),0), FactorTable!$A$2:$A$301,0), Skills!M25+1)</f>
        <v/>
      </c>
      <c r="F673">
        <f>IF(Skills!N25=TRUE,(Skills!L25/10)*(E673/1000),Skills!L25/10)+Skills!O25</f>
        <v/>
      </c>
      <c r="G673">
        <f>Skills!G25*IF(Skills!H25&gt;0,Skills!I25/Skills!H25,1)</f>
        <v/>
      </c>
      <c r="H673">
        <f>1-(1-Skills!J25/100)^Skills!K25</f>
        <v/>
      </c>
      <c r="I673" t="inlineStr">
        <is>
          <t>1</t>
        </is>
      </c>
      <c r="J673" t="inlineStr"/>
      <c r="K673" t="inlineStr"/>
      <c r="L673" t="inlineStr"/>
      <c r="M673" t="inlineStr"/>
      <c r="N673" t="inlineStr"/>
      <c r="O673" t="n">
        <v>0</v>
      </c>
      <c r="P673">
        <f>IF(B686=0,0,O673/B686)</f>
        <v/>
      </c>
      <c r="Q673" t="n">
        <v>0</v>
      </c>
      <c r="R673" t="n">
        <v>0</v>
      </c>
      <c r="S673">
        <f>IFERROR(O673/N673,0)</f>
        <v/>
      </c>
    </row>
    <row r="674">
      <c r="A674">
        <f>Skills!A26</f>
        <v/>
      </c>
      <c r="B674">
        <f>Skills!B26</f>
        <v/>
      </c>
      <c r="C674">
        <f>Inputs!$B$3&gt;=75</f>
        <v/>
      </c>
      <c r="D674">
        <f>IF(Skills!C26=1,60+Inputs!$B$24+Inputs!$B$28,IF(Skills!C26=2,90+Inputs!$B$25+Inputs!$B$28,IF(Skills!C26=3,120+Inputs!$B$26+Inputs!$B$28,MAX(0,(Inputs!$B$3-100)*3)+Inputs!$B$27+Inputs!$B$28)))</f>
        <v/>
      </c>
      <c r="E674">
        <f>INDEX(FactorTable!$B$2:$Y$301, MATCH(ROUND(MIN(300,MAX(1,D674)),0), FactorTable!$A$2:$A$301,0), Skills!M26+1)</f>
        <v/>
      </c>
      <c r="F674">
        <f>IF(Skills!N26=TRUE,(Skills!L26/10)*(E674/1000),Skills!L26/10)+Skills!O26</f>
        <v/>
      </c>
      <c r="G674">
        <f>Skills!G26*IF(Skills!H26&gt;0,Skills!I26/Skills!H26,1)</f>
        <v/>
      </c>
      <c r="H674">
        <f>1-(1-Skills!J26/100)^Skills!K26</f>
        <v/>
      </c>
      <c r="I674" t="inlineStr">
        <is>
          <t>1</t>
        </is>
      </c>
      <c r="J674" t="inlineStr"/>
      <c r="K674" t="inlineStr"/>
      <c r="L674" t="inlineStr"/>
      <c r="M674" t="inlineStr"/>
      <c r="N674" t="inlineStr"/>
      <c r="O674" t="n">
        <v>0</v>
      </c>
      <c r="P674">
        <f>IF(B686=0,0,O674/B686)</f>
        <v/>
      </c>
      <c r="Q674" t="n">
        <v>0</v>
      </c>
      <c r="R674" t="n">
        <v>0</v>
      </c>
      <c r="S674">
        <f>IFERROR(O674/N674,0)</f>
        <v/>
      </c>
    </row>
    <row r="675">
      <c r="A675">
        <f>Skills!A27</f>
        <v/>
      </c>
      <c r="B675">
        <f>Skills!B27</f>
        <v/>
      </c>
      <c r="C675">
        <f>Inputs!$B$3&gt;=117</f>
        <v/>
      </c>
      <c r="D675">
        <f>IF(Skills!C27=1,60+Inputs!$B$24+Inputs!$B$28,IF(Skills!C27=2,90+Inputs!$B$25+Inputs!$B$28,IF(Skills!C27=3,120+Inputs!$B$26+Inputs!$B$28,MAX(0,(Inputs!$B$3-100)*3)+Inputs!$B$27+Inputs!$B$28)))</f>
        <v/>
      </c>
      <c r="E675">
        <f>INDEX(FactorTable!$B$2:$Y$301, MATCH(ROUND(MIN(300,MAX(1,D675)),0), FactorTable!$A$2:$A$301,0), Skills!M27+1)</f>
        <v/>
      </c>
      <c r="F675">
        <f>IF(Skills!N27=TRUE,(Skills!L27/10)*(E675/1000),Skills!L27/10)+Skills!O27</f>
        <v/>
      </c>
      <c r="G675">
        <f>Skills!G27*IF(Skills!H27&gt;0,Skills!I27/Skills!H27,1)</f>
        <v/>
      </c>
      <c r="H675">
        <f>1-(1-Skills!J27/100)^Skills!K27</f>
        <v/>
      </c>
      <c r="I675" t="inlineStr">
        <is>
          <t>1</t>
        </is>
      </c>
      <c r="J675" t="inlineStr"/>
      <c r="K675" t="inlineStr"/>
      <c r="L675" t="inlineStr"/>
      <c r="M675" t="inlineStr"/>
      <c r="N675" t="inlineStr"/>
      <c r="O675" t="n">
        <v>0</v>
      </c>
      <c r="P675">
        <f>IF(B686=0,0,O675/B686)</f>
        <v/>
      </c>
      <c r="Q675" t="n">
        <v>0</v>
      </c>
      <c r="R675" t="n">
        <v>0</v>
      </c>
      <c r="S675">
        <f>IFERROR(O675/N675,0)</f>
        <v/>
      </c>
    </row>
    <row r="677">
      <c r="A677" t="inlineStr">
        <is>
          <t>Attack% Bucket Multiplier</t>
        </is>
      </c>
      <c r="B677">
        <f>(1+(((C665=TRUE)*F665)+((C672=TRUE)*(F672-Calc!F24)))/100)</f>
        <v/>
      </c>
    </row>
    <row r="678">
      <c r="A678" t="inlineStr">
        <is>
          <t>Global Crit Rate Bonus %</t>
        </is>
      </c>
      <c r="B678" t="n">
        <v>0</v>
      </c>
    </row>
    <row r="679">
      <c r="A679" t="inlineStr">
        <is>
          <t>Attack Speed Buff Bonus % (unused)</t>
        </is>
      </c>
      <c r="B679" t="n">
        <v>0</v>
      </c>
    </row>
    <row r="680">
      <c r="A680" t="inlineStr">
        <is>
          <t>Actions Per Second</t>
        </is>
      </c>
      <c r="B680">
        <f>1+MIN(150,150*(1-(1-(Inputs!$B$10+((C668=TRUE)*(F668-Calc!F20))+((C669=TRUE)*(F669-Calc!F21)))/150)*(1-B679/150)))/100</f>
        <v/>
      </c>
    </row>
    <row r="681">
      <c r="A681" t="inlineStr">
        <is>
          <t>Skill + Buff Cast Rate</t>
        </is>
      </c>
      <c r="B681">
        <f>IF(AND(Inputs!$B$4&lt;&gt;"pvp",Inputs!$B$35&gt;0),SUMPRODUCT((Skills!E2:E27=TRUE)*(C650:C675=TRUE)*R650:R675*Skills!F2:F27)/Inputs!$B$35,SUMPRODUCT((Skills!E2:E27=TRUE)*(C650:C675=TRUE)*Q650:Q675*Skills!F2:F27))</f>
        <v/>
      </c>
    </row>
    <row r="682">
      <c r="A682" t="inlineStr">
        <is>
          <t>Eight-Legs Easton Casts Per Second</t>
        </is>
      </c>
      <c r="B682">
        <f>MAX(0,B680-B681)</f>
        <v/>
      </c>
    </row>
    <row r="683">
      <c r="A683" t="inlineStr">
        <is>
          <t>Global Critical Damage Bonus % (unused)</t>
        </is>
      </c>
      <c r="B683" t="n">
        <v>0</v>
      </c>
    </row>
    <row r="684">
      <c r="A684" t="inlineStr">
        <is>
          <t>Global Final Damage Bonus % (Jolly Roger only)</t>
        </is>
      </c>
      <c r="B684">
        <f>((C666=TRUE)*F666)</f>
        <v/>
      </c>
    </row>
    <row r="686">
      <c r="A686" s="5" t="inlineStr">
        <is>
          <t>TOTAL DPS</t>
        </is>
      </c>
      <c r="B686" s="5">
        <f>SUM(O650:O675)</f>
        <v/>
      </c>
    </row>
    <row r="689">
      <c r="A689" s="5" t="inlineStr">
        <is>
          <t>Stat: Skill Level Bonus — 1st Job</t>
        </is>
      </c>
    </row>
    <row r="690">
      <c r="A690" s="8" t="inlineStr">
        <is>
          <t>Key</t>
        </is>
      </c>
      <c r="B690" s="8" t="inlineStr">
        <is>
          <t>Name</t>
        </is>
      </c>
      <c r="C690" s="8" t="inlineStr">
        <is>
          <t>Unlocked</t>
        </is>
      </c>
      <c r="D690" s="8" t="inlineStr">
        <is>
          <t>InputLevel</t>
        </is>
      </c>
      <c r="E690" s="8" t="inlineStr">
        <is>
          <t>Factor</t>
        </is>
      </c>
      <c r="F690" s="8" t="inlineStr">
        <is>
          <t>CoefficientPercent</t>
        </is>
      </c>
      <c r="G690" s="8" t="inlineStr">
        <is>
          <t>EffectiveHits</t>
        </is>
      </c>
      <c r="H690" s="8" t="inlineStr">
        <is>
          <t>ProcProbability</t>
        </is>
      </c>
      <c r="I690" s="8" t="inlineStr">
        <is>
          <t>MapleHeroMultiplier</t>
        </is>
      </c>
      <c r="J690" s="8" t="inlineStr">
        <is>
          <t>BaseDamage</t>
        </is>
      </c>
      <c r="K690" s="8" t="inlineStr">
        <is>
          <t>BaseHitDamage</t>
        </is>
      </c>
      <c r="L690" s="8" t="inlineStr">
        <is>
          <t>NonCritAvg</t>
        </is>
      </c>
      <c r="M690" s="8" t="inlineStr">
        <is>
          <t>CritAvg</t>
        </is>
      </c>
      <c r="N690" s="8" t="inlineStr">
        <is>
          <t>ExpectedDamage(perHit)</t>
        </is>
      </c>
      <c r="O690" s="8" t="inlineStr">
        <is>
          <t>DPS</t>
        </is>
      </c>
      <c r="P690" s="8" t="inlineStr">
        <is>
          <t>% of Total</t>
        </is>
      </c>
      <c r="Q690" s="8" t="inlineStr">
        <is>
          <t>InvCooldown</t>
        </is>
      </c>
      <c r="R690" s="8" t="inlineStr">
        <is>
          <t>CastsInFight</t>
        </is>
      </c>
      <c r="S690" s="8" t="inlineStr">
        <is>
          <t>HitRate(perSec)</t>
        </is>
      </c>
      <c r="U690" t="inlineStr">
        <is>
          <t>helpers</t>
        </is>
      </c>
    </row>
    <row r="691">
      <c r="A691">
        <f>Skills!A2</f>
        <v/>
      </c>
      <c r="B691">
        <f>Skills!B2</f>
        <v/>
      </c>
      <c r="C691">
        <f>Inputs!$B$3&gt;=100</f>
        <v/>
      </c>
      <c r="D691" t="inlineStr"/>
      <c r="E691" t="inlineStr"/>
      <c r="F691">
        <f>U693+Skills!O2</f>
        <v/>
      </c>
      <c r="G691">
        <f>Skills!G2*IF(Skills!H2&gt;0,Skills!I2/Skills!H2,1)</f>
        <v/>
      </c>
      <c r="H691">
        <f>1-(1-Skills!J2/100)^Skills!K2</f>
        <v/>
      </c>
      <c r="I691" t="inlineStr">
        <is>
          <t>1</t>
        </is>
      </c>
      <c r="J691">
        <f>(Inputs!$B$5*(1+Inputs!$B$6/100))*(F691/100)</f>
        <v/>
      </c>
      <c r="K691">
        <f>J691*(1+((Inputs!$B$11*(1+Inputs!$B$12/100))*0.01+Inputs!$B$13*0.0025)/100)*(1+Inputs!$B$14/100)*(1+IF(Inputs!$B$4="pvp",0,(1-Summary!$B$55)*(Inputs!$B$19+0+Skills!P2)+Summary!$B$55*(Inputs!$B$20+Skills!Q2))/100)*(1+Inputs!$B$15/100)*(5000/(6000+Inputs!$B$7*(1-(Inputs!$B$18+0)/100)))*(1+(Inputs!$B$23+((C715=TRUE)*(F715-Calc!F26))+B725)/100)*(1+(IF(Skills!A2="EIGHT_LEGS_EASTON",Inputs!$B$16+((C712=TRUE)*(F712-Calc!F23))+((C716=TRUE)*(F716-Calc!F27)),Inputs!$B$17+0))/100)*((1+(((C706=TRUE)*F706)+((C713=TRUE)*(F713-Calc!F24)))/100)*I691)</f>
        <v/>
      </c>
      <c r="L691">
        <f>K691*(MIN(Inputs!$B$21+((C711=TRUE)*(F711-Calc!F22)),Inputs!$B$22+0)/100+(Inputs!$B$22+0)/100)/2</f>
        <v/>
      </c>
      <c r="M691">
        <f>L691*(1+(Inputs!$B$9+((C714=TRUE)*(F714-Calc!F25))+B724)/100)</f>
        <v/>
      </c>
      <c r="N691">
        <f>L691*(1-MIN((Inputs!$B$8+((C708=TRUE)*(F708-Calc!F19))+B719),100)/100)+M691*(MIN((Inputs!$B$8+((C708=TRUE)*(F708-Calc!F19))+B719),100)/100)</f>
        <v/>
      </c>
      <c r="O691">
        <f>IF(C691,Skills!G2*N691*B723*IF(Inputs!$B$4="pvp",1,(1-Summary!$B$55)*(1)+Summary!$B$55*(MIN((6+Inputs!$B$32),Inputs!$B$37))),0)</f>
        <v/>
      </c>
      <c r="P691">
        <f>IF(B727=0,0,O691/B727)</f>
        <v/>
      </c>
      <c r="Q691" t="n">
        <v>0</v>
      </c>
      <c r="R691" t="n">
        <v>0</v>
      </c>
      <c r="S691">
        <f>IFERROR(O691/N691,0)</f>
        <v/>
      </c>
      <c r="U691">
        <f>MAX(0,(Inputs!$B$3-100)*3)+Inputs!$B$27+Inputs!$B$28</f>
        <v/>
      </c>
    </row>
    <row r="692">
      <c r="A692">
        <f>Skills!A3</f>
        <v/>
      </c>
      <c r="B692">
        <f>Skills!B3</f>
        <v/>
      </c>
      <c r="C692">
        <f>Inputs!$B$3&gt;=35</f>
        <v/>
      </c>
      <c r="D692">
        <f>IF(Skills!C3=1,60+(Inputs!$B$24+1)+Inputs!$B$28,IF(Skills!C3=2,90+Inputs!$B$25+Inputs!$B$28,IF(Skills!C3=3,120+Inputs!$B$26+Inputs!$B$28,MAX(0,(Inputs!$B$3-100)*3)+Inputs!$B$27+Inputs!$B$28)))</f>
        <v/>
      </c>
      <c r="E692">
        <f>INDEX(FactorTable!$B$2:$Y$301, MATCH(ROUND(MIN(300,MAX(1,D692)),0), FactorTable!$A$2:$A$301,0), Skills!M3+1)</f>
        <v/>
      </c>
      <c r="F692">
        <f>IF(Skills!N3=TRUE,(Skills!L3/10)*(E692/1000),Skills!L3/10)+Skills!O3</f>
        <v/>
      </c>
      <c r="G692">
        <f>Skills!G3*IF(Skills!H3&gt;0,Skills!I3/Skills!H3,1)</f>
        <v/>
      </c>
      <c r="H692">
        <f>1-(1-Skills!J3/100)^Skills!K3</f>
        <v/>
      </c>
      <c r="I692" t="inlineStr">
        <is>
          <t>1</t>
        </is>
      </c>
      <c r="J692">
        <f>(Inputs!$B$5*(1+Inputs!$B$6/100))*(F692/100)</f>
        <v/>
      </c>
      <c r="K692">
        <f>J692*(1+((Inputs!$B$11*(1+Inputs!$B$12/100))*0.01+Inputs!$B$13*0.0025)/100)*(1+Inputs!$B$14/100)*(1+IF(Inputs!$B$4="pvp",0,(1-Summary!$B$55)*(Inputs!$B$19+0+Skills!P3)+Summary!$B$55*(Inputs!$B$20+Skills!Q3))/100)*(1+Inputs!$B$15/100)*(5000/(6000+Inputs!$B$7*(1-(Inputs!$B$18+0)/100)))*(1+(Inputs!$B$23+((C715=TRUE)*(F715-Calc!F26))+B725)/100)*(1+4.0*IF(C704=TRUE,F704,0)/100)*(1+(IF(Skills!A3="EIGHT_LEGS_EASTON",Inputs!$B$16+((C712=TRUE)*(F712-Calc!F23))+((C716=TRUE)*(F716-Calc!F27)),Inputs!$B$17+0))/100)*((1+(((C706=TRUE)*F706)+((C713=TRUE)*(F713-Calc!F24)))/100)*I692)</f>
        <v/>
      </c>
      <c r="L692">
        <f>K692*(MIN(Inputs!$B$21+((C711=TRUE)*(F711-Calc!F22)),Inputs!$B$22+0)/100+(Inputs!$B$22+0)/100)/2</f>
        <v/>
      </c>
      <c r="M692">
        <f>L692*(1+(Inputs!$B$9+((C714=TRUE)*(F714-Calc!F25))+B724)/100)</f>
        <v/>
      </c>
      <c r="N692">
        <f>L692*(1-MIN((Inputs!$B$8+((C708=TRUE)*(F708-Calc!F19))+B719),100)/100)+M692*(MIN((Inputs!$B$8+((C708=TRUE)*(F708-Calc!F19))+B719),100)/100)</f>
        <v/>
      </c>
      <c r="O692">
        <f>IF(C692,H692*N692*IF(AND(Inputs!$B$4&lt;&gt;"pvp",Inputs!$B$35&gt;0),((Skills!G3*((R692-1)*IF(Skills!H3&gt;0,Skills!I3/Skills!H3,1)+IF(Skills!H3&gt;0,MIN(Skills!I3,MAX(0,Inputs!$B$35-((R692-1)*IF(Inputs!$B$4="pvp",15,MAX(0.1,Skills!D3-IF(Skills!E3=TRUE,Inputs!$B$31,0))))))/Skills!H3,1)))/Inputs!$B$35),G692*Q692)*IF(Inputs!$B$4="pvp",1,(1-Summary!$B$55)*(1)+Summary!$B$55*(MIN(Skills!R3,Inputs!$B$37))),0)</f>
        <v/>
      </c>
      <c r="P692">
        <f>IF(B727=0,0,O692/B727)</f>
        <v/>
      </c>
      <c r="Q692">
        <f>IFERROR(1/IF(Inputs!$B$4="pvp",15,MAX(0.1,Skills!D3-IF(Skills!E3=TRUE,Inputs!$B$31,0))),0)</f>
        <v/>
      </c>
      <c r="R692">
        <f>IF(AND(Inputs!$B$4&lt;&gt;"pvp",Inputs!$B$35&gt;0),(INT(Inputs!$B$35/IF(Inputs!$B$4="pvp",15,MAX(0.1,Skills!D3-IF(Skills!E3=TRUE,Inputs!$B$31,0))))+1),0)</f>
        <v/>
      </c>
      <c r="S692">
        <f>IFERROR(O692/N692,0)</f>
        <v/>
      </c>
      <c r="U692">
        <f>INDEX(FactorTable!$B$2:$Y$301, MATCH(ROUND(MIN(300,MAX(1,U691)),0), FactorTable!$A$2:$A$301,0), 22)</f>
        <v/>
      </c>
    </row>
    <row r="693">
      <c r="A693">
        <f>Skills!A4</f>
        <v/>
      </c>
      <c r="B693">
        <f>Skills!B4</f>
        <v/>
      </c>
      <c r="C693">
        <f>Inputs!$B$3&gt;=40</f>
        <v/>
      </c>
      <c r="D693">
        <f>IF(Skills!C4=1,60+(Inputs!$B$24+1)+Inputs!$B$28,IF(Skills!C4=2,90+Inputs!$B$25+Inputs!$B$28,IF(Skills!C4=3,120+Inputs!$B$26+Inputs!$B$28,MAX(0,(Inputs!$B$3-100)*3)+Inputs!$B$27+Inputs!$B$28)))</f>
        <v/>
      </c>
      <c r="E693">
        <f>INDEX(FactorTable!$B$2:$Y$301, MATCH(ROUND(MIN(300,MAX(1,D693)),0), FactorTable!$A$2:$A$301,0), Skills!M4+1)</f>
        <v/>
      </c>
      <c r="F693">
        <f>IF(Skills!N4=TRUE,(Skills!L4/10)*(E693/1000),Skills!L4/10)+Skills!O4</f>
        <v/>
      </c>
      <c r="G693">
        <f>Skills!G4*IF(Skills!H4&gt;0,Skills!I4/Skills!H4,1)</f>
        <v/>
      </c>
      <c r="H693">
        <f>1-(1-Skills!J4/100)^Skills!K4</f>
        <v/>
      </c>
      <c r="I693" t="inlineStr">
        <is>
          <t>1</t>
        </is>
      </c>
      <c r="J693">
        <f>(Inputs!$B$5*(1+Inputs!$B$6/100))*(F693/100)</f>
        <v/>
      </c>
      <c r="K693">
        <f>J693*(1+((Inputs!$B$11*(1+Inputs!$B$12/100))*0.01+Inputs!$B$13*0.0025)/100)*(1+Inputs!$B$14/100)*(1+IF(Inputs!$B$4="pvp",0,(1-Summary!$B$55)*(Inputs!$B$19+0+Skills!P4)+Summary!$B$55*(Inputs!$B$20+Skills!Q4))/100)*(1+Inputs!$B$15/100)*(5000/(6000+Inputs!$B$7*(1-(Inputs!$B$18+0)/100)))*(1+(Inputs!$B$23+((C715=TRUE)*(F715-Calc!F26))+B725)/100)*(1+1.0*IF(C705=TRUE,F705,0)/100)*(1+(IF(Skills!A4="EIGHT_LEGS_EASTON",Inputs!$B$16+((C712=TRUE)*(F712-Calc!F23))+((C716=TRUE)*(F716-Calc!F27)),Inputs!$B$17+0))/100)*((1+(((C706=TRUE)*F706)+((C713=TRUE)*(F713-Calc!F24)))/100)*I693)</f>
        <v/>
      </c>
      <c r="L693">
        <f>K693*(MIN(Inputs!$B$21+((C711=TRUE)*(F711-Calc!F22)),Inputs!$B$22+0)/100+(Inputs!$B$22+0)/100)/2</f>
        <v/>
      </c>
      <c r="M693">
        <f>L693*(1+(Inputs!$B$9+((C714=TRUE)*(F714-Calc!F25))+B724)/100)</f>
        <v/>
      </c>
      <c r="N693">
        <f>L693*(1-MIN((Inputs!$B$8+((C708=TRUE)*(F708-Calc!F19))+B719),100)/100)+M693*(MIN((Inputs!$B$8+((C708=TRUE)*(F708-Calc!F19))+B719),100)/100)</f>
        <v/>
      </c>
      <c r="O693">
        <f>IF(C693,H693*N693*IF(AND(Inputs!$B$4&lt;&gt;"pvp",Inputs!$B$35&gt;0),((Skills!G4*((R693-1)*IF(Skills!H4&gt;0,Skills!I4/Skills!H4,1)+IF(Skills!H4&gt;0,MIN(Skills!I4,MAX(0,Inputs!$B$35-((R693-1)*IF(Inputs!$B$4="pvp",15,MAX(0.1,Skills!D4-IF(Skills!E4=TRUE,Inputs!$B$31,0))))))/Skills!H4,1)))/Inputs!$B$35),G693*Q693)*IF(Inputs!$B$4="pvp",1,(1-Summary!$B$55)*(1)+Summary!$B$55*(MIN(Skills!R4,Inputs!$B$37))),0)</f>
        <v/>
      </c>
      <c r="P693">
        <f>IF(B727=0,0,O693/B727)</f>
        <v/>
      </c>
      <c r="Q693">
        <f>IFERROR(1/IF(Inputs!$B$4="pvp",15,MAX(0.1,Skills!D4-IF(Skills!E4=TRUE,Inputs!$B$31,0))),0)</f>
        <v/>
      </c>
      <c r="R693">
        <f>IF(AND(Inputs!$B$4&lt;&gt;"pvp",Inputs!$B$35&gt;0),(INT(Inputs!$B$35/IF(Inputs!$B$4="pvp",15,MAX(0.1,Skills!D4-IF(Skills!E4=TRUE,Inputs!$B$31,0))))+1),0)</f>
        <v/>
      </c>
      <c r="S693">
        <f>IFERROR(O693/N693,0)</f>
        <v/>
      </c>
      <c r="U693">
        <f>290*U692/1000</f>
        <v/>
      </c>
    </row>
    <row r="694">
      <c r="A694">
        <f>Skills!A5</f>
        <v/>
      </c>
      <c r="B694">
        <f>Skills!B5</f>
        <v/>
      </c>
      <c r="C694">
        <f>Inputs!$B$3&gt;=45</f>
        <v/>
      </c>
      <c r="D694">
        <f>IF(Skills!C5=1,60+(Inputs!$B$24+1)+Inputs!$B$28,IF(Skills!C5=2,90+Inputs!$B$25+Inputs!$B$28,IF(Skills!C5=3,120+Inputs!$B$26+Inputs!$B$28,MAX(0,(Inputs!$B$3-100)*3)+Inputs!$B$27+Inputs!$B$28)))</f>
        <v/>
      </c>
      <c r="E694">
        <f>INDEX(FactorTable!$B$2:$Y$301, MATCH(ROUND(MIN(300,MAX(1,D694)),0), FactorTable!$A$2:$A$301,0), Skills!M5+1)</f>
        <v/>
      </c>
      <c r="F694">
        <f>IF(Skills!N5=TRUE,(Skills!L5/10)*(E694/1000),Skills!L5/10)+Skills!O5</f>
        <v/>
      </c>
      <c r="G694">
        <f>Skills!G5*IF(Skills!H5&gt;0,Skills!I5/Skills!H5,1)</f>
        <v/>
      </c>
      <c r="H694">
        <f>1-(1-Skills!J5/100)^Skills!K5</f>
        <v/>
      </c>
      <c r="I694" t="inlineStr">
        <is>
          <t>1</t>
        </is>
      </c>
      <c r="J694">
        <f>(Inputs!$B$5*(1+Inputs!$B$6/100))*(F694/100)</f>
        <v/>
      </c>
      <c r="K694">
        <f>J694*(1+((Inputs!$B$11*(1+Inputs!$B$12/100))*0.01+Inputs!$B$13*0.0025)/100)*(1+Inputs!$B$14/100)*(1+IF(Inputs!$B$4="pvp",0,(1-Summary!$B$55)*(Inputs!$B$19+0+Skills!P5)+Summary!$B$55*(Inputs!$B$20+Skills!Q5))/100)*(1+Inputs!$B$15/100)*(5000/(6000+Inputs!$B$7*(1-(Inputs!$B$18+0)/100)))*(1+(Inputs!$B$23+((C715=TRUE)*(F715-Calc!F26))+B725)/100)*(1+0.4*IF(C705=TRUE,F705,0)/100)*(1+(IF(Skills!A5="EIGHT_LEGS_EASTON",Inputs!$B$16+((C712=TRUE)*(F712-Calc!F23))+((C716=TRUE)*(F716-Calc!F27)),Inputs!$B$17+0))/100)*((1+(((C706=TRUE)*F706)+((C713=TRUE)*(F713-Calc!F24)))/100)*I694)</f>
        <v/>
      </c>
      <c r="L694">
        <f>K694*(MIN(Inputs!$B$21+((C711=TRUE)*(F711-Calc!F22)),Inputs!$B$22+0)/100+(Inputs!$B$22+0)/100)/2</f>
        <v/>
      </c>
      <c r="M694">
        <f>L694*(1+(Inputs!$B$9+((C714=TRUE)*(F714-Calc!F25))+B724)/100)</f>
        <v/>
      </c>
      <c r="N694">
        <f>L694*(1-MIN((Inputs!$B$8+((C708=TRUE)*(F708-Calc!F19))+B719),100)/100)+M694*(MIN((Inputs!$B$8+((C708=TRUE)*(F708-Calc!F19))+B719),100)/100)</f>
        <v/>
      </c>
      <c r="O694">
        <f>IF(C694,H694*N694*IF(AND(Inputs!$B$4&lt;&gt;"pvp",Inputs!$B$35&gt;0),((Skills!G5*((R694-1)*IF(Skills!H5&gt;0,Skills!I5/Skills!H5,1)+IF(Skills!H5&gt;0,MIN(Skills!I5,MAX(0,Inputs!$B$35-((R694-1)*IF(Inputs!$B$4="pvp",15,MAX(0.1,Skills!D5-IF(Skills!E5=TRUE,Inputs!$B$31,0))))))/Skills!H5,1)))/Inputs!$B$35),G694*Q694)*IF(Inputs!$B$4="pvp",1,(1-Summary!$B$55)*(1)+Summary!$B$55*(MIN(Skills!R5,Inputs!$B$37))),0)</f>
        <v/>
      </c>
      <c r="P694">
        <f>IF(B727=0,0,O694/B727)</f>
        <v/>
      </c>
      <c r="Q694">
        <f>IFERROR(1/IF(Inputs!$B$4="pvp",15,MAX(0.1,Skills!D5-IF(Skills!E5=TRUE,Inputs!$B$31,0))),0)</f>
        <v/>
      </c>
      <c r="R694">
        <f>IF(AND(Inputs!$B$4&lt;&gt;"pvp",Inputs!$B$35&gt;0),(INT(Inputs!$B$35/IF(Inputs!$B$4="pvp",15,MAX(0.1,Skills!D5-IF(Skills!E5=TRUE,Inputs!$B$31,0))))+1),0)</f>
        <v/>
      </c>
      <c r="S694">
        <f>IFERROR(O694/N694,0)</f>
        <v/>
      </c>
    </row>
    <row r="695">
      <c r="A695">
        <f>Skills!A6</f>
        <v/>
      </c>
      <c r="B695">
        <f>Skills!B6</f>
        <v/>
      </c>
      <c r="C695">
        <f>Inputs!$B$3&gt;=63</f>
        <v/>
      </c>
      <c r="D695">
        <f>IF(Skills!C6=1,60+(Inputs!$B$24+1)+Inputs!$B$28,IF(Skills!C6=2,90+Inputs!$B$25+Inputs!$B$28,IF(Skills!C6=3,120+Inputs!$B$26+Inputs!$B$28,MAX(0,(Inputs!$B$3-100)*3)+Inputs!$B$27+Inputs!$B$28)))</f>
        <v/>
      </c>
      <c r="E695">
        <f>INDEX(FactorTable!$B$2:$Y$301, MATCH(ROUND(MIN(300,MAX(1,D695)),0), FactorTable!$A$2:$A$301,0), Skills!M6+1)</f>
        <v/>
      </c>
      <c r="F695">
        <f>IF(Skills!N6=TRUE,(Skills!L6/10)*(E695/1000),Skills!L6/10)+Skills!O6</f>
        <v/>
      </c>
      <c r="G695">
        <f>Skills!G6*IF(Skills!H6&gt;0,Skills!I6/Skills!H6,1)</f>
        <v/>
      </c>
      <c r="H695">
        <f>1-(1-Skills!J6/100)^Skills!K6</f>
        <v/>
      </c>
      <c r="I695" t="inlineStr">
        <is>
          <t>1</t>
        </is>
      </c>
      <c r="J695">
        <f>(Inputs!$B$5*(1+Inputs!$B$6/100))*(F695/100)</f>
        <v/>
      </c>
      <c r="K695">
        <f>J695*(1+((Inputs!$B$11*(1+Inputs!$B$12/100))*0.01+Inputs!$B$13*0.0025)/100)*(1+Inputs!$B$14/100)*(1+IF(Inputs!$B$4="pvp",0,(1-Summary!$B$55)*(Inputs!$B$19+0+Skills!P6)+Summary!$B$55*(Inputs!$B$20+Skills!Q6))/100)*(1+Inputs!$B$15/100)*(5000/(6000+Inputs!$B$7*(1-(Inputs!$B$18+0)/100)))*(1+(Inputs!$B$23+((C715=TRUE)*(F715-Calc!F26))+B725)/100)*(1+2.0*IF(C704=TRUE,F704,0)/100)*(1+(IF(Skills!A6="EIGHT_LEGS_EASTON",Inputs!$B$16+((C712=TRUE)*(F712-Calc!F23))+((C716=TRUE)*(F716-Calc!F27)),Inputs!$B$17+0))/100)*((1+(((C706=TRUE)*F706)+((C713=TRUE)*(F713-Calc!F24)))/100)*I695)</f>
        <v/>
      </c>
      <c r="L695">
        <f>K695*(MIN(Inputs!$B$21+((C711=TRUE)*(F711-Calc!F22)),Inputs!$B$22+0)/100+(Inputs!$B$22+0)/100)/2</f>
        <v/>
      </c>
      <c r="M695">
        <f>L695*(1+(Inputs!$B$9+((C714=TRUE)*(F714-Calc!F25))+B724)/100)</f>
        <v/>
      </c>
      <c r="N695">
        <f>L695*(1-MIN((Inputs!$B$8+((C708=TRUE)*(F708-Calc!F19))+B719),100)/100)+M695*(MIN((Inputs!$B$8+((C708=TRUE)*(F708-Calc!F19))+B719),100)/100)</f>
        <v/>
      </c>
      <c r="O695">
        <f>IF(C695,H695*N695*IF(AND(Inputs!$B$4&lt;&gt;"pvp",Inputs!$B$35&gt;0),((Skills!G6*((R695-1)*IF(Skills!H6&gt;0,Skills!I6/Skills!H6,1)+IF(Skills!H6&gt;0,MIN(Skills!I6,MAX(0,Inputs!$B$35-((R695-1)*IF(Inputs!$B$4="pvp",15,MAX(0.1,Skills!D6-IF(Skills!E6=TRUE,Inputs!$B$31,0))))))/Skills!H6,1)))/Inputs!$B$35),G695*Q695)*IF(Inputs!$B$4="pvp",1,(1-Summary!$B$55)*(1)+Summary!$B$55*(MIN(Skills!R6,Inputs!$B$37))),0)</f>
        <v/>
      </c>
      <c r="P695">
        <f>IF(B727=0,0,O695/B727)</f>
        <v/>
      </c>
      <c r="Q695">
        <f>IFERROR(1/IF(Inputs!$B$4="pvp",15,MAX(0.1,Skills!D6-IF(Skills!E6=TRUE,Inputs!$B$31,0))),0)</f>
        <v/>
      </c>
      <c r="R695">
        <f>IF(AND(Inputs!$B$4&lt;&gt;"pvp",Inputs!$B$35&gt;0),(INT(Inputs!$B$35/IF(Inputs!$B$4="pvp",15,MAX(0.1,Skills!D6-IF(Skills!E6=TRUE,Inputs!$B$31,0))))+1),0)</f>
        <v/>
      </c>
      <c r="S695">
        <f>IFERROR(O695/N695,0)</f>
        <v/>
      </c>
    </row>
    <row r="696">
      <c r="A696">
        <f>Skills!A7</f>
        <v/>
      </c>
      <c r="B696">
        <f>Skills!B7</f>
        <v/>
      </c>
      <c r="C696">
        <f>Inputs!$B$3&gt;=66</f>
        <v/>
      </c>
      <c r="D696">
        <f>IF(Skills!C7=1,60+(Inputs!$B$24+1)+Inputs!$B$28,IF(Skills!C7=2,90+Inputs!$B$25+Inputs!$B$28,IF(Skills!C7=3,120+Inputs!$B$26+Inputs!$B$28,MAX(0,(Inputs!$B$3-100)*3)+Inputs!$B$27+Inputs!$B$28)))</f>
        <v/>
      </c>
      <c r="E696">
        <f>INDEX(FactorTable!$B$2:$Y$301, MATCH(ROUND(MIN(300,MAX(1,D696)),0), FactorTable!$A$2:$A$301,0), Skills!M7+1)</f>
        <v/>
      </c>
      <c r="F696">
        <f>IF(Skills!N7=TRUE,(Skills!L7/10)*(E696/1000),Skills!L7/10)+Skills!O7</f>
        <v/>
      </c>
      <c r="G696">
        <f>Skills!G7*IF(Skills!H7&gt;0,Skills!I7/Skills!H7,1)</f>
        <v/>
      </c>
      <c r="H696">
        <f>1-(1-Skills!J7/100)^Skills!K7</f>
        <v/>
      </c>
      <c r="I696" t="inlineStr">
        <is>
          <t>1</t>
        </is>
      </c>
      <c r="J696">
        <f>(Inputs!$B$5*(1+Inputs!$B$6/100))*(F696/100)</f>
        <v/>
      </c>
      <c r="K696">
        <f>J696*(1+((Inputs!$B$11*(1+Inputs!$B$12/100))*0.01+Inputs!$B$13*0.0025)/100)*(1+Inputs!$B$14/100)*(1+IF(Inputs!$B$4="pvp",0,(1-Summary!$B$55)*(Inputs!$B$19+0+Skills!P7)+Summary!$B$55*(Inputs!$B$20+Skills!Q7))/100)*(1+Inputs!$B$15/100)*(5000/(6000+Inputs!$B$7*(1-(Inputs!$B$18+0)/100)))*(1+(Inputs!$B$23+((C715=TRUE)*(F715-Calc!F26))+B725)/100)*(1+1.0*IF(C704=TRUE,F704,0)/100)*(1+(IF(Skills!A7="EIGHT_LEGS_EASTON",Inputs!$B$16+((C712=TRUE)*(F712-Calc!F23))+((C716=TRUE)*(F716-Calc!F27)),Inputs!$B$17+0))/100)*((1+(((C706=TRUE)*F706)+((C713=TRUE)*(F713-Calc!F24)))/100)*I696)</f>
        <v/>
      </c>
      <c r="L696">
        <f>K696*(MIN(Inputs!$B$21+((C711=TRUE)*(F711-Calc!F22)),Inputs!$B$22+0)/100+(Inputs!$B$22+0)/100)/2</f>
        <v/>
      </c>
      <c r="M696">
        <f>L696*(1+(Inputs!$B$9+((C714=TRUE)*(F714-Calc!F25))+B724)/100)</f>
        <v/>
      </c>
      <c r="N696">
        <f>L696*(1-MIN((Inputs!$B$8+((C708=TRUE)*(F708-Calc!F19))+B719),100)/100)+M696*(MIN((Inputs!$B$8+((C708=TRUE)*(F708-Calc!F19))+B719),100)/100)</f>
        <v/>
      </c>
      <c r="O696">
        <f>IF(C696,H696*N696*IF(AND(Inputs!$B$4&lt;&gt;"pvp",Inputs!$B$35&gt;0),((Skills!G7*((R696-1)*IF(Skills!H7&gt;0,Skills!I7/Skills!H7,1)+IF(Skills!H7&gt;0,MIN(Skills!I7,MAX(0,Inputs!$B$35-((R696-1)*IF(Inputs!$B$4="pvp",15,MAX(0.1,Skills!D7-IF(Skills!E7=TRUE,Inputs!$B$31,0))))))/Skills!H7,1)))/Inputs!$B$35),G696*Q696)*IF(Inputs!$B$4="pvp",1,(1-Summary!$B$55)*(1)+Summary!$B$55*(MIN(Skills!R7,Inputs!$B$37))),0)</f>
        <v/>
      </c>
      <c r="P696">
        <f>IF(B727=0,0,O696/B727)</f>
        <v/>
      </c>
      <c r="Q696">
        <f>IFERROR(1/IF(Inputs!$B$4="pvp",15,MAX(0.1,Skills!D7-IF(Skills!E7=TRUE,Inputs!$B$31,0))),0)</f>
        <v/>
      </c>
      <c r="R696">
        <f>IF(AND(Inputs!$B$4&lt;&gt;"pvp",Inputs!$B$35&gt;0),(INT(Inputs!$B$35/IF(Inputs!$B$4="pvp",15,MAX(0.1,Skills!D7-IF(Skills!E7=TRUE,Inputs!$B$31,0))))+1),0)</f>
        <v/>
      </c>
      <c r="S696">
        <f>IFERROR(O696/N696,0)</f>
        <v/>
      </c>
    </row>
    <row r="697">
      <c r="A697">
        <f>Skills!A8</f>
        <v/>
      </c>
      <c r="B697">
        <f>Skills!B8</f>
        <v/>
      </c>
      <c r="C697">
        <f>Inputs!$B$3&gt;=100</f>
        <v/>
      </c>
      <c r="D697">
        <f>IF(Skills!C8=1,60+(Inputs!$B$24+1)+Inputs!$B$28,IF(Skills!C8=2,90+Inputs!$B$25+Inputs!$B$28,IF(Skills!C8=3,120+Inputs!$B$26+Inputs!$B$28,MAX(0,(Inputs!$B$3-100)*3)+Inputs!$B$27+Inputs!$B$28)))</f>
        <v/>
      </c>
      <c r="E697">
        <f>INDEX(FactorTable!$B$2:$Y$301, MATCH(ROUND(MIN(300,MAX(1,D697)),0), FactorTable!$A$2:$A$301,0), Skills!M8+1)</f>
        <v/>
      </c>
      <c r="F697">
        <f>IF(Skills!N8=TRUE,(Skills!L8/10)*(E697/1000),Skills!L8/10)+Skills!O8</f>
        <v/>
      </c>
      <c r="G697">
        <f>Skills!G8*IF(Skills!H8&gt;0,Skills!I8/Skills!H8,1)</f>
        <v/>
      </c>
      <c r="H697">
        <f>1-(1-Skills!J8/100)^Skills!K8</f>
        <v/>
      </c>
      <c r="I697" t="inlineStr">
        <is>
          <t>1</t>
        </is>
      </c>
      <c r="J697">
        <f>(Inputs!$B$5*(1+Inputs!$B$6/100))*(F697/100)</f>
        <v/>
      </c>
      <c r="K697">
        <f>J697*(1+((Inputs!$B$11*(1+Inputs!$B$12/100))*0.01+Inputs!$B$13*0.0025)/100)*(1+Inputs!$B$14/100)*(1+IF(Inputs!$B$4="pvp",0,(1-Summary!$B$55)*(Inputs!$B$19+0+Skills!P8)+Summary!$B$55*(Inputs!$B$20+Skills!Q8))/100)*(1+Inputs!$B$15/100)*(5000/(6000+Inputs!$B$7*(1-(Inputs!$B$18+0)/100)))*(1+(Inputs!$B$23+((C715=TRUE)*(F715-Calc!F26))+B725)/100)*(1+(IF(Skills!A8="EIGHT_LEGS_EASTON",Inputs!$B$16+((C712=TRUE)*(F712-Calc!F23))+((C716=TRUE)*(F716-Calc!F27)),Inputs!$B$17+0))/100)*((1+(((C706=TRUE)*F706)+((C713=TRUE)*(F713-Calc!F24)))/100)*I697)</f>
        <v/>
      </c>
      <c r="L697">
        <f>K697*(MIN(Inputs!$B$21+((C711=TRUE)*(F711-Calc!F22)),Inputs!$B$22+0)/100+(Inputs!$B$22+0)/100)/2</f>
        <v/>
      </c>
      <c r="M697">
        <f>L697*(1+(Inputs!$B$9+((C714=TRUE)*(F714-Calc!F25))+B724)/100)</f>
        <v/>
      </c>
      <c r="N697">
        <f>L697*(1-MIN((Inputs!$B$8+((C708=TRUE)*(F708-Calc!F19))+B719),100)/100)+M697*(MIN((Inputs!$B$8+((C708=TRUE)*(F708-Calc!F19))+B719),100)/100)</f>
        <v/>
      </c>
      <c r="O697">
        <f>IF(C697,H697*N697*IF(AND(Inputs!$B$4&lt;&gt;"pvp",Inputs!$B$35&gt;0),((Skills!G8*((R697-1)*IF(Skills!H8&gt;0,Skills!I8/Skills!H8,1)+IF(Skills!H8&gt;0,MIN(Skills!I8,MAX(0,Inputs!$B$35-((R697-1)*IF(Inputs!$B$4="pvp",15,MAX(0.1,Skills!D8-IF(Skills!E8=TRUE,Inputs!$B$31,0))))))/Skills!H8,1)))/Inputs!$B$35),G697*Q697)*IF(Inputs!$B$4="pvp",1,(1-Summary!$B$55)*(1)+Summary!$B$55*(MIN(Skills!R8,Inputs!$B$37))),0)</f>
        <v/>
      </c>
      <c r="P697">
        <f>IF(B727=0,0,O697/B727)</f>
        <v/>
      </c>
      <c r="Q697">
        <f>IFERROR(1/IF(Inputs!$B$4="pvp",15,MAX(0.1,Skills!D8-IF(Skills!E8=TRUE,Inputs!$B$31,0))),0)</f>
        <v/>
      </c>
      <c r="R697">
        <f>IF(AND(Inputs!$B$4&lt;&gt;"pvp",Inputs!$B$35&gt;0),(INT(Inputs!$B$35/IF(Inputs!$B$4="pvp",15,MAX(0.1,Skills!D8-IF(Skills!E8=TRUE,Inputs!$B$31,0))))+1),0)</f>
        <v/>
      </c>
      <c r="S697">
        <f>IFERROR(O697/N697,0)</f>
        <v/>
      </c>
    </row>
    <row r="698">
      <c r="A698">
        <f>Skills!A9</f>
        <v/>
      </c>
      <c r="B698">
        <f>Skills!B9</f>
        <v/>
      </c>
      <c r="C698">
        <f>Inputs!$B$3&gt;=103</f>
        <v/>
      </c>
      <c r="D698">
        <f>IF(Skills!C9=1,60+(Inputs!$B$24+1)+Inputs!$B$28,IF(Skills!C9=2,90+Inputs!$B$25+Inputs!$B$28,IF(Skills!C9=3,120+Inputs!$B$26+Inputs!$B$28,MAX(0,(Inputs!$B$3-100)*3)+Inputs!$B$27+Inputs!$B$28)))</f>
        <v/>
      </c>
      <c r="E698">
        <f>INDEX(FactorTable!$B$2:$Y$301, MATCH(ROUND(MIN(300,MAX(1,D698)),0), FactorTable!$A$2:$A$301,0), Skills!M9+1)</f>
        <v/>
      </c>
      <c r="F698">
        <f>IF(Skills!N9=TRUE,(Skills!L9/10)*(E698/1000),Skills!L9/10)+Skills!O9</f>
        <v/>
      </c>
      <c r="G698">
        <f>Skills!G9*IF(Skills!H9&gt;0,Skills!I9/Skills!H9,1)</f>
        <v/>
      </c>
      <c r="H698">
        <f>1-(1-Skills!J9/100)^Skills!K9</f>
        <v/>
      </c>
      <c r="I698" t="inlineStr">
        <is>
          <t>1</t>
        </is>
      </c>
      <c r="J698">
        <f>(Inputs!$B$5*(1+Inputs!$B$6/100))*(F698/100)</f>
        <v/>
      </c>
      <c r="K698">
        <f>J698*(1+((Inputs!$B$11*(1+Inputs!$B$12/100))*0.01+Inputs!$B$13*0.0025)/100)*(1+Inputs!$B$14/100)*(1+IF(Inputs!$B$4="pvp",0,(1-Summary!$B$55)*(Inputs!$B$19+0+Skills!P9)+Summary!$B$55*(Inputs!$B$20+Skills!Q9))/100)*(1+Inputs!$B$15/100)*(5000/(6000+Inputs!$B$7*(1-(Inputs!$B$18+0)/100)))*(1+(Inputs!$B$23+((C715=TRUE)*(F715-Calc!F26))+B725)/100)*(1+(IF(Skills!A9="EIGHT_LEGS_EASTON",Inputs!$B$16+((C712=TRUE)*(F712-Calc!F23))+((C716=TRUE)*(F716-Calc!F27)),Inputs!$B$17+0))/100)*((1+(((C706=TRUE)*F706)+((C713=TRUE)*(F713-Calc!F24)))/100)*I698)</f>
        <v/>
      </c>
      <c r="L698">
        <f>K698*(MIN(Inputs!$B$21+((C711=TRUE)*(F711-Calc!F22)),Inputs!$B$22+0)/100+(Inputs!$B$22+0)/100)/2</f>
        <v/>
      </c>
      <c r="M698">
        <f>L698*(1+(Inputs!$B$9+((C714=TRUE)*(F714-Calc!F25))+B724)/100)</f>
        <v/>
      </c>
      <c r="N698">
        <f>L698*(1-MIN((Inputs!$B$8+((C708=TRUE)*(F708-Calc!F19))+B719),100)/100)+M698*(MIN((Inputs!$B$8+((C708=TRUE)*(F708-Calc!F19))+B719),100)/100)</f>
        <v/>
      </c>
      <c r="O698">
        <f>IF(C698,H698*N698*IF(AND(Inputs!$B$4&lt;&gt;"pvp",Inputs!$B$35&gt;0),((Skills!G9*((R698-1)*IF(Skills!H9&gt;0,Skills!I9/Skills!H9,1)+IF(Skills!H9&gt;0,MIN(Skills!I9,MAX(0,Inputs!$B$35-((R698-1)*IF(Inputs!$B$4="pvp",15,MAX(0.1,Skills!D9-IF(Skills!E9=TRUE,Inputs!$B$31,0))))))/Skills!H9,1)))/Inputs!$B$35),G698*Q698)*IF(Inputs!$B$4="pvp",1,(1-Summary!$B$55)*(1)+Summary!$B$55*(MIN(Skills!R9,Inputs!$B$37))),0)</f>
        <v/>
      </c>
      <c r="P698">
        <f>IF(B727=0,0,O698/B727)</f>
        <v/>
      </c>
      <c r="Q698">
        <f>IFERROR(1/IF(Inputs!$B$4="pvp",15,MAX(0.1,Skills!D9-IF(Skills!E9=TRUE,Inputs!$B$31,0))),0)</f>
        <v/>
      </c>
      <c r="R698">
        <f>IF(AND(Inputs!$B$4&lt;&gt;"pvp",Inputs!$B$35&gt;0),(INT(Inputs!$B$35/IF(Inputs!$B$4="pvp",15,MAX(0.1,Skills!D9-IF(Skills!E9=TRUE,Inputs!$B$31,0))))+1),0)</f>
        <v/>
      </c>
      <c r="S698">
        <f>IFERROR(O698/N698,0)</f>
        <v/>
      </c>
    </row>
    <row r="699">
      <c r="A699">
        <f>Skills!A10</f>
        <v/>
      </c>
      <c r="B699">
        <f>Skills!B10</f>
        <v/>
      </c>
      <c r="C699">
        <f>Inputs!$B$3&gt;=113</f>
        <v/>
      </c>
      <c r="D699">
        <f>IF(Skills!C10=1,60+(Inputs!$B$24+1)+Inputs!$B$28,IF(Skills!C10=2,90+Inputs!$B$25+Inputs!$B$28,IF(Skills!C10=3,120+Inputs!$B$26+Inputs!$B$28,MAX(0,(Inputs!$B$3-100)*3)+Inputs!$B$27+Inputs!$B$28)))</f>
        <v/>
      </c>
      <c r="E699">
        <f>INDEX(FactorTable!$B$2:$Y$301, MATCH(ROUND(MIN(300,MAX(1,D699)),0), FactorTable!$A$2:$A$301,0), Skills!M10+1)</f>
        <v/>
      </c>
      <c r="F699">
        <f>IF(Skills!N10=TRUE,(Skills!L10/10)*(E699/1000),Skills!L10/10)+Skills!O10</f>
        <v/>
      </c>
      <c r="G699">
        <f>Skills!G10*IF(Skills!H10&gt;0,Skills!I10/Skills!H10,1)</f>
        <v/>
      </c>
      <c r="H699">
        <f>1-(1-Skills!J10/100)^Skills!K10</f>
        <v/>
      </c>
      <c r="I699" t="inlineStr">
        <is>
          <t>1</t>
        </is>
      </c>
      <c r="J699">
        <f>(Inputs!$B$5*(1+Inputs!$B$6/100))*(F699/100)</f>
        <v/>
      </c>
      <c r="K699">
        <f>J699*(1+((Inputs!$B$11*(1+Inputs!$B$12/100))*0.01+Inputs!$B$13*0.0025)/100)*(1+Inputs!$B$14/100)*(1+IF(Inputs!$B$4="pvp",0,(1-Summary!$B$55)*(Inputs!$B$19+0+Skills!P10)+Summary!$B$55*(Inputs!$B$20+Skills!Q10))/100)*(1+Inputs!$B$15/100)*(5000/(6000+Inputs!$B$7*(1-(Inputs!$B$18+0)/100)))*(1+(Inputs!$B$23+((C715=TRUE)*(F715-Calc!F26))+B725)/100)*(1+(IF(Skills!A10="EIGHT_LEGS_EASTON",Inputs!$B$16+((C712=TRUE)*(F712-Calc!F23))+((C716=TRUE)*(F716-Calc!F27)),Inputs!$B$17+0))/100)*((1+(((C706=TRUE)*F706)+((C713=TRUE)*(F713-Calc!F24)))/100)*I699)</f>
        <v/>
      </c>
      <c r="L699">
        <f>K699*(MIN(Inputs!$B$21+((C711=TRUE)*(F711-Calc!F22)),Inputs!$B$22+0)/100+(Inputs!$B$22+0)/100)/2</f>
        <v/>
      </c>
      <c r="M699">
        <f>L699*(1+(Inputs!$B$9+((C714=TRUE)*(F714-Calc!F25))+B724)/100)</f>
        <v/>
      </c>
      <c r="N699">
        <f>L699*(1-MIN((Inputs!$B$8+((C708=TRUE)*(F708-Calc!F19))+B719),100)/100)+M699*(MIN((Inputs!$B$8+((C708=TRUE)*(F708-Calc!F19))+B719),100)/100)</f>
        <v/>
      </c>
      <c r="O699">
        <f>IF(C699,H699*N699*IF(AND(Inputs!$B$4&lt;&gt;"pvp",Inputs!$B$35&gt;0),((Skills!G10*((R699-1)*IF(Skills!H10&gt;0,Skills!I10/Skills!H10,1)+IF(Skills!H10&gt;0,MIN(Skills!I10,MAX(0,Inputs!$B$35-((R699-1)*IF(Inputs!$B$4="pvp",15,MAX(0.1,Skills!D10-IF(Skills!E10=TRUE,Inputs!$B$31,0))))))/Skills!H10,1)))/Inputs!$B$35),G699*Q699)*IF(Inputs!$B$4="pvp",1,(1-Summary!$B$55)*(1)+Summary!$B$55*(MIN(Skills!R10,Inputs!$B$37))),0)</f>
        <v/>
      </c>
      <c r="P699">
        <f>IF(B727=0,0,O699/B727)</f>
        <v/>
      </c>
      <c r="Q699">
        <f>IFERROR(1/IF(Inputs!$B$4="pvp",15,MAX(0.1,Skills!D10-IF(Skills!E10=TRUE,Inputs!$B$31,0))),0)</f>
        <v/>
      </c>
      <c r="R699">
        <f>IF(AND(Inputs!$B$4&lt;&gt;"pvp",Inputs!$B$35&gt;0),(INT(Inputs!$B$35/IF(Inputs!$B$4="pvp",15,MAX(0.1,Skills!D10-IF(Skills!E10=TRUE,Inputs!$B$31,0))))+1),0)</f>
        <v/>
      </c>
      <c r="S699">
        <f>IFERROR(O699/N699,0)</f>
        <v/>
      </c>
    </row>
    <row r="700">
      <c r="A700">
        <f>Skills!A11</f>
        <v/>
      </c>
      <c r="B700">
        <f>Skills!B11</f>
        <v/>
      </c>
      <c r="C700">
        <f>Inputs!$B$3&gt;=107</f>
        <v/>
      </c>
      <c r="D700">
        <f>IF(Skills!C11=1,60+(Inputs!$B$24+1)+Inputs!$B$28,IF(Skills!C11=2,90+Inputs!$B$25+Inputs!$B$28,IF(Skills!C11=3,120+Inputs!$B$26+Inputs!$B$28,MAX(0,(Inputs!$B$3-100)*3)+Inputs!$B$27+Inputs!$B$28)))</f>
        <v/>
      </c>
      <c r="E700">
        <f>INDEX(FactorTable!$B$2:$Y$301, MATCH(ROUND(MIN(300,MAX(1,D700)),0), FactorTable!$A$2:$A$301,0), Skills!M11+1)</f>
        <v/>
      </c>
      <c r="F700">
        <f>IF(Skills!N11=TRUE,(Skills!L11/10)*(E700/1000),Skills!L11/10)+Skills!O11</f>
        <v/>
      </c>
      <c r="G700">
        <f>Skills!G11*IF(Skills!H11&gt;0,Skills!I11/Skills!H11,1)</f>
        <v/>
      </c>
      <c r="H700">
        <f>1-(1-Skills!J11/100)^Skills!K11</f>
        <v/>
      </c>
      <c r="I700" t="inlineStr">
        <is>
          <t>1</t>
        </is>
      </c>
      <c r="J700">
        <f>(Inputs!$B$5*(1+Inputs!$B$6/100))*(F700/100)</f>
        <v/>
      </c>
      <c r="K700">
        <f>J700*(1+((Inputs!$B$11*(1+Inputs!$B$12/100))*0.01+Inputs!$B$13*0.0025)/100)*(1+Inputs!$B$14/100)*(1+IF(Inputs!$B$4="pvp",0,(1-Summary!$B$55)*(Inputs!$B$19+0+Skills!P11)+Summary!$B$55*(Inputs!$B$20+Skills!Q11))/100)*(1+Inputs!$B$15/100)*(5000/(6000+Inputs!$B$7*(1-(Inputs!$B$18+0)/100)))*(1+(Inputs!$B$23+((C715=TRUE)*(F715-Calc!F26))+B725)/100)*(1+(IF(Skills!A11="EIGHT_LEGS_EASTON",Inputs!$B$16+((C712=TRUE)*(F712-Calc!F23))+((C716=TRUE)*(F716-Calc!F27)),Inputs!$B$17+0))/100)*((1+(((C706=TRUE)*F706)+((C713=TRUE)*(F713-Calc!F24)))/100)*I700)</f>
        <v/>
      </c>
      <c r="L700">
        <f>K700*(MIN(Inputs!$B$21+((C711=TRUE)*(F711-Calc!F22)),Inputs!$B$22+0)/100+(Inputs!$B$22+0)/100)/2</f>
        <v/>
      </c>
      <c r="M700">
        <f>L700*(1+(Inputs!$B$9+((C714=TRUE)*(F714-Calc!F25))+B724)/100)</f>
        <v/>
      </c>
      <c r="N700">
        <f>L700*(1-MIN((Inputs!$B$8+((C708=TRUE)*(F708-Calc!F19))+B719),100)/100)+M700*(MIN((Inputs!$B$8+((C708=TRUE)*(F708-Calc!F19))+B719),100)/100)</f>
        <v/>
      </c>
      <c r="O700">
        <f>IF(C700,H700*N700*IF(AND(Inputs!$B$4&lt;&gt;"pvp",Inputs!$B$35&gt;0),((Skills!G11*((R700-1)*IF(Skills!H11&gt;0,Skills!I11/Skills!H11,1)+IF(Skills!H11&gt;0,MIN(Skills!I11,MAX(0,Inputs!$B$35-((R700-1)*IF(Inputs!$B$4="pvp",15,MAX(0.1,Skills!D11-IF(Skills!E11=TRUE,Inputs!$B$31,0))))))/Skills!H11,1)))/Inputs!$B$35),G700*Q700)*IF(Inputs!$B$4="pvp",1,(1-Summary!$B$55)*(1)+Summary!$B$55*(MIN(Skills!R11,Inputs!$B$37))),0)</f>
        <v/>
      </c>
      <c r="P700">
        <f>IF(B727=0,0,O700/B727)</f>
        <v/>
      </c>
      <c r="Q700">
        <f>IFERROR(1/IF(Inputs!$B$4="pvp",15,MAX(0.1,Skills!D11-IF(Skills!E11=TRUE,Inputs!$B$31,0))),0)</f>
        <v/>
      </c>
      <c r="R700">
        <f>IF(AND(Inputs!$B$4&lt;&gt;"pvp",Inputs!$B$35&gt;0),(INT(Inputs!$B$35/IF(Inputs!$B$4="pvp",15,MAX(0.1,Skills!D11-IF(Skills!E11=TRUE,Inputs!$B$31,0))))+1),0)</f>
        <v/>
      </c>
      <c r="S700">
        <f>IFERROR(O700/N700,0)</f>
        <v/>
      </c>
    </row>
    <row r="701">
      <c r="A701">
        <f>Skills!A12</f>
        <v/>
      </c>
      <c r="B701">
        <f>Skills!B12</f>
        <v/>
      </c>
      <c r="C701">
        <f>Inputs!$B$3&gt;=110</f>
        <v/>
      </c>
      <c r="D701">
        <f>IF(Skills!C12=1,60+(Inputs!$B$24+1)+Inputs!$B$28,IF(Skills!C12=2,90+Inputs!$B$25+Inputs!$B$28,IF(Skills!C12=3,120+Inputs!$B$26+Inputs!$B$28,MAX(0,(Inputs!$B$3-100)*3)+Inputs!$B$27+Inputs!$B$28)))</f>
        <v/>
      </c>
      <c r="E701">
        <f>INDEX(FactorTable!$B$2:$Y$301, MATCH(ROUND(MIN(300,MAX(1,D701)),0), FactorTable!$A$2:$A$301,0), Skills!M12+1)</f>
        <v/>
      </c>
      <c r="F701">
        <f>IF(Skills!N12=TRUE,(Skills!L12/10)*(E701/1000),Skills!L12/10)+Skills!O12</f>
        <v/>
      </c>
      <c r="G701">
        <f>Skills!G12*IF(Skills!H12&gt;0,Skills!I12/Skills!H12,1)</f>
        <v/>
      </c>
      <c r="H701">
        <f>1-(1-Skills!J12/100)^Skills!K12</f>
        <v/>
      </c>
      <c r="I701" t="inlineStr">
        <is>
          <t>1</t>
        </is>
      </c>
      <c r="J701">
        <f>(Inputs!$B$5*(1+Inputs!$B$6/100))*(F701/100)</f>
        <v/>
      </c>
      <c r="K701">
        <f>J701*(1+((Inputs!$B$11*(1+Inputs!$B$12/100))*0.01+Inputs!$B$13*0.0025)/100)*(1+Inputs!$B$14/100)*(1+IF(Inputs!$B$4="pvp",0,(1-Summary!$B$55)*(Inputs!$B$19+0+Skills!P12)+Summary!$B$55*(Inputs!$B$20+Skills!Q12))/100)*(1+Inputs!$B$15/100)*(5000/(6000+Inputs!$B$7*(1-(Inputs!$B$18+0)/100)))*(1+(Inputs!$B$23+((C715=TRUE)*(F715-Calc!F26))+B725)/100)*(1+(IF(Skills!A12="EIGHT_LEGS_EASTON",Inputs!$B$16+((C712=TRUE)*(F712-Calc!F23))+((C716=TRUE)*(F716-Calc!F27)),Inputs!$B$17+0))/100)*((1+(((C706=TRUE)*F706)+((C713=TRUE)*(F713-Calc!F24)))/100)*I701)</f>
        <v/>
      </c>
      <c r="L701">
        <f>K701*(MIN(Inputs!$B$21+((C711=TRUE)*(F711-Calc!F22)),Inputs!$B$22+0)/100+(Inputs!$B$22+0)/100)/2</f>
        <v/>
      </c>
      <c r="M701">
        <f>L701*(1+(Inputs!$B$9+((C714=TRUE)*(F714-Calc!F25))+B724)/100)</f>
        <v/>
      </c>
      <c r="N701">
        <f>L701*(1-MIN((Inputs!$B$8+((C708=TRUE)*(F708-Calc!F19))+B719),100)/100)+M701*(MIN((Inputs!$B$8+((C708=TRUE)*(F708-Calc!F19))+B719),100)/100)</f>
        <v/>
      </c>
      <c r="O701">
        <f>IF(C701,H701*N701*IF(AND(Inputs!$B$4&lt;&gt;"pvp",Inputs!$B$35&gt;0),((Skills!G12*((R701-1)*IF(Skills!H12&gt;0,Skills!I12/Skills!H12,1)+IF(Skills!H12&gt;0,MIN(Skills!I12,MAX(0,Inputs!$B$35-((R701-1)*IF(Inputs!$B$4="pvp",15,MAX(0.1,Skills!D12-IF(Skills!E12=TRUE,Inputs!$B$31,0))))))/Skills!H12,1)))/Inputs!$B$35),G701*Q701)*IF(Inputs!$B$4="pvp",1,(1-Summary!$B$55)*(1)+Summary!$B$55*(MIN(Skills!R12,Inputs!$B$37))),0)</f>
        <v/>
      </c>
      <c r="P701">
        <f>IF(B727=0,0,O701/B727)</f>
        <v/>
      </c>
      <c r="Q701">
        <f>IFERROR(1/IF(Inputs!$B$4="pvp",15,MAX(0.1,Skills!D12-IF(Skills!E12=TRUE,Inputs!$B$31,0))),0)</f>
        <v/>
      </c>
      <c r="R701">
        <f>IF(AND(Inputs!$B$4&lt;&gt;"pvp",Inputs!$B$35&gt;0),(INT(Inputs!$B$35/IF(Inputs!$B$4="pvp",15,MAX(0.1,Skills!D12-IF(Skills!E12=TRUE,Inputs!$B$31,0))))+1),0)</f>
        <v/>
      </c>
      <c r="S701">
        <f>IFERROR(O701/N701,0)</f>
        <v/>
      </c>
    </row>
    <row r="702">
      <c r="A702">
        <f>Skills!A13</f>
        <v/>
      </c>
      <c r="B702">
        <f>Skills!B13</f>
        <v/>
      </c>
      <c r="C702">
        <f>Inputs!$B$3&gt;=110</f>
        <v/>
      </c>
      <c r="D702">
        <f>IF(Skills!C13=1,60+(Inputs!$B$24+1)+Inputs!$B$28,IF(Skills!C13=2,90+Inputs!$B$25+Inputs!$B$28,IF(Skills!C13=3,120+Inputs!$B$26+Inputs!$B$28,MAX(0,(Inputs!$B$3-100)*3)+Inputs!$B$27+Inputs!$B$28)))</f>
        <v/>
      </c>
      <c r="E702">
        <f>INDEX(FactorTable!$B$2:$Y$301, MATCH(ROUND(MIN(300,MAX(1,D702)),0), FactorTable!$A$2:$A$301,0), Skills!M13+1)</f>
        <v/>
      </c>
      <c r="F702">
        <f>IF(Skills!N13=TRUE,(Skills!L13/10)*(E702/1000),Skills!L13/10)+Skills!O13</f>
        <v/>
      </c>
      <c r="G702">
        <f>Skills!G13*IF(Skills!H13&gt;0,Skills!I13/Skills!H13,1)</f>
        <v/>
      </c>
      <c r="H702">
        <f>1-(1-Skills!J13/100)^Skills!K13</f>
        <v/>
      </c>
      <c r="I702" t="inlineStr">
        <is>
          <t>1</t>
        </is>
      </c>
      <c r="J702">
        <f>(Inputs!$B$5*(1+Inputs!$B$6/100))*(F702/100)</f>
        <v/>
      </c>
      <c r="K702">
        <f>J702*(1+((Inputs!$B$11*(1+Inputs!$B$12/100))*0.01+Inputs!$B$13*0.0025)/100)*(1+Inputs!$B$14/100)*(1+IF(Inputs!$B$4="pvp",0,(1-Summary!$B$55)*(Inputs!$B$19+0+Skills!P13)+Summary!$B$55*(Inputs!$B$20+Skills!Q13))/100)*(1+Inputs!$B$15/100)*(5000/(6000+Inputs!$B$7*(1-(Inputs!$B$18+0)/100)))*(1+(Inputs!$B$23+((C715=TRUE)*(F715-Calc!F26))+B725)/100)*(1+(IF(Skills!A13="EIGHT_LEGS_EASTON",Inputs!$B$16+((C712=TRUE)*(F712-Calc!F23))+((C716=TRUE)*(F716-Calc!F27)),Inputs!$B$17+0))/100)*((1+(((C706=TRUE)*F706)+((C713=TRUE)*(F713-Calc!F24)))/100)*I702)</f>
        <v/>
      </c>
      <c r="L702">
        <f>K702*(MIN(Inputs!$B$21+((C711=TRUE)*(F711-Calc!F22)),Inputs!$B$22+0)/100+(Inputs!$B$22+0)/100)/2</f>
        <v/>
      </c>
      <c r="M702">
        <f>L702*(1+(Inputs!$B$9+((C714=TRUE)*(F714-Calc!F25))+B724)/100)</f>
        <v/>
      </c>
      <c r="N702">
        <f>L702*(1-MIN((Inputs!$B$8+((C708=TRUE)*(F708-Calc!F19))+B719),100)/100)+M702*(MIN((Inputs!$B$8+((C708=TRUE)*(F708-Calc!F19))+B719),100)/100)</f>
        <v/>
      </c>
      <c r="O702">
        <f>IF(C702,H702*N702*IF(AND(Inputs!$B$4&lt;&gt;"pvp",Inputs!$B$35&gt;0),((Skills!G13*((R702-1)*IF(Skills!H13&gt;0,Skills!I13/Skills!H13,1)+IF(Skills!H13&gt;0,MIN(Skills!I13,MAX(0,Inputs!$B$35-((R702-1)*IF(Inputs!$B$4="pvp",15,MAX(0.1,Skills!D13-IF(Skills!E13=TRUE,Inputs!$B$31,0))))))/Skills!H13,1)))/Inputs!$B$35),G702*Q702)*IF(Inputs!$B$4="pvp",1,(1-Summary!$B$55)*(1)+Summary!$B$55*(MIN(Skills!R13,Inputs!$B$37))),0)</f>
        <v/>
      </c>
      <c r="P702">
        <f>IF(B727=0,0,O702/B727)</f>
        <v/>
      </c>
      <c r="Q702">
        <f>IFERROR(1/IF(Inputs!$B$4="pvp",15,MAX(0.1,Skills!D13-IF(Skills!E13=TRUE,Inputs!$B$31,0))),0)</f>
        <v/>
      </c>
      <c r="R702">
        <f>IF(AND(Inputs!$B$4&lt;&gt;"pvp",Inputs!$B$35&gt;0),(INT(Inputs!$B$35/IF(Inputs!$B$4="pvp",15,MAX(0.1,Skills!D13-IF(Skills!E13=TRUE,Inputs!$B$31,0))))+1),0)</f>
        <v/>
      </c>
      <c r="S702">
        <f>IFERROR(O702/N702,0)</f>
        <v/>
      </c>
    </row>
    <row r="703">
      <c r="A703">
        <f>Skills!A14</f>
        <v/>
      </c>
      <c r="B703">
        <f>Skills!B14</f>
        <v/>
      </c>
      <c r="C703">
        <f>Inputs!$B$3&gt;=125</f>
        <v/>
      </c>
      <c r="D703">
        <f>IF(Skills!C14=1,60+(Inputs!$B$24+1)+Inputs!$B$28,IF(Skills!C14=2,90+Inputs!$B$25+Inputs!$B$28,IF(Skills!C14=3,120+Inputs!$B$26+Inputs!$B$28,MAX(0,(Inputs!$B$3-100)*3)+Inputs!$B$27+Inputs!$B$28)))</f>
        <v/>
      </c>
      <c r="E703">
        <f>INDEX(FactorTable!$B$2:$Y$301, MATCH(ROUND(MIN(300,MAX(1,D703)),0), FactorTable!$A$2:$A$301,0), Skills!M14+1)</f>
        <v/>
      </c>
      <c r="F703">
        <f>IF(Skills!N14=TRUE,(Skills!L14/10)*(E703/1000),Skills!L14/10)+Skills!O14</f>
        <v/>
      </c>
      <c r="G703">
        <f>Skills!G14*IF(Skills!H14&gt;0,Skills!I14/Skills!H14,1)</f>
        <v/>
      </c>
      <c r="H703">
        <f>1-(1-Skills!J14/100)^Skills!K14</f>
        <v/>
      </c>
      <c r="I703" t="inlineStr">
        <is>
          <t>1</t>
        </is>
      </c>
      <c r="J703">
        <f>(Inputs!$B$5*(1+Inputs!$B$6/100))*(F703/100)</f>
        <v/>
      </c>
      <c r="K703">
        <f>J703*(1+((Inputs!$B$11*(1+Inputs!$B$12/100))*0.01+Inputs!$B$13*0.0025)/100)*(1+Inputs!$B$14/100)*(1+IF(Inputs!$B$4="pvp",0,(1-Summary!$B$55)*(Inputs!$B$19+0+Skills!P14)+Summary!$B$55*(Inputs!$B$20+Skills!Q14))/100)*(1+Inputs!$B$15/100)*(5000/(6000+Inputs!$B$7*(1-(Inputs!$B$18+0)/100)))*(1+(Inputs!$B$23+((C715=TRUE)*(F715-Calc!F26))+B725)/100)*(1+(IF(Skills!A14="EIGHT_LEGS_EASTON",Inputs!$B$16+((C712=TRUE)*(F712-Calc!F23))+((C716=TRUE)*(F716-Calc!F27)),Inputs!$B$17+0))/100)*((1+(((C706=TRUE)*F706)+((C713=TRUE)*(F713-Calc!F24)))/100)*I703)</f>
        <v/>
      </c>
      <c r="L703">
        <f>K703*(MIN(Inputs!$B$21+((C711=TRUE)*(F711-Calc!F22)),Inputs!$B$22+0)/100+(Inputs!$B$22+0)/100)/2</f>
        <v/>
      </c>
      <c r="M703">
        <f>L703*(1+(Inputs!$B$9+((C714=TRUE)*(F714-Calc!F25))+B724)/100)</f>
        <v/>
      </c>
      <c r="N703">
        <f>L703*(1-MIN((Inputs!$B$8+((C708=TRUE)*(F708-Calc!F19))+B719),100)/100)+M703*(MIN((Inputs!$B$8+((C708=TRUE)*(F708-Calc!F19))+B719),100)/100)</f>
        <v/>
      </c>
      <c r="O703">
        <f>IF(C703,H703*N703*(B723+IF(AND(Inputs!$B$4&lt;&gt;"pvp",Inputs!$B$35&gt;0),((Skills!G8*((R697-1)*IF(Skills!H8&gt;0,Skills!I8/Skills!H8,1)+IF(Skills!H8&gt;0,MIN(Skills!I8,MAX(0,Inputs!$B$35-((R697-1)*IF(Inputs!$B$4="pvp",15,MAX(0.1,Skills!D8-IF(Skills!E8=TRUE,Inputs!$B$31,0))))))/Skills!H8,1)))/Inputs!$B$35),G697*Q697)+IF(AND(Inputs!$B$4&lt;&gt;"pvp",Inputs!$B$35&gt;0),((Skills!G11*((R700-1)*IF(Skills!H11&gt;0,Skills!I11/Skills!H11,1)+IF(Skills!H11&gt;0,MIN(Skills!I11,MAX(0,Inputs!$B$35-((R700-1)*IF(Inputs!$B$4="pvp",15,MAX(0.1,Skills!D11-IF(Skills!E11=TRUE,Inputs!$B$31,0))))))/Skills!H11,1)))/Inputs!$B$35),G700*Q700))*IF(Inputs!$B$4="pvp",1,(1-Summary!$B$55)*(1)+Summary!$B$55*(MIN(Skills!R14,Inputs!$B$37))),0)</f>
        <v/>
      </c>
      <c r="P703">
        <f>IF(B727=0,0,O703/B727)</f>
        <v/>
      </c>
      <c r="Q703" t="n">
        <v>0</v>
      </c>
      <c r="R703" t="n">
        <v>0</v>
      </c>
      <c r="S703">
        <f>IFERROR(O703/N703,0)</f>
        <v/>
      </c>
    </row>
    <row r="704">
      <c r="A704">
        <f>Skills!A15</f>
        <v/>
      </c>
      <c r="B704">
        <f>Skills!B15</f>
        <v/>
      </c>
      <c r="C704">
        <f>Inputs!$B$3&gt;=100</f>
        <v/>
      </c>
      <c r="D704">
        <f>IF(Skills!C15=1,60+(Inputs!$B$24+1)+Inputs!$B$28,IF(Skills!C15=2,90+Inputs!$B$25+Inputs!$B$28,IF(Skills!C15=3,120+Inputs!$B$26+Inputs!$B$28,MAX(0,(Inputs!$B$3-100)*3)+Inputs!$B$27+Inputs!$B$28)))</f>
        <v/>
      </c>
      <c r="E704">
        <f>INDEX(FactorTable!$B$2:$Y$301, MATCH(ROUND(MIN(300,MAX(1,D704)),0), FactorTable!$A$2:$A$301,0), Skills!M15+1)</f>
        <v/>
      </c>
      <c r="F704">
        <f>IF(Skills!N15=TRUE,(Skills!L15/10)*(E704/1000),Skills!L15/10)+Skills!O15</f>
        <v/>
      </c>
      <c r="G704" t="inlineStr"/>
      <c r="H704" t="inlineStr"/>
      <c r="I704" t="inlineStr">
        <is>
          <t>1</t>
        </is>
      </c>
      <c r="J704" t="inlineStr"/>
      <c r="K704" t="inlineStr"/>
      <c r="L704" t="inlineStr"/>
      <c r="M704" t="inlineStr"/>
      <c r="N704" t="inlineStr"/>
      <c r="O704" t="inlineStr"/>
      <c r="P704" t="inlineStr"/>
      <c r="Q704" t="inlineStr"/>
      <c r="R704" t="inlineStr"/>
      <c r="S704" t="inlineStr"/>
    </row>
    <row r="705">
      <c r="A705">
        <f>Skills!A16</f>
        <v/>
      </c>
      <c r="B705">
        <f>Skills!B16</f>
        <v/>
      </c>
      <c r="C705">
        <f>Inputs!$B$3&gt;=120</f>
        <v/>
      </c>
      <c r="D705">
        <f>IF(Skills!C16=1,60+(Inputs!$B$24+1)+Inputs!$B$28,IF(Skills!C16=2,90+Inputs!$B$25+Inputs!$B$28,IF(Skills!C16=3,120+Inputs!$B$26+Inputs!$B$28,MAX(0,(Inputs!$B$3-100)*3)+Inputs!$B$27+Inputs!$B$28)))</f>
        <v/>
      </c>
      <c r="E705">
        <f>INDEX(FactorTable!$B$2:$Y$301, MATCH(ROUND(MIN(300,MAX(1,D705)),0), FactorTable!$A$2:$A$301,0), Skills!M16+1)</f>
        <v/>
      </c>
      <c r="F705">
        <f>IF(Skills!N16=TRUE,(Skills!L16/10)*(E705/1000),Skills!L16/10)+Skills!O16</f>
        <v/>
      </c>
      <c r="G705" t="inlineStr"/>
      <c r="H705" t="inlineStr"/>
      <c r="I705" t="inlineStr">
        <is>
          <t>1</t>
        </is>
      </c>
      <c r="J705" t="inlineStr"/>
      <c r="K705" t="inlineStr"/>
      <c r="L705" t="inlineStr"/>
      <c r="M705" t="inlineStr"/>
      <c r="N705" t="inlineStr"/>
      <c r="O705" t="inlineStr"/>
      <c r="P705" t="inlineStr"/>
      <c r="Q705" t="inlineStr"/>
      <c r="R705" t="inlineStr"/>
      <c r="S705" t="inlineStr"/>
    </row>
    <row r="706">
      <c r="A706">
        <f>Skills!A17</f>
        <v/>
      </c>
      <c r="B706">
        <f>Skills!B17</f>
        <v/>
      </c>
      <c r="C706">
        <f>Inputs!$B$3&gt;=66</f>
        <v/>
      </c>
      <c r="D706">
        <f>IF(Skills!C17=1,60+(Inputs!$B$24+1)+Inputs!$B$28,IF(Skills!C17=2,90+Inputs!$B$25+Inputs!$B$28,IF(Skills!C17=3,120+Inputs!$B$26+Inputs!$B$28,MAX(0,(Inputs!$B$3-100)*3)+Inputs!$B$27+Inputs!$B$28)))</f>
        <v/>
      </c>
      <c r="E706">
        <f>INDEX(FactorTable!$B$2:$Y$301, MATCH(ROUND(MIN(300,MAX(1,D706)),0), FactorTable!$A$2:$A$301,0), Skills!M17+1)</f>
        <v/>
      </c>
      <c r="F706">
        <f>IF(Skills!N17=TRUE,(Skills!L17/10)*(E706/1000),Skills!L17/10)+Skills!O17</f>
        <v/>
      </c>
      <c r="G706">
        <f>Skills!G17*IF(Skills!H17&gt;0,Skills!I17/Skills!H17,1)</f>
        <v/>
      </c>
      <c r="H706">
        <f>1-(1-Skills!J17/100)^Skills!K17</f>
        <v/>
      </c>
      <c r="I706" t="inlineStr">
        <is>
          <t>1</t>
        </is>
      </c>
      <c r="J706" t="inlineStr"/>
      <c r="K706" t="inlineStr"/>
      <c r="L706" t="inlineStr"/>
      <c r="M706" t="inlineStr"/>
      <c r="N706" t="inlineStr"/>
      <c r="O706" t="n">
        <v>0</v>
      </c>
      <c r="P706">
        <f>IF(B727=0,0,O706/B727)</f>
        <v/>
      </c>
      <c r="Q706" t="n">
        <v>0</v>
      </c>
      <c r="R706" t="n">
        <v>0</v>
      </c>
      <c r="S706">
        <f>IFERROR(O706/N706,0)</f>
        <v/>
      </c>
    </row>
    <row r="707">
      <c r="A707">
        <f>Skills!A18</f>
        <v/>
      </c>
      <c r="B707">
        <f>Skills!B18</f>
        <v/>
      </c>
      <c r="C707">
        <f>Inputs!$B$3&gt;=115</f>
        <v/>
      </c>
      <c r="D707">
        <f>IF(Skills!C18=1,60+(Inputs!$B$24+1)+Inputs!$B$28,IF(Skills!C18=2,90+Inputs!$B$25+Inputs!$B$28,IF(Skills!C18=3,120+Inputs!$B$26+Inputs!$B$28,MAX(0,(Inputs!$B$3-100)*3)+Inputs!$B$27+Inputs!$B$28)))</f>
        <v/>
      </c>
      <c r="E707">
        <f>INDEX(FactorTable!$B$2:$Y$301, MATCH(ROUND(MIN(300,MAX(1,D707)),0), FactorTable!$A$2:$A$301,0), Skills!M18+1)</f>
        <v/>
      </c>
      <c r="F707">
        <f>IF(Skills!N18=TRUE,(Skills!L18/10)*(E707/1000),Skills!L18/10)+Skills!O18</f>
        <v/>
      </c>
      <c r="G707">
        <f>Skills!G18*IF(Skills!H18&gt;0,Skills!I18/Skills!H18,1)</f>
        <v/>
      </c>
      <c r="H707">
        <f>1-(1-Skills!J18/100)^Skills!K18</f>
        <v/>
      </c>
      <c r="I707" t="inlineStr">
        <is>
          <t>1</t>
        </is>
      </c>
      <c r="J707" t="inlineStr"/>
      <c r="K707" t="inlineStr"/>
      <c r="L707" t="inlineStr"/>
      <c r="M707" t="inlineStr"/>
      <c r="N707" t="inlineStr"/>
      <c r="O707" t="n">
        <v>0</v>
      </c>
      <c r="P707">
        <f>IF(B727=0,0,O707/B727)</f>
        <v/>
      </c>
      <c r="Q707" t="n">
        <v>0</v>
      </c>
      <c r="R707" t="n">
        <v>0</v>
      </c>
      <c r="S707">
        <f>IFERROR(O707/N707,0)</f>
        <v/>
      </c>
    </row>
    <row r="708">
      <c r="A708">
        <f>Skills!A19</f>
        <v/>
      </c>
      <c r="B708">
        <f>Skills!B19</f>
        <v/>
      </c>
      <c r="C708">
        <f>Inputs!$B$3&gt;=15</f>
        <v/>
      </c>
      <c r="D708">
        <f>IF(Skills!C19=1,60+(Inputs!$B$24+1)+Inputs!$B$28,IF(Skills!C19=2,90+Inputs!$B$25+Inputs!$B$28,IF(Skills!C19=3,120+Inputs!$B$26+Inputs!$B$28,MAX(0,(Inputs!$B$3-100)*3)+Inputs!$B$27+Inputs!$B$28)))</f>
        <v/>
      </c>
      <c r="E708">
        <f>INDEX(FactorTable!$B$2:$Y$301, MATCH(ROUND(MIN(300,MAX(1,D708)),0), FactorTable!$A$2:$A$301,0), Skills!M19+1)</f>
        <v/>
      </c>
      <c r="F708">
        <f>IF(Skills!N19=TRUE,(Skills!L19/10)*(E708/1000),Skills!L19/10)+Skills!O19</f>
        <v/>
      </c>
      <c r="G708">
        <f>Skills!G19*IF(Skills!H19&gt;0,Skills!I19/Skills!H19,1)</f>
        <v/>
      </c>
      <c r="H708">
        <f>1-(1-Skills!J19/100)^Skills!K19</f>
        <v/>
      </c>
      <c r="I708" t="inlineStr">
        <is>
          <t>1</t>
        </is>
      </c>
      <c r="J708" t="inlineStr"/>
      <c r="K708" t="inlineStr"/>
      <c r="L708" t="inlineStr"/>
      <c r="M708" t="inlineStr"/>
      <c r="N708" t="inlineStr"/>
      <c r="O708" t="n">
        <v>0</v>
      </c>
      <c r="P708">
        <f>IF(B727=0,0,O708/B727)</f>
        <v/>
      </c>
      <c r="Q708" t="n">
        <v>0</v>
      </c>
      <c r="R708" t="n">
        <v>0</v>
      </c>
      <c r="S708">
        <f>IFERROR(O708/N708,0)</f>
        <v/>
      </c>
    </row>
    <row r="709">
      <c r="A709">
        <f>Skills!A20</f>
        <v/>
      </c>
      <c r="B709">
        <f>Skills!B20</f>
        <v/>
      </c>
      <c r="C709">
        <f>Inputs!$B$3&gt;=10</f>
        <v/>
      </c>
      <c r="D709">
        <f>IF(Skills!C20=1,60+(Inputs!$B$24+1)+Inputs!$B$28,IF(Skills!C20=2,90+Inputs!$B$25+Inputs!$B$28,IF(Skills!C20=3,120+Inputs!$B$26+Inputs!$B$28,MAX(0,(Inputs!$B$3-100)*3)+Inputs!$B$27+Inputs!$B$28)))</f>
        <v/>
      </c>
      <c r="E709">
        <f>INDEX(FactorTable!$B$2:$Y$301, MATCH(ROUND(MIN(300,MAX(1,D709)),0), FactorTable!$A$2:$A$301,0), Skills!M20+1)</f>
        <v/>
      </c>
      <c r="F709">
        <f>IF(Skills!N20=TRUE,(Skills!L20/10)*(E709/1000),Skills!L20/10)+Skills!O20</f>
        <v/>
      </c>
      <c r="G709">
        <f>Skills!G20*IF(Skills!H20&gt;0,Skills!I20/Skills!H20,1)</f>
        <v/>
      </c>
      <c r="H709">
        <f>1-(1-Skills!J20/100)^Skills!K20</f>
        <v/>
      </c>
      <c r="I709" t="inlineStr">
        <is>
          <t>1</t>
        </is>
      </c>
      <c r="J709" t="inlineStr"/>
      <c r="K709" t="inlineStr"/>
      <c r="L709" t="inlineStr"/>
      <c r="M709" t="inlineStr"/>
      <c r="N709" t="inlineStr"/>
      <c r="O709" t="n">
        <v>0</v>
      </c>
      <c r="P709">
        <f>IF(B727=0,0,O709/B727)</f>
        <v/>
      </c>
      <c r="Q709" t="n">
        <v>0</v>
      </c>
      <c r="R709" t="n">
        <v>0</v>
      </c>
      <c r="S709">
        <f>IFERROR(O709/N709,0)</f>
        <v/>
      </c>
    </row>
    <row r="710">
      <c r="A710">
        <f>Skills!A21</f>
        <v/>
      </c>
      <c r="B710">
        <f>Skills!B21</f>
        <v/>
      </c>
      <c r="C710">
        <f>Inputs!$B$3&gt;=33</f>
        <v/>
      </c>
      <c r="D710">
        <f>IF(Skills!C21=1,60+(Inputs!$B$24+1)+Inputs!$B$28,IF(Skills!C21=2,90+Inputs!$B$25+Inputs!$B$28,IF(Skills!C21=3,120+Inputs!$B$26+Inputs!$B$28,MAX(0,(Inputs!$B$3-100)*3)+Inputs!$B$27+Inputs!$B$28)))</f>
        <v/>
      </c>
      <c r="E710">
        <f>INDEX(FactorTable!$B$2:$Y$301, MATCH(ROUND(MIN(300,MAX(1,D710)),0), FactorTable!$A$2:$A$301,0), Skills!M21+1)</f>
        <v/>
      </c>
      <c r="F710">
        <f>IF(Skills!N21=TRUE,(Skills!L21/10)*(E710/1000),Skills!L21/10)+Skills!O21</f>
        <v/>
      </c>
      <c r="G710">
        <f>Skills!G21*IF(Skills!H21&gt;0,Skills!I21/Skills!H21,1)</f>
        <v/>
      </c>
      <c r="H710">
        <f>1-(1-Skills!J21/100)^Skills!K21</f>
        <v/>
      </c>
      <c r="I710" t="inlineStr">
        <is>
          <t>1</t>
        </is>
      </c>
      <c r="J710" t="inlineStr"/>
      <c r="K710" t="inlineStr"/>
      <c r="L710" t="inlineStr"/>
      <c r="M710" t="inlineStr"/>
      <c r="N710" t="inlineStr"/>
      <c r="O710" t="n">
        <v>0</v>
      </c>
      <c r="P710">
        <f>IF(B727=0,0,O710/B727)</f>
        <v/>
      </c>
      <c r="Q710" t="n">
        <v>0</v>
      </c>
      <c r="R710" t="n">
        <v>0</v>
      </c>
      <c r="S710">
        <f>IFERROR(O710/N710,0)</f>
        <v/>
      </c>
    </row>
    <row r="711">
      <c r="A711">
        <f>Skills!A22</f>
        <v/>
      </c>
      <c r="B711">
        <f>Skills!B22</f>
        <v/>
      </c>
      <c r="C711">
        <f>Inputs!$B$3&gt;=43</f>
        <v/>
      </c>
      <c r="D711">
        <f>IF(Skills!C22=1,60+(Inputs!$B$24+1)+Inputs!$B$28,IF(Skills!C22=2,90+Inputs!$B$25+Inputs!$B$28,IF(Skills!C22=3,120+Inputs!$B$26+Inputs!$B$28,MAX(0,(Inputs!$B$3-100)*3)+Inputs!$B$27+Inputs!$B$28)))</f>
        <v/>
      </c>
      <c r="E711">
        <f>INDEX(FactorTable!$B$2:$Y$301, MATCH(ROUND(MIN(300,MAX(1,D711)),0), FactorTable!$A$2:$A$301,0), Skills!M22+1)</f>
        <v/>
      </c>
      <c r="F711">
        <f>IF(Skills!N22=TRUE,(Skills!L22/10)*(E711/1000),Skills!L22/10)+Skills!O22</f>
        <v/>
      </c>
      <c r="G711">
        <f>Skills!G22*IF(Skills!H22&gt;0,Skills!I22/Skills!H22,1)</f>
        <v/>
      </c>
      <c r="H711">
        <f>1-(1-Skills!J22/100)^Skills!K22</f>
        <v/>
      </c>
      <c r="I711" t="inlineStr">
        <is>
          <t>1</t>
        </is>
      </c>
      <c r="J711" t="inlineStr"/>
      <c r="K711" t="inlineStr"/>
      <c r="L711" t="inlineStr"/>
      <c r="M711" t="inlineStr"/>
      <c r="N711" t="inlineStr"/>
      <c r="O711" t="n">
        <v>0</v>
      </c>
      <c r="P711">
        <f>IF(B727=0,0,O711/B727)</f>
        <v/>
      </c>
      <c r="Q711" t="n">
        <v>0</v>
      </c>
      <c r="R711" t="n">
        <v>0</v>
      </c>
      <c r="S711">
        <f>IFERROR(O711/N711,0)</f>
        <v/>
      </c>
    </row>
    <row r="712">
      <c r="A712">
        <f>Skills!A23</f>
        <v/>
      </c>
      <c r="B712">
        <f>Skills!B23</f>
        <v/>
      </c>
      <c r="C712">
        <f>Inputs!$B$3&gt;=38</f>
        <v/>
      </c>
      <c r="D712">
        <f>IF(Skills!C23=1,60+(Inputs!$B$24+1)+Inputs!$B$28,IF(Skills!C23=2,90+Inputs!$B$25+Inputs!$B$28,IF(Skills!C23=3,120+Inputs!$B$26+Inputs!$B$28,MAX(0,(Inputs!$B$3-100)*3)+Inputs!$B$27+Inputs!$B$28)))</f>
        <v/>
      </c>
      <c r="E712">
        <f>INDEX(FactorTable!$B$2:$Y$301, MATCH(ROUND(MIN(300,MAX(1,D712)),0), FactorTable!$A$2:$A$301,0), Skills!M23+1)</f>
        <v/>
      </c>
      <c r="F712">
        <f>IF(Skills!N23=TRUE,(Skills!L23/10)*(E712/1000),Skills!L23/10)+Skills!O23</f>
        <v/>
      </c>
      <c r="G712">
        <f>Skills!G23*IF(Skills!H23&gt;0,Skills!I23/Skills!H23,1)</f>
        <v/>
      </c>
      <c r="H712">
        <f>1-(1-Skills!J23/100)^Skills!K23</f>
        <v/>
      </c>
      <c r="I712" t="inlineStr">
        <is>
          <t>1</t>
        </is>
      </c>
      <c r="J712" t="inlineStr"/>
      <c r="K712" t="inlineStr"/>
      <c r="L712" t="inlineStr"/>
      <c r="M712" t="inlineStr"/>
      <c r="N712" t="inlineStr"/>
      <c r="O712" t="n">
        <v>0</v>
      </c>
      <c r="P712">
        <f>IF(B727=0,0,O712/B727)</f>
        <v/>
      </c>
      <c r="Q712" t="n">
        <v>0</v>
      </c>
      <c r="R712" t="n">
        <v>0</v>
      </c>
      <c r="S712">
        <f>IFERROR(O712/N712,0)</f>
        <v/>
      </c>
    </row>
    <row r="713">
      <c r="A713">
        <f>Skills!A24</f>
        <v/>
      </c>
      <c r="B713">
        <f>Skills!B24</f>
        <v/>
      </c>
      <c r="C713">
        <f>Inputs!$B$3&gt;=40</f>
        <v/>
      </c>
      <c r="D713">
        <f>IF(Skills!C24=1,60+(Inputs!$B$24+1)+Inputs!$B$28,IF(Skills!C24=2,90+Inputs!$B$25+Inputs!$B$28,IF(Skills!C24=3,120+Inputs!$B$26+Inputs!$B$28,MAX(0,(Inputs!$B$3-100)*3)+Inputs!$B$27+Inputs!$B$28)))</f>
        <v/>
      </c>
      <c r="E713">
        <f>INDEX(FactorTable!$B$2:$Y$301, MATCH(ROUND(MIN(300,MAX(1,D713)),0), FactorTable!$A$2:$A$301,0), Skills!M24+1)</f>
        <v/>
      </c>
      <c r="F713">
        <f>IF(Skills!N24=TRUE,(Skills!L24/10)*(E713/1000),Skills!L24/10)+Skills!O24</f>
        <v/>
      </c>
      <c r="G713">
        <f>Skills!G24*IF(Skills!H24&gt;0,Skills!I24/Skills!H24,1)</f>
        <v/>
      </c>
      <c r="H713">
        <f>1-(1-Skills!J24/100)^Skills!K24</f>
        <v/>
      </c>
      <c r="I713" t="inlineStr">
        <is>
          <t>1</t>
        </is>
      </c>
      <c r="J713" t="inlineStr"/>
      <c r="K713" t="inlineStr"/>
      <c r="L713" t="inlineStr"/>
      <c r="M713" t="inlineStr"/>
      <c r="N713" t="inlineStr"/>
      <c r="O713" t="n">
        <v>0</v>
      </c>
      <c r="P713">
        <f>IF(B727=0,0,O713/B727)</f>
        <v/>
      </c>
      <c r="Q713" t="n">
        <v>0</v>
      </c>
      <c r="R713" t="n">
        <v>0</v>
      </c>
      <c r="S713">
        <f>IFERROR(O713/N713,0)</f>
        <v/>
      </c>
    </row>
    <row r="714">
      <c r="A714">
        <f>Skills!A25</f>
        <v/>
      </c>
      <c r="B714">
        <f>Skills!B25</f>
        <v/>
      </c>
      <c r="C714">
        <f>Inputs!$B$3&gt;=72</f>
        <v/>
      </c>
      <c r="D714">
        <f>IF(Skills!C25=1,60+(Inputs!$B$24+1)+Inputs!$B$28,IF(Skills!C25=2,90+Inputs!$B$25+Inputs!$B$28,IF(Skills!C25=3,120+Inputs!$B$26+Inputs!$B$28,MAX(0,(Inputs!$B$3-100)*3)+Inputs!$B$27+Inputs!$B$28)))</f>
        <v/>
      </c>
      <c r="E714">
        <f>INDEX(FactorTable!$B$2:$Y$301, MATCH(ROUND(MIN(300,MAX(1,D714)),0), FactorTable!$A$2:$A$301,0), Skills!M25+1)</f>
        <v/>
      </c>
      <c r="F714">
        <f>IF(Skills!N25=TRUE,(Skills!L25/10)*(E714/1000),Skills!L25/10)+Skills!O25</f>
        <v/>
      </c>
      <c r="G714">
        <f>Skills!G25*IF(Skills!H25&gt;0,Skills!I25/Skills!H25,1)</f>
        <v/>
      </c>
      <c r="H714">
        <f>1-(1-Skills!J25/100)^Skills!K25</f>
        <v/>
      </c>
      <c r="I714" t="inlineStr">
        <is>
          <t>1</t>
        </is>
      </c>
      <c r="J714" t="inlineStr"/>
      <c r="K714" t="inlineStr"/>
      <c r="L714" t="inlineStr"/>
      <c r="M714" t="inlineStr"/>
      <c r="N714" t="inlineStr"/>
      <c r="O714" t="n">
        <v>0</v>
      </c>
      <c r="P714">
        <f>IF(B727=0,0,O714/B727)</f>
        <v/>
      </c>
      <c r="Q714" t="n">
        <v>0</v>
      </c>
      <c r="R714" t="n">
        <v>0</v>
      </c>
      <c r="S714">
        <f>IFERROR(O714/N714,0)</f>
        <v/>
      </c>
    </row>
    <row r="715">
      <c r="A715">
        <f>Skills!A26</f>
        <v/>
      </c>
      <c r="B715">
        <f>Skills!B26</f>
        <v/>
      </c>
      <c r="C715">
        <f>Inputs!$B$3&gt;=75</f>
        <v/>
      </c>
      <c r="D715">
        <f>IF(Skills!C26=1,60+(Inputs!$B$24+1)+Inputs!$B$28,IF(Skills!C26=2,90+Inputs!$B$25+Inputs!$B$28,IF(Skills!C26=3,120+Inputs!$B$26+Inputs!$B$28,MAX(0,(Inputs!$B$3-100)*3)+Inputs!$B$27+Inputs!$B$28)))</f>
        <v/>
      </c>
      <c r="E715">
        <f>INDEX(FactorTable!$B$2:$Y$301, MATCH(ROUND(MIN(300,MAX(1,D715)),0), FactorTable!$A$2:$A$301,0), Skills!M26+1)</f>
        <v/>
      </c>
      <c r="F715">
        <f>IF(Skills!N26=TRUE,(Skills!L26/10)*(E715/1000),Skills!L26/10)+Skills!O26</f>
        <v/>
      </c>
      <c r="G715">
        <f>Skills!G26*IF(Skills!H26&gt;0,Skills!I26/Skills!H26,1)</f>
        <v/>
      </c>
      <c r="H715">
        <f>1-(1-Skills!J26/100)^Skills!K26</f>
        <v/>
      </c>
      <c r="I715" t="inlineStr">
        <is>
          <t>1</t>
        </is>
      </c>
      <c r="J715" t="inlineStr"/>
      <c r="K715" t="inlineStr"/>
      <c r="L715" t="inlineStr"/>
      <c r="M715" t="inlineStr"/>
      <c r="N715" t="inlineStr"/>
      <c r="O715" t="n">
        <v>0</v>
      </c>
      <c r="P715">
        <f>IF(B727=0,0,O715/B727)</f>
        <v/>
      </c>
      <c r="Q715" t="n">
        <v>0</v>
      </c>
      <c r="R715" t="n">
        <v>0</v>
      </c>
      <c r="S715">
        <f>IFERROR(O715/N715,0)</f>
        <v/>
      </c>
    </row>
    <row r="716">
      <c r="A716">
        <f>Skills!A27</f>
        <v/>
      </c>
      <c r="B716">
        <f>Skills!B27</f>
        <v/>
      </c>
      <c r="C716">
        <f>Inputs!$B$3&gt;=117</f>
        <v/>
      </c>
      <c r="D716">
        <f>IF(Skills!C27=1,60+(Inputs!$B$24+1)+Inputs!$B$28,IF(Skills!C27=2,90+Inputs!$B$25+Inputs!$B$28,IF(Skills!C27=3,120+Inputs!$B$26+Inputs!$B$28,MAX(0,(Inputs!$B$3-100)*3)+Inputs!$B$27+Inputs!$B$28)))</f>
        <v/>
      </c>
      <c r="E716">
        <f>INDEX(FactorTable!$B$2:$Y$301, MATCH(ROUND(MIN(300,MAX(1,D716)),0), FactorTable!$A$2:$A$301,0), Skills!M27+1)</f>
        <v/>
      </c>
      <c r="F716">
        <f>IF(Skills!N27=TRUE,(Skills!L27/10)*(E716/1000),Skills!L27/10)+Skills!O27</f>
        <v/>
      </c>
      <c r="G716">
        <f>Skills!G27*IF(Skills!H27&gt;0,Skills!I27/Skills!H27,1)</f>
        <v/>
      </c>
      <c r="H716">
        <f>1-(1-Skills!J27/100)^Skills!K27</f>
        <v/>
      </c>
      <c r="I716" t="inlineStr">
        <is>
          <t>1</t>
        </is>
      </c>
      <c r="J716" t="inlineStr"/>
      <c r="K716" t="inlineStr"/>
      <c r="L716" t="inlineStr"/>
      <c r="M716" t="inlineStr"/>
      <c r="N716" t="inlineStr"/>
      <c r="O716" t="n">
        <v>0</v>
      </c>
      <c r="P716">
        <f>IF(B727=0,0,O716/B727)</f>
        <v/>
      </c>
      <c r="Q716" t="n">
        <v>0</v>
      </c>
      <c r="R716" t="n">
        <v>0</v>
      </c>
      <c r="S716">
        <f>IFERROR(O716/N716,0)</f>
        <v/>
      </c>
    </row>
    <row r="718">
      <c r="A718" t="inlineStr">
        <is>
          <t>Attack% Bucket Multiplier</t>
        </is>
      </c>
      <c r="B718">
        <f>(1+(((C706=TRUE)*F706)+((C713=TRUE)*(F713-Calc!F24)))/100)</f>
        <v/>
      </c>
    </row>
    <row r="719">
      <c r="A719" t="inlineStr">
        <is>
          <t>Global Crit Rate Bonus %</t>
        </is>
      </c>
      <c r="B719" t="n">
        <v>0</v>
      </c>
    </row>
    <row r="720">
      <c r="A720" t="inlineStr">
        <is>
          <t>Attack Speed Buff Bonus % (unused)</t>
        </is>
      </c>
      <c r="B720" t="n">
        <v>0</v>
      </c>
    </row>
    <row r="721">
      <c r="A721" t="inlineStr">
        <is>
          <t>Actions Per Second</t>
        </is>
      </c>
      <c r="B721">
        <f>1+MIN(150,150*(1-(1-(Inputs!$B$10+((C709=TRUE)*(F709-Calc!F20))+((C710=TRUE)*(F710-Calc!F21)))/150)*(1-B720/150)))/100</f>
        <v/>
      </c>
    </row>
    <row r="722">
      <c r="A722" t="inlineStr">
        <is>
          <t>Skill + Buff Cast Rate</t>
        </is>
      </c>
      <c r="B722">
        <f>IF(AND(Inputs!$B$4&lt;&gt;"pvp",Inputs!$B$35&gt;0),SUMPRODUCT((Skills!E2:E27=TRUE)*(C691:C716=TRUE)*R691:R716*Skills!F2:F27)/Inputs!$B$35,SUMPRODUCT((Skills!E2:E27=TRUE)*(C691:C716=TRUE)*Q691:Q716*Skills!F2:F27))</f>
        <v/>
      </c>
    </row>
    <row r="723">
      <c r="A723" t="inlineStr">
        <is>
          <t>Eight-Legs Easton Casts Per Second</t>
        </is>
      </c>
      <c r="B723">
        <f>MAX(0,B721-B722)</f>
        <v/>
      </c>
    </row>
    <row r="724">
      <c r="A724" t="inlineStr">
        <is>
          <t>Global Critical Damage Bonus % (unused)</t>
        </is>
      </c>
      <c r="B724" t="n">
        <v>0</v>
      </c>
    </row>
    <row r="725">
      <c r="A725" t="inlineStr">
        <is>
          <t>Global Final Damage Bonus % (Jolly Roger only)</t>
        </is>
      </c>
      <c r="B725">
        <f>((C707=TRUE)*F707)</f>
        <v/>
      </c>
    </row>
    <row r="727">
      <c r="A727" s="5" t="inlineStr">
        <is>
          <t>TOTAL DPS</t>
        </is>
      </c>
      <c r="B727" s="5">
        <f>SUM(O691:O716)</f>
        <v/>
      </c>
    </row>
    <row r="730">
      <c r="A730" s="5" t="inlineStr">
        <is>
          <t>Stat: Skill Level Bonus — 2nd Job</t>
        </is>
      </c>
    </row>
    <row r="731">
      <c r="A731" s="8" t="inlineStr">
        <is>
          <t>Key</t>
        </is>
      </c>
      <c r="B731" s="8" t="inlineStr">
        <is>
          <t>Name</t>
        </is>
      </c>
      <c r="C731" s="8" t="inlineStr">
        <is>
          <t>Unlocked</t>
        </is>
      </c>
      <c r="D731" s="8" t="inlineStr">
        <is>
          <t>InputLevel</t>
        </is>
      </c>
      <c r="E731" s="8" t="inlineStr">
        <is>
          <t>Factor</t>
        </is>
      </c>
      <c r="F731" s="8" t="inlineStr">
        <is>
          <t>CoefficientPercent</t>
        </is>
      </c>
      <c r="G731" s="8" t="inlineStr">
        <is>
          <t>EffectiveHits</t>
        </is>
      </c>
      <c r="H731" s="8" t="inlineStr">
        <is>
          <t>ProcProbability</t>
        </is>
      </c>
      <c r="I731" s="8" t="inlineStr">
        <is>
          <t>MapleHeroMultiplier</t>
        </is>
      </c>
      <c r="J731" s="8" t="inlineStr">
        <is>
          <t>BaseDamage</t>
        </is>
      </c>
      <c r="K731" s="8" t="inlineStr">
        <is>
          <t>BaseHitDamage</t>
        </is>
      </c>
      <c r="L731" s="8" t="inlineStr">
        <is>
          <t>NonCritAvg</t>
        </is>
      </c>
      <c r="M731" s="8" t="inlineStr">
        <is>
          <t>CritAvg</t>
        </is>
      </c>
      <c r="N731" s="8" t="inlineStr">
        <is>
          <t>ExpectedDamage(perHit)</t>
        </is>
      </c>
      <c r="O731" s="8" t="inlineStr">
        <is>
          <t>DPS</t>
        </is>
      </c>
      <c r="P731" s="8" t="inlineStr">
        <is>
          <t>% of Total</t>
        </is>
      </c>
      <c r="Q731" s="8" t="inlineStr">
        <is>
          <t>InvCooldown</t>
        </is>
      </c>
      <c r="R731" s="8" t="inlineStr">
        <is>
          <t>CastsInFight</t>
        </is>
      </c>
      <c r="S731" s="8" t="inlineStr">
        <is>
          <t>HitRate(perSec)</t>
        </is>
      </c>
      <c r="U731" t="inlineStr">
        <is>
          <t>helpers</t>
        </is>
      </c>
    </row>
    <row r="732">
      <c r="A732">
        <f>Skills!A2</f>
        <v/>
      </c>
      <c r="B732">
        <f>Skills!B2</f>
        <v/>
      </c>
      <c r="C732">
        <f>Inputs!$B$3&gt;=100</f>
        <v/>
      </c>
      <c r="D732" t="inlineStr"/>
      <c r="E732" t="inlineStr"/>
      <c r="F732">
        <f>U734+Skills!O2</f>
        <v/>
      </c>
      <c r="G732">
        <f>Skills!G2*IF(Skills!H2&gt;0,Skills!I2/Skills!H2,1)</f>
        <v/>
      </c>
      <c r="H732">
        <f>1-(1-Skills!J2/100)^Skills!K2</f>
        <v/>
      </c>
      <c r="I732" t="inlineStr">
        <is>
          <t>1</t>
        </is>
      </c>
      <c r="J732">
        <f>(Inputs!$B$5*(1+Inputs!$B$6/100))*(F732/100)</f>
        <v/>
      </c>
      <c r="K732">
        <f>J732*(1+((Inputs!$B$11*(1+Inputs!$B$12/100))*0.01+Inputs!$B$13*0.0025)/100)*(1+Inputs!$B$14/100)*(1+IF(Inputs!$B$4="pvp",0,(1-Summary!$B$55)*(Inputs!$B$19+0+Skills!P2)+Summary!$B$55*(Inputs!$B$20+Skills!Q2))/100)*(1+Inputs!$B$15/100)*(5000/(6000+Inputs!$B$7*(1-(Inputs!$B$18+0)/100)))*(1+(Inputs!$B$23+((C756=TRUE)*(F756-Calc!F26))+B766)/100)*(1+(IF(Skills!A2="EIGHT_LEGS_EASTON",Inputs!$B$16+((C753=TRUE)*(F753-Calc!F23))+((C757=TRUE)*(F757-Calc!F27)),Inputs!$B$17+0))/100)*((1+(((C747=TRUE)*F747)+((C754=TRUE)*(F754-Calc!F24)))/100)*I732)</f>
        <v/>
      </c>
      <c r="L732">
        <f>K732*(MIN(Inputs!$B$21+((C752=TRUE)*(F752-Calc!F22)),Inputs!$B$22+0)/100+(Inputs!$B$22+0)/100)/2</f>
        <v/>
      </c>
      <c r="M732">
        <f>L732*(1+(Inputs!$B$9+((C755=TRUE)*(F755-Calc!F25))+B765)/100)</f>
        <v/>
      </c>
      <c r="N732">
        <f>L732*(1-MIN((Inputs!$B$8+((C749=TRUE)*(F749-Calc!F19))+B760),100)/100)+M732*(MIN((Inputs!$B$8+((C749=TRUE)*(F749-Calc!F19))+B760),100)/100)</f>
        <v/>
      </c>
      <c r="O732">
        <f>IF(C732,Skills!G2*N732*B764*IF(Inputs!$B$4="pvp",1,(1-Summary!$B$55)*(1)+Summary!$B$55*(MIN((6+Inputs!$B$32),Inputs!$B$37))),0)</f>
        <v/>
      </c>
      <c r="P732">
        <f>IF(B768=0,0,O732/B768)</f>
        <v/>
      </c>
      <c r="Q732" t="n">
        <v>0</v>
      </c>
      <c r="R732" t="n">
        <v>0</v>
      </c>
      <c r="S732">
        <f>IFERROR(O732/N732,0)</f>
        <v/>
      </c>
      <c r="U732">
        <f>MAX(0,(Inputs!$B$3-100)*3)+Inputs!$B$27+Inputs!$B$28</f>
        <v/>
      </c>
    </row>
    <row r="733">
      <c r="A733">
        <f>Skills!A3</f>
        <v/>
      </c>
      <c r="B733">
        <f>Skills!B3</f>
        <v/>
      </c>
      <c r="C733">
        <f>Inputs!$B$3&gt;=35</f>
        <v/>
      </c>
      <c r="D733">
        <f>IF(Skills!C3=1,60+Inputs!$B$24+Inputs!$B$28,IF(Skills!C3=2,90+(Inputs!$B$25+1)+Inputs!$B$28,IF(Skills!C3=3,120+Inputs!$B$26+Inputs!$B$28,MAX(0,(Inputs!$B$3-100)*3)+Inputs!$B$27+Inputs!$B$28)))</f>
        <v/>
      </c>
      <c r="E733">
        <f>INDEX(FactorTable!$B$2:$Y$301, MATCH(ROUND(MIN(300,MAX(1,D733)),0), FactorTable!$A$2:$A$301,0), Skills!M3+1)</f>
        <v/>
      </c>
      <c r="F733">
        <f>IF(Skills!N3=TRUE,(Skills!L3/10)*(E733/1000),Skills!L3/10)+Skills!O3</f>
        <v/>
      </c>
      <c r="G733">
        <f>Skills!G3*IF(Skills!H3&gt;0,Skills!I3/Skills!H3,1)</f>
        <v/>
      </c>
      <c r="H733">
        <f>1-(1-Skills!J3/100)^Skills!K3</f>
        <v/>
      </c>
      <c r="I733" t="inlineStr">
        <is>
          <t>1</t>
        </is>
      </c>
      <c r="J733">
        <f>(Inputs!$B$5*(1+Inputs!$B$6/100))*(F733/100)</f>
        <v/>
      </c>
      <c r="K733">
        <f>J733*(1+((Inputs!$B$11*(1+Inputs!$B$12/100))*0.01+Inputs!$B$13*0.0025)/100)*(1+Inputs!$B$14/100)*(1+IF(Inputs!$B$4="pvp",0,(1-Summary!$B$55)*(Inputs!$B$19+0+Skills!P3)+Summary!$B$55*(Inputs!$B$20+Skills!Q3))/100)*(1+Inputs!$B$15/100)*(5000/(6000+Inputs!$B$7*(1-(Inputs!$B$18+0)/100)))*(1+(Inputs!$B$23+((C756=TRUE)*(F756-Calc!F26))+B766)/100)*(1+4.0*IF(C745=TRUE,F745,0)/100)*(1+(IF(Skills!A3="EIGHT_LEGS_EASTON",Inputs!$B$16+((C753=TRUE)*(F753-Calc!F23))+((C757=TRUE)*(F757-Calc!F27)),Inputs!$B$17+0))/100)*((1+(((C747=TRUE)*F747)+((C754=TRUE)*(F754-Calc!F24)))/100)*I733)</f>
        <v/>
      </c>
      <c r="L733">
        <f>K733*(MIN(Inputs!$B$21+((C752=TRUE)*(F752-Calc!F22)),Inputs!$B$22+0)/100+(Inputs!$B$22+0)/100)/2</f>
        <v/>
      </c>
      <c r="M733">
        <f>L733*(1+(Inputs!$B$9+((C755=TRUE)*(F755-Calc!F25))+B765)/100)</f>
        <v/>
      </c>
      <c r="N733">
        <f>L733*(1-MIN((Inputs!$B$8+((C749=TRUE)*(F749-Calc!F19))+B760),100)/100)+M733*(MIN((Inputs!$B$8+((C749=TRUE)*(F749-Calc!F19))+B760),100)/100)</f>
        <v/>
      </c>
      <c r="O733">
        <f>IF(C733,H733*N733*IF(AND(Inputs!$B$4&lt;&gt;"pvp",Inputs!$B$35&gt;0),((Skills!G3*((R733-1)*IF(Skills!H3&gt;0,Skills!I3/Skills!H3,1)+IF(Skills!H3&gt;0,MIN(Skills!I3,MAX(0,Inputs!$B$35-((R733-1)*IF(Inputs!$B$4="pvp",15,MAX(0.1,Skills!D3-IF(Skills!E3=TRUE,Inputs!$B$31,0))))))/Skills!H3,1)))/Inputs!$B$35),G733*Q733)*IF(Inputs!$B$4="pvp",1,(1-Summary!$B$55)*(1)+Summary!$B$55*(MIN(Skills!R3,Inputs!$B$37))),0)</f>
        <v/>
      </c>
      <c r="P733">
        <f>IF(B768=0,0,O733/B768)</f>
        <v/>
      </c>
      <c r="Q733">
        <f>IFERROR(1/IF(Inputs!$B$4="pvp",15,MAX(0.1,Skills!D3-IF(Skills!E3=TRUE,Inputs!$B$31,0))),0)</f>
        <v/>
      </c>
      <c r="R733">
        <f>IF(AND(Inputs!$B$4&lt;&gt;"pvp",Inputs!$B$35&gt;0),(INT(Inputs!$B$35/IF(Inputs!$B$4="pvp",15,MAX(0.1,Skills!D3-IF(Skills!E3=TRUE,Inputs!$B$31,0))))+1),0)</f>
        <v/>
      </c>
      <c r="S733">
        <f>IFERROR(O733/N733,0)</f>
        <v/>
      </c>
      <c r="U733">
        <f>INDEX(FactorTable!$B$2:$Y$301, MATCH(ROUND(MIN(300,MAX(1,U732)),0), FactorTable!$A$2:$A$301,0), 22)</f>
        <v/>
      </c>
    </row>
    <row r="734">
      <c r="A734">
        <f>Skills!A4</f>
        <v/>
      </c>
      <c r="B734">
        <f>Skills!B4</f>
        <v/>
      </c>
      <c r="C734">
        <f>Inputs!$B$3&gt;=40</f>
        <v/>
      </c>
      <c r="D734">
        <f>IF(Skills!C4=1,60+Inputs!$B$24+Inputs!$B$28,IF(Skills!C4=2,90+(Inputs!$B$25+1)+Inputs!$B$28,IF(Skills!C4=3,120+Inputs!$B$26+Inputs!$B$28,MAX(0,(Inputs!$B$3-100)*3)+Inputs!$B$27+Inputs!$B$28)))</f>
        <v/>
      </c>
      <c r="E734">
        <f>INDEX(FactorTable!$B$2:$Y$301, MATCH(ROUND(MIN(300,MAX(1,D734)),0), FactorTable!$A$2:$A$301,0), Skills!M4+1)</f>
        <v/>
      </c>
      <c r="F734">
        <f>IF(Skills!N4=TRUE,(Skills!L4/10)*(E734/1000),Skills!L4/10)+Skills!O4</f>
        <v/>
      </c>
      <c r="G734">
        <f>Skills!G4*IF(Skills!H4&gt;0,Skills!I4/Skills!H4,1)</f>
        <v/>
      </c>
      <c r="H734">
        <f>1-(1-Skills!J4/100)^Skills!K4</f>
        <v/>
      </c>
      <c r="I734" t="inlineStr">
        <is>
          <t>1</t>
        </is>
      </c>
      <c r="J734">
        <f>(Inputs!$B$5*(1+Inputs!$B$6/100))*(F734/100)</f>
        <v/>
      </c>
      <c r="K734">
        <f>J734*(1+((Inputs!$B$11*(1+Inputs!$B$12/100))*0.01+Inputs!$B$13*0.0025)/100)*(1+Inputs!$B$14/100)*(1+IF(Inputs!$B$4="pvp",0,(1-Summary!$B$55)*(Inputs!$B$19+0+Skills!P4)+Summary!$B$55*(Inputs!$B$20+Skills!Q4))/100)*(1+Inputs!$B$15/100)*(5000/(6000+Inputs!$B$7*(1-(Inputs!$B$18+0)/100)))*(1+(Inputs!$B$23+((C756=TRUE)*(F756-Calc!F26))+B766)/100)*(1+1.0*IF(C746=TRUE,F746,0)/100)*(1+(IF(Skills!A4="EIGHT_LEGS_EASTON",Inputs!$B$16+((C753=TRUE)*(F753-Calc!F23))+((C757=TRUE)*(F757-Calc!F27)),Inputs!$B$17+0))/100)*((1+(((C747=TRUE)*F747)+((C754=TRUE)*(F754-Calc!F24)))/100)*I734)</f>
        <v/>
      </c>
      <c r="L734">
        <f>K734*(MIN(Inputs!$B$21+((C752=TRUE)*(F752-Calc!F22)),Inputs!$B$22+0)/100+(Inputs!$B$22+0)/100)/2</f>
        <v/>
      </c>
      <c r="M734">
        <f>L734*(1+(Inputs!$B$9+((C755=TRUE)*(F755-Calc!F25))+B765)/100)</f>
        <v/>
      </c>
      <c r="N734">
        <f>L734*(1-MIN((Inputs!$B$8+((C749=TRUE)*(F749-Calc!F19))+B760),100)/100)+M734*(MIN((Inputs!$B$8+((C749=TRUE)*(F749-Calc!F19))+B760),100)/100)</f>
        <v/>
      </c>
      <c r="O734">
        <f>IF(C734,H734*N734*IF(AND(Inputs!$B$4&lt;&gt;"pvp",Inputs!$B$35&gt;0),((Skills!G4*((R734-1)*IF(Skills!H4&gt;0,Skills!I4/Skills!H4,1)+IF(Skills!H4&gt;0,MIN(Skills!I4,MAX(0,Inputs!$B$35-((R734-1)*IF(Inputs!$B$4="pvp",15,MAX(0.1,Skills!D4-IF(Skills!E4=TRUE,Inputs!$B$31,0))))))/Skills!H4,1)))/Inputs!$B$35),G734*Q734)*IF(Inputs!$B$4="pvp",1,(1-Summary!$B$55)*(1)+Summary!$B$55*(MIN(Skills!R4,Inputs!$B$37))),0)</f>
        <v/>
      </c>
      <c r="P734">
        <f>IF(B768=0,0,O734/B768)</f>
        <v/>
      </c>
      <c r="Q734">
        <f>IFERROR(1/IF(Inputs!$B$4="pvp",15,MAX(0.1,Skills!D4-IF(Skills!E4=TRUE,Inputs!$B$31,0))),0)</f>
        <v/>
      </c>
      <c r="R734">
        <f>IF(AND(Inputs!$B$4&lt;&gt;"pvp",Inputs!$B$35&gt;0),(INT(Inputs!$B$35/IF(Inputs!$B$4="pvp",15,MAX(0.1,Skills!D4-IF(Skills!E4=TRUE,Inputs!$B$31,0))))+1),0)</f>
        <v/>
      </c>
      <c r="S734">
        <f>IFERROR(O734/N734,0)</f>
        <v/>
      </c>
      <c r="U734">
        <f>290*U733/1000</f>
        <v/>
      </c>
    </row>
    <row r="735">
      <c r="A735">
        <f>Skills!A5</f>
        <v/>
      </c>
      <c r="B735">
        <f>Skills!B5</f>
        <v/>
      </c>
      <c r="C735">
        <f>Inputs!$B$3&gt;=45</f>
        <v/>
      </c>
      <c r="D735">
        <f>IF(Skills!C5=1,60+Inputs!$B$24+Inputs!$B$28,IF(Skills!C5=2,90+(Inputs!$B$25+1)+Inputs!$B$28,IF(Skills!C5=3,120+Inputs!$B$26+Inputs!$B$28,MAX(0,(Inputs!$B$3-100)*3)+Inputs!$B$27+Inputs!$B$28)))</f>
        <v/>
      </c>
      <c r="E735">
        <f>INDEX(FactorTable!$B$2:$Y$301, MATCH(ROUND(MIN(300,MAX(1,D735)),0), FactorTable!$A$2:$A$301,0), Skills!M5+1)</f>
        <v/>
      </c>
      <c r="F735">
        <f>IF(Skills!N5=TRUE,(Skills!L5/10)*(E735/1000),Skills!L5/10)+Skills!O5</f>
        <v/>
      </c>
      <c r="G735">
        <f>Skills!G5*IF(Skills!H5&gt;0,Skills!I5/Skills!H5,1)</f>
        <v/>
      </c>
      <c r="H735">
        <f>1-(1-Skills!J5/100)^Skills!K5</f>
        <v/>
      </c>
      <c r="I735" t="inlineStr">
        <is>
          <t>1</t>
        </is>
      </c>
      <c r="J735">
        <f>(Inputs!$B$5*(1+Inputs!$B$6/100))*(F735/100)</f>
        <v/>
      </c>
      <c r="K735">
        <f>J735*(1+((Inputs!$B$11*(1+Inputs!$B$12/100))*0.01+Inputs!$B$13*0.0025)/100)*(1+Inputs!$B$14/100)*(1+IF(Inputs!$B$4="pvp",0,(1-Summary!$B$55)*(Inputs!$B$19+0+Skills!P5)+Summary!$B$55*(Inputs!$B$20+Skills!Q5))/100)*(1+Inputs!$B$15/100)*(5000/(6000+Inputs!$B$7*(1-(Inputs!$B$18+0)/100)))*(1+(Inputs!$B$23+((C756=TRUE)*(F756-Calc!F26))+B766)/100)*(1+0.4*IF(C746=TRUE,F746,0)/100)*(1+(IF(Skills!A5="EIGHT_LEGS_EASTON",Inputs!$B$16+((C753=TRUE)*(F753-Calc!F23))+((C757=TRUE)*(F757-Calc!F27)),Inputs!$B$17+0))/100)*((1+(((C747=TRUE)*F747)+((C754=TRUE)*(F754-Calc!F24)))/100)*I735)</f>
        <v/>
      </c>
      <c r="L735">
        <f>K735*(MIN(Inputs!$B$21+((C752=TRUE)*(F752-Calc!F22)),Inputs!$B$22+0)/100+(Inputs!$B$22+0)/100)/2</f>
        <v/>
      </c>
      <c r="M735">
        <f>L735*(1+(Inputs!$B$9+((C755=TRUE)*(F755-Calc!F25))+B765)/100)</f>
        <v/>
      </c>
      <c r="N735">
        <f>L735*(1-MIN((Inputs!$B$8+((C749=TRUE)*(F749-Calc!F19))+B760),100)/100)+M735*(MIN((Inputs!$B$8+((C749=TRUE)*(F749-Calc!F19))+B760),100)/100)</f>
        <v/>
      </c>
      <c r="O735">
        <f>IF(C735,H735*N735*IF(AND(Inputs!$B$4&lt;&gt;"pvp",Inputs!$B$35&gt;0),((Skills!G5*((R735-1)*IF(Skills!H5&gt;0,Skills!I5/Skills!H5,1)+IF(Skills!H5&gt;0,MIN(Skills!I5,MAX(0,Inputs!$B$35-((R735-1)*IF(Inputs!$B$4="pvp",15,MAX(0.1,Skills!D5-IF(Skills!E5=TRUE,Inputs!$B$31,0))))))/Skills!H5,1)))/Inputs!$B$35),G735*Q735)*IF(Inputs!$B$4="pvp",1,(1-Summary!$B$55)*(1)+Summary!$B$55*(MIN(Skills!R5,Inputs!$B$37))),0)</f>
        <v/>
      </c>
      <c r="P735">
        <f>IF(B768=0,0,O735/B768)</f>
        <v/>
      </c>
      <c r="Q735">
        <f>IFERROR(1/IF(Inputs!$B$4="pvp",15,MAX(0.1,Skills!D5-IF(Skills!E5=TRUE,Inputs!$B$31,0))),0)</f>
        <v/>
      </c>
      <c r="R735">
        <f>IF(AND(Inputs!$B$4&lt;&gt;"pvp",Inputs!$B$35&gt;0),(INT(Inputs!$B$35/IF(Inputs!$B$4="pvp",15,MAX(0.1,Skills!D5-IF(Skills!E5=TRUE,Inputs!$B$31,0))))+1),0)</f>
        <v/>
      </c>
      <c r="S735">
        <f>IFERROR(O735/N735,0)</f>
        <v/>
      </c>
    </row>
    <row r="736">
      <c r="A736">
        <f>Skills!A6</f>
        <v/>
      </c>
      <c r="B736">
        <f>Skills!B6</f>
        <v/>
      </c>
      <c r="C736">
        <f>Inputs!$B$3&gt;=63</f>
        <v/>
      </c>
      <c r="D736">
        <f>IF(Skills!C6=1,60+Inputs!$B$24+Inputs!$B$28,IF(Skills!C6=2,90+(Inputs!$B$25+1)+Inputs!$B$28,IF(Skills!C6=3,120+Inputs!$B$26+Inputs!$B$28,MAX(0,(Inputs!$B$3-100)*3)+Inputs!$B$27+Inputs!$B$28)))</f>
        <v/>
      </c>
      <c r="E736">
        <f>INDEX(FactorTable!$B$2:$Y$301, MATCH(ROUND(MIN(300,MAX(1,D736)),0), FactorTable!$A$2:$A$301,0), Skills!M6+1)</f>
        <v/>
      </c>
      <c r="F736">
        <f>IF(Skills!N6=TRUE,(Skills!L6/10)*(E736/1000),Skills!L6/10)+Skills!O6</f>
        <v/>
      </c>
      <c r="G736">
        <f>Skills!G6*IF(Skills!H6&gt;0,Skills!I6/Skills!H6,1)</f>
        <v/>
      </c>
      <c r="H736">
        <f>1-(1-Skills!J6/100)^Skills!K6</f>
        <v/>
      </c>
      <c r="I736" t="inlineStr">
        <is>
          <t>1</t>
        </is>
      </c>
      <c r="J736">
        <f>(Inputs!$B$5*(1+Inputs!$B$6/100))*(F736/100)</f>
        <v/>
      </c>
      <c r="K736">
        <f>J736*(1+((Inputs!$B$11*(1+Inputs!$B$12/100))*0.01+Inputs!$B$13*0.0025)/100)*(1+Inputs!$B$14/100)*(1+IF(Inputs!$B$4="pvp",0,(1-Summary!$B$55)*(Inputs!$B$19+0+Skills!P6)+Summary!$B$55*(Inputs!$B$20+Skills!Q6))/100)*(1+Inputs!$B$15/100)*(5000/(6000+Inputs!$B$7*(1-(Inputs!$B$18+0)/100)))*(1+(Inputs!$B$23+((C756=TRUE)*(F756-Calc!F26))+B766)/100)*(1+2.0*IF(C745=TRUE,F745,0)/100)*(1+(IF(Skills!A6="EIGHT_LEGS_EASTON",Inputs!$B$16+((C753=TRUE)*(F753-Calc!F23))+((C757=TRUE)*(F757-Calc!F27)),Inputs!$B$17+0))/100)*((1+(((C747=TRUE)*F747)+((C754=TRUE)*(F754-Calc!F24)))/100)*I736)</f>
        <v/>
      </c>
      <c r="L736">
        <f>K736*(MIN(Inputs!$B$21+((C752=TRUE)*(F752-Calc!F22)),Inputs!$B$22+0)/100+(Inputs!$B$22+0)/100)/2</f>
        <v/>
      </c>
      <c r="M736">
        <f>L736*(1+(Inputs!$B$9+((C755=TRUE)*(F755-Calc!F25))+B765)/100)</f>
        <v/>
      </c>
      <c r="N736">
        <f>L736*(1-MIN((Inputs!$B$8+((C749=TRUE)*(F749-Calc!F19))+B760),100)/100)+M736*(MIN((Inputs!$B$8+((C749=TRUE)*(F749-Calc!F19))+B760),100)/100)</f>
        <v/>
      </c>
      <c r="O736">
        <f>IF(C736,H736*N736*IF(AND(Inputs!$B$4&lt;&gt;"pvp",Inputs!$B$35&gt;0),((Skills!G6*((R736-1)*IF(Skills!H6&gt;0,Skills!I6/Skills!H6,1)+IF(Skills!H6&gt;0,MIN(Skills!I6,MAX(0,Inputs!$B$35-((R736-1)*IF(Inputs!$B$4="pvp",15,MAX(0.1,Skills!D6-IF(Skills!E6=TRUE,Inputs!$B$31,0))))))/Skills!H6,1)))/Inputs!$B$35),G736*Q736)*IF(Inputs!$B$4="pvp",1,(1-Summary!$B$55)*(1)+Summary!$B$55*(MIN(Skills!R6,Inputs!$B$37))),0)</f>
        <v/>
      </c>
      <c r="P736">
        <f>IF(B768=0,0,O736/B768)</f>
        <v/>
      </c>
      <c r="Q736">
        <f>IFERROR(1/IF(Inputs!$B$4="pvp",15,MAX(0.1,Skills!D6-IF(Skills!E6=TRUE,Inputs!$B$31,0))),0)</f>
        <v/>
      </c>
      <c r="R736">
        <f>IF(AND(Inputs!$B$4&lt;&gt;"pvp",Inputs!$B$35&gt;0),(INT(Inputs!$B$35/IF(Inputs!$B$4="pvp",15,MAX(0.1,Skills!D6-IF(Skills!E6=TRUE,Inputs!$B$31,0))))+1),0)</f>
        <v/>
      </c>
      <c r="S736">
        <f>IFERROR(O736/N736,0)</f>
        <v/>
      </c>
    </row>
    <row r="737">
      <c r="A737">
        <f>Skills!A7</f>
        <v/>
      </c>
      <c r="B737">
        <f>Skills!B7</f>
        <v/>
      </c>
      <c r="C737">
        <f>Inputs!$B$3&gt;=66</f>
        <v/>
      </c>
      <c r="D737">
        <f>IF(Skills!C7=1,60+Inputs!$B$24+Inputs!$B$28,IF(Skills!C7=2,90+(Inputs!$B$25+1)+Inputs!$B$28,IF(Skills!C7=3,120+Inputs!$B$26+Inputs!$B$28,MAX(0,(Inputs!$B$3-100)*3)+Inputs!$B$27+Inputs!$B$28)))</f>
        <v/>
      </c>
      <c r="E737">
        <f>INDEX(FactorTable!$B$2:$Y$301, MATCH(ROUND(MIN(300,MAX(1,D737)),0), FactorTable!$A$2:$A$301,0), Skills!M7+1)</f>
        <v/>
      </c>
      <c r="F737">
        <f>IF(Skills!N7=TRUE,(Skills!L7/10)*(E737/1000),Skills!L7/10)+Skills!O7</f>
        <v/>
      </c>
      <c r="G737">
        <f>Skills!G7*IF(Skills!H7&gt;0,Skills!I7/Skills!H7,1)</f>
        <v/>
      </c>
      <c r="H737">
        <f>1-(1-Skills!J7/100)^Skills!K7</f>
        <v/>
      </c>
      <c r="I737" t="inlineStr">
        <is>
          <t>1</t>
        </is>
      </c>
      <c r="J737">
        <f>(Inputs!$B$5*(1+Inputs!$B$6/100))*(F737/100)</f>
        <v/>
      </c>
      <c r="K737">
        <f>J737*(1+((Inputs!$B$11*(1+Inputs!$B$12/100))*0.01+Inputs!$B$13*0.0025)/100)*(1+Inputs!$B$14/100)*(1+IF(Inputs!$B$4="pvp",0,(1-Summary!$B$55)*(Inputs!$B$19+0+Skills!P7)+Summary!$B$55*(Inputs!$B$20+Skills!Q7))/100)*(1+Inputs!$B$15/100)*(5000/(6000+Inputs!$B$7*(1-(Inputs!$B$18+0)/100)))*(1+(Inputs!$B$23+((C756=TRUE)*(F756-Calc!F26))+B766)/100)*(1+1.0*IF(C745=TRUE,F745,0)/100)*(1+(IF(Skills!A7="EIGHT_LEGS_EASTON",Inputs!$B$16+((C753=TRUE)*(F753-Calc!F23))+((C757=TRUE)*(F757-Calc!F27)),Inputs!$B$17+0))/100)*((1+(((C747=TRUE)*F747)+((C754=TRUE)*(F754-Calc!F24)))/100)*I737)</f>
        <v/>
      </c>
      <c r="L737">
        <f>K737*(MIN(Inputs!$B$21+((C752=TRUE)*(F752-Calc!F22)),Inputs!$B$22+0)/100+(Inputs!$B$22+0)/100)/2</f>
        <v/>
      </c>
      <c r="M737">
        <f>L737*(1+(Inputs!$B$9+((C755=TRUE)*(F755-Calc!F25))+B765)/100)</f>
        <v/>
      </c>
      <c r="N737">
        <f>L737*(1-MIN((Inputs!$B$8+((C749=TRUE)*(F749-Calc!F19))+B760),100)/100)+M737*(MIN((Inputs!$B$8+((C749=TRUE)*(F749-Calc!F19))+B760),100)/100)</f>
        <v/>
      </c>
      <c r="O737">
        <f>IF(C737,H737*N737*IF(AND(Inputs!$B$4&lt;&gt;"pvp",Inputs!$B$35&gt;0),((Skills!G7*((R737-1)*IF(Skills!H7&gt;0,Skills!I7/Skills!H7,1)+IF(Skills!H7&gt;0,MIN(Skills!I7,MAX(0,Inputs!$B$35-((R737-1)*IF(Inputs!$B$4="pvp",15,MAX(0.1,Skills!D7-IF(Skills!E7=TRUE,Inputs!$B$31,0))))))/Skills!H7,1)))/Inputs!$B$35),G737*Q737)*IF(Inputs!$B$4="pvp",1,(1-Summary!$B$55)*(1)+Summary!$B$55*(MIN(Skills!R7,Inputs!$B$37))),0)</f>
        <v/>
      </c>
      <c r="P737">
        <f>IF(B768=0,0,O737/B768)</f>
        <v/>
      </c>
      <c r="Q737">
        <f>IFERROR(1/IF(Inputs!$B$4="pvp",15,MAX(0.1,Skills!D7-IF(Skills!E7=TRUE,Inputs!$B$31,0))),0)</f>
        <v/>
      </c>
      <c r="R737">
        <f>IF(AND(Inputs!$B$4&lt;&gt;"pvp",Inputs!$B$35&gt;0),(INT(Inputs!$B$35/IF(Inputs!$B$4="pvp",15,MAX(0.1,Skills!D7-IF(Skills!E7=TRUE,Inputs!$B$31,0))))+1),0)</f>
        <v/>
      </c>
      <c r="S737">
        <f>IFERROR(O737/N737,0)</f>
        <v/>
      </c>
    </row>
    <row r="738">
      <c r="A738">
        <f>Skills!A8</f>
        <v/>
      </c>
      <c r="B738">
        <f>Skills!B8</f>
        <v/>
      </c>
      <c r="C738">
        <f>Inputs!$B$3&gt;=100</f>
        <v/>
      </c>
      <c r="D738">
        <f>IF(Skills!C8=1,60+Inputs!$B$24+Inputs!$B$28,IF(Skills!C8=2,90+(Inputs!$B$25+1)+Inputs!$B$28,IF(Skills!C8=3,120+Inputs!$B$26+Inputs!$B$28,MAX(0,(Inputs!$B$3-100)*3)+Inputs!$B$27+Inputs!$B$28)))</f>
        <v/>
      </c>
      <c r="E738">
        <f>INDEX(FactorTable!$B$2:$Y$301, MATCH(ROUND(MIN(300,MAX(1,D738)),0), FactorTable!$A$2:$A$301,0), Skills!M8+1)</f>
        <v/>
      </c>
      <c r="F738">
        <f>IF(Skills!N8=TRUE,(Skills!L8/10)*(E738/1000),Skills!L8/10)+Skills!O8</f>
        <v/>
      </c>
      <c r="G738">
        <f>Skills!G8*IF(Skills!H8&gt;0,Skills!I8/Skills!H8,1)</f>
        <v/>
      </c>
      <c r="H738">
        <f>1-(1-Skills!J8/100)^Skills!K8</f>
        <v/>
      </c>
      <c r="I738" t="inlineStr">
        <is>
          <t>1</t>
        </is>
      </c>
      <c r="J738">
        <f>(Inputs!$B$5*(1+Inputs!$B$6/100))*(F738/100)</f>
        <v/>
      </c>
      <c r="K738">
        <f>J738*(1+((Inputs!$B$11*(1+Inputs!$B$12/100))*0.01+Inputs!$B$13*0.0025)/100)*(1+Inputs!$B$14/100)*(1+IF(Inputs!$B$4="pvp",0,(1-Summary!$B$55)*(Inputs!$B$19+0+Skills!P8)+Summary!$B$55*(Inputs!$B$20+Skills!Q8))/100)*(1+Inputs!$B$15/100)*(5000/(6000+Inputs!$B$7*(1-(Inputs!$B$18+0)/100)))*(1+(Inputs!$B$23+((C756=TRUE)*(F756-Calc!F26))+B766)/100)*(1+(IF(Skills!A8="EIGHT_LEGS_EASTON",Inputs!$B$16+((C753=TRUE)*(F753-Calc!F23))+((C757=TRUE)*(F757-Calc!F27)),Inputs!$B$17+0))/100)*((1+(((C747=TRUE)*F747)+((C754=TRUE)*(F754-Calc!F24)))/100)*I738)</f>
        <v/>
      </c>
      <c r="L738">
        <f>K738*(MIN(Inputs!$B$21+((C752=TRUE)*(F752-Calc!F22)),Inputs!$B$22+0)/100+(Inputs!$B$22+0)/100)/2</f>
        <v/>
      </c>
      <c r="M738">
        <f>L738*(1+(Inputs!$B$9+((C755=TRUE)*(F755-Calc!F25))+B765)/100)</f>
        <v/>
      </c>
      <c r="N738">
        <f>L738*(1-MIN((Inputs!$B$8+((C749=TRUE)*(F749-Calc!F19))+B760),100)/100)+M738*(MIN((Inputs!$B$8+((C749=TRUE)*(F749-Calc!F19))+B760),100)/100)</f>
        <v/>
      </c>
      <c r="O738">
        <f>IF(C738,H738*N738*IF(AND(Inputs!$B$4&lt;&gt;"pvp",Inputs!$B$35&gt;0),((Skills!G8*((R738-1)*IF(Skills!H8&gt;0,Skills!I8/Skills!H8,1)+IF(Skills!H8&gt;0,MIN(Skills!I8,MAX(0,Inputs!$B$35-((R738-1)*IF(Inputs!$B$4="pvp",15,MAX(0.1,Skills!D8-IF(Skills!E8=TRUE,Inputs!$B$31,0))))))/Skills!H8,1)))/Inputs!$B$35),G738*Q738)*IF(Inputs!$B$4="pvp",1,(1-Summary!$B$55)*(1)+Summary!$B$55*(MIN(Skills!R8,Inputs!$B$37))),0)</f>
        <v/>
      </c>
      <c r="P738">
        <f>IF(B768=0,0,O738/B768)</f>
        <v/>
      </c>
      <c r="Q738">
        <f>IFERROR(1/IF(Inputs!$B$4="pvp",15,MAX(0.1,Skills!D8-IF(Skills!E8=TRUE,Inputs!$B$31,0))),0)</f>
        <v/>
      </c>
      <c r="R738">
        <f>IF(AND(Inputs!$B$4&lt;&gt;"pvp",Inputs!$B$35&gt;0),(INT(Inputs!$B$35/IF(Inputs!$B$4="pvp",15,MAX(0.1,Skills!D8-IF(Skills!E8=TRUE,Inputs!$B$31,0))))+1),0)</f>
        <v/>
      </c>
      <c r="S738">
        <f>IFERROR(O738/N738,0)</f>
        <v/>
      </c>
    </row>
    <row r="739">
      <c r="A739">
        <f>Skills!A9</f>
        <v/>
      </c>
      <c r="B739">
        <f>Skills!B9</f>
        <v/>
      </c>
      <c r="C739">
        <f>Inputs!$B$3&gt;=103</f>
        <v/>
      </c>
      <c r="D739">
        <f>IF(Skills!C9=1,60+Inputs!$B$24+Inputs!$B$28,IF(Skills!C9=2,90+(Inputs!$B$25+1)+Inputs!$B$28,IF(Skills!C9=3,120+Inputs!$B$26+Inputs!$B$28,MAX(0,(Inputs!$B$3-100)*3)+Inputs!$B$27+Inputs!$B$28)))</f>
        <v/>
      </c>
      <c r="E739">
        <f>INDEX(FactorTable!$B$2:$Y$301, MATCH(ROUND(MIN(300,MAX(1,D739)),0), FactorTable!$A$2:$A$301,0), Skills!M9+1)</f>
        <v/>
      </c>
      <c r="F739">
        <f>IF(Skills!N9=TRUE,(Skills!L9/10)*(E739/1000),Skills!L9/10)+Skills!O9</f>
        <v/>
      </c>
      <c r="G739">
        <f>Skills!G9*IF(Skills!H9&gt;0,Skills!I9/Skills!H9,1)</f>
        <v/>
      </c>
      <c r="H739">
        <f>1-(1-Skills!J9/100)^Skills!K9</f>
        <v/>
      </c>
      <c r="I739" t="inlineStr">
        <is>
          <t>1</t>
        </is>
      </c>
      <c r="J739">
        <f>(Inputs!$B$5*(1+Inputs!$B$6/100))*(F739/100)</f>
        <v/>
      </c>
      <c r="K739">
        <f>J739*(1+((Inputs!$B$11*(1+Inputs!$B$12/100))*0.01+Inputs!$B$13*0.0025)/100)*(1+Inputs!$B$14/100)*(1+IF(Inputs!$B$4="pvp",0,(1-Summary!$B$55)*(Inputs!$B$19+0+Skills!P9)+Summary!$B$55*(Inputs!$B$20+Skills!Q9))/100)*(1+Inputs!$B$15/100)*(5000/(6000+Inputs!$B$7*(1-(Inputs!$B$18+0)/100)))*(1+(Inputs!$B$23+((C756=TRUE)*(F756-Calc!F26))+B766)/100)*(1+(IF(Skills!A9="EIGHT_LEGS_EASTON",Inputs!$B$16+((C753=TRUE)*(F753-Calc!F23))+((C757=TRUE)*(F757-Calc!F27)),Inputs!$B$17+0))/100)*((1+(((C747=TRUE)*F747)+((C754=TRUE)*(F754-Calc!F24)))/100)*I739)</f>
        <v/>
      </c>
      <c r="L739">
        <f>K739*(MIN(Inputs!$B$21+((C752=TRUE)*(F752-Calc!F22)),Inputs!$B$22+0)/100+(Inputs!$B$22+0)/100)/2</f>
        <v/>
      </c>
      <c r="M739">
        <f>L739*(1+(Inputs!$B$9+((C755=TRUE)*(F755-Calc!F25))+B765)/100)</f>
        <v/>
      </c>
      <c r="N739">
        <f>L739*(1-MIN((Inputs!$B$8+((C749=TRUE)*(F749-Calc!F19))+B760),100)/100)+M739*(MIN((Inputs!$B$8+((C749=TRUE)*(F749-Calc!F19))+B760),100)/100)</f>
        <v/>
      </c>
      <c r="O739">
        <f>IF(C739,H739*N739*IF(AND(Inputs!$B$4&lt;&gt;"pvp",Inputs!$B$35&gt;0),((Skills!G9*((R739-1)*IF(Skills!H9&gt;0,Skills!I9/Skills!H9,1)+IF(Skills!H9&gt;0,MIN(Skills!I9,MAX(0,Inputs!$B$35-((R739-1)*IF(Inputs!$B$4="pvp",15,MAX(0.1,Skills!D9-IF(Skills!E9=TRUE,Inputs!$B$31,0))))))/Skills!H9,1)))/Inputs!$B$35),G739*Q739)*IF(Inputs!$B$4="pvp",1,(1-Summary!$B$55)*(1)+Summary!$B$55*(MIN(Skills!R9,Inputs!$B$37))),0)</f>
        <v/>
      </c>
      <c r="P739">
        <f>IF(B768=0,0,O739/B768)</f>
        <v/>
      </c>
      <c r="Q739">
        <f>IFERROR(1/IF(Inputs!$B$4="pvp",15,MAX(0.1,Skills!D9-IF(Skills!E9=TRUE,Inputs!$B$31,0))),0)</f>
        <v/>
      </c>
      <c r="R739">
        <f>IF(AND(Inputs!$B$4&lt;&gt;"pvp",Inputs!$B$35&gt;0),(INT(Inputs!$B$35/IF(Inputs!$B$4="pvp",15,MAX(0.1,Skills!D9-IF(Skills!E9=TRUE,Inputs!$B$31,0))))+1),0)</f>
        <v/>
      </c>
      <c r="S739">
        <f>IFERROR(O739/N739,0)</f>
        <v/>
      </c>
    </row>
    <row r="740">
      <c r="A740">
        <f>Skills!A10</f>
        <v/>
      </c>
      <c r="B740">
        <f>Skills!B10</f>
        <v/>
      </c>
      <c r="C740">
        <f>Inputs!$B$3&gt;=113</f>
        <v/>
      </c>
      <c r="D740">
        <f>IF(Skills!C10=1,60+Inputs!$B$24+Inputs!$B$28,IF(Skills!C10=2,90+(Inputs!$B$25+1)+Inputs!$B$28,IF(Skills!C10=3,120+Inputs!$B$26+Inputs!$B$28,MAX(0,(Inputs!$B$3-100)*3)+Inputs!$B$27+Inputs!$B$28)))</f>
        <v/>
      </c>
      <c r="E740">
        <f>INDEX(FactorTable!$B$2:$Y$301, MATCH(ROUND(MIN(300,MAX(1,D740)),0), FactorTable!$A$2:$A$301,0), Skills!M10+1)</f>
        <v/>
      </c>
      <c r="F740">
        <f>IF(Skills!N10=TRUE,(Skills!L10/10)*(E740/1000),Skills!L10/10)+Skills!O10</f>
        <v/>
      </c>
      <c r="G740">
        <f>Skills!G10*IF(Skills!H10&gt;0,Skills!I10/Skills!H10,1)</f>
        <v/>
      </c>
      <c r="H740">
        <f>1-(1-Skills!J10/100)^Skills!K10</f>
        <v/>
      </c>
      <c r="I740" t="inlineStr">
        <is>
          <t>1</t>
        </is>
      </c>
      <c r="J740">
        <f>(Inputs!$B$5*(1+Inputs!$B$6/100))*(F740/100)</f>
        <v/>
      </c>
      <c r="K740">
        <f>J740*(1+((Inputs!$B$11*(1+Inputs!$B$12/100))*0.01+Inputs!$B$13*0.0025)/100)*(1+Inputs!$B$14/100)*(1+IF(Inputs!$B$4="pvp",0,(1-Summary!$B$55)*(Inputs!$B$19+0+Skills!P10)+Summary!$B$55*(Inputs!$B$20+Skills!Q10))/100)*(1+Inputs!$B$15/100)*(5000/(6000+Inputs!$B$7*(1-(Inputs!$B$18+0)/100)))*(1+(Inputs!$B$23+((C756=TRUE)*(F756-Calc!F26))+B766)/100)*(1+(IF(Skills!A10="EIGHT_LEGS_EASTON",Inputs!$B$16+((C753=TRUE)*(F753-Calc!F23))+((C757=TRUE)*(F757-Calc!F27)),Inputs!$B$17+0))/100)*((1+(((C747=TRUE)*F747)+((C754=TRUE)*(F754-Calc!F24)))/100)*I740)</f>
        <v/>
      </c>
      <c r="L740">
        <f>K740*(MIN(Inputs!$B$21+((C752=TRUE)*(F752-Calc!F22)),Inputs!$B$22+0)/100+(Inputs!$B$22+0)/100)/2</f>
        <v/>
      </c>
      <c r="M740">
        <f>L740*(1+(Inputs!$B$9+((C755=TRUE)*(F755-Calc!F25))+B765)/100)</f>
        <v/>
      </c>
      <c r="N740">
        <f>L740*(1-MIN((Inputs!$B$8+((C749=TRUE)*(F749-Calc!F19))+B760),100)/100)+M740*(MIN((Inputs!$B$8+((C749=TRUE)*(F749-Calc!F19))+B760),100)/100)</f>
        <v/>
      </c>
      <c r="O740">
        <f>IF(C740,H740*N740*IF(AND(Inputs!$B$4&lt;&gt;"pvp",Inputs!$B$35&gt;0),((Skills!G10*((R740-1)*IF(Skills!H10&gt;0,Skills!I10/Skills!H10,1)+IF(Skills!H10&gt;0,MIN(Skills!I10,MAX(0,Inputs!$B$35-((R740-1)*IF(Inputs!$B$4="pvp",15,MAX(0.1,Skills!D10-IF(Skills!E10=TRUE,Inputs!$B$31,0))))))/Skills!H10,1)))/Inputs!$B$35),G740*Q740)*IF(Inputs!$B$4="pvp",1,(1-Summary!$B$55)*(1)+Summary!$B$55*(MIN(Skills!R10,Inputs!$B$37))),0)</f>
        <v/>
      </c>
      <c r="P740">
        <f>IF(B768=0,0,O740/B768)</f>
        <v/>
      </c>
      <c r="Q740">
        <f>IFERROR(1/IF(Inputs!$B$4="pvp",15,MAX(0.1,Skills!D10-IF(Skills!E10=TRUE,Inputs!$B$31,0))),0)</f>
        <v/>
      </c>
      <c r="R740">
        <f>IF(AND(Inputs!$B$4&lt;&gt;"pvp",Inputs!$B$35&gt;0),(INT(Inputs!$B$35/IF(Inputs!$B$4="pvp",15,MAX(0.1,Skills!D10-IF(Skills!E10=TRUE,Inputs!$B$31,0))))+1),0)</f>
        <v/>
      </c>
      <c r="S740">
        <f>IFERROR(O740/N740,0)</f>
        <v/>
      </c>
    </row>
    <row r="741">
      <c r="A741">
        <f>Skills!A11</f>
        <v/>
      </c>
      <c r="B741">
        <f>Skills!B11</f>
        <v/>
      </c>
      <c r="C741">
        <f>Inputs!$B$3&gt;=107</f>
        <v/>
      </c>
      <c r="D741">
        <f>IF(Skills!C11=1,60+Inputs!$B$24+Inputs!$B$28,IF(Skills!C11=2,90+(Inputs!$B$25+1)+Inputs!$B$28,IF(Skills!C11=3,120+Inputs!$B$26+Inputs!$B$28,MAX(0,(Inputs!$B$3-100)*3)+Inputs!$B$27+Inputs!$B$28)))</f>
        <v/>
      </c>
      <c r="E741">
        <f>INDEX(FactorTable!$B$2:$Y$301, MATCH(ROUND(MIN(300,MAX(1,D741)),0), FactorTable!$A$2:$A$301,0), Skills!M11+1)</f>
        <v/>
      </c>
      <c r="F741">
        <f>IF(Skills!N11=TRUE,(Skills!L11/10)*(E741/1000),Skills!L11/10)+Skills!O11</f>
        <v/>
      </c>
      <c r="G741">
        <f>Skills!G11*IF(Skills!H11&gt;0,Skills!I11/Skills!H11,1)</f>
        <v/>
      </c>
      <c r="H741">
        <f>1-(1-Skills!J11/100)^Skills!K11</f>
        <v/>
      </c>
      <c r="I741" t="inlineStr">
        <is>
          <t>1</t>
        </is>
      </c>
      <c r="J741">
        <f>(Inputs!$B$5*(1+Inputs!$B$6/100))*(F741/100)</f>
        <v/>
      </c>
      <c r="K741">
        <f>J741*(1+((Inputs!$B$11*(1+Inputs!$B$12/100))*0.01+Inputs!$B$13*0.0025)/100)*(1+Inputs!$B$14/100)*(1+IF(Inputs!$B$4="pvp",0,(1-Summary!$B$55)*(Inputs!$B$19+0+Skills!P11)+Summary!$B$55*(Inputs!$B$20+Skills!Q11))/100)*(1+Inputs!$B$15/100)*(5000/(6000+Inputs!$B$7*(1-(Inputs!$B$18+0)/100)))*(1+(Inputs!$B$23+((C756=TRUE)*(F756-Calc!F26))+B766)/100)*(1+(IF(Skills!A11="EIGHT_LEGS_EASTON",Inputs!$B$16+((C753=TRUE)*(F753-Calc!F23))+((C757=TRUE)*(F757-Calc!F27)),Inputs!$B$17+0))/100)*((1+(((C747=TRUE)*F747)+((C754=TRUE)*(F754-Calc!F24)))/100)*I741)</f>
        <v/>
      </c>
      <c r="L741">
        <f>K741*(MIN(Inputs!$B$21+((C752=TRUE)*(F752-Calc!F22)),Inputs!$B$22+0)/100+(Inputs!$B$22+0)/100)/2</f>
        <v/>
      </c>
      <c r="M741">
        <f>L741*(1+(Inputs!$B$9+((C755=TRUE)*(F755-Calc!F25))+B765)/100)</f>
        <v/>
      </c>
      <c r="N741">
        <f>L741*(1-MIN((Inputs!$B$8+((C749=TRUE)*(F749-Calc!F19))+B760),100)/100)+M741*(MIN((Inputs!$B$8+((C749=TRUE)*(F749-Calc!F19))+B760),100)/100)</f>
        <v/>
      </c>
      <c r="O741">
        <f>IF(C741,H741*N741*IF(AND(Inputs!$B$4&lt;&gt;"pvp",Inputs!$B$35&gt;0),((Skills!G11*((R741-1)*IF(Skills!H11&gt;0,Skills!I11/Skills!H11,1)+IF(Skills!H11&gt;0,MIN(Skills!I11,MAX(0,Inputs!$B$35-((R741-1)*IF(Inputs!$B$4="pvp",15,MAX(0.1,Skills!D11-IF(Skills!E11=TRUE,Inputs!$B$31,0))))))/Skills!H11,1)))/Inputs!$B$35),G741*Q741)*IF(Inputs!$B$4="pvp",1,(1-Summary!$B$55)*(1)+Summary!$B$55*(MIN(Skills!R11,Inputs!$B$37))),0)</f>
        <v/>
      </c>
      <c r="P741">
        <f>IF(B768=0,0,O741/B768)</f>
        <v/>
      </c>
      <c r="Q741">
        <f>IFERROR(1/IF(Inputs!$B$4="pvp",15,MAX(0.1,Skills!D11-IF(Skills!E11=TRUE,Inputs!$B$31,0))),0)</f>
        <v/>
      </c>
      <c r="R741">
        <f>IF(AND(Inputs!$B$4&lt;&gt;"pvp",Inputs!$B$35&gt;0),(INT(Inputs!$B$35/IF(Inputs!$B$4="pvp",15,MAX(0.1,Skills!D11-IF(Skills!E11=TRUE,Inputs!$B$31,0))))+1),0)</f>
        <v/>
      </c>
      <c r="S741">
        <f>IFERROR(O741/N741,0)</f>
        <v/>
      </c>
    </row>
    <row r="742">
      <c r="A742">
        <f>Skills!A12</f>
        <v/>
      </c>
      <c r="B742">
        <f>Skills!B12</f>
        <v/>
      </c>
      <c r="C742">
        <f>Inputs!$B$3&gt;=110</f>
        <v/>
      </c>
      <c r="D742">
        <f>IF(Skills!C12=1,60+Inputs!$B$24+Inputs!$B$28,IF(Skills!C12=2,90+(Inputs!$B$25+1)+Inputs!$B$28,IF(Skills!C12=3,120+Inputs!$B$26+Inputs!$B$28,MAX(0,(Inputs!$B$3-100)*3)+Inputs!$B$27+Inputs!$B$28)))</f>
        <v/>
      </c>
      <c r="E742">
        <f>INDEX(FactorTable!$B$2:$Y$301, MATCH(ROUND(MIN(300,MAX(1,D742)),0), FactorTable!$A$2:$A$301,0), Skills!M12+1)</f>
        <v/>
      </c>
      <c r="F742">
        <f>IF(Skills!N12=TRUE,(Skills!L12/10)*(E742/1000),Skills!L12/10)+Skills!O12</f>
        <v/>
      </c>
      <c r="G742">
        <f>Skills!G12*IF(Skills!H12&gt;0,Skills!I12/Skills!H12,1)</f>
        <v/>
      </c>
      <c r="H742">
        <f>1-(1-Skills!J12/100)^Skills!K12</f>
        <v/>
      </c>
      <c r="I742" t="inlineStr">
        <is>
          <t>1</t>
        </is>
      </c>
      <c r="J742">
        <f>(Inputs!$B$5*(1+Inputs!$B$6/100))*(F742/100)</f>
        <v/>
      </c>
      <c r="K742">
        <f>J742*(1+((Inputs!$B$11*(1+Inputs!$B$12/100))*0.01+Inputs!$B$13*0.0025)/100)*(1+Inputs!$B$14/100)*(1+IF(Inputs!$B$4="pvp",0,(1-Summary!$B$55)*(Inputs!$B$19+0+Skills!P12)+Summary!$B$55*(Inputs!$B$20+Skills!Q12))/100)*(1+Inputs!$B$15/100)*(5000/(6000+Inputs!$B$7*(1-(Inputs!$B$18+0)/100)))*(1+(Inputs!$B$23+((C756=TRUE)*(F756-Calc!F26))+B766)/100)*(1+(IF(Skills!A12="EIGHT_LEGS_EASTON",Inputs!$B$16+((C753=TRUE)*(F753-Calc!F23))+((C757=TRUE)*(F757-Calc!F27)),Inputs!$B$17+0))/100)*((1+(((C747=TRUE)*F747)+((C754=TRUE)*(F754-Calc!F24)))/100)*I742)</f>
        <v/>
      </c>
      <c r="L742">
        <f>K742*(MIN(Inputs!$B$21+((C752=TRUE)*(F752-Calc!F22)),Inputs!$B$22+0)/100+(Inputs!$B$22+0)/100)/2</f>
        <v/>
      </c>
      <c r="M742">
        <f>L742*(1+(Inputs!$B$9+((C755=TRUE)*(F755-Calc!F25))+B765)/100)</f>
        <v/>
      </c>
      <c r="N742">
        <f>L742*(1-MIN((Inputs!$B$8+((C749=TRUE)*(F749-Calc!F19))+B760),100)/100)+M742*(MIN((Inputs!$B$8+((C749=TRUE)*(F749-Calc!F19))+B760),100)/100)</f>
        <v/>
      </c>
      <c r="O742">
        <f>IF(C742,H742*N742*IF(AND(Inputs!$B$4&lt;&gt;"pvp",Inputs!$B$35&gt;0),((Skills!G12*((R742-1)*IF(Skills!H12&gt;0,Skills!I12/Skills!H12,1)+IF(Skills!H12&gt;0,MIN(Skills!I12,MAX(0,Inputs!$B$35-((R742-1)*IF(Inputs!$B$4="pvp",15,MAX(0.1,Skills!D12-IF(Skills!E12=TRUE,Inputs!$B$31,0))))))/Skills!H12,1)))/Inputs!$B$35),G742*Q742)*IF(Inputs!$B$4="pvp",1,(1-Summary!$B$55)*(1)+Summary!$B$55*(MIN(Skills!R12,Inputs!$B$37))),0)</f>
        <v/>
      </c>
      <c r="P742">
        <f>IF(B768=0,0,O742/B768)</f>
        <v/>
      </c>
      <c r="Q742">
        <f>IFERROR(1/IF(Inputs!$B$4="pvp",15,MAX(0.1,Skills!D12-IF(Skills!E12=TRUE,Inputs!$B$31,0))),0)</f>
        <v/>
      </c>
      <c r="R742">
        <f>IF(AND(Inputs!$B$4&lt;&gt;"pvp",Inputs!$B$35&gt;0),(INT(Inputs!$B$35/IF(Inputs!$B$4="pvp",15,MAX(0.1,Skills!D12-IF(Skills!E12=TRUE,Inputs!$B$31,0))))+1),0)</f>
        <v/>
      </c>
      <c r="S742">
        <f>IFERROR(O742/N742,0)</f>
        <v/>
      </c>
    </row>
    <row r="743">
      <c r="A743">
        <f>Skills!A13</f>
        <v/>
      </c>
      <c r="B743">
        <f>Skills!B13</f>
        <v/>
      </c>
      <c r="C743">
        <f>Inputs!$B$3&gt;=110</f>
        <v/>
      </c>
      <c r="D743">
        <f>IF(Skills!C13=1,60+Inputs!$B$24+Inputs!$B$28,IF(Skills!C13=2,90+(Inputs!$B$25+1)+Inputs!$B$28,IF(Skills!C13=3,120+Inputs!$B$26+Inputs!$B$28,MAX(0,(Inputs!$B$3-100)*3)+Inputs!$B$27+Inputs!$B$28)))</f>
        <v/>
      </c>
      <c r="E743">
        <f>INDEX(FactorTable!$B$2:$Y$301, MATCH(ROUND(MIN(300,MAX(1,D743)),0), FactorTable!$A$2:$A$301,0), Skills!M13+1)</f>
        <v/>
      </c>
      <c r="F743">
        <f>IF(Skills!N13=TRUE,(Skills!L13/10)*(E743/1000),Skills!L13/10)+Skills!O13</f>
        <v/>
      </c>
      <c r="G743">
        <f>Skills!G13*IF(Skills!H13&gt;0,Skills!I13/Skills!H13,1)</f>
        <v/>
      </c>
      <c r="H743">
        <f>1-(1-Skills!J13/100)^Skills!K13</f>
        <v/>
      </c>
      <c r="I743" t="inlineStr">
        <is>
          <t>1</t>
        </is>
      </c>
      <c r="J743">
        <f>(Inputs!$B$5*(1+Inputs!$B$6/100))*(F743/100)</f>
        <v/>
      </c>
      <c r="K743">
        <f>J743*(1+((Inputs!$B$11*(1+Inputs!$B$12/100))*0.01+Inputs!$B$13*0.0025)/100)*(1+Inputs!$B$14/100)*(1+IF(Inputs!$B$4="pvp",0,(1-Summary!$B$55)*(Inputs!$B$19+0+Skills!P13)+Summary!$B$55*(Inputs!$B$20+Skills!Q13))/100)*(1+Inputs!$B$15/100)*(5000/(6000+Inputs!$B$7*(1-(Inputs!$B$18+0)/100)))*(1+(Inputs!$B$23+((C756=TRUE)*(F756-Calc!F26))+B766)/100)*(1+(IF(Skills!A13="EIGHT_LEGS_EASTON",Inputs!$B$16+((C753=TRUE)*(F753-Calc!F23))+((C757=TRUE)*(F757-Calc!F27)),Inputs!$B$17+0))/100)*((1+(((C747=TRUE)*F747)+((C754=TRUE)*(F754-Calc!F24)))/100)*I743)</f>
        <v/>
      </c>
      <c r="L743">
        <f>K743*(MIN(Inputs!$B$21+((C752=TRUE)*(F752-Calc!F22)),Inputs!$B$22+0)/100+(Inputs!$B$22+0)/100)/2</f>
        <v/>
      </c>
      <c r="M743">
        <f>L743*(1+(Inputs!$B$9+((C755=TRUE)*(F755-Calc!F25))+B765)/100)</f>
        <v/>
      </c>
      <c r="N743">
        <f>L743*(1-MIN((Inputs!$B$8+((C749=TRUE)*(F749-Calc!F19))+B760),100)/100)+M743*(MIN((Inputs!$B$8+((C749=TRUE)*(F749-Calc!F19))+B760),100)/100)</f>
        <v/>
      </c>
      <c r="O743">
        <f>IF(C743,H743*N743*IF(AND(Inputs!$B$4&lt;&gt;"pvp",Inputs!$B$35&gt;0),((Skills!G13*((R743-1)*IF(Skills!H13&gt;0,Skills!I13/Skills!H13,1)+IF(Skills!H13&gt;0,MIN(Skills!I13,MAX(0,Inputs!$B$35-((R743-1)*IF(Inputs!$B$4="pvp",15,MAX(0.1,Skills!D13-IF(Skills!E13=TRUE,Inputs!$B$31,0))))))/Skills!H13,1)))/Inputs!$B$35),G743*Q743)*IF(Inputs!$B$4="pvp",1,(1-Summary!$B$55)*(1)+Summary!$B$55*(MIN(Skills!R13,Inputs!$B$37))),0)</f>
        <v/>
      </c>
      <c r="P743">
        <f>IF(B768=0,0,O743/B768)</f>
        <v/>
      </c>
      <c r="Q743">
        <f>IFERROR(1/IF(Inputs!$B$4="pvp",15,MAX(0.1,Skills!D13-IF(Skills!E13=TRUE,Inputs!$B$31,0))),0)</f>
        <v/>
      </c>
      <c r="R743">
        <f>IF(AND(Inputs!$B$4&lt;&gt;"pvp",Inputs!$B$35&gt;0),(INT(Inputs!$B$35/IF(Inputs!$B$4="pvp",15,MAX(0.1,Skills!D13-IF(Skills!E13=TRUE,Inputs!$B$31,0))))+1),0)</f>
        <v/>
      </c>
      <c r="S743">
        <f>IFERROR(O743/N743,0)</f>
        <v/>
      </c>
    </row>
    <row r="744">
      <c r="A744">
        <f>Skills!A14</f>
        <v/>
      </c>
      <c r="B744">
        <f>Skills!B14</f>
        <v/>
      </c>
      <c r="C744">
        <f>Inputs!$B$3&gt;=125</f>
        <v/>
      </c>
      <c r="D744">
        <f>IF(Skills!C14=1,60+Inputs!$B$24+Inputs!$B$28,IF(Skills!C14=2,90+(Inputs!$B$25+1)+Inputs!$B$28,IF(Skills!C14=3,120+Inputs!$B$26+Inputs!$B$28,MAX(0,(Inputs!$B$3-100)*3)+Inputs!$B$27+Inputs!$B$28)))</f>
        <v/>
      </c>
      <c r="E744">
        <f>INDEX(FactorTable!$B$2:$Y$301, MATCH(ROUND(MIN(300,MAX(1,D744)),0), FactorTable!$A$2:$A$301,0), Skills!M14+1)</f>
        <v/>
      </c>
      <c r="F744">
        <f>IF(Skills!N14=TRUE,(Skills!L14/10)*(E744/1000),Skills!L14/10)+Skills!O14</f>
        <v/>
      </c>
      <c r="G744">
        <f>Skills!G14*IF(Skills!H14&gt;0,Skills!I14/Skills!H14,1)</f>
        <v/>
      </c>
      <c r="H744">
        <f>1-(1-Skills!J14/100)^Skills!K14</f>
        <v/>
      </c>
      <c r="I744" t="inlineStr">
        <is>
          <t>1</t>
        </is>
      </c>
      <c r="J744">
        <f>(Inputs!$B$5*(1+Inputs!$B$6/100))*(F744/100)</f>
        <v/>
      </c>
      <c r="K744">
        <f>J744*(1+((Inputs!$B$11*(1+Inputs!$B$12/100))*0.01+Inputs!$B$13*0.0025)/100)*(1+Inputs!$B$14/100)*(1+IF(Inputs!$B$4="pvp",0,(1-Summary!$B$55)*(Inputs!$B$19+0+Skills!P14)+Summary!$B$55*(Inputs!$B$20+Skills!Q14))/100)*(1+Inputs!$B$15/100)*(5000/(6000+Inputs!$B$7*(1-(Inputs!$B$18+0)/100)))*(1+(Inputs!$B$23+((C756=TRUE)*(F756-Calc!F26))+B766)/100)*(1+(IF(Skills!A14="EIGHT_LEGS_EASTON",Inputs!$B$16+((C753=TRUE)*(F753-Calc!F23))+((C757=TRUE)*(F757-Calc!F27)),Inputs!$B$17+0))/100)*((1+(((C747=TRUE)*F747)+((C754=TRUE)*(F754-Calc!F24)))/100)*I744)</f>
        <v/>
      </c>
      <c r="L744">
        <f>K744*(MIN(Inputs!$B$21+((C752=TRUE)*(F752-Calc!F22)),Inputs!$B$22+0)/100+(Inputs!$B$22+0)/100)/2</f>
        <v/>
      </c>
      <c r="M744">
        <f>L744*(1+(Inputs!$B$9+((C755=TRUE)*(F755-Calc!F25))+B765)/100)</f>
        <v/>
      </c>
      <c r="N744">
        <f>L744*(1-MIN((Inputs!$B$8+((C749=TRUE)*(F749-Calc!F19))+B760),100)/100)+M744*(MIN((Inputs!$B$8+((C749=TRUE)*(F749-Calc!F19))+B760),100)/100)</f>
        <v/>
      </c>
      <c r="O744">
        <f>IF(C744,H744*N744*(B764+IF(AND(Inputs!$B$4&lt;&gt;"pvp",Inputs!$B$35&gt;0),((Skills!G8*((R738-1)*IF(Skills!H8&gt;0,Skills!I8/Skills!H8,1)+IF(Skills!H8&gt;0,MIN(Skills!I8,MAX(0,Inputs!$B$35-((R738-1)*IF(Inputs!$B$4="pvp",15,MAX(0.1,Skills!D8-IF(Skills!E8=TRUE,Inputs!$B$31,0))))))/Skills!H8,1)))/Inputs!$B$35),G738*Q738)+IF(AND(Inputs!$B$4&lt;&gt;"pvp",Inputs!$B$35&gt;0),((Skills!G11*((R741-1)*IF(Skills!H11&gt;0,Skills!I11/Skills!H11,1)+IF(Skills!H11&gt;0,MIN(Skills!I11,MAX(0,Inputs!$B$35-((R741-1)*IF(Inputs!$B$4="pvp",15,MAX(0.1,Skills!D11-IF(Skills!E11=TRUE,Inputs!$B$31,0))))))/Skills!H11,1)))/Inputs!$B$35),G741*Q741))*IF(Inputs!$B$4="pvp",1,(1-Summary!$B$55)*(1)+Summary!$B$55*(MIN(Skills!R14,Inputs!$B$37))),0)</f>
        <v/>
      </c>
      <c r="P744">
        <f>IF(B768=0,0,O744/B768)</f>
        <v/>
      </c>
      <c r="Q744" t="n">
        <v>0</v>
      </c>
      <c r="R744" t="n">
        <v>0</v>
      </c>
      <c r="S744">
        <f>IFERROR(O744/N744,0)</f>
        <v/>
      </c>
    </row>
    <row r="745">
      <c r="A745">
        <f>Skills!A15</f>
        <v/>
      </c>
      <c r="B745">
        <f>Skills!B15</f>
        <v/>
      </c>
      <c r="C745">
        <f>Inputs!$B$3&gt;=100</f>
        <v/>
      </c>
      <c r="D745">
        <f>IF(Skills!C15=1,60+Inputs!$B$24+Inputs!$B$28,IF(Skills!C15=2,90+(Inputs!$B$25+1)+Inputs!$B$28,IF(Skills!C15=3,120+Inputs!$B$26+Inputs!$B$28,MAX(0,(Inputs!$B$3-100)*3)+Inputs!$B$27+Inputs!$B$28)))</f>
        <v/>
      </c>
      <c r="E745">
        <f>INDEX(FactorTable!$B$2:$Y$301, MATCH(ROUND(MIN(300,MAX(1,D745)),0), FactorTable!$A$2:$A$301,0), Skills!M15+1)</f>
        <v/>
      </c>
      <c r="F745">
        <f>IF(Skills!N15=TRUE,(Skills!L15/10)*(E745/1000),Skills!L15/10)+Skills!O15</f>
        <v/>
      </c>
      <c r="G745" t="inlineStr"/>
      <c r="H745" t="inlineStr"/>
      <c r="I745" t="inlineStr">
        <is>
          <t>1</t>
        </is>
      </c>
      <c r="J745" t="inlineStr"/>
      <c r="K745" t="inlineStr"/>
      <c r="L745" t="inlineStr"/>
      <c r="M745" t="inlineStr"/>
      <c r="N745" t="inlineStr"/>
      <c r="O745" t="inlineStr"/>
      <c r="P745" t="inlineStr"/>
      <c r="Q745" t="inlineStr"/>
      <c r="R745" t="inlineStr"/>
      <c r="S745" t="inlineStr"/>
    </row>
    <row r="746">
      <c r="A746">
        <f>Skills!A16</f>
        <v/>
      </c>
      <c r="B746">
        <f>Skills!B16</f>
        <v/>
      </c>
      <c r="C746">
        <f>Inputs!$B$3&gt;=120</f>
        <v/>
      </c>
      <c r="D746">
        <f>IF(Skills!C16=1,60+Inputs!$B$24+Inputs!$B$28,IF(Skills!C16=2,90+(Inputs!$B$25+1)+Inputs!$B$28,IF(Skills!C16=3,120+Inputs!$B$26+Inputs!$B$28,MAX(0,(Inputs!$B$3-100)*3)+Inputs!$B$27+Inputs!$B$28)))</f>
        <v/>
      </c>
      <c r="E746">
        <f>INDEX(FactorTable!$B$2:$Y$301, MATCH(ROUND(MIN(300,MAX(1,D746)),0), FactorTable!$A$2:$A$301,0), Skills!M16+1)</f>
        <v/>
      </c>
      <c r="F746">
        <f>IF(Skills!N16=TRUE,(Skills!L16/10)*(E746/1000),Skills!L16/10)+Skills!O16</f>
        <v/>
      </c>
      <c r="G746" t="inlineStr"/>
      <c r="H746" t="inlineStr"/>
      <c r="I746" t="inlineStr">
        <is>
          <t>1</t>
        </is>
      </c>
      <c r="J746" t="inlineStr"/>
      <c r="K746" t="inlineStr"/>
      <c r="L746" t="inlineStr"/>
      <c r="M746" t="inlineStr"/>
      <c r="N746" t="inlineStr"/>
      <c r="O746" t="inlineStr"/>
      <c r="P746" t="inlineStr"/>
      <c r="Q746" t="inlineStr"/>
      <c r="R746" t="inlineStr"/>
      <c r="S746" t="inlineStr"/>
    </row>
    <row r="747">
      <c r="A747">
        <f>Skills!A17</f>
        <v/>
      </c>
      <c r="B747">
        <f>Skills!B17</f>
        <v/>
      </c>
      <c r="C747">
        <f>Inputs!$B$3&gt;=66</f>
        <v/>
      </c>
      <c r="D747">
        <f>IF(Skills!C17=1,60+Inputs!$B$24+Inputs!$B$28,IF(Skills!C17=2,90+(Inputs!$B$25+1)+Inputs!$B$28,IF(Skills!C17=3,120+Inputs!$B$26+Inputs!$B$28,MAX(0,(Inputs!$B$3-100)*3)+Inputs!$B$27+Inputs!$B$28)))</f>
        <v/>
      </c>
      <c r="E747">
        <f>INDEX(FactorTable!$B$2:$Y$301, MATCH(ROUND(MIN(300,MAX(1,D747)),0), FactorTable!$A$2:$A$301,0), Skills!M17+1)</f>
        <v/>
      </c>
      <c r="F747">
        <f>IF(Skills!N17=TRUE,(Skills!L17/10)*(E747/1000),Skills!L17/10)+Skills!O17</f>
        <v/>
      </c>
      <c r="G747">
        <f>Skills!G17*IF(Skills!H17&gt;0,Skills!I17/Skills!H17,1)</f>
        <v/>
      </c>
      <c r="H747">
        <f>1-(1-Skills!J17/100)^Skills!K17</f>
        <v/>
      </c>
      <c r="I747" t="inlineStr">
        <is>
          <t>1</t>
        </is>
      </c>
      <c r="J747" t="inlineStr"/>
      <c r="K747" t="inlineStr"/>
      <c r="L747" t="inlineStr"/>
      <c r="M747" t="inlineStr"/>
      <c r="N747" t="inlineStr"/>
      <c r="O747" t="n">
        <v>0</v>
      </c>
      <c r="P747">
        <f>IF(B768=0,0,O747/B768)</f>
        <v/>
      </c>
      <c r="Q747" t="n">
        <v>0</v>
      </c>
      <c r="R747" t="n">
        <v>0</v>
      </c>
      <c r="S747">
        <f>IFERROR(O747/N747,0)</f>
        <v/>
      </c>
    </row>
    <row r="748">
      <c r="A748">
        <f>Skills!A18</f>
        <v/>
      </c>
      <c r="B748">
        <f>Skills!B18</f>
        <v/>
      </c>
      <c r="C748">
        <f>Inputs!$B$3&gt;=115</f>
        <v/>
      </c>
      <c r="D748">
        <f>IF(Skills!C18=1,60+Inputs!$B$24+Inputs!$B$28,IF(Skills!C18=2,90+(Inputs!$B$25+1)+Inputs!$B$28,IF(Skills!C18=3,120+Inputs!$B$26+Inputs!$B$28,MAX(0,(Inputs!$B$3-100)*3)+Inputs!$B$27+Inputs!$B$28)))</f>
        <v/>
      </c>
      <c r="E748">
        <f>INDEX(FactorTable!$B$2:$Y$301, MATCH(ROUND(MIN(300,MAX(1,D748)),0), FactorTable!$A$2:$A$301,0), Skills!M18+1)</f>
        <v/>
      </c>
      <c r="F748">
        <f>IF(Skills!N18=TRUE,(Skills!L18/10)*(E748/1000),Skills!L18/10)+Skills!O18</f>
        <v/>
      </c>
      <c r="G748">
        <f>Skills!G18*IF(Skills!H18&gt;0,Skills!I18/Skills!H18,1)</f>
        <v/>
      </c>
      <c r="H748">
        <f>1-(1-Skills!J18/100)^Skills!K18</f>
        <v/>
      </c>
      <c r="I748" t="inlineStr">
        <is>
          <t>1</t>
        </is>
      </c>
      <c r="J748" t="inlineStr"/>
      <c r="K748" t="inlineStr"/>
      <c r="L748" t="inlineStr"/>
      <c r="M748" t="inlineStr"/>
      <c r="N748" t="inlineStr"/>
      <c r="O748" t="n">
        <v>0</v>
      </c>
      <c r="P748">
        <f>IF(B768=0,0,O748/B768)</f>
        <v/>
      </c>
      <c r="Q748" t="n">
        <v>0</v>
      </c>
      <c r="R748" t="n">
        <v>0</v>
      </c>
      <c r="S748">
        <f>IFERROR(O748/N748,0)</f>
        <v/>
      </c>
    </row>
    <row r="749">
      <c r="A749">
        <f>Skills!A19</f>
        <v/>
      </c>
      <c r="B749">
        <f>Skills!B19</f>
        <v/>
      </c>
      <c r="C749">
        <f>Inputs!$B$3&gt;=15</f>
        <v/>
      </c>
      <c r="D749">
        <f>IF(Skills!C19=1,60+Inputs!$B$24+Inputs!$B$28,IF(Skills!C19=2,90+(Inputs!$B$25+1)+Inputs!$B$28,IF(Skills!C19=3,120+Inputs!$B$26+Inputs!$B$28,MAX(0,(Inputs!$B$3-100)*3)+Inputs!$B$27+Inputs!$B$28)))</f>
        <v/>
      </c>
      <c r="E749">
        <f>INDEX(FactorTable!$B$2:$Y$301, MATCH(ROUND(MIN(300,MAX(1,D749)),0), FactorTable!$A$2:$A$301,0), Skills!M19+1)</f>
        <v/>
      </c>
      <c r="F749">
        <f>IF(Skills!N19=TRUE,(Skills!L19/10)*(E749/1000),Skills!L19/10)+Skills!O19</f>
        <v/>
      </c>
      <c r="G749">
        <f>Skills!G19*IF(Skills!H19&gt;0,Skills!I19/Skills!H19,1)</f>
        <v/>
      </c>
      <c r="H749">
        <f>1-(1-Skills!J19/100)^Skills!K19</f>
        <v/>
      </c>
      <c r="I749" t="inlineStr">
        <is>
          <t>1</t>
        </is>
      </c>
      <c r="J749" t="inlineStr"/>
      <c r="K749" t="inlineStr"/>
      <c r="L749" t="inlineStr"/>
      <c r="M749" t="inlineStr"/>
      <c r="N749" t="inlineStr"/>
      <c r="O749" t="n">
        <v>0</v>
      </c>
      <c r="P749">
        <f>IF(B768=0,0,O749/B768)</f>
        <v/>
      </c>
      <c r="Q749" t="n">
        <v>0</v>
      </c>
      <c r="R749" t="n">
        <v>0</v>
      </c>
      <c r="S749">
        <f>IFERROR(O749/N749,0)</f>
        <v/>
      </c>
    </row>
    <row r="750">
      <c r="A750">
        <f>Skills!A20</f>
        <v/>
      </c>
      <c r="B750">
        <f>Skills!B20</f>
        <v/>
      </c>
      <c r="C750">
        <f>Inputs!$B$3&gt;=10</f>
        <v/>
      </c>
      <c r="D750">
        <f>IF(Skills!C20=1,60+Inputs!$B$24+Inputs!$B$28,IF(Skills!C20=2,90+(Inputs!$B$25+1)+Inputs!$B$28,IF(Skills!C20=3,120+Inputs!$B$26+Inputs!$B$28,MAX(0,(Inputs!$B$3-100)*3)+Inputs!$B$27+Inputs!$B$28)))</f>
        <v/>
      </c>
      <c r="E750">
        <f>INDEX(FactorTable!$B$2:$Y$301, MATCH(ROUND(MIN(300,MAX(1,D750)),0), FactorTable!$A$2:$A$301,0), Skills!M20+1)</f>
        <v/>
      </c>
      <c r="F750">
        <f>IF(Skills!N20=TRUE,(Skills!L20/10)*(E750/1000),Skills!L20/10)+Skills!O20</f>
        <v/>
      </c>
      <c r="G750">
        <f>Skills!G20*IF(Skills!H20&gt;0,Skills!I20/Skills!H20,1)</f>
        <v/>
      </c>
      <c r="H750">
        <f>1-(1-Skills!J20/100)^Skills!K20</f>
        <v/>
      </c>
      <c r="I750" t="inlineStr">
        <is>
          <t>1</t>
        </is>
      </c>
      <c r="J750" t="inlineStr"/>
      <c r="K750" t="inlineStr"/>
      <c r="L750" t="inlineStr"/>
      <c r="M750" t="inlineStr"/>
      <c r="N750" t="inlineStr"/>
      <c r="O750" t="n">
        <v>0</v>
      </c>
      <c r="P750">
        <f>IF(B768=0,0,O750/B768)</f>
        <v/>
      </c>
      <c r="Q750" t="n">
        <v>0</v>
      </c>
      <c r="R750" t="n">
        <v>0</v>
      </c>
      <c r="S750">
        <f>IFERROR(O750/N750,0)</f>
        <v/>
      </c>
    </row>
    <row r="751">
      <c r="A751">
        <f>Skills!A21</f>
        <v/>
      </c>
      <c r="B751">
        <f>Skills!B21</f>
        <v/>
      </c>
      <c r="C751">
        <f>Inputs!$B$3&gt;=33</f>
        <v/>
      </c>
      <c r="D751">
        <f>IF(Skills!C21=1,60+Inputs!$B$24+Inputs!$B$28,IF(Skills!C21=2,90+(Inputs!$B$25+1)+Inputs!$B$28,IF(Skills!C21=3,120+Inputs!$B$26+Inputs!$B$28,MAX(0,(Inputs!$B$3-100)*3)+Inputs!$B$27+Inputs!$B$28)))</f>
        <v/>
      </c>
      <c r="E751">
        <f>INDEX(FactorTable!$B$2:$Y$301, MATCH(ROUND(MIN(300,MAX(1,D751)),0), FactorTable!$A$2:$A$301,0), Skills!M21+1)</f>
        <v/>
      </c>
      <c r="F751">
        <f>IF(Skills!N21=TRUE,(Skills!L21/10)*(E751/1000),Skills!L21/10)+Skills!O21</f>
        <v/>
      </c>
      <c r="G751">
        <f>Skills!G21*IF(Skills!H21&gt;0,Skills!I21/Skills!H21,1)</f>
        <v/>
      </c>
      <c r="H751">
        <f>1-(1-Skills!J21/100)^Skills!K21</f>
        <v/>
      </c>
      <c r="I751" t="inlineStr">
        <is>
          <t>1</t>
        </is>
      </c>
      <c r="J751" t="inlineStr"/>
      <c r="K751" t="inlineStr"/>
      <c r="L751" t="inlineStr"/>
      <c r="M751" t="inlineStr"/>
      <c r="N751" t="inlineStr"/>
      <c r="O751" t="n">
        <v>0</v>
      </c>
      <c r="P751">
        <f>IF(B768=0,0,O751/B768)</f>
        <v/>
      </c>
      <c r="Q751" t="n">
        <v>0</v>
      </c>
      <c r="R751" t="n">
        <v>0</v>
      </c>
      <c r="S751">
        <f>IFERROR(O751/N751,0)</f>
        <v/>
      </c>
    </row>
    <row r="752">
      <c r="A752">
        <f>Skills!A22</f>
        <v/>
      </c>
      <c r="B752">
        <f>Skills!B22</f>
        <v/>
      </c>
      <c r="C752">
        <f>Inputs!$B$3&gt;=43</f>
        <v/>
      </c>
      <c r="D752">
        <f>IF(Skills!C22=1,60+Inputs!$B$24+Inputs!$B$28,IF(Skills!C22=2,90+(Inputs!$B$25+1)+Inputs!$B$28,IF(Skills!C22=3,120+Inputs!$B$26+Inputs!$B$28,MAX(0,(Inputs!$B$3-100)*3)+Inputs!$B$27+Inputs!$B$28)))</f>
        <v/>
      </c>
      <c r="E752">
        <f>INDEX(FactorTable!$B$2:$Y$301, MATCH(ROUND(MIN(300,MAX(1,D752)),0), FactorTable!$A$2:$A$301,0), Skills!M22+1)</f>
        <v/>
      </c>
      <c r="F752">
        <f>IF(Skills!N22=TRUE,(Skills!L22/10)*(E752/1000),Skills!L22/10)+Skills!O22</f>
        <v/>
      </c>
      <c r="G752">
        <f>Skills!G22*IF(Skills!H22&gt;0,Skills!I22/Skills!H22,1)</f>
        <v/>
      </c>
      <c r="H752">
        <f>1-(1-Skills!J22/100)^Skills!K22</f>
        <v/>
      </c>
      <c r="I752" t="inlineStr">
        <is>
          <t>1</t>
        </is>
      </c>
      <c r="J752" t="inlineStr"/>
      <c r="K752" t="inlineStr"/>
      <c r="L752" t="inlineStr"/>
      <c r="M752" t="inlineStr"/>
      <c r="N752" t="inlineStr"/>
      <c r="O752" t="n">
        <v>0</v>
      </c>
      <c r="P752">
        <f>IF(B768=0,0,O752/B768)</f>
        <v/>
      </c>
      <c r="Q752" t="n">
        <v>0</v>
      </c>
      <c r="R752" t="n">
        <v>0</v>
      </c>
      <c r="S752">
        <f>IFERROR(O752/N752,0)</f>
        <v/>
      </c>
    </row>
    <row r="753">
      <c r="A753">
        <f>Skills!A23</f>
        <v/>
      </c>
      <c r="B753">
        <f>Skills!B23</f>
        <v/>
      </c>
      <c r="C753">
        <f>Inputs!$B$3&gt;=38</f>
        <v/>
      </c>
      <c r="D753">
        <f>IF(Skills!C23=1,60+Inputs!$B$24+Inputs!$B$28,IF(Skills!C23=2,90+(Inputs!$B$25+1)+Inputs!$B$28,IF(Skills!C23=3,120+Inputs!$B$26+Inputs!$B$28,MAX(0,(Inputs!$B$3-100)*3)+Inputs!$B$27+Inputs!$B$28)))</f>
        <v/>
      </c>
      <c r="E753">
        <f>INDEX(FactorTable!$B$2:$Y$301, MATCH(ROUND(MIN(300,MAX(1,D753)),0), FactorTable!$A$2:$A$301,0), Skills!M23+1)</f>
        <v/>
      </c>
      <c r="F753">
        <f>IF(Skills!N23=TRUE,(Skills!L23/10)*(E753/1000),Skills!L23/10)+Skills!O23</f>
        <v/>
      </c>
      <c r="G753">
        <f>Skills!G23*IF(Skills!H23&gt;0,Skills!I23/Skills!H23,1)</f>
        <v/>
      </c>
      <c r="H753">
        <f>1-(1-Skills!J23/100)^Skills!K23</f>
        <v/>
      </c>
      <c r="I753" t="inlineStr">
        <is>
          <t>1</t>
        </is>
      </c>
      <c r="J753" t="inlineStr"/>
      <c r="K753" t="inlineStr"/>
      <c r="L753" t="inlineStr"/>
      <c r="M753" t="inlineStr"/>
      <c r="N753" t="inlineStr"/>
      <c r="O753" t="n">
        <v>0</v>
      </c>
      <c r="P753">
        <f>IF(B768=0,0,O753/B768)</f>
        <v/>
      </c>
      <c r="Q753" t="n">
        <v>0</v>
      </c>
      <c r="R753" t="n">
        <v>0</v>
      </c>
      <c r="S753">
        <f>IFERROR(O753/N753,0)</f>
        <v/>
      </c>
    </row>
    <row r="754">
      <c r="A754">
        <f>Skills!A24</f>
        <v/>
      </c>
      <c r="B754">
        <f>Skills!B24</f>
        <v/>
      </c>
      <c r="C754">
        <f>Inputs!$B$3&gt;=40</f>
        <v/>
      </c>
      <c r="D754">
        <f>IF(Skills!C24=1,60+Inputs!$B$24+Inputs!$B$28,IF(Skills!C24=2,90+(Inputs!$B$25+1)+Inputs!$B$28,IF(Skills!C24=3,120+Inputs!$B$26+Inputs!$B$28,MAX(0,(Inputs!$B$3-100)*3)+Inputs!$B$27+Inputs!$B$28)))</f>
        <v/>
      </c>
      <c r="E754">
        <f>INDEX(FactorTable!$B$2:$Y$301, MATCH(ROUND(MIN(300,MAX(1,D754)),0), FactorTable!$A$2:$A$301,0), Skills!M24+1)</f>
        <v/>
      </c>
      <c r="F754">
        <f>IF(Skills!N24=TRUE,(Skills!L24/10)*(E754/1000),Skills!L24/10)+Skills!O24</f>
        <v/>
      </c>
      <c r="G754">
        <f>Skills!G24*IF(Skills!H24&gt;0,Skills!I24/Skills!H24,1)</f>
        <v/>
      </c>
      <c r="H754">
        <f>1-(1-Skills!J24/100)^Skills!K24</f>
        <v/>
      </c>
      <c r="I754" t="inlineStr">
        <is>
          <t>1</t>
        </is>
      </c>
      <c r="J754" t="inlineStr"/>
      <c r="K754" t="inlineStr"/>
      <c r="L754" t="inlineStr"/>
      <c r="M754" t="inlineStr"/>
      <c r="N754" t="inlineStr"/>
      <c r="O754" t="n">
        <v>0</v>
      </c>
      <c r="P754">
        <f>IF(B768=0,0,O754/B768)</f>
        <v/>
      </c>
      <c r="Q754" t="n">
        <v>0</v>
      </c>
      <c r="R754" t="n">
        <v>0</v>
      </c>
      <c r="S754">
        <f>IFERROR(O754/N754,0)</f>
        <v/>
      </c>
    </row>
    <row r="755">
      <c r="A755">
        <f>Skills!A25</f>
        <v/>
      </c>
      <c r="B755">
        <f>Skills!B25</f>
        <v/>
      </c>
      <c r="C755">
        <f>Inputs!$B$3&gt;=72</f>
        <v/>
      </c>
      <c r="D755">
        <f>IF(Skills!C25=1,60+Inputs!$B$24+Inputs!$B$28,IF(Skills!C25=2,90+(Inputs!$B$25+1)+Inputs!$B$28,IF(Skills!C25=3,120+Inputs!$B$26+Inputs!$B$28,MAX(0,(Inputs!$B$3-100)*3)+Inputs!$B$27+Inputs!$B$28)))</f>
        <v/>
      </c>
      <c r="E755">
        <f>INDEX(FactorTable!$B$2:$Y$301, MATCH(ROUND(MIN(300,MAX(1,D755)),0), FactorTable!$A$2:$A$301,0), Skills!M25+1)</f>
        <v/>
      </c>
      <c r="F755">
        <f>IF(Skills!N25=TRUE,(Skills!L25/10)*(E755/1000),Skills!L25/10)+Skills!O25</f>
        <v/>
      </c>
      <c r="G755">
        <f>Skills!G25*IF(Skills!H25&gt;0,Skills!I25/Skills!H25,1)</f>
        <v/>
      </c>
      <c r="H755">
        <f>1-(1-Skills!J25/100)^Skills!K25</f>
        <v/>
      </c>
      <c r="I755" t="inlineStr">
        <is>
          <t>1</t>
        </is>
      </c>
      <c r="J755" t="inlineStr"/>
      <c r="K755" t="inlineStr"/>
      <c r="L755" t="inlineStr"/>
      <c r="M755" t="inlineStr"/>
      <c r="N755" t="inlineStr"/>
      <c r="O755" t="n">
        <v>0</v>
      </c>
      <c r="P755">
        <f>IF(B768=0,0,O755/B768)</f>
        <v/>
      </c>
      <c r="Q755" t="n">
        <v>0</v>
      </c>
      <c r="R755" t="n">
        <v>0</v>
      </c>
      <c r="S755">
        <f>IFERROR(O755/N755,0)</f>
        <v/>
      </c>
    </row>
    <row r="756">
      <c r="A756">
        <f>Skills!A26</f>
        <v/>
      </c>
      <c r="B756">
        <f>Skills!B26</f>
        <v/>
      </c>
      <c r="C756">
        <f>Inputs!$B$3&gt;=75</f>
        <v/>
      </c>
      <c r="D756">
        <f>IF(Skills!C26=1,60+Inputs!$B$24+Inputs!$B$28,IF(Skills!C26=2,90+(Inputs!$B$25+1)+Inputs!$B$28,IF(Skills!C26=3,120+Inputs!$B$26+Inputs!$B$28,MAX(0,(Inputs!$B$3-100)*3)+Inputs!$B$27+Inputs!$B$28)))</f>
        <v/>
      </c>
      <c r="E756">
        <f>INDEX(FactorTable!$B$2:$Y$301, MATCH(ROUND(MIN(300,MAX(1,D756)),0), FactorTable!$A$2:$A$301,0), Skills!M26+1)</f>
        <v/>
      </c>
      <c r="F756">
        <f>IF(Skills!N26=TRUE,(Skills!L26/10)*(E756/1000),Skills!L26/10)+Skills!O26</f>
        <v/>
      </c>
      <c r="G756">
        <f>Skills!G26*IF(Skills!H26&gt;0,Skills!I26/Skills!H26,1)</f>
        <v/>
      </c>
      <c r="H756">
        <f>1-(1-Skills!J26/100)^Skills!K26</f>
        <v/>
      </c>
      <c r="I756" t="inlineStr">
        <is>
          <t>1</t>
        </is>
      </c>
      <c r="J756" t="inlineStr"/>
      <c r="K756" t="inlineStr"/>
      <c r="L756" t="inlineStr"/>
      <c r="M756" t="inlineStr"/>
      <c r="N756" t="inlineStr"/>
      <c r="O756" t="n">
        <v>0</v>
      </c>
      <c r="P756">
        <f>IF(B768=0,0,O756/B768)</f>
        <v/>
      </c>
      <c r="Q756" t="n">
        <v>0</v>
      </c>
      <c r="R756" t="n">
        <v>0</v>
      </c>
      <c r="S756">
        <f>IFERROR(O756/N756,0)</f>
        <v/>
      </c>
    </row>
    <row r="757">
      <c r="A757">
        <f>Skills!A27</f>
        <v/>
      </c>
      <c r="B757">
        <f>Skills!B27</f>
        <v/>
      </c>
      <c r="C757">
        <f>Inputs!$B$3&gt;=117</f>
        <v/>
      </c>
      <c r="D757">
        <f>IF(Skills!C27=1,60+Inputs!$B$24+Inputs!$B$28,IF(Skills!C27=2,90+(Inputs!$B$25+1)+Inputs!$B$28,IF(Skills!C27=3,120+Inputs!$B$26+Inputs!$B$28,MAX(0,(Inputs!$B$3-100)*3)+Inputs!$B$27+Inputs!$B$28)))</f>
        <v/>
      </c>
      <c r="E757">
        <f>INDEX(FactorTable!$B$2:$Y$301, MATCH(ROUND(MIN(300,MAX(1,D757)),0), FactorTable!$A$2:$A$301,0), Skills!M27+1)</f>
        <v/>
      </c>
      <c r="F757">
        <f>IF(Skills!N27=TRUE,(Skills!L27/10)*(E757/1000),Skills!L27/10)+Skills!O27</f>
        <v/>
      </c>
      <c r="G757">
        <f>Skills!G27*IF(Skills!H27&gt;0,Skills!I27/Skills!H27,1)</f>
        <v/>
      </c>
      <c r="H757">
        <f>1-(1-Skills!J27/100)^Skills!K27</f>
        <v/>
      </c>
      <c r="I757" t="inlineStr">
        <is>
          <t>1</t>
        </is>
      </c>
      <c r="J757" t="inlineStr"/>
      <c r="K757" t="inlineStr"/>
      <c r="L757" t="inlineStr"/>
      <c r="M757" t="inlineStr"/>
      <c r="N757" t="inlineStr"/>
      <c r="O757" t="n">
        <v>0</v>
      </c>
      <c r="P757">
        <f>IF(B768=0,0,O757/B768)</f>
        <v/>
      </c>
      <c r="Q757" t="n">
        <v>0</v>
      </c>
      <c r="R757" t="n">
        <v>0</v>
      </c>
      <c r="S757">
        <f>IFERROR(O757/N757,0)</f>
        <v/>
      </c>
    </row>
    <row r="759">
      <c r="A759" t="inlineStr">
        <is>
          <t>Attack% Bucket Multiplier</t>
        </is>
      </c>
      <c r="B759">
        <f>(1+(((C747=TRUE)*F747)+((C754=TRUE)*(F754-Calc!F24)))/100)</f>
        <v/>
      </c>
    </row>
    <row r="760">
      <c r="A760" t="inlineStr">
        <is>
          <t>Global Crit Rate Bonus %</t>
        </is>
      </c>
      <c r="B760" t="n">
        <v>0</v>
      </c>
    </row>
    <row r="761">
      <c r="A761" t="inlineStr">
        <is>
          <t>Attack Speed Buff Bonus % (unused)</t>
        </is>
      </c>
      <c r="B761" t="n">
        <v>0</v>
      </c>
    </row>
    <row r="762">
      <c r="A762" t="inlineStr">
        <is>
          <t>Actions Per Second</t>
        </is>
      </c>
      <c r="B762">
        <f>1+MIN(150,150*(1-(1-(Inputs!$B$10+((C750=TRUE)*(F750-Calc!F20))+((C751=TRUE)*(F751-Calc!F21)))/150)*(1-B761/150)))/100</f>
        <v/>
      </c>
    </row>
    <row r="763">
      <c r="A763" t="inlineStr">
        <is>
          <t>Skill + Buff Cast Rate</t>
        </is>
      </c>
      <c r="B763">
        <f>IF(AND(Inputs!$B$4&lt;&gt;"pvp",Inputs!$B$35&gt;0),SUMPRODUCT((Skills!E2:E27=TRUE)*(C732:C757=TRUE)*R732:R757*Skills!F2:F27)/Inputs!$B$35,SUMPRODUCT((Skills!E2:E27=TRUE)*(C732:C757=TRUE)*Q732:Q757*Skills!F2:F27))</f>
        <v/>
      </c>
    </row>
    <row r="764">
      <c r="A764" t="inlineStr">
        <is>
          <t>Eight-Legs Easton Casts Per Second</t>
        </is>
      </c>
      <c r="B764">
        <f>MAX(0,B762-B763)</f>
        <v/>
      </c>
    </row>
    <row r="765">
      <c r="A765" t="inlineStr">
        <is>
          <t>Global Critical Damage Bonus % (unused)</t>
        </is>
      </c>
      <c r="B765" t="n">
        <v>0</v>
      </c>
    </row>
    <row r="766">
      <c r="A766" t="inlineStr">
        <is>
          <t>Global Final Damage Bonus % (Jolly Roger only)</t>
        </is>
      </c>
      <c r="B766">
        <f>((C748=TRUE)*F748)</f>
        <v/>
      </c>
    </row>
    <row r="768">
      <c r="A768" s="5" t="inlineStr">
        <is>
          <t>TOTAL DPS</t>
        </is>
      </c>
      <c r="B768" s="5">
        <f>SUM(O732:O757)</f>
        <v/>
      </c>
    </row>
    <row r="771">
      <c r="A771" s="5" t="inlineStr">
        <is>
          <t>Stat: Skill Level Bonus — 3rd Job</t>
        </is>
      </c>
    </row>
    <row r="772">
      <c r="A772" s="8" t="inlineStr">
        <is>
          <t>Key</t>
        </is>
      </c>
      <c r="B772" s="8" t="inlineStr">
        <is>
          <t>Name</t>
        </is>
      </c>
      <c r="C772" s="8" t="inlineStr">
        <is>
          <t>Unlocked</t>
        </is>
      </c>
      <c r="D772" s="8" t="inlineStr">
        <is>
          <t>InputLevel</t>
        </is>
      </c>
      <c r="E772" s="8" t="inlineStr">
        <is>
          <t>Factor</t>
        </is>
      </c>
      <c r="F772" s="8" t="inlineStr">
        <is>
          <t>CoefficientPercent</t>
        </is>
      </c>
      <c r="G772" s="8" t="inlineStr">
        <is>
          <t>EffectiveHits</t>
        </is>
      </c>
      <c r="H772" s="8" t="inlineStr">
        <is>
          <t>ProcProbability</t>
        </is>
      </c>
      <c r="I772" s="8" t="inlineStr">
        <is>
          <t>MapleHeroMultiplier</t>
        </is>
      </c>
      <c r="J772" s="8" t="inlineStr">
        <is>
          <t>BaseDamage</t>
        </is>
      </c>
      <c r="K772" s="8" t="inlineStr">
        <is>
          <t>BaseHitDamage</t>
        </is>
      </c>
      <c r="L772" s="8" t="inlineStr">
        <is>
          <t>NonCritAvg</t>
        </is>
      </c>
      <c r="M772" s="8" t="inlineStr">
        <is>
          <t>CritAvg</t>
        </is>
      </c>
      <c r="N772" s="8" t="inlineStr">
        <is>
          <t>ExpectedDamage(perHit)</t>
        </is>
      </c>
      <c r="O772" s="8" t="inlineStr">
        <is>
          <t>DPS</t>
        </is>
      </c>
      <c r="P772" s="8" t="inlineStr">
        <is>
          <t>% of Total</t>
        </is>
      </c>
      <c r="Q772" s="8" t="inlineStr">
        <is>
          <t>InvCooldown</t>
        </is>
      </c>
      <c r="R772" s="8" t="inlineStr">
        <is>
          <t>CastsInFight</t>
        </is>
      </c>
      <c r="S772" s="8" t="inlineStr">
        <is>
          <t>HitRate(perSec)</t>
        </is>
      </c>
      <c r="U772" t="inlineStr">
        <is>
          <t>helpers</t>
        </is>
      </c>
    </row>
    <row r="773">
      <c r="A773">
        <f>Skills!A2</f>
        <v/>
      </c>
      <c r="B773">
        <f>Skills!B2</f>
        <v/>
      </c>
      <c r="C773">
        <f>Inputs!$B$3&gt;=100</f>
        <v/>
      </c>
      <c r="D773" t="inlineStr"/>
      <c r="E773" t="inlineStr"/>
      <c r="F773">
        <f>U775+Skills!O2</f>
        <v/>
      </c>
      <c r="G773">
        <f>Skills!G2*IF(Skills!H2&gt;0,Skills!I2/Skills!H2,1)</f>
        <v/>
      </c>
      <c r="H773">
        <f>1-(1-Skills!J2/100)^Skills!K2</f>
        <v/>
      </c>
      <c r="I773" t="inlineStr">
        <is>
          <t>1</t>
        </is>
      </c>
      <c r="J773">
        <f>(Inputs!$B$5*(1+Inputs!$B$6/100))*(F773/100)</f>
        <v/>
      </c>
      <c r="K773">
        <f>J773*(1+((Inputs!$B$11*(1+Inputs!$B$12/100))*0.01+Inputs!$B$13*0.0025)/100)*(1+Inputs!$B$14/100)*(1+IF(Inputs!$B$4="pvp",0,(1-Summary!$B$55)*(Inputs!$B$19+0+Skills!P2)+Summary!$B$55*(Inputs!$B$20+Skills!Q2))/100)*(1+Inputs!$B$15/100)*(5000/(6000+Inputs!$B$7*(1-(Inputs!$B$18+0)/100)))*(1+(Inputs!$B$23+((C797=TRUE)*(F797-Calc!F26))+B807)/100)*(1+(IF(Skills!A2="EIGHT_LEGS_EASTON",Inputs!$B$16+((C794=TRUE)*(F794-Calc!F23))+((C798=TRUE)*(F798-Calc!F27)),Inputs!$B$17+0))/100)*((1+(((C788=TRUE)*F788)+((C795=TRUE)*(F795-Calc!F24)))/100)*I773)</f>
        <v/>
      </c>
      <c r="L773">
        <f>K773*(MIN(Inputs!$B$21+((C793=TRUE)*(F793-Calc!F22)),Inputs!$B$22+0)/100+(Inputs!$B$22+0)/100)/2</f>
        <v/>
      </c>
      <c r="M773">
        <f>L773*(1+(Inputs!$B$9+((C796=TRUE)*(F796-Calc!F25))+B806)/100)</f>
        <v/>
      </c>
      <c r="N773">
        <f>L773*(1-MIN((Inputs!$B$8+((C790=TRUE)*(F790-Calc!F19))+B801),100)/100)+M773*(MIN((Inputs!$B$8+((C790=TRUE)*(F790-Calc!F19))+B801),100)/100)</f>
        <v/>
      </c>
      <c r="O773">
        <f>IF(C773,Skills!G2*N773*B805*IF(Inputs!$B$4="pvp",1,(1-Summary!$B$55)*(1)+Summary!$B$55*(MIN((6+Inputs!$B$32),Inputs!$B$37))),0)</f>
        <v/>
      </c>
      <c r="P773">
        <f>IF(B809=0,0,O773/B809)</f>
        <v/>
      </c>
      <c r="Q773" t="n">
        <v>0</v>
      </c>
      <c r="R773" t="n">
        <v>0</v>
      </c>
      <c r="S773">
        <f>IFERROR(O773/N773,0)</f>
        <v/>
      </c>
      <c r="U773">
        <f>MAX(0,(Inputs!$B$3-100)*3)+Inputs!$B$27+Inputs!$B$28</f>
        <v/>
      </c>
    </row>
    <row r="774">
      <c r="A774">
        <f>Skills!A3</f>
        <v/>
      </c>
      <c r="B774">
        <f>Skills!B3</f>
        <v/>
      </c>
      <c r="C774">
        <f>Inputs!$B$3&gt;=35</f>
        <v/>
      </c>
      <c r="D774">
        <f>IF(Skills!C3=1,60+Inputs!$B$24+Inputs!$B$28,IF(Skills!C3=2,90+Inputs!$B$25+Inputs!$B$28,IF(Skills!C3=3,120+(Inputs!$B$26+1)+Inputs!$B$28,MAX(0,(Inputs!$B$3-100)*3)+Inputs!$B$27+Inputs!$B$28)))</f>
        <v/>
      </c>
      <c r="E774">
        <f>INDEX(FactorTable!$B$2:$Y$301, MATCH(ROUND(MIN(300,MAX(1,D774)),0), FactorTable!$A$2:$A$301,0), Skills!M3+1)</f>
        <v/>
      </c>
      <c r="F774">
        <f>IF(Skills!N3=TRUE,(Skills!L3/10)*(E774/1000),Skills!L3/10)+Skills!O3</f>
        <v/>
      </c>
      <c r="G774">
        <f>Skills!G3*IF(Skills!H3&gt;0,Skills!I3/Skills!H3,1)</f>
        <v/>
      </c>
      <c r="H774">
        <f>1-(1-Skills!J3/100)^Skills!K3</f>
        <v/>
      </c>
      <c r="I774" t="inlineStr">
        <is>
          <t>1</t>
        </is>
      </c>
      <c r="J774">
        <f>(Inputs!$B$5*(1+Inputs!$B$6/100))*(F774/100)</f>
        <v/>
      </c>
      <c r="K774">
        <f>J774*(1+((Inputs!$B$11*(1+Inputs!$B$12/100))*0.01+Inputs!$B$13*0.0025)/100)*(1+Inputs!$B$14/100)*(1+IF(Inputs!$B$4="pvp",0,(1-Summary!$B$55)*(Inputs!$B$19+0+Skills!P3)+Summary!$B$55*(Inputs!$B$20+Skills!Q3))/100)*(1+Inputs!$B$15/100)*(5000/(6000+Inputs!$B$7*(1-(Inputs!$B$18+0)/100)))*(1+(Inputs!$B$23+((C797=TRUE)*(F797-Calc!F26))+B807)/100)*(1+4.0*IF(C786=TRUE,F786,0)/100)*(1+(IF(Skills!A3="EIGHT_LEGS_EASTON",Inputs!$B$16+((C794=TRUE)*(F794-Calc!F23))+((C798=TRUE)*(F798-Calc!F27)),Inputs!$B$17+0))/100)*((1+(((C788=TRUE)*F788)+((C795=TRUE)*(F795-Calc!F24)))/100)*I774)</f>
        <v/>
      </c>
      <c r="L774">
        <f>K774*(MIN(Inputs!$B$21+((C793=TRUE)*(F793-Calc!F22)),Inputs!$B$22+0)/100+(Inputs!$B$22+0)/100)/2</f>
        <v/>
      </c>
      <c r="M774">
        <f>L774*(1+(Inputs!$B$9+((C796=TRUE)*(F796-Calc!F25))+B806)/100)</f>
        <v/>
      </c>
      <c r="N774">
        <f>L774*(1-MIN((Inputs!$B$8+((C790=TRUE)*(F790-Calc!F19))+B801),100)/100)+M774*(MIN((Inputs!$B$8+((C790=TRUE)*(F790-Calc!F19))+B801),100)/100)</f>
        <v/>
      </c>
      <c r="O774">
        <f>IF(C774,H774*N774*IF(AND(Inputs!$B$4&lt;&gt;"pvp",Inputs!$B$35&gt;0),((Skills!G3*((R774-1)*IF(Skills!H3&gt;0,Skills!I3/Skills!H3,1)+IF(Skills!H3&gt;0,MIN(Skills!I3,MAX(0,Inputs!$B$35-((R774-1)*IF(Inputs!$B$4="pvp",15,MAX(0.1,Skills!D3-IF(Skills!E3=TRUE,Inputs!$B$31,0))))))/Skills!H3,1)))/Inputs!$B$35),G774*Q774)*IF(Inputs!$B$4="pvp",1,(1-Summary!$B$55)*(1)+Summary!$B$55*(MIN(Skills!R3,Inputs!$B$37))),0)</f>
        <v/>
      </c>
      <c r="P774">
        <f>IF(B809=0,0,O774/B809)</f>
        <v/>
      </c>
      <c r="Q774">
        <f>IFERROR(1/IF(Inputs!$B$4="pvp",15,MAX(0.1,Skills!D3-IF(Skills!E3=TRUE,Inputs!$B$31,0))),0)</f>
        <v/>
      </c>
      <c r="R774">
        <f>IF(AND(Inputs!$B$4&lt;&gt;"pvp",Inputs!$B$35&gt;0),(INT(Inputs!$B$35/IF(Inputs!$B$4="pvp",15,MAX(0.1,Skills!D3-IF(Skills!E3=TRUE,Inputs!$B$31,0))))+1),0)</f>
        <v/>
      </c>
      <c r="S774">
        <f>IFERROR(O774/N774,0)</f>
        <v/>
      </c>
      <c r="U774">
        <f>INDEX(FactorTable!$B$2:$Y$301, MATCH(ROUND(MIN(300,MAX(1,U773)),0), FactorTable!$A$2:$A$301,0), 22)</f>
        <v/>
      </c>
    </row>
    <row r="775">
      <c r="A775">
        <f>Skills!A4</f>
        <v/>
      </c>
      <c r="B775">
        <f>Skills!B4</f>
        <v/>
      </c>
      <c r="C775">
        <f>Inputs!$B$3&gt;=40</f>
        <v/>
      </c>
      <c r="D775">
        <f>IF(Skills!C4=1,60+Inputs!$B$24+Inputs!$B$28,IF(Skills!C4=2,90+Inputs!$B$25+Inputs!$B$28,IF(Skills!C4=3,120+(Inputs!$B$26+1)+Inputs!$B$28,MAX(0,(Inputs!$B$3-100)*3)+Inputs!$B$27+Inputs!$B$28)))</f>
        <v/>
      </c>
      <c r="E775">
        <f>INDEX(FactorTable!$B$2:$Y$301, MATCH(ROUND(MIN(300,MAX(1,D775)),0), FactorTable!$A$2:$A$301,0), Skills!M4+1)</f>
        <v/>
      </c>
      <c r="F775">
        <f>IF(Skills!N4=TRUE,(Skills!L4/10)*(E775/1000),Skills!L4/10)+Skills!O4</f>
        <v/>
      </c>
      <c r="G775">
        <f>Skills!G4*IF(Skills!H4&gt;0,Skills!I4/Skills!H4,1)</f>
        <v/>
      </c>
      <c r="H775">
        <f>1-(1-Skills!J4/100)^Skills!K4</f>
        <v/>
      </c>
      <c r="I775" t="inlineStr">
        <is>
          <t>1</t>
        </is>
      </c>
      <c r="J775">
        <f>(Inputs!$B$5*(1+Inputs!$B$6/100))*(F775/100)</f>
        <v/>
      </c>
      <c r="K775">
        <f>J775*(1+((Inputs!$B$11*(1+Inputs!$B$12/100))*0.01+Inputs!$B$13*0.0025)/100)*(1+Inputs!$B$14/100)*(1+IF(Inputs!$B$4="pvp",0,(1-Summary!$B$55)*(Inputs!$B$19+0+Skills!P4)+Summary!$B$55*(Inputs!$B$20+Skills!Q4))/100)*(1+Inputs!$B$15/100)*(5000/(6000+Inputs!$B$7*(1-(Inputs!$B$18+0)/100)))*(1+(Inputs!$B$23+((C797=TRUE)*(F797-Calc!F26))+B807)/100)*(1+1.0*IF(C787=TRUE,F787,0)/100)*(1+(IF(Skills!A4="EIGHT_LEGS_EASTON",Inputs!$B$16+((C794=TRUE)*(F794-Calc!F23))+((C798=TRUE)*(F798-Calc!F27)),Inputs!$B$17+0))/100)*((1+(((C788=TRUE)*F788)+((C795=TRUE)*(F795-Calc!F24)))/100)*I775)</f>
        <v/>
      </c>
      <c r="L775">
        <f>K775*(MIN(Inputs!$B$21+((C793=TRUE)*(F793-Calc!F22)),Inputs!$B$22+0)/100+(Inputs!$B$22+0)/100)/2</f>
        <v/>
      </c>
      <c r="M775">
        <f>L775*(1+(Inputs!$B$9+((C796=TRUE)*(F796-Calc!F25))+B806)/100)</f>
        <v/>
      </c>
      <c r="N775">
        <f>L775*(1-MIN((Inputs!$B$8+((C790=TRUE)*(F790-Calc!F19))+B801),100)/100)+M775*(MIN((Inputs!$B$8+((C790=TRUE)*(F790-Calc!F19))+B801),100)/100)</f>
        <v/>
      </c>
      <c r="O775">
        <f>IF(C775,H775*N775*IF(AND(Inputs!$B$4&lt;&gt;"pvp",Inputs!$B$35&gt;0),((Skills!G4*((R775-1)*IF(Skills!H4&gt;0,Skills!I4/Skills!H4,1)+IF(Skills!H4&gt;0,MIN(Skills!I4,MAX(0,Inputs!$B$35-((R775-1)*IF(Inputs!$B$4="pvp",15,MAX(0.1,Skills!D4-IF(Skills!E4=TRUE,Inputs!$B$31,0))))))/Skills!H4,1)))/Inputs!$B$35),G775*Q775)*IF(Inputs!$B$4="pvp",1,(1-Summary!$B$55)*(1)+Summary!$B$55*(MIN(Skills!R4,Inputs!$B$37))),0)</f>
        <v/>
      </c>
      <c r="P775">
        <f>IF(B809=0,0,O775/B809)</f>
        <v/>
      </c>
      <c r="Q775">
        <f>IFERROR(1/IF(Inputs!$B$4="pvp",15,MAX(0.1,Skills!D4-IF(Skills!E4=TRUE,Inputs!$B$31,0))),0)</f>
        <v/>
      </c>
      <c r="R775">
        <f>IF(AND(Inputs!$B$4&lt;&gt;"pvp",Inputs!$B$35&gt;0),(INT(Inputs!$B$35/IF(Inputs!$B$4="pvp",15,MAX(0.1,Skills!D4-IF(Skills!E4=TRUE,Inputs!$B$31,0))))+1),0)</f>
        <v/>
      </c>
      <c r="S775">
        <f>IFERROR(O775/N775,0)</f>
        <v/>
      </c>
      <c r="U775">
        <f>290*U774/1000</f>
        <v/>
      </c>
    </row>
    <row r="776">
      <c r="A776">
        <f>Skills!A5</f>
        <v/>
      </c>
      <c r="B776">
        <f>Skills!B5</f>
        <v/>
      </c>
      <c r="C776">
        <f>Inputs!$B$3&gt;=45</f>
        <v/>
      </c>
      <c r="D776">
        <f>IF(Skills!C5=1,60+Inputs!$B$24+Inputs!$B$28,IF(Skills!C5=2,90+Inputs!$B$25+Inputs!$B$28,IF(Skills!C5=3,120+(Inputs!$B$26+1)+Inputs!$B$28,MAX(0,(Inputs!$B$3-100)*3)+Inputs!$B$27+Inputs!$B$28)))</f>
        <v/>
      </c>
      <c r="E776">
        <f>INDEX(FactorTable!$B$2:$Y$301, MATCH(ROUND(MIN(300,MAX(1,D776)),0), FactorTable!$A$2:$A$301,0), Skills!M5+1)</f>
        <v/>
      </c>
      <c r="F776">
        <f>IF(Skills!N5=TRUE,(Skills!L5/10)*(E776/1000),Skills!L5/10)+Skills!O5</f>
        <v/>
      </c>
      <c r="G776">
        <f>Skills!G5*IF(Skills!H5&gt;0,Skills!I5/Skills!H5,1)</f>
        <v/>
      </c>
      <c r="H776">
        <f>1-(1-Skills!J5/100)^Skills!K5</f>
        <v/>
      </c>
      <c r="I776" t="inlineStr">
        <is>
          <t>1</t>
        </is>
      </c>
      <c r="J776">
        <f>(Inputs!$B$5*(1+Inputs!$B$6/100))*(F776/100)</f>
        <v/>
      </c>
      <c r="K776">
        <f>J776*(1+((Inputs!$B$11*(1+Inputs!$B$12/100))*0.01+Inputs!$B$13*0.0025)/100)*(1+Inputs!$B$14/100)*(1+IF(Inputs!$B$4="pvp",0,(1-Summary!$B$55)*(Inputs!$B$19+0+Skills!P5)+Summary!$B$55*(Inputs!$B$20+Skills!Q5))/100)*(1+Inputs!$B$15/100)*(5000/(6000+Inputs!$B$7*(1-(Inputs!$B$18+0)/100)))*(1+(Inputs!$B$23+((C797=TRUE)*(F797-Calc!F26))+B807)/100)*(1+0.4*IF(C787=TRUE,F787,0)/100)*(1+(IF(Skills!A5="EIGHT_LEGS_EASTON",Inputs!$B$16+((C794=TRUE)*(F794-Calc!F23))+((C798=TRUE)*(F798-Calc!F27)),Inputs!$B$17+0))/100)*((1+(((C788=TRUE)*F788)+((C795=TRUE)*(F795-Calc!F24)))/100)*I776)</f>
        <v/>
      </c>
      <c r="L776">
        <f>K776*(MIN(Inputs!$B$21+((C793=TRUE)*(F793-Calc!F22)),Inputs!$B$22+0)/100+(Inputs!$B$22+0)/100)/2</f>
        <v/>
      </c>
      <c r="M776">
        <f>L776*(1+(Inputs!$B$9+((C796=TRUE)*(F796-Calc!F25))+B806)/100)</f>
        <v/>
      </c>
      <c r="N776">
        <f>L776*(1-MIN((Inputs!$B$8+((C790=TRUE)*(F790-Calc!F19))+B801),100)/100)+M776*(MIN((Inputs!$B$8+((C790=TRUE)*(F790-Calc!F19))+B801),100)/100)</f>
        <v/>
      </c>
      <c r="O776">
        <f>IF(C776,H776*N776*IF(AND(Inputs!$B$4&lt;&gt;"pvp",Inputs!$B$35&gt;0),((Skills!G5*((R776-1)*IF(Skills!H5&gt;0,Skills!I5/Skills!H5,1)+IF(Skills!H5&gt;0,MIN(Skills!I5,MAX(0,Inputs!$B$35-((R776-1)*IF(Inputs!$B$4="pvp",15,MAX(0.1,Skills!D5-IF(Skills!E5=TRUE,Inputs!$B$31,0))))))/Skills!H5,1)))/Inputs!$B$35),G776*Q776)*IF(Inputs!$B$4="pvp",1,(1-Summary!$B$55)*(1)+Summary!$B$55*(MIN(Skills!R5,Inputs!$B$37))),0)</f>
        <v/>
      </c>
      <c r="P776">
        <f>IF(B809=0,0,O776/B809)</f>
        <v/>
      </c>
      <c r="Q776">
        <f>IFERROR(1/IF(Inputs!$B$4="pvp",15,MAX(0.1,Skills!D5-IF(Skills!E5=TRUE,Inputs!$B$31,0))),0)</f>
        <v/>
      </c>
      <c r="R776">
        <f>IF(AND(Inputs!$B$4&lt;&gt;"pvp",Inputs!$B$35&gt;0),(INT(Inputs!$B$35/IF(Inputs!$B$4="pvp",15,MAX(0.1,Skills!D5-IF(Skills!E5=TRUE,Inputs!$B$31,0))))+1),0)</f>
        <v/>
      </c>
      <c r="S776">
        <f>IFERROR(O776/N776,0)</f>
        <v/>
      </c>
    </row>
    <row r="777">
      <c r="A777">
        <f>Skills!A6</f>
        <v/>
      </c>
      <c r="B777">
        <f>Skills!B6</f>
        <v/>
      </c>
      <c r="C777">
        <f>Inputs!$B$3&gt;=63</f>
        <v/>
      </c>
      <c r="D777">
        <f>IF(Skills!C6=1,60+Inputs!$B$24+Inputs!$B$28,IF(Skills!C6=2,90+Inputs!$B$25+Inputs!$B$28,IF(Skills!C6=3,120+(Inputs!$B$26+1)+Inputs!$B$28,MAX(0,(Inputs!$B$3-100)*3)+Inputs!$B$27+Inputs!$B$28)))</f>
        <v/>
      </c>
      <c r="E777">
        <f>INDEX(FactorTable!$B$2:$Y$301, MATCH(ROUND(MIN(300,MAX(1,D777)),0), FactorTable!$A$2:$A$301,0), Skills!M6+1)</f>
        <v/>
      </c>
      <c r="F777">
        <f>IF(Skills!N6=TRUE,(Skills!L6/10)*(E777/1000),Skills!L6/10)+Skills!O6</f>
        <v/>
      </c>
      <c r="G777">
        <f>Skills!G6*IF(Skills!H6&gt;0,Skills!I6/Skills!H6,1)</f>
        <v/>
      </c>
      <c r="H777">
        <f>1-(1-Skills!J6/100)^Skills!K6</f>
        <v/>
      </c>
      <c r="I777" t="inlineStr">
        <is>
          <t>1</t>
        </is>
      </c>
      <c r="J777">
        <f>(Inputs!$B$5*(1+Inputs!$B$6/100))*(F777/100)</f>
        <v/>
      </c>
      <c r="K777">
        <f>J777*(1+((Inputs!$B$11*(1+Inputs!$B$12/100))*0.01+Inputs!$B$13*0.0025)/100)*(1+Inputs!$B$14/100)*(1+IF(Inputs!$B$4="pvp",0,(1-Summary!$B$55)*(Inputs!$B$19+0+Skills!P6)+Summary!$B$55*(Inputs!$B$20+Skills!Q6))/100)*(1+Inputs!$B$15/100)*(5000/(6000+Inputs!$B$7*(1-(Inputs!$B$18+0)/100)))*(1+(Inputs!$B$23+((C797=TRUE)*(F797-Calc!F26))+B807)/100)*(1+2.0*IF(C786=TRUE,F786,0)/100)*(1+(IF(Skills!A6="EIGHT_LEGS_EASTON",Inputs!$B$16+((C794=TRUE)*(F794-Calc!F23))+((C798=TRUE)*(F798-Calc!F27)),Inputs!$B$17+0))/100)*((1+(((C788=TRUE)*F788)+((C795=TRUE)*(F795-Calc!F24)))/100)*I777)</f>
        <v/>
      </c>
      <c r="L777">
        <f>K777*(MIN(Inputs!$B$21+((C793=TRUE)*(F793-Calc!F22)),Inputs!$B$22+0)/100+(Inputs!$B$22+0)/100)/2</f>
        <v/>
      </c>
      <c r="M777">
        <f>L777*(1+(Inputs!$B$9+((C796=TRUE)*(F796-Calc!F25))+B806)/100)</f>
        <v/>
      </c>
      <c r="N777">
        <f>L777*(1-MIN((Inputs!$B$8+((C790=TRUE)*(F790-Calc!F19))+B801),100)/100)+M777*(MIN((Inputs!$B$8+((C790=TRUE)*(F790-Calc!F19))+B801),100)/100)</f>
        <v/>
      </c>
      <c r="O777">
        <f>IF(C777,H777*N777*IF(AND(Inputs!$B$4&lt;&gt;"pvp",Inputs!$B$35&gt;0),((Skills!G6*((R777-1)*IF(Skills!H6&gt;0,Skills!I6/Skills!H6,1)+IF(Skills!H6&gt;0,MIN(Skills!I6,MAX(0,Inputs!$B$35-((R777-1)*IF(Inputs!$B$4="pvp",15,MAX(0.1,Skills!D6-IF(Skills!E6=TRUE,Inputs!$B$31,0))))))/Skills!H6,1)))/Inputs!$B$35),G777*Q777)*IF(Inputs!$B$4="pvp",1,(1-Summary!$B$55)*(1)+Summary!$B$55*(MIN(Skills!R6,Inputs!$B$37))),0)</f>
        <v/>
      </c>
      <c r="P777">
        <f>IF(B809=0,0,O777/B809)</f>
        <v/>
      </c>
      <c r="Q777">
        <f>IFERROR(1/IF(Inputs!$B$4="pvp",15,MAX(0.1,Skills!D6-IF(Skills!E6=TRUE,Inputs!$B$31,0))),0)</f>
        <v/>
      </c>
      <c r="R777">
        <f>IF(AND(Inputs!$B$4&lt;&gt;"pvp",Inputs!$B$35&gt;0),(INT(Inputs!$B$35/IF(Inputs!$B$4="pvp",15,MAX(0.1,Skills!D6-IF(Skills!E6=TRUE,Inputs!$B$31,0))))+1),0)</f>
        <v/>
      </c>
      <c r="S777">
        <f>IFERROR(O777/N777,0)</f>
        <v/>
      </c>
    </row>
    <row r="778">
      <c r="A778">
        <f>Skills!A7</f>
        <v/>
      </c>
      <c r="B778">
        <f>Skills!B7</f>
        <v/>
      </c>
      <c r="C778">
        <f>Inputs!$B$3&gt;=66</f>
        <v/>
      </c>
      <c r="D778">
        <f>IF(Skills!C7=1,60+Inputs!$B$24+Inputs!$B$28,IF(Skills!C7=2,90+Inputs!$B$25+Inputs!$B$28,IF(Skills!C7=3,120+(Inputs!$B$26+1)+Inputs!$B$28,MAX(0,(Inputs!$B$3-100)*3)+Inputs!$B$27+Inputs!$B$28)))</f>
        <v/>
      </c>
      <c r="E778">
        <f>INDEX(FactorTable!$B$2:$Y$301, MATCH(ROUND(MIN(300,MAX(1,D778)),0), FactorTable!$A$2:$A$301,0), Skills!M7+1)</f>
        <v/>
      </c>
      <c r="F778">
        <f>IF(Skills!N7=TRUE,(Skills!L7/10)*(E778/1000),Skills!L7/10)+Skills!O7</f>
        <v/>
      </c>
      <c r="G778">
        <f>Skills!G7*IF(Skills!H7&gt;0,Skills!I7/Skills!H7,1)</f>
        <v/>
      </c>
      <c r="H778">
        <f>1-(1-Skills!J7/100)^Skills!K7</f>
        <v/>
      </c>
      <c r="I778" t="inlineStr">
        <is>
          <t>1</t>
        </is>
      </c>
      <c r="J778">
        <f>(Inputs!$B$5*(1+Inputs!$B$6/100))*(F778/100)</f>
        <v/>
      </c>
      <c r="K778">
        <f>J778*(1+((Inputs!$B$11*(1+Inputs!$B$12/100))*0.01+Inputs!$B$13*0.0025)/100)*(1+Inputs!$B$14/100)*(1+IF(Inputs!$B$4="pvp",0,(1-Summary!$B$55)*(Inputs!$B$19+0+Skills!P7)+Summary!$B$55*(Inputs!$B$20+Skills!Q7))/100)*(1+Inputs!$B$15/100)*(5000/(6000+Inputs!$B$7*(1-(Inputs!$B$18+0)/100)))*(1+(Inputs!$B$23+((C797=TRUE)*(F797-Calc!F26))+B807)/100)*(1+1.0*IF(C786=TRUE,F786,0)/100)*(1+(IF(Skills!A7="EIGHT_LEGS_EASTON",Inputs!$B$16+((C794=TRUE)*(F794-Calc!F23))+((C798=TRUE)*(F798-Calc!F27)),Inputs!$B$17+0))/100)*((1+(((C788=TRUE)*F788)+((C795=TRUE)*(F795-Calc!F24)))/100)*I778)</f>
        <v/>
      </c>
      <c r="L778">
        <f>K778*(MIN(Inputs!$B$21+((C793=TRUE)*(F793-Calc!F22)),Inputs!$B$22+0)/100+(Inputs!$B$22+0)/100)/2</f>
        <v/>
      </c>
      <c r="M778">
        <f>L778*(1+(Inputs!$B$9+((C796=TRUE)*(F796-Calc!F25))+B806)/100)</f>
        <v/>
      </c>
      <c r="N778">
        <f>L778*(1-MIN((Inputs!$B$8+((C790=TRUE)*(F790-Calc!F19))+B801),100)/100)+M778*(MIN((Inputs!$B$8+((C790=TRUE)*(F790-Calc!F19))+B801),100)/100)</f>
        <v/>
      </c>
      <c r="O778">
        <f>IF(C778,H778*N778*IF(AND(Inputs!$B$4&lt;&gt;"pvp",Inputs!$B$35&gt;0),((Skills!G7*((R778-1)*IF(Skills!H7&gt;0,Skills!I7/Skills!H7,1)+IF(Skills!H7&gt;0,MIN(Skills!I7,MAX(0,Inputs!$B$35-((R778-1)*IF(Inputs!$B$4="pvp",15,MAX(0.1,Skills!D7-IF(Skills!E7=TRUE,Inputs!$B$31,0))))))/Skills!H7,1)))/Inputs!$B$35),G778*Q778)*IF(Inputs!$B$4="pvp",1,(1-Summary!$B$55)*(1)+Summary!$B$55*(MIN(Skills!R7,Inputs!$B$37))),0)</f>
        <v/>
      </c>
      <c r="P778">
        <f>IF(B809=0,0,O778/B809)</f>
        <v/>
      </c>
      <c r="Q778">
        <f>IFERROR(1/IF(Inputs!$B$4="pvp",15,MAX(0.1,Skills!D7-IF(Skills!E7=TRUE,Inputs!$B$31,0))),0)</f>
        <v/>
      </c>
      <c r="R778">
        <f>IF(AND(Inputs!$B$4&lt;&gt;"pvp",Inputs!$B$35&gt;0),(INT(Inputs!$B$35/IF(Inputs!$B$4="pvp",15,MAX(0.1,Skills!D7-IF(Skills!E7=TRUE,Inputs!$B$31,0))))+1),0)</f>
        <v/>
      </c>
      <c r="S778">
        <f>IFERROR(O778/N778,0)</f>
        <v/>
      </c>
    </row>
    <row r="779">
      <c r="A779">
        <f>Skills!A8</f>
        <v/>
      </c>
      <c r="B779">
        <f>Skills!B8</f>
        <v/>
      </c>
      <c r="C779">
        <f>Inputs!$B$3&gt;=100</f>
        <v/>
      </c>
      <c r="D779">
        <f>IF(Skills!C8=1,60+Inputs!$B$24+Inputs!$B$28,IF(Skills!C8=2,90+Inputs!$B$25+Inputs!$B$28,IF(Skills!C8=3,120+(Inputs!$B$26+1)+Inputs!$B$28,MAX(0,(Inputs!$B$3-100)*3)+Inputs!$B$27+Inputs!$B$28)))</f>
        <v/>
      </c>
      <c r="E779">
        <f>INDEX(FactorTable!$B$2:$Y$301, MATCH(ROUND(MIN(300,MAX(1,D779)),0), FactorTable!$A$2:$A$301,0), Skills!M8+1)</f>
        <v/>
      </c>
      <c r="F779">
        <f>IF(Skills!N8=TRUE,(Skills!L8/10)*(E779/1000),Skills!L8/10)+Skills!O8</f>
        <v/>
      </c>
      <c r="G779">
        <f>Skills!G8*IF(Skills!H8&gt;0,Skills!I8/Skills!H8,1)</f>
        <v/>
      </c>
      <c r="H779">
        <f>1-(1-Skills!J8/100)^Skills!K8</f>
        <v/>
      </c>
      <c r="I779" t="inlineStr">
        <is>
          <t>1</t>
        </is>
      </c>
      <c r="J779">
        <f>(Inputs!$B$5*(1+Inputs!$B$6/100))*(F779/100)</f>
        <v/>
      </c>
      <c r="K779">
        <f>J779*(1+((Inputs!$B$11*(1+Inputs!$B$12/100))*0.01+Inputs!$B$13*0.0025)/100)*(1+Inputs!$B$14/100)*(1+IF(Inputs!$B$4="pvp",0,(1-Summary!$B$55)*(Inputs!$B$19+0+Skills!P8)+Summary!$B$55*(Inputs!$B$20+Skills!Q8))/100)*(1+Inputs!$B$15/100)*(5000/(6000+Inputs!$B$7*(1-(Inputs!$B$18+0)/100)))*(1+(Inputs!$B$23+((C797=TRUE)*(F797-Calc!F26))+B807)/100)*(1+(IF(Skills!A8="EIGHT_LEGS_EASTON",Inputs!$B$16+((C794=TRUE)*(F794-Calc!F23))+((C798=TRUE)*(F798-Calc!F27)),Inputs!$B$17+0))/100)*((1+(((C788=TRUE)*F788)+((C795=TRUE)*(F795-Calc!F24)))/100)*I779)</f>
        <v/>
      </c>
      <c r="L779">
        <f>K779*(MIN(Inputs!$B$21+((C793=TRUE)*(F793-Calc!F22)),Inputs!$B$22+0)/100+(Inputs!$B$22+0)/100)/2</f>
        <v/>
      </c>
      <c r="M779">
        <f>L779*(1+(Inputs!$B$9+((C796=TRUE)*(F796-Calc!F25))+B806)/100)</f>
        <v/>
      </c>
      <c r="N779">
        <f>L779*(1-MIN((Inputs!$B$8+((C790=TRUE)*(F790-Calc!F19))+B801),100)/100)+M779*(MIN((Inputs!$B$8+((C790=TRUE)*(F790-Calc!F19))+B801),100)/100)</f>
        <v/>
      </c>
      <c r="O779">
        <f>IF(C779,H779*N779*IF(AND(Inputs!$B$4&lt;&gt;"pvp",Inputs!$B$35&gt;0),((Skills!G8*((R779-1)*IF(Skills!H8&gt;0,Skills!I8/Skills!H8,1)+IF(Skills!H8&gt;0,MIN(Skills!I8,MAX(0,Inputs!$B$35-((R779-1)*IF(Inputs!$B$4="pvp",15,MAX(0.1,Skills!D8-IF(Skills!E8=TRUE,Inputs!$B$31,0))))))/Skills!H8,1)))/Inputs!$B$35),G779*Q779)*IF(Inputs!$B$4="pvp",1,(1-Summary!$B$55)*(1)+Summary!$B$55*(MIN(Skills!R8,Inputs!$B$37))),0)</f>
        <v/>
      </c>
      <c r="P779">
        <f>IF(B809=0,0,O779/B809)</f>
        <v/>
      </c>
      <c r="Q779">
        <f>IFERROR(1/IF(Inputs!$B$4="pvp",15,MAX(0.1,Skills!D8-IF(Skills!E8=TRUE,Inputs!$B$31,0))),0)</f>
        <v/>
      </c>
      <c r="R779">
        <f>IF(AND(Inputs!$B$4&lt;&gt;"pvp",Inputs!$B$35&gt;0),(INT(Inputs!$B$35/IF(Inputs!$B$4="pvp",15,MAX(0.1,Skills!D8-IF(Skills!E8=TRUE,Inputs!$B$31,0))))+1),0)</f>
        <v/>
      </c>
      <c r="S779">
        <f>IFERROR(O779/N779,0)</f>
        <v/>
      </c>
    </row>
    <row r="780">
      <c r="A780">
        <f>Skills!A9</f>
        <v/>
      </c>
      <c r="B780">
        <f>Skills!B9</f>
        <v/>
      </c>
      <c r="C780">
        <f>Inputs!$B$3&gt;=103</f>
        <v/>
      </c>
      <c r="D780">
        <f>IF(Skills!C9=1,60+Inputs!$B$24+Inputs!$B$28,IF(Skills!C9=2,90+Inputs!$B$25+Inputs!$B$28,IF(Skills!C9=3,120+(Inputs!$B$26+1)+Inputs!$B$28,MAX(0,(Inputs!$B$3-100)*3)+Inputs!$B$27+Inputs!$B$28)))</f>
        <v/>
      </c>
      <c r="E780">
        <f>INDEX(FactorTable!$B$2:$Y$301, MATCH(ROUND(MIN(300,MAX(1,D780)),0), FactorTable!$A$2:$A$301,0), Skills!M9+1)</f>
        <v/>
      </c>
      <c r="F780">
        <f>IF(Skills!N9=TRUE,(Skills!L9/10)*(E780/1000),Skills!L9/10)+Skills!O9</f>
        <v/>
      </c>
      <c r="G780">
        <f>Skills!G9*IF(Skills!H9&gt;0,Skills!I9/Skills!H9,1)</f>
        <v/>
      </c>
      <c r="H780">
        <f>1-(1-Skills!J9/100)^Skills!K9</f>
        <v/>
      </c>
      <c r="I780" t="inlineStr">
        <is>
          <t>1</t>
        </is>
      </c>
      <c r="J780">
        <f>(Inputs!$B$5*(1+Inputs!$B$6/100))*(F780/100)</f>
        <v/>
      </c>
      <c r="K780">
        <f>J780*(1+((Inputs!$B$11*(1+Inputs!$B$12/100))*0.01+Inputs!$B$13*0.0025)/100)*(1+Inputs!$B$14/100)*(1+IF(Inputs!$B$4="pvp",0,(1-Summary!$B$55)*(Inputs!$B$19+0+Skills!P9)+Summary!$B$55*(Inputs!$B$20+Skills!Q9))/100)*(1+Inputs!$B$15/100)*(5000/(6000+Inputs!$B$7*(1-(Inputs!$B$18+0)/100)))*(1+(Inputs!$B$23+((C797=TRUE)*(F797-Calc!F26))+B807)/100)*(1+(IF(Skills!A9="EIGHT_LEGS_EASTON",Inputs!$B$16+((C794=TRUE)*(F794-Calc!F23))+((C798=TRUE)*(F798-Calc!F27)),Inputs!$B$17+0))/100)*((1+(((C788=TRUE)*F788)+((C795=TRUE)*(F795-Calc!F24)))/100)*I780)</f>
        <v/>
      </c>
      <c r="L780">
        <f>K780*(MIN(Inputs!$B$21+((C793=TRUE)*(F793-Calc!F22)),Inputs!$B$22+0)/100+(Inputs!$B$22+0)/100)/2</f>
        <v/>
      </c>
      <c r="M780">
        <f>L780*(1+(Inputs!$B$9+((C796=TRUE)*(F796-Calc!F25))+B806)/100)</f>
        <v/>
      </c>
      <c r="N780">
        <f>L780*(1-MIN((Inputs!$B$8+((C790=TRUE)*(F790-Calc!F19))+B801),100)/100)+M780*(MIN((Inputs!$B$8+((C790=TRUE)*(F790-Calc!F19))+B801),100)/100)</f>
        <v/>
      </c>
      <c r="O780">
        <f>IF(C780,H780*N780*IF(AND(Inputs!$B$4&lt;&gt;"pvp",Inputs!$B$35&gt;0),((Skills!G9*((R780-1)*IF(Skills!H9&gt;0,Skills!I9/Skills!H9,1)+IF(Skills!H9&gt;0,MIN(Skills!I9,MAX(0,Inputs!$B$35-((R780-1)*IF(Inputs!$B$4="pvp",15,MAX(0.1,Skills!D9-IF(Skills!E9=TRUE,Inputs!$B$31,0))))))/Skills!H9,1)))/Inputs!$B$35),G780*Q780)*IF(Inputs!$B$4="pvp",1,(1-Summary!$B$55)*(1)+Summary!$B$55*(MIN(Skills!R9,Inputs!$B$37))),0)</f>
        <v/>
      </c>
      <c r="P780">
        <f>IF(B809=0,0,O780/B809)</f>
        <v/>
      </c>
      <c r="Q780">
        <f>IFERROR(1/IF(Inputs!$B$4="pvp",15,MAX(0.1,Skills!D9-IF(Skills!E9=TRUE,Inputs!$B$31,0))),0)</f>
        <v/>
      </c>
      <c r="R780">
        <f>IF(AND(Inputs!$B$4&lt;&gt;"pvp",Inputs!$B$35&gt;0),(INT(Inputs!$B$35/IF(Inputs!$B$4="pvp",15,MAX(0.1,Skills!D9-IF(Skills!E9=TRUE,Inputs!$B$31,0))))+1),0)</f>
        <v/>
      </c>
      <c r="S780">
        <f>IFERROR(O780/N780,0)</f>
        <v/>
      </c>
    </row>
    <row r="781">
      <c r="A781">
        <f>Skills!A10</f>
        <v/>
      </c>
      <c r="B781">
        <f>Skills!B10</f>
        <v/>
      </c>
      <c r="C781">
        <f>Inputs!$B$3&gt;=113</f>
        <v/>
      </c>
      <c r="D781">
        <f>IF(Skills!C10=1,60+Inputs!$B$24+Inputs!$B$28,IF(Skills!C10=2,90+Inputs!$B$25+Inputs!$B$28,IF(Skills!C10=3,120+(Inputs!$B$26+1)+Inputs!$B$28,MAX(0,(Inputs!$B$3-100)*3)+Inputs!$B$27+Inputs!$B$28)))</f>
        <v/>
      </c>
      <c r="E781">
        <f>INDEX(FactorTable!$B$2:$Y$301, MATCH(ROUND(MIN(300,MAX(1,D781)),0), FactorTable!$A$2:$A$301,0), Skills!M10+1)</f>
        <v/>
      </c>
      <c r="F781">
        <f>IF(Skills!N10=TRUE,(Skills!L10/10)*(E781/1000),Skills!L10/10)+Skills!O10</f>
        <v/>
      </c>
      <c r="G781">
        <f>Skills!G10*IF(Skills!H10&gt;0,Skills!I10/Skills!H10,1)</f>
        <v/>
      </c>
      <c r="H781">
        <f>1-(1-Skills!J10/100)^Skills!K10</f>
        <v/>
      </c>
      <c r="I781" t="inlineStr">
        <is>
          <t>1</t>
        </is>
      </c>
      <c r="J781">
        <f>(Inputs!$B$5*(1+Inputs!$B$6/100))*(F781/100)</f>
        <v/>
      </c>
      <c r="K781">
        <f>J781*(1+((Inputs!$B$11*(1+Inputs!$B$12/100))*0.01+Inputs!$B$13*0.0025)/100)*(1+Inputs!$B$14/100)*(1+IF(Inputs!$B$4="pvp",0,(1-Summary!$B$55)*(Inputs!$B$19+0+Skills!P10)+Summary!$B$55*(Inputs!$B$20+Skills!Q10))/100)*(1+Inputs!$B$15/100)*(5000/(6000+Inputs!$B$7*(1-(Inputs!$B$18+0)/100)))*(1+(Inputs!$B$23+((C797=TRUE)*(F797-Calc!F26))+B807)/100)*(1+(IF(Skills!A10="EIGHT_LEGS_EASTON",Inputs!$B$16+((C794=TRUE)*(F794-Calc!F23))+((C798=TRUE)*(F798-Calc!F27)),Inputs!$B$17+0))/100)*((1+(((C788=TRUE)*F788)+((C795=TRUE)*(F795-Calc!F24)))/100)*I781)</f>
        <v/>
      </c>
      <c r="L781">
        <f>K781*(MIN(Inputs!$B$21+((C793=TRUE)*(F793-Calc!F22)),Inputs!$B$22+0)/100+(Inputs!$B$22+0)/100)/2</f>
        <v/>
      </c>
      <c r="M781">
        <f>L781*(1+(Inputs!$B$9+((C796=TRUE)*(F796-Calc!F25))+B806)/100)</f>
        <v/>
      </c>
      <c r="N781">
        <f>L781*(1-MIN((Inputs!$B$8+((C790=TRUE)*(F790-Calc!F19))+B801),100)/100)+M781*(MIN((Inputs!$B$8+((C790=TRUE)*(F790-Calc!F19))+B801),100)/100)</f>
        <v/>
      </c>
      <c r="O781">
        <f>IF(C781,H781*N781*IF(AND(Inputs!$B$4&lt;&gt;"pvp",Inputs!$B$35&gt;0),((Skills!G10*((R781-1)*IF(Skills!H10&gt;0,Skills!I10/Skills!H10,1)+IF(Skills!H10&gt;0,MIN(Skills!I10,MAX(0,Inputs!$B$35-((R781-1)*IF(Inputs!$B$4="pvp",15,MAX(0.1,Skills!D10-IF(Skills!E10=TRUE,Inputs!$B$31,0))))))/Skills!H10,1)))/Inputs!$B$35),G781*Q781)*IF(Inputs!$B$4="pvp",1,(1-Summary!$B$55)*(1)+Summary!$B$55*(MIN(Skills!R10,Inputs!$B$37))),0)</f>
        <v/>
      </c>
      <c r="P781">
        <f>IF(B809=0,0,O781/B809)</f>
        <v/>
      </c>
      <c r="Q781">
        <f>IFERROR(1/IF(Inputs!$B$4="pvp",15,MAX(0.1,Skills!D10-IF(Skills!E10=TRUE,Inputs!$B$31,0))),0)</f>
        <v/>
      </c>
      <c r="R781">
        <f>IF(AND(Inputs!$B$4&lt;&gt;"pvp",Inputs!$B$35&gt;0),(INT(Inputs!$B$35/IF(Inputs!$B$4="pvp",15,MAX(0.1,Skills!D10-IF(Skills!E10=TRUE,Inputs!$B$31,0))))+1),0)</f>
        <v/>
      </c>
      <c r="S781">
        <f>IFERROR(O781/N781,0)</f>
        <v/>
      </c>
    </row>
    <row r="782">
      <c r="A782">
        <f>Skills!A11</f>
        <v/>
      </c>
      <c r="B782">
        <f>Skills!B11</f>
        <v/>
      </c>
      <c r="C782">
        <f>Inputs!$B$3&gt;=107</f>
        <v/>
      </c>
      <c r="D782">
        <f>IF(Skills!C11=1,60+Inputs!$B$24+Inputs!$B$28,IF(Skills!C11=2,90+Inputs!$B$25+Inputs!$B$28,IF(Skills!C11=3,120+(Inputs!$B$26+1)+Inputs!$B$28,MAX(0,(Inputs!$B$3-100)*3)+Inputs!$B$27+Inputs!$B$28)))</f>
        <v/>
      </c>
      <c r="E782">
        <f>INDEX(FactorTable!$B$2:$Y$301, MATCH(ROUND(MIN(300,MAX(1,D782)),0), FactorTable!$A$2:$A$301,0), Skills!M11+1)</f>
        <v/>
      </c>
      <c r="F782">
        <f>IF(Skills!N11=TRUE,(Skills!L11/10)*(E782/1000),Skills!L11/10)+Skills!O11</f>
        <v/>
      </c>
      <c r="G782">
        <f>Skills!G11*IF(Skills!H11&gt;0,Skills!I11/Skills!H11,1)</f>
        <v/>
      </c>
      <c r="H782">
        <f>1-(1-Skills!J11/100)^Skills!K11</f>
        <v/>
      </c>
      <c r="I782" t="inlineStr">
        <is>
          <t>1</t>
        </is>
      </c>
      <c r="J782">
        <f>(Inputs!$B$5*(1+Inputs!$B$6/100))*(F782/100)</f>
        <v/>
      </c>
      <c r="K782">
        <f>J782*(1+((Inputs!$B$11*(1+Inputs!$B$12/100))*0.01+Inputs!$B$13*0.0025)/100)*(1+Inputs!$B$14/100)*(1+IF(Inputs!$B$4="pvp",0,(1-Summary!$B$55)*(Inputs!$B$19+0+Skills!P11)+Summary!$B$55*(Inputs!$B$20+Skills!Q11))/100)*(1+Inputs!$B$15/100)*(5000/(6000+Inputs!$B$7*(1-(Inputs!$B$18+0)/100)))*(1+(Inputs!$B$23+((C797=TRUE)*(F797-Calc!F26))+B807)/100)*(1+(IF(Skills!A11="EIGHT_LEGS_EASTON",Inputs!$B$16+((C794=TRUE)*(F794-Calc!F23))+((C798=TRUE)*(F798-Calc!F27)),Inputs!$B$17+0))/100)*((1+(((C788=TRUE)*F788)+((C795=TRUE)*(F795-Calc!F24)))/100)*I782)</f>
        <v/>
      </c>
      <c r="L782">
        <f>K782*(MIN(Inputs!$B$21+((C793=TRUE)*(F793-Calc!F22)),Inputs!$B$22+0)/100+(Inputs!$B$22+0)/100)/2</f>
        <v/>
      </c>
      <c r="M782">
        <f>L782*(1+(Inputs!$B$9+((C796=TRUE)*(F796-Calc!F25))+B806)/100)</f>
        <v/>
      </c>
      <c r="N782">
        <f>L782*(1-MIN((Inputs!$B$8+((C790=TRUE)*(F790-Calc!F19))+B801),100)/100)+M782*(MIN((Inputs!$B$8+((C790=TRUE)*(F790-Calc!F19))+B801),100)/100)</f>
        <v/>
      </c>
      <c r="O782">
        <f>IF(C782,H782*N782*IF(AND(Inputs!$B$4&lt;&gt;"pvp",Inputs!$B$35&gt;0),((Skills!G11*((R782-1)*IF(Skills!H11&gt;0,Skills!I11/Skills!H11,1)+IF(Skills!H11&gt;0,MIN(Skills!I11,MAX(0,Inputs!$B$35-((R782-1)*IF(Inputs!$B$4="pvp",15,MAX(0.1,Skills!D11-IF(Skills!E11=TRUE,Inputs!$B$31,0))))))/Skills!H11,1)))/Inputs!$B$35),G782*Q782)*IF(Inputs!$B$4="pvp",1,(1-Summary!$B$55)*(1)+Summary!$B$55*(MIN(Skills!R11,Inputs!$B$37))),0)</f>
        <v/>
      </c>
      <c r="P782">
        <f>IF(B809=0,0,O782/B809)</f>
        <v/>
      </c>
      <c r="Q782">
        <f>IFERROR(1/IF(Inputs!$B$4="pvp",15,MAX(0.1,Skills!D11-IF(Skills!E11=TRUE,Inputs!$B$31,0))),0)</f>
        <v/>
      </c>
      <c r="R782">
        <f>IF(AND(Inputs!$B$4&lt;&gt;"pvp",Inputs!$B$35&gt;0),(INT(Inputs!$B$35/IF(Inputs!$B$4="pvp",15,MAX(0.1,Skills!D11-IF(Skills!E11=TRUE,Inputs!$B$31,0))))+1),0)</f>
        <v/>
      </c>
      <c r="S782">
        <f>IFERROR(O782/N782,0)</f>
        <v/>
      </c>
    </row>
    <row r="783">
      <c r="A783">
        <f>Skills!A12</f>
        <v/>
      </c>
      <c r="B783">
        <f>Skills!B12</f>
        <v/>
      </c>
      <c r="C783">
        <f>Inputs!$B$3&gt;=110</f>
        <v/>
      </c>
      <c r="D783">
        <f>IF(Skills!C12=1,60+Inputs!$B$24+Inputs!$B$28,IF(Skills!C12=2,90+Inputs!$B$25+Inputs!$B$28,IF(Skills!C12=3,120+(Inputs!$B$26+1)+Inputs!$B$28,MAX(0,(Inputs!$B$3-100)*3)+Inputs!$B$27+Inputs!$B$28)))</f>
        <v/>
      </c>
      <c r="E783">
        <f>INDEX(FactorTable!$B$2:$Y$301, MATCH(ROUND(MIN(300,MAX(1,D783)),0), FactorTable!$A$2:$A$301,0), Skills!M12+1)</f>
        <v/>
      </c>
      <c r="F783">
        <f>IF(Skills!N12=TRUE,(Skills!L12/10)*(E783/1000),Skills!L12/10)+Skills!O12</f>
        <v/>
      </c>
      <c r="G783">
        <f>Skills!G12*IF(Skills!H12&gt;0,Skills!I12/Skills!H12,1)</f>
        <v/>
      </c>
      <c r="H783">
        <f>1-(1-Skills!J12/100)^Skills!K12</f>
        <v/>
      </c>
      <c r="I783" t="inlineStr">
        <is>
          <t>1</t>
        </is>
      </c>
      <c r="J783">
        <f>(Inputs!$B$5*(1+Inputs!$B$6/100))*(F783/100)</f>
        <v/>
      </c>
      <c r="K783">
        <f>J783*(1+((Inputs!$B$11*(1+Inputs!$B$12/100))*0.01+Inputs!$B$13*0.0025)/100)*(1+Inputs!$B$14/100)*(1+IF(Inputs!$B$4="pvp",0,(1-Summary!$B$55)*(Inputs!$B$19+0+Skills!P12)+Summary!$B$55*(Inputs!$B$20+Skills!Q12))/100)*(1+Inputs!$B$15/100)*(5000/(6000+Inputs!$B$7*(1-(Inputs!$B$18+0)/100)))*(1+(Inputs!$B$23+((C797=TRUE)*(F797-Calc!F26))+B807)/100)*(1+(IF(Skills!A12="EIGHT_LEGS_EASTON",Inputs!$B$16+((C794=TRUE)*(F794-Calc!F23))+((C798=TRUE)*(F798-Calc!F27)),Inputs!$B$17+0))/100)*((1+(((C788=TRUE)*F788)+((C795=TRUE)*(F795-Calc!F24)))/100)*I783)</f>
        <v/>
      </c>
      <c r="L783">
        <f>K783*(MIN(Inputs!$B$21+((C793=TRUE)*(F793-Calc!F22)),Inputs!$B$22+0)/100+(Inputs!$B$22+0)/100)/2</f>
        <v/>
      </c>
      <c r="M783">
        <f>L783*(1+(Inputs!$B$9+((C796=TRUE)*(F796-Calc!F25))+B806)/100)</f>
        <v/>
      </c>
      <c r="N783">
        <f>L783*(1-MIN((Inputs!$B$8+((C790=TRUE)*(F790-Calc!F19))+B801),100)/100)+M783*(MIN((Inputs!$B$8+((C790=TRUE)*(F790-Calc!F19))+B801),100)/100)</f>
        <v/>
      </c>
      <c r="O783">
        <f>IF(C783,H783*N783*IF(AND(Inputs!$B$4&lt;&gt;"pvp",Inputs!$B$35&gt;0),((Skills!G12*((R783-1)*IF(Skills!H12&gt;0,Skills!I12/Skills!H12,1)+IF(Skills!H12&gt;0,MIN(Skills!I12,MAX(0,Inputs!$B$35-((R783-1)*IF(Inputs!$B$4="pvp",15,MAX(0.1,Skills!D12-IF(Skills!E12=TRUE,Inputs!$B$31,0))))))/Skills!H12,1)))/Inputs!$B$35),G783*Q783)*IF(Inputs!$B$4="pvp",1,(1-Summary!$B$55)*(1)+Summary!$B$55*(MIN(Skills!R12,Inputs!$B$37))),0)</f>
        <v/>
      </c>
      <c r="P783">
        <f>IF(B809=0,0,O783/B809)</f>
        <v/>
      </c>
      <c r="Q783">
        <f>IFERROR(1/IF(Inputs!$B$4="pvp",15,MAX(0.1,Skills!D12-IF(Skills!E12=TRUE,Inputs!$B$31,0))),0)</f>
        <v/>
      </c>
      <c r="R783">
        <f>IF(AND(Inputs!$B$4&lt;&gt;"pvp",Inputs!$B$35&gt;0),(INT(Inputs!$B$35/IF(Inputs!$B$4="pvp",15,MAX(0.1,Skills!D12-IF(Skills!E12=TRUE,Inputs!$B$31,0))))+1),0)</f>
        <v/>
      </c>
      <c r="S783">
        <f>IFERROR(O783/N783,0)</f>
        <v/>
      </c>
    </row>
    <row r="784">
      <c r="A784">
        <f>Skills!A13</f>
        <v/>
      </c>
      <c r="B784">
        <f>Skills!B13</f>
        <v/>
      </c>
      <c r="C784">
        <f>Inputs!$B$3&gt;=110</f>
        <v/>
      </c>
      <c r="D784">
        <f>IF(Skills!C13=1,60+Inputs!$B$24+Inputs!$B$28,IF(Skills!C13=2,90+Inputs!$B$25+Inputs!$B$28,IF(Skills!C13=3,120+(Inputs!$B$26+1)+Inputs!$B$28,MAX(0,(Inputs!$B$3-100)*3)+Inputs!$B$27+Inputs!$B$28)))</f>
        <v/>
      </c>
      <c r="E784">
        <f>INDEX(FactorTable!$B$2:$Y$301, MATCH(ROUND(MIN(300,MAX(1,D784)),0), FactorTable!$A$2:$A$301,0), Skills!M13+1)</f>
        <v/>
      </c>
      <c r="F784">
        <f>IF(Skills!N13=TRUE,(Skills!L13/10)*(E784/1000),Skills!L13/10)+Skills!O13</f>
        <v/>
      </c>
      <c r="G784">
        <f>Skills!G13*IF(Skills!H13&gt;0,Skills!I13/Skills!H13,1)</f>
        <v/>
      </c>
      <c r="H784">
        <f>1-(1-Skills!J13/100)^Skills!K13</f>
        <v/>
      </c>
      <c r="I784" t="inlineStr">
        <is>
          <t>1</t>
        </is>
      </c>
      <c r="J784">
        <f>(Inputs!$B$5*(1+Inputs!$B$6/100))*(F784/100)</f>
        <v/>
      </c>
      <c r="K784">
        <f>J784*(1+((Inputs!$B$11*(1+Inputs!$B$12/100))*0.01+Inputs!$B$13*0.0025)/100)*(1+Inputs!$B$14/100)*(1+IF(Inputs!$B$4="pvp",0,(1-Summary!$B$55)*(Inputs!$B$19+0+Skills!P13)+Summary!$B$55*(Inputs!$B$20+Skills!Q13))/100)*(1+Inputs!$B$15/100)*(5000/(6000+Inputs!$B$7*(1-(Inputs!$B$18+0)/100)))*(1+(Inputs!$B$23+((C797=TRUE)*(F797-Calc!F26))+B807)/100)*(1+(IF(Skills!A13="EIGHT_LEGS_EASTON",Inputs!$B$16+((C794=TRUE)*(F794-Calc!F23))+((C798=TRUE)*(F798-Calc!F27)),Inputs!$B$17+0))/100)*((1+(((C788=TRUE)*F788)+((C795=TRUE)*(F795-Calc!F24)))/100)*I784)</f>
        <v/>
      </c>
      <c r="L784">
        <f>K784*(MIN(Inputs!$B$21+((C793=TRUE)*(F793-Calc!F22)),Inputs!$B$22+0)/100+(Inputs!$B$22+0)/100)/2</f>
        <v/>
      </c>
      <c r="M784">
        <f>L784*(1+(Inputs!$B$9+((C796=TRUE)*(F796-Calc!F25))+B806)/100)</f>
        <v/>
      </c>
      <c r="N784">
        <f>L784*(1-MIN((Inputs!$B$8+((C790=TRUE)*(F790-Calc!F19))+B801),100)/100)+M784*(MIN((Inputs!$B$8+((C790=TRUE)*(F790-Calc!F19))+B801),100)/100)</f>
        <v/>
      </c>
      <c r="O784">
        <f>IF(C784,H784*N784*IF(AND(Inputs!$B$4&lt;&gt;"pvp",Inputs!$B$35&gt;0),((Skills!G13*((R784-1)*IF(Skills!H13&gt;0,Skills!I13/Skills!H13,1)+IF(Skills!H13&gt;0,MIN(Skills!I13,MAX(0,Inputs!$B$35-((R784-1)*IF(Inputs!$B$4="pvp",15,MAX(0.1,Skills!D13-IF(Skills!E13=TRUE,Inputs!$B$31,0))))))/Skills!H13,1)))/Inputs!$B$35),G784*Q784)*IF(Inputs!$B$4="pvp",1,(1-Summary!$B$55)*(1)+Summary!$B$55*(MIN(Skills!R13,Inputs!$B$37))),0)</f>
        <v/>
      </c>
      <c r="P784">
        <f>IF(B809=0,0,O784/B809)</f>
        <v/>
      </c>
      <c r="Q784">
        <f>IFERROR(1/IF(Inputs!$B$4="pvp",15,MAX(0.1,Skills!D13-IF(Skills!E13=TRUE,Inputs!$B$31,0))),0)</f>
        <v/>
      </c>
      <c r="R784">
        <f>IF(AND(Inputs!$B$4&lt;&gt;"pvp",Inputs!$B$35&gt;0),(INT(Inputs!$B$35/IF(Inputs!$B$4="pvp",15,MAX(0.1,Skills!D13-IF(Skills!E13=TRUE,Inputs!$B$31,0))))+1),0)</f>
        <v/>
      </c>
      <c r="S784">
        <f>IFERROR(O784/N784,0)</f>
        <v/>
      </c>
    </row>
    <row r="785">
      <c r="A785">
        <f>Skills!A14</f>
        <v/>
      </c>
      <c r="B785">
        <f>Skills!B14</f>
        <v/>
      </c>
      <c r="C785">
        <f>Inputs!$B$3&gt;=125</f>
        <v/>
      </c>
      <c r="D785">
        <f>IF(Skills!C14=1,60+Inputs!$B$24+Inputs!$B$28,IF(Skills!C14=2,90+Inputs!$B$25+Inputs!$B$28,IF(Skills!C14=3,120+(Inputs!$B$26+1)+Inputs!$B$28,MAX(0,(Inputs!$B$3-100)*3)+Inputs!$B$27+Inputs!$B$28)))</f>
        <v/>
      </c>
      <c r="E785">
        <f>INDEX(FactorTable!$B$2:$Y$301, MATCH(ROUND(MIN(300,MAX(1,D785)),0), FactorTable!$A$2:$A$301,0), Skills!M14+1)</f>
        <v/>
      </c>
      <c r="F785">
        <f>IF(Skills!N14=TRUE,(Skills!L14/10)*(E785/1000),Skills!L14/10)+Skills!O14</f>
        <v/>
      </c>
      <c r="G785">
        <f>Skills!G14*IF(Skills!H14&gt;0,Skills!I14/Skills!H14,1)</f>
        <v/>
      </c>
      <c r="H785">
        <f>1-(1-Skills!J14/100)^Skills!K14</f>
        <v/>
      </c>
      <c r="I785" t="inlineStr">
        <is>
          <t>1</t>
        </is>
      </c>
      <c r="J785">
        <f>(Inputs!$B$5*(1+Inputs!$B$6/100))*(F785/100)</f>
        <v/>
      </c>
      <c r="K785">
        <f>J785*(1+((Inputs!$B$11*(1+Inputs!$B$12/100))*0.01+Inputs!$B$13*0.0025)/100)*(1+Inputs!$B$14/100)*(1+IF(Inputs!$B$4="pvp",0,(1-Summary!$B$55)*(Inputs!$B$19+0+Skills!P14)+Summary!$B$55*(Inputs!$B$20+Skills!Q14))/100)*(1+Inputs!$B$15/100)*(5000/(6000+Inputs!$B$7*(1-(Inputs!$B$18+0)/100)))*(1+(Inputs!$B$23+((C797=TRUE)*(F797-Calc!F26))+B807)/100)*(1+(IF(Skills!A14="EIGHT_LEGS_EASTON",Inputs!$B$16+((C794=TRUE)*(F794-Calc!F23))+((C798=TRUE)*(F798-Calc!F27)),Inputs!$B$17+0))/100)*((1+(((C788=TRUE)*F788)+((C795=TRUE)*(F795-Calc!F24)))/100)*I785)</f>
        <v/>
      </c>
      <c r="L785">
        <f>K785*(MIN(Inputs!$B$21+((C793=TRUE)*(F793-Calc!F22)),Inputs!$B$22+0)/100+(Inputs!$B$22+0)/100)/2</f>
        <v/>
      </c>
      <c r="M785">
        <f>L785*(1+(Inputs!$B$9+((C796=TRUE)*(F796-Calc!F25))+B806)/100)</f>
        <v/>
      </c>
      <c r="N785">
        <f>L785*(1-MIN((Inputs!$B$8+((C790=TRUE)*(F790-Calc!F19))+B801),100)/100)+M785*(MIN((Inputs!$B$8+((C790=TRUE)*(F790-Calc!F19))+B801),100)/100)</f>
        <v/>
      </c>
      <c r="O785">
        <f>IF(C785,H785*N785*(B805+IF(AND(Inputs!$B$4&lt;&gt;"pvp",Inputs!$B$35&gt;0),((Skills!G8*((R779-1)*IF(Skills!H8&gt;0,Skills!I8/Skills!H8,1)+IF(Skills!H8&gt;0,MIN(Skills!I8,MAX(0,Inputs!$B$35-((R779-1)*IF(Inputs!$B$4="pvp",15,MAX(0.1,Skills!D8-IF(Skills!E8=TRUE,Inputs!$B$31,0))))))/Skills!H8,1)))/Inputs!$B$35),G779*Q779)+IF(AND(Inputs!$B$4&lt;&gt;"pvp",Inputs!$B$35&gt;0),((Skills!G11*((R782-1)*IF(Skills!H11&gt;0,Skills!I11/Skills!H11,1)+IF(Skills!H11&gt;0,MIN(Skills!I11,MAX(0,Inputs!$B$35-((R782-1)*IF(Inputs!$B$4="pvp",15,MAX(0.1,Skills!D11-IF(Skills!E11=TRUE,Inputs!$B$31,0))))))/Skills!H11,1)))/Inputs!$B$35),G782*Q782))*IF(Inputs!$B$4="pvp",1,(1-Summary!$B$55)*(1)+Summary!$B$55*(MIN(Skills!R14,Inputs!$B$37))),0)</f>
        <v/>
      </c>
      <c r="P785">
        <f>IF(B809=0,0,O785/B809)</f>
        <v/>
      </c>
      <c r="Q785" t="n">
        <v>0</v>
      </c>
      <c r="R785" t="n">
        <v>0</v>
      </c>
      <c r="S785">
        <f>IFERROR(O785/N785,0)</f>
        <v/>
      </c>
    </row>
    <row r="786">
      <c r="A786">
        <f>Skills!A15</f>
        <v/>
      </c>
      <c r="B786">
        <f>Skills!B15</f>
        <v/>
      </c>
      <c r="C786">
        <f>Inputs!$B$3&gt;=100</f>
        <v/>
      </c>
      <c r="D786">
        <f>IF(Skills!C15=1,60+Inputs!$B$24+Inputs!$B$28,IF(Skills!C15=2,90+Inputs!$B$25+Inputs!$B$28,IF(Skills!C15=3,120+(Inputs!$B$26+1)+Inputs!$B$28,MAX(0,(Inputs!$B$3-100)*3)+Inputs!$B$27+Inputs!$B$28)))</f>
        <v/>
      </c>
      <c r="E786">
        <f>INDEX(FactorTable!$B$2:$Y$301, MATCH(ROUND(MIN(300,MAX(1,D786)),0), FactorTable!$A$2:$A$301,0), Skills!M15+1)</f>
        <v/>
      </c>
      <c r="F786">
        <f>IF(Skills!N15=TRUE,(Skills!L15/10)*(E786/1000),Skills!L15/10)+Skills!O15</f>
        <v/>
      </c>
      <c r="G786" t="inlineStr"/>
      <c r="H786" t="inlineStr"/>
      <c r="I786" t="inlineStr">
        <is>
          <t>1</t>
        </is>
      </c>
      <c r="J786" t="inlineStr"/>
      <c r="K786" t="inlineStr"/>
      <c r="L786" t="inlineStr"/>
      <c r="M786" t="inlineStr"/>
      <c r="N786" t="inlineStr"/>
      <c r="O786" t="inlineStr"/>
      <c r="P786" t="inlineStr"/>
      <c r="Q786" t="inlineStr"/>
      <c r="R786" t="inlineStr"/>
      <c r="S786" t="inlineStr"/>
    </row>
    <row r="787">
      <c r="A787">
        <f>Skills!A16</f>
        <v/>
      </c>
      <c r="B787">
        <f>Skills!B16</f>
        <v/>
      </c>
      <c r="C787">
        <f>Inputs!$B$3&gt;=120</f>
        <v/>
      </c>
      <c r="D787">
        <f>IF(Skills!C16=1,60+Inputs!$B$24+Inputs!$B$28,IF(Skills!C16=2,90+Inputs!$B$25+Inputs!$B$28,IF(Skills!C16=3,120+(Inputs!$B$26+1)+Inputs!$B$28,MAX(0,(Inputs!$B$3-100)*3)+Inputs!$B$27+Inputs!$B$28)))</f>
        <v/>
      </c>
      <c r="E787">
        <f>INDEX(FactorTable!$B$2:$Y$301, MATCH(ROUND(MIN(300,MAX(1,D787)),0), FactorTable!$A$2:$A$301,0), Skills!M16+1)</f>
        <v/>
      </c>
      <c r="F787">
        <f>IF(Skills!N16=TRUE,(Skills!L16/10)*(E787/1000),Skills!L16/10)+Skills!O16</f>
        <v/>
      </c>
      <c r="G787" t="inlineStr"/>
      <c r="H787" t="inlineStr"/>
      <c r="I787" t="inlineStr">
        <is>
          <t>1</t>
        </is>
      </c>
      <c r="J787" t="inlineStr"/>
      <c r="K787" t="inlineStr"/>
      <c r="L787" t="inlineStr"/>
      <c r="M787" t="inlineStr"/>
      <c r="N787" t="inlineStr"/>
      <c r="O787" t="inlineStr"/>
      <c r="P787" t="inlineStr"/>
      <c r="Q787" t="inlineStr"/>
      <c r="R787" t="inlineStr"/>
      <c r="S787" t="inlineStr"/>
    </row>
    <row r="788">
      <c r="A788">
        <f>Skills!A17</f>
        <v/>
      </c>
      <c r="B788">
        <f>Skills!B17</f>
        <v/>
      </c>
      <c r="C788">
        <f>Inputs!$B$3&gt;=66</f>
        <v/>
      </c>
      <c r="D788">
        <f>IF(Skills!C17=1,60+Inputs!$B$24+Inputs!$B$28,IF(Skills!C17=2,90+Inputs!$B$25+Inputs!$B$28,IF(Skills!C17=3,120+(Inputs!$B$26+1)+Inputs!$B$28,MAX(0,(Inputs!$B$3-100)*3)+Inputs!$B$27+Inputs!$B$28)))</f>
        <v/>
      </c>
      <c r="E788">
        <f>INDEX(FactorTable!$B$2:$Y$301, MATCH(ROUND(MIN(300,MAX(1,D788)),0), FactorTable!$A$2:$A$301,0), Skills!M17+1)</f>
        <v/>
      </c>
      <c r="F788">
        <f>IF(Skills!N17=TRUE,(Skills!L17/10)*(E788/1000),Skills!L17/10)+Skills!O17</f>
        <v/>
      </c>
      <c r="G788">
        <f>Skills!G17*IF(Skills!H17&gt;0,Skills!I17/Skills!H17,1)</f>
        <v/>
      </c>
      <c r="H788">
        <f>1-(1-Skills!J17/100)^Skills!K17</f>
        <v/>
      </c>
      <c r="I788" t="inlineStr">
        <is>
          <t>1</t>
        </is>
      </c>
      <c r="J788" t="inlineStr"/>
      <c r="K788" t="inlineStr"/>
      <c r="L788" t="inlineStr"/>
      <c r="M788" t="inlineStr"/>
      <c r="N788" t="inlineStr"/>
      <c r="O788" t="n">
        <v>0</v>
      </c>
      <c r="P788">
        <f>IF(B809=0,0,O788/B809)</f>
        <v/>
      </c>
      <c r="Q788" t="n">
        <v>0</v>
      </c>
      <c r="R788" t="n">
        <v>0</v>
      </c>
      <c r="S788">
        <f>IFERROR(O788/N788,0)</f>
        <v/>
      </c>
    </row>
    <row r="789">
      <c r="A789">
        <f>Skills!A18</f>
        <v/>
      </c>
      <c r="B789">
        <f>Skills!B18</f>
        <v/>
      </c>
      <c r="C789">
        <f>Inputs!$B$3&gt;=115</f>
        <v/>
      </c>
      <c r="D789">
        <f>IF(Skills!C18=1,60+Inputs!$B$24+Inputs!$B$28,IF(Skills!C18=2,90+Inputs!$B$25+Inputs!$B$28,IF(Skills!C18=3,120+(Inputs!$B$26+1)+Inputs!$B$28,MAX(0,(Inputs!$B$3-100)*3)+Inputs!$B$27+Inputs!$B$28)))</f>
        <v/>
      </c>
      <c r="E789">
        <f>INDEX(FactorTable!$B$2:$Y$301, MATCH(ROUND(MIN(300,MAX(1,D789)),0), FactorTable!$A$2:$A$301,0), Skills!M18+1)</f>
        <v/>
      </c>
      <c r="F789">
        <f>IF(Skills!N18=TRUE,(Skills!L18/10)*(E789/1000),Skills!L18/10)+Skills!O18</f>
        <v/>
      </c>
      <c r="G789">
        <f>Skills!G18*IF(Skills!H18&gt;0,Skills!I18/Skills!H18,1)</f>
        <v/>
      </c>
      <c r="H789">
        <f>1-(1-Skills!J18/100)^Skills!K18</f>
        <v/>
      </c>
      <c r="I789" t="inlineStr">
        <is>
          <t>1</t>
        </is>
      </c>
      <c r="J789" t="inlineStr"/>
      <c r="K789" t="inlineStr"/>
      <c r="L789" t="inlineStr"/>
      <c r="M789" t="inlineStr"/>
      <c r="N789" t="inlineStr"/>
      <c r="O789" t="n">
        <v>0</v>
      </c>
      <c r="P789">
        <f>IF(B809=0,0,O789/B809)</f>
        <v/>
      </c>
      <c r="Q789" t="n">
        <v>0</v>
      </c>
      <c r="R789" t="n">
        <v>0</v>
      </c>
      <c r="S789">
        <f>IFERROR(O789/N789,0)</f>
        <v/>
      </c>
    </row>
    <row r="790">
      <c r="A790">
        <f>Skills!A19</f>
        <v/>
      </c>
      <c r="B790">
        <f>Skills!B19</f>
        <v/>
      </c>
      <c r="C790">
        <f>Inputs!$B$3&gt;=15</f>
        <v/>
      </c>
      <c r="D790">
        <f>IF(Skills!C19=1,60+Inputs!$B$24+Inputs!$B$28,IF(Skills!C19=2,90+Inputs!$B$25+Inputs!$B$28,IF(Skills!C19=3,120+(Inputs!$B$26+1)+Inputs!$B$28,MAX(0,(Inputs!$B$3-100)*3)+Inputs!$B$27+Inputs!$B$28)))</f>
        <v/>
      </c>
      <c r="E790">
        <f>INDEX(FactorTable!$B$2:$Y$301, MATCH(ROUND(MIN(300,MAX(1,D790)),0), FactorTable!$A$2:$A$301,0), Skills!M19+1)</f>
        <v/>
      </c>
      <c r="F790">
        <f>IF(Skills!N19=TRUE,(Skills!L19/10)*(E790/1000),Skills!L19/10)+Skills!O19</f>
        <v/>
      </c>
      <c r="G790">
        <f>Skills!G19*IF(Skills!H19&gt;0,Skills!I19/Skills!H19,1)</f>
        <v/>
      </c>
      <c r="H790">
        <f>1-(1-Skills!J19/100)^Skills!K19</f>
        <v/>
      </c>
      <c r="I790" t="inlineStr">
        <is>
          <t>1</t>
        </is>
      </c>
      <c r="J790" t="inlineStr"/>
      <c r="K790" t="inlineStr"/>
      <c r="L790" t="inlineStr"/>
      <c r="M790" t="inlineStr"/>
      <c r="N790" t="inlineStr"/>
      <c r="O790" t="n">
        <v>0</v>
      </c>
      <c r="P790">
        <f>IF(B809=0,0,O790/B809)</f>
        <v/>
      </c>
      <c r="Q790" t="n">
        <v>0</v>
      </c>
      <c r="R790" t="n">
        <v>0</v>
      </c>
      <c r="S790">
        <f>IFERROR(O790/N790,0)</f>
        <v/>
      </c>
    </row>
    <row r="791">
      <c r="A791">
        <f>Skills!A20</f>
        <v/>
      </c>
      <c r="B791">
        <f>Skills!B20</f>
        <v/>
      </c>
      <c r="C791">
        <f>Inputs!$B$3&gt;=10</f>
        <v/>
      </c>
      <c r="D791">
        <f>IF(Skills!C20=1,60+Inputs!$B$24+Inputs!$B$28,IF(Skills!C20=2,90+Inputs!$B$25+Inputs!$B$28,IF(Skills!C20=3,120+(Inputs!$B$26+1)+Inputs!$B$28,MAX(0,(Inputs!$B$3-100)*3)+Inputs!$B$27+Inputs!$B$28)))</f>
        <v/>
      </c>
      <c r="E791">
        <f>INDEX(FactorTable!$B$2:$Y$301, MATCH(ROUND(MIN(300,MAX(1,D791)),0), FactorTable!$A$2:$A$301,0), Skills!M20+1)</f>
        <v/>
      </c>
      <c r="F791">
        <f>IF(Skills!N20=TRUE,(Skills!L20/10)*(E791/1000),Skills!L20/10)+Skills!O20</f>
        <v/>
      </c>
      <c r="G791">
        <f>Skills!G20*IF(Skills!H20&gt;0,Skills!I20/Skills!H20,1)</f>
        <v/>
      </c>
      <c r="H791">
        <f>1-(1-Skills!J20/100)^Skills!K20</f>
        <v/>
      </c>
      <c r="I791" t="inlineStr">
        <is>
          <t>1</t>
        </is>
      </c>
      <c r="J791" t="inlineStr"/>
      <c r="K791" t="inlineStr"/>
      <c r="L791" t="inlineStr"/>
      <c r="M791" t="inlineStr"/>
      <c r="N791" t="inlineStr"/>
      <c r="O791" t="n">
        <v>0</v>
      </c>
      <c r="P791">
        <f>IF(B809=0,0,O791/B809)</f>
        <v/>
      </c>
      <c r="Q791" t="n">
        <v>0</v>
      </c>
      <c r="R791" t="n">
        <v>0</v>
      </c>
      <c r="S791">
        <f>IFERROR(O791/N791,0)</f>
        <v/>
      </c>
    </row>
    <row r="792">
      <c r="A792">
        <f>Skills!A21</f>
        <v/>
      </c>
      <c r="B792">
        <f>Skills!B21</f>
        <v/>
      </c>
      <c r="C792">
        <f>Inputs!$B$3&gt;=33</f>
        <v/>
      </c>
      <c r="D792">
        <f>IF(Skills!C21=1,60+Inputs!$B$24+Inputs!$B$28,IF(Skills!C21=2,90+Inputs!$B$25+Inputs!$B$28,IF(Skills!C21=3,120+(Inputs!$B$26+1)+Inputs!$B$28,MAX(0,(Inputs!$B$3-100)*3)+Inputs!$B$27+Inputs!$B$28)))</f>
        <v/>
      </c>
      <c r="E792">
        <f>INDEX(FactorTable!$B$2:$Y$301, MATCH(ROUND(MIN(300,MAX(1,D792)),0), FactorTable!$A$2:$A$301,0), Skills!M21+1)</f>
        <v/>
      </c>
      <c r="F792">
        <f>IF(Skills!N21=TRUE,(Skills!L21/10)*(E792/1000),Skills!L21/10)+Skills!O21</f>
        <v/>
      </c>
      <c r="G792">
        <f>Skills!G21*IF(Skills!H21&gt;0,Skills!I21/Skills!H21,1)</f>
        <v/>
      </c>
      <c r="H792">
        <f>1-(1-Skills!J21/100)^Skills!K21</f>
        <v/>
      </c>
      <c r="I792" t="inlineStr">
        <is>
          <t>1</t>
        </is>
      </c>
      <c r="J792" t="inlineStr"/>
      <c r="K792" t="inlineStr"/>
      <c r="L792" t="inlineStr"/>
      <c r="M792" t="inlineStr"/>
      <c r="N792" t="inlineStr"/>
      <c r="O792" t="n">
        <v>0</v>
      </c>
      <c r="P792">
        <f>IF(B809=0,0,O792/B809)</f>
        <v/>
      </c>
      <c r="Q792" t="n">
        <v>0</v>
      </c>
      <c r="R792" t="n">
        <v>0</v>
      </c>
      <c r="S792">
        <f>IFERROR(O792/N792,0)</f>
        <v/>
      </c>
    </row>
    <row r="793">
      <c r="A793">
        <f>Skills!A22</f>
        <v/>
      </c>
      <c r="B793">
        <f>Skills!B22</f>
        <v/>
      </c>
      <c r="C793">
        <f>Inputs!$B$3&gt;=43</f>
        <v/>
      </c>
      <c r="D793">
        <f>IF(Skills!C22=1,60+Inputs!$B$24+Inputs!$B$28,IF(Skills!C22=2,90+Inputs!$B$25+Inputs!$B$28,IF(Skills!C22=3,120+(Inputs!$B$26+1)+Inputs!$B$28,MAX(0,(Inputs!$B$3-100)*3)+Inputs!$B$27+Inputs!$B$28)))</f>
        <v/>
      </c>
      <c r="E793">
        <f>INDEX(FactorTable!$B$2:$Y$301, MATCH(ROUND(MIN(300,MAX(1,D793)),0), FactorTable!$A$2:$A$301,0), Skills!M22+1)</f>
        <v/>
      </c>
      <c r="F793">
        <f>IF(Skills!N22=TRUE,(Skills!L22/10)*(E793/1000),Skills!L22/10)+Skills!O22</f>
        <v/>
      </c>
      <c r="G793">
        <f>Skills!G22*IF(Skills!H22&gt;0,Skills!I22/Skills!H22,1)</f>
        <v/>
      </c>
      <c r="H793">
        <f>1-(1-Skills!J22/100)^Skills!K22</f>
        <v/>
      </c>
      <c r="I793" t="inlineStr">
        <is>
          <t>1</t>
        </is>
      </c>
      <c r="J793" t="inlineStr"/>
      <c r="K793" t="inlineStr"/>
      <c r="L793" t="inlineStr"/>
      <c r="M793" t="inlineStr"/>
      <c r="N793" t="inlineStr"/>
      <c r="O793" t="n">
        <v>0</v>
      </c>
      <c r="P793">
        <f>IF(B809=0,0,O793/B809)</f>
        <v/>
      </c>
      <c r="Q793" t="n">
        <v>0</v>
      </c>
      <c r="R793" t="n">
        <v>0</v>
      </c>
      <c r="S793">
        <f>IFERROR(O793/N793,0)</f>
        <v/>
      </c>
    </row>
    <row r="794">
      <c r="A794">
        <f>Skills!A23</f>
        <v/>
      </c>
      <c r="B794">
        <f>Skills!B23</f>
        <v/>
      </c>
      <c r="C794">
        <f>Inputs!$B$3&gt;=38</f>
        <v/>
      </c>
      <c r="D794">
        <f>IF(Skills!C23=1,60+Inputs!$B$24+Inputs!$B$28,IF(Skills!C23=2,90+Inputs!$B$25+Inputs!$B$28,IF(Skills!C23=3,120+(Inputs!$B$26+1)+Inputs!$B$28,MAX(0,(Inputs!$B$3-100)*3)+Inputs!$B$27+Inputs!$B$28)))</f>
        <v/>
      </c>
      <c r="E794">
        <f>INDEX(FactorTable!$B$2:$Y$301, MATCH(ROUND(MIN(300,MAX(1,D794)),0), FactorTable!$A$2:$A$301,0), Skills!M23+1)</f>
        <v/>
      </c>
      <c r="F794">
        <f>IF(Skills!N23=TRUE,(Skills!L23/10)*(E794/1000),Skills!L23/10)+Skills!O23</f>
        <v/>
      </c>
      <c r="G794">
        <f>Skills!G23*IF(Skills!H23&gt;0,Skills!I23/Skills!H23,1)</f>
        <v/>
      </c>
      <c r="H794">
        <f>1-(1-Skills!J23/100)^Skills!K23</f>
        <v/>
      </c>
      <c r="I794" t="inlineStr">
        <is>
          <t>1</t>
        </is>
      </c>
      <c r="J794" t="inlineStr"/>
      <c r="K794" t="inlineStr"/>
      <c r="L794" t="inlineStr"/>
      <c r="M794" t="inlineStr"/>
      <c r="N794" t="inlineStr"/>
      <c r="O794" t="n">
        <v>0</v>
      </c>
      <c r="P794">
        <f>IF(B809=0,0,O794/B809)</f>
        <v/>
      </c>
      <c r="Q794" t="n">
        <v>0</v>
      </c>
      <c r="R794" t="n">
        <v>0</v>
      </c>
      <c r="S794">
        <f>IFERROR(O794/N794,0)</f>
        <v/>
      </c>
    </row>
    <row r="795">
      <c r="A795">
        <f>Skills!A24</f>
        <v/>
      </c>
      <c r="B795">
        <f>Skills!B24</f>
        <v/>
      </c>
      <c r="C795">
        <f>Inputs!$B$3&gt;=40</f>
        <v/>
      </c>
      <c r="D795">
        <f>IF(Skills!C24=1,60+Inputs!$B$24+Inputs!$B$28,IF(Skills!C24=2,90+Inputs!$B$25+Inputs!$B$28,IF(Skills!C24=3,120+(Inputs!$B$26+1)+Inputs!$B$28,MAX(0,(Inputs!$B$3-100)*3)+Inputs!$B$27+Inputs!$B$28)))</f>
        <v/>
      </c>
      <c r="E795">
        <f>INDEX(FactorTable!$B$2:$Y$301, MATCH(ROUND(MIN(300,MAX(1,D795)),0), FactorTable!$A$2:$A$301,0), Skills!M24+1)</f>
        <v/>
      </c>
      <c r="F795">
        <f>IF(Skills!N24=TRUE,(Skills!L24/10)*(E795/1000),Skills!L24/10)+Skills!O24</f>
        <v/>
      </c>
      <c r="G795">
        <f>Skills!G24*IF(Skills!H24&gt;0,Skills!I24/Skills!H24,1)</f>
        <v/>
      </c>
      <c r="H795">
        <f>1-(1-Skills!J24/100)^Skills!K24</f>
        <v/>
      </c>
      <c r="I795" t="inlineStr">
        <is>
          <t>1</t>
        </is>
      </c>
      <c r="J795" t="inlineStr"/>
      <c r="K795" t="inlineStr"/>
      <c r="L795" t="inlineStr"/>
      <c r="M795" t="inlineStr"/>
      <c r="N795" t="inlineStr"/>
      <c r="O795" t="n">
        <v>0</v>
      </c>
      <c r="P795">
        <f>IF(B809=0,0,O795/B809)</f>
        <v/>
      </c>
      <c r="Q795" t="n">
        <v>0</v>
      </c>
      <c r="R795" t="n">
        <v>0</v>
      </c>
      <c r="S795">
        <f>IFERROR(O795/N795,0)</f>
        <v/>
      </c>
    </row>
    <row r="796">
      <c r="A796">
        <f>Skills!A25</f>
        <v/>
      </c>
      <c r="B796">
        <f>Skills!B25</f>
        <v/>
      </c>
      <c r="C796">
        <f>Inputs!$B$3&gt;=72</f>
        <v/>
      </c>
      <c r="D796">
        <f>IF(Skills!C25=1,60+Inputs!$B$24+Inputs!$B$28,IF(Skills!C25=2,90+Inputs!$B$25+Inputs!$B$28,IF(Skills!C25=3,120+(Inputs!$B$26+1)+Inputs!$B$28,MAX(0,(Inputs!$B$3-100)*3)+Inputs!$B$27+Inputs!$B$28)))</f>
        <v/>
      </c>
      <c r="E796">
        <f>INDEX(FactorTable!$B$2:$Y$301, MATCH(ROUND(MIN(300,MAX(1,D796)),0), FactorTable!$A$2:$A$301,0), Skills!M25+1)</f>
        <v/>
      </c>
      <c r="F796">
        <f>IF(Skills!N25=TRUE,(Skills!L25/10)*(E796/1000),Skills!L25/10)+Skills!O25</f>
        <v/>
      </c>
      <c r="G796">
        <f>Skills!G25*IF(Skills!H25&gt;0,Skills!I25/Skills!H25,1)</f>
        <v/>
      </c>
      <c r="H796">
        <f>1-(1-Skills!J25/100)^Skills!K25</f>
        <v/>
      </c>
      <c r="I796" t="inlineStr">
        <is>
          <t>1</t>
        </is>
      </c>
      <c r="J796" t="inlineStr"/>
      <c r="K796" t="inlineStr"/>
      <c r="L796" t="inlineStr"/>
      <c r="M796" t="inlineStr"/>
      <c r="N796" t="inlineStr"/>
      <c r="O796" t="n">
        <v>0</v>
      </c>
      <c r="P796">
        <f>IF(B809=0,0,O796/B809)</f>
        <v/>
      </c>
      <c r="Q796" t="n">
        <v>0</v>
      </c>
      <c r="R796" t="n">
        <v>0</v>
      </c>
      <c r="S796">
        <f>IFERROR(O796/N796,0)</f>
        <v/>
      </c>
    </row>
    <row r="797">
      <c r="A797">
        <f>Skills!A26</f>
        <v/>
      </c>
      <c r="B797">
        <f>Skills!B26</f>
        <v/>
      </c>
      <c r="C797">
        <f>Inputs!$B$3&gt;=75</f>
        <v/>
      </c>
      <c r="D797">
        <f>IF(Skills!C26=1,60+Inputs!$B$24+Inputs!$B$28,IF(Skills!C26=2,90+Inputs!$B$25+Inputs!$B$28,IF(Skills!C26=3,120+(Inputs!$B$26+1)+Inputs!$B$28,MAX(0,(Inputs!$B$3-100)*3)+Inputs!$B$27+Inputs!$B$28)))</f>
        <v/>
      </c>
      <c r="E797">
        <f>INDEX(FactorTable!$B$2:$Y$301, MATCH(ROUND(MIN(300,MAX(1,D797)),0), FactorTable!$A$2:$A$301,0), Skills!M26+1)</f>
        <v/>
      </c>
      <c r="F797">
        <f>IF(Skills!N26=TRUE,(Skills!L26/10)*(E797/1000),Skills!L26/10)+Skills!O26</f>
        <v/>
      </c>
      <c r="G797">
        <f>Skills!G26*IF(Skills!H26&gt;0,Skills!I26/Skills!H26,1)</f>
        <v/>
      </c>
      <c r="H797">
        <f>1-(1-Skills!J26/100)^Skills!K26</f>
        <v/>
      </c>
      <c r="I797" t="inlineStr">
        <is>
          <t>1</t>
        </is>
      </c>
      <c r="J797" t="inlineStr"/>
      <c r="K797" t="inlineStr"/>
      <c r="L797" t="inlineStr"/>
      <c r="M797" t="inlineStr"/>
      <c r="N797" t="inlineStr"/>
      <c r="O797" t="n">
        <v>0</v>
      </c>
      <c r="P797">
        <f>IF(B809=0,0,O797/B809)</f>
        <v/>
      </c>
      <c r="Q797" t="n">
        <v>0</v>
      </c>
      <c r="R797" t="n">
        <v>0</v>
      </c>
      <c r="S797">
        <f>IFERROR(O797/N797,0)</f>
        <v/>
      </c>
    </row>
    <row r="798">
      <c r="A798">
        <f>Skills!A27</f>
        <v/>
      </c>
      <c r="B798">
        <f>Skills!B27</f>
        <v/>
      </c>
      <c r="C798">
        <f>Inputs!$B$3&gt;=117</f>
        <v/>
      </c>
      <c r="D798">
        <f>IF(Skills!C27=1,60+Inputs!$B$24+Inputs!$B$28,IF(Skills!C27=2,90+Inputs!$B$25+Inputs!$B$28,IF(Skills!C27=3,120+(Inputs!$B$26+1)+Inputs!$B$28,MAX(0,(Inputs!$B$3-100)*3)+Inputs!$B$27+Inputs!$B$28)))</f>
        <v/>
      </c>
      <c r="E798">
        <f>INDEX(FactorTable!$B$2:$Y$301, MATCH(ROUND(MIN(300,MAX(1,D798)),0), FactorTable!$A$2:$A$301,0), Skills!M27+1)</f>
        <v/>
      </c>
      <c r="F798">
        <f>IF(Skills!N27=TRUE,(Skills!L27/10)*(E798/1000),Skills!L27/10)+Skills!O27</f>
        <v/>
      </c>
      <c r="G798">
        <f>Skills!G27*IF(Skills!H27&gt;0,Skills!I27/Skills!H27,1)</f>
        <v/>
      </c>
      <c r="H798">
        <f>1-(1-Skills!J27/100)^Skills!K27</f>
        <v/>
      </c>
      <c r="I798" t="inlineStr">
        <is>
          <t>1</t>
        </is>
      </c>
      <c r="J798" t="inlineStr"/>
      <c r="K798" t="inlineStr"/>
      <c r="L798" t="inlineStr"/>
      <c r="M798" t="inlineStr"/>
      <c r="N798" t="inlineStr"/>
      <c r="O798" t="n">
        <v>0</v>
      </c>
      <c r="P798">
        <f>IF(B809=0,0,O798/B809)</f>
        <v/>
      </c>
      <c r="Q798" t="n">
        <v>0</v>
      </c>
      <c r="R798" t="n">
        <v>0</v>
      </c>
      <c r="S798">
        <f>IFERROR(O798/N798,0)</f>
        <v/>
      </c>
    </row>
    <row r="800">
      <c r="A800" t="inlineStr">
        <is>
          <t>Attack% Bucket Multiplier</t>
        </is>
      </c>
      <c r="B800">
        <f>(1+(((C788=TRUE)*F788)+((C795=TRUE)*(F795-Calc!F24)))/100)</f>
        <v/>
      </c>
    </row>
    <row r="801">
      <c r="A801" t="inlineStr">
        <is>
          <t>Global Crit Rate Bonus %</t>
        </is>
      </c>
      <c r="B801" t="n">
        <v>0</v>
      </c>
    </row>
    <row r="802">
      <c r="A802" t="inlineStr">
        <is>
          <t>Attack Speed Buff Bonus % (unused)</t>
        </is>
      </c>
      <c r="B802" t="n">
        <v>0</v>
      </c>
    </row>
    <row r="803">
      <c r="A803" t="inlineStr">
        <is>
          <t>Actions Per Second</t>
        </is>
      </c>
      <c r="B803">
        <f>1+MIN(150,150*(1-(1-(Inputs!$B$10+((C791=TRUE)*(F791-Calc!F20))+((C792=TRUE)*(F792-Calc!F21)))/150)*(1-B802/150)))/100</f>
        <v/>
      </c>
    </row>
    <row r="804">
      <c r="A804" t="inlineStr">
        <is>
          <t>Skill + Buff Cast Rate</t>
        </is>
      </c>
      <c r="B804">
        <f>IF(AND(Inputs!$B$4&lt;&gt;"pvp",Inputs!$B$35&gt;0),SUMPRODUCT((Skills!E2:E27=TRUE)*(C773:C798=TRUE)*R773:R798*Skills!F2:F27)/Inputs!$B$35,SUMPRODUCT((Skills!E2:E27=TRUE)*(C773:C798=TRUE)*Q773:Q798*Skills!F2:F27))</f>
        <v/>
      </c>
    </row>
    <row r="805">
      <c r="A805" t="inlineStr">
        <is>
          <t>Eight-Legs Easton Casts Per Second</t>
        </is>
      </c>
      <c r="B805">
        <f>MAX(0,B803-B804)</f>
        <v/>
      </c>
    </row>
    <row r="806">
      <c r="A806" t="inlineStr">
        <is>
          <t>Global Critical Damage Bonus % (unused)</t>
        </is>
      </c>
      <c r="B806" t="n">
        <v>0</v>
      </c>
    </row>
    <row r="807">
      <c r="A807" t="inlineStr">
        <is>
          <t>Global Final Damage Bonus % (Jolly Roger only)</t>
        </is>
      </c>
      <c r="B807">
        <f>((C789=TRUE)*F789)</f>
        <v/>
      </c>
    </row>
    <row r="809">
      <c r="A809" s="5" t="inlineStr">
        <is>
          <t>TOTAL DPS</t>
        </is>
      </c>
      <c r="B809" s="5">
        <f>SUM(O773:O798)</f>
        <v/>
      </c>
    </row>
    <row r="812">
      <c r="A812" s="5" t="inlineStr">
        <is>
          <t>Stat: Skill Level Bonus — 4th Job</t>
        </is>
      </c>
    </row>
    <row r="813">
      <c r="A813" s="8" t="inlineStr">
        <is>
          <t>Key</t>
        </is>
      </c>
      <c r="B813" s="8" t="inlineStr">
        <is>
          <t>Name</t>
        </is>
      </c>
      <c r="C813" s="8" t="inlineStr">
        <is>
          <t>Unlocked</t>
        </is>
      </c>
      <c r="D813" s="8" t="inlineStr">
        <is>
          <t>InputLevel</t>
        </is>
      </c>
      <c r="E813" s="8" t="inlineStr">
        <is>
          <t>Factor</t>
        </is>
      </c>
      <c r="F813" s="8" t="inlineStr">
        <is>
          <t>CoefficientPercent</t>
        </is>
      </c>
      <c r="G813" s="8" t="inlineStr">
        <is>
          <t>EffectiveHits</t>
        </is>
      </c>
      <c r="H813" s="8" t="inlineStr">
        <is>
          <t>ProcProbability</t>
        </is>
      </c>
      <c r="I813" s="8" t="inlineStr">
        <is>
          <t>MapleHeroMultiplier</t>
        </is>
      </c>
      <c r="J813" s="8" t="inlineStr">
        <is>
          <t>BaseDamage</t>
        </is>
      </c>
      <c r="K813" s="8" t="inlineStr">
        <is>
          <t>BaseHitDamage</t>
        </is>
      </c>
      <c r="L813" s="8" t="inlineStr">
        <is>
          <t>NonCritAvg</t>
        </is>
      </c>
      <c r="M813" s="8" t="inlineStr">
        <is>
          <t>CritAvg</t>
        </is>
      </c>
      <c r="N813" s="8" t="inlineStr">
        <is>
          <t>ExpectedDamage(perHit)</t>
        </is>
      </c>
      <c r="O813" s="8" t="inlineStr">
        <is>
          <t>DPS</t>
        </is>
      </c>
      <c r="P813" s="8" t="inlineStr">
        <is>
          <t>% of Total</t>
        </is>
      </c>
      <c r="Q813" s="8" t="inlineStr">
        <is>
          <t>InvCooldown</t>
        </is>
      </c>
      <c r="R813" s="8" t="inlineStr">
        <is>
          <t>CastsInFight</t>
        </is>
      </c>
      <c r="S813" s="8" t="inlineStr">
        <is>
          <t>HitRate(perSec)</t>
        </is>
      </c>
      <c r="U813" t="inlineStr">
        <is>
          <t>helpers</t>
        </is>
      </c>
    </row>
    <row r="814">
      <c r="A814">
        <f>Skills!A2</f>
        <v/>
      </c>
      <c r="B814">
        <f>Skills!B2</f>
        <v/>
      </c>
      <c r="C814">
        <f>Inputs!$B$3&gt;=100</f>
        <v/>
      </c>
      <c r="D814" t="inlineStr"/>
      <c r="E814" t="inlineStr"/>
      <c r="F814">
        <f>U816+Skills!O2</f>
        <v/>
      </c>
      <c r="G814">
        <f>Skills!G2*IF(Skills!H2&gt;0,Skills!I2/Skills!H2,1)</f>
        <v/>
      </c>
      <c r="H814">
        <f>1-(1-Skills!J2/100)^Skills!K2</f>
        <v/>
      </c>
      <c r="I814" t="inlineStr">
        <is>
          <t>1</t>
        </is>
      </c>
      <c r="J814">
        <f>(Inputs!$B$5*(1+Inputs!$B$6/100))*(F814/100)</f>
        <v/>
      </c>
      <c r="K814">
        <f>J814*(1+((Inputs!$B$11*(1+Inputs!$B$12/100))*0.01+Inputs!$B$13*0.0025)/100)*(1+Inputs!$B$14/100)*(1+IF(Inputs!$B$4="pvp",0,(1-Summary!$B$55)*(Inputs!$B$19+0+Skills!P2)+Summary!$B$55*(Inputs!$B$20+Skills!Q2))/100)*(1+Inputs!$B$15/100)*(5000/(6000+Inputs!$B$7*(1-(Inputs!$B$18+0)/100)))*(1+(Inputs!$B$23+((C838=TRUE)*(F838-Calc!F26))+B848)/100)*(1+(IF(Skills!A2="EIGHT_LEGS_EASTON",Inputs!$B$16+((C835=TRUE)*(F835-Calc!F23))+((C839=TRUE)*(F839-Calc!F27)),Inputs!$B$17+0))/100)*((1+(((C829=TRUE)*F829)+((C836=TRUE)*(F836-Calc!F24)))/100)*I814)</f>
        <v/>
      </c>
      <c r="L814">
        <f>K814*(MIN(Inputs!$B$21+((C834=TRUE)*(F834-Calc!F22)),Inputs!$B$22+0)/100+(Inputs!$B$22+0)/100)/2</f>
        <v/>
      </c>
      <c r="M814">
        <f>L814*(1+(Inputs!$B$9+((C837=TRUE)*(F837-Calc!F25))+B847)/100)</f>
        <v/>
      </c>
      <c r="N814">
        <f>L814*(1-MIN((Inputs!$B$8+((C831=TRUE)*(F831-Calc!F19))+B842),100)/100)+M814*(MIN((Inputs!$B$8+((C831=TRUE)*(F831-Calc!F19))+B842),100)/100)</f>
        <v/>
      </c>
      <c r="O814">
        <f>IF(C814,Skills!G2*N814*B846*IF(Inputs!$B$4="pvp",1,(1-Summary!$B$55)*(1)+Summary!$B$55*(MIN((6+Inputs!$B$32),Inputs!$B$37))),0)</f>
        <v/>
      </c>
      <c r="P814">
        <f>IF(B850=0,0,O814/B850)</f>
        <v/>
      </c>
      <c r="Q814" t="n">
        <v>0</v>
      </c>
      <c r="R814" t="n">
        <v>0</v>
      </c>
      <c r="S814">
        <f>IFERROR(O814/N814,0)</f>
        <v/>
      </c>
      <c r="U814">
        <f>MAX(0,(Inputs!$B$3-100)*3)+(Inputs!$B$27+1)+Inputs!$B$28</f>
        <v/>
      </c>
    </row>
    <row r="815">
      <c r="A815">
        <f>Skills!A3</f>
        <v/>
      </c>
      <c r="B815">
        <f>Skills!B3</f>
        <v/>
      </c>
      <c r="C815">
        <f>Inputs!$B$3&gt;=35</f>
        <v/>
      </c>
      <c r="D815">
        <f>IF(Skills!C3=1,60+Inputs!$B$24+Inputs!$B$28,IF(Skills!C3=2,90+Inputs!$B$25+Inputs!$B$28,IF(Skills!C3=3,120+Inputs!$B$26+Inputs!$B$28,MAX(0,(Inputs!$B$3-100)*3)+(Inputs!$B$27+1)+Inputs!$B$28)))</f>
        <v/>
      </c>
      <c r="E815">
        <f>INDEX(FactorTable!$B$2:$Y$301, MATCH(ROUND(MIN(300,MAX(1,D815)),0), FactorTable!$A$2:$A$301,0), Skills!M3+1)</f>
        <v/>
      </c>
      <c r="F815">
        <f>IF(Skills!N3=TRUE,(Skills!L3/10)*(E815/1000),Skills!L3/10)+Skills!O3</f>
        <v/>
      </c>
      <c r="G815">
        <f>Skills!G3*IF(Skills!H3&gt;0,Skills!I3/Skills!H3,1)</f>
        <v/>
      </c>
      <c r="H815">
        <f>1-(1-Skills!J3/100)^Skills!K3</f>
        <v/>
      </c>
      <c r="I815" t="inlineStr">
        <is>
          <t>1</t>
        </is>
      </c>
      <c r="J815">
        <f>(Inputs!$B$5*(1+Inputs!$B$6/100))*(F815/100)</f>
        <v/>
      </c>
      <c r="K815">
        <f>J815*(1+((Inputs!$B$11*(1+Inputs!$B$12/100))*0.01+Inputs!$B$13*0.0025)/100)*(1+Inputs!$B$14/100)*(1+IF(Inputs!$B$4="pvp",0,(1-Summary!$B$55)*(Inputs!$B$19+0+Skills!P3)+Summary!$B$55*(Inputs!$B$20+Skills!Q3))/100)*(1+Inputs!$B$15/100)*(5000/(6000+Inputs!$B$7*(1-(Inputs!$B$18+0)/100)))*(1+(Inputs!$B$23+((C838=TRUE)*(F838-Calc!F26))+B848)/100)*(1+4.0*IF(C827=TRUE,F827,0)/100)*(1+(IF(Skills!A3="EIGHT_LEGS_EASTON",Inputs!$B$16+((C835=TRUE)*(F835-Calc!F23))+((C839=TRUE)*(F839-Calc!F27)),Inputs!$B$17+0))/100)*((1+(((C829=TRUE)*F829)+((C836=TRUE)*(F836-Calc!F24)))/100)*I815)</f>
        <v/>
      </c>
      <c r="L815">
        <f>K815*(MIN(Inputs!$B$21+((C834=TRUE)*(F834-Calc!F22)),Inputs!$B$22+0)/100+(Inputs!$B$22+0)/100)/2</f>
        <v/>
      </c>
      <c r="M815">
        <f>L815*(1+(Inputs!$B$9+((C837=TRUE)*(F837-Calc!F25))+B847)/100)</f>
        <v/>
      </c>
      <c r="N815">
        <f>L815*(1-MIN((Inputs!$B$8+((C831=TRUE)*(F831-Calc!F19))+B842),100)/100)+M815*(MIN((Inputs!$B$8+((C831=TRUE)*(F831-Calc!F19))+B842),100)/100)</f>
        <v/>
      </c>
      <c r="O815">
        <f>IF(C815,H815*N815*IF(AND(Inputs!$B$4&lt;&gt;"pvp",Inputs!$B$35&gt;0),((Skills!G3*((R815-1)*IF(Skills!H3&gt;0,Skills!I3/Skills!H3,1)+IF(Skills!H3&gt;0,MIN(Skills!I3,MAX(0,Inputs!$B$35-((R815-1)*IF(Inputs!$B$4="pvp",15,MAX(0.1,Skills!D3-IF(Skills!E3=TRUE,Inputs!$B$31,0))))))/Skills!H3,1)))/Inputs!$B$35),G815*Q815)*IF(Inputs!$B$4="pvp",1,(1-Summary!$B$55)*(1)+Summary!$B$55*(MIN(Skills!R3,Inputs!$B$37))),0)</f>
        <v/>
      </c>
      <c r="P815">
        <f>IF(B850=0,0,O815/B850)</f>
        <v/>
      </c>
      <c r="Q815">
        <f>IFERROR(1/IF(Inputs!$B$4="pvp",15,MAX(0.1,Skills!D3-IF(Skills!E3=TRUE,Inputs!$B$31,0))),0)</f>
        <v/>
      </c>
      <c r="R815">
        <f>IF(AND(Inputs!$B$4&lt;&gt;"pvp",Inputs!$B$35&gt;0),(INT(Inputs!$B$35/IF(Inputs!$B$4="pvp",15,MAX(0.1,Skills!D3-IF(Skills!E3=TRUE,Inputs!$B$31,0))))+1),0)</f>
        <v/>
      </c>
      <c r="S815">
        <f>IFERROR(O815/N815,0)</f>
        <v/>
      </c>
      <c r="U815">
        <f>INDEX(FactorTable!$B$2:$Y$301, MATCH(ROUND(MIN(300,MAX(1,U814)),0), FactorTable!$A$2:$A$301,0), 22)</f>
        <v/>
      </c>
    </row>
    <row r="816">
      <c r="A816">
        <f>Skills!A4</f>
        <v/>
      </c>
      <c r="B816">
        <f>Skills!B4</f>
        <v/>
      </c>
      <c r="C816">
        <f>Inputs!$B$3&gt;=40</f>
        <v/>
      </c>
      <c r="D816">
        <f>IF(Skills!C4=1,60+Inputs!$B$24+Inputs!$B$28,IF(Skills!C4=2,90+Inputs!$B$25+Inputs!$B$28,IF(Skills!C4=3,120+Inputs!$B$26+Inputs!$B$28,MAX(0,(Inputs!$B$3-100)*3)+(Inputs!$B$27+1)+Inputs!$B$28)))</f>
        <v/>
      </c>
      <c r="E816">
        <f>INDEX(FactorTable!$B$2:$Y$301, MATCH(ROUND(MIN(300,MAX(1,D816)),0), FactorTable!$A$2:$A$301,0), Skills!M4+1)</f>
        <v/>
      </c>
      <c r="F816">
        <f>IF(Skills!N4=TRUE,(Skills!L4/10)*(E816/1000),Skills!L4/10)+Skills!O4</f>
        <v/>
      </c>
      <c r="G816">
        <f>Skills!G4*IF(Skills!H4&gt;0,Skills!I4/Skills!H4,1)</f>
        <v/>
      </c>
      <c r="H816">
        <f>1-(1-Skills!J4/100)^Skills!K4</f>
        <v/>
      </c>
      <c r="I816" t="inlineStr">
        <is>
          <t>1</t>
        </is>
      </c>
      <c r="J816">
        <f>(Inputs!$B$5*(1+Inputs!$B$6/100))*(F816/100)</f>
        <v/>
      </c>
      <c r="K816">
        <f>J816*(1+((Inputs!$B$11*(1+Inputs!$B$12/100))*0.01+Inputs!$B$13*0.0025)/100)*(1+Inputs!$B$14/100)*(1+IF(Inputs!$B$4="pvp",0,(1-Summary!$B$55)*(Inputs!$B$19+0+Skills!P4)+Summary!$B$55*(Inputs!$B$20+Skills!Q4))/100)*(1+Inputs!$B$15/100)*(5000/(6000+Inputs!$B$7*(1-(Inputs!$B$18+0)/100)))*(1+(Inputs!$B$23+((C838=TRUE)*(F838-Calc!F26))+B848)/100)*(1+1.0*IF(C828=TRUE,F828,0)/100)*(1+(IF(Skills!A4="EIGHT_LEGS_EASTON",Inputs!$B$16+((C835=TRUE)*(F835-Calc!F23))+((C839=TRUE)*(F839-Calc!F27)),Inputs!$B$17+0))/100)*((1+(((C829=TRUE)*F829)+((C836=TRUE)*(F836-Calc!F24)))/100)*I816)</f>
        <v/>
      </c>
      <c r="L816">
        <f>K816*(MIN(Inputs!$B$21+((C834=TRUE)*(F834-Calc!F22)),Inputs!$B$22+0)/100+(Inputs!$B$22+0)/100)/2</f>
        <v/>
      </c>
      <c r="M816">
        <f>L816*(1+(Inputs!$B$9+((C837=TRUE)*(F837-Calc!F25))+B847)/100)</f>
        <v/>
      </c>
      <c r="N816">
        <f>L816*(1-MIN((Inputs!$B$8+((C831=TRUE)*(F831-Calc!F19))+B842),100)/100)+M816*(MIN((Inputs!$B$8+((C831=TRUE)*(F831-Calc!F19))+B842),100)/100)</f>
        <v/>
      </c>
      <c r="O816">
        <f>IF(C816,H816*N816*IF(AND(Inputs!$B$4&lt;&gt;"pvp",Inputs!$B$35&gt;0),((Skills!G4*((R816-1)*IF(Skills!H4&gt;0,Skills!I4/Skills!H4,1)+IF(Skills!H4&gt;0,MIN(Skills!I4,MAX(0,Inputs!$B$35-((R816-1)*IF(Inputs!$B$4="pvp",15,MAX(0.1,Skills!D4-IF(Skills!E4=TRUE,Inputs!$B$31,0))))))/Skills!H4,1)))/Inputs!$B$35),G816*Q816)*IF(Inputs!$B$4="pvp",1,(1-Summary!$B$55)*(1)+Summary!$B$55*(MIN(Skills!R4,Inputs!$B$37))),0)</f>
        <v/>
      </c>
      <c r="P816">
        <f>IF(B850=0,0,O816/B850)</f>
        <v/>
      </c>
      <c r="Q816">
        <f>IFERROR(1/IF(Inputs!$B$4="pvp",15,MAX(0.1,Skills!D4-IF(Skills!E4=TRUE,Inputs!$B$31,0))),0)</f>
        <v/>
      </c>
      <c r="R816">
        <f>IF(AND(Inputs!$B$4&lt;&gt;"pvp",Inputs!$B$35&gt;0),(INT(Inputs!$B$35/IF(Inputs!$B$4="pvp",15,MAX(0.1,Skills!D4-IF(Skills!E4=TRUE,Inputs!$B$31,0))))+1),0)</f>
        <v/>
      </c>
      <c r="S816">
        <f>IFERROR(O816/N816,0)</f>
        <v/>
      </c>
      <c r="U816">
        <f>290*U815/1000</f>
        <v/>
      </c>
    </row>
    <row r="817">
      <c r="A817">
        <f>Skills!A5</f>
        <v/>
      </c>
      <c r="B817">
        <f>Skills!B5</f>
        <v/>
      </c>
      <c r="C817">
        <f>Inputs!$B$3&gt;=45</f>
        <v/>
      </c>
      <c r="D817">
        <f>IF(Skills!C5=1,60+Inputs!$B$24+Inputs!$B$28,IF(Skills!C5=2,90+Inputs!$B$25+Inputs!$B$28,IF(Skills!C5=3,120+Inputs!$B$26+Inputs!$B$28,MAX(0,(Inputs!$B$3-100)*3)+(Inputs!$B$27+1)+Inputs!$B$28)))</f>
        <v/>
      </c>
      <c r="E817">
        <f>INDEX(FactorTable!$B$2:$Y$301, MATCH(ROUND(MIN(300,MAX(1,D817)),0), FactorTable!$A$2:$A$301,0), Skills!M5+1)</f>
        <v/>
      </c>
      <c r="F817">
        <f>IF(Skills!N5=TRUE,(Skills!L5/10)*(E817/1000),Skills!L5/10)+Skills!O5</f>
        <v/>
      </c>
      <c r="G817">
        <f>Skills!G5*IF(Skills!H5&gt;0,Skills!I5/Skills!H5,1)</f>
        <v/>
      </c>
      <c r="H817">
        <f>1-(1-Skills!J5/100)^Skills!K5</f>
        <v/>
      </c>
      <c r="I817" t="inlineStr">
        <is>
          <t>1</t>
        </is>
      </c>
      <c r="J817">
        <f>(Inputs!$B$5*(1+Inputs!$B$6/100))*(F817/100)</f>
        <v/>
      </c>
      <c r="K817">
        <f>J817*(1+((Inputs!$B$11*(1+Inputs!$B$12/100))*0.01+Inputs!$B$13*0.0025)/100)*(1+Inputs!$B$14/100)*(1+IF(Inputs!$B$4="pvp",0,(1-Summary!$B$55)*(Inputs!$B$19+0+Skills!P5)+Summary!$B$55*(Inputs!$B$20+Skills!Q5))/100)*(1+Inputs!$B$15/100)*(5000/(6000+Inputs!$B$7*(1-(Inputs!$B$18+0)/100)))*(1+(Inputs!$B$23+((C838=TRUE)*(F838-Calc!F26))+B848)/100)*(1+0.4*IF(C828=TRUE,F828,0)/100)*(1+(IF(Skills!A5="EIGHT_LEGS_EASTON",Inputs!$B$16+((C835=TRUE)*(F835-Calc!F23))+((C839=TRUE)*(F839-Calc!F27)),Inputs!$B$17+0))/100)*((1+(((C829=TRUE)*F829)+((C836=TRUE)*(F836-Calc!F24)))/100)*I817)</f>
        <v/>
      </c>
      <c r="L817">
        <f>K817*(MIN(Inputs!$B$21+((C834=TRUE)*(F834-Calc!F22)),Inputs!$B$22+0)/100+(Inputs!$B$22+0)/100)/2</f>
        <v/>
      </c>
      <c r="M817">
        <f>L817*(1+(Inputs!$B$9+((C837=TRUE)*(F837-Calc!F25))+B847)/100)</f>
        <v/>
      </c>
      <c r="N817">
        <f>L817*(1-MIN((Inputs!$B$8+((C831=TRUE)*(F831-Calc!F19))+B842),100)/100)+M817*(MIN((Inputs!$B$8+((C831=TRUE)*(F831-Calc!F19))+B842),100)/100)</f>
        <v/>
      </c>
      <c r="O817">
        <f>IF(C817,H817*N817*IF(AND(Inputs!$B$4&lt;&gt;"pvp",Inputs!$B$35&gt;0),((Skills!G5*((R817-1)*IF(Skills!H5&gt;0,Skills!I5/Skills!H5,1)+IF(Skills!H5&gt;0,MIN(Skills!I5,MAX(0,Inputs!$B$35-((R817-1)*IF(Inputs!$B$4="pvp",15,MAX(0.1,Skills!D5-IF(Skills!E5=TRUE,Inputs!$B$31,0))))))/Skills!H5,1)))/Inputs!$B$35),G817*Q817)*IF(Inputs!$B$4="pvp",1,(1-Summary!$B$55)*(1)+Summary!$B$55*(MIN(Skills!R5,Inputs!$B$37))),0)</f>
        <v/>
      </c>
      <c r="P817">
        <f>IF(B850=0,0,O817/B850)</f>
        <v/>
      </c>
      <c r="Q817">
        <f>IFERROR(1/IF(Inputs!$B$4="pvp",15,MAX(0.1,Skills!D5-IF(Skills!E5=TRUE,Inputs!$B$31,0))),0)</f>
        <v/>
      </c>
      <c r="R817">
        <f>IF(AND(Inputs!$B$4&lt;&gt;"pvp",Inputs!$B$35&gt;0),(INT(Inputs!$B$35/IF(Inputs!$B$4="pvp",15,MAX(0.1,Skills!D5-IF(Skills!E5=TRUE,Inputs!$B$31,0))))+1),0)</f>
        <v/>
      </c>
      <c r="S817">
        <f>IFERROR(O817/N817,0)</f>
        <v/>
      </c>
    </row>
    <row r="818">
      <c r="A818">
        <f>Skills!A6</f>
        <v/>
      </c>
      <c r="B818">
        <f>Skills!B6</f>
        <v/>
      </c>
      <c r="C818">
        <f>Inputs!$B$3&gt;=63</f>
        <v/>
      </c>
      <c r="D818">
        <f>IF(Skills!C6=1,60+Inputs!$B$24+Inputs!$B$28,IF(Skills!C6=2,90+Inputs!$B$25+Inputs!$B$28,IF(Skills!C6=3,120+Inputs!$B$26+Inputs!$B$28,MAX(0,(Inputs!$B$3-100)*3)+(Inputs!$B$27+1)+Inputs!$B$28)))</f>
        <v/>
      </c>
      <c r="E818">
        <f>INDEX(FactorTable!$B$2:$Y$301, MATCH(ROUND(MIN(300,MAX(1,D818)),0), FactorTable!$A$2:$A$301,0), Skills!M6+1)</f>
        <v/>
      </c>
      <c r="F818">
        <f>IF(Skills!N6=TRUE,(Skills!L6/10)*(E818/1000),Skills!L6/10)+Skills!O6</f>
        <v/>
      </c>
      <c r="G818">
        <f>Skills!G6*IF(Skills!H6&gt;0,Skills!I6/Skills!H6,1)</f>
        <v/>
      </c>
      <c r="H818">
        <f>1-(1-Skills!J6/100)^Skills!K6</f>
        <v/>
      </c>
      <c r="I818" t="inlineStr">
        <is>
          <t>1</t>
        </is>
      </c>
      <c r="J818">
        <f>(Inputs!$B$5*(1+Inputs!$B$6/100))*(F818/100)</f>
        <v/>
      </c>
      <c r="K818">
        <f>J818*(1+((Inputs!$B$11*(1+Inputs!$B$12/100))*0.01+Inputs!$B$13*0.0025)/100)*(1+Inputs!$B$14/100)*(1+IF(Inputs!$B$4="pvp",0,(1-Summary!$B$55)*(Inputs!$B$19+0+Skills!P6)+Summary!$B$55*(Inputs!$B$20+Skills!Q6))/100)*(1+Inputs!$B$15/100)*(5000/(6000+Inputs!$B$7*(1-(Inputs!$B$18+0)/100)))*(1+(Inputs!$B$23+((C838=TRUE)*(F838-Calc!F26))+B848)/100)*(1+2.0*IF(C827=TRUE,F827,0)/100)*(1+(IF(Skills!A6="EIGHT_LEGS_EASTON",Inputs!$B$16+((C835=TRUE)*(F835-Calc!F23))+((C839=TRUE)*(F839-Calc!F27)),Inputs!$B$17+0))/100)*((1+(((C829=TRUE)*F829)+((C836=TRUE)*(F836-Calc!F24)))/100)*I818)</f>
        <v/>
      </c>
      <c r="L818">
        <f>K818*(MIN(Inputs!$B$21+((C834=TRUE)*(F834-Calc!F22)),Inputs!$B$22+0)/100+(Inputs!$B$22+0)/100)/2</f>
        <v/>
      </c>
      <c r="M818">
        <f>L818*(1+(Inputs!$B$9+((C837=TRUE)*(F837-Calc!F25))+B847)/100)</f>
        <v/>
      </c>
      <c r="N818">
        <f>L818*(1-MIN((Inputs!$B$8+((C831=TRUE)*(F831-Calc!F19))+B842),100)/100)+M818*(MIN((Inputs!$B$8+((C831=TRUE)*(F831-Calc!F19))+B842),100)/100)</f>
        <v/>
      </c>
      <c r="O818">
        <f>IF(C818,H818*N818*IF(AND(Inputs!$B$4&lt;&gt;"pvp",Inputs!$B$35&gt;0),((Skills!G6*((R818-1)*IF(Skills!H6&gt;0,Skills!I6/Skills!H6,1)+IF(Skills!H6&gt;0,MIN(Skills!I6,MAX(0,Inputs!$B$35-((R818-1)*IF(Inputs!$B$4="pvp",15,MAX(0.1,Skills!D6-IF(Skills!E6=TRUE,Inputs!$B$31,0))))))/Skills!H6,1)))/Inputs!$B$35),G818*Q818)*IF(Inputs!$B$4="pvp",1,(1-Summary!$B$55)*(1)+Summary!$B$55*(MIN(Skills!R6,Inputs!$B$37))),0)</f>
        <v/>
      </c>
      <c r="P818">
        <f>IF(B850=0,0,O818/B850)</f>
        <v/>
      </c>
      <c r="Q818">
        <f>IFERROR(1/IF(Inputs!$B$4="pvp",15,MAX(0.1,Skills!D6-IF(Skills!E6=TRUE,Inputs!$B$31,0))),0)</f>
        <v/>
      </c>
      <c r="R818">
        <f>IF(AND(Inputs!$B$4&lt;&gt;"pvp",Inputs!$B$35&gt;0),(INT(Inputs!$B$35/IF(Inputs!$B$4="pvp",15,MAX(0.1,Skills!D6-IF(Skills!E6=TRUE,Inputs!$B$31,0))))+1),0)</f>
        <v/>
      </c>
      <c r="S818">
        <f>IFERROR(O818/N818,0)</f>
        <v/>
      </c>
    </row>
    <row r="819">
      <c r="A819">
        <f>Skills!A7</f>
        <v/>
      </c>
      <c r="B819">
        <f>Skills!B7</f>
        <v/>
      </c>
      <c r="C819">
        <f>Inputs!$B$3&gt;=66</f>
        <v/>
      </c>
      <c r="D819">
        <f>IF(Skills!C7=1,60+Inputs!$B$24+Inputs!$B$28,IF(Skills!C7=2,90+Inputs!$B$25+Inputs!$B$28,IF(Skills!C7=3,120+Inputs!$B$26+Inputs!$B$28,MAX(0,(Inputs!$B$3-100)*3)+(Inputs!$B$27+1)+Inputs!$B$28)))</f>
        <v/>
      </c>
      <c r="E819">
        <f>INDEX(FactorTable!$B$2:$Y$301, MATCH(ROUND(MIN(300,MAX(1,D819)),0), FactorTable!$A$2:$A$301,0), Skills!M7+1)</f>
        <v/>
      </c>
      <c r="F819">
        <f>IF(Skills!N7=TRUE,(Skills!L7/10)*(E819/1000),Skills!L7/10)+Skills!O7</f>
        <v/>
      </c>
      <c r="G819">
        <f>Skills!G7*IF(Skills!H7&gt;0,Skills!I7/Skills!H7,1)</f>
        <v/>
      </c>
      <c r="H819">
        <f>1-(1-Skills!J7/100)^Skills!K7</f>
        <v/>
      </c>
      <c r="I819" t="inlineStr">
        <is>
          <t>1</t>
        </is>
      </c>
      <c r="J819">
        <f>(Inputs!$B$5*(1+Inputs!$B$6/100))*(F819/100)</f>
        <v/>
      </c>
      <c r="K819">
        <f>J819*(1+((Inputs!$B$11*(1+Inputs!$B$12/100))*0.01+Inputs!$B$13*0.0025)/100)*(1+Inputs!$B$14/100)*(1+IF(Inputs!$B$4="pvp",0,(1-Summary!$B$55)*(Inputs!$B$19+0+Skills!P7)+Summary!$B$55*(Inputs!$B$20+Skills!Q7))/100)*(1+Inputs!$B$15/100)*(5000/(6000+Inputs!$B$7*(1-(Inputs!$B$18+0)/100)))*(1+(Inputs!$B$23+((C838=TRUE)*(F838-Calc!F26))+B848)/100)*(1+1.0*IF(C827=TRUE,F827,0)/100)*(1+(IF(Skills!A7="EIGHT_LEGS_EASTON",Inputs!$B$16+((C835=TRUE)*(F835-Calc!F23))+((C839=TRUE)*(F839-Calc!F27)),Inputs!$B$17+0))/100)*((1+(((C829=TRUE)*F829)+((C836=TRUE)*(F836-Calc!F24)))/100)*I819)</f>
        <v/>
      </c>
      <c r="L819">
        <f>K819*(MIN(Inputs!$B$21+((C834=TRUE)*(F834-Calc!F22)),Inputs!$B$22+0)/100+(Inputs!$B$22+0)/100)/2</f>
        <v/>
      </c>
      <c r="M819">
        <f>L819*(1+(Inputs!$B$9+((C837=TRUE)*(F837-Calc!F25))+B847)/100)</f>
        <v/>
      </c>
      <c r="N819">
        <f>L819*(1-MIN((Inputs!$B$8+((C831=TRUE)*(F831-Calc!F19))+B842),100)/100)+M819*(MIN((Inputs!$B$8+((C831=TRUE)*(F831-Calc!F19))+B842),100)/100)</f>
        <v/>
      </c>
      <c r="O819">
        <f>IF(C819,H819*N819*IF(AND(Inputs!$B$4&lt;&gt;"pvp",Inputs!$B$35&gt;0),((Skills!G7*((R819-1)*IF(Skills!H7&gt;0,Skills!I7/Skills!H7,1)+IF(Skills!H7&gt;0,MIN(Skills!I7,MAX(0,Inputs!$B$35-((R819-1)*IF(Inputs!$B$4="pvp",15,MAX(0.1,Skills!D7-IF(Skills!E7=TRUE,Inputs!$B$31,0))))))/Skills!H7,1)))/Inputs!$B$35),G819*Q819)*IF(Inputs!$B$4="pvp",1,(1-Summary!$B$55)*(1)+Summary!$B$55*(MIN(Skills!R7,Inputs!$B$37))),0)</f>
        <v/>
      </c>
      <c r="P819">
        <f>IF(B850=0,0,O819/B850)</f>
        <v/>
      </c>
      <c r="Q819">
        <f>IFERROR(1/IF(Inputs!$B$4="pvp",15,MAX(0.1,Skills!D7-IF(Skills!E7=TRUE,Inputs!$B$31,0))),0)</f>
        <v/>
      </c>
      <c r="R819">
        <f>IF(AND(Inputs!$B$4&lt;&gt;"pvp",Inputs!$B$35&gt;0),(INT(Inputs!$B$35/IF(Inputs!$B$4="pvp",15,MAX(0.1,Skills!D7-IF(Skills!E7=TRUE,Inputs!$B$31,0))))+1),0)</f>
        <v/>
      </c>
      <c r="S819">
        <f>IFERROR(O819/N819,0)</f>
        <v/>
      </c>
    </row>
    <row r="820">
      <c r="A820">
        <f>Skills!A8</f>
        <v/>
      </c>
      <c r="B820">
        <f>Skills!B8</f>
        <v/>
      </c>
      <c r="C820">
        <f>Inputs!$B$3&gt;=100</f>
        <v/>
      </c>
      <c r="D820">
        <f>IF(Skills!C8=1,60+Inputs!$B$24+Inputs!$B$28,IF(Skills!C8=2,90+Inputs!$B$25+Inputs!$B$28,IF(Skills!C8=3,120+Inputs!$B$26+Inputs!$B$28,MAX(0,(Inputs!$B$3-100)*3)+(Inputs!$B$27+1)+Inputs!$B$28)))</f>
        <v/>
      </c>
      <c r="E820">
        <f>INDEX(FactorTable!$B$2:$Y$301, MATCH(ROUND(MIN(300,MAX(1,D820)),0), FactorTable!$A$2:$A$301,0), Skills!M8+1)</f>
        <v/>
      </c>
      <c r="F820">
        <f>IF(Skills!N8=TRUE,(Skills!L8/10)*(E820/1000),Skills!L8/10)+Skills!O8</f>
        <v/>
      </c>
      <c r="G820">
        <f>Skills!G8*IF(Skills!H8&gt;0,Skills!I8/Skills!H8,1)</f>
        <v/>
      </c>
      <c r="H820">
        <f>1-(1-Skills!J8/100)^Skills!K8</f>
        <v/>
      </c>
      <c r="I820" t="inlineStr">
        <is>
          <t>1</t>
        </is>
      </c>
      <c r="J820">
        <f>(Inputs!$B$5*(1+Inputs!$B$6/100))*(F820/100)</f>
        <v/>
      </c>
      <c r="K820">
        <f>J820*(1+((Inputs!$B$11*(1+Inputs!$B$12/100))*0.01+Inputs!$B$13*0.0025)/100)*(1+Inputs!$B$14/100)*(1+IF(Inputs!$B$4="pvp",0,(1-Summary!$B$55)*(Inputs!$B$19+0+Skills!P8)+Summary!$B$55*(Inputs!$B$20+Skills!Q8))/100)*(1+Inputs!$B$15/100)*(5000/(6000+Inputs!$B$7*(1-(Inputs!$B$18+0)/100)))*(1+(Inputs!$B$23+((C838=TRUE)*(F838-Calc!F26))+B848)/100)*(1+(IF(Skills!A8="EIGHT_LEGS_EASTON",Inputs!$B$16+((C835=TRUE)*(F835-Calc!F23))+((C839=TRUE)*(F839-Calc!F27)),Inputs!$B$17+0))/100)*((1+(((C829=TRUE)*F829)+((C836=TRUE)*(F836-Calc!F24)))/100)*I820)</f>
        <v/>
      </c>
      <c r="L820">
        <f>K820*(MIN(Inputs!$B$21+((C834=TRUE)*(F834-Calc!F22)),Inputs!$B$22+0)/100+(Inputs!$B$22+0)/100)/2</f>
        <v/>
      </c>
      <c r="M820">
        <f>L820*(1+(Inputs!$B$9+((C837=TRUE)*(F837-Calc!F25))+B847)/100)</f>
        <v/>
      </c>
      <c r="N820">
        <f>L820*(1-MIN((Inputs!$B$8+((C831=TRUE)*(F831-Calc!F19))+B842),100)/100)+M820*(MIN((Inputs!$B$8+((C831=TRUE)*(F831-Calc!F19))+B842),100)/100)</f>
        <v/>
      </c>
      <c r="O820">
        <f>IF(C820,H820*N820*IF(AND(Inputs!$B$4&lt;&gt;"pvp",Inputs!$B$35&gt;0),((Skills!G8*((R820-1)*IF(Skills!H8&gt;0,Skills!I8/Skills!H8,1)+IF(Skills!H8&gt;0,MIN(Skills!I8,MAX(0,Inputs!$B$35-((R820-1)*IF(Inputs!$B$4="pvp",15,MAX(0.1,Skills!D8-IF(Skills!E8=TRUE,Inputs!$B$31,0))))))/Skills!H8,1)))/Inputs!$B$35),G820*Q820)*IF(Inputs!$B$4="pvp",1,(1-Summary!$B$55)*(1)+Summary!$B$55*(MIN(Skills!R8,Inputs!$B$37))),0)</f>
        <v/>
      </c>
      <c r="P820">
        <f>IF(B850=0,0,O820/B850)</f>
        <v/>
      </c>
      <c r="Q820">
        <f>IFERROR(1/IF(Inputs!$B$4="pvp",15,MAX(0.1,Skills!D8-IF(Skills!E8=TRUE,Inputs!$B$31,0))),0)</f>
        <v/>
      </c>
      <c r="R820">
        <f>IF(AND(Inputs!$B$4&lt;&gt;"pvp",Inputs!$B$35&gt;0),(INT(Inputs!$B$35/IF(Inputs!$B$4="pvp",15,MAX(0.1,Skills!D8-IF(Skills!E8=TRUE,Inputs!$B$31,0))))+1),0)</f>
        <v/>
      </c>
      <c r="S820">
        <f>IFERROR(O820/N820,0)</f>
        <v/>
      </c>
    </row>
    <row r="821">
      <c r="A821">
        <f>Skills!A9</f>
        <v/>
      </c>
      <c r="B821">
        <f>Skills!B9</f>
        <v/>
      </c>
      <c r="C821">
        <f>Inputs!$B$3&gt;=103</f>
        <v/>
      </c>
      <c r="D821">
        <f>IF(Skills!C9=1,60+Inputs!$B$24+Inputs!$B$28,IF(Skills!C9=2,90+Inputs!$B$25+Inputs!$B$28,IF(Skills!C9=3,120+Inputs!$B$26+Inputs!$B$28,MAX(0,(Inputs!$B$3-100)*3)+(Inputs!$B$27+1)+Inputs!$B$28)))</f>
        <v/>
      </c>
      <c r="E821">
        <f>INDEX(FactorTable!$B$2:$Y$301, MATCH(ROUND(MIN(300,MAX(1,D821)),0), FactorTable!$A$2:$A$301,0), Skills!M9+1)</f>
        <v/>
      </c>
      <c r="F821">
        <f>IF(Skills!N9=TRUE,(Skills!L9/10)*(E821/1000),Skills!L9/10)+Skills!O9</f>
        <v/>
      </c>
      <c r="G821">
        <f>Skills!G9*IF(Skills!H9&gt;0,Skills!I9/Skills!H9,1)</f>
        <v/>
      </c>
      <c r="H821">
        <f>1-(1-Skills!J9/100)^Skills!K9</f>
        <v/>
      </c>
      <c r="I821" t="inlineStr">
        <is>
          <t>1</t>
        </is>
      </c>
      <c r="J821">
        <f>(Inputs!$B$5*(1+Inputs!$B$6/100))*(F821/100)</f>
        <v/>
      </c>
      <c r="K821">
        <f>J821*(1+((Inputs!$B$11*(1+Inputs!$B$12/100))*0.01+Inputs!$B$13*0.0025)/100)*(1+Inputs!$B$14/100)*(1+IF(Inputs!$B$4="pvp",0,(1-Summary!$B$55)*(Inputs!$B$19+0+Skills!P9)+Summary!$B$55*(Inputs!$B$20+Skills!Q9))/100)*(1+Inputs!$B$15/100)*(5000/(6000+Inputs!$B$7*(1-(Inputs!$B$18+0)/100)))*(1+(Inputs!$B$23+((C838=TRUE)*(F838-Calc!F26))+B848)/100)*(1+(IF(Skills!A9="EIGHT_LEGS_EASTON",Inputs!$B$16+((C835=TRUE)*(F835-Calc!F23))+((C839=TRUE)*(F839-Calc!F27)),Inputs!$B$17+0))/100)*((1+(((C829=TRUE)*F829)+((C836=TRUE)*(F836-Calc!F24)))/100)*I821)</f>
        <v/>
      </c>
      <c r="L821">
        <f>K821*(MIN(Inputs!$B$21+((C834=TRUE)*(F834-Calc!F22)),Inputs!$B$22+0)/100+(Inputs!$B$22+0)/100)/2</f>
        <v/>
      </c>
      <c r="M821">
        <f>L821*(1+(Inputs!$B$9+((C837=TRUE)*(F837-Calc!F25))+B847)/100)</f>
        <v/>
      </c>
      <c r="N821">
        <f>L821*(1-MIN((Inputs!$B$8+((C831=TRUE)*(F831-Calc!F19))+B842),100)/100)+M821*(MIN((Inputs!$B$8+((C831=TRUE)*(F831-Calc!F19))+B842),100)/100)</f>
        <v/>
      </c>
      <c r="O821">
        <f>IF(C821,H821*N821*IF(AND(Inputs!$B$4&lt;&gt;"pvp",Inputs!$B$35&gt;0),((Skills!G9*((R821-1)*IF(Skills!H9&gt;0,Skills!I9/Skills!H9,1)+IF(Skills!H9&gt;0,MIN(Skills!I9,MAX(0,Inputs!$B$35-((R821-1)*IF(Inputs!$B$4="pvp",15,MAX(0.1,Skills!D9-IF(Skills!E9=TRUE,Inputs!$B$31,0))))))/Skills!H9,1)))/Inputs!$B$35),G821*Q821)*IF(Inputs!$B$4="pvp",1,(1-Summary!$B$55)*(1)+Summary!$B$55*(MIN(Skills!R9,Inputs!$B$37))),0)</f>
        <v/>
      </c>
      <c r="P821">
        <f>IF(B850=0,0,O821/B850)</f>
        <v/>
      </c>
      <c r="Q821">
        <f>IFERROR(1/IF(Inputs!$B$4="pvp",15,MAX(0.1,Skills!D9-IF(Skills!E9=TRUE,Inputs!$B$31,0))),0)</f>
        <v/>
      </c>
      <c r="R821">
        <f>IF(AND(Inputs!$B$4&lt;&gt;"pvp",Inputs!$B$35&gt;0),(INT(Inputs!$B$35/IF(Inputs!$B$4="pvp",15,MAX(0.1,Skills!D9-IF(Skills!E9=TRUE,Inputs!$B$31,0))))+1),0)</f>
        <v/>
      </c>
      <c r="S821">
        <f>IFERROR(O821/N821,0)</f>
        <v/>
      </c>
    </row>
    <row r="822">
      <c r="A822">
        <f>Skills!A10</f>
        <v/>
      </c>
      <c r="B822">
        <f>Skills!B10</f>
        <v/>
      </c>
      <c r="C822">
        <f>Inputs!$B$3&gt;=113</f>
        <v/>
      </c>
      <c r="D822">
        <f>IF(Skills!C10=1,60+Inputs!$B$24+Inputs!$B$28,IF(Skills!C10=2,90+Inputs!$B$25+Inputs!$B$28,IF(Skills!C10=3,120+Inputs!$B$26+Inputs!$B$28,MAX(0,(Inputs!$B$3-100)*3)+(Inputs!$B$27+1)+Inputs!$B$28)))</f>
        <v/>
      </c>
      <c r="E822">
        <f>INDEX(FactorTable!$B$2:$Y$301, MATCH(ROUND(MIN(300,MAX(1,D822)),0), FactorTable!$A$2:$A$301,0), Skills!M10+1)</f>
        <v/>
      </c>
      <c r="F822">
        <f>IF(Skills!N10=TRUE,(Skills!L10/10)*(E822/1000),Skills!L10/10)+Skills!O10</f>
        <v/>
      </c>
      <c r="G822">
        <f>Skills!G10*IF(Skills!H10&gt;0,Skills!I10/Skills!H10,1)</f>
        <v/>
      </c>
      <c r="H822">
        <f>1-(1-Skills!J10/100)^Skills!K10</f>
        <v/>
      </c>
      <c r="I822" t="inlineStr">
        <is>
          <t>1</t>
        </is>
      </c>
      <c r="J822">
        <f>(Inputs!$B$5*(1+Inputs!$B$6/100))*(F822/100)</f>
        <v/>
      </c>
      <c r="K822">
        <f>J822*(1+((Inputs!$B$11*(1+Inputs!$B$12/100))*0.01+Inputs!$B$13*0.0025)/100)*(1+Inputs!$B$14/100)*(1+IF(Inputs!$B$4="pvp",0,(1-Summary!$B$55)*(Inputs!$B$19+0+Skills!P10)+Summary!$B$55*(Inputs!$B$20+Skills!Q10))/100)*(1+Inputs!$B$15/100)*(5000/(6000+Inputs!$B$7*(1-(Inputs!$B$18+0)/100)))*(1+(Inputs!$B$23+((C838=TRUE)*(F838-Calc!F26))+B848)/100)*(1+(IF(Skills!A10="EIGHT_LEGS_EASTON",Inputs!$B$16+((C835=TRUE)*(F835-Calc!F23))+((C839=TRUE)*(F839-Calc!F27)),Inputs!$B$17+0))/100)*((1+(((C829=TRUE)*F829)+((C836=TRUE)*(F836-Calc!F24)))/100)*I822)</f>
        <v/>
      </c>
      <c r="L822">
        <f>K822*(MIN(Inputs!$B$21+((C834=TRUE)*(F834-Calc!F22)),Inputs!$B$22+0)/100+(Inputs!$B$22+0)/100)/2</f>
        <v/>
      </c>
      <c r="M822">
        <f>L822*(1+(Inputs!$B$9+((C837=TRUE)*(F837-Calc!F25))+B847)/100)</f>
        <v/>
      </c>
      <c r="N822">
        <f>L822*(1-MIN((Inputs!$B$8+((C831=TRUE)*(F831-Calc!F19))+B842),100)/100)+M822*(MIN((Inputs!$B$8+((C831=TRUE)*(F831-Calc!F19))+B842),100)/100)</f>
        <v/>
      </c>
      <c r="O822">
        <f>IF(C822,H822*N822*IF(AND(Inputs!$B$4&lt;&gt;"pvp",Inputs!$B$35&gt;0),((Skills!G10*((R822-1)*IF(Skills!H10&gt;0,Skills!I10/Skills!H10,1)+IF(Skills!H10&gt;0,MIN(Skills!I10,MAX(0,Inputs!$B$35-((R822-1)*IF(Inputs!$B$4="pvp",15,MAX(0.1,Skills!D10-IF(Skills!E10=TRUE,Inputs!$B$31,0))))))/Skills!H10,1)))/Inputs!$B$35),G822*Q822)*IF(Inputs!$B$4="pvp",1,(1-Summary!$B$55)*(1)+Summary!$B$55*(MIN(Skills!R10,Inputs!$B$37))),0)</f>
        <v/>
      </c>
      <c r="P822">
        <f>IF(B850=0,0,O822/B850)</f>
        <v/>
      </c>
      <c r="Q822">
        <f>IFERROR(1/IF(Inputs!$B$4="pvp",15,MAX(0.1,Skills!D10-IF(Skills!E10=TRUE,Inputs!$B$31,0))),0)</f>
        <v/>
      </c>
      <c r="R822">
        <f>IF(AND(Inputs!$B$4&lt;&gt;"pvp",Inputs!$B$35&gt;0),(INT(Inputs!$B$35/IF(Inputs!$B$4="pvp",15,MAX(0.1,Skills!D10-IF(Skills!E10=TRUE,Inputs!$B$31,0))))+1),0)</f>
        <v/>
      </c>
      <c r="S822">
        <f>IFERROR(O822/N822,0)</f>
        <v/>
      </c>
    </row>
    <row r="823">
      <c r="A823">
        <f>Skills!A11</f>
        <v/>
      </c>
      <c r="B823">
        <f>Skills!B11</f>
        <v/>
      </c>
      <c r="C823">
        <f>Inputs!$B$3&gt;=107</f>
        <v/>
      </c>
      <c r="D823">
        <f>IF(Skills!C11=1,60+Inputs!$B$24+Inputs!$B$28,IF(Skills!C11=2,90+Inputs!$B$25+Inputs!$B$28,IF(Skills!C11=3,120+Inputs!$B$26+Inputs!$B$28,MAX(0,(Inputs!$B$3-100)*3)+(Inputs!$B$27+1)+Inputs!$B$28)))</f>
        <v/>
      </c>
      <c r="E823">
        <f>INDEX(FactorTable!$B$2:$Y$301, MATCH(ROUND(MIN(300,MAX(1,D823)),0), FactorTable!$A$2:$A$301,0), Skills!M11+1)</f>
        <v/>
      </c>
      <c r="F823">
        <f>IF(Skills!N11=TRUE,(Skills!L11/10)*(E823/1000),Skills!L11/10)+Skills!O11</f>
        <v/>
      </c>
      <c r="G823">
        <f>Skills!G11*IF(Skills!H11&gt;0,Skills!I11/Skills!H11,1)</f>
        <v/>
      </c>
      <c r="H823">
        <f>1-(1-Skills!J11/100)^Skills!K11</f>
        <v/>
      </c>
      <c r="I823" t="inlineStr">
        <is>
          <t>1</t>
        </is>
      </c>
      <c r="J823">
        <f>(Inputs!$B$5*(1+Inputs!$B$6/100))*(F823/100)</f>
        <v/>
      </c>
      <c r="K823">
        <f>J823*(1+((Inputs!$B$11*(1+Inputs!$B$12/100))*0.01+Inputs!$B$13*0.0025)/100)*(1+Inputs!$B$14/100)*(1+IF(Inputs!$B$4="pvp",0,(1-Summary!$B$55)*(Inputs!$B$19+0+Skills!P11)+Summary!$B$55*(Inputs!$B$20+Skills!Q11))/100)*(1+Inputs!$B$15/100)*(5000/(6000+Inputs!$B$7*(1-(Inputs!$B$18+0)/100)))*(1+(Inputs!$B$23+((C838=TRUE)*(F838-Calc!F26))+B848)/100)*(1+(IF(Skills!A11="EIGHT_LEGS_EASTON",Inputs!$B$16+((C835=TRUE)*(F835-Calc!F23))+((C839=TRUE)*(F839-Calc!F27)),Inputs!$B$17+0))/100)*((1+(((C829=TRUE)*F829)+((C836=TRUE)*(F836-Calc!F24)))/100)*I823)</f>
        <v/>
      </c>
      <c r="L823">
        <f>K823*(MIN(Inputs!$B$21+((C834=TRUE)*(F834-Calc!F22)),Inputs!$B$22+0)/100+(Inputs!$B$22+0)/100)/2</f>
        <v/>
      </c>
      <c r="M823">
        <f>L823*(1+(Inputs!$B$9+((C837=TRUE)*(F837-Calc!F25))+B847)/100)</f>
        <v/>
      </c>
      <c r="N823">
        <f>L823*(1-MIN((Inputs!$B$8+((C831=TRUE)*(F831-Calc!F19))+B842),100)/100)+M823*(MIN((Inputs!$B$8+((C831=TRUE)*(F831-Calc!F19))+B842),100)/100)</f>
        <v/>
      </c>
      <c r="O823">
        <f>IF(C823,H823*N823*IF(AND(Inputs!$B$4&lt;&gt;"pvp",Inputs!$B$35&gt;0),((Skills!G11*((R823-1)*IF(Skills!H11&gt;0,Skills!I11/Skills!H11,1)+IF(Skills!H11&gt;0,MIN(Skills!I11,MAX(0,Inputs!$B$35-((R823-1)*IF(Inputs!$B$4="pvp",15,MAX(0.1,Skills!D11-IF(Skills!E11=TRUE,Inputs!$B$31,0))))))/Skills!H11,1)))/Inputs!$B$35),G823*Q823)*IF(Inputs!$B$4="pvp",1,(1-Summary!$B$55)*(1)+Summary!$B$55*(MIN(Skills!R11,Inputs!$B$37))),0)</f>
        <v/>
      </c>
      <c r="P823">
        <f>IF(B850=0,0,O823/B850)</f>
        <v/>
      </c>
      <c r="Q823">
        <f>IFERROR(1/IF(Inputs!$B$4="pvp",15,MAX(0.1,Skills!D11-IF(Skills!E11=TRUE,Inputs!$B$31,0))),0)</f>
        <v/>
      </c>
      <c r="R823">
        <f>IF(AND(Inputs!$B$4&lt;&gt;"pvp",Inputs!$B$35&gt;0),(INT(Inputs!$B$35/IF(Inputs!$B$4="pvp",15,MAX(0.1,Skills!D11-IF(Skills!E11=TRUE,Inputs!$B$31,0))))+1),0)</f>
        <v/>
      </c>
      <c r="S823">
        <f>IFERROR(O823/N823,0)</f>
        <v/>
      </c>
    </row>
    <row r="824">
      <c r="A824">
        <f>Skills!A12</f>
        <v/>
      </c>
      <c r="B824">
        <f>Skills!B12</f>
        <v/>
      </c>
      <c r="C824">
        <f>Inputs!$B$3&gt;=110</f>
        <v/>
      </c>
      <c r="D824">
        <f>IF(Skills!C12=1,60+Inputs!$B$24+Inputs!$B$28,IF(Skills!C12=2,90+Inputs!$B$25+Inputs!$B$28,IF(Skills!C12=3,120+Inputs!$B$26+Inputs!$B$28,MAX(0,(Inputs!$B$3-100)*3)+(Inputs!$B$27+1)+Inputs!$B$28)))</f>
        <v/>
      </c>
      <c r="E824">
        <f>INDEX(FactorTable!$B$2:$Y$301, MATCH(ROUND(MIN(300,MAX(1,D824)),0), FactorTable!$A$2:$A$301,0), Skills!M12+1)</f>
        <v/>
      </c>
      <c r="F824">
        <f>IF(Skills!N12=TRUE,(Skills!L12/10)*(E824/1000),Skills!L12/10)+Skills!O12</f>
        <v/>
      </c>
      <c r="G824">
        <f>Skills!G12*IF(Skills!H12&gt;0,Skills!I12/Skills!H12,1)</f>
        <v/>
      </c>
      <c r="H824">
        <f>1-(1-Skills!J12/100)^Skills!K12</f>
        <v/>
      </c>
      <c r="I824" t="inlineStr">
        <is>
          <t>1</t>
        </is>
      </c>
      <c r="J824">
        <f>(Inputs!$B$5*(1+Inputs!$B$6/100))*(F824/100)</f>
        <v/>
      </c>
      <c r="K824">
        <f>J824*(1+((Inputs!$B$11*(1+Inputs!$B$12/100))*0.01+Inputs!$B$13*0.0025)/100)*(1+Inputs!$B$14/100)*(1+IF(Inputs!$B$4="pvp",0,(1-Summary!$B$55)*(Inputs!$B$19+0+Skills!P12)+Summary!$B$55*(Inputs!$B$20+Skills!Q12))/100)*(1+Inputs!$B$15/100)*(5000/(6000+Inputs!$B$7*(1-(Inputs!$B$18+0)/100)))*(1+(Inputs!$B$23+((C838=TRUE)*(F838-Calc!F26))+B848)/100)*(1+(IF(Skills!A12="EIGHT_LEGS_EASTON",Inputs!$B$16+((C835=TRUE)*(F835-Calc!F23))+((C839=TRUE)*(F839-Calc!F27)),Inputs!$B$17+0))/100)*((1+(((C829=TRUE)*F829)+((C836=TRUE)*(F836-Calc!F24)))/100)*I824)</f>
        <v/>
      </c>
      <c r="L824">
        <f>K824*(MIN(Inputs!$B$21+((C834=TRUE)*(F834-Calc!F22)),Inputs!$B$22+0)/100+(Inputs!$B$22+0)/100)/2</f>
        <v/>
      </c>
      <c r="M824">
        <f>L824*(1+(Inputs!$B$9+((C837=TRUE)*(F837-Calc!F25))+B847)/100)</f>
        <v/>
      </c>
      <c r="N824">
        <f>L824*(1-MIN((Inputs!$B$8+((C831=TRUE)*(F831-Calc!F19))+B842),100)/100)+M824*(MIN((Inputs!$B$8+((C831=TRUE)*(F831-Calc!F19))+B842),100)/100)</f>
        <v/>
      </c>
      <c r="O824">
        <f>IF(C824,H824*N824*IF(AND(Inputs!$B$4&lt;&gt;"pvp",Inputs!$B$35&gt;0),((Skills!G12*((R824-1)*IF(Skills!H12&gt;0,Skills!I12/Skills!H12,1)+IF(Skills!H12&gt;0,MIN(Skills!I12,MAX(0,Inputs!$B$35-((R824-1)*IF(Inputs!$B$4="pvp",15,MAX(0.1,Skills!D12-IF(Skills!E12=TRUE,Inputs!$B$31,0))))))/Skills!H12,1)))/Inputs!$B$35),G824*Q824)*IF(Inputs!$B$4="pvp",1,(1-Summary!$B$55)*(1)+Summary!$B$55*(MIN(Skills!R12,Inputs!$B$37))),0)</f>
        <v/>
      </c>
      <c r="P824">
        <f>IF(B850=0,0,O824/B850)</f>
        <v/>
      </c>
      <c r="Q824">
        <f>IFERROR(1/IF(Inputs!$B$4="pvp",15,MAX(0.1,Skills!D12-IF(Skills!E12=TRUE,Inputs!$B$31,0))),0)</f>
        <v/>
      </c>
      <c r="R824">
        <f>IF(AND(Inputs!$B$4&lt;&gt;"pvp",Inputs!$B$35&gt;0),(INT(Inputs!$B$35/IF(Inputs!$B$4="pvp",15,MAX(0.1,Skills!D12-IF(Skills!E12=TRUE,Inputs!$B$31,0))))+1),0)</f>
        <v/>
      </c>
      <c r="S824">
        <f>IFERROR(O824/N824,0)</f>
        <v/>
      </c>
    </row>
    <row r="825">
      <c r="A825">
        <f>Skills!A13</f>
        <v/>
      </c>
      <c r="B825">
        <f>Skills!B13</f>
        <v/>
      </c>
      <c r="C825">
        <f>Inputs!$B$3&gt;=110</f>
        <v/>
      </c>
      <c r="D825">
        <f>IF(Skills!C13=1,60+Inputs!$B$24+Inputs!$B$28,IF(Skills!C13=2,90+Inputs!$B$25+Inputs!$B$28,IF(Skills!C13=3,120+Inputs!$B$26+Inputs!$B$28,MAX(0,(Inputs!$B$3-100)*3)+(Inputs!$B$27+1)+Inputs!$B$28)))</f>
        <v/>
      </c>
      <c r="E825">
        <f>INDEX(FactorTable!$B$2:$Y$301, MATCH(ROUND(MIN(300,MAX(1,D825)),0), FactorTable!$A$2:$A$301,0), Skills!M13+1)</f>
        <v/>
      </c>
      <c r="F825">
        <f>IF(Skills!N13=TRUE,(Skills!L13/10)*(E825/1000),Skills!L13/10)+Skills!O13</f>
        <v/>
      </c>
      <c r="G825">
        <f>Skills!G13*IF(Skills!H13&gt;0,Skills!I13/Skills!H13,1)</f>
        <v/>
      </c>
      <c r="H825">
        <f>1-(1-Skills!J13/100)^Skills!K13</f>
        <v/>
      </c>
      <c r="I825" t="inlineStr">
        <is>
          <t>1</t>
        </is>
      </c>
      <c r="J825">
        <f>(Inputs!$B$5*(1+Inputs!$B$6/100))*(F825/100)</f>
        <v/>
      </c>
      <c r="K825">
        <f>J825*(1+((Inputs!$B$11*(1+Inputs!$B$12/100))*0.01+Inputs!$B$13*0.0025)/100)*(1+Inputs!$B$14/100)*(1+IF(Inputs!$B$4="pvp",0,(1-Summary!$B$55)*(Inputs!$B$19+0+Skills!P13)+Summary!$B$55*(Inputs!$B$20+Skills!Q13))/100)*(1+Inputs!$B$15/100)*(5000/(6000+Inputs!$B$7*(1-(Inputs!$B$18+0)/100)))*(1+(Inputs!$B$23+((C838=TRUE)*(F838-Calc!F26))+B848)/100)*(1+(IF(Skills!A13="EIGHT_LEGS_EASTON",Inputs!$B$16+((C835=TRUE)*(F835-Calc!F23))+((C839=TRUE)*(F839-Calc!F27)),Inputs!$B$17+0))/100)*((1+(((C829=TRUE)*F829)+((C836=TRUE)*(F836-Calc!F24)))/100)*I825)</f>
        <v/>
      </c>
      <c r="L825">
        <f>K825*(MIN(Inputs!$B$21+((C834=TRUE)*(F834-Calc!F22)),Inputs!$B$22+0)/100+(Inputs!$B$22+0)/100)/2</f>
        <v/>
      </c>
      <c r="M825">
        <f>L825*(1+(Inputs!$B$9+((C837=TRUE)*(F837-Calc!F25))+B847)/100)</f>
        <v/>
      </c>
      <c r="N825">
        <f>L825*(1-MIN((Inputs!$B$8+((C831=TRUE)*(F831-Calc!F19))+B842),100)/100)+M825*(MIN((Inputs!$B$8+((C831=TRUE)*(F831-Calc!F19))+B842),100)/100)</f>
        <v/>
      </c>
      <c r="O825">
        <f>IF(C825,H825*N825*IF(AND(Inputs!$B$4&lt;&gt;"pvp",Inputs!$B$35&gt;0),((Skills!G13*((R825-1)*IF(Skills!H13&gt;0,Skills!I13/Skills!H13,1)+IF(Skills!H13&gt;0,MIN(Skills!I13,MAX(0,Inputs!$B$35-((R825-1)*IF(Inputs!$B$4="pvp",15,MAX(0.1,Skills!D13-IF(Skills!E13=TRUE,Inputs!$B$31,0))))))/Skills!H13,1)))/Inputs!$B$35),G825*Q825)*IF(Inputs!$B$4="pvp",1,(1-Summary!$B$55)*(1)+Summary!$B$55*(MIN(Skills!R13,Inputs!$B$37))),0)</f>
        <v/>
      </c>
      <c r="P825">
        <f>IF(B850=0,0,O825/B850)</f>
        <v/>
      </c>
      <c r="Q825">
        <f>IFERROR(1/IF(Inputs!$B$4="pvp",15,MAX(0.1,Skills!D13-IF(Skills!E13=TRUE,Inputs!$B$31,0))),0)</f>
        <v/>
      </c>
      <c r="R825">
        <f>IF(AND(Inputs!$B$4&lt;&gt;"pvp",Inputs!$B$35&gt;0),(INT(Inputs!$B$35/IF(Inputs!$B$4="pvp",15,MAX(0.1,Skills!D13-IF(Skills!E13=TRUE,Inputs!$B$31,0))))+1),0)</f>
        <v/>
      </c>
      <c r="S825">
        <f>IFERROR(O825/N825,0)</f>
        <v/>
      </c>
    </row>
    <row r="826">
      <c r="A826">
        <f>Skills!A14</f>
        <v/>
      </c>
      <c r="B826">
        <f>Skills!B14</f>
        <v/>
      </c>
      <c r="C826">
        <f>Inputs!$B$3&gt;=125</f>
        <v/>
      </c>
      <c r="D826">
        <f>IF(Skills!C14=1,60+Inputs!$B$24+Inputs!$B$28,IF(Skills!C14=2,90+Inputs!$B$25+Inputs!$B$28,IF(Skills!C14=3,120+Inputs!$B$26+Inputs!$B$28,MAX(0,(Inputs!$B$3-100)*3)+(Inputs!$B$27+1)+Inputs!$B$28)))</f>
        <v/>
      </c>
      <c r="E826">
        <f>INDEX(FactorTable!$B$2:$Y$301, MATCH(ROUND(MIN(300,MAX(1,D826)),0), FactorTable!$A$2:$A$301,0), Skills!M14+1)</f>
        <v/>
      </c>
      <c r="F826">
        <f>IF(Skills!N14=TRUE,(Skills!L14/10)*(E826/1000),Skills!L14/10)+Skills!O14</f>
        <v/>
      </c>
      <c r="G826">
        <f>Skills!G14*IF(Skills!H14&gt;0,Skills!I14/Skills!H14,1)</f>
        <v/>
      </c>
      <c r="H826">
        <f>1-(1-Skills!J14/100)^Skills!K14</f>
        <v/>
      </c>
      <c r="I826" t="inlineStr">
        <is>
          <t>1</t>
        </is>
      </c>
      <c r="J826">
        <f>(Inputs!$B$5*(1+Inputs!$B$6/100))*(F826/100)</f>
        <v/>
      </c>
      <c r="K826">
        <f>J826*(1+((Inputs!$B$11*(1+Inputs!$B$12/100))*0.01+Inputs!$B$13*0.0025)/100)*(1+Inputs!$B$14/100)*(1+IF(Inputs!$B$4="pvp",0,(1-Summary!$B$55)*(Inputs!$B$19+0+Skills!P14)+Summary!$B$55*(Inputs!$B$20+Skills!Q14))/100)*(1+Inputs!$B$15/100)*(5000/(6000+Inputs!$B$7*(1-(Inputs!$B$18+0)/100)))*(1+(Inputs!$B$23+((C838=TRUE)*(F838-Calc!F26))+B848)/100)*(1+(IF(Skills!A14="EIGHT_LEGS_EASTON",Inputs!$B$16+((C835=TRUE)*(F835-Calc!F23))+((C839=TRUE)*(F839-Calc!F27)),Inputs!$B$17+0))/100)*((1+(((C829=TRUE)*F829)+((C836=TRUE)*(F836-Calc!F24)))/100)*I826)</f>
        <v/>
      </c>
      <c r="L826">
        <f>K826*(MIN(Inputs!$B$21+((C834=TRUE)*(F834-Calc!F22)),Inputs!$B$22+0)/100+(Inputs!$B$22+0)/100)/2</f>
        <v/>
      </c>
      <c r="M826">
        <f>L826*(1+(Inputs!$B$9+((C837=TRUE)*(F837-Calc!F25))+B847)/100)</f>
        <v/>
      </c>
      <c r="N826">
        <f>L826*(1-MIN((Inputs!$B$8+((C831=TRUE)*(F831-Calc!F19))+B842),100)/100)+M826*(MIN((Inputs!$B$8+((C831=TRUE)*(F831-Calc!F19))+B842),100)/100)</f>
        <v/>
      </c>
      <c r="O826">
        <f>IF(C826,H826*N826*(B846+IF(AND(Inputs!$B$4&lt;&gt;"pvp",Inputs!$B$35&gt;0),((Skills!G8*((R820-1)*IF(Skills!H8&gt;0,Skills!I8/Skills!H8,1)+IF(Skills!H8&gt;0,MIN(Skills!I8,MAX(0,Inputs!$B$35-((R820-1)*IF(Inputs!$B$4="pvp",15,MAX(0.1,Skills!D8-IF(Skills!E8=TRUE,Inputs!$B$31,0))))))/Skills!H8,1)))/Inputs!$B$35),G820*Q820)+IF(AND(Inputs!$B$4&lt;&gt;"pvp",Inputs!$B$35&gt;0),((Skills!G11*((R823-1)*IF(Skills!H11&gt;0,Skills!I11/Skills!H11,1)+IF(Skills!H11&gt;0,MIN(Skills!I11,MAX(0,Inputs!$B$35-((R823-1)*IF(Inputs!$B$4="pvp",15,MAX(0.1,Skills!D11-IF(Skills!E11=TRUE,Inputs!$B$31,0))))))/Skills!H11,1)))/Inputs!$B$35),G823*Q823))*IF(Inputs!$B$4="pvp",1,(1-Summary!$B$55)*(1)+Summary!$B$55*(MIN(Skills!R14,Inputs!$B$37))),0)</f>
        <v/>
      </c>
      <c r="P826">
        <f>IF(B850=0,0,O826/B850)</f>
        <v/>
      </c>
      <c r="Q826" t="n">
        <v>0</v>
      </c>
      <c r="R826" t="n">
        <v>0</v>
      </c>
      <c r="S826">
        <f>IFERROR(O826/N826,0)</f>
        <v/>
      </c>
    </row>
    <row r="827">
      <c r="A827">
        <f>Skills!A15</f>
        <v/>
      </c>
      <c r="B827">
        <f>Skills!B15</f>
        <v/>
      </c>
      <c r="C827">
        <f>Inputs!$B$3&gt;=100</f>
        <v/>
      </c>
      <c r="D827">
        <f>IF(Skills!C15=1,60+Inputs!$B$24+Inputs!$B$28,IF(Skills!C15=2,90+Inputs!$B$25+Inputs!$B$28,IF(Skills!C15=3,120+Inputs!$B$26+Inputs!$B$28,MAX(0,(Inputs!$B$3-100)*3)+(Inputs!$B$27+1)+Inputs!$B$28)))</f>
        <v/>
      </c>
      <c r="E827">
        <f>INDEX(FactorTable!$B$2:$Y$301, MATCH(ROUND(MIN(300,MAX(1,D827)),0), FactorTable!$A$2:$A$301,0), Skills!M15+1)</f>
        <v/>
      </c>
      <c r="F827">
        <f>IF(Skills!N15=TRUE,(Skills!L15/10)*(E827/1000),Skills!L15/10)+Skills!O15</f>
        <v/>
      </c>
      <c r="G827" t="inlineStr"/>
      <c r="H827" t="inlineStr"/>
      <c r="I827" t="inlineStr">
        <is>
          <t>1</t>
        </is>
      </c>
      <c r="J827" t="inlineStr"/>
      <c r="K827" t="inlineStr"/>
      <c r="L827" t="inlineStr"/>
      <c r="M827" t="inlineStr"/>
      <c r="N827" t="inlineStr"/>
      <c r="O827" t="inlineStr"/>
      <c r="P827" t="inlineStr"/>
      <c r="Q827" t="inlineStr"/>
      <c r="R827" t="inlineStr"/>
      <c r="S827" t="inlineStr"/>
    </row>
    <row r="828">
      <c r="A828">
        <f>Skills!A16</f>
        <v/>
      </c>
      <c r="B828">
        <f>Skills!B16</f>
        <v/>
      </c>
      <c r="C828">
        <f>Inputs!$B$3&gt;=120</f>
        <v/>
      </c>
      <c r="D828">
        <f>IF(Skills!C16=1,60+Inputs!$B$24+Inputs!$B$28,IF(Skills!C16=2,90+Inputs!$B$25+Inputs!$B$28,IF(Skills!C16=3,120+Inputs!$B$26+Inputs!$B$28,MAX(0,(Inputs!$B$3-100)*3)+(Inputs!$B$27+1)+Inputs!$B$28)))</f>
        <v/>
      </c>
      <c r="E828">
        <f>INDEX(FactorTable!$B$2:$Y$301, MATCH(ROUND(MIN(300,MAX(1,D828)),0), FactorTable!$A$2:$A$301,0), Skills!M16+1)</f>
        <v/>
      </c>
      <c r="F828">
        <f>IF(Skills!N16=TRUE,(Skills!L16/10)*(E828/1000),Skills!L16/10)+Skills!O16</f>
        <v/>
      </c>
      <c r="G828" t="inlineStr"/>
      <c r="H828" t="inlineStr"/>
      <c r="I828" t="inlineStr">
        <is>
          <t>1</t>
        </is>
      </c>
      <c r="J828" t="inlineStr"/>
      <c r="K828" t="inlineStr"/>
      <c r="L828" t="inlineStr"/>
      <c r="M828" t="inlineStr"/>
      <c r="N828" t="inlineStr"/>
      <c r="O828" t="inlineStr"/>
      <c r="P828" t="inlineStr"/>
      <c r="Q828" t="inlineStr"/>
      <c r="R828" t="inlineStr"/>
      <c r="S828" t="inlineStr"/>
    </row>
    <row r="829">
      <c r="A829">
        <f>Skills!A17</f>
        <v/>
      </c>
      <c r="B829">
        <f>Skills!B17</f>
        <v/>
      </c>
      <c r="C829">
        <f>Inputs!$B$3&gt;=66</f>
        <v/>
      </c>
      <c r="D829">
        <f>IF(Skills!C17=1,60+Inputs!$B$24+Inputs!$B$28,IF(Skills!C17=2,90+Inputs!$B$25+Inputs!$B$28,IF(Skills!C17=3,120+Inputs!$B$26+Inputs!$B$28,MAX(0,(Inputs!$B$3-100)*3)+(Inputs!$B$27+1)+Inputs!$B$28)))</f>
        <v/>
      </c>
      <c r="E829">
        <f>INDEX(FactorTable!$B$2:$Y$301, MATCH(ROUND(MIN(300,MAX(1,D829)),0), FactorTable!$A$2:$A$301,0), Skills!M17+1)</f>
        <v/>
      </c>
      <c r="F829">
        <f>IF(Skills!N17=TRUE,(Skills!L17/10)*(E829/1000),Skills!L17/10)+Skills!O17</f>
        <v/>
      </c>
      <c r="G829">
        <f>Skills!G17*IF(Skills!H17&gt;0,Skills!I17/Skills!H17,1)</f>
        <v/>
      </c>
      <c r="H829">
        <f>1-(1-Skills!J17/100)^Skills!K17</f>
        <v/>
      </c>
      <c r="I829" t="inlineStr">
        <is>
          <t>1</t>
        </is>
      </c>
      <c r="J829" t="inlineStr"/>
      <c r="K829" t="inlineStr"/>
      <c r="L829" t="inlineStr"/>
      <c r="M829" t="inlineStr"/>
      <c r="N829" t="inlineStr"/>
      <c r="O829" t="n">
        <v>0</v>
      </c>
      <c r="P829">
        <f>IF(B850=0,0,O829/B850)</f>
        <v/>
      </c>
      <c r="Q829" t="n">
        <v>0</v>
      </c>
      <c r="R829" t="n">
        <v>0</v>
      </c>
      <c r="S829">
        <f>IFERROR(O829/N829,0)</f>
        <v/>
      </c>
    </row>
    <row r="830">
      <c r="A830">
        <f>Skills!A18</f>
        <v/>
      </c>
      <c r="B830">
        <f>Skills!B18</f>
        <v/>
      </c>
      <c r="C830">
        <f>Inputs!$B$3&gt;=115</f>
        <v/>
      </c>
      <c r="D830">
        <f>IF(Skills!C18=1,60+Inputs!$B$24+Inputs!$B$28,IF(Skills!C18=2,90+Inputs!$B$25+Inputs!$B$28,IF(Skills!C18=3,120+Inputs!$B$26+Inputs!$B$28,MAX(0,(Inputs!$B$3-100)*3)+(Inputs!$B$27+1)+Inputs!$B$28)))</f>
        <v/>
      </c>
      <c r="E830">
        <f>INDEX(FactorTable!$B$2:$Y$301, MATCH(ROUND(MIN(300,MAX(1,D830)),0), FactorTable!$A$2:$A$301,0), Skills!M18+1)</f>
        <v/>
      </c>
      <c r="F830">
        <f>IF(Skills!N18=TRUE,(Skills!L18/10)*(E830/1000),Skills!L18/10)+Skills!O18</f>
        <v/>
      </c>
      <c r="G830">
        <f>Skills!G18*IF(Skills!H18&gt;0,Skills!I18/Skills!H18,1)</f>
        <v/>
      </c>
      <c r="H830">
        <f>1-(1-Skills!J18/100)^Skills!K18</f>
        <v/>
      </c>
      <c r="I830" t="inlineStr">
        <is>
          <t>1</t>
        </is>
      </c>
      <c r="J830" t="inlineStr"/>
      <c r="K830" t="inlineStr"/>
      <c r="L830" t="inlineStr"/>
      <c r="M830" t="inlineStr"/>
      <c r="N830" t="inlineStr"/>
      <c r="O830" t="n">
        <v>0</v>
      </c>
      <c r="P830">
        <f>IF(B850=0,0,O830/B850)</f>
        <v/>
      </c>
      <c r="Q830" t="n">
        <v>0</v>
      </c>
      <c r="R830" t="n">
        <v>0</v>
      </c>
      <c r="S830">
        <f>IFERROR(O830/N830,0)</f>
        <v/>
      </c>
    </row>
    <row r="831">
      <c r="A831">
        <f>Skills!A19</f>
        <v/>
      </c>
      <c r="B831">
        <f>Skills!B19</f>
        <v/>
      </c>
      <c r="C831">
        <f>Inputs!$B$3&gt;=15</f>
        <v/>
      </c>
      <c r="D831">
        <f>IF(Skills!C19=1,60+Inputs!$B$24+Inputs!$B$28,IF(Skills!C19=2,90+Inputs!$B$25+Inputs!$B$28,IF(Skills!C19=3,120+Inputs!$B$26+Inputs!$B$28,MAX(0,(Inputs!$B$3-100)*3)+(Inputs!$B$27+1)+Inputs!$B$28)))</f>
        <v/>
      </c>
      <c r="E831">
        <f>INDEX(FactorTable!$B$2:$Y$301, MATCH(ROUND(MIN(300,MAX(1,D831)),0), FactorTable!$A$2:$A$301,0), Skills!M19+1)</f>
        <v/>
      </c>
      <c r="F831">
        <f>IF(Skills!N19=TRUE,(Skills!L19/10)*(E831/1000),Skills!L19/10)+Skills!O19</f>
        <v/>
      </c>
      <c r="G831">
        <f>Skills!G19*IF(Skills!H19&gt;0,Skills!I19/Skills!H19,1)</f>
        <v/>
      </c>
      <c r="H831">
        <f>1-(1-Skills!J19/100)^Skills!K19</f>
        <v/>
      </c>
      <c r="I831" t="inlineStr">
        <is>
          <t>1</t>
        </is>
      </c>
      <c r="J831" t="inlineStr"/>
      <c r="K831" t="inlineStr"/>
      <c r="L831" t="inlineStr"/>
      <c r="M831" t="inlineStr"/>
      <c r="N831" t="inlineStr"/>
      <c r="O831" t="n">
        <v>0</v>
      </c>
      <c r="P831">
        <f>IF(B850=0,0,O831/B850)</f>
        <v/>
      </c>
      <c r="Q831" t="n">
        <v>0</v>
      </c>
      <c r="R831" t="n">
        <v>0</v>
      </c>
      <c r="S831">
        <f>IFERROR(O831/N831,0)</f>
        <v/>
      </c>
    </row>
    <row r="832">
      <c r="A832">
        <f>Skills!A20</f>
        <v/>
      </c>
      <c r="B832">
        <f>Skills!B20</f>
        <v/>
      </c>
      <c r="C832">
        <f>Inputs!$B$3&gt;=10</f>
        <v/>
      </c>
      <c r="D832">
        <f>IF(Skills!C20=1,60+Inputs!$B$24+Inputs!$B$28,IF(Skills!C20=2,90+Inputs!$B$25+Inputs!$B$28,IF(Skills!C20=3,120+Inputs!$B$26+Inputs!$B$28,MAX(0,(Inputs!$B$3-100)*3)+(Inputs!$B$27+1)+Inputs!$B$28)))</f>
        <v/>
      </c>
      <c r="E832">
        <f>INDEX(FactorTable!$B$2:$Y$301, MATCH(ROUND(MIN(300,MAX(1,D832)),0), FactorTable!$A$2:$A$301,0), Skills!M20+1)</f>
        <v/>
      </c>
      <c r="F832">
        <f>IF(Skills!N20=TRUE,(Skills!L20/10)*(E832/1000),Skills!L20/10)+Skills!O20</f>
        <v/>
      </c>
      <c r="G832">
        <f>Skills!G20*IF(Skills!H20&gt;0,Skills!I20/Skills!H20,1)</f>
        <v/>
      </c>
      <c r="H832">
        <f>1-(1-Skills!J20/100)^Skills!K20</f>
        <v/>
      </c>
      <c r="I832" t="inlineStr">
        <is>
          <t>1</t>
        </is>
      </c>
      <c r="J832" t="inlineStr"/>
      <c r="K832" t="inlineStr"/>
      <c r="L832" t="inlineStr"/>
      <c r="M832" t="inlineStr"/>
      <c r="N832" t="inlineStr"/>
      <c r="O832" t="n">
        <v>0</v>
      </c>
      <c r="P832">
        <f>IF(B850=0,0,O832/B850)</f>
        <v/>
      </c>
      <c r="Q832" t="n">
        <v>0</v>
      </c>
      <c r="R832" t="n">
        <v>0</v>
      </c>
      <c r="S832">
        <f>IFERROR(O832/N832,0)</f>
        <v/>
      </c>
    </row>
    <row r="833">
      <c r="A833">
        <f>Skills!A21</f>
        <v/>
      </c>
      <c r="B833">
        <f>Skills!B21</f>
        <v/>
      </c>
      <c r="C833">
        <f>Inputs!$B$3&gt;=33</f>
        <v/>
      </c>
      <c r="D833">
        <f>IF(Skills!C21=1,60+Inputs!$B$24+Inputs!$B$28,IF(Skills!C21=2,90+Inputs!$B$25+Inputs!$B$28,IF(Skills!C21=3,120+Inputs!$B$26+Inputs!$B$28,MAX(0,(Inputs!$B$3-100)*3)+(Inputs!$B$27+1)+Inputs!$B$28)))</f>
        <v/>
      </c>
      <c r="E833">
        <f>INDEX(FactorTable!$B$2:$Y$301, MATCH(ROUND(MIN(300,MAX(1,D833)),0), FactorTable!$A$2:$A$301,0), Skills!M21+1)</f>
        <v/>
      </c>
      <c r="F833">
        <f>IF(Skills!N21=TRUE,(Skills!L21/10)*(E833/1000),Skills!L21/10)+Skills!O21</f>
        <v/>
      </c>
      <c r="G833">
        <f>Skills!G21*IF(Skills!H21&gt;0,Skills!I21/Skills!H21,1)</f>
        <v/>
      </c>
      <c r="H833">
        <f>1-(1-Skills!J21/100)^Skills!K21</f>
        <v/>
      </c>
      <c r="I833" t="inlineStr">
        <is>
          <t>1</t>
        </is>
      </c>
      <c r="J833" t="inlineStr"/>
      <c r="K833" t="inlineStr"/>
      <c r="L833" t="inlineStr"/>
      <c r="M833" t="inlineStr"/>
      <c r="N833" t="inlineStr"/>
      <c r="O833" t="n">
        <v>0</v>
      </c>
      <c r="P833">
        <f>IF(B850=0,0,O833/B850)</f>
        <v/>
      </c>
      <c r="Q833" t="n">
        <v>0</v>
      </c>
      <c r="R833" t="n">
        <v>0</v>
      </c>
      <c r="S833">
        <f>IFERROR(O833/N833,0)</f>
        <v/>
      </c>
    </row>
    <row r="834">
      <c r="A834">
        <f>Skills!A22</f>
        <v/>
      </c>
      <c r="B834">
        <f>Skills!B22</f>
        <v/>
      </c>
      <c r="C834">
        <f>Inputs!$B$3&gt;=43</f>
        <v/>
      </c>
      <c r="D834">
        <f>IF(Skills!C22=1,60+Inputs!$B$24+Inputs!$B$28,IF(Skills!C22=2,90+Inputs!$B$25+Inputs!$B$28,IF(Skills!C22=3,120+Inputs!$B$26+Inputs!$B$28,MAX(0,(Inputs!$B$3-100)*3)+(Inputs!$B$27+1)+Inputs!$B$28)))</f>
        <v/>
      </c>
      <c r="E834">
        <f>INDEX(FactorTable!$B$2:$Y$301, MATCH(ROUND(MIN(300,MAX(1,D834)),0), FactorTable!$A$2:$A$301,0), Skills!M22+1)</f>
        <v/>
      </c>
      <c r="F834">
        <f>IF(Skills!N22=TRUE,(Skills!L22/10)*(E834/1000),Skills!L22/10)+Skills!O22</f>
        <v/>
      </c>
      <c r="G834">
        <f>Skills!G22*IF(Skills!H22&gt;0,Skills!I22/Skills!H22,1)</f>
        <v/>
      </c>
      <c r="H834">
        <f>1-(1-Skills!J22/100)^Skills!K22</f>
        <v/>
      </c>
      <c r="I834" t="inlineStr">
        <is>
          <t>1</t>
        </is>
      </c>
      <c r="J834" t="inlineStr"/>
      <c r="K834" t="inlineStr"/>
      <c r="L834" t="inlineStr"/>
      <c r="M834" t="inlineStr"/>
      <c r="N834" t="inlineStr"/>
      <c r="O834" t="n">
        <v>0</v>
      </c>
      <c r="P834">
        <f>IF(B850=0,0,O834/B850)</f>
        <v/>
      </c>
      <c r="Q834" t="n">
        <v>0</v>
      </c>
      <c r="R834" t="n">
        <v>0</v>
      </c>
      <c r="S834">
        <f>IFERROR(O834/N834,0)</f>
        <v/>
      </c>
    </row>
    <row r="835">
      <c r="A835">
        <f>Skills!A23</f>
        <v/>
      </c>
      <c r="B835">
        <f>Skills!B23</f>
        <v/>
      </c>
      <c r="C835">
        <f>Inputs!$B$3&gt;=38</f>
        <v/>
      </c>
      <c r="D835">
        <f>IF(Skills!C23=1,60+Inputs!$B$24+Inputs!$B$28,IF(Skills!C23=2,90+Inputs!$B$25+Inputs!$B$28,IF(Skills!C23=3,120+Inputs!$B$26+Inputs!$B$28,MAX(0,(Inputs!$B$3-100)*3)+(Inputs!$B$27+1)+Inputs!$B$28)))</f>
        <v/>
      </c>
      <c r="E835">
        <f>INDEX(FactorTable!$B$2:$Y$301, MATCH(ROUND(MIN(300,MAX(1,D835)),0), FactorTable!$A$2:$A$301,0), Skills!M23+1)</f>
        <v/>
      </c>
      <c r="F835">
        <f>IF(Skills!N23=TRUE,(Skills!L23/10)*(E835/1000),Skills!L23/10)+Skills!O23</f>
        <v/>
      </c>
      <c r="G835">
        <f>Skills!G23*IF(Skills!H23&gt;0,Skills!I23/Skills!H23,1)</f>
        <v/>
      </c>
      <c r="H835">
        <f>1-(1-Skills!J23/100)^Skills!K23</f>
        <v/>
      </c>
      <c r="I835" t="inlineStr">
        <is>
          <t>1</t>
        </is>
      </c>
      <c r="J835" t="inlineStr"/>
      <c r="K835" t="inlineStr"/>
      <c r="L835" t="inlineStr"/>
      <c r="M835" t="inlineStr"/>
      <c r="N835" t="inlineStr"/>
      <c r="O835" t="n">
        <v>0</v>
      </c>
      <c r="P835">
        <f>IF(B850=0,0,O835/B850)</f>
        <v/>
      </c>
      <c r="Q835" t="n">
        <v>0</v>
      </c>
      <c r="R835" t="n">
        <v>0</v>
      </c>
      <c r="S835">
        <f>IFERROR(O835/N835,0)</f>
        <v/>
      </c>
    </row>
    <row r="836">
      <c r="A836">
        <f>Skills!A24</f>
        <v/>
      </c>
      <c r="B836">
        <f>Skills!B24</f>
        <v/>
      </c>
      <c r="C836">
        <f>Inputs!$B$3&gt;=40</f>
        <v/>
      </c>
      <c r="D836">
        <f>IF(Skills!C24=1,60+Inputs!$B$24+Inputs!$B$28,IF(Skills!C24=2,90+Inputs!$B$25+Inputs!$B$28,IF(Skills!C24=3,120+Inputs!$B$26+Inputs!$B$28,MAX(0,(Inputs!$B$3-100)*3)+(Inputs!$B$27+1)+Inputs!$B$28)))</f>
        <v/>
      </c>
      <c r="E836">
        <f>INDEX(FactorTable!$B$2:$Y$301, MATCH(ROUND(MIN(300,MAX(1,D836)),0), FactorTable!$A$2:$A$301,0), Skills!M24+1)</f>
        <v/>
      </c>
      <c r="F836">
        <f>IF(Skills!N24=TRUE,(Skills!L24/10)*(E836/1000),Skills!L24/10)+Skills!O24</f>
        <v/>
      </c>
      <c r="G836">
        <f>Skills!G24*IF(Skills!H24&gt;0,Skills!I24/Skills!H24,1)</f>
        <v/>
      </c>
      <c r="H836">
        <f>1-(1-Skills!J24/100)^Skills!K24</f>
        <v/>
      </c>
      <c r="I836" t="inlineStr">
        <is>
          <t>1</t>
        </is>
      </c>
      <c r="J836" t="inlineStr"/>
      <c r="K836" t="inlineStr"/>
      <c r="L836" t="inlineStr"/>
      <c r="M836" t="inlineStr"/>
      <c r="N836" t="inlineStr"/>
      <c r="O836" t="n">
        <v>0</v>
      </c>
      <c r="P836">
        <f>IF(B850=0,0,O836/B850)</f>
        <v/>
      </c>
      <c r="Q836" t="n">
        <v>0</v>
      </c>
      <c r="R836" t="n">
        <v>0</v>
      </c>
      <c r="S836">
        <f>IFERROR(O836/N836,0)</f>
        <v/>
      </c>
    </row>
    <row r="837">
      <c r="A837">
        <f>Skills!A25</f>
        <v/>
      </c>
      <c r="B837">
        <f>Skills!B25</f>
        <v/>
      </c>
      <c r="C837">
        <f>Inputs!$B$3&gt;=72</f>
        <v/>
      </c>
      <c r="D837">
        <f>IF(Skills!C25=1,60+Inputs!$B$24+Inputs!$B$28,IF(Skills!C25=2,90+Inputs!$B$25+Inputs!$B$28,IF(Skills!C25=3,120+Inputs!$B$26+Inputs!$B$28,MAX(0,(Inputs!$B$3-100)*3)+(Inputs!$B$27+1)+Inputs!$B$28)))</f>
        <v/>
      </c>
      <c r="E837">
        <f>INDEX(FactorTable!$B$2:$Y$301, MATCH(ROUND(MIN(300,MAX(1,D837)),0), FactorTable!$A$2:$A$301,0), Skills!M25+1)</f>
        <v/>
      </c>
      <c r="F837">
        <f>IF(Skills!N25=TRUE,(Skills!L25/10)*(E837/1000),Skills!L25/10)+Skills!O25</f>
        <v/>
      </c>
      <c r="G837">
        <f>Skills!G25*IF(Skills!H25&gt;0,Skills!I25/Skills!H25,1)</f>
        <v/>
      </c>
      <c r="H837">
        <f>1-(1-Skills!J25/100)^Skills!K25</f>
        <v/>
      </c>
      <c r="I837" t="inlineStr">
        <is>
          <t>1</t>
        </is>
      </c>
      <c r="J837" t="inlineStr"/>
      <c r="K837" t="inlineStr"/>
      <c r="L837" t="inlineStr"/>
      <c r="M837" t="inlineStr"/>
      <c r="N837" t="inlineStr"/>
      <c r="O837" t="n">
        <v>0</v>
      </c>
      <c r="P837">
        <f>IF(B850=0,0,O837/B850)</f>
        <v/>
      </c>
      <c r="Q837" t="n">
        <v>0</v>
      </c>
      <c r="R837" t="n">
        <v>0</v>
      </c>
      <c r="S837">
        <f>IFERROR(O837/N837,0)</f>
        <v/>
      </c>
    </row>
    <row r="838">
      <c r="A838">
        <f>Skills!A26</f>
        <v/>
      </c>
      <c r="B838">
        <f>Skills!B26</f>
        <v/>
      </c>
      <c r="C838">
        <f>Inputs!$B$3&gt;=75</f>
        <v/>
      </c>
      <c r="D838">
        <f>IF(Skills!C26=1,60+Inputs!$B$24+Inputs!$B$28,IF(Skills!C26=2,90+Inputs!$B$25+Inputs!$B$28,IF(Skills!C26=3,120+Inputs!$B$26+Inputs!$B$28,MAX(0,(Inputs!$B$3-100)*3)+(Inputs!$B$27+1)+Inputs!$B$28)))</f>
        <v/>
      </c>
      <c r="E838">
        <f>INDEX(FactorTable!$B$2:$Y$301, MATCH(ROUND(MIN(300,MAX(1,D838)),0), FactorTable!$A$2:$A$301,0), Skills!M26+1)</f>
        <v/>
      </c>
      <c r="F838">
        <f>IF(Skills!N26=TRUE,(Skills!L26/10)*(E838/1000),Skills!L26/10)+Skills!O26</f>
        <v/>
      </c>
      <c r="G838">
        <f>Skills!G26*IF(Skills!H26&gt;0,Skills!I26/Skills!H26,1)</f>
        <v/>
      </c>
      <c r="H838">
        <f>1-(1-Skills!J26/100)^Skills!K26</f>
        <v/>
      </c>
      <c r="I838" t="inlineStr">
        <is>
          <t>1</t>
        </is>
      </c>
      <c r="J838" t="inlineStr"/>
      <c r="K838" t="inlineStr"/>
      <c r="L838" t="inlineStr"/>
      <c r="M838" t="inlineStr"/>
      <c r="N838" t="inlineStr"/>
      <c r="O838" t="n">
        <v>0</v>
      </c>
      <c r="P838">
        <f>IF(B850=0,0,O838/B850)</f>
        <v/>
      </c>
      <c r="Q838" t="n">
        <v>0</v>
      </c>
      <c r="R838" t="n">
        <v>0</v>
      </c>
      <c r="S838">
        <f>IFERROR(O838/N838,0)</f>
        <v/>
      </c>
    </row>
    <row r="839">
      <c r="A839">
        <f>Skills!A27</f>
        <v/>
      </c>
      <c r="B839">
        <f>Skills!B27</f>
        <v/>
      </c>
      <c r="C839">
        <f>Inputs!$B$3&gt;=117</f>
        <v/>
      </c>
      <c r="D839">
        <f>IF(Skills!C27=1,60+Inputs!$B$24+Inputs!$B$28,IF(Skills!C27=2,90+Inputs!$B$25+Inputs!$B$28,IF(Skills!C27=3,120+Inputs!$B$26+Inputs!$B$28,MAX(0,(Inputs!$B$3-100)*3)+(Inputs!$B$27+1)+Inputs!$B$28)))</f>
        <v/>
      </c>
      <c r="E839">
        <f>INDEX(FactorTable!$B$2:$Y$301, MATCH(ROUND(MIN(300,MAX(1,D839)),0), FactorTable!$A$2:$A$301,0), Skills!M27+1)</f>
        <v/>
      </c>
      <c r="F839">
        <f>IF(Skills!N27=TRUE,(Skills!L27/10)*(E839/1000),Skills!L27/10)+Skills!O27</f>
        <v/>
      </c>
      <c r="G839">
        <f>Skills!G27*IF(Skills!H27&gt;0,Skills!I27/Skills!H27,1)</f>
        <v/>
      </c>
      <c r="H839">
        <f>1-(1-Skills!J27/100)^Skills!K27</f>
        <v/>
      </c>
      <c r="I839" t="inlineStr">
        <is>
          <t>1</t>
        </is>
      </c>
      <c r="J839" t="inlineStr"/>
      <c r="K839" t="inlineStr"/>
      <c r="L839" t="inlineStr"/>
      <c r="M839" t="inlineStr"/>
      <c r="N839" t="inlineStr"/>
      <c r="O839" t="n">
        <v>0</v>
      </c>
      <c r="P839">
        <f>IF(B850=0,0,O839/B850)</f>
        <v/>
      </c>
      <c r="Q839" t="n">
        <v>0</v>
      </c>
      <c r="R839" t="n">
        <v>0</v>
      </c>
      <c r="S839">
        <f>IFERROR(O839/N839,0)</f>
        <v/>
      </c>
    </row>
    <row r="841">
      <c r="A841" t="inlineStr">
        <is>
          <t>Attack% Bucket Multiplier</t>
        </is>
      </c>
      <c r="B841">
        <f>(1+(((C829=TRUE)*F829)+((C836=TRUE)*(F836-Calc!F24)))/100)</f>
        <v/>
      </c>
    </row>
    <row r="842">
      <c r="A842" t="inlineStr">
        <is>
          <t>Global Crit Rate Bonus %</t>
        </is>
      </c>
      <c r="B842" t="n">
        <v>0</v>
      </c>
    </row>
    <row r="843">
      <c r="A843" t="inlineStr">
        <is>
          <t>Attack Speed Buff Bonus % (unused)</t>
        </is>
      </c>
      <c r="B843" t="n">
        <v>0</v>
      </c>
    </row>
    <row r="844">
      <c r="A844" t="inlineStr">
        <is>
          <t>Actions Per Second</t>
        </is>
      </c>
      <c r="B844">
        <f>1+MIN(150,150*(1-(1-(Inputs!$B$10+((C832=TRUE)*(F832-Calc!F20))+((C833=TRUE)*(F833-Calc!F21)))/150)*(1-B843/150)))/100</f>
        <v/>
      </c>
    </row>
    <row r="845">
      <c r="A845" t="inlineStr">
        <is>
          <t>Skill + Buff Cast Rate</t>
        </is>
      </c>
      <c r="B845">
        <f>IF(AND(Inputs!$B$4&lt;&gt;"pvp",Inputs!$B$35&gt;0),SUMPRODUCT((Skills!E2:E27=TRUE)*(C814:C839=TRUE)*R814:R839*Skills!F2:F27)/Inputs!$B$35,SUMPRODUCT((Skills!E2:E27=TRUE)*(C814:C839=TRUE)*Q814:Q839*Skills!F2:F27))</f>
        <v/>
      </c>
    </row>
    <row r="846">
      <c r="A846" t="inlineStr">
        <is>
          <t>Eight-Legs Easton Casts Per Second</t>
        </is>
      </c>
      <c r="B846">
        <f>MAX(0,B844-B845)</f>
        <v/>
      </c>
    </row>
    <row r="847">
      <c r="A847" t="inlineStr">
        <is>
          <t>Global Critical Damage Bonus % (unused)</t>
        </is>
      </c>
      <c r="B847" t="n">
        <v>0</v>
      </c>
    </row>
    <row r="848">
      <c r="A848" t="inlineStr">
        <is>
          <t>Global Final Damage Bonus % (Jolly Roger only)</t>
        </is>
      </c>
      <c r="B848">
        <f>((C830=TRUE)*F830)</f>
        <v/>
      </c>
    </row>
    <row r="850">
      <c r="A850" s="5" t="inlineStr">
        <is>
          <t>TOTAL DPS</t>
        </is>
      </c>
      <c r="B850" s="5">
        <f>SUM(O814:O839)</f>
        <v/>
      </c>
    </row>
    <row r="853">
      <c r="A853" s="5" t="inlineStr">
        <is>
          <t>Stat: Skill Level Bonus — All Skills</t>
        </is>
      </c>
    </row>
    <row r="854">
      <c r="A854" s="8" t="inlineStr">
        <is>
          <t>Key</t>
        </is>
      </c>
      <c r="B854" s="8" t="inlineStr">
        <is>
          <t>Name</t>
        </is>
      </c>
      <c r="C854" s="8" t="inlineStr">
        <is>
          <t>Unlocked</t>
        </is>
      </c>
      <c r="D854" s="8" t="inlineStr">
        <is>
          <t>InputLevel</t>
        </is>
      </c>
      <c r="E854" s="8" t="inlineStr">
        <is>
          <t>Factor</t>
        </is>
      </c>
      <c r="F854" s="8" t="inlineStr">
        <is>
          <t>CoefficientPercent</t>
        </is>
      </c>
      <c r="G854" s="8" t="inlineStr">
        <is>
          <t>EffectiveHits</t>
        </is>
      </c>
      <c r="H854" s="8" t="inlineStr">
        <is>
          <t>ProcProbability</t>
        </is>
      </c>
      <c r="I854" s="8" t="inlineStr">
        <is>
          <t>MapleHeroMultiplier</t>
        </is>
      </c>
      <c r="J854" s="8" t="inlineStr">
        <is>
          <t>BaseDamage</t>
        </is>
      </c>
      <c r="K854" s="8" t="inlineStr">
        <is>
          <t>BaseHitDamage</t>
        </is>
      </c>
      <c r="L854" s="8" t="inlineStr">
        <is>
          <t>NonCritAvg</t>
        </is>
      </c>
      <c r="M854" s="8" t="inlineStr">
        <is>
          <t>CritAvg</t>
        </is>
      </c>
      <c r="N854" s="8" t="inlineStr">
        <is>
          <t>ExpectedDamage(perHit)</t>
        </is>
      </c>
      <c r="O854" s="8" t="inlineStr">
        <is>
          <t>DPS</t>
        </is>
      </c>
      <c r="P854" s="8" t="inlineStr">
        <is>
          <t>% of Total</t>
        </is>
      </c>
      <c r="Q854" s="8" t="inlineStr">
        <is>
          <t>InvCooldown</t>
        </is>
      </c>
      <c r="R854" s="8" t="inlineStr">
        <is>
          <t>CastsInFight</t>
        </is>
      </c>
      <c r="S854" s="8" t="inlineStr">
        <is>
          <t>HitRate(perSec)</t>
        </is>
      </c>
      <c r="U854" t="inlineStr">
        <is>
          <t>helpers</t>
        </is>
      </c>
    </row>
    <row r="855">
      <c r="A855">
        <f>Skills!A2</f>
        <v/>
      </c>
      <c r="B855">
        <f>Skills!B2</f>
        <v/>
      </c>
      <c r="C855">
        <f>Inputs!$B$3&gt;=100</f>
        <v/>
      </c>
      <c r="D855" t="inlineStr"/>
      <c r="E855" t="inlineStr"/>
      <c r="F855">
        <f>U857+Skills!O2</f>
        <v/>
      </c>
      <c r="G855">
        <f>Skills!G2*IF(Skills!H2&gt;0,Skills!I2/Skills!H2,1)</f>
        <v/>
      </c>
      <c r="H855">
        <f>1-(1-Skills!J2/100)^Skills!K2</f>
        <v/>
      </c>
      <c r="I855" t="inlineStr">
        <is>
          <t>1</t>
        </is>
      </c>
      <c r="J855">
        <f>(Inputs!$B$5*(1+Inputs!$B$6/100))*(F855/100)</f>
        <v/>
      </c>
      <c r="K855">
        <f>J855*(1+((Inputs!$B$11*(1+Inputs!$B$12/100))*0.01+Inputs!$B$13*0.0025)/100)*(1+Inputs!$B$14/100)*(1+IF(Inputs!$B$4="pvp",0,(1-Summary!$B$55)*(Inputs!$B$19+0+Skills!P2)+Summary!$B$55*(Inputs!$B$20+Skills!Q2))/100)*(1+Inputs!$B$15/100)*(5000/(6000+Inputs!$B$7*(1-(Inputs!$B$18+0)/100)))*(1+(Inputs!$B$23+((C879=TRUE)*(F879-Calc!F26))+B889)/100)*(1+(IF(Skills!A2="EIGHT_LEGS_EASTON",Inputs!$B$16+((C876=TRUE)*(F876-Calc!F23))+((C880=TRUE)*(F880-Calc!F27)),Inputs!$B$17+0))/100)*((1+(((C870=TRUE)*F870)+((C877=TRUE)*(F877-Calc!F24)))/100)*I855)</f>
        <v/>
      </c>
      <c r="L855">
        <f>K855*(MIN(Inputs!$B$21+((C875=TRUE)*(F875-Calc!F22)),Inputs!$B$22+0)/100+(Inputs!$B$22+0)/100)/2</f>
        <v/>
      </c>
      <c r="M855">
        <f>L855*(1+(Inputs!$B$9+((C878=TRUE)*(F878-Calc!F25))+B888)/100)</f>
        <v/>
      </c>
      <c r="N855">
        <f>L855*(1-MIN((Inputs!$B$8+((C872=TRUE)*(F872-Calc!F19))+B883),100)/100)+M855*(MIN((Inputs!$B$8+((C872=TRUE)*(F872-Calc!F19))+B883),100)/100)</f>
        <v/>
      </c>
      <c r="O855">
        <f>IF(C855,Skills!G2*N855*B887*IF(Inputs!$B$4="pvp",1,(1-Summary!$B$55)*(1)+Summary!$B$55*(MIN((6+Inputs!$B$32),Inputs!$B$37))),0)</f>
        <v/>
      </c>
      <c r="P855">
        <f>IF(B891=0,0,O855/B891)</f>
        <v/>
      </c>
      <c r="Q855" t="n">
        <v>0</v>
      </c>
      <c r="R855" t="n">
        <v>0</v>
      </c>
      <c r="S855">
        <f>IFERROR(O855/N855,0)</f>
        <v/>
      </c>
      <c r="U855">
        <f>MAX(0,(Inputs!$B$3-100)*3)+Inputs!$B$27+(Inputs!$B$28+1)</f>
        <v/>
      </c>
    </row>
    <row r="856">
      <c r="A856">
        <f>Skills!A3</f>
        <v/>
      </c>
      <c r="B856">
        <f>Skills!B3</f>
        <v/>
      </c>
      <c r="C856">
        <f>Inputs!$B$3&gt;=35</f>
        <v/>
      </c>
      <c r="D856">
        <f>IF(Skills!C3=1,60+Inputs!$B$24+(Inputs!$B$28+1),IF(Skills!C3=2,90+Inputs!$B$25+(Inputs!$B$28+1),IF(Skills!C3=3,120+Inputs!$B$26+(Inputs!$B$28+1),MAX(0,(Inputs!$B$3-100)*3)+Inputs!$B$27+(Inputs!$B$28+1))))</f>
        <v/>
      </c>
      <c r="E856">
        <f>INDEX(FactorTable!$B$2:$Y$301, MATCH(ROUND(MIN(300,MAX(1,D856)),0), FactorTable!$A$2:$A$301,0), Skills!M3+1)</f>
        <v/>
      </c>
      <c r="F856">
        <f>IF(Skills!N3=TRUE,(Skills!L3/10)*(E856/1000),Skills!L3/10)+Skills!O3</f>
        <v/>
      </c>
      <c r="G856">
        <f>Skills!G3*IF(Skills!H3&gt;0,Skills!I3/Skills!H3,1)</f>
        <v/>
      </c>
      <c r="H856">
        <f>1-(1-Skills!J3/100)^Skills!K3</f>
        <v/>
      </c>
      <c r="I856" t="inlineStr">
        <is>
          <t>1</t>
        </is>
      </c>
      <c r="J856">
        <f>(Inputs!$B$5*(1+Inputs!$B$6/100))*(F856/100)</f>
        <v/>
      </c>
      <c r="K856">
        <f>J856*(1+((Inputs!$B$11*(1+Inputs!$B$12/100))*0.01+Inputs!$B$13*0.0025)/100)*(1+Inputs!$B$14/100)*(1+IF(Inputs!$B$4="pvp",0,(1-Summary!$B$55)*(Inputs!$B$19+0+Skills!P3)+Summary!$B$55*(Inputs!$B$20+Skills!Q3))/100)*(1+Inputs!$B$15/100)*(5000/(6000+Inputs!$B$7*(1-(Inputs!$B$18+0)/100)))*(1+(Inputs!$B$23+((C879=TRUE)*(F879-Calc!F26))+B889)/100)*(1+4.0*IF(C868=TRUE,F868,0)/100)*(1+(IF(Skills!A3="EIGHT_LEGS_EASTON",Inputs!$B$16+((C876=TRUE)*(F876-Calc!F23))+((C880=TRUE)*(F880-Calc!F27)),Inputs!$B$17+0))/100)*((1+(((C870=TRUE)*F870)+((C877=TRUE)*(F877-Calc!F24)))/100)*I856)</f>
        <v/>
      </c>
      <c r="L856">
        <f>K856*(MIN(Inputs!$B$21+((C875=TRUE)*(F875-Calc!F22)),Inputs!$B$22+0)/100+(Inputs!$B$22+0)/100)/2</f>
        <v/>
      </c>
      <c r="M856">
        <f>L856*(1+(Inputs!$B$9+((C878=TRUE)*(F878-Calc!F25))+B888)/100)</f>
        <v/>
      </c>
      <c r="N856">
        <f>L856*(1-MIN((Inputs!$B$8+((C872=TRUE)*(F872-Calc!F19))+B883),100)/100)+M856*(MIN((Inputs!$B$8+((C872=TRUE)*(F872-Calc!F19))+B883),100)/100)</f>
        <v/>
      </c>
      <c r="O856">
        <f>IF(C856,H856*N856*IF(AND(Inputs!$B$4&lt;&gt;"pvp",Inputs!$B$35&gt;0),((Skills!G3*((R856-1)*IF(Skills!H3&gt;0,Skills!I3/Skills!H3,1)+IF(Skills!H3&gt;0,MIN(Skills!I3,MAX(0,Inputs!$B$35-((R856-1)*IF(Inputs!$B$4="pvp",15,MAX(0.1,Skills!D3-IF(Skills!E3=TRUE,Inputs!$B$31,0))))))/Skills!H3,1)))/Inputs!$B$35),G856*Q856)*IF(Inputs!$B$4="pvp",1,(1-Summary!$B$55)*(1)+Summary!$B$55*(MIN(Skills!R3,Inputs!$B$37))),0)</f>
        <v/>
      </c>
      <c r="P856">
        <f>IF(B891=0,0,O856/B891)</f>
        <v/>
      </c>
      <c r="Q856">
        <f>IFERROR(1/IF(Inputs!$B$4="pvp",15,MAX(0.1,Skills!D3-IF(Skills!E3=TRUE,Inputs!$B$31,0))),0)</f>
        <v/>
      </c>
      <c r="R856">
        <f>IF(AND(Inputs!$B$4&lt;&gt;"pvp",Inputs!$B$35&gt;0),(INT(Inputs!$B$35/IF(Inputs!$B$4="pvp",15,MAX(0.1,Skills!D3-IF(Skills!E3=TRUE,Inputs!$B$31,0))))+1),0)</f>
        <v/>
      </c>
      <c r="S856">
        <f>IFERROR(O856/N856,0)</f>
        <v/>
      </c>
      <c r="U856">
        <f>INDEX(FactorTable!$B$2:$Y$301, MATCH(ROUND(MIN(300,MAX(1,U855)),0), FactorTable!$A$2:$A$301,0), 22)</f>
        <v/>
      </c>
    </row>
    <row r="857">
      <c r="A857">
        <f>Skills!A4</f>
        <v/>
      </c>
      <c r="B857">
        <f>Skills!B4</f>
        <v/>
      </c>
      <c r="C857">
        <f>Inputs!$B$3&gt;=40</f>
        <v/>
      </c>
      <c r="D857">
        <f>IF(Skills!C4=1,60+Inputs!$B$24+(Inputs!$B$28+1),IF(Skills!C4=2,90+Inputs!$B$25+(Inputs!$B$28+1),IF(Skills!C4=3,120+Inputs!$B$26+(Inputs!$B$28+1),MAX(0,(Inputs!$B$3-100)*3)+Inputs!$B$27+(Inputs!$B$28+1))))</f>
        <v/>
      </c>
      <c r="E857">
        <f>INDEX(FactorTable!$B$2:$Y$301, MATCH(ROUND(MIN(300,MAX(1,D857)),0), FactorTable!$A$2:$A$301,0), Skills!M4+1)</f>
        <v/>
      </c>
      <c r="F857">
        <f>IF(Skills!N4=TRUE,(Skills!L4/10)*(E857/1000),Skills!L4/10)+Skills!O4</f>
        <v/>
      </c>
      <c r="G857">
        <f>Skills!G4*IF(Skills!H4&gt;0,Skills!I4/Skills!H4,1)</f>
        <v/>
      </c>
      <c r="H857">
        <f>1-(1-Skills!J4/100)^Skills!K4</f>
        <v/>
      </c>
      <c r="I857" t="inlineStr">
        <is>
          <t>1</t>
        </is>
      </c>
      <c r="J857">
        <f>(Inputs!$B$5*(1+Inputs!$B$6/100))*(F857/100)</f>
        <v/>
      </c>
      <c r="K857">
        <f>J857*(1+((Inputs!$B$11*(1+Inputs!$B$12/100))*0.01+Inputs!$B$13*0.0025)/100)*(1+Inputs!$B$14/100)*(1+IF(Inputs!$B$4="pvp",0,(1-Summary!$B$55)*(Inputs!$B$19+0+Skills!P4)+Summary!$B$55*(Inputs!$B$20+Skills!Q4))/100)*(1+Inputs!$B$15/100)*(5000/(6000+Inputs!$B$7*(1-(Inputs!$B$18+0)/100)))*(1+(Inputs!$B$23+((C879=TRUE)*(F879-Calc!F26))+B889)/100)*(1+1.0*IF(C869=TRUE,F869,0)/100)*(1+(IF(Skills!A4="EIGHT_LEGS_EASTON",Inputs!$B$16+((C876=TRUE)*(F876-Calc!F23))+((C880=TRUE)*(F880-Calc!F27)),Inputs!$B$17+0))/100)*((1+(((C870=TRUE)*F870)+((C877=TRUE)*(F877-Calc!F24)))/100)*I857)</f>
        <v/>
      </c>
      <c r="L857">
        <f>K857*(MIN(Inputs!$B$21+((C875=TRUE)*(F875-Calc!F22)),Inputs!$B$22+0)/100+(Inputs!$B$22+0)/100)/2</f>
        <v/>
      </c>
      <c r="M857">
        <f>L857*(1+(Inputs!$B$9+((C878=TRUE)*(F878-Calc!F25))+B888)/100)</f>
        <v/>
      </c>
      <c r="N857">
        <f>L857*(1-MIN((Inputs!$B$8+((C872=TRUE)*(F872-Calc!F19))+B883),100)/100)+M857*(MIN((Inputs!$B$8+((C872=TRUE)*(F872-Calc!F19))+B883),100)/100)</f>
        <v/>
      </c>
      <c r="O857">
        <f>IF(C857,H857*N857*IF(AND(Inputs!$B$4&lt;&gt;"pvp",Inputs!$B$35&gt;0),((Skills!G4*((R857-1)*IF(Skills!H4&gt;0,Skills!I4/Skills!H4,1)+IF(Skills!H4&gt;0,MIN(Skills!I4,MAX(0,Inputs!$B$35-((R857-1)*IF(Inputs!$B$4="pvp",15,MAX(0.1,Skills!D4-IF(Skills!E4=TRUE,Inputs!$B$31,0))))))/Skills!H4,1)))/Inputs!$B$35),G857*Q857)*IF(Inputs!$B$4="pvp",1,(1-Summary!$B$55)*(1)+Summary!$B$55*(MIN(Skills!R4,Inputs!$B$37))),0)</f>
        <v/>
      </c>
      <c r="P857">
        <f>IF(B891=0,0,O857/B891)</f>
        <v/>
      </c>
      <c r="Q857">
        <f>IFERROR(1/IF(Inputs!$B$4="pvp",15,MAX(0.1,Skills!D4-IF(Skills!E4=TRUE,Inputs!$B$31,0))),0)</f>
        <v/>
      </c>
      <c r="R857">
        <f>IF(AND(Inputs!$B$4&lt;&gt;"pvp",Inputs!$B$35&gt;0),(INT(Inputs!$B$35/IF(Inputs!$B$4="pvp",15,MAX(0.1,Skills!D4-IF(Skills!E4=TRUE,Inputs!$B$31,0))))+1),0)</f>
        <v/>
      </c>
      <c r="S857">
        <f>IFERROR(O857/N857,0)</f>
        <v/>
      </c>
      <c r="U857">
        <f>290*U856/1000</f>
        <v/>
      </c>
    </row>
    <row r="858">
      <c r="A858">
        <f>Skills!A5</f>
        <v/>
      </c>
      <c r="B858">
        <f>Skills!B5</f>
        <v/>
      </c>
      <c r="C858">
        <f>Inputs!$B$3&gt;=45</f>
        <v/>
      </c>
      <c r="D858">
        <f>IF(Skills!C5=1,60+Inputs!$B$24+(Inputs!$B$28+1),IF(Skills!C5=2,90+Inputs!$B$25+(Inputs!$B$28+1),IF(Skills!C5=3,120+Inputs!$B$26+(Inputs!$B$28+1),MAX(0,(Inputs!$B$3-100)*3)+Inputs!$B$27+(Inputs!$B$28+1))))</f>
        <v/>
      </c>
      <c r="E858">
        <f>INDEX(FactorTable!$B$2:$Y$301, MATCH(ROUND(MIN(300,MAX(1,D858)),0), FactorTable!$A$2:$A$301,0), Skills!M5+1)</f>
        <v/>
      </c>
      <c r="F858">
        <f>IF(Skills!N5=TRUE,(Skills!L5/10)*(E858/1000),Skills!L5/10)+Skills!O5</f>
        <v/>
      </c>
      <c r="G858">
        <f>Skills!G5*IF(Skills!H5&gt;0,Skills!I5/Skills!H5,1)</f>
        <v/>
      </c>
      <c r="H858">
        <f>1-(1-Skills!J5/100)^Skills!K5</f>
        <v/>
      </c>
      <c r="I858" t="inlineStr">
        <is>
          <t>1</t>
        </is>
      </c>
      <c r="J858">
        <f>(Inputs!$B$5*(1+Inputs!$B$6/100))*(F858/100)</f>
        <v/>
      </c>
      <c r="K858">
        <f>J858*(1+((Inputs!$B$11*(1+Inputs!$B$12/100))*0.01+Inputs!$B$13*0.0025)/100)*(1+Inputs!$B$14/100)*(1+IF(Inputs!$B$4="pvp",0,(1-Summary!$B$55)*(Inputs!$B$19+0+Skills!P5)+Summary!$B$55*(Inputs!$B$20+Skills!Q5))/100)*(1+Inputs!$B$15/100)*(5000/(6000+Inputs!$B$7*(1-(Inputs!$B$18+0)/100)))*(1+(Inputs!$B$23+((C879=TRUE)*(F879-Calc!F26))+B889)/100)*(1+0.4*IF(C869=TRUE,F869,0)/100)*(1+(IF(Skills!A5="EIGHT_LEGS_EASTON",Inputs!$B$16+((C876=TRUE)*(F876-Calc!F23))+((C880=TRUE)*(F880-Calc!F27)),Inputs!$B$17+0))/100)*((1+(((C870=TRUE)*F870)+((C877=TRUE)*(F877-Calc!F24)))/100)*I858)</f>
        <v/>
      </c>
      <c r="L858">
        <f>K858*(MIN(Inputs!$B$21+((C875=TRUE)*(F875-Calc!F22)),Inputs!$B$22+0)/100+(Inputs!$B$22+0)/100)/2</f>
        <v/>
      </c>
      <c r="M858">
        <f>L858*(1+(Inputs!$B$9+((C878=TRUE)*(F878-Calc!F25))+B888)/100)</f>
        <v/>
      </c>
      <c r="N858">
        <f>L858*(1-MIN((Inputs!$B$8+((C872=TRUE)*(F872-Calc!F19))+B883),100)/100)+M858*(MIN((Inputs!$B$8+((C872=TRUE)*(F872-Calc!F19))+B883),100)/100)</f>
        <v/>
      </c>
      <c r="O858">
        <f>IF(C858,H858*N858*IF(AND(Inputs!$B$4&lt;&gt;"pvp",Inputs!$B$35&gt;0),((Skills!G5*((R858-1)*IF(Skills!H5&gt;0,Skills!I5/Skills!H5,1)+IF(Skills!H5&gt;0,MIN(Skills!I5,MAX(0,Inputs!$B$35-((R858-1)*IF(Inputs!$B$4="pvp",15,MAX(0.1,Skills!D5-IF(Skills!E5=TRUE,Inputs!$B$31,0))))))/Skills!H5,1)))/Inputs!$B$35),G858*Q858)*IF(Inputs!$B$4="pvp",1,(1-Summary!$B$55)*(1)+Summary!$B$55*(MIN(Skills!R5,Inputs!$B$37))),0)</f>
        <v/>
      </c>
      <c r="P858">
        <f>IF(B891=0,0,O858/B891)</f>
        <v/>
      </c>
      <c r="Q858">
        <f>IFERROR(1/IF(Inputs!$B$4="pvp",15,MAX(0.1,Skills!D5-IF(Skills!E5=TRUE,Inputs!$B$31,0))),0)</f>
        <v/>
      </c>
      <c r="R858">
        <f>IF(AND(Inputs!$B$4&lt;&gt;"pvp",Inputs!$B$35&gt;0),(INT(Inputs!$B$35/IF(Inputs!$B$4="pvp",15,MAX(0.1,Skills!D5-IF(Skills!E5=TRUE,Inputs!$B$31,0))))+1),0)</f>
        <v/>
      </c>
      <c r="S858">
        <f>IFERROR(O858/N858,0)</f>
        <v/>
      </c>
    </row>
    <row r="859">
      <c r="A859">
        <f>Skills!A6</f>
        <v/>
      </c>
      <c r="B859">
        <f>Skills!B6</f>
        <v/>
      </c>
      <c r="C859">
        <f>Inputs!$B$3&gt;=63</f>
        <v/>
      </c>
      <c r="D859">
        <f>IF(Skills!C6=1,60+Inputs!$B$24+(Inputs!$B$28+1),IF(Skills!C6=2,90+Inputs!$B$25+(Inputs!$B$28+1),IF(Skills!C6=3,120+Inputs!$B$26+(Inputs!$B$28+1),MAX(0,(Inputs!$B$3-100)*3)+Inputs!$B$27+(Inputs!$B$28+1))))</f>
        <v/>
      </c>
      <c r="E859">
        <f>INDEX(FactorTable!$B$2:$Y$301, MATCH(ROUND(MIN(300,MAX(1,D859)),0), FactorTable!$A$2:$A$301,0), Skills!M6+1)</f>
        <v/>
      </c>
      <c r="F859">
        <f>IF(Skills!N6=TRUE,(Skills!L6/10)*(E859/1000),Skills!L6/10)+Skills!O6</f>
        <v/>
      </c>
      <c r="G859">
        <f>Skills!G6*IF(Skills!H6&gt;0,Skills!I6/Skills!H6,1)</f>
        <v/>
      </c>
      <c r="H859">
        <f>1-(1-Skills!J6/100)^Skills!K6</f>
        <v/>
      </c>
      <c r="I859" t="inlineStr">
        <is>
          <t>1</t>
        </is>
      </c>
      <c r="J859">
        <f>(Inputs!$B$5*(1+Inputs!$B$6/100))*(F859/100)</f>
        <v/>
      </c>
      <c r="K859">
        <f>J859*(1+((Inputs!$B$11*(1+Inputs!$B$12/100))*0.01+Inputs!$B$13*0.0025)/100)*(1+Inputs!$B$14/100)*(1+IF(Inputs!$B$4="pvp",0,(1-Summary!$B$55)*(Inputs!$B$19+0+Skills!P6)+Summary!$B$55*(Inputs!$B$20+Skills!Q6))/100)*(1+Inputs!$B$15/100)*(5000/(6000+Inputs!$B$7*(1-(Inputs!$B$18+0)/100)))*(1+(Inputs!$B$23+((C879=TRUE)*(F879-Calc!F26))+B889)/100)*(1+2.0*IF(C868=TRUE,F868,0)/100)*(1+(IF(Skills!A6="EIGHT_LEGS_EASTON",Inputs!$B$16+((C876=TRUE)*(F876-Calc!F23))+((C880=TRUE)*(F880-Calc!F27)),Inputs!$B$17+0))/100)*((1+(((C870=TRUE)*F870)+((C877=TRUE)*(F877-Calc!F24)))/100)*I859)</f>
        <v/>
      </c>
      <c r="L859">
        <f>K859*(MIN(Inputs!$B$21+((C875=TRUE)*(F875-Calc!F22)),Inputs!$B$22+0)/100+(Inputs!$B$22+0)/100)/2</f>
        <v/>
      </c>
      <c r="M859">
        <f>L859*(1+(Inputs!$B$9+((C878=TRUE)*(F878-Calc!F25))+B888)/100)</f>
        <v/>
      </c>
      <c r="N859">
        <f>L859*(1-MIN((Inputs!$B$8+((C872=TRUE)*(F872-Calc!F19))+B883),100)/100)+M859*(MIN((Inputs!$B$8+((C872=TRUE)*(F872-Calc!F19))+B883),100)/100)</f>
        <v/>
      </c>
      <c r="O859">
        <f>IF(C859,H859*N859*IF(AND(Inputs!$B$4&lt;&gt;"pvp",Inputs!$B$35&gt;0),((Skills!G6*((R859-1)*IF(Skills!H6&gt;0,Skills!I6/Skills!H6,1)+IF(Skills!H6&gt;0,MIN(Skills!I6,MAX(0,Inputs!$B$35-((R859-1)*IF(Inputs!$B$4="pvp",15,MAX(0.1,Skills!D6-IF(Skills!E6=TRUE,Inputs!$B$31,0))))))/Skills!H6,1)))/Inputs!$B$35),G859*Q859)*IF(Inputs!$B$4="pvp",1,(1-Summary!$B$55)*(1)+Summary!$B$55*(MIN(Skills!R6,Inputs!$B$37))),0)</f>
        <v/>
      </c>
      <c r="P859">
        <f>IF(B891=0,0,O859/B891)</f>
        <v/>
      </c>
      <c r="Q859">
        <f>IFERROR(1/IF(Inputs!$B$4="pvp",15,MAX(0.1,Skills!D6-IF(Skills!E6=TRUE,Inputs!$B$31,0))),0)</f>
        <v/>
      </c>
      <c r="R859">
        <f>IF(AND(Inputs!$B$4&lt;&gt;"pvp",Inputs!$B$35&gt;0),(INT(Inputs!$B$35/IF(Inputs!$B$4="pvp",15,MAX(0.1,Skills!D6-IF(Skills!E6=TRUE,Inputs!$B$31,0))))+1),0)</f>
        <v/>
      </c>
      <c r="S859">
        <f>IFERROR(O859/N859,0)</f>
        <v/>
      </c>
    </row>
    <row r="860">
      <c r="A860">
        <f>Skills!A7</f>
        <v/>
      </c>
      <c r="B860">
        <f>Skills!B7</f>
        <v/>
      </c>
      <c r="C860">
        <f>Inputs!$B$3&gt;=66</f>
        <v/>
      </c>
      <c r="D860">
        <f>IF(Skills!C7=1,60+Inputs!$B$24+(Inputs!$B$28+1),IF(Skills!C7=2,90+Inputs!$B$25+(Inputs!$B$28+1),IF(Skills!C7=3,120+Inputs!$B$26+(Inputs!$B$28+1),MAX(0,(Inputs!$B$3-100)*3)+Inputs!$B$27+(Inputs!$B$28+1))))</f>
        <v/>
      </c>
      <c r="E860">
        <f>INDEX(FactorTable!$B$2:$Y$301, MATCH(ROUND(MIN(300,MAX(1,D860)),0), FactorTable!$A$2:$A$301,0), Skills!M7+1)</f>
        <v/>
      </c>
      <c r="F860">
        <f>IF(Skills!N7=TRUE,(Skills!L7/10)*(E860/1000),Skills!L7/10)+Skills!O7</f>
        <v/>
      </c>
      <c r="G860">
        <f>Skills!G7*IF(Skills!H7&gt;0,Skills!I7/Skills!H7,1)</f>
        <v/>
      </c>
      <c r="H860">
        <f>1-(1-Skills!J7/100)^Skills!K7</f>
        <v/>
      </c>
      <c r="I860" t="inlineStr">
        <is>
          <t>1</t>
        </is>
      </c>
      <c r="J860">
        <f>(Inputs!$B$5*(1+Inputs!$B$6/100))*(F860/100)</f>
        <v/>
      </c>
      <c r="K860">
        <f>J860*(1+((Inputs!$B$11*(1+Inputs!$B$12/100))*0.01+Inputs!$B$13*0.0025)/100)*(1+Inputs!$B$14/100)*(1+IF(Inputs!$B$4="pvp",0,(1-Summary!$B$55)*(Inputs!$B$19+0+Skills!P7)+Summary!$B$55*(Inputs!$B$20+Skills!Q7))/100)*(1+Inputs!$B$15/100)*(5000/(6000+Inputs!$B$7*(1-(Inputs!$B$18+0)/100)))*(1+(Inputs!$B$23+((C879=TRUE)*(F879-Calc!F26))+B889)/100)*(1+1.0*IF(C868=TRUE,F868,0)/100)*(1+(IF(Skills!A7="EIGHT_LEGS_EASTON",Inputs!$B$16+((C876=TRUE)*(F876-Calc!F23))+((C880=TRUE)*(F880-Calc!F27)),Inputs!$B$17+0))/100)*((1+(((C870=TRUE)*F870)+((C877=TRUE)*(F877-Calc!F24)))/100)*I860)</f>
        <v/>
      </c>
      <c r="L860">
        <f>K860*(MIN(Inputs!$B$21+((C875=TRUE)*(F875-Calc!F22)),Inputs!$B$22+0)/100+(Inputs!$B$22+0)/100)/2</f>
        <v/>
      </c>
      <c r="M860">
        <f>L860*(1+(Inputs!$B$9+((C878=TRUE)*(F878-Calc!F25))+B888)/100)</f>
        <v/>
      </c>
      <c r="N860">
        <f>L860*(1-MIN((Inputs!$B$8+((C872=TRUE)*(F872-Calc!F19))+B883),100)/100)+M860*(MIN((Inputs!$B$8+((C872=TRUE)*(F872-Calc!F19))+B883),100)/100)</f>
        <v/>
      </c>
      <c r="O860">
        <f>IF(C860,H860*N860*IF(AND(Inputs!$B$4&lt;&gt;"pvp",Inputs!$B$35&gt;0),((Skills!G7*((R860-1)*IF(Skills!H7&gt;0,Skills!I7/Skills!H7,1)+IF(Skills!H7&gt;0,MIN(Skills!I7,MAX(0,Inputs!$B$35-((R860-1)*IF(Inputs!$B$4="pvp",15,MAX(0.1,Skills!D7-IF(Skills!E7=TRUE,Inputs!$B$31,0))))))/Skills!H7,1)))/Inputs!$B$35),G860*Q860)*IF(Inputs!$B$4="pvp",1,(1-Summary!$B$55)*(1)+Summary!$B$55*(MIN(Skills!R7,Inputs!$B$37))),0)</f>
        <v/>
      </c>
      <c r="P860">
        <f>IF(B891=0,0,O860/B891)</f>
        <v/>
      </c>
      <c r="Q860">
        <f>IFERROR(1/IF(Inputs!$B$4="pvp",15,MAX(0.1,Skills!D7-IF(Skills!E7=TRUE,Inputs!$B$31,0))),0)</f>
        <v/>
      </c>
      <c r="R860">
        <f>IF(AND(Inputs!$B$4&lt;&gt;"pvp",Inputs!$B$35&gt;0),(INT(Inputs!$B$35/IF(Inputs!$B$4="pvp",15,MAX(0.1,Skills!D7-IF(Skills!E7=TRUE,Inputs!$B$31,0))))+1),0)</f>
        <v/>
      </c>
      <c r="S860">
        <f>IFERROR(O860/N860,0)</f>
        <v/>
      </c>
    </row>
    <row r="861">
      <c r="A861">
        <f>Skills!A8</f>
        <v/>
      </c>
      <c r="B861">
        <f>Skills!B8</f>
        <v/>
      </c>
      <c r="C861">
        <f>Inputs!$B$3&gt;=100</f>
        <v/>
      </c>
      <c r="D861">
        <f>IF(Skills!C8=1,60+Inputs!$B$24+(Inputs!$B$28+1),IF(Skills!C8=2,90+Inputs!$B$25+(Inputs!$B$28+1),IF(Skills!C8=3,120+Inputs!$B$26+(Inputs!$B$28+1),MAX(0,(Inputs!$B$3-100)*3)+Inputs!$B$27+(Inputs!$B$28+1))))</f>
        <v/>
      </c>
      <c r="E861">
        <f>INDEX(FactorTable!$B$2:$Y$301, MATCH(ROUND(MIN(300,MAX(1,D861)),0), FactorTable!$A$2:$A$301,0), Skills!M8+1)</f>
        <v/>
      </c>
      <c r="F861">
        <f>IF(Skills!N8=TRUE,(Skills!L8/10)*(E861/1000),Skills!L8/10)+Skills!O8</f>
        <v/>
      </c>
      <c r="G861">
        <f>Skills!G8*IF(Skills!H8&gt;0,Skills!I8/Skills!H8,1)</f>
        <v/>
      </c>
      <c r="H861">
        <f>1-(1-Skills!J8/100)^Skills!K8</f>
        <v/>
      </c>
      <c r="I861" t="inlineStr">
        <is>
          <t>1</t>
        </is>
      </c>
      <c r="J861">
        <f>(Inputs!$B$5*(1+Inputs!$B$6/100))*(F861/100)</f>
        <v/>
      </c>
      <c r="K861">
        <f>J861*(1+((Inputs!$B$11*(1+Inputs!$B$12/100))*0.01+Inputs!$B$13*0.0025)/100)*(1+Inputs!$B$14/100)*(1+IF(Inputs!$B$4="pvp",0,(1-Summary!$B$55)*(Inputs!$B$19+0+Skills!P8)+Summary!$B$55*(Inputs!$B$20+Skills!Q8))/100)*(1+Inputs!$B$15/100)*(5000/(6000+Inputs!$B$7*(1-(Inputs!$B$18+0)/100)))*(1+(Inputs!$B$23+((C879=TRUE)*(F879-Calc!F26))+B889)/100)*(1+(IF(Skills!A8="EIGHT_LEGS_EASTON",Inputs!$B$16+((C876=TRUE)*(F876-Calc!F23))+((C880=TRUE)*(F880-Calc!F27)),Inputs!$B$17+0))/100)*((1+(((C870=TRUE)*F870)+((C877=TRUE)*(F877-Calc!F24)))/100)*I861)</f>
        <v/>
      </c>
      <c r="L861">
        <f>K861*(MIN(Inputs!$B$21+((C875=TRUE)*(F875-Calc!F22)),Inputs!$B$22+0)/100+(Inputs!$B$22+0)/100)/2</f>
        <v/>
      </c>
      <c r="M861">
        <f>L861*(1+(Inputs!$B$9+((C878=TRUE)*(F878-Calc!F25))+B888)/100)</f>
        <v/>
      </c>
      <c r="N861">
        <f>L861*(1-MIN((Inputs!$B$8+((C872=TRUE)*(F872-Calc!F19))+B883),100)/100)+M861*(MIN((Inputs!$B$8+((C872=TRUE)*(F872-Calc!F19))+B883),100)/100)</f>
        <v/>
      </c>
      <c r="O861">
        <f>IF(C861,H861*N861*IF(AND(Inputs!$B$4&lt;&gt;"pvp",Inputs!$B$35&gt;0),((Skills!G8*((R861-1)*IF(Skills!H8&gt;0,Skills!I8/Skills!H8,1)+IF(Skills!H8&gt;0,MIN(Skills!I8,MAX(0,Inputs!$B$35-((R861-1)*IF(Inputs!$B$4="pvp",15,MAX(0.1,Skills!D8-IF(Skills!E8=TRUE,Inputs!$B$31,0))))))/Skills!H8,1)))/Inputs!$B$35),G861*Q861)*IF(Inputs!$B$4="pvp",1,(1-Summary!$B$55)*(1)+Summary!$B$55*(MIN(Skills!R8,Inputs!$B$37))),0)</f>
        <v/>
      </c>
      <c r="P861">
        <f>IF(B891=0,0,O861/B891)</f>
        <v/>
      </c>
      <c r="Q861">
        <f>IFERROR(1/IF(Inputs!$B$4="pvp",15,MAX(0.1,Skills!D8-IF(Skills!E8=TRUE,Inputs!$B$31,0))),0)</f>
        <v/>
      </c>
      <c r="R861">
        <f>IF(AND(Inputs!$B$4&lt;&gt;"pvp",Inputs!$B$35&gt;0),(INT(Inputs!$B$35/IF(Inputs!$B$4="pvp",15,MAX(0.1,Skills!D8-IF(Skills!E8=TRUE,Inputs!$B$31,0))))+1),0)</f>
        <v/>
      </c>
      <c r="S861">
        <f>IFERROR(O861/N861,0)</f>
        <v/>
      </c>
    </row>
    <row r="862">
      <c r="A862">
        <f>Skills!A9</f>
        <v/>
      </c>
      <c r="B862">
        <f>Skills!B9</f>
        <v/>
      </c>
      <c r="C862">
        <f>Inputs!$B$3&gt;=103</f>
        <v/>
      </c>
      <c r="D862">
        <f>IF(Skills!C9=1,60+Inputs!$B$24+(Inputs!$B$28+1),IF(Skills!C9=2,90+Inputs!$B$25+(Inputs!$B$28+1),IF(Skills!C9=3,120+Inputs!$B$26+(Inputs!$B$28+1),MAX(0,(Inputs!$B$3-100)*3)+Inputs!$B$27+(Inputs!$B$28+1))))</f>
        <v/>
      </c>
      <c r="E862">
        <f>INDEX(FactorTable!$B$2:$Y$301, MATCH(ROUND(MIN(300,MAX(1,D862)),0), FactorTable!$A$2:$A$301,0), Skills!M9+1)</f>
        <v/>
      </c>
      <c r="F862">
        <f>IF(Skills!N9=TRUE,(Skills!L9/10)*(E862/1000),Skills!L9/10)+Skills!O9</f>
        <v/>
      </c>
      <c r="G862">
        <f>Skills!G9*IF(Skills!H9&gt;0,Skills!I9/Skills!H9,1)</f>
        <v/>
      </c>
      <c r="H862">
        <f>1-(1-Skills!J9/100)^Skills!K9</f>
        <v/>
      </c>
      <c r="I862" t="inlineStr">
        <is>
          <t>1</t>
        </is>
      </c>
      <c r="J862">
        <f>(Inputs!$B$5*(1+Inputs!$B$6/100))*(F862/100)</f>
        <v/>
      </c>
      <c r="K862">
        <f>J862*(1+((Inputs!$B$11*(1+Inputs!$B$12/100))*0.01+Inputs!$B$13*0.0025)/100)*(1+Inputs!$B$14/100)*(1+IF(Inputs!$B$4="pvp",0,(1-Summary!$B$55)*(Inputs!$B$19+0+Skills!P9)+Summary!$B$55*(Inputs!$B$20+Skills!Q9))/100)*(1+Inputs!$B$15/100)*(5000/(6000+Inputs!$B$7*(1-(Inputs!$B$18+0)/100)))*(1+(Inputs!$B$23+((C879=TRUE)*(F879-Calc!F26))+B889)/100)*(1+(IF(Skills!A9="EIGHT_LEGS_EASTON",Inputs!$B$16+((C876=TRUE)*(F876-Calc!F23))+((C880=TRUE)*(F880-Calc!F27)),Inputs!$B$17+0))/100)*((1+(((C870=TRUE)*F870)+((C877=TRUE)*(F877-Calc!F24)))/100)*I862)</f>
        <v/>
      </c>
      <c r="L862">
        <f>K862*(MIN(Inputs!$B$21+((C875=TRUE)*(F875-Calc!F22)),Inputs!$B$22+0)/100+(Inputs!$B$22+0)/100)/2</f>
        <v/>
      </c>
      <c r="M862">
        <f>L862*(1+(Inputs!$B$9+((C878=TRUE)*(F878-Calc!F25))+B888)/100)</f>
        <v/>
      </c>
      <c r="N862">
        <f>L862*(1-MIN((Inputs!$B$8+((C872=TRUE)*(F872-Calc!F19))+B883),100)/100)+M862*(MIN((Inputs!$B$8+((C872=TRUE)*(F872-Calc!F19))+B883),100)/100)</f>
        <v/>
      </c>
      <c r="O862">
        <f>IF(C862,H862*N862*IF(AND(Inputs!$B$4&lt;&gt;"pvp",Inputs!$B$35&gt;0),((Skills!G9*((R862-1)*IF(Skills!H9&gt;0,Skills!I9/Skills!H9,1)+IF(Skills!H9&gt;0,MIN(Skills!I9,MAX(0,Inputs!$B$35-((R862-1)*IF(Inputs!$B$4="pvp",15,MAX(0.1,Skills!D9-IF(Skills!E9=TRUE,Inputs!$B$31,0))))))/Skills!H9,1)))/Inputs!$B$35),G862*Q862)*IF(Inputs!$B$4="pvp",1,(1-Summary!$B$55)*(1)+Summary!$B$55*(MIN(Skills!R9,Inputs!$B$37))),0)</f>
        <v/>
      </c>
      <c r="P862">
        <f>IF(B891=0,0,O862/B891)</f>
        <v/>
      </c>
      <c r="Q862">
        <f>IFERROR(1/IF(Inputs!$B$4="pvp",15,MAX(0.1,Skills!D9-IF(Skills!E9=TRUE,Inputs!$B$31,0))),0)</f>
        <v/>
      </c>
      <c r="R862">
        <f>IF(AND(Inputs!$B$4&lt;&gt;"pvp",Inputs!$B$35&gt;0),(INT(Inputs!$B$35/IF(Inputs!$B$4="pvp",15,MAX(0.1,Skills!D9-IF(Skills!E9=TRUE,Inputs!$B$31,0))))+1),0)</f>
        <v/>
      </c>
      <c r="S862">
        <f>IFERROR(O862/N862,0)</f>
        <v/>
      </c>
    </row>
    <row r="863">
      <c r="A863">
        <f>Skills!A10</f>
        <v/>
      </c>
      <c r="B863">
        <f>Skills!B10</f>
        <v/>
      </c>
      <c r="C863">
        <f>Inputs!$B$3&gt;=113</f>
        <v/>
      </c>
      <c r="D863">
        <f>IF(Skills!C10=1,60+Inputs!$B$24+(Inputs!$B$28+1),IF(Skills!C10=2,90+Inputs!$B$25+(Inputs!$B$28+1),IF(Skills!C10=3,120+Inputs!$B$26+(Inputs!$B$28+1),MAX(0,(Inputs!$B$3-100)*3)+Inputs!$B$27+(Inputs!$B$28+1))))</f>
        <v/>
      </c>
      <c r="E863">
        <f>INDEX(FactorTable!$B$2:$Y$301, MATCH(ROUND(MIN(300,MAX(1,D863)),0), FactorTable!$A$2:$A$301,0), Skills!M10+1)</f>
        <v/>
      </c>
      <c r="F863">
        <f>IF(Skills!N10=TRUE,(Skills!L10/10)*(E863/1000),Skills!L10/10)+Skills!O10</f>
        <v/>
      </c>
      <c r="G863">
        <f>Skills!G10*IF(Skills!H10&gt;0,Skills!I10/Skills!H10,1)</f>
        <v/>
      </c>
      <c r="H863">
        <f>1-(1-Skills!J10/100)^Skills!K10</f>
        <v/>
      </c>
      <c r="I863" t="inlineStr">
        <is>
          <t>1</t>
        </is>
      </c>
      <c r="J863">
        <f>(Inputs!$B$5*(1+Inputs!$B$6/100))*(F863/100)</f>
        <v/>
      </c>
      <c r="K863">
        <f>J863*(1+((Inputs!$B$11*(1+Inputs!$B$12/100))*0.01+Inputs!$B$13*0.0025)/100)*(1+Inputs!$B$14/100)*(1+IF(Inputs!$B$4="pvp",0,(1-Summary!$B$55)*(Inputs!$B$19+0+Skills!P10)+Summary!$B$55*(Inputs!$B$20+Skills!Q10))/100)*(1+Inputs!$B$15/100)*(5000/(6000+Inputs!$B$7*(1-(Inputs!$B$18+0)/100)))*(1+(Inputs!$B$23+((C879=TRUE)*(F879-Calc!F26))+B889)/100)*(1+(IF(Skills!A10="EIGHT_LEGS_EASTON",Inputs!$B$16+((C876=TRUE)*(F876-Calc!F23))+((C880=TRUE)*(F880-Calc!F27)),Inputs!$B$17+0))/100)*((1+(((C870=TRUE)*F870)+((C877=TRUE)*(F877-Calc!F24)))/100)*I863)</f>
        <v/>
      </c>
      <c r="L863">
        <f>K863*(MIN(Inputs!$B$21+((C875=TRUE)*(F875-Calc!F22)),Inputs!$B$22+0)/100+(Inputs!$B$22+0)/100)/2</f>
        <v/>
      </c>
      <c r="M863">
        <f>L863*(1+(Inputs!$B$9+((C878=TRUE)*(F878-Calc!F25))+B888)/100)</f>
        <v/>
      </c>
      <c r="N863">
        <f>L863*(1-MIN((Inputs!$B$8+((C872=TRUE)*(F872-Calc!F19))+B883),100)/100)+M863*(MIN((Inputs!$B$8+((C872=TRUE)*(F872-Calc!F19))+B883),100)/100)</f>
        <v/>
      </c>
      <c r="O863">
        <f>IF(C863,H863*N863*IF(AND(Inputs!$B$4&lt;&gt;"pvp",Inputs!$B$35&gt;0),((Skills!G10*((R863-1)*IF(Skills!H10&gt;0,Skills!I10/Skills!H10,1)+IF(Skills!H10&gt;0,MIN(Skills!I10,MAX(0,Inputs!$B$35-((R863-1)*IF(Inputs!$B$4="pvp",15,MAX(0.1,Skills!D10-IF(Skills!E10=TRUE,Inputs!$B$31,0))))))/Skills!H10,1)))/Inputs!$B$35),G863*Q863)*IF(Inputs!$B$4="pvp",1,(1-Summary!$B$55)*(1)+Summary!$B$55*(MIN(Skills!R10,Inputs!$B$37))),0)</f>
        <v/>
      </c>
      <c r="P863">
        <f>IF(B891=0,0,O863/B891)</f>
        <v/>
      </c>
      <c r="Q863">
        <f>IFERROR(1/IF(Inputs!$B$4="pvp",15,MAX(0.1,Skills!D10-IF(Skills!E10=TRUE,Inputs!$B$31,0))),0)</f>
        <v/>
      </c>
      <c r="R863">
        <f>IF(AND(Inputs!$B$4&lt;&gt;"pvp",Inputs!$B$35&gt;0),(INT(Inputs!$B$35/IF(Inputs!$B$4="pvp",15,MAX(0.1,Skills!D10-IF(Skills!E10=TRUE,Inputs!$B$31,0))))+1),0)</f>
        <v/>
      </c>
      <c r="S863">
        <f>IFERROR(O863/N863,0)</f>
        <v/>
      </c>
    </row>
    <row r="864">
      <c r="A864">
        <f>Skills!A11</f>
        <v/>
      </c>
      <c r="B864">
        <f>Skills!B11</f>
        <v/>
      </c>
      <c r="C864">
        <f>Inputs!$B$3&gt;=107</f>
        <v/>
      </c>
      <c r="D864">
        <f>IF(Skills!C11=1,60+Inputs!$B$24+(Inputs!$B$28+1),IF(Skills!C11=2,90+Inputs!$B$25+(Inputs!$B$28+1),IF(Skills!C11=3,120+Inputs!$B$26+(Inputs!$B$28+1),MAX(0,(Inputs!$B$3-100)*3)+Inputs!$B$27+(Inputs!$B$28+1))))</f>
        <v/>
      </c>
      <c r="E864">
        <f>INDEX(FactorTable!$B$2:$Y$301, MATCH(ROUND(MIN(300,MAX(1,D864)),0), FactorTable!$A$2:$A$301,0), Skills!M11+1)</f>
        <v/>
      </c>
      <c r="F864">
        <f>IF(Skills!N11=TRUE,(Skills!L11/10)*(E864/1000),Skills!L11/10)+Skills!O11</f>
        <v/>
      </c>
      <c r="G864">
        <f>Skills!G11*IF(Skills!H11&gt;0,Skills!I11/Skills!H11,1)</f>
        <v/>
      </c>
      <c r="H864">
        <f>1-(1-Skills!J11/100)^Skills!K11</f>
        <v/>
      </c>
      <c r="I864" t="inlineStr">
        <is>
          <t>1</t>
        </is>
      </c>
      <c r="J864">
        <f>(Inputs!$B$5*(1+Inputs!$B$6/100))*(F864/100)</f>
        <v/>
      </c>
      <c r="K864">
        <f>J864*(1+((Inputs!$B$11*(1+Inputs!$B$12/100))*0.01+Inputs!$B$13*0.0025)/100)*(1+Inputs!$B$14/100)*(1+IF(Inputs!$B$4="pvp",0,(1-Summary!$B$55)*(Inputs!$B$19+0+Skills!P11)+Summary!$B$55*(Inputs!$B$20+Skills!Q11))/100)*(1+Inputs!$B$15/100)*(5000/(6000+Inputs!$B$7*(1-(Inputs!$B$18+0)/100)))*(1+(Inputs!$B$23+((C879=TRUE)*(F879-Calc!F26))+B889)/100)*(1+(IF(Skills!A11="EIGHT_LEGS_EASTON",Inputs!$B$16+((C876=TRUE)*(F876-Calc!F23))+((C880=TRUE)*(F880-Calc!F27)),Inputs!$B$17+0))/100)*((1+(((C870=TRUE)*F870)+((C877=TRUE)*(F877-Calc!F24)))/100)*I864)</f>
        <v/>
      </c>
      <c r="L864">
        <f>K864*(MIN(Inputs!$B$21+((C875=TRUE)*(F875-Calc!F22)),Inputs!$B$22+0)/100+(Inputs!$B$22+0)/100)/2</f>
        <v/>
      </c>
      <c r="M864">
        <f>L864*(1+(Inputs!$B$9+((C878=TRUE)*(F878-Calc!F25))+B888)/100)</f>
        <v/>
      </c>
      <c r="N864">
        <f>L864*(1-MIN((Inputs!$B$8+((C872=TRUE)*(F872-Calc!F19))+B883),100)/100)+M864*(MIN((Inputs!$B$8+((C872=TRUE)*(F872-Calc!F19))+B883),100)/100)</f>
        <v/>
      </c>
      <c r="O864">
        <f>IF(C864,H864*N864*IF(AND(Inputs!$B$4&lt;&gt;"pvp",Inputs!$B$35&gt;0),((Skills!G11*((R864-1)*IF(Skills!H11&gt;0,Skills!I11/Skills!H11,1)+IF(Skills!H11&gt;0,MIN(Skills!I11,MAX(0,Inputs!$B$35-((R864-1)*IF(Inputs!$B$4="pvp",15,MAX(0.1,Skills!D11-IF(Skills!E11=TRUE,Inputs!$B$31,0))))))/Skills!H11,1)))/Inputs!$B$35),G864*Q864)*IF(Inputs!$B$4="pvp",1,(1-Summary!$B$55)*(1)+Summary!$B$55*(MIN(Skills!R11,Inputs!$B$37))),0)</f>
        <v/>
      </c>
      <c r="P864">
        <f>IF(B891=0,0,O864/B891)</f>
        <v/>
      </c>
      <c r="Q864">
        <f>IFERROR(1/IF(Inputs!$B$4="pvp",15,MAX(0.1,Skills!D11-IF(Skills!E11=TRUE,Inputs!$B$31,0))),0)</f>
        <v/>
      </c>
      <c r="R864">
        <f>IF(AND(Inputs!$B$4&lt;&gt;"pvp",Inputs!$B$35&gt;0),(INT(Inputs!$B$35/IF(Inputs!$B$4="pvp",15,MAX(0.1,Skills!D11-IF(Skills!E11=TRUE,Inputs!$B$31,0))))+1),0)</f>
        <v/>
      </c>
      <c r="S864">
        <f>IFERROR(O864/N864,0)</f>
        <v/>
      </c>
    </row>
    <row r="865">
      <c r="A865">
        <f>Skills!A12</f>
        <v/>
      </c>
      <c r="B865">
        <f>Skills!B12</f>
        <v/>
      </c>
      <c r="C865">
        <f>Inputs!$B$3&gt;=110</f>
        <v/>
      </c>
      <c r="D865">
        <f>IF(Skills!C12=1,60+Inputs!$B$24+(Inputs!$B$28+1),IF(Skills!C12=2,90+Inputs!$B$25+(Inputs!$B$28+1),IF(Skills!C12=3,120+Inputs!$B$26+(Inputs!$B$28+1),MAX(0,(Inputs!$B$3-100)*3)+Inputs!$B$27+(Inputs!$B$28+1))))</f>
        <v/>
      </c>
      <c r="E865">
        <f>INDEX(FactorTable!$B$2:$Y$301, MATCH(ROUND(MIN(300,MAX(1,D865)),0), FactorTable!$A$2:$A$301,0), Skills!M12+1)</f>
        <v/>
      </c>
      <c r="F865">
        <f>IF(Skills!N12=TRUE,(Skills!L12/10)*(E865/1000),Skills!L12/10)+Skills!O12</f>
        <v/>
      </c>
      <c r="G865">
        <f>Skills!G12*IF(Skills!H12&gt;0,Skills!I12/Skills!H12,1)</f>
        <v/>
      </c>
      <c r="H865">
        <f>1-(1-Skills!J12/100)^Skills!K12</f>
        <v/>
      </c>
      <c r="I865" t="inlineStr">
        <is>
          <t>1</t>
        </is>
      </c>
      <c r="J865">
        <f>(Inputs!$B$5*(1+Inputs!$B$6/100))*(F865/100)</f>
        <v/>
      </c>
      <c r="K865">
        <f>J865*(1+((Inputs!$B$11*(1+Inputs!$B$12/100))*0.01+Inputs!$B$13*0.0025)/100)*(1+Inputs!$B$14/100)*(1+IF(Inputs!$B$4="pvp",0,(1-Summary!$B$55)*(Inputs!$B$19+0+Skills!P12)+Summary!$B$55*(Inputs!$B$20+Skills!Q12))/100)*(1+Inputs!$B$15/100)*(5000/(6000+Inputs!$B$7*(1-(Inputs!$B$18+0)/100)))*(1+(Inputs!$B$23+((C879=TRUE)*(F879-Calc!F26))+B889)/100)*(1+(IF(Skills!A12="EIGHT_LEGS_EASTON",Inputs!$B$16+((C876=TRUE)*(F876-Calc!F23))+((C880=TRUE)*(F880-Calc!F27)),Inputs!$B$17+0))/100)*((1+(((C870=TRUE)*F870)+((C877=TRUE)*(F877-Calc!F24)))/100)*I865)</f>
        <v/>
      </c>
      <c r="L865">
        <f>K865*(MIN(Inputs!$B$21+((C875=TRUE)*(F875-Calc!F22)),Inputs!$B$22+0)/100+(Inputs!$B$22+0)/100)/2</f>
        <v/>
      </c>
      <c r="M865">
        <f>L865*(1+(Inputs!$B$9+((C878=TRUE)*(F878-Calc!F25))+B888)/100)</f>
        <v/>
      </c>
      <c r="N865">
        <f>L865*(1-MIN((Inputs!$B$8+((C872=TRUE)*(F872-Calc!F19))+B883),100)/100)+M865*(MIN((Inputs!$B$8+((C872=TRUE)*(F872-Calc!F19))+B883),100)/100)</f>
        <v/>
      </c>
      <c r="O865">
        <f>IF(C865,H865*N865*IF(AND(Inputs!$B$4&lt;&gt;"pvp",Inputs!$B$35&gt;0),((Skills!G12*((R865-1)*IF(Skills!H12&gt;0,Skills!I12/Skills!H12,1)+IF(Skills!H12&gt;0,MIN(Skills!I12,MAX(0,Inputs!$B$35-((R865-1)*IF(Inputs!$B$4="pvp",15,MAX(0.1,Skills!D12-IF(Skills!E12=TRUE,Inputs!$B$31,0))))))/Skills!H12,1)))/Inputs!$B$35),G865*Q865)*IF(Inputs!$B$4="pvp",1,(1-Summary!$B$55)*(1)+Summary!$B$55*(MIN(Skills!R12,Inputs!$B$37))),0)</f>
        <v/>
      </c>
      <c r="P865">
        <f>IF(B891=0,0,O865/B891)</f>
        <v/>
      </c>
      <c r="Q865">
        <f>IFERROR(1/IF(Inputs!$B$4="pvp",15,MAX(0.1,Skills!D12-IF(Skills!E12=TRUE,Inputs!$B$31,0))),0)</f>
        <v/>
      </c>
      <c r="R865">
        <f>IF(AND(Inputs!$B$4&lt;&gt;"pvp",Inputs!$B$35&gt;0),(INT(Inputs!$B$35/IF(Inputs!$B$4="pvp",15,MAX(0.1,Skills!D12-IF(Skills!E12=TRUE,Inputs!$B$31,0))))+1),0)</f>
        <v/>
      </c>
      <c r="S865">
        <f>IFERROR(O865/N865,0)</f>
        <v/>
      </c>
    </row>
    <row r="866">
      <c r="A866">
        <f>Skills!A13</f>
        <v/>
      </c>
      <c r="B866">
        <f>Skills!B13</f>
        <v/>
      </c>
      <c r="C866">
        <f>Inputs!$B$3&gt;=110</f>
        <v/>
      </c>
      <c r="D866">
        <f>IF(Skills!C13=1,60+Inputs!$B$24+(Inputs!$B$28+1),IF(Skills!C13=2,90+Inputs!$B$25+(Inputs!$B$28+1),IF(Skills!C13=3,120+Inputs!$B$26+(Inputs!$B$28+1),MAX(0,(Inputs!$B$3-100)*3)+Inputs!$B$27+(Inputs!$B$28+1))))</f>
        <v/>
      </c>
      <c r="E866">
        <f>INDEX(FactorTable!$B$2:$Y$301, MATCH(ROUND(MIN(300,MAX(1,D866)),0), FactorTable!$A$2:$A$301,0), Skills!M13+1)</f>
        <v/>
      </c>
      <c r="F866">
        <f>IF(Skills!N13=TRUE,(Skills!L13/10)*(E866/1000),Skills!L13/10)+Skills!O13</f>
        <v/>
      </c>
      <c r="G866">
        <f>Skills!G13*IF(Skills!H13&gt;0,Skills!I13/Skills!H13,1)</f>
        <v/>
      </c>
      <c r="H866">
        <f>1-(1-Skills!J13/100)^Skills!K13</f>
        <v/>
      </c>
      <c r="I866" t="inlineStr">
        <is>
          <t>1</t>
        </is>
      </c>
      <c r="J866">
        <f>(Inputs!$B$5*(1+Inputs!$B$6/100))*(F866/100)</f>
        <v/>
      </c>
      <c r="K866">
        <f>J866*(1+((Inputs!$B$11*(1+Inputs!$B$12/100))*0.01+Inputs!$B$13*0.0025)/100)*(1+Inputs!$B$14/100)*(1+IF(Inputs!$B$4="pvp",0,(1-Summary!$B$55)*(Inputs!$B$19+0+Skills!P13)+Summary!$B$55*(Inputs!$B$20+Skills!Q13))/100)*(1+Inputs!$B$15/100)*(5000/(6000+Inputs!$B$7*(1-(Inputs!$B$18+0)/100)))*(1+(Inputs!$B$23+((C879=TRUE)*(F879-Calc!F26))+B889)/100)*(1+(IF(Skills!A13="EIGHT_LEGS_EASTON",Inputs!$B$16+((C876=TRUE)*(F876-Calc!F23))+((C880=TRUE)*(F880-Calc!F27)),Inputs!$B$17+0))/100)*((1+(((C870=TRUE)*F870)+((C877=TRUE)*(F877-Calc!F24)))/100)*I866)</f>
        <v/>
      </c>
      <c r="L866">
        <f>K866*(MIN(Inputs!$B$21+((C875=TRUE)*(F875-Calc!F22)),Inputs!$B$22+0)/100+(Inputs!$B$22+0)/100)/2</f>
        <v/>
      </c>
      <c r="M866">
        <f>L866*(1+(Inputs!$B$9+((C878=TRUE)*(F878-Calc!F25))+B888)/100)</f>
        <v/>
      </c>
      <c r="N866">
        <f>L866*(1-MIN((Inputs!$B$8+((C872=TRUE)*(F872-Calc!F19))+B883),100)/100)+M866*(MIN((Inputs!$B$8+((C872=TRUE)*(F872-Calc!F19))+B883),100)/100)</f>
        <v/>
      </c>
      <c r="O866">
        <f>IF(C866,H866*N866*IF(AND(Inputs!$B$4&lt;&gt;"pvp",Inputs!$B$35&gt;0),((Skills!G13*((R866-1)*IF(Skills!H13&gt;0,Skills!I13/Skills!H13,1)+IF(Skills!H13&gt;0,MIN(Skills!I13,MAX(0,Inputs!$B$35-((R866-1)*IF(Inputs!$B$4="pvp",15,MAX(0.1,Skills!D13-IF(Skills!E13=TRUE,Inputs!$B$31,0))))))/Skills!H13,1)))/Inputs!$B$35),G866*Q866)*IF(Inputs!$B$4="pvp",1,(1-Summary!$B$55)*(1)+Summary!$B$55*(MIN(Skills!R13,Inputs!$B$37))),0)</f>
        <v/>
      </c>
      <c r="P866">
        <f>IF(B891=0,0,O866/B891)</f>
        <v/>
      </c>
      <c r="Q866">
        <f>IFERROR(1/IF(Inputs!$B$4="pvp",15,MAX(0.1,Skills!D13-IF(Skills!E13=TRUE,Inputs!$B$31,0))),0)</f>
        <v/>
      </c>
      <c r="R866">
        <f>IF(AND(Inputs!$B$4&lt;&gt;"pvp",Inputs!$B$35&gt;0),(INT(Inputs!$B$35/IF(Inputs!$B$4="pvp",15,MAX(0.1,Skills!D13-IF(Skills!E13=TRUE,Inputs!$B$31,0))))+1),0)</f>
        <v/>
      </c>
      <c r="S866">
        <f>IFERROR(O866/N866,0)</f>
        <v/>
      </c>
    </row>
    <row r="867">
      <c r="A867">
        <f>Skills!A14</f>
        <v/>
      </c>
      <c r="B867">
        <f>Skills!B14</f>
        <v/>
      </c>
      <c r="C867">
        <f>Inputs!$B$3&gt;=125</f>
        <v/>
      </c>
      <c r="D867">
        <f>IF(Skills!C14=1,60+Inputs!$B$24+(Inputs!$B$28+1),IF(Skills!C14=2,90+Inputs!$B$25+(Inputs!$B$28+1),IF(Skills!C14=3,120+Inputs!$B$26+(Inputs!$B$28+1),MAX(0,(Inputs!$B$3-100)*3)+Inputs!$B$27+(Inputs!$B$28+1))))</f>
        <v/>
      </c>
      <c r="E867">
        <f>INDEX(FactorTable!$B$2:$Y$301, MATCH(ROUND(MIN(300,MAX(1,D867)),0), FactorTable!$A$2:$A$301,0), Skills!M14+1)</f>
        <v/>
      </c>
      <c r="F867">
        <f>IF(Skills!N14=TRUE,(Skills!L14/10)*(E867/1000),Skills!L14/10)+Skills!O14</f>
        <v/>
      </c>
      <c r="G867">
        <f>Skills!G14*IF(Skills!H14&gt;0,Skills!I14/Skills!H14,1)</f>
        <v/>
      </c>
      <c r="H867">
        <f>1-(1-Skills!J14/100)^Skills!K14</f>
        <v/>
      </c>
      <c r="I867" t="inlineStr">
        <is>
          <t>1</t>
        </is>
      </c>
      <c r="J867">
        <f>(Inputs!$B$5*(1+Inputs!$B$6/100))*(F867/100)</f>
        <v/>
      </c>
      <c r="K867">
        <f>J867*(1+((Inputs!$B$11*(1+Inputs!$B$12/100))*0.01+Inputs!$B$13*0.0025)/100)*(1+Inputs!$B$14/100)*(1+IF(Inputs!$B$4="pvp",0,(1-Summary!$B$55)*(Inputs!$B$19+0+Skills!P14)+Summary!$B$55*(Inputs!$B$20+Skills!Q14))/100)*(1+Inputs!$B$15/100)*(5000/(6000+Inputs!$B$7*(1-(Inputs!$B$18+0)/100)))*(1+(Inputs!$B$23+((C879=TRUE)*(F879-Calc!F26))+B889)/100)*(1+(IF(Skills!A14="EIGHT_LEGS_EASTON",Inputs!$B$16+((C876=TRUE)*(F876-Calc!F23))+((C880=TRUE)*(F880-Calc!F27)),Inputs!$B$17+0))/100)*((1+(((C870=TRUE)*F870)+((C877=TRUE)*(F877-Calc!F24)))/100)*I867)</f>
        <v/>
      </c>
      <c r="L867">
        <f>K867*(MIN(Inputs!$B$21+((C875=TRUE)*(F875-Calc!F22)),Inputs!$B$22+0)/100+(Inputs!$B$22+0)/100)/2</f>
        <v/>
      </c>
      <c r="M867">
        <f>L867*(1+(Inputs!$B$9+((C878=TRUE)*(F878-Calc!F25))+B888)/100)</f>
        <v/>
      </c>
      <c r="N867">
        <f>L867*(1-MIN((Inputs!$B$8+((C872=TRUE)*(F872-Calc!F19))+B883),100)/100)+M867*(MIN((Inputs!$B$8+((C872=TRUE)*(F872-Calc!F19))+B883),100)/100)</f>
        <v/>
      </c>
      <c r="O867">
        <f>IF(C867,H867*N867*(B887+IF(AND(Inputs!$B$4&lt;&gt;"pvp",Inputs!$B$35&gt;0),((Skills!G8*((R861-1)*IF(Skills!H8&gt;0,Skills!I8/Skills!H8,1)+IF(Skills!H8&gt;0,MIN(Skills!I8,MAX(0,Inputs!$B$35-((R861-1)*IF(Inputs!$B$4="pvp",15,MAX(0.1,Skills!D8-IF(Skills!E8=TRUE,Inputs!$B$31,0))))))/Skills!H8,1)))/Inputs!$B$35),G861*Q861)+IF(AND(Inputs!$B$4&lt;&gt;"pvp",Inputs!$B$35&gt;0),((Skills!G11*((R864-1)*IF(Skills!H11&gt;0,Skills!I11/Skills!H11,1)+IF(Skills!H11&gt;0,MIN(Skills!I11,MAX(0,Inputs!$B$35-((R864-1)*IF(Inputs!$B$4="pvp",15,MAX(0.1,Skills!D11-IF(Skills!E11=TRUE,Inputs!$B$31,0))))))/Skills!H11,1)))/Inputs!$B$35),G864*Q864))*IF(Inputs!$B$4="pvp",1,(1-Summary!$B$55)*(1)+Summary!$B$55*(MIN(Skills!R14,Inputs!$B$37))),0)</f>
        <v/>
      </c>
      <c r="P867">
        <f>IF(B891=0,0,O867/B891)</f>
        <v/>
      </c>
      <c r="Q867" t="n">
        <v>0</v>
      </c>
      <c r="R867" t="n">
        <v>0</v>
      </c>
      <c r="S867">
        <f>IFERROR(O867/N867,0)</f>
        <v/>
      </c>
    </row>
    <row r="868">
      <c r="A868">
        <f>Skills!A15</f>
        <v/>
      </c>
      <c r="B868">
        <f>Skills!B15</f>
        <v/>
      </c>
      <c r="C868">
        <f>Inputs!$B$3&gt;=100</f>
        <v/>
      </c>
      <c r="D868">
        <f>IF(Skills!C15=1,60+Inputs!$B$24+(Inputs!$B$28+1),IF(Skills!C15=2,90+Inputs!$B$25+(Inputs!$B$28+1),IF(Skills!C15=3,120+Inputs!$B$26+(Inputs!$B$28+1),MAX(0,(Inputs!$B$3-100)*3)+Inputs!$B$27+(Inputs!$B$28+1))))</f>
        <v/>
      </c>
      <c r="E868">
        <f>INDEX(FactorTable!$B$2:$Y$301, MATCH(ROUND(MIN(300,MAX(1,D868)),0), FactorTable!$A$2:$A$301,0), Skills!M15+1)</f>
        <v/>
      </c>
      <c r="F868">
        <f>IF(Skills!N15=TRUE,(Skills!L15/10)*(E868/1000),Skills!L15/10)+Skills!O15</f>
        <v/>
      </c>
      <c r="G868" t="inlineStr"/>
      <c r="H868" t="inlineStr"/>
      <c r="I868" t="inlineStr">
        <is>
          <t>1</t>
        </is>
      </c>
      <c r="J868" t="inlineStr"/>
      <c r="K868" t="inlineStr"/>
      <c r="L868" t="inlineStr"/>
      <c r="M868" t="inlineStr"/>
      <c r="N868" t="inlineStr"/>
      <c r="O868" t="inlineStr"/>
      <c r="P868" t="inlineStr"/>
      <c r="Q868" t="inlineStr"/>
      <c r="R868" t="inlineStr"/>
      <c r="S868" t="inlineStr"/>
    </row>
    <row r="869">
      <c r="A869">
        <f>Skills!A16</f>
        <v/>
      </c>
      <c r="B869">
        <f>Skills!B16</f>
        <v/>
      </c>
      <c r="C869">
        <f>Inputs!$B$3&gt;=120</f>
        <v/>
      </c>
      <c r="D869">
        <f>IF(Skills!C16=1,60+Inputs!$B$24+(Inputs!$B$28+1),IF(Skills!C16=2,90+Inputs!$B$25+(Inputs!$B$28+1),IF(Skills!C16=3,120+Inputs!$B$26+(Inputs!$B$28+1),MAX(0,(Inputs!$B$3-100)*3)+Inputs!$B$27+(Inputs!$B$28+1))))</f>
        <v/>
      </c>
      <c r="E869">
        <f>INDEX(FactorTable!$B$2:$Y$301, MATCH(ROUND(MIN(300,MAX(1,D869)),0), FactorTable!$A$2:$A$301,0), Skills!M16+1)</f>
        <v/>
      </c>
      <c r="F869">
        <f>IF(Skills!N16=TRUE,(Skills!L16/10)*(E869/1000),Skills!L16/10)+Skills!O16</f>
        <v/>
      </c>
      <c r="G869" t="inlineStr"/>
      <c r="H869" t="inlineStr"/>
      <c r="I869" t="inlineStr">
        <is>
          <t>1</t>
        </is>
      </c>
      <c r="J869" t="inlineStr"/>
      <c r="K869" t="inlineStr"/>
      <c r="L869" t="inlineStr"/>
      <c r="M869" t="inlineStr"/>
      <c r="N869" t="inlineStr"/>
      <c r="O869" t="inlineStr"/>
      <c r="P869" t="inlineStr"/>
      <c r="Q869" t="inlineStr"/>
      <c r="R869" t="inlineStr"/>
      <c r="S869" t="inlineStr"/>
    </row>
    <row r="870">
      <c r="A870">
        <f>Skills!A17</f>
        <v/>
      </c>
      <c r="B870">
        <f>Skills!B17</f>
        <v/>
      </c>
      <c r="C870">
        <f>Inputs!$B$3&gt;=66</f>
        <v/>
      </c>
      <c r="D870">
        <f>IF(Skills!C17=1,60+Inputs!$B$24+(Inputs!$B$28+1),IF(Skills!C17=2,90+Inputs!$B$25+(Inputs!$B$28+1),IF(Skills!C17=3,120+Inputs!$B$26+(Inputs!$B$28+1),MAX(0,(Inputs!$B$3-100)*3)+Inputs!$B$27+(Inputs!$B$28+1))))</f>
        <v/>
      </c>
      <c r="E870">
        <f>INDEX(FactorTable!$B$2:$Y$301, MATCH(ROUND(MIN(300,MAX(1,D870)),0), FactorTable!$A$2:$A$301,0), Skills!M17+1)</f>
        <v/>
      </c>
      <c r="F870">
        <f>IF(Skills!N17=TRUE,(Skills!L17/10)*(E870/1000),Skills!L17/10)+Skills!O17</f>
        <v/>
      </c>
      <c r="G870">
        <f>Skills!G17*IF(Skills!H17&gt;0,Skills!I17/Skills!H17,1)</f>
        <v/>
      </c>
      <c r="H870">
        <f>1-(1-Skills!J17/100)^Skills!K17</f>
        <v/>
      </c>
      <c r="I870" t="inlineStr">
        <is>
          <t>1</t>
        </is>
      </c>
      <c r="J870" t="inlineStr"/>
      <c r="K870" t="inlineStr"/>
      <c r="L870" t="inlineStr"/>
      <c r="M870" t="inlineStr"/>
      <c r="N870" t="inlineStr"/>
      <c r="O870" t="n">
        <v>0</v>
      </c>
      <c r="P870">
        <f>IF(B891=0,0,O870/B891)</f>
        <v/>
      </c>
      <c r="Q870" t="n">
        <v>0</v>
      </c>
      <c r="R870" t="n">
        <v>0</v>
      </c>
      <c r="S870">
        <f>IFERROR(O870/N870,0)</f>
        <v/>
      </c>
    </row>
    <row r="871">
      <c r="A871">
        <f>Skills!A18</f>
        <v/>
      </c>
      <c r="B871">
        <f>Skills!B18</f>
        <v/>
      </c>
      <c r="C871">
        <f>Inputs!$B$3&gt;=115</f>
        <v/>
      </c>
      <c r="D871">
        <f>IF(Skills!C18=1,60+Inputs!$B$24+(Inputs!$B$28+1),IF(Skills!C18=2,90+Inputs!$B$25+(Inputs!$B$28+1),IF(Skills!C18=3,120+Inputs!$B$26+(Inputs!$B$28+1),MAX(0,(Inputs!$B$3-100)*3)+Inputs!$B$27+(Inputs!$B$28+1))))</f>
        <v/>
      </c>
      <c r="E871">
        <f>INDEX(FactorTable!$B$2:$Y$301, MATCH(ROUND(MIN(300,MAX(1,D871)),0), FactorTable!$A$2:$A$301,0), Skills!M18+1)</f>
        <v/>
      </c>
      <c r="F871">
        <f>IF(Skills!N18=TRUE,(Skills!L18/10)*(E871/1000),Skills!L18/10)+Skills!O18</f>
        <v/>
      </c>
      <c r="G871">
        <f>Skills!G18*IF(Skills!H18&gt;0,Skills!I18/Skills!H18,1)</f>
        <v/>
      </c>
      <c r="H871">
        <f>1-(1-Skills!J18/100)^Skills!K18</f>
        <v/>
      </c>
      <c r="I871" t="inlineStr">
        <is>
          <t>1</t>
        </is>
      </c>
      <c r="J871" t="inlineStr"/>
      <c r="K871" t="inlineStr"/>
      <c r="L871" t="inlineStr"/>
      <c r="M871" t="inlineStr"/>
      <c r="N871" t="inlineStr"/>
      <c r="O871" t="n">
        <v>0</v>
      </c>
      <c r="P871">
        <f>IF(B891=0,0,O871/B891)</f>
        <v/>
      </c>
      <c r="Q871" t="n">
        <v>0</v>
      </c>
      <c r="R871" t="n">
        <v>0</v>
      </c>
      <c r="S871">
        <f>IFERROR(O871/N871,0)</f>
        <v/>
      </c>
    </row>
    <row r="872">
      <c r="A872">
        <f>Skills!A19</f>
        <v/>
      </c>
      <c r="B872">
        <f>Skills!B19</f>
        <v/>
      </c>
      <c r="C872">
        <f>Inputs!$B$3&gt;=15</f>
        <v/>
      </c>
      <c r="D872">
        <f>IF(Skills!C19=1,60+Inputs!$B$24+(Inputs!$B$28+1),IF(Skills!C19=2,90+Inputs!$B$25+(Inputs!$B$28+1),IF(Skills!C19=3,120+Inputs!$B$26+(Inputs!$B$28+1),MAX(0,(Inputs!$B$3-100)*3)+Inputs!$B$27+(Inputs!$B$28+1))))</f>
        <v/>
      </c>
      <c r="E872">
        <f>INDEX(FactorTable!$B$2:$Y$301, MATCH(ROUND(MIN(300,MAX(1,D872)),0), FactorTable!$A$2:$A$301,0), Skills!M19+1)</f>
        <v/>
      </c>
      <c r="F872">
        <f>IF(Skills!N19=TRUE,(Skills!L19/10)*(E872/1000),Skills!L19/10)+Skills!O19</f>
        <v/>
      </c>
      <c r="G872">
        <f>Skills!G19*IF(Skills!H19&gt;0,Skills!I19/Skills!H19,1)</f>
        <v/>
      </c>
      <c r="H872">
        <f>1-(1-Skills!J19/100)^Skills!K19</f>
        <v/>
      </c>
      <c r="I872" t="inlineStr">
        <is>
          <t>1</t>
        </is>
      </c>
      <c r="J872" t="inlineStr"/>
      <c r="K872" t="inlineStr"/>
      <c r="L872" t="inlineStr"/>
      <c r="M872" t="inlineStr"/>
      <c r="N872" t="inlineStr"/>
      <c r="O872" t="n">
        <v>0</v>
      </c>
      <c r="P872">
        <f>IF(B891=0,0,O872/B891)</f>
        <v/>
      </c>
      <c r="Q872" t="n">
        <v>0</v>
      </c>
      <c r="R872" t="n">
        <v>0</v>
      </c>
      <c r="S872">
        <f>IFERROR(O872/N872,0)</f>
        <v/>
      </c>
    </row>
    <row r="873">
      <c r="A873">
        <f>Skills!A20</f>
        <v/>
      </c>
      <c r="B873">
        <f>Skills!B20</f>
        <v/>
      </c>
      <c r="C873">
        <f>Inputs!$B$3&gt;=10</f>
        <v/>
      </c>
      <c r="D873">
        <f>IF(Skills!C20=1,60+Inputs!$B$24+(Inputs!$B$28+1),IF(Skills!C20=2,90+Inputs!$B$25+(Inputs!$B$28+1),IF(Skills!C20=3,120+Inputs!$B$26+(Inputs!$B$28+1),MAX(0,(Inputs!$B$3-100)*3)+Inputs!$B$27+(Inputs!$B$28+1))))</f>
        <v/>
      </c>
      <c r="E873">
        <f>INDEX(FactorTable!$B$2:$Y$301, MATCH(ROUND(MIN(300,MAX(1,D873)),0), FactorTable!$A$2:$A$301,0), Skills!M20+1)</f>
        <v/>
      </c>
      <c r="F873">
        <f>IF(Skills!N20=TRUE,(Skills!L20/10)*(E873/1000),Skills!L20/10)+Skills!O20</f>
        <v/>
      </c>
      <c r="G873">
        <f>Skills!G20*IF(Skills!H20&gt;0,Skills!I20/Skills!H20,1)</f>
        <v/>
      </c>
      <c r="H873">
        <f>1-(1-Skills!J20/100)^Skills!K20</f>
        <v/>
      </c>
      <c r="I873" t="inlineStr">
        <is>
          <t>1</t>
        </is>
      </c>
      <c r="J873" t="inlineStr"/>
      <c r="K873" t="inlineStr"/>
      <c r="L873" t="inlineStr"/>
      <c r="M873" t="inlineStr"/>
      <c r="N873" t="inlineStr"/>
      <c r="O873" t="n">
        <v>0</v>
      </c>
      <c r="P873">
        <f>IF(B891=0,0,O873/B891)</f>
        <v/>
      </c>
      <c r="Q873" t="n">
        <v>0</v>
      </c>
      <c r="R873" t="n">
        <v>0</v>
      </c>
      <c r="S873">
        <f>IFERROR(O873/N873,0)</f>
        <v/>
      </c>
    </row>
    <row r="874">
      <c r="A874">
        <f>Skills!A21</f>
        <v/>
      </c>
      <c r="B874">
        <f>Skills!B21</f>
        <v/>
      </c>
      <c r="C874">
        <f>Inputs!$B$3&gt;=33</f>
        <v/>
      </c>
      <c r="D874">
        <f>IF(Skills!C21=1,60+Inputs!$B$24+(Inputs!$B$28+1),IF(Skills!C21=2,90+Inputs!$B$25+(Inputs!$B$28+1),IF(Skills!C21=3,120+Inputs!$B$26+(Inputs!$B$28+1),MAX(0,(Inputs!$B$3-100)*3)+Inputs!$B$27+(Inputs!$B$28+1))))</f>
        <v/>
      </c>
      <c r="E874">
        <f>INDEX(FactorTable!$B$2:$Y$301, MATCH(ROUND(MIN(300,MAX(1,D874)),0), FactorTable!$A$2:$A$301,0), Skills!M21+1)</f>
        <v/>
      </c>
      <c r="F874">
        <f>IF(Skills!N21=TRUE,(Skills!L21/10)*(E874/1000),Skills!L21/10)+Skills!O21</f>
        <v/>
      </c>
      <c r="G874">
        <f>Skills!G21*IF(Skills!H21&gt;0,Skills!I21/Skills!H21,1)</f>
        <v/>
      </c>
      <c r="H874">
        <f>1-(1-Skills!J21/100)^Skills!K21</f>
        <v/>
      </c>
      <c r="I874" t="inlineStr">
        <is>
          <t>1</t>
        </is>
      </c>
      <c r="J874" t="inlineStr"/>
      <c r="K874" t="inlineStr"/>
      <c r="L874" t="inlineStr"/>
      <c r="M874" t="inlineStr"/>
      <c r="N874" t="inlineStr"/>
      <c r="O874" t="n">
        <v>0</v>
      </c>
      <c r="P874">
        <f>IF(B891=0,0,O874/B891)</f>
        <v/>
      </c>
      <c r="Q874" t="n">
        <v>0</v>
      </c>
      <c r="R874" t="n">
        <v>0</v>
      </c>
      <c r="S874">
        <f>IFERROR(O874/N874,0)</f>
        <v/>
      </c>
    </row>
    <row r="875">
      <c r="A875">
        <f>Skills!A22</f>
        <v/>
      </c>
      <c r="B875">
        <f>Skills!B22</f>
        <v/>
      </c>
      <c r="C875">
        <f>Inputs!$B$3&gt;=43</f>
        <v/>
      </c>
      <c r="D875">
        <f>IF(Skills!C22=1,60+Inputs!$B$24+(Inputs!$B$28+1),IF(Skills!C22=2,90+Inputs!$B$25+(Inputs!$B$28+1),IF(Skills!C22=3,120+Inputs!$B$26+(Inputs!$B$28+1),MAX(0,(Inputs!$B$3-100)*3)+Inputs!$B$27+(Inputs!$B$28+1))))</f>
        <v/>
      </c>
      <c r="E875">
        <f>INDEX(FactorTable!$B$2:$Y$301, MATCH(ROUND(MIN(300,MAX(1,D875)),0), FactorTable!$A$2:$A$301,0), Skills!M22+1)</f>
        <v/>
      </c>
      <c r="F875">
        <f>IF(Skills!N22=TRUE,(Skills!L22/10)*(E875/1000),Skills!L22/10)+Skills!O22</f>
        <v/>
      </c>
      <c r="G875">
        <f>Skills!G22*IF(Skills!H22&gt;0,Skills!I22/Skills!H22,1)</f>
        <v/>
      </c>
      <c r="H875">
        <f>1-(1-Skills!J22/100)^Skills!K22</f>
        <v/>
      </c>
      <c r="I875" t="inlineStr">
        <is>
          <t>1</t>
        </is>
      </c>
      <c r="J875" t="inlineStr"/>
      <c r="K875" t="inlineStr"/>
      <c r="L875" t="inlineStr"/>
      <c r="M875" t="inlineStr"/>
      <c r="N875" t="inlineStr"/>
      <c r="O875" t="n">
        <v>0</v>
      </c>
      <c r="P875">
        <f>IF(B891=0,0,O875/B891)</f>
        <v/>
      </c>
      <c r="Q875" t="n">
        <v>0</v>
      </c>
      <c r="R875" t="n">
        <v>0</v>
      </c>
      <c r="S875">
        <f>IFERROR(O875/N875,0)</f>
        <v/>
      </c>
    </row>
    <row r="876">
      <c r="A876">
        <f>Skills!A23</f>
        <v/>
      </c>
      <c r="B876">
        <f>Skills!B23</f>
        <v/>
      </c>
      <c r="C876">
        <f>Inputs!$B$3&gt;=38</f>
        <v/>
      </c>
      <c r="D876">
        <f>IF(Skills!C23=1,60+Inputs!$B$24+(Inputs!$B$28+1),IF(Skills!C23=2,90+Inputs!$B$25+(Inputs!$B$28+1),IF(Skills!C23=3,120+Inputs!$B$26+(Inputs!$B$28+1),MAX(0,(Inputs!$B$3-100)*3)+Inputs!$B$27+(Inputs!$B$28+1))))</f>
        <v/>
      </c>
      <c r="E876">
        <f>INDEX(FactorTable!$B$2:$Y$301, MATCH(ROUND(MIN(300,MAX(1,D876)),0), FactorTable!$A$2:$A$301,0), Skills!M23+1)</f>
        <v/>
      </c>
      <c r="F876">
        <f>IF(Skills!N23=TRUE,(Skills!L23/10)*(E876/1000),Skills!L23/10)+Skills!O23</f>
        <v/>
      </c>
      <c r="G876">
        <f>Skills!G23*IF(Skills!H23&gt;0,Skills!I23/Skills!H23,1)</f>
        <v/>
      </c>
      <c r="H876">
        <f>1-(1-Skills!J23/100)^Skills!K23</f>
        <v/>
      </c>
      <c r="I876" t="inlineStr">
        <is>
          <t>1</t>
        </is>
      </c>
      <c r="J876" t="inlineStr"/>
      <c r="K876" t="inlineStr"/>
      <c r="L876" t="inlineStr"/>
      <c r="M876" t="inlineStr"/>
      <c r="N876" t="inlineStr"/>
      <c r="O876" t="n">
        <v>0</v>
      </c>
      <c r="P876">
        <f>IF(B891=0,0,O876/B891)</f>
        <v/>
      </c>
      <c r="Q876" t="n">
        <v>0</v>
      </c>
      <c r="R876" t="n">
        <v>0</v>
      </c>
      <c r="S876">
        <f>IFERROR(O876/N876,0)</f>
        <v/>
      </c>
    </row>
    <row r="877">
      <c r="A877">
        <f>Skills!A24</f>
        <v/>
      </c>
      <c r="B877">
        <f>Skills!B24</f>
        <v/>
      </c>
      <c r="C877">
        <f>Inputs!$B$3&gt;=40</f>
        <v/>
      </c>
      <c r="D877">
        <f>IF(Skills!C24=1,60+Inputs!$B$24+(Inputs!$B$28+1),IF(Skills!C24=2,90+Inputs!$B$25+(Inputs!$B$28+1),IF(Skills!C24=3,120+Inputs!$B$26+(Inputs!$B$28+1),MAX(0,(Inputs!$B$3-100)*3)+Inputs!$B$27+(Inputs!$B$28+1))))</f>
        <v/>
      </c>
      <c r="E877">
        <f>INDEX(FactorTable!$B$2:$Y$301, MATCH(ROUND(MIN(300,MAX(1,D877)),0), FactorTable!$A$2:$A$301,0), Skills!M24+1)</f>
        <v/>
      </c>
      <c r="F877">
        <f>IF(Skills!N24=TRUE,(Skills!L24/10)*(E877/1000),Skills!L24/10)+Skills!O24</f>
        <v/>
      </c>
      <c r="G877">
        <f>Skills!G24*IF(Skills!H24&gt;0,Skills!I24/Skills!H24,1)</f>
        <v/>
      </c>
      <c r="H877">
        <f>1-(1-Skills!J24/100)^Skills!K24</f>
        <v/>
      </c>
      <c r="I877" t="inlineStr">
        <is>
          <t>1</t>
        </is>
      </c>
      <c r="J877" t="inlineStr"/>
      <c r="K877" t="inlineStr"/>
      <c r="L877" t="inlineStr"/>
      <c r="M877" t="inlineStr"/>
      <c r="N877" t="inlineStr"/>
      <c r="O877" t="n">
        <v>0</v>
      </c>
      <c r="P877">
        <f>IF(B891=0,0,O877/B891)</f>
        <v/>
      </c>
      <c r="Q877" t="n">
        <v>0</v>
      </c>
      <c r="R877" t="n">
        <v>0</v>
      </c>
      <c r="S877">
        <f>IFERROR(O877/N877,0)</f>
        <v/>
      </c>
    </row>
    <row r="878">
      <c r="A878">
        <f>Skills!A25</f>
        <v/>
      </c>
      <c r="B878">
        <f>Skills!B25</f>
        <v/>
      </c>
      <c r="C878">
        <f>Inputs!$B$3&gt;=72</f>
        <v/>
      </c>
      <c r="D878">
        <f>IF(Skills!C25=1,60+Inputs!$B$24+(Inputs!$B$28+1),IF(Skills!C25=2,90+Inputs!$B$25+(Inputs!$B$28+1),IF(Skills!C25=3,120+Inputs!$B$26+(Inputs!$B$28+1),MAX(0,(Inputs!$B$3-100)*3)+Inputs!$B$27+(Inputs!$B$28+1))))</f>
        <v/>
      </c>
      <c r="E878">
        <f>INDEX(FactorTable!$B$2:$Y$301, MATCH(ROUND(MIN(300,MAX(1,D878)),0), FactorTable!$A$2:$A$301,0), Skills!M25+1)</f>
        <v/>
      </c>
      <c r="F878">
        <f>IF(Skills!N25=TRUE,(Skills!L25/10)*(E878/1000),Skills!L25/10)+Skills!O25</f>
        <v/>
      </c>
      <c r="G878">
        <f>Skills!G25*IF(Skills!H25&gt;0,Skills!I25/Skills!H25,1)</f>
        <v/>
      </c>
      <c r="H878">
        <f>1-(1-Skills!J25/100)^Skills!K25</f>
        <v/>
      </c>
      <c r="I878" t="inlineStr">
        <is>
          <t>1</t>
        </is>
      </c>
      <c r="J878" t="inlineStr"/>
      <c r="K878" t="inlineStr"/>
      <c r="L878" t="inlineStr"/>
      <c r="M878" t="inlineStr"/>
      <c r="N878" t="inlineStr"/>
      <c r="O878" t="n">
        <v>0</v>
      </c>
      <c r="P878">
        <f>IF(B891=0,0,O878/B891)</f>
        <v/>
      </c>
      <c r="Q878" t="n">
        <v>0</v>
      </c>
      <c r="R878" t="n">
        <v>0</v>
      </c>
      <c r="S878">
        <f>IFERROR(O878/N878,0)</f>
        <v/>
      </c>
    </row>
    <row r="879">
      <c r="A879">
        <f>Skills!A26</f>
        <v/>
      </c>
      <c r="B879">
        <f>Skills!B26</f>
        <v/>
      </c>
      <c r="C879">
        <f>Inputs!$B$3&gt;=75</f>
        <v/>
      </c>
      <c r="D879">
        <f>IF(Skills!C26=1,60+Inputs!$B$24+(Inputs!$B$28+1),IF(Skills!C26=2,90+Inputs!$B$25+(Inputs!$B$28+1),IF(Skills!C26=3,120+Inputs!$B$26+(Inputs!$B$28+1),MAX(0,(Inputs!$B$3-100)*3)+Inputs!$B$27+(Inputs!$B$28+1))))</f>
        <v/>
      </c>
      <c r="E879">
        <f>INDEX(FactorTable!$B$2:$Y$301, MATCH(ROUND(MIN(300,MAX(1,D879)),0), FactorTable!$A$2:$A$301,0), Skills!M26+1)</f>
        <v/>
      </c>
      <c r="F879">
        <f>IF(Skills!N26=TRUE,(Skills!L26/10)*(E879/1000),Skills!L26/10)+Skills!O26</f>
        <v/>
      </c>
      <c r="G879">
        <f>Skills!G26*IF(Skills!H26&gt;0,Skills!I26/Skills!H26,1)</f>
        <v/>
      </c>
      <c r="H879">
        <f>1-(1-Skills!J26/100)^Skills!K26</f>
        <v/>
      </c>
      <c r="I879" t="inlineStr">
        <is>
          <t>1</t>
        </is>
      </c>
      <c r="J879" t="inlineStr"/>
      <c r="K879" t="inlineStr"/>
      <c r="L879" t="inlineStr"/>
      <c r="M879" t="inlineStr"/>
      <c r="N879" t="inlineStr"/>
      <c r="O879" t="n">
        <v>0</v>
      </c>
      <c r="P879">
        <f>IF(B891=0,0,O879/B891)</f>
        <v/>
      </c>
      <c r="Q879" t="n">
        <v>0</v>
      </c>
      <c r="R879" t="n">
        <v>0</v>
      </c>
      <c r="S879">
        <f>IFERROR(O879/N879,0)</f>
        <v/>
      </c>
    </row>
    <row r="880">
      <c r="A880">
        <f>Skills!A27</f>
        <v/>
      </c>
      <c r="B880">
        <f>Skills!B27</f>
        <v/>
      </c>
      <c r="C880">
        <f>Inputs!$B$3&gt;=117</f>
        <v/>
      </c>
      <c r="D880">
        <f>IF(Skills!C27=1,60+Inputs!$B$24+(Inputs!$B$28+1),IF(Skills!C27=2,90+Inputs!$B$25+(Inputs!$B$28+1),IF(Skills!C27=3,120+Inputs!$B$26+(Inputs!$B$28+1),MAX(0,(Inputs!$B$3-100)*3)+Inputs!$B$27+(Inputs!$B$28+1))))</f>
        <v/>
      </c>
      <c r="E880">
        <f>INDEX(FactorTable!$B$2:$Y$301, MATCH(ROUND(MIN(300,MAX(1,D880)),0), FactorTable!$A$2:$A$301,0), Skills!M27+1)</f>
        <v/>
      </c>
      <c r="F880">
        <f>IF(Skills!N27=TRUE,(Skills!L27/10)*(E880/1000),Skills!L27/10)+Skills!O27</f>
        <v/>
      </c>
      <c r="G880">
        <f>Skills!G27*IF(Skills!H27&gt;0,Skills!I27/Skills!H27,1)</f>
        <v/>
      </c>
      <c r="H880">
        <f>1-(1-Skills!J27/100)^Skills!K27</f>
        <v/>
      </c>
      <c r="I880" t="inlineStr">
        <is>
          <t>1</t>
        </is>
      </c>
      <c r="J880" t="inlineStr"/>
      <c r="K880" t="inlineStr"/>
      <c r="L880" t="inlineStr"/>
      <c r="M880" t="inlineStr"/>
      <c r="N880" t="inlineStr"/>
      <c r="O880" t="n">
        <v>0</v>
      </c>
      <c r="P880">
        <f>IF(B891=0,0,O880/B891)</f>
        <v/>
      </c>
      <c r="Q880" t="n">
        <v>0</v>
      </c>
      <c r="R880" t="n">
        <v>0</v>
      </c>
      <c r="S880">
        <f>IFERROR(O880/N880,0)</f>
        <v/>
      </c>
    </row>
    <row r="882">
      <c r="A882" t="inlineStr">
        <is>
          <t>Attack% Bucket Multiplier</t>
        </is>
      </c>
      <c r="B882">
        <f>(1+(((C870=TRUE)*F870)+((C877=TRUE)*(F877-Calc!F24)))/100)</f>
        <v/>
      </c>
    </row>
    <row r="883">
      <c r="A883" t="inlineStr">
        <is>
          <t>Global Crit Rate Bonus %</t>
        </is>
      </c>
      <c r="B883" t="n">
        <v>0</v>
      </c>
    </row>
    <row r="884">
      <c r="A884" t="inlineStr">
        <is>
          <t>Attack Speed Buff Bonus % (unused)</t>
        </is>
      </c>
      <c r="B884" t="n">
        <v>0</v>
      </c>
    </row>
    <row r="885">
      <c r="A885" t="inlineStr">
        <is>
          <t>Actions Per Second</t>
        </is>
      </c>
      <c r="B885">
        <f>1+MIN(150,150*(1-(1-(Inputs!$B$10+((C873=TRUE)*(F873-Calc!F20))+((C874=TRUE)*(F874-Calc!F21)))/150)*(1-B884/150)))/100</f>
        <v/>
      </c>
    </row>
    <row r="886">
      <c r="A886" t="inlineStr">
        <is>
          <t>Skill + Buff Cast Rate</t>
        </is>
      </c>
      <c r="B886">
        <f>IF(AND(Inputs!$B$4&lt;&gt;"pvp",Inputs!$B$35&gt;0),SUMPRODUCT((Skills!E2:E27=TRUE)*(C855:C880=TRUE)*R855:R880*Skills!F2:F27)/Inputs!$B$35,SUMPRODUCT((Skills!E2:E27=TRUE)*(C855:C880=TRUE)*Q855:Q880*Skills!F2:F27))</f>
        <v/>
      </c>
    </row>
    <row r="887">
      <c r="A887" t="inlineStr">
        <is>
          <t>Eight-Legs Easton Casts Per Second</t>
        </is>
      </c>
      <c r="B887">
        <f>MAX(0,B885-B886)</f>
        <v/>
      </c>
    </row>
    <row r="888">
      <c r="A888" t="inlineStr">
        <is>
          <t>Global Critical Damage Bonus % (unused)</t>
        </is>
      </c>
      <c r="B888" t="n">
        <v>0</v>
      </c>
    </row>
    <row r="889">
      <c r="A889" t="inlineStr">
        <is>
          <t>Global Final Damage Bonus % (Jolly Roger only)</t>
        </is>
      </c>
      <c r="B889">
        <f>((C871=TRUE)*F871)</f>
        <v/>
      </c>
    </row>
    <row r="891">
      <c r="A891" s="5" t="inlineStr">
        <is>
          <t>TOTAL DPS</t>
        </is>
      </c>
      <c r="B891" s="5">
        <f>SUM(O855:O880)</f>
        <v/>
      </c>
    </row>
    <row r="894">
      <c r="A894" s="5" t="inlineStr">
        <is>
          <t>Stat: Flat ATTACK</t>
        </is>
      </c>
    </row>
    <row r="895">
      <c r="A895" s="8" t="inlineStr">
        <is>
          <t>Key</t>
        </is>
      </c>
      <c r="B895" s="8" t="inlineStr">
        <is>
          <t>Name</t>
        </is>
      </c>
      <c r="C895" s="8" t="inlineStr">
        <is>
          <t>Unlocked</t>
        </is>
      </c>
      <c r="D895" s="8" t="inlineStr">
        <is>
          <t>InputLevel</t>
        </is>
      </c>
      <c r="E895" s="8" t="inlineStr">
        <is>
          <t>Factor</t>
        </is>
      </c>
      <c r="F895" s="8" t="inlineStr">
        <is>
          <t>CoefficientPercent</t>
        </is>
      </c>
      <c r="G895" s="8" t="inlineStr">
        <is>
          <t>EffectiveHits</t>
        </is>
      </c>
      <c r="H895" s="8" t="inlineStr">
        <is>
          <t>ProcProbability</t>
        </is>
      </c>
      <c r="I895" s="8" t="inlineStr">
        <is>
          <t>MapleHeroMultiplier</t>
        </is>
      </c>
      <c r="J895" s="8" t="inlineStr">
        <is>
          <t>BaseDamage</t>
        </is>
      </c>
      <c r="K895" s="8" t="inlineStr">
        <is>
          <t>BaseHitDamage</t>
        </is>
      </c>
      <c r="L895" s="8" t="inlineStr">
        <is>
          <t>NonCritAvg</t>
        </is>
      </c>
      <c r="M895" s="8" t="inlineStr">
        <is>
          <t>CritAvg</t>
        </is>
      </c>
      <c r="N895" s="8" t="inlineStr">
        <is>
          <t>ExpectedDamage(perHit)</t>
        </is>
      </c>
      <c r="O895" s="8" t="inlineStr">
        <is>
          <t>DPS</t>
        </is>
      </c>
      <c r="P895" s="8" t="inlineStr">
        <is>
          <t>% of Total</t>
        </is>
      </c>
      <c r="Q895" s="8" t="inlineStr">
        <is>
          <t>InvCooldown</t>
        </is>
      </c>
      <c r="R895" s="8" t="inlineStr">
        <is>
          <t>CastsInFight</t>
        </is>
      </c>
      <c r="S895" s="8" t="inlineStr">
        <is>
          <t>HitRate(perSec)</t>
        </is>
      </c>
      <c r="U895" t="inlineStr">
        <is>
          <t>helpers</t>
        </is>
      </c>
    </row>
    <row r="896">
      <c r="A896">
        <f>Skills!A2</f>
        <v/>
      </c>
      <c r="B896">
        <f>Skills!B2</f>
        <v/>
      </c>
      <c r="C896">
        <f>Inputs!$B$3&gt;=100</f>
        <v/>
      </c>
      <c r="D896" t="inlineStr"/>
      <c r="E896" t="inlineStr"/>
      <c r="F896">
        <f>U898+Skills!O2</f>
        <v/>
      </c>
      <c r="G896">
        <f>Skills!G2*IF(Skills!H2&gt;0,Skills!I2/Skills!H2,1)</f>
        <v/>
      </c>
      <c r="H896">
        <f>1-(1-Skills!J2/100)^Skills!K2</f>
        <v/>
      </c>
      <c r="I896" t="inlineStr">
        <is>
          <t>1</t>
        </is>
      </c>
      <c r="J896">
        <f>((Inputs!$B$5+1)*(1+Inputs!$B$6/100))*(F896/100)</f>
        <v/>
      </c>
      <c r="K896">
        <f>J896*(1+((Inputs!$B$11*(1+Inputs!$B$12/100))*0.01+Inputs!$B$13*0.0025)/100)*(1+Inputs!$B$14/100)*(1+IF(Inputs!$B$4="pvp",0,(1-Summary!$B$55)*(Inputs!$B$19+0+Skills!P2)+Summary!$B$55*(Inputs!$B$20+Skills!Q2))/100)*(1+Inputs!$B$15/100)*(5000/(6000+Inputs!$B$7*(1-(Inputs!$B$18+0)/100)))*(1+(Inputs!$B$23+((C920=TRUE)*(F920-Calc!F26))+B930)/100)*(1+(IF(Skills!A2="EIGHT_LEGS_EASTON",Inputs!$B$16+((C917=TRUE)*(F917-Calc!F23))+((C921=TRUE)*(F921-Calc!F27)),Inputs!$B$17+0))/100)*((1+(((C911=TRUE)*F911)+((C918=TRUE)*(F918-Calc!F24)))/100)*I896)</f>
        <v/>
      </c>
      <c r="L896">
        <f>K896*(MIN(Inputs!$B$21+((C916=TRUE)*(F916-Calc!F22)),Inputs!$B$22+0)/100+(Inputs!$B$22+0)/100)/2</f>
        <v/>
      </c>
      <c r="M896">
        <f>L896*(1+(Inputs!$B$9+((C919=TRUE)*(F919-Calc!F25))+B929)/100)</f>
        <v/>
      </c>
      <c r="N896">
        <f>L896*(1-MIN((Inputs!$B$8+((C913=TRUE)*(F913-Calc!F19))+B924),100)/100)+M896*(MIN((Inputs!$B$8+((C913=TRUE)*(F913-Calc!F19))+B924),100)/100)</f>
        <v/>
      </c>
      <c r="O896">
        <f>IF(C896,Skills!G2*N896*B928*IF(Inputs!$B$4="pvp",1,(1-Summary!$B$55)*(1)+Summary!$B$55*(MIN((6+Inputs!$B$32),Inputs!$B$37))),0)</f>
        <v/>
      </c>
      <c r="P896">
        <f>IF(B932=0,0,O896/B932)</f>
        <v/>
      </c>
      <c r="Q896" t="n">
        <v>0</v>
      </c>
      <c r="R896" t="n">
        <v>0</v>
      </c>
      <c r="S896">
        <f>IFERROR(O896/N896,0)</f>
        <v/>
      </c>
      <c r="U896">
        <f>MAX(0,(Inputs!$B$3-100)*3)+Inputs!$B$27+Inputs!$B$28</f>
        <v/>
      </c>
    </row>
    <row r="897">
      <c r="A897">
        <f>Skills!A3</f>
        <v/>
      </c>
      <c r="B897">
        <f>Skills!B3</f>
        <v/>
      </c>
      <c r="C897">
        <f>Inputs!$B$3&gt;=35</f>
        <v/>
      </c>
      <c r="D897">
        <f>IF(Skills!C3=1,60+Inputs!$B$24+Inputs!$B$28,IF(Skills!C3=2,90+Inputs!$B$25+Inputs!$B$28,IF(Skills!C3=3,120+Inputs!$B$26+Inputs!$B$28,MAX(0,(Inputs!$B$3-100)*3)+Inputs!$B$27+Inputs!$B$28)))</f>
        <v/>
      </c>
      <c r="E897">
        <f>INDEX(FactorTable!$B$2:$Y$301, MATCH(ROUND(MIN(300,MAX(1,D897)),0), FactorTable!$A$2:$A$301,0), Skills!M3+1)</f>
        <v/>
      </c>
      <c r="F897">
        <f>IF(Skills!N3=TRUE,(Skills!L3/10)*(E897/1000),Skills!L3/10)+Skills!O3</f>
        <v/>
      </c>
      <c r="G897">
        <f>Skills!G3*IF(Skills!H3&gt;0,Skills!I3/Skills!H3,1)</f>
        <v/>
      </c>
      <c r="H897">
        <f>1-(1-Skills!J3/100)^Skills!K3</f>
        <v/>
      </c>
      <c r="I897" t="inlineStr">
        <is>
          <t>1</t>
        </is>
      </c>
      <c r="J897">
        <f>((Inputs!$B$5+1)*(1+Inputs!$B$6/100))*(F897/100)</f>
        <v/>
      </c>
      <c r="K897">
        <f>J897*(1+((Inputs!$B$11*(1+Inputs!$B$12/100))*0.01+Inputs!$B$13*0.0025)/100)*(1+Inputs!$B$14/100)*(1+IF(Inputs!$B$4="pvp",0,(1-Summary!$B$55)*(Inputs!$B$19+0+Skills!P3)+Summary!$B$55*(Inputs!$B$20+Skills!Q3))/100)*(1+Inputs!$B$15/100)*(5000/(6000+Inputs!$B$7*(1-(Inputs!$B$18+0)/100)))*(1+(Inputs!$B$23+((C920=TRUE)*(F920-Calc!F26))+B930)/100)*(1+4.0*IF(C909=TRUE,F909,0)/100)*(1+(IF(Skills!A3="EIGHT_LEGS_EASTON",Inputs!$B$16+((C917=TRUE)*(F917-Calc!F23))+((C921=TRUE)*(F921-Calc!F27)),Inputs!$B$17+0))/100)*((1+(((C911=TRUE)*F911)+((C918=TRUE)*(F918-Calc!F24)))/100)*I897)</f>
        <v/>
      </c>
      <c r="L897">
        <f>K897*(MIN(Inputs!$B$21+((C916=TRUE)*(F916-Calc!F22)),Inputs!$B$22+0)/100+(Inputs!$B$22+0)/100)/2</f>
        <v/>
      </c>
      <c r="M897">
        <f>L897*(1+(Inputs!$B$9+((C919=TRUE)*(F919-Calc!F25))+B929)/100)</f>
        <v/>
      </c>
      <c r="N897">
        <f>L897*(1-MIN((Inputs!$B$8+((C913=TRUE)*(F913-Calc!F19))+B924),100)/100)+M897*(MIN((Inputs!$B$8+((C913=TRUE)*(F913-Calc!F19))+B924),100)/100)</f>
        <v/>
      </c>
      <c r="O897">
        <f>IF(C897,H897*N897*IF(AND(Inputs!$B$4&lt;&gt;"pvp",Inputs!$B$35&gt;0),((Skills!G3*((R897-1)*IF(Skills!H3&gt;0,Skills!I3/Skills!H3,1)+IF(Skills!H3&gt;0,MIN(Skills!I3,MAX(0,Inputs!$B$35-((R897-1)*IF(Inputs!$B$4="pvp",15,MAX(0.1,Skills!D3-IF(Skills!E3=TRUE,Inputs!$B$31,0))))))/Skills!H3,1)))/Inputs!$B$35),G897*Q897)*IF(Inputs!$B$4="pvp",1,(1-Summary!$B$55)*(1)+Summary!$B$55*(MIN(Skills!R3,Inputs!$B$37))),0)</f>
        <v/>
      </c>
      <c r="P897">
        <f>IF(B932=0,0,O897/B932)</f>
        <v/>
      </c>
      <c r="Q897">
        <f>IFERROR(1/IF(Inputs!$B$4="pvp",15,MAX(0.1,Skills!D3-IF(Skills!E3=TRUE,Inputs!$B$31,0))),0)</f>
        <v/>
      </c>
      <c r="R897">
        <f>IF(AND(Inputs!$B$4&lt;&gt;"pvp",Inputs!$B$35&gt;0),(INT(Inputs!$B$35/IF(Inputs!$B$4="pvp",15,MAX(0.1,Skills!D3-IF(Skills!E3=TRUE,Inputs!$B$31,0))))+1),0)</f>
        <v/>
      </c>
      <c r="S897">
        <f>IFERROR(O897/N897,0)</f>
        <v/>
      </c>
      <c r="U897">
        <f>INDEX(FactorTable!$B$2:$Y$301, MATCH(ROUND(MIN(300,MAX(1,U896)),0), FactorTable!$A$2:$A$301,0), 22)</f>
        <v/>
      </c>
    </row>
    <row r="898">
      <c r="A898">
        <f>Skills!A4</f>
        <v/>
      </c>
      <c r="B898">
        <f>Skills!B4</f>
        <v/>
      </c>
      <c r="C898">
        <f>Inputs!$B$3&gt;=40</f>
        <v/>
      </c>
      <c r="D898">
        <f>IF(Skills!C4=1,60+Inputs!$B$24+Inputs!$B$28,IF(Skills!C4=2,90+Inputs!$B$25+Inputs!$B$28,IF(Skills!C4=3,120+Inputs!$B$26+Inputs!$B$28,MAX(0,(Inputs!$B$3-100)*3)+Inputs!$B$27+Inputs!$B$28)))</f>
        <v/>
      </c>
      <c r="E898">
        <f>INDEX(FactorTable!$B$2:$Y$301, MATCH(ROUND(MIN(300,MAX(1,D898)),0), FactorTable!$A$2:$A$301,0), Skills!M4+1)</f>
        <v/>
      </c>
      <c r="F898">
        <f>IF(Skills!N4=TRUE,(Skills!L4/10)*(E898/1000),Skills!L4/10)+Skills!O4</f>
        <v/>
      </c>
      <c r="G898">
        <f>Skills!G4*IF(Skills!H4&gt;0,Skills!I4/Skills!H4,1)</f>
        <v/>
      </c>
      <c r="H898">
        <f>1-(1-Skills!J4/100)^Skills!K4</f>
        <v/>
      </c>
      <c r="I898" t="inlineStr">
        <is>
          <t>1</t>
        </is>
      </c>
      <c r="J898">
        <f>((Inputs!$B$5+1)*(1+Inputs!$B$6/100))*(F898/100)</f>
        <v/>
      </c>
      <c r="K898">
        <f>J898*(1+((Inputs!$B$11*(1+Inputs!$B$12/100))*0.01+Inputs!$B$13*0.0025)/100)*(1+Inputs!$B$14/100)*(1+IF(Inputs!$B$4="pvp",0,(1-Summary!$B$55)*(Inputs!$B$19+0+Skills!P4)+Summary!$B$55*(Inputs!$B$20+Skills!Q4))/100)*(1+Inputs!$B$15/100)*(5000/(6000+Inputs!$B$7*(1-(Inputs!$B$18+0)/100)))*(1+(Inputs!$B$23+((C920=TRUE)*(F920-Calc!F26))+B930)/100)*(1+1.0*IF(C910=TRUE,F910,0)/100)*(1+(IF(Skills!A4="EIGHT_LEGS_EASTON",Inputs!$B$16+((C917=TRUE)*(F917-Calc!F23))+((C921=TRUE)*(F921-Calc!F27)),Inputs!$B$17+0))/100)*((1+(((C911=TRUE)*F911)+((C918=TRUE)*(F918-Calc!F24)))/100)*I898)</f>
        <v/>
      </c>
      <c r="L898">
        <f>K898*(MIN(Inputs!$B$21+((C916=TRUE)*(F916-Calc!F22)),Inputs!$B$22+0)/100+(Inputs!$B$22+0)/100)/2</f>
        <v/>
      </c>
      <c r="M898">
        <f>L898*(1+(Inputs!$B$9+((C919=TRUE)*(F919-Calc!F25))+B929)/100)</f>
        <v/>
      </c>
      <c r="N898">
        <f>L898*(1-MIN((Inputs!$B$8+((C913=TRUE)*(F913-Calc!F19))+B924),100)/100)+M898*(MIN((Inputs!$B$8+((C913=TRUE)*(F913-Calc!F19))+B924),100)/100)</f>
        <v/>
      </c>
      <c r="O898">
        <f>IF(C898,H898*N898*IF(AND(Inputs!$B$4&lt;&gt;"pvp",Inputs!$B$35&gt;0),((Skills!G4*((R898-1)*IF(Skills!H4&gt;0,Skills!I4/Skills!H4,1)+IF(Skills!H4&gt;0,MIN(Skills!I4,MAX(0,Inputs!$B$35-((R898-1)*IF(Inputs!$B$4="pvp",15,MAX(0.1,Skills!D4-IF(Skills!E4=TRUE,Inputs!$B$31,0))))))/Skills!H4,1)))/Inputs!$B$35),G898*Q898)*IF(Inputs!$B$4="pvp",1,(1-Summary!$B$55)*(1)+Summary!$B$55*(MIN(Skills!R4,Inputs!$B$37))),0)</f>
        <v/>
      </c>
      <c r="P898">
        <f>IF(B932=0,0,O898/B932)</f>
        <v/>
      </c>
      <c r="Q898">
        <f>IFERROR(1/IF(Inputs!$B$4="pvp",15,MAX(0.1,Skills!D4-IF(Skills!E4=TRUE,Inputs!$B$31,0))),0)</f>
        <v/>
      </c>
      <c r="R898">
        <f>IF(AND(Inputs!$B$4&lt;&gt;"pvp",Inputs!$B$35&gt;0),(INT(Inputs!$B$35/IF(Inputs!$B$4="pvp",15,MAX(0.1,Skills!D4-IF(Skills!E4=TRUE,Inputs!$B$31,0))))+1),0)</f>
        <v/>
      </c>
      <c r="S898">
        <f>IFERROR(O898/N898,0)</f>
        <v/>
      </c>
      <c r="U898">
        <f>290*U897/1000</f>
        <v/>
      </c>
    </row>
    <row r="899">
      <c r="A899">
        <f>Skills!A5</f>
        <v/>
      </c>
      <c r="B899">
        <f>Skills!B5</f>
        <v/>
      </c>
      <c r="C899">
        <f>Inputs!$B$3&gt;=45</f>
        <v/>
      </c>
      <c r="D899">
        <f>IF(Skills!C5=1,60+Inputs!$B$24+Inputs!$B$28,IF(Skills!C5=2,90+Inputs!$B$25+Inputs!$B$28,IF(Skills!C5=3,120+Inputs!$B$26+Inputs!$B$28,MAX(0,(Inputs!$B$3-100)*3)+Inputs!$B$27+Inputs!$B$28)))</f>
        <v/>
      </c>
      <c r="E899">
        <f>INDEX(FactorTable!$B$2:$Y$301, MATCH(ROUND(MIN(300,MAX(1,D899)),0), FactorTable!$A$2:$A$301,0), Skills!M5+1)</f>
        <v/>
      </c>
      <c r="F899">
        <f>IF(Skills!N5=TRUE,(Skills!L5/10)*(E899/1000),Skills!L5/10)+Skills!O5</f>
        <v/>
      </c>
      <c r="G899">
        <f>Skills!G5*IF(Skills!H5&gt;0,Skills!I5/Skills!H5,1)</f>
        <v/>
      </c>
      <c r="H899">
        <f>1-(1-Skills!J5/100)^Skills!K5</f>
        <v/>
      </c>
      <c r="I899" t="inlineStr">
        <is>
          <t>1</t>
        </is>
      </c>
      <c r="J899">
        <f>((Inputs!$B$5+1)*(1+Inputs!$B$6/100))*(F899/100)</f>
        <v/>
      </c>
      <c r="K899">
        <f>J899*(1+((Inputs!$B$11*(1+Inputs!$B$12/100))*0.01+Inputs!$B$13*0.0025)/100)*(1+Inputs!$B$14/100)*(1+IF(Inputs!$B$4="pvp",0,(1-Summary!$B$55)*(Inputs!$B$19+0+Skills!P5)+Summary!$B$55*(Inputs!$B$20+Skills!Q5))/100)*(1+Inputs!$B$15/100)*(5000/(6000+Inputs!$B$7*(1-(Inputs!$B$18+0)/100)))*(1+(Inputs!$B$23+((C920=TRUE)*(F920-Calc!F26))+B930)/100)*(1+0.4*IF(C910=TRUE,F910,0)/100)*(1+(IF(Skills!A5="EIGHT_LEGS_EASTON",Inputs!$B$16+((C917=TRUE)*(F917-Calc!F23))+((C921=TRUE)*(F921-Calc!F27)),Inputs!$B$17+0))/100)*((1+(((C911=TRUE)*F911)+((C918=TRUE)*(F918-Calc!F24)))/100)*I899)</f>
        <v/>
      </c>
      <c r="L899">
        <f>K899*(MIN(Inputs!$B$21+((C916=TRUE)*(F916-Calc!F22)),Inputs!$B$22+0)/100+(Inputs!$B$22+0)/100)/2</f>
        <v/>
      </c>
      <c r="M899">
        <f>L899*(1+(Inputs!$B$9+((C919=TRUE)*(F919-Calc!F25))+B929)/100)</f>
        <v/>
      </c>
      <c r="N899">
        <f>L899*(1-MIN((Inputs!$B$8+((C913=TRUE)*(F913-Calc!F19))+B924),100)/100)+M899*(MIN((Inputs!$B$8+((C913=TRUE)*(F913-Calc!F19))+B924),100)/100)</f>
        <v/>
      </c>
      <c r="O899">
        <f>IF(C899,H899*N899*IF(AND(Inputs!$B$4&lt;&gt;"pvp",Inputs!$B$35&gt;0),((Skills!G5*((R899-1)*IF(Skills!H5&gt;0,Skills!I5/Skills!H5,1)+IF(Skills!H5&gt;0,MIN(Skills!I5,MAX(0,Inputs!$B$35-((R899-1)*IF(Inputs!$B$4="pvp",15,MAX(0.1,Skills!D5-IF(Skills!E5=TRUE,Inputs!$B$31,0))))))/Skills!H5,1)))/Inputs!$B$35),G899*Q899)*IF(Inputs!$B$4="pvp",1,(1-Summary!$B$55)*(1)+Summary!$B$55*(MIN(Skills!R5,Inputs!$B$37))),0)</f>
        <v/>
      </c>
      <c r="P899">
        <f>IF(B932=0,0,O899/B932)</f>
        <v/>
      </c>
      <c r="Q899">
        <f>IFERROR(1/IF(Inputs!$B$4="pvp",15,MAX(0.1,Skills!D5-IF(Skills!E5=TRUE,Inputs!$B$31,0))),0)</f>
        <v/>
      </c>
      <c r="R899">
        <f>IF(AND(Inputs!$B$4&lt;&gt;"pvp",Inputs!$B$35&gt;0),(INT(Inputs!$B$35/IF(Inputs!$B$4="pvp",15,MAX(0.1,Skills!D5-IF(Skills!E5=TRUE,Inputs!$B$31,0))))+1),0)</f>
        <v/>
      </c>
      <c r="S899">
        <f>IFERROR(O899/N899,0)</f>
        <v/>
      </c>
    </row>
    <row r="900">
      <c r="A900">
        <f>Skills!A6</f>
        <v/>
      </c>
      <c r="B900">
        <f>Skills!B6</f>
        <v/>
      </c>
      <c r="C900">
        <f>Inputs!$B$3&gt;=63</f>
        <v/>
      </c>
      <c r="D900">
        <f>IF(Skills!C6=1,60+Inputs!$B$24+Inputs!$B$28,IF(Skills!C6=2,90+Inputs!$B$25+Inputs!$B$28,IF(Skills!C6=3,120+Inputs!$B$26+Inputs!$B$28,MAX(0,(Inputs!$B$3-100)*3)+Inputs!$B$27+Inputs!$B$28)))</f>
        <v/>
      </c>
      <c r="E900">
        <f>INDEX(FactorTable!$B$2:$Y$301, MATCH(ROUND(MIN(300,MAX(1,D900)),0), FactorTable!$A$2:$A$301,0), Skills!M6+1)</f>
        <v/>
      </c>
      <c r="F900">
        <f>IF(Skills!N6=TRUE,(Skills!L6/10)*(E900/1000),Skills!L6/10)+Skills!O6</f>
        <v/>
      </c>
      <c r="G900">
        <f>Skills!G6*IF(Skills!H6&gt;0,Skills!I6/Skills!H6,1)</f>
        <v/>
      </c>
      <c r="H900">
        <f>1-(1-Skills!J6/100)^Skills!K6</f>
        <v/>
      </c>
      <c r="I900" t="inlineStr">
        <is>
          <t>1</t>
        </is>
      </c>
      <c r="J900">
        <f>((Inputs!$B$5+1)*(1+Inputs!$B$6/100))*(F900/100)</f>
        <v/>
      </c>
      <c r="K900">
        <f>J900*(1+((Inputs!$B$11*(1+Inputs!$B$12/100))*0.01+Inputs!$B$13*0.0025)/100)*(1+Inputs!$B$14/100)*(1+IF(Inputs!$B$4="pvp",0,(1-Summary!$B$55)*(Inputs!$B$19+0+Skills!P6)+Summary!$B$55*(Inputs!$B$20+Skills!Q6))/100)*(1+Inputs!$B$15/100)*(5000/(6000+Inputs!$B$7*(1-(Inputs!$B$18+0)/100)))*(1+(Inputs!$B$23+((C920=TRUE)*(F920-Calc!F26))+B930)/100)*(1+2.0*IF(C909=TRUE,F909,0)/100)*(1+(IF(Skills!A6="EIGHT_LEGS_EASTON",Inputs!$B$16+((C917=TRUE)*(F917-Calc!F23))+((C921=TRUE)*(F921-Calc!F27)),Inputs!$B$17+0))/100)*((1+(((C911=TRUE)*F911)+((C918=TRUE)*(F918-Calc!F24)))/100)*I900)</f>
        <v/>
      </c>
      <c r="L900">
        <f>K900*(MIN(Inputs!$B$21+((C916=TRUE)*(F916-Calc!F22)),Inputs!$B$22+0)/100+(Inputs!$B$22+0)/100)/2</f>
        <v/>
      </c>
      <c r="M900">
        <f>L900*(1+(Inputs!$B$9+((C919=TRUE)*(F919-Calc!F25))+B929)/100)</f>
        <v/>
      </c>
      <c r="N900">
        <f>L900*(1-MIN((Inputs!$B$8+((C913=TRUE)*(F913-Calc!F19))+B924),100)/100)+M900*(MIN((Inputs!$B$8+((C913=TRUE)*(F913-Calc!F19))+B924),100)/100)</f>
        <v/>
      </c>
      <c r="O900">
        <f>IF(C900,H900*N900*IF(AND(Inputs!$B$4&lt;&gt;"pvp",Inputs!$B$35&gt;0),((Skills!G6*((R900-1)*IF(Skills!H6&gt;0,Skills!I6/Skills!H6,1)+IF(Skills!H6&gt;0,MIN(Skills!I6,MAX(0,Inputs!$B$35-((R900-1)*IF(Inputs!$B$4="pvp",15,MAX(0.1,Skills!D6-IF(Skills!E6=TRUE,Inputs!$B$31,0))))))/Skills!H6,1)))/Inputs!$B$35),G900*Q900)*IF(Inputs!$B$4="pvp",1,(1-Summary!$B$55)*(1)+Summary!$B$55*(MIN(Skills!R6,Inputs!$B$37))),0)</f>
        <v/>
      </c>
      <c r="P900">
        <f>IF(B932=0,0,O900/B932)</f>
        <v/>
      </c>
      <c r="Q900">
        <f>IFERROR(1/IF(Inputs!$B$4="pvp",15,MAX(0.1,Skills!D6-IF(Skills!E6=TRUE,Inputs!$B$31,0))),0)</f>
        <v/>
      </c>
      <c r="R900">
        <f>IF(AND(Inputs!$B$4&lt;&gt;"pvp",Inputs!$B$35&gt;0),(INT(Inputs!$B$35/IF(Inputs!$B$4="pvp",15,MAX(0.1,Skills!D6-IF(Skills!E6=TRUE,Inputs!$B$31,0))))+1),0)</f>
        <v/>
      </c>
      <c r="S900">
        <f>IFERROR(O900/N900,0)</f>
        <v/>
      </c>
    </row>
    <row r="901">
      <c r="A901">
        <f>Skills!A7</f>
        <v/>
      </c>
      <c r="B901">
        <f>Skills!B7</f>
        <v/>
      </c>
      <c r="C901">
        <f>Inputs!$B$3&gt;=66</f>
        <v/>
      </c>
      <c r="D901">
        <f>IF(Skills!C7=1,60+Inputs!$B$24+Inputs!$B$28,IF(Skills!C7=2,90+Inputs!$B$25+Inputs!$B$28,IF(Skills!C7=3,120+Inputs!$B$26+Inputs!$B$28,MAX(0,(Inputs!$B$3-100)*3)+Inputs!$B$27+Inputs!$B$28)))</f>
        <v/>
      </c>
      <c r="E901">
        <f>INDEX(FactorTable!$B$2:$Y$301, MATCH(ROUND(MIN(300,MAX(1,D901)),0), FactorTable!$A$2:$A$301,0), Skills!M7+1)</f>
        <v/>
      </c>
      <c r="F901">
        <f>IF(Skills!N7=TRUE,(Skills!L7/10)*(E901/1000),Skills!L7/10)+Skills!O7</f>
        <v/>
      </c>
      <c r="G901">
        <f>Skills!G7*IF(Skills!H7&gt;0,Skills!I7/Skills!H7,1)</f>
        <v/>
      </c>
      <c r="H901">
        <f>1-(1-Skills!J7/100)^Skills!K7</f>
        <v/>
      </c>
      <c r="I901" t="inlineStr">
        <is>
          <t>1</t>
        </is>
      </c>
      <c r="J901">
        <f>((Inputs!$B$5+1)*(1+Inputs!$B$6/100))*(F901/100)</f>
        <v/>
      </c>
      <c r="K901">
        <f>J901*(1+((Inputs!$B$11*(1+Inputs!$B$12/100))*0.01+Inputs!$B$13*0.0025)/100)*(1+Inputs!$B$14/100)*(1+IF(Inputs!$B$4="pvp",0,(1-Summary!$B$55)*(Inputs!$B$19+0+Skills!P7)+Summary!$B$55*(Inputs!$B$20+Skills!Q7))/100)*(1+Inputs!$B$15/100)*(5000/(6000+Inputs!$B$7*(1-(Inputs!$B$18+0)/100)))*(1+(Inputs!$B$23+((C920=TRUE)*(F920-Calc!F26))+B930)/100)*(1+1.0*IF(C909=TRUE,F909,0)/100)*(1+(IF(Skills!A7="EIGHT_LEGS_EASTON",Inputs!$B$16+((C917=TRUE)*(F917-Calc!F23))+((C921=TRUE)*(F921-Calc!F27)),Inputs!$B$17+0))/100)*((1+(((C911=TRUE)*F911)+((C918=TRUE)*(F918-Calc!F24)))/100)*I901)</f>
        <v/>
      </c>
      <c r="L901">
        <f>K901*(MIN(Inputs!$B$21+((C916=TRUE)*(F916-Calc!F22)),Inputs!$B$22+0)/100+(Inputs!$B$22+0)/100)/2</f>
        <v/>
      </c>
      <c r="M901">
        <f>L901*(1+(Inputs!$B$9+((C919=TRUE)*(F919-Calc!F25))+B929)/100)</f>
        <v/>
      </c>
      <c r="N901">
        <f>L901*(1-MIN((Inputs!$B$8+((C913=TRUE)*(F913-Calc!F19))+B924),100)/100)+M901*(MIN((Inputs!$B$8+((C913=TRUE)*(F913-Calc!F19))+B924),100)/100)</f>
        <v/>
      </c>
      <c r="O901">
        <f>IF(C901,H901*N901*IF(AND(Inputs!$B$4&lt;&gt;"pvp",Inputs!$B$35&gt;0),((Skills!G7*((R901-1)*IF(Skills!H7&gt;0,Skills!I7/Skills!H7,1)+IF(Skills!H7&gt;0,MIN(Skills!I7,MAX(0,Inputs!$B$35-((R901-1)*IF(Inputs!$B$4="pvp",15,MAX(0.1,Skills!D7-IF(Skills!E7=TRUE,Inputs!$B$31,0))))))/Skills!H7,1)))/Inputs!$B$35),G901*Q901)*IF(Inputs!$B$4="pvp",1,(1-Summary!$B$55)*(1)+Summary!$B$55*(MIN(Skills!R7,Inputs!$B$37))),0)</f>
        <v/>
      </c>
      <c r="P901">
        <f>IF(B932=0,0,O901/B932)</f>
        <v/>
      </c>
      <c r="Q901">
        <f>IFERROR(1/IF(Inputs!$B$4="pvp",15,MAX(0.1,Skills!D7-IF(Skills!E7=TRUE,Inputs!$B$31,0))),0)</f>
        <v/>
      </c>
      <c r="R901">
        <f>IF(AND(Inputs!$B$4&lt;&gt;"pvp",Inputs!$B$35&gt;0),(INT(Inputs!$B$35/IF(Inputs!$B$4="pvp",15,MAX(0.1,Skills!D7-IF(Skills!E7=TRUE,Inputs!$B$31,0))))+1),0)</f>
        <v/>
      </c>
      <c r="S901">
        <f>IFERROR(O901/N901,0)</f>
        <v/>
      </c>
    </row>
    <row r="902">
      <c r="A902">
        <f>Skills!A8</f>
        <v/>
      </c>
      <c r="B902">
        <f>Skills!B8</f>
        <v/>
      </c>
      <c r="C902">
        <f>Inputs!$B$3&gt;=100</f>
        <v/>
      </c>
      <c r="D902">
        <f>IF(Skills!C8=1,60+Inputs!$B$24+Inputs!$B$28,IF(Skills!C8=2,90+Inputs!$B$25+Inputs!$B$28,IF(Skills!C8=3,120+Inputs!$B$26+Inputs!$B$28,MAX(0,(Inputs!$B$3-100)*3)+Inputs!$B$27+Inputs!$B$28)))</f>
        <v/>
      </c>
      <c r="E902">
        <f>INDEX(FactorTable!$B$2:$Y$301, MATCH(ROUND(MIN(300,MAX(1,D902)),0), FactorTable!$A$2:$A$301,0), Skills!M8+1)</f>
        <v/>
      </c>
      <c r="F902">
        <f>IF(Skills!N8=TRUE,(Skills!L8/10)*(E902/1000),Skills!L8/10)+Skills!O8</f>
        <v/>
      </c>
      <c r="G902">
        <f>Skills!G8*IF(Skills!H8&gt;0,Skills!I8/Skills!H8,1)</f>
        <v/>
      </c>
      <c r="H902">
        <f>1-(1-Skills!J8/100)^Skills!K8</f>
        <v/>
      </c>
      <c r="I902" t="inlineStr">
        <is>
          <t>1</t>
        </is>
      </c>
      <c r="J902">
        <f>((Inputs!$B$5+1)*(1+Inputs!$B$6/100))*(F902/100)</f>
        <v/>
      </c>
      <c r="K902">
        <f>J902*(1+((Inputs!$B$11*(1+Inputs!$B$12/100))*0.01+Inputs!$B$13*0.0025)/100)*(1+Inputs!$B$14/100)*(1+IF(Inputs!$B$4="pvp",0,(1-Summary!$B$55)*(Inputs!$B$19+0+Skills!P8)+Summary!$B$55*(Inputs!$B$20+Skills!Q8))/100)*(1+Inputs!$B$15/100)*(5000/(6000+Inputs!$B$7*(1-(Inputs!$B$18+0)/100)))*(1+(Inputs!$B$23+((C920=TRUE)*(F920-Calc!F26))+B930)/100)*(1+(IF(Skills!A8="EIGHT_LEGS_EASTON",Inputs!$B$16+((C917=TRUE)*(F917-Calc!F23))+((C921=TRUE)*(F921-Calc!F27)),Inputs!$B$17+0))/100)*((1+(((C911=TRUE)*F911)+((C918=TRUE)*(F918-Calc!F24)))/100)*I902)</f>
        <v/>
      </c>
      <c r="L902">
        <f>K902*(MIN(Inputs!$B$21+((C916=TRUE)*(F916-Calc!F22)),Inputs!$B$22+0)/100+(Inputs!$B$22+0)/100)/2</f>
        <v/>
      </c>
      <c r="M902">
        <f>L902*(1+(Inputs!$B$9+((C919=TRUE)*(F919-Calc!F25))+B929)/100)</f>
        <v/>
      </c>
      <c r="N902">
        <f>L902*(1-MIN((Inputs!$B$8+((C913=TRUE)*(F913-Calc!F19))+B924),100)/100)+M902*(MIN((Inputs!$B$8+((C913=TRUE)*(F913-Calc!F19))+B924),100)/100)</f>
        <v/>
      </c>
      <c r="O902">
        <f>IF(C902,H902*N902*IF(AND(Inputs!$B$4&lt;&gt;"pvp",Inputs!$B$35&gt;0),((Skills!G8*((R902-1)*IF(Skills!H8&gt;0,Skills!I8/Skills!H8,1)+IF(Skills!H8&gt;0,MIN(Skills!I8,MAX(0,Inputs!$B$35-((R902-1)*IF(Inputs!$B$4="pvp",15,MAX(0.1,Skills!D8-IF(Skills!E8=TRUE,Inputs!$B$31,0))))))/Skills!H8,1)))/Inputs!$B$35),G902*Q902)*IF(Inputs!$B$4="pvp",1,(1-Summary!$B$55)*(1)+Summary!$B$55*(MIN(Skills!R8,Inputs!$B$37))),0)</f>
        <v/>
      </c>
      <c r="P902">
        <f>IF(B932=0,0,O902/B932)</f>
        <v/>
      </c>
      <c r="Q902">
        <f>IFERROR(1/IF(Inputs!$B$4="pvp",15,MAX(0.1,Skills!D8-IF(Skills!E8=TRUE,Inputs!$B$31,0))),0)</f>
        <v/>
      </c>
      <c r="R902">
        <f>IF(AND(Inputs!$B$4&lt;&gt;"pvp",Inputs!$B$35&gt;0),(INT(Inputs!$B$35/IF(Inputs!$B$4="pvp",15,MAX(0.1,Skills!D8-IF(Skills!E8=TRUE,Inputs!$B$31,0))))+1),0)</f>
        <v/>
      </c>
      <c r="S902">
        <f>IFERROR(O902/N902,0)</f>
        <v/>
      </c>
    </row>
    <row r="903">
      <c r="A903">
        <f>Skills!A9</f>
        <v/>
      </c>
      <c r="B903">
        <f>Skills!B9</f>
        <v/>
      </c>
      <c r="C903">
        <f>Inputs!$B$3&gt;=103</f>
        <v/>
      </c>
      <c r="D903">
        <f>IF(Skills!C9=1,60+Inputs!$B$24+Inputs!$B$28,IF(Skills!C9=2,90+Inputs!$B$25+Inputs!$B$28,IF(Skills!C9=3,120+Inputs!$B$26+Inputs!$B$28,MAX(0,(Inputs!$B$3-100)*3)+Inputs!$B$27+Inputs!$B$28)))</f>
        <v/>
      </c>
      <c r="E903">
        <f>INDEX(FactorTable!$B$2:$Y$301, MATCH(ROUND(MIN(300,MAX(1,D903)),0), FactorTable!$A$2:$A$301,0), Skills!M9+1)</f>
        <v/>
      </c>
      <c r="F903">
        <f>IF(Skills!N9=TRUE,(Skills!L9/10)*(E903/1000),Skills!L9/10)+Skills!O9</f>
        <v/>
      </c>
      <c r="G903">
        <f>Skills!G9*IF(Skills!H9&gt;0,Skills!I9/Skills!H9,1)</f>
        <v/>
      </c>
      <c r="H903">
        <f>1-(1-Skills!J9/100)^Skills!K9</f>
        <v/>
      </c>
      <c r="I903" t="inlineStr">
        <is>
          <t>1</t>
        </is>
      </c>
      <c r="J903">
        <f>((Inputs!$B$5+1)*(1+Inputs!$B$6/100))*(F903/100)</f>
        <v/>
      </c>
      <c r="K903">
        <f>J903*(1+((Inputs!$B$11*(1+Inputs!$B$12/100))*0.01+Inputs!$B$13*0.0025)/100)*(1+Inputs!$B$14/100)*(1+IF(Inputs!$B$4="pvp",0,(1-Summary!$B$55)*(Inputs!$B$19+0+Skills!P9)+Summary!$B$55*(Inputs!$B$20+Skills!Q9))/100)*(1+Inputs!$B$15/100)*(5000/(6000+Inputs!$B$7*(1-(Inputs!$B$18+0)/100)))*(1+(Inputs!$B$23+((C920=TRUE)*(F920-Calc!F26))+B930)/100)*(1+(IF(Skills!A9="EIGHT_LEGS_EASTON",Inputs!$B$16+((C917=TRUE)*(F917-Calc!F23))+((C921=TRUE)*(F921-Calc!F27)),Inputs!$B$17+0))/100)*((1+(((C911=TRUE)*F911)+((C918=TRUE)*(F918-Calc!F24)))/100)*I903)</f>
        <v/>
      </c>
      <c r="L903">
        <f>K903*(MIN(Inputs!$B$21+((C916=TRUE)*(F916-Calc!F22)),Inputs!$B$22+0)/100+(Inputs!$B$22+0)/100)/2</f>
        <v/>
      </c>
      <c r="M903">
        <f>L903*(1+(Inputs!$B$9+((C919=TRUE)*(F919-Calc!F25))+B929)/100)</f>
        <v/>
      </c>
      <c r="N903">
        <f>L903*(1-MIN((Inputs!$B$8+((C913=TRUE)*(F913-Calc!F19))+B924),100)/100)+M903*(MIN((Inputs!$B$8+((C913=TRUE)*(F913-Calc!F19))+B924),100)/100)</f>
        <v/>
      </c>
      <c r="O903">
        <f>IF(C903,H903*N903*IF(AND(Inputs!$B$4&lt;&gt;"pvp",Inputs!$B$35&gt;0),((Skills!G9*((R903-1)*IF(Skills!H9&gt;0,Skills!I9/Skills!H9,1)+IF(Skills!H9&gt;0,MIN(Skills!I9,MAX(0,Inputs!$B$35-((R903-1)*IF(Inputs!$B$4="pvp",15,MAX(0.1,Skills!D9-IF(Skills!E9=TRUE,Inputs!$B$31,0))))))/Skills!H9,1)))/Inputs!$B$35),G903*Q903)*IF(Inputs!$B$4="pvp",1,(1-Summary!$B$55)*(1)+Summary!$B$55*(MIN(Skills!R9,Inputs!$B$37))),0)</f>
        <v/>
      </c>
      <c r="P903">
        <f>IF(B932=0,0,O903/B932)</f>
        <v/>
      </c>
      <c r="Q903">
        <f>IFERROR(1/IF(Inputs!$B$4="pvp",15,MAX(0.1,Skills!D9-IF(Skills!E9=TRUE,Inputs!$B$31,0))),0)</f>
        <v/>
      </c>
      <c r="R903">
        <f>IF(AND(Inputs!$B$4&lt;&gt;"pvp",Inputs!$B$35&gt;0),(INT(Inputs!$B$35/IF(Inputs!$B$4="pvp",15,MAX(0.1,Skills!D9-IF(Skills!E9=TRUE,Inputs!$B$31,0))))+1),0)</f>
        <v/>
      </c>
      <c r="S903">
        <f>IFERROR(O903/N903,0)</f>
        <v/>
      </c>
    </row>
    <row r="904">
      <c r="A904">
        <f>Skills!A10</f>
        <v/>
      </c>
      <c r="B904">
        <f>Skills!B10</f>
        <v/>
      </c>
      <c r="C904">
        <f>Inputs!$B$3&gt;=113</f>
        <v/>
      </c>
      <c r="D904">
        <f>IF(Skills!C10=1,60+Inputs!$B$24+Inputs!$B$28,IF(Skills!C10=2,90+Inputs!$B$25+Inputs!$B$28,IF(Skills!C10=3,120+Inputs!$B$26+Inputs!$B$28,MAX(0,(Inputs!$B$3-100)*3)+Inputs!$B$27+Inputs!$B$28)))</f>
        <v/>
      </c>
      <c r="E904">
        <f>INDEX(FactorTable!$B$2:$Y$301, MATCH(ROUND(MIN(300,MAX(1,D904)),0), FactorTable!$A$2:$A$301,0), Skills!M10+1)</f>
        <v/>
      </c>
      <c r="F904">
        <f>IF(Skills!N10=TRUE,(Skills!L10/10)*(E904/1000),Skills!L10/10)+Skills!O10</f>
        <v/>
      </c>
      <c r="G904">
        <f>Skills!G10*IF(Skills!H10&gt;0,Skills!I10/Skills!H10,1)</f>
        <v/>
      </c>
      <c r="H904">
        <f>1-(1-Skills!J10/100)^Skills!K10</f>
        <v/>
      </c>
      <c r="I904" t="inlineStr">
        <is>
          <t>1</t>
        </is>
      </c>
      <c r="J904">
        <f>((Inputs!$B$5+1)*(1+Inputs!$B$6/100))*(F904/100)</f>
        <v/>
      </c>
      <c r="K904">
        <f>J904*(1+((Inputs!$B$11*(1+Inputs!$B$12/100))*0.01+Inputs!$B$13*0.0025)/100)*(1+Inputs!$B$14/100)*(1+IF(Inputs!$B$4="pvp",0,(1-Summary!$B$55)*(Inputs!$B$19+0+Skills!P10)+Summary!$B$55*(Inputs!$B$20+Skills!Q10))/100)*(1+Inputs!$B$15/100)*(5000/(6000+Inputs!$B$7*(1-(Inputs!$B$18+0)/100)))*(1+(Inputs!$B$23+((C920=TRUE)*(F920-Calc!F26))+B930)/100)*(1+(IF(Skills!A10="EIGHT_LEGS_EASTON",Inputs!$B$16+((C917=TRUE)*(F917-Calc!F23))+((C921=TRUE)*(F921-Calc!F27)),Inputs!$B$17+0))/100)*((1+(((C911=TRUE)*F911)+((C918=TRUE)*(F918-Calc!F24)))/100)*I904)</f>
        <v/>
      </c>
      <c r="L904">
        <f>K904*(MIN(Inputs!$B$21+((C916=TRUE)*(F916-Calc!F22)),Inputs!$B$22+0)/100+(Inputs!$B$22+0)/100)/2</f>
        <v/>
      </c>
      <c r="M904">
        <f>L904*(1+(Inputs!$B$9+((C919=TRUE)*(F919-Calc!F25))+B929)/100)</f>
        <v/>
      </c>
      <c r="N904">
        <f>L904*(1-MIN((Inputs!$B$8+((C913=TRUE)*(F913-Calc!F19))+B924),100)/100)+M904*(MIN((Inputs!$B$8+((C913=TRUE)*(F913-Calc!F19))+B924),100)/100)</f>
        <v/>
      </c>
      <c r="O904">
        <f>IF(C904,H904*N904*IF(AND(Inputs!$B$4&lt;&gt;"pvp",Inputs!$B$35&gt;0),((Skills!G10*((R904-1)*IF(Skills!H10&gt;0,Skills!I10/Skills!H10,1)+IF(Skills!H10&gt;0,MIN(Skills!I10,MAX(0,Inputs!$B$35-((R904-1)*IF(Inputs!$B$4="pvp",15,MAX(0.1,Skills!D10-IF(Skills!E10=TRUE,Inputs!$B$31,0))))))/Skills!H10,1)))/Inputs!$B$35),G904*Q904)*IF(Inputs!$B$4="pvp",1,(1-Summary!$B$55)*(1)+Summary!$B$55*(MIN(Skills!R10,Inputs!$B$37))),0)</f>
        <v/>
      </c>
      <c r="P904">
        <f>IF(B932=0,0,O904/B932)</f>
        <v/>
      </c>
      <c r="Q904">
        <f>IFERROR(1/IF(Inputs!$B$4="pvp",15,MAX(0.1,Skills!D10-IF(Skills!E10=TRUE,Inputs!$B$31,0))),0)</f>
        <v/>
      </c>
      <c r="R904">
        <f>IF(AND(Inputs!$B$4&lt;&gt;"pvp",Inputs!$B$35&gt;0),(INT(Inputs!$B$35/IF(Inputs!$B$4="pvp",15,MAX(0.1,Skills!D10-IF(Skills!E10=TRUE,Inputs!$B$31,0))))+1),0)</f>
        <v/>
      </c>
      <c r="S904">
        <f>IFERROR(O904/N904,0)</f>
        <v/>
      </c>
    </row>
    <row r="905">
      <c r="A905">
        <f>Skills!A11</f>
        <v/>
      </c>
      <c r="B905">
        <f>Skills!B11</f>
        <v/>
      </c>
      <c r="C905">
        <f>Inputs!$B$3&gt;=107</f>
        <v/>
      </c>
      <c r="D905">
        <f>IF(Skills!C11=1,60+Inputs!$B$24+Inputs!$B$28,IF(Skills!C11=2,90+Inputs!$B$25+Inputs!$B$28,IF(Skills!C11=3,120+Inputs!$B$26+Inputs!$B$28,MAX(0,(Inputs!$B$3-100)*3)+Inputs!$B$27+Inputs!$B$28)))</f>
        <v/>
      </c>
      <c r="E905">
        <f>INDEX(FactorTable!$B$2:$Y$301, MATCH(ROUND(MIN(300,MAX(1,D905)),0), FactorTable!$A$2:$A$301,0), Skills!M11+1)</f>
        <v/>
      </c>
      <c r="F905">
        <f>IF(Skills!N11=TRUE,(Skills!L11/10)*(E905/1000),Skills!L11/10)+Skills!O11</f>
        <v/>
      </c>
      <c r="G905">
        <f>Skills!G11*IF(Skills!H11&gt;0,Skills!I11/Skills!H11,1)</f>
        <v/>
      </c>
      <c r="H905">
        <f>1-(1-Skills!J11/100)^Skills!K11</f>
        <v/>
      </c>
      <c r="I905" t="inlineStr">
        <is>
          <t>1</t>
        </is>
      </c>
      <c r="J905">
        <f>((Inputs!$B$5+1)*(1+Inputs!$B$6/100))*(F905/100)</f>
        <v/>
      </c>
      <c r="K905">
        <f>J905*(1+((Inputs!$B$11*(1+Inputs!$B$12/100))*0.01+Inputs!$B$13*0.0025)/100)*(1+Inputs!$B$14/100)*(1+IF(Inputs!$B$4="pvp",0,(1-Summary!$B$55)*(Inputs!$B$19+0+Skills!P11)+Summary!$B$55*(Inputs!$B$20+Skills!Q11))/100)*(1+Inputs!$B$15/100)*(5000/(6000+Inputs!$B$7*(1-(Inputs!$B$18+0)/100)))*(1+(Inputs!$B$23+((C920=TRUE)*(F920-Calc!F26))+B930)/100)*(1+(IF(Skills!A11="EIGHT_LEGS_EASTON",Inputs!$B$16+((C917=TRUE)*(F917-Calc!F23))+((C921=TRUE)*(F921-Calc!F27)),Inputs!$B$17+0))/100)*((1+(((C911=TRUE)*F911)+((C918=TRUE)*(F918-Calc!F24)))/100)*I905)</f>
        <v/>
      </c>
      <c r="L905">
        <f>K905*(MIN(Inputs!$B$21+((C916=TRUE)*(F916-Calc!F22)),Inputs!$B$22+0)/100+(Inputs!$B$22+0)/100)/2</f>
        <v/>
      </c>
      <c r="M905">
        <f>L905*(1+(Inputs!$B$9+((C919=TRUE)*(F919-Calc!F25))+B929)/100)</f>
        <v/>
      </c>
      <c r="N905">
        <f>L905*(1-MIN((Inputs!$B$8+((C913=TRUE)*(F913-Calc!F19))+B924),100)/100)+M905*(MIN((Inputs!$B$8+((C913=TRUE)*(F913-Calc!F19))+B924),100)/100)</f>
        <v/>
      </c>
      <c r="O905">
        <f>IF(C905,H905*N905*IF(AND(Inputs!$B$4&lt;&gt;"pvp",Inputs!$B$35&gt;0),((Skills!G11*((R905-1)*IF(Skills!H11&gt;0,Skills!I11/Skills!H11,1)+IF(Skills!H11&gt;0,MIN(Skills!I11,MAX(0,Inputs!$B$35-((R905-1)*IF(Inputs!$B$4="pvp",15,MAX(0.1,Skills!D11-IF(Skills!E11=TRUE,Inputs!$B$31,0))))))/Skills!H11,1)))/Inputs!$B$35),G905*Q905)*IF(Inputs!$B$4="pvp",1,(1-Summary!$B$55)*(1)+Summary!$B$55*(MIN(Skills!R11,Inputs!$B$37))),0)</f>
        <v/>
      </c>
      <c r="P905">
        <f>IF(B932=0,0,O905/B932)</f>
        <v/>
      </c>
      <c r="Q905">
        <f>IFERROR(1/IF(Inputs!$B$4="pvp",15,MAX(0.1,Skills!D11-IF(Skills!E11=TRUE,Inputs!$B$31,0))),0)</f>
        <v/>
      </c>
      <c r="R905">
        <f>IF(AND(Inputs!$B$4&lt;&gt;"pvp",Inputs!$B$35&gt;0),(INT(Inputs!$B$35/IF(Inputs!$B$4="pvp",15,MAX(0.1,Skills!D11-IF(Skills!E11=TRUE,Inputs!$B$31,0))))+1),0)</f>
        <v/>
      </c>
      <c r="S905">
        <f>IFERROR(O905/N905,0)</f>
        <v/>
      </c>
    </row>
    <row r="906">
      <c r="A906">
        <f>Skills!A12</f>
        <v/>
      </c>
      <c r="B906">
        <f>Skills!B12</f>
        <v/>
      </c>
      <c r="C906">
        <f>Inputs!$B$3&gt;=110</f>
        <v/>
      </c>
      <c r="D906">
        <f>IF(Skills!C12=1,60+Inputs!$B$24+Inputs!$B$28,IF(Skills!C12=2,90+Inputs!$B$25+Inputs!$B$28,IF(Skills!C12=3,120+Inputs!$B$26+Inputs!$B$28,MAX(0,(Inputs!$B$3-100)*3)+Inputs!$B$27+Inputs!$B$28)))</f>
        <v/>
      </c>
      <c r="E906">
        <f>INDEX(FactorTable!$B$2:$Y$301, MATCH(ROUND(MIN(300,MAX(1,D906)),0), FactorTable!$A$2:$A$301,0), Skills!M12+1)</f>
        <v/>
      </c>
      <c r="F906">
        <f>IF(Skills!N12=TRUE,(Skills!L12/10)*(E906/1000),Skills!L12/10)+Skills!O12</f>
        <v/>
      </c>
      <c r="G906">
        <f>Skills!G12*IF(Skills!H12&gt;0,Skills!I12/Skills!H12,1)</f>
        <v/>
      </c>
      <c r="H906">
        <f>1-(1-Skills!J12/100)^Skills!K12</f>
        <v/>
      </c>
      <c r="I906" t="inlineStr">
        <is>
          <t>1</t>
        </is>
      </c>
      <c r="J906">
        <f>((Inputs!$B$5+1)*(1+Inputs!$B$6/100))*(F906/100)</f>
        <v/>
      </c>
      <c r="K906">
        <f>J906*(1+((Inputs!$B$11*(1+Inputs!$B$12/100))*0.01+Inputs!$B$13*0.0025)/100)*(1+Inputs!$B$14/100)*(1+IF(Inputs!$B$4="pvp",0,(1-Summary!$B$55)*(Inputs!$B$19+0+Skills!P12)+Summary!$B$55*(Inputs!$B$20+Skills!Q12))/100)*(1+Inputs!$B$15/100)*(5000/(6000+Inputs!$B$7*(1-(Inputs!$B$18+0)/100)))*(1+(Inputs!$B$23+((C920=TRUE)*(F920-Calc!F26))+B930)/100)*(1+(IF(Skills!A12="EIGHT_LEGS_EASTON",Inputs!$B$16+((C917=TRUE)*(F917-Calc!F23))+((C921=TRUE)*(F921-Calc!F27)),Inputs!$B$17+0))/100)*((1+(((C911=TRUE)*F911)+((C918=TRUE)*(F918-Calc!F24)))/100)*I906)</f>
        <v/>
      </c>
      <c r="L906">
        <f>K906*(MIN(Inputs!$B$21+((C916=TRUE)*(F916-Calc!F22)),Inputs!$B$22+0)/100+(Inputs!$B$22+0)/100)/2</f>
        <v/>
      </c>
      <c r="M906">
        <f>L906*(1+(Inputs!$B$9+((C919=TRUE)*(F919-Calc!F25))+B929)/100)</f>
        <v/>
      </c>
      <c r="N906">
        <f>L906*(1-MIN((Inputs!$B$8+((C913=TRUE)*(F913-Calc!F19))+B924),100)/100)+M906*(MIN((Inputs!$B$8+((C913=TRUE)*(F913-Calc!F19))+B924),100)/100)</f>
        <v/>
      </c>
      <c r="O906">
        <f>IF(C906,H906*N906*IF(AND(Inputs!$B$4&lt;&gt;"pvp",Inputs!$B$35&gt;0),((Skills!G12*((R906-1)*IF(Skills!H12&gt;0,Skills!I12/Skills!H12,1)+IF(Skills!H12&gt;0,MIN(Skills!I12,MAX(0,Inputs!$B$35-((R906-1)*IF(Inputs!$B$4="pvp",15,MAX(0.1,Skills!D12-IF(Skills!E12=TRUE,Inputs!$B$31,0))))))/Skills!H12,1)))/Inputs!$B$35),G906*Q906)*IF(Inputs!$B$4="pvp",1,(1-Summary!$B$55)*(1)+Summary!$B$55*(MIN(Skills!R12,Inputs!$B$37))),0)</f>
        <v/>
      </c>
      <c r="P906">
        <f>IF(B932=0,0,O906/B932)</f>
        <v/>
      </c>
      <c r="Q906">
        <f>IFERROR(1/IF(Inputs!$B$4="pvp",15,MAX(0.1,Skills!D12-IF(Skills!E12=TRUE,Inputs!$B$31,0))),0)</f>
        <v/>
      </c>
      <c r="R906">
        <f>IF(AND(Inputs!$B$4&lt;&gt;"pvp",Inputs!$B$35&gt;0),(INT(Inputs!$B$35/IF(Inputs!$B$4="pvp",15,MAX(0.1,Skills!D12-IF(Skills!E12=TRUE,Inputs!$B$31,0))))+1),0)</f>
        <v/>
      </c>
      <c r="S906">
        <f>IFERROR(O906/N906,0)</f>
        <v/>
      </c>
    </row>
    <row r="907">
      <c r="A907">
        <f>Skills!A13</f>
        <v/>
      </c>
      <c r="B907">
        <f>Skills!B13</f>
        <v/>
      </c>
      <c r="C907">
        <f>Inputs!$B$3&gt;=110</f>
        <v/>
      </c>
      <c r="D907">
        <f>IF(Skills!C13=1,60+Inputs!$B$24+Inputs!$B$28,IF(Skills!C13=2,90+Inputs!$B$25+Inputs!$B$28,IF(Skills!C13=3,120+Inputs!$B$26+Inputs!$B$28,MAX(0,(Inputs!$B$3-100)*3)+Inputs!$B$27+Inputs!$B$28)))</f>
        <v/>
      </c>
      <c r="E907">
        <f>INDEX(FactorTable!$B$2:$Y$301, MATCH(ROUND(MIN(300,MAX(1,D907)),0), FactorTable!$A$2:$A$301,0), Skills!M13+1)</f>
        <v/>
      </c>
      <c r="F907">
        <f>IF(Skills!N13=TRUE,(Skills!L13/10)*(E907/1000),Skills!L13/10)+Skills!O13</f>
        <v/>
      </c>
      <c r="G907">
        <f>Skills!G13*IF(Skills!H13&gt;0,Skills!I13/Skills!H13,1)</f>
        <v/>
      </c>
      <c r="H907">
        <f>1-(1-Skills!J13/100)^Skills!K13</f>
        <v/>
      </c>
      <c r="I907" t="inlineStr">
        <is>
          <t>1</t>
        </is>
      </c>
      <c r="J907">
        <f>((Inputs!$B$5+1)*(1+Inputs!$B$6/100))*(F907/100)</f>
        <v/>
      </c>
      <c r="K907">
        <f>J907*(1+((Inputs!$B$11*(1+Inputs!$B$12/100))*0.01+Inputs!$B$13*0.0025)/100)*(1+Inputs!$B$14/100)*(1+IF(Inputs!$B$4="pvp",0,(1-Summary!$B$55)*(Inputs!$B$19+0+Skills!P13)+Summary!$B$55*(Inputs!$B$20+Skills!Q13))/100)*(1+Inputs!$B$15/100)*(5000/(6000+Inputs!$B$7*(1-(Inputs!$B$18+0)/100)))*(1+(Inputs!$B$23+((C920=TRUE)*(F920-Calc!F26))+B930)/100)*(1+(IF(Skills!A13="EIGHT_LEGS_EASTON",Inputs!$B$16+((C917=TRUE)*(F917-Calc!F23))+((C921=TRUE)*(F921-Calc!F27)),Inputs!$B$17+0))/100)*((1+(((C911=TRUE)*F911)+((C918=TRUE)*(F918-Calc!F24)))/100)*I907)</f>
        <v/>
      </c>
      <c r="L907">
        <f>K907*(MIN(Inputs!$B$21+((C916=TRUE)*(F916-Calc!F22)),Inputs!$B$22+0)/100+(Inputs!$B$22+0)/100)/2</f>
        <v/>
      </c>
      <c r="M907">
        <f>L907*(1+(Inputs!$B$9+((C919=TRUE)*(F919-Calc!F25))+B929)/100)</f>
        <v/>
      </c>
      <c r="N907">
        <f>L907*(1-MIN((Inputs!$B$8+((C913=TRUE)*(F913-Calc!F19))+B924),100)/100)+M907*(MIN((Inputs!$B$8+((C913=TRUE)*(F913-Calc!F19))+B924),100)/100)</f>
        <v/>
      </c>
      <c r="O907">
        <f>IF(C907,H907*N907*IF(AND(Inputs!$B$4&lt;&gt;"pvp",Inputs!$B$35&gt;0),((Skills!G13*((R907-1)*IF(Skills!H13&gt;0,Skills!I13/Skills!H13,1)+IF(Skills!H13&gt;0,MIN(Skills!I13,MAX(0,Inputs!$B$35-((R907-1)*IF(Inputs!$B$4="pvp",15,MAX(0.1,Skills!D13-IF(Skills!E13=TRUE,Inputs!$B$31,0))))))/Skills!H13,1)))/Inputs!$B$35),G907*Q907)*IF(Inputs!$B$4="pvp",1,(1-Summary!$B$55)*(1)+Summary!$B$55*(MIN(Skills!R13,Inputs!$B$37))),0)</f>
        <v/>
      </c>
      <c r="P907">
        <f>IF(B932=0,0,O907/B932)</f>
        <v/>
      </c>
      <c r="Q907">
        <f>IFERROR(1/IF(Inputs!$B$4="pvp",15,MAX(0.1,Skills!D13-IF(Skills!E13=TRUE,Inputs!$B$31,0))),0)</f>
        <v/>
      </c>
      <c r="R907">
        <f>IF(AND(Inputs!$B$4&lt;&gt;"pvp",Inputs!$B$35&gt;0),(INT(Inputs!$B$35/IF(Inputs!$B$4="pvp",15,MAX(0.1,Skills!D13-IF(Skills!E13=TRUE,Inputs!$B$31,0))))+1),0)</f>
        <v/>
      </c>
      <c r="S907">
        <f>IFERROR(O907/N907,0)</f>
        <v/>
      </c>
    </row>
    <row r="908">
      <c r="A908">
        <f>Skills!A14</f>
        <v/>
      </c>
      <c r="B908">
        <f>Skills!B14</f>
        <v/>
      </c>
      <c r="C908">
        <f>Inputs!$B$3&gt;=125</f>
        <v/>
      </c>
      <c r="D908">
        <f>IF(Skills!C14=1,60+Inputs!$B$24+Inputs!$B$28,IF(Skills!C14=2,90+Inputs!$B$25+Inputs!$B$28,IF(Skills!C14=3,120+Inputs!$B$26+Inputs!$B$28,MAX(0,(Inputs!$B$3-100)*3)+Inputs!$B$27+Inputs!$B$28)))</f>
        <v/>
      </c>
      <c r="E908">
        <f>INDEX(FactorTable!$B$2:$Y$301, MATCH(ROUND(MIN(300,MAX(1,D908)),0), FactorTable!$A$2:$A$301,0), Skills!M14+1)</f>
        <v/>
      </c>
      <c r="F908">
        <f>IF(Skills!N14=TRUE,(Skills!L14/10)*(E908/1000),Skills!L14/10)+Skills!O14</f>
        <v/>
      </c>
      <c r="G908">
        <f>Skills!G14*IF(Skills!H14&gt;0,Skills!I14/Skills!H14,1)</f>
        <v/>
      </c>
      <c r="H908">
        <f>1-(1-Skills!J14/100)^Skills!K14</f>
        <v/>
      </c>
      <c r="I908" t="inlineStr">
        <is>
          <t>1</t>
        </is>
      </c>
      <c r="J908">
        <f>((Inputs!$B$5+1)*(1+Inputs!$B$6/100))*(F908/100)</f>
        <v/>
      </c>
      <c r="K908">
        <f>J908*(1+((Inputs!$B$11*(1+Inputs!$B$12/100))*0.01+Inputs!$B$13*0.0025)/100)*(1+Inputs!$B$14/100)*(1+IF(Inputs!$B$4="pvp",0,(1-Summary!$B$55)*(Inputs!$B$19+0+Skills!P14)+Summary!$B$55*(Inputs!$B$20+Skills!Q14))/100)*(1+Inputs!$B$15/100)*(5000/(6000+Inputs!$B$7*(1-(Inputs!$B$18+0)/100)))*(1+(Inputs!$B$23+((C920=TRUE)*(F920-Calc!F26))+B930)/100)*(1+(IF(Skills!A14="EIGHT_LEGS_EASTON",Inputs!$B$16+((C917=TRUE)*(F917-Calc!F23))+((C921=TRUE)*(F921-Calc!F27)),Inputs!$B$17+0))/100)*((1+(((C911=TRUE)*F911)+((C918=TRUE)*(F918-Calc!F24)))/100)*I908)</f>
        <v/>
      </c>
      <c r="L908">
        <f>K908*(MIN(Inputs!$B$21+((C916=TRUE)*(F916-Calc!F22)),Inputs!$B$22+0)/100+(Inputs!$B$22+0)/100)/2</f>
        <v/>
      </c>
      <c r="M908">
        <f>L908*(1+(Inputs!$B$9+((C919=TRUE)*(F919-Calc!F25))+B929)/100)</f>
        <v/>
      </c>
      <c r="N908">
        <f>L908*(1-MIN((Inputs!$B$8+((C913=TRUE)*(F913-Calc!F19))+B924),100)/100)+M908*(MIN((Inputs!$B$8+((C913=TRUE)*(F913-Calc!F19))+B924),100)/100)</f>
        <v/>
      </c>
      <c r="O908">
        <f>IF(C908,H908*N908*(B928+IF(AND(Inputs!$B$4&lt;&gt;"pvp",Inputs!$B$35&gt;0),((Skills!G8*((R902-1)*IF(Skills!H8&gt;0,Skills!I8/Skills!H8,1)+IF(Skills!H8&gt;0,MIN(Skills!I8,MAX(0,Inputs!$B$35-((R902-1)*IF(Inputs!$B$4="pvp",15,MAX(0.1,Skills!D8-IF(Skills!E8=TRUE,Inputs!$B$31,0))))))/Skills!H8,1)))/Inputs!$B$35),G902*Q902)+IF(AND(Inputs!$B$4&lt;&gt;"pvp",Inputs!$B$35&gt;0),((Skills!G11*((R905-1)*IF(Skills!H11&gt;0,Skills!I11/Skills!H11,1)+IF(Skills!H11&gt;0,MIN(Skills!I11,MAX(0,Inputs!$B$35-((R905-1)*IF(Inputs!$B$4="pvp",15,MAX(0.1,Skills!D11-IF(Skills!E11=TRUE,Inputs!$B$31,0))))))/Skills!H11,1)))/Inputs!$B$35),G905*Q905))*IF(Inputs!$B$4="pvp",1,(1-Summary!$B$55)*(1)+Summary!$B$55*(MIN(Skills!R14,Inputs!$B$37))),0)</f>
        <v/>
      </c>
      <c r="P908">
        <f>IF(B932=0,0,O908/B932)</f>
        <v/>
      </c>
      <c r="Q908" t="n">
        <v>0</v>
      </c>
      <c r="R908" t="n">
        <v>0</v>
      </c>
      <c r="S908">
        <f>IFERROR(O908/N908,0)</f>
        <v/>
      </c>
    </row>
    <row r="909">
      <c r="A909">
        <f>Skills!A15</f>
        <v/>
      </c>
      <c r="B909">
        <f>Skills!B15</f>
        <v/>
      </c>
      <c r="C909">
        <f>Inputs!$B$3&gt;=100</f>
        <v/>
      </c>
      <c r="D909">
        <f>IF(Skills!C15=1,60+Inputs!$B$24+Inputs!$B$28,IF(Skills!C15=2,90+Inputs!$B$25+Inputs!$B$28,IF(Skills!C15=3,120+Inputs!$B$26+Inputs!$B$28,MAX(0,(Inputs!$B$3-100)*3)+Inputs!$B$27+Inputs!$B$28)))</f>
        <v/>
      </c>
      <c r="E909">
        <f>INDEX(FactorTable!$B$2:$Y$301, MATCH(ROUND(MIN(300,MAX(1,D909)),0), FactorTable!$A$2:$A$301,0), Skills!M15+1)</f>
        <v/>
      </c>
      <c r="F909">
        <f>IF(Skills!N15=TRUE,(Skills!L15/10)*(E909/1000),Skills!L15/10)+Skills!O15</f>
        <v/>
      </c>
      <c r="G909" t="inlineStr"/>
      <c r="H909" t="inlineStr"/>
      <c r="I909" t="inlineStr">
        <is>
          <t>1</t>
        </is>
      </c>
      <c r="J909" t="inlineStr"/>
      <c r="K909" t="inlineStr"/>
      <c r="L909" t="inlineStr"/>
      <c r="M909" t="inlineStr"/>
      <c r="N909" t="inlineStr"/>
      <c r="O909" t="inlineStr"/>
      <c r="P909" t="inlineStr"/>
      <c r="Q909" t="inlineStr"/>
      <c r="R909" t="inlineStr"/>
      <c r="S909" t="inlineStr"/>
    </row>
    <row r="910">
      <c r="A910">
        <f>Skills!A16</f>
        <v/>
      </c>
      <c r="B910">
        <f>Skills!B16</f>
        <v/>
      </c>
      <c r="C910">
        <f>Inputs!$B$3&gt;=120</f>
        <v/>
      </c>
      <c r="D910">
        <f>IF(Skills!C16=1,60+Inputs!$B$24+Inputs!$B$28,IF(Skills!C16=2,90+Inputs!$B$25+Inputs!$B$28,IF(Skills!C16=3,120+Inputs!$B$26+Inputs!$B$28,MAX(0,(Inputs!$B$3-100)*3)+Inputs!$B$27+Inputs!$B$28)))</f>
        <v/>
      </c>
      <c r="E910">
        <f>INDEX(FactorTable!$B$2:$Y$301, MATCH(ROUND(MIN(300,MAX(1,D910)),0), FactorTable!$A$2:$A$301,0), Skills!M16+1)</f>
        <v/>
      </c>
      <c r="F910">
        <f>IF(Skills!N16=TRUE,(Skills!L16/10)*(E910/1000),Skills!L16/10)+Skills!O16</f>
        <v/>
      </c>
      <c r="G910" t="inlineStr"/>
      <c r="H910" t="inlineStr"/>
      <c r="I910" t="inlineStr">
        <is>
          <t>1</t>
        </is>
      </c>
      <c r="J910" t="inlineStr"/>
      <c r="K910" t="inlineStr"/>
      <c r="L910" t="inlineStr"/>
      <c r="M910" t="inlineStr"/>
      <c r="N910" t="inlineStr"/>
      <c r="O910" t="inlineStr"/>
      <c r="P910" t="inlineStr"/>
      <c r="Q910" t="inlineStr"/>
      <c r="R910" t="inlineStr"/>
      <c r="S910" t="inlineStr"/>
    </row>
    <row r="911">
      <c r="A911">
        <f>Skills!A17</f>
        <v/>
      </c>
      <c r="B911">
        <f>Skills!B17</f>
        <v/>
      </c>
      <c r="C911">
        <f>Inputs!$B$3&gt;=66</f>
        <v/>
      </c>
      <c r="D911">
        <f>IF(Skills!C17=1,60+Inputs!$B$24+Inputs!$B$28,IF(Skills!C17=2,90+Inputs!$B$25+Inputs!$B$28,IF(Skills!C17=3,120+Inputs!$B$26+Inputs!$B$28,MAX(0,(Inputs!$B$3-100)*3)+Inputs!$B$27+Inputs!$B$28)))</f>
        <v/>
      </c>
      <c r="E911">
        <f>INDEX(FactorTable!$B$2:$Y$301, MATCH(ROUND(MIN(300,MAX(1,D911)),0), FactorTable!$A$2:$A$301,0), Skills!M17+1)</f>
        <v/>
      </c>
      <c r="F911">
        <f>IF(Skills!N17=TRUE,(Skills!L17/10)*(E911/1000),Skills!L17/10)+Skills!O17</f>
        <v/>
      </c>
      <c r="G911">
        <f>Skills!G17*IF(Skills!H17&gt;0,Skills!I17/Skills!H17,1)</f>
        <v/>
      </c>
      <c r="H911">
        <f>1-(1-Skills!J17/100)^Skills!K17</f>
        <v/>
      </c>
      <c r="I911" t="inlineStr">
        <is>
          <t>1</t>
        </is>
      </c>
      <c r="J911" t="inlineStr"/>
      <c r="K911" t="inlineStr"/>
      <c r="L911" t="inlineStr"/>
      <c r="M911" t="inlineStr"/>
      <c r="N911" t="inlineStr"/>
      <c r="O911" t="n">
        <v>0</v>
      </c>
      <c r="P911">
        <f>IF(B932=0,0,O911/B932)</f>
        <v/>
      </c>
      <c r="Q911" t="n">
        <v>0</v>
      </c>
      <c r="R911" t="n">
        <v>0</v>
      </c>
      <c r="S911">
        <f>IFERROR(O911/N911,0)</f>
        <v/>
      </c>
    </row>
    <row r="912">
      <c r="A912">
        <f>Skills!A18</f>
        <v/>
      </c>
      <c r="B912">
        <f>Skills!B18</f>
        <v/>
      </c>
      <c r="C912">
        <f>Inputs!$B$3&gt;=115</f>
        <v/>
      </c>
      <c r="D912">
        <f>IF(Skills!C18=1,60+Inputs!$B$24+Inputs!$B$28,IF(Skills!C18=2,90+Inputs!$B$25+Inputs!$B$28,IF(Skills!C18=3,120+Inputs!$B$26+Inputs!$B$28,MAX(0,(Inputs!$B$3-100)*3)+Inputs!$B$27+Inputs!$B$28)))</f>
        <v/>
      </c>
      <c r="E912">
        <f>INDEX(FactorTable!$B$2:$Y$301, MATCH(ROUND(MIN(300,MAX(1,D912)),0), FactorTable!$A$2:$A$301,0), Skills!M18+1)</f>
        <v/>
      </c>
      <c r="F912">
        <f>IF(Skills!N18=TRUE,(Skills!L18/10)*(E912/1000),Skills!L18/10)+Skills!O18</f>
        <v/>
      </c>
      <c r="G912">
        <f>Skills!G18*IF(Skills!H18&gt;0,Skills!I18/Skills!H18,1)</f>
        <v/>
      </c>
      <c r="H912">
        <f>1-(1-Skills!J18/100)^Skills!K18</f>
        <v/>
      </c>
      <c r="I912" t="inlineStr">
        <is>
          <t>1</t>
        </is>
      </c>
      <c r="J912" t="inlineStr"/>
      <c r="K912" t="inlineStr"/>
      <c r="L912" t="inlineStr"/>
      <c r="M912" t="inlineStr"/>
      <c r="N912" t="inlineStr"/>
      <c r="O912" t="n">
        <v>0</v>
      </c>
      <c r="P912">
        <f>IF(B932=0,0,O912/B932)</f>
        <v/>
      </c>
      <c r="Q912" t="n">
        <v>0</v>
      </c>
      <c r="R912" t="n">
        <v>0</v>
      </c>
      <c r="S912">
        <f>IFERROR(O912/N912,0)</f>
        <v/>
      </c>
    </row>
    <row r="913">
      <c r="A913">
        <f>Skills!A19</f>
        <v/>
      </c>
      <c r="B913">
        <f>Skills!B19</f>
        <v/>
      </c>
      <c r="C913">
        <f>Inputs!$B$3&gt;=15</f>
        <v/>
      </c>
      <c r="D913">
        <f>IF(Skills!C19=1,60+Inputs!$B$24+Inputs!$B$28,IF(Skills!C19=2,90+Inputs!$B$25+Inputs!$B$28,IF(Skills!C19=3,120+Inputs!$B$26+Inputs!$B$28,MAX(0,(Inputs!$B$3-100)*3)+Inputs!$B$27+Inputs!$B$28)))</f>
        <v/>
      </c>
      <c r="E913">
        <f>INDEX(FactorTable!$B$2:$Y$301, MATCH(ROUND(MIN(300,MAX(1,D913)),0), FactorTable!$A$2:$A$301,0), Skills!M19+1)</f>
        <v/>
      </c>
      <c r="F913">
        <f>IF(Skills!N19=TRUE,(Skills!L19/10)*(E913/1000),Skills!L19/10)+Skills!O19</f>
        <v/>
      </c>
      <c r="G913">
        <f>Skills!G19*IF(Skills!H19&gt;0,Skills!I19/Skills!H19,1)</f>
        <v/>
      </c>
      <c r="H913">
        <f>1-(1-Skills!J19/100)^Skills!K19</f>
        <v/>
      </c>
      <c r="I913" t="inlineStr">
        <is>
          <t>1</t>
        </is>
      </c>
      <c r="J913" t="inlineStr"/>
      <c r="K913" t="inlineStr"/>
      <c r="L913" t="inlineStr"/>
      <c r="M913" t="inlineStr"/>
      <c r="N913" t="inlineStr"/>
      <c r="O913" t="n">
        <v>0</v>
      </c>
      <c r="P913">
        <f>IF(B932=0,0,O913/B932)</f>
        <v/>
      </c>
      <c r="Q913" t="n">
        <v>0</v>
      </c>
      <c r="R913" t="n">
        <v>0</v>
      </c>
      <c r="S913">
        <f>IFERROR(O913/N913,0)</f>
        <v/>
      </c>
    </row>
    <row r="914">
      <c r="A914">
        <f>Skills!A20</f>
        <v/>
      </c>
      <c r="B914">
        <f>Skills!B20</f>
        <v/>
      </c>
      <c r="C914">
        <f>Inputs!$B$3&gt;=10</f>
        <v/>
      </c>
      <c r="D914">
        <f>IF(Skills!C20=1,60+Inputs!$B$24+Inputs!$B$28,IF(Skills!C20=2,90+Inputs!$B$25+Inputs!$B$28,IF(Skills!C20=3,120+Inputs!$B$26+Inputs!$B$28,MAX(0,(Inputs!$B$3-100)*3)+Inputs!$B$27+Inputs!$B$28)))</f>
        <v/>
      </c>
      <c r="E914">
        <f>INDEX(FactorTable!$B$2:$Y$301, MATCH(ROUND(MIN(300,MAX(1,D914)),0), FactorTable!$A$2:$A$301,0), Skills!M20+1)</f>
        <v/>
      </c>
      <c r="F914">
        <f>IF(Skills!N20=TRUE,(Skills!L20/10)*(E914/1000),Skills!L20/10)+Skills!O20</f>
        <v/>
      </c>
      <c r="G914">
        <f>Skills!G20*IF(Skills!H20&gt;0,Skills!I20/Skills!H20,1)</f>
        <v/>
      </c>
      <c r="H914">
        <f>1-(1-Skills!J20/100)^Skills!K20</f>
        <v/>
      </c>
      <c r="I914" t="inlineStr">
        <is>
          <t>1</t>
        </is>
      </c>
      <c r="J914" t="inlineStr"/>
      <c r="K914" t="inlineStr"/>
      <c r="L914" t="inlineStr"/>
      <c r="M914" t="inlineStr"/>
      <c r="N914" t="inlineStr"/>
      <c r="O914" t="n">
        <v>0</v>
      </c>
      <c r="P914">
        <f>IF(B932=0,0,O914/B932)</f>
        <v/>
      </c>
      <c r="Q914" t="n">
        <v>0</v>
      </c>
      <c r="R914" t="n">
        <v>0</v>
      </c>
      <c r="S914">
        <f>IFERROR(O914/N914,0)</f>
        <v/>
      </c>
    </row>
    <row r="915">
      <c r="A915">
        <f>Skills!A21</f>
        <v/>
      </c>
      <c r="B915">
        <f>Skills!B21</f>
        <v/>
      </c>
      <c r="C915">
        <f>Inputs!$B$3&gt;=33</f>
        <v/>
      </c>
      <c r="D915">
        <f>IF(Skills!C21=1,60+Inputs!$B$24+Inputs!$B$28,IF(Skills!C21=2,90+Inputs!$B$25+Inputs!$B$28,IF(Skills!C21=3,120+Inputs!$B$26+Inputs!$B$28,MAX(0,(Inputs!$B$3-100)*3)+Inputs!$B$27+Inputs!$B$28)))</f>
        <v/>
      </c>
      <c r="E915">
        <f>INDEX(FactorTable!$B$2:$Y$301, MATCH(ROUND(MIN(300,MAX(1,D915)),0), FactorTable!$A$2:$A$301,0), Skills!M21+1)</f>
        <v/>
      </c>
      <c r="F915">
        <f>IF(Skills!N21=TRUE,(Skills!L21/10)*(E915/1000),Skills!L21/10)+Skills!O21</f>
        <v/>
      </c>
      <c r="G915">
        <f>Skills!G21*IF(Skills!H21&gt;0,Skills!I21/Skills!H21,1)</f>
        <v/>
      </c>
      <c r="H915">
        <f>1-(1-Skills!J21/100)^Skills!K21</f>
        <v/>
      </c>
      <c r="I915" t="inlineStr">
        <is>
          <t>1</t>
        </is>
      </c>
      <c r="J915" t="inlineStr"/>
      <c r="K915" t="inlineStr"/>
      <c r="L915" t="inlineStr"/>
      <c r="M915" t="inlineStr"/>
      <c r="N915" t="inlineStr"/>
      <c r="O915" t="n">
        <v>0</v>
      </c>
      <c r="P915">
        <f>IF(B932=0,0,O915/B932)</f>
        <v/>
      </c>
      <c r="Q915" t="n">
        <v>0</v>
      </c>
      <c r="R915" t="n">
        <v>0</v>
      </c>
      <c r="S915">
        <f>IFERROR(O915/N915,0)</f>
        <v/>
      </c>
    </row>
    <row r="916">
      <c r="A916">
        <f>Skills!A22</f>
        <v/>
      </c>
      <c r="B916">
        <f>Skills!B22</f>
        <v/>
      </c>
      <c r="C916">
        <f>Inputs!$B$3&gt;=43</f>
        <v/>
      </c>
      <c r="D916">
        <f>IF(Skills!C22=1,60+Inputs!$B$24+Inputs!$B$28,IF(Skills!C22=2,90+Inputs!$B$25+Inputs!$B$28,IF(Skills!C22=3,120+Inputs!$B$26+Inputs!$B$28,MAX(0,(Inputs!$B$3-100)*3)+Inputs!$B$27+Inputs!$B$28)))</f>
        <v/>
      </c>
      <c r="E916">
        <f>INDEX(FactorTable!$B$2:$Y$301, MATCH(ROUND(MIN(300,MAX(1,D916)),0), FactorTable!$A$2:$A$301,0), Skills!M22+1)</f>
        <v/>
      </c>
      <c r="F916">
        <f>IF(Skills!N22=TRUE,(Skills!L22/10)*(E916/1000),Skills!L22/10)+Skills!O22</f>
        <v/>
      </c>
      <c r="G916">
        <f>Skills!G22*IF(Skills!H22&gt;0,Skills!I22/Skills!H22,1)</f>
        <v/>
      </c>
      <c r="H916">
        <f>1-(1-Skills!J22/100)^Skills!K22</f>
        <v/>
      </c>
      <c r="I916" t="inlineStr">
        <is>
          <t>1</t>
        </is>
      </c>
      <c r="J916" t="inlineStr"/>
      <c r="K916" t="inlineStr"/>
      <c r="L916" t="inlineStr"/>
      <c r="M916" t="inlineStr"/>
      <c r="N916" t="inlineStr"/>
      <c r="O916" t="n">
        <v>0</v>
      </c>
      <c r="P916">
        <f>IF(B932=0,0,O916/B932)</f>
        <v/>
      </c>
      <c r="Q916" t="n">
        <v>0</v>
      </c>
      <c r="R916" t="n">
        <v>0</v>
      </c>
      <c r="S916">
        <f>IFERROR(O916/N916,0)</f>
        <v/>
      </c>
    </row>
    <row r="917">
      <c r="A917">
        <f>Skills!A23</f>
        <v/>
      </c>
      <c r="B917">
        <f>Skills!B23</f>
        <v/>
      </c>
      <c r="C917">
        <f>Inputs!$B$3&gt;=38</f>
        <v/>
      </c>
      <c r="D917">
        <f>IF(Skills!C23=1,60+Inputs!$B$24+Inputs!$B$28,IF(Skills!C23=2,90+Inputs!$B$25+Inputs!$B$28,IF(Skills!C23=3,120+Inputs!$B$26+Inputs!$B$28,MAX(0,(Inputs!$B$3-100)*3)+Inputs!$B$27+Inputs!$B$28)))</f>
        <v/>
      </c>
      <c r="E917">
        <f>INDEX(FactorTable!$B$2:$Y$301, MATCH(ROUND(MIN(300,MAX(1,D917)),0), FactorTable!$A$2:$A$301,0), Skills!M23+1)</f>
        <v/>
      </c>
      <c r="F917">
        <f>IF(Skills!N23=TRUE,(Skills!L23/10)*(E917/1000),Skills!L23/10)+Skills!O23</f>
        <v/>
      </c>
      <c r="G917">
        <f>Skills!G23*IF(Skills!H23&gt;0,Skills!I23/Skills!H23,1)</f>
        <v/>
      </c>
      <c r="H917">
        <f>1-(1-Skills!J23/100)^Skills!K23</f>
        <v/>
      </c>
      <c r="I917" t="inlineStr">
        <is>
          <t>1</t>
        </is>
      </c>
      <c r="J917" t="inlineStr"/>
      <c r="K917" t="inlineStr"/>
      <c r="L917" t="inlineStr"/>
      <c r="M917" t="inlineStr"/>
      <c r="N917" t="inlineStr"/>
      <c r="O917" t="n">
        <v>0</v>
      </c>
      <c r="P917">
        <f>IF(B932=0,0,O917/B932)</f>
        <v/>
      </c>
      <c r="Q917" t="n">
        <v>0</v>
      </c>
      <c r="R917" t="n">
        <v>0</v>
      </c>
      <c r="S917">
        <f>IFERROR(O917/N917,0)</f>
        <v/>
      </c>
    </row>
    <row r="918">
      <c r="A918">
        <f>Skills!A24</f>
        <v/>
      </c>
      <c r="B918">
        <f>Skills!B24</f>
        <v/>
      </c>
      <c r="C918">
        <f>Inputs!$B$3&gt;=40</f>
        <v/>
      </c>
      <c r="D918">
        <f>IF(Skills!C24=1,60+Inputs!$B$24+Inputs!$B$28,IF(Skills!C24=2,90+Inputs!$B$25+Inputs!$B$28,IF(Skills!C24=3,120+Inputs!$B$26+Inputs!$B$28,MAX(0,(Inputs!$B$3-100)*3)+Inputs!$B$27+Inputs!$B$28)))</f>
        <v/>
      </c>
      <c r="E918">
        <f>INDEX(FactorTable!$B$2:$Y$301, MATCH(ROUND(MIN(300,MAX(1,D918)),0), FactorTable!$A$2:$A$301,0), Skills!M24+1)</f>
        <v/>
      </c>
      <c r="F918">
        <f>IF(Skills!N24=TRUE,(Skills!L24/10)*(E918/1000),Skills!L24/10)+Skills!O24</f>
        <v/>
      </c>
      <c r="G918">
        <f>Skills!G24*IF(Skills!H24&gt;0,Skills!I24/Skills!H24,1)</f>
        <v/>
      </c>
      <c r="H918">
        <f>1-(1-Skills!J24/100)^Skills!K24</f>
        <v/>
      </c>
      <c r="I918" t="inlineStr">
        <is>
          <t>1</t>
        </is>
      </c>
      <c r="J918" t="inlineStr"/>
      <c r="K918" t="inlineStr"/>
      <c r="L918" t="inlineStr"/>
      <c r="M918" t="inlineStr"/>
      <c r="N918" t="inlineStr"/>
      <c r="O918" t="n">
        <v>0</v>
      </c>
      <c r="P918">
        <f>IF(B932=0,0,O918/B932)</f>
        <v/>
      </c>
      <c r="Q918" t="n">
        <v>0</v>
      </c>
      <c r="R918" t="n">
        <v>0</v>
      </c>
      <c r="S918">
        <f>IFERROR(O918/N918,0)</f>
        <v/>
      </c>
    </row>
    <row r="919">
      <c r="A919">
        <f>Skills!A25</f>
        <v/>
      </c>
      <c r="B919">
        <f>Skills!B25</f>
        <v/>
      </c>
      <c r="C919">
        <f>Inputs!$B$3&gt;=72</f>
        <v/>
      </c>
      <c r="D919">
        <f>IF(Skills!C25=1,60+Inputs!$B$24+Inputs!$B$28,IF(Skills!C25=2,90+Inputs!$B$25+Inputs!$B$28,IF(Skills!C25=3,120+Inputs!$B$26+Inputs!$B$28,MAX(0,(Inputs!$B$3-100)*3)+Inputs!$B$27+Inputs!$B$28)))</f>
        <v/>
      </c>
      <c r="E919">
        <f>INDEX(FactorTable!$B$2:$Y$301, MATCH(ROUND(MIN(300,MAX(1,D919)),0), FactorTable!$A$2:$A$301,0), Skills!M25+1)</f>
        <v/>
      </c>
      <c r="F919">
        <f>IF(Skills!N25=TRUE,(Skills!L25/10)*(E919/1000),Skills!L25/10)+Skills!O25</f>
        <v/>
      </c>
      <c r="G919">
        <f>Skills!G25*IF(Skills!H25&gt;0,Skills!I25/Skills!H25,1)</f>
        <v/>
      </c>
      <c r="H919">
        <f>1-(1-Skills!J25/100)^Skills!K25</f>
        <v/>
      </c>
      <c r="I919" t="inlineStr">
        <is>
          <t>1</t>
        </is>
      </c>
      <c r="J919" t="inlineStr"/>
      <c r="K919" t="inlineStr"/>
      <c r="L919" t="inlineStr"/>
      <c r="M919" t="inlineStr"/>
      <c r="N919" t="inlineStr"/>
      <c r="O919" t="n">
        <v>0</v>
      </c>
      <c r="P919">
        <f>IF(B932=0,0,O919/B932)</f>
        <v/>
      </c>
      <c r="Q919" t="n">
        <v>0</v>
      </c>
      <c r="R919" t="n">
        <v>0</v>
      </c>
      <c r="S919">
        <f>IFERROR(O919/N919,0)</f>
        <v/>
      </c>
    </row>
    <row r="920">
      <c r="A920">
        <f>Skills!A26</f>
        <v/>
      </c>
      <c r="B920">
        <f>Skills!B26</f>
        <v/>
      </c>
      <c r="C920">
        <f>Inputs!$B$3&gt;=75</f>
        <v/>
      </c>
      <c r="D920">
        <f>IF(Skills!C26=1,60+Inputs!$B$24+Inputs!$B$28,IF(Skills!C26=2,90+Inputs!$B$25+Inputs!$B$28,IF(Skills!C26=3,120+Inputs!$B$26+Inputs!$B$28,MAX(0,(Inputs!$B$3-100)*3)+Inputs!$B$27+Inputs!$B$28)))</f>
        <v/>
      </c>
      <c r="E920">
        <f>INDEX(FactorTable!$B$2:$Y$301, MATCH(ROUND(MIN(300,MAX(1,D920)),0), FactorTable!$A$2:$A$301,0), Skills!M26+1)</f>
        <v/>
      </c>
      <c r="F920">
        <f>IF(Skills!N26=TRUE,(Skills!L26/10)*(E920/1000),Skills!L26/10)+Skills!O26</f>
        <v/>
      </c>
      <c r="G920">
        <f>Skills!G26*IF(Skills!H26&gt;0,Skills!I26/Skills!H26,1)</f>
        <v/>
      </c>
      <c r="H920">
        <f>1-(1-Skills!J26/100)^Skills!K26</f>
        <v/>
      </c>
      <c r="I920" t="inlineStr">
        <is>
          <t>1</t>
        </is>
      </c>
      <c r="J920" t="inlineStr"/>
      <c r="K920" t="inlineStr"/>
      <c r="L920" t="inlineStr"/>
      <c r="M920" t="inlineStr"/>
      <c r="N920" t="inlineStr"/>
      <c r="O920" t="n">
        <v>0</v>
      </c>
      <c r="P920">
        <f>IF(B932=0,0,O920/B932)</f>
        <v/>
      </c>
      <c r="Q920" t="n">
        <v>0</v>
      </c>
      <c r="R920" t="n">
        <v>0</v>
      </c>
      <c r="S920">
        <f>IFERROR(O920/N920,0)</f>
        <v/>
      </c>
    </row>
    <row r="921">
      <c r="A921">
        <f>Skills!A27</f>
        <v/>
      </c>
      <c r="B921">
        <f>Skills!B27</f>
        <v/>
      </c>
      <c r="C921">
        <f>Inputs!$B$3&gt;=117</f>
        <v/>
      </c>
      <c r="D921">
        <f>IF(Skills!C27=1,60+Inputs!$B$24+Inputs!$B$28,IF(Skills!C27=2,90+Inputs!$B$25+Inputs!$B$28,IF(Skills!C27=3,120+Inputs!$B$26+Inputs!$B$28,MAX(0,(Inputs!$B$3-100)*3)+Inputs!$B$27+Inputs!$B$28)))</f>
        <v/>
      </c>
      <c r="E921">
        <f>INDEX(FactorTable!$B$2:$Y$301, MATCH(ROUND(MIN(300,MAX(1,D921)),0), FactorTable!$A$2:$A$301,0), Skills!M27+1)</f>
        <v/>
      </c>
      <c r="F921">
        <f>IF(Skills!N27=TRUE,(Skills!L27/10)*(E921/1000),Skills!L27/10)+Skills!O27</f>
        <v/>
      </c>
      <c r="G921">
        <f>Skills!G27*IF(Skills!H27&gt;0,Skills!I27/Skills!H27,1)</f>
        <v/>
      </c>
      <c r="H921">
        <f>1-(1-Skills!J27/100)^Skills!K27</f>
        <v/>
      </c>
      <c r="I921" t="inlineStr">
        <is>
          <t>1</t>
        </is>
      </c>
      <c r="J921" t="inlineStr"/>
      <c r="K921" t="inlineStr"/>
      <c r="L921" t="inlineStr"/>
      <c r="M921" t="inlineStr"/>
      <c r="N921" t="inlineStr"/>
      <c r="O921" t="n">
        <v>0</v>
      </c>
      <c r="P921">
        <f>IF(B932=0,0,O921/B932)</f>
        <v/>
      </c>
      <c r="Q921" t="n">
        <v>0</v>
      </c>
      <c r="R921" t="n">
        <v>0</v>
      </c>
      <c r="S921">
        <f>IFERROR(O921/N921,0)</f>
        <v/>
      </c>
    </row>
    <row r="923">
      <c r="A923" t="inlineStr">
        <is>
          <t>Attack% Bucket Multiplier</t>
        </is>
      </c>
      <c r="B923">
        <f>(1+(((C911=TRUE)*F911)+((C918=TRUE)*(F918-Calc!F24)))/100)</f>
        <v/>
      </c>
    </row>
    <row r="924">
      <c r="A924" t="inlineStr">
        <is>
          <t>Global Crit Rate Bonus %</t>
        </is>
      </c>
      <c r="B924" t="n">
        <v>0</v>
      </c>
    </row>
    <row r="925">
      <c r="A925" t="inlineStr">
        <is>
          <t>Attack Speed Buff Bonus % (unused)</t>
        </is>
      </c>
      <c r="B925" t="n">
        <v>0</v>
      </c>
    </row>
    <row r="926">
      <c r="A926" t="inlineStr">
        <is>
          <t>Actions Per Second</t>
        </is>
      </c>
      <c r="B926">
        <f>1+MIN(150,150*(1-(1-(Inputs!$B$10+((C914=TRUE)*(F914-Calc!F20))+((C915=TRUE)*(F915-Calc!F21)))/150)*(1-B925/150)))/100</f>
        <v/>
      </c>
    </row>
    <row r="927">
      <c r="A927" t="inlineStr">
        <is>
          <t>Skill + Buff Cast Rate</t>
        </is>
      </c>
      <c r="B927">
        <f>IF(AND(Inputs!$B$4&lt;&gt;"pvp",Inputs!$B$35&gt;0),SUMPRODUCT((Skills!E2:E27=TRUE)*(C896:C921=TRUE)*R896:R921*Skills!F2:F27)/Inputs!$B$35,SUMPRODUCT((Skills!E2:E27=TRUE)*(C896:C921=TRUE)*Q896:Q921*Skills!F2:F27))</f>
        <v/>
      </c>
    </row>
    <row r="928">
      <c r="A928" t="inlineStr">
        <is>
          <t>Eight-Legs Easton Casts Per Second</t>
        </is>
      </c>
      <c r="B928">
        <f>MAX(0,B926-B927)</f>
        <v/>
      </c>
    </row>
    <row r="929">
      <c r="A929" t="inlineStr">
        <is>
          <t>Global Critical Damage Bonus % (unused)</t>
        </is>
      </c>
      <c r="B929" t="n">
        <v>0</v>
      </c>
    </row>
    <row r="930">
      <c r="A930" t="inlineStr">
        <is>
          <t>Global Final Damage Bonus % (Jolly Roger only)</t>
        </is>
      </c>
      <c r="B930">
        <f>((C912=TRUE)*F912)</f>
        <v/>
      </c>
    </row>
    <row r="932">
      <c r="A932" s="5" t="inlineStr">
        <is>
          <t>TOTAL DPS</t>
        </is>
      </c>
      <c r="B932" s="5">
        <f>SUM(O896:O921)</f>
        <v/>
      </c>
    </row>
    <row r="935">
      <c r="A935" s="5" t="inlineStr">
        <is>
          <t>Stat: ATTACK %</t>
        </is>
      </c>
    </row>
    <row r="936">
      <c r="A936" s="8" t="inlineStr">
        <is>
          <t>Key</t>
        </is>
      </c>
      <c r="B936" s="8" t="inlineStr">
        <is>
          <t>Name</t>
        </is>
      </c>
      <c r="C936" s="8" t="inlineStr">
        <is>
          <t>Unlocked</t>
        </is>
      </c>
      <c r="D936" s="8" t="inlineStr">
        <is>
          <t>InputLevel</t>
        </is>
      </c>
      <c r="E936" s="8" t="inlineStr">
        <is>
          <t>Factor</t>
        </is>
      </c>
      <c r="F936" s="8" t="inlineStr">
        <is>
          <t>CoefficientPercent</t>
        </is>
      </c>
      <c r="G936" s="8" t="inlineStr">
        <is>
          <t>EffectiveHits</t>
        </is>
      </c>
      <c r="H936" s="8" t="inlineStr">
        <is>
          <t>ProcProbability</t>
        </is>
      </c>
      <c r="I936" s="8" t="inlineStr">
        <is>
          <t>MapleHeroMultiplier</t>
        </is>
      </c>
      <c r="J936" s="8" t="inlineStr">
        <is>
          <t>BaseDamage</t>
        </is>
      </c>
      <c r="K936" s="8" t="inlineStr">
        <is>
          <t>BaseHitDamage</t>
        </is>
      </c>
      <c r="L936" s="8" t="inlineStr">
        <is>
          <t>NonCritAvg</t>
        </is>
      </c>
      <c r="M936" s="8" t="inlineStr">
        <is>
          <t>CritAvg</t>
        </is>
      </c>
      <c r="N936" s="8" t="inlineStr">
        <is>
          <t>ExpectedDamage(perHit)</t>
        </is>
      </c>
      <c r="O936" s="8" t="inlineStr">
        <is>
          <t>DPS</t>
        </is>
      </c>
      <c r="P936" s="8" t="inlineStr">
        <is>
          <t>% of Total</t>
        </is>
      </c>
      <c r="Q936" s="8" t="inlineStr">
        <is>
          <t>InvCooldown</t>
        </is>
      </c>
      <c r="R936" s="8" t="inlineStr">
        <is>
          <t>CastsInFight</t>
        </is>
      </c>
      <c r="S936" s="8" t="inlineStr">
        <is>
          <t>HitRate(perSec)</t>
        </is>
      </c>
      <c r="U936" t="inlineStr">
        <is>
          <t>helpers</t>
        </is>
      </c>
    </row>
    <row r="937">
      <c r="A937">
        <f>Skills!A2</f>
        <v/>
      </c>
      <c r="B937">
        <f>Skills!B2</f>
        <v/>
      </c>
      <c r="C937">
        <f>Inputs!$B$3&gt;=100</f>
        <v/>
      </c>
      <c r="D937" t="inlineStr"/>
      <c r="E937" t="inlineStr"/>
      <c r="F937">
        <f>U939+Skills!O2</f>
        <v/>
      </c>
      <c r="G937">
        <f>Skills!G2*IF(Skills!H2&gt;0,Skills!I2/Skills!H2,1)</f>
        <v/>
      </c>
      <c r="H937">
        <f>1-(1-Skills!J2/100)^Skills!K2</f>
        <v/>
      </c>
      <c r="I937" t="inlineStr">
        <is>
          <t>1</t>
        </is>
      </c>
      <c r="J937">
        <f>(Inputs!$B$5*(1+(Inputs!$B$6+1)/100))*(F937/100)</f>
        <v/>
      </c>
      <c r="K937">
        <f>J937*(1+((Inputs!$B$11*(1+Inputs!$B$12/100))*0.01+Inputs!$B$13*0.0025)/100)*(1+Inputs!$B$14/100)*(1+IF(Inputs!$B$4="pvp",0,(1-Summary!$B$55)*(Inputs!$B$19+0+Skills!P2)+Summary!$B$55*(Inputs!$B$20+Skills!Q2))/100)*(1+Inputs!$B$15/100)*(5000/(6000+Inputs!$B$7*(1-(Inputs!$B$18+0)/100)))*(1+(Inputs!$B$23+((C961=TRUE)*(F961-Calc!F26))+B971)/100)*(1+(IF(Skills!A2="EIGHT_LEGS_EASTON",Inputs!$B$16+((C958=TRUE)*(F958-Calc!F23))+((C962=TRUE)*(F962-Calc!F27)),Inputs!$B$17+0))/100)*((1+(((C952=TRUE)*F952)+((C959=TRUE)*(F959-Calc!F24)))/100)*I937)</f>
        <v/>
      </c>
      <c r="L937">
        <f>K937*(MIN(Inputs!$B$21+((C957=TRUE)*(F957-Calc!F22)),Inputs!$B$22+0)/100+(Inputs!$B$22+0)/100)/2</f>
        <v/>
      </c>
      <c r="M937">
        <f>L937*(1+(Inputs!$B$9+((C960=TRUE)*(F960-Calc!F25))+B970)/100)</f>
        <v/>
      </c>
      <c r="N937">
        <f>L937*(1-MIN((Inputs!$B$8+((C954=TRUE)*(F954-Calc!F19))+B965),100)/100)+M937*(MIN((Inputs!$B$8+((C954=TRUE)*(F954-Calc!F19))+B965),100)/100)</f>
        <v/>
      </c>
      <c r="O937">
        <f>IF(C937,Skills!G2*N937*B969*IF(Inputs!$B$4="pvp",1,(1-Summary!$B$55)*(1)+Summary!$B$55*(MIN((6+Inputs!$B$32),Inputs!$B$37))),0)</f>
        <v/>
      </c>
      <c r="P937">
        <f>IF(B973=0,0,O937/B973)</f>
        <v/>
      </c>
      <c r="Q937" t="n">
        <v>0</v>
      </c>
      <c r="R937" t="n">
        <v>0</v>
      </c>
      <c r="S937">
        <f>IFERROR(O937/N937,0)</f>
        <v/>
      </c>
      <c r="U937">
        <f>MAX(0,(Inputs!$B$3-100)*3)+Inputs!$B$27+Inputs!$B$28</f>
        <v/>
      </c>
    </row>
    <row r="938">
      <c r="A938">
        <f>Skills!A3</f>
        <v/>
      </c>
      <c r="B938">
        <f>Skills!B3</f>
        <v/>
      </c>
      <c r="C938">
        <f>Inputs!$B$3&gt;=35</f>
        <v/>
      </c>
      <c r="D938">
        <f>IF(Skills!C3=1,60+Inputs!$B$24+Inputs!$B$28,IF(Skills!C3=2,90+Inputs!$B$25+Inputs!$B$28,IF(Skills!C3=3,120+Inputs!$B$26+Inputs!$B$28,MAX(0,(Inputs!$B$3-100)*3)+Inputs!$B$27+Inputs!$B$28)))</f>
        <v/>
      </c>
      <c r="E938">
        <f>INDEX(FactorTable!$B$2:$Y$301, MATCH(ROUND(MIN(300,MAX(1,D938)),0), FactorTable!$A$2:$A$301,0), Skills!M3+1)</f>
        <v/>
      </c>
      <c r="F938">
        <f>IF(Skills!N3=TRUE,(Skills!L3/10)*(E938/1000),Skills!L3/10)+Skills!O3</f>
        <v/>
      </c>
      <c r="G938">
        <f>Skills!G3*IF(Skills!H3&gt;0,Skills!I3/Skills!H3,1)</f>
        <v/>
      </c>
      <c r="H938">
        <f>1-(1-Skills!J3/100)^Skills!K3</f>
        <v/>
      </c>
      <c r="I938" t="inlineStr">
        <is>
          <t>1</t>
        </is>
      </c>
      <c r="J938">
        <f>(Inputs!$B$5*(1+(Inputs!$B$6+1)/100))*(F938/100)</f>
        <v/>
      </c>
      <c r="K938">
        <f>J938*(1+((Inputs!$B$11*(1+Inputs!$B$12/100))*0.01+Inputs!$B$13*0.0025)/100)*(1+Inputs!$B$14/100)*(1+IF(Inputs!$B$4="pvp",0,(1-Summary!$B$55)*(Inputs!$B$19+0+Skills!P3)+Summary!$B$55*(Inputs!$B$20+Skills!Q3))/100)*(1+Inputs!$B$15/100)*(5000/(6000+Inputs!$B$7*(1-(Inputs!$B$18+0)/100)))*(1+(Inputs!$B$23+((C961=TRUE)*(F961-Calc!F26))+B971)/100)*(1+4.0*IF(C950=TRUE,F950,0)/100)*(1+(IF(Skills!A3="EIGHT_LEGS_EASTON",Inputs!$B$16+((C958=TRUE)*(F958-Calc!F23))+((C962=TRUE)*(F962-Calc!F27)),Inputs!$B$17+0))/100)*((1+(((C952=TRUE)*F952)+((C959=TRUE)*(F959-Calc!F24)))/100)*I938)</f>
        <v/>
      </c>
      <c r="L938">
        <f>K938*(MIN(Inputs!$B$21+((C957=TRUE)*(F957-Calc!F22)),Inputs!$B$22+0)/100+(Inputs!$B$22+0)/100)/2</f>
        <v/>
      </c>
      <c r="M938">
        <f>L938*(1+(Inputs!$B$9+((C960=TRUE)*(F960-Calc!F25))+B970)/100)</f>
        <v/>
      </c>
      <c r="N938">
        <f>L938*(1-MIN((Inputs!$B$8+((C954=TRUE)*(F954-Calc!F19))+B965),100)/100)+M938*(MIN((Inputs!$B$8+((C954=TRUE)*(F954-Calc!F19))+B965),100)/100)</f>
        <v/>
      </c>
      <c r="O938">
        <f>IF(C938,H938*N938*IF(AND(Inputs!$B$4&lt;&gt;"pvp",Inputs!$B$35&gt;0),((Skills!G3*((R938-1)*IF(Skills!H3&gt;0,Skills!I3/Skills!H3,1)+IF(Skills!H3&gt;0,MIN(Skills!I3,MAX(0,Inputs!$B$35-((R938-1)*IF(Inputs!$B$4="pvp",15,MAX(0.1,Skills!D3-IF(Skills!E3=TRUE,Inputs!$B$31,0))))))/Skills!H3,1)))/Inputs!$B$35),G938*Q938)*IF(Inputs!$B$4="pvp",1,(1-Summary!$B$55)*(1)+Summary!$B$55*(MIN(Skills!R3,Inputs!$B$37))),0)</f>
        <v/>
      </c>
      <c r="P938">
        <f>IF(B973=0,0,O938/B973)</f>
        <v/>
      </c>
      <c r="Q938">
        <f>IFERROR(1/IF(Inputs!$B$4="pvp",15,MAX(0.1,Skills!D3-IF(Skills!E3=TRUE,Inputs!$B$31,0))),0)</f>
        <v/>
      </c>
      <c r="R938">
        <f>IF(AND(Inputs!$B$4&lt;&gt;"pvp",Inputs!$B$35&gt;0),(INT(Inputs!$B$35/IF(Inputs!$B$4="pvp",15,MAX(0.1,Skills!D3-IF(Skills!E3=TRUE,Inputs!$B$31,0))))+1),0)</f>
        <v/>
      </c>
      <c r="S938">
        <f>IFERROR(O938/N938,0)</f>
        <v/>
      </c>
      <c r="U938">
        <f>INDEX(FactorTable!$B$2:$Y$301, MATCH(ROUND(MIN(300,MAX(1,U937)),0), FactorTable!$A$2:$A$301,0), 22)</f>
        <v/>
      </c>
    </row>
    <row r="939">
      <c r="A939">
        <f>Skills!A4</f>
        <v/>
      </c>
      <c r="B939">
        <f>Skills!B4</f>
        <v/>
      </c>
      <c r="C939">
        <f>Inputs!$B$3&gt;=40</f>
        <v/>
      </c>
      <c r="D939">
        <f>IF(Skills!C4=1,60+Inputs!$B$24+Inputs!$B$28,IF(Skills!C4=2,90+Inputs!$B$25+Inputs!$B$28,IF(Skills!C4=3,120+Inputs!$B$26+Inputs!$B$28,MAX(0,(Inputs!$B$3-100)*3)+Inputs!$B$27+Inputs!$B$28)))</f>
        <v/>
      </c>
      <c r="E939">
        <f>INDEX(FactorTable!$B$2:$Y$301, MATCH(ROUND(MIN(300,MAX(1,D939)),0), FactorTable!$A$2:$A$301,0), Skills!M4+1)</f>
        <v/>
      </c>
      <c r="F939">
        <f>IF(Skills!N4=TRUE,(Skills!L4/10)*(E939/1000),Skills!L4/10)+Skills!O4</f>
        <v/>
      </c>
      <c r="G939">
        <f>Skills!G4*IF(Skills!H4&gt;0,Skills!I4/Skills!H4,1)</f>
        <v/>
      </c>
      <c r="H939">
        <f>1-(1-Skills!J4/100)^Skills!K4</f>
        <v/>
      </c>
      <c r="I939" t="inlineStr">
        <is>
          <t>1</t>
        </is>
      </c>
      <c r="J939">
        <f>(Inputs!$B$5*(1+(Inputs!$B$6+1)/100))*(F939/100)</f>
        <v/>
      </c>
      <c r="K939">
        <f>J939*(1+((Inputs!$B$11*(1+Inputs!$B$12/100))*0.01+Inputs!$B$13*0.0025)/100)*(1+Inputs!$B$14/100)*(1+IF(Inputs!$B$4="pvp",0,(1-Summary!$B$55)*(Inputs!$B$19+0+Skills!P4)+Summary!$B$55*(Inputs!$B$20+Skills!Q4))/100)*(1+Inputs!$B$15/100)*(5000/(6000+Inputs!$B$7*(1-(Inputs!$B$18+0)/100)))*(1+(Inputs!$B$23+((C961=TRUE)*(F961-Calc!F26))+B971)/100)*(1+1.0*IF(C951=TRUE,F951,0)/100)*(1+(IF(Skills!A4="EIGHT_LEGS_EASTON",Inputs!$B$16+((C958=TRUE)*(F958-Calc!F23))+((C962=TRUE)*(F962-Calc!F27)),Inputs!$B$17+0))/100)*((1+(((C952=TRUE)*F952)+((C959=TRUE)*(F959-Calc!F24)))/100)*I939)</f>
        <v/>
      </c>
      <c r="L939">
        <f>K939*(MIN(Inputs!$B$21+((C957=TRUE)*(F957-Calc!F22)),Inputs!$B$22+0)/100+(Inputs!$B$22+0)/100)/2</f>
        <v/>
      </c>
      <c r="M939">
        <f>L939*(1+(Inputs!$B$9+((C960=TRUE)*(F960-Calc!F25))+B970)/100)</f>
        <v/>
      </c>
      <c r="N939">
        <f>L939*(1-MIN((Inputs!$B$8+((C954=TRUE)*(F954-Calc!F19))+B965),100)/100)+M939*(MIN((Inputs!$B$8+((C954=TRUE)*(F954-Calc!F19))+B965),100)/100)</f>
        <v/>
      </c>
      <c r="O939">
        <f>IF(C939,H939*N939*IF(AND(Inputs!$B$4&lt;&gt;"pvp",Inputs!$B$35&gt;0),((Skills!G4*((R939-1)*IF(Skills!H4&gt;0,Skills!I4/Skills!H4,1)+IF(Skills!H4&gt;0,MIN(Skills!I4,MAX(0,Inputs!$B$35-((R939-1)*IF(Inputs!$B$4="pvp",15,MAX(0.1,Skills!D4-IF(Skills!E4=TRUE,Inputs!$B$31,0))))))/Skills!H4,1)))/Inputs!$B$35),G939*Q939)*IF(Inputs!$B$4="pvp",1,(1-Summary!$B$55)*(1)+Summary!$B$55*(MIN(Skills!R4,Inputs!$B$37))),0)</f>
        <v/>
      </c>
      <c r="P939">
        <f>IF(B973=0,0,O939/B973)</f>
        <v/>
      </c>
      <c r="Q939">
        <f>IFERROR(1/IF(Inputs!$B$4="pvp",15,MAX(0.1,Skills!D4-IF(Skills!E4=TRUE,Inputs!$B$31,0))),0)</f>
        <v/>
      </c>
      <c r="R939">
        <f>IF(AND(Inputs!$B$4&lt;&gt;"pvp",Inputs!$B$35&gt;0),(INT(Inputs!$B$35/IF(Inputs!$B$4="pvp",15,MAX(0.1,Skills!D4-IF(Skills!E4=TRUE,Inputs!$B$31,0))))+1),0)</f>
        <v/>
      </c>
      <c r="S939">
        <f>IFERROR(O939/N939,0)</f>
        <v/>
      </c>
      <c r="U939">
        <f>290*U938/1000</f>
        <v/>
      </c>
    </row>
    <row r="940">
      <c r="A940">
        <f>Skills!A5</f>
        <v/>
      </c>
      <c r="B940">
        <f>Skills!B5</f>
        <v/>
      </c>
      <c r="C940">
        <f>Inputs!$B$3&gt;=45</f>
        <v/>
      </c>
      <c r="D940">
        <f>IF(Skills!C5=1,60+Inputs!$B$24+Inputs!$B$28,IF(Skills!C5=2,90+Inputs!$B$25+Inputs!$B$28,IF(Skills!C5=3,120+Inputs!$B$26+Inputs!$B$28,MAX(0,(Inputs!$B$3-100)*3)+Inputs!$B$27+Inputs!$B$28)))</f>
        <v/>
      </c>
      <c r="E940">
        <f>INDEX(FactorTable!$B$2:$Y$301, MATCH(ROUND(MIN(300,MAX(1,D940)),0), FactorTable!$A$2:$A$301,0), Skills!M5+1)</f>
        <v/>
      </c>
      <c r="F940">
        <f>IF(Skills!N5=TRUE,(Skills!L5/10)*(E940/1000),Skills!L5/10)+Skills!O5</f>
        <v/>
      </c>
      <c r="G940">
        <f>Skills!G5*IF(Skills!H5&gt;0,Skills!I5/Skills!H5,1)</f>
        <v/>
      </c>
      <c r="H940">
        <f>1-(1-Skills!J5/100)^Skills!K5</f>
        <v/>
      </c>
      <c r="I940" t="inlineStr">
        <is>
          <t>1</t>
        </is>
      </c>
      <c r="J940">
        <f>(Inputs!$B$5*(1+(Inputs!$B$6+1)/100))*(F940/100)</f>
        <v/>
      </c>
      <c r="K940">
        <f>J940*(1+((Inputs!$B$11*(1+Inputs!$B$12/100))*0.01+Inputs!$B$13*0.0025)/100)*(1+Inputs!$B$14/100)*(1+IF(Inputs!$B$4="pvp",0,(1-Summary!$B$55)*(Inputs!$B$19+0+Skills!P5)+Summary!$B$55*(Inputs!$B$20+Skills!Q5))/100)*(1+Inputs!$B$15/100)*(5000/(6000+Inputs!$B$7*(1-(Inputs!$B$18+0)/100)))*(1+(Inputs!$B$23+((C961=TRUE)*(F961-Calc!F26))+B971)/100)*(1+0.4*IF(C951=TRUE,F951,0)/100)*(1+(IF(Skills!A5="EIGHT_LEGS_EASTON",Inputs!$B$16+((C958=TRUE)*(F958-Calc!F23))+((C962=TRUE)*(F962-Calc!F27)),Inputs!$B$17+0))/100)*((1+(((C952=TRUE)*F952)+((C959=TRUE)*(F959-Calc!F24)))/100)*I940)</f>
        <v/>
      </c>
      <c r="L940">
        <f>K940*(MIN(Inputs!$B$21+((C957=TRUE)*(F957-Calc!F22)),Inputs!$B$22+0)/100+(Inputs!$B$22+0)/100)/2</f>
        <v/>
      </c>
      <c r="M940">
        <f>L940*(1+(Inputs!$B$9+((C960=TRUE)*(F960-Calc!F25))+B970)/100)</f>
        <v/>
      </c>
      <c r="N940">
        <f>L940*(1-MIN((Inputs!$B$8+((C954=TRUE)*(F954-Calc!F19))+B965),100)/100)+M940*(MIN((Inputs!$B$8+((C954=TRUE)*(F954-Calc!F19))+B965),100)/100)</f>
        <v/>
      </c>
      <c r="O940">
        <f>IF(C940,H940*N940*IF(AND(Inputs!$B$4&lt;&gt;"pvp",Inputs!$B$35&gt;0),((Skills!G5*((R940-1)*IF(Skills!H5&gt;0,Skills!I5/Skills!H5,1)+IF(Skills!H5&gt;0,MIN(Skills!I5,MAX(0,Inputs!$B$35-((R940-1)*IF(Inputs!$B$4="pvp",15,MAX(0.1,Skills!D5-IF(Skills!E5=TRUE,Inputs!$B$31,0))))))/Skills!H5,1)))/Inputs!$B$35),G940*Q940)*IF(Inputs!$B$4="pvp",1,(1-Summary!$B$55)*(1)+Summary!$B$55*(MIN(Skills!R5,Inputs!$B$37))),0)</f>
        <v/>
      </c>
      <c r="P940">
        <f>IF(B973=0,0,O940/B973)</f>
        <v/>
      </c>
      <c r="Q940">
        <f>IFERROR(1/IF(Inputs!$B$4="pvp",15,MAX(0.1,Skills!D5-IF(Skills!E5=TRUE,Inputs!$B$31,0))),0)</f>
        <v/>
      </c>
      <c r="R940">
        <f>IF(AND(Inputs!$B$4&lt;&gt;"pvp",Inputs!$B$35&gt;0),(INT(Inputs!$B$35/IF(Inputs!$B$4="pvp",15,MAX(0.1,Skills!D5-IF(Skills!E5=TRUE,Inputs!$B$31,0))))+1),0)</f>
        <v/>
      </c>
      <c r="S940">
        <f>IFERROR(O940/N940,0)</f>
        <v/>
      </c>
    </row>
    <row r="941">
      <c r="A941">
        <f>Skills!A6</f>
        <v/>
      </c>
      <c r="B941">
        <f>Skills!B6</f>
        <v/>
      </c>
      <c r="C941">
        <f>Inputs!$B$3&gt;=63</f>
        <v/>
      </c>
      <c r="D941">
        <f>IF(Skills!C6=1,60+Inputs!$B$24+Inputs!$B$28,IF(Skills!C6=2,90+Inputs!$B$25+Inputs!$B$28,IF(Skills!C6=3,120+Inputs!$B$26+Inputs!$B$28,MAX(0,(Inputs!$B$3-100)*3)+Inputs!$B$27+Inputs!$B$28)))</f>
        <v/>
      </c>
      <c r="E941">
        <f>INDEX(FactorTable!$B$2:$Y$301, MATCH(ROUND(MIN(300,MAX(1,D941)),0), FactorTable!$A$2:$A$301,0), Skills!M6+1)</f>
        <v/>
      </c>
      <c r="F941">
        <f>IF(Skills!N6=TRUE,(Skills!L6/10)*(E941/1000),Skills!L6/10)+Skills!O6</f>
        <v/>
      </c>
      <c r="G941">
        <f>Skills!G6*IF(Skills!H6&gt;0,Skills!I6/Skills!H6,1)</f>
        <v/>
      </c>
      <c r="H941">
        <f>1-(1-Skills!J6/100)^Skills!K6</f>
        <v/>
      </c>
      <c r="I941" t="inlineStr">
        <is>
          <t>1</t>
        </is>
      </c>
      <c r="J941">
        <f>(Inputs!$B$5*(1+(Inputs!$B$6+1)/100))*(F941/100)</f>
        <v/>
      </c>
      <c r="K941">
        <f>J941*(1+((Inputs!$B$11*(1+Inputs!$B$12/100))*0.01+Inputs!$B$13*0.0025)/100)*(1+Inputs!$B$14/100)*(1+IF(Inputs!$B$4="pvp",0,(1-Summary!$B$55)*(Inputs!$B$19+0+Skills!P6)+Summary!$B$55*(Inputs!$B$20+Skills!Q6))/100)*(1+Inputs!$B$15/100)*(5000/(6000+Inputs!$B$7*(1-(Inputs!$B$18+0)/100)))*(1+(Inputs!$B$23+((C961=TRUE)*(F961-Calc!F26))+B971)/100)*(1+2.0*IF(C950=TRUE,F950,0)/100)*(1+(IF(Skills!A6="EIGHT_LEGS_EASTON",Inputs!$B$16+((C958=TRUE)*(F958-Calc!F23))+((C962=TRUE)*(F962-Calc!F27)),Inputs!$B$17+0))/100)*((1+(((C952=TRUE)*F952)+((C959=TRUE)*(F959-Calc!F24)))/100)*I941)</f>
        <v/>
      </c>
      <c r="L941">
        <f>K941*(MIN(Inputs!$B$21+((C957=TRUE)*(F957-Calc!F22)),Inputs!$B$22+0)/100+(Inputs!$B$22+0)/100)/2</f>
        <v/>
      </c>
      <c r="M941">
        <f>L941*(1+(Inputs!$B$9+((C960=TRUE)*(F960-Calc!F25))+B970)/100)</f>
        <v/>
      </c>
      <c r="N941">
        <f>L941*(1-MIN((Inputs!$B$8+((C954=TRUE)*(F954-Calc!F19))+B965),100)/100)+M941*(MIN((Inputs!$B$8+((C954=TRUE)*(F954-Calc!F19))+B965),100)/100)</f>
        <v/>
      </c>
      <c r="O941">
        <f>IF(C941,H941*N941*IF(AND(Inputs!$B$4&lt;&gt;"pvp",Inputs!$B$35&gt;0),((Skills!G6*((R941-1)*IF(Skills!H6&gt;0,Skills!I6/Skills!H6,1)+IF(Skills!H6&gt;0,MIN(Skills!I6,MAX(0,Inputs!$B$35-((R941-1)*IF(Inputs!$B$4="pvp",15,MAX(0.1,Skills!D6-IF(Skills!E6=TRUE,Inputs!$B$31,0))))))/Skills!H6,1)))/Inputs!$B$35),G941*Q941)*IF(Inputs!$B$4="pvp",1,(1-Summary!$B$55)*(1)+Summary!$B$55*(MIN(Skills!R6,Inputs!$B$37))),0)</f>
        <v/>
      </c>
      <c r="P941">
        <f>IF(B973=0,0,O941/B973)</f>
        <v/>
      </c>
      <c r="Q941">
        <f>IFERROR(1/IF(Inputs!$B$4="pvp",15,MAX(0.1,Skills!D6-IF(Skills!E6=TRUE,Inputs!$B$31,0))),0)</f>
        <v/>
      </c>
      <c r="R941">
        <f>IF(AND(Inputs!$B$4&lt;&gt;"pvp",Inputs!$B$35&gt;0),(INT(Inputs!$B$35/IF(Inputs!$B$4="pvp",15,MAX(0.1,Skills!D6-IF(Skills!E6=TRUE,Inputs!$B$31,0))))+1),0)</f>
        <v/>
      </c>
      <c r="S941">
        <f>IFERROR(O941/N941,0)</f>
        <v/>
      </c>
    </row>
    <row r="942">
      <c r="A942">
        <f>Skills!A7</f>
        <v/>
      </c>
      <c r="B942">
        <f>Skills!B7</f>
        <v/>
      </c>
      <c r="C942">
        <f>Inputs!$B$3&gt;=66</f>
        <v/>
      </c>
      <c r="D942">
        <f>IF(Skills!C7=1,60+Inputs!$B$24+Inputs!$B$28,IF(Skills!C7=2,90+Inputs!$B$25+Inputs!$B$28,IF(Skills!C7=3,120+Inputs!$B$26+Inputs!$B$28,MAX(0,(Inputs!$B$3-100)*3)+Inputs!$B$27+Inputs!$B$28)))</f>
        <v/>
      </c>
      <c r="E942">
        <f>INDEX(FactorTable!$B$2:$Y$301, MATCH(ROUND(MIN(300,MAX(1,D942)),0), FactorTable!$A$2:$A$301,0), Skills!M7+1)</f>
        <v/>
      </c>
      <c r="F942">
        <f>IF(Skills!N7=TRUE,(Skills!L7/10)*(E942/1000),Skills!L7/10)+Skills!O7</f>
        <v/>
      </c>
      <c r="G942">
        <f>Skills!G7*IF(Skills!H7&gt;0,Skills!I7/Skills!H7,1)</f>
        <v/>
      </c>
      <c r="H942">
        <f>1-(1-Skills!J7/100)^Skills!K7</f>
        <v/>
      </c>
      <c r="I942" t="inlineStr">
        <is>
          <t>1</t>
        </is>
      </c>
      <c r="J942">
        <f>(Inputs!$B$5*(1+(Inputs!$B$6+1)/100))*(F942/100)</f>
        <v/>
      </c>
      <c r="K942">
        <f>J942*(1+((Inputs!$B$11*(1+Inputs!$B$12/100))*0.01+Inputs!$B$13*0.0025)/100)*(1+Inputs!$B$14/100)*(1+IF(Inputs!$B$4="pvp",0,(1-Summary!$B$55)*(Inputs!$B$19+0+Skills!P7)+Summary!$B$55*(Inputs!$B$20+Skills!Q7))/100)*(1+Inputs!$B$15/100)*(5000/(6000+Inputs!$B$7*(1-(Inputs!$B$18+0)/100)))*(1+(Inputs!$B$23+((C961=TRUE)*(F961-Calc!F26))+B971)/100)*(1+1.0*IF(C950=TRUE,F950,0)/100)*(1+(IF(Skills!A7="EIGHT_LEGS_EASTON",Inputs!$B$16+((C958=TRUE)*(F958-Calc!F23))+((C962=TRUE)*(F962-Calc!F27)),Inputs!$B$17+0))/100)*((1+(((C952=TRUE)*F952)+((C959=TRUE)*(F959-Calc!F24)))/100)*I942)</f>
        <v/>
      </c>
      <c r="L942">
        <f>K942*(MIN(Inputs!$B$21+((C957=TRUE)*(F957-Calc!F22)),Inputs!$B$22+0)/100+(Inputs!$B$22+0)/100)/2</f>
        <v/>
      </c>
      <c r="M942">
        <f>L942*(1+(Inputs!$B$9+((C960=TRUE)*(F960-Calc!F25))+B970)/100)</f>
        <v/>
      </c>
      <c r="N942">
        <f>L942*(1-MIN((Inputs!$B$8+((C954=TRUE)*(F954-Calc!F19))+B965),100)/100)+M942*(MIN((Inputs!$B$8+((C954=TRUE)*(F954-Calc!F19))+B965),100)/100)</f>
        <v/>
      </c>
      <c r="O942">
        <f>IF(C942,H942*N942*IF(AND(Inputs!$B$4&lt;&gt;"pvp",Inputs!$B$35&gt;0),((Skills!G7*((R942-1)*IF(Skills!H7&gt;0,Skills!I7/Skills!H7,1)+IF(Skills!H7&gt;0,MIN(Skills!I7,MAX(0,Inputs!$B$35-((R942-1)*IF(Inputs!$B$4="pvp",15,MAX(0.1,Skills!D7-IF(Skills!E7=TRUE,Inputs!$B$31,0))))))/Skills!H7,1)))/Inputs!$B$35),G942*Q942)*IF(Inputs!$B$4="pvp",1,(1-Summary!$B$55)*(1)+Summary!$B$55*(MIN(Skills!R7,Inputs!$B$37))),0)</f>
        <v/>
      </c>
      <c r="P942">
        <f>IF(B973=0,0,O942/B973)</f>
        <v/>
      </c>
      <c r="Q942">
        <f>IFERROR(1/IF(Inputs!$B$4="pvp",15,MAX(0.1,Skills!D7-IF(Skills!E7=TRUE,Inputs!$B$31,0))),0)</f>
        <v/>
      </c>
      <c r="R942">
        <f>IF(AND(Inputs!$B$4&lt;&gt;"pvp",Inputs!$B$35&gt;0),(INT(Inputs!$B$35/IF(Inputs!$B$4="pvp",15,MAX(0.1,Skills!D7-IF(Skills!E7=TRUE,Inputs!$B$31,0))))+1),0)</f>
        <v/>
      </c>
      <c r="S942">
        <f>IFERROR(O942/N942,0)</f>
        <v/>
      </c>
    </row>
    <row r="943">
      <c r="A943">
        <f>Skills!A8</f>
        <v/>
      </c>
      <c r="B943">
        <f>Skills!B8</f>
        <v/>
      </c>
      <c r="C943">
        <f>Inputs!$B$3&gt;=100</f>
        <v/>
      </c>
      <c r="D943">
        <f>IF(Skills!C8=1,60+Inputs!$B$24+Inputs!$B$28,IF(Skills!C8=2,90+Inputs!$B$25+Inputs!$B$28,IF(Skills!C8=3,120+Inputs!$B$26+Inputs!$B$28,MAX(0,(Inputs!$B$3-100)*3)+Inputs!$B$27+Inputs!$B$28)))</f>
        <v/>
      </c>
      <c r="E943">
        <f>INDEX(FactorTable!$B$2:$Y$301, MATCH(ROUND(MIN(300,MAX(1,D943)),0), FactorTable!$A$2:$A$301,0), Skills!M8+1)</f>
        <v/>
      </c>
      <c r="F943">
        <f>IF(Skills!N8=TRUE,(Skills!L8/10)*(E943/1000),Skills!L8/10)+Skills!O8</f>
        <v/>
      </c>
      <c r="G943">
        <f>Skills!G8*IF(Skills!H8&gt;0,Skills!I8/Skills!H8,1)</f>
        <v/>
      </c>
      <c r="H943">
        <f>1-(1-Skills!J8/100)^Skills!K8</f>
        <v/>
      </c>
      <c r="I943" t="inlineStr">
        <is>
          <t>1</t>
        </is>
      </c>
      <c r="J943">
        <f>(Inputs!$B$5*(1+(Inputs!$B$6+1)/100))*(F943/100)</f>
        <v/>
      </c>
      <c r="K943">
        <f>J943*(1+((Inputs!$B$11*(1+Inputs!$B$12/100))*0.01+Inputs!$B$13*0.0025)/100)*(1+Inputs!$B$14/100)*(1+IF(Inputs!$B$4="pvp",0,(1-Summary!$B$55)*(Inputs!$B$19+0+Skills!P8)+Summary!$B$55*(Inputs!$B$20+Skills!Q8))/100)*(1+Inputs!$B$15/100)*(5000/(6000+Inputs!$B$7*(1-(Inputs!$B$18+0)/100)))*(1+(Inputs!$B$23+((C961=TRUE)*(F961-Calc!F26))+B971)/100)*(1+(IF(Skills!A8="EIGHT_LEGS_EASTON",Inputs!$B$16+((C958=TRUE)*(F958-Calc!F23))+((C962=TRUE)*(F962-Calc!F27)),Inputs!$B$17+0))/100)*((1+(((C952=TRUE)*F952)+((C959=TRUE)*(F959-Calc!F24)))/100)*I943)</f>
        <v/>
      </c>
      <c r="L943">
        <f>K943*(MIN(Inputs!$B$21+((C957=TRUE)*(F957-Calc!F22)),Inputs!$B$22+0)/100+(Inputs!$B$22+0)/100)/2</f>
        <v/>
      </c>
      <c r="M943">
        <f>L943*(1+(Inputs!$B$9+((C960=TRUE)*(F960-Calc!F25))+B970)/100)</f>
        <v/>
      </c>
      <c r="N943">
        <f>L943*(1-MIN((Inputs!$B$8+((C954=TRUE)*(F954-Calc!F19))+B965),100)/100)+M943*(MIN((Inputs!$B$8+((C954=TRUE)*(F954-Calc!F19))+B965),100)/100)</f>
        <v/>
      </c>
      <c r="O943">
        <f>IF(C943,H943*N943*IF(AND(Inputs!$B$4&lt;&gt;"pvp",Inputs!$B$35&gt;0),((Skills!G8*((R943-1)*IF(Skills!H8&gt;0,Skills!I8/Skills!H8,1)+IF(Skills!H8&gt;0,MIN(Skills!I8,MAX(0,Inputs!$B$35-((R943-1)*IF(Inputs!$B$4="pvp",15,MAX(0.1,Skills!D8-IF(Skills!E8=TRUE,Inputs!$B$31,0))))))/Skills!H8,1)))/Inputs!$B$35),G943*Q943)*IF(Inputs!$B$4="pvp",1,(1-Summary!$B$55)*(1)+Summary!$B$55*(MIN(Skills!R8,Inputs!$B$37))),0)</f>
        <v/>
      </c>
      <c r="P943">
        <f>IF(B973=0,0,O943/B973)</f>
        <v/>
      </c>
      <c r="Q943">
        <f>IFERROR(1/IF(Inputs!$B$4="pvp",15,MAX(0.1,Skills!D8-IF(Skills!E8=TRUE,Inputs!$B$31,0))),0)</f>
        <v/>
      </c>
      <c r="R943">
        <f>IF(AND(Inputs!$B$4&lt;&gt;"pvp",Inputs!$B$35&gt;0),(INT(Inputs!$B$35/IF(Inputs!$B$4="pvp",15,MAX(0.1,Skills!D8-IF(Skills!E8=TRUE,Inputs!$B$31,0))))+1),0)</f>
        <v/>
      </c>
      <c r="S943">
        <f>IFERROR(O943/N943,0)</f>
        <v/>
      </c>
    </row>
    <row r="944">
      <c r="A944">
        <f>Skills!A9</f>
        <v/>
      </c>
      <c r="B944">
        <f>Skills!B9</f>
        <v/>
      </c>
      <c r="C944">
        <f>Inputs!$B$3&gt;=103</f>
        <v/>
      </c>
      <c r="D944">
        <f>IF(Skills!C9=1,60+Inputs!$B$24+Inputs!$B$28,IF(Skills!C9=2,90+Inputs!$B$25+Inputs!$B$28,IF(Skills!C9=3,120+Inputs!$B$26+Inputs!$B$28,MAX(0,(Inputs!$B$3-100)*3)+Inputs!$B$27+Inputs!$B$28)))</f>
        <v/>
      </c>
      <c r="E944">
        <f>INDEX(FactorTable!$B$2:$Y$301, MATCH(ROUND(MIN(300,MAX(1,D944)),0), FactorTable!$A$2:$A$301,0), Skills!M9+1)</f>
        <v/>
      </c>
      <c r="F944">
        <f>IF(Skills!N9=TRUE,(Skills!L9/10)*(E944/1000),Skills!L9/10)+Skills!O9</f>
        <v/>
      </c>
      <c r="G944">
        <f>Skills!G9*IF(Skills!H9&gt;0,Skills!I9/Skills!H9,1)</f>
        <v/>
      </c>
      <c r="H944">
        <f>1-(1-Skills!J9/100)^Skills!K9</f>
        <v/>
      </c>
      <c r="I944" t="inlineStr">
        <is>
          <t>1</t>
        </is>
      </c>
      <c r="J944">
        <f>(Inputs!$B$5*(1+(Inputs!$B$6+1)/100))*(F944/100)</f>
        <v/>
      </c>
      <c r="K944">
        <f>J944*(1+((Inputs!$B$11*(1+Inputs!$B$12/100))*0.01+Inputs!$B$13*0.0025)/100)*(1+Inputs!$B$14/100)*(1+IF(Inputs!$B$4="pvp",0,(1-Summary!$B$55)*(Inputs!$B$19+0+Skills!P9)+Summary!$B$55*(Inputs!$B$20+Skills!Q9))/100)*(1+Inputs!$B$15/100)*(5000/(6000+Inputs!$B$7*(1-(Inputs!$B$18+0)/100)))*(1+(Inputs!$B$23+((C961=TRUE)*(F961-Calc!F26))+B971)/100)*(1+(IF(Skills!A9="EIGHT_LEGS_EASTON",Inputs!$B$16+((C958=TRUE)*(F958-Calc!F23))+((C962=TRUE)*(F962-Calc!F27)),Inputs!$B$17+0))/100)*((1+(((C952=TRUE)*F952)+((C959=TRUE)*(F959-Calc!F24)))/100)*I944)</f>
        <v/>
      </c>
      <c r="L944">
        <f>K944*(MIN(Inputs!$B$21+((C957=TRUE)*(F957-Calc!F22)),Inputs!$B$22+0)/100+(Inputs!$B$22+0)/100)/2</f>
        <v/>
      </c>
      <c r="M944">
        <f>L944*(1+(Inputs!$B$9+((C960=TRUE)*(F960-Calc!F25))+B970)/100)</f>
        <v/>
      </c>
      <c r="N944">
        <f>L944*(1-MIN((Inputs!$B$8+((C954=TRUE)*(F954-Calc!F19))+B965),100)/100)+M944*(MIN((Inputs!$B$8+((C954=TRUE)*(F954-Calc!F19))+B965),100)/100)</f>
        <v/>
      </c>
      <c r="O944">
        <f>IF(C944,H944*N944*IF(AND(Inputs!$B$4&lt;&gt;"pvp",Inputs!$B$35&gt;0),((Skills!G9*((R944-1)*IF(Skills!H9&gt;0,Skills!I9/Skills!H9,1)+IF(Skills!H9&gt;0,MIN(Skills!I9,MAX(0,Inputs!$B$35-((R944-1)*IF(Inputs!$B$4="pvp",15,MAX(0.1,Skills!D9-IF(Skills!E9=TRUE,Inputs!$B$31,0))))))/Skills!H9,1)))/Inputs!$B$35),G944*Q944)*IF(Inputs!$B$4="pvp",1,(1-Summary!$B$55)*(1)+Summary!$B$55*(MIN(Skills!R9,Inputs!$B$37))),0)</f>
        <v/>
      </c>
      <c r="P944">
        <f>IF(B973=0,0,O944/B973)</f>
        <v/>
      </c>
      <c r="Q944">
        <f>IFERROR(1/IF(Inputs!$B$4="pvp",15,MAX(0.1,Skills!D9-IF(Skills!E9=TRUE,Inputs!$B$31,0))),0)</f>
        <v/>
      </c>
      <c r="R944">
        <f>IF(AND(Inputs!$B$4&lt;&gt;"pvp",Inputs!$B$35&gt;0),(INT(Inputs!$B$35/IF(Inputs!$B$4="pvp",15,MAX(0.1,Skills!D9-IF(Skills!E9=TRUE,Inputs!$B$31,0))))+1),0)</f>
        <v/>
      </c>
      <c r="S944">
        <f>IFERROR(O944/N944,0)</f>
        <v/>
      </c>
    </row>
    <row r="945">
      <c r="A945">
        <f>Skills!A10</f>
        <v/>
      </c>
      <c r="B945">
        <f>Skills!B10</f>
        <v/>
      </c>
      <c r="C945">
        <f>Inputs!$B$3&gt;=113</f>
        <v/>
      </c>
      <c r="D945">
        <f>IF(Skills!C10=1,60+Inputs!$B$24+Inputs!$B$28,IF(Skills!C10=2,90+Inputs!$B$25+Inputs!$B$28,IF(Skills!C10=3,120+Inputs!$B$26+Inputs!$B$28,MAX(0,(Inputs!$B$3-100)*3)+Inputs!$B$27+Inputs!$B$28)))</f>
        <v/>
      </c>
      <c r="E945">
        <f>INDEX(FactorTable!$B$2:$Y$301, MATCH(ROUND(MIN(300,MAX(1,D945)),0), FactorTable!$A$2:$A$301,0), Skills!M10+1)</f>
        <v/>
      </c>
      <c r="F945">
        <f>IF(Skills!N10=TRUE,(Skills!L10/10)*(E945/1000),Skills!L10/10)+Skills!O10</f>
        <v/>
      </c>
      <c r="G945">
        <f>Skills!G10*IF(Skills!H10&gt;0,Skills!I10/Skills!H10,1)</f>
        <v/>
      </c>
      <c r="H945">
        <f>1-(1-Skills!J10/100)^Skills!K10</f>
        <v/>
      </c>
      <c r="I945" t="inlineStr">
        <is>
          <t>1</t>
        </is>
      </c>
      <c r="J945">
        <f>(Inputs!$B$5*(1+(Inputs!$B$6+1)/100))*(F945/100)</f>
        <v/>
      </c>
      <c r="K945">
        <f>J945*(1+((Inputs!$B$11*(1+Inputs!$B$12/100))*0.01+Inputs!$B$13*0.0025)/100)*(1+Inputs!$B$14/100)*(1+IF(Inputs!$B$4="pvp",0,(1-Summary!$B$55)*(Inputs!$B$19+0+Skills!P10)+Summary!$B$55*(Inputs!$B$20+Skills!Q10))/100)*(1+Inputs!$B$15/100)*(5000/(6000+Inputs!$B$7*(1-(Inputs!$B$18+0)/100)))*(1+(Inputs!$B$23+((C961=TRUE)*(F961-Calc!F26))+B971)/100)*(1+(IF(Skills!A10="EIGHT_LEGS_EASTON",Inputs!$B$16+((C958=TRUE)*(F958-Calc!F23))+((C962=TRUE)*(F962-Calc!F27)),Inputs!$B$17+0))/100)*((1+(((C952=TRUE)*F952)+((C959=TRUE)*(F959-Calc!F24)))/100)*I945)</f>
        <v/>
      </c>
      <c r="L945">
        <f>K945*(MIN(Inputs!$B$21+((C957=TRUE)*(F957-Calc!F22)),Inputs!$B$22+0)/100+(Inputs!$B$22+0)/100)/2</f>
        <v/>
      </c>
      <c r="M945">
        <f>L945*(1+(Inputs!$B$9+((C960=TRUE)*(F960-Calc!F25))+B970)/100)</f>
        <v/>
      </c>
      <c r="N945">
        <f>L945*(1-MIN((Inputs!$B$8+((C954=TRUE)*(F954-Calc!F19))+B965),100)/100)+M945*(MIN((Inputs!$B$8+((C954=TRUE)*(F954-Calc!F19))+B965),100)/100)</f>
        <v/>
      </c>
      <c r="O945">
        <f>IF(C945,H945*N945*IF(AND(Inputs!$B$4&lt;&gt;"pvp",Inputs!$B$35&gt;0),((Skills!G10*((R945-1)*IF(Skills!H10&gt;0,Skills!I10/Skills!H10,1)+IF(Skills!H10&gt;0,MIN(Skills!I10,MAX(0,Inputs!$B$35-((R945-1)*IF(Inputs!$B$4="pvp",15,MAX(0.1,Skills!D10-IF(Skills!E10=TRUE,Inputs!$B$31,0))))))/Skills!H10,1)))/Inputs!$B$35),G945*Q945)*IF(Inputs!$B$4="pvp",1,(1-Summary!$B$55)*(1)+Summary!$B$55*(MIN(Skills!R10,Inputs!$B$37))),0)</f>
        <v/>
      </c>
      <c r="P945">
        <f>IF(B973=0,0,O945/B973)</f>
        <v/>
      </c>
      <c r="Q945">
        <f>IFERROR(1/IF(Inputs!$B$4="pvp",15,MAX(0.1,Skills!D10-IF(Skills!E10=TRUE,Inputs!$B$31,0))),0)</f>
        <v/>
      </c>
      <c r="R945">
        <f>IF(AND(Inputs!$B$4&lt;&gt;"pvp",Inputs!$B$35&gt;0),(INT(Inputs!$B$35/IF(Inputs!$B$4="pvp",15,MAX(0.1,Skills!D10-IF(Skills!E10=TRUE,Inputs!$B$31,0))))+1),0)</f>
        <v/>
      </c>
      <c r="S945">
        <f>IFERROR(O945/N945,0)</f>
        <v/>
      </c>
    </row>
    <row r="946">
      <c r="A946">
        <f>Skills!A11</f>
        <v/>
      </c>
      <c r="B946">
        <f>Skills!B11</f>
        <v/>
      </c>
      <c r="C946">
        <f>Inputs!$B$3&gt;=107</f>
        <v/>
      </c>
      <c r="D946">
        <f>IF(Skills!C11=1,60+Inputs!$B$24+Inputs!$B$28,IF(Skills!C11=2,90+Inputs!$B$25+Inputs!$B$28,IF(Skills!C11=3,120+Inputs!$B$26+Inputs!$B$28,MAX(0,(Inputs!$B$3-100)*3)+Inputs!$B$27+Inputs!$B$28)))</f>
        <v/>
      </c>
      <c r="E946">
        <f>INDEX(FactorTable!$B$2:$Y$301, MATCH(ROUND(MIN(300,MAX(1,D946)),0), FactorTable!$A$2:$A$301,0), Skills!M11+1)</f>
        <v/>
      </c>
      <c r="F946">
        <f>IF(Skills!N11=TRUE,(Skills!L11/10)*(E946/1000),Skills!L11/10)+Skills!O11</f>
        <v/>
      </c>
      <c r="G946">
        <f>Skills!G11*IF(Skills!H11&gt;0,Skills!I11/Skills!H11,1)</f>
        <v/>
      </c>
      <c r="H946">
        <f>1-(1-Skills!J11/100)^Skills!K11</f>
        <v/>
      </c>
      <c r="I946" t="inlineStr">
        <is>
          <t>1</t>
        </is>
      </c>
      <c r="J946">
        <f>(Inputs!$B$5*(1+(Inputs!$B$6+1)/100))*(F946/100)</f>
        <v/>
      </c>
      <c r="K946">
        <f>J946*(1+((Inputs!$B$11*(1+Inputs!$B$12/100))*0.01+Inputs!$B$13*0.0025)/100)*(1+Inputs!$B$14/100)*(1+IF(Inputs!$B$4="pvp",0,(1-Summary!$B$55)*(Inputs!$B$19+0+Skills!P11)+Summary!$B$55*(Inputs!$B$20+Skills!Q11))/100)*(1+Inputs!$B$15/100)*(5000/(6000+Inputs!$B$7*(1-(Inputs!$B$18+0)/100)))*(1+(Inputs!$B$23+((C961=TRUE)*(F961-Calc!F26))+B971)/100)*(1+(IF(Skills!A11="EIGHT_LEGS_EASTON",Inputs!$B$16+((C958=TRUE)*(F958-Calc!F23))+((C962=TRUE)*(F962-Calc!F27)),Inputs!$B$17+0))/100)*((1+(((C952=TRUE)*F952)+((C959=TRUE)*(F959-Calc!F24)))/100)*I946)</f>
        <v/>
      </c>
      <c r="L946">
        <f>K946*(MIN(Inputs!$B$21+((C957=TRUE)*(F957-Calc!F22)),Inputs!$B$22+0)/100+(Inputs!$B$22+0)/100)/2</f>
        <v/>
      </c>
      <c r="M946">
        <f>L946*(1+(Inputs!$B$9+((C960=TRUE)*(F960-Calc!F25))+B970)/100)</f>
        <v/>
      </c>
      <c r="N946">
        <f>L946*(1-MIN((Inputs!$B$8+((C954=TRUE)*(F954-Calc!F19))+B965),100)/100)+M946*(MIN((Inputs!$B$8+((C954=TRUE)*(F954-Calc!F19))+B965),100)/100)</f>
        <v/>
      </c>
      <c r="O946">
        <f>IF(C946,H946*N946*IF(AND(Inputs!$B$4&lt;&gt;"pvp",Inputs!$B$35&gt;0),((Skills!G11*((R946-1)*IF(Skills!H11&gt;0,Skills!I11/Skills!H11,1)+IF(Skills!H11&gt;0,MIN(Skills!I11,MAX(0,Inputs!$B$35-((R946-1)*IF(Inputs!$B$4="pvp",15,MAX(0.1,Skills!D11-IF(Skills!E11=TRUE,Inputs!$B$31,0))))))/Skills!H11,1)))/Inputs!$B$35),G946*Q946)*IF(Inputs!$B$4="pvp",1,(1-Summary!$B$55)*(1)+Summary!$B$55*(MIN(Skills!R11,Inputs!$B$37))),0)</f>
        <v/>
      </c>
      <c r="P946">
        <f>IF(B973=0,0,O946/B973)</f>
        <v/>
      </c>
      <c r="Q946">
        <f>IFERROR(1/IF(Inputs!$B$4="pvp",15,MAX(0.1,Skills!D11-IF(Skills!E11=TRUE,Inputs!$B$31,0))),0)</f>
        <v/>
      </c>
      <c r="R946">
        <f>IF(AND(Inputs!$B$4&lt;&gt;"pvp",Inputs!$B$35&gt;0),(INT(Inputs!$B$35/IF(Inputs!$B$4="pvp",15,MAX(0.1,Skills!D11-IF(Skills!E11=TRUE,Inputs!$B$31,0))))+1),0)</f>
        <v/>
      </c>
      <c r="S946">
        <f>IFERROR(O946/N946,0)</f>
        <v/>
      </c>
    </row>
    <row r="947">
      <c r="A947">
        <f>Skills!A12</f>
        <v/>
      </c>
      <c r="B947">
        <f>Skills!B12</f>
        <v/>
      </c>
      <c r="C947">
        <f>Inputs!$B$3&gt;=110</f>
        <v/>
      </c>
      <c r="D947">
        <f>IF(Skills!C12=1,60+Inputs!$B$24+Inputs!$B$28,IF(Skills!C12=2,90+Inputs!$B$25+Inputs!$B$28,IF(Skills!C12=3,120+Inputs!$B$26+Inputs!$B$28,MAX(0,(Inputs!$B$3-100)*3)+Inputs!$B$27+Inputs!$B$28)))</f>
        <v/>
      </c>
      <c r="E947">
        <f>INDEX(FactorTable!$B$2:$Y$301, MATCH(ROUND(MIN(300,MAX(1,D947)),0), FactorTable!$A$2:$A$301,0), Skills!M12+1)</f>
        <v/>
      </c>
      <c r="F947">
        <f>IF(Skills!N12=TRUE,(Skills!L12/10)*(E947/1000),Skills!L12/10)+Skills!O12</f>
        <v/>
      </c>
      <c r="G947">
        <f>Skills!G12*IF(Skills!H12&gt;0,Skills!I12/Skills!H12,1)</f>
        <v/>
      </c>
      <c r="H947">
        <f>1-(1-Skills!J12/100)^Skills!K12</f>
        <v/>
      </c>
      <c r="I947" t="inlineStr">
        <is>
          <t>1</t>
        </is>
      </c>
      <c r="J947">
        <f>(Inputs!$B$5*(1+(Inputs!$B$6+1)/100))*(F947/100)</f>
        <v/>
      </c>
      <c r="K947">
        <f>J947*(1+((Inputs!$B$11*(1+Inputs!$B$12/100))*0.01+Inputs!$B$13*0.0025)/100)*(1+Inputs!$B$14/100)*(1+IF(Inputs!$B$4="pvp",0,(1-Summary!$B$55)*(Inputs!$B$19+0+Skills!P12)+Summary!$B$55*(Inputs!$B$20+Skills!Q12))/100)*(1+Inputs!$B$15/100)*(5000/(6000+Inputs!$B$7*(1-(Inputs!$B$18+0)/100)))*(1+(Inputs!$B$23+((C961=TRUE)*(F961-Calc!F26))+B971)/100)*(1+(IF(Skills!A12="EIGHT_LEGS_EASTON",Inputs!$B$16+((C958=TRUE)*(F958-Calc!F23))+((C962=TRUE)*(F962-Calc!F27)),Inputs!$B$17+0))/100)*((1+(((C952=TRUE)*F952)+((C959=TRUE)*(F959-Calc!F24)))/100)*I947)</f>
        <v/>
      </c>
      <c r="L947">
        <f>K947*(MIN(Inputs!$B$21+((C957=TRUE)*(F957-Calc!F22)),Inputs!$B$22+0)/100+(Inputs!$B$22+0)/100)/2</f>
        <v/>
      </c>
      <c r="M947">
        <f>L947*(1+(Inputs!$B$9+((C960=TRUE)*(F960-Calc!F25))+B970)/100)</f>
        <v/>
      </c>
      <c r="N947">
        <f>L947*(1-MIN((Inputs!$B$8+((C954=TRUE)*(F954-Calc!F19))+B965),100)/100)+M947*(MIN((Inputs!$B$8+((C954=TRUE)*(F954-Calc!F19))+B965),100)/100)</f>
        <v/>
      </c>
      <c r="O947">
        <f>IF(C947,H947*N947*IF(AND(Inputs!$B$4&lt;&gt;"pvp",Inputs!$B$35&gt;0),((Skills!G12*((R947-1)*IF(Skills!H12&gt;0,Skills!I12/Skills!H12,1)+IF(Skills!H12&gt;0,MIN(Skills!I12,MAX(0,Inputs!$B$35-((R947-1)*IF(Inputs!$B$4="pvp",15,MAX(0.1,Skills!D12-IF(Skills!E12=TRUE,Inputs!$B$31,0))))))/Skills!H12,1)))/Inputs!$B$35),G947*Q947)*IF(Inputs!$B$4="pvp",1,(1-Summary!$B$55)*(1)+Summary!$B$55*(MIN(Skills!R12,Inputs!$B$37))),0)</f>
        <v/>
      </c>
      <c r="P947">
        <f>IF(B973=0,0,O947/B973)</f>
        <v/>
      </c>
      <c r="Q947">
        <f>IFERROR(1/IF(Inputs!$B$4="pvp",15,MAX(0.1,Skills!D12-IF(Skills!E12=TRUE,Inputs!$B$31,0))),0)</f>
        <v/>
      </c>
      <c r="R947">
        <f>IF(AND(Inputs!$B$4&lt;&gt;"pvp",Inputs!$B$35&gt;0),(INT(Inputs!$B$35/IF(Inputs!$B$4="pvp",15,MAX(0.1,Skills!D12-IF(Skills!E12=TRUE,Inputs!$B$31,0))))+1),0)</f>
        <v/>
      </c>
      <c r="S947">
        <f>IFERROR(O947/N947,0)</f>
        <v/>
      </c>
    </row>
    <row r="948">
      <c r="A948">
        <f>Skills!A13</f>
        <v/>
      </c>
      <c r="B948">
        <f>Skills!B13</f>
        <v/>
      </c>
      <c r="C948">
        <f>Inputs!$B$3&gt;=110</f>
        <v/>
      </c>
      <c r="D948">
        <f>IF(Skills!C13=1,60+Inputs!$B$24+Inputs!$B$28,IF(Skills!C13=2,90+Inputs!$B$25+Inputs!$B$28,IF(Skills!C13=3,120+Inputs!$B$26+Inputs!$B$28,MAX(0,(Inputs!$B$3-100)*3)+Inputs!$B$27+Inputs!$B$28)))</f>
        <v/>
      </c>
      <c r="E948">
        <f>INDEX(FactorTable!$B$2:$Y$301, MATCH(ROUND(MIN(300,MAX(1,D948)),0), FactorTable!$A$2:$A$301,0), Skills!M13+1)</f>
        <v/>
      </c>
      <c r="F948">
        <f>IF(Skills!N13=TRUE,(Skills!L13/10)*(E948/1000),Skills!L13/10)+Skills!O13</f>
        <v/>
      </c>
      <c r="G948">
        <f>Skills!G13*IF(Skills!H13&gt;0,Skills!I13/Skills!H13,1)</f>
        <v/>
      </c>
      <c r="H948">
        <f>1-(1-Skills!J13/100)^Skills!K13</f>
        <v/>
      </c>
      <c r="I948" t="inlineStr">
        <is>
          <t>1</t>
        </is>
      </c>
      <c r="J948">
        <f>(Inputs!$B$5*(1+(Inputs!$B$6+1)/100))*(F948/100)</f>
        <v/>
      </c>
      <c r="K948">
        <f>J948*(1+((Inputs!$B$11*(1+Inputs!$B$12/100))*0.01+Inputs!$B$13*0.0025)/100)*(1+Inputs!$B$14/100)*(1+IF(Inputs!$B$4="pvp",0,(1-Summary!$B$55)*(Inputs!$B$19+0+Skills!P13)+Summary!$B$55*(Inputs!$B$20+Skills!Q13))/100)*(1+Inputs!$B$15/100)*(5000/(6000+Inputs!$B$7*(1-(Inputs!$B$18+0)/100)))*(1+(Inputs!$B$23+((C961=TRUE)*(F961-Calc!F26))+B971)/100)*(1+(IF(Skills!A13="EIGHT_LEGS_EASTON",Inputs!$B$16+((C958=TRUE)*(F958-Calc!F23))+((C962=TRUE)*(F962-Calc!F27)),Inputs!$B$17+0))/100)*((1+(((C952=TRUE)*F952)+((C959=TRUE)*(F959-Calc!F24)))/100)*I948)</f>
        <v/>
      </c>
      <c r="L948">
        <f>K948*(MIN(Inputs!$B$21+((C957=TRUE)*(F957-Calc!F22)),Inputs!$B$22+0)/100+(Inputs!$B$22+0)/100)/2</f>
        <v/>
      </c>
      <c r="M948">
        <f>L948*(1+(Inputs!$B$9+((C960=TRUE)*(F960-Calc!F25))+B970)/100)</f>
        <v/>
      </c>
      <c r="N948">
        <f>L948*(1-MIN((Inputs!$B$8+((C954=TRUE)*(F954-Calc!F19))+B965),100)/100)+M948*(MIN((Inputs!$B$8+((C954=TRUE)*(F954-Calc!F19))+B965),100)/100)</f>
        <v/>
      </c>
      <c r="O948">
        <f>IF(C948,H948*N948*IF(AND(Inputs!$B$4&lt;&gt;"pvp",Inputs!$B$35&gt;0),((Skills!G13*((R948-1)*IF(Skills!H13&gt;0,Skills!I13/Skills!H13,1)+IF(Skills!H13&gt;0,MIN(Skills!I13,MAX(0,Inputs!$B$35-((R948-1)*IF(Inputs!$B$4="pvp",15,MAX(0.1,Skills!D13-IF(Skills!E13=TRUE,Inputs!$B$31,0))))))/Skills!H13,1)))/Inputs!$B$35),G948*Q948)*IF(Inputs!$B$4="pvp",1,(1-Summary!$B$55)*(1)+Summary!$B$55*(MIN(Skills!R13,Inputs!$B$37))),0)</f>
        <v/>
      </c>
      <c r="P948">
        <f>IF(B973=0,0,O948/B973)</f>
        <v/>
      </c>
      <c r="Q948">
        <f>IFERROR(1/IF(Inputs!$B$4="pvp",15,MAX(0.1,Skills!D13-IF(Skills!E13=TRUE,Inputs!$B$31,0))),0)</f>
        <v/>
      </c>
      <c r="R948">
        <f>IF(AND(Inputs!$B$4&lt;&gt;"pvp",Inputs!$B$35&gt;0),(INT(Inputs!$B$35/IF(Inputs!$B$4="pvp",15,MAX(0.1,Skills!D13-IF(Skills!E13=TRUE,Inputs!$B$31,0))))+1),0)</f>
        <v/>
      </c>
      <c r="S948">
        <f>IFERROR(O948/N948,0)</f>
        <v/>
      </c>
    </row>
    <row r="949">
      <c r="A949">
        <f>Skills!A14</f>
        <v/>
      </c>
      <c r="B949">
        <f>Skills!B14</f>
        <v/>
      </c>
      <c r="C949">
        <f>Inputs!$B$3&gt;=125</f>
        <v/>
      </c>
      <c r="D949">
        <f>IF(Skills!C14=1,60+Inputs!$B$24+Inputs!$B$28,IF(Skills!C14=2,90+Inputs!$B$25+Inputs!$B$28,IF(Skills!C14=3,120+Inputs!$B$26+Inputs!$B$28,MAX(0,(Inputs!$B$3-100)*3)+Inputs!$B$27+Inputs!$B$28)))</f>
        <v/>
      </c>
      <c r="E949">
        <f>INDEX(FactorTable!$B$2:$Y$301, MATCH(ROUND(MIN(300,MAX(1,D949)),0), FactorTable!$A$2:$A$301,0), Skills!M14+1)</f>
        <v/>
      </c>
      <c r="F949">
        <f>IF(Skills!N14=TRUE,(Skills!L14/10)*(E949/1000),Skills!L14/10)+Skills!O14</f>
        <v/>
      </c>
      <c r="G949">
        <f>Skills!G14*IF(Skills!H14&gt;0,Skills!I14/Skills!H14,1)</f>
        <v/>
      </c>
      <c r="H949">
        <f>1-(1-Skills!J14/100)^Skills!K14</f>
        <v/>
      </c>
      <c r="I949" t="inlineStr">
        <is>
          <t>1</t>
        </is>
      </c>
      <c r="J949">
        <f>(Inputs!$B$5*(1+(Inputs!$B$6+1)/100))*(F949/100)</f>
        <v/>
      </c>
      <c r="K949">
        <f>J949*(1+((Inputs!$B$11*(1+Inputs!$B$12/100))*0.01+Inputs!$B$13*0.0025)/100)*(1+Inputs!$B$14/100)*(1+IF(Inputs!$B$4="pvp",0,(1-Summary!$B$55)*(Inputs!$B$19+0+Skills!P14)+Summary!$B$55*(Inputs!$B$20+Skills!Q14))/100)*(1+Inputs!$B$15/100)*(5000/(6000+Inputs!$B$7*(1-(Inputs!$B$18+0)/100)))*(1+(Inputs!$B$23+((C961=TRUE)*(F961-Calc!F26))+B971)/100)*(1+(IF(Skills!A14="EIGHT_LEGS_EASTON",Inputs!$B$16+((C958=TRUE)*(F958-Calc!F23))+((C962=TRUE)*(F962-Calc!F27)),Inputs!$B$17+0))/100)*((1+(((C952=TRUE)*F952)+((C959=TRUE)*(F959-Calc!F24)))/100)*I949)</f>
        <v/>
      </c>
      <c r="L949">
        <f>K949*(MIN(Inputs!$B$21+((C957=TRUE)*(F957-Calc!F22)),Inputs!$B$22+0)/100+(Inputs!$B$22+0)/100)/2</f>
        <v/>
      </c>
      <c r="M949">
        <f>L949*(1+(Inputs!$B$9+((C960=TRUE)*(F960-Calc!F25))+B970)/100)</f>
        <v/>
      </c>
      <c r="N949">
        <f>L949*(1-MIN((Inputs!$B$8+((C954=TRUE)*(F954-Calc!F19))+B965),100)/100)+M949*(MIN((Inputs!$B$8+((C954=TRUE)*(F954-Calc!F19))+B965),100)/100)</f>
        <v/>
      </c>
      <c r="O949">
        <f>IF(C949,H949*N949*(B969+IF(AND(Inputs!$B$4&lt;&gt;"pvp",Inputs!$B$35&gt;0),((Skills!G8*((R943-1)*IF(Skills!H8&gt;0,Skills!I8/Skills!H8,1)+IF(Skills!H8&gt;0,MIN(Skills!I8,MAX(0,Inputs!$B$35-((R943-1)*IF(Inputs!$B$4="pvp",15,MAX(0.1,Skills!D8-IF(Skills!E8=TRUE,Inputs!$B$31,0))))))/Skills!H8,1)))/Inputs!$B$35),G943*Q943)+IF(AND(Inputs!$B$4&lt;&gt;"pvp",Inputs!$B$35&gt;0),((Skills!G11*((R946-1)*IF(Skills!H11&gt;0,Skills!I11/Skills!H11,1)+IF(Skills!H11&gt;0,MIN(Skills!I11,MAX(0,Inputs!$B$35-((R946-1)*IF(Inputs!$B$4="pvp",15,MAX(0.1,Skills!D11-IF(Skills!E11=TRUE,Inputs!$B$31,0))))))/Skills!H11,1)))/Inputs!$B$35),G946*Q946))*IF(Inputs!$B$4="pvp",1,(1-Summary!$B$55)*(1)+Summary!$B$55*(MIN(Skills!R14,Inputs!$B$37))),0)</f>
        <v/>
      </c>
      <c r="P949">
        <f>IF(B973=0,0,O949/B973)</f>
        <v/>
      </c>
      <c r="Q949" t="n">
        <v>0</v>
      </c>
      <c r="R949" t="n">
        <v>0</v>
      </c>
      <c r="S949">
        <f>IFERROR(O949/N949,0)</f>
        <v/>
      </c>
    </row>
    <row r="950">
      <c r="A950">
        <f>Skills!A15</f>
        <v/>
      </c>
      <c r="B950">
        <f>Skills!B15</f>
        <v/>
      </c>
      <c r="C950">
        <f>Inputs!$B$3&gt;=100</f>
        <v/>
      </c>
      <c r="D950">
        <f>IF(Skills!C15=1,60+Inputs!$B$24+Inputs!$B$28,IF(Skills!C15=2,90+Inputs!$B$25+Inputs!$B$28,IF(Skills!C15=3,120+Inputs!$B$26+Inputs!$B$28,MAX(0,(Inputs!$B$3-100)*3)+Inputs!$B$27+Inputs!$B$28)))</f>
        <v/>
      </c>
      <c r="E950">
        <f>INDEX(FactorTable!$B$2:$Y$301, MATCH(ROUND(MIN(300,MAX(1,D950)),0), FactorTable!$A$2:$A$301,0), Skills!M15+1)</f>
        <v/>
      </c>
      <c r="F950">
        <f>IF(Skills!N15=TRUE,(Skills!L15/10)*(E950/1000),Skills!L15/10)+Skills!O15</f>
        <v/>
      </c>
      <c r="G950" t="inlineStr"/>
      <c r="H950" t="inlineStr"/>
      <c r="I950" t="inlineStr">
        <is>
          <t>1</t>
        </is>
      </c>
      <c r="J950" t="inlineStr"/>
      <c r="K950" t="inlineStr"/>
      <c r="L950" t="inlineStr"/>
      <c r="M950" t="inlineStr"/>
      <c r="N950" t="inlineStr"/>
      <c r="O950" t="inlineStr"/>
      <c r="P950" t="inlineStr"/>
      <c r="Q950" t="inlineStr"/>
      <c r="R950" t="inlineStr"/>
      <c r="S950" t="inlineStr"/>
    </row>
    <row r="951">
      <c r="A951">
        <f>Skills!A16</f>
        <v/>
      </c>
      <c r="B951">
        <f>Skills!B16</f>
        <v/>
      </c>
      <c r="C951">
        <f>Inputs!$B$3&gt;=120</f>
        <v/>
      </c>
      <c r="D951">
        <f>IF(Skills!C16=1,60+Inputs!$B$24+Inputs!$B$28,IF(Skills!C16=2,90+Inputs!$B$25+Inputs!$B$28,IF(Skills!C16=3,120+Inputs!$B$26+Inputs!$B$28,MAX(0,(Inputs!$B$3-100)*3)+Inputs!$B$27+Inputs!$B$28)))</f>
        <v/>
      </c>
      <c r="E951">
        <f>INDEX(FactorTable!$B$2:$Y$301, MATCH(ROUND(MIN(300,MAX(1,D951)),0), FactorTable!$A$2:$A$301,0), Skills!M16+1)</f>
        <v/>
      </c>
      <c r="F951">
        <f>IF(Skills!N16=TRUE,(Skills!L16/10)*(E951/1000),Skills!L16/10)+Skills!O16</f>
        <v/>
      </c>
      <c r="G951" t="inlineStr"/>
      <c r="H951" t="inlineStr"/>
      <c r="I951" t="inlineStr">
        <is>
          <t>1</t>
        </is>
      </c>
      <c r="J951" t="inlineStr"/>
      <c r="K951" t="inlineStr"/>
      <c r="L951" t="inlineStr"/>
      <c r="M951" t="inlineStr"/>
      <c r="N951" t="inlineStr"/>
      <c r="O951" t="inlineStr"/>
      <c r="P951" t="inlineStr"/>
      <c r="Q951" t="inlineStr"/>
      <c r="R951" t="inlineStr"/>
      <c r="S951" t="inlineStr"/>
    </row>
    <row r="952">
      <c r="A952">
        <f>Skills!A17</f>
        <v/>
      </c>
      <c r="B952">
        <f>Skills!B17</f>
        <v/>
      </c>
      <c r="C952">
        <f>Inputs!$B$3&gt;=66</f>
        <v/>
      </c>
      <c r="D952">
        <f>IF(Skills!C17=1,60+Inputs!$B$24+Inputs!$B$28,IF(Skills!C17=2,90+Inputs!$B$25+Inputs!$B$28,IF(Skills!C17=3,120+Inputs!$B$26+Inputs!$B$28,MAX(0,(Inputs!$B$3-100)*3)+Inputs!$B$27+Inputs!$B$28)))</f>
        <v/>
      </c>
      <c r="E952">
        <f>INDEX(FactorTable!$B$2:$Y$301, MATCH(ROUND(MIN(300,MAX(1,D952)),0), FactorTable!$A$2:$A$301,0), Skills!M17+1)</f>
        <v/>
      </c>
      <c r="F952">
        <f>IF(Skills!N17=TRUE,(Skills!L17/10)*(E952/1000),Skills!L17/10)+Skills!O17</f>
        <v/>
      </c>
      <c r="G952">
        <f>Skills!G17*IF(Skills!H17&gt;0,Skills!I17/Skills!H17,1)</f>
        <v/>
      </c>
      <c r="H952">
        <f>1-(1-Skills!J17/100)^Skills!K17</f>
        <v/>
      </c>
      <c r="I952" t="inlineStr">
        <is>
          <t>1</t>
        </is>
      </c>
      <c r="J952" t="inlineStr"/>
      <c r="K952" t="inlineStr"/>
      <c r="L952" t="inlineStr"/>
      <c r="M952" t="inlineStr"/>
      <c r="N952" t="inlineStr"/>
      <c r="O952" t="n">
        <v>0</v>
      </c>
      <c r="P952">
        <f>IF(B973=0,0,O952/B973)</f>
        <v/>
      </c>
      <c r="Q952" t="n">
        <v>0</v>
      </c>
      <c r="R952" t="n">
        <v>0</v>
      </c>
      <c r="S952">
        <f>IFERROR(O952/N952,0)</f>
        <v/>
      </c>
    </row>
    <row r="953">
      <c r="A953">
        <f>Skills!A18</f>
        <v/>
      </c>
      <c r="B953">
        <f>Skills!B18</f>
        <v/>
      </c>
      <c r="C953">
        <f>Inputs!$B$3&gt;=115</f>
        <v/>
      </c>
      <c r="D953">
        <f>IF(Skills!C18=1,60+Inputs!$B$24+Inputs!$B$28,IF(Skills!C18=2,90+Inputs!$B$25+Inputs!$B$28,IF(Skills!C18=3,120+Inputs!$B$26+Inputs!$B$28,MAX(0,(Inputs!$B$3-100)*3)+Inputs!$B$27+Inputs!$B$28)))</f>
        <v/>
      </c>
      <c r="E953">
        <f>INDEX(FactorTable!$B$2:$Y$301, MATCH(ROUND(MIN(300,MAX(1,D953)),0), FactorTable!$A$2:$A$301,0), Skills!M18+1)</f>
        <v/>
      </c>
      <c r="F953">
        <f>IF(Skills!N18=TRUE,(Skills!L18/10)*(E953/1000),Skills!L18/10)+Skills!O18</f>
        <v/>
      </c>
      <c r="G953">
        <f>Skills!G18*IF(Skills!H18&gt;0,Skills!I18/Skills!H18,1)</f>
        <v/>
      </c>
      <c r="H953">
        <f>1-(1-Skills!J18/100)^Skills!K18</f>
        <v/>
      </c>
      <c r="I953" t="inlineStr">
        <is>
          <t>1</t>
        </is>
      </c>
      <c r="J953" t="inlineStr"/>
      <c r="K953" t="inlineStr"/>
      <c r="L953" t="inlineStr"/>
      <c r="M953" t="inlineStr"/>
      <c r="N953" t="inlineStr"/>
      <c r="O953" t="n">
        <v>0</v>
      </c>
      <c r="P953">
        <f>IF(B973=0,0,O953/B973)</f>
        <v/>
      </c>
      <c r="Q953" t="n">
        <v>0</v>
      </c>
      <c r="R953" t="n">
        <v>0</v>
      </c>
      <c r="S953">
        <f>IFERROR(O953/N953,0)</f>
        <v/>
      </c>
    </row>
    <row r="954">
      <c r="A954">
        <f>Skills!A19</f>
        <v/>
      </c>
      <c r="B954">
        <f>Skills!B19</f>
        <v/>
      </c>
      <c r="C954">
        <f>Inputs!$B$3&gt;=15</f>
        <v/>
      </c>
      <c r="D954">
        <f>IF(Skills!C19=1,60+Inputs!$B$24+Inputs!$B$28,IF(Skills!C19=2,90+Inputs!$B$25+Inputs!$B$28,IF(Skills!C19=3,120+Inputs!$B$26+Inputs!$B$28,MAX(0,(Inputs!$B$3-100)*3)+Inputs!$B$27+Inputs!$B$28)))</f>
        <v/>
      </c>
      <c r="E954">
        <f>INDEX(FactorTable!$B$2:$Y$301, MATCH(ROUND(MIN(300,MAX(1,D954)),0), FactorTable!$A$2:$A$301,0), Skills!M19+1)</f>
        <v/>
      </c>
      <c r="F954">
        <f>IF(Skills!N19=TRUE,(Skills!L19/10)*(E954/1000),Skills!L19/10)+Skills!O19</f>
        <v/>
      </c>
      <c r="G954">
        <f>Skills!G19*IF(Skills!H19&gt;0,Skills!I19/Skills!H19,1)</f>
        <v/>
      </c>
      <c r="H954">
        <f>1-(1-Skills!J19/100)^Skills!K19</f>
        <v/>
      </c>
      <c r="I954" t="inlineStr">
        <is>
          <t>1</t>
        </is>
      </c>
      <c r="J954" t="inlineStr"/>
      <c r="K954" t="inlineStr"/>
      <c r="L954" t="inlineStr"/>
      <c r="M954" t="inlineStr"/>
      <c r="N954" t="inlineStr"/>
      <c r="O954" t="n">
        <v>0</v>
      </c>
      <c r="P954">
        <f>IF(B973=0,0,O954/B973)</f>
        <v/>
      </c>
      <c r="Q954" t="n">
        <v>0</v>
      </c>
      <c r="R954" t="n">
        <v>0</v>
      </c>
      <c r="S954">
        <f>IFERROR(O954/N954,0)</f>
        <v/>
      </c>
    </row>
    <row r="955">
      <c r="A955">
        <f>Skills!A20</f>
        <v/>
      </c>
      <c r="B955">
        <f>Skills!B20</f>
        <v/>
      </c>
      <c r="C955">
        <f>Inputs!$B$3&gt;=10</f>
        <v/>
      </c>
      <c r="D955">
        <f>IF(Skills!C20=1,60+Inputs!$B$24+Inputs!$B$28,IF(Skills!C20=2,90+Inputs!$B$25+Inputs!$B$28,IF(Skills!C20=3,120+Inputs!$B$26+Inputs!$B$28,MAX(0,(Inputs!$B$3-100)*3)+Inputs!$B$27+Inputs!$B$28)))</f>
        <v/>
      </c>
      <c r="E955">
        <f>INDEX(FactorTable!$B$2:$Y$301, MATCH(ROUND(MIN(300,MAX(1,D955)),0), FactorTable!$A$2:$A$301,0), Skills!M20+1)</f>
        <v/>
      </c>
      <c r="F955">
        <f>IF(Skills!N20=TRUE,(Skills!L20/10)*(E955/1000),Skills!L20/10)+Skills!O20</f>
        <v/>
      </c>
      <c r="G955">
        <f>Skills!G20*IF(Skills!H20&gt;0,Skills!I20/Skills!H20,1)</f>
        <v/>
      </c>
      <c r="H955">
        <f>1-(1-Skills!J20/100)^Skills!K20</f>
        <v/>
      </c>
      <c r="I955" t="inlineStr">
        <is>
          <t>1</t>
        </is>
      </c>
      <c r="J955" t="inlineStr"/>
      <c r="K955" t="inlineStr"/>
      <c r="L955" t="inlineStr"/>
      <c r="M955" t="inlineStr"/>
      <c r="N955" t="inlineStr"/>
      <c r="O955" t="n">
        <v>0</v>
      </c>
      <c r="P955">
        <f>IF(B973=0,0,O955/B973)</f>
        <v/>
      </c>
      <c r="Q955" t="n">
        <v>0</v>
      </c>
      <c r="R955" t="n">
        <v>0</v>
      </c>
      <c r="S955">
        <f>IFERROR(O955/N955,0)</f>
        <v/>
      </c>
    </row>
    <row r="956">
      <c r="A956">
        <f>Skills!A21</f>
        <v/>
      </c>
      <c r="B956">
        <f>Skills!B21</f>
        <v/>
      </c>
      <c r="C956">
        <f>Inputs!$B$3&gt;=33</f>
        <v/>
      </c>
      <c r="D956">
        <f>IF(Skills!C21=1,60+Inputs!$B$24+Inputs!$B$28,IF(Skills!C21=2,90+Inputs!$B$25+Inputs!$B$28,IF(Skills!C21=3,120+Inputs!$B$26+Inputs!$B$28,MAX(0,(Inputs!$B$3-100)*3)+Inputs!$B$27+Inputs!$B$28)))</f>
        <v/>
      </c>
      <c r="E956">
        <f>INDEX(FactorTable!$B$2:$Y$301, MATCH(ROUND(MIN(300,MAX(1,D956)),0), FactorTable!$A$2:$A$301,0), Skills!M21+1)</f>
        <v/>
      </c>
      <c r="F956">
        <f>IF(Skills!N21=TRUE,(Skills!L21/10)*(E956/1000),Skills!L21/10)+Skills!O21</f>
        <v/>
      </c>
      <c r="G956">
        <f>Skills!G21*IF(Skills!H21&gt;0,Skills!I21/Skills!H21,1)</f>
        <v/>
      </c>
      <c r="H956">
        <f>1-(1-Skills!J21/100)^Skills!K21</f>
        <v/>
      </c>
      <c r="I956" t="inlineStr">
        <is>
          <t>1</t>
        </is>
      </c>
      <c r="J956" t="inlineStr"/>
      <c r="K956" t="inlineStr"/>
      <c r="L956" t="inlineStr"/>
      <c r="M956" t="inlineStr"/>
      <c r="N956" t="inlineStr"/>
      <c r="O956" t="n">
        <v>0</v>
      </c>
      <c r="P956">
        <f>IF(B973=0,0,O956/B973)</f>
        <v/>
      </c>
      <c r="Q956" t="n">
        <v>0</v>
      </c>
      <c r="R956" t="n">
        <v>0</v>
      </c>
      <c r="S956">
        <f>IFERROR(O956/N956,0)</f>
        <v/>
      </c>
    </row>
    <row r="957">
      <c r="A957">
        <f>Skills!A22</f>
        <v/>
      </c>
      <c r="B957">
        <f>Skills!B22</f>
        <v/>
      </c>
      <c r="C957">
        <f>Inputs!$B$3&gt;=43</f>
        <v/>
      </c>
      <c r="D957">
        <f>IF(Skills!C22=1,60+Inputs!$B$24+Inputs!$B$28,IF(Skills!C22=2,90+Inputs!$B$25+Inputs!$B$28,IF(Skills!C22=3,120+Inputs!$B$26+Inputs!$B$28,MAX(0,(Inputs!$B$3-100)*3)+Inputs!$B$27+Inputs!$B$28)))</f>
        <v/>
      </c>
      <c r="E957">
        <f>INDEX(FactorTable!$B$2:$Y$301, MATCH(ROUND(MIN(300,MAX(1,D957)),0), FactorTable!$A$2:$A$301,0), Skills!M22+1)</f>
        <v/>
      </c>
      <c r="F957">
        <f>IF(Skills!N22=TRUE,(Skills!L22/10)*(E957/1000),Skills!L22/10)+Skills!O22</f>
        <v/>
      </c>
      <c r="G957">
        <f>Skills!G22*IF(Skills!H22&gt;0,Skills!I22/Skills!H22,1)</f>
        <v/>
      </c>
      <c r="H957">
        <f>1-(1-Skills!J22/100)^Skills!K22</f>
        <v/>
      </c>
      <c r="I957" t="inlineStr">
        <is>
          <t>1</t>
        </is>
      </c>
      <c r="J957" t="inlineStr"/>
      <c r="K957" t="inlineStr"/>
      <c r="L957" t="inlineStr"/>
      <c r="M957" t="inlineStr"/>
      <c r="N957" t="inlineStr"/>
      <c r="O957" t="n">
        <v>0</v>
      </c>
      <c r="P957">
        <f>IF(B973=0,0,O957/B973)</f>
        <v/>
      </c>
      <c r="Q957" t="n">
        <v>0</v>
      </c>
      <c r="R957" t="n">
        <v>0</v>
      </c>
      <c r="S957">
        <f>IFERROR(O957/N957,0)</f>
        <v/>
      </c>
    </row>
    <row r="958">
      <c r="A958">
        <f>Skills!A23</f>
        <v/>
      </c>
      <c r="B958">
        <f>Skills!B23</f>
        <v/>
      </c>
      <c r="C958">
        <f>Inputs!$B$3&gt;=38</f>
        <v/>
      </c>
      <c r="D958">
        <f>IF(Skills!C23=1,60+Inputs!$B$24+Inputs!$B$28,IF(Skills!C23=2,90+Inputs!$B$25+Inputs!$B$28,IF(Skills!C23=3,120+Inputs!$B$26+Inputs!$B$28,MAX(0,(Inputs!$B$3-100)*3)+Inputs!$B$27+Inputs!$B$28)))</f>
        <v/>
      </c>
      <c r="E958">
        <f>INDEX(FactorTable!$B$2:$Y$301, MATCH(ROUND(MIN(300,MAX(1,D958)),0), FactorTable!$A$2:$A$301,0), Skills!M23+1)</f>
        <v/>
      </c>
      <c r="F958">
        <f>IF(Skills!N23=TRUE,(Skills!L23/10)*(E958/1000),Skills!L23/10)+Skills!O23</f>
        <v/>
      </c>
      <c r="G958">
        <f>Skills!G23*IF(Skills!H23&gt;0,Skills!I23/Skills!H23,1)</f>
        <v/>
      </c>
      <c r="H958">
        <f>1-(1-Skills!J23/100)^Skills!K23</f>
        <v/>
      </c>
      <c r="I958" t="inlineStr">
        <is>
          <t>1</t>
        </is>
      </c>
      <c r="J958" t="inlineStr"/>
      <c r="K958" t="inlineStr"/>
      <c r="L958" t="inlineStr"/>
      <c r="M958" t="inlineStr"/>
      <c r="N958" t="inlineStr"/>
      <c r="O958" t="n">
        <v>0</v>
      </c>
      <c r="P958">
        <f>IF(B973=0,0,O958/B973)</f>
        <v/>
      </c>
      <c r="Q958" t="n">
        <v>0</v>
      </c>
      <c r="R958" t="n">
        <v>0</v>
      </c>
      <c r="S958">
        <f>IFERROR(O958/N958,0)</f>
        <v/>
      </c>
    </row>
    <row r="959">
      <c r="A959">
        <f>Skills!A24</f>
        <v/>
      </c>
      <c r="B959">
        <f>Skills!B24</f>
        <v/>
      </c>
      <c r="C959">
        <f>Inputs!$B$3&gt;=40</f>
        <v/>
      </c>
      <c r="D959">
        <f>IF(Skills!C24=1,60+Inputs!$B$24+Inputs!$B$28,IF(Skills!C24=2,90+Inputs!$B$25+Inputs!$B$28,IF(Skills!C24=3,120+Inputs!$B$26+Inputs!$B$28,MAX(0,(Inputs!$B$3-100)*3)+Inputs!$B$27+Inputs!$B$28)))</f>
        <v/>
      </c>
      <c r="E959">
        <f>INDEX(FactorTable!$B$2:$Y$301, MATCH(ROUND(MIN(300,MAX(1,D959)),0), FactorTable!$A$2:$A$301,0), Skills!M24+1)</f>
        <v/>
      </c>
      <c r="F959">
        <f>IF(Skills!N24=TRUE,(Skills!L24/10)*(E959/1000),Skills!L24/10)+Skills!O24</f>
        <v/>
      </c>
      <c r="G959">
        <f>Skills!G24*IF(Skills!H24&gt;0,Skills!I24/Skills!H24,1)</f>
        <v/>
      </c>
      <c r="H959">
        <f>1-(1-Skills!J24/100)^Skills!K24</f>
        <v/>
      </c>
      <c r="I959" t="inlineStr">
        <is>
          <t>1</t>
        </is>
      </c>
      <c r="J959" t="inlineStr"/>
      <c r="K959" t="inlineStr"/>
      <c r="L959" t="inlineStr"/>
      <c r="M959" t="inlineStr"/>
      <c r="N959" t="inlineStr"/>
      <c r="O959" t="n">
        <v>0</v>
      </c>
      <c r="P959">
        <f>IF(B973=0,0,O959/B973)</f>
        <v/>
      </c>
      <c r="Q959" t="n">
        <v>0</v>
      </c>
      <c r="R959" t="n">
        <v>0</v>
      </c>
      <c r="S959">
        <f>IFERROR(O959/N959,0)</f>
        <v/>
      </c>
    </row>
    <row r="960">
      <c r="A960">
        <f>Skills!A25</f>
        <v/>
      </c>
      <c r="B960">
        <f>Skills!B25</f>
        <v/>
      </c>
      <c r="C960">
        <f>Inputs!$B$3&gt;=72</f>
        <v/>
      </c>
      <c r="D960">
        <f>IF(Skills!C25=1,60+Inputs!$B$24+Inputs!$B$28,IF(Skills!C25=2,90+Inputs!$B$25+Inputs!$B$28,IF(Skills!C25=3,120+Inputs!$B$26+Inputs!$B$28,MAX(0,(Inputs!$B$3-100)*3)+Inputs!$B$27+Inputs!$B$28)))</f>
        <v/>
      </c>
      <c r="E960">
        <f>INDEX(FactorTable!$B$2:$Y$301, MATCH(ROUND(MIN(300,MAX(1,D960)),0), FactorTable!$A$2:$A$301,0), Skills!M25+1)</f>
        <v/>
      </c>
      <c r="F960">
        <f>IF(Skills!N25=TRUE,(Skills!L25/10)*(E960/1000),Skills!L25/10)+Skills!O25</f>
        <v/>
      </c>
      <c r="G960">
        <f>Skills!G25*IF(Skills!H25&gt;0,Skills!I25/Skills!H25,1)</f>
        <v/>
      </c>
      <c r="H960">
        <f>1-(1-Skills!J25/100)^Skills!K25</f>
        <v/>
      </c>
      <c r="I960" t="inlineStr">
        <is>
          <t>1</t>
        </is>
      </c>
      <c r="J960" t="inlineStr"/>
      <c r="K960" t="inlineStr"/>
      <c r="L960" t="inlineStr"/>
      <c r="M960" t="inlineStr"/>
      <c r="N960" t="inlineStr"/>
      <c r="O960" t="n">
        <v>0</v>
      </c>
      <c r="P960">
        <f>IF(B973=0,0,O960/B973)</f>
        <v/>
      </c>
      <c r="Q960" t="n">
        <v>0</v>
      </c>
      <c r="R960" t="n">
        <v>0</v>
      </c>
      <c r="S960">
        <f>IFERROR(O960/N960,0)</f>
        <v/>
      </c>
    </row>
    <row r="961">
      <c r="A961">
        <f>Skills!A26</f>
        <v/>
      </c>
      <c r="B961">
        <f>Skills!B26</f>
        <v/>
      </c>
      <c r="C961">
        <f>Inputs!$B$3&gt;=75</f>
        <v/>
      </c>
      <c r="D961">
        <f>IF(Skills!C26=1,60+Inputs!$B$24+Inputs!$B$28,IF(Skills!C26=2,90+Inputs!$B$25+Inputs!$B$28,IF(Skills!C26=3,120+Inputs!$B$26+Inputs!$B$28,MAX(0,(Inputs!$B$3-100)*3)+Inputs!$B$27+Inputs!$B$28)))</f>
        <v/>
      </c>
      <c r="E961">
        <f>INDEX(FactorTable!$B$2:$Y$301, MATCH(ROUND(MIN(300,MAX(1,D961)),0), FactorTable!$A$2:$A$301,0), Skills!M26+1)</f>
        <v/>
      </c>
      <c r="F961">
        <f>IF(Skills!N26=TRUE,(Skills!L26/10)*(E961/1000),Skills!L26/10)+Skills!O26</f>
        <v/>
      </c>
      <c r="G961">
        <f>Skills!G26*IF(Skills!H26&gt;0,Skills!I26/Skills!H26,1)</f>
        <v/>
      </c>
      <c r="H961">
        <f>1-(1-Skills!J26/100)^Skills!K26</f>
        <v/>
      </c>
      <c r="I961" t="inlineStr">
        <is>
          <t>1</t>
        </is>
      </c>
      <c r="J961" t="inlineStr"/>
      <c r="K961" t="inlineStr"/>
      <c r="L961" t="inlineStr"/>
      <c r="M961" t="inlineStr"/>
      <c r="N961" t="inlineStr"/>
      <c r="O961" t="n">
        <v>0</v>
      </c>
      <c r="P961">
        <f>IF(B973=0,0,O961/B973)</f>
        <v/>
      </c>
      <c r="Q961" t="n">
        <v>0</v>
      </c>
      <c r="R961" t="n">
        <v>0</v>
      </c>
      <c r="S961">
        <f>IFERROR(O961/N961,0)</f>
        <v/>
      </c>
    </row>
    <row r="962">
      <c r="A962">
        <f>Skills!A27</f>
        <v/>
      </c>
      <c r="B962">
        <f>Skills!B27</f>
        <v/>
      </c>
      <c r="C962">
        <f>Inputs!$B$3&gt;=117</f>
        <v/>
      </c>
      <c r="D962">
        <f>IF(Skills!C27=1,60+Inputs!$B$24+Inputs!$B$28,IF(Skills!C27=2,90+Inputs!$B$25+Inputs!$B$28,IF(Skills!C27=3,120+Inputs!$B$26+Inputs!$B$28,MAX(0,(Inputs!$B$3-100)*3)+Inputs!$B$27+Inputs!$B$28)))</f>
        <v/>
      </c>
      <c r="E962">
        <f>INDEX(FactorTable!$B$2:$Y$301, MATCH(ROUND(MIN(300,MAX(1,D962)),0), FactorTable!$A$2:$A$301,0), Skills!M27+1)</f>
        <v/>
      </c>
      <c r="F962">
        <f>IF(Skills!N27=TRUE,(Skills!L27/10)*(E962/1000),Skills!L27/10)+Skills!O27</f>
        <v/>
      </c>
      <c r="G962">
        <f>Skills!G27*IF(Skills!H27&gt;0,Skills!I27/Skills!H27,1)</f>
        <v/>
      </c>
      <c r="H962">
        <f>1-(1-Skills!J27/100)^Skills!K27</f>
        <v/>
      </c>
      <c r="I962" t="inlineStr">
        <is>
          <t>1</t>
        </is>
      </c>
      <c r="J962" t="inlineStr"/>
      <c r="K962" t="inlineStr"/>
      <c r="L962" t="inlineStr"/>
      <c r="M962" t="inlineStr"/>
      <c r="N962" t="inlineStr"/>
      <c r="O962" t="n">
        <v>0</v>
      </c>
      <c r="P962">
        <f>IF(B973=0,0,O962/B973)</f>
        <v/>
      </c>
      <c r="Q962" t="n">
        <v>0</v>
      </c>
      <c r="R962" t="n">
        <v>0</v>
      </c>
      <c r="S962">
        <f>IFERROR(O962/N962,0)</f>
        <v/>
      </c>
    </row>
    <row r="964">
      <c r="A964" t="inlineStr">
        <is>
          <t>Attack% Bucket Multiplier</t>
        </is>
      </c>
      <c r="B964">
        <f>(1+(((C952=TRUE)*F952)+((C959=TRUE)*(F959-Calc!F24)))/100)</f>
        <v/>
      </c>
    </row>
    <row r="965">
      <c r="A965" t="inlineStr">
        <is>
          <t>Global Crit Rate Bonus %</t>
        </is>
      </c>
      <c r="B965" t="n">
        <v>0</v>
      </c>
    </row>
    <row r="966">
      <c r="A966" t="inlineStr">
        <is>
          <t>Attack Speed Buff Bonus % (unused)</t>
        </is>
      </c>
      <c r="B966" t="n">
        <v>0</v>
      </c>
    </row>
    <row r="967">
      <c r="A967" t="inlineStr">
        <is>
          <t>Actions Per Second</t>
        </is>
      </c>
      <c r="B967">
        <f>1+MIN(150,150*(1-(1-(Inputs!$B$10+((C955=TRUE)*(F955-Calc!F20))+((C956=TRUE)*(F956-Calc!F21)))/150)*(1-B966/150)))/100</f>
        <v/>
      </c>
    </row>
    <row r="968">
      <c r="A968" t="inlineStr">
        <is>
          <t>Skill + Buff Cast Rate</t>
        </is>
      </c>
      <c r="B968">
        <f>IF(AND(Inputs!$B$4&lt;&gt;"pvp",Inputs!$B$35&gt;0),SUMPRODUCT((Skills!E2:E27=TRUE)*(C937:C962=TRUE)*R937:R962*Skills!F2:F27)/Inputs!$B$35,SUMPRODUCT((Skills!E2:E27=TRUE)*(C937:C962=TRUE)*Q937:Q962*Skills!F2:F27))</f>
        <v/>
      </c>
    </row>
    <row r="969">
      <c r="A969" t="inlineStr">
        <is>
          <t>Eight-Legs Easton Casts Per Second</t>
        </is>
      </c>
      <c r="B969">
        <f>MAX(0,B967-B968)</f>
        <v/>
      </c>
    </row>
    <row r="970">
      <c r="A970" t="inlineStr">
        <is>
          <t>Global Critical Damage Bonus % (unused)</t>
        </is>
      </c>
      <c r="B970" t="n">
        <v>0</v>
      </c>
    </row>
    <row r="971">
      <c r="A971" t="inlineStr">
        <is>
          <t>Global Final Damage Bonus % (Jolly Roger only)</t>
        </is>
      </c>
      <c r="B971">
        <f>((C953=TRUE)*F953)</f>
        <v/>
      </c>
    </row>
    <row r="973">
      <c r="A973" s="5" t="inlineStr">
        <is>
          <t>TOTAL DPS</t>
        </is>
      </c>
      <c r="B973" s="5">
        <f>SUM(O937:O962)</f>
        <v/>
      </c>
    </row>
    <row r="976">
      <c r="A976" s="5" t="inlineStr">
        <is>
          <t>Stat: Skill Cooldown Decrease (seconds)</t>
        </is>
      </c>
    </row>
    <row r="977">
      <c r="A977" s="8" t="inlineStr">
        <is>
          <t>Key</t>
        </is>
      </c>
      <c r="B977" s="8" t="inlineStr">
        <is>
          <t>Name</t>
        </is>
      </c>
      <c r="C977" s="8" t="inlineStr">
        <is>
          <t>Unlocked</t>
        </is>
      </c>
      <c r="D977" s="8" t="inlineStr">
        <is>
          <t>InputLevel</t>
        </is>
      </c>
      <c r="E977" s="8" t="inlineStr">
        <is>
          <t>Factor</t>
        </is>
      </c>
      <c r="F977" s="8" t="inlineStr">
        <is>
          <t>CoefficientPercent</t>
        </is>
      </c>
      <c r="G977" s="8" t="inlineStr">
        <is>
          <t>EffectiveHits</t>
        </is>
      </c>
      <c r="H977" s="8" t="inlineStr">
        <is>
          <t>ProcProbability</t>
        </is>
      </c>
      <c r="I977" s="8" t="inlineStr">
        <is>
          <t>MapleHeroMultiplier</t>
        </is>
      </c>
      <c r="J977" s="8" t="inlineStr">
        <is>
          <t>BaseDamage</t>
        </is>
      </c>
      <c r="K977" s="8" t="inlineStr">
        <is>
          <t>BaseHitDamage</t>
        </is>
      </c>
      <c r="L977" s="8" t="inlineStr">
        <is>
          <t>NonCritAvg</t>
        </is>
      </c>
      <c r="M977" s="8" t="inlineStr">
        <is>
          <t>CritAvg</t>
        </is>
      </c>
      <c r="N977" s="8" t="inlineStr">
        <is>
          <t>ExpectedDamage(perHit)</t>
        </is>
      </c>
      <c r="O977" s="8" t="inlineStr">
        <is>
          <t>DPS</t>
        </is>
      </c>
      <c r="P977" s="8" t="inlineStr">
        <is>
          <t>% of Total</t>
        </is>
      </c>
      <c r="Q977" s="8" t="inlineStr">
        <is>
          <t>InvCooldown</t>
        </is>
      </c>
      <c r="R977" s="8" t="inlineStr">
        <is>
          <t>CastsInFight</t>
        </is>
      </c>
      <c r="S977" s="8" t="inlineStr">
        <is>
          <t>HitRate(perSec)</t>
        </is>
      </c>
      <c r="U977" t="inlineStr">
        <is>
          <t>helpers</t>
        </is>
      </c>
    </row>
    <row r="978">
      <c r="A978">
        <f>Skills!A2</f>
        <v/>
      </c>
      <c r="B978">
        <f>Skills!B2</f>
        <v/>
      </c>
      <c r="C978">
        <f>Inputs!$B$3&gt;=100</f>
        <v/>
      </c>
      <c r="D978" t="inlineStr"/>
      <c r="E978" t="inlineStr"/>
      <c r="F978">
        <f>U980+Skills!O2</f>
        <v/>
      </c>
      <c r="G978">
        <f>Skills!G2*IF(Skills!H2&gt;0,Skills!I2/Skills!H2,1)</f>
        <v/>
      </c>
      <c r="H978">
        <f>1-(1-Skills!J2/100)^Skills!K2</f>
        <v/>
      </c>
      <c r="I978" t="inlineStr">
        <is>
          <t>1</t>
        </is>
      </c>
      <c r="J978">
        <f>(Inputs!$B$5*(1+Inputs!$B$6/100))*(F978/100)</f>
        <v/>
      </c>
      <c r="K978">
        <f>J978*(1+((Inputs!$B$11*(1+Inputs!$B$12/100))*0.01+Inputs!$B$13*0.0025)/100)*(1+Inputs!$B$14/100)*(1+IF(Inputs!$B$4="pvp",0,(1-Summary!$B$55)*(Inputs!$B$19+0+Skills!P2)+Summary!$B$55*(Inputs!$B$20+Skills!Q2))/100)*(1+Inputs!$B$15/100)*(5000/(6000+Inputs!$B$7*(1-(Inputs!$B$18+0)/100)))*(1+(Inputs!$B$23+((C1002=TRUE)*(F1002-Calc!F26))+B1012)/100)*(1+(IF(Skills!A2="EIGHT_LEGS_EASTON",Inputs!$B$16+((C999=TRUE)*(F999-Calc!F23))+((C1003=TRUE)*(F1003-Calc!F27)),Inputs!$B$17+0))/100)*((1+(((C993=TRUE)*F993)+((C1000=TRUE)*(F1000-Calc!F24)))/100)*I978)</f>
        <v/>
      </c>
      <c r="L978">
        <f>K978*(MIN(Inputs!$B$21+((C998=TRUE)*(F998-Calc!F22)),Inputs!$B$22+0)/100+(Inputs!$B$22+0)/100)/2</f>
        <v/>
      </c>
      <c r="M978">
        <f>L978*(1+(Inputs!$B$9+((C1001=TRUE)*(F1001-Calc!F25))+B1011)/100)</f>
        <v/>
      </c>
      <c r="N978">
        <f>L978*(1-MIN((Inputs!$B$8+((C995=TRUE)*(F995-Calc!F19))+B1006),100)/100)+M978*(MIN((Inputs!$B$8+((C995=TRUE)*(F995-Calc!F19))+B1006),100)/100)</f>
        <v/>
      </c>
      <c r="O978">
        <f>IF(C978,Skills!G2*N978*B1010*IF(Inputs!$B$4="pvp",1,(1-Summary!$B$55)*(1)+Summary!$B$55*(MIN((6+Inputs!$B$32),Inputs!$B$37))),0)</f>
        <v/>
      </c>
      <c r="P978">
        <f>IF(B1014=0,0,O978/B1014)</f>
        <v/>
      </c>
      <c r="Q978" t="n">
        <v>0</v>
      </c>
      <c r="R978" t="n">
        <v>0</v>
      </c>
      <c r="S978">
        <f>IFERROR(O978/N978,0)</f>
        <v/>
      </c>
      <c r="U978">
        <f>MAX(0,(Inputs!$B$3-100)*3)+Inputs!$B$27+Inputs!$B$28</f>
        <v/>
      </c>
    </row>
    <row r="979">
      <c r="A979">
        <f>Skills!A3</f>
        <v/>
      </c>
      <c r="B979">
        <f>Skills!B3</f>
        <v/>
      </c>
      <c r="C979">
        <f>Inputs!$B$3&gt;=35</f>
        <v/>
      </c>
      <c r="D979">
        <f>IF(Skills!C3=1,60+Inputs!$B$24+Inputs!$B$28,IF(Skills!C3=2,90+Inputs!$B$25+Inputs!$B$28,IF(Skills!C3=3,120+Inputs!$B$26+Inputs!$B$28,MAX(0,(Inputs!$B$3-100)*3)+Inputs!$B$27+Inputs!$B$28)))</f>
        <v/>
      </c>
      <c r="E979">
        <f>INDEX(FactorTable!$B$2:$Y$301, MATCH(ROUND(MIN(300,MAX(1,D979)),0), FactorTable!$A$2:$A$301,0), Skills!M3+1)</f>
        <v/>
      </c>
      <c r="F979">
        <f>IF(Skills!N3=TRUE,(Skills!L3/10)*(E979/1000),Skills!L3/10)+Skills!O3</f>
        <v/>
      </c>
      <c r="G979">
        <f>Skills!G3*IF(Skills!H3&gt;0,Skills!I3/Skills!H3,1)</f>
        <v/>
      </c>
      <c r="H979">
        <f>1-(1-Skills!J3/100)^Skills!K3</f>
        <v/>
      </c>
      <c r="I979" t="inlineStr">
        <is>
          <t>1</t>
        </is>
      </c>
      <c r="J979">
        <f>(Inputs!$B$5*(1+Inputs!$B$6/100))*(F979/100)</f>
        <v/>
      </c>
      <c r="K979">
        <f>J979*(1+((Inputs!$B$11*(1+Inputs!$B$12/100))*0.01+Inputs!$B$13*0.0025)/100)*(1+Inputs!$B$14/100)*(1+IF(Inputs!$B$4="pvp",0,(1-Summary!$B$55)*(Inputs!$B$19+0+Skills!P3)+Summary!$B$55*(Inputs!$B$20+Skills!Q3))/100)*(1+Inputs!$B$15/100)*(5000/(6000+Inputs!$B$7*(1-(Inputs!$B$18+0)/100)))*(1+(Inputs!$B$23+((C1002=TRUE)*(F1002-Calc!F26))+B1012)/100)*(1+4.0*IF(C991=TRUE,F991,0)/100)*(1+(IF(Skills!A3="EIGHT_LEGS_EASTON",Inputs!$B$16+((C999=TRUE)*(F999-Calc!F23))+((C1003=TRUE)*(F1003-Calc!F27)),Inputs!$B$17+0))/100)*((1+(((C993=TRUE)*F993)+((C1000=TRUE)*(F1000-Calc!F24)))/100)*I979)</f>
        <v/>
      </c>
      <c r="L979">
        <f>K979*(MIN(Inputs!$B$21+((C998=TRUE)*(F998-Calc!F22)),Inputs!$B$22+0)/100+(Inputs!$B$22+0)/100)/2</f>
        <v/>
      </c>
      <c r="M979">
        <f>L979*(1+(Inputs!$B$9+((C1001=TRUE)*(F1001-Calc!F25))+B1011)/100)</f>
        <v/>
      </c>
      <c r="N979">
        <f>L979*(1-MIN((Inputs!$B$8+((C995=TRUE)*(F995-Calc!F19))+B1006),100)/100)+M979*(MIN((Inputs!$B$8+((C995=TRUE)*(F995-Calc!F19))+B1006),100)/100)</f>
        <v/>
      </c>
      <c r="O979">
        <f>IF(C979,H979*N979*IF(AND(Inputs!$B$4&lt;&gt;"pvp",Inputs!$B$35&gt;0),((Skills!G3*((R979-1)*IF(Skills!H3&gt;0,Skills!I3/Skills!H3,1)+IF(Skills!H3&gt;0,MIN(Skills!I3,MAX(0,Inputs!$B$35-((R979-1)*IF(Inputs!$B$4="pvp",15,MAX(0.1,Skills!D3-IF(Skills!E3=TRUE,(Inputs!$B$31+1),0))))))/Skills!H3,1)))/Inputs!$B$35),G979*Q979)*IF(Inputs!$B$4="pvp",1,(1-Summary!$B$55)*(1)+Summary!$B$55*(MIN(Skills!R3,Inputs!$B$37))),0)</f>
        <v/>
      </c>
      <c r="P979">
        <f>IF(B1014=0,0,O979/B1014)</f>
        <v/>
      </c>
      <c r="Q979">
        <f>IFERROR(1/IF(Inputs!$B$4="pvp",15,MAX(0.1,Skills!D3-IF(Skills!E3=TRUE,(Inputs!$B$31+1),0))),0)</f>
        <v/>
      </c>
      <c r="R979">
        <f>IF(AND(Inputs!$B$4&lt;&gt;"pvp",Inputs!$B$35&gt;0),(INT(Inputs!$B$35/IF(Inputs!$B$4="pvp",15,MAX(0.1,Skills!D3-IF(Skills!E3=TRUE,(Inputs!$B$31+1),0))))+1),0)</f>
        <v/>
      </c>
      <c r="S979">
        <f>IFERROR(O979/N979,0)</f>
        <v/>
      </c>
      <c r="U979">
        <f>INDEX(FactorTable!$B$2:$Y$301, MATCH(ROUND(MIN(300,MAX(1,U978)),0), FactorTable!$A$2:$A$301,0), 22)</f>
        <v/>
      </c>
    </row>
    <row r="980">
      <c r="A980">
        <f>Skills!A4</f>
        <v/>
      </c>
      <c r="B980">
        <f>Skills!B4</f>
        <v/>
      </c>
      <c r="C980">
        <f>Inputs!$B$3&gt;=40</f>
        <v/>
      </c>
      <c r="D980">
        <f>IF(Skills!C4=1,60+Inputs!$B$24+Inputs!$B$28,IF(Skills!C4=2,90+Inputs!$B$25+Inputs!$B$28,IF(Skills!C4=3,120+Inputs!$B$26+Inputs!$B$28,MAX(0,(Inputs!$B$3-100)*3)+Inputs!$B$27+Inputs!$B$28)))</f>
        <v/>
      </c>
      <c r="E980">
        <f>INDEX(FactorTable!$B$2:$Y$301, MATCH(ROUND(MIN(300,MAX(1,D980)),0), FactorTable!$A$2:$A$301,0), Skills!M4+1)</f>
        <v/>
      </c>
      <c r="F980">
        <f>IF(Skills!N4=TRUE,(Skills!L4/10)*(E980/1000),Skills!L4/10)+Skills!O4</f>
        <v/>
      </c>
      <c r="G980">
        <f>Skills!G4*IF(Skills!H4&gt;0,Skills!I4/Skills!H4,1)</f>
        <v/>
      </c>
      <c r="H980">
        <f>1-(1-Skills!J4/100)^Skills!K4</f>
        <v/>
      </c>
      <c r="I980" t="inlineStr">
        <is>
          <t>1</t>
        </is>
      </c>
      <c r="J980">
        <f>(Inputs!$B$5*(1+Inputs!$B$6/100))*(F980/100)</f>
        <v/>
      </c>
      <c r="K980">
        <f>J980*(1+((Inputs!$B$11*(1+Inputs!$B$12/100))*0.01+Inputs!$B$13*0.0025)/100)*(1+Inputs!$B$14/100)*(1+IF(Inputs!$B$4="pvp",0,(1-Summary!$B$55)*(Inputs!$B$19+0+Skills!P4)+Summary!$B$55*(Inputs!$B$20+Skills!Q4))/100)*(1+Inputs!$B$15/100)*(5000/(6000+Inputs!$B$7*(1-(Inputs!$B$18+0)/100)))*(1+(Inputs!$B$23+((C1002=TRUE)*(F1002-Calc!F26))+B1012)/100)*(1+1.0*IF(C992=TRUE,F992,0)/100)*(1+(IF(Skills!A4="EIGHT_LEGS_EASTON",Inputs!$B$16+((C999=TRUE)*(F999-Calc!F23))+((C1003=TRUE)*(F1003-Calc!F27)),Inputs!$B$17+0))/100)*((1+(((C993=TRUE)*F993)+((C1000=TRUE)*(F1000-Calc!F24)))/100)*I980)</f>
        <v/>
      </c>
      <c r="L980">
        <f>K980*(MIN(Inputs!$B$21+((C998=TRUE)*(F998-Calc!F22)),Inputs!$B$22+0)/100+(Inputs!$B$22+0)/100)/2</f>
        <v/>
      </c>
      <c r="M980">
        <f>L980*(1+(Inputs!$B$9+((C1001=TRUE)*(F1001-Calc!F25))+B1011)/100)</f>
        <v/>
      </c>
      <c r="N980">
        <f>L980*(1-MIN((Inputs!$B$8+((C995=TRUE)*(F995-Calc!F19))+B1006),100)/100)+M980*(MIN((Inputs!$B$8+((C995=TRUE)*(F995-Calc!F19))+B1006),100)/100)</f>
        <v/>
      </c>
      <c r="O980">
        <f>IF(C980,H980*N980*IF(AND(Inputs!$B$4&lt;&gt;"pvp",Inputs!$B$35&gt;0),((Skills!G4*((R980-1)*IF(Skills!H4&gt;0,Skills!I4/Skills!H4,1)+IF(Skills!H4&gt;0,MIN(Skills!I4,MAX(0,Inputs!$B$35-((R980-1)*IF(Inputs!$B$4="pvp",15,MAX(0.1,Skills!D4-IF(Skills!E4=TRUE,(Inputs!$B$31+1),0))))))/Skills!H4,1)))/Inputs!$B$35),G980*Q980)*IF(Inputs!$B$4="pvp",1,(1-Summary!$B$55)*(1)+Summary!$B$55*(MIN(Skills!R4,Inputs!$B$37))),0)</f>
        <v/>
      </c>
      <c r="P980">
        <f>IF(B1014=0,0,O980/B1014)</f>
        <v/>
      </c>
      <c r="Q980">
        <f>IFERROR(1/IF(Inputs!$B$4="pvp",15,MAX(0.1,Skills!D4-IF(Skills!E4=TRUE,(Inputs!$B$31+1),0))),0)</f>
        <v/>
      </c>
      <c r="R980">
        <f>IF(AND(Inputs!$B$4&lt;&gt;"pvp",Inputs!$B$35&gt;0),(INT(Inputs!$B$35/IF(Inputs!$B$4="pvp",15,MAX(0.1,Skills!D4-IF(Skills!E4=TRUE,(Inputs!$B$31+1),0))))+1),0)</f>
        <v/>
      </c>
      <c r="S980">
        <f>IFERROR(O980/N980,0)</f>
        <v/>
      </c>
      <c r="U980">
        <f>290*U979/1000</f>
        <v/>
      </c>
    </row>
    <row r="981">
      <c r="A981">
        <f>Skills!A5</f>
        <v/>
      </c>
      <c r="B981">
        <f>Skills!B5</f>
        <v/>
      </c>
      <c r="C981">
        <f>Inputs!$B$3&gt;=45</f>
        <v/>
      </c>
      <c r="D981">
        <f>IF(Skills!C5=1,60+Inputs!$B$24+Inputs!$B$28,IF(Skills!C5=2,90+Inputs!$B$25+Inputs!$B$28,IF(Skills!C5=3,120+Inputs!$B$26+Inputs!$B$28,MAX(0,(Inputs!$B$3-100)*3)+Inputs!$B$27+Inputs!$B$28)))</f>
        <v/>
      </c>
      <c r="E981">
        <f>INDEX(FactorTable!$B$2:$Y$301, MATCH(ROUND(MIN(300,MAX(1,D981)),0), FactorTable!$A$2:$A$301,0), Skills!M5+1)</f>
        <v/>
      </c>
      <c r="F981">
        <f>IF(Skills!N5=TRUE,(Skills!L5/10)*(E981/1000),Skills!L5/10)+Skills!O5</f>
        <v/>
      </c>
      <c r="G981">
        <f>Skills!G5*IF(Skills!H5&gt;0,Skills!I5/Skills!H5,1)</f>
        <v/>
      </c>
      <c r="H981">
        <f>1-(1-Skills!J5/100)^Skills!K5</f>
        <v/>
      </c>
      <c r="I981" t="inlineStr">
        <is>
          <t>1</t>
        </is>
      </c>
      <c r="J981">
        <f>(Inputs!$B$5*(1+Inputs!$B$6/100))*(F981/100)</f>
        <v/>
      </c>
      <c r="K981">
        <f>J981*(1+((Inputs!$B$11*(1+Inputs!$B$12/100))*0.01+Inputs!$B$13*0.0025)/100)*(1+Inputs!$B$14/100)*(1+IF(Inputs!$B$4="pvp",0,(1-Summary!$B$55)*(Inputs!$B$19+0+Skills!P5)+Summary!$B$55*(Inputs!$B$20+Skills!Q5))/100)*(1+Inputs!$B$15/100)*(5000/(6000+Inputs!$B$7*(1-(Inputs!$B$18+0)/100)))*(1+(Inputs!$B$23+((C1002=TRUE)*(F1002-Calc!F26))+B1012)/100)*(1+0.4*IF(C992=TRUE,F992,0)/100)*(1+(IF(Skills!A5="EIGHT_LEGS_EASTON",Inputs!$B$16+((C999=TRUE)*(F999-Calc!F23))+((C1003=TRUE)*(F1003-Calc!F27)),Inputs!$B$17+0))/100)*((1+(((C993=TRUE)*F993)+((C1000=TRUE)*(F1000-Calc!F24)))/100)*I981)</f>
        <v/>
      </c>
      <c r="L981">
        <f>K981*(MIN(Inputs!$B$21+((C998=TRUE)*(F998-Calc!F22)),Inputs!$B$22+0)/100+(Inputs!$B$22+0)/100)/2</f>
        <v/>
      </c>
      <c r="M981">
        <f>L981*(1+(Inputs!$B$9+((C1001=TRUE)*(F1001-Calc!F25))+B1011)/100)</f>
        <v/>
      </c>
      <c r="N981">
        <f>L981*(1-MIN((Inputs!$B$8+((C995=TRUE)*(F995-Calc!F19))+B1006),100)/100)+M981*(MIN((Inputs!$B$8+((C995=TRUE)*(F995-Calc!F19))+B1006),100)/100)</f>
        <v/>
      </c>
      <c r="O981">
        <f>IF(C981,H981*N981*IF(AND(Inputs!$B$4&lt;&gt;"pvp",Inputs!$B$35&gt;0),((Skills!G5*((R981-1)*IF(Skills!H5&gt;0,Skills!I5/Skills!H5,1)+IF(Skills!H5&gt;0,MIN(Skills!I5,MAX(0,Inputs!$B$35-((R981-1)*IF(Inputs!$B$4="pvp",15,MAX(0.1,Skills!D5-IF(Skills!E5=TRUE,(Inputs!$B$31+1),0))))))/Skills!H5,1)))/Inputs!$B$35),G981*Q981)*IF(Inputs!$B$4="pvp",1,(1-Summary!$B$55)*(1)+Summary!$B$55*(MIN(Skills!R5,Inputs!$B$37))),0)</f>
        <v/>
      </c>
      <c r="P981">
        <f>IF(B1014=0,0,O981/B1014)</f>
        <v/>
      </c>
      <c r="Q981">
        <f>IFERROR(1/IF(Inputs!$B$4="pvp",15,MAX(0.1,Skills!D5-IF(Skills!E5=TRUE,(Inputs!$B$31+1),0))),0)</f>
        <v/>
      </c>
      <c r="R981">
        <f>IF(AND(Inputs!$B$4&lt;&gt;"pvp",Inputs!$B$35&gt;0),(INT(Inputs!$B$35/IF(Inputs!$B$4="pvp",15,MAX(0.1,Skills!D5-IF(Skills!E5=TRUE,(Inputs!$B$31+1),0))))+1),0)</f>
        <v/>
      </c>
      <c r="S981">
        <f>IFERROR(O981/N981,0)</f>
        <v/>
      </c>
    </row>
    <row r="982">
      <c r="A982">
        <f>Skills!A6</f>
        <v/>
      </c>
      <c r="B982">
        <f>Skills!B6</f>
        <v/>
      </c>
      <c r="C982">
        <f>Inputs!$B$3&gt;=63</f>
        <v/>
      </c>
      <c r="D982">
        <f>IF(Skills!C6=1,60+Inputs!$B$24+Inputs!$B$28,IF(Skills!C6=2,90+Inputs!$B$25+Inputs!$B$28,IF(Skills!C6=3,120+Inputs!$B$26+Inputs!$B$28,MAX(0,(Inputs!$B$3-100)*3)+Inputs!$B$27+Inputs!$B$28)))</f>
        <v/>
      </c>
      <c r="E982">
        <f>INDEX(FactorTable!$B$2:$Y$301, MATCH(ROUND(MIN(300,MAX(1,D982)),0), FactorTable!$A$2:$A$301,0), Skills!M6+1)</f>
        <v/>
      </c>
      <c r="F982">
        <f>IF(Skills!N6=TRUE,(Skills!L6/10)*(E982/1000),Skills!L6/10)+Skills!O6</f>
        <v/>
      </c>
      <c r="G982">
        <f>Skills!G6*IF(Skills!H6&gt;0,Skills!I6/Skills!H6,1)</f>
        <v/>
      </c>
      <c r="H982">
        <f>1-(1-Skills!J6/100)^Skills!K6</f>
        <v/>
      </c>
      <c r="I982" t="inlineStr">
        <is>
          <t>1</t>
        </is>
      </c>
      <c r="J982">
        <f>(Inputs!$B$5*(1+Inputs!$B$6/100))*(F982/100)</f>
        <v/>
      </c>
      <c r="K982">
        <f>J982*(1+((Inputs!$B$11*(1+Inputs!$B$12/100))*0.01+Inputs!$B$13*0.0025)/100)*(1+Inputs!$B$14/100)*(1+IF(Inputs!$B$4="pvp",0,(1-Summary!$B$55)*(Inputs!$B$19+0+Skills!P6)+Summary!$B$55*(Inputs!$B$20+Skills!Q6))/100)*(1+Inputs!$B$15/100)*(5000/(6000+Inputs!$B$7*(1-(Inputs!$B$18+0)/100)))*(1+(Inputs!$B$23+((C1002=TRUE)*(F1002-Calc!F26))+B1012)/100)*(1+2.0*IF(C991=TRUE,F991,0)/100)*(1+(IF(Skills!A6="EIGHT_LEGS_EASTON",Inputs!$B$16+((C999=TRUE)*(F999-Calc!F23))+((C1003=TRUE)*(F1003-Calc!F27)),Inputs!$B$17+0))/100)*((1+(((C993=TRUE)*F993)+((C1000=TRUE)*(F1000-Calc!F24)))/100)*I982)</f>
        <v/>
      </c>
      <c r="L982">
        <f>K982*(MIN(Inputs!$B$21+((C998=TRUE)*(F998-Calc!F22)),Inputs!$B$22+0)/100+(Inputs!$B$22+0)/100)/2</f>
        <v/>
      </c>
      <c r="M982">
        <f>L982*(1+(Inputs!$B$9+((C1001=TRUE)*(F1001-Calc!F25))+B1011)/100)</f>
        <v/>
      </c>
      <c r="N982">
        <f>L982*(1-MIN((Inputs!$B$8+((C995=TRUE)*(F995-Calc!F19))+B1006),100)/100)+M982*(MIN((Inputs!$B$8+((C995=TRUE)*(F995-Calc!F19))+B1006),100)/100)</f>
        <v/>
      </c>
      <c r="O982">
        <f>IF(C982,H982*N982*IF(AND(Inputs!$B$4&lt;&gt;"pvp",Inputs!$B$35&gt;0),((Skills!G6*((R982-1)*IF(Skills!H6&gt;0,Skills!I6/Skills!H6,1)+IF(Skills!H6&gt;0,MIN(Skills!I6,MAX(0,Inputs!$B$35-((R982-1)*IF(Inputs!$B$4="pvp",15,MAX(0.1,Skills!D6-IF(Skills!E6=TRUE,(Inputs!$B$31+1),0))))))/Skills!H6,1)))/Inputs!$B$35),G982*Q982)*IF(Inputs!$B$4="pvp",1,(1-Summary!$B$55)*(1)+Summary!$B$55*(MIN(Skills!R6,Inputs!$B$37))),0)</f>
        <v/>
      </c>
      <c r="P982">
        <f>IF(B1014=0,0,O982/B1014)</f>
        <v/>
      </c>
      <c r="Q982">
        <f>IFERROR(1/IF(Inputs!$B$4="pvp",15,MAX(0.1,Skills!D6-IF(Skills!E6=TRUE,(Inputs!$B$31+1),0))),0)</f>
        <v/>
      </c>
      <c r="R982">
        <f>IF(AND(Inputs!$B$4&lt;&gt;"pvp",Inputs!$B$35&gt;0),(INT(Inputs!$B$35/IF(Inputs!$B$4="pvp",15,MAX(0.1,Skills!D6-IF(Skills!E6=TRUE,(Inputs!$B$31+1),0))))+1),0)</f>
        <v/>
      </c>
      <c r="S982">
        <f>IFERROR(O982/N982,0)</f>
        <v/>
      </c>
    </row>
    <row r="983">
      <c r="A983">
        <f>Skills!A7</f>
        <v/>
      </c>
      <c r="B983">
        <f>Skills!B7</f>
        <v/>
      </c>
      <c r="C983">
        <f>Inputs!$B$3&gt;=66</f>
        <v/>
      </c>
      <c r="D983">
        <f>IF(Skills!C7=1,60+Inputs!$B$24+Inputs!$B$28,IF(Skills!C7=2,90+Inputs!$B$25+Inputs!$B$28,IF(Skills!C7=3,120+Inputs!$B$26+Inputs!$B$28,MAX(0,(Inputs!$B$3-100)*3)+Inputs!$B$27+Inputs!$B$28)))</f>
        <v/>
      </c>
      <c r="E983">
        <f>INDEX(FactorTable!$B$2:$Y$301, MATCH(ROUND(MIN(300,MAX(1,D983)),0), FactorTable!$A$2:$A$301,0), Skills!M7+1)</f>
        <v/>
      </c>
      <c r="F983">
        <f>IF(Skills!N7=TRUE,(Skills!L7/10)*(E983/1000),Skills!L7/10)+Skills!O7</f>
        <v/>
      </c>
      <c r="G983">
        <f>Skills!G7*IF(Skills!H7&gt;0,Skills!I7/Skills!H7,1)</f>
        <v/>
      </c>
      <c r="H983">
        <f>1-(1-Skills!J7/100)^Skills!K7</f>
        <v/>
      </c>
      <c r="I983" t="inlineStr">
        <is>
          <t>1</t>
        </is>
      </c>
      <c r="J983">
        <f>(Inputs!$B$5*(1+Inputs!$B$6/100))*(F983/100)</f>
        <v/>
      </c>
      <c r="K983">
        <f>J983*(1+((Inputs!$B$11*(1+Inputs!$B$12/100))*0.01+Inputs!$B$13*0.0025)/100)*(1+Inputs!$B$14/100)*(1+IF(Inputs!$B$4="pvp",0,(1-Summary!$B$55)*(Inputs!$B$19+0+Skills!P7)+Summary!$B$55*(Inputs!$B$20+Skills!Q7))/100)*(1+Inputs!$B$15/100)*(5000/(6000+Inputs!$B$7*(1-(Inputs!$B$18+0)/100)))*(1+(Inputs!$B$23+((C1002=TRUE)*(F1002-Calc!F26))+B1012)/100)*(1+1.0*IF(C991=TRUE,F991,0)/100)*(1+(IF(Skills!A7="EIGHT_LEGS_EASTON",Inputs!$B$16+((C999=TRUE)*(F999-Calc!F23))+((C1003=TRUE)*(F1003-Calc!F27)),Inputs!$B$17+0))/100)*((1+(((C993=TRUE)*F993)+((C1000=TRUE)*(F1000-Calc!F24)))/100)*I983)</f>
        <v/>
      </c>
      <c r="L983">
        <f>K983*(MIN(Inputs!$B$21+((C998=TRUE)*(F998-Calc!F22)),Inputs!$B$22+0)/100+(Inputs!$B$22+0)/100)/2</f>
        <v/>
      </c>
      <c r="M983">
        <f>L983*(1+(Inputs!$B$9+((C1001=TRUE)*(F1001-Calc!F25))+B1011)/100)</f>
        <v/>
      </c>
      <c r="N983">
        <f>L983*(1-MIN((Inputs!$B$8+((C995=TRUE)*(F995-Calc!F19))+B1006),100)/100)+M983*(MIN((Inputs!$B$8+((C995=TRUE)*(F995-Calc!F19))+B1006),100)/100)</f>
        <v/>
      </c>
      <c r="O983">
        <f>IF(C983,H983*N983*IF(AND(Inputs!$B$4&lt;&gt;"pvp",Inputs!$B$35&gt;0),((Skills!G7*((R983-1)*IF(Skills!H7&gt;0,Skills!I7/Skills!H7,1)+IF(Skills!H7&gt;0,MIN(Skills!I7,MAX(0,Inputs!$B$35-((R983-1)*IF(Inputs!$B$4="pvp",15,MAX(0.1,Skills!D7-IF(Skills!E7=TRUE,(Inputs!$B$31+1),0))))))/Skills!H7,1)))/Inputs!$B$35),G983*Q983)*IF(Inputs!$B$4="pvp",1,(1-Summary!$B$55)*(1)+Summary!$B$55*(MIN(Skills!R7,Inputs!$B$37))),0)</f>
        <v/>
      </c>
      <c r="P983">
        <f>IF(B1014=0,0,O983/B1014)</f>
        <v/>
      </c>
      <c r="Q983">
        <f>IFERROR(1/IF(Inputs!$B$4="pvp",15,MAX(0.1,Skills!D7-IF(Skills!E7=TRUE,(Inputs!$B$31+1),0))),0)</f>
        <v/>
      </c>
      <c r="R983">
        <f>IF(AND(Inputs!$B$4&lt;&gt;"pvp",Inputs!$B$35&gt;0),(INT(Inputs!$B$35/IF(Inputs!$B$4="pvp",15,MAX(0.1,Skills!D7-IF(Skills!E7=TRUE,(Inputs!$B$31+1),0))))+1),0)</f>
        <v/>
      </c>
      <c r="S983">
        <f>IFERROR(O983/N983,0)</f>
        <v/>
      </c>
    </row>
    <row r="984">
      <c r="A984">
        <f>Skills!A8</f>
        <v/>
      </c>
      <c r="B984">
        <f>Skills!B8</f>
        <v/>
      </c>
      <c r="C984">
        <f>Inputs!$B$3&gt;=100</f>
        <v/>
      </c>
      <c r="D984">
        <f>IF(Skills!C8=1,60+Inputs!$B$24+Inputs!$B$28,IF(Skills!C8=2,90+Inputs!$B$25+Inputs!$B$28,IF(Skills!C8=3,120+Inputs!$B$26+Inputs!$B$28,MAX(0,(Inputs!$B$3-100)*3)+Inputs!$B$27+Inputs!$B$28)))</f>
        <v/>
      </c>
      <c r="E984">
        <f>INDEX(FactorTable!$B$2:$Y$301, MATCH(ROUND(MIN(300,MAX(1,D984)),0), FactorTable!$A$2:$A$301,0), Skills!M8+1)</f>
        <v/>
      </c>
      <c r="F984">
        <f>IF(Skills!N8=TRUE,(Skills!L8/10)*(E984/1000),Skills!L8/10)+Skills!O8</f>
        <v/>
      </c>
      <c r="G984">
        <f>Skills!G8*IF(Skills!H8&gt;0,Skills!I8/Skills!H8,1)</f>
        <v/>
      </c>
      <c r="H984">
        <f>1-(1-Skills!J8/100)^Skills!K8</f>
        <v/>
      </c>
      <c r="I984" t="inlineStr">
        <is>
          <t>1</t>
        </is>
      </c>
      <c r="J984">
        <f>(Inputs!$B$5*(1+Inputs!$B$6/100))*(F984/100)</f>
        <v/>
      </c>
      <c r="K984">
        <f>J984*(1+((Inputs!$B$11*(1+Inputs!$B$12/100))*0.01+Inputs!$B$13*0.0025)/100)*(1+Inputs!$B$14/100)*(1+IF(Inputs!$B$4="pvp",0,(1-Summary!$B$55)*(Inputs!$B$19+0+Skills!P8)+Summary!$B$55*(Inputs!$B$20+Skills!Q8))/100)*(1+Inputs!$B$15/100)*(5000/(6000+Inputs!$B$7*(1-(Inputs!$B$18+0)/100)))*(1+(Inputs!$B$23+((C1002=TRUE)*(F1002-Calc!F26))+B1012)/100)*(1+(IF(Skills!A8="EIGHT_LEGS_EASTON",Inputs!$B$16+((C999=TRUE)*(F999-Calc!F23))+((C1003=TRUE)*(F1003-Calc!F27)),Inputs!$B$17+0))/100)*((1+(((C993=TRUE)*F993)+((C1000=TRUE)*(F1000-Calc!F24)))/100)*I984)</f>
        <v/>
      </c>
      <c r="L984">
        <f>K984*(MIN(Inputs!$B$21+((C998=TRUE)*(F998-Calc!F22)),Inputs!$B$22+0)/100+(Inputs!$B$22+0)/100)/2</f>
        <v/>
      </c>
      <c r="M984">
        <f>L984*(1+(Inputs!$B$9+((C1001=TRUE)*(F1001-Calc!F25))+B1011)/100)</f>
        <v/>
      </c>
      <c r="N984">
        <f>L984*(1-MIN((Inputs!$B$8+((C995=TRUE)*(F995-Calc!F19))+B1006),100)/100)+M984*(MIN((Inputs!$B$8+((C995=TRUE)*(F995-Calc!F19))+B1006),100)/100)</f>
        <v/>
      </c>
      <c r="O984">
        <f>IF(C984,H984*N984*IF(AND(Inputs!$B$4&lt;&gt;"pvp",Inputs!$B$35&gt;0),((Skills!G8*((R984-1)*IF(Skills!H8&gt;0,Skills!I8/Skills!H8,1)+IF(Skills!H8&gt;0,MIN(Skills!I8,MAX(0,Inputs!$B$35-((R984-1)*IF(Inputs!$B$4="pvp",15,MAX(0.1,Skills!D8-IF(Skills!E8=TRUE,(Inputs!$B$31+1),0))))))/Skills!H8,1)))/Inputs!$B$35),G984*Q984)*IF(Inputs!$B$4="pvp",1,(1-Summary!$B$55)*(1)+Summary!$B$55*(MIN(Skills!R8,Inputs!$B$37))),0)</f>
        <v/>
      </c>
      <c r="P984">
        <f>IF(B1014=0,0,O984/B1014)</f>
        <v/>
      </c>
      <c r="Q984">
        <f>IFERROR(1/IF(Inputs!$B$4="pvp",15,MAX(0.1,Skills!D8-IF(Skills!E8=TRUE,(Inputs!$B$31+1),0))),0)</f>
        <v/>
      </c>
      <c r="R984">
        <f>IF(AND(Inputs!$B$4&lt;&gt;"pvp",Inputs!$B$35&gt;0),(INT(Inputs!$B$35/IF(Inputs!$B$4="pvp",15,MAX(0.1,Skills!D8-IF(Skills!E8=TRUE,(Inputs!$B$31+1),0))))+1),0)</f>
        <v/>
      </c>
      <c r="S984">
        <f>IFERROR(O984/N984,0)</f>
        <v/>
      </c>
    </row>
    <row r="985">
      <c r="A985">
        <f>Skills!A9</f>
        <v/>
      </c>
      <c r="B985">
        <f>Skills!B9</f>
        <v/>
      </c>
      <c r="C985">
        <f>Inputs!$B$3&gt;=103</f>
        <v/>
      </c>
      <c r="D985">
        <f>IF(Skills!C9=1,60+Inputs!$B$24+Inputs!$B$28,IF(Skills!C9=2,90+Inputs!$B$25+Inputs!$B$28,IF(Skills!C9=3,120+Inputs!$B$26+Inputs!$B$28,MAX(0,(Inputs!$B$3-100)*3)+Inputs!$B$27+Inputs!$B$28)))</f>
        <v/>
      </c>
      <c r="E985">
        <f>INDEX(FactorTable!$B$2:$Y$301, MATCH(ROUND(MIN(300,MAX(1,D985)),0), FactorTable!$A$2:$A$301,0), Skills!M9+1)</f>
        <v/>
      </c>
      <c r="F985">
        <f>IF(Skills!N9=TRUE,(Skills!L9/10)*(E985/1000),Skills!L9/10)+Skills!O9</f>
        <v/>
      </c>
      <c r="G985">
        <f>Skills!G9*IF(Skills!H9&gt;0,Skills!I9/Skills!H9,1)</f>
        <v/>
      </c>
      <c r="H985">
        <f>1-(1-Skills!J9/100)^Skills!K9</f>
        <v/>
      </c>
      <c r="I985" t="inlineStr">
        <is>
          <t>1</t>
        </is>
      </c>
      <c r="J985">
        <f>(Inputs!$B$5*(1+Inputs!$B$6/100))*(F985/100)</f>
        <v/>
      </c>
      <c r="K985">
        <f>J985*(1+((Inputs!$B$11*(1+Inputs!$B$12/100))*0.01+Inputs!$B$13*0.0025)/100)*(1+Inputs!$B$14/100)*(1+IF(Inputs!$B$4="pvp",0,(1-Summary!$B$55)*(Inputs!$B$19+0+Skills!P9)+Summary!$B$55*(Inputs!$B$20+Skills!Q9))/100)*(1+Inputs!$B$15/100)*(5000/(6000+Inputs!$B$7*(1-(Inputs!$B$18+0)/100)))*(1+(Inputs!$B$23+((C1002=TRUE)*(F1002-Calc!F26))+B1012)/100)*(1+(IF(Skills!A9="EIGHT_LEGS_EASTON",Inputs!$B$16+((C999=TRUE)*(F999-Calc!F23))+((C1003=TRUE)*(F1003-Calc!F27)),Inputs!$B$17+0))/100)*((1+(((C993=TRUE)*F993)+((C1000=TRUE)*(F1000-Calc!F24)))/100)*I985)</f>
        <v/>
      </c>
      <c r="L985">
        <f>K985*(MIN(Inputs!$B$21+((C998=TRUE)*(F998-Calc!F22)),Inputs!$B$22+0)/100+(Inputs!$B$22+0)/100)/2</f>
        <v/>
      </c>
      <c r="M985">
        <f>L985*(1+(Inputs!$B$9+((C1001=TRUE)*(F1001-Calc!F25))+B1011)/100)</f>
        <v/>
      </c>
      <c r="N985">
        <f>L985*(1-MIN((Inputs!$B$8+((C995=TRUE)*(F995-Calc!F19))+B1006),100)/100)+M985*(MIN((Inputs!$B$8+((C995=TRUE)*(F995-Calc!F19))+B1006),100)/100)</f>
        <v/>
      </c>
      <c r="O985">
        <f>IF(C985,H985*N985*IF(AND(Inputs!$B$4&lt;&gt;"pvp",Inputs!$B$35&gt;0),((Skills!G9*((R985-1)*IF(Skills!H9&gt;0,Skills!I9/Skills!H9,1)+IF(Skills!H9&gt;0,MIN(Skills!I9,MAX(0,Inputs!$B$35-((R985-1)*IF(Inputs!$B$4="pvp",15,MAX(0.1,Skills!D9-IF(Skills!E9=TRUE,(Inputs!$B$31+1),0))))))/Skills!H9,1)))/Inputs!$B$35),G985*Q985)*IF(Inputs!$B$4="pvp",1,(1-Summary!$B$55)*(1)+Summary!$B$55*(MIN(Skills!R9,Inputs!$B$37))),0)</f>
        <v/>
      </c>
      <c r="P985">
        <f>IF(B1014=0,0,O985/B1014)</f>
        <v/>
      </c>
      <c r="Q985">
        <f>IFERROR(1/IF(Inputs!$B$4="pvp",15,MAX(0.1,Skills!D9-IF(Skills!E9=TRUE,(Inputs!$B$31+1),0))),0)</f>
        <v/>
      </c>
      <c r="R985">
        <f>IF(AND(Inputs!$B$4&lt;&gt;"pvp",Inputs!$B$35&gt;0),(INT(Inputs!$B$35/IF(Inputs!$B$4="pvp",15,MAX(0.1,Skills!D9-IF(Skills!E9=TRUE,(Inputs!$B$31+1),0))))+1),0)</f>
        <v/>
      </c>
      <c r="S985">
        <f>IFERROR(O985/N985,0)</f>
        <v/>
      </c>
    </row>
    <row r="986">
      <c r="A986">
        <f>Skills!A10</f>
        <v/>
      </c>
      <c r="B986">
        <f>Skills!B10</f>
        <v/>
      </c>
      <c r="C986">
        <f>Inputs!$B$3&gt;=113</f>
        <v/>
      </c>
      <c r="D986">
        <f>IF(Skills!C10=1,60+Inputs!$B$24+Inputs!$B$28,IF(Skills!C10=2,90+Inputs!$B$25+Inputs!$B$28,IF(Skills!C10=3,120+Inputs!$B$26+Inputs!$B$28,MAX(0,(Inputs!$B$3-100)*3)+Inputs!$B$27+Inputs!$B$28)))</f>
        <v/>
      </c>
      <c r="E986">
        <f>INDEX(FactorTable!$B$2:$Y$301, MATCH(ROUND(MIN(300,MAX(1,D986)),0), FactorTable!$A$2:$A$301,0), Skills!M10+1)</f>
        <v/>
      </c>
      <c r="F986">
        <f>IF(Skills!N10=TRUE,(Skills!L10/10)*(E986/1000),Skills!L10/10)+Skills!O10</f>
        <v/>
      </c>
      <c r="G986">
        <f>Skills!G10*IF(Skills!H10&gt;0,Skills!I10/Skills!H10,1)</f>
        <v/>
      </c>
      <c r="H986">
        <f>1-(1-Skills!J10/100)^Skills!K10</f>
        <v/>
      </c>
      <c r="I986" t="inlineStr">
        <is>
          <t>1</t>
        </is>
      </c>
      <c r="J986">
        <f>(Inputs!$B$5*(1+Inputs!$B$6/100))*(F986/100)</f>
        <v/>
      </c>
      <c r="K986">
        <f>J986*(1+((Inputs!$B$11*(1+Inputs!$B$12/100))*0.01+Inputs!$B$13*0.0025)/100)*(1+Inputs!$B$14/100)*(1+IF(Inputs!$B$4="pvp",0,(1-Summary!$B$55)*(Inputs!$B$19+0+Skills!P10)+Summary!$B$55*(Inputs!$B$20+Skills!Q10))/100)*(1+Inputs!$B$15/100)*(5000/(6000+Inputs!$B$7*(1-(Inputs!$B$18+0)/100)))*(1+(Inputs!$B$23+((C1002=TRUE)*(F1002-Calc!F26))+B1012)/100)*(1+(IF(Skills!A10="EIGHT_LEGS_EASTON",Inputs!$B$16+((C999=TRUE)*(F999-Calc!F23))+((C1003=TRUE)*(F1003-Calc!F27)),Inputs!$B$17+0))/100)*((1+(((C993=TRUE)*F993)+((C1000=TRUE)*(F1000-Calc!F24)))/100)*I986)</f>
        <v/>
      </c>
      <c r="L986">
        <f>K986*(MIN(Inputs!$B$21+((C998=TRUE)*(F998-Calc!F22)),Inputs!$B$22+0)/100+(Inputs!$B$22+0)/100)/2</f>
        <v/>
      </c>
      <c r="M986">
        <f>L986*(1+(Inputs!$B$9+((C1001=TRUE)*(F1001-Calc!F25))+B1011)/100)</f>
        <v/>
      </c>
      <c r="N986">
        <f>L986*(1-MIN((Inputs!$B$8+((C995=TRUE)*(F995-Calc!F19))+B1006),100)/100)+M986*(MIN((Inputs!$B$8+((C995=TRUE)*(F995-Calc!F19))+B1006),100)/100)</f>
        <v/>
      </c>
      <c r="O986">
        <f>IF(C986,H986*N986*IF(AND(Inputs!$B$4&lt;&gt;"pvp",Inputs!$B$35&gt;0),((Skills!G10*((R986-1)*IF(Skills!H10&gt;0,Skills!I10/Skills!H10,1)+IF(Skills!H10&gt;0,MIN(Skills!I10,MAX(0,Inputs!$B$35-((R986-1)*IF(Inputs!$B$4="pvp",15,MAX(0.1,Skills!D10-IF(Skills!E10=TRUE,(Inputs!$B$31+1),0))))))/Skills!H10,1)))/Inputs!$B$35),G986*Q986)*IF(Inputs!$B$4="pvp",1,(1-Summary!$B$55)*(1)+Summary!$B$55*(MIN(Skills!R10,Inputs!$B$37))),0)</f>
        <v/>
      </c>
      <c r="P986">
        <f>IF(B1014=0,0,O986/B1014)</f>
        <v/>
      </c>
      <c r="Q986">
        <f>IFERROR(1/IF(Inputs!$B$4="pvp",15,MAX(0.1,Skills!D10-IF(Skills!E10=TRUE,(Inputs!$B$31+1),0))),0)</f>
        <v/>
      </c>
      <c r="R986">
        <f>IF(AND(Inputs!$B$4&lt;&gt;"pvp",Inputs!$B$35&gt;0),(INT(Inputs!$B$35/IF(Inputs!$B$4="pvp",15,MAX(0.1,Skills!D10-IF(Skills!E10=TRUE,(Inputs!$B$31+1),0))))+1),0)</f>
        <v/>
      </c>
      <c r="S986">
        <f>IFERROR(O986/N986,0)</f>
        <v/>
      </c>
    </row>
    <row r="987">
      <c r="A987">
        <f>Skills!A11</f>
        <v/>
      </c>
      <c r="B987">
        <f>Skills!B11</f>
        <v/>
      </c>
      <c r="C987">
        <f>Inputs!$B$3&gt;=107</f>
        <v/>
      </c>
      <c r="D987">
        <f>IF(Skills!C11=1,60+Inputs!$B$24+Inputs!$B$28,IF(Skills!C11=2,90+Inputs!$B$25+Inputs!$B$28,IF(Skills!C11=3,120+Inputs!$B$26+Inputs!$B$28,MAX(0,(Inputs!$B$3-100)*3)+Inputs!$B$27+Inputs!$B$28)))</f>
        <v/>
      </c>
      <c r="E987">
        <f>INDEX(FactorTable!$B$2:$Y$301, MATCH(ROUND(MIN(300,MAX(1,D987)),0), FactorTable!$A$2:$A$301,0), Skills!M11+1)</f>
        <v/>
      </c>
      <c r="F987">
        <f>IF(Skills!N11=TRUE,(Skills!L11/10)*(E987/1000),Skills!L11/10)+Skills!O11</f>
        <v/>
      </c>
      <c r="G987">
        <f>Skills!G11*IF(Skills!H11&gt;0,Skills!I11/Skills!H11,1)</f>
        <v/>
      </c>
      <c r="H987">
        <f>1-(1-Skills!J11/100)^Skills!K11</f>
        <v/>
      </c>
      <c r="I987" t="inlineStr">
        <is>
          <t>1</t>
        </is>
      </c>
      <c r="J987">
        <f>(Inputs!$B$5*(1+Inputs!$B$6/100))*(F987/100)</f>
        <v/>
      </c>
      <c r="K987">
        <f>J987*(1+((Inputs!$B$11*(1+Inputs!$B$12/100))*0.01+Inputs!$B$13*0.0025)/100)*(1+Inputs!$B$14/100)*(1+IF(Inputs!$B$4="pvp",0,(1-Summary!$B$55)*(Inputs!$B$19+0+Skills!P11)+Summary!$B$55*(Inputs!$B$20+Skills!Q11))/100)*(1+Inputs!$B$15/100)*(5000/(6000+Inputs!$B$7*(1-(Inputs!$B$18+0)/100)))*(1+(Inputs!$B$23+((C1002=TRUE)*(F1002-Calc!F26))+B1012)/100)*(1+(IF(Skills!A11="EIGHT_LEGS_EASTON",Inputs!$B$16+((C999=TRUE)*(F999-Calc!F23))+((C1003=TRUE)*(F1003-Calc!F27)),Inputs!$B$17+0))/100)*((1+(((C993=TRUE)*F993)+((C1000=TRUE)*(F1000-Calc!F24)))/100)*I987)</f>
        <v/>
      </c>
      <c r="L987">
        <f>K987*(MIN(Inputs!$B$21+((C998=TRUE)*(F998-Calc!F22)),Inputs!$B$22+0)/100+(Inputs!$B$22+0)/100)/2</f>
        <v/>
      </c>
      <c r="M987">
        <f>L987*(1+(Inputs!$B$9+((C1001=TRUE)*(F1001-Calc!F25))+B1011)/100)</f>
        <v/>
      </c>
      <c r="N987">
        <f>L987*(1-MIN((Inputs!$B$8+((C995=TRUE)*(F995-Calc!F19))+B1006),100)/100)+M987*(MIN((Inputs!$B$8+((C995=TRUE)*(F995-Calc!F19))+B1006),100)/100)</f>
        <v/>
      </c>
      <c r="O987">
        <f>IF(C987,H987*N987*IF(AND(Inputs!$B$4&lt;&gt;"pvp",Inputs!$B$35&gt;0),((Skills!G11*((R987-1)*IF(Skills!H11&gt;0,Skills!I11/Skills!H11,1)+IF(Skills!H11&gt;0,MIN(Skills!I11,MAX(0,Inputs!$B$35-((R987-1)*IF(Inputs!$B$4="pvp",15,MAX(0.1,Skills!D11-IF(Skills!E11=TRUE,(Inputs!$B$31+1),0))))))/Skills!H11,1)))/Inputs!$B$35),G987*Q987)*IF(Inputs!$B$4="pvp",1,(1-Summary!$B$55)*(1)+Summary!$B$55*(MIN(Skills!R11,Inputs!$B$37))),0)</f>
        <v/>
      </c>
      <c r="P987">
        <f>IF(B1014=0,0,O987/B1014)</f>
        <v/>
      </c>
      <c r="Q987">
        <f>IFERROR(1/IF(Inputs!$B$4="pvp",15,MAX(0.1,Skills!D11-IF(Skills!E11=TRUE,(Inputs!$B$31+1),0))),0)</f>
        <v/>
      </c>
      <c r="R987">
        <f>IF(AND(Inputs!$B$4&lt;&gt;"pvp",Inputs!$B$35&gt;0),(INT(Inputs!$B$35/IF(Inputs!$B$4="pvp",15,MAX(0.1,Skills!D11-IF(Skills!E11=TRUE,(Inputs!$B$31+1),0))))+1),0)</f>
        <v/>
      </c>
      <c r="S987">
        <f>IFERROR(O987/N987,0)</f>
        <v/>
      </c>
    </row>
    <row r="988">
      <c r="A988">
        <f>Skills!A12</f>
        <v/>
      </c>
      <c r="B988">
        <f>Skills!B12</f>
        <v/>
      </c>
      <c r="C988">
        <f>Inputs!$B$3&gt;=110</f>
        <v/>
      </c>
      <c r="D988">
        <f>IF(Skills!C12=1,60+Inputs!$B$24+Inputs!$B$28,IF(Skills!C12=2,90+Inputs!$B$25+Inputs!$B$28,IF(Skills!C12=3,120+Inputs!$B$26+Inputs!$B$28,MAX(0,(Inputs!$B$3-100)*3)+Inputs!$B$27+Inputs!$B$28)))</f>
        <v/>
      </c>
      <c r="E988">
        <f>INDEX(FactorTable!$B$2:$Y$301, MATCH(ROUND(MIN(300,MAX(1,D988)),0), FactorTable!$A$2:$A$301,0), Skills!M12+1)</f>
        <v/>
      </c>
      <c r="F988">
        <f>IF(Skills!N12=TRUE,(Skills!L12/10)*(E988/1000),Skills!L12/10)+Skills!O12</f>
        <v/>
      </c>
      <c r="G988">
        <f>Skills!G12*IF(Skills!H12&gt;0,Skills!I12/Skills!H12,1)</f>
        <v/>
      </c>
      <c r="H988">
        <f>1-(1-Skills!J12/100)^Skills!K12</f>
        <v/>
      </c>
      <c r="I988" t="inlineStr">
        <is>
          <t>1</t>
        </is>
      </c>
      <c r="J988">
        <f>(Inputs!$B$5*(1+Inputs!$B$6/100))*(F988/100)</f>
        <v/>
      </c>
      <c r="K988">
        <f>J988*(1+((Inputs!$B$11*(1+Inputs!$B$12/100))*0.01+Inputs!$B$13*0.0025)/100)*(1+Inputs!$B$14/100)*(1+IF(Inputs!$B$4="pvp",0,(1-Summary!$B$55)*(Inputs!$B$19+0+Skills!P12)+Summary!$B$55*(Inputs!$B$20+Skills!Q12))/100)*(1+Inputs!$B$15/100)*(5000/(6000+Inputs!$B$7*(1-(Inputs!$B$18+0)/100)))*(1+(Inputs!$B$23+((C1002=TRUE)*(F1002-Calc!F26))+B1012)/100)*(1+(IF(Skills!A12="EIGHT_LEGS_EASTON",Inputs!$B$16+((C999=TRUE)*(F999-Calc!F23))+((C1003=TRUE)*(F1003-Calc!F27)),Inputs!$B$17+0))/100)*((1+(((C993=TRUE)*F993)+((C1000=TRUE)*(F1000-Calc!F24)))/100)*I988)</f>
        <v/>
      </c>
      <c r="L988">
        <f>K988*(MIN(Inputs!$B$21+((C998=TRUE)*(F998-Calc!F22)),Inputs!$B$22+0)/100+(Inputs!$B$22+0)/100)/2</f>
        <v/>
      </c>
      <c r="M988">
        <f>L988*(1+(Inputs!$B$9+((C1001=TRUE)*(F1001-Calc!F25))+B1011)/100)</f>
        <v/>
      </c>
      <c r="N988">
        <f>L988*(1-MIN((Inputs!$B$8+((C995=TRUE)*(F995-Calc!F19))+B1006),100)/100)+M988*(MIN((Inputs!$B$8+((C995=TRUE)*(F995-Calc!F19))+B1006),100)/100)</f>
        <v/>
      </c>
      <c r="O988">
        <f>IF(C988,H988*N988*IF(AND(Inputs!$B$4&lt;&gt;"pvp",Inputs!$B$35&gt;0),((Skills!G12*((R988-1)*IF(Skills!H12&gt;0,Skills!I12/Skills!H12,1)+IF(Skills!H12&gt;0,MIN(Skills!I12,MAX(0,Inputs!$B$35-((R988-1)*IF(Inputs!$B$4="pvp",15,MAX(0.1,Skills!D12-IF(Skills!E12=TRUE,(Inputs!$B$31+1),0))))))/Skills!H12,1)))/Inputs!$B$35),G988*Q988)*IF(Inputs!$B$4="pvp",1,(1-Summary!$B$55)*(1)+Summary!$B$55*(MIN(Skills!R12,Inputs!$B$37))),0)</f>
        <v/>
      </c>
      <c r="P988">
        <f>IF(B1014=0,0,O988/B1014)</f>
        <v/>
      </c>
      <c r="Q988">
        <f>IFERROR(1/IF(Inputs!$B$4="pvp",15,MAX(0.1,Skills!D12-IF(Skills!E12=TRUE,(Inputs!$B$31+1),0))),0)</f>
        <v/>
      </c>
      <c r="R988">
        <f>IF(AND(Inputs!$B$4&lt;&gt;"pvp",Inputs!$B$35&gt;0),(INT(Inputs!$B$35/IF(Inputs!$B$4="pvp",15,MAX(0.1,Skills!D12-IF(Skills!E12=TRUE,(Inputs!$B$31+1),0))))+1),0)</f>
        <v/>
      </c>
      <c r="S988">
        <f>IFERROR(O988/N988,0)</f>
        <v/>
      </c>
    </row>
    <row r="989">
      <c r="A989">
        <f>Skills!A13</f>
        <v/>
      </c>
      <c r="B989">
        <f>Skills!B13</f>
        <v/>
      </c>
      <c r="C989">
        <f>Inputs!$B$3&gt;=110</f>
        <v/>
      </c>
      <c r="D989">
        <f>IF(Skills!C13=1,60+Inputs!$B$24+Inputs!$B$28,IF(Skills!C13=2,90+Inputs!$B$25+Inputs!$B$28,IF(Skills!C13=3,120+Inputs!$B$26+Inputs!$B$28,MAX(0,(Inputs!$B$3-100)*3)+Inputs!$B$27+Inputs!$B$28)))</f>
        <v/>
      </c>
      <c r="E989">
        <f>INDEX(FactorTable!$B$2:$Y$301, MATCH(ROUND(MIN(300,MAX(1,D989)),0), FactorTable!$A$2:$A$301,0), Skills!M13+1)</f>
        <v/>
      </c>
      <c r="F989">
        <f>IF(Skills!N13=TRUE,(Skills!L13/10)*(E989/1000),Skills!L13/10)+Skills!O13</f>
        <v/>
      </c>
      <c r="G989">
        <f>Skills!G13*IF(Skills!H13&gt;0,Skills!I13/Skills!H13,1)</f>
        <v/>
      </c>
      <c r="H989">
        <f>1-(1-Skills!J13/100)^Skills!K13</f>
        <v/>
      </c>
      <c r="I989" t="inlineStr">
        <is>
          <t>1</t>
        </is>
      </c>
      <c r="J989">
        <f>(Inputs!$B$5*(1+Inputs!$B$6/100))*(F989/100)</f>
        <v/>
      </c>
      <c r="K989">
        <f>J989*(1+((Inputs!$B$11*(1+Inputs!$B$12/100))*0.01+Inputs!$B$13*0.0025)/100)*(1+Inputs!$B$14/100)*(1+IF(Inputs!$B$4="pvp",0,(1-Summary!$B$55)*(Inputs!$B$19+0+Skills!P13)+Summary!$B$55*(Inputs!$B$20+Skills!Q13))/100)*(1+Inputs!$B$15/100)*(5000/(6000+Inputs!$B$7*(1-(Inputs!$B$18+0)/100)))*(1+(Inputs!$B$23+((C1002=TRUE)*(F1002-Calc!F26))+B1012)/100)*(1+(IF(Skills!A13="EIGHT_LEGS_EASTON",Inputs!$B$16+((C999=TRUE)*(F999-Calc!F23))+((C1003=TRUE)*(F1003-Calc!F27)),Inputs!$B$17+0))/100)*((1+(((C993=TRUE)*F993)+((C1000=TRUE)*(F1000-Calc!F24)))/100)*I989)</f>
        <v/>
      </c>
      <c r="L989">
        <f>K989*(MIN(Inputs!$B$21+((C998=TRUE)*(F998-Calc!F22)),Inputs!$B$22+0)/100+(Inputs!$B$22+0)/100)/2</f>
        <v/>
      </c>
      <c r="M989">
        <f>L989*(1+(Inputs!$B$9+((C1001=TRUE)*(F1001-Calc!F25))+B1011)/100)</f>
        <v/>
      </c>
      <c r="N989">
        <f>L989*(1-MIN((Inputs!$B$8+((C995=TRUE)*(F995-Calc!F19))+B1006),100)/100)+M989*(MIN((Inputs!$B$8+((C995=TRUE)*(F995-Calc!F19))+B1006),100)/100)</f>
        <v/>
      </c>
      <c r="O989">
        <f>IF(C989,H989*N989*IF(AND(Inputs!$B$4&lt;&gt;"pvp",Inputs!$B$35&gt;0),((Skills!G13*((R989-1)*IF(Skills!H13&gt;0,Skills!I13/Skills!H13,1)+IF(Skills!H13&gt;0,MIN(Skills!I13,MAX(0,Inputs!$B$35-((R989-1)*IF(Inputs!$B$4="pvp",15,MAX(0.1,Skills!D13-IF(Skills!E13=TRUE,(Inputs!$B$31+1),0))))))/Skills!H13,1)))/Inputs!$B$35),G989*Q989)*IF(Inputs!$B$4="pvp",1,(1-Summary!$B$55)*(1)+Summary!$B$55*(MIN(Skills!R13,Inputs!$B$37))),0)</f>
        <v/>
      </c>
      <c r="P989">
        <f>IF(B1014=0,0,O989/B1014)</f>
        <v/>
      </c>
      <c r="Q989">
        <f>IFERROR(1/IF(Inputs!$B$4="pvp",15,MAX(0.1,Skills!D13-IF(Skills!E13=TRUE,(Inputs!$B$31+1),0))),0)</f>
        <v/>
      </c>
      <c r="R989">
        <f>IF(AND(Inputs!$B$4&lt;&gt;"pvp",Inputs!$B$35&gt;0),(INT(Inputs!$B$35/IF(Inputs!$B$4="pvp",15,MAX(0.1,Skills!D13-IF(Skills!E13=TRUE,(Inputs!$B$31+1),0))))+1),0)</f>
        <v/>
      </c>
      <c r="S989">
        <f>IFERROR(O989/N989,0)</f>
        <v/>
      </c>
    </row>
    <row r="990">
      <c r="A990">
        <f>Skills!A14</f>
        <v/>
      </c>
      <c r="B990">
        <f>Skills!B14</f>
        <v/>
      </c>
      <c r="C990">
        <f>Inputs!$B$3&gt;=125</f>
        <v/>
      </c>
      <c r="D990">
        <f>IF(Skills!C14=1,60+Inputs!$B$24+Inputs!$B$28,IF(Skills!C14=2,90+Inputs!$B$25+Inputs!$B$28,IF(Skills!C14=3,120+Inputs!$B$26+Inputs!$B$28,MAX(0,(Inputs!$B$3-100)*3)+Inputs!$B$27+Inputs!$B$28)))</f>
        <v/>
      </c>
      <c r="E990">
        <f>INDEX(FactorTable!$B$2:$Y$301, MATCH(ROUND(MIN(300,MAX(1,D990)),0), FactorTable!$A$2:$A$301,0), Skills!M14+1)</f>
        <v/>
      </c>
      <c r="F990">
        <f>IF(Skills!N14=TRUE,(Skills!L14/10)*(E990/1000),Skills!L14/10)+Skills!O14</f>
        <v/>
      </c>
      <c r="G990">
        <f>Skills!G14*IF(Skills!H14&gt;0,Skills!I14/Skills!H14,1)</f>
        <v/>
      </c>
      <c r="H990">
        <f>1-(1-Skills!J14/100)^Skills!K14</f>
        <v/>
      </c>
      <c r="I990" t="inlineStr">
        <is>
          <t>1</t>
        </is>
      </c>
      <c r="J990">
        <f>(Inputs!$B$5*(1+Inputs!$B$6/100))*(F990/100)</f>
        <v/>
      </c>
      <c r="K990">
        <f>J990*(1+((Inputs!$B$11*(1+Inputs!$B$12/100))*0.01+Inputs!$B$13*0.0025)/100)*(1+Inputs!$B$14/100)*(1+IF(Inputs!$B$4="pvp",0,(1-Summary!$B$55)*(Inputs!$B$19+0+Skills!P14)+Summary!$B$55*(Inputs!$B$20+Skills!Q14))/100)*(1+Inputs!$B$15/100)*(5000/(6000+Inputs!$B$7*(1-(Inputs!$B$18+0)/100)))*(1+(Inputs!$B$23+((C1002=TRUE)*(F1002-Calc!F26))+B1012)/100)*(1+(IF(Skills!A14="EIGHT_LEGS_EASTON",Inputs!$B$16+((C999=TRUE)*(F999-Calc!F23))+((C1003=TRUE)*(F1003-Calc!F27)),Inputs!$B$17+0))/100)*((1+(((C993=TRUE)*F993)+((C1000=TRUE)*(F1000-Calc!F24)))/100)*I990)</f>
        <v/>
      </c>
      <c r="L990">
        <f>K990*(MIN(Inputs!$B$21+((C998=TRUE)*(F998-Calc!F22)),Inputs!$B$22+0)/100+(Inputs!$B$22+0)/100)/2</f>
        <v/>
      </c>
      <c r="M990">
        <f>L990*(1+(Inputs!$B$9+((C1001=TRUE)*(F1001-Calc!F25))+B1011)/100)</f>
        <v/>
      </c>
      <c r="N990">
        <f>L990*(1-MIN((Inputs!$B$8+((C995=TRUE)*(F995-Calc!F19))+B1006),100)/100)+M990*(MIN((Inputs!$B$8+((C995=TRUE)*(F995-Calc!F19))+B1006),100)/100)</f>
        <v/>
      </c>
      <c r="O990">
        <f>IF(C990,H990*N990*(B1010+IF(AND(Inputs!$B$4&lt;&gt;"pvp",Inputs!$B$35&gt;0),((Skills!G8*((R984-1)*IF(Skills!H8&gt;0,Skills!I8/Skills!H8,1)+IF(Skills!H8&gt;0,MIN(Skills!I8,MAX(0,Inputs!$B$35-((R984-1)*IF(Inputs!$B$4="pvp",15,MAX(0.1,Skills!D8-IF(Skills!E8=TRUE,(Inputs!$B$31+1),0))))))/Skills!H8,1)))/Inputs!$B$35),G984*Q984)+IF(AND(Inputs!$B$4&lt;&gt;"pvp",Inputs!$B$35&gt;0),((Skills!G11*((R987-1)*IF(Skills!H11&gt;0,Skills!I11/Skills!H11,1)+IF(Skills!H11&gt;0,MIN(Skills!I11,MAX(0,Inputs!$B$35-((R987-1)*IF(Inputs!$B$4="pvp",15,MAX(0.1,Skills!D11-IF(Skills!E11=TRUE,(Inputs!$B$31+1),0))))))/Skills!H11,1)))/Inputs!$B$35),G987*Q987))*IF(Inputs!$B$4="pvp",1,(1-Summary!$B$55)*(1)+Summary!$B$55*(MIN(Skills!R14,Inputs!$B$37))),0)</f>
        <v/>
      </c>
      <c r="P990">
        <f>IF(B1014=0,0,O990/B1014)</f>
        <v/>
      </c>
      <c r="Q990" t="n">
        <v>0</v>
      </c>
      <c r="R990" t="n">
        <v>0</v>
      </c>
      <c r="S990">
        <f>IFERROR(O990/N990,0)</f>
        <v/>
      </c>
    </row>
    <row r="991">
      <c r="A991">
        <f>Skills!A15</f>
        <v/>
      </c>
      <c r="B991">
        <f>Skills!B15</f>
        <v/>
      </c>
      <c r="C991">
        <f>Inputs!$B$3&gt;=100</f>
        <v/>
      </c>
      <c r="D991">
        <f>IF(Skills!C15=1,60+Inputs!$B$24+Inputs!$B$28,IF(Skills!C15=2,90+Inputs!$B$25+Inputs!$B$28,IF(Skills!C15=3,120+Inputs!$B$26+Inputs!$B$28,MAX(0,(Inputs!$B$3-100)*3)+Inputs!$B$27+Inputs!$B$28)))</f>
        <v/>
      </c>
      <c r="E991">
        <f>INDEX(FactorTable!$B$2:$Y$301, MATCH(ROUND(MIN(300,MAX(1,D991)),0), FactorTable!$A$2:$A$301,0), Skills!M15+1)</f>
        <v/>
      </c>
      <c r="F991">
        <f>IF(Skills!N15=TRUE,(Skills!L15/10)*(E991/1000),Skills!L15/10)+Skills!O15</f>
        <v/>
      </c>
      <c r="G991" t="inlineStr"/>
      <c r="H991" t="inlineStr"/>
      <c r="I991" t="inlineStr">
        <is>
          <t>1</t>
        </is>
      </c>
      <c r="J991" t="inlineStr"/>
      <c r="K991" t="inlineStr"/>
      <c r="L991" t="inlineStr"/>
      <c r="M991" t="inlineStr"/>
      <c r="N991" t="inlineStr"/>
      <c r="O991" t="inlineStr"/>
      <c r="P991" t="inlineStr"/>
      <c r="Q991" t="inlineStr"/>
      <c r="R991" t="inlineStr"/>
      <c r="S991" t="inlineStr"/>
    </row>
    <row r="992">
      <c r="A992">
        <f>Skills!A16</f>
        <v/>
      </c>
      <c r="B992">
        <f>Skills!B16</f>
        <v/>
      </c>
      <c r="C992">
        <f>Inputs!$B$3&gt;=120</f>
        <v/>
      </c>
      <c r="D992">
        <f>IF(Skills!C16=1,60+Inputs!$B$24+Inputs!$B$28,IF(Skills!C16=2,90+Inputs!$B$25+Inputs!$B$28,IF(Skills!C16=3,120+Inputs!$B$26+Inputs!$B$28,MAX(0,(Inputs!$B$3-100)*3)+Inputs!$B$27+Inputs!$B$28)))</f>
        <v/>
      </c>
      <c r="E992">
        <f>INDEX(FactorTable!$B$2:$Y$301, MATCH(ROUND(MIN(300,MAX(1,D992)),0), FactorTable!$A$2:$A$301,0), Skills!M16+1)</f>
        <v/>
      </c>
      <c r="F992">
        <f>IF(Skills!N16=TRUE,(Skills!L16/10)*(E992/1000),Skills!L16/10)+Skills!O16</f>
        <v/>
      </c>
      <c r="G992" t="inlineStr"/>
      <c r="H992" t="inlineStr"/>
      <c r="I992" t="inlineStr">
        <is>
          <t>1</t>
        </is>
      </c>
      <c r="J992" t="inlineStr"/>
      <c r="K992" t="inlineStr"/>
      <c r="L992" t="inlineStr"/>
      <c r="M992" t="inlineStr"/>
      <c r="N992" t="inlineStr"/>
      <c r="O992" t="inlineStr"/>
      <c r="P992" t="inlineStr"/>
      <c r="Q992" t="inlineStr"/>
      <c r="R992" t="inlineStr"/>
      <c r="S992" t="inlineStr"/>
    </row>
    <row r="993">
      <c r="A993">
        <f>Skills!A17</f>
        <v/>
      </c>
      <c r="B993">
        <f>Skills!B17</f>
        <v/>
      </c>
      <c r="C993">
        <f>Inputs!$B$3&gt;=66</f>
        <v/>
      </c>
      <c r="D993">
        <f>IF(Skills!C17=1,60+Inputs!$B$24+Inputs!$B$28,IF(Skills!C17=2,90+Inputs!$B$25+Inputs!$B$28,IF(Skills!C17=3,120+Inputs!$B$26+Inputs!$B$28,MAX(0,(Inputs!$B$3-100)*3)+Inputs!$B$27+Inputs!$B$28)))</f>
        <v/>
      </c>
      <c r="E993">
        <f>INDEX(FactorTable!$B$2:$Y$301, MATCH(ROUND(MIN(300,MAX(1,D993)),0), FactorTable!$A$2:$A$301,0), Skills!M17+1)</f>
        <v/>
      </c>
      <c r="F993">
        <f>IF(Skills!N17=TRUE,(Skills!L17/10)*(E993/1000),Skills!L17/10)+Skills!O17</f>
        <v/>
      </c>
      <c r="G993">
        <f>Skills!G17*IF(Skills!H17&gt;0,Skills!I17/Skills!H17,1)</f>
        <v/>
      </c>
      <c r="H993">
        <f>1-(1-Skills!J17/100)^Skills!K17</f>
        <v/>
      </c>
      <c r="I993" t="inlineStr">
        <is>
          <t>1</t>
        </is>
      </c>
      <c r="J993" t="inlineStr"/>
      <c r="K993" t="inlineStr"/>
      <c r="L993" t="inlineStr"/>
      <c r="M993" t="inlineStr"/>
      <c r="N993" t="inlineStr"/>
      <c r="O993" t="n">
        <v>0</v>
      </c>
      <c r="P993">
        <f>IF(B1014=0,0,O993/B1014)</f>
        <v/>
      </c>
      <c r="Q993" t="n">
        <v>0</v>
      </c>
      <c r="R993" t="n">
        <v>0</v>
      </c>
      <c r="S993">
        <f>IFERROR(O993/N993,0)</f>
        <v/>
      </c>
    </row>
    <row r="994">
      <c r="A994">
        <f>Skills!A18</f>
        <v/>
      </c>
      <c r="B994">
        <f>Skills!B18</f>
        <v/>
      </c>
      <c r="C994">
        <f>Inputs!$B$3&gt;=115</f>
        <v/>
      </c>
      <c r="D994">
        <f>IF(Skills!C18=1,60+Inputs!$B$24+Inputs!$B$28,IF(Skills!C18=2,90+Inputs!$B$25+Inputs!$B$28,IF(Skills!C18=3,120+Inputs!$B$26+Inputs!$B$28,MAX(0,(Inputs!$B$3-100)*3)+Inputs!$B$27+Inputs!$B$28)))</f>
        <v/>
      </c>
      <c r="E994">
        <f>INDEX(FactorTable!$B$2:$Y$301, MATCH(ROUND(MIN(300,MAX(1,D994)),0), FactorTable!$A$2:$A$301,0), Skills!M18+1)</f>
        <v/>
      </c>
      <c r="F994">
        <f>IF(Skills!N18=TRUE,(Skills!L18/10)*(E994/1000),Skills!L18/10)+Skills!O18</f>
        <v/>
      </c>
      <c r="G994">
        <f>Skills!G18*IF(Skills!H18&gt;0,Skills!I18/Skills!H18,1)</f>
        <v/>
      </c>
      <c r="H994">
        <f>1-(1-Skills!J18/100)^Skills!K18</f>
        <v/>
      </c>
      <c r="I994" t="inlineStr">
        <is>
          <t>1</t>
        </is>
      </c>
      <c r="J994" t="inlineStr"/>
      <c r="K994" t="inlineStr"/>
      <c r="L994" t="inlineStr"/>
      <c r="M994" t="inlineStr"/>
      <c r="N994" t="inlineStr"/>
      <c r="O994" t="n">
        <v>0</v>
      </c>
      <c r="P994">
        <f>IF(B1014=0,0,O994/B1014)</f>
        <v/>
      </c>
      <c r="Q994" t="n">
        <v>0</v>
      </c>
      <c r="R994" t="n">
        <v>0</v>
      </c>
      <c r="S994">
        <f>IFERROR(O994/N994,0)</f>
        <v/>
      </c>
    </row>
    <row r="995">
      <c r="A995">
        <f>Skills!A19</f>
        <v/>
      </c>
      <c r="B995">
        <f>Skills!B19</f>
        <v/>
      </c>
      <c r="C995">
        <f>Inputs!$B$3&gt;=15</f>
        <v/>
      </c>
      <c r="D995">
        <f>IF(Skills!C19=1,60+Inputs!$B$24+Inputs!$B$28,IF(Skills!C19=2,90+Inputs!$B$25+Inputs!$B$28,IF(Skills!C19=3,120+Inputs!$B$26+Inputs!$B$28,MAX(0,(Inputs!$B$3-100)*3)+Inputs!$B$27+Inputs!$B$28)))</f>
        <v/>
      </c>
      <c r="E995">
        <f>INDEX(FactorTable!$B$2:$Y$301, MATCH(ROUND(MIN(300,MAX(1,D995)),0), FactorTable!$A$2:$A$301,0), Skills!M19+1)</f>
        <v/>
      </c>
      <c r="F995">
        <f>IF(Skills!N19=TRUE,(Skills!L19/10)*(E995/1000),Skills!L19/10)+Skills!O19</f>
        <v/>
      </c>
      <c r="G995">
        <f>Skills!G19*IF(Skills!H19&gt;0,Skills!I19/Skills!H19,1)</f>
        <v/>
      </c>
      <c r="H995">
        <f>1-(1-Skills!J19/100)^Skills!K19</f>
        <v/>
      </c>
      <c r="I995" t="inlineStr">
        <is>
          <t>1</t>
        </is>
      </c>
      <c r="J995" t="inlineStr"/>
      <c r="K995" t="inlineStr"/>
      <c r="L995" t="inlineStr"/>
      <c r="M995" t="inlineStr"/>
      <c r="N995" t="inlineStr"/>
      <c r="O995" t="n">
        <v>0</v>
      </c>
      <c r="P995">
        <f>IF(B1014=0,0,O995/B1014)</f>
        <v/>
      </c>
      <c r="Q995" t="n">
        <v>0</v>
      </c>
      <c r="R995" t="n">
        <v>0</v>
      </c>
      <c r="S995">
        <f>IFERROR(O995/N995,0)</f>
        <v/>
      </c>
    </row>
    <row r="996">
      <c r="A996">
        <f>Skills!A20</f>
        <v/>
      </c>
      <c r="B996">
        <f>Skills!B20</f>
        <v/>
      </c>
      <c r="C996">
        <f>Inputs!$B$3&gt;=10</f>
        <v/>
      </c>
      <c r="D996">
        <f>IF(Skills!C20=1,60+Inputs!$B$24+Inputs!$B$28,IF(Skills!C20=2,90+Inputs!$B$25+Inputs!$B$28,IF(Skills!C20=3,120+Inputs!$B$26+Inputs!$B$28,MAX(0,(Inputs!$B$3-100)*3)+Inputs!$B$27+Inputs!$B$28)))</f>
        <v/>
      </c>
      <c r="E996">
        <f>INDEX(FactorTable!$B$2:$Y$301, MATCH(ROUND(MIN(300,MAX(1,D996)),0), FactorTable!$A$2:$A$301,0), Skills!M20+1)</f>
        <v/>
      </c>
      <c r="F996">
        <f>IF(Skills!N20=TRUE,(Skills!L20/10)*(E996/1000),Skills!L20/10)+Skills!O20</f>
        <v/>
      </c>
      <c r="G996">
        <f>Skills!G20*IF(Skills!H20&gt;0,Skills!I20/Skills!H20,1)</f>
        <v/>
      </c>
      <c r="H996">
        <f>1-(1-Skills!J20/100)^Skills!K20</f>
        <v/>
      </c>
      <c r="I996" t="inlineStr">
        <is>
          <t>1</t>
        </is>
      </c>
      <c r="J996" t="inlineStr"/>
      <c r="K996" t="inlineStr"/>
      <c r="L996" t="inlineStr"/>
      <c r="M996" t="inlineStr"/>
      <c r="N996" t="inlineStr"/>
      <c r="O996" t="n">
        <v>0</v>
      </c>
      <c r="P996">
        <f>IF(B1014=0,0,O996/B1014)</f>
        <v/>
      </c>
      <c r="Q996" t="n">
        <v>0</v>
      </c>
      <c r="R996" t="n">
        <v>0</v>
      </c>
      <c r="S996">
        <f>IFERROR(O996/N996,0)</f>
        <v/>
      </c>
    </row>
    <row r="997">
      <c r="A997">
        <f>Skills!A21</f>
        <v/>
      </c>
      <c r="B997">
        <f>Skills!B21</f>
        <v/>
      </c>
      <c r="C997">
        <f>Inputs!$B$3&gt;=33</f>
        <v/>
      </c>
      <c r="D997">
        <f>IF(Skills!C21=1,60+Inputs!$B$24+Inputs!$B$28,IF(Skills!C21=2,90+Inputs!$B$25+Inputs!$B$28,IF(Skills!C21=3,120+Inputs!$B$26+Inputs!$B$28,MAX(0,(Inputs!$B$3-100)*3)+Inputs!$B$27+Inputs!$B$28)))</f>
        <v/>
      </c>
      <c r="E997">
        <f>INDEX(FactorTable!$B$2:$Y$301, MATCH(ROUND(MIN(300,MAX(1,D997)),0), FactorTable!$A$2:$A$301,0), Skills!M21+1)</f>
        <v/>
      </c>
      <c r="F997">
        <f>IF(Skills!N21=TRUE,(Skills!L21/10)*(E997/1000),Skills!L21/10)+Skills!O21</f>
        <v/>
      </c>
      <c r="G997">
        <f>Skills!G21*IF(Skills!H21&gt;0,Skills!I21/Skills!H21,1)</f>
        <v/>
      </c>
      <c r="H997">
        <f>1-(1-Skills!J21/100)^Skills!K21</f>
        <v/>
      </c>
      <c r="I997" t="inlineStr">
        <is>
          <t>1</t>
        </is>
      </c>
      <c r="J997" t="inlineStr"/>
      <c r="K997" t="inlineStr"/>
      <c r="L997" t="inlineStr"/>
      <c r="M997" t="inlineStr"/>
      <c r="N997" t="inlineStr"/>
      <c r="O997" t="n">
        <v>0</v>
      </c>
      <c r="P997">
        <f>IF(B1014=0,0,O997/B1014)</f>
        <v/>
      </c>
      <c r="Q997" t="n">
        <v>0</v>
      </c>
      <c r="R997" t="n">
        <v>0</v>
      </c>
      <c r="S997">
        <f>IFERROR(O997/N997,0)</f>
        <v/>
      </c>
    </row>
    <row r="998">
      <c r="A998">
        <f>Skills!A22</f>
        <v/>
      </c>
      <c r="B998">
        <f>Skills!B22</f>
        <v/>
      </c>
      <c r="C998">
        <f>Inputs!$B$3&gt;=43</f>
        <v/>
      </c>
      <c r="D998">
        <f>IF(Skills!C22=1,60+Inputs!$B$24+Inputs!$B$28,IF(Skills!C22=2,90+Inputs!$B$25+Inputs!$B$28,IF(Skills!C22=3,120+Inputs!$B$26+Inputs!$B$28,MAX(0,(Inputs!$B$3-100)*3)+Inputs!$B$27+Inputs!$B$28)))</f>
        <v/>
      </c>
      <c r="E998">
        <f>INDEX(FactorTable!$B$2:$Y$301, MATCH(ROUND(MIN(300,MAX(1,D998)),0), FactorTable!$A$2:$A$301,0), Skills!M22+1)</f>
        <v/>
      </c>
      <c r="F998">
        <f>IF(Skills!N22=TRUE,(Skills!L22/10)*(E998/1000),Skills!L22/10)+Skills!O22</f>
        <v/>
      </c>
      <c r="G998">
        <f>Skills!G22*IF(Skills!H22&gt;0,Skills!I22/Skills!H22,1)</f>
        <v/>
      </c>
      <c r="H998">
        <f>1-(1-Skills!J22/100)^Skills!K22</f>
        <v/>
      </c>
      <c r="I998" t="inlineStr">
        <is>
          <t>1</t>
        </is>
      </c>
      <c r="J998" t="inlineStr"/>
      <c r="K998" t="inlineStr"/>
      <c r="L998" t="inlineStr"/>
      <c r="M998" t="inlineStr"/>
      <c r="N998" t="inlineStr"/>
      <c r="O998" t="n">
        <v>0</v>
      </c>
      <c r="P998">
        <f>IF(B1014=0,0,O998/B1014)</f>
        <v/>
      </c>
      <c r="Q998" t="n">
        <v>0</v>
      </c>
      <c r="R998" t="n">
        <v>0</v>
      </c>
      <c r="S998">
        <f>IFERROR(O998/N998,0)</f>
        <v/>
      </c>
    </row>
    <row r="999">
      <c r="A999">
        <f>Skills!A23</f>
        <v/>
      </c>
      <c r="B999">
        <f>Skills!B23</f>
        <v/>
      </c>
      <c r="C999">
        <f>Inputs!$B$3&gt;=38</f>
        <v/>
      </c>
      <c r="D999">
        <f>IF(Skills!C23=1,60+Inputs!$B$24+Inputs!$B$28,IF(Skills!C23=2,90+Inputs!$B$25+Inputs!$B$28,IF(Skills!C23=3,120+Inputs!$B$26+Inputs!$B$28,MAX(0,(Inputs!$B$3-100)*3)+Inputs!$B$27+Inputs!$B$28)))</f>
        <v/>
      </c>
      <c r="E999">
        <f>INDEX(FactorTable!$B$2:$Y$301, MATCH(ROUND(MIN(300,MAX(1,D999)),0), FactorTable!$A$2:$A$301,0), Skills!M23+1)</f>
        <v/>
      </c>
      <c r="F999">
        <f>IF(Skills!N23=TRUE,(Skills!L23/10)*(E999/1000),Skills!L23/10)+Skills!O23</f>
        <v/>
      </c>
      <c r="G999">
        <f>Skills!G23*IF(Skills!H23&gt;0,Skills!I23/Skills!H23,1)</f>
        <v/>
      </c>
      <c r="H999">
        <f>1-(1-Skills!J23/100)^Skills!K23</f>
        <v/>
      </c>
      <c r="I999" t="inlineStr">
        <is>
          <t>1</t>
        </is>
      </c>
      <c r="J999" t="inlineStr"/>
      <c r="K999" t="inlineStr"/>
      <c r="L999" t="inlineStr"/>
      <c r="M999" t="inlineStr"/>
      <c r="N999" t="inlineStr"/>
      <c r="O999" t="n">
        <v>0</v>
      </c>
      <c r="P999">
        <f>IF(B1014=0,0,O999/B1014)</f>
        <v/>
      </c>
      <c r="Q999" t="n">
        <v>0</v>
      </c>
      <c r="R999" t="n">
        <v>0</v>
      </c>
      <c r="S999">
        <f>IFERROR(O999/N999,0)</f>
        <v/>
      </c>
    </row>
    <row r="1000">
      <c r="A1000">
        <f>Skills!A24</f>
        <v/>
      </c>
      <c r="B1000">
        <f>Skills!B24</f>
        <v/>
      </c>
      <c r="C1000">
        <f>Inputs!$B$3&gt;=40</f>
        <v/>
      </c>
      <c r="D1000">
        <f>IF(Skills!C24=1,60+Inputs!$B$24+Inputs!$B$28,IF(Skills!C24=2,90+Inputs!$B$25+Inputs!$B$28,IF(Skills!C24=3,120+Inputs!$B$26+Inputs!$B$28,MAX(0,(Inputs!$B$3-100)*3)+Inputs!$B$27+Inputs!$B$28)))</f>
        <v/>
      </c>
      <c r="E1000">
        <f>INDEX(FactorTable!$B$2:$Y$301, MATCH(ROUND(MIN(300,MAX(1,D1000)),0), FactorTable!$A$2:$A$301,0), Skills!M24+1)</f>
        <v/>
      </c>
      <c r="F1000">
        <f>IF(Skills!N24=TRUE,(Skills!L24/10)*(E1000/1000),Skills!L24/10)+Skills!O24</f>
        <v/>
      </c>
      <c r="G1000">
        <f>Skills!G24*IF(Skills!H24&gt;0,Skills!I24/Skills!H24,1)</f>
        <v/>
      </c>
      <c r="H1000">
        <f>1-(1-Skills!J24/100)^Skills!K24</f>
        <v/>
      </c>
      <c r="I1000" t="inlineStr">
        <is>
          <t>1</t>
        </is>
      </c>
      <c r="J1000" t="inlineStr"/>
      <c r="K1000" t="inlineStr"/>
      <c r="L1000" t="inlineStr"/>
      <c r="M1000" t="inlineStr"/>
      <c r="N1000" t="inlineStr"/>
      <c r="O1000" t="n">
        <v>0</v>
      </c>
      <c r="P1000">
        <f>IF(B1014=0,0,O1000/B1014)</f>
        <v/>
      </c>
      <c r="Q1000" t="n">
        <v>0</v>
      </c>
      <c r="R1000" t="n">
        <v>0</v>
      </c>
      <c r="S1000">
        <f>IFERROR(O1000/N1000,0)</f>
        <v/>
      </c>
    </row>
    <row r="1001">
      <c r="A1001">
        <f>Skills!A25</f>
        <v/>
      </c>
      <c r="B1001">
        <f>Skills!B25</f>
        <v/>
      </c>
      <c r="C1001">
        <f>Inputs!$B$3&gt;=72</f>
        <v/>
      </c>
      <c r="D1001">
        <f>IF(Skills!C25=1,60+Inputs!$B$24+Inputs!$B$28,IF(Skills!C25=2,90+Inputs!$B$25+Inputs!$B$28,IF(Skills!C25=3,120+Inputs!$B$26+Inputs!$B$28,MAX(0,(Inputs!$B$3-100)*3)+Inputs!$B$27+Inputs!$B$28)))</f>
        <v/>
      </c>
      <c r="E1001">
        <f>INDEX(FactorTable!$B$2:$Y$301, MATCH(ROUND(MIN(300,MAX(1,D1001)),0), FactorTable!$A$2:$A$301,0), Skills!M25+1)</f>
        <v/>
      </c>
      <c r="F1001">
        <f>IF(Skills!N25=TRUE,(Skills!L25/10)*(E1001/1000),Skills!L25/10)+Skills!O25</f>
        <v/>
      </c>
      <c r="G1001">
        <f>Skills!G25*IF(Skills!H25&gt;0,Skills!I25/Skills!H25,1)</f>
        <v/>
      </c>
      <c r="H1001">
        <f>1-(1-Skills!J25/100)^Skills!K25</f>
        <v/>
      </c>
      <c r="I1001" t="inlineStr">
        <is>
          <t>1</t>
        </is>
      </c>
      <c r="J1001" t="inlineStr"/>
      <c r="K1001" t="inlineStr"/>
      <c r="L1001" t="inlineStr"/>
      <c r="M1001" t="inlineStr"/>
      <c r="N1001" t="inlineStr"/>
      <c r="O1001" t="n">
        <v>0</v>
      </c>
      <c r="P1001">
        <f>IF(B1014=0,0,O1001/B1014)</f>
        <v/>
      </c>
      <c r="Q1001" t="n">
        <v>0</v>
      </c>
      <c r="R1001" t="n">
        <v>0</v>
      </c>
      <c r="S1001">
        <f>IFERROR(O1001/N1001,0)</f>
        <v/>
      </c>
    </row>
    <row r="1002">
      <c r="A1002">
        <f>Skills!A26</f>
        <v/>
      </c>
      <c r="B1002">
        <f>Skills!B26</f>
        <v/>
      </c>
      <c r="C1002">
        <f>Inputs!$B$3&gt;=75</f>
        <v/>
      </c>
      <c r="D1002">
        <f>IF(Skills!C26=1,60+Inputs!$B$24+Inputs!$B$28,IF(Skills!C26=2,90+Inputs!$B$25+Inputs!$B$28,IF(Skills!C26=3,120+Inputs!$B$26+Inputs!$B$28,MAX(0,(Inputs!$B$3-100)*3)+Inputs!$B$27+Inputs!$B$28)))</f>
        <v/>
      </c>
      <c r="E1002">
        <f>INDEX(FactorTable!$B$2:$Y$301, MATCH(ROUND(MIN(300,MAX(1,D1002)),0), FactorTable!$A$2:$A$301,0), Skills!M26+1)</f>
        <v/>
      </c>
      <c r="F1002">
        <f>IF(Skills!N26=TRUE,(Skills!L26/10)*(E1002/1000),Skills!L26/10)+Skills!O26</f>
        <v/>
      </c>
      <c r="G1002">
        <f>Skills!G26*IF(Skills!H26&gt;0,Skills!I26/Skills!H26,1)</f>
        <v/>
      </c>
      <c r="H1002">
        <f>1-(1-Skills!J26/100)^Skills!K26</f>
        <v/>
      </c>
      <c r="I1002" t="inlineStr">
        <is>
          <t>1</t>
        </is>
      </c>
      <c r="J1002" t="inlineStr"/>
      <c r="K1002" t="inlineStr"/>
      <c r="L1002" t="inlineStr"/>
      <c r="M1002" t="inlineStr"/>
      <c r="N1002" t="inlineStr"/>
      <c r="O1002" t="n">
        <v>0</v>
      </c>
      <c r="P1002">
        <f>IF(B1014=0,0,O1002/B1014)</f>
        <v/>
      </c>
      <c r="Q1002" t="n">
        <v>0</v>
      </c>
      <c r="R1002" t="n">
        <v>0</v>
      </c>
      <c r="S1002">
        <f>IFERROR(O1002/N1002,0)</f>
        <v/>
      </c>
    </row>
    <row r="1003">
      <c r="A1003">
        <f>Skills!A27</f>
        <v/>
      </c>
      <c r="B1003">
        <f>Skills!B27</f>
        <v/>
      </c>
      <c r="C1003">
        <f>Inputs!$B$3&gt;=117</f>
        <v/>
      </c>
      <c r="D1003">
        <f>IF(Skills!C27=1,60+Inputs!$B$24+Inputs!$B$28,IF(Skills!C27=2,90+Inputs!$B$25+Inputs!$B$28,IF(Skills!C27=3,120+Inputs!$B$26+Inputs!$B$28,MAX(0,(Inputs!$B$3-100)*3)+Inputs!$B$27+Inputs!$B$28)))</f>
        <v/>
      </c>
      <c r="E1003">
        <f>INDEX(FactorTable!$B$2:$Y$301, MATCH(ROUND(MIN(300,MAX(1,D1003)),0), FactorTable!$A$2:$A$301,0), Skills!M27+1)</f>
        <v/>
      </c>
      <c r="F1003">
        <f>IF(Skills!N27=TRUE,(Skills!L27/10)*(E1003/1000),Skills!L27/10)+Skills!O27</f>
        <v/>
      </c>
      <c r="G1003">
        <f>Skills!G27*IF(Skills!H27&gt;0,Skills!I27/Skills!H27,1)</f>
        <v/>
      </c>
      <c r="H1003">
        <f>1-(1-Skills!J27/100)^Skills!K27</f>
        <v/>
      </c>
      <c r="I1003" t="inlineStr">
        <is>
          <t>1</t>
        </is>
      </c>
      <c r="J1003" t="inlineStr"/>
      <c r="K1003" t="inlineStr"/>
      <c r="L1003" t="inlineStr"/>
      <c r="M1003" t="inlineStr"/>
      <c r="N1003" t="inlineStr"/>
      <c r="O1003" t="n">
        <v>0</v>
      </c>
      <c r="P1003">
        <f>IF(B1014=0,0,O1003/B1014)</f>
        <v/>
      </c>
      <c r="Q1003" t="n">
        <v>0</v>
      </c>
      <c r="R1003" t="n">
        <v>0</v>
      </c>
      <c r="S1003">
        <f>IFERROR(O1003/N1003,0)</f>
        <v/>
      </c>
    </row>
    <row r="1005">
      <c r="A1005" t="inlineStr">
        <is>
          <t>Attack% Bucket Multiplier</t>
        </is>
      </c>
      <c r="B1005">
        <f>(1+(((C993=TRUE)*F993)+((C1000=TRUE)*(F1000-Calc!F24)))/100)</f>
        <v/>
      </c>
    </row>
    <row r="1006">
      <c r="A1006" t="inlineStr">
        <is>
          <t>Global Crit Rate Bonus %</t>
        </is>
      </c>
      <c r="B1006" t="n">
        <v>0</v>
      </c>
    </row>
    <row r="1007">
      <c r="A1007" t="inlineStr">
        <is>
          <t>Attack Speed Buff Bonus % (unused)</t>
        </is>
      </c>
      <c r="B1007" t="n">
        <v>0</v>
      </c>
    </row>
    <row r="1008">
      <c r="A1008" t="inlineStr">
        <is>
          <t>Actions Per Second</t>
        </is>
      </c>
      <c r="B1008">
        <f>1+MIN(150,150*(1-(1-(Inputs!$B$10+((C996=TRUE)*(F996-Calc!F20))+((C997=TRUE)*(F997-Calc!F21)))/150)*(1-B1007/150)))/100</f>
        <v/>
      </c>
    </row>
    <row r="1009">
      <c r="A1009" t="inlineStr">
        <is>
          <t>Skill + Buff Cast Rate</t>
        </is>
      </c>
      <c r="B1009">
        <f>IF(AND(Inputs!$B$4&lt;&gt;"pvp",Inputs!$B$35&gt;0),SUMPRODUCT((Skills!E2:E27=TRUE)*(C978:C1003=TRUE)*R978:R1003*Skills!F2:F27)/Inputs!$B$35,SUMPRODUCT((Skills!E2:E27=TRUE)*(C978:C1003=TRUE)*Q978:Q1003*Skills!F2:F27))</f>
        <v/>
      </c>
    </row>
    <row r="1010">
      <c r="A1010" t="inlineStr">
        <is>
          <t>Eight-Legs Easton Casts Per Second</t>
        </is>
      </c>
      <c r="B1010">
        <f>MAX(0,B1008-B1009)</f>
        <v/>
      </c>
    </row>
    <row r="1011">
      <c r="A1011" t="inlineStr">
        <is>
          <t>Global Critical Damage Bonus % (unused)</t>
        </is>
      </c>
      <c r="B1011" t="n">
        <v>0</v>
      </c>
    </row>
    <row r="1012">
      <c r="A1012" t="inlineStr">
        <is>
          <t>Global Final Damage Bonus % (Jolly Roger only)</t>
        </is>
      </c>
      <c r="B1012">
        <f>((C994=TRUE)*F994)</f>
        <v/>
      </c>
    </row>
    <row r="1014">
      <c r="A1014" s="5" t="inlineStr">
        <is>
          <t>TOTAL DPS</t>
        </is>
      </c>
      <c r="B1014" s="5">
        <f>SUM(O978:O1003)</f>
        <v/>
      </c>
    </row>
    <row r="1017">
      <c r="A1017" s="5" t="inlineStr">
        <is>
          <t>Stat: Basic Attack Target Increase (flat)</t>
        </is>
      </c>
    </row>
    <row r="1018">
      <c r="A1018" s="8" t="inlineStr">
        <is>
          <t>Key</t>
        </is>
      </c>
      <c r="B1018" s="8" t="inlineStr">
        <is>
          <t>Name</t>
        </is>
      </c>
      <c r="C1018" s="8" t="inlineStr">
        <is>
          <t>Unlocked</t>
        </is>
      </c>
      <c r="D1018" s="8" t="inlineStr">
        <is>
          <t>InputLevel</t>
        </is>
      </c>
      <c r="E1018" s="8" t="inlineStr">
        <is>
          <t>Factor</t>
        </is>
      </c>
      <c r="F1018" s="8" t="inlineStr">
        <is>
          <t>CoefficientPercent</t>
        </is>
      </c>
      <c r="G1018" s="8" t="inlineStr">
        <is>
          <t>EffectiveHits</t>
        </is>
      </c>
      <c r="H1018" s="8" t="inlineStr">
        <is>
          <t>ProcProbability</t>
        </is>
      </c>
      <c r="I1018" s="8" t="inlineStr">
        <is>
          <t>MapleHeroMultiplier</t>
        </is>
      </c>
      <c r="J1018" s="8" t="inlineStr">
        <is>
          <t>BaseDamage</t>
        </is>
      </c>
      <c r="K1018" s="8" t="inlineStr">
        <is>
          <t>BaseHitDamage</t>
        </is>
      </c>
      <c r="L1018" s="8" t="inlineStr">
        <is>
          <t>NonCritAvg</t>
        </is>
      </c>
      <c r="M1018" s="8" t="inlineStr">
        <is>
          <t>CritAvg</t>
        </is>
      </c>
      <c r="N1018" s="8" t="inlineStr">
        <is>
          <t>ExpectedDamage(perHit)</t>
        </is>
      </c>
      <c r="O1018" s="8" t="inlineStr">
        <is>
          <t>DPS</t>
        </is>
      </c>
      <c r="P1018" s="8" t="inlineStr">
        <is>
          <t>% of Total</t>
        </is>
      </c>
      <c r="Q1018" s="8" t="inlineStr">
        <is>
          <t>InvCooldown</t>
        </is>
      </c>
      <c r="R1018" s="8" t="inlineStr">
        <is>
          <t>CastsInFight</t>
        </is>
      </c>
      <c r="S1018" s="8" t="inlineStr">
        <is>
          <t>HitRate(perSec)</t>
        </is>
      </c>
      <c r="U1018" t="inlineStr">
        <is>
          <t>helpers</t>
        </is>
      </c>
    </row>
    <row r="1019">
      <c r="A1019">
        <f>Skills!A2</f>
        <v/>
      </c>
      <c r="B1019">
        <f>Skills!B2</f>
        <v/>
      </c>
      <c r="C1019">
        <f>Inputs!$B$3&gt;=100</f>
        <v/>
      </c>
      <c r="D1019" t="inlineStr"/>
      <c r="E1019" t="inlineStr"/>
      <c r="F1019">
        <f>U1021+Skills!O2</f>
        <v/>
      </c>
      <c r="G1019">
        <f>Skills!G2*IF(Skills!H2&gt;0,Skills!I2/Skills!H2,1)</f>
        <v/>
      </c>
      <c r="H1019">
        <f>1-(1-Skills!J2/100)^Skills!K2</f>
        <v/>
      </c>
      <c r="I1019" t="inlineStr">
        <is>
          <t>1</t>
        </is>
      </c>
      <c r="J1019">
        <f>(Inputs!$B$5*(1+Inputs!$B$6/100))*(F1019/100)</f>
        <v/>
      </c>
      <c r="K1019">
        <f>J1019*(1+((Inputs!$B$11*(1+Inputs!$B$12/100))*0.01+Inputs!$B$13*0.0025)/100)*(1+Inputs!$B$14/100)*(1+IF(Inputs!$B$4="pvp",0,(1-Summary!$B$55)*(Inputs!$B$19+0+Skills!P2)+Summary!$B$55*(Inputs!$B$20+Skills!Q2))/100)*(1+Inputs!$B$15/100)*(5000/(6000+Inputs!$B$7*(1-(Inputs!$B$18+0)/100)))*(1+(Inputs!$B$23+((C1043=TRUE)*(F1043-Calc!F26))+B1053)/100)*(1+(IF(Skills!A2="EIGHT_LEGS_EASTON",Inputs!$B$16+((C1040=TRUE)*(F1040-Calc!F23))+((C1044=TRUE)*(F1044-Calc!F27)),Inputs!$B$17+0))/100)*((1+(((C1034=TRUE)*F1034)+((C1041=TRUE)*(F1041-Calc!F24)))/100)*I1019)</f>
        <v/>
      </c>
      <c r="L1019">
        <f>K1019*(MIN(Inputs!$B$21+((C1039=TRUE)*(F1039-Calc!F22)),Inputs!$B$22+0)/100+(Inputs!$B$22+0)/100)/2</f>
        <v/>
      </c>
      <c r="M1019">
        <f>L1019*(1+(Inputs!$B$9+((C1042=TRUE)*(F1042-Calc!F25))+B1052)/100)</f>
        <v/>
      </c>
      <c r="N1019">
        <f>L1019*(1-MIN((Inputs!$B$8+((C1036=TRUE)*(F1036-Calc!F19))+B1047),100)/100)+M1019*(MIN((Inputs!$B$8+((C1036=TRUE)*(F1036-Calc!F19))+B1047),100)/100)</f>
        <v/>
      </c>
      <c r="O1019">
        <f>IF(C1019,Skills!G2*N1019*B1051*IF(Inputs!$B$4="pvp",1,(1-Summary!$B$55)*(1)+Summary!$B$55*(MIN((6+(Inputs!$B$32+1)),Inputs!$B$37))),0)</f>
        <v/>
      </c>
      <c r="P1019">
        <f>IF(B1055=0,0,O1019/B1055)</f>
        <v/>
      </c>
      <c r="Q1019" t="n">
        <v>0</v>
      </c>
      <c r="R1019" t="n">
        <v>0</v>
      </c>
      <c r="S1019">
        <f>IFERROR(O1019/N1019,0)</f>
        <v/>
      </c>
      <c r="U1019">
        <f>MAX(0,(Inputs!$B$3-100)*3)+Inputs!$B$27+Inputs!$B$28</f>
        <v/>
      </c>
    </row>
    <row r="1020">
      <c r="A1020">
        <f>Skills!A3</f>
        <v/>
      </c>
      <c r="B1020">
        <f>Skills!B3</f>
        <v/>
      </c>
      <c r="C1020">
        <f>Inputs!$B$3&gt;=35</f>
        <v/>
      </c>
      <c r="D1020">
        <f>IF(Skills!C3=1,60+Inputs!$B$24+Inputs!$B$28,IF(Skills!C3=2,90+Inputs!$B$25+Inputs!$B$28,IF(Skills!C3=3,120+Inputs!$B$26+Inputs!$B$28,MAX(0,(Inputs!$B$3-100)*3)+Inputs!$B$27+Inputs!$B$28)))</f>
        <v/>
      </c>
      <c r="E1020">
        <f>INDEX(FactorTable!$B$2:$Y$301, MATCH(ROUND(MIN(300,MAX(1,D1020)),0), FactorTable!$A$2:$A$301,0), Skills!M3+1)</f>
        <v/>
      </c>
      <c r="F1020">
        <f>IF(Skills!N3=TRUE,(Skills!L3/10)*(E1020/1000),Skills!L3/10)+Skills!O3</f>
        <v/>
      </c>
      <c r="G1020">
        <f>Skills!G3*IF(Skills!H3&gt;0,Skills!I3/Skills!H3,1)</f>
        <v/>
      </c>
      <c r="H1020">
        <f>1-(1-Skills!J3/100)^Skills!K3</f>
        <v/>
      </c>
      <c r="I1020" t="inlineStr">
        <is>
          <t>1</t>
        </is>
      </c>
      <c r="J1020">
        <f>(Inputs!$B$5*(1+Inputs!$B$6/100))*(F1020/100)</f>
        <v/>
      </c>
      <c r="K1020">
        <f>J1020*(1+((Inputs!$B$11*(1+Inputs!$B$12/100))*0.01+Inputs!$B$13*0.0025)/100)*(1+Inputs!$B$14/100)*(1+IF(Inputs!$B$4="pvp",0,(1-Summary!$B$55)*(Inputs!$B$19+0+Skills!P3)+Summary!$B$55*(Inputs!$B$20+Skills!Q3))/100)*(1+Inputs!$B$15/100)*(5000/(6000+Inputs!$B$7*(1-(Inputs!$B$18+0)/100)))*(1+(Inputs!$B$23+((C1043=TRUE)*(F1043-Calc!F26))+B1053)/100)*(1+4.0*IF(C1032=TRUE,F1032,0)/100)*(1+(IF(Skills!A3="EIGHT_LEGS_EASTON",Inputs!$B$16+((C1040=TRUE)*(F1040-Calc!F23))+((C1044=TRUE)*(F1044-Calc!F27)),Inputs!$B$17+0))/100)*((1+(((C1034=TRUE)*F1034)+((C1041=TRUE)*(F1041-Calc!F24)))/100)*I1020)</f>
        <v/>
      </c>
      <c r="L1020">
        <f>K1020*(MIN(Inputs!$B$21+((C1039=TRUE)*(F1039-Calc!F22)),Inputs!$B$22+0)/100+(Inputs!$B$22+0)/100)/2</f>
        <v/>
      </c>
      <c r="M1020">
        <f>L1020*(1+(Inputs!$B$9+((C1042=TRUE)*(F1042-Calc!F25))+B1052)/100)</f>
        <v/>
      </c>
      <c r="N1020">
        <f>L1020*(1-MIN((Inputs!$B$8+((C1036=TRUE)*(F1036-Calc!F19))+B1047),100)/100)+M1020*(MIN((Inputs!$B$8+((C1036=TRUE)*(F1036-Calc!F19))+B1047),100)/100)</f>
        <v/>
      </c>
      <c r="O1020">
        <f>IF(C1020,H1020*N1020*IF(AND(Inputs!$B$4&lt;&gt;"pvp",Inputs!$B$35&gt;0),((Skills!G3*((R1020-1)*IF(Skills!H3&gt;0,Skills!I3/Skills!H3,1)+IF(Skills!H3&gt;0,MIN(Skills!I3,MAX(0,Inputs!$B$35-((R1020-1)*IF(Inputs!$B$4="pvp",15,MAX(0.1,Skills!D3-IF(Skills!E3=TRUE,Inputs!$B$31,0))))))/Skills!H3,1)))/Inputs!$B$35),G1020*Q1020)*IF(Inputs!$B$4="pvp",1,(1-Summary!$B$55)*(1)+Summary!$B$55*(MIN(Skills!R3,Inputs!$B$37))),0)</f>
        <v/>
      </c>
      <c r="P1020">
        <f>IF(B1055=0,0,O1020/B1055)</f>
        <v/>
      </c>
      <c r="Q1020">
        <f>IFERROR(1/IF(Inputs!$B$4="pvp",15,MAX(0.1,Skills!D3-IF(Skills!E3=TRUE,Inputs!$B$31,0))),0)</f>
        <v/>
      </c>
      <c r="R1020">
        <f>IF(AND(Inputs!$B$4&lt;&gt;"pvp",Inputs!$B$35&gt;0),(INT(Inputs!$B$35/IF(Inputs!$B$4="pvp",15,MAX(0.1,Skills!D3-IF(Skills!E3=TRUE,Inputs!$B$31,0))))+1),0)</f>
        <v/>
      </c>
      <c r="S1020">
        <f>IFERROR(O1020/N1020,0)</f>
        <v/>
      </c>
      <c r="U1020">
        <f>INDEX(FactorTable!$B$2:$Y$301, MATCH(ROUND(MIN(300,MAX(1,U1019)),0), FactorTable!$A$2:$A$301,0), 22)</f>
        <v/>
      </c>
    </row>
    <row r="1021">
      <c r="A1021">
        <f>Skills!A4</f>
        <v/>
      </c>
      <c r="B1021">
        <f>Skills!B4</f>
        <v/>
      </c>
      <c r="C1021">
        <f>Inputs!$B$3&gt;=40</f>
        <v/>
      </c>
      <c r="D1021">
        <f>IF(Skills!C4=1,60+Inputs!$B$24+Inputs!$B$28,IF(Skills!C4=2,90+Inputs!$B$25+Inputs!$B$28,IF(Skills!C4=3,120+Inputs!$B$26+Inputs!$B$28,MAX(0,(Inputs!$B$3-100)*3)+Inputs!$B$27+Inputs!$B$28)))</f>
        <v/>
      </c>
      <c r="E1021">
        <f>INDEX(FactorTable!$B$2:$Y$301, MATCH(ROUND(MIN(300,MAX(1,D1021)),0), FactorTable!$A$2:$A$301,0), Skills!M4+1)</f>
        <v/>
      </c>
      <c r="F1021">
        <f>IF(Skills!N4=TRUE,(Skills!L4/10)*(E1021/1000),Skills!L4/10)+Skills!O4</f>
        <v/>
      </c>
      <c r="G1021">
        <f>Skills!G4*IF(Skills!H4&gt;0,Skills!I4/Skills!H4,1)</f>
        <v/>
      </c>
      <c r="H1021">
        <f>1-(1-Skills!J4/100)^Skills!K4</f>
        <v/>
      </c>
      <c r="I1021" t="inlineStr">
        <is>
          <t>1</t>
        </is>
      </c>
      <c r="J1021">
        <f>(Inputs!$B$5*(1+Inputs!$B$6/100))*(F1021/100)</f>
        <v/>
      </c>
      <c r="K1021">
        <f>J1021*(1+((Inputs!$B$11*(1+Inputs!$B$12/100))*0.01+Inputs!$B$13*0.0025)/100)*(1+Inputs!$B$14/100)*(1+IF(Inputs!$B$4="pvp",0,(1-Summary!$B$55)*(Inputs!$B$19+0+Skills!P4)+Summary!$B$55*(Inputs!$B$20+Skills!Q4))/100)*(1+Inputs!$B$15/100)*(5000/(6000+Inputs!$B$7*(1-(Inputs!$B$18+0)/100)))*(1+(Inputs!$B$23+((C1043=TRUE)*(F1043-Calc!F26))+B1053)/100)*(1+1.0*IF(C1033=TRUE,F1033,0)/100)*(1+(IF(Skills!A4="EIGHT_LEGS_EASTON",Inputs!$B$16+((C1040=TRUE)*(F1040-Calc!F23))+((C1044=TRUE)*(F1044-Calc!F27)),Inputs!$B$17+0))/100)*((1+(((C1034=TRUE)*F1034)+((C1041=TRUE)*(F1041-Calc!F24)))/100)*I1021)</f>
        <v/>
      </c>
      <c r="L1021">
        <f>K1021*(MIN(Inputs!$B$21+((C1039=TRUE)*(F1039-Calc!F22)),Inputs!$B$22+0)/100+(Inputs!$B$22+0)/100)/2</f>
        <v/>
      </c>
      <c r="M1021">
        <f>L1021*(1+(Inputs!$B$9+((C1042=TRUE)*(F1042-Calc!F25))+B1052)/100)</f>
        <v/>
      </c>
      <c r="N1021">
        <f>L1021*(1-MIN((Inputs!$B$8+((C1036=TRUE)*(F1036-Calc!F19))+B1047),100)/100)+M1021*(MIN((Inputs!$B$8+((C1036=TRUE)*(F1036-Calc!F19))+B1047),100)/100)</f>
        <v/>
      </c>
      <c r="O1021">
        <f>IF(C1021,H1021*N1021*IF(AND(Inputs!$B$4&lt;&gt;"pvp",Inputs!$B$35&gt;0),((Skills!G4*((R1021-1)*IF(Skills!H4&gt;0,Skills!I4/Skills!H4,1)+IF(Skills!H4&gt;0,MIN(Skills!I4,MAX(0,Inputs!$B$35-((R1021-1)*IF(Inputs!$B$4="pvp",15,MAX(0.1,Skills!D4-IF(Skills!E4=TRUE,Inputs!$B$31,0))))))/Skills!H4,1)))/Inputs!$B$35),G1021*Q1021)*IF(Inputs!$B$4="pvp",1,(1-Summary!$B$55)*(1)+Summary!$B$55*(MIN(Skills!R4,Inputs!$B$37))),0)</f>
        <v/>
      </c>
      <c r="P1021">
        <f>IF(B1055=0,0,O1021/B1055)</f>
        <v/>
      </c>
      <c r="Q1021">
        <f>IFERROR(1/IF(Inputs!$B$4="pvp",15,MAX(0.1,Skills!D4-IF(Skills!E4=TRUE,Inputs!$B$31,0))),0)</f>
        <v/>
      </c>
      <c r="R1021">
        <f>IF(AND(Inputs!$B$4&lt;&gt;"pvp",Inputs!$B$35&gt;0),(INT(Inputs!$B$35/IF(Inputs!$B$4="pvp",15,MAX(0.1,Skills!D4-IF(Skills!E4=TRUE,Inputs!$B$31,0))))+1),0)</f>
        <v/>
      </c>
      <c r="S1021">
        <f>IFERROR(O1021/N1021,0)</f>
        <v/>
      </c>
      <c r="U1021">
        <f>290*U1020/1000</f>
        <v/>
      </c>
    </row>
    <row r="1022">
      <c r="A1022">
        <f>Skills!A5</f>
        <v/>
      </c>
      <c r="B1022">
        <f>Skills!B5</f>
        <v/>
      </c>
      <c r="C1022">
        <f>Inputs!$B$3&gt;=45</f>
        <v/>
      </c>
      <c r="D1022">
        <f>IF(Skills!C5=1,60+Inputs!$B$24+Inputs!$B$28,IF(Skills!C5=2,90+Inputs!$B$25+Inputs!$B$28,IF(Skills!C5=3,120+Inputs!$B$26+Inputs!$B$28,MAX(0,(Inputs!$B$3-100)*3)+Inputs!$B$27+Inputs!$B$28)))</f>
        <v/>
      </c>
      <c r="E1022">
        <f>INDEX(FactorTable!$B$2:$Y$301, MATCH(ROUND(MIN(300,MAX(1,D1022)),0), FactorTable!$A$2:$A$301,0), Skills!M5+1)</f>
        <v/>
      </c>
      <c r="F1022">
        <f>IF(Skills!N5=TRUE,(Skills!L5/10)*(E1022/1000),Skills!L5/10)+Skills!O5</f>
        <v/>
      </c>
      <c r="G1022">
        <f>Skills!G5*IF(Skills!H5&gt;0,Skills!I5/Skills!H5,1)</f>
        <v/>
      </c>
      <c r="H1022">
        <f>1-(1-Skills!J5/100)^Skills!K5</f>
        <v/>
      </c>
      <c r="I1022" t="inlineStr">
        <is>
          <t>1</t>
        </is>
      </c>
      <c r="J1022">
        <f>(Inputs!$B$5*(1+Inputs!$B$6/100))*(F1022/100)</f>
        <v/>
      </c>
      <c r="K1022">
        <f>J1022*(1+((Inputs!$B$11*(1+Inputs!$B$12/100))*0.01+Inputs!$B$13*0.0025)/100)*(1+Inputs!$B$14/100)*(1+IF(Inputs!$B$4="pvp",0,(1-Summary!$B$55)*(Inputs!$B$19+0+Skills!P5)+Summary!$B$55*(Inputs!$B$20+Skills!Q5))/100)*(1+Inputs!$B$15/100)*(5000/(6000+Inputs!$B$7*(1-(Inputs!$B$18+0)/100)))*(1+(Inputs!$B$23+((C1043=TRUE)*(F1043-Calc!F26))+B1053)/100)*(1+0.4*IF(C1033=TRUE,F1033,0)/100)*(1+(IF(Skills!A5="EIGHT_LEGS_EASTON",Inputs!$B$16+((C1040=TRUE)*(F1040-Calc!F23))+((C1044=TRUE)*(F1044-Calc!F27)),Inputs!$B$17+0))/100)*((1+(((C1034=TRUE)*F1034)+((C1041=TRUE)*(F1041-Calc!F24)))/100)*I1022)</f>
        <v/>
      </c>
      <c r="L1022">
        <f>K1022*(MIN(Inputs!$B$21+((C1039=TRUE)*(F1039-Calc!F22)),Inputs!$B$22+0)/100+(Inputs!$B$22+0)/100)/2</f>
        <v/>
      </c>
      <c r="M1022">
        <f>L1022*(1+(Inputs!$B$9+((C1042=TRUE)*(F1042-Calc!F25))+B1052)/100)</f>
        <v/>
      </c>
      <c r="N1022">
        <f>L1022*(1-MIN((Inputs!$B$8+((C1036=TRUE)*(F1036-Calc!F19))+B1047),100)/100)+M1022*(MIN((Inputs!$B$8+((C1036=TRUE)*(F1036-Calc!F19))+B1047),100)/100)</f>
        <v/>
      </c>
      <c r="O1022">
        <f>IF(C1022,H1022*N1022*IF(AND(Inputs!$B$4&lt;&gt;"pvp",Inputs!$B$35&gt;0),((Skills!G5*((R1022-1)*IF(Skills!H5&gt;0,Skills!I5/Skills!H5,1)+IF(Skills!H5&gt;0,MIN(Skills!I5,MAX(0,Inputs!$B$35-((R1022-1)*IF(Inputs!$B$4="pvp",15,MAX(0.1,Skills!D5-IF(Skills!E5=TRUE,Inputs!$B$31,0))))))/Skills!H5,1)))/Inputs!$B$35),G1022*Q1022)*IF(Inputs!$B$4="pvp",1,(1-Summary!$B$55)*(1)+Summary!$B$55*(MIN(Skills!R5,Inputs!$B$37))),0)</f>
        <v/>
      </c>
      <c r="P1022">
        <f>IF(B1055=0,0,O1022/B1055)</f>
        <v/>
      </c>
      <c r="Q1022">
        <f>IFERROR(1/IF(Inputs!$B$4="pvp",15,MAX(0.1,Skills!D5-IF(Skills!E5=TRUE,Inputs!$B$31,0))),0)</f>
        <v/>
      </c>
      <c r="R1022">
        <f>IF(AND(Inputs!$B$4&lt;&gt;"pvp",Inputs!$B$35&gt;0),(INT(Inputs!$B$35/IF(Inputs!$B$4="pvp",15,MAX(0.1,Skills!D5-IF(Skills!E5=TRUE,Inputs!$B$31,0))))+1),0)</f>
        <v/>
      </c>
      <c r="S1022">
        <f>IFERROR(O1022/N1022,0)</f>
        <v/>
      </c>
    </row>
    <row r="1023">
      <c r="A1023">
        <f>Skills!A6</f>
        <v/>
      </c>
      <c r="B1023">
        <f>Skills!B6</f>
        <v/>
      </c>
      <c r="C1023">
        <f>Inputs!$B$3&gt;=63</f>
        <v/>
      </c>
      <c r="D1023">
        <f>IF(Skills!C6=1,60+Inputs!$B$24+Inputs!$B$28,IF(Skills!C6=2,90+Inputs!$B$25+Inputs!$B$28,IF(Skills!C6=3,120+Inputs!$B$26+Inputs!$B$28,MAX(0,(Inputs!$B$3-100)*3)+Inputs!$B$27+Inputs!$B$28)))</f>
        <v/>
      </c>
      <c r="E1023">
        <f>INDEX(FactorTable!$B$2:$Y$301, MATCH(ROUND(MIN(300,MAX(1,D1023)),0), FactorTable!$A$2:$A$301,0), Skills!M6+1)</f>
        <v/>
      </c>
      <c r="F1023">
        <f>IF(Skills!N6=TRUE,(Skills!L6/10)*(E1023/1000),Skills!L6/10)+Skills!O6</f>
        <v/>
      </c>
      <c r="G1023">
        <f>Skills!G6*IF(Skills!H6&gt;0,Skills!I6/Skills!H6,1)</f>
        <v/>
      </c>
      <c r="H1023">
        <f>1-(1-Skills!J6/100)^Skills!K6</f>
        <v/>
      </c>
      <c r="I1023" t="inlineStr">
        <is>
          <t>1</t>
        </is>
      </c>
      <c r="J1023">
        <f>(Inputs!$B$5*(1+Inputs!$B$6/100))*(F1023/100)</f>
        <v/>
      </c>
      <c r="K1023">
        <f>J1023*(1+((Inputs!$B$11*(1+Inputs!$B$12/100))*0.01+Inputs!$B$13*0.0025)/100)*(1+Inputs!$B$14/100)*(1+IF(Inputs!$B$4="pvp",0,(1-Summary!$B$55)*(Inputs!$B$19+0+Skills!P6)+Summary!$B$55*(Inputs!$B$20+Skills!Q6))/100)*(1+Inputs!$B$15/100)*(5000/(6000+Inputs!$B$7*(1-(Inputs!$B$18+0)/100)))*(1+(Inputs!$B$23+((C1043=TRUE)*(F1043-Calc!F26))+B1053)/100)*(1+2.0*IF(C1032=TRUE,F1032,0)/100)*(1+(IF(Skills!A6="EIGHT_LEGS_EASTON",Inputs!$B$16+((C1040=TRUE)*(F1040-Calc!F23))+((C1044=TRUE)*(F1044-Calc!F27)),Inputs!$B$17+0))/100)*((1+(((C1034=TRUE)*F1034)+((C1041=TRUE)*(F1041-Calc!F24)))/100)*I1023)</f>
        <v/>
      </c>
      <c r="L1023">
        <f>K1023*(MIN(Inputs!$B$21+((C1039=TRUE)*(F1039-Calc!F22)),Inputs!$B$22+0)/100+(Inputs!$B$22+0)/100)/2</f>
        <v/>
      </c>
      <c r="M1023">
        <f>L1023*(1+(Inputs!$B$9+((C1042=TRUE)*(F1042-Calc!F25))+B1052)/100)</f>
        <v/>
      </c>
      <c r="N1023">
        <f>L1023*(1-MIN((Inputs!$B$8+((C1036=TRUE)*(F1036-Calc!F19))+B1047),100)/100)+M1023*(MIN((Inputs!$B$8+((C1036=TRUE)*(F1036-Calc!F19))+B1047),100)/100)</f>
        <v/>
      </c>
      <c r="O1023">
        <f>IF(C1023,H1023*N1023*IF(AND(Inputs!$B$4&lt;&gt;"pvp",Inputs!$B$35&gt;0),((Skills!G6*((R1023-1)*IF(Skills!H6&gt;0,Skills!I6/Skills!H6,1)+IF(Skills!H6&gt;0,MIN(Skills!I6,MAX(0,Inputs!$B$35-((R1023-1)*IF(Inputs!$B$4="pvp",15,MAX(0.1,Skills!D6-IF(Skills!E6=TRUE,Inputs!$B$31,0))))))/Skills!H6,1)))/Inputs!$B$35),G1023*Q1023)*IF(Inputs!$B$4="pvp",1,(1-Summary!$B$55)*(1)+Summary!$B$55*(MIN(Skills!R6,Inputs!$B$37))),0)</f>
        <v/>
      </c>
      <c r="P1023">
        <f>IF(B1055=0,0,O1023/B1055)</f>
        <v/>
      </c>
      <c r="Q1023">
        <f>IFERROR(1/IF(Inputs!$B$4="pvp",15,MAX(0.1,Skills!D6-IF(Skills!E6=TRUE,Inputs!$B$31,0))),0)</f>
        <v/>
      </c>
      <c r="R1023">
        <f>IF(AND(Inputs!$B$4&lt;&gt;"pvp",Inputs!$B$35&gt;0),(INT(Inputs!$B$35/IF(Inputs!$B$4="pvp",15,MAX(0.1,Skills!D6-IF(Skills!E6=TRUE,Inputs!$B$31,0))))+1),0)</f>
        <v/>
      </c>
      <c r="S1023">
        <f>IFERROR(O1023/N1023,0)</f>
        <v/>
      </c>
    </row>
    <row r="1024">
      <c r="A1024">
        <f>Skills!A7</f>
        <v/>
      </c>
      <c r="B1024">
        <f>Skills!B7</f>
        <v/>
      </c>
      <c r="C1024">
        <f>Inputs!$B$3&gt;=66</f>
        <v/>
      </c>
      <c r="D1024">
        <f>IF(Skills!C7=1,60+Inputs!$B$24+Inputs!$B$28,IF(Skills!C7=2,90+Inputs!$B$25+Inputs!$B$28,IF(Skills!C7=3,120+Inputs!$B$26+Inputs!$B$28,MAX(0,(Inputs!$B$3-100)*3)+Inputs!$B$27+Inputs!$B$28)))</f>
        <v/>
      </c>
      <c r="E1024">
        <f>INDEX(FactorTable!$B$2:$Y$301, MATCH(ROUND(MIN(300,MAX(1,D1024)),0), FactorTable!$A$2:$A$301,0), Skills!M7+1)</f>
        <v/>
      </c>
      <c r="F1024">
        <f>IF(Skills!N7=TRUE,(Skills!L7/10)*(E1024/1000),Skills!L7/10)+Skills!O7</f>
        <v/>
      </c>
      <c r="G1024">
        <f>Skills!G7*IF(Skills!H7&gt;0,Skills!I7/Skills!H7,1)</f>
        <v/>
      </c>
      <c r="H1024">
        <f>1-(1-Skills!J7/100)^Skills!K7</f>
        <v/>
      </c>
      <c r="I1024" t="inlineStr">
        <is>
          <t>1</t>
        </is>
      </c>
      <c r="J1024">
        <f>(Inputs!$B$5*(1+Inputs!$B$6/100))*(F1024/100)</f>
        <v/>
      </c>
      <c r="K1024">
        <f>J1024*(1+((Inputs!$B$11*(1+Inputs!$B$12/100))*0.01+Inputs!$B$13*0.0025)/100)*(1+Inputs!$B$14/100)*(1+IF(Inputs!$B$4="pvp",0,(1-Summary!$B$55)*(Inputs!$B$19+0+Skills!P7)+Summary!$B$55*(Inputs!$B$20+Skills!Q7))/100)*(1+Inputs!$B$15/100)*(5000/(6000+Inputs!$B$7*(1-(Inputs!$B$18+0)/100)))*(1+(Inputs!$B$23+((C1043=TRUE)*(F1043-Calc!F26))+B1053)/100)*(1+1.0*IF(C1032=TRUE,F1032,0)/100)*(1+(IF(Skills!A7="EIGHT_LEGS_EASTON",Inputs!$B$16+((C1040=TRUE)*(F1040-Calc!F23))+((C1044=TRUE)*(F1044-Calc!F27)),Inputs!$B$17+0))/100)*((1+(((C1034=TRUE)*F1034)+((C1041=TRUE)*(F1041-Calc!F24)))/100)*I1024)</f>
        <v/>
      </c>
      <c r="L1024">
        <f>K1024*(MIN(Inputs!$B$21+((C1039=TRUE)*(F1039-Calc!F22)),Inputs!$B$22+0)/100+(Inputs!$B$22+0)/100)/2</f>
        <v/>
      </c>
      <c r="M1024">
        <f>L1024*(1+(Inputs!$B$9+((C1042=TRUE)*(F1042-Calc!F25))+B1052)/100)</f>
        <v/>
      </c>
      <c r="N1024">
        <f>L1024*(1-MIN((Inputs!$B$8+((C1036=TRUE)*(F1036-Calc!F19))+B1047),100)/100)+M1024*(MIN((Inputs!$B$8+((C1036=TRUE)*(F1036-Calc!F19))+B1047),100)/100)</f>
        <v/>
      </c>
      <c r="O1024">
        <f>IF(C1024,H1024*N1024*IF(AND(Inputs!$B$4&lt;&gt;"pvp",Inputs!$B$35&gt;0),((Skills!G7*((R1024-1)*IF(Skills!H7&gt;0,Skills!I7/Skills!H7,1)+IF(Skills!H7&gt;0,MIN(Skills!I7,MAX(0,Inputs!$B$35-((R1024-1)*IF(Inputs!$B$4="pvp",15,MAX(0.1,Skills!D7-IF(Skills!E7=TRUE,Inputs!$B$31,0))))))/Skills!H7,1)))/Inputs!$B$35),G1024*Q1024)*IF(Inputs!$B$4="pvp",1,(1-Summary!$B$55)*(1)+Summary!$B$55*(MIN(Skills!R7,Inputs!$B$37))),0)</f>
        <v/>
      </c>
      <c r="P1024">
        <f>IF(B1055=0,0,O1024/B1055)</f>
        <v/>
      </c>
      <c r="Q1024">
        <f>IFERROR(1/IF(Inputs!$B$4="pvp",15,MAX(0.1,Skills!D7-IF(Skills!E7=TRUE,Inputs!$B$31,0))),0)</f>
        <v/>
      </c>
      <c r="R1024">
        <f>IF(AND(Inputs!$B$4&lt;&gt;"pvp",Inputs!$B$35&gt;0),(INT(Inputs!$B$35/IF(Inputs!$B$4="pvp",15,MAX(0.1,Skills!D7-IF(Skills!E7=TRUE,Inputs!$B$31,0))))+1),0)</f>
        <v/>
      </c>
      <c r="S1024">
        <f>IFERROR(O1024/N1024,0)</f>
        <v/>
      </c>
    </row>
    <row r="1025">
      <c r="A1025">
        <f>Skills!A8</f>
        <v/>
      </c>
      <c r="B1025">
        <f>Skills!B8</f>
        <v/>
      </c>
      <c r="C1025">
        <f>Inputs!$B$3&gt;=100</f>
        <v/>
      </c>
      <c r="D1025">
        <f>IF(Skills!C8=1,60+Inputs!$B$24+Inputs!$B$28,IF(Skills!C8=2,90+Inputs!$B$25+Inputs!$B$28,IF(Skills!C8=3,120+Inputs!$B$26+Inputs!$B$28,MAX(0,(Inputs!$B$3-100)*3)+Inputs!$B$27+Inputs!$B$28)))</f>
        <v/>
      </c>
      <c r="E1025">
        <f>INDEX(FactorTable!$B$2:$Y$301, MATCH(ROUND(MIN(300,MAX(1,D1025)),0), FactorTable!$A$2:$A$301,0), Skills!M8+1)</f>
        <v/>
      </c>
      <c r="F1025">
        <f>IF(Skills!N8=TRUE,(Skills!L8/10)*(E1025/1000),Skills!L8/10)+Skills!O8</f>
        <v/>
      </c>
      <c r="G1025">
        <f>Skills!G8*IF(Skills!H8&gt;0,Skills!I8/Skills!H8,1)</f>
        <v/>
      </c>
      <c r="H1025">
        <f>1-(1-Skills!J8/100)^Skills!K8</f>
        <v/>
      </c>
      <c r="I1025" t="inlineStr">
        <is>
          <t>1</t>
        </is>
      </c>
      <c r="J1025">
        <f>(Inputs!$B$5*(1+Inputs!$B$6/100))*(F1025/100)</f>
        <v/>
      </c>
      <c r="K1025">
        <f>J1025*(1+((Inputs!$B$11*(1+Inputs!$B$12/100))*0.01+Inputs!$B$13*0.0025)/100)*(1+Inputs!$B$14/100)*(1+IF(Inputs!$B$4="pvp",0,(1-Summary!$B$55)*(Inputs!$B$19+0+Skills!P8)+Summary!$B$55*(Inputs!$B$20+Skills!Q8))/100)*(1+Inputs!$B$15/100)*(5000/(6000+Inputs!$B$7*(1-(Inputs!$B$18+0)/100)))*(1+(Inputs!$B$23+((C1043=TRUE)*(F1043-Calc!F26))+B1053)/100)*(1+(IF(Skills!A8="EIGHT_LEGS_EASTON",Inputs!$B$16+((C1040=TRUE)*(F1040-Calc!F23))+((C1044=TRUE)*(F1044-Calc!F27)),Inputs!$B$17+0))/100)*((1+(((C1034=TRUE)*F1034)+((C1041=TRUE)*(F1041-Calc!F24)))/100)*I1025)</f>
        <v/>
      </c>
      <c r="L1025">
        <f>K1025*(MIN(Inputs!$B$21+((C1039=TRUE)*(F1039-Calc!F22)),Inputs!$B$22+0)/100+(Inputs!$B$22+0)/100)/2</f>
        <v/>
      </c>
      <c r="M1025">
        <f>L1025*(1+(Inputs!$B$9+((C1042=TRUE)*(F1042-Calc!F25))+B1052)/100)</f>
        <v/>
      </c>
      <c r="N1025">
        <f>L1025*(1-MIN((Inputs!$B$8+((C1036=TRUE)*(F1036-Calc!F19))+B1047),100)/100)+M1025*(MIN((Inputs!$B$8+((C1036=TRUE)*(F1036-Calc!F19))+B1047),100)/100)</f>
        <v/>
      </c>
      <c r="O1025">
        <f>IF(C1025,H1025*N1025*IF(AND(Inputs!$B$4&lt;&gt;"pvp",Inputs!$B$35&gt;0),((Skills!G8*((R1025-1)*IF(Skills!H8&gt;0,Skills!I8/Skills!H8,1)+IF(Skills!H8&gt;0,MIN(Skills!I8,MAX(0,Inputs!$B$35-((R1025-1)*IF(Inputs!$B$4="pvp",15,MAX(0.1,Skills!D8-IF(Skills!E8=TRUE,Inputs!$B$31,0))))))/Skills!H8,1)))/Inputs!$B$35),G1025*Q1025)*IF(Inputs!$B$4="pvp",1,(1-Summary!$B$55)*(1)+Summary!$B$55*(MIN(Skills!R8,Inputs!$B$37))),0)</f>
        <v/>
      </c>
      <c r="P1025">
        <f>IF(B1055=0,0,O1025/B1055)</f>
        <v/>
      </c>
      <c r="Q1025">
        <f>IFERROR(1/IF(Inputs!$B$4="pvp",15,MAX(0.1,Skills!D8-IF(Skills!E8=TRUE,Inputs!$B$31,0))),0)</f>
        <v/>
      </c>
      <c r="R1025">
        <f>IF(AND(Inputs!$B$4&lt;&gt;"pvp",Inputs!$B$35&gt;0),(INT(Inputs!$B$35/IF(Inputs!$B$4="pvp",15,MAX(0.1,Skills!D8-IF(Skills!E8=TRUE,Inputs!$B$31,0))))+1),0)</f>
        <v/>
      </c>
      <c r="S1025">
        <f>IFERROR(O1025/N1025,0)</f>
        <v/>
      </c>
    </row>
    <row r="1026">
      <c r="A1026">
        <f>Skills!A9</f>
        <v/>
      </c>
      <c r="B1026">
        <f>Skills!B9</f>
        <v/>
      </c>
      <c r="C1026">
        <f>Inputs!$B$3&gt;=103</f>
        <v/>
      </c>
      <c r="D1026">
        <f>IF(Skills!C9=1,60+Inputs!$B$24+Inputs!$B$28,IF(Skills!C9=2,90+Inputs!$B$25+Inputs!$B$28,IF(Skills!C9=3,120+Inputs!$B$26+Inputs!$B$28,MAX(0,(Inputs!$B$3-100)*3)+Inputs!$B$27+Inputs!$B$28)))</f>
        <v/>
      </c>
      <c r="E1026">
        <f>INDEX(FactorTable!$B$2:$Y$301, MATCH(ROUND(MIN(300,MAX(1,D1026)),0), FactorTable!$A$2:$A$301,0), Skills!M9+1)</f>
        <v/>
      </c>
      <c r="F1026">
        <f>IF(Skills!N9=TRUE,(Skills!L9/10)*(E1026/1000),Skills!L9/10)+Skills!O9</f>
        <v/>
      </c>
      <c r="G1026">
        <f>Skills!G9*IF(Skills!H9&gt;0,Skills!I9/Skills!H9,1)</f>
        <v/>
      </c>
      <c r="H1026">
        <f>1-(1-Skills!J9/100)^Skills!K9</f>
        <v/>
      </c>
      <c r="I1026" t="inlineStr">
        <is>
          <t>1</t>
        </is>
      </c>
      <c r="J1026">
        <f>(Inputs!$B$5*(1+Inputs!$B$6/100))*(F1026/100)</f>
        <v/>
      </c>
      <c r="K1026">
        <f>J1026*(1+((Inputs!$B$11*(1+Inputs!$B$12/100))*0.01+Inputs!$B$13*0.0025)/100)*(1+Inputs!$B$14/100)*(1+IF(Inputs!$B$4="pvp",0,(1-Summary!$B$55)*(Inputs!$B$19+0+Skills!P9)+Summary!$B$55*(Inputs!$B$20+Skills!Q9))/100)*(1+Inputs!$B$15/100)*(5000/(6000+Inputs!$B$7*(1-(Inputs!$B$18+0)/100)))*(1+(Inputs!$B$23+((C1043=TRUE)*(F1043-Calc!F26))+B1053)/100)*(1+(IF(Skills!A9="EIGHT_LEGS_EASTON",Inputs!$B$16+((C1040=TRUE)*(F1040-Calc!F23))+((C1044=TRUE)*(F1044-Calc!F27)),Inputs!$B$17+0))/100)*((1+(((C1034=TRUE)*F1034)+((C1041=TRUE)*(F1041-Calc!F24)))/100)*I1026)</f>
        <v/>
      </c>
      <c r="L1026">
        <f>K1026*(MIN(Inputs!$B$21+((C1039=TRUE)*(F1039-Calc!F22)),Inputs!$B$22+0)/100+(Inputs!$B$22+0)/100)/2</f>
        <v/>
      </c>
      <c r="M1026">
        <f>L1026*(1+(Inputs!$B$9+((C1042=TRUE)*(F1042-Calc!F25))+B1052)/100)</f>
        <v/>
      </c>
      <c r="N1026">
        <f>L1026*(1-MIN((Inputs!$B$8+((C1036=TRUE)*(F1036-Calc!F19))+B1047),100)/100)+M1026*(MIN((Inputs!$B$8+((C1036=TRUE)*(F1036-Calc!F19))+B1047),100)/100)</f>
        <v/>
      </c>
      <c r="O1026">
        <f>IF(C1026,H1026*N1026*IF(AND(Inputs!$B$4&lt;&gt;"pvp",Inputs!$B$35&gt;0),((Skills!G9*((R1026-1)*IF(Skills!H9&gt;0,Skills!I9/Skills!H9,1)+IF(Skills!H9&gt;0,MIN(Skills!I9,MAX(0,Inputs!$B$35-((R1026-1)*IF(Inputs!$B$4="pvp",15,MAX(0.1,Skills!D9-IF(Skills!E9=TRUE,Inputs!$B$31,0))))))/Skills!H9,1)))/Inputs!$B$35),G1026*Q1026)*IF(Inputs!$B$4="pvp",1,(1-Summary!$B$55)*(1)+Summary!$B$55*(MIN(Skills!R9,Inputs!$B$37))),0)</f>
        <v/>
      </c>
      <c r="P1026">
        <f>IF(B1055=0,0,O1026/B1055)</f>
        <v/>
      </c>
      <c r="Q1026">
        <f>IFERROR(1/IF(Inputs!$B$4="pvp",15,MAX(0.1,Skills!D9-IF(Skills!E9=TRUE,Inputs!$B$31,0))),0)</f>
        <v/>
      </c>
      <c r="R1026">
        <f>IF(AND(Inputs!$B$4&lt;&gt;"pvp",Inputs!$B$35&gt;0),(INT(Inputs!$B$35/IF(Inputs!$B$4="pvp",15,MAX(0.1,Skills!D9-IF(Skills!E9=TRUE,Inputs!$B$31,0))))+1),0)</f>
        <v/>
      </c>
      <c r="S1026">
        <f>IFERROR(O1026/N1026,0)</f>
        <v/>
      </c>
    </row>
    <row r="1027">
      <c r="A1027">
        <f>Skills!A10</f>
        <v/>
      </c>
      <c r="B1027">
        <f>Skills!B10</f>
        <v/>
      </c>
      <c r="C1027">
        <f>Inputs!$B$3&gt;=113</f>
        <v/>
      </c>
      <c r="D1027">
        <f>IF(Skills!C10=1,60+Inputs!$B$24+Inputs!$B$28,IF(Skills!C10=2,90+Inputs!$B$25+Inputs!$B$28,IF(Skills!C10=3,120+Inputs!$B$26+Inputs!$B$28,MAX(0,(Inputs!$B$3-100)*3)+Inputs!$B$27+Inputs!$B$28)))</f>
        <v/>
      </c>
      <c r="E1027">
        <f>INDEX(FactorTable!$B$2:$Y$301, MATCH(ROUND(MIN(300,MAX(1,D1027)),0), FactorTable!$A$2:$A$301,0), Skills!M10+1)</f>
        <v/>
      </c>
      <c r="F1027">
        <f>IF(Skills!N10=TRUE,(Skills!L10/10)*(E1027/1000),Skills!L10/10)+Skills!O10</f>
        <v/>
      </c>
      <c r="G1027">
        <f>Skills!G10*IF(Skills!H10&gt;0,Skills!I10/Skills!H10,1)</f>
        <v/>
      </c>
      <c r="H1027">
        <f>1-(1-Skills!J10/100)^Skills!K10</f>
        <v/>
      </c>
      <c r="I1027" t="inlineStr">
        <is>
          <t>1</t>
        </is>
      </c>
      <c r="J1027">
        <f>(Inputs!$B$5*(1+Inputs!$B$6/100))*(F1027/100)</f>
        <v/>
      </c>
      <c r="K1027">
        <f>J1027*(1+((Inputs!$B$11*(1+Inputs!$B$12/100))*0.01+Inputs!$B$13*0.0025)/100)*(1+Inputs!$B$14/100)*(1+IF(Inputs!$B$4="pvp",0,(1-Summary!$B$55)*(Inputs!$B$19+0+Skills!P10)+Summary!$B$55*(Inputs!$B$20+Skills!Q10))/100)*(1+Inputs!$B$15/100)*(5000/(6000+Inputs!$B$7*(1-(Inputs!$B$18+0)/100)))*(1+(Inputs!$B$23+((C1043=TRUE)*(F1043-Calc!F26))+B1053)/100)*(1+(IF(Skills!A10="EIGHT_LEGS_EASTON",Inputs!$B$16+((C1040=TRUE)*(F1040-Calc!F23))+((C1044=TRUE)*(F1044-Calc!F27)),Inputs!$B$17+0))/100)*((1+(((C1034=TRUE)*F1034)+((C1041=TRUE)*(F1041-Calc!F24)))/100)*I1027)</f>
        <v/>
      </c>
      <c r="L1027">
        <f>K1027*(MIN(Inputs!$B$21+((C1039=TRUE)*(F1039-Calc!F22)),Inputs!$B$22+0)/100+(Inputs!$B$22+0)/100)/2</f>
        <v/>
      </c>
      <c r="M1027">
        <f>L1027*(1+(Inputs!$B$9+((C1042=TRUE)*(F1042-Calc!F25))+B1052)/100)</f>
        <v/>
      </c>
      <c r="N1027">
        <f>L1027*(1-MIN((Inputs!$B$8+((C1036=TRUE)*(F1036-Calc!F19))+B1047),100)/100)+M1027*(MIN((Inputs!$B$8+((C1036=TRUE)*(F1036-Calc!F19))+B1047),100)/100)</f>
        <v/>
      </c>
      <c r="O1027">
        <f>IF(C1027,H1027*N1027*IF(AND(Inputs!$B$4&lt;&gt;"pvp",Inputs!$B$35&gt;0),((Skills!G10*((R1027-1)*IF(Skills!H10&gt;0,Skills!I10/Skills!H10,1)+IF(Skills!H10&gt;0,MIN(Skills!I10,MAX(0,Inputs!$B$35-((R1027-1)*IF(Inputs!$B$4="pvp",15,MAX(0.1,Skills!D10-IF(Skills!E10=TRUE,Inputs!$B$31,0))))))/Skills!H10,1)))/Inputs!$B$35),G1027*Q1027)*IF(Inputs!$B$4="pvp",1,(1-Summary!$B$55)*(1)+Summary!$B$55*(MIN(Skills!R10,Inputs!$B$37))),0)</f>
        <v/>
      </c>
      <c r="P1027">
        <f>IF(B1055=0,0,O1027/B1055)</f>
        <v/>
      </c>
      <c r="Q1027">
        <f>IFERROR(1/IF(Inputs!$B$4="pvp",15,MAX(0.1,Skills!D10-IF(Skills!E10=TRUE,Inputs!$B$31,0))),0)</f>
        <v/>
      </c>
      <c r="R1027">
        <f>IF(AND(Inputs!$B$4&lt;&gt;"pvp",Inputs!$B$35&gt;0),(INT(Inputs!$B$35/IF(Inputs!$B$4="pvp",15,MAX(0.1,Skills!D10-IF(Skills!E10=TRUE,Inputs!$B$31,0))))+1),0)</f>
        <v/>
      </c>
      <c r="S1027">
        <f>IFERROR(O1027/N1027,0)</f>
        <v/>
      </c>
    </row>
    <row r="1028">
      <c r="A1028">
        <f>Skills!A11</f>
        <v/>
      </c>
      <c r="B1028">
        <f>Skills!B11</f>
        <v/>
      </c>
      <c r="C1028">
        <f>Inputs!$B$3&gt;=107</f>
        <v/>
      </c>
      <c r="D1028">
        <f>IF(Skills!C11=1,60+Inputs!$B$24+Inputs!$B$28,IF(Skills!C11=2,90+Inputs!$B$25+Inputs!$B$28,IF(Skills!C11=3,120+Inputs!$B$26+Inputs!$B$28,MAX(0,(Inputs!$B$3-100)*3)+Inputs!$B$27+Inputs!$B$28)))</f>
        <v/>
      </c>
      <c r="E1028">
        <f>INDEX(FactorTable!$B$2:$Y$301, MATCH(ROUND(MIN(300,MAX(1,D1028)),0), FactorTable!$A$2:$A$301,0), Skills!M11+1)</f>
        <v/>
      </c>
      <c r="F1028">
        <f>IF(Skills!N11=TRUE,(Skills!L11/10)*(E1028/1000),Skills!L11/10)+Skills!O11</f>
        <v/>
      </c>
      <c r="G1028">
        <f>Skills!G11*IF(Skills!H11&gt;0,Skills!I11/Skills!H11,1)</f>
        <v/>
      </c>
      <c r="H1028">
        <f>1-(1-Skills!J11/100)^Skills!K11</f>
        <v/>
      </c>
      <c r="I1028" t="inlineStr">
        <is>
          <t>1</t>
        </is>
      </c>
      <c r="J1028">
        <f>(Inputs!$B$5*(1+Inputs!$B$6/100))*(F1028/100)</f>
        <v/>
      </c>
      <c r="K1028">
        <f>J1028*(1+((Inputs!$B$11*(1+Inputs!$B$12/100))*0.01+Inputs!$B$13*0.0025)/100)*(1+Inputs!$B$14/100)*(1+IF(Inputs!$B$4="pvp",0,(1-Summary!$B$55)*(Inputs!$B$19+0+Skills!P11)+Summary!$B$55*(Inputs!$B$20+Skills!Q11))/100)*(1+Inputs!$B$15/100)*(5000/(6000+Inputs!$B$7*(1-(Inputs!$B$18+0)/100)))*(1+(Inputs!$B$23+((C1043=TRUE)*(F1043-Calc!F26))+B1053)/100)*(1+(IF(Skills!A11="EIGHT_LEGS_EASTON",Inputs!$B$16+((C1040=TRUE)*(F1040-Calc!F23))+((C1044=TRUE)*(F1044-Calc!F27)),Inputs!$B$17+0))/100)*((1+(((C1034=TRUE)*F1034)+((C1041=TRUE)*(F1041-Calc!F24)))/100)*I1028)</f>
        <v/>
      </c>
      <c r="L1028">
        <f>K1028*(MIN(Inputs!$B$21+((C1039=TRUE)*(F1039-Calc!F22)),Inputs!$B$22+0)/100+(Inputs!$B$22+0)/100)/2</f>
        <v/>
      </c>
      <c r="M1028">
        <f>L1028*(1+(Inputs!$B$9+((C1042=TRUE)*(F1042-Calc!F25))+B1052)/100)</f>
        <v/>
      </c>
      <c r="N1028">
        <f>L1028*(1-MIN((Inputs!$B$8+((C1036=TRUE)*(F1036-Calc!F19))+B1047),100)/100)+M1028*(MIN((Inputs!$B$8+((C1036=TRUE)*(F1036-Calc!F19))+B1047),100)/100)</f>
        <v/>
      </c>
      <c r="O1028">
        <f>IF(C1028,H1028*N1028*IF(AND(Inputs!$B$4&lt;&gt;"pvp",Inputs!$B$35&gt;0),((Skills!G11*((R1028-1)*IF(Skills!H11&gt;0,Skills!I11/Skills!H11,1)+IF(Skills!H11&gt;0,MIN(Skills!I11,MAX(0,Inputs!$B$35-((R1028-1)*IF(Inputs!$B$4="pvp",15,MAX(0.1,Skills!D11-IF(Skills!E11=TRUE,Inputs!$B$31,0))))))/Skills!H11,1)))/Inputs!$B$35),G1028*Q1028)*IF(Inputs!$B$4="pvp",1,(1-Summary!$B$55)*(1)+Summary!$B$55*(MIN(Skills!R11,Inputs!$B$37))),0)</f>
        <v/>
      </c>
      <c r="P1028">
        <f>IF(B1055=0,0,O1028/B1055)</f>
        <v/>
      </c>
      <c r="Q1028">
        <f>IFERROR(1/IF(Inputs!$B$4="pvp",15,MAX(0.1,Skills!D11-IF(Skills!E11=TRUE,Inputs!$B$31,0))),0)</f>
        <v/>
      </c>
      <c r="R1028">
        <f>IF(AND(Inputs!$B$4&lt;&gt;"pvp",Inputs!$B$35&gt;0),(INT(Inputs!$B$35/IF(Inputs!$B$4="pvp",15,MAX(0.1,Skills!D11-IF(Skills!E11=TRUE,Inputs!$B$31,0))))+1),0)</f>
        <v/>
      </c>
      <c r="S1028">
        <f>IFERROR(O1028/N1028,0)</f>
        <v/>
      </c>
    </row>
    <row r="1029">
      <c r="A1029">
        <f>Skills!A12</f>
        <v/>
      </c>
      <c r="B1029">
        <f>Skills!B12</f>
        <v/>
      </c>
      <c r="C1029">
        <f>Inputs!$B$3&gt;=110</f>
        <v/>
      </c>
      <c r="D1029">
        <f>IF(Skills!C12=1,60+Inputs!$B$24+Inputs!$B$28,IF(Skills!C12=2,90+Inputs!$B$25+Inputs!$B$28,IF(Skills!C12=3,120+Inputs!$B$26+Inputs!$B$28,MAX(0,(Inputs!$B$3-100)*3)+Inputs!$B$27+Inputs!$B$28)))</f>
        <v/>
      </c>
      <c r="E1029">
        <f>INDEX(FactorTable!$B$2:$Y$301, MATCH(ROUND(MIN(300,MAX(1,D1029)),0), FactorTable!$A$2:$A$301,0), Skills!M12+1)</f>
        <v/>
      </c>
      <c r="F1029">
        <f>IF(Skills!N12=TRUE,(Skills!L12/10)*(E1029/1000),Skills!L12/10)+Skills!O12</f>
        <v/>
      </c>
      <c r="G1029">
        <f>Skills!G12*IF(Skills!H12&gt;0,Skills!I12/Skills!H12,1)</f>
        <v/>
      </c>
      <c r="H1029">
        <f>1-(1-Skills!J12/100)^Skills!K12</f>
        <v/>
      </c>
      <c r="I1029" t="inlineStr">
        <is>
          <t>1</t>
        </is>
      </c>
      <c r="J1029">
        <f>(Inputs!$B$5*(1+Inputs!$B$6/100))*(F1029/100)</f>
        <v/>
      </c>
      <c r="K1029">
        <f>J1029*(1+((Inputs!$B$11*(1+Inputs!$B$12/100))*0.01+Inputs!$B$13*0.0025)/100)*(1+Inputs!$B$14/100)*(1+IF(Inputs!$B$4="pvp",0,(1-Summary!$B$55)*(Inputs!$B$19+0+Skills!P12)+Summary!$B$55*(Inputs!$B$20+Skills!Q12))/100)*(1+Inputs!$B$15/100)*(5000/(6000+Inputs!$B$7*(1-(Inputs!$B$18+0)/100)))*(1+(Inputs!$B$23+((C1043=TRUE)*(F1043-Calc!F26))+B1053)/100)*(1+(IF(Skills!A12="EIGHT_LEGS_EASTON",Inputs!$B$16+((C1040=TRUE)*(F1040-Calc!F23))+((C1044=TRUE)*(F1044-Calc!F27)),Inputs!$B$17+0))/100)*((1+(((C1034=TRUE)*F1034)+((C1041=TRUE)*(F1041-Calc!F24)))/100)*I1029)</f>
        <v/>
      </c>
      <c r="L1029">
        <f>K1029*(MIN(Inputs!$B$21+((C1039=TRUE)*(F1039-Calc!F22)),Inputs!$B$22+0)/100+(Inputs!$B$22+0)/100)/2</f>
        <v/>
      </c>
      <c r="M1029">
        <f>L1029*(1+(Inputs!$B$9+((C1042=TRUE)*(F1042-Calc!F25))+B1052)/100)</f>
        <v/>
      </c>
      <c r="N1029">
        <f>L1029*(1-MIN((Inputs!$B$8+((C1036=TRUE)*(F1036-Calc!F19))+B1047),100)/100)+M1029*(MIN((Inputs!$B$8+((C1036=TRUE)*(F1036-Calc!F19))+B1047),100)/100)</f>
        <v/>
      </c>
      <c r="O1029">
        <f>IF(C1029,H1029*N1029*IF(AND(Inputs!$B$4&lt;&gt;"pvp",Inputs!$B$35&gt;0),((Skills!G12*((R1029-1)*IF(Skills!H12&gt;0,Skills!I12/Skills!H12,1)+IF(Skills!H12&gt;0,MIN(Skills!I12,MAX(0,Inputs!$B$35-((R1029-1)*IF(Inputs!$B$4="pvp",15,MAX(0.1,Skills!D12-IF(Skills!E12=TRUE,Inputs!$B$31,0))))))/Skills!H12,1)))/Inputs!$B$35),G1029*Q1029)*IF(Inputs!$B$4="pvp",1,(1-Summary!$B$55)*(1)+Summary!$B$55*(MIN(Skills!R12,Inputs!$B$37))),0)</f>
        <v/>
      </c>
      <c r="P1029">
        <f>IF(B1055=0,0,O1029/B1055)</f>
        <v/>
      </c>
      <c r="Q1029">
        <f>IFERROR(1/IF(Inputs!$B$4="pvp",15,MAX(0.1,Skills!D12-IF(Skills!E12=TRUE,Inputs!$B$31,0))),0)</f>
        <v/>
      </c>
      <c r="R1029">
        <f>IF(AND(Inputs!$B$4&lt;&gt;"pvp",Inputs!$B$35&gt;0),(INT(Inputs!$B$35/IF(Inputs!$B$4="pvp",15,MAX(0.1,Skills!D12-IF(Skills!E12=TRUE,Inputs!$B$31,0))))+1),0)</f>
        <v/>
      </c>
      <c r="S1029">
        <f>IFERROR(O1029/N1029,0)</f>
        <v/>
      </c>
    </row>
    <row r="1030">
      <c r="A1030">
        <f>Skills!A13</f>
        <v/>
      </c>
      <c r="B1030">
        <f>Skills!B13</f>
        <v/>
      </c>
      <c r="C1030">
        <f>Inputs!$B$3&gt;=110</f>
        <v/>
      </c>
      <c r="D1030">
        <f>IF(Skills!C13=1,60+Inputs!$B$24+Inputs!$B$28,IF(Skills!C13=2,90+Inputs!$B$25+Inputs!$B$28,IF(Skills!C13=3,120+Inputs!$B$26+Inputs!$B$28,MAX(0,(Inputs!$B$3-100)*3)+Inputs!$B$27+Inputs!$B$28)))</f>
        <v/>
      </c>
      <c r="E1030">
        <f>INDEX(FactorTable!$B$2:$Y$301, MATCH(ROUND(MIN(300,MAX(1,D1030)),0), FactorTable!$A$2:$A$301,0), Skills!M13+1)</f>
        <v/>
      </c>
      <c r="F1030">
        <f>IF(Skills!N13=TRUE,(Skills!L13/10)*(E1030/1000),Skills!L13/10)+Skills!O13</f>
        <v/>
      </c>
      <c r="G1030">
        <f>Skills!G13*IF(Skills!H13&gt;0,Skills!I13/Skills!H13,1)</f>
        <v/>
      </c>
      <c r="H1030">
        <f>1-(1-Skills!J13/100)^Skills!K13</f>
        <v/>
      </c>
      <c r="I1030" t="inlineStr">
        <is>
          <t>1</t>
        </is>
      </c>
      <c r="J1030">
        <f>(Inputs!$B$5*(1+Inputs!$B$6/100))*(F1030/100)</f>
        <v/>
      </c>
      <c r="K1030">
        <f>J1030*(1+((Inputs!$B$11*(1+Inputs!$B$12/100))*0.01+Inputs!$B$13*0.0025)/100)*(1+Inputs!$B$14/100)*(1+IF(Inputs!$B$4="pvp",0,(1-Summary!$B$55)*(Inputs!$B$19+0+Skills!P13)+Summary!$B$55*(Inputs!$B$20+Skills!Q13))/100)*(1+Inputs!$B$15/100)*(5000/(6000+Inputs!$B$7*(1-(Inputs!$B$18+0)/100)))*(1+(Inputs!$B$23+((C1043=TRUE)*(F1043-Calc!F26))+B1053)/100)*(1+(IF(Skills!A13="EIGHT_LEGS_EASTON",Inputs!$B$16+((C1040=TRUE)*(F1040-Calc!F23))+((C1044=TRUE)*(F1044-Calc!F27)),Inputs!$B$17+0))/100)*((1+(((C1034=TRUE)*F1034)+((C1041=TRUE)*(F1041-Calc!F24)))/100)*I1030)</f>
        <v/>
      </c>
      <c r="L1030">
        <f>K1030*(MIN(Inputs!$B$21+((C1039=TRUE)*(F1039-Calc!F22)),Inputs!$B$22+0)/100+(Inputs!$B$22+0)/100)/2</f>
        <v/>
      </c>
      <c r="M1030">
        <f>L1030*(1+(Inputs!$B$9+((C1042=TRUE)*(F1042-Calc!F25))+B1052)/100)</f>
        <v/>
      </c>
      <c r="N1030">
        <f>L1030*(1-MIN((Inputs!$B$8+((C1036=TRUE)*(F1036-Calc!F19))+B1047),100)/100)+M1030*(MIN((Inputs!$B$8+((C1036=TRUE)*(F1036-Calc!F19))+B1047),100)/100)</f>
        <v/>
      </c>
      <c r="O1030">
        <f>IF(C1030,H1030*N1030*IF(AND(Inputs!$B$4&lt;&gt;"pvp",Inputs!$B$35&gt;0),((Skills!G13*((R1030-1)*IF(Skills!H13&gt;0,Skills!I13/Skills!H13,1)+IF(Skills!H13&gt;0,MIN(Skills!I13,MAX(0,Inputs!$B$35-((R1030-1)*IF(Inputs!$B$4="pvp",15,MAX(0.1,Skills!D13-IF(Skills!E13=TRUE,Inputs!$B$31,0))))))/Skills!H13,1)))/Inputs!$B$35),G1030*Q1030)*IF(Inputs!$B$4="pvp",1,(1-Summary!$B$55)*(1)+Summary!$B$55*(MIN(Skills!R13,Inputs!$B$37))),0)</f>
        <v/>
      </c>
      <c r="P1030">
        <f>IF(B1055=0,0,O1030/B1055)</f>
        <v/>
      </c>
      <c r="Q1030">
        <f>IFERROR(1/IF(Inputs!$B$4="pvp",15,MAX(0.1,Skills!D13-IF(Skills!E13=TRUE,Inputs!$B$31,0))),0)</f>
        <v/>
      </c>
      <c r="R1030">
        <f>IF(AND(Inputs!$B$4&lt;&gt;"pvp",Inputs!$B$35&gt;0),(INT(Inputs!$B$35/IF(Inputs!$B$4="pvp",15,MAX(0.1,Skills!D13-IF(Skills!E13=TRUE,Inputs!$B$31,0))))+1),0)</f>
        <v/>
      </c>
      <c r="S1030">
        <f>IFERROR(O1030/N1030,0)</f>
        <v/>
      </c>
    </row>
    <row r="1031">
      <c r="A1031">
        <f>Skills!A14</f>
        <v/>
      </c>
      <c r="B1031">
        <f>Skills!B14</f>
        <v/>
      </c>
      <c r="C1031">
        <f>Inputs!$B$3&gt;=125</f>
        <v/>
      </c>
      <c r="D1031">
        <f>IF(Skills!C14=1,60+Inputs!$B$24+Inputs!$B$28,IF(Skills!C14=2,90+Inputs!$B$25+Inputs!$B$28,IF(Skills!C14=3,120+Inputs!$B$26+Inputs!$B$28,MAX(0,(Inputs!$B$3-100)*3)+Inputs!$B$27+Inputs!$B$28)))</f>
        <v/>
      </c>
      <c r="E1031">
        <f>INDEX(FactorTable!$B$2:$Y$301, MATCH(ROUND(MIN(300,MAX(1,D1031)),0), FactorTable!$A$2:$A$301,0), Skills!M14+1)</f>
        <v/>
      </c>
      <c r="F1031">
        <f>IF(Skills!N14=TRUE,(Skills!L14/10)*(E1031/1000),Skills!L14/10)+Skills!O14</f>
        <v/>
      </c>
      <c r="G1031">
        <f>Skills!G14*IF(Skills!H14&gt;0,Skills!I14/Skills!H14,1)</f>
        <v/>
      </c>
      <c r="H1031">
        <f>1-(1-Skills!J14/100)^Skills!K14</f>
        <v/>
      </c>
      <c r="I1031" t="inlineStr">
        <is>
          <t>1</t>
        </is>
      </c>
      <c r="J1031">
        <f>(Inputs!$B$5*(1+Inputs!$B$6/100))*(F1031/100)</f>
        <v/>
      </c>
      <c r="K1031">
        <f>J1031*(1+((Inputs!$B$11*(1+Inputs!$B$12/100))*0.01+Inputs!$B$13*0.0025)/100)*(1+Inputs!$B$14/100)*(1+IF(Inputs!$B$4="pvp",0,(1-Summary!$B$55)*(Inputs!$B$19+0+Skills!P14)+Summary!$B$55*(Inputs!$B$20+Skills!Q14))/100)*(1+Inputs!$B$15/100)*(5000/(6000+Inputs!$B$7*(1-(Inputs!$B$18+0)/100)))*(1+(Inputs!$B$23+((C1043=TRUE)*(F1043-Calc!F26))+B1053)/100)*(1+(IF(Skills!A14="EIGHT_LEGS_EASTON",Inputs!$B$16+((C1040=TRUE)*(F1040-Calc!F23))+((C1044=TRUE)*(F1044-Calc!F27)),Inputs!$B$17+0))/100)*((1+(((C1034=TRUE)*F1034)+((C1041=TRUE)*(F1041-Calc!F24)))/100)*I1031)</f>
        <v/>
      </c>
      <c r="L1031">
        <f>K1031*(MIN(Inputs!$B$21+((C1039=TRUE)*(F1039-Calc!F22)),Inputs!$B$22+0)/100+(Inputs!$B$22+0)/100)/2</f>
        <v/>
      </c>
      <c r="M1031">
        <f>L1031*(1+(Inputs!$B$9+((C1042=TRUE)*(F1042-Calc!F25))+B1052)/100)</f>
        <v/>
      </c>
      <c r="N1031">
        <f>L1031*(1-MIN((Inputs!$B$8+((C1036=TRUE)*(F1036-Calc!F19))+B1047),100)/100)+M1031*(MIN((Inputs!$B$8+((C1036=TRUE)*(F1036-Calc!F19))+B1047),100)/100)</f>
        <v/>
      </c>
      <c r="O1031">
        <f>IF(C1031,H1031*N1031*(B1051+IF(AND(Inputs!$B$4&lt;&gt;"pvp",Inputs!$B$35&gt;0),((Skills!G8*((R1025-1)*IF(Skills!H8&gt;0,Skills!I8/Skills!H8,1)+IF(Skills!H8&gt;0,MIN(Skills!I8,MAX(0,Inputs!$B$35-((R1025-1)*IF(Inputs!$B$4="pvp",15,MAX(0.1,Skills!D8-IF(Skills!E8=TRUE,Inputs!$B$31,0))))))/Skills!H8,1)))/Inputs!$B$35),G1025*Q1025)+IF(AND(Inputs!$B$4&lt;&gt;"pvp",Inputs!$B$35&gt;0),((Skills!G11*((R1028-1)*IF(Skills!H11&gt;0,Skills!I11/Skills!H11,1)+IF(Skills!H11&gt;0,MIN(Skills!I11,MAX(0,Inputs!$B$35-((R1028-1)*IF(Inputs!$B$4="pvp",15,MAX(0.1,Skills!D11-IF(Skills!E11=TRUE,Inputs!$B$31,0))))))/Skills!H11,1)))/Inputs!$B$35),G1028*Q1028))*IF(Inputs!$B$4="pvp",1,(1-Summary!$B$55)*(1)+Summary!$B$55*(MIN(Skills!R14,Inputs!$B$37))),0)</f>
        <v/>
      </c>
      <c r="P1031">
        <f>IF(B1055=0,0,O1031/B1055)</f>
        <v/>
      </c>
      <c r="Q1031" t="n">
        <v>0</v>
      </c>
      <c r="R1031" t="n">
        <v>0</v>
      </c>
      <c r="S1031">
        <f>IFERROR(O1031/N1031,0)</f>
        <v/>
      </c>
    </row>
    <row r="1032">
      <c r="A1032">
        <f>Skills!A15</f>
        <v/>
      </c>
      <c r="B1032">
        <f>Skills!B15</f>
        <v/>
      </c>
      <c r="C1032">
        <f>Inputs!$B$3&gt;=100</f>
        <v/>
      </c>
      <c r="D1032">
        <f>IF(Skills!C15=1,60+Inputs!$B$24+Inputs!$B$28,IF(Skills!C15=2,90+Inputs!$B$25+Inputs!$B$28,IF(Skills!C15=3,120+Inputs!$B$26+Inputs!$B$28,MAX(0,(Inputs!$B$3-100)*3)+Inputs!$B$27+Inputs!$B$28)))</f>
        <v/>
      </c>
      <c r="E1032">
        <f>INDEX(FactorTable!$B$2:$Y$301, MATCH(ROUND(MIN(300,MAX(1,D1032)),0), FactorTable!$A$2:$A$301,0), Skills!M15+1)</f>
        <v/>
      </c>
      <c r="F1032">
        <f>IF(Skills!N15=TRUE,(Skills!L15/10)*(E1032/1000),Skills!L15/10)+Skills!O15</f>
        <v/>
      </c>
      <c r="G1032" t="inlineStr"/>
      <c r="H1032" t="inlineStr"/>
      <c r="I1032" t="inlineStr">
        <is>
          <t>1</t>
        </is>
      </c>
      <c r="J1032" t="inlineStr"/>
      <c r="K1032" t="inlineStr"/>
      <c r="L1032" t="inlineStr"/>
      <c r="M1032" t="inlineStr"/>
      <c r="N1032" t="inlineStr"/>
      <c r="O1032" t="inlineStr"/>
      <c r="P1032" t="inlineStr"/>
      <c r="Q1032" t="inlineStr"/>
      <c r="R1032" t="inlineStr"/>
      <c r="S1032" t="inlineStr"/>
    </row>
    <row r="1033">
      <c r="A1033">
        <f>Skills!A16</f>
        <v/>
      </c>
      <c r="B1033">
        <f>Skills!B16</f>
        <v/>
      </c>
      <c r="C1033">
        <f>Inputs!$B$3&gt;=120</f>
        <v/>
      </c>
      <c r="D1033">
        <f>IF(Skills!C16=1,60+Inputs!$B$24+Inputs!$B$28,IF(Skills!C16=2,90+Inputs!$B$25+Inputs!$B$28,IF(Skills!C16=3,120+Inputs!$B$26+Inputs!$B$28,MAX(0,(Inputs!$B$3-100)*3)+Inputs!$B$27+Inputs!$B$28)))</f>
        <v/>
      </c>
      <c r="E1033">
        <f>INDEX(FactorTable!$B$2:$Y$301, MATCH(ROUND(MIN(300,MAX(1,D1033)),0), FactorTable!$A$2:$A$301,0), Skills!M16+1)</f>
        <v/>
      </c>
      <c r="F1033">
        <f>IF(Skills!N16=TRUE,(Skills!L16/10)*(E1033/1000),Skills!L16/10)+Skills!O16</f>
        <v/>
      </c>
      <c r="G1033" t="inlineStr"/>
      <c r="H1033" t="inlineStr"/>
      <c r="I1033" t="inlineStr">
        <is>
          <t>1</t>
        </is>
      </c>
      <c r="J1033" t="inlineStr"/>
      <c r="K1033" t="inlineStr"/>
      <c r="L1033" t="inlineStr"/>
      <c r="M1033" t="inlineStr"/>
      <c r="N1033" t="inlineStr"/>
      <c r="O1033" t="inlineStr"/>
      <c r="P1033" t="inlineStr"/>
      <c r="Q1033" t="inlineStr"/>
      <c r="R1033" t="inlineStr"/>
      <c r="S1033" t="inlineStr"/>
    </row>
    <row r="1034">
      <c r="A1034">
        <f>Skills!A17</f>
        <v/>
      </c>
      <c r="B1034">
        <f>Skills!B17</f>
        <v/>
      </c>
      <c r="C1034">
        <f>Inputs!$B$3&gt;=66</f>
        <v/>
      </c>
      <c r="D1034">
        <f>IF(Skills!C17=1,60+Inputs!$B$24+Inputs!$B$28,IF(Skills!C17=2,90+Inputs!$B$25+Inputs!$B$28,IF(Skills!C17=3,120+Inputs!$B$26+Inputs!$B$28,MAX(0,(Inputs!$B$3-100)*3)+Inputs!$B$27+Inputs!$B$28)))</f>
        <v/>
      </c>
      <c r="E1034">
        <f>INDEX(FactorTable!$B$2:$Y$301, MATCH(ROUND(MIN(300,MAX(1,D1034)),0), FactorTable!$A$2:$A$301,0), Skills!M17+1)</f>
        <v/>
      </c>
      <c r="F1034">
        <f>IF(Skills!N17=TRUE,(Skills!L17/10)*(E1034/1000),Skills!L17/10)+Skills!O17</f>
        <v/>
      </c>
      <c r="G1034">
        <f>Skills!G17*IF(Skills!H17&gt;0,Skills!I17/Skills!H17,1)</f>
        <v/>
      </c>
      <c r="H1034">
        <f>1-(1-Skills!J17/100)^Skills!K17</f>
        <v/>
      </c>
      <c r="I1034" t="inlineStr">
        <is>
          <t>1</t>
        </is>
      </c>
      <c r="J1034" t="inlineStr"/>
      <c r="K1034" t="inlineStr"/>
      <c r="L1034" t="inlineStr"/>
      <c r="M1034" t="inlineStr"/>
      <c r="N1034" t="inlineStr"/>
      <c r="O1034" t="n">
        <v>0</v>
      </c>
      <c r="P1034">
        <f>IF(B1055=0,0,O1034/B1055)</f>
        <v/>
      </c>
      <c r="Q1034" t="n">
        <v>0</v>
      </c>
      <c r="R1034" t="n">
        <v>0</v>
      </c>
      <c r="S1034">
        <f>IFERROR(O1034/N1034,0)</f>
        <v/>
      </c>
    </row>
    <row r="1035">
      <c r="A1035">
        <f>Skills!A18</f>
        <v/>
      </c>
      <c r="B1035">
        <f>Skills!B18</f>
        <v/>
      </c>
      <c r="C1035">
        <f>Inputs!$B$3&gt;=115</f>
        <v/>
      </c>
      <c r="D1035">
        <f>IF(Skills!C18=1,60+Inputs!$B$24+Inputs!$B$28,IF(Skills!C18=2,90+Inputs!$B$25+Inputs!$B$28,IF(Skills!C18=3,120+Inputs!$B$26+Inputs!$B$28,MAX(0,(Inputs!$B$3-100)*3)+Inputs!$B$27+Inputs!$B$28)))</f>
        <v/>
      </c>
      <c r="E1035">
        <f>INDEX(FactorTable!$B$2:$Y$301, MATCH(ROUND(MIN(300,MAX(1,D1035)),0), FactorTable!$A$2:$A$301,0), Skills!M18+1)</f>
        <v/>
      </c>
      <c r="F1035">
        <f>IF(Skills!N18=TRUE,(Skills!L18/10)*(E1035/1000),Skills!L18/10)+Skills!O18</f>
        <v/>
      </c>
      <c r="G1035">
        <f>Skills!G18*IF(Skills!H18&gt;0,Skills!I18/Skills!H18,1)</f>
        <v/>
      </c>
      <c r="H1035">
        <f>1-(1-Skills!J18/100)^Skills!K18</f>
        <v/>
      </c>
      <c r="I1035" t="inlineStr">
        <is>
          <t>1</t>
        </is>
      </c>
      <c r="J1035" t="inlineStr"/>
      <c r="K1035" t="inlineStr"/>
      <c r="L1035" t="inlineStr"/>
      <c r="M1035" t="inlineStr"/>
      <c r="N1035" t="inlineStr"/>
      <c r="O1035" t="n">
        <v>0</v>
      </c>
      <c r="P1035">
        <f>IF(B1055=0,0,O1035/B1055)</f>
        <v/>
      </c>
      <c r="Q1035" t="n">
        <v>0</v>
      </c>
      <c r="R1035" t="n">
        <v>0</v>
      </c>
      <c r="S1035">
        <f>IFERROR(O1035/N1035,0)</f>
        <v/>
      </c>
    </row>
    <row r="1036">
      <c r="A1036">
        <f>Skills!A19</f>
        <v/>
      </c>
      <c r="B1036">
        <f>Skills!B19</f>
        <v/>
      </c>
      <c r="C1036">
        <f>Inputs!$B$3&gt;=15</f>
        <v/>
      </c>
      <c r="D1036">
        <f>IF(Skills!C19=1,60+Inputs!$B$24+Inputs!$B$28,IF(Skills!C19=2,90+Inputs!$B$25+Inputs!$B$28,IF(Skills!C19=3,120+Inputs!$B$26+Inputs!$B$28,MAX(0,(Inputs!$B$3-100)*3)+Inputs!$B$27+Inputs!$B$28)))</f>
        <v/>
      </c>
      <c r="E1036">
        <f>INDEX(FactorTable!$B$2:$Y$301, MATCH(ROUND(MIN(300,MAX(1,D1036)),0), FactorTable!$A$2:$A$301,0), Skills!M19+1)</f>
        <v/>
      </c>
      <c r="F1036">
        <f>IF(Skills!N19=TRUE,(Skills!L19/10)*(E1036/1000),Skills!L19/10)+Skills!O19</f>
        <v/>
      </c>
      <c r="G1036">
        <f>Skills!G19*IF(Skills!H19&gt;0,Skills!I19/Skills!H19,1)</f>
        <v/>
      </c>
      <c r="H1036">
        <f>1-(1-Skills!J19/100)^Skills!K19</f>
        <v/>
      </c>
      <c r="I1036" t="inlineStr">
        <is>
          <t>1</t>
        </is>
      </c>
      <c r="J1036" t="inlineStr"/>
      <c r="K1036" t="inlineStr"/>
      <c r="L1036" t="inlineStr"/>
      <c r="M1036" t="inlineStr"/>
      <c r="N1036" t="inlineStr"/>
      <c r="O1036" t="n">
        <v>0</v>
      </c>
      <c r="P1036">
        <f>IF(B1055=0,0,O1036/B1055)</f>
        <v/>
      </c>
      <c r="Q1036" t="n">
        <v>0</v>
      </c>
      <c r="R1036" t="n">
        <v>0</v>
      </c>
      <c r="S1036">
        <f>IFERROR(O1036/N1036,0)</f>
        <v/>
      </c>
    </row>
    <row r="1037">
      <c r="A1037">
        <f>Skills!A20</f>
        <v/>
      </c>
      <c r="B1037">
        <f>Skills!B20</f>
        <v/>
      </c>
      <c r="C1037">
        <f>Inputs!$B$3&gt;=10</f>
        <v/>
      </c>
      <c r="D1037">
        <f>IF(Skills!C20=1,60+Inputs!$B$24+Inputs!$B$28,IF(Skills!C20=2,90+Inputs!$B$25+Inputs!$B$28,IF(Skills!C20=3,120+Inputs!$B$26+Inputs!$B$28,MAX(0,(Inputs!$B$3-100)*3)+Inputs!$B$27+Inputs!$B$28)))</f>
        <v/>
      </c>
      <c r="E1037">
        <f>INDEX(FactorTable!$B$2:$Y$301, MATCH(ROUND(MIN(300,MAX(1,D1037)),0), FactorTable!$A$2:$A$301,0), Skills!M20+1)</f>
        <v/>
      </c>
      <c r="F1037">
        <f>IF(Skills!N20=TRUE,(Skills!L20/10)*(E1037/1000),Skills!L20/10)+Skills!O20</f>
        <v/>
      </c>
      <c r="G1037">
        <f>Skills!G20*IF(Skills!H20&gt;0,Skills!I20/Skills!H20,1)</f>
        <v/>
      </c>
      <c r="H1037">
        <f>1-(1-Skills!J20/100)^Skills!K20</f>
        <v/>
      </c>
      <c r="I1037" t="inlineStr">
        <is>
          <t>1</t>
        </is>
      </c>
      <c r="J1037" t="inlineStr"/>
      <c r="K1037" t="inlineStr"/>
      <c r="L1037" t="inlineStr"/>
      <c r="M1037" t="inlineStr"/>
      <c r="N1037" t="inlineStr"/>
      <c r="O1037" t="n">
        <v>0</v>
      </c>
      <c r="P1037">
        <f>IF(B1055=0,0,O1037/B1055)</f>
        <v/>
      </c>
      <c r="Q1037" t="n">
        <v>0</v>
      </c>
      <c r="R1037" t="n">
        <v>0</v>
      </c>
      <c r="S1037">
        <f>IFERROR(O1037/N1037,0)</f>
        <v/>
      </c>
    </row>
    <row r="1038">
      <c r="A1038">
        <f>Skills!A21</f>
        <v/>
      </c>
      <c r="B1038">
        <f>Skills!B21</f>
        <v/>
      </c>
      <c r="C1038">
        <f>Inputs!$B$3&gt;=33</f>
        <v/>
      </c>
      <c r="D1038">
        <f>IF(Skills!C21=1,60+Inputs!$B$24+Inputs!$B$28,IF(Skills!C21=2,90+Inputs!$B$25+Inputs!$B$28,IF(Skills!C21=3,120+Inputs!$B$26+Inputs!$B$28,MAX(0,(Inputs!$B$3-100)*3)+Inputs!$B$27+Inputs!$B$28)))</f>
        <v/>
      </c>
      <c r="E1038">
        <f>INDEX(FactorTable!$B$2:$Y$301, MATCH(ROUND(MIN(300,MAX(1,D1038)),0), FactorTable!$A$2:$A$301,0), Skills!M21+1)</f>
        <v/>
      </c>
      <c r="F1038">
        <f>IF(Skills!N21=TRUE,(Skills!L21/10)*(E1038/1000),Skills!L21/10)+Skills!O21</f>
        <v/>
      </c>
      <c r="G1038">
        <f>Skills!G21*IF(Skills!H21&gt;0,Skills!I21/Skills!H21,1)</f>
        <v/>
      </c>
      <c r="H1038">
        <f>1-(1-Skills!J21/100)^Skills!K21</f>
        <v/>
      </c>
      <c r="I1038" t="inlineStr">
        <is>
          <t>1</t>
        </is>
      </c>
      <c r="J1038" t="inlineStr"/>
      <c r="K1038" t="inlineStr"/>
      <c r="L1038" t="inlineStr"/>
      <c r="M1038" t="inlineStr"/>
      <c r="N1038" t="inlineStr"/>
      <c r="O1038" t="n">
        <v>0</v>
      </c>
      <c r="P1038">
        <f>IF(B1055=0,0,O1038/B1055)</f>
        <v/>
      </c>
      <c r="Q1038" t="n">
        <v>0</v>
      </c>
      <c r="R1038" t="n">
        <v>0</v>
      </c>
      <c r="S1038">
        <f>IFERROR(O1038/N1038,0)</f>
        <v/>
      </c>
    </row>
    <row r="1039">
      <c r="A1039">
        <f>Skills!A22</f>
        <v/>
      </c>
      <c r="B1039">
        <f>Skills!B22</f>
        <v/>
      </c>
      <c r="C1039">
        <f>Inputs!$B$3&gt;=43</f>
        <v/>
      </c>
      <c r="D1039">
        <f>IF(Skills!C22=1,60+Inputs!$B$24+Inputs!$B$28,IF(Skills!C22=2,90+Inputs!$B$25+Inputs!$B$28,IF(Skills!C22=3,120+Inputs!$B$26+Inputs!$B$28,MAX(0,(Inputs!$B$3-100)*3)+Inputs!$B$27+Inputs!$B$28)))</f>
        <v/>
      </c>
      <c r="E1039">
        <f>INDEX(FactorTable!$B$2:$Y$301, MATCH(ROUND(MIN(300,MAX(1,D1039)),0), FactorTable!$A$2:$A$301,0), Skills!M22+1)</f>
        <v/>
      </c>
      <c r="F1039">
        <f>IF(Skills!N22=TRUE,(Skills!L22/10)*(E1039/1000),Skills!L22/10)+Skills!O22</f>
        <v/>
      </c>
      <c r="G1039">
        <f>Skills!G22*IF(Skills!H22&gt;0,Skills!I22/Skills!H22,1)</f>
        <v/>
      </c>
      <c r="H1039">
        <f>1-(1-Skills!J22/100)^Skills!K22</f>
        <v/>
      </c>
      <c r="I1039" t="inlineStr">
        <is>
          <t>1</t>
        </is>
      </c>
      <c r="J1039" t="inlineStr"/>
      <c r="K1039" t="inlineStr"/>
      <c r="L1039" t="inlineStr"/>
      <c r="M1039" t="inlineStr"/>
      <c r="N1039" t="inlineStr"/>
      <c r="O1039" t="n">
        <v>0</v>
      </c>
      <c r="P1039">
        <f>IF(B1055=0,0,O1039/B1055)</f>
        <v/>
      </c>
      <c r="Q1039" t="n">
        <v>0</v>
      </c>
      <c r="R1039" t="n">
        <v>0</v>
      </c>
      <c r="S1039">
        <f>IFERROR(O1039/N1039,0)</f>
        <v/>
      </c>
    </row>
    <row r="1040">
      <c r="A1040">
        <f>Skills!A23</f>
        <v/>
      </c>
      <c r="B1040">
        <f>Skills!B23</f>
        <v/>
      </c>
      <c r="C1040">
        <f>Inputs!$B$3&gt;=38</f>
        <v/>
      </c>
      <c r="D1040">
        <f>IF(Skills!C23=1,60+Inputs!$B$24+Inputs!$B$28,IF(Skills!C23=2,90+Inputs!$B$25+Inputs!$B$28,IF(Skills!C23=3,120+Inputs!$B$26+Inputs!$B$28,MAX(0,(Inputs!$B$3-100)*3)+Inputs!$B$27+Inputs!$B$28)))</f>
        <v/>
      </c>
      <c r="E1040">
        <f>INDEX(FactorTable!$B$2:$Y$301, MATCH(ROUND(MIN(300,MAX(1,D1040)),0), FactorTable!$A$2:$A$301,0), Skills!M23+1)</f>
        <v/>
      </c>
      <c r="F1040">
        <f>IF(Skills!N23=TRUE,(Skills!L23/10)*(E1040/1000),Skills!L23/10)+Skills!O23</f>
        <v/>
      </c>
      <c r="G1040">
        <f>Skills!G23*IF(Skills!H23&gt;0,Skills!I23/Skills!H23,1)</f>
        <v/>
      </c>
      <c r="H1040">
        <f>1-(1-Skills!J23/100)^Skills!K23</f>
        <v/>
      </c>
      <c r="I1040" t="inlineStr">
        <is>
          <t>1</t>
        </is>
      </c>
      <c r="J1040" t="inlineStr"/>
      <c r="K1040" t="inlineStr"/>
      <c r="L1040" t="inlineStr"/>
      <c r="M1040" t="inlineStr"/>
      <c r="N1040" t="inlineStr"/>
      <c r="O1040" t="n">
        <v>0</v>
      </c>
      <c r="P1040">
        <f>IF(B1055=0,0,O1040/B1055)</f>
        <v/>
      </c>
      <c r="Q1040" t="n">
        <v>0</v>
      </c>
      <c r="R1040" t="n">
        <v>0</v>
      </c>
      <c r="S1040">
        <f>IFERROR(O1040/N1040,0)</f>
        <v/>
      </c>
    </row>
    <row r="1041">
      <c r="A1041">
        <f>Skills!A24</f>
        <v/>
      </c>
      <c r="B1041">
        <f>Skills!B24</f>
        <v/>
      </c>
      <c r="C1041">
        <f>Inputs!$B$3&gt;=40</f>
        <v/>
      </c>
      <c r="D1041">
        <f>IF(Skills!C24=1,60+Inputs!$B$24+Inputs!$B$28,IF(Skills!C24=2,90+Inputs!$B$25+Inputs!$B$28,IF(Skills!C24=3,120+Inputs!$B$26+Inputs!$B$28,MAX(0,(Inputs!$B$3-100)*3)+Inputs!$B$27+Inputs!$B$28)))</f>
        <v/>
      </c>
      <c r="E1041">
        <f>INDEX(FactorTable!$B$2:$Y$301, MATCH(ROUND(MIN(300,MAX(1,D1041)),0), FactorTable!$A$2:$A$301,0), Skills!M24+1)</f>
        <v/>
      </c>
      <c r="F1041">
        <f>IF(Skills!N24=TRUE,(Skills!L24/10)*(E1041/1000),Skills!L24/10)+Skills!O24</f>
        <v/>
      </c>
      <c r="G1041">
        <f>Skills!G24*IF(Skills!H24&gt;0,Skills!I24/Skills!H24,1)</f>
        <v/>
      </c>
      <c r="H1041">
        <f>1-(1-Skills!J24/100)^Skills!K24</f>
        <v/>
      </c>
      <c r="I1041" t="inlineStr">
        <is>
          <t>1</t>
        </is>
      </c>
      <c r="J1041" t="inlineStr"/>
      <c r="K1041" t="inlineStr"/>
      <c r="L1041" t="inlineStr"/>
      <c r="M1041" t="inlineStr"/>
      <c r="N1041" t="inlineStr"/>
      <c r="O1041" t="n">
        <v>0</v>
      </c>
      <c r="P1041">
        <f>IF(B1055=0,0,O1041/B1055)</f>
        <v/>
      </c>
      <c r="Q1041" t="n">
        <v>0</v>
      </c>
      <c r="R1041" t="n">
        <v>0</v>
      </c>
      <c r="S1041">
        <f>IFERROR(O1041/N1041,0)</f>
        <v/>
      </c>
    </row>
    <row r="1042">
      <c r="A1042">
        <f>Skills!A25</f>
        <v/>
      </c>
      <c r="B1042">
        <f>Skills!B25</f>
        <v/>
      </c>
      <c r="C1042">
        <f>Inputs!$B$3&gt;=72</f>
        <v/>
      </c>
      <c r="D1042">
        <f>IF(Skills!C25=1,60+Inputs!$B$24+Inputs!$B$28,IF(Skills!C25=2,90+Inputs!$B$25+Inputs!$B$28,IF(Skills!C25=3,120+Inputs!$B$26+Inputs!$B$28,MAX(0,(Inputs!$B$3-100)*3)+Inputs!$B$27+Inputs!$B$28)))</f>
        <v/>
      </c>
      <c r="E1042">
        <f>INDEX(FactorTable!$B$2:$Y$301, MATCH(ROUND(MIN(300,MAX(1,D1042)),0), FactorTable!$A$2:$A$301,0), Skills!M25+1)</f>
        <v/>
      </c>
      <c r="F1042">
        <f>IF(Skills!N25=TRUE,(Skills!L25/10)*(E1042/1000),Skills!L25/10)+Skills!O25</f>
        <v/>
      </c>
      <c r="G1042">
        <f>Skills!G25*IF(Skills!H25&gt;0,Skills!I25/Skills!H25,1)</f>
        <v/>
      </c>
      <c r="H1042">
        <f>1-(1-Skills!J25/100)^Skills!K25</f>
        <v/>
      </c>
      <c r="I1042" t="inlineStr">
        <is>
          <t>1</t>
        </is>
      </c>
      <c r="J1042" t="inlineStr"/>
      <c r="K1042" t="inlineStr"/>
      <c r="L1042" t="inlineStr"/>
      <c r="M1042" t="inlineStr"/>
      <c r="N1042" t="inlineStr"/>
      <c r="O1042" t="n">
        <v>0</v>
      </c>
      <c r="P1042">
        <f>IF(B1055=0,0,O1042/B1055)</f>
        <v/>
      </c>
      <c r="Q1042" t="n">
        <v>0</v>
      </c>
      <c r="R1042" t="n">
        <v>0</v>
      </c>
      <c r="S1042">
        <f>IFERROR(O1042/N1042,0)</f>
        <v/>
      </c>
    </row>
    <row r="1043">
      <c r="A1043">
        <f>Skills!A26</f>
        <v/>
      </c>
      <c r="B1043">
        <f>Skills!B26</f>
        <v/>
      </c>
      <c r="C1043">
        <f>Inputs!$B$3&gt;=75</f>
        <v/>
      </c>
      <c r="D1043">
        <f>IF(Skills!C26=1,60+Inputs!$B$24+Inputs!$B$28,IF(Skills!C26=2,90+Inputs!$B$25+Inputs!$B$28,IF(Skills!C26=3,120+Inputs!$B$26+Inputs!$B$28,MAX(0,(Inputs!$B$3-100)*3)+Inputs!$B$27+Inputs!$B$28)))</f>
        <v/>
      </c>
      <c r="E1043">
        <f>INDEX(FactorTable!$B$2:$Y$301, MATCH(ROUND(MIN(300,MAX(1,D1043)),0), FactorTable!$A$2:$A$301,0), Skills!M26+1)</f>
        <v/>
      </c>
      <c r="F1043">
        <f>IF(Skills!N26=TRUE,(Skills!L26/10)*(E1043/1000),Skills!L26/10)+Skills!O26</f>
        <v/>
      </c>
      <c r="G1043">
        <f>Skills!G26*IF(Skills!H26&gt;0,Skills!I26/Skills!H26,1)</f>
        <v/>
      </c>
      <c r="H1043">
        <f>1-(1-Skills!J26/100)^Skills!K26</f>
        <v/>
      </c>
      <c r="I1043" t="inlineStr">
        <is>
          <t>1</t>
        </is>
      </c>
      <c r="J1043" t="inlineStr"/>
      <c r="K1043" t="inlineStr"/>
      <c r="L1043" t="inlineStr"/>
      <c r="M1043" t="inlineStr"/>
      <c r="N1043" t="inlineStr"/>
      <c r="O1043" t="n">
        <v>0</v>
      </c>
      <c r="P1043">
        <f>IF(B1055=0,0,O1043/B1055)</f>
        <v/>
      </c>
      <c r="Q1043" t="n">
        <v>0</v>
      </c>
      <c r="R1043" t="n">
        <v>0</v>
      </c>
      <c r="S1043">
        <f>IFERROR(O1043/N1043,0)</f>
        <v/>
      </c>
    </row>
    <row r="1044">
      <c r="A1044">
        <f>Skills!A27</f>
        <v/>
      </c>
      <c r="B1044">
        <f>Skills!B27</f>
        <v/>
      </c>
      <c r="C1044">
        <f>Inputs!$B$3&gt;=117</f>
        <v/>
      </c>
      <c r="D1044">
        <f>IF(Skills!C27=1,60+Inputs!$B$24+Inputs!$B$28,IF(Skills!C27=2,90+Inputs!$B$25+Inputs!$B$28,IF(Skills!C27=3,120+Inputs!$B$26+Inputs!$B$28,MAX(0,(Inputs!$B$3-100)*3)+Inputs!$B$27+Inputs!$B$28)))</f>
        <v/>
      </c>
      <c r="E1044">
        <f>INDEX(FactorTable!$B$2:$Y$301, MATCH(ROUND(MIN(300,MAX(1,D1044)),0), FactorTable!$A$2:$A$301,0), Skills!M27+1)</f>
        <v/>
      </c>
      <c r="F1044">
        <f>IF(Skills!N27=TRUE,(Skills!L27/10)*(E1044/1000),Skills!L27/10)+Skills!O27</f>
        <v/>
      </c>
      <c r="G1044">
        <f>Skills!G27*IF(Skills!H27&gt;0,Skills!I27/Skills!H27,1)</f>
        <v/>
      </c>
      <c r="H1044">
        <f>1-(1-Skills!J27/100)^Skills!K27</f>
        <v/>
      </c>
      <c r="I1044" t="inlineStr">
        <is>
          <t>1</t>
        </is>
      </c>
      <c r="J1044" t="inlineStr"/>
      <c r="K1044" t="inlineStr"/>
      <c r="L1044" t="inlineStr"/>
      <c r="M1044" t="inlineStr"/>
      <c r="N1044" t="inlineStr"/>
      <c r="O1044" t="n">
        <v>0</v>
      </c>
      <c r="P1044">
        <f>IF(B1055=0,0,O1044/B1055)</f>
        <v/>
      </c>
      <c r="Q1044" t="n">
        <v>0</v>
      </c>
      <c r="R1044" t="n">
        <v>0</v>
      </c>
      <c r="S1044">
        <f>IFERROR(O1044/N1044,0)</f>
        <v/>
      </c>
    </row>
    <row r="1046">
      <c r="A1046" t="inlineStr">
        <is>
          <t>Attack% Bucket Multiplier</t>
        </is>
      </c>
      <c r="B1046">
        <f>(1+(((C1034=TRUE)*F1034)+((C1041=TRUE)*(F1041-Calc!F24)))/100)</f>
        <v/>
      </c>
    </row>
    <row r="1047">
      <c r="A1047" t="inlineStr">
        <is>
          <t>Global Crit Rate Bonus %</t>
        </is>
      </c>
      <c r="B1047" t="n">
        <v>0</v>
      </c>
    </row>
    <row r="1048">
      <c r="A1048" t="inlineStr">
        <is>
          <t>Attack Speed Buff Bonus % (unused)</t>
        </is>
      </c>
      <c r="B1048" t="n">
        <v>0</v>
      </c>
    </row>
    <row r="1049">
      <c r="A1049" t="inlineStr">
        <is>
          <t>Actions Per Second</t>
        </is>
      </c>
      <c r="B1049">
        <f>1+MIN(150,150*(1-(1-(Inputs!$B$10+((C1037=TRUE)*(F1037-Calc!F20))+((C1038=TRUE)*(F1038-Calc!F21)))/150)*(1-B1048/150)))/100</f>
        <v/>
      </c>
    </row>
    <row r="1050">
      <c r="A1050" t="inlineStr">
        <is>
          <t>Skill + Buff Cast Rate</t>
        </is>
      </c>
      <c r="B1050">
        <f>IF(AND(Inputs!$B$4&lt;&gt;"pvp",Inputs!$B$35&gt;0),SUMPRODUCT((Skills!E2:E27=TRUE)*(C1019:C1044=TRUE)*R1019:R1044*Skills!F2:F27)/Inputs!$B$35,SUMPRODUCT((Skills!E2:E27=TRUE)*(C1019:C1044=TRUE)*Q1019:Q1044*Skills!F2:F27))</f>
        <v/>
      </c>
    </row>
    <row r="1051">
      <c r="A1051" t="inlineStr">
        <is>
          <t>Eight-Legs Easton Casts Per Second</t>
        </is>
      </c>
      <c r="B1051">
        <f>MAX(0,B1049-B1050)</f>
        <v/>
      </c>
    </row>
    <row r="1052">
      <c r="A1052" t="inlineStr">
        <is>
          <t>Global Critical Damage Bonus % (unused)</t>
        </is>
      </c>
      <c r="B1052" t="n">
        <v>0</v>
      </c>
    </row>
    <row r="1053">
      <c r="A1053" t="inlineStr">
        <is>
          <t>Global Final Damage Bonus % (Jolly Roger only)</t>
        </is>
      </c>
      <c r="B1053">
        <f>((C1035=TRUE)*F1035)</f>
        <v/>
      </c>
    </row>
    <row r="1055">
      <c r="A1055" s="5" t="inlineStr">
        <is>
          <t>TOTAL DPS</t>
        </is>
      </c>
      <c r="B1055" s="5">
        <f>SUM(O1019:O1044)</f>
        <v/>
      </c>
    </row>
    <row r="1058">
      <c r="A1058" s="5" t="inlineStr">
        <is>
          <t>Stat: Buff Duration Increase %</t>
        </is>
      </c>
    </row>
    <row r="1059">
      <c r="A1059" s="8" t="inlineStr">
        <is>
          <t>Key</t>
        </is>
      </c>
      <c r="B1059" s="8" t="inlineStr">
        <is>
          <t>Name</t>
        </is>
      </c>
      <c r="C1059" s="8" t="inlineStr">
        <is>
          <t>Unlocked</t>
        </is>
      </c>
      <c r="D1059" s="8" t="inlineStr">
        <is>
          <t>InputLevel</t>
        </is>
      </c>
      <c r="E1059" s="8" t="inlineStr">
        <is>
          <t>Factor</t>
        </is>
      </c>
      <c r="F1059" s="8" t="inlineStr">
        <is>
          <t>CoefficientPercent</t>
        </is>
      </c>
      <c r="G1059" s="8" t="inlineStr">
        <is>
          <t>EffectiveHits</t>
        </is>
      </c>
      <c r="H1059" s="8" t="inlineStr">
        <is>
          <t>ProcProbability</t>
        </is>
      </c>
      <c r="I1059" s="8" t="inlineStr">
        <is>
          <t>MapleHeroMultiplier</t>
        </is>
      </c>
      <c r="J1059" s="8" t="inlineStr">
        <is>
          <t>BaseDamage</t>
        </is>
      </c>
      <c r="K1059" s="8" t="inlineStr">
        <is>
          <t>BaseHitDamage</t>
        </is>
      </c>
      <c r="L1059" s="8" t="inlineStr">
        <is>
          <t>NonCritAvg</t>
        </is>
      </c>
      <c r="M1059" s="8" t="inlineStr">
        <is>
          <t>CritAvg</t>
        </is>
      </c>
      <c r="N1059" s="8" t="inlineStr">
        <is>
          <t>ExpectedDamage(perHit)</t>
        </is>
      </c>
      <c r="O1059" s="8" t="inlineStr">
        <is>
          <t>DPS</t>
        </is>
      </c>
      <c r="P1059" s="8" t="inlineStr">
        <is>
          <t>% of Total</t>
        </is>
      </c>
      <c r="Q1059" s="8" t="inlineStr">
        <is>
          <t>InvCooldown</t>
        </is>
      </c>
      <c r="R1059" s="8" t="inlineStr">
        <is>
          <t>CastsInFight</t>
        </is>
      </c>
      <c r="S1059" s="8" t="inlineStr">
        <is>
          <t>HitRate(perSec)</t>
        </is>
      </c>
      <c r="U1059" t="inlineStr">
        <is>
          <t>helpers</t>
        </is>
      </c>
    </row>
    <row r="1060">
      <c r="A1060">
        <f>Skills!A2</f>
        <v/>
      </c>
      <c r="B1060">
        <f>Skills!B2</f>
        <v/>
      </c>
      <c r="C1060">
        <f>Inputs!$B$3&gt;=100</f>
        <v/>
      </c>
      <c r="D1060" t="inlineStr"/>
      <c r="E1060" t="inlineStr"/>
      <c r="F1060">
        <f>U1062+Skills!O2</f>
        <v/>
      </c>
      <c r="G1060">
        <f>Skills!G2*IF(Skills!H2&gt;0,Skills!I2/Skills!H2,1)</f>
        <v/>
      </c>
      <c r="H1060">
        <f>1-(1-Skills!J2/100)^Skills!K2</f>
        <v/>
      </c>
      <c r="I1060" t="inlineStr">
        <is>
          <t>1</t>
        </is>
      </c>
      <c r="J1060">
        <f>(Inputs!$B$5*(1+Inputs!$B$6/100))*(F1060/100)</f>
        <v/>
      </c>
      <c r="K1060">
        <f>J1060*(1+((Inputs!$B$11*(1+Inputs!$B$12/100))*0.01+Inputs!$B$13*0.0025)/100)*(1+Inputs!$B$14/100)*(1+IF(Inputs!$B$4="pvp",0,(1-Summary!$B$55)*(Inputs!$B$19+0+Skills!P2)+Summary!$B$55*(Inputs!$B$20+Skills!Q2))/100)*(1+Inputs!$B$15/100)*(5000/(6000+Inputs!$B$7*(1-(Inputs!$B$18+0)/100)))*(1+(Inputs!$B$23+((C1084=TRUE)*(F1084-Calc!F26))+B1094)/100)*(1+(IF(Skills!A2="EIGHT_LEGS_EASTON",Inputs!$B$16+((C1081=TRUE)*(F1081-Calc!F23))+((C1085=TRUE)*(F1085-Calc!F27)),Inputs!$B$17+0))/100)*((1+(((C1075=TRUE)*F1075)+((C1082=TRUE)*(F1082-Calc!F24)))/100)*I1060)</f>
        <v/>
      </c>
      <c r="L1060">
        <f>K1060*(MIN(Inputs!$B$21+((C1080=TRUE)*(F1080-Calc!F22)),Inputs!$B$22+0)/100+(Inputs!$B$22+0)/100)/2</f>
        <v/>
      </c>
      <c r="M1060">
        <f>L1060*(1+(Inputs!$B$9+((C1083=TRUE)*(F1083-Calc!F25))+B1093)/100)</f>
        <v/>
      </c>
      <c r="N1060">
        <f>L1060*(1-MIN((Inputs!$B$8+((C1077=TRUE)*(F1077-Calc!F19))+B1088),100)/100)+M1060*(MIN((Inputs!$B$8+((C1077=TRUE)*(F1077-Calc!F19))+B1088),100)/100)</f>
        <v/>
      </c>
      <c r="O1060">
        <f>IF(C1060,Skills!G2*N1060*B1092*IF(Inputs!$B$4="pvp",1,(1-Summary!$B$55)*(1)+Summary!$B$55*(MIN((6+Inputs!$B$32),Inputs!$B$37))),0)</f>
        <v/>
      </c>
      <c r="P1060">
        <f>IF(B1096=0,0,O1060/B1096)</f>
        <v/>
      </c>
      <c r="Q1060" t="n">
        <v>0</v>
      </c>
      <c r="R1060" t="n">
        <v>0</v>
      </c>
      <c r="S1060">
        <f>IFERROR(O1060/N1060,0)</f>
        <v/>
      </c>
      <c r="U1060">
        <f>MAX(0,(Inputs!$B$3-100)*3)+Inputs!$B$27+Inputs!$B$28</f>
        <v/>
      </c>
    </row>
    <row r="1061">
      <c r="A1061">
        <f>Skills!A3</f>
        <v/>
      </c>
      <c r="B1061">
        <f>Skills!B3</f>
        <v/>
      </c>
      <c r="C1061">
        <f>Inputs!$B$3&gt;=35</f>
        <v/>
      </c>
      <c r="D1061">
        <f>IF(Skills!C3=1,60+Inputs!$B$24+Inputs!$B$28,IF(Skills!C3=2,90+Inputs!$B$25+Inputs!$B$28,IF(Skills!C3=3,120+Inputs!$B$26+Inputs!$B$28,MAX(0,(Inputs!$B$3-100)*3)+Inputs!$B$27+Inputs!$B$28)))</f>
        <v/>
      </c>
      <c r="E1061">
        <f>INDEX(FactorTable!$B$2:$Y$301, MATCH(ROUND(MIN(300,MAX(1,D1061)),0), FactorTable!$A$2:$A$301,0), Skills!M3+1)</f>
        <v/>
      </c>
      <c r="F1061">
        <f>IF(Skills!N3=TRUE,(Skills!L3/10)*(E1061/1000),Skills!L3/10)+Skills!O3</f>
        <v/>
      </c>
      <c r="G1061">
        <f>Skills!G3*IF(Skills!H3&gt;0,Skills!I3/Skills!H3,1)</f>
        <v/>
      </c>
      <c r="H1061">
        <f>1-(1-Skills!J3/100)^Skills!K3</f>
        <v/>
      </c>
      <c r="I1061" t="inlineStr">
        <is>
          <t>1</t>
        </is>
      </c>
      <c r="J1061">
        <f>(Inputs!$B$5*(1+Inputs!$B$6/100))*(F1061/100)</f>
        <v/>
      </c>
      <c r="K1061">
        <f>J1061*(1+((Inputs!$B$11*(1+Inputs!$B$12/100))*0.01+Inputs!$B$13*0.0025)/100)*(1+Inputs!$B$14/100)*(1+IF(Inputs!$B$4="pvp",0,(1-Summary!$B$55)*(Inputs!$B$19+0+Skills!P3)+Summary!$B$55*(Inputs!$B$20+Skills!Q3))/100)*(1+Inputs!$B$15/100)*(5000/(6000+Inputs!$B$7*(1-(Inputs!$B$18+0)/100)))*(1+(Inputs!$B$23+((C1084=TRUE)*(F1084-Calc!F26))+B1094)/100)*(1+4.0*IF(C1073=TRUE,F1073,0)/100)*(1+(IF(Skills!A3="EIGHT_LEGS_EASTON",Inputs!$B$16+((C1081=TRUE)*(F1081-Calc!F23))+((C1085=TRUE)*(F1085-Calc!F27)),Inputs!$B$17+0))/100)*((1+(((C1075=TRUE)*F1075)+((C1082=TRUE)*(F1082-Calc!F24)))/100)*I1061)</f>
        <v/>
      </c>
      <c r="L1061">
        <f>K1061*(MIN(Inputs!$B$21+((C1080=TRUE)*(F1080-Calc!F22)),Inputs!$B$22+0)/100+(Inputs!$B$22+0)/100)/2</f>
        <v/>
      </c>
      <c r="M1061">
        <f>L1061*(1+(Inputs!$B$9+((C1083=TRUE)*(F1083-Calc!F25))+B1093)/100)</f>
        <v/>
      </c>
      <c r="N1061">
        <f>L1061*(1-MIN((Inputs!$B$8+((C1077=TRUE)*(F1077-Calc!F19))+B1088),100)/100)+M1061*(MIN((Inputs!$B$8+((C1077=TRUE)*(F1077-Calc!F19))+B1088),100)/100)</f>
        <v/>
      </c>
      <c r="O1061">
        <f>IF(C1061,H1061*N1061*IF(AND(Inputs!$B$4&lt;&gt;"pvp",Inputs!$B$35&gt;0),((Skills!G3*((R1061-1)*IF(Skills!H3&gt;0,Skills!I3/Skills!H3,1)+IF(Skills!H3&gt;0,MIN(Skills!I3,MAX(0,Inputs!$B$35-((R1061-1)*IF(Inputs!$B$4="pvp",15,MAX(0.1,Skills!D3-IF(Skills!E3=TRUE,Inputs!$B$31,0))))))/Skills!H3,1)))/Inputs!$B$35),G1061*Q1061)*IF(Inputs!$B$4="pvp",1,(1-Summary!$B$55)*(1)+Summary!$B$55*(MIN(Skills!R3,Inputs!$B$37))),0)</f>
        <v/>
      </c>
      <c r="P1061">
        <f>IF(B1096=0,0,O1061/B1096)</f>
        <v/>
      </c>
      <c r="Q1061">
        <f>IFERROR(1/IF(Inputs!$B$4="pvp",15,MAX(0.1,Skills!D3-IF(Skills!E3=TRUE,Inputs!$B$31,0))),0)</f>
        <v/>
      </c>
      <c r="R1061">
        <f>IF(AND(Inputs!$B$4&lt;&gt;"pvp",Inputs!$B$35&gt;0),(INT(Inputs!$B$35/IF(Inputs!$B$4="pvp",15,MAX(0.1,Skills!D3-IF(Skills!E3=TRUE,Inputs!$B$31,0))))+1),0)</f>
        <v/>
      </c>
      <c r="S1061">
        <f>IFERROR(O1061/N1061,0)</f>
        <v/>
      </c>
      <c r="U1061">
        <f>INDEX(FactorTable!$B$2:$Y$301, MATCH(ROUND(MIN(300,MAX(1,U1060)),0), FactorTable!$A$2:$A$301,0), 22)</f>
        <v/>
      </c>
    </row>
    <row r="1062">
      <c r="A1062">
        <f>Skills!A4</f>
        <v/>
      </c>
      <c r="B1062">
        <f>Skills!B4</f>
        <v/>
      </c>
      <c r="C1062">
        <f>Inputs!$B$3&gt;=40</f>
        <v/>
      </c>
      <c r="D1062">
        <f>IF(Skills!C4=1,60+Inputs!$B$24+Inputs!$B$28,IF(Skills!C4=2,90+Inputs!$B$25+Inputs!$B$28,IF(Skills!C4=3,120+Inputs!$B$26+Inputs!$B$28,MAX(0,(Inputs!$B$3-100)*3)+Inputs!$B$27+Inputs!$B$28)))</f>
        <v/>
      </c>
      <c r="E1062">
        <f>INDEX(FactorTable!$B$2:$Y$301, MATCH(ROUND(MIN(300,MAX(1,D1062)),0), FactorTable!$A$2:$A$301,0), Skills!M4+1)</f>
        <v/>
      </c>
      <c r="F1062">
        <f>IF(Skills!N4=TRUE,(Skills!L4/10)*(E1062/1000),Skills!L4/10)+Skills!O4</f>
        <v/>
      </c>
      <c r="G1062">
        <f>Skills!G4*IF(Skills!H4&gt;0,Skills!I4/Skills!H4,1)</f>
        <v/>
      </c>
      <c r="H1062">
        <f>1-(1-Skills!J4/100)^Skills!K4</f>
        <v/>
      </c>
      <c r="I1062" t="inlineStr">
        <is>
          <t>1</t>
        </is>
      </c>
      <c r="J1062">
        <f>(Inputs!$B$5*(1+Inputs!$B$6/100))*(F1062/100)</f>
        <v/>
      </c>
      <c r="K1062">
        <f>J1062*(1+((Inputs!$B$11*(1+Inputs!$B$12/100))*0.01+Inputs!$B$13*0.0025)/100)*(1+Inputs!$B$14/100)*(1+IF(Inputs!$B$4="pvp",0,(1-Summary!$B$55)*(Inputs!$B$19+0+Skills!P4)+Summary!$B$55*(Inputs!$B$20+Skills!Q4))/100)*(1+Inputs!$B$15/100)*(5000/(6000+Inputs!$B$7*(1-(Inputs!$B$18+0)/100)))*(1+(Inputs!$B$23+((C1084=TRUE)*(F1084-Calc!F26))+B1094)/100)*(1+1.0*IF(C1074=TRUE,F1074,0)/100)*(1+(IF(Skills!A4="EIGHT_LEGS_EASTON",Inputs!$B$16+((C1081=TRUE)*(F1081-Calc!F23))+((C1085=TRUE)*(F1085-Calc!F27)),Inputs!$B$17+0))/100)*((1+(((C1075=TRUE)*F1075)+((C1082=TRUE)*(F1082-Calc!F24)))/100)*I1062)</f>
        <v/>
      </c>
      <c r="L1062">
        <f>K1062*(MIN(Inputs!$B$21+((C1080=TRUE)*(F1080-Calc!F22)),Inputs!$B$22+0)/100+(Inputs!$B$22+0)/100)/2</f>
        <v/>
      </c>
      <c r="M1062">
        <f>L1062*(1+(Inputs!$B$9+((C1083=TRUE)*(F1083-Calc!F25))+B1093)/100)</f>
        <v/>
      </c>
      <c r="N1062">
        <f>L1062*(1-MIN((Inputs!$B$8+((C1077=TRUE)*(F1077-Calc!F19))+B1088),100)/100)+M1062*(MIN((Inputs!$B$8+((C1077=TRUE)*(F1077-Calc!F19))+B1088),100)/100)</f>
        <v/>
      </c>
      <c r="O1062">
        <f>IF(C1062,H1062*N1062*IF(AND(Inputs!$B$4&lt;&gt;"pvp",Inputs!$B$35&gt;0),((Skills!G4*((R1062-1)*IF(Skills!H4&gt;0,Skills!I4/Skills!H4,1)+IF(Skills!H4&gt;0,MIN(Skills!I4,MAX(0,Inputs!$B$35-((R1062-1)*IF(Inputs!$B$4="pvp",15,MAX(0.1,Skills!D4-IF(Skills!E4=TRUE,Inputs!$B$31,0))))))/Skills!H4,1)))/Inputs!$B$35),G1062*Q1062)*IF(Inputs!$B$4="pvp",1,(1-Summary!$B$55)*(1)+Summary!$B$55*(MIN(Skills!R4,Inputs!$B$37))),0)</f>
        <v/>
      </c>
      <c r="P1062">
        <f>IF(B1096=0,0,O1062/B1096)</f>
        <v/>
      </c>
      <c r="Q1062">
        <f>IFERROR(1/IF(Inputs!$B$4="pvp",15,MAX(0.1,Skills!D4-IF(Skills!E4=TRUE,Inputs!$B$31,0))),0)</f>
        <v/>
      </c>
      <c r="R1062">
        <f>IF(AND(Inputs!$B$4&lt;&gt;"pvp",Inputs!$B$35&gt;0),(INT(Inputs!$B$35/IF(Inputs!$B$4="pvp",15,MAX(0.1,Skills!D4-IF(Skills!E4=TRUE,Inputs!$B$31,0))))+1),0)</f>
        <v/>
      </c>
      <c r="S1062">
        <f>IFERROR(O1062/N1062,0)</f>
        <v/>
      </c>
      <c r="U1062">
        <f>290*U1061/1000</f>
        <v/>
      </c>
    </row>
    <row r="1063">
      <c r="A1063">
        <f>Skills!A5</f>
        <v/>
      </c>
      <c r="B1063">
        <f>Skills!B5</f>
        <v/>
      </c>
      <c r="C1063">
        <f>Inputs!$B$3&gt;=45</f>
        <v/>
      </c>
      <c r="D1063">
        <f>IF(Skills!C5=1,60+Inputs!$B$24+Inputs!$B$28,IF(Skills!C5=2,90+Inputs!$B$25+Inputs!$B$28,IF(Skills!C5=3,120+Inputs!$B$26+Inputs!$B$28,MAX(0,(Inputs!$B$3-100)*3)+Inputs!$B$27+Inputs!$B$28)))</f>
        <v/>
      </c>
      <c r="E1063">
        <f>INDEX(FactorTable!$B$2:$Y$301, MATCH(ROUND(MIN(300,MAX(1,D1063)),0), FactorTable!$A$2:$A$301,0), Skills!M5+1)</f>
        <v/>
      </c>
      <c r="F1063">
        <f>IF(Skills!N5=TRUE,(Skills!L5/10)*(E1063/1000),Skills!L5/10)+Skills!O5</f>
        <v/>
      </c>
      <c r="G1063">
        <f>Skills!G5*IF(Skills!H5&gt;0,Skills!I5/Skills!H5,1)</f>
        <v/>
      </c>
      <c r="H1063">
        <f>1-(1-Skills!J5/100)^Skills!K5</f>
        <v/>
      </c>
      <c r="I1063" t="inlineStr">
        <is>
          <t>1</t>
        </is>
      </c>
      <c r="J1063">
        <f>(Inputs!$B$5*(1+Inputs!$B$6/100))*(F1063/100)</f>
        <v/>
      </c>
      <c r="K1063">
        <f>J1063*(1+((Inputs!$B$11*(1+Inputs!$B$12/100))*0.01+Inputs!$B$13*0.0025)/100)*(1+Inputs!$B$14/100)*(1+IF(Inputs!$B$4="pvp",0,(1-Summary!$B$55)*(Inputs!$B$19+0+Skills!P5)+Summary!$B$55*(Inputs!$B$20+Skills!Q5))/100)*(1+Inputs!$B$15/100)*(5000/(6000+Inputs!$B$7*(1-(Inputs!$B$18+0)/100)))*(1+(Inputs!$B$23+((C1084=TRUE)*(F1084-Calc!F26))+B1094)/100)*(1+0.4*IF(C1074=TRUE,F1074,0)/100)*(1+(IF(Skills!A5="EIGHT_LEGS_EASTON",Inputs!$B$16+((C1081=TRUE)*(F1081-Calc!F23))+((C1085=TRUE)*(F1085-Calc!F27)),Inputs!$B$17+0))/100)*((1+(((C1075=TRUE)*F1075)+((C1082=TRUE)*(F1082-Calc!F24)))/100)*I1063)</f>
        <v/>
      </c>
      <c r="L1063">
        <f>K1063*(MIN(Inputs!$B$21+((C1080=TRUE)*(F1080-Calc!F22)),Inputs!$B$22+0)/100+(Inputs!$B$22+0)/100)/2</f>
        <v/>
      </c>
      <c r="M1063">
        <f>L1063*(1+(Inputs!$B$9+((C1083=TRUE)*(F1083-Calc!F25))+B1093)/100)</f>
        <v/>
      </c>
      <c r="N1063">
        <f>L1063*(1-MIN((Inputs!$B$8+((C1077=TRUE)*(F1077-Calc!F19))+B1088),100)/100)+M1063*(MIN((Inputs!$B$8+((C1077=TRUE)*(F1077-Calc!F19))+B1088),100)/100)</f>
        <v/>
      </c>
      <c r="O1063">
        <f>IF(C1063,H1063*N1063*IF(AND(Inputs!$B$4&lt;&gt;"pvp",Inputs!$B$35&gt;0),((Skills!G5*((R1063-1)*IF(Skills!H5&gt;0,Skills!I5/Skills!H5,1)+IF(Skills!H5&gt;0,MIN(Skills!I5,MAX(0,Inputs!$B$35-((R1063-1)*IF(Inputs!$B$4="pvp",15,MAX(0.1,Skills!D5-IF(Skills!E5=TRUE,Inputs!$B$31,0))))))/Skills!H5,1)))/Inputs!$B$35),G1063*Q1063)*IF(Inputs!$B$4="pvp",1,(1-Summary!$B$55)*(1)+Summary!$B$55*(MIN(Skills!R5,Inputs!$B$37))),0)</f>
        <v/>
      </c>
      <c r="P1063">
        <f>IF(B1096=0,0,O1063/B1096)</f>
        <v/>
      </c>
      <c r="Q1063">
        <f>IFERROR(1/IF(Inputs!$B$4="pvp",15,MAX(0.1,Skills!D5-IF(Skills!E5=TRUE,Inputs!$B$31,0))),0)</f>
        <v/>
      </c>
      <c r="R1063">
        <f>IF(AND(Inputs!$B$4&lt;&gt;"pvp",Inputs!$B$35&gt;0),(INT(Inputs!$B$35/IF(Inputs!$B$4="pvp",15,MAX(0.1,Skills!D5-IF(Skills!E5=TRUE,Inputs!$B$31,0))))+1),0)</f>
        <v/>
      </c>
      <c r="S1063">
        <f>IFERROR(O1063/N1063,0)</f>
        <v/>
      </c>
    </row>
    <row r="1064">
      <c r="A1064">
        <f>Skills!A6</f>
        <v/>
      </c>
      <c r="B1064">
        <f>Skills!B6</f>
        <v/>
      </c>
      <c r="C1064">
        <f>Inputs!$B$3&gt;=63</f>
        <v/>
      </c>
      <c r="D1064">
        <f>IF(Skills!C6=1,60+Inputs!$B$24+Inputs!$B$28,IF(Skills!C6=2,90+Inputs!$B$25+Inputs!$B$28,IF(Skills!C6=3,120+Inputs!$B$26+Inputs!$B$28,MAX(0,(Inputs!$B$3-100)*3)+Inputs!$B$27+Inputs!$B$28)))</f>
        <v/>
      </c>
      <c r="E1064">
        <f>INDEX(FactorTable!$B$2:$Y$301, MATCH(ROUND(MIN(300,MAX(1,D1064)),0), FactorTable!$A$2:$A$301,0), Skills!M6+1)</f>
        <v/>
      </c>
      <c r="F1064">
        <f>IF(Skills!N6=TRUE,(Skills!L6/10)*(E1064/1000),Skills!L6/10)+Skills!O6</f>
        <v/>
      </c>
      <c r="G1064">
        <f>Skills!G6*IF(Skills!H6&gt;0,Skills!I6/Skills!H6,1)</f>
        <v/>
      </c>
      <c r="H1064">
        <f>1-(1-Skills!J6/100)^Skills!K6</f>
        <v/>
      </c>
      <c r="I1064" t="inlineStr">
        <is>
          <t>1</t>
        </is>
      </c>
      <c r="J1064">
        <f>(Inputs!$B$5*(1+Inputs!$B$6/100))*(F1064/100)</f>
        <v/>
      </c>
      <c r="K1064">
        <f>J1064*(1+((Inputs!$B$11*(1+Inputs!$B$12/100))*0.01+Inputs!$B$13*0.0025)/100)*(1+Inputs!$B$14/100)*(1+IF(Inputs!$B$4="pvp",0,(1-Summary!$B$55)*(Inputs!$B$19+0+Skills!P6)+Summary!$B$55*(Inputs!$B$20+Skills!Q6))/100)*(1+Inputs!$B$15/100)*(5000/(6000+Inputs!$B$7*(1-(Inputs!$B$18+0)/100)))*(1+(Inputs!$B$23+((C1084=TRUE)*(F1084-Calc!F26))+B1094)/100)*(1+2.0*IF(C1073=TRUE,F1073,0)/100)*(1+(IF(Skills!A6="EIGHT_LEGS_EASTON",Inputs!$B$16+((C1081=TRUE)*(F1081-Calc!F23))+((C1085=TRUE)*(F1085-Calc!F27)),Inputs!$B$17+0))/100)*((1+(((C1075=TRUE)*F1075)+((C1082=TRUE)*(F1082-Calc!F24)))/100)*I1064)</f>
        <v/>
      </c>
      <c r="L1064">
        <f>K1064*(MIN(Inputs!$B$21+((C1080=TRUE)*(F1080-Calc!F22)),Inputs!$B$22+0)/100+(Inputs!$B$22+0)/100)/2</f>
        <v/>
      </c>
      <c r="M1064">
        <f>L1064*(1+(Inputs!$B$9+((C1083=TRUE)*(F1083-Calc!F25))+B1093)/100)</f>
        <v/>
      </c>
      <c r="N1064">
        <f>L1064*(1-MIN((Inputs!$B$8+((C1077=TRUE)*(F1077-Calc!F19))+B1088),100)/100)+M1064*(MIN((Inputs!$B$8+((C1077=TRUE)*(F1077-Calc!F19))+B1088),100)/100)</f>
        <v/>
      </c>
      <c r="O1064">
        <f>IF(C1064,H1064*N1064*IF(AND(Inputs!$B$4&lt;&gt;"pvp",Inputs!$B$35&gt;0),((Skills!G6*((R1064-1)*IF(Skills!H6&gt;0,Skills!I6/Skills!H6,1)+IF(Skills!H6&gt;0,MIN(Skills!I6,MAX(0,Inputs!$B$35-((R1064-1)*IF(Inputs!$B$4="pvp",15,MAX(0.1,Skills!D6-IF(Skills!E6=TRUE,Inputs!$B$31,0))))))/Skills!H6,1)))/Inputs!$B$35),G1064*Q1064)*IF(Inputs!$B$4="pvp",1,(1-Summary!$B$55)*(1)+Summary!$B$55*(MIN(Skills!R6,Inputs!$B$37))),0)</f>
        <v/>
      </c>
      <c r="P1064">
        <f>IF(B1096=0,0,O1064/B1096)</f>
        <v/>
      </c>
      <c r="Q1064">
        <f>IFERROR(1/IF(Inputs!$B$4="pvp",15,MAX(0.1,Skills!D6-IF(Skills!E6=TRUE,Inputs!$B$31,0))),0)</f>
        <v/>
      </c>
      <c r="R1064">
        <f>IF(AND(Inputs!$B$4&lt;&gt;"pvp",Inputs!$B$35&gt;0),(INT(Inputs!$B$35/IF(Inputs!$B$4="pvp",15,MAX(0.1,Skills!D6-IF(Skills!E6=TRUE,Inputs!$B$31,0))))+1),0)</f>
        <v/>
      </c>
      <c r="S1064">
        <f>IFERROR(O1064/N1064,0)</f>
        <v/>
      </c>
    </row>
    <row r="1065">
      <c r="A1065">
        <f>Skills!A7</f>
        <v/>
      </c>
      <c r="B1065">
        <f>Skills!B7</f>
        <v/>
      </c>
      <c r="C1065">
        <f>Inputs!$B$3&gt;=66</f>
        <v/>
      </c>
      <c r="D1065">
        <f>IF(Skills!C7=1,60+Inputs!$B$24+Inputs!$B$28,IF(Skills!C7=2,90+Inputs!$B$25+Inputs!$B$28,IF(Skills!C7=3,120+Inputs!$B$26+Inputs!$B$28,MAX(0,(Inputs!$B$3-100)*3)+Inputs!$B$27+Inputs!$B$28)))</f>
        <v/>
      </c>
      <c r="E1065">
        <f>INDEX(FactorTable!$B$2:$Y$301, MATCH(ROUND(MIN(300,MAX(1,D1065)),0), FactorTable!$A$2:$A$301,0), Skills!M7+1)</f>
        <v/>
      </c>
      <c r="F1065">
        <f>IF(Skills!N7=TRUE,(Skills!L7/10)*(E1065/1000),Skills!L7/10)+Skills!O7</f>
        <v/>
      </c>
      <c r="G1065">
        <f>Skills!G7*IF(Skills!H7&gt;0,Skills!I7/Skills!H7,1)</f>
        <v/>
      </c>
      <c r="H1065">
        <f>1-(1-Skills!J7/100)^Skills!K7</f>
        <v/>
      </c>
      <c r="I1065" t="inlineStr">
        <is>
          <t>1</t>
        </is>
      </c>
      <c r="J1065">
        <f>(Inputs!$B$5*(1+Inputs!$B$6/100))*(F1065/100)</f>
        <v/>
      </c>
      <c r="K1065">
        <f>J1065*(1+((Inputs!$B$11*(1+Inputs!$B$12/100))*0.01+Inputs!$B$13*0.0025)/100)*(1+Inputs!$B$14/100)*(1+IF(Inputs!$B$4="pvp",0,(1-Summary!$B$55)*(Inputs!$B$19+0+Skills!P7)+Summary!$B$55*(Inputs!$B$20+Skills!Q7))/100)*(1+Inputs!$B$15/100)*(5000/(6000+Inputs!$B$7*(1-(Inputs!$B$18+0)/100)))*(1+(Inputs!$B$23+((C1084=TRUE)*(F1084-Calc!F26))+B1094)/100)*(1+1.0*IF(C1073=TRUE,F1073,0)/100)*(1+(IF(Skills!A7="EIGHT_LEGS_EASTON",Inputs!$B$16+((C1081=TRUE)*(F1081-Calc!F23))+((C1085=TRUE)*(F1085-Calc!F27)),Inputs!$B$17+0))/100)*((1+(((C1075=TRUE)*F1075)+((C1082=TRUE)*(F1082-Calc!F24)))/100)*I1065)</f>
        <v/>
      </c>
      <c r="L1065">
        <f>K1065*(MIN(Inputs!$B$21+((C1080=TRUE)*(F1080-Calc!F22)),Inputs!$B$22+0)/100+(Inputs!$B$22+0)/100)/2</f>
        <v/>
      </c>
      <c r="M1065">
        <f>L1065*(1+(Inputs!$B$9+((C1083=TRUE)*(F1083-Calc!F25))+B1093)/100)</f>
        <v/>
      </c>
      <c r="N1065">
        <f>L1065*(1-MIN((Inputs!$B$8+((C1077=TRUE)*(F1077-Calc!F19))+B1088),100)/100)+M1065*(MIN((Inputs!$B$8+((C1077=TRUE)*(F1077-Calc!F19))+B1088),100)/100)</f>
        <v/>
      </c>
      <c r="O1065">
        <f>IF(C1065,H1065*N1065*IF(AND(Inputs!$B$4&lt;&gt;"pvp",Inputs!$B$35&gt;0),((Skills!G7*((R1065-1)*IF(Skills!H7&gt;0,Skills!I7/Skills!H7,1)+IF(Skills!H7&gt;0,MIN(Skills!I7,MAX(0,Inputs!$B$35-((R1065-1)*IF(Inputs!$B$4="pvp",15,MAX(0.1,Skills!D7-IF(Skills!E7=TRUE,Inputs!$B$31,0))))))/Skills!H7,1)))/Inputs!$B$35),G1065*Q1065)*IF(Inputs!$B$4="pvp",1,(1-Summary!$B$55)*(1)+Summary!$B$55*(MIN(Skills!R7,Inputs!$B$37))),0)</f>
        <v/>
      </c>
      <c r="P1065">
        <f>IF(B1096=0,0,O1065/B1096)</f>
        <v/>
      </c>
      <c r="Q1065">
        <f>IFERROR(1/IF(Inputs!$B$4="pvp",15,MAX(0.1,Skills!D7-IF(Skills!E7=TRUE,Inputs!$B$31,0))),0)</f>
        <v/>
      </c>
      <c r="R1065">
        <f>IF(AND(Inputs!$B$4&lt;&gt;"pvp",Inputs!$B$35&gt;0),(INT(Inputs!$B$35/IF(Inputs!$B$4="pvp",15,MAX(0.1,Skills!D7-IF(Skills!E7=TRUE,Inputs!$B$31,0))))+1),0)</f>
        <v/>
      </c>
      <c r="S1065">
        <f>IFERROR(O1065/N1065,0)</f>
        <v/>
      </c>
    </row>
    <row r="1066">
      <c r="A1066">
        <f>Skills!A8</f>
        <v/>
      </c>
      <c r="B1066">
        <f>Skills!B8</f>
        <v/>
      </c>
      <c r="C1066">
        <f>Inputs!$B$3&gt;=100</f>
        <v/>
      </c>
      <c r="D1066">
        <f>IF(Skills!C8=1,60+Inputs!$B$24+Inputs!$B$28,IF(Skills!C8=2,90+Inputs!$B$25+Inputs!$B$28,IF(Skills!C8=3,120+Inputs!$B$26+Inputs!$B$28,MAX(0,(Inputs!$B$3-100)*3)+Inputs!$B$27+Inputs!$B$28)))</f>
        <v/>
      </c>
      <c r="E1066">
        <f>INDEX(FactorTable!$B$2:$Y$301, MATCH(ROUND(MIN(300,MAX(1,D1066)),0), FactorTable!$A$2:$A$301,0), Skills!M8+1)</f>
        <v/>
      </c>
      <c r="F1066">
        <f>IF(Skills!N8=TRUE,(Skills!L8/10)*(E1066/1000),Skills!L8/10)+Skills!O8</f>
        <v/>
      </c>
      <c r="G1066">
        <f>Skills!G8*IF(Skills!H8&gt;0,Skills!I8/Skills!H8,1)</f>
        <v/>
      </c>
      <c r="H1066">
        <f>1-(1-Skills!J8/100)^Skills!K8</f>
        <v/>
      </c>
      <c r="I1066" t="inlineStr">
        <is>
          <t>1</t>
        </is>
      </c>
      <c r="J1066">
        <f>(Inputs!$B$5*(1+Inputs!$B$6/100))*(F1066/100)</f>
        <v/>
      </c>
      <c r="K1066">
        <f>J1066*(1+((Inputs!$B$11*(1+Inputs!$B$12/100))*0.01+Inputs!$B$13*0.0025)/100)*(1+Inputs!$B$14/100)*(1+IF(Inputs!$B$4="pvp",0,(1-Summary!$B$55)*(Inputs!$B$19+0+Skills!P8)+Summary!$B$55*(Inputs!$B$20+Skills!Q8))/100)*(1+Inputs!$B$15/100)*(5000/(6000+Inputs!$B$7*(1-(Inputs!$B$18+0)/100)))*(1+(Inputs!$B$23+((C1084=TRUE)*(F1084-Calc!F26))+B1094)/100)*(1+(IF(Skills!A8="EIGHT_LEGS_EASTON",Inputs!$B$16+((C1081=TRUE)*(F1081-Calc!F23))+((C1085=TRUE)*(F1085-Calc!F27)),Inputs!$B$17+0))/100)*((1+(((C1075=TRUE)*F1075)+((C1082=TRUE)*(F1082-Calc!F24)))/100)*I1066)</f>
        <v/>
      </c>
      <c r="L1066">
        <f>K1066*(MIN(Inputs!$B$21+((C1080=TRUE)*(F1080-Calc!F22)),Inputs!$B$22+0)/100+(Inputs!$B$22+0)/100)/2</f>
        <v/>
      </c>
      <c r="M1066">
        <f>L1066*(1+(Inputs!$B$9+((C1083=TRUE)*(F1083-Calc!F25))+B1093)/100)</f>
        <v/>
      </c>
      <c r="N1066">
        <f>L1066*(1-MIN((Inputs!$B$8+((C1077=TRUE)*(F1077-Calc!F19))+B1088),100)/100)+M1066*(MIN((Inputs!$B$8+((C1077=TRUE)*(F1077-Calc!F19))+B1088),100)/100)</f>
        <v/>
      </c>
      <c r="O1066">
        <f>IF(C1066,H1066*N1066*IF(AND(Inputs!$B$4&lt;&gt;"pvp",Inputs!$B$35&gt;0),((Skills!G8*((R1066-1)*IF(Skills!H8&gt;0,Skills!I8/Skills!H8,1)+IF(Skills!H8&gt;0,MIN(Skills!I8,MAX(0,Inputs!$B$35-((R1066-1)*IF(Inputs!$B$4="pvp",15,MAX(0.1,Skills!D8-IF(Skills!E8=TRUE,Inputs!$B$31,0))))))/Skills!H8,1)))/Inputs!$B$35),G1066*Q1066)*IF(Inputs!$B$4="pvp",1,(1-Summary!$B$55)*(1)+Summary!$B$55*(MIN(Skills!R8,Inputs!$B$37))),0)</f>
        <v/>
      </c>
      <c r="P1066">
        <f>IF(B1096=0,0,O1066/B1096)</f>
        <v/>
      </c>
      <c r="Q1066">
        <f>IFERROR(1/IF(Inputs!$B$4="pvp",15,MAX(0.1,Skills!D8-IF(Skills!E8=TRUE,Inputs!$B$31,0))),0)</f>
        <v/>
      </c>
      <c r="R1066">
        <f>IF(AND(Inputs!$B$4&lt;&gt;"pvp",Inputs!$B$35&gt;0),(INT(Inputs!$B$35/IF(Inputs!$B$4="pvp",15,MAX(0.1,Skills!D8-IF(Skills!E8=TRUE,Inputs!$B$31,0))))+1),0)</f>
        <v/>
      </c>
      <c r="S1066">
        <f>IFERROR(O1066/N1066,0)</f>
        <v/>
      </c>
    </row>
    <row r="1067">
      <c r="A1067">
        <f>Skills!A9</f>
        <v/>
      </c>
      <c r="B1067">
        <f>Skills!B9</f>
        <v/>
      </c>
      <c r="C1067">
        <f>Inputs!$B$3&gt;=103</f>
        <v/>
      </c>
      <c r="D1067">
        <f>IF(Skills!C9=1,60+Inputs!$B$24+Inputs!$B$28,IF(Skills!C9=2,90+Inputs!$B$25+Inputs!$B$28,IF(Skills!C9=3,120+Inputs!$B$26+Inputs!$B$28,MAX(0,(Inputs!$B$3-100)*3)+Inputs!$B$27+Inputs!$B$28)))</f>
        <v/>
      </c>
      <c r="E1067">
        <f>INDEX(FactorTable!$B$2:$Y$301, MATCH(ROUND(MIN(300,MAX(1,D1067)),0), FactorTable!$A$2:$A$301,0), Skills!M9+1)</f>
        <v/>
      </c>
      <c r="F1067">
        <f>IF(Skills!N9=TRUE,(Skills!L9/10)*(E1067/1000),Skills!L9/10)+Skills!O9</f>
        <v/>
      </c>
      <c r="G1067">
        <f>Skills!G9*IF(Skills!H9&gt;0,Skills!I9/Skills!H9,1)</f>
        <v/>
      </c>
      <c r="H1067">
        <f>1-(1-Skills!J9/100)^Skills!K9</f>
        <v/>
      </c>
      <c r="I1067" t="inlineStr">
        <is>
          <t>1</t>
        </is>
      </c>
      <c r="J1067">
        <f>(Inputs!$B$5*(1+Inputs!$B$6/100))*(F1067/100)</f>
        <v/>
      </c>
      <c r="K1067">
        <f>J1067*(1+((Inputs!$B$11*(1+Inputs!$B$12/100))*0.01+Inputs!$B$13*0.0025)/100)*(1+Inputs!$B$14/100)*(1+IF(Inputs!$B$4="pvp",0,(1-Summary!$B$55)*(Inputs!$B$19+0+Skills!P9)+Summary!$B$55*(Inputs!$B$20+Skills!Q9))/100)*(1+Inputs!$B$15/100)*(5000/(6000+Inputs!$B$7*(1-(Inputs!$B$18+0)/100)))*(1+(Inputs!$B$23+((C1084=TRUE)*(F1084-Calc!F26))+B1094)/100)*(1+(IF(Skills!A9="EIGHT_LEGS_EASTON",Inputs!$B$16+((C1081=TRUE)*(F1081-Calc!F23))+((C1085=TRUE)*(F1085-Calc!F27)),Inputs!$B$17+0))/100)*((1+(((C1075=TRUE)*F1075)+((C1082=TRUE)*(F1082-Calc!F24)))/100)*I1067)</f>
        <v/>
      </c>
      <c r="L1067">
        <f>K1067*(MIN(Inputs!$B$21+((C1080=TRUE)*(F1080-Calc!F22)),Inputs!$B$22+0)/100+(Inputs!$B$22+0)/100)/2</f>
        <v/>
      </c>
      <c r="M1067">
        <f>L1067*(1+(Inputs!$B$9+((C1083=TRUE)*(F1083-Calc!F25))+B1093)/100)</f>
        <v/>
      </c>
      <c r="N1067">
        <f>L1067*(1-MIN((Inputs!$B$8+((C1077=TRUE)*(F1077-Calc!F19))+B1088),100)/100)+M1067*(MIN((Inputs!$B$8+((C1077=TRUE)*(F1077-Calc!F19))+B1088),100)/100)</f>
        <v/>
      </c>
      <c r="O1067">
        <f>IF(C1067,H1067*N1067*IF(AND(Inputs!$B$4&lt;&gt;"pvp",Inputs!$B$35&gt;0),((Skills!G9*((R1067-1)*IF(Skills!H9&gt;0,Skills!I9/Skills!H9,1)+IF(Skills!H9&gt;0,MIN(Skills!I9,MAX(0,Inputs!$B$35-((R1067-1)*IF(Inputs!$B$4="pvp",15,MAX(0.1,Skills!D9-IF(Skills!E9=TRUE,Inputs!$B$31,0))))))/Skills!H9,1)))/Inputs!$B$35),G1067*Q1067)*IF(Inputs!$B$4="pvp",1,(1-Summary!$B$55)*(1)+Summary!$B$55*(MIN(Skills!R9,Inputs!$B$37))),0)</f>
        <v/>
      </c>
      <c r="P1067">
        <f>IF(B1096=0,0,O1067/B1096)</f>
        <v/>
      </c>
      <c r="Q1067">
        <f>IFERROR(1/IF(Inputs!$B$4="pvp",15,MAX(0.1,Skills!D9-IF(Skills!E9=TRUE,Inputs!$B$31,0))),0)</f>
        <v/>
      </c>
      <c r="R1067">
        <f>IF(AND(Inputs!$B$4&lt;&gt;"pvp",Inputs!$B$35&gt;0),(INT(Inputs!$B$35/IF(Inputs!$B$4="pvp",15,MAX(0.1,Skills!D9-IF(Skills!E9=TRUE,Inputs!$B$31,0))))+1),0)</f>
        <v/>
      </c>
      <c r="S1067">
        <f>IFERROR(O1067/N1067,0)</f>
        <v/>
      </c>
    </row>
    <row r="1068">
      <c r="A1068">
        <f>Skills!A10</f>
        <v/>
      </c>
      <c r="B1068">
        <f>Skills!B10</f>
        <v/>
      </c>
      <c r="C1068">
        <f>Inputs!$B$3&gt;=113</f>
        <v/>
      </c>
      <c r="D1068">
        <f>IF(Skills!C10=1,60+Inputs!$B$24+Inputs!$B$28,IF(Skills!C10=2,90+Inputs!$B$25+Inputs!$B$28,IF(Skills!C10=3,120+Inputs!$B$26+Inputs!$B$28,MAX(0,(Inputs!$B$3-100)*3)+Inputs!$B$27+Inputs!$B$28)))</f>
        <v/>
      </c>
      <c r="E1068">
        <f>INDEX(FactorTable!$B$2:$Y$301, MATCH(ROUND(MIN(300,MAX(1,D1068)),0), FactorTable!$A$2:$A$301,0), Skills!M10+1)</f>
        <v/>
      </c>
      <c r="F1068">
        <f>IF(Skills!N10=TRUE,(Skills!L10/10)*(E1068/1000),Skills!L10/10)+Skills!O10</f>
        <v/>
      </c>
      <c r="G1068">
        <f>Skills!G10*IF(Skills!H10&gt;0,Skills!I10/Skills!H10,1)</f>
        <v/>
      </c>
      <c r="H1068">
        <f>1-(1-Skills!J10/100)^Skills!K10</f>
        <v/>
      </c>
      <c r="I1068" t="inlineStr">
        <is>
          <t>1</t>
        </is>
      </c>
      <c r="J1068">
        <f>(Inputs!$B$5*(1+Inputs!$B$6/100))*(F1068/100)</f>
        <v/>
      </c>
      <c r="K1068">
        <f>J1068*(1+((Inputs!$B$11*(1+Inputs!$B$12/100))*0.01+Inputs!$B$13*0.0025)/100)*(1+Inputs!$B$14/100)*(1+IF(Inputs!$B$4="pvp",0,(1-Summary!$B$55)*(Inputs!$B$19+0+Skills!P10)+Summary!$B$55*(Inputs!$B$20+Skills!Q10))/100)*(1+Inputs!$B$15/100)*(5000/(6000+Inputs!$B$7*(1-(Inputs!$B$18+0)/100)))*(1+(Inputs!$B$23+((C1084=TRUE)*(F1084-Calc!F26))+B1094)/100)*(1+(IF(Skills!A10="EIGHT_LEGS_EASTON",Inputs!$B$16+((C1081=TRUE)*(F1081-Calc!F23))+((C1085=TRUE)*(F1085-Calc!F27)),Inputs!$B$17+0))/100)*((1+(((C1075=TRUE)*F1075)+((C1082=TRUE)*(F1082-Calc!F24)))/100)*I1068)</f>
        <v/>
      </c>
      <c r="L1068">
        <f>K1068*(MIN(Inputs!$B$21+((C1080=TRUE)*(F1080-Calc!F22)),Inputs!$B$22+0)/100+(Inputs!$B$22+0)/100)/2</f>
        <v/>
      </c>
      <c r="M1068">
        <f>L1068*(1+(Inputs!$B$9+((C1083=TRUE)*(F1083-Calc!F25))+B1093)/100)</f>
        <v/>
      </c>
      <c r="N1068">
        <f>L1068*(1-MIN((Inputs!$B$8+((C1077=TRUE)*(F1077-Calc!F19))+B1088),100)/100)+M1068*(MIN((Inputs!$B$8+((C1077=TRUE)*(F1077-Calc!F19))+B1088),100)/100)</f>
        <v/>
      </c>
      <c r="O1068">
        <f>IF(C1068,H1068*N1068*IF(AND(Inputs!$B$4&lt;&gt;"pvp",Inputs!$B$35&gt;0),((Skills!G10*((R1068-1)*IF(Skills!H10&gt;0,Skills!I10/Skills!H10,1)+IF(Skills!H10&gt;0,MIN(Skills!I10,MAX(0,Inputs!$B$35-((R1068-1)*IF(Inputs!$B$4="pvp",15,MAX(0.1,Skills!D10-IF(Skills!E10=TRUE,Inputs!$B$31,0))))))/Skills!H10,1)))/Inputs!$B$35),G1068*Q1068)*IF(Inputs!$B$4="pvp",1,(1-Summary!$B$55)*(1)+Summary!$B$55*(MIN(Skills!R10,Inputs!$B$37))),0)</f>
        <v/>
      </c>
      <c r="P1068">
        <f>IF(B1096=0,0,O1068/B1096)</f>
        <v/>
      </c>
      <c r="Q1068">
        <f>IFERROR(1/IF(Inputs!$B$4="pvp",15,MAX(0.1,Skills!D10-IF(Skills!E10=TRUE,Inputs!$B$31,0))),0)</f>
        <v/>
      </c>
      <c r="R1068">
        <f>IF(AND(Inputs!$B$4&lt;&gt;"pvp",Inputs!$B$35&gt;0),(INT(Inputs!$B$35/IF(Inputs!$B$4="pvp",15,MAX(0.1,Skills!D10-IF(Skills!E10=TRUE,Inputs!$B$31,0))))+1),0)</f>
        <v/>
      </c>
      <c r="S1068">
        <f>IFERROR(O1068/N1068,0)</f>
        <v/>
      </c>
    </row>
    <row r="1069">
      <c r="A1069">
        <f>Skills!A11</f>
        <v/>
      </c>
      <c r="B1069">
        <f>Skills!B11</f>
        <v/>
      </c>
      <c r="C1069">
        <f>Inputs!$B$3&gt;=107</f>
        <v/>
      </c>
      <c r="D1069">
        <f>IF(Skills!C11=1,60+Inputs!$B$24+Inputs!$B$28,IF(Skills!C11=2,90+Inputs!$B$25+Inputs!$B$28,IF(Skills!C11=3,120+Inputs!$B$26+Inputs!$B$28,MAX(0,(Inputs!$B$3-100)*3)+Inputs!$B$27+Inputs!$B$28)))</f>
        <v/>
      </c>
      <c r="E1069">
        <f>INDEX(FactorTable!$B$2:$Y$301, MATCH(ROUND(MIN(300,MAX(1,D1069)),0), FactorTable!$A$2:$A$301,0), Skills!M11+1)</f>
        <v/>
      </c>
      <c r="F1069">
        <f>IF(Skills!N11=TRUE,(Skills!L11/10)*(E1069/1000),Skills!L11/10)+Skills!O11</f>
        <v/>
      </c>
      <c r="G1069">
        <f>Skills!G11*IF(Skills!H11&gt;0,Skills!I11/Skills!H11,1)</f>
        <v/>
      </c>
      <c r="H1069">
        <f>1-(1-Skills!J11/100)^Skills!K11</f>
        <v/>
      </c>
      <c r="I1069" t="inlineStr">
        <is>
          <t>1</t>
        </is>
      </c>
      <c r="J1069">
        <f>(Inputs!$B$5*(1+Inputs!$B$6/100))*(F1069/100)</f>
        <v/>
      </c>
      <c r="K1069">
        <f>J1069*(1+((Inputs!$B$11*(1+Inputs!$B$12/100))*0.01+Inputs!$B$13*0.0025)/100)*(1+Inputs!$B$14/100)*(1+IF(Inputs!$B$4="pvp",0,(1-Summary!$B$55)*(Inputs!$B$19+0+Skills!P11)+Summary!$B$55*(Inputs!$B$20+Skills!Q11))/100)*(1+Inputs!$B$15/100)*(5000/(6000+Inputs!$B$7*(1-(Inputs!$B$18+0)/100)))*(1+(Inputs!$B$23+((C1084=TRUE)*(F1084-Calc!F26))+B1094)/100)*(1+(IF(Skills!A11="EIGHT_LEGS_EASTON",Inputs!$B$16+((C1081=TRUE)*(F1081-Calc!F23))+((C1085=TRUE)*(F1085-Calc!F27)),Inputs!$B$17+0))/100)*((1+(((C1075=TRUE)*F1075)+((C1082=TRUE)*(F1082-Calc!F24)))/100)*I1069)</f>
        <v/>
      </c>
      <c r="L1069">
        <f>K1069*(MIN(Inputs!$B$21+((C1080=TRUE)*(F1080-Calc!F22)),Inputs!$B$22+0)/100+(Inputs!$B$22+0)/100)/2</f>
        <v/>
      </c>
      <c r="M1069">
        <f>L1069*(1+(Inputs!$B$9+((C1083=TRUE)*(F1083-Calc!F25))+B1093)/100)</f>
        <v/>
      </c>
      <c r="N1069">
        <f>L1069*(1-MIN((Inputs!$B$8+((C1077=TRUE)*(F1077-Calc!F19))+B1088),100)/100)+M1069*(MIN((Inputs!$B$8+((C1077=TRUE)*(F1077-Calc!F19))+B1088),100)/100)</f>
        <v/>
      </c>
      <c r="O1069">
        <f>IF(C1069,H1069*N1069*IF(AND(Inputs!$B$4&lt;&gt;"pvp",Inputs!$B$35&gt;0),((Skills!G11*((R1069-1)*IF(Skills!H11&gt;0,Skills!I11/Skills!H11,1)+IF(Skills!H11&gt;0,MIN(Skills!I11,MAX(0,Inputs!$B$35-((R1069-1)*IF(Inputs!$B$4="pvp",15,MAX(0.1,Skills!D11-IF(Skills!E11=TRUE,Inputs!$B$31,0))))))/Skills!H11,1)))/Inputs!$B$35),G1069*Q1069)*IF(Inputs!$B$4="pvp",1,(1-Summary!$B$55)*(1)+Summary!$B$55*(MIN(Skills!R11,Inputs!$B$37))),0)</f>
        <v/>
      </c>
      <c r="P1069">
        <f>IF(B1096=0,0,O1069/B1096)</f>
        <v/>
      </c>
      <c r="Q1069">
        <f>IFERROR(1/IF(Inputs!$B$4="pvp",15,MAX(0.1,Skills!D11-IF(Skills!E11=TRUE,Inputs!$B$31,0))),0)</f>
        <v/>
      </c>
      <c r="R1069">
        <f>IF(AND(Inputs!$B$4&lt;&gt;"pvp",Inputs!$B$35&gt;0),(INT(Inputs!$B$35/IF(Inputs!$B$4="pvp",15,MAX(0.1,Skills!D11-IF(Skills!E11=TRUE,Inputs!$B$31,0))))+1),0)</f>
        <v/>
      </c>
      <c r="S1069">
        <f>IFERROR(O1069/N1069,0)</f>
        <v/>
      </c>
    </row>
    <row r="1070">
      <c r="A1070">
        <f>Skills!A12</f>
        <v/>
      </c>
      <c r="B1070">
        <f>Skills!B12</f>
        <v/>
      </c>
      <c r="C1070">
        <f>Inputs!$B$3&gt;=110</f>
        <v/>
      </c>
      <c r="D1070">
        <f>IF(Skills!C12=1,60+Inputs!$B$24+Inputs!$B$28,IF(Skills!C12=2,90+Inputs!$B$25+Inputs!$B$28,IF(Skills!C12=3,120+Inputs!$B$26+Inputs!$B$28,MAX(0,(Inputs!$B$3-100)*3)+Inputs!$B$27+Inputs!$B$28)))</f>
        <v/>
      </c>
      <c r="E1070">
        <f>INDEX(FactorTable!$B$2:$Y$301, MATCH(ROUND(MIN(300,MAX(1,D1070)),0), FactorTable!$A$2:$A$301,0), Skills!M12+1)</f>
        <v/>
      </c>
      <c r="F1070">
        <f>IF(Skills!N12=TRUE,(Skills!L12/10)*(E1070/1000),Skills!L12/10)+Skills!O12</f>
        <v/>
      </c>
      <c r="G1070">
        <f>Skills!G12*IF(Skills!H12&gt;0,Skills!I12/Skills!H12,1)</f>
        <v/>
      </c>
      <c r="H1070">
        <f>1-(1-Skills!J12/100)^Skills!K12</f>
        <v/>
      </c>
      <c r="I1070" t="inlineStr">
        <is>
          <t>1</t>
        </is>
      </c>
      <c r="J1070">
        <f>(Inputs!$B$5*(1+Inputs!$B$6/100))*(F1070/100)</f>
        <v/>
      </c>
      <c r="K1070">
        <f>J1070*(1+((Inputs!$B$11*(1+Inputs!$B$12/100))*0.01+Inputs!$B$13*0.0025)/100)*(1+Inputs!$B$14/100)*(1+IF(Inputs!$B$4="pvp",0,(1-Summary!$B$55)*(Inputs!$B$19+0+Skills!P12)+Summary!$B$55*(Inputs!$B$20+Skills!Q12))/100)*(1+Inputs!$B$15/100)*(5000/(6000+Inputs!$B$7*(1-(Inputs!$B$18+0)/100)))*(1+(Inputs!$B$23+((C1084=TRUE)*(F1084-Calc!F26))+B1094)/100)*(1+(IF(Skills!A12="EIGHT_LEGS_EASTON",Inputs!$B$16+((C1081=TRUE)*(F1081-Calc!F23))+((C1085=TRUE)*(F1085-Calc!F27)),Inputs!$B$17+0))/100)*((1+(((C1075=TRUE)*F1075)+((C1082=TRUE)*(F1082-Calc!F24)))/100)*I1070)</f>
        <v/>
      </c>
      <c r="L1070">
        <f>K1070*(MIN(Inputs!$B$21+((C1080=TRUE)*(F1080-Calc!F22)),Inputs!$B$22+0)/100+(Inputs!$B$22+0)/100)/2</f>
        <v/>
      </c>
      <c r="M1070">
        <f>L1070*(1+(Inputs!$B$9+((C1083=TRUE)*(F1083-Calc!F25))+B1093)/100)</f>
        <v/>
      </c>
      <c r="N1070">
        <f>L1070*(1-MIN((Inputs!$B$8+((C1077=TRUE)*(F1077-Calc!F19))+B1088),100)/100)+M1070*(MIN((Inputs!$B$8+((C1077=TRUE)*(F1077-Calc!F19))+B1088),100)/100)</f>
        <v/>
      </c>
      <c r="O1070">
        <f>IF(C1070,H1070*N1070*IF(AND(Inputs!$B$4&lt;&gt;"pvp",Inputs!$B$35&gt;0),((Skills!G12*((R1070-1)*IF(Skills!H12&gt;0,Skills!I12/Skills!H12,1)+IF(Skills!H12&gt;0,MIN(Skills!I12,MAX(0,Inputs!$B$35-((R1070-1)*IF(Inputs!$B$4="pvp",15,MAX(0.1,Skills!D12-IF(Skills!E12=TRUE,Inputs!$B$31,0))))))/Skills!H12,1)))/Inputs!$B$35),G1070*Q1070)*IF(Inputs!$B$4="pvp",1,(1-Summary!$B$55)*(1)+Summary!$B$55*(MIN(Skills!R12,Inputs!$B$37))),0)</f>
        <v/>
      </c>
      <c r="P1070">
        <f>IF(B1096=0,0,O1070/B1096)</f>
        <v/>
      </c>
      <c r="Q1070">
        <f>IFERROR(1/IF(Inputs!$B$4="pvp",15,MAX(0.1,Skills!D12-IF(Skills!E12=TRUE,Inputs!$B$31,0))),0)</f>
        <v/>
      </c>
      <c r="R1070">
        <f>IF(AND(Inputs!$B$4&lt;&gt;"pvp",Inputs!$B$35&gt;0),(INT(Inputs!$B$35/IF(Inputs!$B$4="pvp",15,MAX(0.1,Skills!D12-IF(Skills!E12=TRUE,Inputs!$B$31,0))))+1),0)</f>
        <v/>
      </c>
      <c r="S1070">
        <f>IFERROR(O1070/N1070,0)</f>
        <v/>
      </c>
    </row>
    <row r="1071">
      <c r="A1071">
        <f>Skills!A13</f>
        <v/>
      </c>
      <c r="B1071">
        <f>Skills!B13</f>
        <v/>
      </c>
      <c r="C1071">
        <f>Inputs!$B$3&gt;=110</f>
        <v/>
      </c>
      <c r="D1071">
        <f>IF(Skills!C13=1,60+Inputs!$B$24+Inputs!$B$28,IF(Skills!C13=2,90+Inputs!$B$25+Inputs!$B$28,IF(Skills!C13=3,120+Inputs!$B$26+Inputs!$B$28,MAX(0,(Inputs!$B$3-100)*3)+Inputs!$B$27+Inputs!$B$28)))</f>
        <v/>
      </c>
      <c r="E1071">
        <f>INDEX(FactorTable!$B$2:$Y$301, MATCH(ROUND(MIN(300,MAX(1,D1071)),0), FactorTable!$A$2:$A$301,0), Skills!M13+1)</f>
        <v/>
      </c>
      <c r="F1071">
        <f>IF(Skills!N13=TRUE,(Skills!L13/10)*(E1071/1000),Skills!L13/10)+Skills!O13</f>
        <v/>
      </c>
      <c r="G1071">
        <f>Skills!G13*IF(Skills!H13&gt;0,Skills!I13/Skills!H13,1)</f>
        <v/>
      </c>
      <c r="H1071">
        <f>1-(1-Skills!J13/100)^Skills!K13</f>
        <v/>
      </c>
      <c r="I1071" t="inlineStr">
        <is>
          <t>1</t>
        </is>
      </c>
      <c r="J1071">
        <f>(Inputs!$B$5*(1+Inputs!$B$6/100))*(F1071/100)</f>
        <v/>
      </c>
      <c r="K1071">
        <f>J1071*(1+((Inputs!$B$11*(1+Inputs!$B$12/100))*0.01+Inputs!$B$13*0.0025)/100)*(1+Inputs!$B$14/100)*(1+IF(Inputs!$B$4="pvp",0,(1-Summary!$B$55)*(Inputs!$B$19+0+Skills!P13)+Summary!$B$55*(Inputs!$B$20+Skills!Q13))/100)*(1+Inputs!$B$15/100)*(5000/(6000+Inputs!$B$7*(1-(Inputs!$B$18+0)/100)))*(1+(Inputs!$B$23+((C1084=TRUE)*(F1084-Calc!F26))+B1094)/100)*(1+(IF(Skills!A13="EIGHT_LEGS_EASTON",Inputs!$B$16+((C1081=TRUE)*(F1081-Calc!F23))+((C1085=TRUE)*(F1085-Calc!F27)),Inputs!$B$17+0))/100)*((1+(((C1075=TRUE)*F1075)+((C1082=TRUE)*(F1082-Calc!F24)))/100)*I1071)</f>
        <v/>
      </c>
      <c r="L1071">
        <f>K1071*(MIN(Inputs!$B$21+((C1080=TRUE)*(F1080-Calc!F22)),Inputs!$B$22+0)/100+(Inputs!$B$22+0)/100)/2</f>
        <v/>
      </c>
      <c r="M1071">
        <f>L1071*(1+(Inputs!$B$9+((C1083=TRUE)*(F1083-Calc!F25))+B1093)/100)</f>
        <v/>
      </c>
      <c r="N1071">
        <f>L1071*(1-MIN((Inputs!$B$8+((C1077=TRUE)*(F1077-Calc!F19))+B1088),100)/100)+M1071*(MIN((Inputs!$B$8+((C1077=TRUE)*(F1077-Calc!F19))+B1088),100)/100)</f>
        <v/>
      </c>
      <c r="O1071">
        <f>IF(C1071,H1071*N1071*IF(AND(Inputs!$B$4&lt;&gt;"pvp",Inputs!$B$35&gt;0),((Skills!G13*((R1071-1)*IF(Skills!H13&gt;0,Skills!I13/Skills!H13,1)+IF(Skills!H13&gt;0,MIN(Skills!I13,MAX(0,Inputs!$B$35-((R1071-1)*IF(Inputs!$B$4="pvp",15,MAX(0.1,Skills!D13-IF(Skills!E13=TRUE,Inputs!$B$31,0))))))/Skills!H13,1)))/Inputs!$B$35),G1071*Q1071)*IF(Inputs!$B$4="pvp",1,(1-Summary!$B$55)*(1)+Summary!$B$55*(MIN(Skills!R13,Inputs!$B$37))),0)</f>
        <v/>
      </c>
      <c r="P1071">
        <f>IF(B1096=0,0,O1071/B1096)</f>
        <v/>
      </c>
      <c r="Q1071">
        <f>IFERROR(1/IF(Inputs!$B$4="pvp",15,MAX(0.1,Skills!D13-IF(Skills!E13=TRUE,Inputs!$B$31,0))),0)</f>
        <v/>
      </c>
      <c r="R1071">
        <f>IF(AND(Inputs!$B$4&lt;&gt;"pvp",Inputs!$B$35&gt;0),(INT(Inputs!$B$35/IF(Inputs!$B$4="pvp",15,MAX(0.1,Skills!D13-IF(Skills!E13=TRUE,Inputs!$B$31,0))))+1),0)</f>
        <v/>
      </c>
      <c r="S1071">
        <f>IFERROR(O1071/N1071,0)</f>
        <v/>
      </c>
    </row>
    <row r="1072">
      <c r="A1072">
        <f>Skills!A14</f>
        <v/>
      </c>
      <c r="B1072">
        <f>Skills!B14</f>
        <v/>
      </c>
      <c r="C1072">
        <f>Inputs!$B$3&gt;=125</f>
        <v/>
      </c>
      <c r="D1072">
        <f>IF(Skills!C14=1,60+Inputs!$B$24+Inputs!$B$28,IF(Skills!C14=2,90+Inputs!$B$25+Inputs!$B$28,IF(Skills!C14=3,120+Inputs!$B$26+Inputs!$B$28,MAX(0,(Inputs!$B$3-100)*3)+Inputs!$B$27+Inputs!$B$28)))</f>
        <v/>
      </c>
      <c r="E1072">
        <f>INDEX(FactorTable!$B$2:$Y$301, MATCH(ROUND(MIN(300,MAX(1,D1072)),0), FactorTable!$A$2:$A$301,0), Skills!M14+1)</f>
        <v/>
      </c>
      <c r="F1072">
        <f>IF(Skills!N14=TRUE,(Skills!L14/10)*(E1072/1000),Skills!L14/10)+Skills!O14</f>
        <v/>
      </c>
      <c r="G1072">
        <f>Skills!G14*IF(Skills!H14&gt;0,Skills!I14/Skills!H14,1)</f>
        <v/>
      </c>
      <c r="H1072">
        <f>1-(1-Skills!J14/100)^Skills!K14</f>
        <v/>
      </c>
      <c r="I1072" t="inlineStr">
        <is>
          <t>1</t>
        </is>
      </c>
      <c r="J1072">
        <f>(Inputs!$B$5*(1+Inputs!$B$6/100))*(F1072/100)</f>
        <v/>
      </c>
      <c r="K1072">
        <f>J1072*(1+((Inputs!$B$11*(1+Inputs!$B$12/100))*0.01+Inputs!$B$13*0.0025)/100)*(1+Inputs!$B$14/100)*(1+IF(Inputs!$B$4="pvp",0,(1-Summary!$B$55)*(Inputs!$B$19+0+Skills!P14)+Summary!$B$55*(Inputs!$B$20+Skills!Q14))/100)*(1+Inputs!$B$15/100)*(5000/(6000+Inputs!$B$7*(1-(Inputs!$B$18+0)/100)))*(1+(Inputs!$B$23+((C1084=TRUE)*(F1084-Calc!F26))+B1094)/100)*(1+(IF(Skills!A14="EIGHT_LEGS_EASTON",Inputs!$B$16+((C1081=TRUE)*(F1081-Calc!F23))+((C1085=TRUE)*(F1085-Calc!F27)),Inputs!$B$17+0))/100)*((1+(((C1075=TRUE)*F1075)+((C1082=TRUE)*(F1082-Calc!F24)))/100)*I1072)</f>
        <v/>
      </c>
      <c r="L1072">
        <f>K1072*(MIN(Inputs!$B$21+((C1080=TRUE)*(F1080-Calc!F22)),Inputs!$B$22+0)/100+(Inputs!$B$22+0)/100)/2</f>
        <v/>
      </c>
      <c r="M1072">
        <f>L1072*(1+(Inputs!$B$9+((C1083=TRUE)*(F1083-Calc!F25))+B1093)/100)</f>
        <v/>
      </c>
      <c r="N1072">
        <f>L1072*(1-MIN((Inputs!$B$8+((C1077=TRUE)*(F1077-Calc!F19))+B1088),100)/100)+M1072*(MIN((Inputs!$B$8+((C1077=TRUE)*(F1077-Calc!F19))+B1088),100)/100)</f>
        <v/>
      </c>
      <c r="O1072">
        <f>IF(C1072,H1072*N1072*(B1092+IF(AND(Inputs!$B$4&lt;&gt;"pvp",Inputs!$B$35&gt;0),((Skills!G8*((R1066-1)*IF(Skills!H8&gt;0,Skills!I8/Skills!H8,1)+IF(Skills!H8&gt;0,MIN(Skills!I8,MAX(0,Inputs!$B$35-((R1066-1)*IF(Inputs!$B$4="pvp",15,MAX(0.1,Skills!D8-IF(Skills!E8=TRUE,Inputs!$B$31,0))))))/Skills!H8,1)))/Inputs!$B$35),G1066*Q1066)+IF(AND(Inputs!$B$4&lt;&gt;"pvp",Inputs!$B$35&gt;0),((Skills!G11*((R1069-1)*IF(Skills!H11&gt;0,Skills!I11/Skills!H11,1)+IF(Skills!H11&gt;0,MIN(Skills!I11,MAX(0,Inputs!$B$35-((R1069-1)*IF(Inputs!$B$4="pvp",15,MAX(0.1,Skills!D11-IF(Skills!E11=TRUE,Inputs!$B$31,0))))))/Skills!H11,1)))/Inputs!$B$35),G1069*Q1069))*IF(Inputs!$B$4="pvp",1,(1-Summary!$B$55)*(1)+Summary!$B$55*(MIN(Skills!R14,Inputs!$B$37))),0)</f>
        <v/>
      </c>
      <c r="P1072">
        <f>IF(B1096=0,0,O1072/B1096)</f>
        <v/>
      </c>
      <c r="Q1072" t="n">
        <v>0</v>
      </c>
      <c r="R1072" t="n">
        <v>0</v>
      </c>
      <c r="S1072">
        <f>IFERROR(O1072/N1072,0)</f>
        <v/>
      </c>
    </row>
    <row r="1073">
      <c r="A1073">
        <f>Skills!A15</f>
        <v/>
      </c>
      <c r="B1073">
        <f>Skills!B15</f>
        <v/>
      </c>
      <c r="C1073">
        <f>Inputs!$B$3&gt;=100</f>
        <v/>
      </c>
      <c r="D1073">
        <f>IF(Skills!C15=1,60+Inputs!$B$24+Inputs!$B$28,IF(Skills!C15=2,90+Inputs!$B$25+Inputs!$B$28,IF(Skills!C15=3,120+Inputs!$B$26+Inputs!$B$28,MAX(0,(Inputs!$B$3-100)*3)+Inputs!$B$27+Inputs!$B$28)))</f>
        <v/>
      </c>
      <c r="E1073">
        <f>INDEX(FactorTable!$B$2:$Y$301, MATCH(ROUND(MIN(300,MAX(1,D1073)),0), FactorTable!$A$2:$A$301,0), Skills!M15+1)</f>
        <v/>
      </c>
      <c r="F1073">
        <f>IF(Skills!N15=TRUE,(Skills!L15/10)*(E1073/1000),Skills!L15/10)+Skills!O15</f>
        <v/>
      </c>
      <c r="G1073" t="inlineStr"/>
      <c r="H1073" t="inlineStr"/>
      <c r="I1073" t="inlineStr">
        <is>
          <t>1</t>
        </is>
      </c>
      <c r="J1073" t="inlineStr"/>
      <c r="K1073" t="inlineStr"/>
      <c r="L1073" t="inlineStr"/>
      <c r="M1073" t="inlineStr"/>
      <c r="N1073" t="inlineStr"/>
      <c r="O1073" t="inlineStr"/>
      <c r="P1073" t="inlineStr"/>
      <c r="Q1073" t="inlineStr"/>
      <c r="R1073" t="inlineStr"/>
      <c r="S1073" t="inlineStr"/>
    </row>
    <row r="1074">
      <c r="A1074">
        <f>Skills!A16</f>
        <v/>
      </c>
      <c r="B1074">
        <f>Skills!B16</f>
        <v/>
      </c>
      <c r="C1074">
        <f>Inputs!$B$3&gt;=120</f>
        <v/>
      </c>
      <c r="D1074">
        <f>IF(Skills!C16=1,60+Inputs!$B$24+Inputs!$B$28,IF(Skills!C16=2,90+Inputs!$B$25+Inputs!$B$28,IF(Skills!C16=3,120+Inputs!$B$26+Inputs!$B$28,MAX(0,(Inputs!$B$3-100)*3)+Inputs!$B$27+Inputs!$B$28)))</f>
        <v/>
      </c>
      <c r="E1074">
        <f>INDEX(FactorTable!$B$2:$Y$301, MATCH(ROUND(MIN(300,MAX(1,D1074)),0), FactorTable!$A$2:$A$301,0), Skills!M16+1)</f>
        <v/>
      </c>
      <c r="F1074">
        <f>IF(Skills!N16=TRUE,(Skills!L16/10)*(E1074/1000),Skills!L16/10)+Skills!O16</f>
        <v/>
      </c>
      <c r="G1074" t="inlineStr"/>
      <c r="H1074" t="inlineStr"/>
      <c r="I1074" t="inlineStr">
        <is>
          <t>1</t>
        </is>
      </c>
      <c r="J1074" t="inlineStr"/>
      <c r="K1074" t="inlineStr"/>
      <c r="L1074" t="inlineStr"/>
      <c r="M1074" t="inlineStr"/>
      <c r="N1074" t="inlineStr"/>
      <c r="O1074" t="inlineStr"/>
      <c r="P1074" t="inlineStr"/>
      <c r="Q1074" t="inlineStr"/>
      <c r="R1074" t="inlineStr"/>
      <c r="S1074" t="inlineStr"/>
    </row>
    <row r="1075">
      <c r="A1075">
        <f>Skills!A17</f>
        <v/>
      </c>
      <c r="B1075">
        <f>Skills!B17</f>
        <v/>
      </c>
      <c r="C1075">
        <f>Inputs!$B$3&gt;=66</f>
        <v/>
      </c>
      <c r="D1075">
        <f>IF(Skills!C17=1,60+Inputs!$B$24+Inputs!$B$28,IF(Skills!C17=2,90+Inputs!$B$25+Inputs!$B$28,IF(Skills!C17=3,120+Inputs!$B$26+Inputs!$B$28,MAX(0,(Inputs!$B$3-100)*3)+Inputs!$B$27+Inputs!$B$28)))</f>
        <v/>
      </c>
      <c r="E1075">
        <f>INDEX(FactorTable!$B$2:$Y$301, MATCH(ROUND(MIN(300,MAX(1,D1075)),0), FactorTable!$A$2:$A$301,0), Skills!M17+1)</f>
        <v/>
      </c>
      <c r="F1075">
        <f>IF(Skills!N17=TRUE,(Skills!L17/10)*(E1075/1000),Skills!L17/10)+Skills!O17</f>
        <v/>
      </c>
      <c r="G1075">
        <f>Skills!G17*IF(Skills!H17&gt;0,Skills!I17/Skills!H17,1)</f>
        <v/>
      </c>
      <c r="H1075">
        <f>1-(1-Skills!J17/100)^Skills!K17</f>
        <v/>
      </c>
      <c r="I1075" t="inlineStr">
        <is>
          <t>1</t>
        </is>
      </c>
      <c r="J1075" t="inlineStr"/>
      <c r="K1075" t="inlineStr"/>
      <c r="L1075" t="inlineStr"/>
      <c r="M1075" t="inlineStr"/>
      <c r="N1075" t="inlineStr"/>
      <c r="O1075" t="n">
        <v>0</v>
      </c>
      <c r="P1075">
        <f>IF(B1096=0,0,O1075/B1096)</f>
        <v/>
      </c>
      <c r="Q1075" t="n">
        <v>0</v>
      </c>
      <c r="R1075" t="n">
        <v>0</v>
      </c>
      <c r="S1075">
        <f>IFERROR(O1075/N1075,0)</f>
        <v/>
      </c>
    </row>
    <row r="1076">
      <c r="A1076">
        <f>Skills!A18</f>
        <v/>
      </c>
      <c r="B1076">
        <f>Skills!B18</f>
        <v/>
      </c>
      <c r="C1076">
        <f>Inputs!$B$3&gt;=115</f>
        <v/>
      </c>
      <c r="D1076">
        <f>IF(Skills!C18=1,60+Inputs!$B$24+Inputs!$B$28,IF(Skills!C18=2,90+Inputs!$B$25+Inputs!$B$28,IF(Skills!C18=3,120+Inputs!$B$26+Inputs!$B$28,MAX(0,(Inputs!$B$3-100)*3)+Inputs!$B$27+Inputs!$B$28)))</f>
        <v/>
      </c>
      <c r="E1076">
        <f>INDEX(FactorTable!$B$2:$Y$301, MATCH(ROUND(MIN(300,MAX(1,D1076)),0), FactorTable!$A$2:$A$301,0), Skills!M18+1)</f>
        <v/>
      </c>
      <c r="F1076">
        <f>IF(Skills!N18=TRUE,(Skills!L18/10)*(E1076/1000),Skills!L18/10)+Skills!O18</f>
        <v/>
      </c>
      <c r="G1076">
        <f>Skills!G18*IF(Skills!H18&gt;0,Skills!I18/Skills!H18,1)</f>
        <v/>
      </c>
      <c r="H1076">
        <f>1-(1-Skills!J18/100)^Skills!K18</f>
        <v/>
      </c>
      <c r="I1076" t="inlineStr">
        <is>
          <t>1</t>
        </is>
      </c>
      <c r="J1076" t="inlineStr"/>
      <c r="K1076" t="inlineStr"/>
      <c r="L1076" t="inlineStr"/>
      <c r="M1076" t="inlineStr"/>
      <c r="N1076" t="inlineStr"/>
      <c r="O1076" t="n">
        <v>0</v>
      </c>
      <c r="P1076">
        <f>IF(B1096=0,0,O1076/B1096)</f>
        <v/>
      </c>
      <c r="Q1076" t="n">
        <v>0</v>
      </c>
      <c r="R1076" t="n">
        <v>0</v>
      </c>
      <c r="S1076">
        <f>IFERROR(O1076/N1076,0)</f>
        <v/>
      </c>
    </row>
    <row r="1077">
      <c r="A1077">
        <f>Skills!A19</f>
        <v/>
      </c>
      <c r="B1077">
        <f>Skills!B19</f>
        <v/>
      </c>
      <c r="C1077">
        <f>Inputs!$B$3&gt;=15</f>
        <v/>
      </c>
      <c r="D1077">
        <f>IF(Skills!C19=1,60+Inputs!$B$24+Inputs!$B$28,IF(Skills!C19=2,90+Inputs!$B$25+Inputs!$B$28,IF(Skills!C19=3,120+Inputs!$B$26+Inputs!$B$28,MAX(0,(Inputs!$B$3-100)*3)+Inputs!$B$27+Inputs!$B$28)))</f>
        <v/>
      </c>
      <c r="E1077">
        <f>INDEX(FactorTable!$B$2:$Y$301, MATCH(ROUND(MIN(300,MAX(1,D1077)),0), FactorTable!$A$2:$A$301,0), Skills!M19+1)</f>
        <v/>
      </c>
      <c r="F1077">
        <f>IF(Skills!N19=TRUE,(Skills!L19/10)*(E1077/1000),Skills!L19/10)+Skills!O19</f>
        <v/>
      </c>
      <c r="G1077">
        <f>Skills!G19*IF(Skills!H19&gt;0,Skills!I19/Skills!H19,1)</f>
        <v/>
      </c>
      <c r="H1077">
        <f>1-(1-Skills!J19/100)^Skills!K19</f>
        <v/>
      </c>
      <c r="I1077" t="inlineStr">
        <is>
          <t>1</t>
        </is>
      </c>
      <c r="J1077" t="inlineStr"/>
      <c r="K1077" t="inlineStr"/>
      <c r="L1077" t="inlineStr"/>
      <c r="M1077" t="inlineStr"/>
      <c r="N1077" t="inlineStr"/>
      <c r="O1077" t="n">
        <v>0</v>
      </c>
      <c r="P1077">
        <f>IF(B1096=0,0,O1077/B1096)</f>
        <v/>
      </c>
      <c r="Q1077" t="n">
        <v>0</v>
      </c>
      <c r="R1077" t="n">
        <v>0</v>
      </c>
      <c r="S1077">
        <f>IFERROR(O1077/N1077,0)</f>
        <v/>
      </c>
    </row>
    <row r="1078">
      <c r="A1078">
        <f>Skills!A20</f>
        <v/>
      </c>
      <c r="B1078">
        <f>Skills!B20</f>
        <v/>
      </c>
      <c r="C1078">
        <f>Inputs!$B$3&gt;=10</f>
        <v/>
      </c>
      <c r="D1078">
        <f>IF(Skills!C20=1,60+Inputs!$B$24+Inputs!$B$28,IF(Skills!C20=2,90+Inputs!$B$25+Inputs!$B$28,IF(Skills!C20=3,120+Inputs!$B$26+Inputs!$B$28,MAX(0,(Inputs!$B$3-100)*3)+Inputs!$B$27+Inputs!$B$28)))</f>
        <v/>
      </c>
      <c r="E1078">
        <f>INDEX(FactorTable!$B$2:$Y$301, MATCH(ROUND(MIN(300,MAX(1,D1078)),0), FactorTable!$A$2:$A$301,0), Skills!M20+1)</f>
        <v/>
      </c>
      <c r="F1078">
        <f>IF(Skills!N20=TRUE,(Skills!L20/10)*(E1078/1000),Skills!L20/10)+Skills!O20</f>
        <v/>
      </c>
      <c r="G1078">
        <f>Skills!G20*IF(Skills!H20&gt;0,Skills!I20/Skills!H20,1)</f>
        <v/>
      </c>
      <c r="H1078">
        <f>1-(1-Skills!J20/100)^Skills!K20</f>
        <v/>
      </c>
      <c r="I1078" t="inlineStr">
        <is>
          <t>1</t>
        </is>
      </c>
      <c r="J1078" t="inlineStr"/>
      <c r="K1078" t="inlineStr"/>
      <c r="L1078" t="inlineStr"/>
      <c r="M1078" t="inlineStr"/>
      <c r="N1078" t="inlineStr"/>
      <c r="O1078" t="n">
        <v>0</v>
      </c>
      <c r="P1078">
        <f>IF(B1096=0,0,O1078/B1096)</f>
        <v/>
      </c>
      <c r="Q1078" t="n">
        <v>0</v>
      </c>
      <c r="R1078" t="n">
        <v>0</v>
      </c>
      <c r="S1078">
        <f>IFERROR(O1078/N1078,0)</f>
        <v/>
      </c>
    </row>
    <row r="1079">
      <c r="A1079">
        <f>Skills!A21</f>
        <v/>
      </c>
      <c r="B1079">
        <f>Skills!B21</f>
        <v/>
      </c>
      <c r="C1079">
        <f>Inputs!$B$3&gt;=33</f>
        <v/>
      </c>
      <c r="D1079">
        <f>IF(Skills!C21=1,60+Inputs!$B$24+Inputs!$B$28,IF(Skills!C21=2,90+Inputs!$B$25+Inputs!$B$28,IF(Skills!C21=3,120+Inputs!$B$26+Inputs!$B$28,MAX(0,(Inputs!$B$3-100)*3)+Inputs!$B$27+Inputs!$B$28)))</f>
        <v/>
      </c>
      <c r="E1079">
        <f>INDEX(FactorTable!$B$2:$Y$301, MATCH(ROUND(MIN(300,MAX(1,D1079)),0), FactorTable!$A$2:$A$301,0), Skills!M21+1)</f>
        <v/>
      </c>
      <c r="F1079">
        <f>IF(Skills!N21=TRUE,(Skills!L21/10)*(E1079/1000),Skills!L21/10)+Skills!O21</f>
        <v/>
      </c>
      <c r="G1079">
        <f>Skills!G21*IF(Skills!H21&gt;0,Skills!I21/Skills!H21,1)</f>
        <v/>
      </c>
      <c r="H1079">
        <f>1-(1-Skills!J21/100)^Skills!K21</f>
        <v/>
      </c>
      <c r="I1079" t="inlineStr">
        <is>
          <t>1</t>
        </is>
      </c>
      <c r="J1079" t="inlineStr"/>
      <c r="K1079" t="inlineStr"/>
      <c r="L1079" t="inlineStr"/>
      <c r="M1079" t="inlineStr"/>
      <c r="N1079" t="inlineStr"/>
      <c r="O1079" t="n">
        <v>0</v>
      </c>
      <c r="P1079">
        <f>IF(B1096=0,0,O1079/B1096)</f>
        <v/>
      </c>
      <c r="Q1079" t="n">
        <v>0</v>
      </c>
      <c r="R1079" t="n">
        <v>0</v>
      </c>
      <c r="S1079">
        <f>IFERROR(O1079/N1079,0)</f>
        <v/>
      </c>
    </row>
    <row r="1080">
      <c r="A1080">
        <f>Skills!A22</f>
        <v/>
      </c>
      <c r="B1080">
        <f>Skills!B22</f>
        <v/>
      </c>
      <c r="C1080">
        <f>Inputs!$B$3&gt;=43</f>
        <v/>
      </c>
      <c r="D1080">
        <f>IF(Skills!C22=1,60+Inputs!$B$24+Inputs!$B$28,IF(Skills!C22=2,90+Inputs!$B$25+Inputs!$B$28,IF(Skills!C22=3,120+Inputs!$B$26+Inputs!$B$28,MAX(0,(Inputs!$B$3-100)*3)+Inputs!$B$27+Inputs!$B$28)))</f>
        <v/>
      </c>
      <c r="E1080">
        <f>INDEX(FactorTable!$B$2:$Y$301, MATCH(ROUND(MIN(300,MAX(1,D1080)),0), FactorTable!$A$2:$A$301,0), Skills!M22+1)</f>
        <v/>
      </c>
      <c r="F1080">
        <f>IF(Skills!N22=TRUE,(Skills!L22/10)*(E1080/1000),Skills!L22/10)+Skills!O22</f>
        <v/>
      </c>
      <c r="G1080">
        <f>Skills!G22*IF(Skills!H22&gt;0,Skills!I22/Skills!H22,1)</f>
        <v/>
      </c>
      <c r="H1080">
        <f>1-(1-Skills!J22/100)^Skills!K22</f>
        <v/>
      </c>
      <c r="I1080" t="inlineStr">
        <is>
          <t>1</t>
        </is>
      </c>
      <c r="J1080" t="inlineStr"/>
      <c r="K1080" t="inlineStr"/>
      <c r="L1080" t="inlineStr"/>
      <c r="M1080" t="inlineStr"/>
      <c r="N1080" t="inlineStr"/>
      <c r="O1080" t="n">
        <v>0</v>
      </c>
      <c r="P1080">
        <f>IF(B1096=0,0,O1080/B1096)</f>
        <v/>
      </c>
      <c r="Q1080" t="n">
        <v>0</v>
      </c>
      <c r="R1080" t="n">
        <v>0</v>
      </c>
      <c r="S1080">
        <f>IFERROR(O1080/N1080,0)</f>
        <v/>
      </c>
    </row>
    <row r="1081">
      <c r="A1081">
        <f>Skills!A23</f>
        <v/>
      </c>
      <c r="B1081">
        <f>Skills!B23</f>
        <v/>
      </c>
      <c r="C1081">
        <f>Inputs!$B$3&gt;=38</f>
        <v/>
      </c>
      <c r="D1081">
        <f>IF(Skills!C23=1,60+Inputs!$B$24+Inputs!$B$28,IF(Skills!C23=2,90+Inputs!$B$25+Inputs!$B$28,IF(Skills!C23=3,120+Inputs!$B$26+Inputs!$B$28,MAX(0,(Inputs!$B$3-100)*3)+Inputs!$B$27+Inputs!$B$28)))</f>
        <v/>
      </c>
      <c r="E1081">
        <f>INDEX(FactorTable!$B$2:$Y$301, MATCH(ROUND(MIN(300,MAX(1,D1081)),0), FactorTable!$A$2:$A$301,0), Skills!M23+1)</f>
        <v/>
      </c>
      <c r="F1081">
        <f>IF(Skills!N23=TRUE,(Skills!L23/10)*(E1081/1000),Skills!L23/10)+Skills!O23</f>
        <v/>
      </c>
      <c r="G1081">
        <f>Skills!G23*IF(Skills!H23&gt;0,Skills!I23/Skills!H23,1)</f>
        <v/>
      </c>
      <c r="H1081">
        <f>1-(1-Skills!J23/100)^Skills!K23</f>
        <v/>
      </c>
      <c r="I1081" t="inlineStr">
        <is>
          <t>1</t>
        </is>
      </c>
      <c r="J1081" t="inlineStr"/>
      <c r="K1081" t="inlineStr"/>
      <c r="L1081" t="inlineStr"/>
      <c r="M1081" t="inlineStr"/>
      <c r="N1081" t="inlineStr"/>
      <c r="O1081" t="n">
        <v>0</v>
      </c>
      <c r="P1081">
        <f>IF(B1096=0,0,O1081/B1096)</f>
        <v/>
      </c>
      <c r="Q1081" t="n">
        <v>0</v>
      </c>
      <c r="R1081" t="n">
        <v>0</v>
      </c>
      <c r="S1081">
        <f>IFERROR(O1081/N1081,0)</f>
        <v/>
      </c>
    </row>
    <row r="1082">
      <c r="A1082">
        <f>Skills!A24</f>
        <v/>
      </c>
      <c r="B1082">
        <f>Skills!B24</f>
        <v/>
      </c>
      <c r="C1082">
        <f>Inputs!$B$3&gt;=40</f>
        <v/>
      </c>
      <c r="D1082">
        <f>IF(Skills!C24=1,60+Inputs!$B$24+Inputs!$B$28,IF(Skills!C24=2,90+Inputs!$B$25+Inputs!$B$28,IF(Skills!C24=3,120+Inputs!$B$26+Inputs!$B$28,MAX(0,(Inputs!$B$3-100)*3)+Inputs!$B$27+Inputs!$B$28)))</f>
        <v/>
      </c>
      <c r="E1082">
        <f>INDEX(FactorTable!$B$2:$Y$301, MATCH(ROUND(MIN(300,MAX(1,D1082)),0), FactorTable!$A$2:$A$301,0), Skills!M24+1)</f>
        <v/>
      </c>
      <c r="F1082">
        <f>IF(Skills!N24=TRUE,(Skills!L24/10)*(E1082/1000),Skills!L24/10)+Skills!O24</f>
        <v/>
      </c>
      <c r="G1082">
        <f>Skills!G24*IF(Skills!H24&gt;0,Skills!I24/Skills!H24,1)</f>
        <v/>
      </c>
      <c r="H1082">
        <f>1-(1-Skills!J24/100)^Skills!K24</f>
        <v/>
      </c>
      <c r="I1082" t="inlineStr">
        <is>
          <t>1</t>
        </is>
      </c>
      <c r="J1082" t="inlineStr"/>
      <c r="K1082" t="inlineStr"/>
      <c r="L1082" t="inlineStr"/>
      <c r="M1082" t="inlineStr"/>
      <c r="N1082" t="inlineStr"/>
      <c r="O1082" t="n">
        <v>0</v>
      </c>
      <c r="P1082">
        <f>IF(B1096=0,0,O1082/B1096)</f>
        <v/>
      </c>
      <c r="Q1082" t="n">
        <v>0</v>
      </c>
      <c r="R1082" t="n">
        <v>0</v>
      </c>
      <c r="S1082">
        <f>IFERROR(O1082/N1082,0)</f>
        <v/>
      </c>
    </row>
    <row r="1083">
      <c r="A1083">
        <f>Skills!A25</f>
        <v/>
      </c>
      <c r="B1083">
        <f>Skills!B25</f>
        <v/>
      </c>
      <c r="C1083">
        <f>Inputs!$B$3&gt;=72</f>
        <v/>
      </c>
      <c r="D1083">
        <f>IF(Skills!C25=1,60+Inputs!$B$24+Inputs!$B$28,IF(Skills!C25=2,90+Inputs!$B$25+Inputs!$B$28,IF(Skills!C25=3,120+Inputs!$B$26+Inputs!$B$28,MAX(0,(Inputs!$B$3-100)*3)+Inputs!$B$27+Inputs!$B$28)))</f>
        <v/>
      </c>
      <c r="E1083">
        <f>INDEX(FactorTable!$B$2:$Y$301, MATCH(ROUND(MIN(300,MAX(1,D1083)),0), FactorTable!$A$2:$A$301,0), Skills!M25+1)</f>
        <v/>
      </c>
      <c r="F1083">
        <f>IF(Skills!N25=TRUE,(Skills!L25/10)*(E1083/1000),Skills!L25/10)+Skills!O25</f>
        <v/>
      </c>
      <c r="G1083">
        <f>Skills!G25*IF(Skills!H25&gt;0,Skills!I25/Skills!H25,1)</f>
        <v/>
      </c>
      <c r="H1083">
        <f>1-(1-Skills!J25/100)^Skills!K25</f>
        <v/>
      </c>
      <c r="I1083" t="inlineStr">
        <is>
          <t>1</t>
        </is>
      </c>
      <c r="J1083" t="inlineStr"/>
      <c r="K1083" t="inlineStr"/>
      <c r="L1083" t="inlineStr"/>
      <c r="M1083" t="inlineStr"/>
      <c r="N1083" t="inlineStr"/>
      <c r="O1083" t="n">
        <v>0</v>
      </c>
      <c r="P1083">
        <f>IF(B1096=0,0,O1083/B1096)</f>
        <v/>
      </c>
      <c r="Q1083" t="n">
        <v>0</v>
      </c>
      <c r="R1083" t="n">
        <v>0</v>
      </c>
      <c r="S1083">
        <f>IFERROR(O1083/N1083,0)</f>
        <v/>
      </c>
    </row>
    <row r="1084">
      <c r="A1084">
        <f>Skills!A26</f>
        <v/>
      </c>
      <c r="B1084">
        <f>Skills!B26</f>
        <v/>
      </c>
      <c r="C1084">
        <f>Inputs!$B$3&gt;=75</f>
        <v/>
      </c>
      <c r="D1084">
        <f>IF(Skills!C26=1,60+Inputs!$B$24+Inputs!$B$28,IF(Skills!C26=2,90+Inputs!$B$25+Inputs!$B$28,IF(Skills!C26=3,120+Inputs!$B$26+Inputs!$B$28,MAX(0,(Inputs!$B$3-100)*3)+Inputs!$B$27+Inputs!$B$28)))</f>
        <v/>
      </c>
      <c r="E1084">
        <f>INDEX(FactorTable!$B$2:$Y$301, MATCH(ROUND(MIN(300,MAX(1,D1084)),0), FactorTable!$A$2:$A$301,0), Skills!M26+1)</f>
        <v/>
      </c>
      <c r="F1084">
        <f>IF(Skills!N26=TRUE,(Skills!L26/10)*(E1084/1000),Skills!L26/10)+Skills!O26</f>
        <v/>
      </c>
      <c r="G1084">
        <f>Skills!G26*IF(Skills!H26&gt;0,Skills!I26/Skills!H26,1)</f>
        <v/>
      </c>
      <c r="H1084">
        <f>1-(1-Skills!J26/100)^Skills!K26</f>
        <v/>
      </c>
      <c r="I1084" t="inlineStr">
        <is>
          <t>1</t>
        </is>
      </c>
      <c r="J1084" t="inlineStr"/>
      <c r="K1084" t="inlineStr"/>
      <c r="L1084" t="inlineStr"/>
      <c r="M1084" t="inlineStr"/>
      <c r="N1084" t="inlineStr"/>
      <c r="O1084" t="n">
        <v>0</v>
      </c>
      <c r="P1084">
        <f>IF(B1096=0,0,O1084/B1096)</f>
        <v/>
      </c>
      <c r="Q1084" t="n">
        <v>0</v>
      </c>
      <c r="R1084" t="n">
        <v>0</v>
      </c>
      <c r="S1084">
        <f>IFERROR(O1084/N1084,0)</f>
        <v/>
      </c>
    </row>
    <row r="1085">
      <c r="A1085">
        <f>Skills!A27</f>
        <v/>
      </c>
      <c r="B1085">
        <f>Skills!B27</f>
        <v/>
      </c>
      <c r="C1085">
        <f>Inputs!$B$3&gt;=117</f>
        <v/>
      </c>
      <c r="D1085">
        <f>IF(Skills!C27=1,60+Inputs!$B$24+Inputs!$B$28,IF(Skills!C27=2,90+Inputs!$B$25+Inputs!$B$28,IF(Skills!C27=3,120+Inputs!$B$26+Inputs!$B$28,MAX(0,(Inputs!$B$3-100)*3)+Inputs!$B$27+Inputs!$B$28)))</f>
        <v/>
      </c>
      <c r="E1085">
        <f>INDEX(FactorTable!$B$2:$Y$301, MATCH(ROUND(MIN(300,MAX(1,D1085)),0), FactorTable!$A$2:$A$301,0), Skills!M27+1)</f>
        <v/>
      </c>
      <c r="F1085">
        <f>IF(Skills!N27=TRUE,(Skills!L27/10)*(E1085/1000),Skills!L27/10)+Skills!O27</f>
        <v/>
      </c>
      <c r="G1085">
        <f>Skills!G27*IF(Skills!H27&gt;0,Skills!I27/Skills!H27,1)</f>
        <v/>
      </c>
      <c r="H1085">
        <f>1-(1-Skills!J27/100)^Skills!K27</f>
        <v/>
      </c>
      <c r="I1085" t="inlineStr">
        <is>
          <t>1</t>
        </is>
      </c>
      <c r="J1085" t="inlineStr"/>
      <c r="K1085" t="inlineStr"/>
      <c r="L1085" t="inlineStr"/>
      <c r="M1085" t="inlineStr"/>
      <c r="N1085" t="inlineStr"/>
      <c r="O1085" t="n">
        <v>0</v>
      </c>
      <c r="P1085">
        <f>IF(B1096=0,0,O1085/B1096)</f>
        <v/>
      </c>
      <c r="Q1085" t="n">
        <v>0</v>
      </c>
      <c r="R1085" t="n">
        <v>0</v>
      </c>
      <c r="S1085">
        <f>IFERROR(O1085/N1085,0)</f>
        <v/>
      </c>
    </row>
    <row r="1087">
      <c r="A1087" t="inlineStr">
        <is>
          <t>Attack% Bucket Multiplier</t>
        </is>
      </c>
      <c r="B1087">
        <f>(1+(((C1075=TRUE)*F1075)+((C1082=TRUE)*(F1082-Calc!F24)))/100)</f>
        <v/>
      </c>
    </row>
    <row r="1088">
      <c r="A1088" t="inlineStr">
        <is>
          <t>Global Crit Rate Bonus %</t>
        </is>
      </c>
      <c r="B1088" t="n">
        <v>0</v>
      </c>
    </row>
    <row r="1089">
      <c r="A1089" t="inlineStr">
        <is>
          <t>Attack Speed Buff Bonus % (unused)</t>
        </is>
      </c>
      <c r="B1089" t="n">
        <v>0</v>
      </c>
    </row>
    <row r="1090">
      <c r="A1090" t="inlineStr">
        <is>
          <t>Actions Per Second</t>
        </is>
      </c>
      <c r="B1090">
        <f>1+MIN(150,150*(1-(1-(Inputs!$B$10+((C1078=TRUE)*(F1078-Calc!F20))+((C1079=TRUE)*(F1079-Calc!F21)))/150)*(1-B1089/150)))/100</f>
        <v/>
      </c>
    </row>
    <row r="1091">
      <c r="A1091" t="inlineStr">
        <is>
          <t>Skill + Buff Cast Rate</t>
        </is>
      </c>
      <c r="B1091">
        <f>IF(AND(Inputs!$B$4&lt;&gt;"pvp",Inputs!$B$35&gt;0),SUMPRODUCT((Skills!E2:E27=TRUE)*(C1060:C1085=TRUE)*R1060:R1085*Skills!F2:F27)/Inputs!$B$35,SUMPRODUCT((Skills!E2:E27=TRUE)*(C1060:C1085=TRUE)*Q1060:Q1085*Skills!F2:F27))</f>
        <v/>
      </c>
    </row>
    <row r="1092">
      <c r="A1092" t="inlineStr">
        <is>
          <t>Eight-Legs Easton Casts Per Second</t>
        </is>
      </c>
      <c r="B1092">
        <f>MAX(0,B1090-B1091)</f>
        <v/>
      </c>
    </row>
    <row r="1093">
      <c r="A1093" t="inlineStr">
        <is>
          <t>Global Critical Damage Bonus % (unused)</t>
        </is>
      </c>
      <c r="B1093" t="n">
        <v>0</v>
      </c>
    </row>
    <row r="1094">
      <c r="A1094" t="inlineStr">
        <is>
          <t>Global Final Damage Bonus % (Jolly Roger only)</t>
        </is>
      </c>
      <c r="B1094">
        <f>((C1076=TRUE)*F1076)</f>
        <v/>
      </c>
    </row>
    <row r="1096">
      <c r="A1096" s="5" t="inlineStr">
        <is>
          <t>TOTAL DPS</t>
        </is>
      </c>
      <c r="B1096" s="5">
        <f>SUM(O1060:O1085)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2" customWidth="1" min="16" max="16"/>
    <col width="14" customWidth="1" min="17" max="17"/>
  </cols>
  <sheetData>
    <row r="1">
      <c r="A1" s="8" t="inlineStr">
        <is>
          <t>Slot</t>
        </is>
      </c>
      <c r="B1" s="8" t="inlineStr">
        <is>
          <t>Rarity</t>
        </is>
      </c>
      <c r="C1" s="8" t="inlineStr">
        <is>
          <t>Line</t>
        </is>
      </c>
      <c r="D1" s="8" t="inlineStr">
        <is>
          <t>Stat</t>
        </is>
      </c>
      <c r="E1" s="8" t="inlineStr">
        <is>
          <t>Value</t>
        </is>
      </c>
      <c r="F1" s="8" t="inlineStr">
        <is>
          <t>Weight</t>
        </is>
      </c>
      <c r="G1" s="8" t="inlineStr">
        <is>
          <t>Prime</t>
        </is>
      </c>
      <c r="H1" s="8" t="inlineStr">
        <is>
          <t>DPSPerUnit</t>
        </is>
      </c>
      <c r="J1" s="10" t="inlineStr">
        <is>
          <t>Stat</t>
        </is>
      </c>
      <c r="K1" s="10" t="inlineStr">
        <is>
          <t>DPSPerUnit</t>
        </is>
      </c>
      <c r="M1" s="10" t="inlineStr">
        <is>
          <t>Rarity</t>
        </is>
      </c>
      <c r="N1" s="10" t="inlineStr">
        <is>
          <t>Rate</t>
        </is>
      </c>
      <c r="O1" s="10" t="inlineStr">
        <is>
          <t>MaxPity</t>
        </is>
      </c>
      <c r="Q1" s="10" t="inlineStr">
        <is>
          <t>SlotList</t>
        </is>
      </c>
    </row>
    <row r="2">
      <c r="A2" t="inlineStr">
        <is>
          <t>ALL</t>
        </is>
      </c>
      <c r="B2" t="inlineStr">
        <is>
          <t>normal</t>
        </is>
      </c>
      <c r="C2" t="n">
        <v>1</v>
      </c>
      <c r="D2" t="inlineStr">
        <is>
          <t>Critical Rate %</t>
        </is>
      </c>
      <c r="E2" t="n">
        <v>3</v>
      </c>
      <c r="F2" t="n">
        <v>2.5</v>
      </c>
      <c r="G2" t="b">
        <v>0</v>
      </c>
      <c r="H2">
        <f>IF(Inputs!$B$8&gt;=100,Sensitivity!H16,Sensitivity!H15)</f>
        <v/>
      </c>
      <c r="J2" t="inlineStr">
        <is>
          <t>(none)</t>
        </is>
      </c>
      <c r="K2" t="n">
        <v>0</v>
      </c>
      <c r="M2" t="inlineStr">
        <is>
          <t>normal</t>
        </is>
      </c>
      <c r="N2" t="n">
        <v>0.06</v>
      </c>
      <c r="O2" t="n">
        <v>30</v>
      </c>
      <c r="Q2" t="inlineStr">
        <is>
          <t>head</t>
        </is>
      </c>
    </row>
    <row r="3">
      <c r="A3" t="inlineStr">
        <is>
          <t>ALL</t>
        </is>
      </c>
      <c r="B3" t="inlineStr">
        <is>
          <t>normal</t>
        </is>
      </c>
      <c r="C3" t="n">
        <v>1</v>
      </c>
      <c r="D3" t="inlineStr">
        <is>
          <t>Attack Speed %</t>
        </is>
      </c>
      <c r="E3" t="n">
        <v>3</v>
      </c>
      <c r="F3" t="n">
        <v>2.5</v>
      </c>
      <c r="G3" t="b">
        <v>0</v>
      </c>
      <c r="H3">
        <f>Sensitivity!H17</f>
        <v/>
      </c>
      <c r="J3" t="inlineStr">
        <is>
          <t>All Skill Level</t>
        </is>
      </c>
      <c r="K3">
        <f>Sensitivity!H25</f>
        <v/>
      </c>
      <c r="M3" t="inlineStr">
        <is>
          <t>rare</t>
        </is>
      </c>
      <c r="N3" t="n">
        <v>0.03333</v>
      </c>
      <c r="O3" t="n">
        <v>60</v>
      </c>
      <c r="Q3" t="inlineStr">
        <is>
          <t>cape</t>
        </is>
      </c>
    </row>
    <row r="4">
      <c r="A4" t="inlineStr">
        <is>
          <t>ALL</t>
        </is>
      </c>
      <c r="B4" t="inlineStr">
        <is>
          <t>normal</t>
        </is>
      </c>
      <c r="C4" t="n">
        <v>1</v>
      </c>
      <c r="D4" t="inlineStr">
        <is>
          <t>Damage %</t>
        </is>
      </c>
      <c r="E4" t="n">
        <v>5</v>
      </c>
      <c r="F4" t="n">
        <v>4</v>
      </c>
      <c r="G4" t="b">
        <v>0</v>
      </c>
      <c r="H4">
        <f>Sensitivity!H8</f>
        <v/>
      </c>
      <c r="J4" t="inlineStr">
        <is>
          <t>Attack Speed %</t>
        </is>
      </c>
      <c r="K4">
        <f>Sensitivity!H17</f>
        <v/>
      </c>
      <c r="M4" t="inlineStr">
        <is>
          <t>epic</t>
        </is>
      </c>
      <c r="N4" t="n">
        <v>0.0167</v>
      </c>
      <c r="O4" t="n">
        <v>120</v>
      </c>
      <c r="Q4" t="inlineStr">
        <is>
          <t>chest</t>
        </is>
      </c>
    </row>
    <row r="5">
      <c r="A5" t="inlineStr">
        <is>
          <t>ALL</t>
        </is>
      </c>
      <c r="B5" t="inlineStr">
        <is>
          <t>normal</t>
        </is>
      </c>
      <c r="C5" t="n">
        <v>1</v>
      </c>
      <c r="D5" t="inlineStr">
        <is>
          <t>Min Damage Multiplier %</t>
        </is>
      </c>
      <c r="E5" t="n">
        <v>3</v>
      </c>
      <c r="F5" t="n">
        <v>4</v>
      </c>
      <c r="G5" t="b">
        <v>0</v>
      </c>
      <c r="H5">
        <f>Sensitivity!H13</f>
        <v/>
      </c>
      <c r="J5" t="inlineStr">
        <is>
          <t>Basic Attack Damage %</t>
        </is>
      </c>
      <c r="K5">
        <f>Sensitivity!H19</f>
        <v/>
      </c>
      <c r="M5" t="inlineStr">
        <is>
          <t>unique</t>
        </is>
      </c>
      <c r="N5" t="n">
        <v>0.006</v>
      </c>
      <c r="O5" t="n">
        <v>333</v>
      </c>
      <c r="Q5" t="inlineStr">
        <is>
          <t>shoulders</t>
        </is>
      </c>
    </row>
    <row r="6">
      <c r="A6" t="inlineStr">
        <is>
          <t>ALL</t>
        </is>
      </c>
      <c r="B6" t="inlineStr">
        <is>
          <t>normal</t>
        </is>
      </c>
      <c r="C6" t="n">
        <v>1</v>
      </c>
      <c r="D6" t="inlineStr">
        <is>
          <t>Max Damage Multiplier %</t>
        </is>
      </c>
      <c r="E6" t="n">
        <v>3</v>
      </c>
      <c r="F6" t="n">
        <v>4</v>
      </c>
      <c r="G6" t="b">
        <v>0</v>
      </c>
      <c r="H6">
        <f>Sensitivity!H14</f>
        <v/>
      </c>
      <c r="J6" t="inlineStr">
        <is>
          <t>Basic Attack Target Increase</t>
        </is>
      </c>
      <c r="K6">
        <f>Sensitivity!H29</f>
        <v/>
      </c>
      <c r="M6" t="inlineStr">
        <is>
          <t>legendary</t>
        </is>
      </c>
      <c r="N6" t="n">
        <v>0.0021</v>
      </c>
      <c r="O6" t="n">
        <v>714</v>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Sensitivity!H30</f>
        <v/>
      </c>
      <c r="M7" t="inlineStr">
        <is>
          <t>mystic</t>
        </is>
      </c>
      <c r="N7" t="n">
        <v>0</v>
      </c>
      <c r="O7" t="n">
        <v>0</v>
      </c>
      <c r="Q7" t="inlineStr">
        <is>
          <t>belt</t>
        </is>
      </c>
    </row>
    <row r="8">
      <c r="A8" t="inlineStr">
        <is>
          <t>ALL</t>
        </is>
      </c>
      <c r="B8" t="inlineStr">
        <is>
          <t>normal</t>
        </is>
      </c>
      <c r="C8" t="n">
        <v>1</v>
      </c>
      <c r="D8" t="inlineStr">
        <is>
          <t>Dex %</t>
        </is>
      </c>
      <c r="E8" t="n">
        <v>3</v>
      </c>
      <c r="F8" t="n">
        <v>4.5</v>
      </c>
      <c r="G8" t="b">
        <v>0</v>
      </c>
      <c r="H8">
        <f>Sensitivity!H6</f>
        <v/>
      </c>
      <c r="J8" t="inlineStr">
        <is>
          <t>Companion Summoning Time Increase %</t>
        </is>
      </c>
      <c r="K8">
        <f>Sensitivity!H16</f>
        <v/>
      </c>
      <c r="Q8" t="inlineStr">
        <is>
          <t>gloves</t>
        </is>
      </c>
    </row>
    <row r="9">
      <c r="A9" t="inlineStr">
        <is>
          <t>ALL</t>
        </is>
      </c>
      <c r="B9" t="inlineStr">
        <is>
          <t>normal</t>
        </is>
      </c>
      <c r="C9" t="n">
        <v>1</v>
      </c>
      <c r="D9" t="inlineStr">
        <is>
          <t>Int %</t>
        </is>
      </c>
      <c r="E9" t="n">
        <v>3</v>
      </c>
      <c r="F9" t="n">
        <v>4.5</v>
      </c>
      <c r="G9" t="b">
        <v>0</v>
      </c>
      <c r="H9" t="inlineStr">
        <is>
          <t>0</t>
        </is>
      </c>
      <c r="J9" t="inlineStr">
        <is>
          <t>Critical Damage %</t>
        </is>
      </c>
      <c r="K9">
        <f>Sensitivity!H16</f>
        <v/>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IF(Inputs!$B$8&gt;=100,Sensitivity!H16,Sensitivity!H15)</f>
        <v/>
      </c>
      <c r="Q10" t="inlineStr">
        <is>
          <t>ring</t>
        </is>
      </c>
    </row>
    <row r="11">
      <c r="A11" t="inlineStr">
        <is>
          <t>ALL</t>
        </is>
      </c>
      <c r="B11" t="inlineStr">
        <is>
          <t>normal</t>
        </is>
      </c>
      <c r="C11" t="n">
        <v>1</v>
      </c>
      <c r="D11" t="inlineStr">
        <is>
          <t>Defense %</t>
        </is>
      </c>
      <c r="E11" t="n">
        <v>3</v>
      </c>
      <c r="F11" t="n">
        <v>9</v>
      </c>
      <c r="G11" t="b">
        <v>0</v>
      </c>
      <c r="H11" t="inlineStr">
        <is>
          <t>0</t>
        </is>
      </c>
      <c r="J11" t="inlineStr">
        <is>
          <t>Damage %</t>
        </is>
      </c>
      <c r="K11">
        <f>Sensitivity!H8</f>
        <v/>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t="inlineStr">
        <is>
          <t>0</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Sensitivity!H18</f>
        <v/>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f>Sensitivity!H5</f>
        <v/>
      </c>
      <c r="Q14" t="inlineStr">
        <is>
          <t>face</t>
        </is>
      </c>
    </row>
    <row r="15">
      <c r="A15" t="inlineStr">
        <is>
          <t>ALL</t>
        </is>
      </c>
      <c r="B15" t="inlineStr">
        <is>
          <t>normal</t>
        </is>
      </c>
      <c r="C15" t="n">
        <v>1</v>
      </c>
      <c r="D15" t="inlineStr">
        <is>
          <t>Dex</t>
        </is>
      </c>
      <c r="E15" t="n">
        <v>50</v>
      </c>
      <c r="F15" t="n">
        <v>9.5</v>
      </c>
      <c r="G15" t="b">
        <v>0</v>
      </c>
      <c r="H15">
        <f>Sensitivity!H5</f>
        <v/>
      </c>
      <c r="J15" t="inlineStr">
        <is>
          <t>Dex %</t>
        </is>
      </c>
      <c r="K15">
        <f>Sensitivity!H6</f>
        <v/>
      </c>
      <c r="Q15" t="inlineStr">
        <is>
          <t>earrings</t>
        </is>
      </c>
    </row>
    <row r="16">
      <c r="A16" t="inlineStr">
        <is>
          <t>ALL</t>
        </is>
      </c>
      <c r="B16" t="inlineStr">
        <is>
          <t>normal</t>
        </is>
      </c>
      <c r="C16" t="n">
        <v>1</v>
      </c>
      <c r="D16" t="inlineStr">
        <is>
          <t>Int</t>
        </is>
      </c>
      <c r="E16" t="n">
        <v>50</v>
      </c>
      <c r="F16" t="n">
        <v>9.5</v>
      </c>
      <c r="G16" t="b">
        <v>0</v>
      </c>
      <c r="H16" t="inlineStr">
        <is>
          <t>0</t>
        </is>
      </c>
      <c r="J16" t="inlineStr">
        <is>
          <t>Final Damage %</t>
        </is>
      </c>
      <c r="K16">
        <f>Sensitivity!H12</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t="inlineStr">
        <is>
          <t>0</t>
        </is>
      </c>
    </row>
    <row r="18">
      <c r="A18" t="inlineStr">
        <is>
          <t>ALL</t>
        </is>
      </c>
      <c r="B18" t="inlineStr">
        <is>
          <t>normal</t>
        </is>
      </c>
      <c r="C18" t="n">
        <v>2</v>
      </c>
      <c r="D18" t="inlineStr">
        <is>
          <t>Critical Rate %</t>
        </is>
      </c>
      <c r="E18" t="n">
        <v>3</v>
      </c>
      <c r="F18" t="n">
        <v>2.5</v>
      </c>
      <c r="G18" t="b">
        <v>0</v>
      </c>
      <c r="H18">
        <f>IF(Inputs!$B$8&gt;=100,Sensitivity!H16,Sensitivity!H15)</f>
        <v/>
      </c>
      <c r="J18" t="inlineStr">
        <is>
          <t>Int %</t>
        </is>
      </c>
      <c r="K18" t="inlineStr">
        <is>
          <t>0</t>
        </is>
      </c>
    </row>
    <row r="19">
      <c r="A19" t="inlineStr">
        <is>
          <t>ALL</t>
        </is>
      </c>
      <c r="B19" t="inlineStr">
        <is>
          <t>normal</t>
        </is>
      </c>
      <c r="C19" t="n">
        <v>2</v>
      </c>
      <c r="D19" t="inlineStr">
        <is>
          <t>Attack Speed %</t>
        </is>
      </c>
      <c r="E19" t="n">
        <v>3</v>
      </c>
      <c r="F19" t="n">
        <v>2.5</v>
      </c>
      <c r="G19" t="b">
        <v>0</v>
      </c>
      <c r="H19">
        <f>Sensitivity!H17</f>
        <v/>
      </c>
      <c r="J19" t="inlineStr">
        <is>
          <t>Luk</t>
        </is>
      </c>
      <c r="K19" t="inlineStr">
        <is>
          <t>0</t>
        </is>
      </c>
    </row>
    <row r="20">
      <c r="A20" t="inlineStr">
        <is>
          <t>ALL</t>
        </is>
      </c>
      <c r="B20" t="inlineStr">
        <is>
          <t>normal</t>
        </is>
      </c>
      <c r="C20" t="n">
        <v>2</v>
      </c>
      <c r="D20" t="inlineStr">
        <is>
          <t>Damage %</t>
        </is>
      </c>
      <c r="E20" t="n">
        <v>5</v>
      </c>
      <c r="F20" t="n">
        <v>4</v>
      </c>
      <c r="G20" t="b">
        <v>0</v>
      </c>
      <c r="H20">
        <f>Sensitivity!H8</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Sensitivity!H13</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Sensitivity!H14</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Sensitivity!H14</f>
        <v/>
      </c>
    </row>
    <row r="24">
      <c r="A24" t="inlineStr">
        <is>
          <t>ALL</t>
        </is>
      </c>
      <c r="B24" t="inlineStr">
        <is>
          <t>normal</t>
        </is>
      </c>
      <c r="C24" t="n">
        <v>2</v>
      </c>
      <c r="D24" t="inlineStr">
        <is>
          <t>Dex %</t>
        </is>
      </c>
      <c r="E24" t="n">
        <v>3</v>
      </c>
      <c r="F24" t="n">
        <v>4.5</v>
      </c>
      <c r="G24" t="b">
        <v>0</v>
      </c>
      <c r="H24">
        <f>Sensitivity!H6</f>
        <v/>
      </c>
      <c r="J24" t="inlineStr">
        <is>
          <t>Max HP %</t>
        </is>
      </c>
      <c r="K24" t="inlineStr">
        <is>
          <t>0</t>
        </is>
      </c>
    </row>
    <row r="25">
      <c r="A25" t="inlineStr">
        <is>
          <t>ALL</t>
        </is>
      </c>
      <c r="B25" t="inlineStr">
        <is>
          <t>normal</t>
        </is>
      </c>
      <c r="C25" t="n">
        <v>2</v>
      </c>
      <c r="D25" t="inlineStr">
        <is>
          <t>Int %</t>
        </is>
      </c>
      <c r="E25" t="n">
        <v>3</v>
      </c>
      <c r="F25" t="n">
        <v>4.5</v>
      </c>
      <c r="G25" t="b">
        <v>0</v>
      </c>
      <c r="H25" t="inlineStr">
        <is>
          <t>0</t>
        </is>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Sensitivity!H13</f>
        <v/>
      </c>
    </row>
    <row r="27">
      <c r="A27" t="inlineStr">
        <is>
          <t>ALL</t>
        </is>
      </c>
      <c r="B27" t="inlineStr">
        <is>
          <t>normal</t>
        </is>
      </c>
      <c r="C27" t="n">
        <v>2</v>
      </c>
      <c r="D27" t="inlineStr">
        <is>
          <t>Defense %</t>
        </is>
      </c>
      <c r="E27" t="n">
        <v>3</v>
      </c>
      <c r="F27" t="n">
        <v>9</v>
      </c>
      <c r="G27" t="b">
        <v>0</v>
      </c>
      <c r="H27" t="inlineStr">
        <is>
          <t>0</t>
        </is>
      </c>
      <c r="J27" t="inlineStr">
        <is>
          <t>Skill Cooldown Decrease (seconds)</t>
        </is>
      </c>
      <c r="K27">
        <f>Sensitivity!H28</f>
        <v/>
      </c>
    </row>
    <row r="28">
      <c r="A28" t="inlineStr">
        <is>
          <t>ALL</t>
        </is>
      </c>
      <c r="B28" t="inlineStr">
        <is>
          <t>normal</t>
        </is>
      </c>
      <c r="C28" t="n">
        <v>2</v>
      </c>
      <c r="D28" t="inlineStr">
        <is>
          <t>Max HP %</t>
        </is>
      </c>
      <c r="E28" t="n">
        <v>6</v>
      </c>
      <c r="F28" t="n">
        <v>9</v>
      </c>
      <c r="G28" t="b">
        <v>0</v>
      </c>
      <c r="H28" t="inlineStr">
        <is>
          <t>0</t>
        </is>
      </c>
      <c r="J28" t="inlineStr">
        <is>
          <t>Skill Damage %</t>
        </is>
      </c>
      <c r="K28">
        <f>Sensitivity!H20</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f>Sensitivity!H5</f>
        <v/>
      </c>
    </row>
    <row r="32">
      <c r="A32" t="inlineStr">
        <is>
          <t>ALL</t>
        </is>
      </c>
      <c r="B32" t="inlineStr">
        <is>
          <t>normal</t>
        </is>
      </c>
      <c r="C32" t="n">
        <v>2</v>
      </c>
      <c r="D32" t="inlineStr">
        <is>
          <t>Int</t>
        </is>
      </c>
      <c r="E32" t="n">
        <v>50</v>
      </c>
      <c r="F32" t="n">
        <v>9.5</v>
      </c>
      <c r="G32" t="b">
        <v>0</v>
      </c>
      <c r="H32" t="inlineStr">
        <is>
          <t>0</t>
        </is>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IF(Inputs!$B$8&gt;=100,Sensitivity!H16,Sensitivity!H15)</f>
        <v/>
      </c>
    </row>
    <row r="35">
      <c r="A35" t="inlineStr">
        <is>
          <t>ALL</t>
        </is>
      </c>
      <c r="B35" t="inlineStr">
        <is>
          <t>normal</t>
        </is>
      </c>
      <c r="C35" t="n">
        <v>3</v>
      </c>
      <c r="D35" t="inlineStr">
        <is>
          <t>Attack Speed %</t>
        </is>
      </c>
      <c r="E35" t="n">
        <v>3</v>
      </c>
      <c r="F35" t="n">
        <v>2.5</v>
      </c>
      <c r="G35" t="b">
        <v>0</v>
      </c>
      <c r="H35">
        <f>Sensitivity!H17</f>
        <v/>
      </c>
    </row>
    <row r="36">
      <c r="A36" t="inlineStr">
        <is>
          <t>ALL</t>
        </is>
      </c>
      <c r="B36" t="inlineStr">
        <is>
          <t>normal</t>
        </is>
      </c>
      <c r="C36" t="n">
        <v>3</v>
      </c>
      <c r="D36" t="inlineStr">
        <is>
          <t>Damage %</t>
        </is>
      </c>
      <c r="E36" t="n">
        <v>5</v>
      </c>
      <c r="F36" t="n">
        <v>4</v>
      </c>
      <c r="G36" t="b">
        <v>0</v>
      </c>
      <c r="H36">
        <f>Sensitivity!H8</f>
        <v/>
      </c>
    </row>
    <row r="37">
      <c r="A37" t="inlineStr">
        <is>
          <t>ALL</t>
        </is>
      </c>
      <c r="B37" t="inlineStr">
        <is>
          <t>normal</t>
        </is>
      </c>
      <c r="C37" t="n">
        <v>3</v>
      </c>
      <c r="D37" t="inlineStr">
        <is>
          <t>Min Damage Multiplier %</t>
        </is>
      </c>
      <c r="E37" t="n">
        <v>3</v>
      </c>
      <c r="F37" t="n">
        <v>4</v>
      </c>
      <c r="G37" t="b">
        <v>0</v>
      </c>
      <c r="H37">
        <f>Sensitivity!H13</f>
        <v/>
      </c>
    </row>
    <row r="38">
      <c r="A38" t="inlineStr">
        <is>
          <t>ALL</t>
        </is>
      </c>
      <c r="B38" t="inlineStr">
        <is>
          <t>normal</t>
        </is>
      </c>
      <c r="C38" t="n">
        <v>3</v>
      </c>
      <c r="D38" t="inlineStr">
        <is>
          <t>Max Damage Multiplier %</t>
        </is>
      </c>
      <c r="E38" t="n">
        <v>3</v>
      </c>
      <c r="F38" t="n">
        <v>4</v>
      </c>
      <c r="G38" t="b">
        <v>0</v>
      </c>
      <c r="H38">
        <f>Sensitivity!H14</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f>Sensitivity!H6</f>
        <v/>
      </c>
    </row>
    <row r="41">
      <c r="A41" t="inlineStr">
        <is>
          <t>ALL</t>
        </is>
      </c>
      <c r="B41" t="inlineStr">
        <is>
          <t>normal</t>
        </is>
      </c>
      <c r="C41" t="n">
        <v>3</v>
      </c>
      <c r="D41" t="inlineStr">
        <is>
          <t>Int %</t>
        </is>
      </c>
      <c r="E41" t="n">
        <v>3</v>
      </c>
      <c r="F41" t="n">
        <v>4.5</v>
      </c>
      <c r="G41" t="b">
        <v>0</v>
      </c>
      <c r="H41" t="inlineStr">
        <is>
          <t>0</t>
        </is>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t="inlineStr">
        <is>
          <t>0</t>
        </is>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f>Sensitivity!H5</f>
        <v/>
      </c>
    </row>
    <row r="48">
      <c r="A48" t="inlineStr">
        <is>
          <t>ALL</t>
        </is>
      </c>
      <c r="B48" t="inlineStr">
        <is>
          <t>normal</t>
        </is>
      </c>
      <c r="C48" t="n">
        <v>3</v>
      </c>
      <c r="D48" t="inlineStr">
        <is>
          <t>Int</t>
        </is>
      </c>
      <c r="E48" t="n">
        <v>50</v>
      </c>
      <c r="F48" t="n">
        <v>9.5</v>
      </c>
      <c r="G48" t="b">
        <v>0</v>
      </c>
      <c r="H48" t="inlineStr">
        <is>
          <t>0</t>
        </is>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IF(Inputs!$B$8&gt;=100,Sensitivity!H16,Sensitivity!H15)</f>
        <v/>
      </c>
    </row>
    <row r="51">
      <c r="A51" t="inlineStr">
        <is>
          <t>ALL</t>
        </is>
      </c>
      <c r="B51" t="inlineStr">
        <is>
          <t>rare</t>
        </is>
      </c>
      <c r="C51" t="n">
        <v>1</v>
      </c>
      <c r="D51" t="inlineStr">
        <is>
          <t>Attack Speed %</t>
        </is>
      </c>
      <c r="E51" t="n">
        <v>3.5</v>
      </c>
      <c r="F51" t="n">
        <v>2.5</v>
      </c>
      <c r="G51" t="b">
        <v>1</v>
      </c>
      <c r="H51">
        <f>Sensitivity!H17</f>
        <v/>
      </c>
    </row>
    <row r="52">
      <c r="A52" t="inlineStr">
        <is>
          <t>ALL</t>
        </is>
      </c>
      <c r="B52" t="inlineStr">
        <is>
          <t>rare</t>
        </is>
      </c>
      <c r="C52" t="n">
        <v>1</v>
      </c>
      <c r="D52" t="inlineStr">
        <is>
          <t>Damage %</t>
        </is>
      </c>
      <c r="E52" t="n">
        <v>8</v>
      </c>
      <c r="F52" t="n">
        <v>4</v>
      </c>
      <c r="G52" t="b">
        <v>1</v>
      </c>
      <c r="H52">
        <f>Sensitivity!H8</f>
        <v/>
      </c>
    </row>
    <row r="53">
      <c r="A53" t="inlineStr">
        <is>
          <t>ALL</t>
        </is>
      </c>
      <c r="B53" t="inlineStr">
        <is>
          <t>rare</t>
        </is>
      </c>
      <c r="C53" t="n">
        <v>1</v>
      </c>
      <c r="D53" t="inlineStr">
        <is>
          <t>Min Damage Multiplier %</t>
        </is>
      </c>
      <c r="E53" t="n">
        <v>6</v>
      </c>
      <c r="F53" t="n">
        <v>4</v>
      </c>
      <c r="G53" t="b">
        <v>1</v>
      </c>
      <c r="H53">
        <f>Sensitivity!H13</f>
        <v/>
      </c>
    </row>
    <row r="54">
      <c r="A54" t="inlineStr">
        <is>
          <t>ALL</t>
        </is>
      </c>
      <c r="B54" t="inlineStr">
        <is>
          <t>rare</t>
        </is>
      </c>
      <c r="C54" t="n">
        <v>1</v>
      </c>
      <c r="D54" t="inlineStr">
        <is>
          <t>Max Damage Multiplier %</t>
        </is>
      </c>
      <c r="E54" t="n">
        <v>6</v>
      </c>
      <c r="F54" t="n">
        <v>4</v>
      </c>
      <c r="G54" t="b">
        <v>1</v>
      </c>
      <c r="H54">
        <f>Sensitivity!H14</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f>Sensitivity!H6</f>
        <v/>
      </c>
    </row>
    <row r="57">
      <c r="A57" t="inlineStr">
        <is>
          <t>ALL</t>
        </is>
      </c>
      <c r="B57" t="inlineStr">
        <is>
          <t>rare</t>
        </is>
      </c>
      <c r="C57" t="n">
        <v>1</v>
      </c>
      <c r="D57" t="inlineStr">
        <is>
          <t>Int %</t>
        </is>
      </c>
      <c r="E57" t="n">
        <v>4.5</v>
      </c>
      <c r="F57" t="n">
        <v>4.5</v>
      </c>
      <c r="G57" t="b">
        <v>1</v>
      </c>
      <c r="H57" t="inlineStr">
        <is>
          <t>0</t>
        </is>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t="inlineStr">
        <is>
          <t>0</t>
        </is>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f>Sensitivity!H5</f>
        <v/>
      </c>
    </row>
    <row r="64">
      <c r="A64" t="inlineStr">
        <is>
          <t>ALL</t>
        </is>
      </c>
      <c r="B64" t="inlineStr">
        <is>
          <t>rare</t>
        </is>
      </c>
      <c r="C64" t="n">
        <v>1</v>
      </c>
      <c r="D64" t="inlineStr">
        <is>
          <t>Int</t>
        </is>
      </c>
      <c r="E64" t="n">
        <v>100</v>
      </c>
      <c r="F64" t="n">
        <v>9.5</v>
      </c>
      <c r="G64" t="b">
        <v>1</v>
      </c>
      <c r="H64" t="inlineStr">
        <is>
          <t>0</t>
        </is>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IF(Inputs!$B$8&gt;=100,Sensitivity!H16,Sensitivity!H15)</f>
        <v/>
      </c>
    </row>
    <row r="67">
      <c r="A67" t="inlineStr">
        <is>
          <t>ALL</t>
        </is>
      </c>
      <c r="B67" t="inlineStr">
        <is>
          <t>rare</t>
        </is>
      </c>
      <c r="C67" t="n">
        <v>2</v>
      </c>
      <c r="D67" t="inlineStr">
        <is>
          <t>Critical Rate %</t>
        </is>
      </c>
      <c r="E67" t="n">
        <v>4.5</v>
      </c>
      <c r="F67" t="n">
        <v>0.6</v>
      </c>
      <c r="G67" t="b">
        <v>1</v>
      </c>
      <c r="H67">
        <f>IF(Inputs!$B$8&gt;=100,Sensitivity!H16,Sensitivity!H15)</f>
        <v/>
      </c>
    </row>
    <row r="68">
      <c r="A68" t="inlineStr">
        <is>
          <t>ALL</t>
        </is>
      </c>
      <c r="B68" t="inlineStr">
        <is>
          <t>rare</t>
        </is>
      </c>
      <c r="C68" t="n">
        <v>2</v>
      </c>
      <c r="D68" t="inlineStr">
        <is>
          <t>Attack Speed %</t>
        </is>
      </c>
      <c r="E68" t="n">
        <v>3</v>
      </c>
      <c r="F68" t="n">
        <v>1.9</v>
      </c>
      <c r="G68" t="b">
        <v>0</v>
      </c>
      <c r="H68">
        <f>Sensitivity!H17</f>
        <v/>
      </c>
    </row>
    <row r="69">
      <c r="A69" t="inlineStr">
        <is>
          <t>ALL</t>
        </is>
      </c>
      <c r="B69" t="inlineStr">
        <is>
          <t>rare</t>
        </is>
      </c>
      <c r="C69" t="n">
        <v>2</v>
      </c>
      <c r="D69" t="inlineStr">
        <is>
          <t>Attack Speed %</t>
        </is>
      </c>
      <c r="E69" t="n">
        <v>3.5</v>
      </c>
      <c r="F69" t="n">
        <v>0.6</v>
      </c>
      <c r="G69" t="b">
        <v>1</v>
      </c>
      <c r="H69">
        <f>Sensitivity!H17</f>
        <v/>
      </c>
    </row>
    <row r="70">
      <c r="A70" t="inlineStr">
        <is>
          <t>ALL</t>
        </is>
      </c>
      <c r="B70" t="inlineStr">
        <is>
          <t>rare</t>
        </is>
      </c>
      <c r="C70" t="n">
        <v>2</v>
      </c>
      <c r="D70" t="inlineStr">
        <is>
          <t>Damage %</t>
        </is>
      </c>
      <c r="E70" t="n">
        <v>5</v>
      </c>
      <c r="F70" t="n">
        <v>3.04</v>
      </c>
      <c r="G70" t="b">
        <v>0</v>
      </c>
      <c r="H70">
        <f>Sensitivity!H8</f>
        <v/>
      </c>
    </row>
    <row r="71">
      <c r="A71" t="inlineStr">
        <is>
          <t>ALL</t>
        </is>
      </c>
      <c r="B71" t="inlineStr">
        <is>
          <t>rare</t>
        </is>
      </c>
      <c r="C71" t="n">
        <v>2</v>
      </c>
      <c r="D71" t="inlineStr">
        <is>
          <t>Damage %</t>
        </is>
      </c>
      <c r="E71" t="n">
        <v>8</v>
      </c>
      <c r="F71" t="n">
        <v>0.96</v>
      </c>
      <c r="G71" t="b">
        <v>1</v>
      </c>
      <c r="H71">
        <f>Sensitivity!H8</f>
        <v/>
      </c>
    </row>
    <row r="72">
      <c r="A72" t="inlineStr">
        <is>
          <t>ALL</t>
        </is>
      </c>
      <c r="B72" t="inlineStr">
        <is>
          <t>rare</t>
        </is>
      </c>
      <c r="C72" t="n">
        <v>2</v>
      </c>
      <c r="D72" t="inlineStr">
        <is>
          <t>Min Damage Multiplier %</t>
        </is>
      </c>
      <c r="E72" t="n">
        <v>3</v>
      </c>
      <c r="F72" t="n">
        <v>3.04</v>
      </c>
      <c r="G72" t="b">
        <v>0</v>
      </c>
      <c r="H72">
        <f>Sensitivity!H13</f>
        <v/>
      </c>
    </row>
    <row r="73">
      <c r="A73" t="inlineStr">
        <is>
          <t>ALL</t>
        </is>
      </c>
      <c r="B73" t="inlineStr">
        <is>
          <t>rare</t>
        </is>
      </c>
      <c r="C73" t="n">
        <v>2</v>
      </c>
      <c r="D73" t="inlineStr">
        <is>
          <t>Min Damage Multiplier %</t>
        </is>
      </c>
      <c r="E73" t="n">
        <v>6</v>
      </c>
      <c r="F73" t="n">
        <v>0.96</v>
      </c>
      <c r="G73" t="b">
        <v>1</v>
      </c>
      <c r="H73">
        <f>Sensitivity!H13</f>
        <v/>
      </c>
    </row>
    <row r="74">
      <c r="A74" t="inlineStr">
        <is>
          <t>ALL</t>
        </is>
      </c>
      <c r="B74" t="inlineStr">
        <is>
          <t>rare</t>
        </is>
      </c>
      <c r="C74" t="n">
        <v>2</v>
      </c>
      <c r="D74" t="inlineStr">
        <is>
          <t>Max Damage Multiplier %</t>
        </is>
      </c>
      <c r="E74" t="n">
        <v>3</v>
      </c>
      <c r="F74" t="n">
        <v>3.04</v>
      </c>
      <c r="G74" t="b">
        <v>0</v>
      </c>
      <c r="H74">
        <f>Sensitivity!H14</f>
        <v/>
      </c>
    </row>
    <row r="75">
      <c r="A75" t="inlineStr">
        <is>
          <t>ALL</t>
        </is>
      </c>
      <c r="B75" t="inlineStr">
        <is>
          <t>rare</t>
        </is>
      </c>
      <c r="C75" t="n">
        <v>2</v>
      </c>
      <c r="D75" t="inlineStr">
        <is>
          <t>Max Damage Multiplier %</t>
        </is>
      </c>
      <c r="E75" t="n">
        <v>6</v>
      </c>
      <c r="F75" t="n">
        <v>0.96</v>
      </c>
      <c r="G75" t="b">
        <v>1</v>
      </c>
      <c r="H75">
        <f>Sensitivity!H14</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f>Sensitivity!H6</f>
        <v/>
      </c>
    </row>
    <row r="79">
      <c r="A79" t="inlineStr">
        <is>
          <t>ALL</t>
        </is>
      </c>
      <c r="B79" t="inlineStr">
        <is>
          <t>rare</t>
        </is>
      </c>
      <c r="C79" t="n">
        <v>2</v>
      </c>
      <c r="D79" t="inlineStr">
        <is>
          <t>Dex %</t>
        </is>
      </c>
      <c r="E79" t="n">
        <v>4.5</v>
      </c>
      <c r="F79" t="n">
        <v>1.08</v>
      </c>
      <c r="G79" t="b">
        <v>1</v>
      </c>
      <c r="H79">
        <f>Sensitivity!H6</f>
        <v/>
      </c>
    </row>
    <row r="80">
      <c r="A80" t="inlineStr">
        <is>
          <t>ALL</t>
        </is>
      </c>
      <c r="B80" t="inlineStr">
        <is>
          <t>rare</t>
        </is>
      </c>
      <c r="C80" t="n">
        <v>2</v>
      </c>
      <c r="D80" t="inlineStr">
        <is>
          <t>Int %</t>
        </is>
      </c>
      <c r="E80" t="n">
        <v>3</v>
      </c>
      <c r="F80" t="n">
        <v>3.42</v>
      </c>
      <c r="G80" t="b">
        <v>0</v>
      </c>
      <c r="H80" t="inlineStr">
        <is>
          <t>0</t>
        </is>
      </c>
    </row>
    <row r="81">
      <c r="A81" t="inlineStr">
        <is>
          <t>ALL</t>
        </is>
      </c>
      <c r="B81" t="inlineStr">
        <is>
          <t>rare</t>
        </is>
      </c>
      <c r="C81" t="n">
        <v>2</v>
      </c>
      <c r="D81" t="inlineStr">
        <is>
          <t>Int %</t>
        </is>
      </c>
      <c r="E81" t="n">
        <v>4.5</v>
      </c>
      <c r="F81" t="n">
        <v>1.08</v>
      </c>
      <c r="G81" t="b">
        <v>1</v>
      </c>
      <c r="H81" t="inlineStr">
        <is>
          <t>0</t>
        </is>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t="inlineStr">
        <is>
          <t>0</t>
        </is>
      </c>
    </row>
    <row r="85">
      <c r="A85" t="inlineStr">
        <is>
          <t>ALL</t>
        </is>
      </c>
      <c r="B85" t="inlineStr">
        <is>
          <t>rare</t>
        </is>
      </c>
      <c r="C85" t="n">
        <v>2</v>
      </c>
      <c r="D85" t="inlineStr">
        <is>
          <t>Defense %</t>
        </is>
      </c>
      <c r="E85" t="n">
        <v>4.5</v>
      </c>
      <c r="F85" t="n">
        <v>2.16</v>
      </c>
      <c r="G85" t="b">
        <v>1</v>
      </c>
      <c r="H85" t="inlineStr">
        <is>
          <t>0</t>
        </is>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f>Sensitivity!H5</f>
        <v/>
      </c>
    </row>
    <row r="93">
      <c r="A93" t="inlineStr">
        <is>
          <t>ALL</t>
        </is>
      </c>
      <c r="B93" t="inlineStr">
        <is>
          <t>rare</t>
        </is>
      </c>
      <c r="C93" t="n">
        <v>2</v>
      </c>
      <c r="D93" t="inlineStr">
        <is>
          <t>Dex</t>
        </is>
      </c>
      <c r="E93" t="n">
        <v>100</v>
      </c>
      <c r="F93" t="n">
        <v>2.28</v>
      </c>
      <c r="G93" t="b">
        <v>1</v>
      </c>
      <c r="H93">
        <f>Sensitivity!H5</f>
        <v/>
      </c>
    </row>
    <row r="94">
      <c r="A94" t="inlineStr">
        <is>
          <t>ALL</t>
        </is>
      </c>
      <c r="B94" t="inlineStr">
        <is>
          <t>rare</t>
        </is>
      </c>
      <c r="C94" t="n">
        <v>2</v>
      </c>
      <c r="D94" t="inlineStr">
        <is>
          <t>Int</t>
        </is>
      </c>
      <c r="E94" t="n">
        <v>50</v>
      </c>
      <c r="F94" t="n">
        <v>7.22</v>
      </c>
      <c r="G94" t="b">
        <v>0</v>
      </c>
      <c r="H94" t="inlineStr">
        <is>
          <t>0</t>
        </is>
      </c>
    </row>
    <row r="95">
      <c r="A95" t="inlineStr">
        <is>
          <t>ALL</t>
        </is>
      </c>
      <c r="B95" t="inlineStr">
        <is>
          <t>rare</t>
        </is>
      </c>
      <c r="C95" t="n">
        <v>2</v>
      </c>
      <c r="D95" t="inlineStr">
        <is>
          <t>Int</t>
        </is>
      </c>
      <c r="E95" t="n">
        <v>100</v>
      </c>
      <c r="F95" t="n">
        <v>2.28</v>
      </c>
      <c r="G95" t="b">
        <v>1</v>
      </c>
      <c r="H95" t="inlineStr">
        <is>
          <t>0</t>
        </is>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IF(Inputs!$B$8&gt;=100,Sensitivity!H16,Sensitivity!H15)</f>
        <v/>
      </c>
    </row>
    <row r="99">
      <c r="A99" t="inlineStr">
        <is>
          <t>ALL</t>
        </is>
      </c>
      <c r="B99" t="inlineStr">
        <is>
          <t>rare</t>
        </is>
      </c>
      <c r="C99" t="n">
        <v>3</v>
      </c>
      <c r="D99" t="inlineStr">
        <is>
          <t>Critical Rate %</t>
        </is>
      </c>
      <c r="E99" t="n">
        <v>4.5</v>
      </c>
      <c r="F99" t="n">
        <v>0.2</v>
      </c>
      <c r="G99" t="b">
        <v>1</v>
      </c>
      <c r="H99">
        <f>IF(Inputs!$B$8&gt;=100,Sensitivity!H16,Sensitivity!H15)</f>
        <v/>
      </c>
    </row>
    <row r="100">
      <c r="A100" t="inlineStr">
        <is>
          <t>ALL</t>
        </is>
      </c>
      <c r="B100" t="inlineStr">
        <is>
          <t>rare</t>
        </is>
      </c>
      <c r="C100" t="n">
        <v>3</v>
      </c>
      <c r="D100" t="inlineStr">
        <is>
          <t>Attack Speed %</t>
        </is>
      </c>
      <c r="E100" t="n">
        <v>3</v>
      </c>
      <c r="F100" t="n">
        <v>2.3</v>
      </c>
      <c r="G100" t="b">
        <v>0</v>
      </c>
      <c r="H100">
        <f>Sensitivity!H17</f>
        <v/>
      </c>
    </row>
    <row r="101">
      <c r="A101" t="inlineStr">
        <is>
          <t>ALL</t>
        </is>
      </c>
      <c r="B101" t="inlineStr">
        <is>
          <t>rare</t>
        </is>
      </c>
      <c r="C101" t="n">
        <v>3</v>
      </c>
      <c r="D101" t="inlineStr">
        <is>
          <t>Attack Speed %</t>
        </is>
      </c>
      <c r="E101" t="n">
        <v>3.5</v>
      </c>
      <c r="F101" t="n">
        <v>0.2</v>
      </c>
      <c r="G101" t="b">
        <v>1</v>
      </c>
      <c r="H101">
        <f>Sensitivity!H17</f>
        <v/>
      </c>
    </row>
    <row r="102">
      <c r="A102" t="inlineStr">
        <is>
          <t>ALL</t>
        </is>
      </c>
      <c r="B102" t="inlineStr">
        <is>
          <t>rare</t>
        </is>
      </c>
      <c r="C102" t="n">
        <v>3</v>
      </c>
      <c r="D102" t="inlineStr">
        <is>
          <t>Damage %</t>
        </is>
      </c>
      <c r="E102" t="n">
        <v>5</v>
      </c>
      <c r="F102" t="n">
        <v>3.68</v>
      </c>
      <c r="G102" t="b">
        <v>0</v>
      </c>
      <c r="H102">
        <f>Sensitivity!H8</f>
        <v/>
      </c>
    </row>
    <row r="103">
      <c r="A103" t="inlineStr">
        <is>
          <t>ALL</t>
        </is>
      </c>
      <c r="B103" t="inlineStr">
        <is>
          <t>rare</t>
        </is>
      </c>
      <c r="C103" t="n">
        <v>3</v>
      </c>
      <c r="D103" t="inlineStr">
        <is>
          <t>Damage %</t>
        </is>
      </c>
      <c r="E103" t="n">
        <v>8</v>
      </c>
      <c r="F103" t="n">
        <v>0.32</v>
      </c>
      <c r="G103" t="b">
        <v>1</v>
      </c>
      <c r="H103">
        <f>Sensitivity!H8</f>
        <v/>
      </c>
    </row>
    <row r="104">
      <c r="A104" t="inlineStr">
        <is>
          <t>ALL</t>
        </is>
      </c>
      <c r="B104" t="inlineStr">
        <is>
          <t>rare</t>
        </is>
      </c>
      <c r="C104" t="n">
        <v>3</v>
      </c>
      <c r="D104" t="inlineStr">
        <is>
          <t>Min Damage Multiplier %</t>
        </is>
      </c>
      <c r="E104" t="n">
        <v>3</v>
      </c>
      <c r="F104" t="n">
        <v>3.68</v>
      </c>
      <c r="G104" t="b">
        <v>0</v>
      </c>
      <c r="H104">
        <f>Sensitivity!H13</f>
        <v/>
      </c>
    </row>
    <row r="105">
      <c r="A105" t="inlineStr">
        <is>
          <t>ALL</t>
        </is>
      </c>
      <c r="B105" t="inlineStr">
        <is>
          <t>rare</t>
        </is>
      </c>
      <c r="C105" t="n">
        <v>3</v>
      </c>
      <c r="D105" t="inlineStr">
        <is>
          <t>Min Damage Multiplier %</t>
        </is>
      </c>
      <c r="E105" t="n">
        <v>6</v>
      </c>
      <c r="F105" t="n">
        <v>0.32</v>
      </c>
      <c r="G105" t="b">
        <v>1</v>
      </c>
      <c r="H105">
        <f>Sensitivity!H13</f>
        <v/>
      </c>
    </row>
    <row r="106">
      <c r="A106" t="inlineStr">
        <is>
          <t>ALL</t>
        </is>
      </c>
      <c r="B106" t="inlineStr">
        <is>
          <t>rare</t>
        </is>
      </c>
      <c r="C106" t="n">
        <v>3</v>
      </c>
      <c r="D106" t="inlineStr">
        <is>
          <t>Max Damage Multiplier %</t>
        </is>
      </c>
      <c r="E106" t="n">
        <v>3</v>
      </c>
      <c r="F106" t="n">
        <v>3.68</v>
      </c>
      <c r="G106" t="b">
        <v>0</v>
      </c>
      <c r="H106">
        <f>Sensitivity!H14</f>
        <v/>
      </c>
    </row>
    <row r="107">
      <c r="A107" t="inlineStr">
        <is>
          <t>ALL</t>
        </is>
      </c>
      <c r="B107" t="inlineStr">
        <is>
          <t>rare</t>
        </is>
      </c>
      <c r="C107" t="n">
        <v>3</v>
      </c>
      <c r="D107" t="inlineStr">
        <is>
          <t>Max Damage Multiplier %</t>
        </is>
      </c>
      <c r="E107" t="n">
        <v>6</v>
      </c>
      <c r="F107" t="n">
        <v>0.32</v>
      </c>
      <c r="G107" t="b">
        <v>1</v>
      </c>
      <c r="H107">
        <f>Sensitivity!H14</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f>Sensitivity!H6</f>
        <v/>
      </c>
    </row>
    <row r="111">
      <c r="A111" t="inlineStr">
        <is>
          <t>ALL</t>
        </is>
      </c>
      <c r="B111" t="inlineStr">
        <is>
          <t>rare</t>
        </is>
      </c>
      <c r="C111" t="n">
        <v>3</v>
      </c>
      <c r="D111" t="inlineStr">
        <is>
          <t>Dex %</t>
        </is>
      </c>
      <c r="E111" t="n">
        <v>4.5</v>
      </c>
      <c r="F111" t="n">
        <v>0.36</v>
      </c>
      <c r="G111" t="b">
        <v>1</v>
      </c>
      <c r="H111">
        <f>Sensitivity!H6</f>
        <v/>
      </c>
    </row>
    <row r="112">
      <c r="A112" t="inlineStr">
        <is>
          <t>ALL</t>
        </is>
      </c>
      <c r="B112" t="inlineStr">
        <is>
          <t>rare</t>
        </is>
      </c>
      <c r="C112" t="n">
        <v>3</v>
      </c>
      <c r="D112" t="inlineStr">
        <is>
          <t>Int %</t>
        </is>
      </c>
      <c r="E112" t="n">
        <v>3</v>
      </c>
      <c r="F112" t="n">
        <v>4.14</v>
      </c>
      <c r="G112" t="b">
        <v>0</v>
      </c>
      <c r="H112" t="inlineStr">
        <is>
          <t>0</t>
        </is>
      </c>
    </row>
    <row r="113">
      <c r="A113" t="inlineStr">
        <is>
          <t>ALL</t>
        </is>
      </c>
      <c r="B113" t="inlineStr">
        <is>
          <t>rare</t>
        </is>
      </c>
      <c r="C113" t="n">
        <v>3</v>
      </c>
      <c r="D113" t="inlineStr">
        <is>
          <t>Int %</t>
        </is>
      </c>
      <c r="E113" t="n">
        <v>4.5</v>
      </c>
      <c r="F113" t="n">
        <v>0.36</v>
      </c>
      <c r="G113" t="b">
        <v>1</v>
      </c>
      <c r="H113" t="inlineStr">
        <is>
          <t>0</t>
        </is>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t="inlineStr">
        <is>
          <t>0</t>
        </is>
      </c>
    </row>
    <row r="117">
      <c r="A117" t="inlineStr">
        <is>
          <t>ALL</t>
        </is>
      </c>
      <c r="B117" t="inlineStr">
        <is>
          <t>rare</t>
        </is>
      </c>
      <c r="C117" t="n">
        <v>3</v>
      </c>
      <c r="D117" t="inlineStr">
        <is>
          <t>Defense %</t>
        </is>
      </c>
      <c r="E117" t="n">
        <v>4.5</v>
      </c>
      <c r="F117" t="n">
        <v>0.72</v>
      </c>
      <c r="G117" t="b">
        <v>1</v>
      </c>
      <c r="H117" t="inlineStr">
        <is>
          <t>0</t>
        </is>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f>Sensitivity!H5</f>
        <v/>
      </c>
    </row>
    <row r="125">
      <c r="A125" t="inlineStr">
        <is>
          <t>ALL</t>
        </is>
      </c>
      <c r="B125" t="inlineStr">
        <is>
          <t>rare</t>
        </is>
      </c>
      <c r="C125" t="n">
        <v>3</v>
      </c>
      <c r="D125" t="inlineStr">
        <is>
          <t>Dex</t>
        </is>
      </c>
      <c r="E125" t="n">
        <v>100</v>
      </c>
      <c r="F125" t="n">
        <v>0.76</v>
      </c>
      <c r="G125" t="b">
        <v>1</v>
      </c>
      <c r="H125">
        <f>Sensitivity!H5</f>
        <v/>
      </c>
    </row>
    <row r="126">
      <c r="A126" t="inlineStr">
        <is>
          <t>ALL</t>
        </is>
      </c>
      <c r="B126" t="inlineStr">
        <is>
          <t>rare</t>
        </is>
      </c>
      <c r="C126" t="n">
        <v>3</v>
      </c>
      <c r="D126" t="inlineStr">
        <is>
          <t>Int</t>
        </is>
      </c>
      <c r="E126" t="n">
        <v>50</v>
      </c>
      <c r="F126" t="n">
        <v>8.74</v>
      </c>
      <c r="G126" t="b">
        <v>0</v>
      </c>
      <c r="H126" t="inlineStr">
        <is>
          <t>0</t>
        </is>
      </c>
    </row>
    <row r="127">
      <c r="A127" t="inlineStr">
        <is>
          <t>ALL</t>
        </is>
      </c>
      <c r="B127" t="inlineStr">
        <is>
          <t>rare</t>
        </is>
      </c>
      <c r="C127" t="n">
        <v>3</v>
      </c>
      <c r="D127" t="inlineStr">
        <is>
          <t>Int</t>
        </is>
      </c>
      <c r="E127" t="n">
        <v>100</v>
      </c>
      <c r="F127" t="n">
        <v>0.76</v>
      </c>
      <c r="G127" t="b">
        <v>1</v>
      </c>
      <c r="H127" t="inlineStr">
        <is>
          <t>0</t>
        </is>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IF(Inputs!$B$8&gt;=100,Sensitivity!H16,Sensitivity!H15)</f>
        <v/>
      </c>
    </row>
    <row r="131">
      <c r="A131" t="inlineStr">
        <is>
          <t>ALL</t>
        </is>
      </c>
      <c r="B131" t="inlineStr">
        <is>
          <t>epic</t>
        </is>
      </c>
      <c r="C131" t="n">
        <v>1</v>
      </c>
      <c r="D131" t="inlineStr">
        <is>
          <t>Attack Speed %</t>
        </is>
      </c>
      <c r="E131" t="n">
        <v>4</v>
      </c>
      <c r="F131" t="n">
        <v>2.5</v>
      </c>
      <c r="G131" t="b">
        <v>1</v>
      </c>
      <c r="H131">
        <f>Sensitivity!H17</f>
        <v/>
      </c>
    </row>
    <row r="132">
      <c r="A132" t="inlineStr">
        <is>
          <t>ALL</t>
        </is>
      </c>
      <c r="B132" t="inlineStr">
        <is>
          <t>epic</t>
        </is>
      </c>
      <c r="C132" t="n">
        <v>1</v>
      </c>
      <c r="D132" t="inlineStr">
        <is>
          <t>Damage %</t>
        </is>
      </c>
      <c r="E132" t="n">
        <v>12</v>
      </c>
      <c r="F132" t="n">
        <v>4</v>
      </c>
      <c r="G132" t="b">
        <v>1</v>
      </c>
      <c r="H132">
        <f>Sensitivity!H8</f>
        <v/>
      </c>
    </row>
    <row r="133">
      <c r="A133" t="inlineStr">
        <is>
          <t>ALL</t>
        </is>
      </c>
      <c r="B133" t="inlineStr">
        <is>
          <t>epic</t>
        </is>
      </c>
      <c r="C133" t="n">
        <v>1</v>
      </c>
      <c r="D133" t="inlineStr">
        <is>
          <t>Min Damage Multiplier %</t>
        </is>
      </c>
      <c r="E133" t="n">
        <v>8</v>
      </c>
      <c r="F133" t="n">
        <v>4</v>
      </c>
      <c r="G133" t="b">
        <v>1</v>
      </c>
      <c r="H133">
        <f>Sensitivity!H13</f>
        <v/>
      </c>
    </row>
    <row r="134">
      <c r="A134" t="inlineStr">
        <is>
          <t>ALL</t>
        </is>
      </c>
      <c r="B134" t="inlineStr">
        <is>
          <t>epic</t>
        </is>
      </c>
      <c r="C134" t="n">
        <v>1</v>
      </c>
      <c r="D134" t="inlineStr">
        <is>
          <t>Max Damage Multiplier %</t>
        </is>
      </c>
      <c r="E134" t="n">
        <v>8</v>
      </c>
      <c r="F134" t="n">
        <v>4</v>
      </c>
      <c r="G134" t="b">
        <v>1</v>
      </c>
      <c r="H134">
        <f>Sensitivity!H14</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f>Sensitivity!H6</f>
        <v/>
      </c>
    </row>
    <row r="137">
      <c r="A137" t="inlineStr">
        <is>
          <t>ALL</t>
        </is>
      </c>
      <c r="B137" t="inlineStr">
        <is>
          <t>epic</t>
        </is>
      </c>
      <c r="C137" t="n">
        <v>1</v>
      </c>
      <c r="D137" t="inlineStr">
        <is>
          <t>Int %</t>
        </is>
      </c>
      <c r="E137" t="n">
        <v>6</v>
      </c>
      <c r="F137" t="n">
        <v>4.5</v>
      </c>
      <c r="G137" t="b">
        <v>1</v>
      </c>
      <c r="H137" t="inlineStr">
        <is>
          <t>0</t>
        </is>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t="inlineStr">
        <is>
          <t>0</t>
        </is>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f>Sensitivity!H5</f>
        <v/>
      </c>
    </row>
    <row r="144">
      <c r="A144" t="inlineStr">
        <is>
          <t>ALL</t>
        </is>
      </c>
      <c r="B144" t="inlineStr">
        <is>
          <t>epic</t>
        </is>
      </c>
      <c r="C144" t="n">
        <v>1</v>
      </c>
      <c r="D144" t="inlineStr">
        <is>
          <t>Int</t>
        </is>
      </c>
      <c r="E144" t="n">
        <v>200</v>
      </c>
      <c r="F144" t="n">
        <v>9.25</v>
      </c>
      <c r="G144" t="b">
        <v>1</v>
      </c>
      <c r="H144" t="inlineStr">
        <is>
          <t>0</t>
        </is>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IF(Inputs!$B$8&gt;=100,Sensitivity!H16,Sensitivity!H15)</f>
        <v/>
      </c>
    </row>
    <row r="147">
      <c r="A147" t="inlineStr">
        <is>
          <t>ALL</t>
        </is>
      </c>
      <c r="B147" t="inlineStr">
        <is>
          <t>epic</t>
        </is>
      </c>
      <c r="C147" t="n">
        <v>2</v>
      </c>
      <c r="D147" t="inlineStr">
        <is>
          <t>Critical Rate %</t>
        </is>
      </c>
      <c r="E147" t="n">
        <v>6</v>
      </c>
      <c r="F147" t="n">
        <v>0.6</v>
      </c>
      <c r="G147" t="b">
        <v>1</v>
      </c>
      <c r="H147">
        <f>IF(Inputs!$B$8&gt;=100,Sensitivity!H16,Sensitivity!H15)</f>
        <v/>
      </c>
    </row>
    <row r="148">
      <c r="A148" t="inlineStr">
        <is>
          <t>ALL</t>
        </is>
      </c>
      <c r="B148" t="inlineStr">
        <is>
          <t>epic</t>
        </is>
      </c>
      <c r="C148" t="n">
        <v>2</v>
      </c>
      <c r="D148" t="inlineStr">
        <is>
          <t>Attack Speed %</t>
        </is>
      </c>
      <c r="E148" t="n">
        <v>3.5</v>
      </c>
      <c r="F148" t="n">
        <v>1.9</v>
      </c>
      <c r="G148" t="b">
        <v>0</v>
      </c>
      <c r="H148">
        <f>Sensitivity!H17</f>
        <v/>
      </c>
    </row>
    <row r="149">
      <c r="A149" t="inlineStr">
        <is>
          <t>ALL</t>
        </is>
      </c>
      <c r="B149" t="inlineStr">
        <is>
          <t>epic</t>
        </is>
      </c>
      <c r="C149" t="n">
        <v>2</v>
      </c>
      <c r="D149" t="inlineStr">
        <is>
          <t>Attack Speed %</t>
        </is>
      </c>
      <c r="E149" t="n">
        <v>4</v>
      </c>
      <c r="F149" t="n">
        <v>0.6</v>
      </c>
      <c r="G149" t="b">
        <v>1</v>
      </c>
      <c r="H149">
        <f>Sensitivity!H17</f>
        <v/>
      </c>
    </row>
    <row r="150">
      <c r="A150" t="inlineStr">
        <is>
          <t>ALL</t>
        </is>
      </c>
      <c r="B150" t="inlineStr">
        <is>
          <t>epic</t>
        </is>
      </c>
      <c r="C150" t="n">
        <v>2</v>
      </c>
      <c r="D150" t="inlineStr">
        <is>
          <t>Damage %</t>
        </is>
      </c>
      <c r="E150" t="n">
        <v>8</v>
      </c>
      <c r="F150" t="n">
        <v>3.04</v>
      </c>
      <c r="G150" t="b">
        <v>0</v>
      </c>
      <c r="H150">
        <f>Sensitivity!H8</f>
        <v/>
      </c>
    </row>
    <row r="151">
      <c r="A151" t="inlineStr">
        <is>
          <t>ALL</t>
        </is>
      </c>
      <c r="B151" t="inlineStr">
        <is>
          <t>epic</t>
        </is>
      </c>
      <c r="C151" t="n">
        <v>2</v>
      </c>
      <c r="D151" t="inlineStr">
        <is>
          <t>Damage %</t>
        </is>
      </c>
      <c r="E151" t="n">
        <v>12</v>
      </c>
      <c r="F151" t="n">
        <v>0.96</v>
      </c>
      <c r="G151" t="b">
        <v>1</v>
      </c>
      <c r="H151">
        <f>Sensitivity!H8</f>
        <v/>
      </c>
    </row>
    <row r="152">
      <c r="A152" t="inlineStr">
        <is>
          <t>ALL</t>
        </is>
      </c>
      <c r="B152" t="inlineStr">
        <is>
          <t>epic</t>
        </is>
      </c>
      <c r="C152" t="n">
        <v>2</v>
      </c>
      <c r="D152" t="inlineStr">
        <is>
          <t>Min Damage Multiplier %</t>
        </is>
      </c>
      <c r="E152" t="n">
        <v>6</v>
      </c>
      <c r="F152" t="n">
        <v>3.04</v>
      </c>
      <c r="G152" t="b">
        <v>0</v>
      </c>
      <c r="H152">
        <f>Sensitivity!H13</f>
        <v/>
      </c>
    </row>
    <row r="153">
      <c r="A153" t="inlineStr">
        <is>
          <t>ALL</t>
        </is>
      </c>
      <c r="B153" t="inlineStr">
        <is>
          <t>epic</t>
        </is>
      </c>
      <c r="C153" t="n">
        <v>2</v>
      </c>
      <c r="D153" t="inlineStr">
        <is>
          <t>Min Damage Multiplier %</t>
        </is>
      </c>
      <c r="E153" t="n">
        <v>8</v>
      </c>
      <c r="F153" t="n">
        <v>0.96</v>
      </c>
      <c r="G153" t="b">
        <v>1</v>
      </c>
      <c r="H153">
        <f>Sensitivity!H13</f>
        <v/>
      </c>
    </row>
    <row r="154">
      <c r="A154" t="inlineStr">
        <is>
          <t>ALL</t>
        </is>
      </c>
      <c r="B154" t="inlineStr">
        <is>
          <t>epic</t>
        </is>
      </c>
      <c r="C154" t="n">
        <v>2</v>
      </c>
      <c r="D154" t="inlineStr">
        <is>
          <t>Max Damage Multiplier %</t>
        </is>
      </c>
      <c r="E154" t="n">
        <v>6</v>
      </c>
      <c r="F154" t="n">
        <v>3.04</v>
      </c>
      <c r="G154" t="b">
        <v>0</v>
      </c>
      <c r="H154">
        <f>Sensitivity!H14</f>
        <v/>
      </c>
    </row>
    <row r="155">
      <c r="A155" t="inlineStr">
        <is>
          <t>ALL</t>
        </is>
      </c>
      <c r="B155" t="inlineStr">
        <is>
          <t>epic</t>
        </is>
      </c>
      <c r="C155" t="n">
        <v>2</v>
      </c>
      <c r="D155" t="inlineStr">
        <is>
          <t>Max Damage Multiplier %</t>
        </is>
      </c>
      <c r="E155" t="n">
        <v>8</v>
      </c>
      <c r="F155" t="n">
        <v>0.96</v>
      </c>
      <c r="G155" t="b">
        <v>1</v>
      </c>
      <c r="H155">
        <f>Sensitivity!H14</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f>Sensitivity!H6</f>
        <v/>
      </c>
    </row>
    <row r="159">
      <c r="A159" t="inlineStr">
        <is>
          <t>ALL</t>
        </is>
      </c>
      <c r="B159" t="inlineStr">
        <is>
          <t>epic</t>
        </is>
      </c>
      <c r="C159" t="n">
        <v>2</v>
      </c>
      <c r="D159" t="inlineStr">
        <is>
          <t>Dex %</t>
        </is>
      </c>
      <c r="E159" t="n">
        <v>6</v>
      </c>
      <c r="F159" t="n">
        <v>1.08</v>
      </c>
      <c r="G159" t="b">
        <v>1</v>
      </c>
      <c r="H159">
        <f>Sensitivity!H6</f>
        <v/>
      </c>
    </row>
    <row r="160">
      <c r="A160" t="inlineStr">
        <is>
          <t>ALL</t>
        </is>
      </c>
      <c r="B160" t="inlineStr">
        <is>
          <t>epic</t>
        </is>
      </c>
      <c r="C160" t="n">
        <v>2</v>
      </c>
      <c r="D160" t="inlineStr">
        <is>
          <t>Int %</t>
        </is>
      </c>
      <c r="E160" t="n">
        <v>4.5</v>
      </c>
      <c r="F160" t="n">
        <v>3.42</v>
      </c>
      <c r="G160" t="b">
        <v>0</v>
      </c>
      <c r="H160" t="inlineStr">
        <is>
          <t>0</t>
        </is>
      </c>
    </row>
    <row r="161">
      <c r="A161" t="inlineStr">
        <is>
          <t>ALL</t>
        </is>
      </c>
      <c r="B161" t="inlineStr">
        <is>
          <t>epic</t>
        </is>
      </c>
      <c r="C161" t="n">
        <v>2</v>
      </c>
      <c r="D161" t="inlineStr">
        <is>
          <t>Int %</t>
        </is>
      </c>
      <c r="E161" t="n">
        <v>6</v>
      </c>
      <c r="F161" t="n">
        <v>1.08</v>
      </c>
      <c r="G161" t="b">
        <v>1</v>
      </c>
      <c r="H161" t="inlineStr">
        <is>
          <t>0</t>
        </is>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t="inlineStr">
        <is>
          <t>0</t>
        </is>
      </c>
    </row>
    <row r="165">
      <c r="A165" t="inlineStr">
        <is>
          <t>ALL</t>
        </is>
      </c>
      <c r="B165" t="inlineStr">
        <is>
          <t>epic</t>
        </is>
      </c>
      <c r="C165" t="n">
        <v>2</v>
      </c>
      <c r="D165" t="inlineStr">
        <is>
          <t>Defense %</t>
        </is>
      </c>
      <c r="E165" t="n">
        <v>6</v>
      </c>
      <c r="F165" t="n">
        <v>2.16</v>
      </c>
      <c r="G165" t="b">
        <v>1</v>
      </c>
      <c r="H165" t="inlineStr">
        <is>
          <t>0</t>
        </is>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f>Sensitivity!H5</f>
        <v/>
      </c>
    </row>
    <row r="173">
      <c r="A173" t="inlineStr">
        <is>
          <t>ALL</t>
        </is>
      </c>
      <c r="B173" t="inlineStr">
        <is>
          <t>epic</t>
        </is>
      </c>
      <c r="C173" t="n">
        <v>2</v>
      </c>
      <c r="D173" t="inlineStr">
        <is>
          <t>Dex</t>
        </is>
      </c>
      <c r="E173" t="n">
        <v>200</v>
      </c>
      <c r="F173" t="n">
        <v>2.22</v>
      </c>
      <c r="G173" t="b">
        <v>1</v>
      </c>
      <c r="H173">
        <f>Sensitivity!H5</f>
        <v/>
      </c>
    </row>
    <row r="174">
      <c r="A174" t="inlineStr">
        <is>
          <t>ALL</t>
        </is>
      </c>
      <c r="B174" t="inlineStr">
        <is>
          <t>epic</t>
        </is>
      </c>
      <c r="C174" t="n">
        <v>2</v>
      </c>
      <c r="D174" t="inlineStr">
        <is>
          <t>Int</t>
        </is>
      </c>
      <c r="E174" t="n">
        <v>100</v>
      </c>
      <c r="F174" t="n">
        <v>7.22</v>
      </c>
      <c r="G174" t="b">
        <v>0</v>
      </c>
      <c r="H174" t="inlineStr">
        <is>
          <t>0</t>
        </is>
      </c>
    </row>
    <row r="175">
      <c r="A175" t="inlineStr">
        <is>
          <t>ALL</t>
        </is>
      </c>
      <c r="B175" t="inlineStr">
        <is>
          <t>epic</t>
        </is>
      </c>
      <c r="C175" t="n">
        <v>2</v>
      </c>
      <c r="D175" t="inlineStr">
        <is>
          <t>Int</t>
        </is>
      </c>
      <c r="E175" t="n">
        <v>200</v>
      </c>
      <c r="F175" t="n">
        <v>2.22</v>
      </c>
      <c r="G175" t="b">
        <v>1</v>
      </c>
      <c r="H175" t="inlineStr">
        <is>
          <t>0</t>
        </is>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IF(Inputs!$B$8&gt;=100,Sensitivity!H16,Sensitivity!H15)</f>
        <v/>
      </c>
    </row>
    <row r="179">
      <c r="A179" t="inlineStr">
        <is>
          <t>ALL</t>
        </is>
      </c>
      <c r="B179" t="inlineStr">
        <is>
          <t>epic</t>
        </is>
      </c>
      <c r="C179" t="n">
        <v>3</v>
      </c>
      <c r="D179" t="inlineStr">
        <is>
          <t>Critical Rate %</t>
        </is>
      </c>
      <c r="E179" t="n">
        <v>6</v>
      </c>
      <c r="F179" t="n">
        <v>0.2</v>
      </c>
      <c r="G179" t="b">
        <v>1</v>
      </c>
      <c r="H179">
        <f>IF(Inputs!$B$8&gt;=100,Sensitivity!H16,Sensitivity!H15)</f>
        <v/>
      </c>
    </row>
    <row r="180">
      <c r="A180" t="inlineStr">
        <is>
          <t>ALL</t>
        </is>
      </c>
      <c r="B180" t="inlineStr">
        <is>
          <t>epic</t>
        </is>
      </c>
      <c r="C180" t="n">
        <v>3</v>
      </c>
      <c r="D180" t="inlineStr">
        <is>
          <t>Attack Speed %</t>
        </is>
      </c>
      <c r="E180" t="n">
        <v>3.5</v>
      </c>
      <c r="F180" t="n">
        <v>2.3</v>
      </c>
      <c r="G180" t="b">
        <v>0</v>
      </c>
      <c r="H180">
        <f>Sensitivity!H17</f>
        <v/>
      </c>
    </row>
    <row r="181">
      <c r="A181" t="inlineStr">
        <is>
          <t>ALL</t>
        </is>
      </c>
      <c r="B181" t="inlineStr">
        <is>
          <t>epic</t>
        </is>
      </c>
      <c r="C181" t="n">
        <v>3</v>
      </c>
      <c r="D181" t="inlineStr">
        <is>
          <t>Attack Speed %</t>
        </is>
      </c>
      <c r="E181" t="n">
        <v>4</v>
      </c>
      <c r="F181" t="n">
        <v>0.2</v>
      </c>
      <c r="G181" t="b">
        <v>1</v>
      </c>
      <c r="H181">
        <f>Sensitivity!H17</f>
        <v/>
      </c>
    </row>
    <row r="182">
      <c r="A182" t="inlineStr">
        <is>
          <t>ALL</t>
        </is>
      </c>
      <c r="B182" t="inlineStr">
        <is>
          <t>epic</t>
        </is>
      </c>
      <c r="C182" t="n">
        <v>3</v>
      </c>
      <c r="D182" t="inlineStr">
        <is>
          <t>Damage %</t>
        </is>
      </c>
      <c r="E182" t="n">
        <v>8</v>
      </c>
      <c r="F182" t="n">
        <v>3.68</v>
      </c>
      <c r="G182" t="b">
        <v>0</v>
      </c>
      <c r="H182">
        <f>Sensitivity!H8</f>
        <v/>
      </c>
    </row>
    <row r="183">
      <c r="A183" t="inlineStr">
        <is>
          <t>ALL</t>
        </is>
      </c>
      <c r="B183" t="inlineStr">
        <is>
          <t>epic</t>
        </is>
      </c>
      <c r="C183" t="n">
        <v>3</v>
      </c>
      <c r="D183" t="inlineStr">
        <is>
          <t>Damage %</t>
        </is>
      </c>
      <c r="E183" t="n">
        <v>12</v>
      </c>
      <c r="F183" t="n">
        <v>0.32</v>
      </c>
      <c r="G183" t="b">
        <v>1</v>
      </c>
      <c r="H183">
        <f>Sensitivity!H8</f>
        <v/>
      </c>
    </row>
    <row r="184">
      <c r="A184" t="inlineStr">
        <is>
          <t>ALL</t>
        </is>
      </c>
      <c r="B184" t="inlineStr">
        <is>
          <t>epic</t>
        </is>
      </c>
      <c r="C184" t="n">
        <v>3</v>
      </c>
      <c r="D184" t="inlineStr">
        <is>
          <t>Min Damage Multiplier %</t>
        </is>
      </c>
      <c r="E184" t="n">
        <v>6</v>
      </c>
      <c r="F184" t="n">
        <v>3.68</v>
      </c>
      <c r="G184" t="b">
        <v>0</v>
      </c>
      <c r="H184">
        <f>Sensitivity!H13</f>
        <v/>
      </c>
    </row>
    <row r="185">
      <c r="A185" t="inlineStr">
        <is>
          <t>ALL</t>
        </is>
      </c>
      <c r="B185" t="inlineStr">
        <is>
          <t>epic</t>
        </is>
      </c>
      <c r="C185" t="n">
        <v>3</v>
      </c>
      <c r="D185" t="inlineStr">
        <is>
          <t>Min Damage Multiplier %</t>
        </is>
      </c>
      <c r="E185" t="n">
        <v>8</v>
      </c>
      <c r="F185" t="n">
        <v>0.32</v>
      </c>
      <c r="G185" t="b">
        <v>1</v>
      </c>
      <c r="H185">
        <f>Sensitivity!H13</f>
        <v/>
      </c>
    </row>
    <row r="186">
      <c r="A186" t="inlineStr">
        <is>
          <t>ALL</t>
        </is>
      </c>
      <c r="B186" t="inlineStr">
        <is>
          <t>epic</t>
        </is>
      </c>
      <c r="C186" t="n">
        <v>3</v>
      </c>
      <c r="D186" t="inlineStr">
        <is>
          <t>Max Damage Multiplier %</t>
        </is>
      </c>
      <c r="E186" t="n">
        <v>6</v>
      </c>
      <c r="F186" t="n">
        <v>3.68</v>
      </c>
      <c r="G186" t="b">
        <v>0</v>
      </c>
      <c r="H186">
        <f>Sensitivity!H14</f>
        <v/>
      </c>
    </row>
    <row r="187">
      <c r="A187" t="inlineStr">
        <is>
          <t>ALL</t>
        </is>
      </c>
      <c r="B187" t="inlineStr">
        <is>
          <t>epic</t>
        </is>
      </c>
      <c r="C187" t="n">
        <v>3</v>
      </c>
      <c r="D187" t="inlineStr">
        <is>
          <t>Max Damage Multiplier %</t>
        </is>
      </c>
      <c r="E187" t="n">
        <v>8</v>
      </c>
      <c r="F187" t="n">
        <v>0.32</v>
      </c>
      <c r="G187" t="b">
        <v>1</v>
      </c>
      <c r="H187">
        <f>Sensitivity!H14</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f>Sensitivity!H6</f>
        <v/>
      </c>
    </row>
    <row r="191">
      <c r="A191" t="inlineStr">
        <is>
          <t>ALL</t>
        </is>
      </c>
      <c r="B191" t="inlineStr">
        <is>
          <t>epic</t>
        </is>
      </c>
      <c r="C191" t="n">
        <v>3</v>
      </c>
      <c r="D191" t="inlineStr">
        <is>
          <t>Dex %</t>
        </is>
      </c>
      <c r="E191" t="n">
        <v>6</v>
      </c>
      <c r="F191" t="n">
        <v>0.36</v>
      </c>
      <c r="G191" t="b">
        <v>1</v>
      </c>
      <c r="H191">
        <f>Sensitivity!H6</f>
        <v/>
      </c>
    </row>
    <row r="192">
      <c r="A192" t="inlineStr">
        <is>
          <t>ALL</t>
        </is>
      </c>
      <c r="B192" t="inlineStr">
        <is>
          <t>epic</t>
        </is>
      </c>
      <c r="C192" t="n">
        <v>3</v>
      </c>
      <c r="D192" t="inlineStr">
        <is>
          <t>Int %</t>
        </is>
      </c>
      <c r="E192" t="n">
        <v>4.5</v>
      </c>
      <c r="F192" t="n">
        <v>4.14</v>
      </c>
      <c r="G192" t="b">
        <v>0</v>
      </c>
      <c r="H192" t="inlineStr">
        <is>
          <t>0</t>
        </is>
      </c>
    </row>
    <row r="193">
      <c r="A193" t="inlineStr">
        <is>
          <t>ALL</t>
        </is>
      </c>
      <c r="B193" t="inlineStr">
        <is>
          <t>epic</t>
        </is>
      </c>
      <c r="C193" t="n">
        <v>3</v>
      </c>
      <c r="D193" t="inlineStr">
        <is>
          <t>Int %</t>
        </is>
      </c>
      <c r="E193" t="n">
        <v>6</v>
      </c>
      <c r="F193" t="n">
        <v>0.36</v>
      </c>
      <c r="G193" t="b">
        <v>1</v>
      </c>
      <c r="H193" t="inlineStr">
        <is>
          <t>0</t>
        </is>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t="inlineStr">
        <is>
          <t>0</t>
        </is>
      </c>
    </row>
    <row r="197">
      <c r="A197" t="inlineStr">
        <is>
          <t>ALL</t>
        </is>
      </c>
      <c r="B197" t="inlineStr">
        <is>
          <t>epic</t>
        </is>
      </c>
      <c r="C197" t="n">
        <v>3</v>
      </c>
      <c r="D197" t="inlineStr">
        <is>
          <t>Defense %</t>
        </is>
      </c>
      <c r="E197" t="n">
        <v>6</v>
      </c>
      <c r="F197" t="n">
        <v>0.72</v>
      </c>
      <c r="G197" t="b">
        <v>1</v>
      </c>
      <c r="H197" t="inlineStr">
        <is>
          <t>0</t>
        </is>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f>Sensitivity!H5</f>
        <v/>
      </c>
    </row>
    <row r="205">
      <c r="A205" t="inlineStr">
        <is>
          <t>ALL</t>
        </is>
      </c>
      <c r="B205" t="inlineStr">
        <is>
          <t>epic</t>
        </is>
      </c>
      <c r="C205" t="n">
        <v>3</v>
      </c>
      <c r="D205" t="inlineStr">
        <is>
          <t>Dex</t>
        </is>
      </c>
      <c r="E205" t="n">
        <v>200</v>
      </c>
      <c r="F205" t="n">
        <v>0.74</v>
      </c>
      <c r="G205" t="b">
        <v>1</v>
      </c>
      <c r="H205">
        <f>Sensitivity!H5</f>
        <v/>
      </c>
    </row>
    <row r="206">
      <c r="A206" t="inlineStr">
        <is>
          <t>ALL</t>
        </is>
      </c>
      <c r="B206" t="inlineStr">
        <is>
          <t>epic</t>
        </is>
      </c>
      <c r="C206" t="n">
        <v>3</v>
      </c>
      <c r="D206" t="inlineStr">
        <is>
          <t>Int</t>
        </is>
      </c>
      <c r="E206" t="n">
        <v>100</v>
      </c>
      <c r="F206" t="n">
        <v>8.74</v>
      </c>
      <c r="G206" t="b">
        <v>0</v>
      </c>
      <c r="H206" t="inlineStr">
        <is>
          <t>0</t>
        </is>
      </c>
    </row>
    <row r="207">
      <c r="A207" t="inlineStr">
        <is>
          <t>ALL</t>
        </is>
      </c>
      <c r="B207" t="inlineStr">
        <is>
          <t>epic</t>
        </is>
      </c>
      <c r="C207" t="n">
        <v>3</v>
      </c>
      <c r="D207" t="inlineStr">
        <is>
          <t>Int</t>
        </is>
      </c>
      <c r="E207" t="n">
        <v>200</v>
      </c>
      <c r="F207" t="n">
        <v>0.74</v>
      </c>
      <c r="G207" t="b">
        <v>1</v>
      </c>
      <c r="H207" t="inlineStr">
        <is>
          <t>0</t>
        </is>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IF(Inputs!$B$8&gt;=100,Sensitivity!H16,Sensitivity!H15)</f>
        <v/>
      </c>
    </row>
    <row r="211">
      <c r="A211" t="inlineStr">
        <is>
          <t>ALL</t>
        </is>
      </c>
      <c r="B211" t="inlineStr">
        <is>
          <t>unique</t>
        </is>
      </c>
      <c r="C211" t="n">
        <v>1</v>
      </c>
      <c r="D211" t="inlineStr">
        <is>
          <t>Attack Speed %</t>
        </is>
      </c>
      <c r="E211" t="n">
        <v>5</v>
      </c>
      <c r="F211" t="n">
        <v>2.5</v>
      </c>
      <c r="G211" t="b">
        <v>1</v>
      </c>
      <c r="H211">
        <f>Sensitivity!H17</f>
        <v/>
      </c>
    </row>
    <row r="212">
      <c r="A212" t="inlineStr">
        <is>
          <t>ALL</t>
        </is>
      </c>
      <c r="B212" t="inlineStr">
        <is>
          <t>unique</t>
        </is>
      </c>
      <c r="C212" t="n">
        <v>1</v>
      </c>
      <c r="D212" t="inlineStr">
        <is>
          <t>Damage %</t>
        </is>
      </c>
      <c r="E212" t="n">
        <v>18</v>
      </c>
      <c r="F212" t="n">
        <v>4</v>
      </c>
      <c r="G212" t="b">
        <v>1</v>
      </c>
      <c r="H212">
        <f>Sensitivity!H8</f>
        <v/>
      </c>
    </row>
    <row r="213">
      <c r="A213" t="inlineStr">
        <is>
          <t>ALL</t>
        </is>
      </c>
      <c r="B213" t="inlineStr">
        <is>
          <t>unique</t>
        </is>
      </c>
      <c r="C213" t="n">
        <v>1</v>
      </c>
      <c r="D213" t="inlineStr">
        <is>
          <t>Min Damage Multiplier %</t>
        </is>
      </c>
      <c r="E213" t="n">
        <v>10</v>
      </c>
      <c r="F213" t="n">
        <v>4</v>
      </c>
      <c r="G213" t="b">
        <v>1</v>
      </c>
      <c r="H213">
        <f>Sensitivity!H13</f>
        <v/>
      </c>
    </row>
    <row r="214">
      <c r="A214" t="inlineStr">
        <is>
          <t>ALL</t>
        </is>
      </c>
      <c r="B214" t="inlineStr">
        <is>
          <t>unique</t>
        </is>
      </c>
      <c r="C214" t="n">
        <v>1</v>
      </c>
      <c r="D214" t="inlineStr">
        <is>
          <t>Max Damage Multiplier %</t>
        </is>
      </c>
      <c r="E214" t="n">
        <v>10</v>
      </c>
      <c r="F214" t="n">
        <v>4</v>
      </c>
      <c r="G214" t="b">
        <v>1</v>
      </c>
      <c r="H214">
        <f>Sensitivity!H14</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f>Sensitivity!H6</f>
        <v/>
      </c>
    </row>
    <row r="217">
      <c r="A217" t="inlineStr">
        <is>
          <t>ALL</t>
        </is>
      </c>
      <c r="B217" t="inlineStr">
        <is>
          <t>unique</t>
        </is>
      </c>
      <c r="C217" t="n">
        <v>1</v>
      </c>
      <c r="D217" t="inlineStr">
        <is>
          <t>Int %</t>
        </is>
      </c>
      <c r="E217" t="n">
        <v>9</v>
      </c>
      <c r="F217" t="n">
        <v>4.5</v>
      </c>
      <c r="G217" t="b">
        <v>1</v>
      </c>
      <c r="H217" t="inlineStr">
        <is>
          <t>0</t>
        </is>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t="inlineStr">
        <is>
          <t>0</t>
        </is>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f>Sensitivity!H5</f>
        <v/>
      </c>
    </row>
    <row r="224">
      <c r="A224" t="inlineStr">
        <is>
          <t>ALL</t>
        </is>
      </c>
      <c r="B224" t="inlineStr">
        <is>
          <t>unique</t>
        </is>
      </c>
      <c r="C224" t="n">
        <v>1</v>
      </c>
      <c r="D224" t="inlineStr">
        <is>
          <t>Int</t>
        </is>
      </c>
      <c r="E224" t="n">
        <v>400</v>
      </c>
      <c r="F224" t="n">
        <v>9.25</v>
      </c>
      <c r="G224" t="b">
        <v>1</v>
      </c>
      <c r="H224" t="inlineStr">
        <is>
          <t>0</t>
        </is>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IF(Inputs!$B$8&gt;=100,Sensitivity!H16,Sensitivity!H15)</f>
        <v/>
      </c>
    </row>
    <row r="227">
      <c r="A227" t="inlineStr">
        <is>
          <t>ALL</t>
        </is>
      </c>
      <c r="B227" t="inlineStr">
        <is>
          <t>unique</t>
        </is>
      </c>
      <c r="C227" t="n">
        <v>2</v>
      </c>
      <c r="D227" t="inlineStr">
        <is>
          <t>Critical Rate %</t>
        </is>
      </c>
      <c r="E227" t="n">
        <v>9</v>
      </c>
      <c r="F227" t="n">
        <v>0.6</v>
      </c>
      <c r="G227" t="b">
        <v>1</v>
      </c>
      <c r="H227">
        <f>IF(Inputs!$B$8&gt;=100,Sensitivity!H16,Sensitivity!H15)</f>
        <v/>
      </c>
    </row>
    <row r="228">
      <c r="A228" t="inlineStr">
        <is>
          <t>ALL</t>
        </is>
      </c>
      <c r="B228" t="inlineStr">
        <is>
          <t>unique</t>
        </is>
      </c>
      <c r="C228" t="n">
        <v>2</v>
      </c>
      <c r="D228" t="inlineStr">
        <is>
          <t>Attack Speed %</t>
        </is>
      </c>
      <c r="E228" t="n">
        <v>4</v>
      </c>
      <c r="F228" t="n">
        <v>1.9</v>
      </c>
      <c r="G228" t="b">
        <v>0</v>
      </c>
      <c r="H228">
        <f>Sensitivity!H17</f>
        <v/>
      </c>
    </row>
    <row r="229">
      <c r="A229" t="inlineStr">
        <is>
          <t>ALL</t>
        </is>
      </c>
      <c r="B229" t="inlineStr">
        <is>
          <t>unique</t>
        </is>
      </c>
      <c r="C229" t="n">
        <v>2</v>
      </c>
      <c r="D229" t="inlineStr">
        <is>
          <t>Attack Speed %</t>
        </is>
      </c>
      <c r="E229" t="n">
        <v>5</v>
      </c>
      <c r="F229" t="n">
        <v>0.6</v>
      </c>
      <c r="G229" t="b">
        <v>1</v>
      </c>
      <c r="H229">
        <f>Sensitivity!H17</f>
        <v/>
      </c>
    </row>
    <row r="230">
      <c r="A230" t="inlineStr">
        <is>
          <t>ALL</t>
        </is>
      </c>
      <c r="B230" t="inlineStr">
        <is>
          <t>unique</t>
        </is>
      </c>
      <c r="C230" t="n">
        <v>2</v>
      </c>
      <c r="D230" t="inlineStr">
        <is>
          <t>Damage %</t>
        </is>
      </c>
      <c r="E230" t="n">
        <v>12</v>
      </c>
      <c r="F230" t="n">
        <v>3.04</v>
      </c>
      <c r="G230" t="b">
        <v>0</v>
      </c>
      <c r="H230">
        <f>Sensitivity!H8</f>
        <v/>
      </c>
    </row>
    <row r="231">
      <c r="A231" t="inlineStr">
        <is>
          <t>ALL</t>
        </is>
      </c>
      <c r="B231" t="inlineStr">
        <is>
          <t>unique</t>
        </is>
      </c>
      <c r="C231" t="n">
        <v>2</v>
      </c>
      <c r="D231" t="inlineStr">
        <is>
          <t>Damage %</t>
        </is>
      </c>
      <c r="E231" t="n">
        <v>18</v>
      </c>
      <c r="F231" t="n">
        <v>0.96</v>
      </c>
      <c r="G231" t="b">
        <v>1</v>
      </c>
      <c r="H231">
        <f>Sensitivity!H8</f>
        <v/>
      </c>
    </row>
    <row r="232">
      <c r="A232" t="inlineStr">
        <is>
          <t>ALL</t>
        </is>
      </c>
      <c r="B232" t="inlineStr">
        <is>
          <t>unique</t>
        </is>
      </c>
      <c r="C232" t="n">
        <v>2</v>
      </c>
      <c r="D232" t="inlineStr">
        <is>
          <t>Min Damage Multiplier %</t>
        </is>
      </c>
      <c r="E232" t="n">
        <v>8</v>
      </c>
      <c r="F232" t="n">
        <v>3.04</v>
      </c>
      <c r="G232" t="b">
        <v>0</v>
      </c>
      <c r="H232">
        <f>Sensitivity!H13</f>
        <v/>
      </c>
    </row>
    <row r="233">
      <c r="A233" t="inlineStr">
        <is>
          <t>ALL</t>
        </is>
      </c>
      <c r="B233" t="inlineStr">
        <is>
          <t>unique</t>
        </is>
      </c>
      <c r="C233" t="n">
        <v>2</v>
      </c>
      <c r="D233" t="inlineStr">
        <is>
          <t>Min Damage Multiplier %</t>
        </is>
      </c>
      <c r="E233" t="n">
        <v>10</v>
      </c>
      <c r="F233" t="n">
        <v>0.96</v>
      </c>
      <c r="G233" t="b">
        <v>1</v>
      </c>
      <c r="H233">
        <f>Sensitivity!H13</f>
        <v/>
      </c>
    </row>
    <row r="234">
      <c r="A234" t="inlineStr">
        <is>
          <t>ALL</t>
        </is>
      </c>
      <c r="B234" t="inlineStr">
        <is>
          <t>unique</t>
        </is>
      </c>
      <c r="C234" t="n">
        <v>2</v>
      </c>
      <c r="D234" t="inlineStr">
        <is>
          <t>Max Damage Multiplier %</t>
        </is>
      </c>
      <c r="E234" t="n">
        <v>8</v>
      </c>
      <c r="F234" t="n">
        <v>3.04</v>
      </c>
      <c r="G234" t="b">
        <v>0</v>
      </c>
      <c r="H234">
        <f>Sensitivity!H14</f>
        <v/>
      </c>
    </row>
    <row r="235">
      <c r="A235" t="inlineStr">
        <is>
          <t>ALL</t>
        </is>
      </c>
      <c r="B235" t="inlineStr">
        <is>
          <t>unique</t>
        </is>
      </c>
      <c r="C235" t="n">
        <v>2</v>
      </c>
      <c r="D235" t="inlineStr">
        <is>
          <t>Max Damage Multiplier %</t>
        </is>
      </c>
      <c r="E235" t="n">
        <v>10</v>
      </c>
      <c r="F235" t="n">
        <v>0.96</v>
      </c>
      <c r="G235" t="b">
        <v>1</v>
      </c>
      <c r="H235">
        <f>Sensitivity!H14</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f>Sensitivity!H6</f>
        <v/>
      </c>
    </row>
    <row r="239">
      <c r="A239" t="inlineStr">
        <is>
          <t>ALL</t>
        </is>
      </c>
      <c r="B239" t="inlineStr">
        <is>
          <t>unique</t>
        </is>
      </c>
      <c r="C239" t="n">
        <v>2</v>
      </c>
      <c r="D239" t="inlineStr">
        <is>
          <t>Dex %</t>
        </is>
      </c>
      <c r="E239" t="n">
        <v>9</v>
      </c>
      <c r="F239" t="n">
        <v>1.08</v>
      </c>
      <c r="G239" t="b">
        <v>1</v>
      </c>
      <c r="H239">
        <f>Sensitivity!H6</f>
        <v/>
      </c>
    </row>
    <row r="240">
      <c r="A240" t="inlineStr">
        <is>
          <t>ALL</t>
        </is>
      </c>
      <c r="B240" t="inlineStr">
        <is>
          <t>unique</t>
        </is>
      </c>
      <c r="C240" t="n">
        <v>2</v>
      </c>
      <c r="D240" t="inlineStr">
        <is>
          <t>Int %</t>
        </is>
      </c>
      <c r="E240" t="n">
        <v>6</v>
      </c>
      <c r="F240" t="n">
        <v>3.42</v>
      </c>
      <c r="G240" t="b">
        <v>0</v>
      </c>
      <c r="H240" t="inlineStr">
        <is>
          <t>0</t>
        </is>
      </c>
    </row>
    <row r="241">
      <c r="A241" t="inlineStr">
        <is>
          <t>ALL</t>
        </is>
      </c>
      <c r="B241" t="inlineStr">
        <is>
          <t>unique</t>
        </is>
      </c>
      <c r="C241" t="n">
        <v>2</v>
      </c>
      <c r="D241" t="inlineStr">
        <is>
          <t>Int %</t>
        </is>
      </c>
      <c r="E241" t="n">
        <v>9</v>
      </c>
      <c r="F241" t="n">
        <v>1.08</v>
      </c>
      <c r="G241" t="b">
        <v>1</v>
      </c>
      <c r="H241" t="inlineStr">
        <is>
          <t>0</t>
        </is>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t="inlineStr">
        <is>
          <t>0</t>
        </is>
      </c>
    </row>
    <row r="245">
      <c r="A245" t="inlineStr">
        <is>
          <t>ALL</t>
        </is>
      </c>
      <c r="B245" t="inlineStr">
        <is>
          <t>unique</t>
        </is>
      </c>
      <c r="C245" t="n">
        <v>2</v>
      </c>
      <c r="D245" t="inlineStr">
        <is>
          <t>Defense %</t>
        </is>
      </c>
      <c r="E245" t="n">
        <v>9</v>
      </c>
      <c r="F245" t="n">
        <v>2.16</v>
      </c>
      <c r="G245" t="b">
        <v>1</v>
      </c>
      <c r="H245" t="inlineStr">
        <is>
          <t>0</t>
        </is>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f>Sensitivity!H5</f>
        <v/>
      </c>
    </row>
    <row r="253">
      <c r="A253" t="inlineStr">
        <is>
          <t>ALL</t>
        </is>
      </c>
      <c r="B253" t="inlineStr">
        <is>
          <t>unique</t>
        </is>
      </c>
      <c r="C253" t="n">
        <v>2</v>
      </c>
      <c r="D253" t="inlineStr">
        <is>
          <t>Dex</t>
        </is>
      </c>
      <c r="E253" t="n">
        <v>400</v>
      </c>
      <c r="F253" t="n">
        <v>2.22</v>
      </c>
      <c r="G253" t="b">
        <v>1</v>
      </c>
      <c r="H253">
        <f>Sensitivity!H5</f>
        <v/>
      </c>
    </row>
    <row r="254">
      <c r="A254" t="inlineStr">
        <is>
          <t>ALL</t>
        </is>
      </c>
      <c r="B254" t="inlineStr">
        <is>
          <t>unique</t>
        </is>
      </c>
      <c r="C254" t="n">
        <v>2</v>
      </c>
      <c r="D254" t="inlineStr">
        <is>
          <t>Int</t>
        </is>
      </c>
      <c r="E254" t="n">
        <v>200</v>
      </c>
      <c r="F254" t="n">
        <v>7.03</v>
      </c>
      <c r="G254" t="b">
        <v>0</v>
      </c>
      <c r="H254" t="inlineStr">
        <is>
          <t>0</t>
        </is>
      </c>
    </row>
    <row r="255">
      <c r="A255" t="inlineStr">
        <is>
          <t>ALL</t>
        </is>
      </c>
      <c r="B255" t="inlineStr">
        <is>
          <t>unique</t>
        </is>
      </c>
      <c r="C255" t="n">
        <v>2</v>
      </c>
      <c r="D255" t="inlineStr">
        <is>
          <t>Int</t>
        </is>
      </c>
      <c r="E255" t="n">
        <v>400</v>
      </c>
      <c r="F255" t="n">
        <v>2.22</v>
      </c>
      <c r="G255" t="b">
        <v>1</v>
      </c>
      <c r="H255" t="inlineStr">
        <is>
          <t>0</t>
        </is>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IF(Inputs!$B$8&gt;=100,Sensitivity!H16,Sensitivity!H15)</f>
        <v/>
      </c>
    </row>
    <row r="259">
      <c r="A259" t="inlineStr">
        <is>
          <t>ALL</t>
        </is>
      </c>
      <c r="B259" t="inlineStr">
        <is>
          <t>unique</t>
        </is>
      </c>
      <c r="C259" t="n">
        <v>3</v>
      </c>
      <c r="D259" t="inlineStr">
        <is>
          <t>Critical Rate %</t>
        </is>
      </c>
      <c r="E259" t="n">
        <v>9</v>
      </c>
      <c r="F259" t="n">
        <v>0.2</v>
      </c>
      <c r="G259" t="b">
        <v>1</v>
      </c>
      <c r="H259">
        <f>IF(Inputs!$B$8&gt;=100,Sensitivity!H16,Sensitivity!H15)</f>
        <v/>
      </c>
    </row>
    <row r="260">
      <c r="A260" t="inlineStr">
        <is>
          <t>ALL</t>
        </is>
      </c>
      <c r="B260" t="inlineStr">
        <is>
          <t>unique</t>
        </is>
      </c>
      <c r="C260" t="n">
        <v>3</v>
      </c>
      <c r="D260" t="inlineStr">
        <is>
          <t>Attack Speed %</t>
        </is>
      </c>
      <c r="E260" t="n">
        <v>4</v>
      </c>
      <c r="F260" t="n">
        <v>2.3</v>
      </c>
      <c r="G260" t="b">
        <v>0</v>
      </c>
      <c r="H260">
        <f>Sensitivity!H17</f>
        <v/>
      </c>
    </row>
    <row r="261">
      <c r="A261" t="inlineStr">
        <is>
          <t>ALL</t>
        </is>
      </c>
      <c r="B261" t="inlineStr">
        <is>
          <t>unique</t>
        </is>
      </c>
      <c r="C261" t="n">
        <v>3</v>
      </c>
      <c r="D261" t="inlineStr">
        <is>
          <t>Attack Speed %</t>
        </is>
      </c>
      <c r="E261" t="n">
        <v>5</v>
      </c>
      <c r="F261" t="n">
        <v>0.2</v>
      </c>
      <c r="G261" t="b">
        <v>1</v>
      </c>
      <c r="H261">
        <f>Sensitivity!H17</f>
        <v/>
      </c>
    </row>
    <row r="262">
      <c r="A262" t="inlineStr">
        <is>
          <t>ALL</t>
        </is>
      </c>
      <c r="B262" t="inlineStr">
        <is>
          <t>unique</t>
        </is>
      </c>
      <c r="C262" t="n">
        <v>3</v>
      </c>
      <c r="D262" t="inlineStr">
        <is>
          <t>Damage %</t>
        </is>
      </c>
      <c r="E262" t="n">
        <v>12</v>
      </c>
      <c r="F262" t="n">
        <v>3.68</v>
      </c>
      <c r="G262" t="b">
        <v>0</v>
      </c>
      <c r="H262">
        <f>Sensitivity!H8</f>
        <v/>
      </c>
    </row>
    <row r="263">
      <c r="A263" t="inlineStr">
        <is>
          <t>ALL</t>
        </is>
      </c>
      <c r="B263" t="inlineStr">
        <is>
          <t>unique</t>
        </is>
      </c>
      <c r="C263" t="n">
        <v>3</v>
      </c>
      <c r="D263" t="inlineStr">
        <is>
          <t>Damage %</t>
        </is>
      </c>
      <c r="E263" t="n">
        <v>18</v>
      </c>
      <c r="F263" t="n">
        <v>0.32</v>
      </c>
      <c r="G263" t="b">
        <v>1</v>
      </c>
      <c r="H263">
        <f>Sensitivity!H8</f>
        <v/>
      </c>
    </row>
    <row r="264">
      <c r="A264" t="inlineStr">
        <is>
          <t>ALL</t>
        </is>
      </c>
      <c r="B264" t="inlineStr">
        <is>
          <t>unique</t>
        </is>
      </c>
      <c r="C264" t="n">
        <v>3</v>
      </c>
      <c r="D264" t="inlineStr">
        <is>
          <t>Min Damage Multiplier %</t>
        </is>
      </c>
      <c r="E264" t="n">
        <v>8</v>
      </c>
      <c r="F264" t="n">
        <v>3.68</v>
      </c>
      <c r="G264" t="b">
        <v>0</v>
      </c>
      <c r="H264">
        <f>Sensitivity!H13</f>
        <v/>
      </c>
    </row>
    <row r="265">
      <c r="A265" t="inlineStr">
        <is>
          <t>ALL</t>
        </is>
      </c>
      <c r="B265" t="inlineStr">
        <is>
          <t>unique</t>
        </is>
      </c>
      <c r="C265" t="n">
        <v>3</v>
      </c>
      <c r="D265" t="inlineStr">
        <is>
          <t>Min Damage Multiplier %</t>
        </is>
      </c>
      <c r="E265" t="n">
        <v>10</v>
      </c>
      <c r="F265" t="n">
        <v>0.32</v>
      </c>
      <c r="G265" t="b">
        <v>1</v>
      </c>
      <c r="H265">
        <f>Sensitivity!H13</f>
        <v/>
      </c>
    </row>
    <row r="266">
      <c r="A266" t="inlineStr">
        <is>
          <t>ALL</t>
        </is>
      </c>
      <c r="B266" t="inlineStr">
        <is>
          <t>unique</t>
        </is>
      </c>
      <c r="C266" t="n">
        <v>3</v>
      </c>
      <c r="D266" t="inlineStr">
        <is>
          <t>Max Damage Multiplier %</t>
        </is>
      </c>
      <c r="E266" t="n">
        <v>8</v>
      </c>
      <c r="F266" t="n">
        <v>3.68</v>
      </c>
      <c r="G266" t="b">
        <v>0</v>
      </c>
      <c r="H266">
        <f>Sensitivity!H14</f>
        <v/>
      </c>
    </row>
    <row r="267">
      <c r="A267" t="inlineStr">
        <is>
          <t>ALL</t>
        </is>
      </c>
      <c r="B267" t="inlineStr">
        <is>
          <t>unique</t>
        </is>
      </c>
      <c r="C267" t="n">
        <v>3</v>
      </c>
      <c r="D267" t="inlineStr">
        <is>
          <t>Max Damage Multiplier %</t>
        </is>
      </c>
      <c r="E267" t="n">
        <v>10</v>
      </c>
      <c r="F267" t="n">
        <v>0.32</v>
      </c>
      <c r="G267" t="b">
        <v>1</v>
      </c>
      <c r="H267">
        <f>Sensitivity!H14</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f>Sensitivity!H6</f>
        <v/>
      </c>
    </row>
    <row r="271">
      <c r="A271" t="inlineStr">
        <is>
          <t>ALL</t>
        </is>
      </c>
      <c r="B271" t="inlineStr">
        <is>
          <t>unique</t>
        </is>
      </c>
      <c r="C271" t="n">
        <v>3</v>
      </c>
      <c r="D271" t="inlineStr">
        <is>
          <t>Dex %</t>
        </is>
      </c>
      <c r="E271" t="n">
        <v>9</v>
      </c>
      <c r="F271" t="n">
        <v>0.36</v>
      </c>
      <c r="G271" t="b">
        <v>1</v>
      </c>
      <c r="H271">
        <f>Sensitivity!H6</f>
        <v/>
      </c>
    </row>
    <row r="272">
      <c r="A272" t="inlineStr">
        <is>
          <t>ALL</t>
        </is>
      </c>
      <c r="B272" t="inlineStr">
        <is>
          <t>unique</t>
        </is>
      </c>
      <c r="C272" t="n">
        <v>3</v>
      </c>
      <c r="D272" t="inlineStr">
        <is>
          <t>Int %</t>
        </is>
      </c>
      <c r="E272" t="n">
        <v>6</v>
      </c>
      <c r="F272" t="n">
        <v>4.14</v>
      </c>
      <c r="G272" t="b">
        <v>0</v>
      </c>
      <c r="H272" t="inlineStr">
        <is>
          <t>0</t>
        </is>
      </c>
    </row>
    <row r="273">
      <c r="A273" t="inlineStr">
        <is>
          <t>ALL</t>
        </is>
      </c>
      <c r="B273" t="inlineStr">
        <is>
          <t>unique</t>
        </is>
      </c>
      <c r="C273" t="n">
        <v>3</v>
      </c>
      <c r="D273" t="inlineStr">
        <is>
          <t>Int %</t>
        </is>
      </c>
      <c r="E273" t="n">
        <v>9</v>
      </c>
      <c r="F273" t="n">
        <v>0.36</v>
      </c>
      <c r="G273" t="b">
        <v>1</v>
      </c>
      <c r="H273" t="inlineStr">
        <is>
          <t>0</t>
        </is>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t="inlineStr">
        <is>
          <t>0</t>
        </is>
      </c>
    </row>
    <row r="277">
      <c r="A277" t="inlineStr">
        <is>
          <t>ALL</t>
        </is>
      </c>
      <c r="B277" t="inlineStr">
        <is>
          <t>unique</t>
        </is>
      </c>
      <c r="C277" t="n">
        <v>3</v>
      </c>
      <c r="D277" t="inlineStr">
        <is>
          <t>Defense %</t>
        </is>
      </c>
      <c r="E277" t="n">
        <v>9</v>
      </c>
      <c r="F277" t="n">
        <v>0.72</v>
      </c>
      <c r="G277" t="b">
        <v>1</v>
      </c>
      <c r="H277" t="inlineStr">
        <is>
          <t>0</t>
        </is>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f>Sensitivity!H5</f>
        <v/>
      </c>
    </row>
    <row r="285">
      <c r="A285" t="inlineStr">
        <is>
          <t>ALL</t>
        </is>
      </c>
      <c r="B285" t="inlineStr">
        <is>
          <t>unique</t>
        </is>
      </c>
      <c r="C285" t="n">
        <v>3</v>
      </c>
      <c r="D285" t="inlineStr">
        <is>
          <t>Dex</t>
        </is>
      </c>
      <c r="E285" t="n">
        <v>400</v>
      </c>
      <c r="F285" t="n">
        <v>0.74</v>
      </c>
      <c r="G285" t="b">
        <v>1</v>
      </c>
      <c r="H285">
        <f>Sensitivity!H5</f>
        <v/>
      </c>
    </row>
    <row r="286">
      <c r="A286" t="inlineStr">
        <is>
          <t>ALL</t>
        </is>
      </c>
      <c r="B286" t="inlineStr">
        <is>
          <t>unique</t>
        </is>
      </c>
      <c r="C286" t="n">
        <v>3</v>
      </c>
      <c r="D286" t="inlineStr">
        <is>
          <t>Int</t>
        </is>
      </c>
      <c r="E286" t="n">
        <v>200</v>
      </c>
      <c r="F286" t="n">
        <v>8.51</v>
      </c>
      <c r="G286" t="b">
        <v>0</v>
      </c>
      <c r="H286" t="inlineStr">
        <is>
          <t>0</t>
        </is>
      </c>
    </row>
    <row r="287">
      <c r="A287" t="inlineStr">
        <is>
          <t>ALL</t>
        </is>
      </c>
      <c r="B287" t="inlineStr">
        <is>
          <t>unique</t>
        </is>
      </c>
      <c r="C287" t="n">
        <v>3</v>
      </c>
      <c r="D287" t="inlineStr">
        <is>
          <t>Int</t>
        </is>
      </c>
      <c r="E287" t="n">
        <v>400</v>
      </c>
      <c r="F287" t="n">
        <v>0.74</v>
      </c>
      <c r="G287" t="b">
        <v>1</v>
      </c>
      <c r="H287" t="inlineStr">
        <is>
          <t>0</t>
        </is>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IF(Inputs!$B$8&gt;=100,Sensitivity!H16,Sensitivity!H15)</f>
        <v/>
      </c>
    </row>
    <row r="291">
      <c r="A291" t="inlineStr">
        <is>
          <t>ALL</t>
        </is>
      </c>
      <c r="B291" t="inlineStr">
        <is>
          <t>legendary</t>
        </is>
      </c>
      <c r="C291" t="n">
        <v>1</v>
      </c>
      <c r="D291" t="inlineStr">
        <is>
          <t>Attack Speed %</t>
        </is>
      </c>
      <c r="E291" t="n">
        <v>7</v>
      </c>
      <c r="F291" t="n">
        <v>2.5</v>
      </c>
      <c r="G291" t="b">
        <v>0</v>
      </c>
      <c r="H291">
        <f>Sensitivity!H17</f>
        <v/>
      </c>
    </row>
    <row r="292">
      <c r="A292" t="inlineStr">
        <is>
          <t>ALL</t>
        </is>
      </c>
      <c r="B292" t="inlineStr">
        <is>
          <t>legendary</t>
        </is>
      </c>
      <c r="C292" t="n">
        <v>1</v>
      </c>
      <c r="D292" t="inlineStr">
        <is>
          <t>Damage %</t>
        </is>
      </c>
      <c r="E292" t="n">
        <v>25</v>
      </c>
      <c r="F292" t="n">
        <v>4</v>
      </c>
      <c r="G292" t="b">
        <v>0</v>
      </c>
      <c r="H292">
        <f>Sensitivity!H8</f>
        <v/>
      </c>
    </row>
    <row r="293">
      <c r="A293" t="inlineStr">
        <is>
          <t>ALL</t>
        </is>
      </c>
      <c r="B293" t="inlineStr">
        <is>
          <t>legendary</t>
        </is>
      </c>
      <c r="C293" t="n">
        <v>1</v>
      </c>
      <c r="D293" t="inlineStr">
        <is>
          <t>Min Damage Multiplier %</t>
        </is>
      </c>
      <c r="E293" t="n">
        <v>15</v>
      </c>
      <c r="F293" t="n">
        <v>4</v>
      </c>
      <c r="G293" t="b">
        <v>0</v>
      </c>
      <c r="H293">
        <f>Sensitivity!H13</f>
        <v/>
      </c>
    </row>
    <row r="294">
      <c r="A294" t="inlineStr">
        <is>
          <t>ALL</t>
        </is>
      </c>
      <c r="B294" t="inlineStr">
        <is>
          <t>legendary</t>
        </is>
      </c>
      <c r="C294" t="n">
        <v>1</v>
      </c>
      <c r="D294" t="inlineStr">
        <is>
          <t>Max Damage Multiplier %</t>
        </is>
      </c>
      <c r="E294" t="n">
        <v>15</v>
      </c>
      <c r="F294" t="n">
        <v>4</v>
      </c>
      <c r="G294" t="b">
        <v>0</v>
      </c>
      <c r="H294">
        <f>Sensitivity!H14</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f>Sensitivity!H6</f>
        <v/>
      </c>
    </row>
    <row r="297">
      <c r="A297" t="inlineStr">
        <is>
          <t>ALL</t>
        </is>
      </c>
      <c r="B297" t="inlineStr">
        <is>
          <t>legendary</t>
        </is>
      </c>
      <c r="C297" t="n">
        <v>1</v>
      </c>
      <c r="D297" t="inlineStr">
        <is>
          <t>Int %</t>
        </is>
      </c>
      <c r="E297" t="n">
        <v>12</v>
      </c>
      <c r="F297" t="n">
        <v>4.5</v>
      </c>
      <c r="G297" t="b">
        <v>0</v>
      </c>
      <c r="H297" t="inlineStr">
        <is>
          <t>0</t>
        </is>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t="inlineStr">
        <is>
          <t>0</t>
        </is>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f>Sensitivity!H5</f>
        <v/>
      </c>
    </row>
    <row r="304">
      <c r="A304" t="inlineStr">
        <is>
          <t>ALL</t>
        </is>
      </c>
      <c r="B304" t="inlineStr">
        <is>
          <t>legendary</t>
        </is>
      </c>
      <c r="C304" t="n">
        <v>1</v>
      </c>
      <c r="D304" t="inlineStr">
        <is>
          <t>Int</t>
        </is>
      </c>
      <c r="E304" t="n">
        <v>600</v>
      </c>
      <c r="F304" t="n">
        <v>9.25</v>
      </c>
      <c r="G304" t="b">
        <v>0</v>
      </c>
      <c r="H304" t="inlineStr">
        <is>
          <t>0</t>
        </is>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IF(Inputs!$B$8&gt;=100,Sensitivity!H16,Sensitivity!H15)</f>
        <v/>
      </c>
    </row>
    <row r="307">
      <c r="A307" t="inlineStr">
        <is>
          <t>ALL</t>
        </is>
      </c>
      <c r="B307" t="inlineStr">
        <is>
          <t>legendary</t>
        </is>
      </c>
      <c r="C307" t="n">
        <v>2</v>
      </c>
      <c r="D307" t="inlineStr">
        <is>
          <t>Critical Rate %</t>
        </is>
      </c>
      <c r="E307" t="n">
        <v>12</v>
      </c>
      <c r="F307" t="n">
        <v>0.6</v>
      </c>
      <c r="G307" t="b">
        <v>1</v>
      </c>
      <c r="H307">
        <f>IF(Inputs!$B$8&gt;=100,Sensitivity!H16,Sensitivity!H15)</f>
        <v/>
      </c>
    </row>
    <row r="308">
      <c r="A308" t="inlineStr">
        <is>
          <t>ALL</t>
        </is>
      </c>
      <c r="B308" t="inlineStr">
        <is>
          <t>legendary</t>
        </is>
      </c>
      <c r="C308" t="n">
        <v>2</v>
      </c>
      <c r="D308" t="inlineStr">
        <is>
          <t>Attack Speed %</t>
        </is>
      </c>
      <c r="E308" t="n">
        <v>5</v>
      </c>
      <c r="F308" t="n">
        <v>1.9</v>
      </c>
      <c r="G308" t="b">
        <v>0</v>
      </c>
      <c r="H308">
        <f>Sensitivity!H17</f>
        <v/>
      </c>
    </row>
    <row r="309">
      <c r="A309" t="inlineStr">
        <is>
          <t>ALL</t>
        </is>
      </c>
      <c r="B309" t="inlineStr">
        <is>
          <t>legendary</t>
        </is>
      </c>
      <c r="C309" t="n">
        <v>2</v>
      </c>
      <c r="D309" t="inlineStr">
        <is>
          <t>Attack Speed %</t>
        </is>
      </c>
      <c r="E309" t="n">
        <v>7</v>
      </c>
      <c r="F309" t="n">
        <v>0.6</v>
      </c>
      <c r="G309" t="b">
        <v>1</v>
      </c>
      <c r="H309">
        <f>Sensitivity!H17</f>
        <v/>
      </c>
    </row>
    <row r="310">
      <c r="A310" t="inlineStr">
        <is>
          <t>ALL</t>
        </is>
      </c>
      <c r="B310" t="inlineStr">
        <is>
          <t>legendary</t>
        </is>
      </c>
      <c r="C310" t="n">
        <v>2</v>
      </c>
      <c r="D310" t="inlineStr">
        <is>
          <t>Damage %</t>
        </is>
      </c>
      <c r="E310" t="n">
        <v>18</v>
      </c>
      <c r="F310" t="n">
        <v>3.04</v>
      </c>
      <c r="G310" t="b">
        <v>0</v>
      </c>
      <c r="H310">
        <f>Sensitivity!H8</f>
        <v/>
      </c>
    </row>
    <row r="311">
      <c r="A311" t="inlineStr">
        <is>
          <t>ALL</t>
        </is>
      </c>
      <c r="B311" t="inlineStr">
        <is>
          <t>legendary</t>
        </is>
      </c>
      <c r="C311" t="n">
        <v>2</v>
      </c>
      <c r="D311" t="inlineStr">
        <is>
          <t>Damage %</t>
        </is>
      </c>
      <c r="E311" t="n">
        <v>25</v>
      </c>
      <c r="F311" t="n">
        <v>0.96</v>
      </c>
      <c r="G311" t="b">
        <v>1</v>
      </c>
      <c r="H311">
        <f>Sensitivity!H8</f>
        <v/>
      </c>
    </row>
    <row r="312">
      <c r="A312" t="inlineStr">
        <is>
          <t>ALL</t>
        </is>
      </c>
      <c r="B312" t="inlineStr">
        <is>
          <t>legendary</t>
        </is>
      </c>
      <c r="C312" t="n">
        <v>2</v>
      </c>
      <c r="D312" t="inlineStr">
        <is>
          <t>Min Damage Multiplier %</t>
        </is>
      </c>
      <c r="E312" t="n">
        <v>10</v>
      </c>
      <c r="F312" t="n">
        <v>3.04</v>
      </c>
      <c r="G312" t="b">
        <v>0</v>
      </c>
      <c r="H312">
        <f>Sensitivity!H13</f>
        <v/>
      </c>
    </row>
    <row r="313">
      <c r="A313" t="inlineStr">
        <is>
          <t>ALL</t>
        </is>
      </c>
      <c r="B313" t="inlineStr">
        <is>
          <t>legendary</t>
        </is>
      </c>
      <c r="C313" t="n">
        <v>2</v>
      </c>
      <c r="D313" t="inlineStr">
        <is>
          <t>Min Damage Multiplier %</t>
        </is>
      </c>
      <c r="E313" t="n">
        <v>15</v>
      </c>
      <c r="F313" t="n">
        <v>0.96</v>
      </c>
      <c r="G313" t="b">
        <v>1</v>
      </c>
      <c r="H313">
        <f>Sensitivity!H13</f>
        <v/>
      </c>
    </row>
    <row r="314">
      <c r="A314" t="inlineStr">
        <is>
          <t>ALL</t>
        </is>
      </c>
      <c r="B314" t="inlineStr">
        <is>
          <t>legendary</t>
        </is>
      </c>
      <c r="C314" t="n">
        <v>2</v>
      </c>
      <c r="D314" t="inlineStr">
        <is>
          <t>Max Damage Multiplier %</t>
        </is>
      </c>
      <c r="E314" t="n">
        <v>10</v>
      </c>
      <c r="F314" t="n">
        <v>3.04</v>
      </c>
      <c r="G314" t="b">
        <v>0</v>
      </c>
      <c r="H314">
        <f>Sensitivity!H14</f>
        <v/>
      </c>
    </row>
    <row r="315">
      <c r="A315" t="inlineStr">
        <is>
          <t>ALL</t>
        </is>
      </c>
      <c r="B315" t="inlineStr">
        <is>
          <t>legendary</t>
        </is>
      </c>
      <c r="C315" t="n">
        <v>2</v>
      </c>
      <c r="D315" t="inlineStr">
        <is>
          <t>Max Damage Multiplier %</t>
        </is>
      </c>
      <c r="E315" t="n">
        <v>15</v>
      </c>
      <c r="F315" t="n">
        <v>0.96</v>
      </c>
      <c r="G315" t="b">
        <v>1</v>
      </c>
      <c r="H315">
        <f>Sensitivity!H14</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f>Sensitivity!H6</f>
        <v/>
      </c>
    </row>
    <row r="319">
      <c r="A319" t="inlineStr">
        <is>
          <t>ALL</t>
        </is>
      </c>
      <c r="B319" t="inlineStr">
        <is>
          <t>legendary</t>
        </is>
      </c>
      <c r="C319" t="n">
        <v>2</v>
      </c>
      <c r="D319" t="inlineStr">
        <is>
          <t>Dex %</t>
        </is>
      </c>
      <c r="E319" t="n">
        <v>12</v>
      </c>
      <c r="F319" t="n">
        <v>1.08</v>
      </c>
      <c r="G319" t="b">
        <v>1</v>
      </c>
      <c r="H319">
        <f>Sensitivity!H6</f>
        <v/>
      </c>
    </row>
    <row r="320">
      <c r="A320" t="inlineStr">
        <is>
          <t>ALL</t>
        </is>
      </c>
      <c r="B320" t="inlineStr">
        <is>
          <t>legendary</t>
        </is>
      </c>
      <c r="C320" t="n">
        <v>2</v>
      </c>
      <c r="D320" t="inlineStr">
        <is>
          <t>Int %</t>
        </is>
      </c>
      <c r="E320" t="n">
        <v>9</v>
      </c>
      <c r="F320" t="n">
        <v>3.42</v>
      </c>
      <c r="G320" t="b">
        <v>0</v>
      </c>
      <c r="H320" t="inlineStr">
        <is>
          <t>0</t>
        </is>
      </c>
    </row>
    <row r="321">
      <c r="A321" t="inlineStr">
        <is>
          <t>ALL</t>
        </is>
      </c>
      <c r="B321" t="inlineStr">
        <is>
          <t>legendary</t>
        </is>
      </c>
      <c r="C321" t="n">
        <v>2</v>
      </c>
      <c r="D321" t="inlineStr">
        <is>
          <t>Int %</t>
        </is>
      </c>
      <c r="E321" t="n">
        <v>12</v>
      </c>
      <c r="F321" t="n">
        <v>1.08</v>
      </c>
      <c r="G321" t="b">
        <v>1</v>
      </c>
      <c r="H321" t="inlineStr">
        <is>
          <t>0</t>
        </is>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t="inlineStr">
        <is>
          <t>0</t>
        </is>
      </c>
    </row>
    <row r="325">
      <c r="A325" t="inlineStr">
        <is>
          <t>ALL</t>
        </is>
      </c>
      <c r="B325" t="inlineStr">
        <is>
          <t>legendary</t>
        </is>
      </c>
      <c r="C325" t="n">
        <v>2</v>
      </c>
      <c r="D325" t="inlineStr">
        <is>
          <t>Defense %</t>
        </is>
      </c>
      <c r="E325" t="n">
        <v>12</v>
      </c>
      <c r="F325" t="n">
        <v>2.16</v>
      </c>
      <c r="G325" t="b">
        <v>1</v>
      </c>
      <c r="H325" t="inlineStr">
        <is>
          <t>0</t>
        </is>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f>Sensitivity!H5</f>
        <v/>
      </c>
    </row>
    <row r="333">
      <c r="A333" t="inlineStr">
        <is>
          <t>ALL</t>
        </is>
      </c>
      <c r="B333" t="inlineStr">
        <is>
          <t>legendary</t>
        </is>
      </c>
      <c r="C333" t="n">
        <v>2</v>
      </c>
      <c r="D333" t="inlineStr">
        <is>
          <t>Dex</t>
        </is>
      </c>
      <c r="E333" t="n">
        <v>600</v>
      </c>
      <c r="F333" t="n">
        <v>2.22</v>
      </c>
      <c r="G333" t="b">
        <v>1</v>
      </c>
      <c r="H333">
        <f>Sensitivity!H5</f>
        <v/>
      </c>
    </row>
    <row r="334">
      <c r="A334" t="inlineStr">
        <is>
          <t>ALL</t>
        </is>
      </c>
      <c r="B334" t="inlineStr">
        <is>
          <t>legendary</t>
        </is>
      </c>
      <c r="C334" t="n">
        <v>2</v>
      </c>
      <c r="D334" t="inlineStr">
        <is>
          <t>Int</t>
        </is>
      </c>
      <c r="E334" t="n">
        <v>400</v>
      </c>
      <c r="F334" t="n">
        <v>7.03</v>
      </c>
      <c r="G334" t="b">
        <v>0</v>
      </c>
      <c r="H334" t="inlineStr">
        <is>
          <t>0</t>
        </is>
      </c>
    </row>
    <row r="335">
      <c r="A335" t="inlineStr">
        <is>
          <t>ALL</t>
        </is>
      </c>
      <c r="B335" t="inlineStr">
        <is>
          <t>legendary</t>
        </is>
      </c>
      <c r="C335" t="n">
        <v>2</v>
      </c>
      <c r="D335" t="inlineStr">
        <is>
          <t>Int</t>
        </is>
      </c>
      <c r="E335" t="n">
        <v>600</v>
      </c>
      <c r="F335" t="n">
        <v>2.22</v>
      </c>
      <c r="G335" t="b">
        <v>1</v>
      </c>
      <c r="H335" t="inlineStr">
        <is>
          <t>0</t>
        </is>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IF(Inputs!$B$8&gt;=100,Sensitivity!H16,Sensitivity!H15)</f>
        <v/>
      </c>
    </row>
    <row r="339">
      <c r="A339" t="inlineStr">
        <is>
          <t>ALL</t>
        </is>
      </c>
      <c r="B339" t="inlineStr">
        <is>
          <t>legendary</t>
        </is>
      </c>
      <c r="C339" t="n">
        <v>3</v>
      </c>
      <c r="D339" t="inlineStr">
        <is>
          <t>Critical Rate %</t>
        </is>
      </c>
      <c r="E339" t="n">
        <v>12</v>
      </c>
      <c r="F339" t="n">
        <v>0.2</v>
      </c>
      <c r="G339" t="b">
        <v>1</v>
      </c>
      <c r="H339">
        <f>IF(Inputs!$B$8&gt;=100,Sensitivity!H16,Sensitivity!H15)</f>
        <v/>
      </c>
    </row>
    <row r="340">
      <c r="A340" t="inlineStr">
        <is>
          <t>ALL</t>
        </is>
      </c>
      <c r="B340" t="inlineStr">
        <is>
          <t>legendary</t>
        </is>
      </c>
      <c r="C340" t="n">
        <v>3</v>
      </c>
      <c r="D340" t="inlineStr">
        <is>
          <t>Attack Speed %</t>
        </is>
      </c>
      <c r="E340" t="n">
        <v>5</v>
      </c>
      <c r="F340" t="n">
        <v>2.3</v>
      </c>
      <c r="G340" t="b">
        <v>0</v>
      </c>
      <c r="H340">
        <f>Sensitivity!H17</f>
        <v/>
      </c>
    </row>
    <row r="341">
      <c r="A341" t="inlineStr">
        <is>
          <t>ALL</t>
        </is>
      </c>
      <c r="B341" t="inlineStr">
        <is>
          <t>legendary</t>
        </is>
      </c>
      <c r="C341" t="n">
        <v>3</v>
      </c>
      <c r="D341" t="inlineStr">
        <is>
          <t>Attack Speed %</t>
        </is>
      </c>
      <c r="E341" t="n">
        <v>7</v>
      </c>
      <c r="F341" t="n">
        <v>0.2</v>
      </c>
      <c r="G341" t="b">
        <v>1</v>
      </c>
      <c r="H341">
        <f>Sensitivity!H17</f>
        <v/>
      </c>
    </row>
    <row r="342">
      <c r="A342" t="inlineStr">
        <is>
          <t>ALL</t>
        </is>
      </c>
      <c r="B342" t="inlineStr">
        <is>
          <t>legendary</t>
        </is>
      </c>
      <c r="C342" t="n">
        <v>3</v>
      </c>
      <c r="D342" t="inlineStr">
        <is>
          <t>Damage %</t>
        </is>
      </c>
      <c r="E342" t="n">
        <v>18</v>
      </c>
      <c r="F342" t="n">
        <v>3.68</v>
      </c>
      <c r="G342" t="b">
        <v>0</v>
      </c>
      <c r="H342">
        <f>Sensitivity!H8</f>
        <v/>
      </c>
    </row>
    <row r="343">
      <c r="A343" t="inlineStr">
        <is>
          <t>ALL</t>
        </is>
      </c>
      <c r="B343" t="inlineStr">
        <is>
          <t>legendary</t>
        </is>
      </c>
      <c r="C343" t="n">
        <v>3</v>
      </c>
      <c r="D343" t="inlineStr">
        <is>
          <t>Damage %</t>
        </is>
      </c>
      <c r="E343" t="n">
        <v>25</v>
      </c>
      <c r="F343" t="n">
        <v>0.32</v>
      </c>
      <c r="G343" t="b">
        <v>1</v>
      </c>
      <c r="H343">
        <f>Sensitivity!H8</f>
        <v/>
      </c>
    </row>
    <row r="344">
      <c r="A344" t="inlineStr">
        <is>
          <t>ALL</t>
        </is>
      </c>
      <c r="B344" t="inlineStr">
        <is>
          <t>legendary</t>
        </is>
      </c>
      <c r="C344" t="n">
        <v>3</v>
      </c>
      <c r="D344" t="inlineStr">
        <is>
          <t>Min Damage Multiplier %</t>
        </is>
      </c>
      <c r="E344" t="n">
        <v>10</v>
      </c>
      <c r="F344" t="n">
        <v>3.68</v>
      </c>
      <c r="G344" t="b">
        <v>0</v>
      </c>
      <c r="H344">
        <f>Sensitivity!H13</f>
        <v/>
      </c>
    </row>
    <row r="345">
      <c r="A345" t="inlineStr">
        <is>
          <t>ALL</t>
        </is>
      </c>
      <c r="B345" t="inlineStr">
        <is>
          <t>legendary</t>
        </is>
      </c>
      <c r="C345" t="n">
        <v>3</v>
      </c>
      <c r="D345" t="inlineStr">
        <is>
          <t>Min Damage Multiplier %</t>
        </is>
      </c>
      <c r="E345" t="n">
        <v>15</v>
      </c>
      <c r="F345" t="n">
        <v>0.32</v>
      </c>
      <c r="G345" t="b">
        <v>1</v>
      </c>
      <c r="H345">
        <f>Sensitivity!H13</f>
        <v/>
      </c>
    </row>
    <row r="346">
      <c r="A346" t="inlineStr">
        <is>
          <t>ALL</t>
        </is>
      </c>
      <c r="B346" t="inlineStr">
        <is>
          <t>legendary</t>
        </is>
      </c>
      <c r="C346" t="n">
        <v>3</v>
      </c>
      <c r="D346" t="inlineStr">
        <is>
          <t>Max Damage Multiplier %</t>
        </is>
      </c>
      <c r="E346" t="n">
        <v>10</v>
      </c>
      <c r="F346" t="n">
        <v>3.68</v>
      </c>
      <c r="G346" t="b">
        <v>0</v>
      </c>
      <c r="H346">
        <f>Sensitivity!H14</f>
        <v/>
      </c>
    </row>
    <row r="347">
      <c r="A347" t="inlineStr">
        <is>
          <t>ALL</t>
        </is>
      </c>
      <c r="B347" t="inlineStr">
        <is>
          <t>legendary</t>
        </is>
      </c>
      <c r="C347" t="n">
        <v>3</v>
      </c>
      <c r="D347" t="inlineStr">
        <is>
          <t>Max Damage Multiplier %</t>
        </is>
      </c>
      <c r="E347" t="n">
        <v>15</v>
      </c>
      <c r="F347" t="n">
        <v>0.32</v>
      </c>
      <c r="G347" t="b">
        <v>1</v>
      </c>
      <c r="H347">
        <f>Sensitivity!H14</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f>Sensitivity!H6</f>
        <v/>
      </c>
    </row>
    <row r="351">
      <c r="A351" t="inlineStr">
        <is>
          <t>ALL</t>
        </is>
      </c>
      <c r="B351" t="inlineStr">
        <is>
          <t>legendary</t>
        </is>
      </c>
      <c r="C351" t="n">
        <v>3</v>
      </c>
      <c r="D351" t="inlineStr">
        <is>
          <t>Dex %</t>
        </is>
      </c>
      <c r="E351" t="n">
        <v>12</v>
      </c>
      <c r="F351" t="n">
        <v>0.36</v>
      </c>
      <c r="G351" t="b">
        <v>1</v>
      </c>
      <c r="H351">
        <f>Sensitivity!H6</f>
        <v/>
      </c>
    </row>
    <row r="352">
      <c r="A352" t="inlineStr">
        <is>
          <t>ALL</t>
        </is>
      </c>
      <c r="B352" t="inlineStr">
        <is>
          <t>legendary</t>
        </is>
      </c>
      <c r="C352" t="n">
        <v>3</v>
      </c>
      <c r="D352" t="inlineStr">
        <is>
          <t>Int %</t>
        </is>
      </c>
      <c r="E352" t="n">
        <v>9</v>
      </c>
      <c r="F352" t="n">
        <v>4.14</v>
      </c>
      <c r="G352" t="b">
        <v>0</v>
      </c>
      <c r="H352" t="inlineStr">
        <is>
          <t>0</t>
        </is>
      </c>
    </row>
    <row r="353">
      <c r="A353" t="inlineStr">
        <is>
          <t>ALL</t>
        </is>
      </c>
      <c r="B353" t="inlineStr">
        <is>
          <t>legendary</t>
        </is>
      </c>
      <c r="C353" t="n">
        <v>3</v>
      </c>
      <c r="D353" t="inlineStr">
        <is>
          <t>Int %</t>
        </is>
      </c>
      <c r="E353" t="n">
        <v>12</v>
      </c>
      <c r="F353" t="n">
        <v>0.36</v>
      </c>
      <c r="G353" t="b">
        <v>1</v>
      </c>
      <c r="H353" t="inlineStr">
        <is>
          <t>0</t>
        </is>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t="inlineStr">
        <is>
          <t>0</t>
        </is>
      </c>
    </row>
    <row r="357">
      <c r="A357" t="inlineStr">
        <is>
          <t>ALL</t>
        </is>
      </c>
      <c r="B357" t="inlineStr">
        <is>
          <t>legendary</t>
        </is>
      </c>
      <c r="C357" t="n">
        <v>3</v>
      </c>
      <c r="D357" t="inlineStr">
        <is>
          <t>Defense %</t>
        </is>
      </c>
      <c r="E357" t="n">
        <v>12</v>
      </c>
      <c r="F357" t="n">
        <v>0.72</v>
      </c>
      <c r="G357" t="b">
        <v>1</v>
      </c>
      <c r="H357" t="inlineStr">
        <is>
          <t>0</t>
        </is>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f>Sensitivity!H5</f>
        <v/>
      </c>
    </row>
    <row r="365">
      <c r="A365" t="inlineStr">
        <is>
          <t>ALL</t>
        </is>
      </c>
      <c r="B365" t="inlineStr">
        <is>
          <t>legendary</t>
        </is>
      </c>
      <c r="C365" t="n">
        <v>3</v>
      </c>
      <c r="D365" t="inlineStr">
        <is>
          <t>Dex</t>
        </is>
      </c>
      <c r="E365" t="n">
        <v>600</v>
      </c>
      <c r="F365" t="n">
        <v>0.74</v>
      </c>
      <c r="G365" t="b">
        <v>1</v>
      </c>
      <c r="H365">
        <f>Sensitivity!H5</f>
        <v/>
      </c>
    </row>
    <row r="366">
      <c r="A366" t="inlineStr">
        <is>
          <t>ALL</t>
        </is>
      </c>
      <c r="B366" t="inlineStr">
        <is>
          <t>legendary</t>
        </is>
      </c>
      <c r="C366" t="n">
        <v>3</v>
      </c>
      <c r="D366" t="inlineStr">
        <is>
          <t>Int</t>
        </is>
      </c>
      <c r="E366" t="n">
        <v>400</v>
      </c>
      <c r="F366" t="n">
        <v>8.51</v>
      </c>
      <c r="G366" t="b">
        <v>0</v>
      </c>
      <c r="H366" t="inlineStr">
        <is>
          <t>0</t>
        </is>
      </c>
    </row>
    <row r="367">
      <c r="A367" t="inlineStr">
        <is>
          <t>ALL</t>
        </is>
      </c>
      <c r="B367" t="inlineStr">
        <is>
          <t>legendary</t>
        </is>
      </c>
      <c r="C367" t="n">
        <v>3</v>
      </c>
      <c r="D367" t="inlineStr">
        <is>
          <t>Int</t>
        </is>
      </c>
      <c r="E367" t="n">
        <v>600</v>
      </c>
      <c r="F367" t="n">
        <v>0.74</v>
      </c>
      <c r="G367" t="b">
        <v>1</v>
      </c>
      <c r="H367" t="inlineStr">
        <is>
          <t>0</t>
        </is>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IF(Inputs!$B$8&gt;=100,Sensitivity!H16,Sensitivity!H15)</f>
        <v/>
      </c>
    </row>
    <row r="371">
      <c r="A371" t="inlineStr">
        <is>
          <t>ALL</t>
        </is>
      </c>
      <c r="B371" t="inlineStr">
        <is>
          <t>mystic</t>
        </is>
      </c>
      <c r="C371" t="n">
        <v>1</v>
      </c>
      <c r="D371" t="inlineStr">
        <is>
          <t>Attack Speed %</t>
        </is>
      </c>
      <c r="E371" t="n">
        <v>10</v>
      </c>
      <c r="F371" t="n">
        <v>2.5</v>
      </c>
      <c r="G371" t="b">
        <v>0</v>
      </c>
      <c r="H371">
        <f>Sensitivity!H17</f>
        <v/>
      </c>
    </row>
    <row r="372">
      <c r="A372" t="inlineStr">
        <is>
          <t>ALL</t>
        </is>
      </c>
      <c r="B372" t="inlineStr">
        <is>
          <t>mystic</t>
        </is>
      </c>
      <c r="C372" t="n">
        <v>1</v>
      </c>
      <c r="D372" t="inlineStr">
        <is>
          <t>Damage %</t>
        </is>
      </c>
      <c r="E372" t="n">
        <v>35</v>
      </c>
      <c r="F372" t="n">
        <v>4</v>
      </c>
      <c r="G372" t="b">
        <v>0</v>
      </c>
      <c r="H372">
        <f>Sensitivity!H8</f>
        <v/>
      </c>
    </row>
    <row r="373">
      <c r="A373" t="inlineStr">
        <is>
          <t>ALL</t>
        </is>
      </c>
      <c r="B373" t="inlineStr">
        <is>
          <t>mystic</t>
        </is>
      </c>
      <c r="C373" t="n">
        <v>1</v>
      </c>
      <c r="D373" t="inlineStr">
        <is>
          <t>Min Damage Multiplier %</t>
        </is>
      </c>
      <c r="E373" t="n">
        <v>25</v>
      </c>
      <c r="F373" t="n">
        <v>4</v>
      </c>
      <c r="G373" t="b">
        <v>0</v>
      </c>
      <c r="H373">
        <f>Sensitivity!H13</f>
        <v/>
      </c>
    </row>
    <row r="374">
      <c r="A374" t="inlineStr">
        <is>
          <t>ALL</t>
        </is>
      </c>
      <c r="B374" t="inlineStr">
        <is>
          <t>mystic</t>
        </is>
      </c>
      <c r="C374" t="n">
        <v>1</v>
      </c>
      <c r="D374" t="inlineStr">
        <is>
          <t>Max Damage Multiplier %</t>
        </is>
      </c>
      <c r="E374" t="n">
        <v>25</v>
      </c>
      <c r="F374" t="n">
        <v>4</v>
      </c>
      <c r="G374" t="b">
        <v>0</v>
      </c>
      <c r="H374">
        <f>Sensitivity!H14</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f>Sensitivity!H6</f>
        <v/>
      </c>
    </row>
    <row r="377">
      <c r="A377" t="inlineStr">
        <is>
          <t>ALL</t>
        </is>
      </c>
      <c r="B377" t="inlineStr">
        <is>
          <t>mystic</t>
        </is>
      </c>
      <c r="C377" t="n">
        <v>1</v>
      </c>
      <c r="D377" t="inlineStr">
        <is>
          <t>Int %</t>
        </is>
      </c>
      <c r="E377" t="n">
        <v>15</v>
      </c>
      <c r="F377" t="n">
        <v>4.5</v>
      </c>
      <c r="G377" t="b">
        <v>0</v>
      </c>
      <c r="H377" t="inlineStr">
        <is>
          <t>0</t>
        </is>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t="inlineStr">
        <is>
          <t>0</t>
        </is>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f>Sensitivity!H5</f>
        <v/>
      </c>
    </row>
    <row r="384">
      <c r="A384" t="inlineStr">
        <is>
          <t>ALL</t>
        </is>
      </c>
      <c r="B384" t="inlineStr">
        <is>
          <t>mystic</t>
        </is>
      </c>
      <c r="C384" t="n">
        <v>1</v>
      </c>
      <c r="D384" t="inlineStr">
        <is>
          <t>Int</t>
        </is>
      </c>
      <c r="E384" t="n">
        <v>1000</v>
      </c>
      <c r="F384" t="n">
        <v>9.25</v>
      </c>
      <c r="G384" t="b">
        <v>0</v>
      </c>
      <c r="H384" t="inlineStr">
        <is>
          <t>0</t>
        </is>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IF(Inputs!$B$8&gt;=100,Sensitivity!H16,Sensitivity!H15)</f>
        <v/>
      </c>
    </row>
    <row r="387">
      <c r="A387" t="inlineStr">
        <is>
          <t>ALL</t>
        </is>
      </c>
      <c r="B387" t="inlineStr">
        <is>
          <t>mystic</t>
        </is>
      </c>
      <c r="C387" t="n">
        <v>2</v>
      </c>
      <c r="D387" t="inlineStr">
        <is>
          <t>Critical Rate %</t>
        </is>
      </c>
      <c r="E387" t="n">
        <v>15</v>
      </c>
      <c r="F387" t="n">
        <v>0.6</v>
      </c>
      <c r="G387" t="b">
        <v>1</v>
      </c>
      <c r="H387">
        <f>IF(Inputs!$B$8&gt;=100,Sensitivity!H16,Sensitivity!H15)</f>
        <v/>
      </c>
    </row>
    <row r="388">
      <c r="A388" t="inlineStr">
        <is>
          <t>ALL</t>
        </is>
      </c>
      <c r="B388" t="inlineStr">
        <is>
          <t>mystic</t>
        </is>
      </c>
      <c r="C388" t="n">
        <v>2</v>
      </c>
      <c r="D388" t="inlineStr">
        <is>
          <t>Attack Speed %</t>
        </is>
      </c>
      <c r="E388" t="n">
        <v>7</v>
      </c>
      <c r="F388" t="n">
        <v>1.9</v>
      </c>
      <c r="G388" t="b">
        <v>0</v>
      </c>
      <c r="H388">
        <f>Sensitivity!H17</f>
        <v/>
      </c>
    </row>
    <row r="389">
      <c r="A389" t="inlineStr">
        <is>
          <t>ALL</t>
        </is>
      </c>
      <c r="B389" t="inlineStr">
        <is>
          <t>mystic</t>
        </is>
      </c>
      <c r="C389" t="n">
        <v>2</v>
      </c>
      <c r="D389" t="inlineStr">
        <is>
          <t>Attack Speed %</t>
        </is>
      </c>
      <c r="E389" t="n">
        <v>10</v>
      </c>
      <c r="F389" t="n">
        <v>0.6</v>
      </c>
      <c r="G389" t="b">
        <v>1</v>
      </c>
      <c r="H389">
        <f>Sensitivity!H17</f>
        <v/>
      </c>
    </row>
    <row r="390">
      <c r="A390" t="inlineStr">
        <is>
          <t>ALL</t>
        </is>
      </c>
      <c r="B390" t="inlineStr">
        <is>
          <t>mystic</t>
        </is>
      </c>
      <c r="C390" t="n">
        <v>2</v>
      </c>
      <c r="D390" t="inlineStr">
        <is>
          <t>Damage %</t>
        </is>
      </c>
      <c r="E390" t="n">
        <v>25</v>
      </c>
      <c r="F390" t="n">
        <v>3.04</v>
      </c>
      <c r="G390" t="b">
        <v>0</v>
      </c>
      <c r="H390">
        <f>Sensitivity!H8</f>
        <v/>
      </c>
    </row>
    <row r="391">
      <c r="A391" t="inlineStr">
        <is>
          <t>ALL</t>
        </is>
      </c>
      <c r="B391" t="inlineStr">
        <is>
          <t>mystic</t>
        </is>
      </c>
      <c r="C391" t="n">
        <v>2</v>
      </c>
      <c r="D391" t="inlineStr">
        <is>
          <t>Damage %</t>
        </is>
      </c>
      <c r="E391" t="n">
        <v>35</v>
      </c>
      <c r="F391" t="n">
        <v>0.96</v>
      </c>
      <c r="G391" t="b">
        <v>1</v>
      </c>
      <c r="H391">
        <f>Sensitivity!H8</f>
        <v/>
      </c>
    </row>
    <row r="392">
      <c r="A392" t="inlineStr">
        <is>
          <t>ALL</t>
        </is>
      </c>
      <c r="B392" t="inlineStr">
        <is>
          <t>mystic</t>
        </is>
      </c>
      <c r="C392" t="n">
        <v>2</v>
      </c>
      <c r="D392" t="inlineStr">
        <is>
          <t>Min Damage Multiplier %</t>
        </is>
      </c>
      <c r="E392" t="n">
        <v>15</v>
      </c>
      <c r="F392" t="n">
        <v>3.04</v>
      </c>
      <c r="G392" t="b">
        <v>0</v>
      </c>
      <c r="H392">
        <f>Sensitivity!H13</f>
        <v/>
      </c>
    </row>
    <row r="393">
      <c r="A393" t="inlineStr">
        <is>
          <t>ALL</t>
        </is>
      </c>
      <c r="B393" t="inlineStr">
        <is>
          <t>mystic</t>
        </is>
      </c>
      <c r="C393" t="n">
        <v>2</v>
      </c>
      <c r="D393" t="inlineStr">
        <is>
          <t>Min Damage Multiplier %</t>
        </is>
      </c>
      <c r="E393" t="n">
        <v>25</v>
      </c>
      <c r="F393" t="n">
        <v>0.96</v>
      </c>
      <c r="G393" t="b">
        <v>1</v>
      </c>
      <c r="H393">
        <f>Sensitivity!H13</f>
        <v/>
      </c>
    </row>
    <row r="394">
      <c r="A394" t="inlineStr">
        <is>
          <t>ALL</t>
        </is>
      </c>
      <c r="B394" t="inlineStr">
        <is>
          <t>mystic</t>
        </is>
      </c>
      <c r="C394" t="n">
        <v>2</v>
      </c>
      <c r="D394" t="inlineStr">
        <is>
          <t>Max Damage Multiplier %</t>
        </is>
      </c>
      <c r="E394" t="n">
        <v>15</v>
      </c>
      <c r="F394" t="n">
        <v>3.04</v>
      </c>
      <c r="G394" t="b">
        <v>0</v>
      </c>
      <c r="H394">
        <f>Sensitivity!H14</f>
        <v/>
      </c>
    </row>
    <row r="395">
      <c r="A395" t="inlineStr">
        <is>
          <t>ALL</t>
        </is>
      </c>
      <c r="B395" t="inlineStr">
        <is>
          <t>mystic</t>
        </is>
      </c>
      <c r="C395" t="n">
        <v>2</v>
      </c>
      <c r="D395" t="inlineStr">
        <is>
          <t>Max Damage Multiplier %</t>
        </is>
      </c>
      <c r="E395" t="n">
        <v>25</v>
      </c>
      <c r="F395" t="n">
        <v>0.96</v>
      </c>
      <c r="G395" t="b">
        <v>1</v>
      </c>
      <c r="H395">
        <f>Sensitivity!H14</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f>Sensitivity!H6</f>
        <v/>
      </c>
    </row>
    <row r="399">
      <c r="A399" t="inlineStr">
        <is>
          <t>ALL</t>
        </is>
      </c>
      <c r="B399" t="inlineStr">
        <is>
          <t>mystic</t>
        </is>
      </c>
      <c r="C399" t="n">
        <v>2</v>
      </c>
      <c r="D399" t="inlineStr">
        <is>
          <t>Dex %</t>
        </is>
      </c>
      <c r="E399" t="n">
        <v>15</v>
      </c>
      <c r="F399" t="n">
        <v>1.08</v>
      </c>
      <c r="G399" t="b">
        <v>1</v>
      </c>
      <c r="H399">
        <f>Sensitivity!H6</f>
        <v/>
      </c>
    </row>
    <row r="400">
      <c r="A400" t="inlineStr">
        <is>
          <t>ALL</t>
        </is>
      </c>
      <c r="B400" t="inlineStr">
        <is>
          <t>mystic</t>
        </is>
      </c>
      <c r="C400" t="n">
        <v>2</v>
      </c>
      <c r="D400" t="inlineStr">
        <is>
          <t>Int %</t>
        </is>
      </c>
      <c r="E400" t="n">
        <v>12</v>
      </c>
      <c r="F400" t="n">
        <v>3.42</v>
      </c>
      <c r="G400" t="b">
        <v>0</v>
      </c>
      <c r="H400" t="inlineStr">
        <is>
          <t>0</t>
        </is>
      </c>
    </row>
    <row r="401">
      <c r="A401" t="inlineStr">
        <is>
          <t>ALL</t>
        </is>
      </c>
      <c r="B401" t="inlineStr">
        <is>
          <t>mystic</t>
        </is>
      </c>
      <c r="C401" t="n">
        <v>2</v>
      </c>
      <c r="D401" t="inlineStr">
        <is>
          <t>Int %</t>
        </is>
      </c>
      <c r="E401" t="n">
        <v>15</v>
      </c>
      <c r="F401" t="n">
        <v>1.08</v>
      </c>
      <c r="G401" t="b">
        <v>1</v>
      </c>
      <c r="H401" t="inlineStr">
        <is>
          <t>0</t>
        </is>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t="inlineStr">
        <is>
          <t>0</t>
        </is>
      </c>
    </row>
    <row r="405">
      <c r="A405" t="inlineStr">
        <is>
          <t>ALL</t>
        </is>
      </c>
      <c r="B405" t="inlineStr">
        <is>
          <t>mystic</t>
        </is>
      </c>
      <c r="C405" t="n">
        <v>2</v>
      </c>
      <c r="D405" t="inlineStr">
        <is>
          <t>Defense %</t>
        </is>
      </c>
      <c r="E405" t="n">
        <v>15</v>
      </c>
      <c r="F405" t="n">
        <v>2.16</v>
      </c>
      <c r="G405" t="b">
        <v>1</v>
      </c>
      <c r="H405" t="inlineStr">
        <is>
          <t>0</t>
        </is>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f>Sensitivity!H5</f>
        <v/>
      </c>
    </row>
    <row r="413">
      <c r="A413" t="inlineStr">
        <is>
          <t>ALL</t>
        </is>
      </c>
      <c r="B413" t="inlineStr">
        <is>
          <t>mystic</t>
        </is>
      </c>
      <c r="C413" t="n">
        <v>2</v>
      </c>
      <c r="D413" t="inlineStr">
        <is>
          <t>Dex</t>
        </is>
      </c>
      <c r="E413" t="n">
        <v>1000</v>
      </c>
      <c r="F413" t="n">
        <v>2.22</v>
      </c>
      <c r="G413" t="b">
        <v>1</v>
      </c>
      <c r="H413">
        <f>Sensitivity!H5</f>
        <v/>
      </c>
    </row>
    <row r="414">
      <c r="A414" t="inlineStr">
        <is>
          <t>ALL</t>
        </is>
      </c>
      <c r="B414" t="inlineStr">
        <is>
          <t>mystic</t>
        </is>
      </c>
      <c r="C414" t="n">
        <v>2</v>
      </c>
      <c r="D414" t="inlineStr">
        <is>
          <t>Int</t>
        </is>
      </c>
      <c r="E414" t="n">
        <v>600</v>
      </c>
      <c r="F414" t="n">
        <v>7.03</v>
      </c>
      <c r="G414" t="b">
        <v>0</v>
      </c>
      <c r="H414" t="inlineStr">
        <is>
          <t>0</t>
        </is>
      </c>
    </row>
    <row r="415">
      <c r="A415" t="inlineStr">
        <is>
          <t>ALL</t>
        </is>
      </c>
      <c r="B415" t="inlineStr">
        <is>
          <t>mystic</t>
        </is>
      </c>
      <c r="C415" t="n">
        <v>2</v>
      </c>
      <c r="D415" t="inlineStr">
        <is>
          <t>Int</t>
        </is>
      </c>
      <c r="E415" t="n">
        <v>1000</v>
      </c>
      <c r="F415" t="n">
        <v>2.22</v>
      </c>
      <c r="G415" t="b">
        <v>1</v>
      </c>
      <c r="H415" t="inlineStr">
        <is>
          <t>0</t>
        </is>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IF(Inputs!$B$8&gt;=100,Sensitivity!H16,Sensitivity!H15)</f>
        <v/>
      </c>
    </row>
    <row r="419">
      <c r="A419" t="inlineStr">
        <is>
          <t>ALL</t>
        </is>
      </c>
      <c r="B419" t="inlineStr">
        <is>
          <t>mystic</t>
        </is>
      </c>
      <c r="C419" t="n">
        <v>3</v>
      </c>
      <c r="D419" t="inlineStr">
        <is>
          <t>Critical Rate %</t>
        </is>
      </c>
      <c r="E419" t="n">
        <v>15</v>
      </c>
      <c r="F419" t="n">
        <v>0.2</v>
      </c>
      <c r="G419" t="b">
        <v>1</v>
      </c>
      <c r="H419">
        <f>IF(Inputs!$B$8&gt;=100,Sensitivity!H16,Sensitivity!H15)</f>
        <v/>
      </c>
    </row>
    <row r="420">
      <c r="A420" t="inlineStr">
        <is>
          <t>ALL</t>
        </is>
      </c>
      <c r="B420" t="inlineStr">
        <is>
          <t>mystic</t>
        </is>
      </c>
      <c r="C420" t="n">
        <v>3</v>
      </c>
      <c r="D420" t="inlineStr">
        <is>
          <t>Attack Speed %</t>
        </is>
      </c>
      <c r="E420" t="n">
        <v>7</v>
      </c>
      <c r="F420" t="n">
        <v>2.3</v>
      </c>
      <c r="G420" t="b">
        <v>0</v>
      </c>
      <c r="H420">
        <f>Sensitivity!H17</f>
        <v/>
      </c>
    </row>
    <row r="421">
      <c r="A421" t="inlineStr">
        <is>
          <t>ALL</t>
        </is>
      </c>
      <c r="B421" t="inlineStr">
        <is>
          <t>mystic</t>
        </is>
      </c>
      <c r="C421" t="n">
        <v>3</v>
      </c>
      <c r="D421" t="inlineStr">
        <is>
          <t>Attack Speed %</t>
        </is>
      </c>
      <c r="E421" t="n">
        <v>10</v>
      </c>
      <c r="F421" t="n">
        <v>0.2</v>
      </c>
      <c r="G421" t="b">
        <v>1</v>
      </c>
      <c r="H421">
        <f>Sensitivity!H17</f>
        <v/>
      </c>
    </row>
    <row r="422">
      <c r="A422" t="inlineStr">
        <is>
          <t>ALL</t>
        </is>
      </c>
      <c r="B422" t="inlineStr">
        <is>
          <t>mystic</t>
        </is>
      </c>
      <c r="C422" t="n">
        <v>3</v>
      </c>
      <c r="D422" t="inlineStr">
        <is>
          <t>Damage %</t>
        </is>
      </c>
      <c r="E422" t="n">
        <v>25</v>
      </c>
      <c r="F422" t="n">
        <v>3.68</v>
      </c>
      <c r="G422" t="b">
        <v>0</v>
      </c>
      <c r="H422">
        <f>Sensitivity!H8</f>
        <v/>
      </c>
    </row>
    <row r="423">
      <c r="A423" t="inlineStr">
        <is>
          <t>ALL</t>
        </is>
      </c>
      <c r="B423" t="inlineStr">
        <is>
          <t>mystic</t>
        </is>
      </c>
      <c r="C423" t="n">
        <v>3</v>
      </c>
      <c r="D423" t="inlineStr">
        <is>
          <t>Damage %</t>
        </is>
      </c>
      <c r="E423" t="n">
        <v>35</v>
      </c>
      <c r="F423" t="n">
        <v>0.32</v>
      </c>
      <c r="G423" t="b">
        <v>1</v>
      </c>
      <c r="H423">
        <f>Sensitivity!H8</f>
        <v/>
      </c>
    </row>
    <row r="424">
      <c r="A424" t="inlineStr">
        <is>
          <t>ALL</t>
        </is>
      </c>
      <c r="B424" t="inlineStr">
        <is>
          <t>mystic</t>
        </is>
      </c>
      <c r="C424" t="n">
        <v>3</v>
      </c>
      <c r="D424" t="inlineStr">
        <is>
          <t>Min Damage Multiplier %</t>
        </is>
      </c>
      <c r="E424" t="n">
        <v>15</v>
      </c>
      <c r="F424" t="n">
        <v>3.68</v>
      </c>
      <c r="G424" t="b">
        <v>0</v>
      </c>
      <c r="H424">
        <f>Sensitivity!H13</f>
        <v/>
      </c>
    </row>
    <row r="425">
      <c r="A425" t="inlineStr">
        <is>
          <t>ALL</t>
        </is>
      </c>
      <c r="B425" t="inlineStr">
        <is>
          <t>mystic</t>
        </is>
      </c>
      <c r="C425" t="n">
        <v>3</v>
      </c>
      <c r="D425" t="inlineStr">
        <is>
          <t>Min Damage Multiplier %</t>
        </is>
      </c>
      <c r="E425" t="n">
        <v>25</v>
      </c>
      <c r="F425" t="n">
        <v>0.32</v>
      </c>
      <c r="G425" t="b">
        <v>1</v>
      </c>
      <c r="H425">
        <f>Sensitivity!H13</f>
        <v/>
      </c>
    </row>
    <row r="426">
      <c r="A426" t="inlineStr">
        <is>
          <t>ALL</t>
        </is>
      </c>
      <c r="B426" t="inlineStr">
        <is>
          <t>mystic</t>
        </is>
      </c>
      <c r="C426" t="n">
        <v>3</v>
      </c>
      <c r="D426" t="inlineStr">
        <is>
          <t>Max Damage Multiplier %</t>
        </is>
      </c>
      <c r="E426" t="n">
        <v>15</v>
      </c>
      <c r="F426" t="n">
        <v>3.68</v>
      </c>
      <c r="G426" t="b">
        <v>0</v>
      </c>
      <c r="H426">
        <f>Sensitivity!H14</f>
        <v/>
      </c>
    </row>
    <row r="427">
      <c r="A427" t="inlineStr">
        <is>
          <t>ALL</t>
        </is>
      </c>
      <c r="B427" t="inlineStr">
        <is>
          <t>mystic</t>
        </is>
      </c>
      <c r="C427" t="n">
        <v>3</v>
      </c>
      <c r="D427" t="inlineStr">
        <is>
          <t>Max Damage Multiplier %</t>
        </is>
      </c>
      <c r="E427" t="n">
        <v>25</v>
      </c>
      <c r="F427" t="n">
        <v>0.32</v>
      </c>
      <c r="G427" t="b">
        <v>1</v>
      </c>
      <c r="H427">
        <f>Sensitivity!H14</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f>Sensitivity!H6</f>
        <v/>
      </c>
    </row>
    <row r="431">
      <c r="A431" t="inlineStr">
        <is>
          <t>ALL</t>
        </is>
      </c>
      <c r="B431" t="inlineStr">
        <is>
          <t>mystic</t>
        </is>
      </c>
      <c r="C431" t="n">
        <v>3</v>
      </c>
      <c r="D431" t="inlineStr">
        <is>
          <t>Dex %</t>
        </is>
      </c>
      <c r="E431" t="n">
        <v>15</v>
      </c>
      <c r="F431" t="n">
        <v>0.36</v>
      </c>
      <c r="G431" t="b">
        <v>1</v>
      </c>
      <c r="H431">
        <f>Sensitivity!H6</f>
        <v/>
      </c>
    </row>
    <row r="432">
      <c r="A432" t="inlineStr">
        <is>
          <t>ALL</t>
        </is>
      </c>
      <c r="B432" t="inlineStr">
        <is>
          <t>mystic</t>
        </is>
      </c>
      <c r="C432" t="n">
        <v>3</v>
      </c>
      <c r="D432" t="inlineStr">
        <is>
          <t>Int %</t>
        </is>
      </c>
      <c r="E432" t="n">
        <v>12</v>
      </c>
      <c r="F432" t="n">
        <v>4.14</v>
      </c>
      <c r="G432" t="b">
        <v>0</v>
      </c>
      <c r="H432" t="inlineStr">
        <is>
          <t>0</t>
        </is>
      </c>
    </row>
    <row r="433">
      <c r="A433" t="inlineStr">
        <is>
          <t>ALL</t>
        </is>
      </c>
      <c r="B433" t="inlineStr">
        <is>
          <t>mystic</t>
        </is>
      </c>
      <c r="C433" t="n">
        <v>3</v>
      </c>
      <c r="D433" t="inlineStr">
        <is>
          <t>Int %</t>
        </is>
      </c>
      <c r="E433" t="n">
        <v>15</v>
      </c>
      <c r="F433" t="n">
        <v>0.36</v>
      </c>
      <c r="G433" t="b">
        <v>1</v>
      </c>
      <c r="H433" t="inlineStr">
        <is>
          <t>0</t>
        </is>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t="inlineStr">
        <is>
          <t>0</t>
        </is>
      </c>
    </row>
    <row r="437">
      <c r="A437" t="inlineStr">
        <is>
          <t>ALL</t>
        </is>
      </c>
      <c r="B437" t="inlineStr">
        <is>
          <t>mystic</t>
        </is>
      </c>
      <c r="C437" t="n">
        <v>3</v>
      </c>
      <c r="D437" t="inlineStr">
        <is>
          <t>Defense %</t>
        </is>
      </c>
      <c r="E437" t="n">
        <v>15</v>
      </c>
      <c r="F437" t="n">
        <v>0.72</v>
      </c>
      <c r="G437" t="b">
        <v>1</v>
      </c>
      <c r="H437" t="inlineStr">
        <is>
          <t>0</t>
        </is>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f>Sensitivity!H5</f>
        <v/>
      </c>
    </row>
    <row r="445">
      <c r="A445" t="inlineStr">
        <is>
          <t>ALL</t>
        </is>
      </c>
      <c r="B445" t="inlineStr">
        <is>
          <t>mystic</t>
        </is>
      </c>
      <c r="C445" t="n">
        <v>3</v>
      </c>
      <c r="D445" t="inlineStr">
        <is>
          <t>Dex</t>
        </is>
      </c>
      <c r="E445" t="n">
        <v>1000</v>
      </c>
      <c r="F445" t="n">
        <v>0.74</v>
      </c>
      <c r="G445" t="b">
        <v>1</v>
      </c>
      <c r="H445">
        <f>Sensitivity!H5</f>
        <v/>
      </c>
    </row>
    <row r="446">
      <c r="A446" t="inlineStr">
        <is>
          <t>ALL</t>
        </is>
      </c>
      <c r="B446" t="inlineStr">
        <is>
          <t>mystic</t>
        </is>
      </c>
      <c r="C446" t="n">
        <v>3</v>
      </c>
      <c r="D446" t="inlineStr">
        <is>
          <t>Int</t>
        </is>
      </c>
      <c r="E446" t="n">
        <v>600</v>
      </c>
      <c r="F446" t="n">
        <v>8.51</v>
      </c>
      <c r="G446" t="b">
        <v>0</v>
      </c>
      <c r="H446" t="inlineStr">
        <is>
          <t>0</t>
        </is>
      </c>
    </row>
    <row r="447">
      <c r="A447" t="inlineStr">
        <is>
          <t>ALL</t>
        </is>
      </c>
      <c r="B447" t="inlineStr">
        <is>
          <t>mystic</t>
        </is>
      </c>
      <c r="C447" t="n">
        <v>3</v>
      </c>
      <c r="D447" t="inlineStr">
        <is>
          <t>Int</t>
        </is>
      </c>
      <c r="E447" t="n">
        <v>1000</v>
      </c>
      <c r="F447" t="n">
        <v>0.74</v>
      </c>
      <c r="G447" t="b">
        <v>1</v>
      </c>
      <c r="H447" t="inlineStr">
        <is>
          <t>0</t>
        </is>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Sensitivity!H28</f>
        <v/>
      </c>
    </row>
    <row r="451">
      <c r="A451" t="inlineStr">
        <is>
          <t>head</t>
        </is>
      </c>
      <c r="B451" t="inlineStr">
        <is>
          <t>epic</t>
        </is>
      </c>
      <c r="C451" t="n">
        <v>2</v>
      </c>
      <c r="D451" t="inlineStr">
        <is>
          <t>Skill Cooldown Decrease (seconds)</t>
        </is>
      </c>
      <c r="E451" t="n">
        <v>0.5</v>
      </c>
      <c r="F451" t="n">
        <v>0.24</v>
      </c>
      <c r="G451" t="b">
        <v>1</v>
      </c>
      <c r="H451">
        <f>Sensitivity!H28</f>
        <v/>
      </c>
    </row>
    <row r="452">
      <c r="A452" t="inlineStr">
        <is>
          <t>head</t>
        </is>
      </c>
      <c r="B452" t="inlineStr">
        <is>
          <t>epic</t>
        </is>
      </c>
      <c r="C452" t="n">
        <v>3</v>
      </c>
      <c r="D452" t="inlineStr">
        <is>
          <t>Skill Cooldown Decrease (seconds)</t>
        </is>
      </c>
      <c r="E452" t="n">
        <v>0.5</v>
      </c>
      <c r="F452" t="n">
        <v>0.08</v>
      </c>
      <c r="G452" t="b">
        <v>1</v>
      </c>
      <c r="H452">
        <f>Sensitivity!H28</f>
        <v/>
      </c>
    </row>
    <row r="453">
      <c r="A453" t="inlineStr">
        <is>
          <t>head</t>
        </is>
      </c>
      <c r="B453" t="inlineStr">
        <is>
          <t>unique</t>
        </is>
      </c>
      <c r="C453" t="n">
        <v>1</v>
      </c>
      <c r="D453" t="inlineStr">
        <is>
          <t>Skill Cooldown Decrease (seconds)</t>
        </is>
      </c>
      <c r="E453" t="n">
        <v>1</v>
      </c>
      <c r="F453" t="n">
        <v>1</v>
      </c>
      <c r="G453" t="b">
        <v>1</v>
      </c>
      <c r="H453">
        <f>Sensitivity!H28</f>
        <v/>
      </c>
    </row>
    <row r="454">
      <c r="A454" t="inlineStr">
        <is>
          <t>head</t>
        </is>
      </c>
      <c r="B454" t="inlineStr">
        <is>
          <t>unique</t>
        </is>
      </c>
      <c r="C454" t="n">
        <v>2</v>
      </c>
      <c r="D454" t="inlineStr">
        <is>
          <t>Skill Cooldown Decrease (seconds)</t>
        </is>
      </c>
      <c r="E454" t="n">
        <v>1</v>
      </c>
      <c r="F454" t="n">
        <v>0.24</v>
      </c>
      <c r="G454" t="b">
        <v>1</v>
      </c>
      <c r="H454">
        <f>Sensitivity!H28</f>
        <v/>
      </c>
    </row>
    <row r="455">
      <c r="A455" t="inlineStr">
        <is>
          <t>head</t>
        </is>
      </c>
      <c r="B455" t="inlineStr">
        <is>
          <t>unique</t>
        </is>
      </c>
      <c r="C455" t="n">
        <v>2</v>
      </c>
      <c r="D455" t="inlineStr">
        <is>
          <t>Skill Cooldown Decrease (seconds)</t>
        </is>
      </c>
      <c r="E455" t="n">
        <v>0.5</v>
      </c>
      <c r="F455" t="n">
        <v>0.76</v>
      </c>
      <c r="G455" t="b">
        <v>0</v>
      </c>
      <c r="H455">
        <f>Sensitivity!H28</f>
        <v/>
      </c>
    </row>
    <row r="456">
      <c r="A456" t="inlineStr">
        <is>
          <t>head</t>
        </is>
      </c>
      <c r="B456" t="inlineStr">
        <is>
          <t>unique</t>
        </is>
      </c>
      <c r="C456" t="n">
        <v>3</v>
      </c>
      <c r="D456" t="inlineStr">
        <is>
          <t>Skill Cooldown Decrease (seconds)</t>
        </is>
      </c>
      <c r="E456" t="n">
        <v>1</v>
      </c>
      <c r="F456" t="n">
        <v>0.08</v>
      </c>
      <c r="G456" t="b">
        <v>1</v>
      </c>
      <c r="H456">
        <f>Sensitivity!H28</f>
        <v/>
      </c>
    </row>
    <row r="457">
      <c r="A457" t="inlineStr">
        <is>
          <t>head</t>
        </is>
      </c>
      <c r="B457" t="inlineStr">
        <is>
          <t>unique</t>
        </is>
      </c>
      <c r="C457" t="n">
        <v>3</v>
      </c>
      <c r="D457" t="inlineStr">
        <is>
          <t>Skill Cooldown Decrease (seconds)</t>
        </is>
      </c>
      <c r="E457" t="n">
        <v>0.5</v>
      </c>
      <c r="F457" t="n">
        <v>0.92</v>
      </c>
      <c r="G457" t="b">
        <v>0</v>
      </c>
      <c r="H457">
        <f>Sensitivity!H28</f>
        <v/>
      </c>
    </row>
    <row r="458">
      <c r="A458" t="inlineStr">
        <is>
          <t>head</t>
        </is>
      </c>
      <c r="B458" t="inlineStr">
        <is>
          <t>legendary</t>
        </is>
      </c>
      <c r="C458" t="n">
        <v>1</v>
      </c>
      <c r="D458" t="inlineStr">
        <is>
          <t>Skill Cooldown Decrease (seconds)</t>
        </is>
      </c>
      <c r="E458" t="n">
        <v>1.5</v>
      </c>
      <c r="F458" t="n">
        <v>1</v>
      </c>
      <c r="G458" t="b">
        <v>1</v>
      </c>
      <c r="H458">
        <f>Sensitivity!H28</f>
        <v/>
      </c>
    </row>
    <row r="459">
      <c r="A459" t="inlineStr">
        <is>
          <t>head</t>
        </is>
      </c>
      <c r="B459" t="inlineStr">
        <is>
          <t>legendary</t>
        </is>
      </c>
      <c r="C459" t="n">
        <v>2</v>
      </c>
      <c r="D459" t="inlineStr">
        <is>
          <t>Skill Cooldown Decrease (seconds)</t>
        </is>
      </c>
      <c r="E459" t="n">
        <v>1.5</v>
      </c>
      <c r="F459" t="n">
        <v>0.24</v>
      </c>
      <c r="G459" t="b">
        <v>1</v>
      </c>
      <c r="H459">
        <f>Sensitivity!H28</f>
        <v/>
      </c>
    </row>
    <row r="460">
      <c r="A460" t="inlineStr">
        <is>
          <t>head</t>
        </is>
      </c>
      <c r="B460" t="inlineStr">
        <is>
          <t>legendary</t>
        </is>
      </c>
      <c r="C460" t="n">
        <v>2</v>
      </c>
      <c r="D460" t="inlineStr">
        <is>
          <t>Skill Cooldown Decrease (seconds)</t>
        </is>
      </c>
      <c r="E460" t="n">
        <v>1</v>
      </c>
      <c r="F460" t="n">
        <v>0.76</v>
      </c>
      <c r="G460" t="b">
        <v>0</v>
      </c>
      <c r="H460">
        <f>Sensitivity!H28</f>
        <v/>
      </c>
    </row>
    <row r="461">
      <c r="A461" t="inlineStr">
        <is>
          <t>head</t>
        </is>
      </c>
      <c r="B461" t="inlineStr">
        <is>
          <t>legendary</t>
        </is>
      </c>
      <c r="C461" t="n">
        <v>3</v>
      </c>
      <c r="D461" t="inlineStr">
        <is>
          <t>Skill Cooldown Decrease (seconds)</t>
        </is>
      </c>
      <c r="E461" t="n">
        <v>1.5</v>
      </c>
      <c r="F461" t="n">
        <v>0.08</v>
      </c>
      <c r="G461" t="b">
        <v>1</v>
      </c>
      <c r="H461">
        <f>Sensitivity!H28</f>
        <v/>
      </c>
    </row>
    <row r="462">
      <c r="A462" t="inlineStr">
        <is>
          <t>head</t>
        </is>
      </c>
      <c r="B462" t="inlineStr">
        <is>
          <t>legendary</t>
        </is>
      </c>
      <c r="C462" t="n">
        <v>3</v>
      </c>
      <c r="D462" t="inlineStr">
        <is>
          <t>Skill Cooldown Decrease (seconds)</t>
        </is>
      </c>
      <c r="E462" t="n">
        <v>1</v>
      </c>
      <c r="F462" t="n">
        <v>0.92</v>
      </c>
      <c r="G462" t="b">
        <v>0</v>
      </c>
      <c r="H462">
        <f>Sensitivity!H28</f>
        <v/>
      </c>
    </row>
    <row r="463">
      <c r="A463" t="inlineStr">
        <is>
          <t>head</t>
        </is>
      </c>
      <c r="B463" t="inlineStr">
        <is>
          <t>mystic</t>
        </is>
      </c>
      <c r="C463" t="n">
        <v>1</v>
      </c>
      <c r="D463" t="inlineStr">
        <is>
          <t>Skill Cooldown Decrease (seconds)</t>
        </is>
      </c>
      <c r="E463" t="n">
        <v>2</v>
      </c>
      <c r="F463" t="n">
        <v>1</v>
      </c>
      <c r="G463" t="b">
        <v>1</v>
      </c>
      <c r="H463">
        <f>Sensitivity!H28</f>
        <v/>
      </c>
    </row>
    <row r="464">
      <c r="A464" t="inlineStr">
        <is>
          <t>head</t>
        </is>
      </c>
      <c r="B464" t="inlineStr">
        <is>
          <t>mystic</t>
        </is>
      </c>
      <c r="C464" t="n">
        <v>2</v>
      </c>
      <c r="D464" t="inlineStr">
        <is>
          <t>Skill Cooldown Decrease (seconds)</t>
        </is>
      </c>
      <c r="E464" t="n">
        <v>2</v>
      </c>
      <c r="F464" t="n">
        <v>0.24</v>
      </c>
      <c r="G464" t="b">
        <v>1</v>
      </c>
      <c r="H464">
        <f>Sensitivity!H28</f>
        <v/>
      </c>
    </row>
    <row r="465">
      <c r="A465" t="inlineStr">
        <is>
          <t>head</t>
        </is>
      </c>
      <c r="B465" t="inlineStr">
        <is>
          <t>mystic</t>
        </is>
      </c>
      <c r="C465" t="n">
        <v>2</v>
      </c>
      <c r="D465" t="inlineStr">
        <is>
          <t>Skill Cooldown Decrease (seconds)</t>
        </is>
      </c>
      <c r="E465" t="n">
        <v>1.5</v>
      </c>
      <c r="F465" t="n">
        <v>0.76</v>
      </c>
      <c r="G465" t="b">
        <v>0</v>
      </c>
      <c r="H465">
        <f>Sensitivity!H28</f>
        <v/>
      </c>
    </row>
    <row r="466">
      <c r="A466" t="inlineStr">
        <is>
          <t>head</t>
        </is>
      </c>
      <c r="B466" t="inlineStr">
        <is>
          <t>mystic</t>
        </is>
      </c>
      <c r="C466" t="n">
        <v>3</v>
      </c>
      <c r="D466" t="inlineStr">
        <is>
          <t>Skill Cooldown Decrease (seconds)</t>
        </is>
      </c>
      <c r="E466" t="n">
        <v>2</v>
      </c>
      <c r="F466" t="n">
        <v>0.08</v>
      </c>
      <c r="G466" t="b">
        <v>1</v>
      </c>
      <c r="H466">
        <f>Sensitivity!H28</f>
        <v/>
      </c>
    </row>
    <row r="467">
      <c r="A467" t="inlineStr">
        <is>
          <t>head</t>
        </is>
      </c>
      <c r="B467" t="inlineStr">
        <is>
          <t>mystic</t>
        </is>
      </c>
      <c r="C467" t="n">
        <v>3</v>
      </c>
      <c r="D467" t="inlineStr">
        <is>
          <t>Skill Cooldown Decrease (seconds)</t>
        </is>
      </c>
      <c r="E467" t="n">
        <v>1.5</v>
      </c>
      <c r="F467" t="n">
        <v>0.92</v>
      </c>
      <c r="G467" t="b">
        <v>0</v>
      </c>
      <c r="H467">
        <f>Sensitivity!H28</f>
        <v/>
      </c>
    </row>
    <row r="468">
      <c r="A468" t="inlineStr">
        <is>
          <t>cape</t>
        </is>
      </c>
      <c r="B468" t="inlineStr">
        <is>
          <t>epic</t>
        </is>
      </c>
      <c r="C468" t="n">
        <v>1</v>
      </c>
      <c r="D468" t="inlineStr">
        <is>
          <t>Final Damage %</t>
        </is>
      </c>
      <c r="E468" t="n">
        <v>3</v>
      </c>
      <c r="F468" t="n">
        <v>1</v>
      </c>
      <c r="G468" t="b">
        <v>1</v>
      </c>
      <c r="H468">
        <f>Sensitivity!H12</f>
        <v/>
      </c>
    </row>
    <row r="469">
      <c r="A469" t="inlineStr">
        <is>
          <t>cape</t>
        </is>
      </c>
      <c r="B469" t="inlineStr">
        <is>
          <t>epic</t>
        </is>
      </c>
      <c r="C469" t="n">
        <v>2</v>
      </c>
      <c r="D469" t="inlineStr">
        <is>
          <t>Final Damage %</t>
        </is>
      </c>
      <c r="E469" t="n">
        <v>3</v>
      </c>
      <c r="F469" t="n">
        <v>0.24</v>
      </c>
      <c r="G469" t="b">
        <v>1</v>
      </c>
      <c r="H469">
        <f>Sensitivity!H12</f>
        <v/>
      </c>
    </row>
    <row r="470">
      <c r="A470" t="inlineStr">
        <is>
          <t>cape</t>
        </is>
      </c>
      <c r="B470" t="inlineStr">
        <is>
          <t>epic</t>
        </is>
      </c>
      <c r="C470" t="n">
        <v>3</v>
      </c>
      <c r="D470" t="inlineStr">
        <is>
          <t>Final Damage %</t>
        </is>
      </c>
      <c r="E470" t="n">
        <v>3</v>
      </c>
      <c r="F470" t="n">
        <v>0.08</v>
      </c>
      <c r="G470" t="b">
        <v>1</v>
      </c>
      <c r="H470">
        <f>Sensitivity!H12</f>
        <v/>
      </c>
    </row>
    <row r="471">
      <c r="A471" t="inlineStr">
        <is>
          <t>cape</t>
        </is>
      </c>
      <c r="B471" t="inlineStr">
        <is>
          <t>unique</t>
        </is>
      </c>
      <c r="C471" t="n">
        <v>1</v>
      </c>
      <c r="D471" t="inlineStr">
        <is>
          <t>Final Damage %</t>
        </is>
      </c>
      <c r="E471" t="n">
        <v>5</v>
      </c>
      <c r="F471" t="n">
        <v>1</v>
      </c>
      <c r="G471" t="b">
        <v>1</v>
      </c>
      <c r="H471">
        <f>Sensitivity!H12</f>
        <v/>
      </c>
    </row>
    <row r="472">
      <c r="A472" t="inlineStr">
        <is>
          <t>cape</t>
        </is>
      </c>
      <c r="B472" t="inlineStr">
        <is>
          <t>unique</t>
        </is>
      </c>
      <c r="C472" t="n">
        <v>2</v>
      </c>
      <c r="D472" t="inlineStr">
        <is>
          <t>Final Damage %</t>
        </is>
      </c>
      <c r="E472" t="n">
        <v>5</v>
      </c>
      <c r="F472" t="n">
        <v>0.24</v>
      </c>
      <c r="G472" t="b">
        <v>1</v>
      </c>
      <c r="H472">
        <f>Sensitivity!H12</f>
        <v/>
      </c>
    </row>
    <row r="473">
      <c r="A473" t="inlineStr">
        <is>
          <t>cape</t>
        </is>
      </c>
      <c r="B473" t="inlineStr">
        <is>
          <t>unique</t>
        </is>
      </c>
      <c r="C473" t="n">
        <v>2</v>
      </c>
      <c r="D473" t="inlineStr">
        <is>
          <t>Final Damage %</t>
        </is>
      </c>
      <c r="E473" t="n">
        <v>3</v>
      </c>
      <c r="F473" t="n">
        <v>0.76</v>
      </c>
      <c r="G473" t="b">
        <v>0</v>
      </c>
      <c r="H473">
        <f>Sensitivity!H12</f>
        <v/>
      </c>
    </row>
    <row r="474">
      <c r="A474" t="inlineStr">
        <is>
          <t>cape</t>
        </is>
      </c>
      <c r="B474" t="inlineStr">
        <is>
          <t>unique</t>
        </is>
      </c>
      <c r="C474" t="n">
        <v>3</v>
      </c>
      <c r="D474" t="inlineStr">
        <is>
          <t>Final Damage %</t>
        </is>
      </c>
      <c r="E474" t="n">
        <v>5</v>
      </c>
      <c r="F474" t="n">
        <v>0.08</v>
      </c>
      <c r="G474" t="b">
        <v>1</v>
      </c>
      <c r="H474">
        <f>Sensitivity!H12</f>
        <v/>
      </c>
    </row>
    <row r="475">
      <c r="A475" t="inlineStr">
        <is>
          <t>cape</t>
        </is>
      </c>
      <c r="B475" t="inlineStr">
        <is>
          <t>unique</t>
        </is>
      </c>
      <c r="C475" t="n">
        <v>3</v>
      </c>
      <c r="D475" t="inlineStr">
        <is>
          <t>Final Damage %</t>
        </is>
      </c>
      <c r="E475" t="n">
        <v>3</v>
      </c>
      <c r="F475" t="n">
        <v>0.92</v>
      </c>
      <c r="G475" t="b">
        <v>0</v>
      </c>
      <c r="H475">
        <f>Sensitivity!H12</f>
        <v/>
      </c>
    </row>
    <row r="476">
      <c r="A476" t="inlineStr">
        <is>
          <t>cape</t>
        </is>
      </c>
      <c r="B476" t="inlineStr">
        <is>
          <t>legendary</t>
        </is>
      </c>
      <c r="C476" t="n">
        <v>1</v>
      </c>
      <c r="D476" t="inlineStr">
        <is>
          <t>Final Damage %</t>
        </is>
      </c>
      <c r="E476" t="n">
        <v>8</v>
      </c>
      <c r="F476" t="n">
        <v>1</v>
      </c>
      <c r="G476" t="b">
        <v>1</v>
      </c>
      <c r="H476">
        <f>Sensitivity!H12</f>
        <v/>
      </c>
    </row>
    <row r="477">
      <c r="A477" t="inlineStr">
        <is>
          <t>cape</t>
        </is>
      </c>
      <c r="B477" t="inlineStr">
        <is>
          <t>legendary</t>
        </is>
      </c>
      <c r="C477" t="n">
        <v>2</v>
      </c>
      <c r="D477" t="inlineStr">
        <is>
          <t>Final Damage %</t>
        </is>
      </c>
      <c r="E477" t="n">
        <v>8</v>
      </c>
      <c r="F477" t="n">
        <v>0.24</v>
      </c>
      <c r="G477" t="b">
        <v>1</v>
      </c>
      <c r="H477">
        <f>Sensitivity!H12</f>
        <v/>
      </c>
    </row>
    <row r="478">
      <c r="A478" t="inlineStr">
        <is>
          <t>cape</t>
        </is>
      </c>
      <c r="B478" t="inlineStr">
        <is>
          <t>legendary</t>
        </is>
      </c>
      <c r="C478" t="n">
        <v>2</v>
      </c>
      <c r="D478" t="inlineStr">
        <is>
          <t>Final Damage %</t>
        </is>
      </c>
      <c r="E478" t="n">
        <v>5</v>
      </c>
      <c r="F478" t="n">
        <v>0.76</v>
      </c>
      <c r="G478" t="b">
        <v>0</v>
      </c>
      <c r="H478">
        <f>Sensitivity!H12</f>
        <v/>
      </c>
    </row>
    <row r="479">
      <c r="A479" t="inlineStr">
        <is>
          <t>cape</t>
        </is>
      </c>
      <c r="B479" t="inlineStr">
        <is>
          <t>legendary</t>
        </is>
      </c>
      <c r="C479" t="n">
        <v>3</v>
      </c>
      <c r="D479" t="inlineStr">
        <is>
          <t>Final Damage %</t>
        </is>
      </c>
      <c r="E479" t="n">
        <v>8</v>
      </c>
      <c r="F479" t="n">
        <v>0.08</v>
      </c>
      <c r="G479" t="b">
        <v>1</v>
      </c>
      <c r="H479">
        <f>Sensitivity!H12</f>
        <v/>
      </c>
    </row>
    <row r="480">
      <c r="A480" t="inlineStr">
        <is>
          <t>cape</t>
        </is>
      </c>
      <c r="B480" t="inlineStr">
        <is>
          <t>legendary</t>
        </is>
      </c>
      <c r="C480" t="n">
        <v>3</v>
      </c>
      <c r="D480" t="inlineStr">
        <is>
          <t>Final Damage %</t>
        </is>
      </c>
      <c r="E480" t="n">
        <v>5</v>
      </c>
      <c r="F480" t="n">
        <v>0.92</v>
      </c>
      <c r="G480" t="b">
        <v>0</v>
      </c>
      <c r="H480">
        <f>Sensitivity!H12</f>
        <v/>
      </c>
    </row>
    <row r="481">
      <c r="A481" t="inlineStr">
        <is>
          <t>cape</t>
        </is>
      </c>
      <c r="B481" t="inlineStr">
        <is>
          <t>mystic</t>
        </is>
      </c>
      <c r="C481" t="n">
        <v>1</v>
      </c>
      <c r="D481" t="inlineStr">
        <is>
          <t>Final Damage %</t>
        </is>
      </c>
      <c r="E481" t="n">
        <v>12</v>
      </c>
      <c r="F481" t="n">
        <v>1</v>
      </c>
      <c r="G481" t="b">
        <v>1</v>
      </c>
      <c r="H481">
        <f>Sensitivity!H12</f>
        <v/>
      </c>
    </row>
    <row r="482">
      <c r="A482" t="inlineStr">
        <is>
          <t>cape</t>
        </is>
      </c>
      <c r="B482" t="inlineStr">
        <is>
          <t>mystic</t>
        </is>
      </c>
      <c r="C482" t="n">
        <v>2</v>
      </c>
      <c r="D482" t="inlineStr">
        <is>
          <t>Final Damage %</t>
        </is>
      </c>
      <c r="E482" t="n">
        <v>12</v>
      </c>
      <c r="F482" t="n">
        <v>0.24</v>
      </c>
      <c r="G482" t="b">
        <v>1</v>
      </c>
      <c r="H482">
        <f>Sensitivity!H12</f>
        <v/>
      </c>
    </row>
    <row r="483">
      <c r="A483" t="inlineStr">
        <is>
          <t>cape</t>
        </is>
      </c>
      <c r="B483" t="inlineStr">
        <is>
          <t>mystic</t>
        </is>
      </c>
      <c r="C483" t="n">
        <v>2</v>
      </c>
      <c r="D483" t="inlineStr">
        <is>
          <t>Final Damage %</t>
        </is>
      </c>
      <c r="E483" t="n">
        <v>8</v>
      </c>
      <c r="F483" t="n">
        <v>0.76</v>
      </c>
      <c r="G483" t="b">
        <v>0</v>
      </c>
      <c r="H483">
        <f>Sensitivity!H12</f>
        <v/>
      </c>
    </row>
    <row r="484">
      <c r="A484" t="inlineStr">
        <is>
          <t>cape</t>
        </is>
      </c>
      <c r="B484" t="inlineStr">
        <is>
          <t>mystic</t>
        </is>
      </c>
      <c r="C484" t="n">
        <v>3</v>
      </c>
      <c r="D484" t="inlineStr">
        <is>
          <t>Final Damage %</t>
        </is>
      </c>
      <c r="E484" t="n">
        <v>12</v>
      </c>
      <c r="F484" t="n">
        <v>0.08</v>
      </c>
      <c r="G484" t="b">
        <v>1</v>
      </c>
      <c r="H484">
        <f>Sensitivity!H12</f>
        <v/>
      </c>
    </row>
    <row r="485">
      <c r="A485" t="inlineStr">
        <is>
          <t>cape</t>
        </is>
      </c>
      <c r="B485" t="inlineStr">
        <is>
          <t>mystic</t>
        </is>
      </c>
      <c r="C485" t="n">
        <v>3</v>
      </c>
      <c r="D485" t="inlineStr">
        <is>
          <t>Final Damage %</t>
        </is>
      </c>
      <c r="E485" t="n">
        <v>8</v>
      </c>
      <c r="F485" t="n">
        <v>0.92</v>
      </c>
      <c r="G485" t="b">
        <v>0</v>
      </c>
      <c r="H485">
        <f>Sensitivity!H12</f>
        <v/>
      </c>
    </row>
    <row r="486">
      <c r="A486" t="inlineStr">
        <is>
          <t>chest</t>
        </is>
      </c>
      <c r="B486" t="inlineStr">
        <is>
          <t>unique</t>
        </is>
      </c>
      <c r="C486" t="n">
        <v>1</v>
      </c>
      <c r="D486" t="inlineStr">
        <is>
          <t>Basic Attack Target Increase</t>
        </is>
      </c>
      <c r="E486" t="n">
        <v>1</v>
      </c>
      <c r="F486" t="n">
        <v>1</v>
      </c>
      <c r="G486" t="b">
        <v>1</v>
      </c>
      <c r="H486">
        <f>Sensitivity!H29</f>
        <v/>
      </c>
    </row>
    <row r="487">
      <c r="A487" t="inlineStr">
        <is>
          <t>chest</t>
        </is>
      </c>
      <c r="B487" t="inlineStr">
        <is>
          <t>unique</t>
        </is>
      </c>
      <c r="C487" t="n">
        <v>2</v>
      </c>
      <c r="D487" t="inlineStr">
        <is>
          <t>Basic Attack Target Increase</t>
        </is>
      </c>
      <c r="E487" t="n">
        <v>1</v>
      </c>
      <c r="F487" t="n">
        <v>0.24</v>
      </c>
      <c r="G487" t="b">
        <v>1</v>
      </c>
      <c r="H487">
        <f>Sensitivity!H29</f>
        <v/>
      </c>
    </row>
    <row r="488">
      <c r="A488" t="inlineStr">
        <is>
          <t>chest</t>
        </is>
      </c>
      <c r="B488" t="inlineStr">
        <is>
          <t>unique</t>
        </is>
      </c>
      <c r="C488" t="n">
        <v>3</v>
      </c>
      <c r="D488" t="inlineStr">
        <is>
          <t>Basic Attack Target Increase</t>
        </is>
      </c>
      <c r="E488" t="n">
        <v>1</v>
      </c>
      <c r="F488" t="n">
        <v>0.08</v>
      </c>
      <c r="G488" t="b">
        <v>1</v>
      </c>
      <c r="H488">
        <f>Sensitivity!H29</f>
        <v/>
      </c>
    </row>
    <row r="489">
      <c r="A489" t="inlineStr">
        <is>
          <t>chest</t>
        </is>
      </c>
      <c r="B489" t="inlineStr">
        <is>
          <t>legendary</t>
        </is>
      </c>
      <c r="C489" t="n">
        <v>1</v>
      </c>
      <c r="D489" t="inlineStr">
        <is>
          <t>Basic Attack Target Increase</t>
        </is>
      </c>
      <c r="E489" t="n">
        <v>2</v>
      </c>
      <c r="F489" t="n">
        <v>1</v>
      </c>
      <c r="G489" t="b">
        <v>1</v>
      </c>
      <c r="H489">
        <f>Sensitivity!H29</f>
        <v/>
      </c>
    </row>
    <row r="490">
      <c r="A490" t="inlineStr">
        <is>
          <t>chest</t>
        </is>
      </c>
      <c r="B490" t="inlineStr">
        <is>
          <t>legendary</t>
        </is>
      </c>
      <c r="C490" t="n">
        <v>2</v>
      </c>
      <c r="D490" t="inlineStr">
        <is>
          <t>Basic Attack Target Increase</t>
        </is>
      </c>
      <c r="E490" t="n">
        <v>2</v>
      </c>
      <c r="F490" t="n">
        <v>0.24</v>
      </c>
      <c r="G490" t="b">
        <v>1</v>
      </c>
      <c r="H490">
        <f>Sensitivity!H29</f>
        <v/>
      </c>
    </row>
    <row r="491">
      <c r="A491" t="inlineStr">
        <is>
          <t>chest</t>
        </is>
      </c>
      <c r="B491" t="inlineStr">
        <is>
          <t>legendary</t>
        </is>
      </c>
      <c r="C491" t="n">
        <v>2</v>
      </c>
      <c r="D491" t="inlineStr">
        <is>
          <t>Basic Attack Target Increase</t>
        </is>
      </c>
      <c r="E491" t="n">
        <v>1</v>
      </c>
      <c r="F491" t="n">
        <v>0.76</v>
      </c>
      <c r="G491" t="b">
        <v>0</v>
      </c>
      <c r="H491">
        <f>Sensitivity!H29</f>
        <v/>
      </c>
    </row>
    <row r="492">
      <c r="A492" t="inlineStr">
        <is>
          <t>chest</t>
        </is>
      </c>
      <c r="B492" t="inlineStr">
        <is>
          <t>legendary</t>
        </is>
      </c>
      <c r="C492" t="n">
        <v>3</v>
      </c>
      <c r="D492" t="inlineStr">
        <is>
          <t>Basic Attack Target Increase</t>
        </is>
      </c>
      <c r="E492" t="n">
        <v>2</v>
      </c>
      <c r="F492" t="n">
        <v>0.08</v>
      </c>
      <c r="G492" t="b">
        <v>1</v>
      </c>
      <c r="H492">
        <f>Sensitivity!H29</f>
        <v/>
      </c>
    </row>
    <row r="493">
      <c r="A493" t="inlineStr">
        <is>
          <t>chest</t>
        </is>
      </c>
      <c r="B493" t="inlineStr">
        <is>
          <t>legendary</t>
        </is>
      </c>
      <c r="C493" t="n">
        <v>3</v>
      </c>
      <c r="D493" t="inlineStr">
        <is>
          <t>Basic Attack Target Increase</t>
        </is>
      </c>
      <c r="E493" t="n">
        <v>1</v>
      </c>
      <c r="F493" t="n">
        <v>0.92</v>
      </c>
      <c r="G493" t="b">
        <v>0</v>
      </c>
      <c r="H493">
        <f>Sensitivity!H29</f>
        <v/>
      </c>
    </row>
    <row r="494">
      <c r="A494" t="inlineStr">
        <is>
          <t>chest</t>
        </is>
      </c>
      <c r="B494" t="inlineStr">
        <is>
          <t>mystic</t>
        </is>
      </c>
      <c r="C494" t="n">
        <v>1</v>
      </c>
      <c r="D494" t="inlineStr">
        <is>
          <t>Basic Attack Target Increase</t>
        </is>
      </c>
      <c r="E494" t="n">
        <v>3</v>
      </c>
      <c r="F494" t="n">
        <v>1</v>
      </c>
      <c r="G494" t="b">
        <v>1</v>
      </c>
      <c r="H494">
        <f>Sensitivity!H29</f>
        <v/>
      </c>
    </row>
    <row r="495">
      <c r="A495" t="inlineStr">
        <is>
          <t>chest</t>
        </is>
      </c>
      <c r="B495" t="inlineStr">
        <is>
          <t>mystic</t>
        </is>
      </c>
      <c r="C495" t="n">
        <v>2</v>
      </c>
      <c r="D495" t="inlineStr">
        <is>
          <t>Basic Attack Target Increase</t>
        </is>
      </c>
      <c r="E495" t="n">
        <v>3</v>
      </c>
      <c r="F495" t="n">
        <v>0.24</v>
      </c>
      <c r="G495" t="b">
        <v>1</v>
      </c>
      <c r="H495">
        <f>Sensitivity!H29</f>
        <v/>
      </c>
    </row>
    <row r="496">
      <c r="A496" t="inlineStr">
        <is>
          <t>chest</t>
        </is>
      </c>
      <c r="B496" t="inlineStr">
        <is>
          <t>mystic</t>
        </is>
      </c>
      <c r="C496" t="n">
        <v>2</v>
      </c>
      <c r="D496" t="inlineStr">
        <is>
          <t>Basic Attack Target Increase</t>
        </is>
      </c>
      <c r="E496" t="n">
        <v>2</v>
      </c>
      <c r="F496" t="n">
        <v>0.76</v>
      </c>
      <c r="G496" t="b">
        <v>0</v>
      </c>
      <c r="H496">
        <f>Sensitivity!H29</f>
        <v/>
      </c>
    </row>
    <row r="497">
      <c r="A497" t="inlineStr">
        <is>
          <t>chest</t>
        </is>
      </c>
      <c r="B497" t="inlineStr">
        <is>
          <t>mystic</t>
        </is>
      </c>
      <c r="C497" t="n">
        <v>3</v>
      </c>
      <c r="D497" t="inlineStr">
        <is>
          <t>Basic Attack Target Increase</t>
        </is>
      </c>
      <c r="E497" t="n">
        <v>3</v>
      </c>
      <c r="F497" t="n">
        <v>0.08</v>
      </c>
      <c r="G497" t="b">
        <v>1</v>
      </c>
      <c r="H497">
        <f>Sensitivity!H29</f>
        <v/>
      </c>
    </row>
    <row r="498">
      <c r="A498" t="inlineStr">
        <is>
          <t>chest</t>
        </is>
      </c>
      <c r="B498" t="inlineStr">
        <is>
          <t>mystic</t>
        </is>
      </c>
      <c r="C498" t="n">
        <v>3</v>
      </c>
      <c r="D498" t="inlineStr">
        <is>
          <t>Basic Attack Target Increase</t>
        </is>
      </c>
      <c r="E498" t="n">
        <v>2</v>
      </c>
      <c r="F498" t="n">
        <v>0.92</v>
      </c>
      <c r="G498" t="b">
        <v>0</v>
      </c>
      <c r="H498">
        <f>Sensitivity!H29</f>
        <v/>
      </c>
    </row>
    <row r="499">
      <c r="A499" t="inlineStr">
        <is>
          <t>shoulders</t>
        </is>
      </c>
      <c r="B499" t="inlineStr">
        <is>
          <t>unique</t>
        </is>
      </c>
      <c r="C499" t="n">
        <v>1</v>
      </c>
      <c r="D499" t="inlineStr">
        <is>
          <t>Defense Penetration</t>
        </is>
      </c>
      <c r="E499" t="n">
        <v>8</v>
      </c>
      <c r="F499" t="n">
        <v>1</v>
      </c>
      <c r="G499" t="b">
        <v>1</v>
      </c>
      <c r="H499">
        <f>Sensitivity!H18</f>
        <v/>
      </c>
    </row>
    <row r="500">
      <c r="A500" t="inlineStr">
        <is>
          <t>shoulders</t>
        </is>
      </c>
      <c r="B500" t="inlineStr">
        <is>
          <t>unique</t>
        </is>
      </c>
      <c r="C500" t="n">
        <v>2</v>
      </c>
      <c r="D500" t="inlineStr">
        <is>
          <t>Defense Penetration</t>
        </is>
      </c>
      <c r="E500" t="n">
        <v>8</v>
      </c>
      <c r="F500" t="n">
        <v>0.24</v>
      </c>
      <c r="G500" t="b">
        <v>1</v>
      </c>
      <c r="H500">
        <f>Sensitivity!H18</f>
        <v/>
      </c>
    </row>
    <row r="501">
      <c r="A501" t="inlineStr">
        <is>
          <t>shoulders</t>
        </is>
      </c>
      <c r="B501" t="inlineStr">
        <is>
          <t>unique</t>
        </is>
      </c>
      <c r="C501" t="n">
        <v>3</v>
      </c>
      <c r="D501" t="inlineStr">
        <is>
          <t>Defense Penetration</t>
        </is>
      </c>
      <c r="E501" t="n">
        <v>8</v>
      </c>
      <c r="F501" t="n">
        <v>0.08</v>
      </c>
      <c r="G501" t="b">
        <v>1</v>
      </c>
      <c r="H501">
        <f>Sensitivity!H18</f>
        <v/>
      </c>
    </row>
    <row r="502">
      <c r="A502" t="inlineStr">
        <is>
          <t>shoulders</t>
        </is>
      </c>
      <c r="B502" t="inlineStr">
        <is>
          <t>legendary</t>
        </is>
      </c>
      <c r="C502" t="n">
        <v>1</v>
      </c>
      <c r="D502" t="inlineStr">
        <is>
          <t>Defense Penetration</t>
        </is>
      </c>
      <c r="E502" t="n">
        <v>12</v>
      </c>
      <c r="F502" t="n">
        <v>1</v>
      </c>
      <c r="G502" t="b">
        <v>1</v>
      </c>
      <c r="H502">
        <f>Sensitivity!H18</f>
        <v/>
      </c>
    </row>
    <row r="503">
      <c r="A503" t="inlineStr">
        <is>
          <t>shoulders</t>
        </is>
      </c>
      <c r="B503" t="inlineStr">
        <is>
          <t>legendary</t>
        </is>
      </c>
      <c r="C503" t="n">
        <v>2</v>
      </c>
      <c r="D503" t="inlineStr">
        <is>
          <t>Defense Penetration</t>
        </is>
      </c>
      <c r="E503" t="n">
        <v>12</v>
      </c>
      <c r="F503" t="n">
        <v>0.24</v>
      </c>
      <c r="G503" t="b">
        <v>1</v>
      </c>
      <c r="H503">
        <f>Sensitivity!H18</f>
        <v/>
      </c>
    </row>
    <row r="504">
      <c r="A504" t="inlineStr">
        <is>
          <t>shoulders</t>
        </is>
      </c>
      <c r="B504" t="inlineStr">
        <is>
          <t>legendary</t>
        </is>
      </c>
      <c r="C504" t="n">
        <v>2</v>
      </c>
      <c r="D504" t="inlineStr">
        <is>
          <t>Defense Penetration</t>
        </is>
      </c>
      <c r="E504" t="n">
        <v>8</v>
      </c>
      <c r="F504" t="n">
        <v>0.76</v>
      </c>
      <c r="G504" t="b">
        <v>0</v>
      </c>
      <c r="H504">
        <f>Sensitivity!H18</f>
        <v/>
      </c>
    </row>
    <row r="505">
      <c r="A505" t="inlineStr">
        <is>
          <t>shoulders</t>
        </is>
      </c>
      <c r="B505" t="inlineStr">
        <is>
          <t>legendary</t>
        </is>
      </c>
      <c r="C505" t="n">
        <v>3</v>
      </c>
      <c r="D505" t="inlineStr">
        <is>
          <t>Defense Penetration</t>
        </is>
      </c>
      <c r="E505" t="n">
        <v>12</v>
      </c>
      <c r="F505" t="n">
        <v>0.08</v>
      </c>
      <c r="G505" t="b">
        <v>1</v>
      </c>
      <c r="H505">
        <f>Sensitivity!H18</f>
        <v/>
      </c>
    </row>
    <row r="506">
      <c r="A506" t="inlineStr">
        <is>
          <t>shoulders</t>
        </is>
      </c>
      <c r="B506" t="inlineStr">
        <is>
          <t>legendary</t>
        </is>
      </c>
      <c r="C506" t="n">
        <v>3</v>
      </c>
      <c r="D506" t="inlineStr">
        <is>
          <t>Defense Penetration</t>
        </is>
      </c>
      <c r="E506" t="n">
        <v>8</v>
      </c>
      <c r="F506" t="n">
        <v>0.92</v>
      </c>
      <c r="G506" t="b">
        <v>0</v>
      </c>
      <c r="H506">
        <f>Sensitivity!H18</f>
        <v/>
      </c>
    </row>
    <row r="507">
      <c r="A507" t="inlineStr">
        <is>
          <t>shoulders</t>
        </is>
      </c>
      <c r="B507" t="inlineStr">
        <is>
          <t>mystic</t>
        </is>
      </c>
      <c r="C507" t="n">
        <v>1</v>
      </c>
      <c r="D507" t="inlineStr">
        <is>
          <t>Defense Penetration</t>
        </is>
      </c>
      <c r="E507" t="n">
        <v>20</v>
      </c>
      <c r="F507" t="n">
        <v>1</v>
      </c>
      <c r="G507" t="b">
        <v>1</v>
      </c>
      <c r="H507">
        <f>Sensitivity!H18</f>
        <v/>
      </c>
    </row>
    <row r="508">
      <c r="A508" t="inlineStr">
        <is>
          <t>shoulders</t>
        </is>
      </c>
      <c r="B508" t="inlineStr">
        <is>
          <t>mystic</t>
        </is>
      </c>
      <c r="C508" t="n">
        <v>2</v>
      </c>
      <c r="D508" t="inlineStr">
        <is>
          <t>Defense Penetration</t>
        </is>
      </c>
      <c r="E508" t="n">
        <v>20</v>
      </c>
      <c r="F508" t="n">
        <v>0.24</v>
      </c>
      <c r="G508" t="b">
        <v>1</v>
      </c>
      <c r="H508">
        <f>Sensitivity!H18</f>
        <v/>
      </c>
    </row>
    <row r="509">
      <c r="A509" t="inlineStr">
        <is>
          <t>shoulders</t>
        </is>
      </c>
      <c r="B509" t="inlineStr">
        <is>
          <t>mystic</t>
        </is>
      </c>
      <c r="C509" t="n">
        <v>2</v>
      </c>
      <c r="D509" t="inlineStr">
        <is>
          <t>Defense Penetration</t>
        </is>
      </c>
      <c r="E509" t="n">
        <v>12</v>
      </c>
      <c r="F509" t="n">
        <v>0.76</v>
      </c>
      <c r="G509" t="b">
        <v>0</v>
      </c>
      <c r="H509">
        <f>Sensitivity!H18</f>
        <v/>
      </c>
    </row>
    <row r="510">
      <c r="A510" t="inlineStr">
        <is>
          <t>shoulders</t>
        </is>
      </c>
      <c r="B510" t="inlineStr">
        <is>
          <t>mystic</t>
        </is>
      </c>
      <c r="C510" t="n">
        <v>3</v>
      </c>
      <c r="D510" t="inlineStr">
        <is>
          <t>Defense Penetration</t>
        </is>
      </c>
      <c r="E510" t="n">
        <v>20</v>
      </c>
      <c r="F510" t="n">
        <v>0.08</v>
      </c>
      <c r="G510" t="b">
        <v>1</v>
      </c>
      <c r="H510">
        <f>Sensitivity!H18</f>
        <v/>
      </c>
    </row>
    <row r="511">
      <c r="A511" t="inlineStr">
        <is>
          <t>shoulders</t>
        </is>
      </c>
      <c r="B511" t="inlineStr">
        <is>
          <t>mystic</t>
        </is>
      </c>
      <c r="C511" t="n">
        <v>3</v>
      </c>
      <c r="D511" t="inlineStr">
        <is>
          <t>Defense Penetration</t>
        </is>
      </c>
      <c r="E511" t="n">
        <v>12</v>
      </c>
      <c r="F511" t="n">
        <v>0.92</v>
      </c>
      <c r="G511" t="b">
        <v>0</v>
      </c>
      <c r="H511">
        <f>Sensitivity!H18</f>
        <v/>
      </c>
    </row>
    <row r="512">
      <c r="A512" t="inlineStr">
        <is>
          <t>legs</t>
        </is>
      </c>
      <c r="B512" t="inlineStr">
        <is>
          <t>epic</t>
        </is>
      </c>
      <c r="C512" t="n">
        <v>1</v>
      </c>
      <c r="D512" t="inlineStr">
        <is>
          <t>Final Damage %</t>
        </is>
      </c>
      <c r="E512" t="n">
        <v>3</v>
      </c>
      <c r="F512" t="n">
        <v>1</v>
      </c>
      <c r="G512" t="b">
        <v>1</v>
      </c>
      <c r="H512">
        <f>Sensitivity!H12</f>
        <v/>
      </c>
    </row>
    <row r="513">
      <c r="A513" t="inlineStr">
        <is>
          <t>legs</t>
        </is>
      </c>
      <c r="B513" t="inlineStr">
        <is>
          <t>epic</t>
        </is>
      </c>
      <c r="C513" t="n">
        <v>2</v>
      </c>
      <c r="D513" t="inlineStr">
        <is>
          <t>Final Damage %</t>
        </is>
      </c>
      <c r="E513" t="n">
        <v>3</v>
      </c>
      <c r="F513" t="n">
        <v>0.24</v>
      </c>
      <c r="G513" t="b">
        <v>1</v>
      </c>
      <c r="H513">
        <f>Sensitivity!H12</f>
        <v/>
      </c>
    </row>
    <row r="514">
      <c r="A514" t="inlineStr">
        <is>
          <t>legs</t>
        </is>
      </c>
      <c r="B514" t="inlineStr">
        <is>
          <t>epic</t>
        </is>
      </c>
      <c r="C514" t="n">
        <v>3</v>
      </c>
      <c r="D514" t="inlineStr">
        <is>
          <t>Final Damage %</t>
        </is>
      </c>
      <c r="E514" t="n">
        <v>3</v>
      </c>
      <c r="F514" t="n">
        <v>0.08</v>
      </c>
      <c r="G514" t="b">
        <v>1</v>
      </c>
      <c r="H514">
        <f>Sensitivity!H12</f>
        <v/>
      </c>
    </row>
    <row r="515">
      <c r="A515" t="inlineStr">
        <is>
          <t>legs</t>
        </is>
      </c>
      <c r="B515" t="inlineStr">
        <is>
          <t>unique</t>
        </is>
      </c>
      <c r="C515" t="n">
        <v>1</v>
      </c>
      <c r="D515" t="inlineStr">
        <is>
          <t>Final Damage %</t>
        </is>
      </c>
      <c r="E515" t="n">
        <v>5</v>
      </c>
      <c r="F515" t="n">
        <v>1</v>
      </c>
      <c r="G515" t="b">
        <v>1</v>
      </c>
      <c r="H515">
        <f>Sensitivity!H12</f>
        <v/>
      </c>
    </row>
    <row r="516">
      <c r="A516" t="inlineStr">
        <is>
          <t>legs</t>
        </is>
      </c>
      <c r="B516" t="inlineStr">
        <is>
          <t>unique</t>
        </is>
      </c>
      <c r="C516" t="n">
        <v>2</v>
      </c>
      <c r="D516" t="inlineStr">
        <is>
          <t>Final Damage %</t>
        </is>
      </c>
      <c r="E516" t="n">
        <v>5</v>
      </c>
      <c r="F516" t="n">
        <v>0.24</v>
      </c>
      <c r="G516" t="b">
        <v>1</v>
      </c>
      <c r="H516">
        <f>Sensitivity!H12</f>
        <v/>
      </c>
    </row>
    <row r="517">
      <c r="A517" t="inlineStr">
        <is>
          <t>legs</t>
        </is>
      </c>
      <c r="B517" t="inlineStr">
        <is>
          <t>unique</t>
        </is>
      </c>
      <c r="C517" t="n">
        <v>2</v>
      </c>
      <c r="D517" t="inlineStr">
        <is>
          <t>Final Damage %</t>
        </is>
      </c>
      <c r="E517" t="n">
        <v>3</v>
      </c>
      <c r="F517" t="n">
        <v>0.76</v>
      </c>
      <c r="G517" t="b">
        <v>0</v>
      </c>
      <c r="H517">
        <f>Sensitivity!H12</f>
        <v/>
      </c>
    </row>
    <row r="518">
      <c r="A518" t="inlineStr">
        <is>
          <t>legs</t>
        </is>
      </c>
      <c r="B518" t="inlineStr">
        <is>
          <t>unique</t>
        </is>
      </c>
      <c r="C518" t="n">
        <v>3</v>
      </c>
      <c r="D518" t="inlineStr">
        <is>
          <t>Final Damage %</t>
        </is>
      </c>
      <c r="E518" t="n">
        <v>5</v>
      </c>
      <c r="F518" t="n">
        <v>0.08</v>
      </c>
      <c r="G518" t="b">
        <v>1</v>
      </c>
      <c r="H518">
        <f>Sensitivity!H12</f>
        <v/>
      </c>
    </row>
    <row r="519">
      <c r="A519" t="inlineStr">
        <is>
          <t>legs</t>
        </is>
      </c>
      <c r="B519" t="inlineStr">
        <is>
          <t>unique</t>
        </is>
      </c>
      <c r="C519" t="n">
        <v>3</v>
      </c>
      <c r="D519" t="inlineStr">
        <is>
          <t>Final Damage %</t>
        </is>
      </c>
      <c r="E519" t="n">
        <v>3</v>
      </c>
      <c r="F519" t="n">
        <v>0.92</v>
      </c>
      <c r="G519" t="b">
        <v>0</v>
      </c>
      <c r="H519">
        <f>Sensitivity!H12</f>
        <v/>
      </c>
    </row>
    <row r="520">
      <c r="A520" t="inlineStr">
        <is>
          <t>legs</t>
        </is>
      </c>
      <c r="B520" t="inlineStr">
        <is>
          <t>legendary</t>
        </is>
      </c>
      <c r="C520" t="n">
        <v>1</v>
      </c>
      <c r="D520" t="inlineStr">
        <is>
          <t>Final Damage %</t>
        </is>
      </c>
      <c r="E520" t="n">
        <v>8</v>
      </c>
      <c r="F520" t="n">
        <v>1</v>
      </c>
      <c r="G520" t="b">
        <v>1</v>
      </c>
      <c r="H520">
        <f>Sensitivity!H12</f>
        <v/>
      </c>
    </row>
    <row r="521">
      <c r="A521" t="inlineStr">
        <is>
          <t>legs</t>
        </is>
      </c>
      <c r="B521" t="inlineStr">
        <is>
          <t>legendary</t>
        </is>
      </c>
      <c r="C521" t="n">
        <v>2</v>
      </c>
      <c r="D521" t="inlineStr">
        <is>
          <t>Final Damage %</t>
        </is>
      </c>
      <c r="E521" t="n">
        <v>8</v>
      </c>
      <c r="F521" t="n">
        <v>0.24</v>
      </c>
      <c r="G521" t="b">
        <v>1</v>
      </c>
      <c r="H521">
        <f>Sensitivity!H12</f>
        <v/>
      </c>
    </row>
    <row r="522">
      <c r="A522" t="inlineStr">
        <is>
          <t>legs</t>
        </is>
      </c>
      <c r="B522" t="inlineStr">
        <is>
          <t>legendary</t>
        </is>
      </c>
      <c r="C522" t="n">
        <v>2</v>
      </c>
      <c r="D522" t="inlineStr">
        <is>
          <t>Final Damage %</t>
        </is>
      </c>
      <c r="E522" t="n">
        <v>5</v>
      </c>
      <c r="F522" t="n">
        <v>0.76</v>
      </c>
      <c r="G522" t="b">
        <v>0</v>
      </c>
      <c r="H522">
        <f>Sensitivity!H12</f>
        <v/>
      </c>
    </row>
    <row r="523">
      <c r="A523" t="inlineStr">
        <is>
          <t>legs</t>
        </is>
      </c>
      <c r="B523" t="inlineStr">
        <is>
          <t>legendary</t>
        </is>
      </c>
      <c r="C523" t="n">
        <v>3</v>
      </c>
      <c r="D523" t="inlineStr">
        <is>
          <t>Final Damage %</t>
        </is>
      </c>
      <c r="E523" t="n">
        <v>8</v>
      </c>
      <c r="F523" t="n">
        <v>0.08</v>
      </c>
      <c r="G523" t="b">
        <v>1</v>
      </c>
      <c r="H523">
        <f>Sensitivity!H12</f>
        <v/>
      </c>
    </row>
    <row r="524">
      <c r="A524" t="inlineStr">
        <is>
          <t>legs</t>
        </is>
      </c>
      <c r="B524" t="inlineStr">
        <is>
          <t>legendary</t>
        </is>
      </c>
      <c r="C524" t="n">
        <v>3</v>
      </c>
      <c r="D524" t="inlineStr">
        <is>
          <t>Final Damage %</t>
        </is>
      </c>
      <c r="E524" t="n">
        <v>5</v>
      </c>
      <c r="F524" t="n">
        <v>0.92</v>
      </c>
      <c r="G524" t="b">
        <v>0</v>
      </c>
      <c r="H524">
        <f>Sensitivity!H12</f>
        <v/>
      </c>
    </row>
    <row r="525">
      <c r="A525" t="inlineStr">
        <is>
          <t>legs</t>
        </is>
      </c>
      <c r="B525" t="inlineStr">
        <is>
          <t>mystic</t>
        </is>
      </c>
      <c r="C525" t="n">
        <v>1</v>
      </c>
      <c r="D525" t="inlineStr">
        <is>
          <t>Final Damage %</t>
        </is>
      </c>
      <c r="E525" t="n">
        <v>12</v>
      </c>
      <c r="F525" t="n">
        <v>1</v>
      </c>
      <c r="G525" t="b">
        <v>1</v>
      </c>
      <c r="H525">
        <f>Sensitivity!H12</f>
        <v/>
      </c>
    </row>
    <row r="526">
      <c r="A526" t="inlineStr">
        <is>
          <t>legs</t>
        </is>
      </c>
      <c r="B526" t="inlineStr">
        <is>
          <t>mystic</t>
        </is>
      </c>
      <c r="C526" t="n">
        <v>2</v>
      </c>
      <c r="D526" t="inlineStr">
        <is>
          <t>Final Damage %</t>
        </is>
      </c>
      <c r="E526" t="n">
        <v>12</v>
      </c>
      <c r="F526" t="n">
        <v>0.24</v>
      </c>
      <c r="G526" t="b">
        <v>1</v>
      </c>
      <c r="H526">
        <f>Sensitivity!H12</f>
        <v/>
      </c>
    </row>
    <row r="527">
      <c r="A527" t="inlineStr">
        <is>
          <t>legs</t>
        </is>
      </c>
      <c r="B527" t="inlineStr">
        <is>
          <t>mystic</t>
        </is>
      </c>
      <c r="C527" t="n">
        <v>2</v>
      </c>
      <c r="D527" t="inlineStr">
        <is>
          <t>Final Damage %</t>
        </is>
      </c>
      <c r="E527" t="n">
        <v>8</v>
      </c>
      <c r="F527" t="n">
        <v>0.76</v>
      </c>
      <c r="G527" t="b">
        <v>0</v>
      </c>
      <c r="H527">
        <f>Sensitivity!H12</f>
        <v/>
      </c>
    </row>
    <row r="528">
      <c r="A528" t="inlineStr">
        <is>
          <t>legs</t>
        </is>
      </c>
      <c r="B528" t="inlineStr">
        <is>
          <t>mystic</t>
        </is>
      </c>
      <c r="C528" t="n">
        <v>3</v>
      </c>
      <c r="D528" t="inlineStr">
        <is>
          <t>Final Damage %</t>
        </is>
      </c>
      <c r="E528" t="n">
        <v>12</v>
      </c>
      <c r="F528" t="n">
        <v>0.08</v>
      </c>
      <c r="G528" t="b">
        <v>1</v>
      </c>
      <c r="H528">
        <f>Sensitivity!H12</f>
        <v/>
      </c>
    </row>
    <row r="529">
      <c r="A529" t="inlineStr">
        <is>
          <t>legs</t>
        </is>
      </c>
      <c r="B529" t="inlineStr">
        <is>
          <t>mystic</t>
        </is>
      </c>
      <c r="C529" t="n">
        <v>3</v>
      </c>
      <c r="D529" t="inlineStr">
        <is>
          <t>Final Damage %</t>
        </is>
      </c>
      <c r="E529" t="n">
        <v>8</v>
      </c>
      <c r="F529" t="n">
        <v>0.92</v>
      </c>
      <c r="G529" t="b">
        <v>0</v>
      </c>
      <c r="H529">
        <f>Sensitivity!H12</f>
        <v/>
      </c>
    </row>
    <row r="530">
      <c r="A530" t="inlineStr">
        <is>
          <t>belt</t>
        </is>
      </c>
      <c r="B530" t="inlineStr">
        <is>
          <t>epic</t>
        </is>
      </c>
      <c r="C530" t="n">
        <v>1</v>
      </c>
      <c r="D530" t="inlineStr">
        <is>
          <t>Buff Duration Increase %</t>
        </is>
      </c>
      <c r="E530" t="n">
        <v>5</v>
      </c>
      <c r="F530" t="n">
        <v>1</v>
      </c>
      <c r="G530" t="b">
        <v>1</v>
      </c>
      <c r="H530">
        <f>Sensitivity!H30</f>
        <v/>
      </c>
    </row>
    <row r="531">
      <c r="A531" t="inlineStr">
        <is>
          <t>belt</t>
        </is>
      </c>
      <c r="B531" t="inlineStr">
        <is>
          <t>epic</t>
        </is>
      </c>
      <c r="C531" t="n">
        <v>2</v>
      </c>
      <c r="D531" t="inlineStr">
        <is>
          <t>Buff Duration Increase %</t>
        </is>
      </c>
      <c r="E531" t="n">
        <v>5</v>
      </c>
      <c r="F531" t="n">
        <v>0.24</v>
      </c>
      <c r="G531" t="b">
        <v>1</v>
      </c>
      <c r="H531">
        <f>Sensitivity!H30</f>
        <v/>
      </c>
    </row>
    <row r="532">
      <c r="A532" t="inlineStr">
        <is>
          <t>belt</t>
        </is>
      </c>
      <c r="B532" t="inlineStr">
        <is>
          <t>epic</t>
        </is>
      </c>
      <c r="C532" t="n">
        <v>3</v>
      </c>
      <c r="D532" t="inlineStr">
        <is>
          <t>Buff Duration Increase %</t>
        </is>
      </c>
      <c r="E532" t="n">
        <v>5</v>
      </c>
      <c r="F532" t="n">
        <v>0.08</v>
      </c>
      <c r="G532" t="b">
        <v>1</v>
      </c>
      <c r="H532">
        <f>Sensitivity!H30</f>
        <v/>
      </c>
    </row>
    <row r="533">
      <c r="A533" t="inlineStr">
        <is>
          <t>belt</t>
        </is>
      </c>
      <c r="B533" t="inlineStr">
        <is>
          <t>unique</t>
        </is>
      </c>
      <c r="C533" t="n">
        <v>1</v>
      </c>
      <c r="D533" t="inlineStr">
        <is>
          <t>Buff Duration Increase %</t>
        </is>
      </c>
      <c r="E533" t="n">
        <v>8</v>
      </c>
      <c r="F533" t="n">
        <v>1</v>
      </c>
      <c r="G533" t="b">
        <v>1</v>
      </c>
      <c r="H533">
        <f>Sensitivity!H30</f>
        <v/>
      </c>
    </row>
    <row r="534">
      <c r="A534" t="inlineStr">
        <is>
          <t>belt</t>
        </is>
      </c>
      <c r="B534" t="inlineStr">
        <is>
          <t>unique</t>
        </is>
      </c>
      <c r="C534" t="n">
        <v>2</v>
      </c>
      <c r="D534" t="inlineStr">
        <is>
          <t>Buff Duration Increase %</t>
        </is>
      </c>
      <c r="E534" t="n">
        <v>8</v>
      </c>
      <c r="F534" t="n">
        <v>0.24</v>
      </c>
      <c r="G534" t="b">
        <v>1</v>
      </c>
      <c r="H534">
        <f>Sensitivity!H30</f>
        <v/>
      </c>
    </row>
    <row r="535">
      <c r="A535" t="inlineStr">
        <is>
          <t>belt</t>
        </is>
      </c>
      <c r="B535" t="inlineStr">
        <is>
          <t>unique</t>
        </is>
      </c>
      <c r="C535" t="n">
        <v>2</v>
      </c>
      <c r="D535" t="inlineStr">
        <is>
          <t>Buff Duration Increase %</t>
        </is>
      </c>
      <c r="E535" t="n">
        <v>5</v>
      </c>
      <c r="F535" t="n">
        <v>0.76</v>
      </c>
      <c r="G535" t="b">
        <v>0</v>
      </c>
      <c r="H535">
        <f>Sensitivity!H30</f>
        <v/>
      </c>
    </row>
    <row r="536">
      <c r="A536" t="inlineStr">
        <is>
          <t>belt</t>
        </is>
      </c>
      <c r="B536" t="inlineStr">
        <is>
          <t>unique</t>
        </is>
      </c>
      <c r="C536" t="n">
        <v>3</v>
      </c>
      <c r="D536" t="inlineStr">
        <is>
          <t>Buff Duration Increase %</t>
        </is>
      </c>
      <c r="E536" t="n">
        <v>8</v>
      </c>
      <c r="F536" t="n">
        <v>0.08</v>
      </c>
      <c r="G536" t="b">
        <v>1</v>
      </c>
      <c r="H536">
        <f>Sensitivity!H30</f>
        <v/>
      </c>
    </row>
    <row r="537">
      <c r="A537" t="inlineStr">
        <is>
          <t>belt</t>
        </is>
      </c>
      <c r="B537" t="inlineStr">
        <is>
          <t>unique</t>
        </is>
      </c>
      <c r="C537" t="n">
        <v>3</v>
      </c>
      <c r="D537" t="inlineStr">
        <is>
          <t>Buff Duration Increase %</t>
        </is>
      </c>
      <c r="E537" t="n">
        <v>5</v>
      </c>
      <c r="F537" t="n">
        <v>0.92</v>
      </c>
      <c r="G537" t="b">
        <v>0</v>
      </c>
      <c r="H537">
        <f>Sensitivity!H30</f>
        <v/>
      </c>
    </row>
    <row r="538">
      <c r="A538" t="inlineStr">
        <is>
          <t>belt</t>
        </is>
      </c>
      <c r="B538" t="inlineStr">
        <is>
          <t>legendary</t>
        </is>
      </c>
      <c r="C538" t="n">
        <v>1</v>
      </c>
      <c r="D538" t="inlineStr">
        <is>
          <t>Buff Duration Increase %</t>
        </is>
      </c>
      <c r="E538" t="n">
        <v>12</v>
      </c>
      <c r="F538" t="n">
        <v>1</v>
      </c>
      <c r="G538" t="b">
        <v>1</v>
      </c>
      <c r="H538">
        <f>Sensitivity!H30</f>
        <v/>
      </c>
    </row>
    <row r="539">
      <c r="A539" t="inlineStr">
        <is>
          <t>belt</t>
        </is>
      </c>
      <c r="B539" t="inlineStr">
        <is>
          <t>legendary</t>
        </is>
      </c>
      <c r="C539" t="n">
        <v>2</v>
      </c>
      <c r="D539" t="inlineStr">
        <is>
          <t>Buff Duration Increase %</t>
        </is>
      </c>
      <c r="E539" t="n">
        <v>12</v>
      </c>
      <c r="F539" t="n">
        <v>0.24</v>
      </c>
      <c r="G539" t="b">
        <v>1</v>
      </c>
      <c r="H539">
        <f>Sensitivity!H30</f>
        <v/>
      </c>
    </row>
    <row r="540">
      <c r="A540" t="inlineStr">
        <is>
          <t>belt</t>
        </is>
      </c>
      <c r="B540" t="inlineStr">
        <is>
          <t>legendary</t>
        </is>
      </c>
      <c r="C540" t="n">
        <v>2</v>
      </c>
      <c r="D540" t="inlineStr">
        <is>
          <t>Buff Duration Increase %</t>
        </is>
      </c>
      <c r="E540" t="n">
        <v>8</v>
      </c>
      <c r="F540" t="n">
        <v>0.76</v>
      </c>
      <c r="G540" t="b">
        <v>0</v>
      </c>
      <c r="H540">
        <f>Sensitivity!H30</f>
        <v/>
      </c>
    </row>
    <row r="541">
      <c r="A541" t="inlineStr">
        <is>
          <t>belt</t>
        </is>
      </c>
      <c r="B541" t="inlineStr">
        <is>
          <t>legendary</t>
        </is>
      </c>
      <c r="C541" t="n">
        <v>3</v>
      </c>
      <c r="D541" t="inlineStr">
        <is>
          <t>Buff Duration Increase %</t>
        </is>
      </c>
      <c r="E541" t="n">
        <v>12</v>
      </c>
      <c r="F541" t="n">
        <v>0.08</v>
      </c>
      <c r="G541" t="b">
        <v>1</v>
      </c>
      <c r="H541">
        <f>Sensitivity!H30</f>
        <v/>
      </c>
    </row>
    <row r="542">
      <c r="A542" t="inlineStr">
        <is>
          <t>belt</t>
        </is>
      </c>
      <c r="B542" t="inlineStr">
        <is>
          <t>legendary</t>
        </is>
      </c>
      <c r="C542" t="n">
        <v>3</v>
      </c>
      <c r="D542" t="inlineStr">
        <is>
          <t>Buff Duration Increase %</t>
        </is>
      </c>
      <c r="E542" t="n">
        <v>8</v>
      </c>
      <c r="F542" t="n">
        <v>0.92</v>
      </c>
      <c r="G542" t="b">
        <v>0</v>
      </c>
      <c r="H542">
        <f>Sensitivity!H30</f>
        <v/>
      </c>
    </row>
    <row r="543">
      <c r="A543" t="inlineStr">
        <is>
          <t>belt</t>
        </is>
      </c>
      <c r="B543" t="inlineStr">
        <is>
          <t>mystic</t>
        </is>
      </c>
      <c r="C543" t="n">
        <v>1</v>
      </c>
      <c r="D543" t="inlineStr">
        <is>
          <t>Buff Duration Increase %</t>
        </is>
      </c>
      <c r="E543" t="n">
        <v>20</v>
      </c>
      <c r="F543" t="n">
        <v>1</v>
      </c>
      <c r="G543" t="b">
        <v>1</v>
      </c>
      <c r="H543">
        <f>Sensitivity!H30</f>
        <v/>
      </c>
    </row>
    <row r="544">
      <c r="A544" t="inlineStr">
        <is>
          <t>belt</t>
        </is>
      </c>
      <c r="B544" t="inlineStr">
        <is>
          <t>mystic</t>
        </is>
      </c>
      <c r="C544" t="n">
        <v>2</v>
      </c>
      <c r="D544" t="inlineStr">
        <is>
          <t>Buff Duration Increase %</t>
        </is>
      </c>
      <c r="E544" t="n">
        <v>20</v>
      </c>
      <c r="F544" t="n">
        <v>0.24</v>
      </c>
      <c r="G544" t="b">
        <v>1</v>
      </c>
      <c r="H544">
        <f>Sensitivity!H30</f>
        <v/>
      </c>
    </row>
    <row r="545">
      <c r="A545" t="inlineStr">
        <is>
          <t>belt</t>
        </is>
      </c>
      <c r="B545" t="inlineStr">
        <is>
          <t>mystic</t>
        </is>
      </c>
      <c r="C545" t="n">
        <v>2</v>
      </c>
      <c r="D545" t="inlineStr">
        <is>
          <t>Buff Duration Increase %</t>
        </is>
      </c>
      <c r="E545" t="n">
        <v>12</v>
      </c>
      <c r="F545" t="n">
        <v>0.76</v>
      </c>
      <c r="G545" t="b">
        <v>0</v>
      </c>
      <c r="H545">
        <f>Sensitivity!H30</f>
        <v/>
      </c>
    </row>
    <row r="546">
      <c r="A546" t="inlineStr">
        <is>
          <t>belt</t>
        </is>
      </c>
      <c r="B546" t="inlineStr">
        <is>
          <t>mystic</t>
        </is>
      </c>
      <c r="C546" t="n">
        <v>3</v>
      </c>
      <c r="D546" t="inlineStr">
        <is>
          <t>Buff Duration Increase %</t>
        </is>
      </c>
      <c r="E546" t="n">
        <v>20</v>
      </c>
      <c r="F546" t="n">
        <v>0.08</v>
      </c>
      <c r="G546" t="b">
        <v>1</v>
      </c>
      <c r="H546">
        <f>Sensitivity!H30</f>
        <v/>
      </c>
    </row>
    <row r="547">
      <c r="A547" t="inlineStr">
        <is>
          <t>belt</t>
        </is>
      </c>
      <c r="B547" t="inlineStr">
        <is>
          <t>mystic</t>
        </is>
      </c>
      <c r="C547" t="n">
        <v>3</v>
      </c>
      <c r="D547" t="inlineStr">
        <is>
          <t>Buff Duration Increase %</t>
        </is>
      </c>
      <c r="E547" t="n">
        <v>12</v>
      </c>
      <c r="F547" t="n">
        <v>0.92</v>
      </c>
      <c r="G547" t="b">
        <v>0</v>
      </c>
      <c r="H547">
        <f>Sensitivity!H30</f>
        <v/>
      </c>
    </row>
    <row r="548">
      <c r="A548" t="inlineStr">
        <is>
          <t>gloves</t>
        </is>
      </c>
      <c r="B548" t="inlineStr">
        <is>
          <t>epic</t>
        </is>
      </c>
      <c r="C548" t="n">
        <v>1</v>
      </c>
      <c r="D548" t="inlineStr">
        <is>
          <t>Critical Damage %</t>
        </is>
      </c>
      <c r="E548" t="n">
        <v>10</v>
      </c>
      <c r="F548" t="n">
        <v>1</v>
      </c>
      <c r="G548" t="b">
        <v>1</v>
      </c>
      <c r="H548">
        <f>Sensitivity!H16</f>
        <v/>
      </c>
    </row>
    <row r="549">
      <c r="A549" t="inlineStr">
        <is>
          <t>gloves</t>
        </is>
      </c>
      <c r="B549" t="inlineStr">
        <is>
          <t>epic</t>
        </is>
      </c>
      <c r="C549" t="n">
        <v>2</v>
      </c>
      <c r="D549" t="inlineStr">
        <is>
          <t>Critical Damage %</t>
        </is>
      </c>
      <c r="E549" t="n">
        <v>10</v>
      </c>
      <c r="F549" t="n">
        <v>0.24</v>
      </c>
      <c r="G549" t="b">
        <v>1</v>
      </c>
      <c r="H549">
        <f>Sensitivity!H16</f>
        <v/>
      </c>
    </row>
    <row r="550">
      <c r="A550" t="inlineStr">
        <is>
          <t>gloves</t>
        </is>
      </c>
      <c r="B550" t="inlineStr">
        <is>
          <t>epic</t>
        </is>
      </c>
      <c r="C550" t="n">
        <v>3</v>
      </c>
      <c r="D550" t="inlineStr">
        <is>
          <t>Critical Damage %</t>
        </is>
      </c>
      <c r="E550" t="n">
        <v>10</v>
      </c>
      <c r="F550" t="n">
        <v>0.08</v>
      </c>
      <c r="G550" t="b">
        <v>1</v>
      </c>
      <c r="H550">
        <f>Sensitivity!H16</f>
        <v/>
      </c>
    </row>
    <row r="551">
      <c r="A551" t="inlineStr">
        <is>
          <t>gloves</t>
        </is>
      </c>
      <c r="B551" t="inlineStr">
        <is>
          <t>unique</t>
        </is>
      </c>
      <c r="C551" t="n">
        <v>1</v>
      </c>
      <c r="D551" t="inlineStr">
        <is>
          <t>Critical Damage %</t>
        </is>
      </c>
      <c r="E551" t="n">
        <v>20</v>
      </c>
      <c r="F551" t="n">
        <v>1</v>
      </c>
      <c r="G551" t="b">
        <v>1</v>
      </c>
      <c r="H551">
        <f>Sensitivity!H16</f>
        <v/>
      </c>
    </row>
    <row r="552">
      <c r="A552" t="inlineStr">
        <is>
          <t>gloves</t>
        </is>
      </c>
      <c r="B552" t="inlineStr">
        <is>
          <t>unique</t>
        </is>
      </c>
      <c r="C552" t="n">
        <v>2</v>
      </c>
      <c r="D552" t="inlineStr">
        <is>
          <t>Critical Damage %</t>
        </is>
      </c>
      <c r="E552" t="n">
        <v>20</v>
      </c>
      <c r="F552" t="n">
        <v>0.24</v>
      </c>
      <c r="G552" t="b">
        <v>1</v>
      </c>
      <c r="H552">
        <f>Sensitivity!H16</f>
        <v/>
      </c>
    </row>
    <row r="553">
      <c r="A553" t="inlineStr">
        <is>
          <t>gloves</t>
        </is>
      </c>
      <c r="B553" t="inlineStr">
        <is>
          <t>unique</t>
        </is>
      </c>
      <c r="C553" t="n">
        <v>2</v>
      </c>
      <c r="D553" t="inlineStr">
        <is>
          <t>Critical Damage %</t>
        </is>
      </c>
      <c r="E553" t="n">
        <v>10</v>
      </c>
      <c r="F553" t="n">
        <v>0.76</v>
      </c>
      <c r="G553" t="b">
        <v>0</v>
      </c>
      <c r="H553">
        <f>Sensitivity!H16</f>
        <v/>
      </c>
    </row>
    <row r="554">
      <c r="A554" t="inlineStr">
        <is>
          <t>gloves</t>
        </is>
      </c>
      <c r="B554" t="inlineStr">
        <is>
          <t>unique</t>
        </is>
      </c>
      <c r="C554" t="n">
        <v>3</v>
      </c>
      <c r="D554" t="inlineStr">
        <is>
          <t>Critical Damage %</t>
        </is>
      </c>
      <c r="E554" t="n">
        <v>20</v>
      </c>
      <c r="F554" t="n">
        <v>0.08</v>
      </c>
      <c r="G554" t="b">
        <v>1</v>
      </c>
      <c r="H554">
        <f>Sensitivity!H16</f>
        <v/>
      </c>
    </row>
    <row r="555">
      <c r="A555" t="inlineStr">
        <is>
          <t>gloves</t>
        </is>
      </c>
      <c r="B555" t="inlineStr">
        <is>
          <t>unique</t>
        </is>
      </c>
      <c r="C555" t="n">
        <v>3</v>
      </c>
      <c r="D555" t="inlineStr">
        <is>
          <t>Critical Damage %</t>
        </is>
      </c>
      <c r="E555" t="n">
        <v>10</v>
      </c>
      <c r="F555" t="n">
        <v>0.92</v>
      </c>
      <c r="G555" t="b">
        <v>0</v>
      </c>
      <c r="H555">
        <f>Sensitivity!H16</f>
        <v/>
      </c>
    </row>
    <row r="556">
      <c r="A556" t="inlineStr">
        <is>
          <t>gloves</t>
        </is>
      </c>
      <c r="B556" t="inlineStr">
        <is>
          <t>legendary</t>
        </is>
      </c>
      <c r="C556" t="n">
        <v>1</v>
      </c>
      <c r="D556" t="inlineStr">
        <is>
          <t>Critical Damage %</t>
        </is>
      </c>
      <c r="E556" t="n">
        <v>30</v>
      </c>
      <c r="F556" t="n">
        <v>1</v>
      </c>
      <c r="G556" t="b">
        <v>1</v>
      </c>
      <c r="H556">
        <f>Sensitivity!H16</f>
        <v/>
      </c>
    </row>
    <row r="557">
      <c r="A557" t="inlineStr">
        <is>
          <t>gloves</t>
        </is>
      </c>
      <c r="B557" t="inlineStr">
        <is>
          <t>legendary</t>
        </is>
      </c>
      <c r="C557" t="n">
        <v>2</v>
      </c>
      <c r="D557" t="inlineStr">
        <is>
          <t>Critical Damage %</t>
        </is>
      </c>
      <c r="E557" t="n">
        <v>30</v>
      </c>
      <c r="F557" t="n">
        <v>0.24</v>
      </c>
      <c r="G557" t="b">
        <v>1</v>
      </c>
      <c r="H557">
        <f>Sensitivity!H16</f>
        <v/>
      </c>
    </row>
    <row r="558">
      <c r="A558" t="inlineStr">
        <is>
          <t>gloves</t>
        </is>
      </c>
      <c r="B558" t="inlineStr">
        <is>
          <t>legendary</t>
        </is>
      </c>
      <c r="C558" t="n">
        <v>2</v>
      </c>
      <c r="D558" t="inlineStr">
        <is>
          <t>Critical Damage %</t>
        </is>
      </c>
      <c r="E558" t="n">
        <v>20</v>
      </c>
      <c r="F558" t="n">
        <v>0.76</v>
      </c>
      <c r="G558" t="b">
        <v>0</v>
      </c>
      <c r="H558">
        <f>Sensitivity!H16</f>
        <v/>
      </c>
    </row>
    <row r="559">
      <c r="A559" t="inlineStr">
        <is>
          <t>gloves</t>
        </is>
      </c>
      <c r="B559" t="inlineStr">
        <is>
          <t>legendary</t>
        </is>
      </c>
      <c r="C559" t="n">
        <v>3</v>
      </c>
      <c r="D559" t="inlineStr">
        <is>
          <t>Critical Damage %</t>
        </is>
      </c>
      <c r="E559" t="n">
        <v>30</v>
      </c>
      <c r="F559" t="n">
        <v>0.08</v>
      </c>
      <c r="G559" t="b">
        <v>1</v>
      </c>
      <c r="H559">
        <f>Sensitivity!H16</f>
        <v/>
      </c>
    </row>
    <row r="560">
      <c r="A560" t="inlineStr">
        <is>
          <t>gloves</t>
        </is>
      </c>
      <c r="B560" t="inlineStr">
        <is>
          <t>legendary</t>
        </is>
      </c>
      <c r="C560" t="n">
        <v>3</v>
      </c>
      <c r="D560" t="inlineStr">
        <is>
          <t>Critical Damage %</t>
        </is>
      </c>
      <c r="E560" t="n">
        <v>20</v>
      </c>
      <c r="F560" t="n">
        <v>0.92</v>
      </c>
      <c r="G560" t="b">
        <v>0</v>
      </c>
      <c r="H560">
        <f>Sensitivity!H16</f>
        <v/>
      </c>
    </row>
    <row r="561">
      <c r="A561" t="inlineStr">
        <is>
          <t>gloves</t>
        </is>
      </c>
      <c r="B561" t="inlineStr">
        <is>
          <t>mystic</t>
        </is>
      </c>
      <c r="C561" t="n">
        <v>1</v>
      </c>
      <c r="D561" t="inlineStr">
        <is>
          <t>Critical Damage %</t>
        </is>
      </c>
      <c r="E561" t="n">
        <v>50</v>
      </c>
      <c r="F561" t="n">
        <v>1</v>
      </c>
      <c r="G561" t="b">
        <v>1</v>
      </c>
      <c r="H561">
        <f>Sensitivity!H16</f>
        <v/>
      </c>
    </row>
    <row r="562">
      <c r="A562" t="inlineStr">
        <is>
          <t>gloves</t>
        </is>
      </c>
      <c r="B562" t="inlineStr">
        <is>
          <t>mystic</t>
        </is>
      </c>
      <c r="C562" t="n">
        <v>2</v>
      </c>
      <c r="D562" t="inlineStr">
        <is>
          <t>Critical Damage %</t>
        </is>
      </c>
      <c r="E562" t="n">
        <v>50</v>
      </c>
      <c r="F562" t="n">
        <v>0.24</v>
      </c>
      <c r="G562" t="b">
        <v>1</v>
      </c>
      <c r="H562">
        <f>Sensitivity!H16</f>
        <v/>
      </c>
    </row>
    <row r="563">
      <c r="A563" t="inlineStr">
        <is>
          <t>gloves</t>
        </is>
      </c>
      <c r="B563" t="inlineStr">
        <is>
          <t>mystic</t>
        </is>
      </c>
      <c r="C563" t="n">
        <v>2</v>
      </c>
      <c r="D563" t="inlineStr">
        <is>
          <t>Critical Damage %</t>
        </is>
      </c>
      <c r="E563" t="n">
        <v>30</v>
      </c>
      <c r="F563" t="n">
        <v>0.76</v>
      </c>
      <c r="G563" t="b">
        <v>0</v>
      </c>
      <c r="H563">
        <f>Sensitivity!H16</f>
        <v/>
      </c>
    </row>
    <row r="564">
      <c r="A564" t="inlineStr">
        <is>
          <t>gloves</t>
        </is>
      </c>
      <c r="B564" t="inlineStr">
        <is>
          <t>mystic</t>
        </is>
      </c>
      <c r="C564" t="n">
        <v>3</v>
      </c>
      <c r="D564" t="inlineStr">
        <is>
          <t>Critical Damage %</t>
        </is>
      </c>
      <c r="E564" t="n">
        <v>50</v>
      </c>
      <c r="F564" t="n">
        <v>0.08</v>
      </c>
      <c r="G564" t="b">
        <v>1</v>
      </c>
      <c r="H564">
        <f>Sensitivity!H16</f>
        <v/>
      </c>
    </row>
    <row r="565">
      <c r="A565" t="inlineStr">
        <is>
          <t>gloves</t>
        </is>
      </c>
      <c r="B565" t="inlineStr">
        <is>
          <t>mystic</t>
        </is>
      </c>
      <c r="C565" t="n">
        <v>3</v>
      </c>
      <c r="D565" t="inlineStr">
        <is>
          <t>Critical Damage %</t>
        </is>
      </c>
      <c r="E565" t="n">
        <v>30</v>
      </c>
      <c r="F565" t="n">
        <v>0.92</v>
      </c>
      <c r="G565" t="b">
        <v>0</v>
      </c>
      <c r="H565">
        <f>Sensitivity!H16</f>
        <v/>
      </c>
    </row>
    <row r="566">
      <c r="A566" t="inlineStr">
        <is>
          <t>boots</t>
        </is>
      </c>
      <c r="B566" t="inlineStr">
        <is>
          <t>epic</t>
        </is>
      </c>
      <c r="C566" t="n">
        <v>1</v>
      </c>
      <c r="D566" t="inlineStr">
        <is>
          <t>Companion Summoning Time Increase %</t>
        </is>
      </c>
      <c r="E566" t="n">
        <v>5</v>
      </c>
      <c r="F566" t="n">
        <v>1</v>
      </c>
      <c r="G566" t="b">
        <v>1</v>
      </c>
      <c r="H566">
        <f>Sensitivity!H16</f>
        <v/>
      </c>
    </row>
    <row r="567">
      <c r="A567" t="inlineStr">
        <is>
          <t>boots</t>
        </is>
      </c>
      <c r="B567" t="inlineStr">
        <is>
          <t>epic</t>
        </is>
      </c>
      <c r="C567" t="n">
        <v>2</v>
      </c>
      <c r="D567" t="inlineStr">
        <is>
          <t>Companion Summoning Time Increase %</t>
        </is>
      </c>
      <c r="E567" t="n">
        <v>5</v>
      </c>
      <c r="F567" t="n">
        <v>0.24</v>
      </c>
      <c r="G567" t="b">
        <v>1</v>
      </c>
      <c r="H567">
        <f>Sensitivity!H16</f>
        <v/>
      </c>
    </row>
    <row r="568">
      <c r="A568" t="inlineStr">
        <is>
          <t>boots</t>
        </is>
      </c>
      <c r="B568" t="inlineStr">
        <is>
          <t>epic</t>
        </is>
      </c>
      <c r="C568" t="n">
        <v>3</v>
      </c>
      <c r="D568" t="inlineStr">
        <is>
          <t>Companion Summoning Time Increase %</t>
        </is>
      </c>
      <c r="E568" t="n">
        <v>5</v>
      </c>
      <c r="F568" t="n">
        <v>0.08</v>
      </c>
      <c r="G568" t="b">
        <v>1</v>
      </c>
      <c r="H568">
        <f>Sensitivity!H16</f>
        <v/>
      </c>
    </row>
    <row r="569">
      <c r="A569" t="inlineStr">
        <is>
          <t>boots</t>
        </is>
      </c>
      <c r="B569" t="inlineStr">
        <is>
          <t>unique</t>
        </is>
      </c>
      <c r="C569" t="n">
        <v>1</v>
      </c>
      <c r="D569" t="inlineStr">
        <is>
          <t>Companion Summoning Time Increase %</t>
        </is>
      </c>
      <c r="E569" t="n">
        <v>8</v>
      </c>
      <c r="F569" t="n">
        <v>1</v>
      </c>
      <c r="G569" t="b">
        <v>1</v>
      </c>
      <c r="H569">
        <f>Sensitivity!H16</f>
        <v/>
      </c>
    </row>
    <row r="570">
      <c r="A570" t="inlineStr">
        <is>
          <t>boots</t>
        </is>
      </c>
      <c r="B570" t="inlineStr">
        <is>
          <t>unique</t>
        </is>
      </c>
      <c r="C570" t="n">
        <v>2</v>
      </c>
      <c r="D570" t="inlineStr">
        <is>
          <t>Companion Summoning Time Increase %</t>
        </is>
      </c>
      <c r="E570" t="n">
        <v>8</v>
      </c>
      <c r="F570" t="n">
        <v>0.24</v>
      </c>
      <c r="G570" t="b">
        <v>1</v>
      </c>
      <c r="H570">
        <f>Sensitivity!H16</f>
        <v/>
      </c>
    </row>
    <row r="571">
      <c r="A571" t="inlineStr">
        <is>
          <t>boots</t>
        </is>
      </c>
      <c r="B571" t="inlineStr">
        <is>
          <t>unique</t>
        </is>
      </c>
      <c r="C571" t="n">
        <v>2</v>
      </c>
      <c r="D571" t="inlineStr">
        <is>
          <t>Companion Summoning Time Increase %</t>
        </is>
      </c>
      <c r="E571" t="n">
        <v>5</v>
      </c>
      <c r="F571" t="n">
        <v>0.76</v>
      </c>
      <c r="G571" t="b">
        <v>0</v>
      </c>
      <c r="H571">
        <f>Sensitivity!H16</f>
        <v/>
      </c>
    </row>
    <row r="572">
      <c r="A572" t="inlineStr">
        <is>
          <t>boots</t>
        </is>
      </c>
      <c r="B572" t="inlineStr">
        <is>
          <t>unique</t>
        </is>
      </c>
      <c r="C572" t="n">
        <v>3</v>
      </c>
      <c r="D572" t="inlineStr">
        <is>
          <t>Companion Summoning Time Increase %</t>
        </is>
      </c>
      <c r="E572" t="n">
        <v>8</v>
      </c>
      <c r="F572" t="n">
        <v>0.08</v>
      </c>
      <c r="G572" t="b">
        <v>1</v>
      </c>
      <c r="H572">
        <f>Sensitivity!H16</f>
        <v/>
      </c>
    </row>
    <row r="573">
      <c r="A573" t="inlineStr">
        <is>
          <t>boots</t>
        </is>
      </c>
      <c r="B573" t="inlineStr">
        <is>
          <t>unique</t>
        </is>
      </c>
      <c r="C573" t="n">
        <v>3</v>
      </c>
      <c r="D573" t="inlineStr">
        <is>
          <t>Companion Summoning Time Increase %</t>
        </is>
      </c>
      <c r="E573" t="n">
        <v>5</v>
      </c>
      <c r="F573" t="n">
        <v>0.92</v>
      </c>
      <c r="G573" t="b">
        <v>0</v>
      </c>
      <c r="H573">
        <f>Sensitivity!H16</f>
        <v/>
      </c>
    </row>
    <row r="574">
      <c r="A574" t="inlineStr">
        <is>
          <t>boots</t>
        </is>
      </c>
      <c r="B574" t="inlineStr">
        <is>
          <t>legendary</t>
        </is>
      </c>
      <c r="C574" t="n">
        <v>1</v>
      </c>
      <c r="D574" t="inlineStr">
        <is>
          <t>Companion Summoning Time Increase %</t>
        </is>
      </c>
      <c r="E574" t="n">
        <v>12</v>
      </c>
      <c r="F574" t="n">
        <v>1</v>
      </c>
      <c r="G574" t="b">
        <v>1</v>
      </c>
      <c r="H574">
        <f>Sensitivity!H16</f>
        <v/>
      </c>
    </row>
    <row r="575">
      <c r="A575" t="inlineStr">
        <is>
          <t>boots</t>
        </is>
      </c>
      <c r="B575" t="inlineStr">
        <is>
          <t>legendary</t>
        </is>
      </c>
      <c r="C575" t="n">
        <v>2</v>
      </c>
      <c r="D575" t="inlineStr">
        <is>
          <t>Companion Summoning Time Increase %</t>
        </is>
      </c>
      <c r="E575" t="n">
        <v>12</v>
      </c>
      <c r="F575" t="n">
        <v>0.24</v>
      </c>
      <c r="G575" t="b">
        <v>1</v>
      </c>
      <c r="H575">
        <f>Sensitivity!H16</f>
        <v/>
      </c>
    </row>
    <row r="576">
      <c r="A576" t="inlineStr">
        <is>
          <t>boots</t>
        </is>
      </c>
      <c r="B576" t="inlineStr">
        <is>
          <t>legendary</t>
        </is>
      </c>
      <c r="C576" t="n">
        <v>2</v>
      </c>
      <c r="D576" t="inlineStr">
        <is>
          <t>Companion Summoning Time Increase %</t>
        </is>
      </c>
      <c r="E576" t="n">
        <v>8</v>
      </c>
      <c r="F576" t="n">
        <v>0.76</v>
      </c>
      <c r="G576" t="b">
        <v>0</v>
      </c>
      <c r="H576">
        <f>Sensitivity!H16</f>
        <v/>
      </c>
    </row>
    <row r="577">
      <c r="A577" t="inlineStr">
        <is>
          <t>boots</t>
        </is>
      </c>
      <c r="B577" t="inlineStr">
        <is>
          <t>legendary</t>
        </is>
      </c>
      <c r="C577" t="n">
        <v>3</v>
      </c>
      <c r="D577" t="inlineStr">
        <is>
          <t>Companion Summoning Time Increase %</t>
        </is>
      </c>
      <c r="E577" t="n">
        <v>12</v>
      </c>
      <c r="F577" t="n">
        <v>0.08</v>
      </c>
      <c r="G577" t="b">
        <v>1</v>
      </c>
      <c r="H577">
        <f>Sensitivity!H16</f>
        <v/>
      </c>
    </row>
    <row r="578">
      <c r="A578" t="inlineStr">
        <is>
          <t>boots</t>
        </is>
      </c>
      <c r="B578" t="inlineStr">
        <is>
          <t>legendary</t>
        </is>
      </c>
      <c r="C578" t="n">
        <v>3</v>
      </c>
      <c r="D578" t="inlineStr">
        <is>
          <t>Companion Summoning Time Increase %</t>
        </is>
      </c>
      <c r="E578" t="n">
        <v>8</v>
      </c>
      <c r="F578" t="n">
        <v>0.92</v>
      </c>
      <c r="G578" t="b">
        <v>0</v>
      </c>
      <c r="H578">
        <f>Sensitivity!H16</f>
        <v/>
      </c>
    </row>
    <row r="579">
      <c r="A579" t="inlineStr">
        <is>
          <t>boots</t>
        </is>
      </c>
      <c r="B579" t="inlineStr">
        <is>
          <t>mystic</t>
        </is>
      </c>
      <c r="C579" t="n">
        <v>1</v>
      </c>
      <c r="D579" t="inlineStr">
        <is>
          <t>Companion Summoning Time Increase %</t>
        </is>
      </c>
      <c r="E579" t="n">
        <v>20</v>
      </c>
      <c r="F579" t="n">
        <v>1</v>
      </c>
      <c r="G579" t="b">
        <v>1</v>
      </c>
      <c r="H579">
        <f>Sensitivity!H16</f>
        <v/>
      </c>
    </row>
    <row r="580">
      <c r="A580" t="inlineStr">
        <is>
          <t>boots</t>
        </is>
      </c>
      <c r="B580" t="inlineStr">
        <is>
          <t>mystic</t>
        </is>
      </c>
      <c r="C580" t="n">
        <v>2</v>
      </c>
      <c r="D580" t="inlineStr">
        <is>
          <t>Companion Summoning Time Increase %</t>
        </is>
      </c>
      <c r="E580" t="n">
        <v>20</v>
      </c>
      <c r="F580" t="n">
        <v>0.24</v>
      </c>
      <c r="G580" t="b">
        <v>1</v>
      </c>
      <c r="H580">
        <f>Sensitivity!H16</f>
        <v/>
      </c>
    </row>
    <row r="581">
      <c r="A581" t="inlineStr">
        <is>
          <t>boots</t>
        </is>
      </c>
      <c r="B581" t="inlineStr">
        <is>
          <t>mystic</t>
        </is>
      </c>
      <c r="C581" t="n">
        <v>2</v>
      </c>
      <c r="D581" t="inlineStr">
        <is>
          <t>Companion Summoning Time Increase %</t>
        </is>
      </c>
      <c r="E581" t="n">
        <v>12</v>
      </c>
      <c r="F581" t="n">
        <v>0.76</v>
      </c>
      <c r="G581" t="b">
        <v>0</v>
      </c>
      <c r="H581">
        <f>Sensitivity!H16</f>
        <v/>
      </c>
    </row>
    <row r="582">
      <c r="A582" t="inlineStr">
        <is>
          <t>boots</t>
        </is>
      </c>
      <c r="B582" t="inlineStr">
        <is>
          <t>mystic</t>
        </is>
      </c>
      <c r="C582" t="n">
        <v>3</v>
      </c>
      <c r="D582" t="inlineStr">
        <is>
          <t>Companion Summoning Time Increase %</t>
        </is>
      </c>
      <c r="E582" t="n">
        <v>20</v>
      </c>
      <c r="F582" t="n">
        <v>0.08</v>
      </c>
      <c r="G582" t="b">
        <v>1</v>
      </c>
      <c r="H582">
        <f>Sensitivity!H16</f>
        <v/>
      </c>
    </row>
    <row r="583">
      <c r="A583" t="inlineStr">
        <is>
          <t>boots</t>
        </is>
      </c>
      <c r="B583" t="inlineStr">
        <is>
          <t>mystic</t>
        </is>
      </c>
      <c r="C583" t="n">
        <v>3</v>
      </c>
      <c r="D583" t="inlineStr">
        <is>
          <t>Companion Summoning Time Increase %</t>
        </is>
      </c>
      <c r="E583" t="n">
        <v>12</v>
      </c>
      <c r="F583" t="n">
        <v>0.92</v>
      </c>
      <c r="G583" t="b">
        <v>0</v>
      </c>
      <c r="H583">
        <f>Sensitivity!H16</f>
        <v/>
      </c>
    </row>
    <row r="584">
      <c r="A584" t="inlineStr">
        <is>
          <t>ring</t>
        </is>
      </c>
      <c r="B584" t="inlineStr">
        <is>
          <t>epic</t>
        </is>
      </c>
      <c r="C584" t="n">
        <v>1</v>
      </c>
      <c r="D584" t="inlineStr">
        <is>
          <t>All Skill Level</t>
        </is>
      </c>
      <c r="E584" t="n">
        <v>5</v>
      </c>
      <c r="F584" t="n">
        <v>1</v>
      </c>
      <c r="G584" t="b">
        <v>1</v>
      </c>
      <c r="H584">
        <f>Sensitivity!H25</f>
        <v/>
      </c>
    </row>
    <row r="585">
      <c r="A585" t="inlineStr">
        <is>
          <t>ring</t>
        </is>
      </c>
      <c r="B585" t="inlineStr">
        <is>
          <t>epic</t>
        </is>
      </c>
      <c r="C585" t="n">
        <v>2</v>
      </c>
      <c r="D585" t="inlineStr">
        <is>
          <t>All Skill Level</t>
        </is>
      </c>
      <c r="E585" t="n">
        <v>5</v>
      </c>
      <c r="F585" t="n">
        <v>0.24</v>
      </c>
      <c r="G585" t="b">
        <v>1</v>
      </c>
      <c r="H585">
        <f>Sensitivity!H25</f>
        <v/>
      </c>
    </row>
    <row r="586">
      <c r="A586" t="inlineStr">
        <is>
          <t>ring</t>
        </is>
      </c>
      <c r="B586" t="inlineStr">
        <is>
          <t>epic</t>
        </is>
      </c>
      <c r="C586" t="n">
        <v>3</v>
      </c>
      <c r="D586" t="inlineStr">
        <is>
          <t>All Skill Level</t>
        </is>
      </c>
      <c r="E586" t="n">
        <v>5</v>
      </c>
      <c r="F586" t="n">
        <v>0.08</v>
      </c>
      <c r="G586" t="b">
        <v>1</v>
      </c>
      <c r="H586">
        <f>Sensitivity!H25</f>
        <v/>
      </c>
    </row>
    <row r="587">
      <c r="A587" t="inlineStr">
        <is>
          <t>ring</t>
        </is>
      </c>
      <c r="B587" t="inlineStr">
        <is>
          <t>unique</t>
        </is>
      </c>
      <c r="C587" t="n">
        <v>1</v>
      </c>
      <c r="D587" t="inlineStr">
        <is>
          <t>All Skill Level</t>
        </is>
      </c>
      <c r="E587" t="n">
        <v>8</v>
      </c>
      <c r="F587" t="n">
        <v>1</v>
      </c>
      <c r="G587" t="b">
        <v>1</v>
      </c>
      <c r="H587">
        <f>Sensitivity!H25</f>
        <v/>
      </c>
    </row>
    <row r="588">
      <c r="A588" t="inlineStr">
        <is>
          <t>ring</t>
        </is>
      </c>
      <c r="B588" t="inlineStr">
        <is>
          <t>unique</t>
        </is>
      </c>
      <c r="C588" t="n">
        <v>2</v>
      </c>
      <c r="D588" t="inlineStr">
        <is>
          <t>All Skill Level</t>
        </is>
      </c>
      <c r="E588" t="n">
        <v>8</v>
      </c>
      <c r="F588" t="n">
        <v>0.24</v>
      </c>
      <c r="G588" t="b">
        <v>1</v>
      </c>
      <c r="H588">
        <f>Sensitivity!H25</f>
        <v/>
      </c>
    </row>
    <row r="589">
      <c r="A589" t="inlineStr">
        <is>
          <t>ring</t>
        </is>
      </c>
      <c r="B589" t="inlineStr">
        <is>
          <t>unique</t>
        </is>
      </c>
      <c r="C589" t="n">
        <v>2</v>
      </c>
      <c r="D589" t="inlineStr">
        <is>
          <t>All Skill Level</t>
        </is>
      </c>
      <c r="E589" t="n">
        <v>5</v>
      </c>
      <c r="F589" t="n">
        <v>0.76</v>
      </c>
      <c r="G589" t="b">
        <v>0</v>
      </c>
      <c r="H589">
        <f>Sensitivity!H25</f>
        <v/>
      </c>
    </row>
    <row r="590">
      <c r="A590" t="inlineStr">
        <is>
          <t>ring</t>
        </is>
      </c>
      <c r="B590" t="inlineStr">
        <is>
          <t>unique</t>
        </is>
      </c>
      <c r="C590" t="n">
        <v>3</v>
      </c>
      <c r="D590" t="inlineStr">
        <is>
          <t>All Skill Level</t>
        </is>
      </c>
      <c r="E590" t="n">
        <v>8</v>
      </c>
      <c r="F590" t="n">
        <v>0.08</v>
      </c>
      <c r="G590" t="b">
        <v>1</v>
      </c>
      <c r="H590">
        <f>Sensitivity!H25</f>
        <v/>
      </c>
    </row>
    <row r="591">
      <c r="A591" t="inlineStr">
        <is>
          <t>ring</t>
        </is>
      </c>
      <c r="B591" t="inlineStr">
        <is>
          <t>unique</t>
        </is>
      </c>
      <c r="C591" t="n">
        <v>3</v>
      </c>
      <c r="D591" t="inlineStr">
        <is>
          <t>All Skill Level</t>
        </is>
      </c>
      <c r="E591" t="n">
        <v>5</v>
      </c>
      <c r="F591" t="n">
        <v>0.92</v>
      </c>
      <c r="G591" t="b">
        <v>0</v>
      </c>
      <c r="H591">
        <f>Sensitivity!H25</f>
        <v/>
      </c>
    </row>
    <row r="592">
      <c r="A592" t="inlineStr">
        <is>
          <t>ring</t>
        </is>
      </c>
      <c r="B592" t="inlineStr">
        <is>
          <t>legendary</t>
        </is>
      </c>
      <c r="C592" t="n">
        <v>1</v>
      </c>
      <c r="D592" t="inlineStr">
        <is>
          <t>All Skill Level</t>
        </is>
      </c>
      <c r="E592" t="n">
        <v>12</v>
      </c>
      <c r="F592" t="n">
        <v>1</v>
      </c>
      <c r="G592" t="b">
        <v>1</v>
      </c>
      <c r="H592">
        <f>Sensitivity!H25</f>
        <v/>
      </c>
    </row>
    <row r="593">
      <c r="A593" t="inlineStr">
        <is>
          <t>ring</t>
        </is>
      </c>
      <c r="B593" t="inlineStr">
        <is>
          <t>legendary</t>
        </is>
      </c>
      <c r="C593" t="n">
        <v>2</v>
      </c>
      <c r="D593" t="inlineStr">
        <is>
          <t>All Skill Level</t>
        </is>
      </c>
      <c r="E593" t="n">
        <v>12</v>
      </c>
      <c r="F593" t="n">
        <v>0.24</v>
      </c>
      <c r="G593" t="b">
        <v>1</v>
      </c>
      <c r="H593">
        <f>Sensitivity!H25</f>
        <v/>
      </c>
    </row>
    <row r="594">
      <c r="A594" t="inlineStr">
        <is>
          <t>ring</t>
        </is>
      </c>
      <c r="B594" t="inlineStr">
        <is>
          <t>legendary</t>
        </is>
      </c>
      <c r="C594" t="n">
        <v>2</v>
      </c>
      <c r="D594" t="inlineStr">
        <is>
          <t>All Skill Level</t>
        </is>
      </c>
      <c r="E594" t="n">
        <v>8</v>
      </c>
      <c r="F594" t="n">
        <v>0.76</v>
      </c>
      <c r="G594" t="b">
        <v>0</v>
      </c>
      <c r="H594">
        <f>Sensitivity!H25</f>
        <v/>
      </c>
    </row>
    <row r="595">
      <c r="A595" t="inlineStr">
        <is>
          <t>ring</t>
        </is>
      </c>
      <c r="B595" t="inlineStr">
        <is>
          <t>legendary</t>
        </is>
      </c>
      <c r="C595" t="n">
        <v>3</v>
      </c>
      <c r="D595" t="inlineStr">
        <is>
          <t>All Skill Level</t>
        </is>
      </c>
      <c r="E595" t="n">
        <v>12</v>
      </c>
      <c r="F595" t="n">
        <v>0.08</v>
      </c>
      <c r="G595" t="b">
        <v>1</v>
      </c>
      <c r="H595">
        <f>Sensitivity!H25</f>
        <v/>
      </c>
    </row>
    <row r="596">
      <c r="A596" t="inlineStr">
        <is>
          <t>ring</t>
        </is>
      </c>
      <c r="B596" t="inlineStr">
        <is>
          <t>legendary</t>
        </is>
      </c>
      <c r="C596" t="n">
        <v>3</v>
      </c>
      <c r="D596" t="inlineStr">
        <is>
          <t>All Skill Level</t>
        </is>
      </c>
      <c r="E596" t="n">
        <v>8</v>
      </c>
      <c r="F596" t="n">
        <v>0.92</v>
      </c>
      <c r="G596" t="b">
        <v>0</v>
      </c>
      <c r="H596">
        <f>Sensitivity!H25</f>
        <v/>
      </c>
    </row>
    <row r="597">
      <c r="A597" t="inlineStr">
        <is>
          <t>ring</t>
        </is>
      </c>
      <c r="B597" t="inlineStr">
        <is>
          <t>mystic</t>
        </is>
      </c>
      <c r="C597" t="n">
        <v>1</v>
      </c>
      <c r="D597" t="inlineStr">
        <is>
          <t>All Skill Level</t>
        </is>
      </c>
      <c r="E597" t="n">
        <v>16</v>
      </c>
      <c r="F597" t="n">
        <v>1</v>
      </c>
      <c r="G597" t="b">
        <v>1</v>
      </c>
      <c r="H597">
        <f>Sensitivity!H25</f>
        <v/>
      </c>
    </row>
    <row r="598">
      <c r="A598" t="inlineStr">
        <is>
          <t>ring</t>
        </is>
      </c>
      <c r="B598" t="inlineStr">
        <is>
          <t>mystic</t>
        </is>
      </c>
      <c r="C598" t="n">
        <v>2</v>
      </c>
      <c r="D598" t="inlineStr">
        <is>
          <t>All Skill Level</t>
        </is>
      </c>
      <c r="E598" t="n">
        <v>16</v>
      </c>
      <c r="F598" t="n">
        <v>0.24</v>
      </c>
      <c r="G598" t="b">
        <v>1</v>
      </c>
      <c r="H598">
        <f>Sensitivity!H25</f>
        <v/>
      </c>
    </row>
    <row r="599">
      <c r="A599" t="inlineStr">
        <is>
          <t>ring</t>
        </is>
      </c>
      <c r="B599" t="inlineStr">
        <is>
          <t>mystic</t>
        </is>
      </c>
      <c r="C599" t="n">
        <v>2</v>
      </c>
      <c r="D599" t="inlineStr">
        <is>
          <t>All Skill Level</t>
        </is>
      </c>
      <c r="E599" t="n">
        <v>12</v>
      </c>
      <c r="F599" t="n">
        <v>0.76</v>
      </c>
      <c r="G599" t="b">
        <v>0</v>
      </c>
      <c r="H599">
        <f>Sensitivity!H25</f>
        <v/>
      </c>
    </row>
    <row r="600">
      <c r="A600" t="inlineStr">
        <is>
          <t>ring</t>
        </is>
      </c>
      <c r="B600" t="inlineStr">
        <is>
          <t>mystic</t>
        </is>
      </c>
      <c r="C600" t="n">
        <v>3</v>
      </c>
      <c r="D600" t="inlineStr">
        <is>
          <t>All Skill Level</t>
        </is>
      </c>
      <c r="E600" t="n">
        <v>16</v>
      </c>
      <c r="F600" t="n">
        <v>0.08</v>
      </c>
      <c r="G600" t="b">
        <v>1</v>
      </c>
      <c r="H600">
        <f>Sensitivity!H25</f>
        <v/>
      </c>
    </row>
    <row r="601">
      <c r="A601" t="inlineStr">
        <is>
          <t>ring</t>
        </is>
      </c>
      <c r="B601" t="inlineStr">
        <is>
          <t>mystic</t>
        </is>
      </c>
      <c r="C601" t="n">
        <v>3</v>
      </c>
      <c r="D601" t="inlineStr">
        <is>
          <t>All Skill Level</t>
        </is>
      </c>
      <c r="E601" t="n">
        <v>12</v>
      </c>
      <c r="F601" t="n">
        <v>0.92</v>
      </c>
      <c r="G601" t="b">
        <v>0</v>
      </c>
      <c r="H601">
        <f>Sensitivity!H25</f>
        <v/>
      </c>
    </row>
    <row r="602">
      <c r="A602" t="inlineStr">
        <is>
          <t>neck</t>
        </is>
      </c>
      <c r="B602" t="inlineStr">
        <is>
          <t>epic</t>
        </is>
      </c>
      <c r="C602" t="n">
        <v>1</v>
      </c>
      <c r="D602" t="inlineStr">
        <is>
          <t>All Skill Level</t>
        </is>
      </c>
      <c r="E602" t="n">
        <v>5</v>
      </c>
      <c r="F602" t="n">
        <v>1</v>
      </c>
      <c r="G602" t="b">
        <v>1</v>
      </c>
      <c r="H602">
        <f>Sensitivity!H25</f>
        <v/>
      </c>
    </row>
    <row r="603">
      <c r="A603" t="inlineStr">
        <is>
          <t>neck</t>
        </is>
      </c>
      <c r="B603" t="inlineStr">
        <is>
          <t>epic</t>
        </is>
      </c>
      <c r="C603" t="n">
        <v>2</v>
      </c>
      <c r="D603" t="inlineStr">
        <is>
          <t>All Skill Level</t>
        </is>
      </c>
      <c r="E603" t="n">
        <v>5</v>
      </c>
      <c r="F603" t="n">
        <v>0.24</v>
      </c>
      <c r="G603" t="b">
        <v>1</v>
      </c>
      <c r="H603">
        <f>Sensitivity!H25</f>
        <v/>
      </c>
    </row>
    <row r="604">
      <c r="A604" t="inlineStr">
        <is>
          <t>neck</t>
        </is>
      </c>
      <c r="B604" t="inlineStr">
        <is>
          <t>epic</t>
        </is>
      </c>
      <c r="C604" t="n">
        <v>3</v>
      </c>
      <c r="D604" t="inlineStr">
        <is>
          <t>All Skill Level</t>
        </is>
      </c>
      <c r="E604" t="n">
        <v>5</v>
      </c>
      <c r="F604" t="n">
        <v>0.08</v>
      </c>
      <c r="G604" t="b">
        <v>1</v>
      </c>
      <c r="H604">
        <f>Sensitivity!H25</f>
        <v/>
      </c>
    </row>
    <row r="605">
      <c r="A605" t="inlineStr">
        <is>
          <t>neck</t>
        </is>
      </c>
      <c r="B605" t="inlineStr">
        <is>
          <t>unique</t>
        </is>
      </c>
      <c r="C605" t="n">
        <v>1</v>
      </c>
      <c r="D605" t="inlineStr">
        <is>
          <t>All Skill Level</t>
        </is>
      </c>
      <c r="E605" t="n">
        <v>8</v>
      </c>
      <c r="F605" t="n">
        <v>1</v>
      </c>
      <c r="G605" t="b">
        <v>1</v>
      </c>
      <c r="H605">
        <f>Sensitivity!H25</f>
        <v/>
      </c>
    </row>
    <row r="606">
      <c r="A606" t="inlineStr">
        <is>
          <t>neck</t>
        </is>
      </c>
      <c r="B606" t="inlineStr">
        <is>
          <t>unique</t>
        </is>
      </c>
      <c r="C606" t="n">
        <v>2</v>
      </c>
      <c r="D606" t="inlineStr">
        <is>
          <t>All Skill Level</t>
        </is>
      </c>
      <c r="E606" t="n">
        <v>8</v>
      </c>
      <c r="F606" t="n">
        <v>0.24</v>
      </c>
      <c r="G606" t="b">
        <v>1</v>
      </c>
      <c r="H606">
        <f>Sensitivity!H25</f>
        <v/>
      </c>
    </row>
    <row r="607">
      <c r="A607" t="inlineStr">
        <is>
          <t>neck</t>
        </is>
      </c>
      <c r="B607" t="inlineStr">
        <is>
          <t>unique</t>
        </is>
      </c>
      <c r="C607" t="n">
        <v>2</v>
      </c>
      <c r="D607" t="inlineStr">
        <is>
          <t>All Skill Level</t>
        </is>
      </c>
      <c r="E607" t="n">
        <v>5</v>
      </c>
      <c r="F607" t="n">
        <v>0.76</v>
      </c>
      <c r="G607" t="b">
        <v>0</v>
      </c>
      <c r="H607">
        <f>Sensitivity!H25</f>
        <v/>
      </c>
    </row>
    <row r="608">
      <c r="A608" t="inlineStr">
        <is>
          <t>neck</t>
        </is>
      </c>
      <c r="B608" t="inlineStr">
        <is>
          <t>unique</t>
        </is>
      </c>
      <c r="C608" t="n">
        <v>3</v>
      </c>
      <c r="D608" t="inlineStr">
        <is>
          <t>All Skill Level</t>
        </is>
      </c>
      <c r="E608" t="n">
        <v>8</v>
      </c>
      <c r="F608" t="n">
        <v>0.08</v>
      </c>
      <c r="G608" t="b">
        <v>1</v>
      </c>
      <c r="H608">
        <f>Sensitivity!H25</f>
        <v/>
      </c>
    </row>
    <row r="609">
      <c r="A609" t="inlineStr">
        <is>
          <t>neck</t>
        </is>
      </c>
      <c r="B609" t="inlineStr">
        <is>
          <t>unique</t>
        </is>
      </c>
      <c r="C609" t="n">
        <v>3</v>
      </c>
      <c r="D609" t="inlineStr">
        <is>
          <t>All Skill Level</t>
        </is>
      </c>
      <c r="E609" t="n">
        <v>5</v>
      </c>
      <c r="F609" t="n">
        <v>0.92</v>
      </c>
      <c r="G609" t="b">
        <v>0</v>
      </c>
      <c r="H609">
        <f>Sensitivity!H25</f>
        <v/>
      </c>
    </row>
    <row r="610">
      <c r="A610" t="inlineStr">
        <is>
          <t>neck</t>
        </is>
      </c>
      <c r="B610" t="inlineStr">
        <is>
          <t>legendary</t>
        </is>
      </c>
      <c r="C610" t="n">
        <v>1</v>
      </c>
      <c r="D610" t="inlineStr">
        <is>
          <t>All Skill Level</t>
        </is>
      </c>
      <c r="E610" t="n">
        <v>12</v>
      </c>
      <c r="F610" t="n">
        <v>1</v>
      </c>
      <c r="G610" t="b">
        <v>1</v>
      </c>
      <c r="H610">
        <f>Sensitivity!H25</f>
        <v/>
      </c>
    </row>
    <row r="611">
      <c r="A611" t="inlineStr">
        <is>
          <t>neck</t>
        </is>
      </c>
      <c r="B611" t="inlineStr">
        <is>
          <t>legendary</t>
        </is>
      </c>
      <c r="C611" t="n">
        <v>2</v>
      </c>
      <c r="D611" t="inlineStr">
        <is>
          <t>All Skill Level</t>
        </is>
      </c>
      <c r="E611" t="n">
        <v>12</v>
      </c>
      <c r="F611" t="n">
        <v>0.24</v>
      </c>
      <c r="G611" t="b">
        <v>1</v>
      </c>
      <c r="H611">
        <f>Sensitivity!H25</f>
        <v/>
      </c>
    </row>
    <row r="612">
      <c r="A612" t="inlineStr">
        <is>
          <t>neck</t>
        </is>
      </c>
      <c r="B612" t="inlineStr">
        <is>
          <t>legendary</t>
        </is>
      </c>
      <c r="C612" t="n">
        <v>2</v>
      </c>
      <c r="D612" t="inlineStr">
        <is>
          <t>All Skill Level</t>
        </is>
      </c>
      <c r="E612" t="n">
        <v>8</v>
      </c>
      <c r="F612" t="n">
        <v>0.76</v>
      </c>
      <c r="G612" t="b">
        <v>0</v>
      </c>
      <c r="H612">
        <f>Sensitivity!H25</f>
        <v/>
      </c>
    </row>
    <row r="613">
      <c r="A613" t="inlineStr">
        <is>
          <t>neck</t>
        </is>
      </c>
      <c r="B613" t="inlineStr">
        <is>
          <t>legendary</t>
        </is>
      </c>
      <c r="C613" t="n">
        <v>3</v>
      </c>
      <c r="D613" t="inlineStr">
        <is>
          <t>All Skill Level</t>
        </is>
      </c>
      <c r="E613" t="n">
        <v>12</v>
      </c>
      <c r="F613" t="n">
        <v>0.08</v>
      </c>
      <c r="G613" t="b">
        <v>1</v>
      </c>
      <c r="H613">
        <f>Sensitivity!H25</f>
        <v/>
      </c>
    </row>
    <row r="614">
      <c r="A614" t="inlineStr">
        <is>
          <t>neck</t>
        </is>
      </c>
      <c r="B614" t="inlineStr">
        <is>
          <t>legendary</t>
        </is>
      </c>
      <c r="C614" t="n">
        <v>3</v>
      </c>
      <c r="D614" t="inlineStr">
        <is>
          <t>All Skill Level</t>
        </is>
      </c>
      <c r="E614" t="n">
        <v>8</v>
      </c>
      <c r="F614" t="n">
        <v>0.92</v>
      </c>
      <c r="G614" t="b">
        <v>0</v>
      </c>
      <c r="H614">
        <f>Sensitivity!H25</f>
        <v/>
      </c>
    </row>
    <row r="615">
      <c r="A615" t="inlineStr">
        <is>
          <t>neck</t>
        </is>
      </c>
      <c r="B615" t="inlineStr">
        <is>
          <t>mystic</t>
        </is>
      </c>
      <c r="C615" t="n">
        <v>1</v>
      </c>
      <c r="D615" t="inlineStr">
        <is>
          <t>All Skill Level</t>
        </is>
      </c>
      <c r="E615" t="n">
        <v>16</v>
      </c>
      <c r="F615" t="n">
        <v>1</v>
      </c>
      <c r="G615" t="b">
        <v>1</v>
      </c>
      <c r="H615">
        <f>Sensitivity!H25</f>
        <v/>
      </c>
    </row>
    <row r="616">
      <c r="A616" t="inlineStr">
        <is>
          <t>neck</t>
        </is>
      </c>
      <c r="B616" t="inlineStr">
        <is>
          <t>mystic</t>
        </is>
      </c>
      <c r="C616" t="n">
        <v>2</v>
      </c>
      <c r="D616" t="inlineStr">
        <is>
          <t>All Skill Level</t>
        </is>
      </c>
      <c r="E616" t="n">
        <v>16</v>
      </c>
      <c r="F616" t="n">
        <v>0.24</v>
      </c>
      <c r="G616" t="b">
        <v>1</v>
      </c>
      <c r="H616">
        <f>Sensitivity!H25</f>
        <v/>
      </c>
    </row>
    <row r="617">
      <c r="A617" t="inlineStr">
        <is>
          <t>neck</t>
        </is>
      </c>
      <c r="B617" t="inlineStr">
        <is>
          <t>mystic</t>
        </is>
      </c>
      <c r="C617" t="n">
        <v>2</v>
      </c>
      <c r="D617" t="inlineStr">
        <is>
          <t>All Skill Level</t>
        </is>
      </c>
      <c r="E617" t="n">
        <v>12</v>
      </c>
      <c r="F617" t="n">
        <v>0.76</v>
      </c>
      <c r="G617" t="b">
        <v>0</v>
      </c>
      <c r="H617">
        <f>Sensitivity!H25</f>
        <v/>
      </c>
    </row>
    <row r="618">
      <c r="A618" t="inlineStr">
        <is>
          <t>neck</t>
        </is>
      </c>
      <c r="B618" t="inlineStr">
        <is>
          <t>mystic</t>
        </is>
      </c>
      <c r="C618" t="n">
        <v>3</v>
      </c>
      <c r="D618" t="inlineStr">
        <is>
          <t>All Skill Level</t>
        </is>
      </c>
      <c r="E618" t="n">
        <v>16</v>
      </c>
      <c r="F618" t="n">
        <v>0.08</v>
      </c>
      <c r="G618" t="b">
        <v>1</v>
      </c>
      <c r="H618">
        <f>Sensitivity!H25</f>
        <v/>
      </c>
    </row>
    <row r="619">
      <c r="A619" t="inlineStr">
        <is>
          <t>neck</t>
        </is>
      </c>
      <c r="B619" t="inlineStr">
        <is>
          <t>mystic</t>
        </is>
      </c>
      <c r="C619" t="n">
        <v>3</v>
      </c>
      <c r="D619" t="inlineStr">
        <is>
          <t>All Skill Level</t>
        </is>
      </c>
      <c r="E619" t="n">
        <v>12</v>
      </c>
      <c r="F619" t="n">
        <v>0.92</v>
      </c>
      <c r="G619" t="b">
        <v>0</v>
      </c>
      <c r="H619">
        <f>Sensitivity!H25</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Sensitivity!H19</f>
        <v/>
      </c>
    </row>
    <row r="639">
      <c r="A639" t="inlineStr">
        <is>
          <t>ring2</t>
        </is>
      </c>
      <c r="B639" t="inlineStr">
        <is>
          <t>epic</t>
        </is>
      </c>
      <c r="C639" t="n">
        <v>2</v>
      </c>
      <c r="D639" t="inlineStr">
        <is>
          <t>Basic Attack Damage %</t>
        </is>
      </c>
      <c r="E639" t="n">
        <v>8</v>
      </c>
      <c r="F639" t="n">
        <v>0.24</v>
      </c>
      <c r="G639" t="b">
        <v>1</v>
      </c>
      <c r="H639">
        <f>Sensitivity!H19</f>
        <v/>
      </c>
    </row>
    <row r="640">
      <c r="A640" t="inlineStr">
        <is>
          <t>ring2</t>
        </is>
      </c>
      <c r="B640" t="inlineStr">
        <is>
          <t>epic</t>
        </is>
      </c>
      <c r="C640" t="n">
        <v>3</v>
      </c>
      <c r="D640" t="inlineStr">
        <is>
          <t>Basic Attack Damage %</t>
        </is>
      </c>
      <c r="E640" t="n">
        <v>8</v>
      </c>
      <c r="F640" t="n">
        <v>0.08</v>
      </c>
      <c r="G640" t="b">
        <v>1</v>
      </c>
      <c r="H640">
        <f>Sensitivity!H19</f>
        <v/>
      </c>
    </row>
    <row r="641">
      <c r="A641" t="inlineStr">
        <is>
          <t>ring2</t>
        </is>
      </c>
      <c r="B641" t="inlineStr">
        <is>
          <t>unique</t>
        </is>
      </c>
      <c r="C641" t="n">
        <v>1</v>
      </c>
      <c r="D641" t="inlineStr">
        <is>
          <t>Basic Attack Damage %</t>
        </is>
      </c>
      <c r="E641" t="n">
        <v>14</v>
      </c>
      <c r="F641" t="n">
        <v>1</v>
      </c>
      <c r="G641" t="b">
        <v>1</v>
      </c>
      <c r="H641">
        <f>Sensitivity!H19</f>
        <v/>
      </c>
    </row>
    <row r="642">
      <c r="A642" t="inlineStr">
        <is>
          <t>ring2</t>
        </is>
      </c>
      <c r="B642" t="inlineStr">
        <is>
          <t>unique</t>
        </is>
      </c>
      <c r="C642" t="n">
        <v>2</v>
      </c>
      <c r="D642" t="inlineStr">
        <is>
          <t>Basic Attack Damage %</t>
        </is>
      </c>
      <c r="E642" t="n">
        <v>14</v>
      </c>
      <c r="F642" t="n">
        <v>0.24</v>
      </c>
      <c r="G642" t="b">
        <v>1</v>
      </c>
      <c r="H642">
        <f>Sensitivity!H19</f>
        <v/>
      </c>
    </row>
    <row r="643">
      <c r="A643" t="inlineStr">
        <is>
          <t>ring2</t>
        </is>
      </c>
      <c r="B643" t="inlineStr">
        <is>
          <t>unique</t>
        </is>
      </c>
      <c r="C643" t="n">
        <v>2</v>
      </c>
      <c r="D643" t="inlineStr">
        <is>
          <t>Basic Attack Damage %</t>
        </is>
      </c>
      <c r="E643" t="n">
        <v>8</v>
      </c>
      <c r="F643" t="n">
        <v>0.76</v>
      </c>
      <c r="G643" t="b">
        <v>0</v>
      </c>
      <c r="H643">
        <f>Sensitivity!H19</f>
        <v/>
      </c>
    </row>
    <row r="644">
      <c r="A644" t="inlineStr">
        <is>
          <t>ring2</t>
        </is>
      </c>
      <c r="B644" t="inlineStr">
        <is>
          <t>unique</t>
        </is>
      </c>
      <c r="C644" t="n">
        <v>3</v>
      </c>
      <c r="D644" t="inlineStr">
        <is>
          <t>Basic Attack Damage %</t>
        </is>
      </c>
      <c r="E644" t="n">
        <v>14</v>
      </c>
      <c r="F644" t="n">
        <v>0.08</v>
      </c>
      <c r="G644" t="b">
        <v>1</v>
      </c>
      <c r="H644">
        <f>Sensitivity!H19</f>
        <v/>
      </c>
    </row>
    <row r="645">
      <c r="A645" t="inlineStr">
        <is>
          <t>ring2</t>
        </is>
      </c>
      <c r="B645" t="inlineStr">
        <is>
          <t>unique</t>
        </is>
      </c>
      <c r="C645" t="n">
        <v>3</v>
      </c>
      <c r="D645" t="inlineStr">
        <is>
          <t>Basic Attack Damage %</t>
        </is>
      </c>
      <c r="E645" t="n">
        <v>8</v>
      </c>
      <c r="F645" t="n">
        <v>0.92</v>
      </c>
      <c r="G645" t="b">
        <v>0</v>
      </c>
      <c r="H645">
        <f>Sensitivity!H19</f>
        <v/>
      </c>
    </row>
    <row r="646">
      <c r="A646" t="inlineStr">
        <is>
          <t>ring2</t>
        </is>
      </c>
      <c r="B646" t="inlineStr">
        <is>
          <t>legendary</t>
        </is>
      </c>
      <c r="C646" t="n">
        <v>1</v>
      </c>
      <c r="D646" t="inlineStr">
        <is>
          <t>Basic Attack Damage %</t>
        </is>
      </c>
      <c r="E646" t="n">
        <v>21</v>
      </c>
      <c r="F646" t="n">
        <v>1</v>
      </c>
      <c r="G646" t="b">
        <v>1</v>
      </c>
      <c r="H646">
        <f>Sensitivity!H19</f>
        <v/>
      </c>
    </row>
    <row r="647">
      <c r="A647" t="inlineStr">
        <is>
          <t>ring2</t>
        </is>
      </c>
      <c r="B647" t="inlineStr">
        <is>
          <t>legendary</t>
        </is>
      </c>
      <c r="C647" t="n">
        <v>2</v>
      </c>
      <c r="D647" t="inlineStr">
        <is>
          <t>Basic Attack Damage %</t>
        </is>
      </c>
      <c r="E647" t="n">
        <v>21</v>
      </c>
      <c r="F647" t="n">
        <v>0.24</v>
      </c>
      <c r="G647" t="b">
        <v>1</v>
      </c>
      <c r="H647">
        <f>Sensitivity!H19</f>
        <v/>
      </c>
    </row>
    <row r="648">
      <c r="A648" t="inlineStr">
        <is>
          <t>ring2</t>
        </is>
      </c>
      <c r="B648" t="inlineStr">
        <is>
          <t>legendary</t>
        </is>
      </c>
      <c r="C648" t="n">
        <v>2</v>
      </c>
      <c r="D648" t="inlineStr">
        <is>
          <t>Basic Attack Damage %</t>
        </is>
      </c>
      <c r="E648" t="n">
        <v>14</v>
      </c>
      <c r="F648" t="n">
        <v>0.76</v>
      </c>
      <c r="G648" t="b">
        <v>0</v>
      </c>
      <c r="H648">
        <f>Sensitivity!H19</f>
        <v/>
      </c>
    </row>
    <row r="649">
      <c r="A649" t="inlineStr">
        <is>
          <t>ring2</t>
        </is>
      </c>
      <c r="B649" t="inlineStr">
        <is>
          <t>legendary</t>
        </is>
      </c>
      <c r="C649" t="n">
        <v>3</v>
      </c>
      <c r="D649" t="inlineStr">
        <is>
          <t>Basic Attack Damage %</t>
        </is>
      </c>
      <c r="E649" t="n">
        <v>21</v>
      </c>
      <c r="F649" t="n">
        <v>0.08</v>
      </c>
      <c r="G649" t="b">
        <v>1</v>
      </c>
      <c r="H649">
        <f>Sensitivity!H19</f>
        <v/>
      </c>
    </row>
    <row r="650">
      <c r="A650" t="inlineStr">
        <is>
          <t>ring2</t>
        </is>
      </c>
      <c r="B650" t="inlineStr">
        <is>
          <t>legendary</t>
        </is>
      </c>
      <c r="C650" t="n">
        <v>3</v>
      </c>
      <c r="D650" t="inlineStr">
        <is>
          <t>Basic Attack Damage %</t>
        </is>
      </c>
      <c r="E650" t="n">
        <v>14</v>
      </c>
      <c r="F650" t="n">
        <v>0.92</v>
      </c>
      <c r="G650" t="b">
        <v>0</v>
      </c>
      <c r="H650">
        <f>Sensitivity!H19</f>
        <v/>
      </c>
    </row>
    <row r="651">
      <c r="A651" t="inlineStr">
        <is>
          <t>ring2</t>
        </is>
      </c>
      <c r="B651" t="inlineStr">
        <is>
          <t>mystic</t>
        </is>
      </c>
      <c r="C651" t="n">
        <v>1</v>
      </c>
      <c r="D651" t="inlineStr">
        <is>
          <t>Basic Attack Damage %</t>
        </is>
      </c>
      <c r="E651" t="n">
        <v>30</v>
      </c>
      <c r="F651" t="n">
        <v>1</v>
      </c>
      <c r="G651" t="b">
        <v>1</v>
      </c>
      <c r="H651">
        <f>Sensitivity!H19</f>
        <v/>
      </c>
    </row>
    <row r="652">
      <c r="A652" t="inlineStr">
        <is>
          <t>ring2</t>
        </is>
      </c>
      <c r="B652" t="inlineStr">
        <is>
          <t>mystic</t>
        </is>
      </c>
      <c r="C652" t="n">
        <v>2</v>
      </c>
      <c r="D652" t="inlineStr">
        <is>
          <t>Basic Attack Damage %</t>
        </is>
      </c>
      <c r="E652" t="n">
        <v>30</v>
      </c>
      <c r="F652" t="n">
        <v>0.24</v>
      </c>
      <c r="G652" t="b">
        <v>1</v>
      </c>
      <c r="H652">
        <f>Sensitivity!H19</f>
        <v/>
      </c>
    </row>
    <row r="653">
      <c r="A653" t="inlineStr">
        <is>
          <t>ring2</t>
        </is>
      </c>
      <c r="B653" t="inlineStr">
        <is>
          <t>mystic</t>
        </is>
      </c>
      <c r="C653" t="n">
        <v>2</v>
      </c>
      <c r="D653" t="inlineStr">
        <is>
          <t>Basic Attack Damage %</t>
        </is>
      </c>
      <c r="E653" t="n">
        <v>21</v>
      </c>
      <c r="F653" t="n">
        <v>0.76</v>
      </c>
      <c r="G653" t="b">
        <v>0</v>
      </c>
      <c r="H653">
        <f>Sensitivity!H19</f>
        <v/>
      </c>
    </row>
    <row r="654">
      <c r="A654" t="inlineStr">
        <is>
          <t>ring2</t>
        </is>
      </c>
      <c r="B654" t="inlineStr">
        <is>
          <t>mystic</t>
        </is>
      </c>
      <c r="C654" t="n">
        <v>3</v>
      </c>
      <c r="D654" t="inlineStr">
        <is>
          <t>Basic Attack Damage %</t>
        </is>
      </c>
      <c r="E654" t="n">
        <v>30</v>
      </c>
      <c r="F654" t="n">
        <v>0.08</v>
      </c>
      <c r="G654" t="b">
        <v>1</v>
      </c>
      <c r="H654">
        <f>Sensitivity!H19</f>
        <v/>
      </c>
    </row>
    <row r="655">
      <c r="A655" t="inlineStr">
        <is>
          <t>ring2</t>
        </is>
      </c>
      <c r="B655" t="inlineStr">
        <is>
          <t>mystic</t>
        </is>
      </c>
      <c r="C655" t="n">
        <v>3</v>
      </c>
      <c r="D655" t="inlineStr">
        <is>
          <t>Basic Attack Damage %</t>
        </is>
      </c>
      <c r="E655" t="n">
        <v>21</v>
      </c>
      <c r="F655" t="n">
        <v>0.92</v>
      </c>
      <c r="G655" t="b">
        <v>0</v>
      </c>
      <c r="H655">
        <f>Sensitivity!H19</f>
        <v/>
      </c>
    </row>
    <row r="656">
      <c r="A656" t="inlineStr">
        <is>
          <t>face</t>
        </is>
      </c>
      <c r="B656" t="inlineStr">
        <is>
          <t>epic</t>
        </is>
      </c>
      <c r="C656" t="n">
        <v>1</v>
      </c>
      <c r="D656" t="inlineStr">
        <is>
          <t>Final Damage %</t>
        </is>
      </c>
      <c r="E656" t="n">
        <v>3</v>
      </c>
      <c r="F656" t="n">
        <v>1</v>
      </c>
      <c r="G656" t="b">
        <v>1</v>
      </c>
      <c r="H656">
        <f>Sensitivity!H12</f>
        <v/>
      </c>
    </row>
    <row r="657">
      <c r="A657" t="inlineStr">
        <is>
          <t>face</t>
        </is>
      </c>
      <c r="B657" t="inlineStr">
        <is>
          <t>epic</t>
        </is>
      </c>
      <c r="C657" t="n">
        <v>2</v>
      </c>
      <c r="D657" t="inlineStr">
        <is>
          <t>Final Damage %</t>
        </is>
      </c>
      <c r="E657" t="n">
        <v>3</v>
      </c>
      <c r="F657" t="n">
        <v>0.24</v>
      </c>
      <c r="G657" t="b">
        <v>1</v>
      </c>
      <c r="H657">
        <f>Sensitivity!H12</f>
        <v/>
      </c>
    </row>
    <row r="658">
      <c r="A658" t="inlineStr">
        <is>
          <t>face</t>
        </is>
      </c>
      <c r="B658" t="inlineStr">
        <is>
          <t>epic</t>
        </is>
      </c>
      <c r="C658" t="n">
        <v>3</v>
      </c>
      <c r="D658" t="inlineStr">
        <is>
          <t>Final Damage %</t>
        </is>
      </c>
      <c r="E658" t="n">
        <v>3</v>
      </c>
      <c r="F658" t="n">
        <v>0.08</v>
      </c>
      <c r="G658" t="b">
        <v>1</v>
      </c>
      <c r="H658">
        <f>Sensitivity!H12</f>
        <v/>
      </c>
    </row>
    <row r="659">
      <c r="A659" t="inlineStr">
        <is>
          <t>face</t>
        </is>
      </c>
      <c r="B659" t="inlineStr">
        <is>
          <t>unique</t>
        </is>
      </c>
      <c r="C659" t="n">
        <v>1</v>
      </c>
      <c r="D659" t="inlineStr">
        <is>
          <t>Final Damage %</t>
        </is>
      </c>
      <c r="E659" t="n">
        <v>5</v>
      </c>
      <c r="F659" t="n">
        <v>1</v>
      </c>
      <c r="G659" t="b">
        <v>1</v>
      </c>
      <c r="H659">
        <f>Sensitivity!H12</f>
        <v/>
      </c>
    </row>
    <row r="660">
      <c r="A660" t="inlineStr">
        <is>
          <t>face</t>
        </is>
      </c>
      <c r="B660" t="inlineStr">
        <is>
          <t>unique</t>
        </is>
      </c>
      <c r="C660" t="n">
        <v>2</v>
      </c>
      <c r="D660" t="inlineStr">
        <is>
          <t>Final Damage %</t>
        </is>
      </c>
      <c r="E660" t="n">
        <v>5</v>
      </c>
      <c r="F660" t="n">
        <v>0.24</v>
      </c>
      <c r="G660" t="b">
        <v>1</v>
      </c>
      <c r="H660">
        <f>Sensitivity!H12</f>
        <v/>
      </c>
    </row>
    <row r="661">
      <c r="A661" t="inlineStr">
        <is>
          <t>face</t>
        </is>
      </c>
      <c r="B661" t="inlineStr">
        <is>
          <t>unique</t>
        </is>
      </c>
      <c r="C661" t="n">
        <v>2</v>
      </c>
      <c r="D661" t="inlineStr">
        <is>
          <t>Final Damage %</t>
        </is>
      </c>
      <c r="E661" t="n">
        <v>3</v>
      </c>
      <c r="F661" t="n">
        <v>0.76</v>
      </c>
      <c r="G661" t="b">
        <v>0</v>
      </c>
      <c r="H661">
        <f>Sensitivity!H12</f>
        <v/>
      </c>
    </row>
    <row r="662">
      <c r="A662" t="inlineStr">
        <is>
          <t>face</t>
        </is>
      </c>
      <c r="B662" t="inlineStr">
        <is>
          <t>unique</t>
        </is>
      </c>
      <c r="C662" t="n">
        <v>3</v>
      </c>
      <c r="D662" t="inlineStr">
        <is>
          <t>Final Damage %</t>
        </is>
      </c>
      <c r="E662" t="n">
        <v>5</v>
      </c>
      <c r="F662" t="n">
        <v>0.08</v>
      </c>
      <c r="G662" t="b">
        <v>1</v>
      </c>
      <c r="H662">
        <f>Sensitivity!H12</f>
        <v/>
      </c>
    </row>
    <row r="663">
      <c r="A663" t="inlineStr">
        <is>
          <t>face</t>
        </is>
      </c>
      <c r="B663" t="inlineStr">
        <is>
          <t>unique</t>
        </is>
      </c>
      <c r="C663" t="n">
        <v>3</v>
      </c>
      <c r="D663" t="inlineStr">
        <is>
          <t>Final Damage %</t>
        </is>
      </c>
      <c r="E663" t="n">
        <v>3</v>
      </c>
      <c r="F663" t="n">
        <v>0.92</v>
      </c>
      <c r="G663" t="b">
        <v>0</v>
      </c>
      <c r="H663">
        <f>Sensitivity!H12</f>
        <v/>
      </c>
    </row>
    <row r="664">
      <c r="A664" t="inlineStr">
        <is>
          <t>face</t>
        </is>
      </c>
      <c r="B664" t="inlineStr">
        <is>
          <t>legendary</t>
        </is>
      </c>
      <c r="C664" t="n">
        <v>1</v>
      </c>
      <c r="D664" t="inlineStr">
        <is>
          <t>Final Damage %</t>
        </is>
      </c>
      <c r="E664" t="n">
        <v>8</v>
      </c>
      <c r="F664" t="n">
        <v>1</v>
      </c>
      <c r="G664" t="b">
        <v>1</v>
      </c>
      <c r="H664">
        <f>Sensitivity!H12</f>
        <v/>
      </c>
    </row>
    <row r="665">
      <c r="A665" t="inlineStr">
        <is>
          <t>face</t>
        </is>
      </c>
      <c r="B665" t="inlineStr">
        <is>
          <t>legendary</t>
        </is>
      </c>
      <c r="C665" t="n">
        <v>2</v>
      </c>
      <c r="D665" t="inlineStr">
        <is>
          <t>Final Damage %</t>
        </is>
      </c>
      <c r="E665" t="n">
        <v>8</v>
      </c>
      <c r="F665" t="n">
        <v>0.24</v>
      </c>
      <c r="G665" t="b">
        <v>1</v>
      </c>
      <c r="H665">
        <f>Sensitivity!H12</f>
        <v/>
      </c>
    </row>
    <row r="666">
      <c r="A666" t="inlineStr">
        <is>
          <t>face</t>
        </is>
      </c>
      <c r="B666" t="inlineStr">
        <is>
          <t>legendary</t>
        </is>
      </c>
      <c r="C666" t="n">
        <v>2</v>
      </c>
      <c r="D666" t="inlineStr">
        <is>
          <t>Final Damage %</t>
        </is>
      </c>
      <c r="E666" t="n">
        <v>5</v>
      </c>
      <c r="F666" t="n">
        <v>0.76</v>
      </c>
      <c r="G666" t="b">
        <v>0</v>
      </c>
      <c r="H666">
        <f>Sensitivity!H12</f>
        <v/>
      </c>
    </row>
    <row r="667">
      <c r="A667" t="inlineStr">
        <is>
          <t>face</t>
        </is>
      </c>
      <c r="B667" t="inlineStr">
        <is>
          <t>legendary</t>
        </is>
      </c>
      <c r="C667" t="n">
        <v>3</v>
      </c>
      <c r="D667" t="inlineStr">
        <is>
          <t>Final Damage %</t>
        </is>
      </c>
      <c r="E667" t="n">
        <v>8</v>
      </c>
      <c r="F667" t="n">
        <v>0.08</v>
      </c>
      <c r="G667" t="b">
        <v>1</v>
      </c>
      <c r="H667">
        <f>Sensitivity!H12</f>
        <v/>
      </c>
    </row>
    <row r="668">
      <c r="A668" t="inlineStr">
        <is>
          <t>face</t>
        </is>
      </c>
      <c r="B668" t="inlineStr">
        <is>
          <t>legendary</t>
        </is>
      </c>
      <c r="C668" t="n">
        <v>3</v>
      </c>
      <c r="D668" t="inlineStr">
        <is>
          <t>Final Damage %</t>
        </is>
      </c>
      <c r="E668" t="n">
        <v>5</v>
      </c>
      <c r="F668" t="n">
        <v>0.92</v>
      </c>
      <c r="G668" t="b">
        <v>0</v>
      </c>
      <c r="H668">
        <f>Sensitivity!H12</f>
        <v/>
      </c>
    </row>
    <row r="669">
      <c r="A669" t="inlineStr">
        <is>
          <t>face</t>
        </is>
      </c>
      <c r="B669" t="inlineStr">
        <is>
          <t>mystic</t>
        </is>
      </c>
      <c r="C669" t="n">
        <v>1</v>
      </c>
      <c r="D669" t="inlineStr">
        <is>
          <t>Final Damage %</t>
        </is>
      </c>
      <c r="E669" t="n">
        <v>12</v>
      </c>
      <c r="F669" t="n">
        <v>1</v>
      </c>
      <c r="G669" t="b">
        <v>1</v>
      </c>
      <c r="H669">
        <f>Sensitivity!H12</f>
        <v/>
      </c>
    </row>
    <row r="670">
      <c r="A670" t="inlineStr">
        <is>
          <t>face</t>
        </is>
      </c>
      <c r="B670" t="inlineStr">
        <is>
          <t>mystic</t>
        </is>
      </c>
      <c r="C670" t="n">
        <v>2</v>
      </c>
      <c r="D670" t="inlineStr">
        <is>
          <t>Final Damage %</t>
        </is>
      </c>
      <c r="E670" t="n">
        <v>12</v>
      </c>
      <c r="F670" t="n">
        <v>0.24</v>
      </c>
      <c r="G670" t="b">
        <v>1</v>
      </c>
      <c r="H670">
        <f>Sensitivity!H12</f>
        <v/>
      </c>
    </row>
    <row r="671">
      <c r="A671" t="inlineStr">
        <is>
          <t>face</t>
        </is>
      </c>
      <c r="B671" t="inlineStr">
        <is>
          <t>mystic</t>
        </is>
      </c>
      <c r="C671" t="n">
        <v>2</v>
      </c>
      <c r="D671" t="inlineStr">
        <is>
          <t>Final Damage %</t>
        </is>
      </c>
      <c r="E671" t="n">
        <v>8</v>
      </c>
      <c r="F671" t="n">
        <v>0.76</v>
      </c>
      <c r="G671" t="b">
        <v>0</v>
      </c>
      <c r="H671">
        <f>Sensitivity!H12</f>
        <v/>
      </c>
    </row>
    <row r="672">
      <c r="A672" t="inlineStr">
        <is>
          <t>face</t>
        </is>
      </c>
      <c r="B672" t="inlineStr">
        <is>
          <t>mystic</t>
        </is>
      </c>
      <c r="C672" t="n">
        <v>3</v>
      </c>
      <c r="D672" t="inlineStr">
        <is>
          <t>Final Damage %</t>
        </is>
      </c>
      <c r="E672" t="n">
        <v>12</v>
      </c>
      <c r="F672" t="n">
        <v>0.08</v>
      </c>
      <c r="G672" t="b">
        <v>1</v>
      </c>
      <c r="H672">
        <f>Sensitivity!H12</f>
        <v/>
      </c>
    </row>
    <row r="673">
      <c r="A673" t="inlineStr">
        <is>
          <t>face</t>
        </is>
      </c>
      <c r="B673" t="inlineStr">
        <is>
          <t>mystic</t>
        </is>
      </c>
      <c r="C673" t="n">
        <v>3</v>
      </c>
      <c r="D673" t="inlineStr">
        <is>
          <t>Final Damage %</t>
        </is>
      </c>
      <c r="E673" t="n">
        <v>8</v>
      </c>
      <c r="F673" t="n">
        <v>0.92</v>
      </c>
      <c r="G673" t="b">
        <v>0</v>
      </c>
      <c r="H673">
        <f>Sensitivity!H12</f>
        <v/>
      </c>
    </row>
    <row r="674">
      <c r="A674" t="inlineStr">
        <is>
          <t>earrings</t>
        </is>
      </c>
      <c r="B674" t="inlineStr">
        <is>
          <t>epic</t>
        </is>
      </c>
      <c r="C674" t="n">
        <v>1</v>
      </c>
      <c r="D674" t="inlineStr">
        <is>
          <t>Skill Damage %</t>
        </is>
      </c>
      <c r="E674" t="n">
        <v>8</v>
      </c>
      <c r="F674" t="n">
        <v>1</v>
      </c>
      <c r="G674" t="b">
        <v>1</v>
      </c>
      <c r="H674">
        <f>Sensitivity!H20</f>
        <v/>
      </c>
    </row>
    <row r="675">
      <c r="A675" t="inlineStr">
        <is>
          <t>earrings</t>
        </is>
      </c>
      <c r="B675" t="inlineStr">
        <is>
          <t>epic</t>
        </is>
      </c>
      <c r="C675" t="n">
        <v>2</v>
      </c>
      <c r="D675" t="inlineStr">
        <is>
          <t>Skill Damage %</t>
        </is>
      </c>
      <c r="E675" t="n">
        <v>8</v>
      </c>
      <c r="F675" t="n">
        <v>0.24</v>
      </c>
      <c r="G675" t="b">
        <v>1</v>
      </c>
      <c r="H675">
        <f>Sensitivity!H20</f>
        <v/>
      </c>
    </row>
    <row r="676">
      <c r="A676" t="inlineStr">
        <is>
          <t>earrings</t>
        </is>
      </c>
      <c r="B676" t="inlineStr">
        <is>
          <t>epic</t>
        </is>
      </c>
      <c r="C676" t="n">
        <v>3</v>
      </c>
      <c r="D676" t="inlineStr">
        <is>
          <t>Skill Damage %</t>
        </is>
      </c>
      <c r="E676" t="n">
        <v>8</v>
      </c>
      <c r="F676" t="n">
        <v>0.08</v>
      </c>
      <c r="G676" t="b">
        <v>1</v>
      </c>
      <c r="H676">
        <f>Sensitivity!H20</f>
        <v/>
      </c>
    </row>
    <row r="677">
      <c r="A677" t="inlineStr">
        <is>
          <t>earrings</t>
        </is>
      </c>
      <c r="B677" t="inlineStr">
        <is>
          <t>unique</t>
        </is>
      </c>
      <c r="C677" t="n">
        <v>1</v>
      </c>
      <c r="D677" t="inlineStr">
        <is>
          <t>Skill Damage %</t>
        </is>
      </c>
      <c r="E677" t="n">
        <v>14</v>
      </c>
      <c r="F677" t="n">
        <v>1</v>
      </c>
      <c r="G677" t="b">
        <v>1</v>
      </c>
      <c r="H677">
        <f>Sensitivity!H20</f>
        <v/>
      </c>
    </row>
    <row r="678">
      <c r="A678" t="inlineStr">
        <is>
          <t>earrings</t>
        </is>
      </c>
      <c r="B678" t="inlineStr">
        <is>
          <t>unique</t>
        </is>
      </c>
      <c r="C678" t="n">
        <v>2</v>
      </c>
      <c r="D678" t="inlineStr">
        <is>
          <t>Skill Damage %</t>
        </is>
      </c>
      <c r="E678" t="n">
        <v>14</v>
      </c>
      <c r="F678" t="n">
        <v>0.24</v>
      </c>
      <c r="G678" t="b">
        <v>1</v>
      </c>
      <c r="H678">
        <f>Sensitivity!H20</f>
        <v/>
      </c>
    </row>
    <row r="679">
      <c r="A679" t="inlineStr">
        <is>
          <t>earrings</t>
        </is>
      </c>
      <c r="B679" t="inlineStr">
        <is>
          <t>unique</t>
        </is>
      </c>
      <c r="C679" t="n">
        <v>2</v>
      </c>
      <c r="D679" t="inlineStr">
        <is>
          <t>Skill Damage %</t>
        </is>
      </c>
      <c r="E679" t="n">
        <v>8</v>
      </c>
      <c r="F679" t="n">
        <v>0.76</v>
      </c>
      <c r="G679" t="b">
        <v>0</v>
      </c>
      <c r="H679">
        <f>Sensitivity!H20</f>
        <v/>
      </c>
    </row>
    <row r="680">
      <c r="A680" t="inlineStr">
        <is>
          <t>earrings</t>
        </is>
      </c>
      <c r="B680" t="inlineStr">
        <is>
          <t>unique</t>
        </is>
      </c>
      <c r="C680" t="n">
        <v>3</v>
      </c>
      <c r="D680" t="inlineStr">
        <is>
          <t>Skill Damage %</t>
        </is>
      </c>
      <c r="E680" t="n">
        <v>14</v>
      </c>
      <c r="F680" t="n">
        <v>0.08</v>
      </c>
      <c r="G680" t="b">
        <v>1</v>
      </c>
      <c r="H680">
        <f>Sensitivity!H20</f>
        <v/>
      </c>
    </row>
    <row r="681">
      <c r="A681" t="inlineStr">
        <is>
          <t>earrings</t>
        </is>
      </c>
      <c r="B681" t="inlineStr">
        <is>
          <t>unique</t>
        </is>
      </c>
      <c r="C681" t="n">
        <v>3</v>
      </c>
      <c r="D681" t="inlineStr">
        <is>
          <t>Skill Damage %</t>
        </is>
      </c>
      <c r="E681" t="n">
        <v>8</v>
      </c>
      <c r="F681" t="n">
        <v>0.92</v>
      </c>
      <c r="G681" t="b">
        <v>0</v>
      </c>
      <c r="H681">
        <f>Sensitivity!H20</f>
        <v/>
      </c>
    </row>
    <row r="682">
      <c r="A682" t="inlineStr">
        <is>
          <t>earrings</t>
        </is>
      </c>
      <c r="B682" t="inlineStr">
        <is>
          <t>legendary</t>
        </is>
      </c>
      <c r="C682" t="n">
        <v>1</v>
      </c>
      <c r="D682" t="inlineStr">
        <is>
          <t>Skill Damage %</t>
        </is>
      </c>
      <c r="E682" t="n">
        <v>21</v>
      </c>
      <c r="F682" t="n">
        <v>1</v>
      </c>
      <c r="G682" t="b">
        <v>1</v>
      </c>
      <c r="H682">
        <f>Sensitivity!H20</f>
        <v/>
      </c>
    </row>
    <row r="683">
      <c r="A683" t="inlineStr">
        <is>
          <t>earrings</t>
        </is>
      </c>
      <c r="B683" t="inlineStr">
        <is>
          <t>legendary</t>
        </is>
      </c>
      <c r="C683" t="n">
        <v>2</v>
      </c>
      <c r="D683" t="inlineStr">
        <is>
          <t>Skill Damage %</t>
        </is>
      </c>
      <c r="E683" t="n">
        <v>21</v>
      </c>
      <c r="F683" t="n">
        <v>0.24</v>
      </c>
      <c r="G683" t="b">
        <v>1</v>
      </c>
      <c r="H683">
        <f>Sensitivity!H20</f>
        <v/>
      </c>
    </row>
    <row r="684">
      <c r="A684" t="inlineStr">
        <is>
          <t>earrings</t>
        </is>
      </c>
      <c r="B684" t="inlineStr">
        <is>
          <t>legendary</t>
        </is>
      </c>
      <c r="C684" t="n">
        <v>2</v>
      </c>
      <c r="D684" t="inlineStr">
        <is>
          <t>Skill Damage %</t>
        </is>
      </c>
      <c r="E684" t="n">
        <v>14</v>
      </c>
      <c r="F684" t="n">
        <v>0.76</v>
      </c>
      <c r="G684" t="b">
        <v>0</v>
      </c>
      <c r="H684">
        <f>Sensitivity!H20</f>
        <v/>
      </c>
    </row>
    <row r="685">
      <c r="A685" t="inlineStr">
        <is>
          <t>earrings</t>
        </is>
      </c>
      <c r="B685" t="inlineStr">
        <is>
          <t>legendary</t>
        </is>
      </c>
      <c r="C685" t="n">
        <v>3</v>
      </c>
      <c r="D685" t="inlineStr">
        <is>
          <t>Skill Damage %</t>
        </is>
      </c>
      <c r="E685" t="n">
        <v>21</v>
      </c>
      <c r="F685" t="n">
        <v>0.08</v>
      </c>
      <c r="G685" t="b">
        <v>1</v>
      </c>
      <c r="H685">
        <f>Sensitivity!H20</f>
        <v/>
      </c>
    </row>
    <row r="686">
      <c r="A686" t="inlineStr">
        <is>
          <t>earrings</t>
        </is>
      </c>
      <c r="B686" t="inlineStr">
        <is>
          <t>legendary</t>
        </is>
      </c>
      <c r="C686" t="n">
        <v>3</v>
      </c>
      <c r="D686" t="inlineStr">
        <is>
          <t>Skill Damage %</t>
        </is>
      </c>
      <c r="E686" t="n">
        <v>14</v>
      </c>
      <c r="F686" t="n">
        <v>0.92</v>
      </c>
      <c r="G686" t="b">
        <v>0</v>
      </c>
      <c r="H686">
        <f>Sensitivity!H20</f>
        <v/>
      </c>
    </row>
    <row r="687">
      <c r="A687" t="inlineStr">
        <is>
          <t>earrings</t>
        </is>
      </c>
      <c r="B687" t="inlineStr">
        <is>
          <t>mystic</t>
        </is>
      </c>
      <c r="C687" t="n">
        <v>1</v>
      </c>
      <c r="D687" t="inlineStr">
        <is>
          <t>Skill Damage %</t>
        </is>
      </c>
      <c r="E687" t="n">
        <v>30</v>
      </c>
      <c r="F687" t="n">
        <v>1</v>
      </c>
      <c r="G687" t="b">
        <v>1</v>
      </c>
      <c r="H687">
        <f>Sensitivity!H20</f>
        <v/>
      </c>
    </row>
    <row r="688">
      <c r="A688" t="inlineStr">
        <is>
          <t>earrings</t>
        </is>
      </c>
      <c r="B688" t="inlineStr">
        <is>
          <t>mystic</t>
        </is>
      </c>
      <c r="C688" t="n">
        <v>2</v>
      </c>
      <c r="D688" t="inlineStr">
        <is>
          <t>Skill Damage %</t>
        </is>
      </c>
      <c r="E688" t="n">
        <v>30</v>
      </c>
      <c r="F688" t="n">
        <v>0.24</v>
      </c>
      <c r="G688" t="b">
        <v>1</v>
      </c>
      <c r="H688">
        <f>Sensitivity!H20</f>
        <v/>
      </c>
    </row>
    <row r="689">
      <c r="A689" t="inlineStr">
        <is>
          <t>earrings</t>
        </is>
      </c>
      <c r="B689" t="inlineStr">
        <is>
          <t>mystic</t>
        </is>
      </c>
      <c r="C689" t="n">
        <v>2</v>
      </c>
      <c r="D689" t="inlineStr">
        <is>
          <t>Skill Damage %</t>
        </is>
      </c>
      <c r="E689" t="n">
        <v>21</v>
      </c>
      <c r="F689" t="n">
        <v>0.76</v>
      </c>
      <c r="G689" t="b">
        <v>0</v>
      </c>
      <c r="H689">
        <f>Sensitivity!H20</f>
        <v/>
      </c>
    </row>
    <row r="690">
      <c r="A690" t="inlineStr">
        <is>
          <t>earrings</t>
        </is>
      </c>
      <c r="B690" t="inlineStr">
        <is>
          <t>mystic</t>
        </is>
      </c>
      <c r="C690" t="n">
        <v>3</v>
      </c>
      <c r="D690" t="inlineStr">
        <is>
          <t>Skill Damage %</t>
        </is>
      </c>
      <c r="E690" t="n">
        <v>30</v>
      </c>
      <c r="F690" t="n">
        <v>0.08</v>
      </c>
      <c r="G690" t="b">
        <v>1</v>
      </c>
      <c r="H690">
        <f>Sensitivity!H20</f>
        <v/>
      </c>
    </row>
    <row r="691">
      <c r="A691" t="inlineStr">
        <is>
          <t>earrings</t>
        </is>
      </c>
      <c r="B691" t="inlineStr">
        <is>
          <t>mystic</t>
        </is>
      </c>
      <c r="C691" t="n">
        <v>3</v>
      </c>
      <c r="D691" t="inlineStr">
        <is>
          <t>Skill Damage %</t>
        </is>
      </c>
      <c r="E691" t="n">
        <v>21</v>
      </c>
      <c r="F691" t="n">
        <v>0.92</v>
      </c>
      <c r="G691" t="b">
        <v>0</v>
      </c>
      <c r="H691">
        <f>Sensitivity!H20</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8" t="inlineStr">
        <is>
          <t>Slot</t>
        </is>
      </c>
      <c r="B5" s="8" t="inlineStr">
        <is>
          <t>Potential Type</t>
        </is>
      </c>
      <c r="C5" s="8" t="inlineStr">
        <is>
          <t>Current Rarity</t>
        </is>
      </c>
      <c r="D5" s="8" t="inlineStr">
        <is>
          <t>Current Pity Count</t>
        </is>
      </c>
      <c r="E5" s="8" t="inlineStr">
        <is>
          <t>Line 1 Stat</t>
        </is>
      </c>
      <c r="F5" s="8" t="inlineStr">
        <is>
          <t>Line 1 Value</t>
        </is>
      </c>
      <c r="G5" s="8" t="inlineStr">
        <is>
          <t>Line 2 Stat</t>
        </is>
      </c>
      <c r="H5" s="8" t="inlineStr">
        <is>
          <t>Line 2 Value</t>
        </is>
      </c>
      <c r="I5" s="8" t="inlineStr">
        <is>
          <t>Line 3 Stat</t>
        </is>
      </c>
      <c r="J5" s="8"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2026-09-16T10:41:59Z</dcterms:created>
  <dcterms:modified xsi:type="dcterms:W3CDTF">2026-09-16T10:41:59Z</dcterms:modified>
</cp:coreProperties>
</file>